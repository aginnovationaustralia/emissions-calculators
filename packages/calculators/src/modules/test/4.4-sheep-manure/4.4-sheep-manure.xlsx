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queryTables/queryTable5.xml" ContentType="application/vnd.openxmlformats-officedocument.spreadsheetml.query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9.xml" ContentType="application/vnd.openxmlformats-officedocument.spreadsheetml.query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0.xml" ContentType="application/vnd.openxmlformats-officedocument.spreadsheetml.queryTable+xml"/>
  <Override PartName="/xl/tables/table23.xml" ContentType="application/vnd.openxmlformats-officedocument.spreadsheetml.table+xml"/>
  <Override PartName="/xl/queryTables/queryTable11.xml" ContentType="application/vnd.openxmlformats-officedocument.spreadsheetml.query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202300"/>
  <xr:revisionPtr revIDLastSave="0" documentId="13_ncr:1_{61384379-87EE-D64C-9CDD-014421DBDC1D}" xr6:coauthVersionLast="47" xr6:coauthVersionMax="47" xr10:uidLastSave="{00000000-0000-0000-0000-000000000000}"/>
  <bookViews>
    <workbookView xWindow="0" yWindow="660" windowWidth="28800" windowHeight="15940" xr2:uid="{00000000-000D-0000-FFFF-FFFF00000000}"/>
  </bookViews>
  <sheets>
    <sheet name="4.4.1.1" sheetId="13" r:id="rId1"/>
    <sheet name="Tables" sheetId="1" r:id="rId2"/>
    <sheet name="Backup" sheetId="12" r:id="rId3"/>
  </sheets>
  <externalReferences>
    <externalReference r:id="rId4"/>
  </externalReferences>
  <definedNames>
    <definedName name="ExternalData_1" localSheetId="2" hidden="1">Backup!$BW$6:$CE$30</definedName>
    <definedName name="ExternalData_1" localSheetId="1" hidden="1">Tables!$BW$6:$CE$30</definedName>
    <definedName name="ExternalData_2" localSheetId="2" hidden="1">Backup!$BW$37:$CE$61</definedName>
    <definedName name="ExternalData_2" localSheetId="1" hidden="1">Tables!$BW$37:$CE$61</definedName>
    <definedName name="ExternalData_4" localSheetId="2" hidden="1">Backup!$BW$95:$CE$119</definedName>
    <definedName name="ExternalData_4" localSheetId="1" hidden="1">Tables!$BW$95:$CE$119</definedName>
    <definedName name="ExternalData_5" localSheetId="2" hidden="1">Backup!$BW$130:$CE$154</definedName>
    <definedName name="ExternalData_5" localSheetId="1" hidden="1">Tables!$BW$130:$CE$154</definedName>
    <definedName name="ExternalData_7" localSheetId="2" hidden="1">Backup!$BW$166:$CE$190</definedName>
    <definedName name="ExternalData_7" localSheetId="1" hidden="1">Tables!$BW$166:$CE$190</definedName>
    <definedName name="ExternalData_8" localSheetId="2" hidden="1">Backup!$BW$67:$CE$91</definedName>
    <definedName name="ExternalData_8" localSheetId="1" hidden="1">Tables!$BW$67:$CE$91</definedName>
    <definedName name="TableLWG" localSheetId="2">TableLWG235[]</definedName>
    <definedName name="TableLWG">TableLWG2[]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7" i="12" l="1"/>
  <c r="BS7" i="1"/>
  <c r="BZ7" i="13"/>
  <c r="BI278" i="13"/>
  <c r="BI277" i="13"/>
  <c r="BI276" i="13"/>
  <c r="BI275" i="13"/>
  <c r="BI274" i="13"/>
  <c r="BI273" i="13"/>
  <c r="BI272" i="13"/>
  <c r="BI271" i="13"/>
  <c r="BI270" i="13"/>
  <c r="BI269" i="13"/>
  <c r="BI268" i="13"/>
  <c r="BI267" i="13"/>
  <c r="BI266" i="13"/>
  <c r="BI265" i="13"/>
  <c r="BI264" i="13"/>
  <c r="BI263" i="13"/>
  <c r="BI262" i="13"/>
  <c r="BI261" i="13"/>
  <c r="BI260" i="13"/>
  <c r="BI259" i="13"/>
  <c r="BI258" i="13"/>
  <c r="BI257" i="13"/>
  <c r="BI256" i="13"/>
  <c r="BI255" i="13"/>
  <c r="BI254" i="13"/>
  <c r="BI253" i="13"/>
  <c r="BI252" i="13"/>
  <c r="BI251" i="13"/>
  <c r="BI250" i="13"/>
  <c r="BI249" i="13"/>
  <c r="BI248" i="13"/>
  <c r="BI247" i="13"/>
  <c r="BI246" i="13"/>
  <c r="BI245" i="13"/>
  <c r="BI244" i="13"/>
  <c r="BI243" i="13"/>
  <c r="BI242" i="13"/>
  <c r="BI241" i="13"/>
  <c r="BI240" i="13"/>
  <c r="BI239" i="13"/>
  <c r="BI238" i="13"/>
  <c r="BI237" i="13"/>
  <c r="BI236" i="13"/>
  <c r="BI235" i="13"/>
  <c r="BI234" i="13"/>
  <c r="BI233" i="13"/>
  <c r="BI232" i="13"/>
  <c r="BI231" i="13"/>
  <c r="BI214" i="13"/>
  <c r="BI213" i="13"/>
  <c r="BI212" i="13"/>
  <c r="BI211" i="13"/>
  <c r="BI210" i="13"/>
  <c r="BI209" i="13"/>
  <c r="BI208" i="13"/>
  <c r="BI207" i="13"/>
  <c r="BI206" i="13"/>
  <c r="BI205" i="13"/>
  <c r="BI204" i="13"/>
  <c r="BI203" i="13"/>
  <c r="BI202" i="13"/>
  <c r="BI201" i="13"/>
  <c r="BI200" i="13"/>
  <c r="BI199" i="13"/>
  <c r="BI198" i="13"/>
  <c r="BI197" i="13"/>
  <c r="BI196" i="13"/>
  <c r="BI195" i="13"/>
  <c r="BI194" i="13"/>
  <c r="BI193" i="13"/>
  <c r="BI192" i="13"/>
  <c r="BI191" i="13"/>
  <c r="BI184" i="13"/>
  <c r="BI183" i="13"/>
  <c r="BI182" i="13"/>
  <c r="BI181" i="13"/>
  <c r="BI180" i="13"/>
  <c r="BI179" i="13"/>
  <c r="BI178" i="13"/>
  <c r="BI177" i="13"/>
  <c r="BI176" i="13"/>
  <c r="BI175" i="13"/>
  <c r="BI174" i="13"/>
  <c r="BI173" i="13"/>
  <c r="BI172" i="13"/>
  <c r="BI171" i="13"/>
  <c r="BI170" i="13"/>
  <c r="BI169" i="13"/>
  <c r="BI168" i="13"/>
  <c r="BI167" i="13"/>
  <c r="BI166" i="13"/>
  <c r="BI165" i="13"/>
  <c r="BI164" i="13"/>
  <c r="BI163" i="13"/>
  <c r="BI162" i="13"/>
  <c r="BI161" i="13"/>
  <c r="BI132" i="13"/>
  <c r="BI133" i="13"/>
  <c r="BI134" i="13"/>
  <c r="BI135" i="13"/>
  <c r="BI136" i="13"/>
  <c r="BI137" i="13"/>
  <c r="BI138" i="13"/>
  <c r="BI139" i="13"/>
  <c r="BI140" i="13"/>
  <c r="BI141" i="13"/>
  <c r="BI142" i="13"/>
  <c r="BI143" i="13"/>
  <c r="BI144" i="13"/>
  <c r="BI145" i="13"/>
  <c r="BI146" i="13"/>
  <c r="BI147" i="13"/>
  <c r="BI148" i="13"/>
  <c r="BI149" i="13"/>
  <c r="BI150" i="13"/>
  <c r="BI151" i="13"/>
  <c r="BI152" i="13"/>
  <c r="BI153" i="13"/>
  <c r="BI154" i="13"/>
  <c r="BI131" i="13"/>
  <c r="BI124" i="13"/>
  <c r="BI123" i="13"/>
  <c r="BI122" i="13"/>
  <c r="BI121" i="13"/>
  <c r="BI120" i="13"/>
  <c r="BI119" i="13"/>
  <c r="BI118" i="13"/>
  <c r="BI117" i="13"/>
  <c r="BI116" i="13"/>
  <c r="BI115" i="13"/>
  <c r="BI114" i="13"/>
  <c r="BI113" i="13"/>
  <c r="BI112" i="13"/>
  <c r="BI111" i="13"/>
  <c r="BI110" i="13"/>
  <c r="BI109" i="13"/>
  <c r="BI108" i="13"/>
  <c r="BI107" i="13"/>
  <c r="BI106" i="13"/>
  <c r="BI105" i="13"/>
  <c r="BI104" i="13"/>
  <c r="BI103" i="13"/>
  <c r="BI102" i="13"/>
  <c r="BI101" i="13"/>
  <c r="BI94" i="13"/>
  <c r="BI93" i="13"/>
  <c r="BI92" i="13"/>
  <c r="BI91" i="13"/>
  <c r="BI90" i="13"/>
  <c r="BI89" i="13"/>
  <c r="BI88" i="13"/>
  <c r="BI87" i="13"/>
  <c r="BI86" i="13"/>
  <c r="BI85" i="13"/>
  <c r="BI84" i="13"/>
  <c r="BI83" i="13"/>
  <c r="BI82" i="13"/>
  <c r="BI81" i="13"/>
  <c r="BI80" i="13"/>
  <c r="BI79" i="13"/>
  <c r="BI78" i="13"/>
  <c r="BI77" i="13"/>
  <c r="BI76" i="13"/>
  <c r="BI75" i="13"/>
  <c r="BI74" i="13"/>
  <c r="BI73" i="13"/>
  <c r="BI72" i="13"/>
  <c r="BI71" i="13"/>
  <c r="BI64" i="13"/>
  <c r="BI63" i="13"/>
  <c r="BI62" i="13"/>
  <c r="BI61" i="13"/>
  <c r="BI60" i="13"/>
  <c r="BI59" i="13"/>
  <c r="BI58" i="13"/>
  <c r="BI57" i="13"/>
  <c r="BI56" i="13"/>
  <c r="BI55" i="13"/>
  <c r="BI54" i="13"/>
  <c r="BI53" i="13"/>
  <c r="BI52" i="13"/>
  <c r="BI51" i="13"/>
  <c r="BI50" i="13"/>
  <c r="BI49" i="13"/>
  <c r="BI48" i="13"/>
  <c r="BI47" i="13"/>
  <c r="BI46" i="13"/>
  <c r="BI45" i="13"/>
  <c r="BI44" i="13"/>
  <c r="BI43" i="13"/>
  <c r="BI42" i="13"/>
  <c r="BI41" i="13"/>
  <c r="BI27" i="13"/>
  <c r="BI28" i="13"/>
  <c r="BI29" i="13"/>
  <c r="BI30" i="13"/>
  <c r="BI31" i="13"/>
  <c r="BI32" i="13"/>
  <c r="BI33" i="13"/>
  <c r="BI34" i="13"/>
  <c r="BI12" i="13"/>
  <c r="BI13" i="13"/>
  <c r="BI14" i="13"/>
  <c r="BI15" i="13"/>
  <c r="BI16" i="13"/>
  <c r="BI17" i="13"/>
  <c r="BI18" i="13"/>
  <c r="BI19" i="13"/>
  <c r="BI20" i="13"/>
  <c r="BI21" i="13"/>
  <c r="BI22" i="13"/>
  <c r="BI23" i="13"/>
  <c r="BI24" i="13"/>
  <c r="BI25" i="13"/>
  <c r="BI26" i="13"/>
  <c r="BI11" i="13"/>
  <c r="BO101" i="13"/>
  <c r="N273" i="13"/>
  <c r="N274" i="13"/>
  <c r="N272" i="13"/>
  <c r="N270" i="13"/>
  <c r="BE270" i="13" s="1"/>
  <c r="N271" i="13"/>
  <c r="N269" i="13"/>
  <c r="BE269" i="13" s="1"/>
  <c r="N268" i="13"/>
  <c r="BE268" i="13" s="1"/>
  <c r="N267" i="13"/>
  <c r="N278" i="13"/>
  <c r="BE278" i="13" s="1"/>
  <c r="N276" i="13"/>
  <c r="N277" i="13"/>
  <c r="BE277" i="13" s="1"/>
  <c r="N275" i="13"/>
  <c r="N261" i="13"/>
  <c r="N262" i="13"/>
  <c r="N260" i="13"/>
  <c r="N258" i="13"/>
  <c r="BE258" i="13" s="1"/>
  <c r="N259" i="13"/>
  <c r="N257" i="13"/>
  <c r="BE257" i="13" s="1"/>
  <c r="N256" i="13"/>
  <c r="BE256" i="13" s="1"/>
  <c r="N255" i="13"/>
  <c r="N266" i="13"/>
  <c r="BE266" i="13" s="1"/>
  <c r="BE265" i="13"/>
  <c r="N249" i="13"/>
  <c r="N250" i="13"/>
  <c r="N248" i="13"/>
  <c r="N246" i="13"/>
  <c r="BE246" i="13" s="1"/>
  <c r="N247" i="13"/>
  <c r="N245" i="13"/>
  <c r="BE245" i="13" s="1"/>
  <c r="N244" i="13"/>
  <c r="BE244" i="13" s="1"/>
  <c r="N243" i="13"/>
  <c r="N254" i="13"/>
  <c r="BE254" i="13" s="1"/>
  <c r="N252" i="13"/>
  <c r="BE252" i="13" s="1"/>
  <c r="N253" i="13"/>
  <c r="BE253" i="13" s="1"/>
  <c r="N251" i="13"/>
  <c r="BE234" i="13"/>
  <c r="BE232" i="13"/>
  <c r="BE242" i="13"/>
  <c r="BE240" i="13"/>
  <c r="BE241" i="13"/>
  <c r="BG255" i="13"/>
  <c r="BG256" i="13"/>
  <c r="BG258" i="13"/>
  <c r="BD232" i="13"/>
  <c r="BD233" i="13"/>
  <c r="BE233" i="13"/>
  <c r="BD234" i="13"/>
  <c r="BD235" i="13"/>
  <c r="BE235" i="13"/>
  <c r="BD236" i="13"/>
  <c r="BE236" i="13"/>
  <c r="BD237" i="13"/>
  <c r="BE237" i="13"/>
  <c r="BD238" i="13"/>
  <c r="BE238" i="13"/>
  <c r="BD239" i="13"/>
  <c r="BE239" i="13"/>
  <c r="BD240" i="13"/>
  <c r="BD241" i="13"/>
  <c r="BD242" i="13"/>
  <c r="BD243" i="13"/>
  <c r="BE243" i="13"/>
  <c r="BD244" i="13"/>
  <c r="BD245" i="13"/>
  <c r="BD246" i="13"/>
  <c r="BD247" i="13"/>
  <c r="BE247" i="13"/>
  <c r="BD248" i="13"/>
  <c r="BE248" i="13"/>
  <c r="BD249" i="13"/>
  <c r="BE249" i="13"/>
  <c r="BD250" i="13"/>
  <c r="BE250" i="13"/>
  <c r="BD251" i="13"/>
  <c r="BE251" i="13"/>
  <c r="BD252" i="13"/>
  <c r="BD253" i="13"/>
  <c r="BD254" i="13"/>
  <c r="BD255" i="13"/>
  <c r="BE255" i="13"/>
  <c r="BD256" i="13"/>
  <c r="BD257" i="13"/>
  <c r="BD258" i="13"/>
  <c r="BD259" i="13"/>
  <c r="BE259" i="13"/>
  <c r="BD260" i="13"/>
  <c r="BE260" i="13"/>
  <c r="BD261" i="13"/>
  <c r="BE261" i="13"/>
  <c r="BD262" i="13"/>
  <c r="BE262" i="13"/>
  <c r="BD263" i="13"/>
  <c r="BE263" i="13"/>
  <c r="BD264" i="13"/>
  <c r="BE264" i="13"/>
  <c r="BD265" i="13"/>
  <c r="BD266" i="13"/>
  <c r="BD267" i="13"/>
  <c r="BE267" i="13"/>
  <c r="BD268" i="13"/>
  <c r="BD269" i="13"/>
  <c r="BD270" i="13"/>
  <c r="BD271" i="13"/>
  <c r="BE271" i="13"/>
  <c r="BD272" i="13"/>
  <c r="BE272" i="13"/>
  <c r="BD273" i="13"/>
  <c r="BE273" i="13"/>
  <c r="BD274" i="13"/>
  <c r="BE274" i="13"/>
  <c r="BD275" i="13"/>
  <c r="BE275" i="13"/>
  <c r="BD276" i="13"/>
  <c r="BE276" i="13"/>
  <c r="BD277" i="13"/>
  <c r="BD278" i="13"/>
  <c r="BF273" i="13"/>
  <c r="BF274" i="13"/>
  <c r="BF272" i="13"/>
  <c r="BF270" i="13"/>
  <c r="BF271" i="13"/>
  <c r="BF269" i="13"/>
  <c r="BF268" i="13"/>
  <c r="BF267" i="13"/>
  <c r="BF278" i="13"/>
  <c r="BF276" i="13"/>
  <c r="BF277" i="13"/>
  <c r="BF275" i="13"/>
  <c r="BF263" i="13"/>
  <c r="BF261" i="13"/>
  <c r="BF262" i="13"/>
  <c r="BF260" i="13"/>
  <c r="BF258" i="13"/>
  <c r="BF259" i="13"/>
  <c r="BF257" i="13"/>
  <c r="BG257" i="13" s="1"/>
  <c r="BF256" i="13"/>
  <c r="BF255" i="13"/>
  <c r="BF265" i="13"/>
  <c r="BF266" i="13"/>
  <c r="BF264" i="13"/>
  <c r="BF249" i="13"/>
  <c r="BF250" i="13"/>
  <c r="BF248" i="13"/>
  <c r="BF246" i="13"/>
  <c r="BF247" i="13"/>
  <c r="BF245" i="13"/>
  <c r="BF244" i="13"/>
  <c r="BF243" i="13"/>
  <c r="BF254" i="13"/>
  <c r="BF252" i="13"/>
  <c r="BF253" i="13"/>
  <c r="BF251" i="13"/>
  <c r="BF242" i="13"/>
  <c r="BF240" i="13"/>
  <c r="BF241" i="13"/>
  <c r="BF239" i="13"/>
  <c r="BF237" i="13"/>
  <c r="BF238" i="13"/>
  <c r="BF236" i="13"/>
  <c r="BF234" i="13"/>
  <c r="BF235" i="13"/>
  <c r="BF233" i="13"/>
  <c r="BF232" i="13"/>
  <c r="BF231" i="13"/>
  <c r="BR231" i="13"/>
  <c r="BO231" i="13"/>
  <c r="BE231" i="13"/>
  <c r="BD231" i="13"/>
  <c r="AZ231" i="13"/>
  <c r="AX231" i="13"/>
  <c r="AV231" i="13"/>
  <c r="AU231" i="13"/>
  <c r="BA214" i="13"/>
  <c r="BA213" i="13"/>
  <c r="BA212" i="13"/>
  <c r="BD211" i="13"/>
  <c r="BD212" i="13" s="1"/>
  <c r="BA210" i="13"/>
  <c r="BA209" i="13"/>
  <c r="BD208" i="13"/>
  <c r="BA208" i="13"/>
  <c r="BD207" i="13"/>
  <c r="BD209" i="13" s="1"/>
  <c r="BA206" i="13"/>
  <c r="BE205" i="13"/>
  <c r="BA205" i="13"/>
  <c r="BA204" i="13"/>
  <c r="BD203" i="13"/>
  <c r="BD205" i="13" s="1"/>
  <c r="BD202" i="13"/>
  <c r="BA202" i="13"/>
  <c r="BA201" i="13"/>
  <c r="BA200" i="13"/>
  <c r="BE199" i="13"/>
  <c r="BD199" i="13"/>
  <c r="BD201" i="13" s="1"/>
  <c r="BE198" i="13"/>
  <c r="BA198" i="13"/>
  <c r="BA197" i="13"/>
  <c r="BA196" i="13"/>
  <c r="BE195" i="13"/>
  <c r="BD195" i="13"/>
  <c r="BD198" i="13" s="1"/>
  <c r="BA194" i="13"/>
  <c r="BE193" i="13"/>
  <c r="BA193" i="13"/>
  <c r="BA192" i="13"/>
  <c r="BR191" i="13"/>
  <c r="BO191" i="13"/>
  <c r="BF191" i="13" a="1"/>
  <c r="BD191" i="13"/>
  <c r="BD194" i="13" s="1"/>
  <c r="AZ191" i="13"/>
  <c r="AX191" i="13"/>
  <c r="AV191" i="13"/>
  <c r="AU191" i="13"/>
  <c r="BD184" i="13"/>
  <c r="BA184" i="13"/>
  <c r="BE183" i="13"/>
  <c r="BD183" i="13"/>
  <c r="BA183" i="13"/>
  <c r="BA182" i="13"/>
  <c r="BD181" i="13"/>
  <c r="BD182" i="13" s="1"/>
  <c r="BA180" i="13"/>
  <c r="BA179" i="13"/>
  <c r="BD178" i="13"/>
  <c r="BA178" i="13"/>
  <c r="BD177" i="13"/>
  <c r="BD179" i="13" s="1"/>
  <c r="BA176" i="13"/>
  <c r="BA175" i="13"/>
  <c r="BE174" i="13"/>
  <c r="BA174" i="13"/>
  <c r="BD173" i="13"/>
  <c r="BD175" i="13" s="1"/>
  <c r="BA172" i="13"/>
  <c r="BA171" i="13"/>
  <c r="BA170" i="13"/>
  <c r="BD169" i="13"/>
  <c r="BD171" i="13" s="1"/>
  <c r="BA168" i="13"/>
  <c r="BA167" i="13"/>
  <c r="BA166" i="13"/>
  <c r="BE165" i="13"/>
  <c r="BD165" i="13"/>
  <c r="BD168" i="13" s="1"/>
  <c r="BA164" i="13"/>
  <c r="BA163" i="13"/>
  <c r="BD162" i="13"/>
  <c r="BA162" i="13"/>
  <c r="BR161" i="13"/>
  <c r="BO161" i="13"/>
  <c r="BF161" i="13" a="1"/>
  <c r="BD161" i="13"/>
  <c r="BD164" i="13" s="1"/>
  <c r="AZ161" i="13"/>
  <c r="AX161" i="13"/>
  <c r="AV161" i="13"/>
  <c r="AU161" i="13"/>
  <c r="BA154" i="13"/>
  <c r="BA153" i="13"/>
  <c r="BA152" i="13"/>
  <c r="BD151" i="13"/>
  <c r="BD152" i="13" s="1"/>
  <c r="BA150" i="13"/>
  <c r="BA149" i="13"/>
  <c r="BD148" i="13"/>
  <c r="BA148" i="13"/>
  <c r="BD147" i="13"/>
  <c r="BD149" i="13" s="1"/>
  <c r="BA146" i="13"/>
  <c r="BA145" i="13"/>
  <c r="BA144" i="13"/>
  <c r="BD143" i="13"/>
  <c r="BD145" i="13" s="1"/>
  <c r="BA142" i="13"/>
  <c r="BA141" i="13"/>
  <c r="BD140" i="13"/>
  <c r="BA140" i="13"/>
  <c r="BD139" i="13"/>
  <c r="BD141" i="13" s="1"/>
  <c r="BA138" i="13"/>
  <c r="BA137" i="13"/>
  <c r="BA136" i="13"/>
  <c r="BD135" i="13"/>
  <c r="BD136" i="13" s="1"/>
  <c r="BA134" i="13"/>
  <c r="BA133" i="13"/>
  <c r="BD132" i="13"/>
  <c r="BA132" i="13"/>
  <c r="BR131" i="13"/>
  <c r="BO131" i="13"/>
  <c r="BF131" i="13" a="1"/>
  <c r="BD131" i="13"/>
  <c r="BD134" i="13" s="1"/>
  <c r="AZ131" i="13"/>
  <c r="AX131" i="13"/>
  <c r="AV131" i="13"/>
  <c r="AU131" i="13"/>
  <c r="BA124" i="13"/>
  <c r="BD123" i="13"/>
  <c r="BA123" i="13"/>
  <c r="BD122" i="13"/>
  <c r="BA122" i="13"/>
  <c r="BD121" i="13"/>
  <c r="BD124" i="13" s="1"/>
  <c r="BA120" i="13"/>
  <c r="BA119" i="13"/>
  <c r="BA118" i="13"/>
  <c r="BD117" i="13"/>
  <c r="BD120" i="13" s="1"/>
  <c r="BD116" i="13"/>
  <c r="BA116" i="13"/>
  <c r="BA115" i="13"/>
  <c r="BD114" i="13"/>
  <c r="BA114" i="13"/>
  <c r="BD113" i="13"/>
  <c r="BD115" i="13" s="1"/>
  <c r="BA112" i="13"/>
  <c r="BA111" i="13"/>
  <c r="BA110" i="13"/>
  <c r="BD109" i="13"/>
  <c r="BD110" i="13" s="1"/>
  <c r="BD108" i="13"/>
  <c r="BA108" i="13"/>
  <c r="BD107" i="13"/>
  <c r="BA107" i="13"/>
  <c r="BD106" i="13"/>
  <c r="BA106" i="13"/>
  <c r="BD105" i="13"/>
  <c r="BA104" i="13"/>
  <c r="BA103" i="13"/>
  <c r="BA102" i="13"/>
  <c r="BR101" i="13"/>
  <c r="BF101" i="13" a="1"/>
  <c r="BD101" i="13"/>
  <c r="BD104" i="13" s="1"/>
  <c r="AZ101" i="13"/>
  <c r="AX101" i="13"/>
  <c r="AV101" i="13"/>
  <c r="AU101" i="13"/>
  <c r="BA94" i="13"/>
  <c r="BA93" i="13"/>
  <c r="BA92" i="13"/>
  <c r="BD91" i="13"/>
  <c r="BD92" i="13" s="1"/>
  <c r="BA90" i="13"/>
  <c r="BA89" i="13"/>
  <c r="BD88" i="13"/>
  <c r="BA88" i="13"/>
  <c r="BD87" i="13"/>
  <c r="BD89" i="13" s="1"/>
  <c r="BA86" i="13"/>
  <c r="BA85" i="13"/>
  <c r="BA84" i="13"/>
  <c r="BD83" i="13"/>
  <c r="BD85" i="13" s="1"/>
  <c r="BA82" i="13"/>
  <c r="BA81" i="13"/>
  <c r="BA80" i="13"/>
  <c r="BD79" i="13"/>
  <c r="BD81" i="13" s="1"/>
  <c r="BA78" i="13"/>
  <c r="BD77" i="13"/>
  <c r="BA77" i="13"/>
  <c r="BA76" i="13"/>
  <c r="BD75" i="13"/>
  <c r="BD78" i="13" s="1"/>
  <c r="BA74" i="13"/>
  <c r="BA73" i="13"/>
  <c r="BA72" i="13"/>
  <c r="BR71" i="13"/>
  <c r="BO71" i="13"/>
  <c r="BF71" i="13" a="1"/>
  <c r="BD71" i="13"/>
  <c r="BD74" i="13" s="1"/>
  <c r="AZ71" i="13"/>
  <c r="AX71" i="13"/>
  <c r="AV71" i="13"/>
  <c r="AU71" i="13"/>
  <c r="BD64" i="13"/>
  <c r="BA64" i="13"/>
  <c r="BA63" i="13"/>
  <c r="BA62" i="13"/>
  <c r="BD61" i="13"/>
  <c r="BD62" i="13" s="1"/>
  <c r="BD60" i="13"/>
  <c r="BA60" i="13"/>
  <c r="BA59" i="13"/>
  <c r="BD58" i="13"/>
  <c r="BA58" i="13"/>
  <c r="BD57" i="13"/>
  <c r="BD59" i="13" s="1"/>
  <c r="BA56" i="13"/>
  <c r="BA55" i="13"/>
  <c r="BA54" i="13"/>
  <c r="BD53" i="13"/>
  <c r="BD55" i="13" s="1"/>
  <c r="BA52" i="13"/>
  <c r="BA51" i="13"/>
  <c r="BA50" i="13"/>
  <c r="BD49" i="13"/>
  <c r="BD51" i="13" s="1"/>
  <c r="BA48" i="13"/>
  <c r="BA47" i="13"/>
  <c r="BA46" i="13"/>
  <c r="BD45" i="13"/>
  <c r="BD48" i="13" s="1"/>
  <c r="BA44" i="13"/>
  <c r="BA43" i="13"/>
  <c r="BA42" i="13"/>
  <c r="BR41" i="13"/>
  <c r="BO41" i="13"/>
  <c r="BF41" i="13" a="1"/>
  <c r="BD41" i="13"/>
  <c r="BD44" i="13" s="1"/>
  <c r="AZ41" i="13"/>
  <c r="AX41" i="13"/>
  <c r="AV41" i="13"/>
  <c r="AU41" i="13"/>
  <c r="BO11" i="13"/>
  <c r="N191" i="13" a="1"/>
  <c r="BE191" i="13" s="1"/>
  <c r="N161" i="13" a="1"/>
  <c r="BE161" i="13" s="1"/>
  <c r="N131" i="13" a="1"/>
  <c r="BE131" i="13" s="1"/>
  <c r="N101" i="13" a="1"/>
  <c r="BE101" i="13" s="1"/>
  <c r="N71" i="13" a="1"/>
  <c r="BE71" i="13" s="1"/>
  <c r="N41" i="13" a="1"/>
  <c r="BE41" i="13" s="1"/>
  <c r="AX11" i="13"/>
  <c r="BE55" i="13" l="1"/>
  <c r="BE73" i="13"/>
  <c r="BE90" i="13"/>
  <c r="BE93" i="13"/>
  <c r="BE124" i="13"/>
  <c r="BE142" i="13"/>
  <c r="BE145" i="13"/>
  <c r="BE151" i="13"/>
  <c r="BE182" i="13"/>
  <c r="BD192" i="13"/>
  <c r="BE49" i="13"/>
  <c r="BE52" i="13"/>
  <c r="BE58" i="13"/>
  <c r="BE61" i="13"/>
  <c r="BE76" i="13"/>
  <c r="BE79" i="13"/>
  <c r="BE82" i="13"/>
  <c r="BE103" i="13"/>
  <c r="BE108" i="13"/>
  <c r="BD111" i="13"/>
  <c r="BE116" i="13"/>
  <c r="BE134" i="13"/>
  <c r="BE148" i="13"/>
  <c r="BE164" i="13"/>
  <c r="BE173" i="13"/>
  <c r="BE176" i="13"/>
  <c r="BE179" i="13"/>
  <c r="BE192" i="13"/>
  <c r="BE201" i="13"/>
  <c r="BE204" i="13"/>
  <c r="BE207" i="13"/>
  <c r="BD210" i="13"/>
  <c r="BE43" i="13"/>
  <c r="BE46" i="13"/>
  <c r="BE85" i="13"/>
  <c r="BE111" i="13"/>
  <c r="BD119" i="13"/>
  <c r="BD137" i="13"/>
  <c r="BD167" i="13"/>
  <c r="BE170" i="13"/>
  <c r="BE210" i="13"/>
  <c r="BD213" i="13"/>
  <c r="BE64" i="13"/>
  <c r="BE94" i="13"/>
  <c r="BE106" i="13"/>
  <c r="BE119" i="13"/>
  <c r="BE137" i="13"/>
  <c r="BE143" i="13"/>
  <c r="BE162" i="13"/>
  <c r="BE167" i="13"/>
  <c r="BE213" i="13"/>
  <c r="BE53" i="13"/>
  <c r="BD56" i="13"/>
  <c r="BE74" i="13"/>
  <c r="BE83" i="13"/>
  <c r="BE88" i="13"/>
  <c r="BE91" i="13"/>
  <c r="BE114" i="13"/>
  <c r="BE122" i="13"/>
  <c r="BE132" i="13"/>
  <c r="BE140" i="13"/>
  <c r="BE146" i="13"/>
  <c r="BE152" i="13"/>
  <c r="BE177" i="13"/>
  <c r="BE180" i="13"/>
  <c r="BE59" i="13"/>
  <c r="BE44" i="13"/>
  <c r="BE47" i="13"/>
  <c r="BE62" i="13"/>
  <c r="BE72" i="13"/>
  <c r="BE77" i="13"/>
  <c r="BD86" i="13"/>
  <c r="BD112" i="13"/>
  <c r="BE171" i="13"/>
  <c r="BE196" i="13"/>
  <c r="BE202" i="13"/>
  <c r="BE208" i="13"/>
  <c r="BE211" i="13"/>
  <c r="BE214" i="13"/>
  <c r="BE56" i="13"/>
  <c r="BE104" i="13"/>
  <c r="BE109" i="13"/>
  <c r="BE117" i="13"/>
  <c r="BE135" i="13"/>
  <c r="BE149" i="13"/>
  <c r="BE86" i="13"/>
  <c r="BE112" i="13"/>
  <c r="BE120" i="13"/>
  <c r="BD138" i="13"/>
  <c r="BD144" i="13"/>
  <c r="BE168" i="13"/>
  <c r="BE50" i="13"/>
  <c r="BE54" i="13"/>
  <c r="BE115" i="13"/>
  <c r="BD133" i="13"/>
  <c r="BE138" i="13"/>
  <c r="BE144" i="13"/>
  <c r="BE147" i="13"/>
  <c r="BE153" i="13"/>
  <c r="BE163" i="13"/>
  <c r="BE51" i="13"/>
  <c r="BE60" i="13"/>
  <c r="BE75" i="13"/>
  <c r="BE81" i="13"/>
  <c r="BD84" i="13"/>
  <c r="BE110" i="13"/>
  <c r="BD118" i="13"/>
  <c r="BE123" i="13"/>
  <c r="BE133" i="13"/>
  <c r="BD166" i="13"/>
  <c r="BE175" i="13"/>
  <c r="BE178" i="13"/>
  <c r="BE184" i="13"/>
  <c r="BE200" i="13"/>
  <c r="BE203" i="13"/>
  <c r="BE206" i="13"/>
  <c r="BE92" i="13"/>
  <c r="BE102" i="13"/>
  <c r="BE107" i="13"/>
  <c r="BE141" i="13"/>
  <c r="BE150" i="13"/>
  <c r="BE181" i="13"/>
  <c r="BE42" i="13"/>
  <c r="BD63" i="13"/>
  <c r="BE78" i="13"/>
  <c r="BE84" i="13"/>
  <c r="BE118" i="13"/>
  <c r="BE136" i="13"/>
  <c r="BE166" i="13"/>
  <c r="BE169" i="13"/>
  <c r="BE172" i="13"/>
  <c r="BE194" i="13"/>
  <c r="BE197" i="13"/>
  <c r="BE209" i="13"/>
  <c r="BE212" i="13"/>
  <c r="BE80" i="13"/>
  <c r="BE57" i="13"/>
  <c r="BE89" i="13"/>
  <c r="BE45" i="13"/>
  <c r="BE48" i="13"/>
  <c r="BE105" i="13"/>
  <c r="BE113" i="13"/>
  <c r="BE63" i="13"/>
  <c r="BD73" i="13"/>
  <c r="BE87" i="13"/>
  <c r="BD90" i="13"/>
  <c r="BE121" i="13"/>
  <c r="BE139" i="13"/>
  <c r="BE154" i="13"/>
  <c r="BD197" i="13"/>
  <c r="BD193" i="13"/>
  <c r="BD204" i="13"/>
  <c r="BD200" i="13"/>
  <c r="BD196" i="13"/>
  <c r="BD214" i="13"/>
  <c r="BD206" i="13"/>
  <c r="BD163" i="13"/>
  <c r="BD174" i="13"/>
  <c r="BD170" i="13"/>
  <c r="BD180" i="13"/>
  <c r="BD176" i="13"/>
  <c r="BD172" i="13"/>
  <c r="BD154" i="13"/>
  <c r="BD150" i="13"/>
  <c r="BD146" i="13"/>
  <c r="BD142" i="13"/>
  <c r="BD153" i="13"/>
  <c r="BD103" i="13"/>
  <c r="BD102" i="13"/>
  <c r="BD80" i="13"/>
  <c r="BD76" i="13"/>
  <c r="BD72" i="13"/>
  <c r="BD94" i="13"/>
  <c r="BD82" i="13"/>
  <c r="BD93" i="13"/>
  <c r="BD47" i="13"/>
  <c r="BD43" i="13"/>
  <c r="BD54" i="13"/>
  <c r="BD50" i="13"/>
  <c r="BD46" i="13"/>
  <c r="BD42" i="13"/>
  <c r="BD52" i="13"/>
  <c r="BA34" i="13" l="1"/>
  <c r="BA33" i="13"/>
  <c r="BA32" i="13"/>
  <c r="BA30" i="13"/>
  <c r="BA29" i="13"/>
  <c r="BA28" i="13"/>
  <c r="BA26" i="13"/>
  <c r="BA25" i="13"/>
  <c r="BA24" i="13"/>
  <c r="BA22" i="13"/>
  <c r="BA21" i="13"/>
  <c r="BA20" i="13"/>
  <c r="BA18" i="13"/>
  <c r="BA17" i="13"/>
  <c r="BA16" i="13"/>
  <c r="BA14" i="13"/>
  <c r="BA13" i="13"/>
  <c r="BA12" i="13"/>
  <c r="AD231" i="13" l="1"/>
  <c r="BR11" i="13"/>
  <c r="BF11" i="13" a="1"/>
  <c r="N11" i="13" a="1"/>
  <c r="BE11" i="13" s="1"/>
  <c r="BD15" i="13"/>
  <c r="BD19" i="13"/>
  <c r="BD23" i="13"/>
  <c r="BD27" i="13"/>
  <c r="BD31" i="13"/>
  <c r="AZ11" i="13"/>
  <c r="AV11" i="13"/>
  <c r="AU11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11" i="13"/>
  <c r="AB191" i="13"/>
  <c r="AB161" i="13"/>
  <c r="AB131" i="13"/>
  <c r="AB101" i="13"/>
  <c r="AB71" i="13"/>
  <c r="AB41" i="13"/>
  <c r="AB11" i="13"/>
  <c r="AB214" i="13" s="1"/>
  <c r="AB231" i="13"/>
  <c r="AB233" i="13" s="1"/>
  <c r="AK278" i="13"/>
  <c r="AK277" i="13"/>
  <c r="AK276" i="13"/>
  <c r="AK275" i="13"/>
  <c r="AK274" i="13"/>
  <c r="AK273" i="13"/>
  <c r="AK272" i="13"/>
  <c r="AK271" i="13"/>
  <c r="AK270" i="13"/>
  <c r="AK269" i="13"/>
  <c r="AK268" i="13"/>
  <c r="AK267" i="13"/>
  <c r="AK266" i="13"/>
  <c r="AK265" i="13"/>
  <c r="AK264" i="13"/>
  <c r="AK263" i="13"/>
  <c r="AK262" i="13"/>
  <c r="AK261" i="13"/>
  <c r="AK260" i="13"/>
  <c r="AK259" i="13"/>
  <c r="AK258" i="13"/>
  <c r="AK257" i="13"/>
  <c r="AK256" i="13"/>
  <c r="AK255" i="13"/>
  <c r="AK254" i="13"/>
  <c r="AK253" i="13"/>
  <c r="AK252" i="13"/>
  <c r="AK251" i="13"/>
  <c r="AK250" i="13"/>
  <c r="AK249" i="13"/>
  <c r="AK248" i="13"/>
  <c r="AK247" i="13"/>
  <c r="AK246" i="13"/>
  <c r="AK245" i="13"/>
  <c r="AK244" i="13"/>
  <c r="AK243" i="13"/>
  <c r="AK242" i="13"/>
  <c r="AK241" i="13"/>
  <c r="AK240" i="13"/>
  <c r="AK239" i="13"/>
  <c r="AK238" i="13"/>
  <c r="AK237" i="13"/>
  <c r="AK236" i="13"/>
  <c r="AK235" i="13"/>
  <c r="AK234" i="13"/>
  <c r="AK233" i="13"/>
  <c r="AK232" i="13"/>
  <c r="AK231" i="13"/>
  <c r="AK214" i="13"/>
  <c r="AK213" i="13"/>
  <c r="AK212" i="13"/>
  <c r="AK211" i="13"/>
  <c r="AK210" i="13"/>
  <c r="AK209" i="13"/>
  <c r="AK208" i="13"/>
  <c r="AK207" i="13"/>
  <c r="AK206" i="13"/>
  <c r="AK205" i="13"/>
  <c r="AK204" i="13"/>
  <c r="AK203" i="13"/>
  <c r="AK202" i="13"/>
  <c r="AK201" i="13"/>
  <c r="AK200" i="13"/>
  <c r="AK199" i="13"/>
  <c r="AK198" i="13"/>
  <c r="AK197" i="13"/>
  <c r="AK196" i="13"/>
  <c r="AK195" i="13"/>
  <c r="AK194" i="13"/>
  <c r="AK193" i="13"/>
  <c r="AK192" i="13"/>
  <c r="AK191" i="13"/>
  <c r="AK184" i="13"/>
  <c r="AK183" i="13"/>
  <c r="AK182" i="13"/>
  <c r="AK181" i="13"/>
  <c r="AK180" i="13"/>
  <c r="AK179" i="13"/>
  <c r="AK178" i="13"/>
  <c r="AK177" i="13"/>
  <c r="AK176" i="13"/>
  <c r="AK175" i="13"/>
  <c r="AK174" i="13"/>
  <c r="AK173" i="13"/>
  <c r="AK172" i="13"/>
  <c r="AK171" i="13"/>
  <c r="AK170" i="13"/>
  <c r="AK169" i="13"/>
  <c r="AK168" i="13"/>
  <c r="AK167" i="13"/>
  <c r="AK166" i="13"/>
  <c r="AK165" i="13"/>
  <c r="AK164" i="13"/>
  <c r="AK163" i="13"/>
  <c r="AK162" i="13"/>
  <c r="AK161" i="13"/>
  <c r="AK154" i="13"/>
  <c r="AK153" i="13"/>
  <c r="AK152" i="13"/>
  <c r="AK151" i="13"/>
  <c r="AK150" i="13"/>
  <c r="AK149" i="13"/>
  <c r="AK148" i="13"/>
  <c r="AK147" i="13"/>
  <c r="AK146" i="13"/>
  <c r="AK145" i="13"/>
  <c r="AK144" i="13"/>
  <c r="AK143" i="13"/>
  <c r="AK142" i="13"/>
  <c r="AK141" i="13"/>
  <c r="AK140" i="13"/>
  <c r="AK139" i="13"/>
  <c r="AK138" i="13"/>
  <c r="AK137" i="13"/>
  <c r="AK136" i="13"/>
  <c r="AK135" i="13"/>
  <c r="AK134" i="13"/>
  <c r="AK133" i="13"/>
  <c r="AK132" i="13"/>
  <c r="AK131" i="13"/>
  <c r="AK124" i="13"/>
  <c r="AK123" i="13"/>
  <c r="AK122" i="13"/>
  <c r="AK121" i="13"/>
  <c r="AK120" i="13"/>
  <c r="AK119" i="13"/>
  <c r="AK118" i="13"/>
  <c r="AK117" i="13"/>
  <c r="AK116" i="13"/>
  <c r="AK115" i="13"/>
  <c r="AK114" i="13"/>
  <c r="AK113" i="13"/>
  <c r="AK112" i="13"/>
  <c r="AK111" i="13"/>
  <c r="AK110" i="13"/>
  <c r="AK109" i="13"/>
  <c r="AK108" i="13"/>
  <c r="AK107" i="13"/>
  <c r="AK106" i="13"/>
  <c r="AK105" i="13"/>
  <c r="AK104" i="13"/>
  <c r="AK103" i="13"/>
  <c r="AK102" i="13"/>
  <c r="AK101" i="13"/>
  <c r="AK94" i="13"/>
  <c r="AK93" i="13"/>
  <c r="AK92" i="13"/>
  <c r="AK91" i="13"/>
  <c r="AK90" i="13"/>
  <c r="AK89" i="13"/>
  <c r="AK88" i="13"/>
  <c r="AK87" i="13"/>
  <c r="AK86" i="13"/>
  <c r="AK85" i="13"/>
  <c r="AK84" i="13"/>
  <c r="AK83" i="13"/>
  <c r="AK82" i="13"/>
  <c r="AK81" i="13"/>
  <c r="AK80" i="13"/>
  <c r="AK79" i="13"/>
  <c r="AK78" i="13"/>
  <c r="AK77" i="13"/>
  <c r="AK76" i="13"/>
  <c r="AK75" i="13"/>
  <c r="AK74" i="13"/>
  <c r="AK73" i="13"/>
  <c r="AK72" i="13"/>
  <c r="AK71" i="13"/>
  <c r="AK64" i="13"/>
  <c r="AK63" i="13"/>
  <c r="AK62" i="13"/>
  <c r="AK61" i="13"/>
  <c r="AK60" i="13"/>
  <c r="AK59" i="13"/>
  <c r="AK58" i="13"/>
  <c r="AK57" i="13"/>
  <c r="AK56" i="13"/>
  <c r="AK55" i="13"/>
  <c r="AK54" i="13"/>
  <c r="AK53" i="13"/>
  <c r="AK52" i="13"/>
  <c r="AK51" i="13"/>
  <c r="AK50" i="13"/>
  <c r="AK49" i="13"/>
  <c r="AK48" i="13"/>
  <c r="AK47" i="13"/>
  <c r="AK46" i="13"/>
  <c r="AK45" i="13"/>
  <c r="AK44" i="13"/>
  <c r="AK43" i="13"/>
  <c r="AK42" i="13"/>
  <c r="AK4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11" i="13"/>
  <c r="AN278" i="13"/>
  <c r="AM278" i="13"/>
  <c r="AN277" i="13"/>
  <c r="AM277" i="13"/>
  <c r="AN276" i="13"/>
  <c r="AM276" i="13"/>
  <c r="AN275" i="13"/>
  <c r="AM275" i="13"/>
  <c r="AN274" i="13"/>
  <c r="AM274" i="13"/>
  <c r="AN273" i="13"/>
  <c r="AM273" i="13"/>
  <c r="AN272" i="13"/>
  <c r="AM272" i="13"/>
  <c r="AN271" i="13"/>
  <c r="AM271" i="13"/>
  <c r="AN270" i="13"/>
  <c r="AM270" i="13"/>
  <c r="AN269" i="13"/>
  <c r="AM269" i="13"/>
  <c r="AN268" i="13"/>
  <c r="AM268" i="13"/>
  <c r="AN267" i="13"/>
  <c r="AM267" i="13"/>
  <c r="AN266" i="13"/>
  <c r="AM266" i="13"/>
  <c r="AN265" i="13"/>
  <c r="AM265" i="13"/>
  <c r="AN264" i="13"/>
  <c r="AM264" i="13"/>
  <c r="AN263" i="13"/>
  <c r="AM263" i="13"/>
  <c r="AN262" i="13"/>
  <c r="AM262" i="13"/>
  <c r="AN261" i="13"/>
  <c r="AM261" i="13"/>
  <c r="AN260" i="13"/>
  <c r="AM260" i="13"/>
  <c r="AN259" i="13"/>
  <c r="AM259" i="13"/>
  <c r="AN258" i="13"/>
  <c r="AM258" i="13"/>
  <c r="AN257" i="13"/>
  <c r="AM257" i="13"/>
  <c r="AN256" i="13"/>
  <c r="AM256" i="13"/>
  <c r="AN255" i="13"/>
  <c r="AM255" i="13"/>
  <c r="AN254" i="13"/>
  <c r="AM254" i="13"/>
  <c r="AN253" i="13"/>
  <c r="AM253" i="13"/>
  <c r="AN252" i="13"/>
  <c r="AM252" i="13"/>
  <c r="AN251" i="13"/>
  <c r="AM251" i="13"/>
  <c r="AN250" i="13"/>
  <c r="AM250" i="13"/>
  <c r="AN249" i="13"/>
  <c r="AM249" i="13"/>
  <c r="AN248" i="13"/>
  <c r="AM248" i="13"/>
  <c r="AN247" i="13"/>
  <c r="AM247" i="13"/>
  <c r="AN246" i="13"/>
  <c r="AM246" i="13"/>
  <c r="AN245" i="13"/>
  <c r="AM245" i="13"/>
  <c r="AN244" i="13"/>
  <c r="AM244" i="13"/>
  <c r="AN243" i="13"/>
  <c r="AM243" i="13"/>
  <c r="AN242" i="13"/>
  <c r="AM242" i="13"/>
  <c r="AN241" i="13"/>
  <c r="AM241" i="13"/>
  <c r="AN240" i="13"/>
  <c r="AM240" i="13"/>
  <c r="AN239" i="13"/>
  <c r="AM239" i="13"/>
  <c r="AN238" i="13"/>
  <c r="AM238" i="13"/>
  <c r="AN237" i="13"/>
  <c r="AM237" i="13"/>
  <c r="AN236" i="13"/>
  <c r="AM236" i="13"/>
  <c r="AN235" i="13"/>
  <c r="AM235" i="13"/>
  <c r="AN234" i="13"/>
  <c r="AM234" i="13"/>
  <c r="AN233" i="13"/>
  <c r="AM233" i="13"/>
  <c r="AN232" i="13"/>
  <c r="AM232" i="13"/>
  <c r="AN231" i="13"/>
  <c r="AM231" i="13"/>
  <c r="AN214" i="13"/>
  <c r="AM214" i="13"/>
  <c r="AN213" i="13"/>
  <c r="AM213" i="13"/>
  <c r="AN212" i="13"/>
  <c r="AM212" i="13"/>
  <c r="AN211" i="13"/>
  <c r="AM211" i="13"/>
  <c r="AN210" i="13"/>
  <c r="AM210" i="13"/>
  <c r="AN209" i="13"/>
  <c r="AM209" i="13"/>
  <c r="AN208" i="13"/>
  <c r="AM208" i="13"/>
  <c r="AN207" i="13"/>
  <c r="AM207" i="13"/>
  <c r="AN206" i="13"/>
  <c r="AM206" i="13"/>
  <c r="AN205" i="13"/>
  <c r="AM205" i="13"/>
  <c r="AN204" i="13"/>
  <c r="AM204" i="13"/>
  <c r="AN203" i="13"/>
  <c r="AM203" i="13"/>
  <c r="AN202" i="13"/>
  <c r="AM202" i="13"/>
  <c r="AN201" i="13"/>
  <c r="AM201" i="13"/>
  <c r="AN200" i="13"/>
  <c r="AM200" i="13"/>
  <c r="AN199" i="13"/>
  <c r="AM199" i="13"/>
  <c r="AN198" i="13"/>
  <c r="AM198" i="13"/>
  <c r="AN197" i="13"/>
  <c r="AM197" i="13"/>
  <c r="AN196" i="13"/>
  <c r="AM196" i="13"/>
  <c r="AN195" i="13"/>
  <c r="AM195" i="13"/>
  <c r="AN194" i="13"/>
  <c r="AM194" i="13"/>
  <c r="AN193" i="13"/>
  <c r="AM193" i="13"/>
  <c r="AN192" i="13"/>
  <c r="AM192" i="13"/>
  <c r="AN191" i="13"/>
  <c r="AM191" i="13"/>
  <c r="AN184" i="13"/>
  <c r="AM184" i="13"/>
  <c r="AN183" i="13"/>
  <c r="AM183" i="13"/>
  <c r="AN182" i="13"/>
  <c r="AM182" i="13"/>
  <c r="AN181" i="13"/>
  <c r="AM181" i="13"/>
  <c r="AN180" i="13"/>
  <c r="AM180" i="13"/>
  <c r="AN179" i="13"/>
  <c r="AM179" i="13"/>
  <c r="AN178" i="13"/>
  <c r="AM178" i="13"/>
  <c r="AN177" i="13"/>
  <c r="AM177" i="13"/>
  <c r="AN176" i="13"/>
  <c r="AM176" i="13"/>
  <c r="AN175" i="13"/>
  <c r="AM175" i="13"/>
  <c r="AN174" i="13"/>
  <c r="AM174" i="13"/>
  <c r="AN173" i="13"/>
  <c r="AM173" i="13"/>
  <c r="AN172" i="13"/>
  <c r="AM172" i="13"/>
  <c r="AN171" i="13"/>
  <c r="AM171" i="13"/>
  <c r="AN170" i="13"/>
  <c r="AM170" i="13"/>
  <c r="AN169" i="13"/>
  <c r="AM169" i="13"/>
  <c r="AN168" i="13"/>
  <c r="AM168" i="13"/>
  <c r="AN167" i="13"/>
  <c r="AM167" i="13"/>
  <c r="AN166" i="13"/>
  <c r="AM166" i="13"/>
  <c r="AN165" i="13"/>
  <c r="AM165" i="13"/>
  <c r="AN164" i="13"/>
  <c r="AM164" i="13"/>
  <c r="AN163" i="13"/>
  <c r="AM163" i="13"/>
  <c r="AN162" i="13"/>
  <c r="AM162" i="13"/>
  <c r="AN161" i="13"/>
  <c r="AM161" i="13"/>
  <c r="AN154" i="13"/>
  <c r="AM154" i="13"/>
  <c r="AN153" i="13"/>
  <c r="AM153" i="13"/>
  <c r="AN152" i="13"/>
  <c r="AM152" i="13"/>
  <c r="AN151" i="13"/>
  <c r="AM151" i="13"/>
  <c r="AN150" i="13"/>
  <c r="AM150" i="13"/>
  <c r="AN149" i="13"/>
  <c r="AM149" i="13"/>
  <c r="AN148" i="13"/>
  <c r="AM148" i="13"/>
  <c r="AN147" i="13"/>
  <c r="AM147" i="13"/>
  <c r="AN146" i="13"/>
  <c r="AM146" i="13"/>
  <c r="AN145" i="13"/>
  <c r="AM145" i="13"/>
  <c r="AN144" i="13"/>
  <c r="AM144" i="13"/>
  <c r="AN143" i="13"/>
  <c r="AM143" i="13"/>
  <c r="AN142" i="13"/>
  <c r="AM142" i="13"/>
  <c r="AN141" i="13"/>
  <c r="AM141" i="13"/>
  <c r="AN140" i="13"/>
  <c r="AM140" i="13"/>
  <c r="AN139" i="13"/>
  <c r="AM139" i="13"/>
  <c r="AN138" i="13"/>
  <c r="AM138" i="13"/>
  <c r="AN137" i="13"/>
  <c r="AM137" i="13"/>
  <c r="AN136" i="13"/>
  <c r="AM136" i="13"/>
  <c r="AN135" i="13"/>
  <c r="AM135" i="13"/>
  <c r="AN134" i="13"/>
  <c r="AM134" i="13"/>
  <c r="AN133" i="13"/>
  <c r="AM133" i="13"/>
  <c r="AN132" i="13"/>
  <c r="AM132" i="13"/>
  <c r="AN131" i="13"/>
  <c r="AM131" i="13"/>
  <c r="AN124" i="13"/>
  <c r="AM124" i="13"/>
  <c r="AN123" i="13"/>
  <c r="AM123" i="13"/>
  <c r="AN122" i="13"/>
  <c r="AM122" i="13"/>
  <c r="AN121" i="13"/>
  <c r="AM121" i="13"/>
  <c r="AN120" i="13"/>
  <c r="AM120" i="13"/>
  <c r="AN119" i="13"/>
  <c r="AM119" i="13"/>
  <c r="AN118" i="13"/>
  <c r="AM118" i="13"/>
  <c r="AN117" i="13"/>
  <c r="AM117" i="13"/>
  <c r="AN116" i="13"/>
  <c r="AM116" i="13"/>
  <c r="AN115" i="13"/>
  <c r="AM115" i="13"/>
  <c r="AN114" i="13"/>
  <c r="AM114" i="13"/>
  <c r="AN113" i="13"/>
  <c r="AM113" i="13"/>
  <c r="AN112" i="13"/>
  <c r="AM112" i="13"/>
  <c r="AN111" i="13"/>
  <c r="AM111" i="13"/>
  <c r="AN110" i="13"/>
  <c r="AM110" i="13"/>
  <c r="AN109" i="13"/>
  <c r="AM109" i="13"/>
  <c r="AN108" i="13"/>
  <c r="AM108" i="13"/>
  <c r="AN107" i="13"/>
  <c r="AM107" i="13"/>
  <c r="AN106" i="13"/>
  <c r="AM106" i="13"/>
  <c r="AN105" i="13"/>
  <c r="AM105" i="13"/>
  <c r="AN104" i="13"/>
  <c r="AM104" i="13"/>
  <c r="AN103" i="13"/>
  <c r="AM103" i="13"/>
  <c r="AN102" i="13"/>
  <c r="AM102" i="13"/>
  <c r="AN101" i="13"/>
  <c r="AM101" i="13"/>
  <c r="AN94" i="13"/>
  <c r="AM94" i="13"/>
  <c r="AN93" i="13"/>
  <c r="AM93" i="13"/>
  <c r="AN92" i="13"/>
  <c r="AM92" i="13"/>
  <c r="AN91" i="13"/>
  <c r="AM91" i="13"/>
  <c r="AN90" i="13"/>
  <c r="AM90" i="13"/>
  <c r="AN89" i="13"/>
  <c r="AM89" i="13"/>
  <c r="AN88" i="13"/>
  <c r="AM88" i="13"/>
  <c r="AN87" i="13"/>
  <c r="AM87" i="13"/>
  <c r="AN86" i="13"/>
  <c r="AM86" i="13"/>
  <c r="AN85" i="13"/>
  <c r="AM85" i="13"/>
  <c r="AN84" i="13"/>
  <c r="AM84" i="13"/>
  <c r="AN83" i="13"/>
  <c r="AM83" i="13"/>
  <c r="AN82" i="13"/>
  <c r="AM82" i="13"/>
  <c r="AN81" i="13"/>
  <c r="AM81" i="13"/>
  <c r="AN80" i="13"/>
  <c r="AM80" i="13"/>
  <c r="AN79" i="13"/>
  <c r="AM79" i="13"/>
  <c r="AN78" i="13"/>
  <c r="AM78" i="13"/>
  <c r="AN77" i="13"/>
  <c r="AM77" i="13"/>
  <c r="AN76" i="13"/>
  <c r="AM76" i="13"/>
  <c r="AN75" i="13"/>
  <c r="AM75" i="13"/>
  <c r="AN74" i="13"/>
  <c r="AM74" i="13"/>
  <c r="AN73" i="13"/>
  <c r="AM73" i="13"/>
  <c r="AN72" i="13"/>
  <c r="AM72" i="13"/>
  <c r="AN71" i="13"/>
  <c r="AM71" i="13"/>
  <c r="AN64" i="13"/>
  <c r="AM64" i="13"/>
  <c r="AN63" i="13"/>
  <c r="AM63" i="13"/>
  <c r="AN62" i="13"/>
  <c r="AM62" i="13"/>
  <c r="AN61" i="13"/>
  <c r="AM61" i="13"/>
  <c r="AN60" i="13"/>
  <c r="AM60" i="13"/>
  <c r="AN59" i="13"/>
  <c r="AM59" i="13"/>
  <c r="AN58" i="13"/>
  <c r="AM58" i="13"/>
  <c r="AN57" i="13"/>
  <c r="AM57" i="13"/>
  <c r="AN56" i="13"/>
  <c r="AM56" i="13"/>
  <c r="AN55" i="13"/>
  <c r="AM55" i="13"/>
  <c r="AN54" i="13"/>
  <c r="AM54" i="13"/>
  <c r="AN53" i="13"/>
  <c r="AM53" i="13"/>
  <c r="AN52" i="13"/>
  <c r="AM52" i="13"/>
  <c r="AN51" i="13"/>
  <c r="AM51" i="13"/>
  <c r="AN50" i="13"/>
  <c r="AM50" i="13"/>
  <c r="AN49" i="13"/>
  <c r="AM49" i="13"/>
  <c r="AN48" i="13"/>
  <c r="AM48" i="13"/>
  <c r="AN47" i="13"/>
  <c r="AM47" i="13"/>
  <c r="AN46" i="13"/>
  <c r="AM46" i="13"/>
  <c r="AN45" i="13"/>
  <c r="AM45" i="13"/>
  <c r="AN44" i="13"/>
  <c r="AM44" i="13"/>
  <c r="AN43" i="13"/>
  <c r="AM43" i="13"/>
  <c r="AN42" i="13"/>
  <c r="AM42" i="13"/>
  <c r="AN41" i="13"/>
  <c r="AM41" i="13"/>
  <c r="AM12" i="13"/>
  <c r="AN12" i="13"/>
  <c r="AM13" i="13"/>
  <c r="AN13" i="13"/>
  <c r="AM14" i="13"/>
  <c r="AN14" i="13"/>
  <c r="AM15" i="13"/>
  <c r="AN15" i="13"/>
  <c r="AM16" i="13"/>
  <c r="AN16" i="13"/>
  <c r="AM17" i="13"/>
  <c r="AN17" i="13"/>
  <c r="AM18" i="13"/>
  <c r="AN18" i="13"/>
  <c r="AM19" i="13"/>
  <c r="AN19" i="13"/>
  <c r="AM20" i="13"/>
  <c r="AN20" i="13"/>
  <c r="AM21" i="13"/>
  <c r="AN21" i="13"/>
  <c r="AM22" i="13"/>
  <c r="AN22" i="13"/>
  <c r="AM23" i="13"/>
  <c r="AN23" i="13"/>
  <c r="AM24" i="13"/>
  <c r="AN24" i="13"/>
  <c r="AM25" i="13"/>
  <c r="AN25" i="13"/>
  <c r="AM26" i="13"/>
  <c r="AN26" i="13"/>
  <c r="AM27" i="13"/>
  <c r="AN27" i="13"/>
  <c r="AM28" i="13"/>
  <c r="AN28" i="13"/>
  <c r="AM29" i="13"/>
  <c r="AN29" i="13"/>
  <c r="AM30" i="13"/>
  <c r="AN30" i="13"/>
  <c r="AM31" i="13"/>
  <c r="AN31" i="13"/>
  <c r="AM32" i="13"/>
  <c r="AN32" i="13"/>
  <c r="AM33" i="13"/>
  <c r="AN33" i="13"/>
  <c r="AM34" i="13"/>
  <c r="AN34" i="13"/>
  <c r="AN11" i="13"/>
  <c r="AM11" i="13"/>
  <c r="X278" i="13"/>
  <c r="X277" i="13"/>
  <c r="X276" i="13"/>
  <c r="X275" i="13"/>
  <c r="X274" i="13"/>
  <c r="X273" i="13"/>
  <c r="X272" i="13"/>
  <c r="X271" i="13"/>
  <c r="X270" i="13"/>
  <c r="X269" i="13"/>
  <c r="X268" i="13"/>
  <c r="X267" i="13"/>
  <c r="X266" i="13"/>
  <c r="X265" i="13"/>
  <c r="X264" i="13"/>
  <c r="X263" i="13"/>
  <c r="X262" i="13"/>
  <c r="X261" i="13"/>
  <c r="X260" i="13"/>
  <c r="X259" i="13"/>
  <c r="X258" i="13"/>
  <c r="X257" i="13"/>
  <c r="X256" i="13"/>
  <c r="X255" i="13"/>
  <c r="X254" i="13"/>
  <c r="X253" i="13"/>
  <c r="X252" i="13"/>
  <c r="X251" i="13"/>
  <c r="X250" i="13"/>
  <c r="X249" i="13"/>
  <c r="X248" i="13"/>
  <c r="X247" i="13"/>
  <c r="X246" i="13"/>
  <c r="X245" i="13"/>
  <c r="X244" i="13"/>
  <c r="X243" i="13"/>
  <c r="X242" i="13"/>
  <c r="X241" i="13"/>
  <c r="X240" i="13"/>
  <c r="X239" i="13"/>
  <c r="X238" i="13"/>
  <c r="X237" i="13"/>
  <c r="X236" i="13"/>
  <c r="X235" i="13"/>
  <c r="X234" i="13"/>
  <c r="X233" i="13"/>
  <c r="X232" i="13"/>
  <c r="X231" i="13"/>
  <c r="X214" i="13"/>
  <c r="X213" i="13"/>
  <c r="X212" i="13"/>
  <c r="X211" i="13"/>
  <c r="X210" i="13"/>
  <c r="X209" i="13"/>
  <c r="X208" i="13"/>
  <c r="X207" i="13"/>
  <c r="X206" i="13"/>
  <c r="X205" i="13"/>
  <c r="X204" i="13"/>
  <c r="X203" i="13"/>
  <c r="X202" i="13"/>
  <c r="X201" i="13"/>
  <c r="X200" i="13"/>
  <c r="X199" i="13"/>
  <c r="X198" i="13"/>
  <c r="X197" i="13"/>
  <c r="X196" i="13"/>
  <c r="X195" i="13"/>
  <c r="X194" i="13"/>
  <c r="X193" i="13"/>
  <c r="X192" i="13"/>
  <c r="X191" i="13"/>
  <c r="X184" i="13"/>
  <c r="X183" i="13"/>
  <c r="X182" i="13"/>
  <c r="X181" i="13"/>
  <c r="X180" i="13"/>
  <c r="X179" i="13"/>
  <c r="X178" i="13"/>
  <c r="X177" i="13"/>
  <c r="X176" i="13"/>
  <c r="X175" i="13"/>
  <c r="X174" i="13"/>
  <c r="X173" i="13"/>
  <c r="X172" i="13"/>
  <c r="X171" i="13"/>
  <c r="X170" i="13"/>
  <c r="X169" i="13"/>
  <c r="X168" i="13"/>
  <c r="X167" i="13"/>
  <c r="X166" i="13"/>
  <c r="X165" i="13"/>
  <c r="X164" i="13"/>
  <c r="X163" i="13"/>
  <c r="X162" i="13"/>
  <c r="X161" i="13"/>
  <c r="X154" i="13"/>
  <c r="X153" i="13"/>
  <c r="X152" i="13"/>
  <c r="X151" i="13"/>
  <c r="X150" i="13"/>
  <c r="X149" i="13"/>
  <c r="X148" i="13"/>
  <c r="X147" i="13"/>
  <c r="X146" i="13"/>
  <c r="X145" i="13"/>
  <c r="X144" i="13"/>
  <c r="X143" i="13"/>
  <c r="X142" i="13"/>
  <c r="X141" i="13"/>
  <c r="X140" i="13"/>
  <c r="X139" i="13"/>
  <c r="X138" i="13"/>
  <c r="X137" i="13"/>
  <c r="X136" i="13"/>
  <c r="X135" i="13"/>
  <c r="X134" i="13"/>
  <c r="X133" i="13"/>
  <c r="X132" i="13"/>
  <c r="X131" i="13"/>
  <c r="X124" i="13"/>
  <c r="X123" i="13"/>
  <c r="X122" i="13"/>
  <c r="X121" i="13"/>
  <c r="X120" i="13"/>
  <c r="X119" i="13"/>
  <c r="X118" i="13"/>
  <c r="X117" i="13"/>
  <c r="X116" i="13"/>
  <c r="X115" i="13"/>
  <c r="X114" i="13"/>
  <c r="X113" i="13"/>
  <c r="X112" i="13"/>
  <c r="X111" i="13"/>
  <c r="X110" i="13"/>
  <c r="X109" i="13"/>
  <c r="X108" i="13"/>
  <c r="X107" i="13"/>
  <c r="X106" i="13"/>
  <c r="X105" i="13"/>
  <c r="X104" i="13"/>
  <c r="X103" i="13"/>
  <c r="X102" i="13"/>
  <c r="X101" i="13"/>
  <c r="X94" i="13"/>
  <c r="X93" i="13"/>
  <c r="X92" i="13"/>
  <c r="X91" i="13"/>
  <c r="X90" i="13"/>
  <c r="X89" i="13"/>
  <c r="X88" i="13"/>
  <c r="X87" i="13"/>
  <c r="X86" i="13"/>
  <c r="X85" i="13"/>
  <c r="X84" i="13"/>
  <c r="X83" i="13"/>
  <c r="X82" i="13"/>
  <c r="X81" i="13"/>
  <c r="X80" i="13"/>
  <c r="X79" i="13"/>
  <c r="X78" i="13"/>
  <c r="X77" i="13"/>
  <c r="X76" i="13"/>
  <c r="X75" i="13"/>
  <c r="X74" i="13"/>
  <c r="X73" i="13"/>
  <c r="X72" i="13"/>
  <c r="X71" i="13"/>
  <c r="X64" i="13"/>
  <c r="X63" i="13"/>
  <c r="X62" i="13"/>
  <c r="X61" i="13"/>
  <c r="X60" i="13"/>
  <c r="X59" i="13"/>
  <c r="X58" i="13"/>
  <c r="X57" i="13"/>
  <c r="X56" i="13"/>
  <c r="X55" i="13"/>
  <c r="X54" i="13"/>
  <c r="X53" i="13"/>
  <c r="X52" i="13"/>
  <c r="X51" i="13"/>
  <c r="X50" i="13"/>
  <c r="X49" i="13"/>
  <c r="X48" i="13"/>
  <c r="X47" i="13"/>
  <c r="X46" i="13"/>
  <c r="X45" i="13"/>
  <c r="X44" i="13"/>
  <c r="X43" i="13"/>
  <c r="X42" i="13"/>
  <c r="X4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11" i="13"/>
  <c r="V231" i="13"/>
  <c r="V238" i="13" s="1"/>
  <c r="U238" i="13" s="1"/>
  <c r="V191" i="13"/>
  <c r="V208" i="13" s="1"/>
  <c r="U208" i="13" s="1"/>
  <c r="V161" i="13"/>
  <c r="V184" i="13" s="1"/>
  <c r="U184" i="13" s="1"/>
  <c r="V131" i="13"/>
  <c r="V147" i="13" s="1"/>
  <c r="U147" i="13" s="1"/>
  <c r="V101" i="13"/>
  <c r="V119" i="13" s="1"/>
  <c r="U119" i="13" s="1"/>
  <c r="V71" i="13"/>
  <c r="V81" i="13" s="1"/>
  <c r="U81" i="13" s="1"/>
  <c r="V41" i="13"/>
  <c r="V48" i="13" s="1"/>
  <c r="U48" i="13" s="1"/>
  <c r="V11" i="13"/>
  <c r="V18" i="13" s="1"/>
  <c r="U18" i="13" s="1"/>
  <c r="W231" i="13"/>
  <c r="W247" i="13" s="1"/>
  <c r="W191" i="13"/>
  <c r="W201" i="13" s="1"/>
  <c r="W161" i="13"/>
  <c r="W178" i="13" s="1"/>
  <c r="W131" i="13"/>
  <c r="W136" i="13" s="1"/>
  <c r="W101" i="13"/>
  <c r="W120" i="13" s="1"/>
  <c r="W71" i="13"/>
  <c r="W77" i="13" s="1"/>
  <c r="W4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11" i="13"/>
  <c r="AF278" i="13"/>
  <c r="AG278" i="13" s="1"/>
  <c r="AA278" i="13"/>
  <c r="Y278" i="13"/>
  <c r="BC278" i="13" s="1"/>
  <c r="T278" i="13"/>
  <c r="BG278" i="13" s="1"/>
  <c r="R278" i="13"/>
  <c r="AD278" i="13" s="1"/>
  <c r="P278" i="13"/>
  <c r="AF277" i="13"/>
  <c r="AG277" i="13" s="1"/>
  <c r="AA277" i="13"/>
  <c r="Y277" i="13"/>
  <c r="BC277" i="13" s="1"/>
  <c r="BH277" i="13" s="1"/>
  <c r="T277" i="13"/>
  <c r="BG277" i="13" s="1"/>
  <c r="R277" i="13"/>
  <c r="AD277" i="13" s="1"/>
  <c r="P277" i="13"/>
  <c r="AF276" i="13"/>
  <c r="AG276" i="13" s="1"/>
  <c r="AA276" i="13"/>
  <c r="Y276" i="13"/>
  <c r="BC276" i="13" s="1"/>
  <c r="T276" i="13"/>
  <c r="BG276" i="13" s="1"/>
  <c r="R276" i="13"/>
  <c r="AD276" i="13" s="1"/>
  <c r="P276" i="13"/>
  <c r="AF275" i="13"/>
  <c r="AG275" i="13" s="1"/>
  <c r="AA275" i="13"/>
  <c r="Y275" i="13"/>
  <c r="BC275" i="13" s="1"/>
  <c r="BH275" i="13" s="1"/>
  <c r="T275" i="13"/>
  <c r="BG275" i="13" s="1"/>
  <c r="R275" i="13"/>
  <c r="AD275" i="13" s="1"/>
  <c r="P275" i="13"/>
  <c r="AF274" i="13"/>
  <c r="AG274" i="13" s="1"/>
  <c r="AA274" i="13"/>
  <c r="Y274" i="13"/>
  <c r="BC274" i="13" s="1"/>
  <c r="T274" i="13"/>
  <c r="BG274" i="13" s="1"/>
  <c r="R274" i="13"/>
  <c r="AD274" i="13" s="1"/>
  <c r="P274" i="13"/>
  <c r="AF273" i="13"/>
  <c r="AG273" i="13" s="1"/>
  <c r="AA273" i="13"/>
  <c r="Y273" i="13"/>
  <c r="BC273" i="13" s="1"/>
  <c r="BH273" i="13" s="1"/>
  <c r="T273" i="13"/>
  <c r="BG273" i="13" s="1"/>
  <c r="R273" i="13"/>
  <c r="AD273" i="13" s="1"/>
  <c r="P273" i="13"/>
  <c r="AF272" i="13"/>
  <c r="AG272" i="13" s="1"/>
  <c r="AA272" i="13"/>
  <c r="Y272" i="13"/>
  <c r="BC272" i="13" s="1"/>
  <c r="T272" i="13"/>
  <c r="BG272" i="13" s="1"/>
  <c r="R272" i="13"/>
  <c r="AD272" i="13" s="1"/>
  <c r="P272" i="13"/>
  <c r="AF271" i="13"/>
  <c r="AG271" i="13" s="1"/>
  <c r="AA271" i="13"/>
  <c r="Y271" i="13"/>
  <c r="BC271" i="13" s="1"/>
  <c r="BH271" i="13" s="1"/>
  <c r="T271" i="13"/>
  <c r="BG271" i="13" s="1"/>
  <c r="R271" i="13"/>
  <c r="AD271" i="13" s="1"/>
  <c r="AF270" i="13"/>
  <c r="AG270" i="13" s="1"/>
  <c r="AA270" i="13"/>
  <c r="Y270" i="13"/>
  <c r="BC270" i="13" s="1"/>
  <c r="T270" i="13"/>
  <c r="BG270" i="13" s="1"/>
  <c r="R270" i="13"/>
  <c r="AD270" i="13" s="1"/>
  <c r="AF269" i="13"/>
  <c r="AG269" i="13" s="1"/>
  <c r="AA269" i="13"/>
  <c r="Y269" i="13"/>
  <c r="BC269" i="13" s="1"/>
  <c r="BH269" i="13" s="1"/>
  <c r="T269" i="13"/>
  <c r="BG269" i="13" s="1"/>
  <c r="R269" i="13"/>
  <c r="AD269" i="13" s="1"/>
  <c r="AF268" i="13"/>
  <c r="AG268" i="13" s="1"/>
  <c r="AA268" i="13"/>
  <c r="Y268" i="13"/>
  <c r="BC268" i="13" s="1"/>
  <c r="T268" i="13"/>
  <c r="BG268" i="13" s="1"/>
  <c r="BH268" i="13" s="1"/>
  <c r="R268" i="13"/>
  <c r="AD268" i="13" s="1"/>
  <c r="P268" i="13"/>
  <c r="AF267" i="13"/>
  <c r="AG267" i="13" s="1"/>
  <c r="AA267" i="13"/>
  <c r="Y267" i="13"/>
  <c r="BC267" i="13" s="1"/>
  <c r="BH267" i="13" s="1"/>
  <c r="T267" i="13"/>
  <c r="BG267" i="13" s="1"/>
  <c r="R267" i="13"/>
  <c r="AD267" i="13" s="1"/>
  <c r="P267" i="13"/>
  <c r="AF266" i="13"/>
  <c r="AG266" i="13" s="1"/>
  <c r="AA266" i="13"/>
  <c r="Y266" i="13"/>
  <c r="BC266" i="13" s="1"/>
  <c r="T266" i="13"/>
  <c r="BG266" i="13" s="1"/>
  <c r="R266" i="13"/>
  <c r="AD266" i="13" s="1"/>
  <c r="P266" i="13"/>
  <c r="AF265" i="13"/>
  <c r="AG265" i="13" s="1"/>
  <c r="AA265" i="13"/>
  <c r="Y265" i="13"/>
  <c r="BC265" i="13" s="1"/>
  <c r="BH265" i="13" s="1"/>
  <c r="T265" i="13"/>
  <c r="BG265" i="13" s="1"/>
  <c r="R265" i="13"/>
  <c r="AD265" i="13" s="1"/>
  <c r="P265" i="13"/>
  <c r="AF264" i="13"/>
  <c r="AG264" i="13" s="1"/>
  <c r="AA264" i="13"/>
  <c r="Y264" i="13"/>
  <c r="BC264" i="13" s="1"/>
  <c r="T264" i="13"/>
  <c r="BG264" i="13" s="1"/>
  <c r="R264" i="13"/>
  <c r="AD264" i="13" s="1"/>
  <c r="P264" i="13"/>
  <c r="AF263" i="13"/>
  <c r="AG263" i="13" s="1"/>
  <c r="AA263" i="13"/>
  <c r="Y263" i="13"/>
  <c r="BC263" i="13" s="1"/>
  <c r="T263" i="13"/>
  <c r="BG263" i="13" s="1"/>
  <c r="R263" i="13"/>
  <c r="AD263" i="13" s="1"/>
  <c r="P263" i="13"/>
  <c r="AF262" i="13"/>
  <c r="AG262" i="13" s="1"/>
  <c r="AA262" i="13"/>
  <c r="Y262" i="13"/>
  <c r="BC262" i="13" s="1"/>
  <c r="T262" i="13"/>
  <c r="BG262" i="13" s="1"/>
  <c r="R262" i="13"/>
  <c r="AD262" i="13" s="1"/>
  <c r="P262" i="13"/>
  <c r="AF261" i="13"/>
  <c r="AG261" i="13" s="1"/>
  <c r="AA261" i="13"/>
  <c r="Y261" i="13"/>
  <c r="BC261" i="13" s="1"/>
  <c r="BH261" i="13" s="1"/>
  <c r="T261" i="13"/>
  <c r="BG261" i="13" s="1"/>
  <c r="R261" i="13"/>
  <c r="AD261" i="13" s="1"/>
  <c r="P261" i="13"/>
  <c r="AF260" i="13"/>
  <c r="AG260" i="13" s="1"/>
  <c r="AA260" i="13"/>
  <c r="Y260" i="13"/>
  <c r="BC260" i="13" s="1"/>
  <c r="T260" i="13"/>
  <c r="BG260" i="13" s="1"/>
  <c r="R260" i="13"/>
  <c r="AD260" i="13" s="1"/>
  <c r="P260" i="13"/>
  <c r="AF259" i="13"/>
  <c r="AG259" i="13" s="1"/>
  <c r="AA259" i="13"/>
  <c r="Y259" i="13"/>
  <c r="BC259" i="13" s="1"/>
  <c r="BH259" i="13" s="1"/>
  <c r="T259" i="13"/>
  <c r="BG259" i="13" s="1"/>
  <c r="R259" i="13"/>
  <c r="AD259" i="13" s="1"/>
  <c r="P259" i="13"/>
  <c r="AF258" i="13"/>
  <c r="AG258" i="13" s="1"/>
  <c r="AA258" i="13"/>
  <c r="Y258" i="13"/>
  <c r="BC258" i="13" s="1"/>
  <c r="BH258" i="13" s="1"/>
  <c r="R258" i="13"/>
  <c r="AD258" i="13" s="1"/>
  <c r="AH258" i="13" s="1"/>
  <c r="P258" i="13"/>
  <c r="AF257" i="13"/>
  <c r="AG257" i="13" s="1"/>
  <c r="AA257" i="13"/>
  <c r="Y257" i="13"/>
  <c r="BC257" i="13" s="1"/>
  <c r="BH257" i="13" s="1"/>
  <c r="R257" i="13"/>
  <c r="AD257" i="13" s="1"/>
  <c r="AH257" i="13" s="1"/>
  <c r="P257" i="13"/>
  <c r="AF256" i="13"/>
  <c r="AG256" i="13" s="1"/>
  <c r="AA256" i="13"/>
  <c r="Y256" i="13"/>
  <c r="BC256" i="13" s="1"/>
  <c r="BH256" i="13" s="1"/>
  <c r="R256" i="13"/>
  <c r="AD256" i="13" s="1"/>
  <c r="AH256" i="13" s="1"/>
  <c r="P256" i="13"/>
  <c r="AF255" i="13"/>
  <c r="AG255" i="13" s="1"/>
  <c r="AA255" i="13"/>
  <c r="Y255" i="13"/>
  <c r="BC255" i="13" s="1"/>
  <c r="BH255" i="13" s="1"/>
  <c r="R255" i="13"/>
  <c r="AD255" i="13" s="1"/>
  <c r="AH255" i="13" s="1"/>
  <c r="P255" i="13"/>
  <c r="AF254" i="13"/>
  <c r="AG254" i="13" s="1"/>
  <c r="AA254" i="13"/>
  <c r="Y254" i="13"/>
  <c r="BC254" i="13" s="1"/>
  <c r="T254" i="13"/>
  <c r="BG254" i="13" s="1"/>
  <c r="R254" i="13"/>
  <c r="AD254" i="13" s="1"/>
  <c r="AF253" i="13"/>
  <c r="AG253" i="13" s="1"/>
  <c r="AA253" i="13"/>
  <c r="Y253" i="13"/>
  <c r="BC253" i="13" s="1"/>
  <c r="T253" i="13"/>
  <c r="BG253" i="13" s="1"/>
  <c r="R253" i="13"/>
  <c r="AD253" i="13" s="1"/>
  <c r="P253" i="13"/>
  <c r="AF252" i="13"/>
  <c r="AG252" i="13" s="1"/>
  <c r="AA252" i="13"/>
  <c r="Y252" i="13"/>
  <c r="BC252" i="13" s="1"/>
  <c r="T252" i="13"/>
  <c r="BG252" i="13" s="1"/>
  <c r="R252" i="13"/>
  <c r="AD252" i="13" s="1"/>
  <c r="P252" i="13"/>
  <c r="AF251" i="13"/>
  <c r="AG251" i="13" s="1"/>
  <c r="AA251" i="13"/>
  <c r="Y251" i="13"/>
  <c r="BC251" i="13" s="1"/>
  <c r="T251" i="13"/>
  <c r="BG251" i="13" s="1"/>
  <c r="R251" i="13"/>
  <c r="AD251" i="13" s="1"/>
  <c r="P251" i="13"/>
  <c r="AG250" i="13"/>
  <c r="AA250" i="13"/>
  <c r="Y250" i="13"/>
  <c r="BC250" i="13" s="1"/>
  <c r="T250" i="13"/>
  <c r="BG250" i="13" s="1"/>
  <c r="R250" i="13"/>
  <c r="AD250" i="13" s="1"/>
  <c r="P250" i="13"/>
  <c r="AG249" i="13"/>
  <c r="AA249" i="13"/>
  <c r="Y249" i="13"/>
  <c r="BC249" i="13" s="1"/>
  <c r="BH249" i="13" s="1"/>
  <c r="T249" i="13"/>
  <c r="BG249" i="13" s="1"/>
  <c r="R249" i="13"/>
  <c r="AD249" i="13" s="1"/>
  <c r="P249" i="13"/>
  <c r="AG248" i="13"/>
  <c r="AA248" i="13"/>
  <c r="Y248" i="13"/>
  <c r="BC248" i="13" s="1"/>
  <c r="T248" i="13"/>
  <c r="BG248" i="13" s="1"/>
  <c r="R248" i="13"/>
  <c r="AD248" i="13" s="1"/>
  <c r="P248" i="13"/>
  <c r="AG247" i="13"/>
  <c r="AA247" i="13"/>
  <c r="Y247" i="13"/>
  <c r="BC247" i="13" s="1"/>
  <c r="T247" i="13"/>
  <c r="BG247" i="13" s="1"/>
  <c r="R247" i="13"/>
  <c r="AD247" i="13" s="1"/>
  <c r="P247" i="13"/>
  <c r="AG246" i="13"/>
  <c r="AA246" i="13"/>
  <c r="Y246" i="13"/>
  <c r="BC246" i="13" s="1"/>
  <c r="T246" i="13"/>
  <c r="BG246" i="13" s="1"/>
  <c r="R246" i="13"/>
  <c r="AD246" i="13" s="1"/>
  <c r="P246" i="13"/>
  <c r="AG245" i="13"/>
  <c r="AA245" i="13"/>
  <c r="Y245" i="13"/>
  <c r="BC245" i="13" s="1"/>
  <c r="BH245" i="13" s="1"/>
  <c r="T245" i="13"/>
  <c r="BG245" i="13" s="1"/>
  <c r="R245" i="13"/>
  <c r="AD245" i="13" s="1"/>
  <c r="P245" i="13"/>
  <c r="AG244" i="13"/>
  <c r="AA244" i="13"/>
  <c r="Y244" i="13"/>
  <c r="BC244" i="13" s="1"/>
  <c r="T244" i="13"/>
  <c r="BG244" i="13" s="1"/>
  <c r="BH244" i="13" s="1"/>
  <c r="R244" i="13"/>
  <c r="AD244" i="13" s="1"/>
  <c r="AG243" i="13"/>
  <c r="AA243" i="13"/>
  <c r="Y243" i="13"/>
  <c r="BC243" i="13" s="1"/>
  <c r="T243" i="13"/>
  <c r="BG243" i="13" s="1"/>
  <c r="R243" i="13"/>
  <c r="AD243" i="13" s="1"/>
  <c r="AF242" i="13"/>
  <c r="AG242" i="13" s="1"/>
  <c r="AD242" i="13"/>
  <c r="AA242" i="13"/>
  <c r="Y242" i="13"/>
  <c r="BC242" i="13" s="1"/>
  <c r="BH242" i="13" s="1"/>
  <c r="T242" i="13"/>
  <c r="BG242" i="13" s="1"/>
  <c r="P242" i="13"/>
  <c r="AF241" i="13"/>
  <c r="AG241" i="13" s="1"/>
  <c r="AD241" i="13"/>
  <c r="AA241" i="13"/>
  <c r="Y241" i="13"/>
  <c r="BC241" i="13" s="1"/>
  <c r="T241" i="13"/>
  <c r="BG241" i="13" s="1"/>
  <c r="P241" i="13"/>
  <c r="AF240" i="13"/>
  <c r="AG240" i="13" s="1"/>
  <c r="AD240" i="13"/>
  <c r="AA240" i="13"/>
  <c r="Y240" i="13"/>
  <c r="BC240" i="13" s="1"/>
  <c r="BH240" i="13" s="1"/>
  <c r="T240" i="13"/>
  <c r="BG240" i="13" s="1"/>
  <c r="P240" i="13"/>
  <c r="AF239" i="13"/>
  <c r="AG239" i="13" s="1"/>
  <c r="AD239" i="13"/>
  <c r="AA239" i="13"/>
  <c r="Y239" i="13"/>
  <c r="BC239" i="13" s="1"/>
  <c r="T239" i="13"/>
  <c r="BG239" i="13" s="1"/>
  <c r="P239" i="13"/>
  <c r="AF238" i="13"/>
  <c r="AG238" i="13" s="1"/>
  <c r="AD238" i="13"/>
  <c r="AA238" i="13"/>
  <c r="Y238" i="13"/>
  <c r="BC238" i="13" s="1"/>
  <c r="BH238" i="13" s="1"/>
  <c r="T238" i="13"/>
  <c r="BG238" i="13" s="1"/>
  <c r="P238" i="13"/>
  <c r="AF237" i="13"/>
  <c r="AG237" i="13" s="1"/>
  <c r="AD237" i="13"/>
  <c r="AA237" i="13"/>
  <c r="Y237" i="13"/>
  <c r="BC237" i="13" s="1"/>
  <c r="T237" i="13"/>
  <c r="BG237" i="13" s="1"/>
  <c r="P237" i="13"/>
  <c r="AF236" i="13"/>
  <c r="AG236" i="13" s="1"/>
  <c r="AD236" i="13"/>
  <c r="AA236" i="13"/>
  <c r="Y236" i="13"/>
  <c r="BC236" i="13" s="1"/>
  <c r="BH236" i="13" s="1"/>
  <c r="T236" i="13"/>
  <c r="BG236" i="13" s="1"/>
  <c r="P236" i="13"/>
  <c r="AF235" i="13"/>
  <c r="AG235" i="13" s="1"/>
  <c r="AD235" i="13"/>
  <c r="AA235" i="13"/>
  <c r="Y235" i="13"/>
  <c r="BC235" i="13" s="1"/>
  <c r="T235" i="13"/>
  <c r="BG235" i="13" s="1"/>
  <c r="P235" i="13"/>
  <c r="AF234" i="13"/>
  <c r="AG234" i="13" s="1"/>
  <c r="AD234" i="13"/>
  <c r="AA234" i="13"/>
  <c r="Y234" i="13"/>
  <c r="BC234" i="13" s="1"/>
  <c r="BH234" i="13" s="1"/>
  <c r="T234" i="13"/>
  <c r="BG234" i="13" s="1"/>
  <c r="P234" i="13"/>
  <c r="AF233" i="13"/>
  <c r="AG233" i="13" s="1"/>
  <c r="AD233" i="13"/>
  <c r="AA233" i="13"/>
  <c r="Y233" i="13"/>
  <c r="BC233" i="13" s="1"/>
  <c r="T233" i="13"/>
  <c r="BG233" i="13" s="1"/>
  <c r="P233" i="13"/>
  <c r="AF232" i="13"/>
  <c r="AG232" i="13" s="1"/>
  <c r="AD232" i="13"/>
  <c r="AA232" i="13"/>
  <c r="Y232" i="13"/>
  <c r="BC232" i="13" s="1"/>
  <c r="T232" i="13"/>
  <c r="BG232" i="13" s="1"/>
  <c r="P232" i="13"/>
  <c r="AF231" i="13"/>
  <c r="AG231" i="13" s="1"/>
  <c r="AA231" i="13"/>
  <c r="Y231" i="13"/>
  <c r="BC231" i="13" s="1"/>
  <c r="BH231" i="13" s="1"/>
  <c r="T231" i="13"/>
  <c r="BG231" i="13" s="1"/>
  <c r="P231" i="13"/>
  <c r="AA214" i="13"/>
  <c r="Y214" i="13"/>
  <c r="BC214" i="13" s="1"/>
  <c r="AA213" i="13"/>
  <c r="Y213" i="13"/>
  <c r="BC213" i="13" s="1"/>
  <c r="AA212" i="13"/>
  <c r="Y212" i="13"/>
  <c r="BC212" i="13" s="1"/>
  <c r="AA211" i="13"/>
  <c r="Y211" i="13"/>
  <c r="BC211" i="13" s="1"/>
  <c r="AA210" i="13"/>
  <c r="Y210" i="13"/>
  <c r="BC210" i="13" s="1"/>
  <c r="AA209" i="13"/>
  <c r="Y209" i="13"/>
  <c r="BC209" i="13" s="1"/>
  <c r="AA208" i="13"/>
  <c r="Y208" i="13"/>
  <c r="BC208" i="13" s="1"/>
  <c r="AA207" i="13"/>
  <c r="Y207" i="13"/>
  <c r="BC207" i="13" s="1"/>
  <c r="AA206" i="13"/>
  <c r="Y206" i="13"/>
  <c r="BC206" i="13" s="1"/>
  <c r="AA205" i="13"/>
  <c r="Y205" i="13"/>
  <c r="BC205" i="13" s="1"/>
  <c r="AA204" i="13"/>
  <c r="Y204" i="13"/>
  <c r="BC204" i="13" s="1"/>
  <c r="AA203" i="13"/>
  <c r="Y203" i="13"/>
  <c r="BC203" i="13" s="1"/>
  <c r="AA202" i="13"/>
  <c r="Y202" i="13"/>
  <c r="BC202" i="13" s="1"/>
  <c r="AA201" i="13"/>
  <c r="Y201" i="13"/>
  <c r="BC201" i="13" s="1"/>
  <c r="AA200" i="13"/>
  <c r="Y200" i="13"/>
  <c r="BC200" i="13" s="1"/>
  <c r="AA199" i="13"/>
  <c r="Y199" i="13"/>
  <c r="BC199" i="13" s="1"/>
  <c r="AA198" i="13"/>
  <c r="Y198" i="13"/>
  <c r="BC198" i="13" s="1"/>
  <c r="AA197" i="13"/>
  <c r="Y197" i="13"/>
  <c r="BC197" i="13" s="1"/>
  <c r="AA196" i="13"/>
  <c r="Y196" i="13"/>
  <c r="BC196" i="13" s="1"/>
  <c r="AA195" i="13"/>
  <c r="Y195" i="13"/>
  <c r="BC195" i="13" s="1"/>
  <c r="AA194" i="13"/>
  <c r="Y194" i="13"/>
  <c r="BC194" i="13" s="1"/>
  <c r="AA193" i="13"/>
  <c r="Y193" i="13"/>
  <c r="BC193" i="13" s="1"/>
  <c r="AA192" i="13"/>
  <c r="Y192" i="13"/>
  <c r="BC192" i="13" s="1"/>
  <c r="AF191" i="13" a="1"/>
  <c r="AG214" i="13" s="1"/>
  <c r="AA191" i="13"/>
  <c r="Y191" i="13"/>
  <c r="BC191" i="13" s="1"/>
  <c r="T191" i="13" a="1"/>
  <c r="R191" i="13" a="1"/>
  <c r="AD214" i="13" s="1"/>
  <c r="P191" i="13" a="1"/>
  <c r="AA184" i="13"/>
  <c r="Y184" i="13"/>
  <c r="BC184" i="13" s="1"/>
  <c r="AA183" i="13"/>
  <c r="Y183" i="13"/>
  <c r="BC183" i="13" s="1"/>
  <c r="AA182" i="13"/>
  <c r="Y182" i="13"/>
  <c r="BC182" i="13" s="1"/>
  <c r="AA181" i="13"/>
  <c r="Y181" i="13"/>
  <c r="BC181" i="13" s="1"/>
  <c r="AA180" i="13"/>
  <c r="Y180" i="13"/>
  <c r="BC180" i="13" s="1"/>
  <c r="AA179" i="13"/>
  <c r="Y179" i="13"/>
  <c r="BC179" i="13" s="1"/>
  <c r="AA178" i="13"/>
  <c r="Y178" i="13"/>
  <c r="BC178" i="13" s="1"/>
  <c r="AA177" i="13"/>
  <c r="Y177" i="13"/>
  <c r="BC177" i="13" s="1"/>
  <c r="AA176" i="13"/>
  <c r="Y176" i="13"/>
  <c r="BC176" i="13" s="1"/>
  <c r="AA175" i="13"/>
  <c r="Y175" i="13"/>
  <c r="BC175" i="13" s="1"/>
  <c r="AA174" i="13"/>
  <c r="Y174" i="13"/>
  <c r="BC174" i="13" s="1"/>
  <c r="AA173" i="13"/>
  <c r="Y173" i="13"/>
  <c r="BC173" i="13" s="1"/>
  <c r="AA172" i="13"/>
  <c r="Y172" i="13"/>
  <c r="BC172" i="13" s="1"/>
  <c r="AA171" i="13"/>
  <c r="Y171" i="13"/>
  <c r="BC171" i="13" s="1"/>
  <c r="AA170" i="13"/>
  <c r="Y170" i="13"/>
  <c r="BC170" i="13" s="1"/>
  <c r="AA169" i="13"/>
  <c r="Y169" i="13"/>
  <c r="BC169" i="13" s="1"/>
  <c r="AA168" i="13"/>
  <c r="Y168" i="13"/>
  <c r="BC168" i="13" s="1"/>
  <c r="AA167" i="13"/>
  <c r="Y167" i="13"/>
  <c r="BC167" i="13" s="1"/>
  <c r="AA166" i="13"/>
  <c r="Y166" i="13"/>
  <c r="BC166" i="13" s="1"/>
  <c r="AA165" i="13"/>
  <c r="Y165" i="13"/>
  <c r="BC165" i="13" s="1"/>
  <c r="AA164" i="13"/>
  <c r="Y164" i="13"/>
  <c r="BC164" i="13" s="1"/>
  <c r="AA163" i="13"/>
  <c r="Y163" i="13"/>
  <c r="BC163" i="13" s="1"/>
  <c r="AA162" i="13"/>
  <c r="Y162" i="13"/>
  <c r="BC162" i="13" s="1"/>
  <c r="AF161" i="13" a="1"/>
  <c r="AG165" i="13" s="1"/>
  <c r="AA161" i="13"/>
  <c r="Y161" i="13"/>
  <c r="BC161" i="13" s="1"/>
  <c r="T161" i="13" a="1"/>
  <c r="R161" i="13" a="1"/>
  <c r="AD167" i="13" s="1"/>
  <c r="P161" i="13" a="1"/>
  <c r="AA154" i="13"/>
  <c r="Y154" i="13"/>
  <c r="BC154" i="13" s="1"/>
  <c r="AA153" i="13"/>
  <c r="Y153" i="13"/>
  <c r="BC153" i="13" s="1"/>
  <c r="AA152" i="13"/>
  <c r="Y152" i="13"/>
  <c r="BC152" i="13" s="1"/>
  <c r="AA151" i="13"/>
  <c r="Y151" i="13"/>
  <c r="BC151" i="13" s="1"/>
  <c r="AA150" i="13"/>
  <c r="Y150" i="13"/>
  <c r="BC150" i="13" s="1"/>
  <c r="AA149" i="13"/>
  <c r="Y149" i="13"/>
  <c r="BC149" i="13" s="1"/>
  <c r="AA148" i="13"/>
  <c r="Y148" i="13"/>
  <c r="BC148" i="13" s="1"/>
  <c r="AA147" i="13"/>
  <c r="Y147" i="13"/>
  <c r="BC147" i="13" s="1"/>
  <c r="AA146" i="13"/>
  <c r="Y146" i="13"/>
  <c r="BC146" i="13" s="1"/>
  <c r="AA145" i="13"/>
  <c r="Y145" i="13"/>
  <c r="BC145" i="13" s="1"/>
  <c r="AA144" i="13"/>
  <c r="Y144" i="13"/>
  <c r="BC144" i="13" s="1"/>
  <c r="AA143" i="13"/>
  <c r="Y143" i="13"/>
  <c r="BC143" i="13" s="1"/>
  <c r="AA142" i="13"/>
  <c r="Y142" i="13"/>
  <c r="BC142" i="13" s="1"/>
  <c r="AA141" i="13"/>
  <c r="Y141" i="13"/>
  <c r="BC141" i="13" s="1"/>
  <c r="AA140" i="13"/>
  <c r="Y140" i="13"/>
  <c r="BC140" i="13" s="1"/>
  <c r="AA139" i="13"/>
  <c r="Y139" i="13"/>
  <c r="BC139" i="13" s="1"/>
  <c r="AA138" i="13"/>
  <c r="Y138" i="13"/>
  <c r="BC138" i="13" s="1"/>
  <c r="AA137" i="13"/>
  <c r="Y137" i="13"/>
  <c r="BC137" i="13" s="1"/>
  <c r="AA136" i="13"/>
  <c r="Y136" i="13"/>
  <c r="BC136" i="13" s="1"/>
  <c r="AA135" i="13"/>
  <c r="Y135" i="13"/>
  <c r="BC135" i="13" s="1"/>
  <c r="AA134" i="13"/>
  <c r="Y134" i="13"/>
  <c r="BC134" i="13" s="1"/>
  <c r="AA133" i="13"/>
  <c r="Y133" i="13"/>
  <c r="BC133" i="13" s="1"/>
  <c r="AA132" i="13"/>
  <c r="Y132" i="13"/>
  <c r="BC132" i="13" s="1"/>
  <c r="AF131" i="13" a="1"/>
  <c r="AA131" i="13"/>
  <c r="Y131" i="13"/>
  <c r="BC131" i="13" s="1"/>
  <c r="T131" i="13" a="1"/>
  <c r="R131" i="13" a="1"/>
  <c r="P131" i="13" a="1"/>
  <c r="AA124" i="13"/>
  <c r="Y124" i="13"/>
  <c r="BC124" i="13" s="1"/>
  <c r="AA123" i="13"/>
  <c r="Y123" i="13"/>
  <c r="BC123" i="13" s="1"/>
  <c r="AA122" i="13"/>
  <c r="Y122" i="13"/>
  <c r="BC122" i="13" s="1"/>
  <c r="AA121" i="13"/>
  <c r="Y121" i="13"/>
  <c r="BC121" i="13" s="1"/>
  <c r="AA120" i="13"/>
  <c r="Y120" i="13"/>
  <c r="BC120" i="13" s="1"/>
  <c r="AA119" i="13"/>
  <c r="Y119" i="13"/>
  <c r="BC119" i="13" s="1"/>
  <c r="AA118" i="13"/>
  <c r="Y118" i="13"/>
  <c r="BC118" i="13" s="1"/>
  <c r="AA117" i="13"/>
  <c r="Y117" i="13"/>
  <c r="BC117" i="13" s="1"/>
  <c r="AA116" i="13"/>
  <c r="Y116" i="13"/>
  <c r="BC116" i="13" s="1"/>
  <c r="AA115" i="13"/>
  <c r="Y115" i="13"/>
  <c r="BC115" i="13" s="1"/>
  <c r="AA114" i="13"/>
  <c r="Y114" i="13"/>
  <c r="BC114" i="13" s="1"/>
  <c r="AA113" i="13"/>
  <c r="Y113" i="13"/>
  <c r="BC113" i="13" s="1"/>
  <c r="AA112" i="13"/>
  <c r="Y112" i="13"/>
  <c r="BC112" i="13" s="1"/>
  <c r="AA111" i="13"/>
  <c r="Y111" i="13"/>
  <c r="BC111" i="13" s="1"/>
  <c r="AA110" i="13"/>
  <c r="Y110" i="13"/>
  <c r="BC110" i="13" s="1"/>
  <c r="AA109" i="13"/>
  <c r="Y109" i="13"/>
  <c r="BC109" i="13" s="1"/>
  <c r="AA108" i="13"/>
  <c r="Y108" i="13"/>
  <c r="BC108" i="13" s="1"/>
  <c r="AA107" i="13"/>
  <c r="Y107" i="13"/>
  <c r="BC107" i="13" s="1"/>
  <c r="AA106" i="13"/>
  <c r="Y106" i="13"/>
  <c r="BC106" i="13" s="1"/>
  <c r="AA105" i="13"/>
  <c r="Y105" i="13"/>
  <c r="BC105" i="13" s="1"/>
  <c r="AA104" i="13"/>
  <c r="Y104" i="13"/>
  <c r="BC104" i="13" s="1"/>
  <c r="AA103" i="13"/>
  <c r="Y103" i="13"/>
  <c r="BC103" i="13" s="1"/>
  <c r="AA102" i="13"/>
  <c r="Y102" i="13"/>
  <c r="BC102" i="13" s="1"/>
  <c r="AF101" i="13" a="1"/>
  <c r="AG109" i="13" s="1"/>
  <c r="AA101" i="13"/>
  <c r="Y101" i="13"/>
  <c r="BC101" i="13" s="1"/>
  <c r="T101" i="13" a="1"/>
  <c r="R101" i="13" a="1"/>
  <c r="P101" i="13" a="1"/>
  <c r="AA94" i="13"/>
  <c r="Y94" i="13"/>
  <c r="BC94" i="13" s="1"/>
  <c r="AA93" i="13"/>
  <c r="Y93" i="13"/>
  <c r="BC93" i="13" s="1"/>
  <c r="AA92" i="13"/>
  <c r="Y92" i="13"/>
  <c r="BC92" i="13" s="1"/>
  <c r="AA91" i="13"/>
  <c r="Y91" i="13"/>
  <c r="BC91" i="13" s="1"/>
  <c r="AA90" i="13"/>
  <c r="Y90" i="13"/>
  <c r="BC90" i="13" s="1"/>
  <c r="AA89" i="13"/>
  <c r="Y89" i="13"/>
  <c r="BC89" i="13" s="1"/>
  <c r="AA88" i="13"/>
  <c r="Y88" i="13"/>
  <c r="BC88" i="13" s="1"/>
  <c r="AA87" i="13"/>
  <c r="Y87" i="13"/>
  <c r="BC87" i="13" s="1"/>
  <c r="AA86" i="13"/>
  <c r="Y86" i="13"/>
  <c r="BC86" i="13" s="1"/>
  <c r="AA85" i="13"/>
  <c r="Y85" i="13"/>
  <c r="BC85" i="13" s="1"/>
  <c r="AA84" i="13"/>
  <c r="Y84" i="13"/>
  <c r="BC84" i="13" s="1"/>
  <c r="AA83" i="13"/>
  <c r="Y83" i="13"/>
  <c r="BC83" i="13" s="1"/>
  <c r="AA82" i="13"/>
  <c r="Y82" i="13"/>
  <c r="BC82" i="13" s="1"/>
  <c r="AA81" i="13"/>
  <c r="Y81" i="13"/>
  <c r="BC81" i="13" s="1"/>
  <c r="AA80" i="13"/>
  <c r="Y80" i="13"/>
  <c r="BC80" i="13" s="1"/>
  <c r="AA79" i="13"/>
  <c r="Y79" i="13"/>
  <c r="BC79" i="13" s="1"/>
  <c r="AA78" i="13"/>
  <c r="Y78" i="13"/>
  <c r="BC78" i="13" s="1"/>
  <c r="AA77" i="13"/>
  <c r="Y77" i="13"/>
  <c r="BC77" i="13" s="1"/>
  <c r="AA76" i="13"/>
  <c r="Y76" i="13"/>
  <c r="BC76" i="13" s="1"/>
  <c r="AA75" i="13"/>
  <c r="Y75" i="13"/>
  <c r="BC75" i="13" s="1"/>
  <c r="AA74" i="13"/>
  <c r="Y74" i="13"/>
  <c r="BC74" i="13" s="1"/>
  <c r="AA73" i="13"/>
  <c r="Y73" i="13"/>
  <c r="BC73" i="13" s="1"/>
  <c r="AA72" i="13"/>
  <c r="Y72" i="13"/>
  <c r="BC72" i="13" s="1"/>
  <c r="AF71" i="13" a="1"/>
  <c r="AA71" i="13"/>
  <c r="Y71" i="13"/>
  <c r="BC71" i="13" s="1"/>
  <c r="T71" i="13" a="1"/>
  <c r="R71" i="13" a="1"/>
  <c r="AD74" i="13" s="1"/>
  <c r="P71" i="13" a="1"/>
  <c r="AA64" i="13"/>
  <c r="Y64" i="13"/>
  <c r="BC64" i="13" s="1"/>
  <c r="AA63" i="13"/>
  <c r="Y63" i="13"/>
  <c r="BC63" i="13" s="1"/>
  <c r="AA62" i="13"/>
  <c r="Y62" i="13"/>
  <c r="BC62" i="13" s="1"/>
  <c r="AA61" i="13"/>
  <c r="Y61" i="13"/>
  <c r="BC61" i="13" s="1"/>
  <c r="AA60" i="13"/>
  <c r="Y60" i="13"/>
  <c r="BC60" i="13" s="1"/>
  <c r="AA59" i="13"/>
  <c r="Y59" i="13"/>
  <c r="BC59" i="13" s="1"/>
  <c r="AA58" i="13"/>
  <c r="Y58" i="13"/>
  <c r="BC58" i="13" s="1"/>
  <c r="AA57" i="13"/>
  <c r="Y57" i="13"/>
  <c r="BC57" i="13" s="1"/>
  <c r="AA56" i="13"/>
  <c r="Y56" i="13"/>
  <c r="BC56" i="13" s="1"/>
  <c r="AA55" i="13"/>
  <c r="Y55" i="13"/>
  <c r="BC55" i="13" s="1"/>
  <c r="AA54" i="13"/>
  <c r="Y54" i="13"/>
  <c r="BC54" i="13" s="1"/>
  <c r="AA53" i="13"/>
  <c r="Y53" i="13"/>
  <c r="BC53" i="13" s="1"/>
  <c r="AA52" i="13"/>
  <c r="Y52" i="13"/>
  <c r="BC52" i="13" s="1"/>
  <c r="AA51" i="13"/>
  <c r="Y51" i="13"/>
  <c r="BC51" i="13" s="1"/>
  <c r="AA50" i="13"/>
  <c r="Y50" i="13"/>
  <c r="BC50" i="13" s="1"/>
  <c r="AA49" i="13"/>
  <c r="Y49" i="13"/>
  <c r="BC49" i="13" s="1"/>
  <c r="AA48" i="13"/>
  <c r="Y48" i="13"/>
  <c r="BC48" i="13" s="1"/>
  <c r="AA47" i="13"/>
  <c r="Y47" i="13"/>
  <c r="BC47" i="13" s="1"/>
  <c r="AA46" i="13"/>
  <c r="Y46" i="13"/>
  <c r="BC46" i="13" s="1"/>
  <c r="AA45" i="13"/>
  <c r="Y45" i="13"/>
  <c r="BC45" i="13" s="1"/>
  <c r="AA44" i="13"/>
  <c r="Y44" i="13"/>
  <c r="BC44" i="13" s="1"/>
  <c r="AA43" i="13"/>
  <c r="Y43" i="13"/>
  <c r="BC43" i="13" s="1"/>
  <c r="AA42" i="13"/>
  <c r="Y42" i="13"/>
  <c r="BC42" i="13" s="1"/>
  <c r="AF41" i="13" a="1"/>
  <c r="AG60" i="13" s="1"/>
  <c r="AA41" i="13"/>
  <c r="Y41" i="13"/>
  <c r="BC41" i="13" s="1"/>
  <c r="T41" i="13" a="1"/>
  <c r="R41" i="13" a="1"/>
  <c r="AD60" i="13" s="1"/>
  <c r="P41" i="13" a="1"/>
  <c r="AA34" i="13"/>
  <c r="Y34" i="13"/>
  <c r="BC34" i="13" s="1"/>
  <c r="AA33" i="13"/>
  <c r="Y33" i="13"/>
  <c r="BC33" i="13" s="1"/>
  <c r="AA32" i="13"/>
  <c r="Y32" i="13"/>
  <c r="BC32" i="13" s="1"/>
  <c r="AA31" i="13"/>
  <c r="Y31" i="13"/>
  <c r="BC31" i="13" s="1"/>
  <c r="AA30" i="13"/>
  <c r="Y30" i="13"/>
  <c r="BC30" i="13" s="1"/>
  <c r="AA29" i="13"/>
  <c r="Y29" i="13"/>
  <c r="BC29" i="13" s="1"/>
  <c r="AA28" i="13"/>
  <c r="Y28" i="13"/>
  <c r="BC28" i="13" s="1"/>
  <c r="AA27" i="13"/>
  <c r="Y27" i="13"/>
  <c r="BC27" i="13" s="1"/>
  <c r="AA26" i="13"/>
  <c r="Y26" i="13"/>
  <c r="BC26" i="13" s="1"/>
  <c r="AA25" i="13"/>
  <c r="Y25" i="13"/>
  <c r="BC25" i="13" s="1"/>
  <c r="AA24" i="13"/>
  <c r="Y24" i="13"/>
  <c r="BC24" i="13" s="1"/>
  <c r="AA23" i="13"/>
  <c r="Y23" i="13"/>
  <c r="BC23" i="13" s="1"/>
  <c r="AA22" i="13"/>
  <c r="Y22" i="13"/>
  <c r="BC22" i="13" s="1"/>
  <c r="AA21" i="13"/>
  <c r="Y21" i="13"/>
  <c r="BC21" i="13" s="1"/>
  <c r="AA20" i="13"/>
  <c r="Y20" i="13"/>
  <c r="BC20" i="13" s="1"/>
  <c r="AA19" i="13"/>
  <c r="Y19" i="13"/>
  <c r="BC19" i="13" s="1"/>
  <c r="AA18" i="13"/>
  <c r="Y18" i="13"/>
  <c r="BC18" i="13" s="1"/>
  <c r="AA17" i="13"/>
  <c r="Y17" i="13"/>
  <c r="BC17" i="13" s="1"/>
  <c r="AA16" i="13"/>
  <c r="Y16" i="13"/>
  <c r="BC16" i="13" s="1"/>
  <c r="AA15" i="13"/>
  <c r="Y15" i="13"/>
  <c r="BC15" i="13" s="1"/>
  <c r="AA14" i="13"/>
  <c r="Y14" i="13"/>
  <c r="BC14" i="13" s="1"/>
  <c r="AA13" i="13"/>
  <c r="Y13" i="13"/>
  <c r="BC13" i="13" s="1"/>
  <c r="AA12" i="13"/>
  <c r="Y12" i="13"/>
  <c r="BC12" i="13" s="1"/>
  <c r="AF11" i="13" a="1"/>
  <c r="AG12" i="13" s="1"/>
  <c r="AA11" i="13"/>
  <c r="Y11" i="13"/>
  <c r="BC11" i="13" s="1"/>
  <c r="T11" i="13" a="1"/>
  <c r="R11" i="13" a="1"/>
  <c r="AD30" i="13" s="1"/>
  <c r="P11" i="13" a="1"/>
  <c r="BD11" i="13"/>
  <c r="BH243" i="13" l="1"/>
  <c r="BH246" i="13"/>
  <c r="BH248" i="13"/>
  <c r="BH250" i="13"/>
  <c r="BH252" i="13"/>
  <c r="BH254" i="13"/>
  <c r="BH263" i="13"/>
  <c r="BD34" i="13"/>
  <c r="BD33" i="13"/>
  <c r="BD32" i="13"/>
  <c r="AY11" i="13"/>
  <c r="AY231" i="13"/>
  <c r="AY71" i="13"/>
  <c r="AY101" i="13"/>
  <c r="AY131" i="13"/>
  <c r="AY161" i="13"/>
  <c r="AY191" i="13"/>
  <c r="AY41" i="13"/>
  <c r="BD28" i="13"/>
  <c r="BD30" i="13"/>
  <c r="BD29" i="13"/>
  <c r="BD26" i="13"/>
  <c r="BD25" i="13"/>
  <c r="BD24" i="13"/>
  <c r="BG191" i="13" s="1"/>
  <c r="BH191" i="13" s="1"/>
  <c r="BG212" i="13"/>
  <c r="BG197" i="13"/>
  <c r="BH197" i="13" s="1"/>
  <c r="BG194" i="13"/>
  <c r="BH194" i="13" s="1"/>
  <c r="BG206" i="13"/>
  <c r="BH206" i="13" s="1"/>
  <c r="BG203" i="13"/>
  <c r="BH203" i="13" s="1"/>
  <c r="BG200" i="13"/>
  <c r="BH200" i="13" s="1"/>
  <c r="BG214" i="13"/>
  <c r="BH214" i="13" s="1"/>
  <c r="BG211" i="13"/>
  <c r="BH211" i="13" s="1"/>
  <c r="BG208" i="13"/>
  <c r="BH208" i="13" s="1"/>
  <c r="BG196" i="13"/>
  <c r="BH196" i="13" s="1"/>
  <c r="BG205" i="13"/>
  <c r="BH205" i="13" s="1"/>
  <c r="BG199" i="13"/>
  <c r="BG193" i="13"/>
  <c r="BH193" i="13" s="1"/>
  <c r="BG210" i="13"/>
  <c r="BG195" i="13"/>
  <c r="BH195" i="13" s="1"/>
  <c r="BG207" i="13"/>
  <c r="BH207" i="13" s="1"/>
  <c r="BG204" i="13"/>
  <c r="BH204" i="13" s="1"/>
  <c r="BG201" i="13"/>
  <c r="BH201" i="13" s="1"/>
  <c r="BG192" i="13"/>
  <c r="BH192" i="13" s="1"/>
  <c r="BG202" i="13"/>
  <c r="BH202" i="13" s="1"/>
  <c r="BG209" i="13"/>
  <c r="BG213" i="13"/>
  <c r="BH213" i="13" s="1"/>
  <c r="BG198" i="13"/>
  <c r="BH198" i="13" s="1"/>
  <c r="BH233" i="13"/>
  <c r="BH235" i="13"/>
  <c r="BH237" i="13"/>
  <c r="BH239" i="13"/>
  <c r="BH241" i="13"/>
  <c r="BH247" i="13"/>
  <c r="BD20" i="13"/>
  <c r="BD21" i="13"/>
  <c r="BH21" i="13" s="1"/>
  <c r="BD22" i="13"/>
  <c r="BH210" i="13"/>
  <c r="BH251" i="13"/>
  <c r="BH253" i="13"/>
  <c r="BD18" i="13"/>
  <c r="BD17" i="13"/>
  <c r="BD16" i="13"/>
  <c r="BD12" i="13"/>
  <c r="BD14" i="13"/>
  <c r="BD13" i="13"/>
  <c r="BH209" i="13"/>
  <c r="BH64" i="13"/>
  <c r="BH199" i="13"/>
  <c r="BH260" i="13"/>
  <c r="BH262" i="13"/>
  <c r="BH264" i="13"/>
  <c r="BH266" i="13"/>
  <c r="BH270" i="13"/>
  <c r="BH272" i="13"/>
  <c r="BH274" i="13"/>
  <c r="BH276" i="13"/>
  <c r="BH278" i="13"/>
  <c r="BG11" i="13" s="1"/>
  <c r="BH11" i="13" s="1"/>
  <c r="BG20" i="13"/>
  <c r="BG32" i="13"/>
  <c r="BG22" i="13"/>
  <c r="BG12" i="13"/>
  <c r="BG25" i="13"/>
  <c r="BG14" i="13"/>
  <c r="BG16" i="13"/>
  <c r="BG21" i="13"/>
  <c r="BG33" i="13"/>
  <c r="BG28" i="13"/>
  <c r="BH28" i="13" s="1"/>
  <c r="BG29" i="13"/>
  <c r="BG34" i="13"/>
  <c r="BG23" i="13"/>
  <c r="BG24" i="13"/>
  <c r="BG27" i="13"/>
  <c r="BG30" i="13"/>
  <c r="BG31" i="13"/>
  <c r="BG26" i="13"/>
  <c r="BG17" i="13"/>
  <c r="BH17" i="13" s="1"/>
  <c r="BG13" i="13"/>
  <c r="BG15" i="13"/>
  <c r="BG18" i="13"/>
  <c r="BG19" i="13"/>
  <c r="BG101" i="13" s="1"/>
  <c r="BH101" i="13" s="1"/>
  <c r="BG118" i="13"/>
  <c r="BH118" i="13" s="1"/>
  <c r="BG113" i="13"/>
  <c r="BH113" i="13" s="1"/>
  <c r="BG105" i="13"/>
  <c r="BH105" i="13" s="1"/>
  <c r="BG120" i="13"/>
  <c r="BH120" i="13" s="1"/>
  <c r="BG110" i="13"/>
  <c r="BH110" i="13" s="1"/>
  <c r="BG115" i="13"/>
  <c r="BG107" i="13"/>
  <c r="BH107" i="13" s="1"/>
  <c r="BG102" i="13"/>
  <c r="BH102" i="13" s="1"/>
  <c r="BG122" i="13"/>
  <c r="BH122" i="13" s="1"/>
  <c r="BG114" i="13"/>
  <c r="BH114" i="13" s="1"/>
  <c r="BG117" i="13"/>
  <c r="BH117" i="13" s="1"/>
  <c r="BG109" i="13"/>
  <c r="BH109" i="13" s="1"/>
  <c r="BG104" i="13"/>
  <c r="BH104" i="13" s="1"/>
  <c r="BG119" i="13"/>
  <c r="BH119" i="13" s="1"/>
  <c r="BG106" i="13"/>
  <c r="BH106" i="13" s="1"/>
  <c r="BG111" i="13"/>
  <c r="BH111" i="13" s="1"/>
  <c r="BG116" i="13"/>
  <c r="BH116" i="13" s="1"/>
  <c r="BG108" i="13"/>
  <c r="BH108" i="13" s="1"/>
  <c r="BG103" i="13"/>
  <c r="BH103" i="13" s="1"/>
  <c r="BG124" i="13"/>
  <c r="BH124" i="13" s="1"/>
  <c r="BG121" i="13"/>
  <c r="BH121" i="13" s="1"/>
  <c r="BG123" i="13"/>
  <c r="BH123" i="13" s="1"/>
  <c r="BG112" i="13"/>
  <c r="BH112" i="13" s="1"/>
  <c r="BH142" i="13"/>
  <c r="BH131" i="13"/>
  <c r="BH115" i="13"/>
  <c r="BH15" i="13"/>
  <c r="BG41" i="13" s="1"/>
  <c r="BH41" i="13" s="1"/>
  <c r="BG45" i="13"/>
  <c r="BH45" i="13" s="1"/>
  <c r="BG42" i="13"/>
  <c r="BH42" i="13" s="1"/>
  <c r="BG60" i="13"/>
  <c r="BH60" i="13" s="1"/>
  <c r="BG51" i="13"/>
  <c r="BH51" i="13" s="1"/>
  <c r="BG57" i="13"/>
  <c r="BH57" i="13" s="1"/>
  <c r="BG54" i="13"/>
  <c r="BH54" i="13" s="1"/>
  <c r="BG62" i="13"/>
  <c r="BH62" i="13" s="1"/>
  <c r="BG47" i="13"/>
  <c r="BH47" i="13" s="1"/>
  <c r="BG44" i="13"/>
  <c r="BH44" i="13" s="1"/>
  <c r="BG50" i="13"/>
  <c r="BH50" i="13" s="1"/>
  <c r="BG64" i="13"/>
  <c r="BG46" i="13"/>
  <c r="BH46" i="13" s="1"/>
  <c r="BG43" i="13"/>
  <c r="BH43" i="13" s="1"/>
  <c r="BG61" i="13"/>
  <c r="BH61" i="13" s="1"/>
  <c r="BG58" i="13"/>
  <c r="BH58" i="13" s="1"/>
  <c r="BG49" i="13"/>
  <c r="BH49" i="13" s="1"/>
  <c r="BG55" i="13"/>
  <c r="BH55" i="13" s="1"/>
  <c r="BG53" i="13"/>
  <c r="BH53" i="13" s="1"/>
  <c r="BG48" i="13"/>
  <c r="BH48" i="13" s="1"/>
  <c r="BG63" i="13"/>
  <c r="BH63" i="13" s="1"/>
  <c r="BG52" i="13"/>
  <c r="BH52" i="13" s="1"/>
  <c r="BG59" i="13"/>
  <c r="BH59" i="13" s="1"/>
  <c r="BG56" i="13"/>
  <c r="BH56" i="13" s="1"/>
  <c r="BG131" i="13" s="1"/>
  <c r="BG136" i="13"/>
  <c r="BH136" i="13" s="1"/>
  <c r="BG133" i="13"/>
  <c r="BH133" i="13" s="1"/>
  <c r="BG150" i="13"/>
  <c r="BH150" i="13" s="1"/>
  <c r="BG147" i="13"/>
  <c r="BH147" i="13" s="1"/>
  <c r="BG144" i="13"/>
  <c r="BH144" i="13" s="1"/>
  <c r="BG141" i="13"/>
  <c r="BH141" i="13" s="1"/>
  <c r="BG152" i="13"/>
  <c r="BH152" i="13" s="1"/>
  <c r="BG146" i="13"/>
  <c r="BH146" i="13" s="1"/>
  <c r="BG140" i="13"/>
  <c r="BH140" i="13" s="1"/>
  <c r="BG132" i="13"/>
  <c r="BH132" i="13" s="1"/>
  <c r="BG135" i="13"/>
  <c r="BH135" i="13" s="1"/>
  <c r="BG143" i="13"/>
  <c r="BH143" i="13" s="1"/>
  <c r="BG137" i="13"/>
  <c r="BH137" i="13" s="1"/>
  <c r="BG148" i="13"/>
  <c r="BH148" i="13" s="1"/>
  <c r="BG134" i="13"/>
  <c r="BH134" i="13" s="1"/>
  <c r="BG151" i="13"/>
  <c r="BH151" i="13" s="1"/>
  <c r="BG145" i="13"/>
  <c r="BH145" i="13" s="1"/>
  <c r="BG154" i="13"/>
  <c r="BH154" i="13" s="1"/>
  <c r="BG139" i="13"/>
  <c r="BH139" i="13" s="1"/>
  <c r="BG153" i="13"/>
  <c r="BH153" i="13" s="1"/>
  <c r="BG149" i="13"/>
  <c r="BH149" i="13" s="1"/>
  <c r="BG138" i="13"/>
  <c r="BH138" i="13" s="1"/>
  <c r="BG142" i="13"/>
  <c r="BG71" i="13" s="1"/>
  <c r="BH71" i="13" s="1"/>
  <c r="BG84" i="13"/>
  <c r="BH84" i="13" s="1"/>
  <c r="BG81" i="13"/>
  <c r="BH81" i="13" s="1"/>
  <c r="BG75" i="13"/>
  <c r="BH75" i="13" s="1"/>
  <c r="BG86" i="13"/>
  <c r="BH86" i="13" s="1"/>
  <c r="BG91" i="13"/>
  <c r="BH91" i="13" s="1"/>
  <c r="BG92" i="13"/>
  <c r="BH92" i="13" s="1"/>
  <c r="BG77" i="13"/>
  <c r="BH77" i="13" s="1"/>
  <c r="BG72" i="13"/>
  <c r="BH72" i="13" s="1"/>
  <c r="BG88" i="13"/>
  <c r="BH88" i="13" s="1"/>
  <c r="BG83" i="13"/>
  <c r="BH83" i="13" s="1"/>
  <c r="BG74" i="13"/>
  <c r="BH74" i="13" s="1"/>
  <c r="BG80" i="13"/>
  <c r="BH80" i="13" s="1"/>
  <c r="BG94" i="13"/>
  <c r="BH94" i="13" s="1"/>
  <c r="BG85" i="13"/>
  <c r="BH85" i="13" s="1"/>
  <c r="BG79" i="13"/>
  <c r="BH79" i="13" s="1"/>
  <c r="BG76" i="13"/>
  <c r="BH76" i="13" s="1"/>
  <c r="BG90" i="13"/>
  <c r="BH90" i="13" s="1"/>
  <c r="BG73" i="13"/>
  <c r="BH73" i="13" s="1"/>
  <c r="BG87" i="13"/>
  <c r="BH87" i="13" s="1"/>
  <c r="BG82" i="13"/>
  <c r="BH82" i="13" s="1"/>
  <c r="BG78" i="13"/>
  <c r="BH78" i="13" s="1"/>
  <c r="BG93" i="13"/>
  <c r="BH93" i="13" s="1"/>
  <c r="BG89" i="13"/>
  <c r="BH89" i="13" s="1"/>
  <c r="BG161" i="13" s="1"/>
  <c r="BH161" i="13" s="1"/>
  <c r="BG169" i="13"/>
  <c r="BH169" i="13" s="1"/>
  <c r="BG166" i="13"/>
  <c r="BH166" i="13" s="1"/>
  <c r="BG184" i="13"/>
  <c r="BH184" i="13" s="1"/>
  <c r="BG178" i="13"/>
  <c r="BH178" i="13" s="1"/>
  <c r="BG175" i="13"/>
  <c r="BH175" i="13" s="1"/>
  <c r="BG181" i="13"/>
  <c r="BH181" i="13" s="1"/>
  <c r="BG163" i="13"/>
  <c r="BH163" i="13" s="1"/>
  <c r="BG171" i="13"/>
  <c r="BH171" i="13" s="1"/>
  <c r="BG180" i="13"/>
  <c r="BH180" i="13" s="1"/>
  <c r="BG177" i="13"/>
  <c r="BH177" i="13" s="1"/>
  <c r="BG174" i="13"/>
  <c r="BH174" i="13" s="1"/>
  <c r="BG165" i="13"/>
  <c r="BH165" i="13" s="1"/>
  <c r="BG167" i="13"/>
  <c r="BH167" i="13" s="1"/>
  <c r="BG162" i="13"/>
  <c r="BH162" i="13" s="1"/>
  <c r="BG170" i="13"/>
  <c r="BH170" i="13" s="1"/>
  <c r="BG173" i="13"/>
  <c r="BH173" i="13" s="1"/>
  <c r="BG164" i="13"/>
  <c r="BH164" i="13" s="1"/>
  <c r="BG182" i="13"/>
  <c r="BH182" i="13" s="1"/>
  <c r="BG172" i="13"/>
  <c r="BH172" i="13" s="1"/>
  <c r="BG176" i="13"/>
  <c r="BH176" i="13" s="1"/>
  <c r="BG179" i="13"/>
  <c r="BH179" i="13" s="1"/>
  <c r="BG183" i="13"/>
  <c r="BH183" i="13" s="1"/>
  <c r="BG168" i="13"/>
  <c r="BH168" i="13" s="1"/>
  <c r="BH212" i="13"/>
  <c r="BH232" i="13"/>
  <c r="BE20" i="13"/>
  <c r="BH20" i="13" s="1"/>
  <c r="BE27" i="13"/>
  <c r="BE22" i="13"/>
  <c r="BE21" i="13"/>
  <c r="BE19" i="13"/>
  <c r="BE34" i="13"/>
  <c r="BE18" i="13"/>
  <c r="BE33" i="13"/>
  <c r="BE17" i="13"/>
  <c r="BE32" i="13"/>
  <c r="BH32" i="13" s="1"/>
  <c r="BE16" i="13"/>
  <c r="BE31" i="13"/>
  <c r="BH31" i="13" s="1"/>
  <c r="V178" i="13"/>
  <c r="U178" i="13" s="1"/>
  <c r="BE30" i="13"/>
  <c r="V167" i="13"/>
  <c r="U167" i="13" s="1"/>
  <c r="BE15" i="13"/>
  <c r="BE29" i="13"/>
  <c r="V174" i="13"/>
  <c r="U174" i="13" s="1"/>
  <c r="V179" i="13"/>
  <c r="U179" i="13" s="1"/>
  <c r="BE28" i="13"/>
  <c r="AH238" i="13"/>
  <c r="BE26" i="13"/>
  <c r="BE14" i="13"/>
  <c r="BH14" i="13" s="1"/>
  <c r="BE25" i="13"/>
  <c r="BE13" i="13"/>
  <c r="BH13" i="13" s="1"/>
  <c r="BE24" i="13"/>
  <c r="BH24" i="13" s="1"/>
  <c r="BE12" i="13"/>
  <c r="BE23" i="13"/>
  <c r="V80" i="13"/>
  <c r="U80" i="13" s="1"/>
  <c r="AH260" i="13"/>
  <c r="V106" i="13"/>
  <c r="U106" i="13" s="1"/>
  <c r="W258" i="13"/>
  <c r="W264" i="13"/>
  <c r="V149" i="13"/>
  <c r="U149" i="13" s="1"/>
  <c r="AH243" i="13"/>
  <c r="AH247" i="13"/>
  <c r="AH251" i="13"/>
  <c r="AH263" i="13"/>
  <c r="V94" i="13"/>
  <c r="U94" i="13" s="1"/>
  <c r="V91" i="13"/>
  <c r="U91" i="13" s="1"/>
  <c r="AG21" i="13"/>
  <c r="V87" i="13"/>
  <c r="U87" i="13" s="1"/>
  <c r="AG27" i="13"/>
  <c r="V82" i="13"/>
  <c r="U82" i="13" s="1"/>
  <c r="V72" i="13"/>
  <c r="U72" i="13" s="1"/>
  <c r="V195" i="13"/>
  <c r="U195" i="13" s="1"/>
  <c r="V89" i="13"/>
  <c r="U89" i="13" s="1"/>
  <c r="W111" i="13"/>
  <c r="AH274" i="13"/>
  <c r="AH276" i="13"/>
  <c r="AH278" i="13"/>
  <c r="W107" i="13"/>
  <c r="AC41" i="13"/>
  <c r="W123" i="13"/>
  <c r="V53" i="13"/>
  <c r="U53" i="13" s="1"/>
  <c r="V192" i="13"/>
  <c r="U192" i="13" s="1"/>
  <c r="W106" i="13"/>
  <c r="V201" i="13"/>
  <c r="U201" i="13" s="1"/>
  <c r="W90" i="13"/>
  <c r="W121" i="13"/>
  <c r="W72" i="13"/>
  <c r="W103" i="13"/>
  <c r="W104" i="13"/>
  <c r="W109" i="13"/>
  <c r="W114" i="13"/>
  <c r="AC231" i="13"/>
  <c r="W233" i="13"/>
  <c r="AH275" i="13"/>
  <c r="AB272" i="13"/>
  <c r="AC272" i="13" s="1"/>
  <c r="AB236" i="13"/>
  <c r="AC236" i="13" s="1"/>
  <c r="AG212" i="13"/>
  <c r="V90" i="13"/>
  <c r="U90" i="13" s="1"/>
  <c r="V76" i="13"/>
  <c r="U76" i="13" s="1"/>
  <c r="AH60" i="13"/>
  <c r="V104" i="13"/>
  <c r="U104" i="13" s="1"/>
  <c r="V112" i="13"/>
  <c r="U112" i="13" s="1"/>
  <c r="W137" i="13"/>
  <c r="AG199" i="13"/>
  <c r="V120" i="13"/>
  <c r="U120" i="13" s="1"/>
  <c r="V78" i="13"/>
  <c r="U78" i="13" s="1"/>
  <c r="V105" i="13"/>
  <c r="U105" i="13" s="1"/>
  <c r="W144" i="13"/>
  <c r="V83" i="13"/>
  <c r="U83" i="13" s="1"/>
  <c r="V114" i="13"/>
  <c r="U114" i="13" s="1"/>
  <c r="W150" i="13"/>
  <c r="W251" i="13"/>
  <c r="W269" i="13"/>
  <c r="W154" i="13"/>
  <c r="AD71" i="13" s="1"/>
  <c r="AH71" i="13" s="1"/>
  <c r="V74" i="13"/>
  <c r="U74" i="13" s="1"/>
  <c r="V93" i="13"/>
  <c r="U93" i="13" s="1"/>
  <c r="AH167" i="13"/>
  <c r="AG206" i="13"/>
  <c r="AH239" i="13"/>
  <c r="AH241" i="13"/>
  <c r="AG196" i="13"/>
  <c r="AH253" i="13"/>
  <c r="AH265" i="13"/>
  <c r="W162" i="13"/>
  <c r="V213" i="13"/>
  <c r="U213" i="13" s="1"/>
  <c r="AH273" i="13"/>
  <c r="W163" i="13"/>
  <c r="AB121" i="13"/>
  <c r="AC121" i="13" s="1"/>
  <c r="AD53" i="13"/>
  <c r="AH53" i="13" s="1"/>
  <c r="AH246" i="13"/>
  <c r="AH248" i="13"/>
  <c r="AD59" i="13"/>
  <c r="AH59" i="13" s="1"/>
  <c r="V204" i="13"/>
  <c r="U204" i="13" s="1"/>
  <c r="V200" i="13"/>
  <c r="U200" i="13" s="1"/>
  <c r="AH240" i="13"/>
  <c r="W254" i="13"/>
  <c r="AD50" i="13"/>
  <c r="AH50" i="13" s="1"/>
  <c r="W173" i="13"/>
  <c r="AH231" i="13"/>
  <c r="AI231" i="13" s="1"/>
  <c r="AL231" i="13" s="1"/>
  <c r="AG52" i="13"/>
  <c r="V33" i="13"/>
  <c r="U33" i="13" s="1"/>
  <c r="AC131" i="13"/>
  <c r="V29" i="13"/>
  <c r="U29" i="13" s="1"/>
  <c r="AB28" i="13"/>
  <c r="AC28" i="13" s="1"/>
  <c r="AB139" i="13"/>
  <c r="AC139" i="13" s="1"/>
  <c r="AD45" i="13"/>
  <c r="AH45" i="13" s="1"/>
  <c r="AD56" i="13"/>
  <c r="AH56" i="13" s="1"/>
  <c r="V60" i="13"/>
  <c r="U60" i="13" s="1"/>
  <c r="AG63" i="13"/>
  <c r="V75" i="13"/>
  <c r="U75" i="13" s="1"/>
  <c r="W82" i="13"/>
  <c r="V86" i="13"/>
  <c r="U86" i="13" s="1"/>
  <c r="W132" i="13"/>
  <c r="W166" i="13"/>
  <c r="V196" i="13"/>
  <c r="U196" i="13" s="1"/>
  <c r="AH259" i="13"/>
  <c r="AH261" i="13"/>
  <c r="AH271" i="13"/>
  <c r="V28" i="13"/>
  <c r="U28" i="13" s="1"/>
  <c r="AB16" i="13"/>
  <c r="AC16" i="13" s="1"/>
  <c r="AB151" i="13"/>
  <c r="AC151" i="13" s="1"/>
  <c r="V27" i="13"/>
  <c r="U27" i="13" s="1"/>
  <c r="V26" i="13"/>
  <c r="U26" i="13" s="1"/>
  <c r="AB49" i="13"/>
  <c r="AC49" i="13" s="1"/>
  <c r="AB169" i="13"/>
  <c r="AC169" i="13" s="1"/>
  <c r="AG45" i="13"/>
  <c r="AG50" i="13"/>
  <c r="AD57" i="13"/>
  <c r="AH57" i="13" s="1"/>
  <c r="AH272" i="13"/>
  <c r="V25" i="13"/>
  <c r="U25" i="13" s="1"/>
  <c r="AB61" i="13"/>
  <c r="AC61" i="13" s="1"/>
  <c r="AB181" i="13"/>
  <c r="AC181" i="13" s="1"/>
  <c r="AG42" i="13"/>
  <c r="AG103" i="13"/>
  <c r="AG124" i="13"/>
  <c r="AH236" i="13"/>
  <c r="V21" i="13"/>
  <c r="U21" i="13" s="1"/>
  <c r="V17" i="13"/>
  <c r="U17" i="13" s="1"/>
  <c r="AB79" i="13"/>
  <c r="AC79" i="13" s="1"/>
  <c r="AB199" i="13"/>
  <c r="AC199" i="13" s="1"/>
  <c r="V43" i="13"/>
  <c r="U43" i="13" s="1"/>
  <c r="V16" i="13"/>
  <c r="U16" i="13" s="1"/>
  <c r="AB91" i="13"/>
  <c r="AC91" i="13" s="1"/>
  <c r="AB211" i="13"/>
  <c r="AC211" i="13" s="1"/>
  <c r="AD47" i="13"/>
  <c r="AH47" i="13" s="1"/>
  <c r="AG61" i="13"/>
  <c r="AG47" i="13"/>
  <c r="AD58" i="13"/>
  <c r="AH58" i="13" s="1"/>
  <c r="V77" i="13"/>
  <c r="U77" i="13" s="1"/>
  <c r="V84" i="13"/>
  <c r="U84" i="13" s="1"/>
  <c r="V88" i="13"/>
  <c r="U88" i="13" s="1"/>
  <c r="V92" i="13"/>
  <c r="U92" i="13" s="1"/>
  <c r="W108" i="13"/>
  <c r="W112" i="13"/>
  <c r="AD202" i="13"/>
  <c r="AH202" i="13" s="1"/>
  <c r="V207" i="13"/>
  <c r="U207" i="13" s="1"/>
  <c r="V212" i="13"/>
  <c r="U212" i="13" s="1"/>
  <c r="AH237" i="13"/>
  <c r="AH252" i="13"/>
  <c r="AH262" i="13"/>
  <c r="V15" i="13"/>
  <c r="U15" i="13" s="1"/>
  <c r="AB260" i="13"/>
  <c r="AC260" i="13" s="1"/>
  <c r="AG44" i="13"/>
  <c r="AG55" i="13"/>
  <c r="AG62" i="13"/>
  <c r="V13" i="13"/>
  <c r="U13" i="13" s="1"/>
  <c r="AG41" i="13" s="1"/>
  <c r="V64" i="13"/>
  <c r="U64" i="13" s="1"/>
  <c r="U11" i="13"/>
  <c r="AG57" i="13"/>
  <c r="AC11" i="13"/>
  <c r="AD43" i="13"/>
  <c r="AH43" i="13" s="1"/>
  <c r="V55" i="13"/>
  <c r="U55" i="13" s="1"/>
  <c r="AD61" i="13"/>
  <c r="AH61" i="13" s="1"/>
  <c r="AD64" i="13"/>
  <c r="AH64" i="13" s="1"/>
  <c r="V58" i="13"/>
  <c r="U58" i="13" s="1"/>
  <c r="AD44" i="13"/>
  <c r="AH44" i="13" s="1"/>
  <c r="AD52" i="13"/>
  <c r="AH52" i="13" s="1"/>
  <c r="AD55" i="13"/>
  <c r="AH55" i="13" s="1"/>
  <c r="AG58" i="13"/>
  <c r="AH74" i="13"/>
  <c r="W141" i="13"/>
  <c r="V183" i="13"/>
  <c r="U183" i="13" s="1"/>
  <c r="AH214" i="13"/>
  <c r="AG194" i="13"/>
  <c r="V203" i="13"/>
  <c r="U203" i="13" s="1"/>
  <c r="AH254" i="13"/>
  <c r="AH264" i="13"/>
  <c r="V14" i="13"/>
  <c r="U14" i="13" s="1"/>
  <c r="AB248" i="13"/>
  <c r="AC248" i="13" s="1"/>
  <c r="AB109" i="13"/>
  <c r="AC109" i="13" s="1"/>
  <c r="AB268" i="13"/>
  <c r="AC268" i="13" s="1"/>
  <c r="AB256" i="13"/>
  <c r="AC256" i="13" s="1"/>
  <c r="AI256" i="13" s="1"/>
  <c r="AJ256" i="13" s="1"/>
  <c r="BJ256" i="13" s="1"/>
  <c r="AB244" i="13"/>
  <c r="AC244" i="13" s="1"/>
  <c r="AB24" i="13"/>
  <c r="AC24" i="13" s="1"/>
  <c r="AB53" i="13"/>
  <c r="AC53" i="13" s="1"/>
  <c r="AB83" i="13"/>
  <c r="AC83" i="13" s="1"/>
  <c r="AC101" i="13"/>
  <c r="AB113" i="13"/>
  <c r="AC113" i="13" s="1"/>
  <c r="AB143" i="13"/>
  <c r="AC143" i="13" s="1"/>
  <c r="AB173" i="13"/>
  <c r="AC173" i="13" s="1"/>
  <c r="AB203" i="13"/>
  <c r="AC203" i="13" s="1"/>
  <c r="V146" i="13"/>
  <c r="U146" i="13" s="1"/>
  <c r="AH30" i="13"/>
  <c r="AD21" i="13"/>
  <c r="AH21" i="13" s="1"/>
  <c r="AD63" i="13"/>
  <c r="AH63" i="13" s="1"/>
  <c r="AD85" i="13"/>
  <c r="AH85" i="13" s="1"/>
  <c r="W169" i="13"/>
  <c r="AD172" i="13"/>
  <c r="AH172" i="13" s="1"/>
  <c r="W181" i="13"/>
  <c r="AG200" i="13"/>
  <c r="W265" i="13"/>
  <c r="AH242" i="13"/>
  <c r="W249" i="13"/>
  <c r="W270" i="13"/>
  <c r="AB232" i="13"/>
  <c r="AC232" i="13" s="1"/>
  <c r="AB267" i="13"/>
  <c r="AC267" i="13" s="1"/>
  <c r="AB255" i="13"/>
  <c r="AC255" i="13" s="1"/>
  <c r="AI255" i="13" s="1"/>
  <c r="AB243" i="13"/>
  <c r="AC243" i="13" s="1"/>
  <c r="AB12" i="13"/>
  <c r="AC12" i="13" s="1"/>
  <c r="AB23" i="13"/>
  <c r="AC23" i="13" s="1"/>
  <c r="AB42" i="13"/>
  <c r="AC42" i="13" s="1"/>
  <c r="AB54" i="13"/>
  <c r="AC54" i="13" s="1"/>
  <c r="AB72" i="13"/>
  <c r="AC72" i="13" s="1"/>
  <c r="AB84" i="13"/>
  <c r="AC84" i="13" s="1"/>
  <c r="AB102" i="13"/>
  <c r="AC102" i="13" s="1"/>
  <c r="AB114" i="13"/>
  <c r="AC114" i="13" s="1"/>
  <c r="AB132" i="13"/>
  <c r="AC132" i="13" s="1"/>
  <c r="AB144" i="13"/>
  <c r="AC144" i="13" s="1"/>
  <c r="AB162" i="13"/>
  <c r="AC162" i="13" s="1"/>
  <c r="AB174" i="13"/>
  <c r="AC174" i="13" s="1"/>
  <c r="AB192" i="13"/>
  <c r="AC192" i="13" s="1"/>
  <c r="AB204" i="13"/>
  <c r="AC204" i="13" s="1"/>
  <c r="AB278" i="13"/>
  <c r="AC278" i="13" s="1"/>
  <c r="AB266" i="13"/>
  <c r="AC266" i="13" s="1"/>
  <c r="AB254" i="13"/>
  <c r="AC254" i="13" s="1"/>
  <c r="AB242" i="13"/>
  <c r="AC242" i="13" s="1"/>
  <c r="AB34" i="13"/>
  <c r="AC34" i="13" s="1"/>
  <c r="AB22" i="13"/>
  <c r="AC22" i="13" s="1"/>
  <c r="AB43" i="13"/>
  <c r="AC43" i="13" s="1"/>
  <c r="AB55" i="13"/>
  <c r="AC55" i="13" s="1"/>
  <c r="AB73" i="13"/>
  <c r="AC73" i="13" s="1"/>
  <c r="AB85" i="13"/>
  <c r="AC85" i="13" s="1"/>
  <c r="AB103" i="13"/>
  <c r="AC103" i="13" s="1"/>
  <c r="AB115" i="13"/>
  <c r="AC115" i="13" s="1"/>
  <c r="AB133" i="13"/>
  <c r="AC133" i="13" s="1"/>
  <c r="AB145" i="13"/>
  <c r="AC145" i="13" s="1"/>
  <c r="AB163" i="13"/>
  <c r="AC163" i="13" s="1"/>
  <c r="AB175" i="13"/>
  <c r="AC175" i="13" s="1"/>
  <c r="AB193" i="13"/>
  <c r="AC193" i="13" s="1"/>
  <c r="AB205" i="13"/>
  <c r="AC205" i="13" s="1"/>
  <c r="AB277" i="13"/>
  <c r="AC277" i="13" s="1"/>
  <c r="AB265" i="13"/>
  <c r="AC265" i="13" s="1"/>
  <c r="AB253" i="13"/>
  <c r="AC253" i="13" s="1"/>
  <c r="AB241" i="13"/>
  <c r="AC241" i="13" s="1"/>
  <c r="AB33" i="13"/>
  <c r="AC33" i="13" s="1"/>
  <c r="AB21" i="13"/>
  <c r="AC21" i="13" s="1"/>
  <c r="AB44" i="13"/>
  <c r="AC44" i="13" s="1"/>
  <c r="AB56" i="13"/>
  <c r="AC56" i="13" s="1"/>
  <c r="AB74" i="13"/>
  <c r="AC74" i="13" s="1"/>
  <c r="AB86" i="13"/>
  <c r="AC86" i="13" s="1"/>
  <c r="AB104" i="13"/>
  <c r="AC104" i="13" s="1"/>
  <c r="AB116" i="13"/>
  <c r="AC116" i="13" s="1"/>
  <c r="AB134" i="13"/>
  <c r="AC134" i="13" s="1"/>
  <c r="AB146" i="13"/>
  <c r="AC146" i="13" s="1"/>
  <c r="AB164" i="13"/>
  <c r="AC164" i="13" s="1"/>
  <c r="AB176" i="13"/>
  <c r="AC176" i="13" s="1"/>
  <c r="AB194" i="13"/>
  <c r="AC194" i="13" s="1"/>
  <c r="AB206" i="13"/>
  <c r="AC206" i="13" s="1"/>
  <c r="AD198" i="13"/>
  <c r="AH198" i="13" s="1"/>
  <c r="AD203" i="13"/>
  <c r="AH203" i="13" s="1"/>
  <c r="AG118" i="13"/>
  <c r="W170" i="13"/>
  <c r="AD191" i="13" s="1"/>
  <c r="AH191" i="13" s="1"/>
  <c r="AG195" i="13"/>
  <c r="AG198" i="13"/>
  <c r="W213" i="13"/>
  <c r="AC233" i="13"/>
  <c r="AB276" i="13"/>
  <c r="AC276" i="13" s="1"/>
  <c r="AB264" i="13"/>
  <c r="AC264" i="13" s="1"/>
  <c r="AB252" i="13"/>
  <c r="AC252" i="13" s="1"/>
  <c r="AB240" i="13"/>
  <c r="AC240" i="13" s="1"/>
  <c r="AB32" i="13"/>
  <c r="AC32" i="13" s="1"/>
  <c r="AB20" i="13"/>
  <c r="AC20" i="13" s="1"/>
  <c r="AB45" i="13"/>
  <c r="AC45" i="13" s="1"/>
  <c r="AB57" i="13"/>
  <c r="AC57" i="13" s="1"/>
  <c r="AB75" i="13"/>
  <c r="AC75" i="13" s="1"/>
  <c r="AB87" i="13"/>
  <c r="AC87" i="13" s="1"/>
  <c r="AB105" i="13"/>
  <c r="AC105" i="13" s="1"/>
  <c r="AB117" i="13"/>
  <c r="AC117" i="13" s="1"/>
  <c r="AB135" i="13"/>
  <c r="AC135" i="13" s="1"/>
  <c r="AB147" i="13"/>
  <c r="AC147" i="13" s="1"/>
  <c r="AB165" i="13"/>
  <c r="AC165" i="13" s="1"/>
  <c r="AB177" i="13"/>
  <c r="AC177" i="13" s="1"/>
  <c r="AB195" i="13"/>
  <c r="AC195" i="13" s="1"/>
  <c r="AB207" i="13"/>
  <c r="AC207" i="13" s="1"/>
  <c r="AD195" i="13"/>
  <c r="AH195" i="13" s="1"/>
  <c r="AG104" i="13"/>
  <c r="U131" i="13"/>
  <c r="W182" i="13"/>
  <c r="AG193" i="13"/>
  <c r="W202" i="13"/>
  <c r="W211" i="13"/>
  <c r="AH266" i="13"/>
  <c r="AH270" i="13"/>
  <c r="V24" i="13"/>
  <c r="U24" i="13" s="1"/>
  <c r="AB275" i="13"/>
  <c r="AC275" i="13" s="1"/>
  <c r="AB263" i="13"/>
  <c r="AC263" i="13" s="1"/>
  <c r="AB251" i="13"/>
  <c r="AC251" i="13" s="1"/>
  <c r="AB239" i="13"/>
  <c r="AC239" i="13" s="1"/>
  <c r="AB31" i="13"/>
  <c r="AC31" i="13" s="1"/>
  <c r="AB19" i="13"/>
  <c r="AC19" i="13" s="1"/>
  <c r="AB46" i="13"/>
  <c r="AC46" i="13" s="1"/>
  <c r="AB58" i="13"/>
  <c r="AC58" i="13" s="1"/>
  <c r="AB76" i="13"/>
  <c r="AC76" i="13" s="1"/>
  <c r="AB88" i="13"/>
  <c r="AC88" i="13" s="1"/>
  <c r="AB106" i="13"/>
  <c r="AC106" i="13" s="1"/>
  <c r="AB118" i="13"/>
  <c r="AC118" i="13" s="1"/>
  <c r="AB136" i="13"/>
  <c r="AC136" i="13" s="1"/>
  <c r="AB148" i="13"/>
  <c r="AC148" i="13" s="1"/>
  <c r="AB166" i="13"/>
  <c r="AC166" i="13" s="1"/>
  <c r="AB178" i="13"/>
  <c r="AC178" i="13" s="1"/>
  <c r="AB196" i="13"/>
  <c r="AC196" i="13" s="1"/>
  <c r="AB208" i="13"/>
  <c r="AC208" i="13" s="1"/>
  <c r="AD15" i="13"/>
  <c r="AH15" i="13" s="1"/>
  <c r="AG48" i="13"/>
  <c r="AG111" i="13"/>
  <c r="V150" i="13"/>
  <c r="U150" i="13" s="1"/>
  <c r="V144" i="13"/>
  <c r="U144" i="13" s="1"/>
  <c r="AD163" i="13"/>
  <c r="AH163" i="13" s="1"/>
  <c r="W174" i="13"/>
  <c r="AD207" i="13"/>
  <c r="AH207" i="13" s="1"/>
  <c r="W238" i="13"/>
  <c r="W241" i="13"/>
  <c r="W263" i="13"/>
  <c r="W266" i="13"/>
  <c r="AH268" i="13"/>
  <c r="V12" i="13"/>
  <c r="U12" i="13" s="1"/>
  <c r="V23" i="13"/>
  <c r="U23" i="13" s="1"/>
  <c r="AB274" i="13"/>
  <c r="AC274" i="13" s="1"/>
  <c r="AB262" i="13"/>
  <c r="AC262" i="13" s="1"/>
  <c r="AB250" i="13"/>
  <c r="AC250" i="13" s="1"/>
  <c r="AB238" i="13"/>
  <c r="AC238" i="13" s="1"/>
  <c r="AB30" i="13"/>
  <c r="AC30" i="13" s="1"/>
  <c r="AB18" i="13"/>
  <c r="AC18" i="13" s="1"/>
  <c r="AB47" i="13"/>
  <c r="AC47" i="13" s="1"/>
  <c r="AB59" i="13"/>
  <c r="AC59" i="13" s="1"/>
  <c r="AB77" i="13"/>
  <c r="AC77" i="13" s="1"/>
  <c r="AB89" i="13"/>
  <c r="AC89" i="13" s="1"/>
  <c r="AB107" i="13"/>
  <c r="AC107" i="13" s="1"/>
  <c r="AB119" i="13"/>
  <c r="AC119" i="13" s="1"/>
  <c r="AB137" i="13"/>
  <c r="AC137" i="13" s="1"/>
  <c r="AB149" i="13"/>
  <c r="AC149" i="13" s="1"/>
  <c r="AB167" i="13"/>
  <c r="AC167" i="13" s="1"/>
  <c r="AB179" i="13"/>
  <c r="AC179" i="13" s="1"/>
  <c r="AB197" i="13"/>
  <c r="AC197" i="13" s="1"/>
  <c r="AB209" i="13"/>
  <c r="AC209" i="13" s="1"/>
  <c r="AG15" i="13"/>
  <c r="AD27" i="13"/>
  <c r="AH27" i="13" s="1"/>
  <c r="AD62" i="13"/>
  <c r="AH62" i="13" s="1"/>
  <c r="W105" i="13"/>
  <c r="AG115" i="13"/>
  <c r="W119" i="13"/>
  <c r="V140" i="13"/>
  <c r="U140" i="13" s="1"/>
  <c r="W164" i="13"/>
  <c r="AC191" i="13"/>
  <c r="AG204" i="13"/>
  <c r="AG207" i="13"/>
  <c r="W214" i="13"/>
  <c r="W235" i="13"/>
  <c r="AH277" i="13"/>
  <c r="V34" i="13"/>
  <c r="U34" i="13" s="1"/>
  <c r="V22" i="13"/>
  <c r="U22" i="13" s="1"/>
  <c r="AB273" i="13"/>
  <c r="AC273" i="13" s="1"/>
  <c r="AB261" i="13"/>
  <c r="AC261" i="13" s="1"/>
  <c r="AB249" i="13"/>
  <c r="AC249" i="13" s="1"/>
  <c r="AB237" i="13"/>
  <c r="AC237" i="13" s="1"/>
  <c r="AB29" i="13"/>
  <c r="AC29" i="13" s="1"/>
  <c r="AB17" i="13"/>
  <c r="AC17" i="13" s="1"/>
  <c r="AB48" i="13"/>
  <c r="AC48" i="13" s="1"/>
  <c r="AB60" i="13"/>
  <c r="AC60" i="13" s="1"/>
  <c r="AB78" i="13"/>
  <c r="AC78" i="13" s="1"/>
  <c r="AB90" i="13"/>
  <c r="AC90" i="13" s="1"/>
  <c r="AB108" i="13"/>
  <c r="AC108" i="13" s="1"/>
  <c r="AB120" i="13"/>
  <c r="AC120" i="13" s="1"/>
  <c r="AB138" i="13"/>
  <c r="AC138" i="13" s="1"/>
  <c r="AB150" i="13"/>
  <c r="AC150" i="13" s="1"/>
  <c r="AB168" i="13"/>
  <c r="AC168" i="13" s="1"/>
  <c r="AB180" i="13"/>
  <c r="AC180" i="13" s="1"/>
  <c r="AB198" i="13"/>
  <c r="AC198" i="13" s="1"/>
  <c r="AB210" i="13"/>
  <c r="AC210" i="13" s="1"/>
  <c r="AC214" i="13"/>
  <c r="AG43" i="13"/>
  <c r="AD46" i="13"/>
  <c r="AH46" i="13" s="1"/>
  <c r="AD51" i="13"/>
  <c r="AH51" i="13" s="1"/>
  <c r="AG53" i="13"/>
  <c r="AG56" i="13"/>
  <c r="AG59" i="13"/>
  <c r="AG64" i="13"/>
  <c r="W175" i="13"/>
  <c r="W197" i="13"/>
  <c r="AG202" i="13"/>
  <c r="AG211" i="13"/>
  <c r="AH245" i="13"/>
  <c r="W255" i="13"/>
  <c r="V32" i="13"/>
  <c r="U32" i="13" s="1"/>
  <c r="V20" i="13"/>
  <c r="U20" i="13" s="1"/>
  <c r="AB271" i="13"/>
  <c r="AC271" i="13" s="1"/>
  <c r="AB259" i="13"/>
  <c r="AC259" i="13" s="1"/>
  <c r="AB247" i="13"/>
  <c r="AC247" i="13" s="1"/>
  <c r="AB235" i="13"/>
  <c r="AC235" i="13" s="1"/>
  <c r="AB27" i="13"/>
  <c r="AC27" i="13" s="1"/>
  <c r="AB15" i="13"/>
  <c r="AC15" i="13" s="1"/>
  <c r="AB50" i="13"/>
  <c r="AC50" i="13" s="1"/>
  <c r="AB62" i="13"/>
  <c r="AC62" i="13" s="1"/>
  <c r="AB80" i="13"/>
  <c r="AC80" i="13" s="1"/>
  <c r="AB92" i="13"/>
  <c r="AC92" i="13" s="1"/>
  <c r="AB110" i="13"/>
  <c r="AC110" i="13" s="1"/>
  <c r="AB122" i="13"/>
  <c r="AC122" i="13" s="1"/>
  <c r="AB140" i="13"/>
  <c r="AC140" i="13" s="1"/>
  <c r="AB152" i="13"/>
  <c r="AC152" i="13" s="1"/>
  <c r="AB170" i="13"/>
  <c r="AC170" i="13" s="1"/>
  <c r="AB182" i="13"/>
  <c r="AC182" i="13" s="1"/>
  <c r="AB200" i="13"/>
  <c r="AC200" i="13" s="1"/>
  <c r="AB212" i="13"/>
  <c r="AC212" i="13" s="1"/>
  <c r="AG46" i="13"/>
  <c r="AD49" i="13"/>
  <c r="AH49" i="13" s="1"/>
  <c r="AG51" i="13"/>
  <c r="W117" i="13"/>
  <c r="V137" i="13"/>
  <c r="U137" i="13" s="1"/>
  <c r="W168" i="13"/>
  <c r="W184" i="13"/>
  <c r="W200" i="13"/>
  <c r="AD205" i="13"/>
  <c r="AH205" i="13" s="1"/>
  <c r="AG208" i="13"/>
  <c r="AH234" i="13"/>
  <c r="AH235" i="13"/>
  <c r="W262" i="13"/>
  <c r="V31" i="13"/>
  <c r="U31" i="13" s="1"/>
  <c r="V19" i="13"/>
  <c r="U19" i="13" s="1"/>
  <c r="AB270" i="13"/>
  <c r="AC270" i="13" s="1"/>
  <c r="AB258" i="13"/>
  <c r="AC258" i="13" s="1"/>
  <c r="AI258" i="13" s="1"/>
  <c r="AB246" i="13"/>
  <c r="AC246" i="13" s="1"/>
  <c r="AB234" i="13"/>
  <c r="AC234" i="13" s="1"/>
  <c r="AB26" i="13"/>
  <c r="AC26" i="13" s="1"/>
  <c r="AB14" i="13"/>
  <c r="AC14" i="13" s="1"/>
  <c r="AB51" i="13"/>
  <c r="AC51" i="13" s="1"/>
  <c r="AB63" i="13"/>
  <c r="AC63" i="13" s="1"/>
  <c r="AB81" i="13"/>
  <c r="AC81" i="13" s="1"/>
  <c r="AB93" i="13"/>
  <c r="AC93" i="13" s="1"/>
  <c r="AB111" i="13"/>
  <c r="AC111" i="13" s="1"/>
  <c r="AB123" i="13"/>
  <c r="AC123" i="13" s="1"/>
  <c r="AB141" i="13"/>
  <c r="AC141" i="13" s="1"/>
  <c r="AB153" i="13"/>
  <c r="AC153" i="13" s="1"/>
  <c r="AB171" i="13"/>
  <c r="AC171" i="13" s="1"/>
  <c r="AB183" i="13"/>
  <c r="AC183" i="13" s="1"/>
  <c r="AB201" i="13"/>
  <c r="AC201" i="13" s="1"/>
  <c r="AB213" i="13"/>
  <c r="AC213" i="13" s="1"/>
  <c r="AG49" i="13"/>
  <c r="W165" i="13"/>
  <c r="W195" i="13"/>
  <c r="AG205" i="13"/>
  <c r="W209" i="13"/>
  <c r="W212" i="13"/>
  <c r="AH232" i="13"/>
  <c r="W234" i="13"/>
  <c r="AH249" i="13"/>
  <c r="V30" i="13"/>
  <c r="U30" i="13" s="1"/>
  <c r="AB269" i="13"/>
  <c r="AC269" i="13" s="1"/>
  <c r="AB257" i="13"/>
  <c r="AC257" i="13" s="1"/>
  <c r="AI257" i="13" s="1"/>
  <c r="AB245" i="13"/>
  <c r="AC245" i="13" s="1"/>
  <c r="AB25" i="13"/>
  <c r="AC25" i="13" s="1"/>
  <c r="AB13" i="13"/>
  <c r="AC13" i="13" s="1"/>
  <c r="AB52" i="13"/>
  <c r="AC52" i="13" s="1"/>
  <c r="AB64" i="13"/>
  <c r="AC64" i="13" s="1"/>
  <c r="AB82" i="13"/>
  <c r="AC82" i="13" s="1"/>
  <c r="AB94" i="13"/>
  <c r="AC94" i="13" s="1"/>
  <c r="AB112" i="13"/>
  <c r="AC112" i="13" s="1"/>
  <c r="AB124" i="13"/>
  <c r="AC124" i="13" s="1"/>
  <c r="AB142" i="13"/>
  <c r="AC142" i="13" s="1"/>
  <c r="AB154" i="13"/>
  <c r="AC154" i="13" s="1"/>
  <c r="AB172" i="13"/>
  <c r="AC172" i="13" s="1"/>
  <c r="AB184" i="13"/>
  <c r="AC184" i="13" s="1"/>
  <c r="AB202" i="13"/>
  <c r="AC202" i="13" s="1"/>
  <c r="AC161" i="13"/>
  <c r="AC71" i="13"/>
  <c r="V177" i="13"/>
  <c r="U177" i="13" s="1"/>
  <c r="V182" i="13"/>
  <c r="U182" i="13" s="1"/>
  <c r="V166" i="13"/>
  <c r="U166" i="13" s="1"/>
  <c r="V181" i="13"/>
  <c r="U181" i="13" s="1"/>
  <c r="V165" i="13"/>
  <c r="U165" i="13" s="1"/>
  <c r="V164" i="13"/>
  <c r="U164" i="13" s="1"/>
  <c r="V170" i="13"/>
  <c r="U170" i="13" s="1"/>
  <c r="V171" i="13"/>
  <c r="U171" i="13" s="1"/>
  <c r="V175" i="13"/>
  <c r="U175" i="13" s="1"/>
  <c r="W244" i="13"/>
  <c r="W245" i="13"/>
  <c r="W246" i="13"/>
  <c r="W203" i="13"/>
  <c r="W204" i="13"/>
  <c r="W196" i="13"/>
  <c r="W192" i="13"/>
  <c r="W199" i="13"/>
  <c r="W167" i="13"/>
  <c r="W179" i="13"/>
  <c r="W172" i="13"/>
  <c r="W133" i="13"/>
  <c r="W63" i="13"/>
  <c r="W57" i="13"/>
  <c r="W51" i="13"/>
  <c r="W45" i="13"/>
  <c r="W46" i="13"/>
  <c r="AG89" i="13"/>
  <c r="AG83" i="13"/>
  <c r="AG77" i="13"/>
  <c r="AG90" i="13"/>
  <c r="AG84" i="13"/>
  <c r="AG91" i="13"/>
  <c r="AG85" i="13"/>
  <c r="AG79" i="13"/>
  <c r="AD124" i="13"/>
  <c r="AH124" i="13" s="1"/>
  <c r="AD119" i="13"/>
  <c r="AH119" i="13" s="1"/>
  <c r="AD113" i="13"/>
  <c r="AH113" i="13" s="1"/>
  <c r="AD107" i="13"/>
  <c r="AH107" i="13" s="1"/>
  <c r="AD109" i="13"/>
  <c r="AH109" i="13" s="1"/>
  <c r="AD114" i="13"/>
  <c r="AH114" i="13" s="1"/>
  <c r="AD112" i="13"/>
  <c r="AH112" i="13" s="1"/>
  <c r="AD105" i="13"/>
  <c r="AH105" i="13" s="1"/>
  <c r="AD123" i="13"/>
  <c r="AH123" i="13" s="1"/>
  <c r="AD116" i="13"/>
  <c r="AH116" i="13" s="1"/>
  <c r="AD121" i="13"/>
  <c r="AH121" i="13" s="1"/>
  <c r="AD117" i="13"/>
  <c r="AH117" i="13" s="1"/>
  <c r="AD108" i="13"/>
  <c r="AH108" i="13" s="1"/>
  <c r="AD106" i="13"/>
  <c r="AH106" i="13" s="1"/>
  <c r="AD110" i="13"/>
  <c r="AH110" i="13" s="1"/>
  <c r="AD120" i="13"/>
  <c r="AH120" i="13" s="1"/>
  <c r="AD118" i="13"/>
  <c r="AH118" i="13" s="1"/>
  <c r="AD111" i="13"/>
  <c r="AH111" i="13" s="1"/>
  <c r="AD103" i="13"/>
  <c r="AH103" i="13" s="1"/>
  <c r="AG150" i="13"/>
  <c r="AG154" i="13"/>
  <c r="AG147" i="13"/>
  <c r="AG144" i="13"/>
  <c r="AG140" i="13"/>
  <c r="AG133" i="13"/>
  <c r="AG137" i="13"/>
  <c r="AG138" i="13"/>
  <c r="AG134" i="13"/>
  <c r="AG149" i="13"/>
  <c r="AG142" i="13"/>
  <c r="AG152" i="13"/>
  <c r="AG146" i="13"/>
  <c r="AG151" i="13"/>
  <c r="AG135" i="13"/>
  <c r="AG139" i="13"/>
  <c r="AG131" i="13" s="1"/>
  <c r="AG141" i="13"/>
  <c r="AG136" i="13"/>
  <c r="AG132" i="13"/>
  <c r="W62" i="13"/>
  <c r="AD94" i="13"/>
  <c r="AH94" i="13" s="1"/>
  <c r="AD88" i="13"/>
  <c r="AH88" i="13" s="1"/>
  <c r="AD82" i="13"/>
  <c r="AH82" i="13" s="1"/>
  <c r="AD76" i="13"/>
  <c r="AH76" i="13" s="1"/>
  <c r="AD89" i="13"/>
  <c r="AH89" i="13" s="1"/>
  <c r="AD83" i="13"/>
  <c r="AH83" i="13" s="1"/>
  <c r="AD77" i="13"/>
  <c r="AH77" i="13" s="1"/>
  <c r="AD90" i="13"/>
  <c r="AH90" i="13" s="1"/>
  <c r="AD84" i="13"/>
  <c r="AH84" i="13" s="1"/>
  <c r="AD78" i="13"/>
  <c r="AH78" i="13" s="1"/>
  <c r="AD72" i="13"/>
  <c r="AH72" i="13" s="1"/>
  <c r="AD91" i="13"/>
  <c r="AH91" i="13" s="1"/>
  <c r="AG71" i="13" s="1"/>
  <c r="AG78" i="13"/>
  <c r="AD81" i="13"/>
  <c r="AH81" i="13" s="1"/>
  <c r="AG88" i="13"/>
  <c r="AD101" i="13" s="1"/>
  <c r="W55" i="13"/>
  <c r="W60" i="13"/>
  <c r="AG81" i="13"/>
  <c r="AG94" i="13"/>
  <c r="AD149" i="13"/>
  <c r="AH149" i="13" s="1"/>
  <c r="AD143" i="13"/>
  <c r="AH143" i="13" s="1"/>
  <c r="AD137" i="13"/>
  <c r="AH137" i="13" s="1"/>
  <c r="AD150" i="13"/>
  <c r="AH150" i="13" s="1"/>
  <c r="AD154" i="13"/>
  <c r="AH154" i="13" s="1"/>
  <c r="AD147" i="13"/>
  <c r="AH147" i="13" s="1"/>
  <c r="AD144" i="13"/>
  <c r="AH144" i="13" s="1"/>
  <c r="AD140" i="13"/>
  <c r="AH140" i="13" s="1"/>
  <c r="AD133" i="13"/>
  <c r="AH133" i="13" s="1"/>
  <c r="AD145" i="13"/>
  <c r="AH145" i="13" s="1"/>
  <c r="AD138" i="13"/>
  <c r="AH138" i="13" s="1"/>
  <c r="AD134" i="13"/>
  <c r="AH134" i="13" s="1"/>
  <c r="AD142" i="13"/>
  <c r="AH142" i="13" s="1"/>
  <c r="AD152" i="13"/>
  <c r="AH152" i="13" s="1"/>
  <c r="AD146" i="13"/>
  <c r="AH146" i="13" s="1"/>
  <c r="AD151" i="13"/>
  <c r="AH151" i="13" s="1"/>
  <c r="AD135" i="13"/>
  <c r="AH135" i="13" s="1"/>
  <c r="AD131" i="13" s="1"/>
  <c r="AD132" i="13"/>
  <c r="AH132" i="13" s="1"/>
  <c r="AD148" i="13"/>
  <c r="AH148" i="13" s="1"/>
  <c r="W53" i="13"/>
  <c r="AD86" i="13"/>
  <c r="AH86" i="13" s="1"/>
  <c r="AD104" i="13"/>
  <c r="AH104" i="13" s="1"/>
  <c r="AG148" i="13"/>
  <c r="AD12" i="13"/>
  <c r="AH12" i="13" s="1"/>
  <c r="AD18" i="13"/>
  <c r="AH18" i="13" s="1"/>
  <c r="AD24" i="13"/>
  <c r="AH24" i="13" s="1"/>
  <c r="W64" i="13"/>
  <c r="AG86" i="13"/>
  <c r="AD31" i="13"/>
  <c r="AH31" i="13" s="1"/>
  <c r="AD25" i="13"/>
  <c r="AH25" i="13" s="1"/>
  <c r="AD19" i="13"/>
  <c r="AH19" i="13" s="1"/>
  <c r="AD13" i="13"/>
  <c r="AH13" i="13" s="1"/>
  <c r="AD32" i="13"/>
  <c r="AH32" i="13" s="1"/>
  <c r="AG18" i="13"/>
  <c r="AG24" i="13"/>
  <c r="AG30" i="13"/>
  <c r="AD34" i="13"/>
  <c r="AH34" i="13" s="1"/>
  <c r="V52" i="13"/>
  <c r="U52" i="13" s="1"/>
  <c r="W91" i="13"/>
  <c r="W85" i="13"/>
  <c r="W79" i="13"/>
  <c r="W73" i="13"/>
  <c r="W92" i="13"/>
  <c r="W86" i="13"/>
  <c r="W80" i="13"/>
  <c r="W74" i="13"/>
  <c r="W93" i="13"/>
  <c r="W87" i="13"/>
  <c r="W81" i="13"/>
  <c r="W75" i="13"/>
  <c r="W94" i="13"/>
  <c r="W88" i="13"/>
  <c r="AD92" i="13"/>
  <c r="AH92" i="13" s="1"/>
  <c r="AD122" i="13"/>
  <c r="AH122" i="13" s="1"/>
  <c r="AG143" i="13"/>
  <c r="AG145" i="13"/>
  <c r="AG11" i="13" s="1"/>
  <c r="AD14" i="13"/>
  <c r="AH14" i="13" s="1"/>
  <c r="AD17" i="13"/>
  <c r="AH17" i="13" s="1"/>
  <c r="AD20" i="13"/>
  <c r="AH20" i="13" s="1"/>
  <c r="AD23" i="13"/>
  <c r="AH23" i="13" s="1"/>
  <c r="AD26" i="13"/>
  <c r="AH26" i="13" s="1"/>
  <c r="AD29" i="13"/>
  <c r="AH29" i="13" s="1"/>
  <c r="AG34" i="13"/>
  <c r="W52" i="13"/>
  <c r="V61" i="13"/>
  <c r="U61" i="13" s="1"/>
  <c r="W83" i="13"/>
  <c r="AG92" i="13"/>
  <c r="AG17" i="13"/>
  <c r="AG23" i="13"/>
  <c r="AG29" i="13"/>
  <c r="V59" i="13"/>
  <c r="U59" i="13" s="1"/>
  <c r="W61" i="13"/>
  <c r="AG72" i="13"/>
  <c r="W78" i="13"/>
  <c r="AD80" i="13"/>
  <c r="AH80" i="13" s="1"/>
  <c r="AG82" i="13"/>
  <c r="W84" i="13"/>
  <c r="AD115" i="13"/>
  <c r="AH115" i="13" s="1"/>
  <c r="AD141" i="13"/>
  <c r="AH141" i="13" s="1"/>
  <c r="AD153" i="13"/>
  <c r="AH153" i="13" s="1"/>
  <c r="W43" i="13"/>
  <c r="W50" i="13"/>
  <c r="AG76" i="13"/>
  <c r="V42" i="13"/>
  <c r="U42" i="13" s="1"/>
  <c r="V47" i="13"/>
  <c r="U47" i="13" s="1"/>
  <c r="V49" i="13"/>
  <c r="U49" i="13" s="1"/>
  <c r="V54" i="13"/>
  <c r="U54" i="13" s="1"/>
  <c r="W56" i="13"/>
  <c r="W59" i="13"/>
  <c r="AG80" i="13"/>
  <c r="AD139" i="13"/>
  <c r="AH139" i="13" s="1"/>
  <c r="AG153" i="13"/>
  <c r="W48" i="13"/>
  <c r="AG74" i="13"/>
  <c r="AD79" i="13"/>
  <c r="AH79" i="13" s="1"/>
  <c r="AG32" i="13"/>
  <c r="AG26" i="13"/>
  <c r="AG20" i="13"/>
  <c r="AG14" i="13"/>
  <c r="AD16" i="13"/>
  <c r="AH16" i="13" s="1"/>
  <c r="W49" i="13"/>
  <c r="W54" i="13"/>
  <c r="AD73" i="13"/>
  <c r="AH73" i="13" s="1"/>
  <c r="AD75" i="13"/>
  <c r="AH75" i="13" s="1"/>
  <c r="AD87" i="13"/>
  <c r="AH87" i="13" s="1"/>
  <c r="AD22" i="13"/>
  <c r="AH22" i="13" s="1"/>
  <c r="AD28" i="13"/>
  <c r="AH28" i="13" s="1"/>
  <c r="W42" i="13"/>
  <c r="W44" i="13"/>
  <c r="W47" i="13"/>
  <c r="AG16" i="13"/>
  <c r="AG22" i="13"/>
  <c r="AG28" i="13"/>
  <c r="AD33" i="13"/>
  <c r="AH33" i="13" s="1"/>
  <c r="U41" i="13"/>
  <c r="AG73" i="13"/>
  <c r="AG75" i="13"/>
  <c r="W76" i="13"/>
  <c r="AG87" i="13"/>
  <c r="AD93" i="13"/>
  <c r="AH93" i="13" s="1"/>
  <c r="AG119" i="13"/>
  <c r="AG113" i="13"/>
  <c r="AG107" i="13"/>
  <c r="AG120" i="13"/>
  <c r="AG114" i="13"/>
  <c r="AG108" i="13"/>
  <c r="AG112" i="13"/>
  <c r="AG105" i="13"/>
  <c r="AG123" i="13"/>
  <c r="AG116" i="13"/>
  <c r="AG121" i="13"/>
  <c r="AG117" i="13"/>
  <c r="AG106" i="13"/>
  <c r="AG110" i="13"/>
  <c r="AG102" i="13"/>
  <c r="AG101" i="13" s="1"/>
  <c r="AG122" i="13"/>
  <c r="AD102" i="13"/>
  <c r="AH102" i="13" s="1"/>
  <c r="AD136" i="13"/>
  <c r="AH136" i="13" s="1"/>
  <c r="AG178" i="13"/>
  <c r="AG166" i="13"/>
  <c r="AG182" i="13"/>
  <c r="AG175" i="13"/>
  <c r="AG171" i="13"/>
  <c r="AG179" i="13"/>
  <c r="AG167" i="13"/>
  <c r="AG183" i="13"/>
  <c r="AG176" i="13"/>
  <c r="AG169" i="13"/>
  <c r="AG184" i="13"/>
  <c r="AG180" i="13"/>
  <c r="AG173" i="13"/>
  <c r="AG177" i="13"/>
  <c r="AG170" i="13"/>
  <c r="AG181" i="13"/>
  <c r="AG162" i="13"/>
  <c r="AG168" i="13"/>
  <c r="AG164" i="13"/>
  <c r="AG174" i="13"/>
  <c r="AG161" i="13" s="1"/>
  <c r="AG172" i="13"/>
  <c r="AG163" i="13"/>
  <c r="AG13" i="13"/>
  <c r="AG19" i="13"/>
  <c r="AG25" i="13"/>
  <c r="AG31" i="13"/>
  <c r="AG33" i="13"/>
  <c r="V62" i="13"/>
  <c r="U62" i="13" s="1"/>
  <c r="V56" i="13"/>
  <c r="U56" i="13" s="1"/>
  <c r="V50" i="13"/>
  <c r="U50" i="13" s="1"/>
  <c r="V44" i="13"/>
  <c r="U44" i="13" s="1"/>
  <c r="V63" i="13"/>
  <c r="U63" i="13" s="1"/>
  <c r="V57" i="13"/>
  <c r="U57" i="13" s="1"/>
  <c r="V51" i="13"/>
  <c r="U51" i="13" s="1"/>
  <c r="V45" i="13"/>
  <c r="U45" i="13" s="1"/>
  <c r="V46" i="13"/>
  <c r="U46" i="13" s="1"/>
  <c r="W58" i="13"/>
  <c r="W89" i="13"/>
  <c r="AG93" i="13"/>
  <c r="AD180" i="13"/>
  <c r="AH180" i="13" s="1"/>
  <c r="AD174" i="13"/>
  <c r="AH174" i="13" s="1"/>
  <c r="AD178" i="13"/>
  <c r="AH178" i="13" s="1"/>
  <c r="AD166" i="13"/>
  <c r="AH166" i="13" s="1"/>
  <c r="AD182" i="13"/>
  <c r="AH182" i="13" s="1"/>
  <c r="AD175" i="13"/>
  <c r="AH175" i="13" s="1"/>
  <c r="AD171" i="13"/>
  <c r="AH171" i="13" s="1"/>
  <c r="AD164" i="13"/>
  <c r="AH164" i="13" s="1"/>
  <c r="AD183" i="13"/>
  <c r="AH183" i="13" s="1"/>
  <c r="AD176" i="13"/>
  <c r="AH176" i="13" s="1"/>
  <c r="AD184" i="13"/>
  <c r="AH184" i="13" s="1"/>
  <c r="AD173" i="13"/>
  <c r="AH173" i="13" s="1"/>
  <c r="AD177" i="13"/>
  <c r="AH177" i="13" s="1"/>
  <c r="AD168" i="13"/>
  <c r="AH168" i="13" s="1"/>
  <c r="V107" i="13"/>
  <c r="U107" i="13" s="1"/>
  <c r="V132" i="13"/>
  <c r="U132" i="13" s="1"/>
  <c r="V153" i="13"/>
  <c r="U153" i="13" s="1"/>
  <c r="AD161" i="13" s="1"/>
  <c r="U101" i="13"/>
  <c r="V103" i="13"/>
  <c r="U103" i="13" s="1"/>
  <c r="V111" i="13"/>
  <c r="U111" i="13" s="1"/>
  <c r="V136" i="13"/>
  <c r="U136" i="13" s="1"/>
  <c r="AD162" i="13"/>
  <c r="AH162" i="13" s="1"/>
  <c r="AD179" i="13"/>
  <c r="AH179" i="13" s="1"/>
  <c r="AD181" i="13"/>
  <c r="AH181" i="13" s="1"/>
  <c r="V123" i="13"/>
  <c r="U123" i="13" s="1"/>
  <c r="V121" i="13"/>
  <c r="U121" i="13" s="1"/>
  <c r="V115" i="13"/>
  <c r="U115" i="13" s="1"/>
  <c r="V109" i="13"/>
  <c r="U109" i="13" s="1"/>
  <c r="V122" i="13"/>
  <c r="U122" i="13" s="1"/>
  <c r="V116" i="13"/>
  <c r="U116" i="13" s="1"/>
  <c r="V110" i="13"/>
  <c r="U110" i="13" s="1"/>
  <c r="V118" i="13"/>
  <c r="U118" i="13" s="1"/>
  <c r="V152" i="13"/>
  <c r="U152" i="13" s="1"/>
  <c r="V148" i="13"/>
  <c r="U148" i="13" s="1"/>
  <c r="V141" i="13"/>
  <c r="U141" i="13" s="1"/>
  <c r="V134" i="13"/>
  <c r="U134" i="13" s="1"/>
  <c r="V145" i="13"/>
  <c r="U145" i="13" s="1"/>
  <c r="V138" i="13"/>
  <c r="U138" i="13" s="1"/>
  <c r="V142" i="13"/>
  <c r="U142" i="13" s="1"/>
  <c r="V143" i="13"/>
  <c r="U143" i="13" s="1"/>
  <c r="AD169" i="13"/>
  <c r="AH169" i="13" s="1"/>
  <c r="V274" i="13"/>
  <c r="V262" i="13"/>
  <c r="V273" i="13"/>
  <c r="V261" i="13"/>
  <c r="V272" i="13"/>
  <c r="V260" i="13"/>
  <c r="V269" i="13"/>
  <c r="V253" i="13"/>
  <c r="U253" i="13" s="1"/>
  <c r="V270" i="13"/>
  <c r="V263" i="13"/>
  <c r="V245" i="13"/>
  <c r="U245" i="13" s="1"/>
  <c r="V277" i="13"/>
  <c r="V271" i="13"/>
  <c r="V267" i="13"/>
  <c r="V250" i="13"/>
  <c r="U250" i="13" s="1"/>
  <c r="V257" i="13"/>
  <c r="V243" i="13"/>
  <c r="U243" i="13" s="1"/>
  <c r="V264" i="13"/>
  <c r="V258" i="13"/>
  <c r="V254" i="13"/>
  <c r="V246" i="13"/>
  <c r="U246" i="13" s="1"/>
  <c r="V233" i="13"/>
  <c r="U233" i="13" s="1"/>
  <c r="V268" i="13"/>
  <c r="V265" i="13"/>
  <c r="V259" i="13"/>
  <c r="V251" i="13"/>
  <c r="U251" i="13" s="1"/>
  <c r="V255" i="13"/>
  <c r="V249" i="13"/>
  <c r="U249" i="13" s="1"/>
  <c r="V266" i="13"/>
  <c r="V247" i="13"/>
  <c r="U247" i="13" s="1"/>
  <c r="U231" i="13"/>
  <c r="V240" i="13"/>
  <c r="U240" i="13" s="1"/>
  <c r="V232" i="13"/>
  <c r="U232" i="13" s="1"/>
  <c r="V276" i="13"/>
  <c r="V242" i="13"/>
  <c r="U242" i="13" s="1"/>
  <c r="V237" i="13"/>
  <c r="U237" i="13" s="1"/>
  <c r="V234" i="13"/>
  <c r="U234" i="13" s="1"/>
  <c r="V275" i="13"/>
  <c r="V239" i="13"/>
  <c r="U239" i="13" s="1"/>
  <c r="V236" i="13"/>
  <c r="U236" i="13" s="1"/>
  <c r="V278" i="13"/>
  <c r="V252" i="13"/>
  <c r="U252" i="13" s="1"/>
  <c r="V235" i="13"/>
  <c r="U235" i="13" s="1"/>
  <c r="V248" i="13"/>
  <c r="U248" i="13" s="1"/>
  <c r="V241" i="13"/>
  <c r="U241" i="13" s="1"/>
  <c r="V256" i="13"/>
  <c r="W122" i="13"/>
  <c r="W116" i="13"/>
  <c r="W110" i="13"/>
  <c r="V102" i="13"/>
  <c r="U102" i="13" s="1"/>
  <c r="W115" i="13"/>
  <c r="W118" i="13"/>
  <c r="W152" i="13"/>
  <c r="W146" i="13"/>
  <c r="W140" i="13"/>
  <c r="W134" i="13"/>
  <c r="W153" i="13"/>
  <c r="W147" i="13"/>
  <c r="W145" i="13"/>
  <c r="W138" i="13"/>
  <c r="W142" i="13"/>
  <c r="W149" i="13"/>
  <c r="V139" i="13"/>
  <c r="U139" i="13" s="1"/>
  <c r="W143" i="13"/>
  <c r="W148" i="13"/>
  <c r="AD41" i="13" s="1"/>
  <c r="AH41" i="13" s="1"/>
  <c r="AD42" i="13"/>
  <c r="AH42" i="13" s="1"/>
  <c r="AD48" i="13"/>
  <c r="AH48" i="13" s="1"/>
  <c r="AD54" i="13"/>
  <c r="AH54" i="13" s="1"/>
  <c r="U71" i="13"/>
  <c r="V73" i="13"/>
  <c r="U73" i="13" s="1"/>
  <c r="V79" i="13"/>
  <c r="U79" i="13" s="1"/>
  <c r="V85" i="13"/>
  <c r="U85" i="13" s="1"/>
  <c r="W102" i="13"/>
  <c r="V113" i="13"/>
  <c r="U113" i="13" s="1"/>
  <c r="V124" i="13"/>
  <c r="U124" i="13" s="1"/>
  <c r="V135" i="13"/>
  <c r="U135" i="13" s="1"/>
  <c r="W139" i="13"/>
  <c r="V151" i="13"/>
  <c r="U151" i="13" s="1"/>
  <c r="AD170" i="13"/>
  <c r="AH170" i="13" s="1"/>
  <c r="AG54" i="13"/>
  <c r="V108" i="13"/>
  <c r="U108" i="13" s="1"/>
  <c r="W113" i="13"/>
  <c r="V117" i="13"/>
  <c r="U117" i="13" s="1"/>
  <c r="W124" i="13"/>
  <c r="V133" i="13"/>
  <c r="U133" i="13" s="1"/>
  <c r="W135" i="13"/>
  <c r="W151" i="13"/>
  <c r="V154" i="13"/>
  <c r="U154" i="13" s="1"/>
  <c r="AD165" i="13"/>
  <c r="AH165" i="13" s="1"/>
  <c r="V244" i="13"/>
  <c r="U244" i="13" s="1"/>
  <c r="AH233" i="13"/>
  <c r="AD212" i="13"/>
  <c r="AH212" i="13" s="1"/>
  <c r="AD208" i="13"/>
  <c r="AH208" i="13" s="1"/>
  <c r="AD204" i="13"/>
  <c r="AH204" i="13" s="1"/>
  <c r="AD200" i="13"/>
  <c r="AH200" i="13" s="1"/>
  <c r="AD196" i="13"/>
  <c r="AH196" i="13" s="1"/>
  <c r="AD192" i="13"/>
  <c r="AH192" i="13" s="1"/>
  <c r="AD213" i="13"/>
  <c r="AH213" i="13" s="1"/>
  <c r="AD201" i="13"/>
  <c r="AH201" i="13" s="1"/>
  <c r="AD211" i="13"/>
  <c r="AH211" i="13" s="1"/>
  <c r="AD199" i="13"/>
  <c r="AH199" i="13" s="1"/>
  <c r="AD193" i="13"/>
  <c r="AH193" i="13" s="1"/>
  <c r="AD197" i="13"/>
  <c r="AH197" i="13" s="1"/>
  <c r="AD206" i="13"/>
  <c r="AH206" i="13" s="1"/>
  <c r="AH250" i="13"/>
  <c r="AH269" i="13"/>
  <c r="U161" i="13"/>
  <c r="V163" i="13"/>
  <c r="U163" i="13" s="1"/>
  <c r="V169" i="13"/>
  <c r="U169" i="13" s="1"/>
  <c r="V173" i="13"/>
  <c r="U173" i="13" s="1"/>
  <c r="AD209" i="13"/>
  <c r="AH209" i="13" s="1"/>
  <c r="AH267" i="13"/>
  <c r="V176" i="13"/>
  <c r="U176" i="13" s="1"/>
  <c r="V180" i="13"/>
  <c r="U180" i="13" s="1"/>
  <c r="V211" i="13"/>
  <c r="U211" i="13" s="1"/>
  <c r="V205" i="13"/>
  <c r="U205" i="13" s="1"/>
  <c r="V199" i="13"/>
  <c r="U199" i="13" s="1"/>
  <c r="V193" i="13"/>
  <c r="U193" i="13" s="1"/>
  <c r="V214" i="13"/>
  <c r="U214" i="13" s="1"/>
  <c r="V202" i="13"/>
  <c r="U202" i="13" s="1"/>
  <c r="V210" i="13"/>
  <c r="U210" i="13" s="1"/>
  <c r="V206" i="13"/>
  <c r="U206" i="13" s="1"/>
  <c r="V198" i="13"/>
  <c r="U198" i="13" s="1"/>
  <c r="V194" i="13"/>
  <c r="U194" i="13" s="1"/>
  <c r="V209" i="13"/>
  <c r="U209" i="13" s="1"/>
  <c r="V197" i="13"/>
  <c r="U197" i="13" s="1"/>
  <c r="U191" i="13"/>
  <c r="AD210" i="13"/>
  <c r="AH210" i="13" s="1"/>
  <c r="W183" i="13"/>
  <c r="W177" i="13"/>
  <c r="W171" i="13"/>
  <c r="V162" i="13"/>
  <c r="U162" i="13" s="1"/>
  <c r="V168" i="13"/>
  <c r="U168" i="13" s="1"/>
  <c r="V172" i="13"/>
  <c r="U172" i="13" s="1"/>
  <c r="W176" i="13"/>
  <c r="W180" i="13"/>
  <c r="W210" i="13"/>
  <c r="W206" i="13"/>
  <c r="W198" i="13"/>
  <c r="W194" i="13"/>
  <c r="W207" i="13"/>
  <c r="W208" i="13"/>
  <c r="W205" i="13"/>
  <c r="W193" i="13"/>
  <c r="AD194" i="13"/>
  <c r="AH194" i="13" s="1"/>
  <c r="AH244" i="13"/>
  <c r="W236" i="13"/>
  <c r="W239" i="13"/>
  <c r="W242" i="13"/>
  <c r="W256" i="13"/>
  <c r="W276" i="13"/>
  <c r="W275" i="13"/>
  <c r="AG210" i="13"/>
  <c r="W273" i="13"/>
  <c r="W261" i="13"/>
  <c r="W272" i="13"/>
  <c r="W260" i="13"/>
  <c r="W271" i="13"/>
  <c r="W259" i="13"/>
  <c r="W268" i="13"/>
  <c r="W252" i="13"/>
  <c r="W232" i="13"/>
  <c r="W237" i="13"/>
  <c r="W240" i="13"/>
  <c r="W248" i="13"/>
  <c r="W253" i="13"/>
  <c r="W278" i="13"/>
  <c r="AG209" i="13"/>
  <c r="AG203" i="13"/>
  <c r="AG197" i="13"/>
  <c r="AG201" i="13"/>
  <c r="AG213" i="13"/>
  <c r="W243" i="13"/>
  <c r="W257" i="13"/>
  <c r="W274" i="13"/>
  <c r="AG191" i="13" s="1"/>
  <c r="AG192" i="13"/>
  <c r="W250" i="13"/>
  <c r="W267" i="13"/>
  <c r="W277" i="13"/>
  <c r="BH25" i="13" l="1"/>
  <c r="BH30" i="13"/>
  <c r="BH12" i="13"/>
  <c r="BH22" i="13"/>
  <c r="BH16" i="13"/>
  <c r="BH27" i="13"/>
  <c r="BH29" i="13"/>
  <c r="BH18" i="13"/>
  <c r="BH19" i="13"/>
  <c r="BJ170" i="13"/>
  <c r="BJ43" i="13"/>
  <c r="BJ206" i="13"/>
  <c r="BJ195" i="13"/>
  <c r="BJ132" i="13"/>
  <c r="BJ239" i="13"/>
  <c r="AH161" i="13"/>
  <c r="AH101" i="13"/>
  <c r="BJ264" i="13"/>
  <c r="BJ137" i="13"/>
  <c r="BJ133" i="13"/>
  <c r="BJ237" i="13"/>
  <c r="BH26" i="13"/>
  <c r="BJ262" i="13"/>
  <c r="BJ44" i="13"/>
  <c r="BJ112" i="13"/>
  <c r="BJ175" i="13"/>
  <c r="BH23" i="13"/>
  <c r="BH33" i="13"/>
  <c r="AH131" i="13"/>
  <c r="AI131" i="13" s="1"/>
  <c r="AL131" i="13" s="1"/>
  <c r="BH34" i="13"/>
  <c r="BJ116" i="13"/>
  <c r="BJ192" i="13"/>
  <c r="BJ247" i="13"/>
  <c r="AI260" i="13"/>
  <c r="AJ260" i="13" s="1"/>
  <c r="BJ260" i="13" s="1"/>
  <c r="AI246" i="13"/>
  <c r="AL246" i="13" s="1"/>
  <c r="AP246" i="13" s="1"/>
  <c r="AI238" i="13"/>
  <c r="AI251" i="13"/>
  <c r="AL251" i="13" s="1"/>
  <c r="AI247" i="13"/>
  <c r="AJ247" i="13" s="1"/>
  <c r="AI243" i="13"/>
  <c r="AJ243" i="13" s="1"/>
  <c r="BJ243" i="13" s="1"/>
  <c r="AI60" i="13"/>
  <c r="AJ60" i="13" s="1"/>
  <c r="BJ60" i="13" s="1"/>
  <c r="AI41" i="13"/>
  <c r="AJ41" i="13" s="1"/>
  <c r="BJ41" i="13" s="1"/>
  <c r="AI263" i="13"/>
  <c r="AL263" i="13" s="1"/>
  <c r="AI202" i="13"/>
  <c r="AL202" i="13" s="1"/>
  <c r="AI240" i="13"/>
  <c r="AL240" i="13" s="1"/>
  <c r="AI278" i="13"/>
  <c r="AL278" i="13" s="1"/>
  <c r="AI57" i="13"/>
  <c r="AL57" i="13" s="1"/>
  <c r="AP57" i="13" s="1"/>
  <c r="AI275" i="13"/>
  <c r="AL275" i="13" s="1"/>
  <c r="AI264" i="13"/>
  <c r="AJ264" i="13" s="1"/>
  <c r="AI274" i="13"/>
  <c r="AJ274" i="13" s="1"/>
  <c r="BJ274" i="13" s="1"/>
  <c r="AI61" i="13"/>
  <c r="AL61" i="13" s="1"/>
  <c r="AI261" i="13"/>
  <c r="AJ261" i="13" s="1"/>
  <c r="BJ261" i="13" s="1"/>
  <c r="AI259" i="13"/>
  <c r="AL259" i="13" s="1"/>
  <c r="AI276" i="13"/>
  <c r="AL276" i="13" s="1"/>
  <c r="AP276" i="13" s="1"/>
  <c r="AI234" i="13"/>
  <c r="AL234" i="13" s="1"/>
  <c r="AI271" i="13"/>
  <c r="AJ271" i="13" s="1"/>
  <c r="BJ271" i="13" s="1"/>
  <c r="AI17" i="13"/>
  <c r="AJ17" i="13" s="1"/>
  <c r="BJ17" i="13" s="1"/>
  <c r="AI232" i="13"/>
  <c r="AL232" i="13" s="1"/>
  <c r="AI241" i="13"/>
  <c r="AJ241" i="13" s="1"/>
  <c r="BJ241" i="13" s="1"/>
  <c r="AI236" i="13"/>
  <c r="AL236" i="13" s="1"/>
  <c r="AI45" i="13"/>
  <c r="AL45" i="13" s="1"/>
  <c r="AO45" i="13" s="1"/>
  <c r="AI233" i="13"/>
  <c r="AL233" i="13" s="1"/>
  <c r="AI27" i="13"/>
  <c r="AJ27" i="13" s="1"/>
  <c r="AI237" i="13"/>
  <c r="AJ237" i="13" s="1"/>
  <c r="AI254" i="13"/>
  <c r="AJ254" i="13" s="1"/>
  <c r="BJ254" i="13" s="1"/>
  <c r="AI55" i="13"/>
  <c r="AL55" i="13" s="1"/>
  <c r="AI49" i="13"/>
  <c r="AL49" i="13" s="1"/>
  <c r="AI51" i="13"/>
  <c r="AL51" i="13" s="1"/>
  <c r="AO51" i="13" s="1"/>
  <c r="AI248" i="13"/>
  <c r="AJ248" i="13" s="1"/>
  <c r="BJ248" i="13" s="1"/>
  <c r="AI272" i="13"/>
  <c r="AL272" i="13" s="1"/>
  <c r="AP272" i="13" s="1"/>
  <c r="AI239" i="13"/>
  <c r="AJ239" i="13" s="1"/>
  <c r="AI262" i="13"/>
  <c r="AJ262" i="13" s="1"/>
  <c r="AI195" i="13"/>
  <c r="AJ195" i="13" s="1"/>
  <c r="AI242" i="13"/>
  <c r="AJ242" i="13" s="1"/>
  <c r="BJ242" i="13" s="1"/>
  <c r="AI74" i="13"/>
  <c r="AL74" i="13" s="1"/>
  <c r="AI273" i="13"/>
  <c r="AJ273" i="13" s="1"/>
  <c r="BJ273" i="13" s="1"/>
  <c r="AI205" i="13"/>
  <c r="AL205" i="13" s="1"/>
  <c r="AI253" i="13"/>
  <c r="AL253" i="13" s="1"/>
  <c r="AO253" i="13" s="1"/>
  <c r="AI163" i="13"/>
  <c r="AL163" i="13" s="1"/>
  <c r="AI199" i="13"/>
  <c r="AL199" i="13" s="1"/>
  <c r="AI21" i="13"/>
  <c r="AJ21" i="13" s="1"/>
  <c r="AI191" i="13"/>
  <c r="AL191" i="13" s="1"/>
  <c r="AI115" i="13"/>
  <c r="AJ115" i="13" s="1"/>
  <c r="BJ115" i="13" s="1"/>
  <c r="AI252" i="13"/>
  <c r="AJ252" i="13" s="1"/>
  <c r="BJ252" i="13" s="1"/>
  <c r="AJ231" i="13"/>
  <c r="BJ231" i="13" s="1"/>
  <c r="AI43" i="13"/>
  <c r="AJ43" i="13" s="1"/>
  <c r="AI47" i="13"/>
  <c r="AL47" i="13" s="1"/>
  <c r="AP47" i="13" s="1"/>
  <c r="AI52" i="13"/>
  <c r="AL52" i="13" s="1"/>
  <c r="AI192" i="13"/>
  <c r="AJ192" i="13" s="1"/>
  <c r="AI214" i="13"/>
  <c r="AL214" i="13" s="1"/>
  <c r="AP214" i="13" s="1"/>
  <c r="AI250" i="13"/>
  <c r="AL250" i="13" s="1"/>
  <c r="AI50" i="13"/>
  <c r="AL50" i="13" s="1"/>
  <c r="AI207" i="13"/>
  <c r="AL207" i="13" s="1"/>
  <c r="AI265" i="13"/>
  <c r="AL265" i="13" s="1"/>
  <c r="AI64" i="13"/>
  <c r="AL64" i="13" s="1"/>
  <c r="AI196" i="13"/>
  <c r="AL196" i="13" s="1"/>
  <c r="AI171" i="13"/>
  <c r="AL171" i="13" s="1"/>
  <c r="AI71" i="13"/>
  <c r="AL71" i="13" s="1"/>
  <c r="AI58" i="13"/>
  <c r="AL58" i="13" s="1"/>
  <c r="AP58" i="13" s="1"/>
  <c r="AI149" i="13"/>
  <c r="AL149" i="13" s="1"/>
  <c r="AI249" i="13"/>
  <c r="AJ249" i="13" s="1"/>
  <c r="BJ249" i="13" s="1"/>
  <c r="AI266" i="13"/>
  <c r="AL266" i="13" s="1"/>
  <c r="AI270" i="13"/>
  <c r="AL270" i="13" s="1"/>
  <c r="AI12" i="13"/>
  <c r="AJ12" i="13" s="1"/>
  <c r="AI165" i="13"/>
  <c r="AJ165" i="13" s="1"/>
  <c r="BJ165" i="13" s="1"/>
  <c r="AI193" i="13"/>
  <c r="AJ193" i="13" s="1"/>
  <c r="BJ193" i="13" s="1"/>
  <c r="AI32" i="13"/>
  <c r="AL32" i="13" s="1"/>
  <c r="AI56" i="13"/>
  <c r="AL56" i="13" s="1"/>
  <c r="AI44" i="13"/>
  <c r="AJ44" i="13" s="1"/>
  <c r="AI178" i="13"/>
  <c r="AJ178" i="13" s="1"/>
  <c r="BJ178" i="13" s="1"/>
  <c r="AI133" i="13"/>
  <c r="AJ133" i="13" s="1"/>
  <c r="AI85" i="13"/>
  <c r="AJ85" i="13" s="1"/>
  <c r="BJ85" i="13" s="1"/>
  <c r="AI53" i="13"/>
  <c r="AJ53" i="13" s="1"/>
  <c r="BJ53" i="13" s="1"/>
  <c r="AI170" i="13"/>
  <c r="AJ170" i="13" s="1"/>
  <c r="AI203" i="13"/>
  <c r="AJ203" i="13" s="1"/>
  <c r="BJ203" i="13" s="1"/>
  <c r="AI101" i="13"/>
  <c r="AL101" i="13" s="1"/>
  <c r="AI62" i="13"/>
  <c r="AL62" i="13" s="1"/>
  <c r="AI211" i="13"/>
  <c r="AL211" i="13" s="1"/>
  <c r="AI46" i="13"/>
  <c r="AJ46" i="13" s="1"/>
  <c r="BJ46" i="13" s="1"/>
  <c r="AI245" i="13"/>
  <c r="AI198" i="13"/>
  <c r="AL198" i="13" s="1"/>
  <c r="AJ257" i="13"/>
  <c r="BJ257" i="13" s="1"/>
  <c r="AL257" i="13"/>
  <c r="AP257" i="13" s="1"/>
  <c r="AI59" i="13"/>
  <c r="AL59" i="13" s="1"/>
  <c r="AP59" i="13" s="1"/>
  <c r="AL258" i="13"/>
  <c r="AP258" i="13" s="1"/>
  <c r="AJ258" i="13"/>
  <c r="BJ258" i="13" s="1"/>
  <c r="AL238" i="13"/>
  <c r="AP238" i="13" s="1"/>
  <c r="AJ238" i="13"/>
  <c r="BJ238" i="13" s="1"/>
  <c r="AI124" i="13"/>
  <c r="AJ124" i="13" s="1"/>
  <c r="BJ124" i="13" s="1"/>
  <c r="AI148" i="13"/>
  <c r="AJ148" i="13" s="1"/>
  <c r="BJ148" i="13" s="1"/>
  <c r="AI140" i="13"/>
  <c r="AJ140" i="13" s="1"/>
  <c r="BJ140" i="13" s="1"/>
  <c r="AI89" i="13"/>
  <c r="AL89" i="13" s="1"/>
  <c r="AI116" i="13"/>
  <c r="AJ116" i="13" s="1"/>
  <c r="AI15" i="13"/>
  <c r="AI175" i="13"/>
  <c r="AJ175" i="13" s="1"/>
  <c r="AI182" i="13"/>
  <c r="AL182" i="13" s="1"/>
  <c r="AI132" i="13"/>
  <c r="AJ132" i="13" s="1"/>
  <c r="AI164" i="13"/>
  <c r="AL164" i="13" s="1"/>
  <c r="AI19" i="13"/>
  <c r="AJ19" i="13" s="1"/>
  <c r="AL256" i="13"/>
  <c r="AP256" i="13" s="1"/>
  <c r="AI200" i="13"/>
  <c r="AL200" i="13" s="1"/>
  <c r="AI179" i="13"/>
  <c r="AL179" i="13" s="1"/>
  <c r="AI79" i="13"/>
  <c r="AJ79" i="13" s="1"/>
  <c r="BJ79" i="13" s="1"/>
  <c r="AI147" i="13"/>
  <c r="AL147" i="13" s="1"/>
  <c r="AI81" i="13"/>
  <c r="AL81" i="13" s="1"/>
  <c r="AI82" i="13"/>
  <c r="AJ82" i="13" s="1"/>
  <c r="BJ82" i="13" s="1"/>
  <c r="AI105" i="13"/>
  <c r="AJ105" i="13" s="1"/>
  <c r="BJ105" i="13" s="1"/>
  <c r="AI277" i="13"/>
  <c r="AI141" i="13"/>
  <c r="AJ141" i="13" s="1"/>
  <c r="BJ141" i="13" s="1"/>
  <c r="AI167" i="13"/>
  <c r="AJ167" i="13" s="1"/>
  <c r="BJ167" i="13" s="1"/>
  <c r="AI181" i="13"/>
  <c r="AL181" i="13" s="1"/>
  <c r="AI144" i="13"/>
  <c r="AJ144" i="13" s="1"/>
  <c r="BJ144" i="13" s="1"/>
  <c r="AI204" i="13"/>
  <c r="AL204" i="13" s="1"/>
  <c r="AI162" i="13"/>
  <c r="AL162" i="13" s="1"/>
  <c r="AI177" i="13"/>
  <c r="AL177" i="13" s="1"/>
  <c r="AI180" i="13"/>
  <c r="AL180" i="13" s="1"/>
  <c r="AI136" i="13"/>
  <c r="AL136" i="13" s="1"/>
  <c r="AI154" i="13"/>
  <c r="AJ154" i="13" s="1"/>
  <c r="BJ154" i="13" s="1"/>
  <c r="AI88" i="13"/>
  <c r="AL88" i="13" s="1"/>
  <c r="AI103" i="13"/>
  <c r="AL103" i="13" s="1"/>
  <c r="AI112" i="13"/>
  <c r="AJ112" i="13" s="1"/>
  <c r="AI134" i="13"/>
  <c r="AJ134" i="13" s="1"/>
  <c r="BJ134" i="13" s="1"/>
  <c r="AI268" i="13"/>
  <c r="AL268" i="13" s="1"/>
  <c r="AI210" i="13"/>
  <c r="AL210" i="13" s="1"/>
  <c r="AI269" i="13"/>
  <c r="AJ269" i="13" s="1"/>
  <c r="BJ269" i="13" s="1"/>
  <c r="AI173" i="13"/>
  <c r="AL173" i="13" s="1"/>
  <c r="AI73" i="13"/>
  <c r="AL73" i="13" s="1"/>
  <c r="AI34" i="13"/>
  <c r="AL34" i="13" s="1"/>
  <c r="AI151" i="13"/>
  <c r="AJ151" i="13" s="1"/>
  <c r="BJ151" i="13" s="1"/>
  <c r="AI94" i="13"/>
  <c r="AL94" i="13" s="1"/>
  <c r="AI111" i="13"/>
  <c r="AJ111" i="13" s="1"/>
  <c r="BJ111" i="13" s="1"/>
  <c r="AI104" i="13"/>
  <c r="AL104" i="13" s="1"/>
  <c r="AI208" i="13"/>
  <c r="AL208" i="13" s="1"/>
  <c r="AI20" i="13"/>
  <c r="AL20" i="13" s="1"/>
  <c r="AI209" i="13"/>
  <c r="AJ209" i="13" s="1"/>
  <c r="BJ209" i="13" s="1"/>
  <c r="AI206" i="13"/>
  <c r="AJ206" i="13" s="1"/>
  <c r="AI212" i="13"/>
  <c r="AJ212" i="13" s="1"/>
  <c r="BJ212" i="13" s="1"/>
  <c r="AI184" i="13"/>
  <c r="AJ184" i="13" s="1"/>
  <c r="BJ184" i="13" s="1"/>
  <c r="AI172" i="13"/>
  <c r="AJ172" i="13" s="1"/>
  <c r="BJ172" i="13" s="1"/>
  <c r="AI30" i="13"/>
  <c r="AL30" i="13" s="1"/>
  <c r="AI137" i="13"/>
  <c r="AJ137" i="13" s="1"/>
  <c r="AI118" i="13"/>
  <c r="AL118" i="13" s="1"/>
  <c r="AI109" i="13"/>
  <c r="AL109" i="13" s="1"/>
  <c r="AI13" i="13"/>
  <c r="AJ13" i="13" s="1"/>
  <c r="AI194" i="13"/>
  <c r="AJ194" i="13" s="1"/>
  <c r="BJ194" i="13" s="1"/>
  <c r="AI235" i="13"/>
  <c r="AL235" i="13" s="1"/>
  <c r="AI139" i="13"/>
  <c r="AJ139" i="13" s="1"/>
  <c r="BJ139" i="13" s="1"/>
  <c r="AI14" i="13"/>
  <c r="AL14" i="13" s="1"/>
  <c r="AI72" i="13"/>
  <c r="AJ72" i="13" s="1"/>
  <c r="BJ72" i="13" s="1"/>
  <c r="AI63" i="13"/>
  <c r="AI161" i="13"/>
  <c r="AJ161" i="13" s="1"/>
  <c r="BJ161" i="13" s="1"/>
  <c r="AI48" i="13"/>
  <c r="AJ48" i="13" s="1"/>
  <c r="BJ48" i="13" s="1"/>
  <c r="AI42" i="13"/>
  <c r="AL42" i="13" s="1"/>
  <c r="AI24" i="13"/>
  <c r="AL24" i="13" s="1"/>
  <c r="AI244" i="13"/>
  <c r="AJ244" i="13" s="1"/>
  <c r="BJ244" i="13" s="1"/>
  <c r="AI267" i="13"/>
  <c r="AL267" i="13" s="1"/>
  <c r="AI23" i="13"/>
  <c r="AI76" i="13"/>
  <c r="AI123" i="13"/>
  <c r="AI150" i="13"/>
  <c r="AI114" i="13"/>
  <c r="AO231" i="13"/>
  <c r="AP231" i="13"/>
  <c r="AI54" i="13"/>
  <c r="AI93" i="13"/>
  <c r="AI16" i="13"/>
  <c r="AD11" i="13"/>
  <c r="AH11" i="13" s="1"/>
  <c r="AI11" i="13" s="1"/>
  <c r="AI18" i="13"/>
  <c r="AI146" i="13"/>
  <c r="AI91" i="13"/>
  <c r="AI135" i="13"/>
  <c r="AI197" i="13"/>
  <c r="AI169" i="13"/>
  <c r="AI168" i="13"/>
  <c r="AI174" i="13"/>
  <c r="AI28" i="13"/>
  <c r="AI152" i="13"/>
  <c r="AI143" i="13"/>
  <c r="AI120" i="13"/>
  <c r="AI107" i="13"/>
  <c r="AI166" i="13"/>
  <c r="AI22" i="13"/>
  <c r="AI142" i="13"/>
  <c r="AI78" i="13"/>
  <c r="AI110" i="13"/>
  <c r="AI113" i="13"/>
  <c r="AI153" i="13"/>
  <c r="AI80" i="13"/>
  <c r="AI84" i="13"/>
  <c r="AI106" i="13"/>
  <c r="AI119" i="13"/>
  <c r="AI122" i="13"/>
  <c r="AI25" i="13"/>
  <c r="AI138" i="13"/>
  <c r="AI90" i="13"/>
  <c r="AI108" i="13"/>
  <c r="AI201" i="13"/>
  <c r="U275" i="13"/>
  <c r="U263" i="13"/>
  <c r="U274" i="13"/>
  <c r="U262" i="13"/>
  <c r="U273" i="13"/>
  <c r="U261" i="13"/>
  <c r="U270" i="13"/>
  <c r="U258" i="13"/>
  <c r="U257" i="13"/>
  <c r="U256" i="13"/>
  <c r="U255" i="13"/>
  <c r="U254" i="13"/>
  <c r="U276" i="13"/>
  <c r="U277" i="13"/>
  <c r="U271" i="13"/>
  <c r="U267" i="13"/>
  <c r="U278" i="13"/>
  <c r="U272" i="13"/>
  <c r="U264" i="13"/>
  <c r="U260" i="13"/>
  <c r="U269" i="13"/>
  <c r="U266" i="13"/>
  <c r="U265" i="13"/>
  <c r="U259" i="13"/>
  <c r="U268" i="13"/>
  <c r="AI176" i="13"/>
  <c r="AI87" i="13"/>
  <c r="AI29" i="13"/>
  <c r="AI92" i="13"/>
  <c r="AI31" i="13"/>
  <c r="AI86" i="13"/>
  <c r="AI145" i="13"/>
  <c r="AI77" i="13"/>
  <c r="AI117" i="13"/>
  <c r="AL255" i="13"/>
  <c r="AJ255" i="13"/>
  <c r="BJ255" i="13" s="1"/>
  <c r="AI213" i="13"/>
  <c r="AI183" i="13"/>
  <c r="AI102" i="13"/>
  <c r="AI33" i="13"/>
  <c r="AI75" i="13"/>
  <c r="AI26" i="13"/>
  <c r="AI83" i="13"/>
  <c r="AI121" i="13"/>
  <c r="BJ27" i="13" l="1"/>
  <c r="BQ231" i="13"/>
  <c r="BT231" i="13" s="1"/>
  <c r="BM231" i="13"/>
  <c r="BP231" i="13" s="1"/>
  <c r="BJ31" i="13"/>
  <c r="BJ19" i="13"/>
  <c r="BJ21" i="13"/>
  <c r="BJ12" i="13"/>
  <c r="BJ13" i="13"/>
  <c r="AJ205" i="13"/>
  <c r="BJ205" i="13" s="1"/>
  <c r="AJ259" i="13"/>
  <c r="BJ259" i="13" s="1"/>
  <c r="AL243" i="13"/>
  <c r="AL247" i="13"/>
  <c r="AJ74" i="13"/>
  <c r="BJ74" i="13" s="1"/>
  <c r="AL60" i="13"/>
  <c r="AP60" i="13" s="1"/>
  <c r="AL254" i="13"/>
  <c r="AP254" i="13" s="1"/>
  <c r="AL260" i="13"/>
  <c r="AP260" i="13" s="1"/>
  <c r="AL195" i="13"/>
  <c r="AO195" i="13" s="1"/>
  <c r="AJ251" i="13"/>
  <c r="BJ251" i="13" s="1"/>
  <c r="AJ246" i="13"/>
  <c r="BJ246" i="13" s="1"/>
  <c r="AJ263" i="13"/>
  <c r="BJ263" i="13" s="1"/>
  <c r="AJ202" i="13"/>
  <c r="BJ202" i="13" s="1"/>
  <c r="AL237" i="13"/>
  <c r="AO237" i="13" s="1"/>
  <c r="AJ32" i="13"/>
  <c r="BJ32" i="13" s="1"/>
  <c r="AJ45" i="13"/>
  <c r="BJ45" i="13" s="1"/>
  <c r="AJ275" i="13"/>
  <c r="BJ275" i="13" s="1"/>
  <c r="AL43" i="13"/>
  <c r="AP43" i="13" s="1"/>
  <c r="AL41" i="13"/>
  <c r="AO41" i="13" s="1"/>
  <c r="AP45" i="13"/>
  <c r="AQ45" i="13" s="1"/>
  <c r="AR45" i="13" s="1"/>
  <c r="AJ240" i="13"/>
  <c r="BJ240" i="13" s="1"/>
  <c r="AJ278" i="13"/>
  <c r="BJ278" i="13" s="1"/>
  <c r="AL46" i="13"/>
  <c r="AO46" i="13" s="1"/>
  <c r="AJ61" i="13"/>
  <c r="BJ61" i="13" s="1"/>
  <c r="AL111" i="13"/>
  <c r="AO111" i="13" s="1"/>
  <c r="AJ56" i="13"/>
  <c r="BJ56" i="13" s="1"/>
  <c r="AL242" i="13"/>
  <c r="AP242" i="13" s="1"/>
  <c r="AL252" i="13"/>
  <c r="AP252" i="13" s="1"/>
  <c r="AJ171" i="13"/>
  <c r="BJ171" i="13" s="1"/>
  <c r="AL27" i="13"/>
  <c r="AP27" i="13" s="1"/>
  <c r="AJ94" i="13"/>
  <c r="BJ94" i="13" s="1"/>
  <c r="AJ131" i="13"/>
  <c r="BJ131" i="13" s="1"/>
  <c r="AJ233" i="13"/>
  <c r="BJ233" i="13" s="1"/>
  <c r="AL264" i="13"/>
  <c r="AP264" i="13" s="1"/>
  <c r="AL241" i="13"/>
  <c r="AP241" i="13" s="1"/>
  <c r="AO57" i="13"/>
  <c r="AQ57" i="13" s="1"/>
  <c r="AR57" i="13" s="1"/>
  <c r="AL161" i="13"/>
  <c r="AP161" i="13" s="1"/>
  <c r="AJ236" i="13"/>
  <c r="BJ236" i="13" s="1"/>
  <c r="AO58" i="13"/>
  <c r="AQ58" i="13" s="1"/>
  <c r="AR58" i="13" s="1"/>
  <c r="AJ57" i="13"/>
  <c r="BJ57" i="13" s="1"/>
  <c r="AL273" i="13"/>
  <c r="AO273" i="13" s="1"/>
  <c r="AL178" i="13"/>
  <c r="AP178" i="13" s="1"/>
  <c r="AJ55" i="13"/>
  <c r="BJ55" i="13" s="1"/>
  <c r="AJ234" i="13"/>
  <c r="BJ234" i="13" s="1"/>
  <c r="AL17" i="13"/>
  <c r="AO17" i="13" s="1"/>
  <c r="AJ232" i="13"/>
  <c r="BJ232" i="13" s="1"/>
  <c r="AJ49" i="13"/>
  <c r="BJ49" i="13" s="1"/>
  <c r="AJ276" i="13"/>
  <c r="BJ276" i="13" s="1"/>
  <c r="AL132" i="13"/>
  <c r="AP132" i="13" s="1"/>
  <c r="AJ103" i="13"/>
  <c r="BJ103" i="13" s="1"/>
  <c r="AL192" i="13"/>
  <c r="AP192" i="13" s="1"/>
  <c r="AL137" i="13"/>
  <c r="AP137" i="13" s="1"/>
  <c r="AL261" i="13"/>
  <c r="AP261" i="13" s="1"/>
  <c r="AL274" i="13"/>
  <c r="AP274" i="13" s="1"/>
  <c r="AO276" i="13"/>
  <c r="AQ276" i="13" s="1"/>
  <c r="AR276" i="13" s="1"/>
  <c r="AL271" i="13"/>
  <c r="AP271" i="13" s="1"/>
  <c r="AL239" i="13"/>
  <c r="AP239" i="13" s="1"/>
  <c r="AJ196" i="13"/>
  <c r="BJ196" i="13" s="1"/>
  <c r="AL262" i="13"/>
  <c r="AO262" i="13" s="1"/>
  <c r="AP51" i="13"/>
  <c r="AQ51" i="13" s="1"/>
  <c r="AR51" i="13" s="1"/>
  <c r="AL134" i="13"/>
  <c r="AO134" i="13" s="1"/>
  <c r="AJ118" i="13"/>
  <c r="BJ118" i="13" s="1"/>
  <c r="AJ104" i="13"/>
  <c r="BJ104" i="13" s="1"/>
  <c r="AL141" i="13"/>
  <c r="AP141" i="13" s="1"/>
  <c r="AJ272" i="13"/>
  <c r="BJ272" i="13" s="1"/>
  <c r="AL53" i="13"/>
  <c r="AP53" i="13" s="1"/>
  <c r="AJ253" i="13"/>
  <c r="BJ253" i="13" s="1"/>
  <c r="AJ265" i="13"/>
  <c r="BJ265" i="13" s="1"/>
  <c r="AJ101" i="13"/>
  <c r="BJ101" i="13" s="1"/>
  <c r="AL19" i="13"/>
  <c r="AO19" i="13" s="1"/>
  <c r="AL21" i="13"/>
  <c r="AP21" i="13" s="1"/>
  <c r="AL248" i="13"/>
  <c r="AP248" i="13" s="1"/>
  <c r="AJ191" i="13"/>
  <c r="BJ191" i="13" s="1"/>
  <c r="AJ199" i="13"/>
  <c r="BJ199" i="13" s="1"/>
  <c r="AL165" i="13"/>
  <c r="AP165" i="13" s="1"/>
  <c r="AJ182" i="13"/>
  <c r="BJ182" i="13" s="1"/>
  <c r="AJ163" i="13"/>
  <c r="BJ163" i="13" s="1"/>
  <c r="AL144" i="13"/>
  <c r="AP144" i="13" s="1"/>
  <c r="AO272" i="13"/>
  <c r="AQ272" i="13" s="1"/>
  <c r="AR272" i="13" s="1"/>
  <c r="AJ51" i="13"/>
  <c r="BJ51" i="13" s="1"/>
  <c r="AL193" i="13"/>
  <c r="AP193" i="13" s="1"/>
  <c r="AJ200" i="13"/>
  <c r="BJ200" i="13" s="1"/>
  <c r="AL12" i="13"/>
  <c r="AP12" i="13" s="1"/>
  <c r="AJ62" i="13"/>
  <c r="BJ62" i="13" s="1"/>
  <c r="AL148" i="13"/>
  <c r="AP148" i="13" s="1"/>
  <c r="AL203" i="13"/>
  <c r="AP203" i="13" s="1"/>
  <c r="AJ64" i="13"/>
  <c r="BJ64" i="13" s="1"/>
  <c r="AL140" i="13"/>
  <c r="AO140" i="13" s="1"/>
  <c r="AO256" i="13"/>
  <c r="AQ256" i="13" s="1"/>
  <c r="AR256" i="13" s="1"/>
  <c r="AL124" i="13"/>
  <c r="AP124" i="13" s="1"/>
  <c r="AL105" i="13"/>
  <c r="AO105" i="13" s="1"/>
  <c r="AO238" i="13"/>
  <c r="AQ238" i="13" s="1"/>
  <c r="AR238" i="13" s="1"/>
  <c r="AL115" i="13"/>
  <c r="AP115" i="13" s="1"/>
  <c r="AJ88" i="13"/>
  <c r="BJ88" i="13" s="1"/>
  <c r="AL249" i="13"/>
  <c r="AP249" i="13" s="1"/>
  <c r="AO47" i="13"/>
  <c r="AQ47" i="13" s="1"/>
  <c r="AR47" i="13" s="1"/>
  <c r="AJ214" i="13"/>
  <c r="BJ214" i="13" s="1"/>
  <c r="AL194" i="13"/>
  <c r="AP194" i="13" s="1"/>
  <c r="AJ211" i="13"/>
  <c r="BJ211" i="13" s="1"/>
  <c r="AJ109" i="13"/>
  <c r="BJ109" i="13" s="1"/>
  <c r="AP207" i="13"/>
  <c r="AO207" i="13"/>
  <c r="AQ207" i="13" s="1"/>
  <c r="AR207" i="13" s="1"/>
  <c r="AP50" i="13"/>
  <c r="AO50" i="13"/>
  <c r="AO52" i="13"/>
  <c r="AP52" i="13"/>
  <c r="AJ149" i="13"/>
  <c r="BJ149" i="13" s="1"/>
  <c r="AO214" i="13"/>
  <c r="AQ214" i="13" s="1"/>
  <c r="AR214" i="13" s="1"/>
  <c r="AJ207" i="13"/>
  <c r="BJ207" i="13" s="1"/>
  <c r="AJ250" i="13"/>
  <c r="BJ250" i="13" s="1"/>
  <c r="AL139" i="13"/>
  <c r="AO139" i="13" s="1"/>
  <c r="AJ50" i="13"/>
  <c r="BJ50" i="13" s="1"/>
  <c r="AJ52" i="13"/>
  <c r="BJ52" i="13" s="1"/>
  <c r="AJ81" i="13"/>
  <c r="BJ81" i="13" s="1"/>
  <c r="AJ147" i="13"/>
  <c r="BJ147" i="13" s="1"/>
  <c r="AJ20" i="13"/>
  <c r="BJ20" i="13" s="1"/>
  <c r="AJ47" i="13"/>
  <c r="BJ47" i="13" s="1"/>
  <c r="AJ268" i="13"/>
  <c r="BJ268" i="13" s="1"/>
  <c r="AL112" i="13"/>
  <c r="AO112" i="13" s="1"/>
  <c r="AL116" i="13"/>
  <c r="AP116" i="13" s="1"/>
  <c r="AL72" i="13"/>
  <c r="AP72" i="13" s="1"/>
  <c r="AL170" i="13"/>
  <c r="AO170" i="13" s="1"/>
  <c r="AL85" i="13"/>
  <c r="AP85" i="13" s="1"/>
  <c r="AL154" i="13"/>
  <c r="AP154" i="13" s="1"/>
  <c r="AL175" i="13"/>
  <c r="AO175" i="13" s="1"/>
  <c r="AJ136" i="13"/>
  <c r="BJ136" i="13" s="1"/>
  <c r="AL206" i="13"/>
  <c r="AP206" i="13" s="1"/>
  <c r="AJ198" i="13"/>
  <c r="BJ198" i="13" s="1"/>
  <c r="AJ73" i="13"/>
  <c r="BJ73" i="13" s="1"/>
  <c r="AJ58" i="13"/>
  <c r="BJ58" i="13" s="1"/>
  <c r="AL133" i="13"/>
  <c r="AO133" i="13" s="1"/>
  <c r="AJ266" i="13"/>
  <c r="BJ266" i="13" s="1"/>
  <c r="AL184" i="13"/>
  <c r="AP184" i="13" s="1"/>
  <c r="AJ173" i="13"/>
  <c r="BJ173" i="13" s="1"/>
  <c r="AJ180" i="13"/>
  <c r="BJ180" i="13" s="1"/>
  <c r="AJ71" i="13"/>
  <c r="BJ71" i="13" s="1"/>
  <c r="AL44" i="13"/>
  <c r="AL151" i="13"/>
  <c r="AP151" i="13" s="1"/>
  <c r="AJ34" i="13"/>
  <c r="BJ34" i="13" s="1"/>
  <c r="AJ14" i="13"/>
  <c r="BJ14" i="13" s="1"/>
  <c r="AL245" i="13"/>
  <c r="AJ245" i="13"/>
  <c r="BJ245" i="13" s="1"/>
  <c r="AP253" i="13"/>
  <c r="AQ253" i="13" s="1"/>
  <c r="AR253" i="13" s="1"/>
  <c r="AJ30" i="13"/>
  <c r="BJ30" i="13" s="1"/>
  <c r="AJ270" i="13"/>
  <c r="BJ270" i="13" s="1"/>
  <c r="AJ177" i="13"/>
  <c r="BJ177" i="13" s="1"/>
  <c r="AJ24" i="13"/>
  <c r="BJ24" i="13" s="1"/>
  <c r="AL82" i="13"/>
  <c r="AP82" i="13" s="1"/>
  <c r="AJ181" i="13"/>
  <c r="BJ181" i="13" s="1"/>
  <c r="AP195" i="13"/>
  <c r="AQ195" i="13" s="1"/>
  <c r="AR195" i="13" s="1"/>
  <c r="AJ235" i="13"/>
  <c r="BJ235" i="13" s="1"/>
  <c r="AO257" i="13"/>
  <c r="AQ257" i="13" s="1"/>
  <c r="AR257" i="13" s="1"/>
  <c r="AJ162" i="13"/>
  <c r="BJ162" i="13" s="1"/>
  <c r="AL167" i="13"/>
  <c r="AP167" i="13" s="1"/>
  <c r="AJ277" i="13"/>
  <c r="BJ277" i="13" s="1"/>
  <c r="AL277" i="13"/>
  <c r="AP277" i="13" s="1"/>
  <c r="AO246" i="13"/>
  <c r="AQ246" i="13" s="1"/>
  <c r="AR246" i="13" s="1"/>
  <c r="AJ208" i="13"/>
  <c r="BJ208" i="13" s="1"/>
  <c r="AL79" i="13"/>
  <c r="AO79" i="13" s="1"/>
  <c r="AL244" i="13"/>
  <c r="AP244" i="13" s="1"/>
  <c r="AJ210" i="13"/>
  <c r="BJ210" i="13" s="1"/>
  <c r="AL13" i="13"/>
  <c r="AP13" i="13" s="1"/>
  <c r="AJ179" i="13"/>
  <c r="BJ179" i="13" s="1"/>
  <c r="AJ204" i="13"/>
  <c r="BJ204" i="13" s="1"/>
  <c r="AL209" i="13"/>
  <c r="AP209" i="13" s="1"/>
  <c r="AJ89" i="13"/>
  <c r="BJ89" i="13" s="1"/>
  <c r="AJ164" i="13"/>
  <c r="BJ164" i="13" s="1"/>
  <c r="AL63" i="13"/>
  <c r="AJ63" i="13"/>
  <c r="BJ63" i="13" s="1"/>
  <c r="AL269" i="13"/>
  <c r="AO269" i="13" s="1"/>
  <c r="AJ15" i="13"/>
  <c r="BJ15" i="13" s="1"/>
  <c r="AL15" i="13"/>
  <c r="AL212" i="13"/>
  <c r="AP212" i="13" s="1"/>
  <c r="AL172" i="13"/>
  <c r="AP172" i="13" s="1"/>
  <c r="AJ59" i="13"/>
  <c r="BJ59" i="13" s="1"/>
  <c r="AO258" i="13"/>
  <c r="AQ258" i="13" s="1"/>
  <c r="AR258" i="13" s="1"/>
  <c r="AO59" i="13"/>
  <c r="AQ59" i="13" s="1"/>
  <c r="AR59" i="13" s="1"/>
  <c r="AJ42" i="13"/>
  <c r="BJ42" i="13" s="1"/>
  <c r="AL48" i="13"/>
  <c r="AP48" i="13" s="1"/>
  <c r="AJ267" i="13"/>
  <c r="BJ267" i="13" s="1"/>
  <c r="AP61" i="13"/>
  <c r="AO61" i="13"/>
  <c r="AP263" i="13"/>
  <c r="AO263" i="13"/>
  <c r="AL146" i="13"/>
  <c r="AJ146" i="13"/>
  <c r="BJ146" i="13" s="1"/>
  <c r="AP235" i="13"/>
  <c r="AO235" i="13"/>
  <c r="AP30" i="13"/>
  <c r="AO30" i="13"/>
  <c r="AJ23" i="13"/>
  <c r="BJ23" i="13" s="1"/>
  <c r="AL23" i="13"/>
  <c r="AP278" i="13"/>
  <c r="AO278" i="13"/>
  <c r="AP49" i="13"/>
  <c r="AO49" i="13"/>
  <c r="AL113" i="13"/>
  <c r="AJ113" i="13"/>
  <c r="BJ113" i="13" s="1"/>
  <c r="AJ168" i="13"/>
  <c r="BJ168" i="13" s="1"/>
  <c r="AL168" i="13"/>
  <c r="AJ121" i="13"/>
  <c r="BJ121" i="13" s="1"/>
  <c r="AL121" i="13"/>
  <c r="AL31" i="13"/>
  <c r="AJ31" i="13"/>
  <c r="AP191" i="13"/>
  <c r="AO191" i="13"/>
  <c r="AP177" i="13"/>
  <c r="AO177" i="13"/>
  <c r="AP233" i="13"/>
  <c r="AO233" i="13"/>
  <c r="AJ29" i="13"/>
  <c r="BJ29" i="13" s="1"/>
  <c r="AL29" i="13"/>
  <c r="AP270" i="13"/>
  <c r="AO270" i="13"/>
  <c r="AP14" i="13"/>
  <c r="AO14" i="13"/>
  <c r="AP204" i="13"/>
  <c r="AO204" i="13"/>
  <c r="AJ213" i="13"/>
  <c r="BJ213" i="13" s="1"/>
  <c r="AL213" i="13"/>
  <c r="AO255" i="13"/>
  <c r="AP255" i="13"/>
  <c r="AL108" i="13"/>
  <c r="AJ108" i="13"/>
  <c r="BJ108" i="13" s="1"/>
  <c r="AL80" i="13"/>
  <c r="AJ80" i="13"/>
  <c r="BJ80" i="13" s="1"/>
  <c r="AO182" i="13"/>
  <c r="AP182" i="13"/>
  <c r="AP149" i="13"/>
  <c r="AO149" i="13"/>
  <c r="AP42" i="13"/>
  <c r="AO42" i="13"/>
  <c r="AL143" i="13"/>
  <c r="AJ143" i="13"/>
  <c r="BJ143" i="13" s="1"/>
  <c r="AJ114" i="13"/>
  <c r="BJ114" i="13" s="1"/>
  <c r="AL114" i="13"/>
  <c r="AO73" i="13"/>
  <c r="AP73" i="13"/>
  <c r="AP181" i="13"/>
  <c r="AO181" i="13"/>
  <c r="AL152" i="13"/>
  <c r="AJ152" i="13"/>
  <c r="BJ152" i="13" s="1"/>
  <c r="AL135" i="13"/>
  <c r="AJ135" i="13"/>
  <c r="BJ135" i="13" s="1"/>
  <c r="AP147" i="13"/>
  <c r="AO147" i="13"/>
  <c r="AP250" i="13"/>
  <c r="AO250" i="13"/>
  <c r="AP232" i="13"/>
  <c r="AO232" i="13"/>
  <c r="AL87" i="13"/>
  <c r="AJ87" i="13"/>
  <c r="BJ87" i="13" s="1"/>
  <c r="AL26" i="13"/>
  <c r="AJ26" i="13"/>
  <c r="BJ26" i="13" s="1"/>
  <c r="AP247" i="13"/>
  <c r="AO247" i="13"/>
  <c r="AP205" i="13"/>
  <c r="AO205" i="13"/>
  <c r="AP265" i="13"/>
  <c r="AO265" i="13"/>
  <c r="AP131" i="13"/>
  <c r="AO131" i="13"/>
  <c r="AL16" i="13"/>
  <c r="AJ16" i="13"/>
  <c r="BJ16" i="13" s="1"/>
  <c r="AQ231" i="13"/>
  <c r="AR231" i="13" s="1"/>
  <c r="AL123" i="13"/>
  <c r="AJ123" i="13"/>
  <c r="BJ123" i="13" s="1"/>
  <c r="AP89" i="13"/>
  <c r="AO89" i="13"/>
  <c r="AP74" i="13"/>
  <c r="AO74" i="13"/>
  <c r="AP24" i="13"/>
  <c r="AO24" i="13"/>
  <c r="AP196" i="13"/>
  <c r="AO196" i="13"/>
  <c r="AP208" i="13"/>
  <c r="AO208" i="13"/>
  <c r="AL138" i="13"/>
  <c r="AJ138" i="13"/>
  <c r="BJ138" i="13" s="1"/>
  <c r="AO55" i="13"/>
  <c r="AP55" i="13"/>
  <c r="AL93" i="13"/>
  <c r="AJ93" i="13"/>
  <c r="BJ93" i="13" s="1"/>
  <c r="AP236" i="13"/>
  <c r="AO236" i="13"/>
  <c r="AP94" i="13"/>
  <c r="AO94" i="13"/>
  <c r="AL76" i="13"/>
  <c r="AJ76" i="13"/>
  <c r="BJ76" i="13" s="1"/>
  <c r="AO171" i="13"/>
  <c r="AP171" i="13"/>
  <c r="AO164" i="13"/>
  <c r="AP164" i="13"/>
  <c r="AP180" i="13"/>
  <c r="AO180" i="13"/>
  <c r="AL110" i="13"/>
  <c r="AJ110" i="13"/>
  <c r="BJ110" i="13" s="1"/>
  <c r="AL169" i="13"/>
  <c r="AJ169" i="13"/>
  <c r="BJ169" i="13" s="1"/>
  <c r="AL54" i="13"/>
  <c r="AJ54" i="13"/>
  <c r="BJ54" i="13" s="1"/>
  <c r="AP266" i="13"/>
  <c r="AO266" i="13"/>
  <c r="AL153" i="13"/>
  <c r="AJ153" i="13"/>
  <c r="BJ153" i="13" s="1"/>
  <c r="AP88" i="13"/>
  <c r="AO88" i="13"/>
  <c r="AJ33" i="13"/>
  <c r="BJ33" i="13" s="1"/>
  <c r="AL33" i="13"/>
  <c r="AJ176" i="13"/>
  <c r="BJ176" i="13" s="1"/>
  <c r="AL176" i="13"/>
  <c r="AP81" i="13"/>
  <c r="AO81" i="13"/>
  <c r="AO64" i="13"/>
  <c r="AP64" i="13"/>
  <c r="AO32" i="13"/>
  <c r="AP32" i="13"/>
  <c r="AP118" i="13"/>
  <c r="AO118" i="13"/>
  <c r="AJ150" i="13"/>
  <c r="BJ150" i="13" s="1"/>
  <c r="AL150" i="13"/>
  <c r="AO101" i="13"/>
  <c r="AP101" i="13"/>
  <c r="AL86" i="13"/>
  <c r="AJ86" i="13"/>
  <c r="BJ86" i="13" s="1"/>
  <c r="AL83" i="13"/>
  <c r="AJ83" i="13"/>
  <c r="BJ83" i="13" s="1"/>
  <c r="AL92" i="13"/>
  <c r="AJ92" i="13"/>
  <c r="BJ92" i="13" s="1"/>
  <c r="AJ78" i="13"/>
  <c r="BJ78" i="13" s="1"/>
  <c r="AL78" i="13"/>
  <c r="AP179" i="13"/>
  <c r="AO179" i="13"/>
  <c r="AJ11" i="13"/>
  <c r="BJ11" i="13" s="1"/>
  <c r="AL11" i="13"/>
  <c r="AP62" i="13"/>
  <c r="AO62" i="13"/>
  <c r="AJ90" i="13"/>
  <c r="BJ90" i="13" s="1"/>
  <c r="AL90" i="13"/>
  <c r="AP275" i="13"/>
  <c r="AO275" i="13"/>
  <c r="AP173" i="13"/>
  <c r="AO173" i="13"/>
  <c r="AP109" i="13"/>
  <c r="AO109" i="13"/>
  <c r="AO198" i="13"/>
  <c r="AP198" i="13"/>
  <c r="AL75" i="13"/>
  <c r="AJ75" i="13"/>
  <c r="BJ75" i="13" s="1"/>
  <c r="AP136" i="13"/>
  <c r="AO136" i="13"/>
  <c r="AP104" i="13"/>
  <c r="AO104" i="13"/>
  <c r="AJ117" i="13"/>
  <c r="BJ117" i="13" s="1"/>
  <c r="AL117" i="13"/>
  <c r="AP211" i="13"/>
  <c r="AO211" i="13"/>
  <c r="AJ25" i="13"/>
  <c r="BJ25" i="13" s="1"/>
  <c r="AL25" i="13"/>
  <c r="AJ119" i="13"/>
  <c r="BJ119" i="13" s="1"/>
  <c r="AL119" i="13"/>
  <c r="AL102" i="13"/>
  <c r="AJ102" i="13"/>
  <c r="BJ102" i="13" s="1"/>
  <c r="AJ77" i="13"/>
  <c r="BJ77" i="13" s="1"/>
  <c r="AL77" i="13"/>
  <c r="AP56" i="13"/>
  <c r="AO56" i="13"/>
  <c r="AL122" i="13"/>
  <c r="AJ122" i="13"/>
  <c r="BJ122" i="13" s="1"/>
  <c r="AJ106" i="13"/>
  <c r="BJ106" i="13" s="1"/>
  <c r="AL106" i="13"/>
  <c r="AL22" i="13"/>
  <c r="AJ22" i="13"/>
  <c r="BJ22" i="13" s="1"/>
  <c r="AO259" i="13"/>
  <c r="AP259" i="13"/>
  <c r="AJ107" i="13"/>
  <c r="BJ107" i="13" s="1"/>
  <c r="AL107" i="13"/>
  <c r="AL28" i="13"/>
  <c r="AJ28" i="13"/>
  <c r="BJ28" i="13" s="1"/>
  <c r="AJ197" i="13"/>
  <c r="BJ197" i="13" s="1"/>
  <c r="AL197" i="13"/>
  <c r="AL91" i="13"/>
  <c r="AJ91" i="13"/>
  <c r="BJ91" i="13" s="1"/>
  <c r="AP199" i="13"/>
  <c r="AO199" i="13"/>
  <c r="AP268" i="13"/>
  <c r="AO268" i="13"/>
  <c r="AL18" i="13"/>
  <c r="AJ18" i="13"/>
  <c r="BJ18" i="13" s="1"/>
  <c r="AP20" i="13"/>
  <c r="AO20" i="13"/>
  <c r="AJ201" i="13"/>
  <c r="BJ201" i="13" s="1"/>
  <c r="AL201" i="13"/>
  <c r="AP200" i="13"/>
  <c r="AO200" i="13"/>
  <c r="AP163" i="13"/>
  <c r="AO163" i="13"/>
  <c r="AP251" i="13"/>
  <c r="AO251" i="13"/>
  <c r="AL142" i="13"/>
  <c r="AJ142" i="13"/>
  <c r="BJ142" i="13" s="1"/>
  <c r="AP267" i="13"/>
  <c r="AO267" i="13"/>
  <c r="AO210" i="13"/>
  <c r="AP210" i="13"/>
  <c r="AL183" i="13"/>
  <c r="AJ183" i="13"/>
  <c r="BJ183" i="13" s="1"/>
  <c r="AP243" i="13"/>
  <c r="AO243" i="13"/>
  <c r="AJ145" i="13"/>
  <c r="BJ145" i="13" s="1"/>
  <c r="AL145" i="13"/>
  <c r="AJ84" i="13"/>
  <c r="BJ84" i="13" s="1"/>
  <c r="AL84" i="13"/>
  <c r="AL166" i="13"/>
  <c r="AJ166" i="13"/>
  <c r="BJ166" i="13" s="1"/>
  <c r="AP34" i="13"/>
  <c r="AO34" i="13"/>
  <c r="AL120" i="13"/>
  <c r="AJ120" i="13"/>
  <c r="BJ120" i="13" s="1"/>
  <c r="AL174" i="13"/>
  <c r="AJ174" i="13"/>
  <c r="BJ174" i="13" s="1"/>
  <c r="AP234" i="13"/>
  <c r="AO234" i="13"/>
  <c r="AO162" i="13"/>
  <c r="AP162" i="13"/>
  <c r="AO103" i="13"/>
  <c r="AP103" i="13"/>
  <c r="AP71" i="13"/>
  <c r="AO71" i="13"/>
  <c r="AP202" i="13"/>
  <c r="AO202" i="13"/>
  <c r="AP240" i="13"/>
  <c r="AO240" i="13"/>
  <c r="BK41" i="13" l="1"/>
  <c r="BK161" i="13"/>
  <c r="BS161" i="13" s="1"/>
  <c r="BM41" i="13"/>
  <c r="BP41" i="13" s="1"/>
  <c r="BQ41" i="13"/>
  <c r="BQ161" i="13"/>
  <c r="BT161" i="13" s="1"/>
  <c r="BM161" i="13"/>
  <c r="BP161" i="13" s="1"/>
  <c r="BL161" i="13"/>
  <c r="BS41" i="13"/>
  <c r="BL41" i="13"/>
  <c r="BK131" i="13"/>
  <c r="BK71" i="13"/>
  <c r="BK101" i="13"/>
  <c r="AO60" i="13"/>
  <c r="AQ60" i="13" s="1"/>
  <c r="AR60" i="13" s="1"/>
  <c r="BK191" i="13"/>
  <c r="BK231" i="13"/>
  <c r="BL231" i="13" s="1"/>
  <c r="BK11" i="13"/>
  <c r="AO254" i="13"/>
  <c r="AQ254" i="13" s="1"/>
  <c r="AR254" i="13" s="1"/>
  <c r="AO178" i="13"/>
  <c r="AQ178" i="13" s="1"/>
  <c r="AR178" i="13" s="1"/>
  <c r="AO43" i="13"/>
  <c r="AQ43" i="13" s="1"/>
  <c r="AR43" i="13" s="1"/>
  <c r="AO260" i="13"/>
  <c r="AQ260" i="13" s="1"/>
  <c r="AR260" i="13" s="1"/>
  <c r="AP41" i="13"/>
  <c r="BT41" i="13" s="1"/>
  <c r="AP237" i="13"/>
  <c r="AQ237" i="13" s="1"/>
  <c r="AR237" i="13" s="1"/>
  <c r="AP111" i="13"/>
  <c r="AQ111" i="13" s="1"/>
  <c r="AR111" i="13" s="1"/>
  <c r="AO137" i="13"/>
  <c r="AQ137" i="13" s="1"/>
  <c r="AR137" i="13" s="1"/>
  <c r="AO132" i="13"/>
  <c r="AQ132" i="13" s="1"/>
  <c r="AR132" i="13" s="1"/>
  <c r="AO252" i="13"/>
  <c r="AQ252" i="13" s="1"/>
  <c r="AR252" i="13" s="1"/>
  <c r="AP17" i="13"/>
  <c r="AQ17" i="13" s="1"/>
  <c r="AR17" i="13" s="1"/>
  <c r="AP273" i="13"/>
  <c r="AQ273" i="13" s="1"/>
  <c r="AR273" i="13" s="1"/>
  <c r="AO27" i="13"/>
  <c r="AQ27" i="13" s="1"/>
  <c r="AR27" i="13" s="1"/>
  <c r="AP140" i="13"/>
  <c r="AQ140" i="13" s="1"/>
  <c r="AR140" i="13" s="1"/>
  <c r="AO241" i="13"/>
  <c r="AQ241" i="13" s="1"/>
  <c r="AR241" i="13" s="1"/>
  <c r="AP134" i="13"/>
  <c r="AQ134" i="13" s="1"/>
  <c r="AR134" i="13" s="1"/>
  <c r="AP46" i="13"/>
  <c r="AQ46" i="13" s="1"/>
  <c r="AR46" i="13" s="1"/>
  <c r="AO161" i="13"/>
  <c r="AQ161" i="13" s="1"/>
  <c r="AR161" i="13" s="1"/>
  <c r="AO264" i="13"/>
  <c r="AQ264" i="13" s="1"/>
  <c r="AR264" i="13" s="1"/>
  <c r="AP262" i="13"/>
  <c r="AQ262" i="13" s="1"/>
  <c r="AR262" i="13" s="1"/>
  <c r="AO242" i="13"/>
  <c r="AQ242" i="13" s="1"/>
  <c r="AR242" i="13" s="1"/>
  <c r="AO193" i="13"/>
  <c r="AQ193" i="13" s="1"/>
  <c r="AR193" i="13" s="1"/>
  <c r="AO239" i="13"/>
  <c r="AQ239" i="13" s="1"/>
  <c r="AR239" i="13" s="1"/>
  <c r="AO144" i="13"/>
  <c r="AQ144" i="13" s="1"/>
  <c r="AR144" i="13" s="1"/>
  <c r="AO141" i="13"/>
  <c r="AQ141" i="13" s="1"/>
  <c r="AR141" i="13" s="1"/>
  <c r="AQ52" i="13"/>
  <c r="AR52" i="13" s="1"/>
  <c r="AP105" i="13"/>
  <c r="AQ105" i="13" s="1"/>
  <c r="AR105" i="13" s="1"/>
  <c r="AP79" i="13"/>
  <c r="AQ79" i="13" s="1"/>
  <c r="AR79" i="13" s="1"/>
  <c r="AO53" i="13"/>
  <c r="AQ53" i="13" s="1"/>
  <c r="AR53" i="13" s="1"/>
  <c r="AO274" i="13"/>
  <c r="AQ274" i="13" s="1"/>
  <c r="AR274" i="13" s="1"/>
  <c r="AO271" i="13"/>
  <c r="AQ271" i="13" s="1"/>
  <c r="AR271" i="13" s="1"/>
  <c r="AO249" i="13"/>
  <c r="AQ249" i="13" s="1"/>
  <c r="AR249" i="13" s="1"/>
  <c r="AO184" i="13"/>
  <c r="AQ184" i="13" s="1"/>
  <c r="AR184" i="13" s="1"/>
  <c r="AO209" i="13"/>
  <c r="AQ209" i="13" s="1"/>
  <c r="AR209" i="13" s="1"/>
  <c r="AP139" i="13"/>
  <c r="AQ139" i="13" s="1"/>
  <c r="AR139" i="13" s="1"/>
  <c r="AO192" i="13"/>
  <c r="AQ192" i="13" s="1"/>
  <c r="AR192" i="13" s="1"/>
  <c r="AO261" i="13"/>
  <c r="AQ261" i="13" s="1"/>
  <c r="AR261" i="13" s="1"/>
  <c r="AP19" i="13"/>
  <c r="AQ19" i="13" s="1"/>
  <c r="AR19" i="13" s="1"/>
  <c r="AO12" i="13"/>
  <c r="AQ12" i="13" s="1"/>
  <c r="AR12" i="13" s="1"/>
  <c r="AO248" i="13"/>
  <c r="AQ248" i="13" s="1"/>
  <c r="AR248" i="13" s="1"/>
  <c r="AO148" i="13"/>
  <c r="AQ148" i="13" s="1"/>
  <c r="AR148" i="13" s="1"/>
  <c r="AO115" i="13"/>
  <c r="AQ115" i="13" s="1"/>
  <c r="AR115" i="13" s="1"/>
  <c r="AQ234" i="13"/>
  <c r="AR234" i="13" s="1"/>
  <c r="AO244" i="13"/>
  <c r="AQ244" i="13" s="1"/>
  <c r="AR244" i="13" s="1"/>
  <c r="AP112" i="13"/>
  <c r="AQ112" i="13" s="1"/>
  <c r="AR112" i="13" s="1"/>
  <c r="AO203" i="13"/>
  <c r="AQ203" i="13" s="1"/>
  <c r="AR203" i="13" s="1"/>
  <c r="AO13" i="13"/>
  <c r="AQ13" i="13" s="1"/>
  <c r="AR13" i="13" s="1"/>
  <c r="AP133" i="13"/>
  <c r="AQ133" i="13" s="1"/>
  <c r="AR133" i="13" s="1"/>
  <c r="AQ50" i="13"/>
  <c r="AR50" i="13" s="1"/>
  <c r="AO194" i="13"/>
  <c r="AQ194" i="13" s="1"/>
  <c r="AR194" i="13" s="1"/>
  <c r="AO165" i="13"/>
  <c r="AQ165" i="13" s="1"/>
  <c r="AR165" i="13" s="1"/>
  <c r="AO124" i="13"/>
  <c r="AQ124" i="13" s="1"/>
  <c r="AR124" i="13" s="1"/>
  <c r="AO21" i="13"/>
  <c r="AQ21" i="13" s="1"/>
  <c r="AR21" i="13" s="1"/>
  <c r="AP175" i="13"/>
  <c r="AQ175" i="13" s="1"/>
  <c r="AR175" i="13" s="1"/>
  <c r="AO72" i="13"/>
  <c r="AQ72" i="13" s="1"/>
  <c r="AR72" i="13" s="1"/>
  <c r="AO212" i="13"/>
  <c r="AQ212" i="13" s="1"/>
  <c r="AR212" i="13" s="1"/>
  <c r="AO85" i="13"/>
  <c r="AQ85" i="13" s="1"/>
  <c r="AR85" i="13" s="1"/>
  <c r="AO172" i="13"/>
  <c r="AQ172" i="13" s="1"/>
  <c r="AR172" i="13" s="1"/>
  <c r="AO116" i="13"/>
  <c r="AQ116" i="13" s="1"/>
  <c r="AR116" i="13" s="1"/>
  <c r="AP170" i="13"/>
  <c r="AQ170" i="13" s="1"/>
  <c r="AR170" i="13" s="1"/>
  <c r="AP44" i="13"/>
  <c r="AO44" i="13"/>
  <c r="AP269" i="13"/>
  <c r="AQ269" i="13" s="1"/>
  <c r="AR269" i="13" s="1"/>
  <c r="AO48" i="13"/>
  <c r="AQ48" i="13" s="1"/>
  <c r="AR48" i="13" s="1"/>
  <c r="AO167" i="13"/>
  <c r="AQ167" i="13" s="1"/>
  <c r="AR167" i="13" s="1"/>
  <c r="AO154" i="13"/>
  <c r="AQ154" i="13" s="1"/>
  <c r="AR154" i="13" s="1"/>
  <c r="AO82" i="13"/>
  <c r="AQ82" i="13" s="1"/>
  <c r="AR82" i="13" s="1"/>
  <c r="AO151" i="13"/>
  <c r="AQ151" i="13" s="1"/>
  <c r="AR151" i="13" s="1"/>
  <c r="AO206" i="13"/>
  <c r="AQ206" i="13" s="1"/>
  <c r="AR206" i="13" s="1"/>
  <c r="AP245" i="13"/>
  <c r="AO245" i="13"/>
  <c r="AO15" i="13"/>
  <c r="AP15" i="13"/>
  <c r="AP63" i="13"/>
  <c r="AO63" i="13"/>
  <c r="AO277" i="13"/>
  <c r="AQ277" i="13" s="1"/>
  <c r="AR277" i="13" s="1"/>
  <c r="AQ243" i="13"/>
  <c r="AR243" i="13" s="1"/>
  <c r="AQ278" i="13"/>
  <c r="AR278" i="13" s="1"/>
  <c r="AQ240" i="13"/>
  <c r="AR240" i="13" s="1"/>
  <c r="AQ20" i="13"/>
  <c r="AR20" i="13" s="1"/>
  <c r="AQ199" i="13"/>
  <c r="AR199" i="13" s="1"/>
  <c r="AQ56" i="13"/>
  <c r="AR56" i="13" s="1"/>
  <c r="AQ263" i="13"/>
  <c r="AR263" i="13" s="1"/>
  <c r="AQ200" i="13"/>
  <c r="AR200" i="13" s="1"/>
  <c r="AQ103" i="13"/>
  <c r="AR103" i="13" s="1"/>
  <c r="AQ42" i="13"/>
  <c r="AR42" i="13" s="1"/>
  <c r="AQ61" i="13"/>
  <c r="AR61" i="13" s="1"/>
  <c r="AQ251" i="13"/>
  <c r="AR251" i="13" s="1"/>
  <c r="AQ267" i="13"/>
  <c r="AR267" i="13" s="1"/>
  <c r="AQ233" i="13"/>
  <c r="AR233" i="13" s="1"/>
  <c r="AQ265" i="13"/>
  <c r="AR265" i="13" s="1"/>
  <c r="AQ211" i="13"/>
  <c r="AR211" i="13" s="1"/>
  <c r="AQ208" i="13"/>
  <c r="AR208" i="13" s="1"/>
  <c r="AQ204" i="13"/>
  <c r="AR204" i="13" s="1"/>
  <c r="AQ173" i="13"/>
  <c r="AR173" i="13" s="1"/>
  <c r="AQ181" i="13"/>
  <c r="AR181" i="13" s="1"/>
  <c r="AQ177" i="13"/>
  <c r="AR177" i="13" s="1"/>
  <c r="AQ149" i="13"/>
  <c r="AR149" i="13" s="1"/>
  <c r="AQ136" i="13"/>
  <c r="AR136" i="13" s="1"/>
  <c r="AQ74" i="13"/>
  <c r="AR74" i="13" s="1"/>
  <c r="AQ71" i="13"/>
  <c r="AR71" i="13" s="1"/>
  <c r="AQ41" i="13"/>
  <c r="AR41" i="13" s="1"/>
  <c r="AQ34" i="13"/>
  <c r="AR34" i="13" s="1"/>
  <c r="AP91" i="13"/>
  <c r="AO91" i="13"/>
  <c r="AQ104" i="13"/>
  <c r="AR104" i="13" s="1"/>
  <c r="AQ109" i="13"/>
  <c r="AR109" i="13" s="1"/>
  <c r="AP90" i="13"/>
  <c r="AO90" i="13"/>
  <c r="AQ266" i="13"/>
  <c r="AR266" i="13" s="1"/>
  <c r="AQ236" i="13"/>
  <c r="AR236" i="13" s="1"/>
  <c r="AQ196" i="13"/>
  <c r="AR196" i="13" s="1"/>
  <c r="AQ205" i="13"/>
  <c r="AR205" i="13" s="1"/>
  <c r="AP114" i="13"/>
  <c r="AO114" i="13"/>
  <c r="AQ14" i="13"/>
  <c r="AR14" i="13" s="1"/>
  <c r="AP80" i="13"/>
  <c r="AO80" i="13"/>
  <c r="AO113" i="13"/>
  <c r="AP113" i="13"/>
  <c r="AP78" i="13"/>
  <c r="AO78" i="13"/>
  <c r="AP86" i="13"/>
  <c r="AO86" i="13"/>
  <c r="AQ32" i="13"/>
  <c r="AR32" i="13" s="1"/>
  <c r="AQ247" i="13"/>
  <c r="AR247" i="13" s="1"/>
  <c r="AQ270" i="13"/>
  <c r="AR270" i="13" s="1"/>
  <c r="AQ49" i="13"/>
  <c r="AR49" i="13" s="1"/>
  <c r="AP146" i="13"/>
  <c r="AO146" i="13"/>
  <c r="AP84" i="13"/>
  <c r="AO84" i="13"/>
  <c r="AQ164" i="13"/>
  <c r="AR164" i="13" s="1"/>
  <c r="AQ163" i="13"/>
  <c r="AR163" i="13" s="1"/>
  <c r="AP28" i="13"/>
  <c r="AO28" i="13"/>
  <c r="AP25" i="13"/>
  <c r="AO25" i="13"/>
  <c r="AQ62" i="13"/>
  <c r="AR62" i="13" s="1"/>
  <c r="AQ64" i="13"/>
  <c r="AR64" i="13" s="1"/>
  <c r="AQ88" i="13"/>
  <c r="AR88" i="13" s="1"/>
  <c r="AQ24" i="13"/>
  <c r="AR24" i="13" s="1"/>
  <c r="AP16" i="13"/>
  <c r="AO16" i="13"/>
  <c r="AQ250" i="13"/>
  <c r="AR250" i="13" s="1"/>
  <c r="AO29" i="13"/>
  <c r="AP29" i="13"/>
  <c r="AQ191" i="13"/>
  <c r="AR191" i="13" s="1"/>
  <c r="AP102" i="13"/>
  <c r="AO102" i="13"/>
  <c r="AP93" i="13"/>
  <c r="AO93" i="13"/>
  <c r="AP108" i="13"/>
  <c r="AO108" i="13"/>
  <c r="AQ202" i="13"/>
  <c r="AR202" i="13" s="1"/>
  <c r="AP18" i="13"/>
  <c r="AO18" i="13"/>
  <c r="AP107" i="13"/>
  <c r="AO107" i="13"/>
  <c r="AP122" i="13"/>
  <c r="AO122" i="13"/>
  <c r="AP75" i="13"/>
  <c r="AO75" i="13"/>
  <c r="AP92" i="13"/>
  <c r="AO92" i="13"/>
  <c r="AQ81" i="13"/>
  <c r="AR81" i="13" s="1"/>
  <c r="AP169" i="13"/>
  <c r="AO169" i="13"/>
  <c r="AQ131" i="13"/>
  <c r="AR131" i="13" s="1"/>
  <c r="AP26" i="13"/>
  <c r="AO26" i="13"/>
  <c r="AP152" i="13"/>
  <c r="AO152" i="13"/>
  <c r="AP143" i="13"/>
  <c r="AO143" i="13"/>
  <c r="AP166" i="13"/>
  <c r="AO166" i="13"/>
  <c r="AP197" i="13"/>
  <c r="AO197" i="13"/>
  <c r="AP174" i="13"/>
  <c r="AO174" i="13"/>
  <c r="AO11" i="13"/>
  <c r="AP11" i="13"/>
  <c r="AO23" i="13"/>
  <c r="AP23" i="13"/>
  <c r="AP83" i="13"/>
  <c r="AO83" i="13"/>
  <c r="AP153" i="13"/>
  <c r="AO153" i="13"/>
  <c r="AP110" i="13"/>
  <c r="AO110" i="13"/>
  <c r="AQ171" i="13"/>
  <c r="AR171" i="13" s="1"/>
  <c r="AQ55" i="13"/>
  <c r="AR55" i="13" s="1"/>
  <c r="AP87" i="13"/>
  <c r="AO87" i="13"/>
  <c r="AQ255" i="13"/>
  <c r="AR255" i="13" s="1"/>
  <c r="AP31" i="13"/>
  <c r="AO31" i="13"/>
  <c r="AQ162" i="13"/>
  <c r="AR162" i="13" s="1"/>
  <c r="AP120" i="13"/>
  <c r="AO120" i="13"/>
  <c r="AQ259" i="13"/>
  <c r="AR259" i="13" s="1"/>
  <c r="AO117" i="13"/>
  <c r="AP117" i="13"/>
  <c r="AQ275" i="13"/>
  <c r="AR275" i="13" s="1"/>
  <c r="AQ101" i="13"/>
  <c r="AR101" i="13" s="1"/>
  <c r="AP176" i="13"/>
  <c r="AO176" i="13"/>
  <c r="AQ89" i="13"/>
  <c r="AR89" i="13" s="1"/>
  <c r="AQ147" i="13"/>
  <c r="AR147" i="13" s="1"/>
  <c r="AO213" i="13"/>
  <c r="AP213" i="13"/>
  <c r="AO121" i="13"/>
  <c r="AP121" i="13"/>
  <c r="AO119" i="13"/>
  <c r="AP119" i="13"/>
  <c r="AP145" i="13"/>
  <c r="AO145" i="13"/>
  <c r="AQ198" i="13"/>
  <c r="AR198" i="13" s="1"/>
  <c r="AP150" i="13"/>
  <c r="AO150" i="13"/>
  <c r="AP76" i="13"/>
  <c r="AO76" i="13"/>
  <c r="AP138" i="13"/>
  <c r="AO138" i="13"/>
  <c r="AQ30" i="13"/>
  <c r="AR30" i="13" s="1"/>
  <c r="AP106" i="13"/>
  <c r="AO106" i="13"/>
  <c r="AO135" i="13"/>
  <c r="AP135" i="13"/>
  <c r="AP183" i="13"/>
  <c r="AO183" i="13"/>
  <c r="AO201" i="13"/>
  <c r="AP201" i="13"/>
  <c r="AP22" i="13"/>
  <c r="AO22" i="13"/>
  <c r="AP77" i="13"/>
  <c r="AO77" i="13"/>
  <c r="AQ179" i="13"/>
  <c r="AR179" i="13" s="1"/>
  <c r="AP33" i="13"/>
  <c r="AO33" i="13"/>
  <c r="AQ180" i="13"/>
  <c r="AR180" i="13" s="1"/>
  <c r="AQ94" i="13"/>
  <c r="AR94" i="13" s="1"/>
  <c r="AP168" i="13"/>
  <c r="AO168" i="13"/>
  <c r="AQ210" i="13"/>
  <c r="AR210" i="13" s="1"/>
  <c r="AP54" i="13"/>
  <c r="AO54" i="13"/>
  <c r="AP142" i="13"/>
  <c r="AO142" i="13"/>
  <c r="AQ268" i="13"/>
  <c r="AR268" i="13" s="1"/>
  <c r="AQ118" i="13"/>
  <c r="AR118" i="13" s="1"/>
  <c r="AP123" i="13"/>
  <c r="AO123" i="13"/>
  <c r="AQ232" i="13"/>
  <c r="AR232" i="13" s="1"/>
  <c r="AQ73" i="13"/>
  <c r="AR73" i="13" s="1"/>
  <c r="AQ182" i="13"/>
  <c r="AR182" i="13" s="1"/>
  <c r="AQ235" i="13"/>
  <c r="AR235" i="13" s="1"/>
  <c r="BS11" i="13" l="1"/>
  <c r="BM11" i="13"/>
  <c r="BP11" i="13" s="1"/>
  <c r="BQ11" i="13"/>
  <c r="BT11" i="13" s="1"/>
  <c r="BQ101" i="13"/>
  <c r="BT101" i="13" s="1"/>
  <c r="BM101" i="13"/>
  <c r="BP101" i="13" s="1"/>
  <c r="BQ71" i="13"/>
  <c r="BT71" i="13" s="1"/>
  <c r="BM71" i="13"/>
  <c r="BP71" i="13" s="1"/>
  <c r="BQ191" i="13"/>
  <c r="BT191" i="13" s="1"/>
  <c r="BM191" i="13"/>
  <c r="BP191" i="13" s="1"/>
  <c r="BQ131" i="13"/>
  <c r="BT131" i="13" s="1"/>
  <c r="BM131" i="13"/>
  <c r="BP131" i="13" s="1"/>
  <c r="BL71" i="13"/>
  <c r="BS71" i="13"/>
  <c r="BL131" i="13"/>
  <c r="BS131" i="13"/>
  <c r="BL191" i="13"/>
  <c r="BS191" i="13"/>
  <c r="BL101" i="13"/>
  <c r="BS101" i="13"/>
  <c r="BS231" i="13"/>
  <c r="BL11" i="13"/>
  <c r="AQ44" i="13"/>
  <c r="AR44" i="13" s="1"/>
  <c r="AQ245" i="13"/>
  <c r="AR245" i="13" s="1"/>
  <c r="AS231" i="13" s="1"/>
  <c r="AQ76" i="13"/>
  <c r="AR76" i="13" s="1"/>
  <c r="AQ63" i="13"/>
  <c r="AR63" i="13" s="1"/>
  <c r="AQ15" i="13"/>
  <c r="AR15" i="13" s="1"/>
  <c r="AQ176" i="13"/>
  <c r="AR176" i="13" s="1"/>
  <c r="AQ120" i="13"/>
  <c r="AR120" i="13" s="1"/>
  <c r="AQ110" i="13"/>
  <c r="AR110" i="13" s="1"/>
  <c r="AQ213" i="13"/>
  <c r="AR213" i="13" s="1"/>
  <c r="AQ87" i="13"/>
  <c r="AR87" i="13" s="1"/>
  <c r="AQ197" i="13"/>
  <c r="AR197" i="13" s="1"/>
  <c r="AQ169" i="13"/>
  <c r="AR169" i="13" s="1"/>
  <c r="AQ183" i="13"/>
  <c r="AR183" i="13" s="1"/>
  <c r="AQ166" i="13"/>
  <c r="AR166" i="13" s="1"/>
  <c r="AQ150" i="13"/>
  <c r="AR150" i="13" s="1"/>
  <c r="AQ153" i="13"/>
  <c r="AR153" i="13" s="1"/>
  <c r="AQ142" i="13"/>
  <c r="AR142" i="13" s="1"/>
  <c r="AQ135" i="13"/>
  <c r="AR135" i="13" s="1"/>
  <c r="AQ143" i="13"/>
  <c r="AR143" i="13" s="1"/>
  <c r="AQ152" i="13"/>
  <c r="AR152" i="13" s="1"/>
  <c r="AQ123" i="13"/>
  <c r="AR123" i="13" s="1"/>
  <c r="AQ106" i="13"/>
  <c r="AR106" i="13" s="1"/>
  <c r="AQ114" i="13"/>
  <c r="AR114" i="13" s="1"/>
  <c r="AQ80" i="13"/>
  <c r="AR80" i="13" s="1"/>
  <c r="AQ31" i="13"/>
  <c r="AR31" i="13" s="1"/>
  <c r="AQ28" i="13"/>
  <c r="AR28" i="13" s="1"/>
  <c r="AQ168" i="13"/>
  <c r="AR168" i="13" s="1"/>
  <c r="AQ22" i="13"/>
  <c r="AR22" i="13" s="1"/>
  <c r="AQ174" i="13"/>
  <c r="AR174" i="13" s="1"/>
  <c r="AQ107" i="13"/>
  <c r="AR107" i="13" s="1"/>
  <c r="AQ78" i="13"/>
  <c r="AR78" i="13" s="1"/>
  <c r="AQ18" i="13"/>
  <c r="AR18" i="13" s="1"/>
  <c r="AQ29" i="13"/>
  <c r="AR29" i="13" s="1"/>
  <c r="AQ25" i="13"/>
  <c r="AR25" i="13" s="1"/>
  <c r="AQ113" i="13"/>
  <c r="AR113" i="13" s="1"/>
  <c r="AQ33" i="13"/>
  <c r="AR33" i="13" s="1"/>
  <c r="AQ145" i="13"/>
  <c r="AR145" i="13" s="1"/>
  <c r="AQ83" i="13"/>
  <c r="AR83" i="13" s="1"/>
  <c r="AQ92" i="13"/>
  <c r="AR92" i="13" s="1"/>
  <c r="AQ108" i="13"/>
  <c r="AR108" i="13" s="1"/>
  <c r="AQ16" i="13"/>
  <c r="AR16" i="13" s="1"/>
  <c r="AQ90" i="13"/>
  <c r="AR90" i="13" s="1"/>
  <c r="AQ75" i="13"/>
  <c r="AR75" i="13" s="1"/>
  <c r="AQ93" i="13"/>
  <c r="AR93" i="13" s="1"/>
  <c r="AQ54" i="13"/>
  <c r="AR54" i="13" s="1"/>
  <c r="AQ119" i="13"/>
  <c r="AR119" i="13" s="1"/>
  <c r="AQ23" i="13"/>
  <c r="AR23" i="13" s="1"/>
  <c r="AQ84" i="13"/>
  <c r="AR84" i="13" s="1"/>
  <c r="AQ201" i="13"/>
  <c r="AR201" i="13" s="1"/>
  <c r="AQ77" i="13"/>
  <c r="AR77" i="13" s="1"/>
  <c r="AQ122" i="13"/>
  <c r="AR122" i="13" s="1"/>
  <c r="AQ86" i="13"/>
  <c r="AR86" i="13" s="1"/>
  <c r="AQ91" i="13"/>
  <c r="AR91" i="13" s="1"/>
  <c r="AQ138" i="13"/>
  <c r="AR138" i="13" s="1"/>
  <c r="AQ121" i="13"/>
  <c r="AR121" i="13" s="1"/>
  <c r="AQ117" i="13"/>
  <c r="AR117" i="13" s="1"/>
  <c r="AQ11" i="13"/>
  <c r="AR11" i="13" s="1"/>
  <c r="AQ26" i="13"/>
  <c r="AR26" i="13" s="1"/>
  <c r="AQ102" i="13"/>
  <c r="AR102" i="13" s="1"/>
  <c r="AQ146" i="13"/>
  <c r="AR146" i="13" s="1"/>
  <c r="AS41" i="13" l="1"/>
  <c r="AS131" i="13"/>
  <c r="AS71" i="13"/>
  <c r="AS191" i="13"/>
  <c r="AS161" i="13"/>
  <c r="AS101" i="13"/>
  <c r="AS11" i="13"/>
  <c r="AW176" i="12" a="1"/>
  <c r="AW174" i="12" a="1"/>
  <c r="AW173" i="12" a="1"/>
  <c r="AW172" i="12" a="1"/>
  <c r="AW156" i="12" a="1"/>
  <c r="AW130" i="12" a="1"/>
  <c r="AZ34" i="12"/>
  <c r="AY34" i="12"/>
  <c r="AW34" i="12"/>
  <c r="AP34" i="12"/>
  <c r="AO34" i="12"/>
  <c r="AM34" i="12"/>
  <c r="AJ34" i="12"/>
  <c r="AC34" i="12"/>
  <c r="AD34" i="12" s="1"/>
  <c r="AB34" i="12"/>
  <c r="AA34" i="12"/>
  <c r="Z34" i="12"/>
  <c r="Y34" i="12"/>
  <c r="X34" i="12"/>
  <c r="W34" i="12"/>
  <c r="V34" i="12"/>
  <c r="U34" i="12"/>
  <c r="T34" i="12" s="1"/>
  <c r="O34" i="12"/>
  <c r="AZ33" i="12"/>
  <c r="AY33" i="12"/>
  <c r="AW33" i="12"/>
  <c r="AO33" i="12"/>
  <c r="AP33" i="12" s="1"/>
  <c r="AM33" i="12"/>
  <c r="AJ33" i="12"/>
  <c r="AD33" i="12"/>
  <c r="AC33" i="12"/>
  <c r="AB33" i="12"/>
  <c r="AA33" i="12"/>
  <c r="Z33" i="12"/>
  <c r="Y33" i="12"/>
  <c r="X33" i="12"/>
  <c r="W33" i="12"/>
  <c r="V33" i="12"/>
  <c r="U33" i="12"/>
  <c r="T33" i="12" s="1"/>
  <c r="O33" i="12"/>
  <c r="AZ32" i="12"/>
  <c r="AY32" i="12"/>
  <c r="AW32" i="12"/>
  <c r="AO32" i="12"/>
  <c r="AN32" i="12"/>
  <c r="AM32" i="12"/>
  <c r="AJ32" i="12"/>
  <c r="AC32" i="12"/>
  <c r="AD32" i="12" s="1"/>
  <c r="AB32" i="12"/>
  <c r="AA32" i="12"/>
  <c r="Z32" i="12"/>
  <c r="Y32" i="12"/>
  <c r="X32" i="12"/>
  <c r="W32" i="12"/>
  <c r="V32" i="12"/>
  <c r="U32" i="12"/>
  <c r="T32" i="12"/>
  <c r="O32" i="12"/>
  <c r="K32" i="12"/>
  <c r="K33" i="12" s="1"/>
  <c r="K34" i="12" s="1"/>
  <c r="J32" i="12"/>
  <c r="J33" i="12" s="1"/>
  <c r="AZ31" i="12"/>
  <c r="AY31" i="12"/>
  <c r="AW31" i="12"/>
  <c r="AP31" i="12"/>
  <c r="AO31" i="12"/>
  <c r="AM31" i="12"/>
  <c r="AJ31" i="12"/>
  <c r="AE31" i="12"/>
  <c r="AC31" i="12"/>
  <c r="AD31" i="12" s="1"/>
  <c r="AB31" i="12"/>
  <c r="AA31" i="12"/>
  <c r="Z31" i="12"/>
  <c r="Y31" i="12"/>
  <c r="X31" i="12"/>
  <c r="W31" i="12"/>
  <c r="V31" i="12"/>
  <c r="U31" i="12"/>
  <c r="T31" i="12"/>
  <c r="O31" i="12"/>
  <c r="AZ30" i="12"/>
  <c r="AY30" i="12"/>
  <c r="AW30" i="12"/>
  <c r="AQ30" i="12"/>
  <c r="AP30" i="12"/>
  <c r="AO30" i="12"/>
  <c r="AM30" i="12"/>
  <c r="AJ30" i="12"/>
  <c r="AC30" i="12"/>
  <c r="AD30" i="12" s="1"/>
  <c r="AB30" i="12"/>
  <c r="AA30" i="12"/>
  <c r="Z30" i="12"/>
  <c r="Y30" i="12"/>
  <c r="X30" i="12"/>
  <c r="W30" i="12"/>
  <c r="V30" i="12"/>
  <c r="U30" i="12"/>
  <c r="T30" i="12"/>
  <c r="O30" i="12"/>
  <c r="AZ29" i="12"/>
  <c r="AY29" i="12"/>
  <c r="AW29" i="12"/>
  <c r="AQ29" i="12"/>
  <c r="AO29" i="12"/>
  <c r="AM29" i="12"/>
  <c r="AJ29" i="12"/>
  <c r="AD29" i="12"/>
  <c r="AC29" i="12"/>
  <c r="AP29" i="12" s="1"/>
  <c r="AB29" i="12"/>
  <c r="AA29" i="12"/>
  <c r="Z29" i="12"/>
  <c r="Y29" i="12"/>
  <c r="X29" i="12"/>
  <c r="W29" i="12"/>
  <c r="V29" i="12"/>
  <c r="U29" i="12"/>
  <c r="T29" i="12" s="1"/>
  <c r="O29" i="12"/>
  <c r="K29" i="12"/>
  <c r="K30" i="12" s="1"/>
  <c r="J29" i="12"/>
  <c r="J30" i="12" s="1"/>
  <c r="AE30" i="12" s="1"/>
  <c r="AZ28" i="12"/>
  <c r="AY28" i="12"/>
  <c r="AW28" i="12"/>
  <c r="AO28" i="12"/>
  <c r="AM28" i="12"/>
  <c r="AJ28" i="12"/>
  <c r="AE28" i="12"/>
  <c r="AC28" i="12"/>
  <c r="AP28" i="12" s="1"/>
  <c r="AB28" i="12"/>
  <c r="AA28" i="12"/>
  <c r="Z28" i="12"/>
  <c r="Y28" i="12"/>
  <c r="X28" i="12"/>
  <c r="W28" i="12"/>
  <c r="V28" i="12"/>
  <c r="U28" i="12"/>
  <c r="T28" i="12"/>
  <c r="O28" i="12"/>
  <c r="K28" i="12"/>
  <c r="J28" i="12"/>
  <c r="AZ27" i="12"/>
  <c r="AY27" i="12"/>
  <c r="AW27" i="12"/>
  <c r="AP27" i="12"/>
  <c r="AO27" i="12"/>
  <c r="AM27" i="12"/>
  <c r="AJ27" i="12"/>
  <c r="AE27" i="12"/>
  <c r="AC27" i="12"/>
  <c r="AD27" i="12" s="1"/>
  <c r="AB27" i="12"/>
  <c r="AA27" i="12"/>
  <c r="Z27" i="12"/>
  <c r="Y27" i="12"/>
  <c r="X27" i="12"/>
  <c r="W27" i="12"/>
  <c r="V27" i="12"/>
  <c r="U27" i="12"/>
  <c r="T27" i="12" s="1"/>
  <c r="O27" i="12"/>
  <c r="AZ26" i="12"/>
  <c r="AY26" i="12"/>
  <c r="AW26" i="12"/>
  <c r="AP26" i="12"/>
  <c r="AO26" i="12"/>
  <c r="AM26" i="12"/>
  <c r="AJ26" i="12"/>
  <c r="AC26" i="12"/>
  <c r="AD26" i="12" s="1"/>
  <c r="AB26" i="12"/>
  <c r="AA26" i="12"/>
  <c r="Z26" i="12"/>
  <c r="Y26" i="12"/>
  <c r="X26" i="12"/>
  <c r="W26" i="12"/>
  <c r="V26" i="12"/>
  <c r="U26" i="12"/>
  <c r="T26" i="12" s="1"/>
  <c r="O26" i="12"/>
  <c r="AZ25" i="12"/>
  <c r="AY25" i="12"/>
  <c r="AW25" i="12"/>
  <c r="AO25" i="12"/>
  <c r="AP25" i="12" s="1"/>
  <c r="AM25" i="12"/>
  <c r="AJ25" i="12"/>
  <c r="AD25" i="12"/>
  <c r="AC25" i="12"/>
  <c r="AB25" i="12"/>
  <c r="AA25" i="12"/>
  <c r="Z25" i="12"/>
  <c r="Y25" i="12"/>
  <c r="X25" i="12"/>
  <c r="W25" i="12"/>
  <c r="V25" i="12"/>
  <c r="U25" i="12"/>
  <c r="T25" i="12" s="1"/>
  <c r="O25" i="12"/>
  <c r="AZ24" i="12"/>
  <c r="AY24" i="12"/>
  <c r="AW24" i="12"/>
  <c r="AO24" i="12"/>
  <c r="AN24" i="12"/>
  <c r="AM24" i="12"/>
  <c r="AJ24" i="12"/>
  <c r="AC24" i="12"/>
  <c r="AD24" i="12" s="1"/>
  <c r="AB24" i="12"/>
  <c r="AA24" i="12"/>
  <c r="Z24" i="12"/>
  <c r="Y24" i="12"/>
  <c r="X24" i="12"/>
  <c r="W24" i="12"/>
  <c r="V24" i="12"/>
  <c r="U24" i="12"/>
  <c r="T24" i="12"/>
  <c r="O24" i="12"/>
  <c r="K24" i="12"/>
  <c r="K25" i="12" s="1"/>
  <c r="K26" i="12" s="1"/>
  <c r="J24" i="12"/>
  <c r="J25" i="12" s="1"/>
  <c r="AZ23" i="12"/>
  <c r="AY23" i="12"/>
  <c r="AW23" i="12"/>
  <c r="AQ23" i="12"/>
  <c r="AP23" i="12"/>
  <c r="AO23" i="12"/>
  <c r="AM23" i="12"/>
  <c r="AJ23" i="12"/>
  <c r="AE23" i="12"/>
  <c r="AC23" i="12"/>
  <c r="AD23" i="12" s="1"/>
  <c r="AB23" i="12"/>
  <c r="AA23" i="12"/>
  <c r="Z23" i="12"/>
  <c r="Y23" i="12"/>
  <c r="X23" i="12"/>
  <c r="W23" i="12"/>
  <c r="V23" i="12"/>
  <c r="U23" i="12"/>
  <c r="T23" i="12"/>
  <c r="O23" i="12"/>
  <c r="AZ22" i="12"/>
  <c r="AY22" i="12"/>
  <c r="AW22" i="12"/>
  <c r="AQ22" i="12"/>
  <c r="AP22" i="12"/>
  <c r="AO22" i="12"/>
  <c r="AM22" i="12"/>
  <c r="AJ22" i="12"/>
  <c r="AC22" i="12"/>
  <c r="AD22" i="12" s="1"/>
  <c r="AB22" i="12"/>
  <c r="AA22" i="12"/>
  <c r="Z22" i="12"/>
  <c r="Y22" i="12"/>
  <c r="X22" i="12"/>
  <c r="W22" i="12"/>
  <c r="V22" i="12"/>
  <c r="U22" i="12"/>
  <c r="T22" i="12"/>
  <c r="O22" i="12"/>
  <c r="AZ21" i="12"/>
  <c r="AY21" i="12"/>
  <c r="AW21" i="12"/>
  <c r="AO21" i="12"/>
  <c r="AM21" i="12"/>
  <c r="AJ21" i="12"/>
  <c r="AD21" i="12"/>
  <c r="AC21" i="12"/>
  <c r="AP21" i="12" s="1"/>
  <c r="AB21" i="12"/>
  <c r="AA21" i="12"/>
  <c r="Z21" i="12"/>
  <c r="Y21" i="12"/>
  <c r="X21" i="12"/>
  <c r="W21" i="12"/>
  <c r="V21" i="12"/>
  <c r="U21" i="12"/>
  <c r="T21" i="12" s="1"/>
  <c r="O21" i="12"/>
  <c r="K21" i="12"/>
  <c r="K22" i="12" s="1"/>
  <c r="J21" i="12"/>
  <c r="J22" i="12" s="1"/>
  <c r="AE22" i="12" s="1"/>
  <c r="AZ20" i="12"/>
  <c r="AY20" i="12"/>
  <c r="AW20" i="12"/>
  <c r="AQ20" i="12"/>
  <c r="AO20" i="12"/>
  <c r="AM20" i="12"/>
  <c r="AJ20" i="12"/>
  <c r="AE20" i="12"/>
  <c r="AC20" i="12"/>
  <c r="AP20" i="12" s="1"/>
  <c r="AB20" i="12"/>
  <c r="AA20" i="12"/>
  <c r="Z20" i="12"/>
  <c r="Y20" i="12"/>
  <c r="X20" i="12"/>
  <c r="W20" i="12"/>
  <c r="V20" i="12"/>
  <c r="U20" i="12"/>
  <c r="T20" i="12"/>
  <c r="O20" i="12"/>
  <c r="K20" i="12"/>
  <c r="J20" i="12"/>
  <c r="AZ19" i="12"/>
  <c r="AY19" i="12"/>
  <c r="AW19" i="12"/>
  <c r="AP19" i="12"/>
  <c r="AO19" i="12"/>
  <c r="AM19" i="12"/>
  <c r="AJ19" i="12"/>
  <c r="AE19" i="12"/>
  <c r="AC19" i="12"/>
  <c r="AD19" i="12" s="1"/>
  <c r="AB19" i="12"/>
  <c r="AA19" i="12"/>
  <c r="Z19" i="12"/>
  <c r="Y19" i="12"/>
  <c r="X19" i="12"/>
  <c r="W19" i="12"/>
  <c r="V19" i="12"/>
  <c r="U19" i="12"/>
  <c r="T19" i="12" s="1"/>
  <c r="O19" i="12"/>
  <c r="AZ18" i="12"/>
  <c r="AY18" i="12"/>
  <c r="AW18" i="12"/>
  <c r="AP18" i="12"/>
  <c r="AO18" i="12"/>
  <c r="AM18" i="12"/>
  <c r="AJ18" i="12"/>
  <c r="AC18" i="12"/>
  <c r="AD18" i="12" s="1"/>
  <c r="AB18" i="12"/>
  <c r="AA18" i="12"/>
  <c r="Z18" i="12"/>
  <c r="Y18" i="12"/>
  <c r="X18" i="12"/>
  <c r="W18" i="12"/>
  <c r="V18" i="12"/>
  <c r="U18" i="12"/>
  <c r="T18" i="12" s="1"/>
  <c r="O18" i="12"/>
  <c r="AZ17" i="12"/>
  <c r="AY17" i="12"/>
  <c r="AW17" i="12"/>
  <c r="AP17" i="12"/>
  <c r="AO17" i="12"/>
  <c r="AM17" i="12"/>
  <c r="AJ17" i="12"/>
  <c r="AD17" i="12"/>
  <c r="AC17" i="12"/>
  <c r="AB17" i="12"/>
  <c r="AA17" i="12"/>
  <c r="Z17" i="12"/>
  <c r="Y17" i="12"/>
  <c r="X17" i="12"/>
  <c r="W17" i="12"/>
  <c r="V17" i="12"/>
  <c r="U17" i="12"/>
  <c r="T17" i="12" s="1"/>
  <c r="O17" i="12"/>
  <c r="AZ16" i="12"/>
  <c r="AY16" i="12"/>
  <c r="AW16" i="12"/>
  <c r="AO16" i="12"/>
  <c r="AN16" i="12"/>
  <c r="AM16" i="12"/>
  <c r="AJ16" i="12"/>
  <c r="AD16" i="12"/>
  <c r="AC16" i="12"/>
  <c r="AP16" i="12" s="1"/>
  <c r="AB16" i="12"/>
  <c r="AA16" i="12"/>
  <c r="Z16" i="12"/>
  <c r="Y16" i="12"/>
  <c r="X16" i="12"/>
  <c r="W16" i="12"/>
  <c r="V16" i="12"/>
  <c r="U16" i="12"/>
  <c r="T16" i="12"/>
  <c r="O16" i="12"/>
  <c r="K16" i="12"/>
  <c r="K17" i="12" s="1"/>
  <c r="K18" i="12" s="1"/>
  <c r="J16" i="12"/>
  <c r="J17" i="12" s="1"/>
  <c r="AZ15" i="12"/>
  <c r="AY15" i="12"/>
  <c r="AW15" i="12"/>
  <c r="AQ15" i="12"/>
  <c r="AP15" i="12"/>
  <c r="AO15" i="12"/>
  <c r="AM15" i="12"/>
  <c r="AJ15" i="12"/>
  <c r="AE15" i="12"/>
  <c r="AC15" i="12"/>
  <c r="AD15" i="12" s="1"/>
  <c r="AB15" i="12"/>
  <c r="AA15" i="12"/>
  <c r="Z15" i="12"/>
  <c r="Y15" i="12"/>
  <c r="X15" i="12"/>
  <c r="W15" i="12"/>
  <c r="V15" i="12"/>
  <c r="U15" i="12"/>
  <c r="T15" i="12"/>
  <c r="O15" i="12"/>
  <c r="AZ14" i="12"/>
  <c r="AY14" i="12"/>
  <c r="AW14" i="12"/>
  <c r="AQ14" i="12"/>
  <c r="AP14" i="12"/>
  <c r="AO14" i="12"/>
  <c r="AM14" i="12"/>
  <c r="AJ14" i="12"/>
  <c r="AC14" i="12"/>
  <c r="AD14" i="12" s="1"/>
  <c r="AB14" i="12"/>
  <c r="AA14" i="12"/>
  <c r="Z14" i="12"/>
  <c r="Y14" i="12"/>
  <c r="X14" i="12"/>
  <c r="W14" i="12"/>
  <c r="V14" i="12"/>
  <c r="U14" i="12"/>
  <c r="T14" i="12"/>
  <c r="O14" i="12"/>
  <c r="K14" i="12"/>
  <c r="AZ13" i="12"/>
  <c r="AY13" i="12"/>
  <c r="AW13" i="12"/>
  <c r="AO13" i="12"/>
  <c r="AM13" i="12"/>
  <c r="AJ13" i="12"/>
  <c r="AD13" i="12"/>
  <c r="AC13" i="12"/>
  <c r="AP13" i="12" s="1"/>
  <c r="AB13" i="12"/>
  <c r="AA13" i="12"/>
  <c r="Z13" i="12"/>
  <c r="Y13" i="12"/>
  <c r="X13" i="12"/>
  <c r="W13" i="12"/>
  <c r="V13" i="12"/>
  <c r="U13" i="12"/>
  <c r="T13" i="12" s="1"/>
  <c r="O13" i="12"/>
  <c r="K13" i="12"/>
  <c r="J13" i="12"/>
  <c r="J14" i="12" s="1"/>
  <c r="AE14" i="12" s="1"/>
  <c r="AZ12" i="12"/>
  <c r="AY12" i="12"/>
  <c r="AW12" i="12"/>
  <c r="AO12" i="12"/>
  <c r="AM12" i="12"/>
  <c r="AJ12" i="12"/>
  <c r="AE12" i="12"/>
  <c r="AC12" i="12"/>
  <c r="AP12" i="12" s="1"/>
  <c r="AB12" i="12"/>
  <c r="AA12" i="12"/>
  <c r="Z12" i="12"/>
  <c r="Y12" i="12"/>
  <c r="X12" i="12"/>
  <c r="W12" i="12"/>
  <c r="V12" i="12"/>
  <c r="U12" i="12"/>
  <c r="T12" i="12"/>
  <c r="O12" i="12"/>
  <c r="K12" i="12"/>
  <c r="J12" i="12"/>
  <c r="AZ11" i="12"/>
  <c r="AY11" i="12"/>
  <c r="AW11" i="12"/>
  <c r="AR11" i="12" a="1"/>
  <c r="AS34" i="12" s="1"/>
  <c r="AP11" i="12"/>
  <c r="AO11" i="12"/>
  <c r="AM11" i="12"/>
  <c r="AJ11" i="12"/>
  <c r="AG11" i="12" a="1"/>
  <c r="AE11" i="12"/>
  <c r="AD11" i="12"/>
  <c r="AC11" i="12"/>
  <c r="AB11" i="12"/>
  <c r="AA11" i="12"/>
  <c r="Z11" i="12"/>
  <c r="Y11" i="12"/>
  <c r="X11" i="12"/>
  <c r="W11" i="12"/>
  <c r="V11" i="12"/>
  <c r="U11" i="12"/>
  <c r="T11" i="12" s="1"/>
  <c r="S11" i="12" a="1"/>
  <c r="R11" i="12" a="1"/>
  <c r="AQ11" i="12" s="1"/>
  <c r="Q11" i="12" a="1"/>
  <c r="P11" i="12" a="1"/>
  <c r="AF33" i="12" s="1"/>
  <c r="O11" i="12"/>
  <c r="AN29" i="12"/>
  <c r="AG11" i="1" a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11" i="1"/>
  <c r="U12" i="1"/>
  <c r="T12" i="1" s="1"/>
  <c r="U13" i="1"/>
  <c r="T13" i="1" s="1"/>
  <c r="U14" i="1"/>
  <c r="T14" i="1" s="1"/>
  <c r="U15" i="1"/>
  <c r="T15" i="1" s="1"/>
  <c r="U16" i="1"/>
  <c r="T16" i="1" s="1"/>
  <c r="U17" i="1"/>
  <c r="T17" i="1" s="1"/>
  <c r="U18" i="1"/>
  <c r="U19" i="1"/>
  <c r="U20" i="1"/>
  <c r="U21" i="1"/>
  <c r="T21" i="1" s="1"/>
  <c r="U22" i="1"/>
  <c r="U23" i="1"/>
  <c r="T23" i="1" s="1"/>
  <c r="U24" i="1"/>
  <c r="U25" i="1"/>
  <c r="U26" i="1"/>
  <c r="U27" i="1"/>
  <c r="T27" i="1" s="1"/>
  <c r="U28" i="1"/>
  <c r="T28" i="1" s="1"/>
  <c r="U29" i="1"/>
  <c r="T29" i="1" s="1"/>
  <c r="U30" i="1"/>
  <c r="T30" i="1" s="1"/>
  <c r="U31" i="1"/>
  <c r="U32" i="1"/>
  <c r="U33" i="1"/>
  <c r="T33" i="1" s="1"/>
  <c r="U34" i="1"/>
  <c r="U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11" i="1"/>
  <c r="W12" i="1"/>
  <c r="X12" i="1"/>
  <c r="Y12" i="1"/>
  <c r="Z12" i="1"/>
  <c r="AA12" i="1"/>
  <c r="W13" i="1"/>
  <c r="X13" i="1"/>
  <c r="Y13" i="1"/>
  <c r="Z13" i="1"/>
  <c r="AA13" i="1"/>
  <c r="W14" i="1"/>
  <c r="X14" i="1"/>
  <c r="Y14" i="1"/>
  <c r="Z14" i="1"/>
  <c r="AA14" i="1"/>
  <c r="W15" i="1"/>
  <c r="X15" i="1"/>
  <c r="Y15" i="1"/>
  <c r="Z15" i="1"/>
  <c r="AA15" i="1"/>
  <c r="W16" i="1"/>
  <c r="X16" i="1"/>
  <c r="Y16" i="1"/>
  <c r="Z16" i="1"/>
  <c r="AA16" i="1"/>
  <c r="W17" i="1"/>
  <c r="X17" i="1"/>
  <c r="Y17" i="1"/>
  <c r="Z17" i="1"/>
  <c r="AA17" i="1"/>
  <c r="T18" i="1"/>
  <c r="W18" i="1"/>
  <c r="X18" i="1"/>
  <c r="Y18" i="1"/>
  <c r="Z18" i="1"/>
  <c r="AA18" i="1"/>
  <c r="W19" i="1"/>
  <c r="X19" i="1"/>
  <c r="Y19" i="1"/>
  <c r="Z19" i="1"/>
  <c r="AA19" i="1"/>
  <c r="W20" i="1"/>
  <c r="X20" i="1"/>
  <c r="Y20" i="1"/>
  <c r="Z20" i="1"/>
  <c r="AA20" i="1"/>
  <c r="W21" i="1"/>
  <c r="X21" i="1"/>
  <c r="Y21" i="1"/>
  <c r="Z21" i="1"/>
  <c r="AA21" i="1"/>
  <c r="W22" i="1"/>
  <c r="X22" i="1"/>
  <c r="Y22" i="1"/>
  <c r="Z22" i="1"/>
  <c r="AA22" i="1"/>
  <c r="W23" i="1"/>
  <c r="X23" i="1"/>
  <c r="Y23" i="1"/>
  <c r="Z23" i="1"/>
  <c r="AA23" i="1"/>
  <c r="T24" i="1"/>
  <c r="W24" i="1"/>
  <c r="X24" i="1"/>
  <c r="Y24" i="1"/>
  <c r="Z24" i="1"/>
  <c r="AA24" i="1"/>
  <c r="T25" i="1"/>
  <c r="W25" i="1"/>
  <c r="X25" i="1"/>
  <c r="Y25" i="1"/>
  <c r="Z25" i="1"/>
  <c r="AA25" i="1"/>
  <c r="T26" i="1"/>
  <c r="W26" i="1"/>
  <c r="X26" i="1"/>
  <c r="Y26" i="1"/>
  <c r="Z26" i="1"/>
  <c r="AA26" i="1"/>
  <c r="W27" i="1"/>
  <c r="X27" i="1"/>
  <c r="Y27" i="1"/>
  <c r="Z27" i="1"/>
  <c r="AA27" i="1"/>
  <c r="W28" i="1"/>
  <c r="X28" i="1"/>
  <c r="Y28" i="1"/>
  <c r="Z28" i="1"/>
  <c r="AA28" i="1"/>
  <c r="W29" i="1"/>
  <c r="X29" i="1"/>
  <c r="Y29" i="1"/>
  <c r="Z29" i="1"/>
  <c r="AA29" i="1"/>
  <c r="W30" i="1"/>
  <c r="X30" i="1"/>
  <c r="Y30" i="1"/>
  <c r="Z30" i="1"/>
  <c r="AA30" i="1"/>
  <c r="W31" i="1"/>
  <c r="X31" i="1"/>
  <c r="Y31" i="1"/>
  <c r="Z31" i="1"/>
  <c r="AA31" i="1"/>
  <c r="W32" i="1"/>
  <c r="X32" i="1"/>
  <c r="Y32" i="1"/>
  <c r="Z32" i="1"/>
  <c r="AA32" i="1"/>
  <c r="W33" i="1"/>
  <c r="X33" i="1"/>
  <c r="Y33" i="1"/>
  <c r="Z33" i="1"/>
  <c r="AA33" i="1"/>
  <c r="W34" i="1"/>
  <c r="X34" i="1"/>
  <c r="Y34" i="1"/>
  <c r="Z34" i="1"/>
  <c r="AA34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11" i="1"/>
  <c r="AR11" i="1" a="1"/>
  <c r="AS11" i="1" s="1"/>
  <c r="AS13" i="12" l="1"/>
  <c r="AS29" i="12"/>
  <c r="AS11" i="12" s="1"/>
  <c r="AS21" i="12"/>
  <c r="AH16" i="12"/>
  <c r="AT23" i="12"/>
  <c r="AT30" i="12"/>
  <c r="AT15" i="12"/>
  <c r="AT22" i="12"/>
  <c r="AT14" i="12"/>
  <c r="AT29" i="12"/>
  <c r="AU29" i="12" s="1"/>
  <c r="AX29" i="12" s="1"/>
  <c r="AQ21" i="12"/>
  <c r="AT21" i="12" s="1"/>
  <c r="AU21" i="12" s="1"/>
  <c r="AX21" i="12" s="1"/>
  <c r="AQ31" i="12"/>
  <c r="AT31" i="12" s="1"/>
  <c r="AQ24" i="12"/>
  <c r="AT24" i="12" s="1"/>
  <c r="AQ16" i="12"/>
  <c r="AT16" i="12" s="1"/>
  <c r="AQ13" i="12"/>
  <c r="AT13" i="12" s="1"/>
  <c r="AU13" i="12" s="1"/>
  <c r="AX13" i="12" s="1"/>
  <c r="AQ12" i="12"/>
  <c r="AT12" i="12" s="1"/>
  <c r="AF12" i="12"/>
  <c r="AF28" i="12"/>
  <c r="AF20" i="12"/>
  <c r="J26" i="12"/>
  <c r="AE26" i="12" s="1"/>
  <c r="AE25" i="12"/>
  <c r="J34" i="12"/>
  <c r="AE34" i="12" s="1"/>
  <c r="AE33" i="12"/>
  <c r="AU14" i="12"/>
  <c r="J18" i="12"/>
  <c r="AE18" i="12" s="1"/>
  <c r="AE17" i="12"/>
  <c r="AH17" i="12"/>
  <c r="AH25" i="12"/>
  <c r="AQ28" i="12"/>
  <c r="AT28" i="12" s="1"/>
  <c r="AH33" i="12"/>
  <c r="AH11" i="12" s="1"/>
  <c r="AD12" i="12"/>
  <c r="AS12" i="12"/>
  <c r="AN14" i="12"/>
  <c r="AN15" i="12"/>
  <c r="AF18" i="12"/>
  <c r="AF19" i="12"/>
  <c r="AD20" i="12"/>
  <c r="AS20" i="12"/>
  <c r="AN22" i="12"/>
  <c r="AN23" i="12"/>
  <c r="AF26" i="12"/>
  <c r="AF27" i="12"/>
  <c r="AK27" i="12" s="1"/>
  <c r="AD28" i="12"/>
  <c r="AS28" i="12"/>
  <c r="AN30" i="12"/>
  <c r="AN31" i="12"/>
  <c r="AF34" i="12"/>
  <c r="AH18" i="12"/>
  <c r="AH19" i="12"/>
  <c r="AK19" i="12" s="1"/>
  <c r="AT20" i="12"/>
  <c r="AU20" i="12" s="1"/>
  <c r="AH26" i="12"/>
  <c r="AH27" i="12"/>
  <c r="AH34" i="12"/>
  <c r="AH12" i="12"/>
  <c r="AE13" i="12"/>
  <c r="AH20" i="12"/>
  <c r="AE21" i="12"/>
  <c r="AH28" i="12"/>
  <c r="AE29" i="12"/>
  <c r="AF13" i="12"/>
  <c r="AS14" i="12"/>
  <c r="AS15" i="12"/>
  <c r="AU15" i="12" s="1"/>
  <c r="AN17" i="12"/>
  <c r="AF21" i="12"/>
  <c r="AS22" i="12"/>
  <c r="AU22" i="12" s="1"/>
  <c r="AS23" i="12"/>
  <c r="AU23" i="12" s="1"/>
  <c r="AP24" i="12"/>
  <c r="AU24" i="12" s="1"/>
  <c r="AN25" i="12"/>
  <c r="AF29" i="12"/>
  <c r="AS30" i="12"/>
  <c r="AU30" i="12" s="1"/>
  <c r="AS31" i="12"/>
  <c r="AP32" i="12"/>
  <c r="AN33" i="12"/>
  <c r="AH13" i="12"/>
  <c r="AH21" i="12"/>
  <c r="AH29" i="12"/>
  <c r="AQ32" i="12"/>
  <c r="AT32" i="12" s="1"/>
  <c r="AN19" i="12"/>
  <c r="AF23" i="12"/>
  <c r="AF30" i="12"/>
  <c r="AF11" i="12" s="1"/>
  <c r="AF14" i="12"/>
  <c r="AF15" i="12"/>
  <c r="AK15" i="12" s="1"/>
  <c r="AS16" i="12"/>
  <c r="AN18" i="12"/>
  <c r="AF22" i="12"/>
  <c r="AK22" i="12" s="1"/>
  <c r="AS24" i="12"/>
  <c r="AN26" i="12"/>
  <c r="AN27" i="12"/>
  <c r="AF31" i="12"/>
  <c r="AS32" i="12"/>
  <c r="AN34" i="12"/>
  <c r="AH14" i="12"/>
  <c r="AH15" i="12"/>
  <c r="AE16" i="12"/>
  <c r="AK16" i="12" s="1"/>
  <c r="AQ17" i="12"/>
  <c r="AT17" i="12" s="1"/>
  <c r="AU17" i="12" s="1"/>
  <c r="AH22" i="12"/>
  <c r="AH23" i="12"/>
  <c r="AE24" i="12"/>
  <c r="AQ25" i="12"/>
  <c r="AT25" i="12" s="1"/>
  <c r="AH30" i="12"/>
  <c r="AH31" i="12"/>
  <c r="AE32" i="12"/>
  <c r="AQ33" i="12"/>
  <c r="AT33" i="12" s="1"/>
  <c r="AU33" i="12" s="1"/>
  <c r="AN12" i="12"/>
  <c r="AF16" i="12"/>
  <c r="AS17" i="12"/>
  <c r="AN20" i="12"/>
  <c r="AF24" i="12"/>
  <c r="AS25" i="12"/>
  <c r="AN28" i="12"/>
  <c r="AF32" i="12"/>
  <c r="AS33" i="12"/>
  <c r="AQ18" i="12"/>
  <c r="AT18" i="12" s="1"/>
  <c r="AU18" i="12" s="1"/>
  <c r="AQ19" i="12"/>
  <c r="AT19" i="12" s="1"/>
  <c r="AU19" i="12" s="1"/>
  <c r="AH24" i="12"/>
  <c r="AQ26" i="12"/>
  <c r="AT26" i="12" s="1"/>
  <c r="AU26" i="12" s="1"/>
  <c r="AQ27" i="12"/>
  <c r="AT27" i="12" s="1"/>
  <c r="AH32" i="12"/>
  <c r="AQ34" i="12"/>
  <c r="AT34" i="12" s="1"/>
  <c r="AU34" i="12" s="1"/>
  <c r="AN11" i="12"/>
  <c r="AN13" i="12"/>
  <c r="AF17" i="12"/>
  <c r="AS18" i="12"/>
  <c r="AS19" i="12"/>
  <c r="AN21" i="12"/>
  <c r="AF25" i="12"/>
  <c r="AS26" i="12"/>
  <c r="AS27" i="12"/>
  <c r="T34" i="1"/>
  <c r="T31" i="1"/>
  <c r="T22" i="1"/>
  <c r="T19" i="1"/>
  <c r="T32" i="1"/>
  <c r="T20" i="1"/>
  <c r="AS34" i="1"/>
  <c r="AS33" i="1"/>
  <c r="AS31" i="1"/>
  <c r="AS23" i="1"/>
  <c r="AS19" i="1"/>
  <c r="AS22" i="1"/>
  <c r="AS21" i="1"/>
  <c r="AS14" i="1"/>
  <c r="AS32" i="1"/>
  <c r="AS20" i="1"/>
  <c r="AS30" i="1"/>
  <c r="AS18" i="1"/>
  <c r="AS29" i="1"/>
  <c r="AS17" i="1"/>
  <c r="AS28" i="1"/>
  <c r="AS16" i="1"/>
  <c r="AS27" i="1"/>
  <c r="AS15" i="1"/>
  <c r="AS26" i="1"/>
  <c r="AS25" i="1"/>
  <c r="AS13" i="1"/>
  <c r="AS24" i="1"/>
  <c r="AS12" i="1"/>
  <c r="AK33" i="12" l="1"/>
  <c r="AK29" i="12"/>
  <c r="AK30" i="12"/>
  <c r="AK11" i="12"/>
  <c r="AK23" i="12"/>
  <c r="AK28" i="12"/>
  <c r="AK12" i="12"/>
  <c r="AK31" i="12"/>
  <c r="AV29" i="12"/>
  <c r="AL29" i="12" s="1"/>
  <c r="BF29" i="12" s="1"/>
  <c r="AK32" i="12"/>
  <c r="AT11" i="12"/>
  <c r="AU11" i="12" s="1"/>
  <c r="AX11" i="12" s="1"/>
  <c r="AV21" i="12"/>
  <c r="AV13" i="12"/>
  <c r="AU16" i="12"/>
  <c r="AV16" i="12" s="1"/>
  <c r="AL16" i="12" s="1"/>
  <c r="BF16" i="12" s="1"/>
  <c r="AU31" i="12"/>
  <c r="AX31" i="12" s="1"/>
  <c r="AK18" i="12"/>
  <c r="AK24" i="12"/>
  <c r="AK21" i="12"/>
  <c r="AK13" i="12"/>
  <c r="AK34" i="12"/>
  <c r="AK14" i="12"/>
  <c r="AK26" i="12"/>
  <c r="AX15" i="12"/>
  <c r="AV15" i="12"/>
  <c r="AL15" i="12" s="1"/>
  <c r="BF15" i="12" s="1"/>
  <c r="AX23" i="12"/>
  <c r="AV23" i="12"/>
  <c r="AV24" i="12"/>
  <c r="AL24" i="12" s="1"/>
  <c r="BF24" i="12" s="1"/>
  <c r="AX24" i="12"/>
  <c r="AX26" i="12"/>
  <c r="AV26" i="12"/>
  <c r="AX14" i="12"/>
  <c r="AV14" i="12"/>
  <c r="BA13" i="12"/>
  <c r="BB13" i="12"/>
  <c r="AU32" i="12"/>
  <c r="AX30" i="12"/>
  <c r="AV30" i="12"/>
  <c r="AL30" i="12" s="1"/>
  <c r="BF30" i="12" s="1"/>
  <c r="AU25" i="12"/>
  <c r="AK25" i="12"/>
  <c r="BA21" i="12"/>
  <c r="BB21" i="12"/>
  <c r="AU28" i="12"/>
  <c r="AX18" i="12"/>
  <c r="AV18" i="12"/>
  <c r="AL18" i="12" s="1"/>
  <c r="BF18" i="12" s="1"/>
  <c r="AX20" i="12"/>
  <c r="AV20" i="12"/>
  <c r="AX34" i="12"/>
  <c r="AV34" i="12"/>
  <c r="AX17" i="12"/>
  <c r="AV17" i="12"/>
  <c r="AK20" i="12"/>
  <c r="BA29" i="12"/>
  <c r="BB29" i="12"/>
  <c r="AX33" i="12"/>
  <c r="AV33" i="12"/>
  <c r="AL33" i="12" s="1"/>
  <c r="BF33" i="12" s="1"/>
  <c r="AX19" i="12"/>
  <c r="AV19" i="12"/>
  <c r="AL19" i="12" s="1"/>
  <c r="BF19" i="12" s="1"/>
  <c r="AU12" i="12"/>
  <c r="AK17" i="12"/>
  <c r="AX22" i="12"/>
  <c r="AV22" i="12"/>
  <c r="AL22" i="12" s="1"/>
  <c r="BF22" i="12" s="1"/>
  <c r="AU27" i="12"/>
  <c r="AV31" i="12" l="1"/>
  <c r="AL17" i="12"/>
  <c r="BF17" i="12" s="1"/>
  <c r="AL14" i="12"/>
  <c r="BF14" i="12" s="1"/>
  <c r="AL23" i="12"/>
  <c r="BF23" i="12" s="1"/>
  <c r="AL13" i="12"/>
  <c r="BF13" i="12" s="1"/>
  <c r="AL31" i="12"/>
  <c r="BF31" i="12" s="1"/>
  <c r="AV11" i="12"/>
  <c r="AL11" i="12" s="1"/>
  <c r="BF11" i="12" s="1"/>
  <c r="BI11" i="12" s="1"/>
  <c r="BL11" i="12" s="1"/>
  <c r="AL21" i="12"/>
  <c r="BF21" i="12" s="1"/>
  <c r="BC21" i="12"/>
  <c r="BD21" i="12" s="1"/>
  <c r="AL34" i="12"/>
  <c r="BF34" i="12" s="1"/>
  <c r="AX16" i="12"/>
  <c r="BA16" i="12" s="1"/>
  <c r="AL26" i="12"/>
  <c r="BF26" i="12" s="1"/>
  <c r="BB30" i="12"/>
  <c r="BA30" i="12"/>
  <c r="BC30" i="12" s="1"/>
  <c r="BD30" i="12" s="1"/>
  <c r="AL20" i="12"/>
  <c r="BF20" i="12" s="1"/>
  <c r="BB23" i="12"/>
  <c r="BA23" i="12"/>
  <c r="BC23" i="12" s="1"/>
  <c r="BD23" i="12" s="1"/>
  <c r="BB22" i="12"/>
  <c r="BA22" i="12"/>
  <c r="AX12" i="12"/>
  <c r="AV12" i="12"/>
  <c r="AL12" i="12" s="1"/>
  <c r="BF12" i="12" s="1"/>
  <c r="BB19" i="12"/>
  <c r="BA19" i="12"/>
  <c r="BC19" i="12" s="1"/>
  <c r="BD19" i="12" s="1"/>
  <c r="BB11" i="12"/>
  <c r="BA11" i="12"/>
  <c r="BC11" i="12" s="1"/>
  <c r="BD11" i="12" s="1"/>
  <c r="BB15" i="12"/>
  <c r="BA15" i="12"/>
  <c r="BB26" i="12"/>
  <c r="BA26" i="12"/>
  <c r="BC26" i="12" s="1"/>
  <c r="BD26" i="12" s="1"/>
  <c r="BB34" i="12"/>
  <c r="BA34" i="12"/>
  <c r="AX27" i="12"/>
  <c r="AV27" i="12"/>
  <c r="AL27" i="12" s="1"/>
  <c r="BF27" i="12" s="1"/>
  <c r="BA24" i="12"/>
  <c r="BB24" i="12"/>
  <c r="BB33" i="12"/>
  <c r="BA33" i="12"/>
  <c r="BC33" i="12" s="1"/>
  <c r="BD33" i="12" s="1"/>
  <c r="AX28" i="12"/>
  <c r="AV28" i="12"/>
  <c r="AL28" i="12" s="1"/>
  <c r="BF28" i="12" s="1"/>
  <c r="BC13" i="12"/>
  <c r="BD13" i="12" s="1"/>
  <c r="BB31" i="12"/>
  <c r="BA31" i="12"/>
  <c r="BB17" i="12"/>
  <c r="BA17" i="12"/>
  <c r="BC17" i="12" s="1"/>
  <c r="BD17" i="12" s="1"/>
  <c r="AV32" i="12"/>
  <c r="AL32" i="12" s="1"/>
  <c r="BF32" i="12" s="1"/>
  <c r="AX32" i="12"/>
  <c r="BB20" i="12"/>
  <c r="BA20" i="12"/>
  <c r="BB18" i="12"/>
  <c r="BA18" i="12"/>
  <c r="BC29" i="12"/>
  <c r="BD29" i="12" s="1"/>
  <c r="AX25" i="12"/>
  <c r="AV25" i="12"/>
  <c r="AL25" i="12" s="1"/>
  <c r="BF25" i="12" s="1"/>
  <c r="BB14" i="12"/>
  <c r="BA14" i="12"/>
  <c r="AZ11" i="1"/>
  <c r="AY11" i="1"/>
  <c r="AW11" i="1"/>
  <c r="BC15" i="12" l="1"/>
  <c r="BD15" i="12" s="1"/>
  <c r="BH11" i="12"/>
  <c r="BK11" i="12" s="1"/>
  <c r="BJ11" i="12"/>
  <c r="BB16" i="12"/>
  <c r="BC16" i="12" s="1"/>
  <c r="BD16" i="12" s="1"/>
  <c r="BC18" i="12"/>
  <c r="BD18" i="12" s="1"/>
  <c r="BC31" i="12"/>
  <c r="BD31" i="12" s="1"/>
  <c r="BC20" i="12"/>
  <c r="BD20" i="12" s="1"/>
  <c r="BG11" i="12"/>
  <c r="BC34" i="12"/>
  <c r="BD34" i="12" s="1"/>
  <c r="BC22" i="12"/>
  <c r="BD22" i="12" s="1"/>
  <c r="BB12" i="12"/>
  <c r="BA12" i="12"/>
  <c r="BC12" i="12" s="1"/>
  <c r="BD12" i="12" s="1"/>
  <c r="BB27" i="12"/>
  <c r="BA27" i="12"/>
  <c r="BB25" i="12"/>
  <c r="BA25" i="12"/>
  <c r="BB28" i="12"/>
  <c r="BA28" i="12"/>
  <c r="BC28" i="12" s="1"/>
  <c r="BD28" i="12" s="1"/>
  <c r="BA32" i="12"/>
  <c r="BB32" i="12"/>
  <c r="BC24" i="12"/>
  <c r="BD24" i="12" s="1"/>
  <c r="BC14" i="12"/>
  <c r="BD14" i="12" s="1"/>
  <c r="AN11" i="1"/>
  <c r="AN14" i="1"/>
  <c r="AN20" i="1"/>
  <c r="AN26" i="1"/>
  <c r="AN32" i="1"/>
  <c r="AN24" i="1"/>
  <c r="AN31" i="1"/>
  <c r="AN15" i="1"/>
  <c r="AN18" i="1"/>
  <c r="AN21" i="1"/>
  <c r="AN27" i="1"/>
  <c r="AN33" i="1"/>
  <c r="AN12" i="1"/>
  <c r="AN30" i="1"/>
  <c r="AN25" i="1"/>
  <c r="AN16" i="1"/>
  <c r="AN22" i="1"/>
  <c r="AN28" i="1"/>
  <c r="AN34" i="1"/>
  <c r="AN19" i="1"/>
  <c r="AN13" i="1"/>
  <c r="AN17" i="1"/>
  <c r="AN23" i="1"/>
  <c r="AN29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W172" i="1" a="1"/>
  <c r="AW173" i="1" a="1"/>
  <c r="AW174" i="1" a="1"/>
  <c r="AW156" i="1" a="1"/>
  <c r="AW176" i="1" a="1"/>
  <c r="AW130" i="1" a="1"/>
  <c r="J32" i="1"/>
  <c r="J33" i="1" s="1"/>
  <c r="J28" i="1"/>
  <c r="J29" i="1" s="1"/>
  <c r="J30" i="1" s="1"/>
  <c r="J24" i="1"/>
  <c r="J25" i="1" s="1"/>
  <c r="J20" i="1"/>
  <c r="J21" i="1" s="1"/>
  <c r="J22" i="1" s="1"/>
  <c r="J16" i="1"/>
  <c r="J17" i="1" s="1"/>
  <c r="J12" i="1"/>
  <c r="J13" i="1" s="1"/>
  <c r="K32" i="1"/>
  <c r="K33" i="1" s="1"/>
  <c r="K34" i="1" s="1"/>
  <c r="K28" i="1"/>
  <c r="K29" i="1" s="1"/>
  <c r="K30" i="1" s="1"/>
  <c r="K24" i="1"/>
  <c r="K25" i="1" s="1"/>
  <c r="K26" i="1" s="1"/>
  <c r="K20" i="1"/>
  <c r="K21" i="1" s="1"/>
  <c r="K22" i="1" s="1"/>
  <c r="K16" i="1"/>
  <c r="K17" i="1" s="1"/>
  <c r="K18" i="1" s="1"/>
  <c r="K14" i="1"/>
  <c r="K13" i="1"/>
  <c r="K12" i="1"/>
  <c r="AE15" i="1"/>
  <c r="AE19" i="1"/>
  <c r="AE23" i="1"/>
  <c r="AE27" i="1"/>
  <c r="AE3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11" i="1"/>
  <c r="AP11" i="1" s="1"/>
  <c r="AA11" i="1"/>
  <c r="Z11" i="1"/>
  <c r="Y11" i="1"/>
  <c r="X11" i="1"/>
  <c r="T11" i="1"/>
  <c r="W11" i="1"/>
  <c r="S11" i="1" a="1"/>
  <c r="R11" i="1" a="1"/>
  <c r="Q11" i="1" a="1"/>
  <c r="P11" i="1" a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11" i="1"/>
  <c r="BC25" i="12" l="1"/>
  <c r="BD25" i="12" s="1"/>
  <c r="BC27" i="12"/>
  <c r="BD27" i="12" s="1"/>
  <c r="BC32" i="12"/>
  <c r="BD32" i="12" s="1"/>
  <c r="AD31" i="1"/>
  <c r="AP31" i="1"/>
  <c r="AD19" i="1"/>
  <c r="AP19" i="1"/>
  <c r="AD30" i="1"/>
  <c r="AP30" i="1"/>
  <c r="AD18" i="1"/>
  <c r="AP18" i="1"/>
  <c r="AD25" i="1"/>
  <c r="AP25" i="1"/>
  <c r="AD13" i="1"/>
  <c r="AP13" i="1"/>
  <c r="AD20" i="1"/>
  <c r="AP20" i="1"/>
  <c r="AD29" i="1"/>
  <c r="AP29" i="1"/>
  <c r="AD28" i="1"/>
  <c r="AP28" i="1"/>
  <c r="AD26" i="1"/>
  <c r="AP26" i="1"/>
  <c r="AD14" i="1"/>
  <c r="AP14" i="1"/>
  <c r="AD24" i="1"/>
  <c r="AP24" i="1"/>
  <c r="AD12" i="1"/>
  <c r="AP12" i="1"/>
  <c r="AD15" i="1"/>
  <c r="AP15" i="1"/>
  <c r="AD23" i="1"/>
  <c r="AP23" i="1"/>
  <c r="AD32" i="1"/>
  <c r="AP32" i="1"/>
  <c r="AD17" i="1"/>
  <c r="AP17" i="1"/>
  <c r="AD16" i="1"/>
  <c r="AP16" i="1"/>
  <c r="AD27" i="1"/>
  <c r="AP27" i="1"/>
  <c r="AD34" i="1"/>
  <c r="AP34" i="1"/>
  <c r="AD22" i="1"/>
  <c r="AP22" i="1"/>
  <c r="AD33" i="1"/>
  <c r="AP33" i="1"/>
  <c r="AD21" i="1"/>
  <c r="AP21" i="1"/>
  <c r="AQ11" i="1" s="1"/>
  <c r="AT11" i="1" s="1"/>
  <c r="AU11" i="1" s="1"/>
  <c r="AQ12" i="1"/>
  <c r="AT12" i="1" s="1"/>
  <c r="AU12" i="1" s="1"/>
  <c r="AX12" i="1" s="1"/>
  <c r="AQ24" i="1"/>
  <c r="AT24" i="1" s="1"/>
  <c r="AQ14" i="1"/>
  <c r="AT14" i="1" s="1"/>
  <c r="AQ26" i="1"/>
  <c r="AT26" i="1" s="1"/>
  <c r="AQ15" i="1"/>
  <c r="AT15" i="1" s="1"/>
  <c r="AU15" i="1" s="1"/>
  <c r="AX15" i="1" s="1"/>
  <c r="AQ27" i="1"/>
  <c r="AT27" i="1" s="1"/>
  <c r="AU27" i="1" s="1"/>
  <c r="AX27" i="1" s="1"/>
  <c r="AQ18" i="1"/>
  <c r="AT18" i="1" s="1"/>
  <c r="AQ31" i="1"/>
  <c r="AT31" i="1" s="1"/>
  <c r="AU31" i="1" s="1"/>
  <c r="AX31" i="1" s="1"/>
  <c r="AQ20" i="1"/>
  <c r="AT20" i="1" s="1"/>
  <c r="AU20" i="1" s="1"/>
  <c r="AX20" i="1" s="1"/>
  <c r="AQ13" i="1"/>
  <c r="AT13" i="1" s="1"/>
  <c r="AQ25" i="1"/>
  <c r="AT25" i="1" s="1"/>
  <c r="AU25" i="1" s="1"/>
  <c r="AX25" i="1" s="1"/>
  <c r="AQ16" i="1"/>
  <c r="AT16" i="1" s="1"/>
  <c r="AQ28" i="1"/>
  <c r="AT28" i="1" s="1"/>
  <c r="AU28" i="1" s="1"/>
  <c r="AX28" i="1" s="1"/>
  <c r="AQ17" i="1"/>
  <c r="AT17" i="1" s="1"/>
  <c r="AQ29" i="1"/>
  <c r="AT29" i="1" s="1"/>
  <c r="AQ30" i="1"/>
  <c r="AT30" i="1" s="1"/>
  <c r="AQ32" i="1"/>
  <c r="AT32" i="1" s="1"/>
  <c r="AQ33" i="1"/>
  <c r="AT33" i="1" s="1"/>
  <c r="AQ22" i="1"/>
  <c r="AT22" i="1" s="1"/>
  <c r="AU22" i="1" s="1"/>
  <c r="AX22" i="1" s="1"/>
  <c r="AQ34" i="1"/>
  <c r="AT34" i="1" s="1"/>
  <c r="AU34" i="1" s="1"/>
  <c r="AX34" i="1" s="1"/>
  <c r="AQ23" i="1"/>
  <c r="AT23" i="1" s="1"/>
  <c r="AU23" i="1" s="1"/>
  <c r="AX23" i="1" s="1"/>
  <c r="AQ19" i="1"/>
  <c r="AT19" i="1" s="1"/>
  <c r="AU19" i="1" s="1"/>
  <c r="AX19" i="1" s="1"/>
  <c r="AQ21" i="1"/>
  <c r="AT21" i="1" s="1"/>
  <c r="AU21" i="1" s="1"/>
  <c r="AX21" i="1" s="1"/>
  <c r="AH11" i="1"/>
  <c r="AH18" i="1"/>
  <c r="AH30" i="1"/>
  <c r="AE12" i="1"/>
  <c r="AH21" i="1"/>
  <c r="AH25" i="1"/>
  <c r="AH13" i="1"/>
  <c r="AH24" i="1"/>
  <c r="AH12" i="1"/>
  <c r="AE16" i="1"/>
  <c r="AH23" i="1"/>
  <c r="AV27" i="1"/>
  <c r="AH34" i="1"/>
  <c r="AH22" i="1"/>
  <c r="AH33" i="1"/>
  <c r="AH32" i="1"/>
  <c r="AH20" i="1"/>
  <c r="AH31" i="1"/>
  <c r="AH19" i="1"/>
  <c r="AH29" i="1"/>
  <c r="AH17" i="1"/>
  <c r="AE32" i="1"/>
  <c r="AH28" i="1"/>
  <c r="AH16" i="1"/>
  <c r="AH27" i="1"/>
  <c r="AH15" i="1"/>
  <c r="AH26" i="1"/>
  <c r="AH14" i="1"/>
  <c r="J14" i="1"/>
  <c r="AE14" i="1" s="1"/>
  <c r="AE13" i="1"/>
  <c r="J18" i="1"/>
  <c r="AE18" i="1" s="1"/>
  <c r="AE17" i="1"/>
  <c r="J26" i="1"/>
  <c r="AE26" i="1" s="1"/>
  <c r="AE25" i="1"/>
  <c r="J34" i="1"/>
  <c r="AE34" i="1" s="1"/>
  <c r="AE33" i="1"/>
  <c r="AF23" i="1"/>
  <c r="AE28" i="1"/>
  <c r="AF34" i="1"/>
  <c r="AF22" i="1"/>
  <c r="AF33" i="1"/>
  <c r="AF21" i="1"/>
  <c r="AF32" i="1"/>
  <c r="AF20" i="1"/>
  <c r="AE24" i="1"/>
  <c r="AF31" i="1"/>
  <c r="AF19" i="1"/>
  <c r="AK19" i="1" s="1"/>
  <c r="AF30" i="1"/>
  <c r="AF18" i="1"/>
  <c r="AE20" i="1"/>
  <c r="AF29" i="1"/>
  <c r="AF17" i="1"/>
  <c r="AF28" i="1"/>
  <c r="AF16" i="1"/>
  <c r="AF27" i="1"/>
  <c r="AF15" i="1"/>
  <c r="AF26" i="1"/>
  <c r="AF14" i="1"/>
  <c r="AF25" i="1"/>
  <c r="AF13" i="1"/>
  <c r="AF24" i="1"/>
  <c r="AF12" i="1"/>
  <c r="AE30" i="1"/>
  <c r="AE21" i="1"/>
  <c r="AE22" i="1"/>
  <c r="AE29" i="1"/>
  <c r="BE11" i="12" l="1"/>
  <c r="BA25" i="1"/>
  <c r="BB25" i="1"/>
  <c r="BA21" i="1"/>
  <c r="BB21" i="1"/>
  <c r="BA28" i="1"/>
  <c r="BB28" i="1"/>
  <c r="BA19" i="1"/>
  <c r="BB19" i="1"/>
  <c r="BA20" i="1"/>
  <c r="BB20" i="1"/>
  <c r="BA22" i="1"/>
  <c r="BB22" i="1"/>
  <c r="BB27" i="1"/>
  <c r="BA27" i="1"/>
  <c r="BC27" i="1" s="1"/>
  <c r="BD27" i="1" s="1"/>
  <c r="BB23" i="1"/>
  <c r="BA23" i="1"/>
  <c r="BC23" i="1" s="1"/>
  <c r="BD23" i="1" s="1"/>
  <c r="BA34" i="1"/>
  <c r="BB34" i="1"/>
  <c r="BA15" i="1"/>
  <c r="BB15" i="1"/>
  <c r="BB12" i="1"/>
  <c r="BA12" i="1"/>
  <c r="BC12" i="1" s="1"/>
  <c r="BD12" i="1" s="1"/>
  <c r="BA31" i="1"/>
  <c r="BB31" i="1"/>
  <c r="AK26" i="1"/>
  <c r="AV34" i="1"/>
  <c r="AU29" i="1"/>
  <c r="AK24" i="1"/>
  <c r="AV15" i="1"/>
  <c r="AK33" i="1"/>
  <c r="AU16" i="1"/>
  <c r="AV25" i="1"/>
  <c r="AV19" i="1"/>
  <c r="AL19" i="1" s="1"/>
  <c r="BF19" i="1" s="1"/>
  <c r="AV22" i="1"/>
  <c r="AL22" i="1" s="1"/>
  <c r="BF22" i="1" s="1"/>
  <c r="AU18" i="1"/>
  <c r="AV23" i="1"/>
  <c r="AU33" i="1"/>
  <c r="AV28" i="1"/>
  <c r="AV31" i="1"/>
  <c r="AV12" i="1"/>
  <c r="AU32" i="1"/>
  <c r="AV20" i="1"/>
  <c r="AU30" i="1"/>
  <c r="AU26" i="1"/>
  <c r="AU14" i="1"/>
  <c r="AV21" i="1"/>
  <c r="AU13" i="1"/>
  <c r="AU17" i="1"/>
  <c r="AU24" i="1"/>
  <c r="AK15" i="1"/>
  <c r="AK27" i="1"/>
  <c r="AL27" i="1" s="1"/>
  <c r="BF27" i="1" s="1"/>
  <c r="AK22" i="1"/>
  <c r="AK21" i="1"/>
  <c r="AK18" i="1"/>
  <c r="AK13" i="1"/>
  <c r="AK30" i="1"/>
  <c r="AK29" i="1"/>
  <c r="AK34" i="1"/>
  <c r="AL34" i="1" s="1"/>
  <c r="BF34" i="1" s="1"/>
  <c r="AK12" i="1"/>
  <c r="AK20" i="1"/>
  <c r="AK28" i="1"/>
  <c r="AK14" i="1"/>
  <c r="AK23" i="1"/>
  <c r="AK32" i="1"/>
  <c r="AK31" i="1"/>
  <c r="AL31" i="1" s="1"/>
  <c r="BF31" i="1" s="1"/>
  <c r="AK25" i="1"/>
  <c r="AK16" i="1"/>
  <c r="AK17" i="1"/>
  <c r="AL28" i="1" l="1"/>
  <c r="BF28" i="1" s="1"/>
  <c r="BC31" i="1"/>
  <c r="BD31" i="1" s="1"/>
  <c r="BC20" i="1"/>
  <c r="BD20" i="1" s="1"/>
  <c r="BC15" i="1"/>
  <c r="BD15" i="1" s="1"/>
  <c r="BC34" i="1"/>
  <c r="BD34" i="1" s="1"/>
  <c r="BC21" i="1"/>
  <c r="BD21" i="1" s="1"/>
  <c r="BC22" i="1"/>
  <c r="BD22" i="1" s="1"/>
  <c r="BC19" i="1"/>
  <c r="BD19" i="1" s="1"/>
  <c r="BC28" i="1"/>
  <c r="BD28" i="1" s="1"/>
  <c r="BC25" i="1"/>
  <c r="BD25" i="1" s="1"/>
  <c r="AL25" i="1"/>
  <c r="BF25" i="1" s="1"/>
  <c r="AL21" i="1"/>
  <c r="BF21" i="1" s="1"/>
  <c r="AL23" i="1"/>
  <c r="BF23" i="1" s="1"/>
  <c r="AL15" i="1"/>
  <c r="BF15" i="1" s="1"/>
  <c r="AX29" i="1"/>
  <c r="AV29" i="1"/>
  <c r="AL29" i="1" s="1"/>
  <c r="BF29" i="1" s="1"/>
  <c r="AX32" i="1"/>
  <c r="AV32" i="1"/>
  <c r="AL32" i="1" s="1"/>
  <c r="BF32" i="1" s="1"/>
  <c r="AX24" i="1"/>
  <c r="AV24" i="1"/>
  <c r="AL24" i="1" s="1"/>
  <c r="BF24" i="1" s="1"/>
  <c r="AX17" i="1"/>
  <c r="AV17" i="1"/>
  <c r="AL17" i="1" s="1"/>
  <c r="BF17" i="1" s="1"/>
  <c r="AX33" i="1"/>
  <c r="AV33" i="1"/>
  <c r="AL33" i="1" s="1"/>
  <c r="BF33" i="1" s="1"/>
  <c r="AX18" i="1"/>
  <c r="AV18" i="1"/>
  <c r="AL18" i="1" s="1"/>
  <c r="BF18" i="1" s="1"/>
  <c r="AL12" i="1"/>
  <c r="BF12" i="1" s="1"/>
  <c r="AX14" i="1"/>
  <c r="AV14" i="1"/>
  <c r="AL14" i="1" s="1"/>
  <c r="BF14" i="1" s="1"/>
  <c r="AL20" i="1"/>
  <c r="BF20" i="1" s="1"/>
  <c r="AX13" i="1"/>
  <c r="AV13" i="1"/>
  <c r="AL13" i="1" s="1"/>
  <c r="BF13" i="1" s="1"/>
  <c r="AX26" i="1"/>
  <c r="AV26" i="1"/>
  <c r="AL26" i="1" s="1"/>
  <c r="BF26" i="1" s="1"/>
  <c r="AX30" i="1"/>
  <c r="AV30" i="1"/>
  <c r="AL30" i="1" s="1"/>
  <c r="BF30" i="1" s="1"/>
  <c r="AX16" i="1"/>
  <c r="AV16" i="1"/>
  <c r="AL16" i="1" s="1"/>
  <c r="BF16" i="1" s="1"/>
  <c r="AX11" i="1"/>
  <c r="AJ11" i="1"/>
  <c r="AV11" i="1" s="1"/>
  <c r="AF11" i="1"/>
  <c r="AE11" i="1"/>
  <c r="AD11" i="1"/>
  <c r="BA26" i="1" l="1"/>
  <c r="BB26" i="1"/>
  <c r="BB24" i="1"/>
  <c r="BA24" i="1"/>
  <c r="BC24" i="1" s="1"/>
  <c r="BD24" i="1" s="1"/>
  <c r="BA32" i="1"/>
  <c r="BB32" i="1"/>
  <c r="BA17" i="1"/>
  <c r="BB17" i="1"/>
  <c r="BA13" i="1"/>
  <c r="BB13" i="1"/>
  <c r="BA14" i="1"/>
  <c r="BB14" i="1"/>
  <c r="BB11" i="1"/>
  <c r="BA11" i="1"/>
  <c r="BB29" i="1"/>
  <c r="BA29" i="1"/>
  <c r="BC29" i="1" s="1"/>
  <c r="BD29" i="1" s="1"/>
  <c r="BA16" i="1"/>
  <c r="BB16" i="1"/>
  <c r="BA18" i="1"/>
  <c r="BB18" i="1"/>
  <c r="BA30" i="1"/>
  <c r="BB30" i="1"/>
  <c r="BA33" i="1"/>
  <c r="BB33" i="1"/>
  <c r="AK11" i="1"/>
  <c r="AL11" i="1" s="1"/>
  <c r="BF11" i="1" s="1"/>
  <c r="BG11" i="1" s="1"/>
  <c r="BC26" i="1" l="1"/>
  <c r="BD26" i="1" s="1"/>
  <c r="BC33" i="1"/>
  <c r="BD33" i="1" s="1"/>
  <c r="BC13" i="1"/>
  <c r="BD13" i="1" s="1"/>
  <c r="BC18" i="1"/>
  <c r="BD18" i="1" s="1"/>
  <c r="BC16" i="1"/>
  <c r="BD16" i="1" s="1"/>
  <c r="BC14" i="1"/>
  <c r="BD14" i="1" s="1"/>
  <c r="BC17" i="1"/>
  <c r="BD17" i="1" s="1"/>
  <c r="BC32" i="1"/>
  <c r="BD32" i="1" s="1"/>
  <c r="BC11" i="1"/>
  <c r="BD11" i="1" s="1"/>
  <c r="BC30" i="1"/>
  <c r="BD30" i="1" s="1"/>
  <c r="BH11" i="1"/>
  <c r="BK11" i="1" s="1"/>
  <c r="BJ11" i="1"/>
  <c r="BI11" i="1"/>
  <c r="BL11" i="1" s="1"/>
  <c r="BE1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04BC6-502E-1145-AD31-C6E5E29489C0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  <connection id="2" xr16:uid="{FF4627BE-BD9C-5D4C-B100-C63B2BD36218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  <connection id="3" xr16:uid="{773D2F4B-ABBE-1940-B146-815D639418EE}" keepAlive="1" name="Query - Query (3)" description="Connection to the 'Query (3)' query in the workbook." type="5" refreshedVersion="8" background="1" saveData="1">
    <dbPr connection="Provider=Microsoft.Mashup.OleDb.1;Data Source=$Workbook$;Location=&quot;Query (3)&quot;;Extended Properties=&quot;&quot;" command="SELECT * FROM [Query (3)]"/>
  </connection>
  <connection id="4" xr16:uid="{1FA873FA-F7E5-4949-9674-C733383873C9}" keepAlive="1" name="Query - QueryDMA" description="Connection to the 'QueryDMA' query in the workbook." type="5" refreshedVersion="8" background="1" saveData="1">
    <dbPr connection="Provider=Microsoft.Mashup.OleDb.1;Data Source=$Workbook$;Location=QueryDMA;Extended Properties=&quot;&quot;" command="SELECT * FROM [QueryDMA]"/>
  </connection>
  <connection id="5" xr16:uid="{D28D0EF4-6DEB-434E-8A90-DBD5719367B8}" keepAlive="1" name="Query - QueryDMA (2)" description="Connection to the 'QueryDMA (2)' query in the workbook." type="5" refreshedVersion="8" background="1" saveData="1">
    <dbPr connection="Provider=Microsoft.Mashup.OleDb.1;Data Source=$Workbook$;Location=&quot;QueryDMA (2)&quot;;Extended Properties=&quot;&quot;" command="SELECT * FROM [QueryDMA (2)]"/>
  </connection>
  <connection id="6" xr16:uid="{A243715A-049A-9341-A803-56C90EF15CC5}" keepAlive="1" name="Query - QueryDMA (3)" description="Connection to the 'QueryDMA (3)' query in the workbook." type="5" refreshedVersion="8" background="1" saveData="1">
    <dbPr connection="Provider=Microsoft.Mashup.OleDb.1;Data Source=$Workbook$;Location=&quot;QueryDMA (3)&quot;;Extended Properties=&quot;&quot;" command="SELECT * FROM [QueryDMA (3)]"/>
  </connection>
  <connection id="7" xr16:uid="{41A28881-E26E-7849-A14A-D30CE43DAA24}" keepAlive="1" name="Query - QueryDMD" description="Connection to the 'QueryDMD' query in the workbook." type="5" refreshedVersion="8" background="1" saveData="1">
    <dbPr connection="Provider=Microsoft.Mashup.OleDb.1;Data Source=$Workbook$;Location=QueryDMD;Extended Properties=&quot;&quot;" command="SELECT * FROM [QueryDMD]"/>
  </connection>
  <connection id="8" xr16:uid="{9E639375-34F6-BA4E-A2E2-A65AD21E2C08}" keepAlive="1" name="Query - QueryDMD (2)" description="Connection to the 'QueryDMD (2)' query in the workbook." type="5" refreshedVersion="8" background="1" saveData="1">
    <dbPr connection="Provider=Microsoft.Mashup.OleDb.1;Data Source=$Workbook$;Location=&quot;QueryDMD (2)&quot;;Extended Properties=&quot;&quot;" command="SELECT * FROM [QueryDMD (2)]"/>
  </connection>
  <connection id="9" xr16:uid="{C9B36960-8CD3-184C-BC36-FA652FC17E51}" keepAlive="1" name="Query - QueryDMD (3)" description="Connection to the 'QueryDMD (3)' query in the workbook." type="5" refreshedVersion="8" background="1" saveData="1">
    <dbPr connection="Provider=Microsoft.Mashup.OleDb.1;Data Source=$Workbook$;Location=&quot;QueryDMD (3)&quot;;Extended Properties=&quot;&quot;" command="SELECT * FROM [QueryDMD (3)]"/>
  </connection>
  <connection id="10" xr16:uid="{E28AED8C-4724-3B46-AF3B-DFAA5BCF233F}" keepAlive="1" name="Query - QueryDMD (4)" description="Connection to the 'QueryDMD (4)' query in the workbook." type="5" refreshedVersion="8" background="1" saveData="1">
    <dbPr connection="Provider=Microsoft.Mashup.OleDb.1;Data Source=$Workbook$;Location=&quot;QueryDMD (4)&quot;;Extended Properties=&quot;&quot;" command="SELECT * FROM [QueryDMD (4)]"/>
  </connection>
  <connection id="11" xr16:uid="{C92DAC25-0CF3-0348-8162-75CC4A1EF107}" keepAlive="1" name="Query - QuerySRW" description="Connection to the 'QuerySRW' query in the workbook." type="5" refreshedVersion="8" background="1" saveData="1">
    <dbPr connection="Provider=Microsoft.Mashup.OleDb.1;Data Source=$Workbook$;Location=QuerySRW;Extended Properties=&quot;&quot;" command="SELECT * FROM [QuerySRW]"/>
  </connection>
  <connection id="12" xr16:uid="{D6F1C9C6-E113-4B4B-A909-4D767B3FBD0F}" keepAlive="1" name="Query - QuerySRW (2)" description="Connection to the 'QuerySRW (2)' query in the workbook." type="5" refreshedVersion="8" background="1" saveData="1">
    <dbPr connection="Provider=Microsoft.Mashup.OleDb.1;Data Source=$Workbook$;Location=&quot;QuerySRW (2)&quot;;Extended Properties=&quot;&quot;" command="SELECT * FROM [QuerySRW (2)]"/>
  </connection>
  <connection id="13" xr16:uid="{49927F3D-D887-9943-8AE1-55CA6F0781E2}" keepAlive="1" name="Query - QuerySRW (3)" description="Connection to the 'QuerySRW (3)' query in the workbook." type="5" refreshedVersion="8" background="1" saveData="1">
    <dbPr connection="Provider=Microsoft.Mashup.OleDb.1;Data Source=$Workbook$;Location=&quot;QuerySRW (3)&quot;;Extended Properties=&quot;&quot;" command="SELECT * FROM [QuerySRW (3)]"/>
  </connection>
  <connection id="14" xr16:uid="{D8F78118-7ECB-DE47-AE32-9B4EDCA8BB29}" keepAlive="1" name="Query - QuerySRW (4)" description="Connection to the 'QuerySRW (4)' query in the workbook." type="5" refreshedVersion="8" background="1" saveData="1">
    <dbPr connection="Provider=Microsoft.Mashup.OleDb.1;Data Source=$Workbook$;Location=&quot;QuerySRW (4)&quot;;Extended Properties=&quot;&quot;" command="SELECT * FROM [QuerySRW (4)]"/>
  </connection>
  <connection id="15" xr16:uid="{DE24792F-6614-A04A-9A5F-C712C5F3839F}" keepAlive="1" name="Query - QueryW" description="Connection to the 'QueryW' query in the workbook." type="5" refreshedVersion="8" background="1" saveData="1">
    <dbPr connection="Provider=Microsoft.Mashup.OleDb.1;Data Source=$Workbook$;Location=QueryW;Extended Properties=&quot;&quot;" command="SELECT * FROM [QueryW]"/>
  </connection>
  <connection id="16" xr16:uid="{43F4C222-C066-BB43-A96A-0B3A47425A4D}" keepAlive="1" name="Query - QueryW (2)" description="Connection to the 'QueryW (2)' query in the workbook." type="5" refreshedVersion="8" background="1" saveData="1">
    <dbPr connection="Provider=Microsoft.Mashup.OleDb.1;Data Source=$Workbook$;Location=&quot;QueryW (2)&quot;;Extended Properties=&quot;&quot;" command="SELECT * FROM [QueryW (2)]"/>
  </connection>
  <connection id="17" xr16:uid="{C32D61DF-4381-1247-9CCE-348868807927}" keepAlive="1" name="Query - QueryW (3)" description="Connection to the 'QueryW (3)' query in the workbook." type="5" refreshedVersion="8" background="1" saveData="1">
    <dbPr connection="Provider=Microsoft.Mashup.OleDb.1;Data Source=$Workbook$;Location=&quot;QueryW (3)&quot;;Extended Properties=&quot;&quot;" command="SELECT * FROM [QueryW (3)]"/>
  </connection>
  <connection id="18" xr16:uid="{F128CE2B-3CF9-B14D-BE99-4406112105C7}" keepAlive="1" name="Query - sheepPivot" description="Connection to the 'sheepPivot' query in the workbook." type="5" refreshedVersion="0" background="1">
    <dbPr connection="Provider=Microsoft.Mashup.OleDb.1;Data Source=$Workbook$;Location=sheepPivot;Extended Properties=&quot;&quot;" command="SELECT * FROM [sheepPivot]"/>
  </connection>
  <connection id="19" xr16:uid="{6B90C28E-5C71-3C49-B8D4-E29F2ADC1BB5}" keepAlive="1" name="Query - TableLWG2" description="Connection to the 'TableLWG2' query in the workbook." type="5" refreshedVersion="8" background="1" saveData="1">
    <dbPr connection="Provider=Microsoft.Mashup.OleDb.1;Data Source=$Workbook$;Location=TableLWG2;Extended Properties=&quot;&quot;" command="SELECT * FROM [TableLWG2]"/>
  </connection>
  <connection id="20" xr16:uid="{7F5EAE14-6009-EB44-8D26-3B951D02083B}" keepAlive="1" name="Query - TableLWG2 (2)" description="Connection to the 'TableLWG2 (2)' query in the workbook." type="5" refreshedVersion="8" background="1" saveData="1">
    <dbPr connection="Provider=Microsoft.Mashup.OleDb.1;Data Source=$Workbook$;Location=&quot;TableLWG2 (2)&quot;;Extended Properties=&quot;&quot;" command="SELECT * FROM [TableLWG2 (2)]"/>
  </connection>
  <connection id="21" xr16:uid="{8EBC89DB-D149-C448-876F-52A75E334150}" keepAlive="1" name="Query - TableLWG2 (3)" description="Connection to the 'TableLWG2 (3)' query in the workbook." type="5" refreshedVersion="8" background="1" saveData="1">
    <dbPr connection="Provider=Microsoft.Mashup.OleDb.1;Data Source=$Workbook$;Location=&quot;TableLWG2 (3)&quot;;Extended Properties=&quot;&quot;" command="SELECT * FROM [TableLWG2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<sst xmlns="http://schemas.openxmlformats.org/spreadsheetml/2006/main" count="3089" uniqueCount="331">
  <si>
    <t>AE * FracWet * FracLEACH</t>
  </si>
  <si>
    <t>AE * FracGASMsoil</t>
  </si>
  <si>
    <t>LEjk=3,4 * 1.6</t>
  </si>
  <si>
    <t>GWk * Yk / 365</t>
  </si>
  <si>
    <t>LWGjk * 0.92</t>
  </si>
  <si>
    <t>Wjk / SRWk</t>
  </si>
  <si>
    <t>1.6 * PLjk=6</t>
  </si>
  <si>
    <t>(Ijk * CPjk) + (0.045 * MCjk=6)</t>
  </si>
  <si>
    <t>((0.045 * MPjk=3,4) + (WPk * 0.84) + (EBGjk * ((212 - 4 * ((EBGjk * 1000) / (4 * SRWk ^0.75) - 1)) - (140 - 4 * (EBGjk * 1000)) / (1 + e^-6 * (Zjk - 0.4)) * 10^-3) / 6.25</t>
  </si>
  <si>
    <t>(CPIjk ÷ 6.25 ) - NRjk</t>
  </si>
  <si>
    <t>SUM SUM (Njk * NEjk * Dj)</t>
  </si>
  <si>
    <t>(Ijk * ((1 - DMDjk) + (0.04 * Ijk))) * ( 1 - A )</t>
  </si>
  <si>
    <t>VSjk * BO * MMSm * MCFim * 𝜌</t>
  </si>
  <si>
    <t>SUM SUM SUM (Njk * Mjkm * Dj) * 10^-3</t>
  </si>
  <si>
    <t>AE * EFPRP * CN2O * 10^-3</t>
  </si>
  <si>
    <t>Mvol * EFN2O * CN2O * 10^-3</t>
  </si>
  <si>
    <t>Mleach * EFleach * CN2O * 10^-3</t>
  </si>
  <si>
    <t>1072</t>
  </si>
  <si>
    <t>1073</t>
  </si>
  <si>
    <t>1071</t>
  </si>
  <si>
    <t>1075</t>
  </si>
  <si>
    <t>1079</t>
  </si>
  <si>
    <t>1078</t>
  </si>
  <si>
    <t>1077</t>
  </si>
  <si>
    <t>1081</t>
  </si>
  <si>
    <t>1082</t>
  </si>
  <si>
    <t>1092</t>
  </si>
  <si>
    <t>1094</t>
  </si>
  <si>
    <t>1062</t>
  </si>
  <si>
    <t>1095</t>
  </si>
  <si>
    <t>1093</t>
  </si>
  <si>
    <t>1045</t>
  </si>
  <si>
    <t>1091</t>
  </si>
  <si>
    <t>1004</t>
  </si>
  <si>
    <t>1003</t>
  </si>
  <si>
    <t>1011</t>
  </si>
  <si>
    <t>1017</t>
  </si>
  <si>
    <t>1089</t>
  </si>
  <si>
    <t>1021</t>
  </si>
  <si>
    <t>990</t>
  </si>
  <si>
    <t>988</t>
  </si>
  <si>
    <t>983</t>
  </si>
  <si>
    <t>994</t>
  </si>
  <si>
    <t>978</t>
  </si>
  <si>
    <t>970</t>
  </si>
  <si>
    <t>1090</t>
  </si>
  <si>
    <t>1088</t>
  </si>
  <si>
    <t>946</t>
  </si>
  <si>
    <t>1087</t>
  </si>
  <si>
    <t>945</t>
  </si>
  <si>
    <t>1084</t>
  </si>
  <si>
    <t>1085</t>
  </si>
  <si>
    <t>1086</t>
  </si>
  <si>
    <t>930</t>
  </si>
  <si>
    <t>922</t>
  </si>
  <si>
    <t>963</t>
  </si>
  <si>
    <t>1037</t>
  </si>
  <si>
    <t>1056</t>
  </si>
  <si>
    <t>input</t>
  </si>
  <si>
    <t>constant</t>
  </si>
  <si>
    <t>expression</t>
  </si>
  <si>
    <t/>
  </si>
  <si>
    <t>kg / head</t>
  </si>
  <si>
    <t>d</t>
  </si>
  <si>
    <t>head</t>
  </si>
  <si>
    <t>days</t>
  </si>
  <si>
    <t>kg</t>
  </si>
  <si>
    <t>kg N</t>
  </si>
  <si>
    <t>kg N2O-N / kg N</t>
  </si>
  <si>
    <t>kg volatilised N/kg N</t>
  </si>
  <si>
    <t>kg N2O-N/kg N</t>
  </si>
  <si>
    <t>kg/head/day</t>
  </si>
  <si>
    <t>kg / head / day</t>
  </si>
  <si>
    <t>kg N/head/day</t>
  </si>
  <si>
    <t>kg N2O-N/kg N deposited</t>
  </si>
  <si>
    <t>kg DM/head/day</t>
  </si>
  <si>
    <t>m3 CH4/kgVS</t>
  </si>
  <si>
    <t>kg/m3</t>
  </si>
  <si>
    <t>kg CH4/head/day</t>
  </si>
  <si>
    <t>kg CH4</t>
  </si>
  <si>
    <t>t N2O</t>
  </si>
  <si>
    <t>greasy wool production per class</t>
  </si>
  <si>
    <t>average clean wool yield per class</t>
  </si>
  <si>
    <t>number of sheep in each time period and class</t>
  </si>
  <si>
    <t>number of days in each time period</t>
  </si>
  <si>
    <t>liveweight gain</t>
  </si>
  <si>
    <t>crude protein content of feed intake</t>
  </si>
  <si>
    <t>dry matter digestibility</t>
  </si>
  <si>
    <t>liveweight</t>
  </si>
  <si>
    <t>methane conversion factor for temperate zone and MMS</t>
  </si>
  <si>
    <t>fraction of N that is available for leaching and runoff</t>
  </si>
  <si>
    <t>fraction of all N that is lost through leaching and runoff</t>
  </si>
  <si>
    <t>mass of nitrogen lost ot leaching and runoff</t>
  </si>
  <si>
    <t>emissions factor for leaching and runoff</t>
  </si>
  <si>
    <t>fraction of nitrogen volatilised from urine and dung on pasture</t>
  </si>
  <si>
    <t>Mass of nitrogen volatilised</t>
  </si>
  <si>
    <t>NO2 emission factor for atmospheric deposition</t>
  </si>
  <si>
    <t>proportion of ewes lactating each season or time period</t>
  </si>
  <si>
    <t>milk production</t>
  </si>
  <si>
    <t>clean wool production</t>
  </si>
  <si>
    <t>empty body gain</t>
  </si>
  <si>
    <t>standard reference weight</t>
  </si>
  <si>
    <t>relative size</t>
  </si>
  <si>
    <t>Proportion of lambs born in the time period</t>
  </si>
  <si>
    <t>Milk intake</t>
  </si>
  <si>
    <t>crude protein intake</t>
  </si>
  <si>
    <t>amount of nitrogen retained by the body</t>
  </si>
  <si>
    <t>Nitrogen excreted in each time period</t>
  </si>
  <si>
    <t>Total mass of nitrogen excreted on PRP</t>
  </si>
  <si>
    <t>Emissions factor for nitrous oxide from urine and dung</t>
  </si>
  <si>
    <t>Factor to convert elemental mass of NO2 to molecular mass</t>
  </si>
  <si>
    <t>dry matter intake</t>
  </si>
  <si>
    <t>ash content of feed intake</t>
  </si>
  <si>
    <t>volatile solid production</t>
  </si>
  <si>
    <t>emisions potential</t>
  </si>
  <si>
    <t>fraction of waste in each MMS</t>
  </si>
  <si>
    <t>density of methane</t>
  </si>
  <si>
    <t>methane produced from manure</t>
  </si>
  <si>
    <t>annual methane production from manure</t>
  </si>
  <si>
    <t>annual direct NO2 from soils from deposition of urine and dung</t>
  </si>
  <si>
    <t>annual atmospheric deposition emissions from urine and dung on pasture</t>
  </si>
  <si>
    <t>Leaching and runoff emissions from urine and dung deposited on pasture</t>
  </si>
  <si>
    <t>GWk</t>
  </si>
  <si>
    <t>Yk</t>
  </si>
  <si>
    <t>Njk</t>
  </si>
  <si>
    <t>Dj</t>
  </si>
  <si>
    <t>LWGjk</t>
  </si>
  <si>
    <t>CPjk</t>
  </si>
  <si>
    <t>DMDjk</t>
  </si>
  <si>
    <t>Wjk</t>
  </si>
  <si>
    <t>FracWet</t>
  </si>
  <si>
    <t>FracLEACH</t>
  </si>
  <si>
    <t>Mleach</t>
  </si>
  <si>
    <t>EFleach</t>
  </si>
  <si>
    <t>FracGASMsoil</t>
  </si>
  <si>
    <t>Mvol</t>
  </si>
  <si>
    <t>EFN2O</t>
  </si>
  <si>
    <t>LEjk=3,4</t>
  </si>
  <si>
    <t>MPjk=3,4</t>
  </si>
  <si>
    <t>WPk</t>
  </si>
  <si>
    <t>EBGjk</t>
  </si>
  <si>
    <t>SRWk</t>
  </si>
  <si>
    <t>Zjk</t>
  </si>
  <si>
    <t>PLjk=6</t>
  </si>
  <si>
    <t>MCjk=6</t>
  </si>
  <si>
    <t>CPIjk</t>
  </si>
  <si>
    <t>NRjk</t>
  </si>
  <si>
    <t>NEjk</t>
  </si>
  <si>
    <t>AE</t>
  </si>
  <si>
    <t>EFPRP</t>
  </si>
  <si>
    <t>CN2O</t>
  </si>
  <si>
    <t>Ijk</t>
  </si>
  <si>
    <t>A</t>
  </si>
  <si>
    <t>VSjk</t>
  </si>
  <si>
    <t>BO</t>
  </si>
  <si>
    <t>𝜌</t>
  </si>
  <si>
    <t>ECH4</t>
  </si>
  <si>
    <t>EN2O,dir</t>
  </si>
  <si>
    <t>EN2O,ad</t>
  </si>
  <si>
    <t>ESN2O,leach</t>
  </si>
  <si>
    <t>Scenario</t>
  </si>
  <si>
    <t>Class</t>
  </si>
  <si>
    <t>Rams</t>
  </si>
  <si>
    <t>Spring</t>
  </si>
  <si>
    <t>Summer</t>
  </si>
  <si>
    <t>Autumn</t>
  </si>
  <si>
    <t>Winter</t>
  </si>
  <si>
    <t>Wethers</t>
  </si>
  <si>
    <t>Maiden ewes</t>
  </si>
  <si>
    <t>Breeding ewes</t>
  </si>
  <si>
    <t>Other ewes</t>
  </si>
  <si>
    <t>Lambs and hoggets</t>
  </si>
  <si>
    <t>A.1.4.5</t>
  </si>
  <si>
    <t>ACT/NSW</t>
  </si>
  <si>
    <t>Queensland</t>
  </si>
  <si>
    <t>South Australia</t>
  </si>
  <si>
    <t>Tasmania</t>
  </si>
  <si>
    <t>Victoria</t>
  </si>
  <si>
    <t>Western Australia</t>
  </si>
  <si>
    <t>State</t>
  </si>
  <si>
    <t>Season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</si>
  <si>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</si>
  <si>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</si>
  <si>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</si>
  <si>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</si>
  <si>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</si>
  <si>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</si>
  <si>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</si>
  <si>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</si>
  <si>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SeasonOrder</t>
  </si>
  <si>
    <t>A.1.4.4</t>
  </si>
  <si>
    <t>A.1.4.2</t>
  </si>
  <si>
    <t>A.1.4.1</t>
  </si>
  <si>
    <t>ACT</t>
  </si>
  <si>
    <t>NSW </t>
  </si>
  <si>
    <t>QLD </t>
  </si>
  <si>
    <t>SA </t>
  </si>
  <si>
    <t>TAS </t>
  </si>
  <si>
    <t>VIC </t>
  </si>
  <si>
    <t>WA </t>
  </si>
  <si>
    <t>MCF</t>
  </si>
  <si>
    <t>Lagoon</t>
  </si>
  <si>
    <t>PRP</t>
  </si>
  <si>
    <t>ACT </t>
  </si>
  <si>
    <t>99.25 </t>
  </si>
  <si>
    <t>99.55 </t>
  </si>
  <si>
    <t>99.91 </t>
  </si>
  <si>
    <t>99.74 </t>
  </si>
  <si>
    <t>99.50 </t>
  </si>
  <si>
    <t>99.17 </t>
  </si>
  <si>
    <t>99.59 </t>
  </si>
  <si>
    <t>MMS</t>
  </si>
  <si>
    <t>No unfenced water</t>
  </si>
  <si>
    <t>yes</t>
  </si>
  <si>
    <t>MMSm=14</t>
  </si>
  <si>
    <t>MMSm=1</t>
  </si>
  <si>
    <t>MCFim=14</t>
  </si>
  <si>
    <t>MCFim=1</t>
  </si>
  <si>
    <t>Leaching zone</t>
  </si>
  <si>
    <t>FracGASMSoil</t>
  </si>
  <si>
    <t>EFLeach</t>
  </si>
  <si>
    <t>Production system</t>
  </si>
  <si>
    <t>Aquaculture </t>
  </si>
  <si>
    <t>Aquaculture</t>
  </si>
  <si>
    <t>Irrigated pasture</t>
  </si>
  <si>
    <t>Irrigated crop</t>
  </si>
  <si>
    <t>Non-irrigated pasture</t>
  </si>
  <si>
    <t>Non-irrigated crop (low rainfall)</t>
  </si>
  <si>
    <t>Non-irrigated crop (high rainfall)</t>
  </si>
  <si>
    <t>Sugar</t>
  </si>
  <si>
    <t>Cotton</t>
  </si>
  <si>
    <t>Horticultural crops</t>
  </si>
  <si>
    <t>Rice (continuous flooding)</t>
  </si>
  <si>
    <t>Rice (single and multiple drainage, or alternate wetting and drying)</t>
  </si>
  <si>
    <t>Forestry</t>
  </si>
  <si>
    <t>LR</t>
  </si>
  <si>
    <t>Lambing rate</t>
  </si>
  <si>
    <t>Lamb marking rate</t>
  </si>
  <si>
    <t>3.4.1</t>
  </si>
  <si>
    <t>3.4.1 321</t>
  </si>
  <si>
    <t>LMR</t>
  </si>
  <si>
    <t>78 </t>
  </si>
  <si>
    <t>62 </t>
  </si>
  <si>
    <t>57 </t>
  </si>
  <si>
    <t>70 </t>
  </si>
  <si>
    <t>60 </t>
  </si>
  <si>
    <t>50 </t>
  </si>
  <si>
    <t>84 </t>
  </si>
  <si>
    <t>72 </t>
  </si>
  <si>
    <t>77 </t>
  </si>
  <si>
    <t>66 </t>
  </si>
  <si>
    <t>55 </t>
  </si>
  <si>
    <t>Table A.1.4.6</t>
  </si>
  <si>
    <t>Climate zone</t>
  </si>
  <si>
    <t>wet</t>
  </si>
  <si>
    <t>dry</t>
  </si>
  <si>
    <t>Ch 3.4.1</t>
  </si>
  <si>
    <t>Bo</t>
  </si>
  <si>
    <t>p</t>
  </si>
  <si>
    <t>PIjk</t>
  </si>
  <si>
    <t>RIjk</t>
  </si>
  <si>
    <t>MAjk</t>
  </si>
  <si>
    <t>DMAjk</t>
  </si>
  <si>
    <t>A.1.4.3</t>
  </si>
  <si>
    <t>qmjk</t>
  </si>
  <si>
    <t>FAk</t>
  </si>
  <si>
    <t>Mjkm=1</t>
  </si>
  <si>
    <t>Mjkm=14</t>
  </si>
  <si>
    <t>Mjk</t>
  </si>
  <si>
    <t>Baseline</t>
  </si>
  <si>
    <t>NSW</t>
  </si>
  <si>
    <t>QLD</t>
  </si>
  <si>
    <t>SA</t>
  </si>
  <si>
    <t>TAS</t>
  </si>
  <si>
    <t>VIC</t>
  </si>
  <si>
    <t>WA</t>
  </si>
  <si>
    <t>no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</si>
  <si>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</si>
  <si>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</si>
  <si>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</si>
  <si>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</si>
  <si>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</si>
  <si>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</si>
  <si>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</si>
  <si>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</si>
  <si>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</si>
  <si>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</si>
  <si>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</si>
  <si>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</si>
  <si>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</si>
  <si>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Breeding Ewes</t>
  </si>
  <si>
    <t>Custom Dj</t>
  </si>
  <si>
    <t>Custom DMA</t>
  </si>
  <si>
    <t>Custom DMD</t>
  </si>
  <si>
    <t>Custom liveweight</t>
  </si>
  <si>
    <t>(GWk * Yk) / 365</t>
  </si>
  <si>
    <t>((0.045 * MPjk=3,4) + (WPk * 0.84)  + (EBGjk * ((212 - 4 * ((EBGjk * 1000)/(4* SRWk^0.75) - 1)) - ((140 - 4 * (((EBGjk * 1000)/4 * SRWk ^0.75) - 1))/(1 + e ^ (-6 * (Zjk - 0.4)))))) * 10^-3) / 6.25</t>
  </si>
  <si>
    <t>(CPIjk  / 6.25 ) - NRjk</t>
  </si>
  <si>
    <t>AE * EFprp * CN2O * 10^-3</t>
  </si>
  <si>
    <t>1080</t>
  </si>
  <si>
    <t>fraction</t>
  </si>
  <si>
    <t>kg NH3-N + NOx-N / kg N</t>
  </si>
  <si>
    <t>kg N / head / day</t>
  </si>
  <si>
    <t>fraction of nitrogen volatilised from urine and faeces deposited on pasture</t>
  </si>
  <si>
    <t>mass of nitrogen volatilised from urine and faeces deposited on pasture</t>
  </si>
  <si>
    <t>nitrous oxide emission factor for atmospheric deposition</t>
  </si>
  <si>
    <t>Annual atmospheric deposition emissions from urine and dung deposited on pasture</t>
  </si>
  <si>
    <t>greasy wool production per sheep class</t>
  </si>
  <si>
    <t>average clean wool yield per sheep class</t>
  </si>
  <si>
    <t>the amount of nitrogen retained by the body</t>
  </si>
  <si>
    <t>nitrogen excreted in each time-period and by each class</t>
  </si>
  <si>
    <t>total mass of nitrogen excreted on PRP by sheep</t>
  </si>
  <si>
    <t>emission factor for nitrous oxide from urine and dung deposited to soil</t>
  </si>
  <si>
    <t>factor to convert elemental mass of nitrous oxide to molecular mass</t>
  </si>
  <si>
    <t>Total annual direct nitrous oxide emissions from agricultural soils from deposition of urine and dung</t>
  </si>
  <si>
    <t>mass of nitrogen lost to leaching and runoff</t>
  </si>
  <si>
    <t>emission factor for leaching and run off</t>
  </si>
  <si>
    <t>NRijk</t>
  </si>
  <si>
    <t>EFprp</t>
  </si>
  <si>
    <t>Custom CP</t>
  </si>
  <si>
    <t>Custom LWG</t>
  </si>
  <si>
    <t>Warm temperate moist</t>
  </si>
  <si>
    <t>Tropical montane</t>
  </si>
  <si>
    <t>Tropical wet</t>
  </si>
  <si>
    <t>Tropical moist</t>
  </si>
  <si>
    <t>Cool temperate moist</t>
  </si>
  <si>
    <t>Boreal moist</t>
  </si>
  <si>
    <t>Tropical dry</t>
  </si>
  <si>
    <t>Warm temperate dry</t>
  </si>
  <si>
    <t>Cool temperate dry</t>
  </si>
  <si>
    <t>Boreal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</si>
</sst>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0"/>
      <name val="Helvetica"/>
      <family val="2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1" fillId="3" borderId="7" xfId="0" applyFont="1" applyFill="1" applyBorder="1"/>
    <xf numFmtId="0" fontId="0" fillId="4" borderId="9" xfId="0" applyFill="1" applyBorder="1"/>
    <xf numFmtId="0" fontId="0" fillId="4" borderId="4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6" borderId="11" xfId="0" applyFill="1" applyBorder="1"/>
    <xf numFmtId="0" fontId="0" fillId="0" borderId="11" xfId="0" applyBorder="1"/>
    <xf numFmtId="0" fontId="2" fillId="0" borderId="0" xfId="0" applyFont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3" fillId="3" borderId="0" xfId="0" applyFont="1" applyFill="1"/>
    <xf numFmtId="0" fontId="3" fillId="3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10" xfId="0" applyFont="1" applyFill="1" applyBorder="1"/>
    <xf numFmtId="0" fontId="2" fillId="5" borderId="6" xfId="0" applyFont="1" applyFill="1" applyBorder="1"/>
    <xf numFmtId="0" fontId="2" fillId="4" borderId="10" xfId="0" applyFont="1" applyFill="1" applyBorder="1"/>
    <xf numFmtId="0" fontId="0" fillId="7" borderId="0" xfId="0" applyFill="1"/>
    <xf numFmtId="0" fontId="4" fillId="0" borderId="0" xfId="0" applyFont="1"/>
  </cellXfs>
  <cellStyles count="1"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  <fill>
        <patternFill patternType="solid">
          <fgColor rgb="FF83CCEB"/>
          <bgColor rgb="FF83C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"/>
        <family val="2"/>
        <scheme val="none"/>
      </font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.xlsx" TargetMode="External"/><Relationship Id="rId1" Type="http://schemas.openxmlformats.org/officeDocument/2006/relationships/externalLinkPath" Target="../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7A92BB2C-3E9A-E544-BC0A-1E6BC2584CF5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71FD34E-D35B-8942-B579-FDCC954926CE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B1AC03C7-3B84-7E42-8597-3EEA155215AA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ED796CE8-B1C9-CE42-89A9-87D0EE10DB51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9EE96FF7-8961-3848-A5C7-E30392C9DB51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B09E8CB6-F0C3-4342-809A-323530CC9327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BF119AA4-D3F5-D64D-9B9A-C034DD9247A2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8163A6D-BFB1-424A-BC3C-F62FA0795074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11169763-CAEA-454A-B2E2-EBD8C4E4E696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9219E861-B1F2-0B44-9523-D34DABBC9845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475E877F-4958-0F48-AB65-276E4B9CF9F0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CBAD1E27-B8CA-594D-A635-3B1BC35DBA1D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Class" tableColumnId="2"/>
      <queryTableField id="3" name="ACT/NSW" tableColumnId="3"/>
      <queryTableField id="4" name="Queensland" tableColumnId="4"/>
      <queryTableField id="5" name="South Australia" tableColumnId="5"/>
      <queryTableField id="6" name="Tasmania" tableColumnId="6"/>
      <queryTableField id="7" name="Victoria" tableColumnId="7"/>
      <queryTableField id="8" name="Western Australia" tableColumnId="8"/>
      <queryTableField id="9" name="SeasonOrder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33F341-1B01-7A4F-852B-C0E119D551C8}" name="TableCP" displayName="TableCP" ref="CH37:CO62" totalsRowShown="0" headerRowDxfId="79" headerRowBorderDxfId="78" tableBorderDxfId="77">
  <autoFilter ref="CH37:CO62" xr:uid="{D533F341-1B01-7A4F-852B-C0E119D551C8}"/>
  <tableColumns count="8">
    <tableColumn id="1" xr3:uid="{1FEB6CC1-207A-A743-80DB-25243339D6F4}" name="Column1" dataDxfId="76"/>
    <tableColumn id="2" xr3:uid="{E15D1580-2AD3-3143-9693-E7A3CB5463F1}" name="Column2"/>
    <tableColumn id="3" xr3:uid="{4951DB1E-4FE9-3C40-824B-23B61709C22E}" name="Column3"/>
    <tableColumn id="4" xr3:uid="{B4510FFB-6D71-8548-B8FD-FC4E79F6EFDD}" name="Column4"/>
    <tableColumn id="5" xr3:uid="{72E08A09-0734-D944-BC1C-47A4C975F960}" name="Column5"/>
    <tableColumn id="6" xr3:uid="{C018C542-64C0-DE48-9067-BAA72C8B96CD}" name="Column6"/>
    <tableColumn id="7" xr3:uid="{08ACB878-1A45-E948-A3F9-B4484DE45664}" name="Column7"/>
    <tableColumn id="8" xr3:uid="{BF56230C-A70E-F54A-860B-5E37F164DCC8}" name="Column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79FAA-4AB5-A544-BDB6-B5B2BEC9F987}" name="TableLWG2" displayName="TableLWG2" ref="CH6:CO31" totalsRowShown="0">
  <autoFilter ref="CH6:CO31" xr:uid="{2E779FAA-4AB5-A544-BDB6-B5B2BEC9F987}"/>
  <tableColumns count="8">
    <tableColumn id="1" xr3:uid="{6283A8FB-62BE-7A4F-8FC2-88D10A490E3C}" name="Column1"/>
    <tableColumn id="2" xr3:uid="{7B40FF3E-64B4-DB46-AE69-E3F13E2CF6CE}" name="Column2"/>
    <tableColumn id="3" xr3:uid="{687738D5-FE28-3648-AAFD-464670A48BB4}" name="Column3"/>
    <tableColumn id="4" xr3:uid="{F9EDDF60-0568-4E45-907E-D7B63DD86595}" name="Column4"/>
    <tableColumn id="5" xr3:uid="{CE0393F0-A995-4941-A350-7E6BACBEE202}" name="Column5"/>
    <tableColumn id="6" xr3:uid="{59042BD2-ECE0-FC42-A311-AF299D227B3C}" name="Column6"/>
    <tableColumn id="7" xr3:uid="{6B92E562-A755-7A42-BBD0-674805DD2989}" name="Column7"/>
    <tableColumn id="8" xr3:uid="{541487CA-6692-104E-9C5A-FA4F0FC80C8F}" name="Column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F42423-F03B-9D40-8EB9-B3CA7E918A75}" name="TableLWG2_1" displayName="TableLWG2_1" ref="BW6:CE30" tableType="queryTable" totalsRowShown="0">
  <autoFilter ref="BW6:CE30" xr:uid="{E7F42423-F03B-9D40-8EB9-B3CA7E918A75}"/>
  <tableColumns count="9">
    <tableColumn id="1" xr3:uid="{573085FC-6BD6-BF4E-AD12-FB8D8ED94777}" uniqueName="1" name="Season" queryTableFieldId="1" dataDxfId="75"/>
    <tableColumn id="2" xr3:uid="{09C709A8-ACEC-6646-B2ED-531B45CB8931}" uniqueName="2" name="Class" queryTableFieldId="2" dataDxfId="74"/>
    <tableColumn id="3" xr3:uid="{D7750154-72BB-984B-85F0-595144F744BF}" uniqueName="3" name="ACT/NSW" queryTableFieldId="3"/>
    <tableColumn id="4" xr3:uid="{D9406875-040A-2D46-9186-FB7DF7BC2286}" uniqueName="4" name="QLD" queryTableFieldId="4"/>
    <tableColumn id="5" xr3:uid="{7CD35FFE-EDD3-9649-B44E-BD0ACDF4D503}" uniqueName="5" name="SA" queryTableFieldId="5"/>
    <tableColumn id="6" xr3:uid="{31C3CFF4-91D9-AE42-BC98-BC256E23BFDF}" uniqueName="6" name="TAS" queryTableFieldId="6"/>
    <tableColumn id="7" xr3:uid="{8C135761-2F80-F548-9A1B-999F08AAD7F9}" uniqueName="7" name="VIC" queryTableFieldId="7"/>
    <tableColumn id="8" xr3:uid="{6DA6D816-2437-5E4D-B6F9-E93F9EA7B54D}" uniqueName="8" name="WA" queryTableFieldId="8"/>
    <tableColumn id="9" xr3:uid="{21D246AC-21AF-6849-853E-1359752AF995}" uniqueName="9" name="SeasonOrder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7536BD-0BF4-2745-B8D2-5E23C0785F7C}" name="QueryCP" displayName="QueryCP" ref="BW37:CE61" tableType="queryTable" totalsRowShown="0">
  <autoFilter ref="BW37:CE61" xr:uid="{1C7536BD-0BF4-2745-B8D2-5E23C0785F7C}"/>
  <tableColumns count="9">
    <tableColumn id="1" xr3:uid="{B85FFD78-BBAC-1C4E-A3CD-AE451EE8F094}" uniqueName="1" name="Season" queryTableFieldId="1" dataDxfId="73"/>
    <tableColumn id="2" xr3:uid="{1400D452-8FE2-1342-8398-EFA100A8DE74}" uniqueName="2" name="Class" queryTableFieldId="2" dataDxfId="72"/>
    <tableColumn id="3" xr3:uid="{EFB769F4-A1D4-0242-AB79-1240AC1A0E32}" uniqueName="3" name="ACT/NSW" queryTableFieldId="3"/>
    <tableColumn id="4" xr3:uid="{D41938A1-408C-C844-AC19-38FCCF82B36D}" uniqueName="4" name="QLD" queryTableFieldId="4"/>
    <tableColumn id="5" xr3:uid="{FB233205-08BF-6248-8E18-6E8AFAA84A94}" uniqueName="5" name="SA" queryTableFieldId="5"/>
    <tableColumn id="6" xr3:uid="{25F603F8-2D01-474A-B30D-E934C5EF46BB}" uniqueName="6" name="TAS" queryTableFieldId="6"/>
    <tableColumn id="7" xr3:uid="{A93966B1-C725-D849-9575-A7D4BD8D2284}" uniqueName="7" name="VIC" queryTableFieldId="7"/>
    <tableColumn id="8" xr3:uid="{708FC418-1620-4F4A-B012-7687E4AAC5AB}" uniqueName="8" name="WA" queryTableFieldId="8"/>
    <tableColumn id="9" xr3:uid="{82A65E61-8578-0647-BC6A-9A335D768B1E}" uniqueName="9" name="SeasonOrder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B3A928-C6CF-B742-B14D-3CDAC560FB37}" name="TableDMD" displayName="TableDMD" ref="CH66:CO91" totalsRowShown="0" headerRowDxfId="71" dataDxfId="69" headerRowBorderDxfId="70" tableBorderDxfId="68">
  <autoFilter ref="CH66:CO91" xr:uid="{97B3A928-C6CF-B742-B14D-3CDAC560FB37}"/>
  <tableColumns count="8">
    <tableColumn id="1" xr3:uid="{7BFDE0EA-91D9-3A48-8CE4-C4786F33EB9C}" name="Column1" dataDxfId="67"/>
    <tableColumn id="2" xr3:uid="{41693370-4D1A-6B48-B4CC-BFE3EBA3D81C}" name="Column2" dataDxfId="66"/>
    <tableColumn id="3" xr3:uid="{FFA57556-DA1E-7B46-A5B5-C30A515D43A1}" name="Column3" dataDxfId="65"/>
    <tableColumn id="4" xr3:uid="{911CC816-FFF8-5E4B-BEA8-879C55BFF4F3}" name="Column4" dataDxfId="64"/>
    <tableColumn id="5" xr3:uid="{6A0D6ABA-4E88-8942-BFDE-3A029BCECB39}" name="Column5" dataDxfId="63"/>
    <tableColumn id="6" xr3:uid="{E1BCB6C7-FD4C-0D45-92C5-BDB1E010306B}" name="Column6" dataDxfId="62"/>
    <tableColumn id="7" xr3:uid="{80D88B41-F39B-9F46-A91F-F342F4A4E2B3}" name="Column7" dataDxfId="61"/>
    <tableColumn id="8" xr3:uid="{06224AF6-41CD-034F-9B36-658161B0E266}" name="Column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D284C2-2879-C346-B956-5F9441CCE343}" name="TableW" displayName="TableW" ref="CH95:CO120" totalsRowShown="0" headerRowDxfId="60" headerRowBorderDxfId="59" tableBorderDxfId="58">
  <autoFilter ref="CH95:CO120" xr:uid="{BCD284C2-2879-C346-B956-5F9441CCE343}"/>
  <tableColumns count="8">
    <tableColumn id="1" xr3:uid="{7CAD892F-5666-F44E-9B46-125A1ED25FBB}" name="Column1" dataDxfId="57"/>
    <tableColumn id="2" xr3:uid="{FA2D085C-11E9-B445-A1CC-AEAB0D4D0EBB}" name="Column2"/>
    <tableColumn id="3" xr3:uid="{7FBFD44F-2F31-FD46-B55D-83B75DFC35BD}" name="Column3"/>
    <tableColumn id="4" xr3:uid="{867DE492-200E-4545-80E9-920B64DB20E5}" name="Column4"/>
    <tableColumn id="5" xr3:uid="{E51D91E7-E5EB-A04C-BADD-C3D2842D41D9}" name="Column5"/>
    <tableColumn id="6" xr3:uid="{8470C729-17AE-E346-86A8-75430CE61899}" name="Column6"/>
    <tableColumn id="7" xr3:uid="{BDB2F171-FCDD-CD43-BF3D-883DA984EF17}" name="Column7"/>
    <tableColumn id="8" xr3:uid="{01BBA8AC-2FCC-814F-9F17-2971A223D259}" name="Column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E7CD12-3E31-6340-BE38-6239948A6339}" name="QueryW" displayName="QueryW" ref="BW95:CE119" tableType="queryTable" totalsRowShown="0">
  <autoFilter ref="BW95:CE119" xr:uid="{32E7CD12-3E31-6340-BE38-6239948A6339}"/>
  <tableColumns count="9">
    <tableColumn id="1" xr3:uid="{0F51F8AE-333E-9543-B440-6DA3EB5AA7C3}" uniqueName="1" name="Season" queryTableFieldId="1" dataDxfId="56"/>
    <tableColumn id="2" xr3:uid="{65863F21-4FDD-3B43-89FE-70E9A86666A9}" uniqueName="2" name="Class" queryTableFieldId="2" dataDxfId="55"/>
    <tableColumn id="3" xr3:uid="{AED4F1F8-FD31-E243-9D37-0CC1FB62FB14}" uniqueName="3" name="ACT/NSW" queryTableFieldId="3"/>
    <tableColumn id="4" xr3:uid="{100C4784-419A-D949-B5C8-37DE8AD8F2DB}" uniqueName="4" name="QLD" queryTableFieldId="4"/>
    <tableColumn id="5" xr3:uid="{CD6D7424-545D-034D-BED0-3FEA068E15A8}" uniqueName="5" name="SA" queryTableFieldId="5"/>
    <tableColumn id="6" xr3:uid="{C4B33E68-FE69-FB44-B0E6-0BD087C40277}" uniqueName="6" name="TAS" queryTableFieldId="6"/>
    <tableColumn id="7" xr3:uid="{7B67CE95-0362-F44A-86EC-5734DB3BE9BD}" uniqueName="7" name="VIC" queryTableFieldId="7"/>
    <tableColumn id="8" xr3:uid="{67E3E0FA-D862-7B44-A23F-54EA4811F5B9}" uniqueName="8" name="WA" queryTableFieldId="8"/>
    <tableColumn id="9" xr3:uid="{17234E88-1E29-6143-BB58-8AC0B9F4033B}" uniqueName="9" name="SeasonOrder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4BA6C27-EED2-C74B-BDAA-FB48819EAF9E}" name="TableSRW" displayName="TableSRW" ref="CH130:CO155" totalsRowShown="0" headerRowDxfId="54" dataDxfId="53">
  <autoFilter ref="CH130:CO155" xr:uid="{C4BA6C27-EED2-C74B-BDAA-FB48819EAF9E}"/>
  <tableColumns count="8">
    <tableColumn id="1" xr3:uid="{D03C8AE9-F5CC-054A-BA92-B03D057BEE50}" name="Column1" dataDxfId="52"/>
    <tableColumn id="2" xr3:uid="{26FCF033-B44B-2E4C-A7B9-A916F0225F83}" name="Column2"/>
    <tableColumn id="3" xr3:uid="{FDA23572-7395-4E4D-BFD8-9C3680ED75C3}" name="Column3" dataDxfId="51"/>
    <tableColumn id="4" xr3:uid="{FF394B01-DA56-E542-815E-7D933B1B45D6}" name="Column4" dataDxfId="50"/>
    <tableColumn id="5" xr3:uid="{EE581D06-B0C8-6747-933E-8837FA5DFC3D}" name="Column5" dataDxfId="49"/>
    <tableColumn id="6" xr3:uid="{51530F93-51A2-5A42-A85E-AF201951403B}" name="Column6" dataDxfId="48"/>
    <tableColumn id="7" xr3:uid="{89A909D1-08CA-6D4A-B279-2D4CEF292EBF}" name="Column7" dataDxfId="47"/>
    <tableColumn id="8" xr3:uid="{B9FD3358-EF93-FC4D-812C-38BFFFCF87DD}" name="Column8" dataDxfId="4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B85E235-F527-8F48-91C8-5AB1A7B236FE}" name="TableDMA" displayName="TableDMA" ref="CH165:CO190" totalsRowShown="0">
  <autoFilter ref="CH165:CO190" xr:uid="{5B85E235-F527-8F48-91C8-5AB1A7B236FE}"/>
  <tableColumns count="8">
    <tableColumn id="1" xr3:uid="{247E798D-1A8E-554C-AB27-D5B53F706EC5}" name="Column1"/>
    <tableColumn id="2" xr3:uid="{FAEFEBF5-CA75-1248-AEA6-33933DD1B57B}" name="Column2"/>
    <tableColumn id="3" xr3:uid="{D777A62E-5E6A-7740-B471-514E19F767C0}" name="Column3"/>
    <tableColumn id="4" xr3:uid="{2B47E349-E2E5-FC47-8585-11BEADD858A4}" name="Column4"/>
    <tableColumn id="5" xr3:uid="{7AD42725-5F0D-1645-9181-5FF6B8E8082E}" name="Column5"/>
    <tableColumn id="6" xr3:uid="{93F3A223-83C3-E446-A7B1-5B9615CF6E29}" name="Column6"/>
    <tableColumn id="7" xr3:uid="{3951EF10-0CBE-9446-9D1C-B0D556E4D9EE}" name="Column7"/>
    <tableColumn id="8" xr3:uid="{28B0F4AF-A289-AE4F-A4DB-A1FA6D2B2BB5}" name="Column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6E12A68-253C-1C47-BCA6-81ACE8329CBD}" name="QueryDMA" displayName="QueryDMA" ref="BW166:CE190" tableType="queryTable" totalsRowShown="0">
  <autoFilter ref="BW166:CE190" xr:uid="{26E12A68-253C-1C47-BCA6-81ACE8329CBD}"/>
  <tableColumns count="9">
    <tableColumn id="1" xr3:uid="{B8BF5675-3BFC-4D42-8E99-236ECC46822A}" uniqueName="1" name="Season" queryTableFieldId="1" dataDxfId="45"/>
    <tableColumn id="2" xr3:uid="{FAB2AEAB-06FA-1344-A7B9-0D5CA2B366D1}" uniqueName="2" name="Class" queryTableFieldId="2" dataDxfId="44"/>
    <tableColumn id="3" xr3:uid="{0D54DFDA-52A3-304B-83A9-408B2B008692}" uniqueName="3" name="ACT/NSW" queryTableFieldId="3"/>
    <tableColumn id="4" xr3:uid="{741E8FF0-75D6-0040-86E1-B75EFE837DA5}" uniqueName="4" name="QLD" queryTableFieldId="4"/>
    <tableColumn id="5" xr3:uid="{D7151F0F-0912-274C-AF6B-8B83B8AF554F}" uniqueName="5" name="SA" queryTableFieldId="5"/>
    <tableColumn id="6" xr3:uid="{0B706D24-7DC2-6648-89E7-F925A1900AA2}" uniqueName="6" name="TAS" queryTableFieldId="6"/>
    <tableColumn id="7" xr3:uid="{F4951BD9-8B6C-6048-90F0-6C14CCDF3C24}" uniqueName="7" name="VIC" queryTableFieldId="7"/>
    <tableColumn id="8" xr3:uid="{EB59DA3B-F511-484D-BDA2-316B4E2B2A83}" uniqueName="8" name="WA" queryTableFieldId="8"/>
    <tableColumn id="9" xr3:uid="{B23B7B94-824F-6A41-BD78-E41C38C3A3EB}" uniqueName="9" name="SeasonOrder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AA33C1-61B0-2A4D-A2C5-B73EEAAEB69E}" name="QueryDMD" displayName="QueryDMD" ref="BW67:CE91" tableType="queryTable" totalsRowShown="0">
  <autoFilter ref="BW67:CE91" xr:uid="{FFAA33C1-61B0-2A4D-A2C5-B73EEAAEB69E}"/>
  <tableColumns count="9">
    <tableColumn id="1" xr3:uid="{A69F1337-AC2B-ED46-9BE2-DDDA0CCFCA25}" uniqueName="1" name="Season" queryTableFieldId="1" dataDxfId="43"/>
    <tableColumn id="2" xr3:uid="{AA79D163-D32B-2F4C-9E4E-FCFA9F98DF7F}" uniqueName="2" name="Class" queryTableFieldId="2" dataDxfId="42"/>
    <tableColumn id="3" xr3:uid="{F06D86DF-7153-2B4B-84D5-58A5463CF34A}" uniqueName="3" name="ACT/NSW" queryTableFieldId="3"/>
    <tableColumn id="4" xr3:uid="{7F608781-C8C9-C340-89DE-679705A938CF}" uniqueName="4" name="QLD" queryTableFieldId="4"/>
    <tableColumn id="5" xr3:uid="{57AC892E-82C5-074C-B7BA-29FED55B762A}" uniqueName="5" name="SA" queryTableFieldId="5"/>
    <tableColumn id="6" xr3:uid="{A1DACD50-0897-C549-94DC-88A075CDF818}" uniqueName="6" name="TAS" queryTableFieldId="6"/>
    <tableColumn id="7" xr3:uid="{14C1BC69-5582-E541-9996-1955EBA3BD7B}" uniqueName="7" name="VIC" queryTableFieldId="7"/>
    <tableColumn id="8" xr3:uid="{F58B257C-980E-9B4D-B706-76ABB1B36556}" uniqueName="8" name="WA" queryTableFieldId="8"/>
    <tableColumn id="9" xr3:uid="{FF1FBF8B-93C3-D845-B524-C635A7493593}" uniqueName="9" name="SeasonOrder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D15694A-5209-2745-83BB-54B010D6B5B7}" name="QuerySRW" displayName="QuerySRW" ref="BW130:CE154" tableType="queryTable" totalsRowShown="0">
  <autoFilter ref="BW130:CE154" xr:uid="{AD15694A-5209-2745-83BB-54B010D6B5B7}"/>
  <tableColumns count="9">
    <tableColumn id="1" xr3:uid="{72449F58-6260-9449-A756-040373D19AE8}" uniqueName="1" name="Season" queryTableFieldId="1" dataDxfId="41"/>
    <tableColumn id="2" xr3:uid="{68E5B125-631A-314A-A5F8-59E28AFEC189}" uniqueName="2" name="Class" queryTableFieldId="2" dataDxfId="40"/>
    <tableColumn id="3" xr3:uid="{1E93A43A-3026-1B4D-B0B2-0F67DD92888C}" uniqueName="3" name="ACT/NSW" queryTableFieldId="3"/>
    <tableColumn id="4" xr3:uid="{E2310827-A291-044E-A1C6-8137EEE27CBE}" uniqueName="4" name="QLD" queryTableFieldId="4"/>
    <tableColumn id="5" xr3:uid="{BBB39C0F-72F3-6740-B113-A6132BBC3306}" uniqueName="5" name="SA" queryTableFieldId="5"/>
    <tableColumn id="6" xr3:uid="{B4FFB7E6-8DBC-8B42-AB7D-323BABA5E829}" uniqueName="6" name="TAS" queryTableFieldId="6"/>
    <tableColumn id="7" xr3:uid="{D524D201-D226-F545-9FD0-B17CB0F08499}" uniqueName="7" name="VIC" queryTableFieldId="7"/>
    <tableColumn id="8" xr3:uid="{18F66886-1956-9E46-8EBF-DDED33DF0B35}" uniqueName="8" name="WA" queryTableFieldId="8"/>
    <tableColumn id="9" xr3:uid="{979B45BC-171A-8C48-A188-25D46DB57DD1}" uniqueName="9" name="SeasonOrder" queryTableField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8C906D3-BD18-6F43-A378-CD81BB132C3F}" name="TableCP34" displayName="TableCP34" ref="CH37:CO62" totalsRowShown="0" headerRowDxfId="39" headerRowBorderDxfId="38" tableBorderDxfId="37">
  <autoFilter ref="CH37:CO62" xr:uid="{D533F341-1B01-7A4F-852B-C0E119D551C8}"/>
  <tableColumns count="8">
    <tableColumn id="1" xr3:uid="{5E53A0FC-2DD6-8D45-8694-B993552F8BA1}" name="Column1" dataDxfId="36"/>
    <tableColumn id="2" xr3:uid="{A27E3D12-A6DB-7D45-9B16-CCBA019AAA47}" name="Column2"/>
    <tableColumn id="3" xr3:uid="{189F2298-E8D1-0649-B85F-C73E4EF036E4}" name="Column3"/>
    <tableColumn id="4" xr3:uid="{7A2C12A0-9636-0840-B0D8-100C6484E164}" name="Column4"/>
    <tableColumn id="5" xr3:uid="{AA07A49B-AF9E-034B-BCA2-84659AE441F4}" name="Column5"/>
    <tableColumn id="6" xr3:uid="{F71D137E-F5B1-FA4C-9EB8-3B10189AD5E8}" name="Column6"/>
    <tableColumn id="7" xr3:uid="{9009805D-82B5-4A44-9149-1D3680643CFE}" name="Column7"/>
    <tableColumn id="8" xr3:uid="{7F9E71B1-E706-BC4F-9571-0AC5B4EB278F}" name="Column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A723F8D-1697-F543-ACCE-F7EF8AC61EAA}" name="TableLWG235" displayName="TableLWG235" ref="CH6:CO31" totalsRowShown="0">
  <autoFilter ref="CH6:CO31" xr:uid="{2E779FAA-4AB5-A544-BDB6-B5B2BEC9F987}"/>
  <tableColumns count="8">
    <tableColumn id="1" xr3:uid="{E9237B2F-3F4D-C544-B09F-2609233C1519}" name="Column1"/>
    <tableColumn id="2" xr3:uid="{2ACE6EFC-DF08-194B-A62E-7DD1D9964376}" name="Column2"/>
    <tableColumn id="3" xr3:uid="{8B65CDE9-3DD4-AD4F-8068-16DF4F6A008E}" name="Column3"/>
    <tableColumn id="4" xr3:uid="{A839EFA0-814E-554A-93AD-65284F3C4ED2}" name="Column4"/>
    <tableColumn id="5" xr3:uid="{A03D2D20-2192-3948-BF7F-70B985E2354C}" name="Column5"/>
    <tableColumn id="6" xr3:uid="{BDA862FF-7510-644A-9886-35C544AC4B9C}" name="Column6"/>
    <tableColumn id="7" xr3:uid="{BEA0CBC0-4B45-5A4C-83BB-99467A060D1D}" name="Column7"/>
    <tableColumn id="8" xr3:uid="{B7369857-B9E4-2843-BA9B-BCA48E67CC0D}" name="Column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02597C4-BF38-3F47-8E44-379585AF0B23}" name="TableLWG2_136" displayName="TableLWG2_136" ref="BW6:CE30" tableType="queryTable" totalsRowShown="0">
  <autoFilter ref="BW6:CE30" xr:uid="{E7F42423-F03B-9D40-8EB9-B3CA7E918A75}"/>
  <tableColumns count="9">
    <tableColumn id="1" xr3:uid="{B47C32AC-77D6-3246-9594-29E14A172A69}" uniqueName="1" name="Season" queryTableFieldId="1" dataDxfId="35"/>
    <tableColumn id="2" xr3:uid="{03E4A2CB-6932-B447-84B3-CFDE34E23985}" uniqueName="2" name="Class" queryTableFieldId="2" dataDxfId="34"/>
    <tableColumn id="3" xr3:uid="{9454CB24-CABB-A54B-9A1D-DFF50F43A50F}" uniqueName="3" name="ACT/NSW" queryTableFieldId="3"/>
    <tableColumn id="4" xr3:uid="{7CF4A394-6F46-E94E-8EFA-B0CBDFC2FDEA}" uniqueName="4" name="Queensland" queryTableFieldId="4"/>
    <tableColumn id="5" xr3:uid="{B9AD0519-A07E-B748-A0DB-0C587970D559}" uniqueName="5" name="South Australia" queryTableFieldId="5"/>
    <tableColumn id="6" xr3:uid="{CB24E64A-793C-E648-A121-319B7F36BC91}" uniqueName="6" name="Tasmania" queryTableFieldId="6"/>
    <tableColumn id="7" xr3:uid="{78C02971-0F7A-694E-846F-40B42AC41BBA}" uniqueName="7" name="Victoria" queryTableFieldId="7"/>
    <tableColumn id="8" xr3:uid="{AD570DD9-ED72-8B4B-91BB-12D7C170B11C}" uniqueName="8" name="Western Australia" queryTableFieldId="8"/>
    <tableColumn id="9" xr3:uid="{18B9208C-28AD-F442-BAC5-B84F6001AF72}" uniqueName="9" name="SeasonOrder" queryTableFieldId="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1475331-B8C8-0145-8549-85E9DCA9515B}" name="QueryCP37" displayName="QueryCP37" ref="BW37:CE61" tableType="queryTable" totalsRowShown="0">
  <autoFilter ref="BW37:CE61" xr:uid="{1C7536BD-0BF4-2745-B8D2-5E23C0785F7C}"/>
  <tableColumns count="9">
    <tableColumn id="1" xr3:uid="{3E44E533-8600-DA4B-B6CB-23B3C83E2FB8}" uniqueName="1" name="Season" queryTableFieldId="1" dataDxfId="33"/>
    <tableColumn id="2" xr3:uid="{D4FC331A-EA2A-3545-BC06-2530C8A7A1EA}" uniqueName="2" name="Class" queryTableFieldId="2" dataDxfId="32"/>
    <tableColumn id="3" xr3:uid="{ED34D00E-5F9D-1048-904C-6CCCC43C6984}" uniqueName="3" name="ACT/NSW" queryTableFieldId="3"/>
    <tableColumn id="4" xr3:uid="{F1CB71B9-C258-AC41-A269-9F118B67372D}" uniqueName="4" name="Queensland" queryTableFieldId="4"/>
    <tableColumn id="5" xr3:uid="{32B814A8-E8C4-6047-8A19-0E18410CB794}" uniqueName="5" name="South Australia" queryTableFieldId="5"/>
    <tableColumn id="6" xr3:uid="{742AA602-2F67-3945-93CD-11CB37AF52F2}" uniqueName="6" name="Tasmania" queryTableFieldId="6"/>
    <tableColumn id="7" xr3:uid="{8CFCF4E6-DF07-1B43-9592-449A6EF29FF9}" uniqueName="7" name="Victoria" queryTableFieldId="7"/>
    <tableColumn id="8" xr3:uid="{239DDBF8-B588-A54F-990C-4EF0E23CCC91}" uniqueName="8" name="Western Australia" queryTableFieldId="8"/>
    <tableColumn id="9" xr3:uid="{FE575B7E-030B-FB42-A30C-64641570B4C0}" uniqueName="9" name="SeasonOrder" queryTableField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79392FC-4A0E-5743-8CB8-3271EDCDAD65}" name="TableDMD38" displayName="TableDMD38" ref="CH66:CO91" totalsRowShown="0" headerRowDxfId="31" dataDxfId="29" headerRowBorderDxfId="30" tableBorderDxfId="28">
  <autoFilter ref="CH66:CO91" xr:uid="{97B3A928-C6CF-B742-B14D-3CDAC560FB37}"/>
  <tableColumns count="8">
    <tableColumn id="1" xr3:uid="{8A4D8B21-4452-1B4D-A6B6-9C2E40C052EA}" name="Column1" dataDxfId="27"/>
    <tableColumn id="2" xr3:uid="{5E9D1F45-5BCA-6744-BE64-9F653D8FA312}" name="Column2" dataDxfId="26"/>
    <tableColumn id="3" xr3:uid="{FBD0590D-D6F8-5941-9322-B3A4F974524F}" name="Column3" dataDxfId="25"/>
    <tableColumn id="4" xr3:uid="{93D46716-5981-6446-8E34-0504EB188D72}" name="Column4" dataDxfId="24"/>
    <tableColumn id="5" xr3:uid="{C3B12503-6DA8-AD42-8B6D-5F30FB54D4A2}" name="Column5" dataDxfId="23"/>
    <tableColumn id="6" xr3:uid="{F5651F41-4D22-8B4D-82CF-6D8B5D03FAAB}" name="Column6" dataDxfId="22"/>
    <tableColumn id="7" xr3:uid="{AEE1EEA4-C0F6-664A-9C7D-D323C969250E}" name="Column7" dataDxfId="21"/>
    <tableColumn id="8" xr3:uid="{8D180AD0-B939-F44E-B6D1-0778EBDBB5D2}" name="Column8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E197188-DA01-444E-9F99-9CC3ADEE7E7A}" name="TableW39" displayName="TableW39" ref="CH95:CO120" totalsRowShown="0" headerRowDxfId="20" headerRowBorderDxfId="19" tableBorderDxfId="18">
  <autoFilter ref="CH95:CO120" xr:uid="{BCD284C2-2879-C346-B956-5F9441CCE343}"/>
  <tableColumns count="8">
    <tableColumn id="1" xr3:uid="{6AE9C6D6-578F-DF46-B61F-5DF0B3881519}" name="Column1" dataDxfId="17"/>
    <tableColumn id="2" xr3:uid="{1C1100AC-66DE-EB47-A6EE-1A851D5311B8}" name="Column2"/>
    <tableColumn id="3" xr3:uid="{9701D29C-C161-5A40-99E0-F62FD7FCACDD}" name="Column3"/>
    <tableColumn id="4" xr3:uid="{E9AB1BE1-5DD1-594D-9126-658EB5EB08DA}" name="Column4"/>
    <tableColumn id="5" xr3:uid="{358A929B-2291-7D44-8963-88E2BA209431}" name="Column5"/>
    <tableColumn id="6" xr3:uid="{0C0DAAFE-815A-8A4F-866D-B2397E714143}" name="Column6"/>
    <tableColumn id="7" xr3:uid="{90806CBE-6CAD-CF45-82B1-5BCA8294BF81}" name="Column7"/>
    <tableColumn id="8" xr3:uid="{B9C1D7EF-994D-6443-916B-37E41A16A103}" name="Column8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04463E5-ACE1-AE46-BCD0-19C99006C634}" name="QueryW40" displayName="QueryW40" ref="BW95:CE119" tableType="queryTable" totalsRowShown="0">
  <autoFilter ref="BW95:CE119" xr:uid="{32E7CD12-3E31-6340-BE38-6239948A6339}"/>
  <tableColumns count="9">
    <tableColumn id="1" xr3:uid="{198EE0BA-A65B-5A46-8B4B-A2B5F5FB7432}" uniqueName="1" name="Season" queryTableFieldId="1" dataDxfId="16"/>
    <tableColumn id="2" xr3:uid="{02675BFE-4BFB-EA4A-B45B-19153E8F6460}" uniqueName="2" name="Class" queryTableFieldId="2" dataDxfId="15"/>
    <tableColumn id="3" xr3:uid="{9BA4988C-0A20-6346-B2F8-8FCA9F00DDF2}" uniqueName="3" name="ACT/NSW" queryTableFieldId="3"/>
    <tableColumn id="4" xr3:uid="{1223A5DF-F729-A848-882F-B9EFD2D42CB0}" uniqueName="4" name="Queensland" queryTableFieldId="4"/>
    <tableColumn id="5" xr3:uid="{EA4F23B1-9809-C043-930D-C4EE302A7305}" uniqueName="5" name="South Australia" queryTableFieldId="5"/>
    <tableColumn id="6" xr3:uid="{B175C5C0-B990-4043-8C59-D4A003445593}" uniqueName="6" name="Tasmania" queryTableFieldId="6"/>
    <tableColumn id="7" xr3:uid="{F303E070-BC51-B043-BD90-3A789DBC3784}" uniqueName="7" name="Victoria" queryTableFieldId="7"/>
    <tableColumn id="8" xr3:uid="{5EC718E6-C76C-E844-A071-6AF5B5FEB27D}" uniqueName="8" name="Western Australia" queryTableFieldId="8"/>
    <tableColumn id="9" xr3:uid="{CD0544DD-877B-D244-92BF-DA6F23789ED5}" uniqueName="9" name="SeasonOrder" queryTableFieldId="9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D197EE3-ADBD-C643-98C7-DE299798ADD6}" name="TableSRW41" displayName="TableSRW41" ref="CH130:CO155" totalsRowShown="0" headerRowDxfId="14" dataDxfId="13">
  <autoFilter ref="CH130:CO155" xr:uid="{C4BA6C27-EED2-C74B-BDAA-FB48819EAF9E}"/>
  <tableColumns count="8">
    <tableColumn id="1" xr3:uid="{0CBAF791-C02A-9541-B90A-6229D7C61A5C}" name="Column1" dataDxfId="12"/>
    <tableColumn id="2" xr3:uid="{7ED51007-9173-D247-A490-F125306290FE}" name="Column2"/>
    <tableColumn id="3" xr3:uid="{59220955-002C-D04E-8DFC-898F160F78C3}" name="Column3" dataDxfId="11"/>
    <tableColumn id="4" xr3:uid="{B1755ABA-FFC2-5649-9DC1-B8F4758F231F}" name="Column4" dataDxfId="10"/>
    <tableColumn id="5" xr3:uid="{68744BA1-7087-CC4B-B830-E9D1BA32491B}" name="Column5" dataDxfId="9"/>
    <tableColumn id="6" xr3:uid="{4F934284-82DF-5A4F-A774-114FCDE458B6}" name="Column6" dataDxfId="8"/>
    <tableColumn id="7" xr3:uid="{06116072-4C42-2948-97D9-8B1F4A2D5A6A}" name="Column7" dataDxfId="7"/>
    <tableColumn id="8" xr3:uid="{4F3AB19D-FAAB-A844-A1D7-2B71A657CC5B}" name="Column8" dataDxfId="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8655F39-2169-DA4B-8021-88175CE90DEC}" name="TableDMA42" displayName="TableDMA42" ref="CH165:CO190" totalsRowShown="0">
  <autoFilter ref="CH165:CO190" xr:uid="{5B85E235-F527-8F48-91C8-5AB1A7B236FE}"/>
  <tableColumns count="8">
    <tableColumn id="1" xr3:uid="{92E9E027-AF9B-054C-AD5D-FFEA14D45D56}" name="Column1"/>
    <tableColumn id="2" xr3:uid="{6603D6D5-6C13-7248-97FE-317BD80FEC5D}" name="Column2"/>
    <tableColumn id="3" xr3:uid="{965F00D3-2263-0A48-A040-37D6EC5C68A4}" name="Column3"/>
    <tableColumn id="4" xr3:uid="{824112E2-6E00-834B-B74A-5F9C2D71505C}" name="Column4"/>
    <tableColumn id="5" xr3:uid="{4E7715A0-AED7-4D43-AB2C-A408DA310087}" name="Column5"/>
    <tableColumn id="6" xr3:uid="{5255D628-E9B0-E94F-B196-5ABC6E498086}" name="Column6"/>
    <tableColumn id="7" xr3:uid="{0C42E49B-A4BB-0249-850D-E2AE1F48164A}" name="Column7"/>
    <tableColumn id="8" xr3:uid="{F23711CA-89B7-4346-A340-63602CCF8CCF}" name="Column8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02C1636-0058-A643-94F7-A0A281C3D5B6}" name="QueryDMA43" displayName="QueryDMA43" ref="BW166:CE190" tableType="queryTable" totalsRowShown="0">
  <autoFilter ref="BW166:CE190" xr:uid="{26E12A68-253C-1C47-BCA6-81ACE8329CBD}"/>
  <tableColumns count="9">
    <tableColumn id="1" xr3:uid="{33B9E3A6-F4F7-D84E-A436-F700665C2675}" uniqueName="1" name="Season" queryTableFieldId="1" dataDxfId="5"/>
    <tableColumn id="2" xr3:uid="{DF9FFD1D-4C2C-0443-88B2-250AFBF98D12}" uniqueName="2" name="Class" queryTableFieldId="2" dataDxfId="4"/>
    <tableColumn id="3" xr3:uid="{D14599B9-8CCB-9444-964E-7C723930611F}" uniqueName="3" name="ACT/NSW" queryTableFieldId="3"/>
    <tableColumn id="4" xr3:uid="{32DDAA07-E979-0641-9831-B0547F6EA122}" uniqueName="4" name="Queensland" queryTableFieldId="4"/>
    <tableColumn id="5" xr3:uid="{A7738DD5-E1DA-B242-AAE6-BC0969A84B8D}" uniqueName="5" name="South Australia" queryTableFieldId="5"/>
    <tableColumn id="6" xr3:uid="{9CCE1C54-F312-6241-9E15-AB5CD084BEBA}" uniqueName="6" name="Tasmania" queryTableFieldId="6"/>
    <tableColumn id="7" xr3:uid="{800D49A5-1D92-C74A-9101-ED0E24FE6866}" uniqueName="7" name="Victoria" queryTableFieldId="7"/>
    <tableColumn id="8" xr3:uid="{AC7F8D8A-BF7B-8349-807D-79A4487ADEE1}" uniqueName="8" name="Western Australia" queryTableFieldId="8"/>
    <tableColumn id="9" xr3:uid="{0005AD9D-7132-E043-A4A2-6504347C8409}" uniqueName="9" name="SeasonOrder" queryTableFieldId="9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6AA8015-3EE0-4148-B837-6E21D2228B93}" name="QueryDMD44" displayName="QueryDMD44" ref="BW67:CE91" tableType="queryTable" totalsRowShown="0">
  <autoFilter ref="BW67:CE91" xr:uid="{FFAA33C1-61B0-2A4D-A2C5-B73EEAAEB69E}"/>
  <tableColumns count="9">
    <tableColumn id="1" xr3:uid="{D1B06E17-4D3B-A04F-99F8-BE3BC0B9A108}" uniqueName="1" name="Season" queryTableFieldId="1" dataDxfId="3"/>
    <tableColumn id="2" xr3:uid="{80355FEA-CF8D-8548-8BC8-5851E5474E21}" uniqueName="2" name="Class" queryTableFieldId="2" dataDxfId="2"/>
    <tableColumn id="3" xr3:uid="{72E00F21-A2AB-6A4F-8E7C-59AE3C3DC292}" uniqueName="3" name="ACT/NSW" queryTableFieldId="3"/>
    <tableColumn id="4" xr3:uid="{FD9B59FC-1586-7A49-9E33-639BADF5986E}" uniqueName="4" name="Queensland" queryTableFieldId="4"/>
    <tableColumn id="5" xr3:uid="{70A5C14F-9DDC-8246-9034-E1343CFFB8C7}" uniqueName="5" name="South Australia" queryTableFieldId="5"/>
    <tableColumn id="6" xr3:uid="{50C855B4-7233-4245-B52A-C2D45FBF03E8}" uniqueName="6" name="Tasmania" queryTableFieldId="6"/>
    <tableColumn id="7" xr3:uid="{D4C05F71-F934-FB4D-90C8-2817C29F49A2}" uniqueName="7" name="Victoria" queryTableFieldId="7"/>
    <tableColumn id="8" xr3:uid="{914BF1F1-17C9-724D-BE3D-67DE611616B1}" uniqueName="8" name="Western Australia" queryTableFieldId="8"/>
    <tableColumn id="9" xr3:uid="{5B1D1519-BC27-7A4A-A2B4-D562117A5D89}" uniqueName="9" name="SeasonOrder" queryTableFieldId="9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C04AADA-1FA7-FB42-B49C-7E0C8F4DADD8}" name="QuerySRW45" displayName="QuerySRW45" ref="BW130:CE154" tableType="queryTable" totalsRowShown="0">
  <autoFilter ref="BW130:CE154" xr:uid="{AD15694A-5209-2745-83BB-54B010D6B5B7}"/>
  <tableColumns count="9">
    <tableColumn id="1" xr3:uid="{96CFA5C1-9546-904B-8DAF-44745AED4A37}" uniqueName="1" name="Season" queryTableFieldId="1" dataDxfId="1"/>
    <tableColumn id="2" xr3:uid="{FD67FA71-3F86-114F-B191-F8CA112ADA7C}" uniqueName="2" name="Class" queryTableFieldId="2" dataDxfId="0"/>
    <tableColumn id="3" xr3:uid="{72D289BE-8F5D-FF4C-A888-6205F049FC33}" uniqueName="3" name="ACT/NSW" queryTableFieldId="3"/>
    <tableColumn id="4" xr3:uid="{285D28C0-8893-A64A-86CF-B9B7121CA4EF}" uniqueName="4" name="Queensland" queryTableFieldId="4"/>
    <tableColumn id="5" xr3:uid="{95B06C1A-06A1-F84E-BAB4-98D9833B9004}" uniqueName="5" name="South Australia" queryTableFieldId="5"/>
    <tableColumn id="6" xr3:uid="{1E53BB14-69CD-784E-89F3-F457049B3225}" uniqueName="6" name="Tasmania" queryTableFieldId="6"/>
    <tableColumn id="7" xr3:uid="{C2F7812E-2100-924D-A750-3A7D44AB8884}" uniqueName="7" name="Victoria" queryTableFieldId="7"/>
    <tableColumn id="8" xr3:uid="{3C3CA35F-BF9F-BB45-B492-B24C49EC2C36}" uniqueName="8" name="Western Australia" queryTableFieldId="8"/>
    <tableColumn id="9" xr3:uid="{63E2FECB-E32D-284A-8C51-9AB9DF6B2982}" uniqueName="9" name="SeasonOrde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89DB-D143-A541-BFD3-CAE26B0CFCBC}">
  <dimension ref="A1:CF278"/>
  <sheetViews>
    <sheetView tabSelected="1" workbookViewId="0">
      <pane xSplit="7" ySplit="10" topLeftCell="BC263" activePane="bottomRight" state="frozenSplit"/>
      <selection pane="topRight" activeCell="AJ1" sqref="AJ1"/>
      <selection pane="bottomLeft" activeCell="U34" sqref="U34"/>
      <selection pane="bottomRight" activeCell="BI255" sqref="BI255:BI278"/>
    </sheetView>
  </sheetViews>
  <sheetFormatPr baseColWidth="10" defaultRowHeight="16" x14ac:dyDescent="0.2"/>
  <cols>
    <col min="49" max="49" width="20.83203125" customWidth="1"/>
    <col min="56" max="56" width="8.6640625" customWidth="1"/>
    <col min="57" max="57" width="11.5" customWidth="1"/>
    <col min="62" max="64" width="13.1640625" customWidth="1"/>
    <col min="66" max="66" width="23.83203125" customWidth="1"/>
    <col min="77" max="77" width="29.33203125" customWidth="1"/>
    <col min="82" max="82" width="21" customWidth="1"/>
  </cols>
  <sheetData>
    <row r="1" spans="1:81" x14ac:dyDescent="0.2">
      <c r="I1" t="s">
        <v>238</v>
      </c>
      <c r="J1" t="s">
        <v>238</v>
      </c>
      <c r="Y1" t="s">
        <v>239</v>
      </c>
      <c r="AC1" t="s">
        <v>238</v>
      </c>
      <c r="AG1" t="s">
        <v>238</v>
      </c>
      <c r="AH1" t="s">
        <v>238</v>
      </c>
      <c r="AI1" t="s">
        <v>256</v>
      </c>
      <c r="BX1">
        <v>1084</v>
      </c>
      <c r="BY1" t="s">
        <v>257</v>
      </c>
      <c r="BZ1">
        <v>0.19</v>
      </c>
      <c r="CB1" t="s">
        <v>265</v>
      </c>
      <c r="CC1">
        <v>1.3</v>
      </c>
    </row>
    <row r="2" spans="1:81" x14ac:dyDescent="0.2">
      <c r="AA2" t="s">
        <v>6</v>
      </c>
      <c r="AJ2" t="s">
        <v>7</v>
      </c>
      <c r="AL2" t="s">
        <v>11</v>
      </c>
      <c r="AO2" t="s">
        <v>12</v>
      </c>
      <c r="AQ2" t="s">
        <v>12</v>
      </c>
      <c r="AR2" t="s">
        <v>13</v>
      </c>
      <c r="AX2" s="28"/>
      <c r="AY2" s="28"/>
      <c r="BC2" t="s">
        <v>2</v>
      </c>
      <c r="BD2" t="s">
        <v>295</v>
      </c>
      <c r="BE2" t="s">
        <v>4</v>
      </c>
      <c r="BG2" t="s">
        <v>5</v>
      </c>
      <c r="BH2" t="s">
        <v>296</v>
      </c>
      <c r="BI2" t="s">
        <v>297</v>
      </c>
      <c r="BJ2" t="s">
        <v>10</v>
      </c>
      <c r="BL2" s="28" t="s">
        <v>0</v>
      </c>
      <c r="BM2" t="s">
        <v>1</v>
      </c>
      <c r="BP2" t="s">
        <v>15</v>
      </c>
      <c r="BQ2" t="s">
        <v>0</v>
      </c>
      <c r="BS2" t="s">
        <v>298</v>
      </c>
      <c r="BT2" t="s">
        <v>16</v>
      </c>
      <c r="BX2">
        <v>1087</v>
      </c>
      <c r="BY2" t="s">
        <v>152</v>
      </c>
      <c r="BZ2">
        <v>0.08</v>
      </c>
    </row>
    <row r="3" spans="1:81" x14ac:dyDescent="0.2">
      <c r="H3" t="s">
        <v>19</v>
      </c>
      <c r="I3">
        <v>342</v>
      </c>
      <c r="J3">
        <v>323</v>
      </c>
      <c r="L3" t="s">
        <v>20</v>
      </c>
      <c r="N3" t="s">
        <v>299</v>
      </c>
      <c r="P3" t="s">
        <v>22</v>
      </c>
      <c r="R3" t="s">
        <v>23</v>
      </c>
      <c r="T3" t="s">
        <v>24</v>
      </c>
      <c r="V3" t="s">
        <v>51</v>
      </c>
      <c r="X3" t="s">
        <v>25</v>
      </c>
      <c r="Y3" t="s">
        <v>33</v>
      </c>
      <c r="Z3" t="s">
        <v>39</v>
      </c>
      <c r="AA3" t="s">
        <v>40</v>
      </c>
      <c r="AB3">
        <v>351</v>
      </c>
      <c r="AC3">
        <v>314</v>
      </c>
      <c r="AD3">
        <v>302</v>
      </c>
      <c r="AF3">
        <v>349</v>
      </c>
      <c r="AG3">
        <v>308</v>
      </c>
      <c r="AH3">
        <v>296</v>
      </c>
      <c r="AI3" t="s">
        <v>47</v>
      </c>
      <c r="AJ3" t="s">
        <v>41</v>
      </c>
      <c r="AK3" t="s">
        <v>48</v>
      </c>
      <c r="AL3" t="s">
        <v>49</v>
      </c>
      <c r="AM3" t="s">
        <v>50</v>
      </c>
      <c r="AN3" t="s">
        <v>52</v>
      </c>
      <c r="AO3" t="s">
        <v>53</v>
      </c>
      <c r="AQ3" t="s">
        <v>53</v>
      </c>
      <c r="AR3" t="s">
        <v>54</v>
      </c>
      <c r="AU3" t="s">
        <v>26</v>
      </c>
      <c r="AV3" t="s">
        <v>27</v>
      </c>
      <c r="AX3" s="28">
        <v>1090</v>
      </c>
      <c r="AY3" s="28">
        <v>1088</v>
      </c>
      <c r="AZ3" t="s">
        <v>30</v>
      </c>
      <c r="BA3" t="s">
        <v>17</v>
      </c>
      <c r="BB3" t="s">
        <v>18</v>
      </c>
      <c r="BC3" t="s">
        <v>34</v>
      </c>
      <c r="BD3" t="s">
        <v>35</v>
      </c>
      <c r="BE3" t="s">
        <v>36</v>
      </c>
      <c r="BF3" t="s">
        <v>37</v>
      </c>
      <c r="BG3" t="s">
        <v>38</v>
      </c>
      <c r="BH3" t="s">
        <v>42</v>
      </c>
      <c r="BI3" t="s">
        <v>43</v>
      </c>
      <c r="BJ3" t="s">
        <v>44</v>
      </c>
      <c r="BL3" s="28">
        <v>1062</v>
      </c>
      <c r="BM3" t="s">
        <v>31</v>
      </c>
      <c r="BO3" t="s">
        <v>32</v>
      </c>
      <c r="BP3" t="s">
        <v>56</v>
      </c>
      <c r="BQ3" t="s">
        <v>28</v>
      </c>
      <c r="BR3" t="s">
        <v>29</v>
      </c>
      <c r="BS3" t="s">
        <v>55</v>
      </c>
      <c r="BT3" t="s">
        <v>57</v>
      </c>
      <c r="BY3" t="s">
        <v>125</v>
      </c>
      <c r="BZ3">
        <v>91.25</v>
      </c>
    </row>
    <row r="4" spans="1:81" x14ac:dyDescent="0.2">
      <c r="H4" t="s">
        <v>58</v>
      </c>
      <c r="L4" t="s">
        <v>59</v>
      </c>
      <c r="N4" t="s">
        <v>59</v>
      </c>
      <c r="P4" t="s">
        <v>59</v>
      </c>
      <c r="R4" t="s">
        <v>59</v>
      </c>
      <c r="T4" t="s">
        <v>59</v>
      </c>
      <c r="V4" t="s">
        <v>59</v>
      </c>
      <c r="X4" t="s">
        <v>59</v>
      </c>
      <c r="Y4" t="s">
        <v>59</v>
      </c>
      <c r="Z4" t="s">
        <v>60</v>
      </c>
      <c r="AA4" t="s">
        <v>60</v>
      </c>
      <c r="AB4" t="s">
        <v>59</v>
      </c>
      <c r="AC4" t="s">
        <v>60</v>
      </c>
      <c r="AD4" t="s">
        <v>60</v>
      </c>
      <c r="AF4" t="s">
        <v>59</v>
      </c>
      <c r="AG4" t="s">
        <v>60</v>
      </c>
      <c r="AH4" t="s">
        <v>60</v>
      </c>
      <c r="AI4" t="s">
        <v>60</v>
      </c>
      <c r="AJ4" t="s">
        <v>60</v>
      </c>
      <c r="AK4" t="s">
        <v>59</v>
      </c>
      <c r="AL4" t="s">
        <v>60</v>
      </c>
      <c r="AM4" t="s">
        <v>59</v>
      </c>
      <c r="AN4" t="s">
        <v>59</v>
      </c>
      <c r="AO4" t="s">
        <v>60</v>
      </c>
      <c r="AQ4" t="s">
        <v>60</v>
      </c>
      <c r="AR4" t="s">
        <v>60</v>
      </c>
      <c r="AU4" t="s">
        <v>59</v>
      </c>
      <c r="AV4" t="s">
        <v>59</v>
      </c>
      <c r="AX4" s="28" t="s">
        <v>59</v>
      </c>
      <c r="AY4" s="28" t="s">
        <v>59</v>
      </c>
      <c r="AZ4" t="s">
        <v>59</v>
      </c>
      <c r="BA4" t="s">
        <v>58</v>
      </c>
      <c r="BB4" t="s">
        <v>58</v>
      </c>
      <c r="BC4" t="s">
        <v>60</v>
      </c>
      <c r="BD4" t="s">
        <v>60</v>
      </c>
      <c r="BE4" t="s">
        <v>60</v>
      </c>
      <c r="BF4" t="s">
        <v>59</v>
      </c>
      <c r="BG4" t="s">
        <v>60</v>
      </c>
      <c r="BH4" t="s">
        <v>60</v>
      </c>
      <c r="BI4" t="s">
        <v>60</v>
      </c>
      <c r="BJ4" t="s">
        <v>60</v>
      </c>
      <c r="BL4" s="28" t="s">
        <v>60</v>
      </c>
      <c r="BM4" t="s">
        <v>60</v>
      </c>
      <c r="BO4" t="s">
        <v>59</v>
      </c>
      <c r="BP4" t="s">
        <v>60</v>
      </c>
      <c r="BQ4" t="s">
        <v>60</v>
      </c>
      <c r="BR4" t="s">
        <v>59</v>
      </c>
      <c r="BS4" t="s">
        <v>60</v>
      </c>
      <c r="BT4" t="s">
        <v>60</v>
      </c>
      <c r="BX4">
        <v>1094</v>
      </c>
      <c r="BY4" t="s">
        <v>131</v>
      </c>
      <c r="BZ4">
        <v>0.24</v>
      </c>
    </row>
    <row r="5" spans="1:81" x14ac:dyDescent="0.2">
      <c r="H5" t="s">
        <v>61</v>
      </c>
      <c r="L5" t="s">
        <v>58</v>
      </c>
      <c r="N5" t="s">
        <v>58</v>
      </c>
      <c r="P5" t="s">
        <v>58</v>
      </c>
      <c r="R5" t="s">
        <v>58</v>
      </c>
      <c r="T5" t="s">
        <v>58</v>
      </c>
      <c r="V5" t="s">
        <v>61</v>
      </c>
      <c r="X5" t="s">
        <v>58</v>
      </c>
      <c r="Y5" t="s">
        <v>61</v>
      </c>
      <c r="Z5" t="s">
        <v>61</v>
      </c>
      <c r="AA5" t="s">
        <v>61</v>
      </c>
      <c r="AF5" t="s">
        <v>58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Q5" t="s">
        <v>61</v>
      </c>
      <c r="AR5" t="s">
        <v>61</v>
      </c>
      <c r="AU5" t="s">
        <v>61</v>
      </c>
      <c r="AV5" t="s">
        <v>61</v>
      </c>
      <c r="AX5" s="28"/>
      <c r="AY5" s="28"/>
      <c r="AZ5" t="s">
        <v>61</v>
      </c>
      <c r="BA5" t="s">
        <v>61</v>
      </c>
      <c r="BB5" t="s">
        <v>61</v>
      </c>
      <c r="BC5" t="s">
        <v>61</v>
      </c>
      <c r="BD5" t="s">
        <v>61</v>
      </c>
      <c r="BE5" t="s">
        <v>61</v>
      </c>
      <c r="BF5" t="s">
        <v>61</v>
      </c>
      <c r="BG5" t="s">
        <v>61</v>
      </c>
      <c r="BH5" t="s">
        <v>61</v>
      </c>
      <c r="BI5" t="s">
        <v>61</v>
      </c>
      <c r="BJ5" t="s">
        <v>61</v>
      </c>
      <c r="BL5" s="28"/>
      <c r="BM5" t="s">
        <v>61</v>
      </c>
      <c r="BO5" t="s">
        <v>61</v>
      </c>
      <c r="BP5" t="s">
        <v>61</v>
      </c>
      <c r="BQ5" t="s">
        <v>61</v>
      </c>
      <c r="BR5" t="s">
        <v>61</v>
      </c>
      <c r="BS5" t="s">
        <v>61</v>
      </c>
      <c r="BT5" t="s">
        <v>61</v>
      </c>
      <c r="BX5">
        <v>1093</v>
      </c>
      <c r="BY5" t="s">
        <v>219</v>
      </c>
      <c r="BZ5">
        <v>0.21</v>
      </c>
    </row>
    <row r="6" spans="1:81" x14ac:dyDescent="0.2">
      <c r="AX6" s="28"/>
      <c r="AY6" s="28"/>
      <c r="BL6" s="28"/>
      <c r="BX6">
        <v>1095</v>
      </c>
      <c r="BY6" t="s">
        <v>220</v>
      </c>
      <c r="BZ6">
        <v>1.0999999999999999E-2</v>
      </c>
    </row>
    <row r="7" spans="1:81" x14ac:dyDescent="0.2">
      <c r="AX7" s="28"/>
      <c r="AY7" s="28"/>
      <c r="BL7" s="28"/>
      <c r="BX7">
        <v>1088</v>
      </c>
      <c r="BY7" t="s">
        <v>150</v>
      </c>
      <c r="BZ7">
        <f>[1]!common_cn2o</f>
        <v>1.57</v>
      </c>
    </row>
    <row r="8" spans="1:81" x14ac:dyDescent="0.2">
      <c r="H8" t="s">
        <v>64</v>
      </c>
      <c r="L8" t="s">
        <v>65</v>
      </c>
      <c r="N8" t="s">
        <v>66</v>
      </c>
      <c r="P8" t="s">
        <v>63</v>
      </c>
      <c r="R8" t="s">
        <v>63</v>
      </c>
      <c r="T8" t="s">
        <v>66</v>
      </c>
      <c r="V8" t="s">
        <v>63</v>
      </c>
      <c r="X8" t="s">
        <v>63</v>
      </c>
      <c r="Y8" t="s">
        <v>63</v>
      </c>
      <c r="Z8" t="s">
        <v>63</v>
      </c>
      <c r="AA8" t="s">
        <v>72</v>
      </c>
      <c r="AI8" t="s">
        <v>75</v>
      </c>
      <c r="AJ8" t="s">
        <v>71</v>
      </c>
      <c r="AK8" t="s">
        <v>63</v>
      </c>
      <c r="AL8" t="s">
        <v>71</v>
      </c>
      <c r="AM8" t="s">
        <v>76</v>
      </c>
      <c r="AN8" t="s">
        <v>77</v>
      </c>
      <c r="AO8" t="s">
        <v>78</v>
      </c>
      <c r="AQ8" t="s">
        <v>78</v>
      </c>
      <c r="AR8" t="s">
        <v>79</v>
      </c>
      <c r="AU8" t="s">
        <v>300</v>
      </c>
      <c r="AV8" t="s">
        <v>300</v>
      </c>
      <c r="AX8" s="28" t="s">
        <v>70</v>
      </c>
      <c r="AY8" s="28" t="s">
        <v>63</v>
      </c>
      <c r="AZ8" t="s">
        <v>301</v>
      </c>
      <c r="BA8" t="s">
        <v>62</v>
      </c>
      <c r="BB8" t="s">
        <v>300</v>
      </c>
      <c r="BC8" t="s">
        <v>71</v>
      </c>
      <c r="BD8" t="s">
        <v>71</v>
      </c>
      <c r="BE8" t="s">
        <v>66</v>
      </c>
      <c r="BF8" t="s">
        <v>66</v>
      </c>
      <c r="BG8" t="s">
        <v>63</v>
      </c>
      <c r="BH8" t="s">
        <v>302</v>
      </c>
      <c r="BI8" t="s">
        <v>73</v>
      </c>
      <c r="BJ8" t="s">
        <v>67</v>
      </c>
      <c r="BL8" s="28" t="s">
        <v>67</v>
      </c>
      <c r="BM8" t="s">
        <v>67</v>
      </c>
      <c r="BO8" t="s">
        <v>68</v>
      </c>
      <c r="BP8" t="s">
        <v>80</v>
      </c>
      <c r="BQ8" t="s">
        <v>67</v>
      </c>
      <c r="BR8" t="s">
        <v>68</v>
      </c>
      <c r="BS8" t="s">
        <v>80</v>
      </c>
      <c r="BT8" t="s">
        <v>80</v>
      </c>
    </row>
    <row r="9" spans="1:81" x14ac:dyDescent="0.2">
      <c r="H9" t="s">
        <v>83</v>
      </c>
      <c r="I9" t="s">
        <v>236</v>
      </c>
      <c r="J9" t="s">
        <v>237</v>
      </c>
      <c r="L9" t="s">
        <v>84</v>
      </c>
      <c r="N9" t="s">
        <v>85</v>
      </c>
      <c r="P9" t="s">
        <v>86</v>
      </c>
      <c r="R9" t="s">
        <v>87</v>
      </c>
      <c r="T9" t="s">
        <v>88</v>
      </c>
      <c r="V9" t="s">
        <v>115</v>
      </c>
      <c r="X9" t="s">
        <v>89</v>
      </c>
      <c r="Y9" t="s">
        <v>97</v>
      </c>
      <c r="Z9" t="s">
        <v>103</v>
      </c>
      <c r="AA9" t="s">
        <v>104</v>
      </c>
      <c r="AI9" t="s">
        <v>111</v>
      </c>
      <c r="AJ9" t="s">
        <v>105</v>
      </c>
      <c r="AK9" t="s">
        <v>112</v>
      </c>
      <c r="AL9" t="s">
        <v>113</v>
      </c>
      <c r="AM9" t="s">
        <v>114</v>
      </c>
      <c r="AN9" t="s">
        <v>116</v>
      </c>
      <c r="AO9" t="s">
        <v>117</v>
      </c>
      <c r="AQ9" t="s">
        <v>117</v>
      </c>
      <c r="AR9" t="s">
        <v>118</v>
      </c>
      <c r="AU9" t="s">
        <v>90</v>
      </c>
      <c r="AV9" t="s">
        <v>91</v>
      </c>
      <c r="AX9" s="28" t="s">
        <v>312</v>
      </c>
      <c r="AY9" s="28" t="s">
        <v>313</v>
      </c>
      <c r="AZ9" t="s">
        <v>303</v>
      </c>
      <c r="BA9" t="s">
        <v>307</v>
      </c>
      <c r="BB9" t="s">
        <v>308</v>
      </c>
      <c r="BC9" t="s">
        <v>98</v>
      </c>
      <c r="BD9" t="s">
        <v>99</v>
      </c>
      <c r="BE9" t="s">
        <v>100</v>
      </c>
      <c r="BF9" t="s">
        <v>101</v>
      </c>
      <c r="BG9" t="s">
        <v>102</v>
      </c>
      <c r="BH9" t="s">
        <v>309</v>
      </c>
      <c r="BI9" t="s">
        <v>310</v>
      </c>
      <c r="BJ9" t="s">
        <v>311</v>
      </c>
      <c r="BL9" s="28" t="s">
        <v>315</v>
      </c>
      <c r="BM9" t="s">
        <v>304</v>
      </c>
      <c r="BO9" t="s">
        <v>305</v>
      </c>
      <c r="BP9" t="s">
        <v>306</v>
      </c>
      <c r="BQ9" t="s">
        <v>315</v>
      </c>
      <c r="BR9" t="s">
        <v>316</v>
      </c>
      <c r="BS9" t="s">
        <v>314</v>
      </c>
      <c r="BT9" t="s">
        <v>121</v>
      </c>
      <c r="BZ9" t="s">
        <v>200</v>
      </c>
      <c r="CB9" t="s">
        <v>201</v>
      </c>
    </row>
    <row r="10" spans="1:81" x14ac:dyDescent="0.2">
      <c r="A10" t="s">
        <v>160</v>
      </c>
      <c r="B10" s="1" t="s">
        <v>179</v>
      </c>
      <c r="C10" s="1" t="s">
        <v>179</v>
      </c>
      <c r="D10" s="1" t="s">
        <v>212</v>
      </c>
      <c r="E10" t="s">
        <v>161</v>
      </c>
      <c r="G10" t="s">
        <v>277</v>
      </c>
      <c r="H10" s="1" t="s">
        <v>124</v>
      </c>
      <c r="I10" s="1" t="s">
        <v>235</v>
      </c>
      <c r="J10" s="1" t="s">
        <v>240</v>
      </c>
      <c r="K10" s="1" t="s">
        <v>291</v>
      </c>
      <c r="L10" t="s">
        <v>125</v>
      </c>
      <c r="M10" s="1" t="s">
        <v>320</v>
      </c>
      <c r="N10" t="s">
        <v>126</v>
      </c>
      <c r="O10" s="1" t="s">
        <v>319</v>
      </c>
      <c r="P10" t="s">
        <v>127</v>
      </c>
      <c r="Q10" s="1" t="s">
        <v>293</v>
      </c>
      <c r="R10" t="s">
        <v>128</v>
      </c>
      <c r="S10" s="1" t="s">
        <v>294</v>
      </c>
      <c r="T10" t="s">
        <v>129</v>
      </c>
      <c r="U10" t="s">
        <v>215</v>
      </c>
      <c r="V10" t="s">
        <v>214</v>
      </c>
      <c r="W10" t="s">
        <v>217</v>
      </c>
      <c r="X10" t="s">
        <v>216</v>
      </c>
      <c r="Y10" t="s">
        <v>137</v>
      </c>
      <c r="Z10" t="s">
        <v>143</v>
      </c>
      <c r="AA10" t="s">
        <v>144</v>
      </c>
      <c r="AB10" t="s">
        <v>265</v>
      </c>
      <c r="AC10" t="s">
        <v>261</v>
      </c>
      <c r="AD10" t="s">
        <v>264</v>
      </c>
      <c r="AE10" t="s">
        <v>292</v>
      </c>
      <c r="AF10" t="s">
        <v>262</v>
      </c>
      <c r="AG10" t="s">
        <v>260</v>
      </c>
      <c r="AH10" t="s">
        <v>259</v>
      </c>
      <c r="AI10" t="s">
        <v>151</v>
      </c>
      <c r="AJ10" t="s">
        <v>145</v>
      </c>
      <c r="AK10" t="s">
        <v>152</v>
      </c>
      <c r="AL10" t="s">
        <v>153</v>
      </c>
      <c r="AM10" t="s">
        <v>154</v>
      </c>
      <c r="AN10" t="s">
        <v>155</v>
      </c>
      <c r="AO10" t="s">
        <v>266</v>
      </c>
      <c r="AP10" t="s">
        <v>267</v>
      </c>
      <c r="AQ10" t="s">
        <v>268</v>
      </c>
      <c r="AR10" t="s">
        <v>156</v>
      </c>
      <c r="AS10" s="27" t="s">
        <v>156</v>
      </c>
      <c r="AT10" s="1" t="s">
        <v>218</v>
      </c>
      <c r="AU10" t="s">
        <v>130</v>
      </c>
      <c r="AV10" t="s">
        <v>131</v>
      </c>
      <c r="AW10" s="1" t="s">
        <v>253</v>
      </c>
      <c r="AX10" s="28" t="s">
        <v>318</v>
      </c>
      <c r="AY10" s="28" t="s">
        <v>150</v>
      </c>
      <c r="AZ10" t="s">
        <v>134</v>
      </c>
      <c r="BA10" s="1" t="s">
        <v>122</v>
      </c>
      <c r="BB10" s="1" t="s">
        <v>123</v>
      </c>
      <c r="BC10" t="s">
        <v>138</v>
      </c>
      <c r="BD10" t="s">
        <v>139</v>
      </c>
      <c r="BE10" t="s">
        <v>140</v>
      </c>
      <c r="BF10" t="s">
        <v>141</v>
      </c>
      <c r="BG10" t="s">
        <v>142</v>
      </c>
      <c r="BH10" t="s">
        <v>317</v>
      </c>
      <c r="BI10" t="s">
        <v>147</v>
      </c>
      <c r="BJ10" t="s">
        <v>148</v>
      </c>
      <c r="BK10" t="s">
        <v>148</v>
      </c>
      <c r="BL10" s="28" t="s">
        <v>132</v>
      </c>
      <c r="BM10" t="s">
        <v>135</v>
      </c>
      <c r="BN10" t="s">
        <v>221</v>
      </c>
      <c r="BO10" t="s">
        <v>136</v>
      </c>
      <c r="BP10" s="27" t="s">
        <v>158</v>
      </c>
      <c r="BQ10" t="s">
        <v>132</v>
      </c>
      <c r="BR10" t="s">
        <v>133</v>
      </c>
      <c r="BS10" s="27" t="s">
        <v>157</v>
      </c>
      <c r="BT10" s="27" t="s">
        <v>159</v>
      </c>
      <c r="BY10" t="s">
        <v>202</v>
      </c>
      <c r="BZ10">
        <v>4.7000000000000002E-3</v>
      </c>
      <c r="CA10" s="13" t="s">
        <v>193</v>
      </c>
      <c r="CB10" s="13">
        <v>0.72</v>
      </c>
    </row>
    <row r="11" spans="1:81" x14ac:dyDescent="0.2">
      <c r="A11" t="s">
        <v>269</v>
      </c>
      <c r="B11" t="s">
        <v>193</v>
      </c>
      <c r="C11" t="s">
        <v>173</v>
      </c>
      <c r="D11" t="s">
        <v>213</v>
      </c>
      <c r="E11" s="11" t="s">
        <v>169</v>
      </c>
      <c r="F11" t="s">
        <v>163</v>
      </c>
      <c r="H11">
        <v>100</v>
      </c>
      <c r="I11">
        <v>95</v>
      </c>
      <c r="J11">
        <v>90</v>
      </c>
      <c r="L11">
        <f t="shared" ref="L11:L34" si="0">$BZ$3</f>
        <v>91.25</v>
      </c>
      <c r="N11" cm="1">
        <f t="array" ref="N11:N34">_xlfn.DROP(_xlfn.XLOOKUP($C11,TableLWG2_1[[#Headers],[ACT/NSW]:[WA]],TableLWG2_1[[#All],[ACT/NSW]:[WA]]),1)</f>
        <v>0.04</v>
      </c>
      <c r="P11" cm="1">
        <f t="array" ref="P11:P34">_xlfn.DROP(_xlfn.XLOOKUP($C11,QueryCP[[#Headers],[ACT/NSW]:[WA]],QueryCP[[#All],[ACT/NSW]:[WA]]),1)</f>
        <v>0.2</v>
      </c>
      <c r="R11" cm="1">
        <f t="array" ref="R11:R34">_xlfn.DROP(_xlfn.XLOOKUP($C11,QueryDMD[[#Headers],[ACT/NSW]:[WA]],QueryDMD[[#All],[ACT/NSW]:[WA]]),1)</f>
        <v>0.75</v>
      </c>
      <c r="T11" cm="1">
        <f t="array" ref="T11:T34">_xlfn.DROP(_xlfn.XLOOKUP($C11,QueryW[[#Headers],[ACT/NSW]:[WA]],QueryW[[#All],[ACT/NSW]:[WA]]),1)</f>
        <v>54</v>
      </c>
      <c r="U11">
        <f>1-V11</f>
        <v>0</v>
      </c>
      <c r="V11">
        <f>IF($D$11="yes", 1, VLOOKUP($B$11, $BY$26:$CA$32, 1))</f>
        <v>1</v>
      </c>
      <c r="W11">
        <f t="shared" ref="W11:W34" si="1">VLOOKUP($B$11,$CA$10:$CB$16, 2, FALSE)</f>
        <v>0.72</v>
      </c>
      <c r="X11">
        <f t="shared" ref="X11:X34" si="2">$BZ$10</f>
        <v>4.7000000000000002E-3</v>
      </c>
      <c r="Y11">
        <f t="shared" ref="Y11:Y34" si="3">(I11/100)*(MIN(J11,100)/100)</f>
        <v>0.85499999999999998</v>
      </c>
      <c r="Z11">
        <v>0</v>
      </c>
      <c r="AA11">
        <f>1.6 * Z11</f>
        <v>0</v>
      </c>
      <c r="AB11">
        <f>$CC$1</f>
        <v>1.3</v>
      </c>
      <c r="AC11">
        <f t="shared" ref="AC11:AC34" si="4">Y11*AB11+(1-Y11)</f>
        <v>1.2565</v>
      </c>
      <c r="AD11">
        <f t="shared" ref="AD11:AD34" si="5">(0.795*R11)-0.0014</f>
        <v>0.5948500000000001</v>
      </c>
      <c r="AF11" cm="1">
        <f t="array" ref="AF11:AF34">_xlfn.DROP(_xlfn.XLOOKUP($C11,QueryDMA[[#Headers],[ACT/NSW]:[WA]],QueryDMA[[#All],[ACT/NSW]:[WA]]),1)</f>
        <v>2.9</v>
      </c>
      <c r="AG11">
        <f>1 - EXP(-2*(AF11^2))</f>
        <v>0.9999999504359468</v>
      </c>
      <c r="AH11">
        <f t="shared" ref="AH11:AH34" si="6">(104.7*AD11+0.307*T11-15)*(T11^0.75)*10^-3</f>
        <v>1.2720847291262878</v>
      </c>
      <c r="AI11">
        <f>AH11*AG11*AC11</f>
        <v>1.5983743829252637</v>
      </c>
      <c r="AJ11">
        <f t="shared" ref="AJ11:AJ34" si="7">(AI11 * P11) + (0.045 * AA11)</f>
        <v>0.31967487658505278</v>
      </c>
      <c r="AK11">
        <f t="shared" ref="AK11:AK34" si="8">$BZ$2</f>
        <v>0.08</v>
      </c>
      <c r="AL11">
        <f t="shared" ref="AL11:AL34" si="9">(AI11 * ((1 - R11) + (0.04 * AI11))) * ( 1 - AK11 )</f>
        <v>0.46164277265490583</v>
      </c>
      <c r="AM11">
        <f t="shared" ref="AM11:AM34" si="10">$BZ$1</f>
        <v>0.19</v>
      </c>
      <c r="AN11">
        <f t="shared" ref="AN11:AN34" si="11">$CA$20</f>
        <v>0.6784</v>
      </c>
      <c r="AO11">
        <f t="shared" ref="AO11:AO34" si="12">AL11 * AM11 * U11 * W11 * AN11</f>
        <v>0</v>
      </c>
      <c r="AP11">
        <f t="shared" ref="AP11:AP34" si="13">AL11*AM11*V11*X11*AN11</f>
        <v>2.7966836207339569E-4</v>
      </c>
      <c r="AQ11">
        <f>AO11+AP11</f>
        <v>2.7966836207339569E-4</v>
      </c>
      <c r="AR11">
        <f t="shared" ref="AR11:AR34" si="14">H11*AQ11*L11</f>
        <v>2.5519738039197355</v>
      </c>
      <c r="AS11">
        <f>SUM(AR11:AR34)*10^-3</f>
        <v>5.3906996922269038E-2</v>
      </c>
      <c r="AT11" t="s">
        <v>213</v>
      </c>
      <c r="AU11">
        <f>IF(AT11="yes", 1,0)</f>
        <v>1</v>
      </c>
      <c r="AV11">
        <f>$BZ$4</f>
        <v>0.24</v>
      </c>
      <c r="AW11" t="s">
        <v>321</v>
      </c>
      <c r="AX11" s="28">
        <f>VLOOKUP(AW11,$CD$37:$CF$46,2, FALSE)</f>
        <v>6.0000000000000001E-3</v>
      </c>
      <c r="AY11" s="28">
        <f>$BZ$7</f>
        <v>1.57</v>
      </c>
      <c r="AZ11">
        <f>$BZ$5</f>
        <v>0.21</v>
      </c>
      <c r="BA11">
        <v>20</v>
      </c>
      <c r="BB11">
        <v>0.8</v>
      </c>
      <c r="BC11">
        <f>Y11 * 1.6</f>
        <v>1.3680000000000001</v>
      </c>
      <c r="BD11">
        <f>(BA11 * BB11) / 365</f>
        <v>4.3835616438356165E-2</v>
      </c>
      <c r="BE11">
        <f t="shared" ref="BE11:BE34" si="15">N11 * 0.92</f>
        <v>3.6799999999999999E-2</v>
      </c>
      <c r="BF11" cm="1">
        <f t="array" ref="BF11:BF34">_xlfn.DROP(_xlfn.XLOOKUP($C11,QuerySRW[[#Headers],[ACT/NSW]:[WA]],QuerySRW[[#All],[ACT/NSW]:[WA]]),1)</f>
        <v>57</v>
      </c>
      <c r="BG11">
        <f>T11 / BF11</f>
        <v>0.94736842105263153</v>
      </c>
      <c r="BH11">
        <f>((0.045 * BC11) + (BD11 * 0.84)  + (BE11 * ((212 - 4 * ((BE11 * 1000)/(4* (BF11^0.75)) - 1)) - ((140 - 4 * (((BE11 * 1000)/(4 * BF11 ^0.75)) - 1))/(1 + EXP(-6 * (BG11 - 0.4)))))) * 10^-3) / 6.25</f>
        <v>1.6195288074689305E-2</v>
      </c>
      <c r="BI11">
        <f>MAX((AJ11  / 6.25 ) - BH11, 0)</f>
        <v>3.4952692178919137E-2</v>
      </c>
      <c r="BJ11">
        <f t="shared" ref="BJ11:BJ34" si="16">H11*BI11*L11</f>
        <v>318.94331613263711</v>
      </c>
      <c r="BK11">
        <f>SUM(BJ11:BJ34)</f>
        <v>5093.7807503121494</v>
      </c>
      <c r="BL11" s="28">
        <f>BK11*$AU$11*$AV$11</f>
        <v>1222.5073800749158</v>
      </c>
      <c r="BM11">
        <f>BK11 * AZ11</f>
        <v>1069.6939575655513</v>
      </c>
      <c r="BN11" t="s">
        <v>226</v>
      </c>
      <c r="BO11">
        <f>VLOOKUP(BN11, $BY$37:$BZ$49, 2, FALSE)</f>
        <v>1.8E-3</v>
      </c>
      <c r="BP11">
        <f>BM11 * BO11 * AY11 * 10^-3</f>
        <v>3.0229551240802482E-3</v>
      </c>
      <c r="BQ11">
        <f>BK11 * AU11 * AV11</f>
        <v>1222.5073800749158</v>
      </c>
      <c r="BR11">
        <f>$BZ$6</f>
        <v>1.0999999999999999E-2</v>
      </c>
      <c r="BS11">
        <f>BK11 * AX11 * AY11 * 10^-3</f>
        <v>4.7983414667940455E-2</v>
      </c>
      <c r="BT11">
        <f>BQ11 * BR11 * AY11 * 10^-3</f>
        <v>2.1112702453893798E-2</v>
      </c>
      <c r="CA11" s="13" t="s">
        <v>270</v>
      </c>
      <c r="CB11" s="13">
        <v>0.75</v>
      </c>
    </row>
    <row r="12" spans="1:81" x14ac:dyDescent="0.2">
      <c r="E12" s="12"/>
      <c r="F12" t="s">
        <v>164</v>
      </c>
      <c r="H12">
        <v>70</v>
      </c>
      <c r="I12">
        <v>0</v>
      </c>
      <c r="J12">
        <v>0</v>
      </c>
      <c r="L12">
        <f t="shared" si="0"/>
        <v>91.25</v>
      </c>
      <c r="N12">
        <v>-0.05</v>
      </c>
      <c r="P12">
        <v>0.1</v>
      </c>
      <c r="R12">
        <v>0.61</v>
      </c>
      <c r="T12">
        <v>49</v>
      </c>
      <c r="U12">
        <f t="shared" ref="U12:U34" si="17">1-V12</f>
        <v>0</v>
      </c>
      <c r="V12">
        <f>$V$11</f>
        <v>1</v>
      </c>
      <c r="W12">
        <f t="shared" si="1"/>
        <v>0.72</v>
      </c>
      <c r="X12">
        <f t="shared" si="2"/>
        <v>4.7000000000000002E-3</v>
      </c>
      <c r="Y12">
        <f t="shared" si="3"/>
        <v>0</v>
      </c>
      <c r="Z12">
        <v>0</v>
      </c>
      <c r="AA12">
        <f t="shared" ref="AA12:AA34" si="18">1.6 * Z12</f>
        <v>0</v>
      </c>
      <c r="AB12">
        <f>$AB$11</f>
        <v>1.3</v>
      </c>
      <c r="AC12">
        <f t="shared" si="4"/>
        <v>1</v>
      </c>
      <c r="AD12">
        <f t="shared" si="5"/>
        <v>0.48354999999999998</v>
      </c>
      <c r="AF12">
        <v>2.5</v>
      </c>
      <c r="AG12">
        <f t="shared" ref="AG12:AG34" si="19">1 - EXP(-2*(AF12^2))</f>
        <v>0.99999627334682795</v>
      </c>
      <c r="AH12">
        <f t="shared" si="6"/>
        <v>0.93843421889903578</v>
      </c>
      <c r="AI12">
        <f t="shared" ref="AI12:AI34" si="20">AH12*AG12*AC12</f>
        <v>0.93843072168017716</v>
      </c>
      <c r="AJ12">
        <f t="shared" si="7"/>
        <v>9.3843072168017724E-2</v>
      </c>
      <c r="AK12">
        <f t="shared" si="8"/>
        <v>0.08</v>
      </c>
      <c r="AL12">
        <f t="shared" si="9"/>
        <v>0.3691169446125166</v>
      </c>
      <c r="AM12">
        <f t="shared" si="10"/>
        <v>0.19</v>
      </c>
      <c r="AN12">
        <f t="shared" si="11"/>
        <v>0.6784</v>
      </c>
      <c r="AO12">
        <f t="shared" si="12"/>
        <v>0</v>
      </c>
      <c r="AP12">
        <f t="shared" si="13"/>
        <v>2.2361517915604222E-4</v>
      </c>
      <c r="AQ12">
        <f t="shared" ref="AQ12:AQ34" si="21">AO12+AP12</f>
        <v>2.2361517915604222E-4</v>
      </c>
      <c r="AR12">
        <f t="shared" si="14"/>
        <v>1.4283419568592195</v>
      </c>
      <c r="BA12">
        <f>BA11</f>
        <v>20</v>
      </c>
      <c r="BC12">
        <f t="shared" ref="BC12:BC34" si="22">Y12 * 1.6</f>
        <v>0</v>
      </c>
      <c r="BD12">
        <f>BD11</f>
        <v>4.3835616438356165E-2</v>
      </c>
      <c r="BE12">
        <f t="shared" si="15"/>
        <v>-4.6000000000000006E-2</v>
      </c>
      <c r="BF12">
        <v>57</v>
      </c>
      <c r="BG12">
        <f t="shared" ref="BG12:BG34" si="23">T12 / BF12</f>
        <v>0.85964912280701755</v>
      </c>
      <c r="BH12">
        <f>((0.045 * BC12) + (BD$11 * 0.84)  + (BE12 * ((212 - 4 * ((BE12 * 1000)/(4* (BF12^0.75)) - 1)) - ((140 - 4 * (((BE12 * 1000)/(4 * BF12 ^0.75)) - 1))/(1 + EXP(-6 * (BG12 - 0.4)))))) * 10^-3) / 6.25</f>
        <v>5.297402137952799E-3</v>
      </c>
      <c r="BI12">
        <f t="shared" ref="BI12:BI34" si="24">MAX((AJ12  / 6.25 ) - BH12, 0)</f>
        <v>9.7174894089300384E-3</v>
      </c>
      <c r="BJ12">
        <f t="shared" si="16"/>
        <v>62.070463599540624</v>
      </c>
      <c r="BL12" s="28"/>
      <c r="CA12" s="13" t="s">
        <v>271</v>
      </c>
      <c r="CB12" s="13">
        <v>0.78</v>
      </c>
    </row>
    <row r="13" spans="1:81" x14ac:dyDescent="0.2">
      <c r="E13" s="11"/>
      <c r="F13" t="s">
        <v>165</v>
      </c>
      <c r="H13">
        <v>65</v>
      </c>
      <c r="I13">
        <v>0</v>
      </c>
      <c r="J13">
        <v>0</v>
      </c>
      <c r="L13">
        <f t="shared" si="0"/>
        <v>91.25</v>
      </c>
      <c r="N13">
        <v>0.01</v>
      </c>
      <c r="P13">
        <v>0.12</v>
      </c>
      <c r="R13">
        <v>0.64</v>
      </c>
      <c r="T13">
        <v>50</v>
      </c>
      <c r="U13">
        <f t="shared" si="17"/>
        <v>0</v>
      </c>
      <c r="V13">
        <f t="shared" ref="V13:V34" si="25">$V$11</f>
        <v>1</v>
      </c>
      <c r="W13">
        <f t="shared" si="1"/>
        <v>0.72</v>
      </c>
      <c r="X13">
        <f t="shared" si="2"/>
        <v>4.7000000000000002E-3</v>
      </c>
      <c r="Y13">
        <f t="shared" si="3"/>
        <v>0</v>
      </c>
      <c r="Z13">
        <v>0</v>
      </c>
      <c r="AA13">
        <f t="shared" si="18"/>
        <v>0</v>
      </c>
      <c r="AB13">
        <f t="shared" ref="AB13:AB34" si="26">$AB$11</f>
        <v>1.3</v>
      </c>
      <c r="AC13">
        <f t="shared" si="4"/>
        <v>1</v>
      </c>
      <c r="AD13">
        <f t="shared" si="5"/>
        <v>0.50740000000000007</v>
      </c>
      <c r="AF13">
        <v>1.6</v>
      </c>
      <c r="AG13">
        <f t="shared" si="19"/>
        <v>0.99402397710499402</v>
      </c>
      <c r="AH13">
        <f t="shared" si="6"/>
        <v>1.0054871153505722</v>
      </c>
      <c r="AI13">
        <f t="shared" si="20"/>
        <v>0.99947830132860371</v>
      </c>
      <c r="AJ13">
        <f t="shared" si="7"/>
        <v>0.11993739615943244</v>
      </c>
      <c r="AK13">
        <f t="shared" si="8"/>
        <v>0.08</v>
      </c>
      <c r="AL13">
        <f t="shared" si="9"/>
        <v>0.36778882639365651</v>
      </c>
      <c r="AM13">
        <f t="shared" si="10"/>
        <v>0.19</v>
      </c>
      <c r="AN13">
        <f t="shared" si="11"/>
        <v>0.6784</v>
      </c>
      <c r="AO13">
        <f t="shared" si="12"/>
        <v>0</v>
      </c>
      <c r="AP13">
        <f t="shared" si="13"/>
        <v>2.2281059026413275E-4</v>
      </c>
      <c r="AQ13">
        <f t="shared" si="21"/>
        <v>2.2281059026413275E-4</v>
      </c>
      <c r="AR13">
        <f t="shared" si="14"/>
        <v>1.3215453135041375</v>
      </c>
      <c r="BA13">
        <f>BA11</f>
        <v>20</v>
      </c>
      <c r="BC13">
        <f t="shared" si="22"/>
        <v>0</v>
      </c>
      <c r="BD13">
        <f>BD11</f>
        <v>4.3835616438356165E-2</v>
      </c>
      <c r="BE13">
        <f t="shared" si="15"/>
        <v>9.1999999999999998E-3</v>
      </c>
      <c r="BF13">
        <v>57</v>
      </c>
      <c r="BG13">
        <f t="shared" si="23"/>
        <v>0.8771929824561403</v>
      </c>
      <c r="BH13">
        <f t="shared" ref="BH13:BH14" si="27">((0.045 * BC13) + (BD$11 * 0.84)  + (BE13 * ((212 - 4 * ((BE13 * 1000)/(4* (BF13^0.75)) - 1)) - ((140 - 4 * (((BE13 * 1000)/(4 * BF13 ^0.75)) - 1))/(1 + EXP(-6 * (BG13 - 0.4)))))) * 10^-3) / 6.25</f>
        <v>6.008902955663851E-3</v>
      </c>
      <c r="BI13">
        <f t="shared" si="24"/>
        <v>1.3181080429845341E-2</v>
      </c>
      <c r="BJ13">
        <f t="shared" si="16"/>
        <v>78.180283299520184</v>
      </c>
      <c r="BL13" s="28"/>
      <c r="CA13" s="13" t="s">
        <v>272</v>
      </c>
      <c r="CB13" s="13">
        <v>0.74</v>
      </c>
    </row>
    <row r="14" spans="1:81" x14ac:dyDescent="0.2">
      <c r="E14" s="12"/>
      <c r="F14" t="s">
        <v>166</v>
      </c>
      <c r="H14">
        <v>80</v>
      </c>
      <c r="I14">
        <v>0</v>
      </c>
      <c r="J14">
        <v>0</v>
      </c>
      <c r="L14">
        <f t="shared" si="0"/>
        <v>91.25</v>
      </c>
      <c r="N14">
        <v>0</v>
      </c>
      <c r="P14">
        <v>0.18</v>
      </c>
      <c r="R14">
        <v>0.72</v>
      </c>
      <c r="T14">
        <v>50</v>
      </c>
      <c r="U14">
        <f t="shared" si="17"/>
        <v>0</v>
      </c>
      <c r="V14">
        <f t="shared" si="25"/>
        <v>1</v>
      </c>
      <c r="W14">
        <f t="shared" si="1"/>
        <v>0.72</v>
      </c>
      <c r="X14">
        <f t="shared" si="2"/>
        <v>4.7000000000000002E-3</v>
      </c>
      <c r="Y14">
        <f t="shared" si="3"/>
        <v>0</v>
      </c>
      <c r="Z14">
        <v>0</v>
      </c>
      <c r="AA14">
        <f t="shared" si="18"/>
        <v>0</v>
      </c>
      <c r="AB14">
        <f t="shared" si="26"/>
        <v>1.3</v>
      </c>
      <c r="AC14">
        <f t="shared" si="4"/>
        <v>1</v>
      </c>
      <c r="AD14">
        <f t="shared" si="5"/>
        <v>0.57100000000000006</v>
      </c>
      <c r="AF14">
        <v>1.7</v>
      </c>
      <c r="AG14">
        <f t="shared" si="19"/>
        <v>0.99691128459176326</v>
      </c>
      <c r="AH14">
        <f t="shared" si="6"/>
        <v>1.1306948910936463</v>
      </c>
      <c r="AI14">
        <f t="shared" si="20"/>
        <v>1.1272024963615108</v>
      </c>
      <c r="AJ14">
        <f t="shared" si="7"/>
        <v>0.20289644934507195</v>
      </c>
      <c r="AK14">
        <f t="shared" si="8"/>
        <v>0.08</v>
      </c>
      <c r="AL14">
        <f t="shared" si="9"/>
        <v>0.33712490827789848</v>
      </c>
      <c r="AM14">
        <f t="shared" si="10"/>
        <v>0.19</v>
      </c>
      <c r="AN14">
        <f t="shared" si="11"/>
        <v>0.6784</v>
      </c>
      <c r="AO14">
        <f t="shared" si="12"/>
        <v>0</v>
      </c>
      <c r="AP14">
        <f t="shared" si="13"/>
        <v>2.0423404523372364E-4</v>
      </c>
      <c r="AQ14">
        <f t="shared" si="21"/>
        <v>2.0423404523372364E-4</v>
      </c>
      <c r="AR14">
        <f t="shared" si="14"/>
        <v>1.4909085302061826</v>
      </c>
      <c r="BA14">
        <f>BA11</f>
        <v>20</v>
      </c>
      <c r="BC14">
        <f t="shared" si="22"/>
        <v>0</v>
      </c>
      <c r="BD14">
        <f>BD11</f>
        <v>4.3835616438356165E-2</v>
      </c>
      <c r="BE14">
        <f t="shared" si="15"/>
        <v>0</v>
      </c>
      <c r="BF14">
        <v>57</v>
      </c>
      <c r="BG14">
        <f t="shared" si="23"/>
        <v>0.8771929824561403</v>
      </c>
      <c r="BH14">
        <f t="shared" si="27"/>
        <v>5.8915068493150683E-3</v>
      </c>
      <c r="BI14">
        <f t="shared" si="24"/>
        <v>2.6571925045896443E-2</v>
      </c>
      <c r="BJ14">
        <f t="shared" si="16"/>
        <v>193.97505283504404</v>
      </c>
      <c r="BL14" s="28"/>
      <c r="CA14" s="13" t="s">
        <v>273</v>
      </c>
      <c r="CB14" s="13">
        <v>0.69</v>
      </c>
    </row>
    <row r="15" spans="1:81" x14ac:dyDescent="0.2">
      <c r="E15" s="11" t="s">
        <v>171</v>
      </c>
      <c r="F15" t="s">
        <v>163</v>
      </c>
      <c r="H15">
        <v>200</v>
      </c>
      <c r="I15">
        <v>0</v>
      </c>
      <c r="J15">
        <v>0</v>
      </c>
      <c r="L15">
        <f t="shared" si="0"/>
        <v>91.25</v>
      </c>
      <c r="N15">
        <v>0.16</v>
      </c>
      <c r="P15">
        <v>0.2</v>
      </c>
      <c r="R15">
        <v>0.75</v>
      </c>
      <c r="T15">
        <v>20</v>
      </c>
      <c r="U15">
        <f t="shared" si="17"/>
        <v>0</v>
      </c>
      <c r="V15">
        <f t="shared" si="25"/>
        <v>1</v>
      </c>
      <c r="W15">
        <f t="shared" si="1"/>
        <v>0.72</v>
      </c>
      <c r="X15">
        <f t="shared" si="2"/>
        <v>4.7000000000000002E-3</v>
      </c>
      <c r="Y15">
        <f t="shared" si="3"/>
        <v>0</v>
      </c>
      <c r="Z15">
        <v>1</v>
      </c>
      <c r="AA15">
        <f t="shared" si="18"/>
        <v>1.6</v>
      </c>
      <c r="AB15">
        <f t="shared" si="26"/>
        <v>1.3</v>
      </c>
      <c r="AC15">
        <f t="shared" si="4"/>
        <v>1</v>
      </c>
      <c r="AD15">
        <f t="shared" si="5"/>
        <v>0.5948500000000001</v>
      </c>
      <c r="AF15">
        <v>2.9</v>
      </c>
      <c r="AG15">
        <f t="shared" si="19"/>
        <v>0.9999999504359468</v>
      </c>
      <c r="AH15">
        <f t="shared" si="6"/>
        <v>0.5052226861752882</v>
      </c>
      <c r="AI15">
        <f t="shared" si="20"/>
        <v>0.50522266113440406</v>
      </c>
      <c r="AJ15">
        <f t="shared" si="7"/>
        <v>0.17304453222688082</v>
      </c>
      <c r="AK15">
        <f t="shared" si="8"/>
        <v>0.08</v>
      </c>
      <c r="AL15">
        <f t="shared" si="9"/>
        <v>0.12559440975442615</v>
      </c>
      <c r="AM15">
        <f t="shared" si="10"/>
        <v>0.19</v>
      </c>
      <c r="AN15">
        <f t="shared" si="11"/>
        <v>0.6784</v>
      </c>
      <c r="AO15">
        <f t="shared" si="12"/>
        <v>0</v>
      </c>
      <c r="AP15">
        <f t="shared" si="13"/>
        <v>7.6086500086620609E-5</v>
      </c>
      <c r="AQ15">
        <f t="shared" si="21"/>
        <v>7.6086500086620609E-5</v>
      </c>
      <c r="AR15">
        <f t="shared" si="14"/>
        <v>1.388578626580826</v>
      </c>
      <c r="BA15">
        <v>15</v>
      </c>
      <c r="BB15">
        <v>0.85</v>
      </c>
      <c r="BC15">
        <f t="shared" si="22"/>
        <v>0</v>
      </c>
      <c r="BD15">
        <f t="shared" ref="BD15:BD31" si="28">(BA15 * BB15) / 365</f>
        <v>3.4931506849315071E-2</v>
      </c>
      <c r="BE15">
        <f t="shared" si="15"/>
        <v>0.1472</v>
      </c>
      <c r="BF15">
        <v>60</v>
      </c>
      <c r="BG15">
        <f t="shared" si="23"/>
        <v>0.33333333333333331</v>
      </c>
      <c r="BH15">
        <f>((0.045 * BC15) + (BD$15 * 0.84)  + (BE15 * ((212 - 4 * ((BE15 * 1000)/(4* (BF15^0.75)) - 1)) - ((140 - 4 * (((BE15 * 1000)/(4 * BF15 ^0.75)) - 1))/(1 + EXP(-6 * (BG15 - 0.4)))))) * 10^-3) / 6.25</f>
        <v>8.3247035527562636E-3</v>
      </c>
      <c r="BI15">
        <f t="shared" si="24"/>
        <v>1.9362421603544667E-2</v>
      </c>
      <c r="BJ15">
        <f t="shared" si="16"/>
        <v>353.36419426469018</v>
      </c>
      <c r="BL15" s="28"/>
      <c r="CA15" s="13" t="s">
        <v>274</v>
      </c>
      <c r="CB15" s="13">
        <v>0.73</v>
      </c>
    </row>
    <row r="16" spans="1:81" x14ac:dyDescent="0.2">
      <c r="E16" s="12"/>
      <c r="F16" t="s">
        <v>164</v>
      </c>
      <c r="H16">
        <v>210</v>
      </c>
      <c r="I16">
        <v>0</v>
      </c>
      <c r="J16">
        <v>0</v>
      </c>
      <c r="L16">
        <f t="shared" si="0"/>
        <v>91.25</v>
      </c>
      <c r="N16">
        <v>0.08</v>
      </c>
      <c r="P16">
        <v>0.1</v>
      </c>
      <c r="R16">
        <v>0.61</v>
      </c>
      <c r="T16">
        <v>27</v>
      </c>
      <c r="U16">
        <f t="shared" si="17"/>
        <v>0</v>
      </c>
      <c r="V16">
        <f t="shared" si="25"/>
        <v>1</v>
      </c>
      <c r="W16">
        <f t="shared" si="1"/>
        <v>0.72</v>
      </c>
      <c r="X16">
        <f t="shared" si="2"/>
        <v>4.7000000000000002E-3</v>
      </c>
      <c r="Y16">
        <f t="shared" si="3"/>
        <v>0</v>
      </c>
      <c r="Z16">
        <v>0</v>
      </c>
      <c r="AA16">
        <f t="shared" si="18"/>
        <v>0</v>
      </c>
      <c r="AB16">
        <f t="shared" si="26"/>
        <v>1.3</v>
      </c>
      <c r="AC16">
        <f t="shared" si="4"/>
        <v>1</v>
      </c>
      <c r="AD16">
        <f t="shared" si="5"/>
        <v>0.48354999999999998</v>
      </c>
      <c r="AF16">
        <v>2.5</v>
      </c>
      <c r="AG16">
        <f t="shared" si="19"/>
        <v>0.99999627334682795</v>
      </c>
      <c r="AH16">
        <f t="shared" si="6"/>
        <v>0.52017847077168489</v>
      </c>
      <c r="AI16">
        <f t="shared" si="20"/>
        <v>0.52017653224693672</v>
      </c>
      <c r="AJ16">
        <f t="shared" si="7"/>
        <v>5.2017653224693677E-2</v>
      </c>
      <c r="AK16">
        <f t="shared" si="8"/>
        <v>0.08</v>
      </c>
      <c r="AL16">
        <f t="shared" si="9"/>
        <v>0.1965968171591774</v>
      </c>
      <c r="AM16">
        <f t="shared" si="10"/>
        <v>0.19</v>
      </c>
      <c r="AN16">
        <f t="shared" si="11"/>
        <v>0.6784</v>
      </c>
      <c r="AO16">
        <f t="shared" si="12"/>
        <v>0</v>
      </c>
      <c r="AP16">
        <f t="shared" si="13"/>
        <v>1.1910055371938185E-4</v>
      </c>
      <c r="AQ16">
        <f t="shared" si="21"/>
        <v>1.1910055371938185E-4</v>
      </c>
      <c r="AR16">
        <f t="shared" si="14"/>
        <v>2.2822643606476545</v>
      </c>
      <c r="BA16">
        <f>BA15</f>
        <v>15</v>
      </c>
      <c r="BC16">
        <f t="shared" si="22"/>
        <v>0</v>
      </c>
      <c r="BD16">
        <f>BD15</f>
        <v>3.4931506849315071E-2</v>
      </c>
      <c r="BE16">
        <f t="shared" si="15"/>
        <v>7.3599999999999999E-2</v>
      </c>
      <c r="BF16">
        <v>60</v>
      </c>
      <c r="BG16">
        <f t="shared" si="23"/>
        <v>0.45</v>
      </c>
      <c r="BH16">
        <f t="shared" ref="BH16:BH34" si="29">((0.045 * BC16) + (BD16 * 0.84)  + (BE16 * ((212 - 4 * ((BE16 * 1000)/(4* (BF16^0.75)) - 1)) - ((140 - 4 * (((BE16 * 1000)/(4 * BF16 ^0.75)) - 1))/(1 + EXP(-6 * (BG16 - 0.4)))))) * 10^-3) / 6.25</f>
        <v>6.247194235605622E-3</v>
      </c>
      <c r="BI16">
        <f t="shared" si="24"/>
        <v>2.075630280345366E-3</v>
      </c>
      <c r="BJ16">
        <f t="shared" si="16"/>
        <v>39.774265247118073</v>
      </c>
      <c r="BL16" s="28"/>
      <c r="CA16" s="13" t="s">
        <v>275</v>
      </c>
      <c r="CB16" s="13">
        <v>0.76</v>
      </c>
    </row>
    <row r="17" spans="5:80" x14ac:dyDescent="0.2">
      <c r="E17" s="11"/>
      <c r="F17" t="s">
        <v>165</v>
      </c>
      <c r="H17">
        <v>170</v>
      </c>
      <c r="I17">
        <v>0</v>
      </c>
      <c r="J17">
        <v>0</v>
      </c>
      <c r="L17">
        <f t="shared" si="0"/>
        <v>91.25</v>
      </c>
      <c r="N17">
        <v>0.05</v>
      </c>
      <c r="P17">
        <v>0.12</v>
      </c>
      <c r="R17">
        <v>0.64</v>
      </c>
      <c r="T17">
        <v>32</v>
      </c>
      <c r="U17">
        <f t="shared" si="17"/>
        <v>0</v>
      </c>
      <c r="V17">
        <f t="shared" si="25"/>
        <v>1</v>
      </c>
      <c r="W17">
        <f t="shared" si="1"/>
        <v>0.72</v>
      </c>
      <c r="X17">
        <f t="shared" si="2"/>
        <v>4.7000000000000002E-3</v>
      </c>
      <c r="Y17">
        <f t="shared" si="3"/>
        <v>0</v>
      </c>
      <c r="Z17">
        <v>0</v>
      </c>
      <c r="AA17">
        <f t="shared" si="18"/>
        <v>0</v>
      </c>
      <c r="AB17">
        <f t="shared" si="26"/>
        <v>1.3</v>
      </c>
      <c r="AC17">
        <f t="shared" si="4"/>
        <v>1</v>
      </c>
      <c r="AD17">
        <f t="shared" si="5"/>
        <v>0.50740000000000007</v>
      </c>
      <c r="AF17">
        <v>1.6</v>
      </c>
      <c r="AG17">
        <f t="shared" si="19"/>
        <v>0.99402397710499402</v>
      </c>
      <c r="AH17">
        <f t="shared" si="6"/>
        <v>0.64511931548462409</v>
      </c>
      <c r="AI17">
        <f t="shared" si="20"/>
        <v>0.64126406768527744</v>
      </c>
      <c r="AJ17">
        <f t="shared" si="7"/>
        <v>7.6951688122233283E-2</v>
      </c>
      <c r="AK17">
        <f t="shared" si="8"/>
        <v>0.08</v>
      </c>
      <c r="AL17">
        <f t="shared" si="9"/>
        <v>0.22751954066312097</v>
      </c>
      <c r="AM17">
        <f t="shared" si="10"/>
        <v>0.19</v>
      </c>
      <c r="AN17">
        <f t="shared" si="11"/>
        <v>0.6784</v>
      </c>
      <c r="AO17">
        <f t="shared" si="12"/>
        <v>0</v>
      </c>
      <c r="AP17">
        <f t="shared" si="13"/>
        <v>1.378338859525741E-4</v>
      </c>
      <c r="AQ17">
        <f t="shared" si="21"/>
        <v>1.378338859525741E-4</v>
      </c>
      <c r="AR17">
        <f t="shared" si="14"/>
        <v>2.1381481558393056</v>
      </c>
      <c r="BA17">
        <f>BA15</f>
        <v>15</v>
      </c>
      <c r="BC17">
        <f t="shared" si="22"/>
        <v>0</v>
      </c>
      <c r="BD17">
        <f>BD15</f>
        <v>3.4931506849315071E-2</v>
      </c>
      <c r="BE17">
        <f t="shared" si="15"/>
        <v>4.6000000000000006E-2</v>
      </c>
      <c r="BF17">
        <v>60</v>
      </c>
      <c r="BG17">
        <f t="shared" si="23"/>
        <v>0.53333333333333333</v>
      </c>
      <c r="BH17">
        <f t="shared" si="29"/>
        <v>5.5484231920723938E-3</v>
      </c>
      <c r="BI17">
        <f t="shared" si="24"/>
        <v>6.7638469074849323E-3</v>
      </c>
      <c r="BJ17">
        <f t="shared" si="16"/>
        <v>104.92417515236002</v>
      </c>
      <c r="BL17" s="28"/>
    </row>
    <row r="18" spans="5:80" x14ac:dyDescent="0.2">
      <c r="E18" s="12"/>
      <c r="F18" t="s">
        <v>166</v>
      </c>
      <c r="H18">
        <v>200</v>
      </c>
      <c r="I18">
        <v>0</v>
      </c>
      <c r="J18">
        <v>0</v>
      </c>
      <c r="L18">
        <f t="shared" si="0"/>
        <v>91.25</v>
      </c>
      <c r="N18">
        <v>0.04</v>
      </c>
      <c r="P18">
        <v>0.18</v>
      </c>
      <c r="R18">
        <v>0.72</v>
      </c>
      <c r="T18">
        <v>34</v>
      </c>
      <c r="U18">
        <f t="shared" si="17"/>
        <v>0</v>
      </c>
      <c r="V18">
        <f t="shared" si="25"/>
        <v>1</v>
      </c>
      <c r="W18">
        <f t="shared" si="1"/>
        <v>0.72</v>
      </c>
      <c r="X18">
        <f t="shared" si="2"/>
        <v>4.7000000000000002E-3</v>
      </c>
      <c r="Y18">
        <f t="shared" si="3"/>
        <v>0</v>
      </c>
      <c r="Z18">
        <v>0</v>
      </c>
      <c r="AA18">
        <f t="shared" si="18"/>
        <v>0</v>
      </c>
      <c r="AB18">
        <f t="shared" si="26"/>
        <v>1.3</v>
      </c>
      <c r="AC18">
        <f t="shared" si="4"/>
        <v>1</v>
      </c>
      <c r="AD18">
        <f t="shared" si="5"/>
        <v>0.57100000000000006</v>
      </c>
      <c r="AF18">
        <v>1.7</v>
      </c>
      <c r="AG18">
        <f t="shared" si="19"/>
        <v>0.99691128459176326</v>
      </c>
      <c r="AH18">
        <f t="shared" si="6"/>
        <v>0.77753323213623582</v>
      </c>
      <c r="AI18">
        <f t="shared" si="20"/>
        <v>0.77513165326172051</v>
      </c>
      <c r="AJ18">
        <f t="shared" si="7"/>
        <v>0.1395236975871097</v>
      </c>
      <c r="AK18">
        <f t="shared" si="8"/>
        <v>0.08</v>
      </c>
      <c r="AL18">
        <f t="shared" si="9"/>
        <v>0.22178442402010679</v>
      </c>
      <c r="AM18">
        <f t="shared" si="10"/>
        <v>0.19</v>
      </c>
      <c r="AN18">
        <f t="shared" si="11"/>
        <v>0.6784</v>
      </c>
      <c r="AO18">
        <f t="shared" si="12"/>
        <v>0</v>
      </c>
      <c r="AP18">
        <f t="shared" si="13"/>
        <v>1.3435948805692974E-4</v>
      </c>
      <c r="AQ18">
        <f t="shared" si="21"/>
        <v>1.3435948805692974E-4</v>
      </c>
      <c r="AR18">
        <f t="shared" si="14"/>
        <v>2.4520606570389676</v>
      </c>
      <c r="BA18">
        <f>BA15</f>
        <v>15</v>
      </c>
      <c r="BC18">
        <f t="shared" si="22"/>
        <v>0</v>
      </c>
      <c r="BD18">
        <f>BD15</f>
        <v>3.4931506849315071E-2</v>
      </c>
      <c r="BE18">
        <f t="shared" si="15"/>
        <v>3.6799999999999999E-2</v>
      </c>
      <c r="BF18">
        <v>60</v>
      </c>
      <c r="BG18">
        <f t="shared" si="23"/>
        <v>0.56666666666666665</v>
      </c>
      <c r="BH18">
        <f t="shared" si="29"/>
        <v>5.3440553352755134E-3</v>
      </c>
      <c r="BI18">
        <f t="shared" si="24"/>
        <v>1.697973627866204E-2</v>
      </c>
      <c r="BJ18">
        <f t="shared" si="16"/>
        <v>309.88018708558224</v>
      </c>
      <c r="BL18" s="28"/>
      <c r="BZ18" t="s">
        <v>149</v>
      </c>
      <c r="CA18" s="13" t="s">
        <v>254</v>
      </c>
      <c r="CB18" s="13">
        <v>6.0000000000000001E-3</v>
      </c>
    </row>
    <row r="19" spans="5:80" x14ac:dyDescent="0.2">
      <c r="E19" s="11" t="s">
        <v>168</v>
      </c>
      <c r="F19" t="s">
        <v>163</v>
      </c>
      <c r="H19">
        <v>100</v>
      </c>
      <c r="I19">
        <v>95</v>
      </c>
      <c r="J19">
        <v>92</v>
      </c>
      <c r="L19">
        <f t="shared" si="0"/>
        <v>91.25</v>
      </c>
      <c r="N19">
        <v>7.0000000000000007E-2</v>
      </c>
      <c r="P19">
        <v>0.2</v>
      </c>
      <c r="R19">
        <v>0.75</v>
      </c>
      <c r="T19">
        <v>44</v>
      </c>
      <c r="U19">
        <f t="shared" si="17"/>
        <v>0</v>
      </c>
      <c r="V19">
        <f t="shared" si="25"/>
        <v>1</v>
      </c>
      <c r="W19">
        <f t="shared" si="1"/>
        <v>0.72</v>
      </c>
      <c r="X19">
        <f t="shared" si="2"/>
        <v>4.7000000000000002E-3</v>
      </c>
      <c r="Y19">
        <f t="shared" si="3"/>
        <v>0.874</v>
      </c>
      <c r="Z19">
        <v>0</v>
      </c>
      <c r="AA19">
        <f t="shared" si="18"/>
        <v>0</v>
      </c>
      <c r="AB19">
        <f t="shared" si="26"/>
        <v>1.3</v>
      </c>
      <c r="AC19">
        <f t="shared" si="4"/>
        <v>1.2622</v>
      </c>
      <c r="AD19">
        <f t="shared" si="5"/>
        <v>0.5948500000000001</v>
      </c>
      <c r="AF19">
        <v>2.9</v>
      </c>
      <c r="AG19">
        <f t="shared" si="19"/>
        <v>0.9999999504359468</v>
      </c>
      <c r="AH19">
        <f t="shared" si="6"/>
        <v>1.0385156413271623</v>
      </c>
      <c r="AI19">
        <f t="shared" si="20"/>
        <v>1.3108143775138676</v>
      </c>
      <c r="AJ19">
        <f t="shared" si="7"/>
        <v>0.26216287550277356</v>
      </c>
      <c r="AK19">
        <f t="shared" si="8"/>
        <v>0.08</v>
      </c>
      <c r="AL19">
        <f t="shared" si="9"/>
        <v>0.36471833025672168</v>
      </c>
      <c r="AM19">
        <f t="shared" si="10"/>
        <v>0.19</v>
      </c>
      <c r="AN19">
        <f t="shared" si="11"/>
        <v>0.6784</v>
      </c>
      <c r="AO19">
        <f t="shared" si="12"/>
        <v>0</v>
      </c>
      <c r="AP19">
        <f t="shared" si="13"/>
        <v>2.2095044931482087E-4</v>
      </c>
      <c r="AQ19">
        <f t="shared" si="21"/>
        <v>2.2095044931482087E-4</v>
      </c>
      <c r="AR19">
        <f t="shared" si="14"/>
        <v>2.0161728499977403</v>
      </c>
      <c r="BA19">
        <v>18</v>
      </c>
      <c r="BB19">
        <v>0.8</v>
      </c>
      <c r="BC19">
        <f t="shared" si="22"/>
        <v>1.3984000000000001</v>
      </c>
      <c r="BD19">
        <f t="shared" si="28"/>
        <v>3.9452054794520547E-2</v>
      </c>
      <c r="BE19">
        <f t="shared" si="15"/>
        <v>6.4400000000000013E-2</v>
      </c>
      <c r="BF19">
        <v>57</v>
      </c>
      <c r="BG19">
        <f t="shared" si="23"/>
        <v>0.77192982456140347</v>
      </c>
      <c r="BH19">
        <f t="shared" si="29"/>
        <v>1.6253475478570988E-2</v>
      </c>
      <c r="BI19">
        <f t="shared" si="24"/>
        <v>2.5692584601872782E-2</v>
      </c>
      <c r="BJ19">
        <f t="shared" si="16"/>
        <v>234.44483449208911</v>
      </c>
      <c r="BL19" s="28"/>
      <c r="CA19" s="13" t="s">
        <v>255</v>
      </c>
      <c r="CB19" s="13">
        <v>2E-3</v>
      </c>
    </row>
    <row r="20" spans="5:80" x14ac:dyDescent="0.2">
      <c r="E20" s="12"/>
      <c r="F20" t="s">
        <v>164</v>
      </c>
      <c r="H20">
        <v>140</v>
      </c>
      <c r="I20">
        <v>0</v>
      </c>
      <c r="J20">
        <v>0</v>
      </c>
      <c r="L20">
        <f t="shared" si="0"/>
        <v>91.25</v>
      </c>
      <c r="N20">
        <v>0</v>
      </c>
      <c r="P20">
        <v>0.1</v>
      </c>
      <c r="R20">
        <v>0.61</v>
      </c>
      <c r="T20">
        <v>42</v>
      </c>
      <c r="U20">
        <f t="shared" si="17"/>
        <v>0</v>
      </c>
      <c r="V20">
        <f t="shared" si="25"/>
        <v>1</v>
      </c>
      <c r="W20">
        <f t="shared" si="1"/>
        <v>0.72</v>
      </c>
      <c r="X20">
        <f t="shared" si="2"/>
        <v>4.7000000000000002E-3</v>
      </c>
      <c r="Y20">
        <f t="shared" si="3"/>
        <v>0</v>
      </c>
      <c r="Z20">
        <v>0</v>
      </c>
      <c r="AA20">
        <f t="shared" si="18"/>
        <v>0</v>
      </c>
      <c r="AB20">
        <f t="shared" si="26"/>
        <v>1.3</v>
      </c>
      <c r="AC20">
        <f t="shared" si="4"/>
        <v>1</v>
      </c>
      <c r="AD20">
        <f t="shared" si="5"/>
        <v>0.48354999999999998</v>
      </c>
      <c r="AF20">
        <v>2.5</v>
      </c>
      <c r="AG20">
        <f t="shared" si="19"/>
        <v>0.99999627334682795</v>
      </c>
      <c r="AH20">
        <f t="shared" si="6"/>
        <v>0.80052120768394575</v>
      </c>
      <c r="AI20">
        <f t="shared" si="20"/>
        <v>0.80051822441904785</v>
      </c>
      <c r="AJ20">
        <f t="shared" si="7"/>
        <v>8.0051822441904785E-2</v>
      </c>
      <c r="AK20">
        <f t="shared" si="8"/>
        <v>0.08</v>
      </c>
      <c r="AL20">
        <f t="shared" si="9"/>
        <v>0.31080846185822891</v>
      </c>
      <c r="AM20">
        <f t="shared" si="10"/>
        <v>0.19</v>
      </c>
      <c r="AN20">
        <f t="shared" si="11"/>
        <v>0.6784</v>
      </c>
      <c r="AO20">
        <f t="shared" si="12"/>
        <v>0</v>
      </c>
      <c r="AP20">
        <f t="shared" si="13"/>
        <v>1.8829124724848792E-4</v>
      </c>
      <c r="AQ20">
        <f t="shared" si="21"/>
        <v>1.8829124724848792E-4</v>
      </c>
      <c r="AR20">
        <f t="shared" si="14"/>
        <v>2.4054206835994334</v>
      </c>
      <c r="BA20">
        <f>BA19</f>
        <v>18</v>
      </c>
      <c r="BC20">
        <f t="shared" si="22"/>
        <v>0</v>
      </c>
      <c r="BD20">
        <f>BD19</f>
        <v>3.9452054794520547E-2</v>
      </c>
      <c r="BE20">
        <f t="shared" si="15"/>
        <v>0</v>
      </c>
      <c r="BF20">
        <v>57</v>
      </c>
      <c r="BG20">
        <f t="shared" si="23"/>
        <v>0.73684210526315785</v>
      </c>
      <c r="BH20">
        <f t="shared" si="29"/>
        <v>5.3023561643835617E-3</v>
      </c>
      <c r="BI20">
        <f t="shared" si="24"/>
        <v>7.5059354263212041E-3</v>
      </c>
      <c r="BJ20">
        <f t="shared" si="16"/>
        <v>95.888325071253377</v>
      </c>
      <c r="BL20" s="28"/>
      <c r="BZ20" t="s">
        <v>258</v>
      </c>
      <c r="CA20">
        <v>0.6784</v>
      </c>
    </row>
    <row r="21" spans="5:80" x14ac:dyDescent="0.2">
      <c r="E21" s="11"/>
      <c r="F21" t="s">
        <v>165</v>
      </c>
      <c r="H21">
        <v>135</v>
      </c>
      <c r="I21">
        <v>0</v>
      </c>
      <c r="J21">
        <v>0</v>
      </c>
      <c r="L21">
        <f t="shared" si="0"/>
        <v>91.25</v>
      </c>
      <c r="N21">
        <v>0</v>
      </c>
      <c r="P21">
        <v>0.12</v>
      </c>
      <c r="R21">
        <v>0.64</v>
      </c>
      <c r="T21">
        <v>43</v>
      </c>
      <c r="U21">
        <f t="shared" si="17"/>
        <v>0</v>
      </c>
      <c r="V21">
        <f t="shared" si="25"/>
        <v>1</v>
      </c>
      <c r="W21">
        <f t="shared" si="1"/>
        <v>0.72</v>
      </c>
      <c r="X21">
        <f t="shared" si="2"/>
        <v>4.7000000000000002E-3</v>
      </c>
      <c r="Y21">
        <f t="shared" si="3"/>
        <v>0</v>
      </c>
      <c r="Z21">
        <v>0</v>
      </c>
      <c r="AA21">
        <f t="shared" si="18"/>
        <v>0</v>
      </c>
      <c r="AB21">
        <f t="shared" si="26"/>
        <v>1.3</v>
      </c>
      <c r="AC21">
        <f t="shared" si="4"/>
        <v>1</v>
      </c>
      <c r="AD21">
        <f t="shared" si="5"/>
        <v>0.50740000000000007</v>
      </c>
      <c r="AF21">
        <v>1.6</v>
      </c>
      <c r="AG21">
        <f t="shared" si="19"/>
        <v>0.99402397710499402</v>
      </c>
      <c r="AH21">
        <f t="shared" si="6"/>
        <v>0.86186034677094148</v>
      </c>
      <c r="AI21">
        <f t="shared" si="20"/>
        <v>0.85670984960634056</v>
      </c>
      <c r="AJ21">
        <f t="shared" si="7"/>
        <v>0.10280518195276087</v>
      </c>
      <c r="AK21">
        <f t="shared" si="8"/>
        <v>0.08</v>
      </c>
      <c r="AL21">
        <f t="shared" si="9"/>
        <v>0.31075172719360067</v>
      </c>
      <c r="AM21">
        <f t="shared" si="10"/>
        <v>0.19</v>
      </c>
      <c r="AN21">
        <f t="shared" si="11"/>
        <v>0.6784</v>
      </c>
      <c r="AO21">
        <f t="shared" si="12"/>
        <v>0</v>
      </c>
      <c r="AP21">
        <f t="shared" si="13"/>
        <v>1.8825687675322786E-4</v>
      </c>
      <c r="AQ21">
        <f t="shared" si="21"/>
        <v>1.8825687675322786E-4</v>
      </c>
      <c r="AR21">
        <f t="shared" si="14"/>
        <v>2.3190894005038256</v>
      </c>
      <c r="BA21">
        <f>BA19</f>
        <v>18</v>
      </c>
      <c r="BC21">
        <f t="shared" si="22"/>
        <v>0</v>
      </c>
      <c r="BD21">
        <f>BD19</f>
        <v>3.9452054794520547E-2</v>
      </c>
      <c r="BE21">
        <f t="shared" si="15"/>
        <v>0</v>
      </c>
      <c r="BF21">
        <v>57</v>
      </c>
      <c r="BG21">
        <f t="shared" si="23"/>
        <v>0.75438596491228072</v>
      </c>
      <c r="BH21">
        <f t="shared" si="29"/>
        <v>5.3023561643835617E-3</v>
      </c>
      <c r="BI21">
        <f t="shared" si="24"/>
        <v>1.1146472948058176E-2</v>
      </c>
      <c r="BJ21">
        <f t="shared" si="16"/>
        <v>137.31061362889167</v>
      </c>
      <c r="BL21" s="28"/>
    </row>
    <row r="22" spans="5:80" x14ac:dyDescent="0.2">
      <c r="E22" s="12"/>
      <c r="F22" t="s">
        <v>166</v>
      </c>
      <c r="H22">
        <v>130</v>
      </c>
      <c r="I22">
        <v>0</v>
      </c>
      <c r="J22">
        <v>0</v>
      </c>
      <c r="L22">
        <f t="shared" si="0"/>
        <v>91.25</v>
      </c>
      <c r="N22">
        <v>0.02</v>
      </c>
      <c r="P22">
        <v>0.18</v>
      </c>
      <c r="R22">
        <v>0.72</v>
      </c>
      <c r="T22">
        <v>45</v>
      </c>
      <c r="U22">
        <f t="shared" si="17"/>
        <v>0</v>
      </c>
      <c r="V22">
        <f t="shared" si="25"/>
        <v>1</v>
      </c>
      <c r="W22">
        <f t="shared" si="1"/>
        <v>0.72</v>
      </c>
      <c r="X22">
        <f t="shared" si="2"/>
        <v>4.7000000000000002E-3</v>
      </c>
      <c r="Y22">
        <f t="shared" si="3"/>
        <v>0</v>
      </c>
      <c r="Z22">
        <v>0</v>
      </c>
      <c r="AA22">
        <f t="shared" si="18"/>
        <v>0</v>
      </c>
      <c r="AB22">
        <f t="shared" si="26"/>
        <v>1.3</v>
      </c>
      <c r="AC22">
        <f t="shared" si="4"/>
        <v>1</v>
      </c>
      <c r="AD22">
        <f t="shared" si="5"/>
        <v>0.57100000000000006</v>
      </c>
      <c r="AF22">
        <v>1.7</v>
      </c>
      <c r="AG22">
        <f t="shared" si="19"/>
        <v>0.99691128459176326</v>
      </c>
      <c r="AH22">
        <f t="shared" si="6"/>
        <v>1.0181162441707754</v>
      </c>
      <c r="AI22">
        <f t="shared" si="20"/>
        <v>1.014971572840029</v>
      </c>
      <c r="AJ22">
        <f t="shared" si="7"/>
        <v>0.18269488311120521</v>
      </c>
      <c r="AK22">
        <f t="shared" si="8"/>
        <v>0.08</v>
      </c>
      <c r="AL22">
        <f t="shared" si="9"/>
        <v>0.29936683357077126</v>
      </c>
      <c r="AM22">
        <f t="shared" si="10"/>
        <v>0.19</v>
      </c>
      <c r="AN22">
        <f t="shared" si="11"/>
        <v>0.6784</v>
      </c>
      <c r="AO22">
        <f t="shared" si="12"/>
        <v>0</v>
      </c>
      <c r="AP22">
        <f t="shared" si="13"/>
        <v>1.8135978068570922E-4</v>
      </c>
      <c r="AQ22">
        <f t="shared" si="21"/>
        <v>1.8135978068570922E-4</v>
      </c>
      <c r="AR22">
        <f t="shared" si="14"/>
        <v>2.1513803983842257</v>
      </c>
      <c r="BA22">
        <f>BA19</f>
        <v>18</v>
      </c>
      <c r="BC22">
        <f t="shared" si="22"/>
        <v>0</v>
      </c>
      <c r="BD22">
        <f>BD19</f>
        <v>3.9452054794520547E-2</v>
      </c>
      <c r="BE22">
        <f t="shared" si="15"/>
        <v>1.84E-2</v>
      </c>
      <c r="BF22">
        <v>57</v>
      </c>
      <c r="BG22">
        <f t="shared" si="23"/>
        <v>0.78947368421052633</v>
      </c>
      <c r="BH22">
        <f t="shared" si="29"/>
        <v>5.5514501759816046E-3</v>
      </c>
      <c r="BI22">
        <f t="shared" si="24"/>
        <v>2.367973112181123E-2</v>
      </c>
      <c r="BJ22">
        <f t="shared" si="16"/>
        <v>280.90081043248574</v>
      </c>
      <c r="BL22" s="28"/>
    </row>
    <row r="23" spans="5:80" x14ac:dyDescent="0.2">
      <c r="E23" s="11" t="s">
        <v>170</v>
      </c>
      <c r="F23" t="s">
        <v>163</v>
      </c>
      <c r="H23">
        <v>200</v>
      </c>
      <c r="I23">
        <v>0</v>
      </c>
      <c r="J23">
        <v>0</v>
      </c>
      <c r="L23">
        <f t="shared" si="0"/>
        <v>91.25</v>
      </c>
      <c r="N23">
        <v>0.05</v>
      </c>
      <c r="P23">
        <v>0.2</v>
      </c>
      <c r="R23">
        <v>0.75</v>
      </c>
      <c r="T23">
        <v>56</v>
      </c>
      <c r="U23">
        <f t="shared" si="17"/>
        <v>0</v>
      </c>
      <c r="V23">
        <f t="shared" si="25"/>
        <v>1</v>
      </c>
      <c r="W23">
        <f t="shared" si="1"/>
        <v>0.72</v>
      </c>
      <c r="X23">
        <f t="shared" si="2"/>
        <v>4.7000000000000002E-3</v>
      </c>
      <c r="Y23">
        <f t="shared" si="3"/>
        <v>0</v>
      </c>
      <c r="Z23">
        <v>0</v>
      </c>
      <c r="AA23">
        <f t="shared" si="18"/>
        <v>0</v>
      </c>
      <c r="AB23">
        <f t="shared" si="26"/>
        <v>1.3</v>
      </c>
      <c r="AC23">
        <f t="shared" si="4"/>
        <v>1</v>
      </c>
      <c r="AD23">
        <f t="shared" si="5"/>
        <v>0.5948500000000001</v>
      </c>
      <c r="AF23">
        <v>2.9</v>
      </c>
      <c r="AG23">
        <f t="shared" si="19"/>
        <v>0.9999999504359468</v>
      </c>
      <c r="AH23">
        <f t="shared" si="6"/>
        <v>1.3198285488795851</v>
      </c>
      <c r="AI23">
        <f t="shared" si="20"/>
        <v>1.3198284834635328</v>
      </c>
      <c r="AJ23">
        <f t="shared" si="7"/>
        <v>0.26396569669270659</v>
      </c>
      <c r="AK23">
        <f t="shared" si="8"/>
        <v>0.08</v>
      </c>
      <c r="AL23">
        <f t="shared" si="9"/>
        <v>0.3676642091046412</v>
      </c>
      <c r="AM23">
        <f t="shared" si="10"/>
        <v>0.19</v>
      </c>
      <c r="AN23">
        <f t="shared" si="11"/>
        <v>0.6784</v>
      </c>
      <c r="AO23">
        <f t="shared" si="12"/>
        <v>0</v>
      </c>
      <c r="AP23">
        <f t="shared" si="13"/>
        <v>2.2273509571473364E-4</v>
      </c>
      <c r="AQ23">
        <f t="shared" si="21"/>
        <v>2.2273509571473364E-4</v>
      </c>
      <c r="AR23">
        <f t="shared" si="14"/>
        <v>4.0649154967938896</v>
      </c>
      <c r="BA23">
        <v>20</v>
      </c>
      <c r="BB23">
        <v>0.8</v>
      </c>
      <c r="BC23">
        <f t="shared" si="22"/>
        <v>0</v>
      </c>
      <c r="BD23">
        <f t="shared" si="28"/>
        <v>4.3835616438356165E-2</v>
      </c>
      <c r="BE23">
        <f t="shared" si="15"/>
        <v>4.6000000000000006E-2</v>
      </c>
      <c r="BF23">
        <v>57</v>
      </c>
      <c r="BG23">
        <f t="shared" si="23"/>
        <v>0.98245614035087714</v>
      </c>
      <c r="BH23">
        <f t="shared" si="29"/>
        <v>6.4521713957214491E-3</v>
      </c>
      <c r="BI23">
        <f t="shared" si="24"/>
        <v>3.5782340075111607E-2</v>
      </c>
      <c r="BJ23">
        <f t="shared" si="16"/>
        <v>653.02770637078686</v>
      </c>
      <c r="BL23" s="28"/>
    </row>
    <row r="24" spans="5:80" x14ac:dyDescent="0.2">
      <c r="E24" s="12"/>
      <c r="F24" t="s">
        <v>164</v>
      </c>
      <c r="H24">
        <v>210</v>
      </c>
      <c r="I24">
        <v>0</v>
      </c>
      <c r="J24">
        <v>0</v>
      </c>
      <c r="L24">
        <f t="shared" si="0"/>
        <v>91.25</v>
      </c>
      <c r="N24">
        <v>-0.05</v>
      </c>
      <c r="P24">
        <v>0.1</v>
      </c>
      <c r="R24">
        <v>0.61</v>
      </c>
      <c r="T24">
        <v>51</v>
      </c>
      <c r="U24">
        <f t="shared" si="17"/>
        <v>0</v>
      </c>
      <c r="V24">
        <f t="shared" si="25"/>
        <v>1</v>
      </c>
      <c r="W24">
        <f t="shared" si="1"/>
        <v>0.72</v>
      </c>
      <c r="X24">
        <f t="shared" si="2"/>
        <v>4.7000000000000002E-3</v>
      </c>
      <c r="Y24">
        <f t="shared" si="3"/>
        <v>0</v>
      </c>
      <c r="Z24">
        <v>0</v>
      </c>
      <c r="AA24">
        <f t="shared" si="18"/>
        <v>0</v>
      </c>
      <c r="AB24">
        <f t="shared" si="26"/>
        <v>1.3</v>
      </c>
      <c r="AC24">
        <f t="shared" si="4"/>
        <v>1</v>
      </c>
      <c r="AD24">
        <f t="shared" si="5"/>
        <v>0.48354999999999998</v>
      </c>
      <c r="AF24">
        <v>2.5</v>
      </c>
      <c r="AG24">
        <f t="shared" si="19"/>
        <v>0.99999627334682795</v>
      </c>
      <c r="AH24">
        <f t="shared" si="6"/>
        <v>0.97873546256970145</v>
      </c>
      <c r="AI24">
        <f t="shared" si="20"/>
        <v>0.97873181516208529</v>
      </c>
      <c r="AJ24">
        <f t="shared" si="7"/>
        <v>9.7873181516208538E-2</v>
      </c>
      <c r="AK24">
        <f t="shared" si="8"/>
        <v>0.08</v>
      </c>
      <c r="AL24">
        <f t="shared" si="9"/>
        <v>0.38642028282934154</v>
      </c>
      <c r="AM24">
        <f t="shared" si="10"/>
        <v>0.19</v>
      </c>
      <c r="AN24">
        <f t="shared" si="11"/>
        <v>0.6784</v>
      </c>
      <c r="AO24">
        <f t="shared" si="12"/>
        <v>0</v>
      </c>
      <c r="AP24">
        <f t="shared" si="13"/>
        <v>2.3409773524518283E-4</v>
      </c>
      <c r="AQ24">
        <f t="shared" si="21"/>
        <v>2.3409773524518283E-4</v>
      </c>
      <c r="AR24">
        <f t="shared" si="14"/>
        <v>4.4858978516358157</v>
      </c>
      <c r="BA24">
        <f>BA23</f>
        <v>20</v>
      </c>
      <c r="BC24">
        <f t="shared" si="22"/>
        <v>0</v>
      </c>
      <c r="BD24">
        <f>BD23</f>
        <v>4.3835616438356165E-2</v>
      </c>
      <c r="BE24">
        <f t="shared" si="15"/>
        <v>-4.6000000000000006E-2</v>
      </c>
      <c r="BF24">
        <v>57</v>
      </c>
      <c r="BG24">
        <f t="shared" si="23"/>
        <v>0.89473684210526316</v>
      </c>
      <c r="BH24">
        <f t="shared" si="29"/>
        <v>5.3089915920333389E-3</v>
      </c>
      <c r="BI24">
        <f t="shared" si="24"/>
        <v>1.0350717450560029E-2</v>
      </c>
      <c r="BJ24">
        <f t="shared" si="16"/>
        <v>198.34562314635656</v>
      </c>
      <c r="BL24" s="28"/>
    </row>
    <row r="25" spans="5:80" x14ac:dyDescent="0.2">
      <c r="E25" s="11"/>
      <c r="F25" t="s">
        <v>165</v>
      </c>
      <c r="H25">
        <v>190</v>
      </c>
      <c r="I25">
        <v>0</v>
      </c>
      <c r="J25">
        <v>0</v>
      </c>
      <c r="L25">
        <f t="shared" si="0"/>
        <v>91.25</v>
      </c>
      <c r="N25">
        <v>-0.01</v>
      </c>
      <c r="P25">
        <v>0.12</v>
      </c>
      <c r="R25">
        <v>0.64</v>
      </c>
      <c r="T25">
        <v>50</v>
      </c>
      <c r="U25">
        <f t="shared" si="17"/>
        <v>0</v>
      </c>
      <c r="V25">
        <f t="shared" si="25"/>
        <v>1</v>
      </c>
      <c r="W25">
        <f t="shared" si="1"/>
        <v>0.72</v>
      </c>
      <c r="X25">
        <f t="shared" si="2"/>
        <v>4.7000000000000002E-3</v>
      </c>
      <c r="Y25">
        <f t="shared" si="3"/>
        <v>0</v>
      </c>
      <c r="Z25">
        <v>0</v>
      </c>
      <c r="AA25">
        <f t="shared" si="18"/>
        <v>0</v>
      </c>
      <c r="AB25">
        <f t="shared" si="26"/>
        <v>1.3</v>
      </c>
      <c r="AC25">
        <f t="shared" si="4"/>
        <v>1</v>
      </c>
      <c r="AD25">
        <f t="shared" si="5"/>
        <v>0.50740000000000007</v>
      </c>
      <c r="AF25">
        <v>1.6</v>
      </c>
      <c r="AG25">
        <f t="shared" si="19"/>
        <v>0.99402397710499402</v>
      </c>
      <c r="AH25">
        <f t="shared" si="6"/>
        <v>1.0054871153505722</v>
      </c>
      <c r="AI25">
        <f t="shared" si="20"/>
        <v>0.99947830132860371</v>
      </c>
      <c r="AJ25">
        <f t="shared" si="7"/>
        <v>0.11993739615943244</v>
      </c>
      <c r="AK25">
        <f t="shared" si="8"/>
        <v>0.08</v>
      </c>
      <c r="AL25">
        <f t="shared" si="9"/>
        <v>0.36778882639365651</v>
      </c>
      <c r="AM25">
        <f t="shared" si="10"/>
        <v>0.19</v>
      </c>
      <c r="AN25">
        <f t="shared" si="11"/>
        <v>0.6784</v>
      </c>
      <c r="AO25">
        <f t="shared" si="12"/>
        <v>0</v>
      </c>
      <c r="AP25">
        <f t="shared" si="13"/>
        <v>2.2281059026413275E-4</v>
      </c>
      <c r="AQ25">
        <f t="shared" si="21"/>
        <v>2.2281059026413275E-4</v>
      </c>
      <c r="AR25">
        <f t="shared" si="14"/>
        <v>3.8629786087044016</v>
      </c>
      <c r="BA25">
        <f>BA23</f>
        <v>20</v>
      </c>
      <c r="BC25">
        <f t="shared" si="22"/>
        <v>0</v>
      </c>
      <c r="BD25">
        <f>BD23</f>
        <v>4.3835616438356165E-2</v>
      </c>
      <c r="BE25">
        <f t="shared" si="15"/>
        <v>-9.1999999999999998E-3</v>
      </c>
      <c r="BF25">
        <v>57</v>
      </c>
      <c r="BG25">
        <f t="shared" si="23"/>
        <v>0.8771929824561403</v>
      </c>
      <c r="BH25">
        <f t="shared" si="29"/>
        <v>5.7740402323365947E-3</v>
      </c>
      <c r="BI25">
        <f t="shared" si="24"/>
        <v>1.3415943153172596E-2</v>
      </c>
      <c r="BJ25">
        <f t="shared" si="16"/>
        <v>232.59891441812988</v>
      </c>
      <c r="BL25" s="28"/>
      <c r="BY25" t="s">
        <v>211</v>
      </c>
    </row>
    <row r="26" spans="5:80" x14ac:dyDescent="0.2">
      <c r="E26" s="12"/>
      <c r="F26" t="s">
        <v>166</v>
      </c>
      <c r="H26">
        <v>180</v>
      </c>
      <c r="I26">
        <v>0</v>
      </c>
      <c r="J26">
        <v>0</v>
      </c>
      <c r="L26">
        <f t="shared" si="0"/>
        <v>91.25</v>
      </c>
      <c r="N26">
        <v>0.01</v>
      </c>
      <c r="P26">
        <v>0.18</v>
      </c>
      <c r="R26">
        <v>0.72</v>
      </c>
      <c r="T26">
        <v>51</v>
      </c>
      <c r="U26">
        <f t="shared" si="17"/>
        <v>0</v>
      </c>
      <c r="V26">
        <f t="shared" si="25"/>
        <v>1</v>
      </c>
      <c r="W26">
        <f t="shared" si="1"/>
        <v>0.72</v>
      </c>
      <c r="X26">
        <f t="shared" si="2"/>
        <v>4.7000000000000002E-3</v>
      </c>
      <c r="Y26">
        <f t="shared" si="3"/>
        <v>0</v>
      </c>
      <c r="Z26">
        <v>0</v>
      </c>
      <c r="AA26">
        <f t="shared" si="18"/>
        <v>0</v>
      </c>
      <c r="AB26">
        <f t="shared" si="26"/>
        <v>1.3</v>
      </c>
      <c r="AC26">
        <f t="shared" si="4"/>
        <v>1</v>
      </c>
      <c r="AD26">
        <f t="shared" si="5"/>
        <v>0.57100000000000006</v>
      </c>
      <c r="AF26">
        <v>1.7</v>
      </c>
      <c r="AG26">
        <f t="shared" si="19"/>
        <v>0.99691128459176326</v>
      </c>
      <c r="AH26">
        <f t="shared" si="6"/>
        <v>1.1534721617679149</v>
      </c>
      <c r="AI26">
        <f t="shared" si="20"/>
        <v>1.1499094145288902</v>
      </c>
      <c r="AJ26">
        <f t="shared" si="7"/>
        <v>0.20698369461520022</v>
      </c>
      <c r="AK26">
        <f t="shared" si="8"/>
        <v>0.08</v>
      </c>
      <c r="AL26">
        <f t="shared" si="9"/>
        <v>0.34487699833033825</v>
      </c>
      <c r="AM26">
        <f t="shared" si="10"/>
        <v>0.19</v>
      </c>
      <c r="AN26">
        <f t="shared" si="11"/>
        <v>0.6784</v>
      </c>
      <c r="AO26">
        <f t="shared" si="12"/>
        <v>0</v>
      </c>
      <c r="AP26">
        <f t="shared" si="13"/>
        <v>2.0893034821090021E-4</v>
      </c>
      <c r="AQ26">
        <f t="shared" si="21"/>
        <v>2.0893034821090021E-4</v>
      </c>
      <c r="AR26">
        <f t="shared" si="14"/>
        <v>3.4316809693640358</v>
      </c>
      <c r="BA26">
        <f>BA23</f>
        <v>20</v>
      </c>
      <c r="BC26">
        <f t="shared" si="22"/>
        <v>0</v>
      </c>
      <c r="BD26">
        <f>BD23</f>
        <v>4.3835616438356165E-2</v>
      </c>
      <c r="BE26">
        <f t="shared" si="15"/>
        <v>9.1999999999999998E-3</v>
      </c>
      <c r="BF26">
        <v>57</v>
      </c>
      <c r="BG26">
        <f t="shared" si="23"/>
        <v>0.89473684210526316</v>
      </c>
      <c r="BH26">
        <f t="shared" si="29"/>
        <v>6.0078184706201763E-3</v>
      </c>
      <c r="BI26">
        <f t="shared" si="24"/>
        <v>2.7109572667811856E-2</v>
      </c>
      <c r="BJ26">
        <f t="shared" si="16"/>
        <v>445.27473106880979</v>
      </c>
      <c r="BL26" s="28"/>
      <c r="BY26" s="13" t="s">
        <v>193</v>
      </c>
      <c r="BZ26" s="13">
        <v>99.25</v>
      </c>
      <c r="CA26" s="13">
        <v>0.75</v>
      </c>
    </row>
    <row r="27" spans="5:80" x14ac:dyDescent="0.2">
      <c r="E27" s="11" t="s">
        <v>162</v>
      </c>
      <c r="F27" t="s">
        <v>163</v>
      </c>
      <c r="H27">
        <v>50</v>
      </c>
      <c r="I27">
        <v>0</v>
      </c>
      <c r="J27">
        <v>0</v>
      </c>
      <c r="L27">
        <f t="shared" si="0"/>
        <v>91.25</v>
      </c>
      <c r="N27">
        <v>7.0000000000000007E-2</v>
      </c>
      <c r="P27">
        <v>0.2</v>
      </c>
      <c r="R27">
        <v>0.75</v>
      </c>
      <c r="T27">
        <v>75</v>
      </c>
      <c r="U27">
        <f t="shared" si="17"/>
        <v>0</v>
      </c>
      <c r="V27">
        <f t="shared" si="25"/>
        <v>1</v>
      </c>
      <c r="W27">
        <f t="shared" si="1"/>
        <v>0.72</v>
      </c>
      <c r="X27">
        <f t="shared" si="2"/>
        <v>4.7000000000000002E-3</v>
      </c>
      <c r="Y27">
        <f t="shared" si="3"/>
        <v>0</v>
      </c>
      <c r="Z27">
        <v>0</v>
      </c>
      <c r="AA27">
        <f t="shared" si="18"/>
        <v>0</v>
      </c>
      <c r="AB27">
        <f t="shared" si="26"/>
        <v>1.3</v>
      </c>
      <c r="AC27">
        <f t="shared" si="4"/>
        <v>1</v>
      </c>
      <c r="AD27">
        <f t="shared" si="5"/>
        <v>0.5948500000000001</v>
      </c>
      <c r="AF27">
        <v>2.9</v>
      </c>
      <c r="AG27">
        <f t="shared" si="19"/>
        <v>0.9999999504359468</v>
      </c>
      <c r="AH27">
        <f t="shared" si="6"/>
        <v>1.7917898456122741</v>
      </c>
      <c r="AI27">
        <f t="shared" si="20"/>
        <v>1.7917897568039067</v>
      </c>
      <c r="AJ27">
        <f t="shared" si="7"/>
        <v>0.35835795136078136</v>
      </c>
      <c r="AK27">
        <f t="shared" si="8"/>
        <v>0.08</v>
      </c>
      <c r="AL27">
        <f t="shared" si="9"/>
        <v>0.53025843166411502</v>
      </c>
      <c r="AM27">
        <f t="shared" si="10"/>
        <v>0.19</v>
      </c>
      <c r="AN27">
        <f t="shared" si="11"/>
        <v>0.6784</v>
      </c>
      <c r="AO27">
        <f t="shared" si="12"/>
        <v>0</v>
      </c>
      <c r="AP27">
        <f t="shared" si="13"/>
        <v>3.2123649679655553E-4</v>
      </c>
      <c r="AQ27">
        <f t="shared" si="21"/>
        <v>3.2123649679655553E-4</v>
      </c>
      <c r="AR27">
        <f t="shared" si="14"/>
        <v>1.4656415166342844</v>
      </c>
      <c r="BA27">
        <v>15</v>
      </c>
      <c r="BB27">
        <v>0.85</v>
      </c>
      <c r="BC27">
        <f t="shared" si="22"/>
        <v>0</v>
      </c>
      <c r="BD27">
        <f t="shared" si="28"/>
        <v>3.4931506849315071E-2</v>
      </c>
      <c r="BE27">
        <f t="shared" si="15"/>
        <v>6.4400000000000013E-2</v>
      </c>
      <c r="BF27">
        <v>78</v>
      </c>
      <c r="BG27">
        <f t="shared" si="23"/>
        <v>0.96153846153846156</v>
      </c>
      <c r="BH27">
        <f t="shared" si="29"/>
        <v>5.4852081169471656E-3</v>
      </c>
      <c r="BI27">
        <f>MAX((AJ27  / 6.25 ) - BH27, 0)</f>
        <v>5.1852064100777855E-2</v>
      </c>
      <c r="BJ27">
        <f t="shared" si="16"/>
        <v>236.57504245979894</v>
      </c>
      <c r="BL27" s="28"/>
      <c r="BY27" s="13" t="s">
        <v>270</v>
      </c>
      <c r="BZ27" s="13">
        <v>99.55</v>
      </c>
      <c r="CA27" s="13">
        <v>0.45</v>
      </c>
    </row>
    <row r="28" spans="5:80" x14ac:dyDescent="0.2">
      <c r="E28" s="12"/>
      <c r="F28" t="s">
        <v>164</v>
      </c>
      <c r="H28">
        <v>55</v>
      </c>
      <c r="I28">
        <v>0</v>
      </c>
      <c r="J28">
        <v>0</v>
      </c>
      <c r="L28">
        <f t="shared" si="0"/>
        <v>91.25</v>
      </c>
      <c r="N28">
        <v>0</v>
      </c>
      <c r="P28">
        <v>0.1</v>
      </c>
      <c r="R28">
        <v>0.61</v>
      </c>
      <c r="T28">
        <v>75</v>
      </c>
      <c r="U28">
        <f t="shared" si="17"/>
        <v>0</v>
      </c>
      <c r="V28">
        <f t="shared" si="25"/>
        <v>1</v>
      </c>
      <c r="W28">
        <f t="shared" si="1"/>
        <v>0.72</v>
      </c>
      <c r="X28">
        <f t="shared" si="2"/>
        <v>4.7000000000000002E-3</v>
      </c>
      <c r="Y28">
        <f t="shared" si="3"/>
        <v>0</v>
      </c>
      <c r="Z28">
        <v>0</v>
      </c>
      <c r="AA28">
        <f t="shared" si="18"/>
        <v>0</v>
      </c>
      <c r="AB28">
        <f t="shared" si="26"/>
        <v>1.3</v>
      </c>
      <c r="AC28">
        <f t="shared" si="4"/>
        <v>1</v>
      </c>
      <c r="AD28">
        <f t="shared" si="5"/>
        <v>0.48354999999999998</v>
      </c>
      <c r="AF28">
        <v>2.5</v>
      </c>
      <c r="AG28">
        <f t="shared" si="19"/>
        <v>0.99999627334682795</v>
      </c>
      <c r="AH28">
        <f t="shared" si="6"/>
        <v>1.4948026034112167</v>
      </c>
      <c r="AI28">
        <f t="shared" si="20"/>
        <v>1.494797032800353</v>
      </c>
      <c r="AJ28">
        <f t="shared" si="7"/>
        <v>0.14947970328003532</v>
      </c>
      <c r="AK28">
        <f t="shared" si="8"/>
        <v>0.08</v>
      </c>
      <c r="AL28">
        <f t="shared" si="9"/>
        <v>0.61855976399785639</v>
      </c>
      <c r="AM28">
        <f t="shared" si="10"/>
        <v>0.19</v>
      </c>
      <c r="AN28">
        <f t="shared" si="11"/>
        <v>0.6784</v>
      </c>
      <c r="AO28">
        <f t="shared" si="12"/>
        <v>0</v>
      </c>
      <c r="AP28">
        <f t="shared" si="13"/>
        <v>3.7473043289925815E-4</v>
      </c>
      <c r="AQ28">
        <f t="shared" si="21"/>
        <v>3.7473043289925815E-4</v>
      </c>
      <c r="AR28">
        <f t="shared" si="14"/>
        <v>1.8806783601131516</v>
      </c>
      <c r="BA28">
        <f>BA27</f>
        <v>15</v>
      </c>
      <c r="BC28">
        <f t="shared" si="22"/>
        <v>0</v>
      </c>
      <c r="BD28">
        <f>BD27</f>
        <v>3.4931506849315071E-2</v>
      </c>
      <c r="BE28">
        <f t="shared" si="15"/>
        <v>0</v>
      </c>
      <c r="BF28">
        <v>78</v>
      </c>
      <c r="BG28">
        <f t="shared" si="23"/>
        <v>0.96153846153846156</v>
      </c>
      <c r="BH28">
        <f t="shared" si="29"/>
        <v>4.6947945205479454E-3</v>
      </c>
      <c r="BI28">
        <f t="shared" si="24"/>
        <v>1.9221958004257703E-2</v>
      </c>
      <c r="BJ28">
        <f t="shared" si="16"/>
        <v>96.470201733868336</v>
      </c>
      <c r="BL28" s="28"/>
      <c r="BY28" s="13" t="s">
        <v>271</v>
      </c>
      <c r="BZ28" s="13">
        <v>99.91</v>
      </c>
      <c r="CA28" s="13">
        <v>0.09</v>
      </c>
    </row>
    <row r="29" spans="5:80" x14ac:dyDescent="0.2">
      <c r="E29" s="11"/>
      <c r="F29" t="s">
        <v>165</v>
      </c>
      <c r="H29">
        <v>60</v>
      </c>
      <c r="I29">
        <v>0</v>
      </c>
      <c r="J29">
        <v>0</v>
      </c>
      <c r="L29">
        <f t="shared" si="0"/>
        <v>91.25</v>
      </c>
      <c r="N29">
        <v>-7.0000000000000007E-2</v>
      </c>
      <c r="P29">
        <v>0.12</v>
      </c>
      <c r="R29">
        <v>0.64</v>
      </c>
      <c r="T29">
        <v>69</v>
      </c>
      <c r="U29">
        <f t="shared" si="17"/>
        <v>0</v>
      </c>
      <c r="V29">
        <f t="shared" si="25"/>
        <v>1</v>
      </c>
      <c r="W29">
        <f t="shared" si="1"/>
        <v>0.72</v>
      </c>
      <c r="X29">
        <f t="shared" si="2"/>
        <v>4.7000000000000002E-3</v>
      </c>
      <c r="Y29">
        <f t="shared" si="3"/>
        <v>0</v>
      </c>
      <c r="Z29">
        <v>0</v>
      </c>
      <c r="AA29">
        <f t="shared" si="18"/>
        <v>0</v>
      </c>
      <c r="AB29">
        <f t="shared" si="26"/>
        <v>1.3</v>
      </c>
      <c r="AC29">
        <f t="shared" si="4"/>
        <v>1</v>
      </c>
      <c r="AD29">
        <f t="shared" si="5"/>
        <v>0.50740000000000007</v>
      </c>
      <c r="AF29">
        <v>1.6</v>
      </c>
      <c r="AG29">
        <f t="shared" si="19"/>
        <v>0.99402397710499402</v>
      </c>
      <c r="AH29">
        <f t="shared" si="6"/>
        <v>1.4198696820048529</v>
      </c>
      <c r="AI29">
        <f t="shared" si="20"/>
        <v>1.4113845082772669</v>
      </c>
      <c r="AJ29">
        <f t="shared" si="7"/>
        <v>0.16936614099327202</v>
      </c>
      <c r="AK29">
        <f t="shared" si="8"/>
        <v>0.08</v>
      </c>
      <c r="AL29">
        <f t="shared" si="9"/>
        <v>0.54075637841297708</v>
      </c>
      <c r="AM29">
        <f t="shared" si="10"/>
        <v>0.19</v>
      </c>
      <c r="AN29">
        <f t="shared" si="11"/>
        <v>0.6784</v>
      </c>
      <c r="AO29">
        <f t="shared" si="12"/>
        <v>0</v>
      </c>
      <c r="AP29">
        <f t="shared" si="13"/>
        <v>3.2759627051401975E-4</v>
      </c>
      <c r="AQ29">
        <f t="shared" si="21"/>
        <v>3.2759627051401975E-4</v>
      </c>
      <c r="AR29">
        <f t="shared" si="14"/>
        <v>1.7935895810642581</v>
      </c>
      <c r="BA29">
        <f>BA27</f>
        <v>15</v>
      </c>
      <c r="BC29">
        <f t="shared" si="22"/>
        <v>0</v>
      </c>
      <c r="BD29">
        <f>BD27</f>
        <v>3.4931506849315071E-2</v>
      </c>
      <c r="BE29">
        <f t="shared" si="15"/>
        <v>-6.4400000000000013E-2</v>
      </c>
      <c r="BF29">
        <v>78</v>
      </c>
      <c r="BG29">
        <f t="shared" si="23"/>
        <v>0.88461538461538458</v>
      </c>
      <c r="BH29">
        <f t="shared" si="29"/>
        <v>3.8747755996647393E-3</v>
      </c>
      <c r="BI29">
        <f t="shared" si="24"/>
        <v>2.3223806959258783E-2</v>
      </c>
      <c r="BJ29">
        <f t="shared" si="16"/>
        <v>127.15034310194183</v>
      </c>
      <c r="BL29" s="28"/>
      <c r="BY29" s="13" t="s">
        <v>272</v>
      </c>
      <c r="BZ29" s="13">
        <v>99.74</v>
      </c>
      <c r="CA29" s="13">
        <v>0.26</v>
      </c>
    </row>
    <row r="30" spans="5:80" x14ac:dyDescent="0.2">
      <c r="E30" s="12"/>
      <c r="F30" t="s">
        <v>166</v>
      </c>
      <c r="H30">
        <v>65</v>
      </c>
      <c r="I30">
        <v>0</v>
      </c>
      <c r="J30">
        <v>0</v>
      </c>
      <c r="L30">
        <f t="shared" si="0"/>
        <v>91.25</v>
      </c>
      <c r="N30">
        <v>0</v>
      </c>
      <c r="P30">
        <v>0.18</v>
      </c>
      <c r="R30">
        <v>0.72</v>
      </c>
      <c r="T30">
        <v>69</v>
      </c>
      <c r="U30">
        <f t="shared" si="17"/>
        <v>0</v>
      </c>
      <c r="V30">
        <f t="shared" si="25"/>
        <v>1</v>
      </c>
      <c r="W30">
        <f t="shared" si="1"/>
        <v>0.72</v>
      </c>
      <c r="X30">
        <f t="shared" si="2"/>
        <v>4.7000000000000002E-3</v>
      </c>
      <c r="Y30">
        <f t="shared" si="3"/>
        <v>0</v>
      </c>
      <c r="Z30">
        <v>0</v>
      </c>
      <c r="AA30">
        <f t="shared" si="18"/>
        <v>0</v>
      </c>
      <c r="AB30">
        <f t="shared" si="26"/>
        <v>1.3</v>
      </c>
      <c r="AC30">
        <f t="shared" si="4"/>
        <v>1</v>
      </c>
      <c r="AD30">
        <f t="shared" si="5"/>
        <v>0.57100000000000006</v>
      </c>
      <c r="AF30">
        <v>1.7</v>
      </c>
      <c r="AG30">
        <f t="shared" si="19"/>
        <v>0.99691128459176326</v>
      </c>
      <c r="AH30">
        <f t="shared" si="6"/>
        <v>1.5792888783210146</v>
      </c>
      <c r="AI30">
        <f t="shared" si="20"/>
        <v>1.5744109044284875</v>
      </c>
      <c r="AJ30">
        <f t="shared" si="7"/>
        <v>0.28339396279712775</v>
      </c>
      <c r="AK30">
        <f t="shared" si="8"/>
        <v>0.08</v>
      </c>
      <c r="AL30">
        <f t="shared" si="9"/>
        <v>0.49678697379296494</v>
      </c>
      <c r="AM30">
        <f t="shared" si="10"/>
        <v>0.19</v>
      </c>
      <c r="AN30">
        <f t="shared" si="11"/>
        <v>0.6784</v>
      </c>
      <c r="AO30">
        <f t="shared" si="12"/>
        <v>0</v>
      </c>
      <c r="AP30">
        <f t="shared" si="13"/>
        <v>3.0095911273788462E-4</v>
      </c>
      <c r="AQ30">
        <f t="shared" si="21"/>
        <v>3.0095911273788462E-4</v>
      </c>
      <c r="AR30">
        <f t="shared" si="14"/>
        <v>1.7850637374265781</v>
      </c>
      <c r="BA30">
        <f>BA27</f>
        <v>15</v>
      </c>
      <c r="BC30">
        <f t="shared" si="22"/>
        <v>0</v>
      </c>
      <c r="BD30">
        <f>BD27</f>
        <v>3.4931506849315071E-2</v>
      </c>
      <c r="BE30">
        <f t="shared" si="15"/>
        <v>0</v>
      </c>
      <c r="BF30">
        <v>78</v>
      </c>
      <c r="BG30">
        <f t="shared" si="23"/>
        <v>0.88461538461538458</v>
      </c>
      <c r="BH30">
        <f t="shared" si="29"/>
        <v>4.6947945205479454E-3</v>
      </c>
      <c r="BI30">
        <f t="shared" si="24"/>
        <v>4.0648239526992494E-2</v>
      </c>
      <c r="BJ30">
        <f t="shared" si="16"/>
        <v>241.09487069447422</v>
      </c>
      <c r="BL30" s="28"/>
      <c r="BY30" s="13" t="s">
        <v>273</v>
      </c>
      <c r="BZ30" s="13">
        <v>99.5</v>
      </c>
      <c r="CA30" s="13">
        <v>0.5</v>
      </c>
    </row>
    <row r="31" spans="5:80" x14ac:dyDescent="0.2">
      <c r="E31" s="11" t="s">
        <v>167</v>
      </c>
      <c r="F31" t="s">
        <v>163</v>
      </c>
      <c r="H31">
        <v>50</v>
      </c>
      <c r="I31">
        <v>0</v>
      </c>
      <c r="J31">
        <v>0</v>
      </c>
      <c r="L31">
        <f t="shared" si="0"/>
        <v>91.25</v>
      </c>
      <c r="N31">
        <v>0.08</v>
      </c>
      <c r="P31">
        <v>0.2</v>
      </c>
      <c r="R31">
        <v>0.75</v>
      </c>
      <c r="T31">
        <v>62</v>
      </c>
      <c r="U31">
        <f t="shared" si="17"/>
        <v>0</v>
      </c>
      <c r="V31">
        <f t="shared" si="25"/>
        <v>1</v>
      </c>
      <c r="W31">
        <f t="shared" si="1"/>
        <v>0.72</v>
      </c>
      <c r="X31">
        <f t="shared" si="2"/>
        <v>4.7000000000000002E-3</v>
      </c>
      <c r="Y31">
        <f t="shared" si="3"/>
        <v>0</v>
      </c>
      <c r="Z31">
        <v>0</v>
      </c>
      <c r="AA31">
        <f t="shared" si="18"/>
        <v>0</v>
      </c>
      <c r="AB31">
        <f t="shared" si="26"/>
        <v>1.3</v>
      </c>
      <c r="AC31">
        <f t="shared" si="4"/>
        <v>1</v>
      </c>
      <c r="AD31">
        <f t="shared" si="5"/>
        <v>0.5948500000000001</v>
      </c>
      <c r="AF31">
        <v>2.9</v>
      </c>
      <c r="AG31">
        <f t="shared" si="19"/>
        <v>0.9999999504359468</v>
      </c>
      <c r="AH31">
        <f t="shared" si="6"/>
        <v>1.4652245899459331</v>
      </c>
      <c r="AI31">
        <f t="shared" si="20"/>
        <v>1.4652245173234635</v>
      </c>
      <c r="AJ31">
        <f t="shared" si="7"/>
        <v>0.2930449034646927</v>
      </c>
      <c r="AK31">
        <f t="shared" si="8"/>
        <v>0.08</v>
      </c>
      <c r="AL31">
        <f t="shared" si="9"/>
        <v>0.41600692919529714</v>
      </c>
      <c r="AM31">
        <f t="shared" si="10"/>
        <v>0.19</v>
      </c>
      <c r="AN31">
        <f t="shared" si="11"/>
        <v>0.6784</v>
      </c>
      <c r="AO31">
        <f t="shared" si="12"/>
        <v>0</v>
      </c>
      <c r="AP31">
        <f t="shared" si="13"/>
        <v>2.5202165698411799E-4</v>
      </c>
      <c r="AQ31">
        <f t="shared" si="21"/>
        <v>2.5202165698411799E-4</v>
      </c>
      <c r="AR31">
        <f t="shared" si="14"/>
        <v>1.1498488099900384</v>
      </c>
      <c r="BA31">
        <v>18</v>
      </c>
      <c r="BB31">
        <v>0.8</v>
      </c>
      <c r="BC31">
        <f t="shared" si="22"/>
        <v>0</v>
      </c>
      <c r="BD31">
        <f t="shared" si="28"/>
        <v>3.9452054794520547E-2</v>
      </c>
      <c r="BE31">
        <f t="shared" si="15"/>
        <v>7.3599999999999999E-2</v>
      </c>
      <c r="BF31">
        <v>62</v>
      </c>
      <c r="BG31">
        <f t="shared" si="23"/>
        <v>1</v>
      </c>
      <c r="BH31">
        <f t="shared" si="29"/>
        <v>6.1942865442030813E-3</v>
      </c>
      <c r="BI31">
        <f t="shared" si="24"/>
        <v>4.0692898010147756E-2</v>
      </c>
      <c r="BJ31">
        <f t="shared" si="16"/>
        <v>185.66134717129916</v>
      </c>
      <c r="BL31" s="28"/>
      <c r="BY31" s="13" t="s">
        <v>274</v>
      </c>
      <c r="BZ31" s="13">
        <v>99.17</v>
      </c>
      <c r="CA31" s="13">
        <v>0.83</v>
      </c>
    </row>
    <row r="32" spans="5:80" x14ac:dyDescent="0.2">
      <c r="E32" s="12"/>
      <c r="F32" t="s">
        <v>164</v>
      </c>
      <c r="H32">
        <v>100</v>
      </c>
      <c r="I32">
        <v>0</v>
      </c>
      <c r="J32">
        <v>0</v>
      </c>
      <c r="L32">
        <f t="shared" si="0"/>
        <v>91.25</v>
      </c>
      <c r="N32">
        <v>-0.08</v>
      </c>
      <c r="P32">
        <v>0.1</v>
      </c>
      <c r="R32">
        <v>0.61</v>
      </c>
      <c r="T32">
        <v>55</v>
      </c>
      <c r="U32">
        <f t="shared" si="17"/>
        <v>0</v>
      </c>
      <c r="V32">
        <f t="shared" si="25"/>
        <v>1</v>
      </c>
      <c r="W32">
        <f t="shared" si="1"/>
        <v>0.72</v>
      </c>
      <c r="X32">
        <f t="shared" si="2"/>
        <v>4.7000000000000002E-3</v>
      </c>
      <c r="Y32">
        <f t="shared" si="3"/>
        <v>0</v>
      </c>
      <c r="Z32">
        <v>0</v>
      </c>
      <c r="AA32">
        <f t="shared" si="18"/>
        <v>0</v>
      </c>
      <c r="AB32">
        <f t="shared" si="26"/>
        <v>1.3</v>
      </c>
      <c r="AC32">
        <f t="shared" si="4"/>
        <v>1</v>
      </c>
      <c r="AD32">
        <f t="shared" si="5"/>
        <v>0.48354999999999998</v>
      </c>
      <c r="AF32">
        <v>2.5</v>
      </c>
      <c r="AG32">
        <f t="shared" si="19"/>
        <v>0.99999627334682795</v>
      </c>
      <c r="AH32">
        <f t="shared" si="6"/>
        <v>1.0605624381175847</v>
      </c>
      <c r="AI32">
        <f t="shared" si="20"/>
        <v>1.0605584857692105</v>
      </c>
      <c r="AJ32">
        <f t="shared" si="7"/>
        <v>0.10605584857692106</v>
      </c>
      <c r="AK32">
        <f t="shared" si="8"/>
        <v>0.08</v>
      </c>
      <c r="AL32">
        <f t="shared" si="9"/>
        <v>0.42192044699791736</v>
      </c>
      <c r="AM32">
        <f t="shared" si="10"/>
        <v>0.19</v>
      </c>
      <c r="AN32">
        <f t="shared" si="11"/>
        <v>0.6784</v>
      </c>
      <c r="AO32">
        <f t="shared" si="12"/>
        <v>0</v>
      </c>
      <c r="AP32">
        <f t="shared" si="13"/>
        <v>2.5560413230034477E-4</v>
      </c>
      <c r="AQ32">
        <f t="shared" si="21"/>
        <v>2.5560413230034477E-4</v>
      </c>
      <c r="AR32">
        <f t="shared" si="14"/>
        <v>2.3323877072406463</v>
      </c>
      <c r="BA32">
        <f>BA31</f>
        <v>18</v>
      </c>
      <c r="BC32">
        <f t="shared" si="22"/>
        <v>0</v>
      </c>
      <c r="BD32">
        <f>BD31</f>
        <v>3.9452054794520547E-2</v>
      </c>
      <c r="BE32">
        <f t="shared" si="15"/>
        <v>-7.3599999999999999E-2</v>
      </c>
      <c r="BF32">
        <v>62</v>
      </c>
      <c r="BG32">
        <f t="shared" si="23"/>
        <v>0.88709677419354838</v>
      </c>
      <c r="BH32">
        <f t="shared" si="29"/>
        <v>4.3659164379425625E-3</v>
      </c>
      <c r="BI32">
        <f t="shared" si="24"/>
        <v>1.2603019334364807E-2</v>
      </c>
      <c r="BJ32">
        <f t="shared" si="16"/>
        <v>115.00255142607887</v>
      </c>
      <c r="BL32" s="28"/>
      <c r="BY32" s="13" t="s">
        <v>275</v>
      </c>
      <c r="BZ32" s="13">
        <v>99.59</v>
      </c>
      <c r="CA32" s="13">
        <v>0.41</v>
      </c>
    </row>
    <row r="33" spans="1:84" x14ac:dyDescent="0.2">
      <c r="E33" s="11"/>
      <c r="F33" t="s">
        <v>165</v>
      </c>
      <c r="H33">
        <v>90</v>
      </c>
      <c r="I33">
        <v>0</v>
      </c>
      <c r="J33">
        <v>0</v>
      </c>
      <c r="L33">
        <f t="shared" si="0"/>
        <v>91.25</v>
      </c>
      <c r="N33">
        <v>0</v>
      </c>
      <c r="P33">
        <v>0.12</v>
      </c>
      <c r="R33">
        <v>0.64</v>
      </c>
      <c r="T33">
        <v>55</v>
      </c>
      <c r="U33">
        <f t="shared" si="17"/>
        <v>0</v>
      </c>
      <c r="V33">
        <f t="shared" si="25"/>
        <v>1</v>
      </c>
      <c r="W33">
        <f t="shared" si="1"/>
        <v>0.72</v>
      </c>
      <c r="X33">
        <f t="shared" si="2"/>
        <v>4.7000000000000002E-3</v>
      </c>
      <c r="Y33">
        <f t="shared" si="3"/>
        <v>0</v>
      </c>
      <c r="Z33">
        <v>0</v>
      </c>
      <c r="AA33">
        <f t="shared" si="18"/>
        <v>0</v>
      </c>
      <c r="AB33">
        <f t="shared" si="26"/>
        <v>1.3</v>
      </c>
      <c r="AC33">
        <f t="shared" si="4"/>
        <v>1</v>
      </c>
      <c r="AD33">
        <f t="shared" si="5"/>
        <v>0.50740000000000007</v>
      </c>
      <c r="AF33">
        <v>1.6</v>
      </c>
      <c r="AG33">
        <f t="shared" si="19"/>
        <v>0.99402397710499402</v>
      </c>
      <c r="AH33">
        <f t="shared" si="6"/>
        <v>1.1109945415495692</v>
      </c>
      <c r="AI33">
        <f t="shared" si="20"/>
        <v>1.1043552127330423</v>
      </c>
      <c r="AJ33">
        <f t="shared" si="7"/>
        <v>0.13252262552796507</v>
      </c>
      <c r="AK33">
        <f t="shared" si="8"/>
        <v>0.08</v>
      </c>
      <c r="AL33">
        <f t="shared" si="9"/>
        <v>0.41064374249795926</v>
      </c>
      <c r="AM33">
        <f t="shared" si="10"/>
        <v>0.19</v>
      </c>
      <c r="AN33">
        <f t="shared" si="11"/>
        <v>0.6784</v>
      </c>
      <c r="AO33">
        <f t="shared" si="12"/>
        <v>0</v>
      </c>
      <c r="AP33">
        <f t="shared" si="13"/>
        <v>2.4877257841517971E-4</v>
      </c>
      <c r="AQ33">
        <f t="shared" si="21"/>
        <v>2.4877257841517971E-4</v>
      </c>
      <c r="AR33">
        <f t="shared" si="14"/>
        <v>2.0430448002346635</v>
      </c>
      <c r="BA33">
        <f>BA31</f>
        <v>18</v>
      </c>
      <c r="BC33">
        <f t="shared" si="22"/>
        <v>0</v>
      </c>
      <c r="BD33">
        <f>BD31</f>
        <v>3.9452054794520547E-2</v>
      </c>
      <c r="BE33">
        <f t="shared" si="15"/>
        <v>0</v>
      </c>
      <c r="BF33">
        <v>62</v>
      </c>
      <c r="BG33">
        <f t="shared" si="23"/>
        <v>0.88709677419354838</v>
      </c>
      <c r="BH33">
        <f t="shared" si="29"/>
        <v>5.3023561643835617E-3</v>
      </c>
      <c r="BI33">
        <f t="shared" si="24"/>
        <v>1.590126392009085E-2</v>
      </c>
      <c r="BJ33">
        <f t="shared" si="16"/>
        <v>130.58912994374612</v>
      </c>
      <c r="BL33" s="28"/>
    </row>
    <row r="34" spans="1:84" x14ac:dyDescent="0.2">
      <c r="E34" s="12"/>
      <c r="F34" t="s">
        <v>166</v>
      </c>
      <c r="H34">
        <v>80</v>
      </c>
      <c r="I34">
        <v>0</v>
      </c>
      <c r="J34">
        <v>0</v>
      </c>
      <c r="L34">
        <f t="shared" si="0"/>
        <v>91.25</v>
      </c>
      <c r="N34">
        <v>0</v>
      </c>
      <c r="P34">
        <v>0.18</v>
      </c>
      <c r="R34">
        <v>0.72</v>
      </c>
      <c r="T34">
        <v>55</v>
      </c>
      <c r="U34">
        <f t="shared" si="17"/>
        <v>0</v>
      </c>
      <c r="V34">
        <f t="shared" si="25"/>
        <v>1</v>
      </c>
      <c r="W34">
        <f t="shared" si="1"/>
        <v>0.72</v>
      </c>
      <c r="X34">
        <f t="shared" si="2"/>
        <v>4.7000000000000002E-3</v>
      </c>
      <c r="Y34">
        <f t="shared" si="3"/>
        <v>0</v>
      </c>
      <c r="Z34">
        <v>0</v>
      </c>
      <c r="AA34">
        <f t="shared" si="18"/>
        <v>0</v>
      </c>
      <c r="AB34">
        <f t="shared" si="26"/>
        <v>1.3</v>
      </c>
      <c r="AC34">
        <f t="shared" si="4"/>
        <v>1</v>
      </c>
      <c r="AD34">
        <f t="shared" si="5"/>
        <v>0.57100000000000006</v>
      </c>
      <c r="AF34">
        <v>1.7</v>
      </c>
      <c r="AG34">
        <f t="shared" si="19"/>
        <v>0.99691128459176326</v>
      </c>
      <c r="AH34">
        <f t="shared" si="6"/>
        <v>1.2454801507015281</v>
      </c>
      <c r="AI34">
        <f t="shared" si="20"/>
        <v>1.2416332169694033</v>
      </c>
      <c r="AJ34">
        <f t="shared" si="7"/>
        <v>0.22349397905449259</v>
      </c>
      <c r="AK34">
        <f t="shared" si="8"/>
        <v>0.08</v>
      </c>
      <c r="AL34">
        <f t="shared" si="9"/>
        <v>0.37657754876504823</v>
      </c>
      <c r="AM34">
        <f t="shared" si="10"/>
        <v>0.19</v>
      </c>
      <c r="AN34">
        <f t="shared" si="11"/>
        <v>0.6784</v>
      </c>
      <c r="AO34">
        <f t="shared" si="12"/>
        <v>0</v>
      </c>
      <c r="AP34">
        <f t="shared" si="13"/>
        <v>2.2813489671041239E-4</v>
      </c>
      <c r="AQ34">
        <f t="shared" si="21"/>
        <v>2.2813489671041239E-4</v>
      </c>
      <c r="AR34">
        <f t="shared" si="14"/>
        <v>1.6653847459860105</v>
      </c>
      <c r="BA34">
        <f>BA31</f>
        <v>18</v>
      </c>
      <c r="BC34">
        <f t="shared" si="22"/>
        <v>0</v>
      </c>
      <c r="BD34">
        <f>BD31</f>
        <v>3.9452054794520547E-2</v>
      </c>
      <c r="BE34">
        <f t="shared" si="15"/>
        <v>0</v>
      </c>
      <c r="BF34">
        <v>62</v>
      </c>
      <c r="BG34">
        <f t="shared" si="23"/>
        <v>0.88709677419354838</v>
      </c>
      <c r="BH34">
        <f t="shared" si="29"/>
        <v>5.3023561643835617E-3</v>
      </c>
      <c r="BI34">
        <f t="shared" si="24"/>
        <v>3.0456680484335252E-2</v>
      </c>
      <c r="BJ34">
        <f t="shared" si="16"/>
        <v>222.33376753564735</v>
      </c>
      <c r="BL34" s="28"/>
    </row>
    <row r="36" spans="1:84" x14ac:dyDescent="0.2">
      <c r="BY36" t="s">
        <v>136</v>
      </c>
    </row>
    <row r="37" spans="1:84" x14ac:dyDescent="0.2">
      <c r="BY37" s="13" t="s">
        <v>224</v>
      </c>
      <c r="BZ37" s="13">
        <v>5.8999999999999999E-3</v>
      </c>
      <c r="CD37" t="s">
        <v>322</v>
      </c>
      <c r="CE37">
        <v>6.0000000000000001E-3</v>
      </c>
      <c r="CF37" t="s">
        <v>254</v>
      </c>
    </row>
    <row r="38" spans="1:84" x14ac:dyDescent="0.2">
      <c r="BY38" s="13" t="s">
        <v>225</v>
      </c>
      <c r="BZ38" s="13">
        <v>7.0000000000000001E-3</v>
      </c>
      <c r="CD38" t="s">
        <v>323</v>
      </c>
      <c r="CE38">
        <v>6.0000000000000001E-3</v>
      </c>
      <c r="CF38" t="s">
        <v>254</v>
      </c>
    </row>
    <row r="39" spans="1:84" x14ac:dyDescent="0.2">
      <c r="BY39" s="13" t="s">
        <v>226</v>
      </c>
      <c r="BZ39" s="13">
        <v>1.8E-3</v>
      </c>
      <c r="CD39" t="s">
        <v>324</v>
      </c>
      <c r="CE39">
        <v>6.0000000000000001E-3</v>
      </c>
      <c r="CF39" t="s">
        <v>254</v>
      </c>
    </row>
    <row r="40" spans="1:84" x14ac:dyDescent="0.2">
      <c r="BY40" s="13" t="s">
        <v>227</v>
      </c>
      <c r="BZ40" s="13">
        <v>2.8999999999999998E-3</v>
      </c>
      <c r="CD40" t="s">
        <v>321</v>
      </c>
      <c r="CE40">
        <v>6.0000000000000001E-3</v>
      </c>
      <c r="CF40" t="s">
        <v>254</v>
      </c>
    </row>
    <row r="41" spans="1:84" x14ac:dyDescent="0.2">
      <c r="A41" t="s">
        <v>270</v>
      </c>
      <c r="B41" t="s">
        <v>270</v>
      </c>
      <c r="C41" t="s">
        <v>173</v>
      </c>
      <c r="D41" t="s">
        <v>276</v>
      </c>
      <c r="E41" s="11" t="s">
        <v>169</v>
      </c>
      <c r="F41" t="s">
        <v>163</v>
      </c>
      <c r="H41">
        <v>100</v>
      </c>
      <c r="I41">
        <v>95</v>
      </c>
      <c r="J41">
        <v>90</v>
      </c>
      <c r="L41">
        <f t="shared" ref="L41:L64" si="30">$BZ$3</f>
        <v>91.25</v>
      </c>
      <c r="N41" cm="1">
        <f t="array" ref="N41:N64">_xlfn.DROP(_xlfn.XLOOKUP($C41,TableLWG2_1[[#Headers],[ACT/NSW]:[WA]],TableLWG2_1[[#All],[ACT/NSW]:[WA]]),1)</f>
        <v>0.04</v>
      </c>
      <c r="P41" cm="1">
        <f t="array" ref="P41:P64">_xlfn.DROP(_xlfn.XLOOKUP($C41,QueryCP[[#Headers],[ACT/NSW]:[WA]],QueryCP[[#All],[ACT/NSW]:[WA]]),1)</f>
        <v>0.2</v>
      </c>
      <c r="R41" cm="1">
        <f t="array" ref="R41:R64">_xlfn.DROP(_xlfn.XLOOKUP($C41,QueryDMD[[#Headers],[ACT/NSW]:[WA]],QueryDMD[[#All],[ACT/NSW]:[WA]]),1)</f>
        <v>0.75</v>
      </c>
      <c r="T41" cm="1">
        <f t="array" ref="T41:T64">_xlfn.DROP(_xlfn.XLOOKUP($C41,QueryW[[#Headers],[ACT/NSW]:[WA]],QueryW[[#All],[ACT/NSW]:[WA]]),1)</f>
        <v>54</v>
      </c>
      <c r="U41">
        <f>1-V41</f>
        <v>4.5000000000000595E-3</v>
      </c>
      <c r="V41">
        <f>IF($D41="yes", 1, VLOOKUP($B41, $BY$26:$CA$32, 2, FALSE)/100)</f>
        <v>0.99549999999999994</v>
      </c>
      <c r="W41">
        <f>VLOOKUP($B41,$CA$10:$CB$16, 2, FALSE)</f>
        <v>0.75</v>
      </c>
      <c r="X41">
        <f t="shared" ref="X41:X64" si="31">$BZ$10</f>
        <v>4.7000000000000002E-3</v>
      </c>
      <c r="Y41">
        <f t="shared" ref="Y41:Y64" si="32">(I41/100)*(MIN(J41,100)/100)</f>
        <v>0.85499999999999998</v>
      </c>
      <c r="Z41">
        <v>0</v>
      </c>
      <c r="AA41">
        <f>1.6 * Z41</f>
        <v>0</v>
      </c>
      <c r="AB41">
        <f>$CC$1</f>
        <v>1.3</v>
      </c>
      <c r="AC41">
        <f t="shared" ref="AC41:AC64" si="33">Y41*AB41+(1-Y41)</f>
        <v>1.2565</v>
      </c>
      <c r="AD41">
        <f t="shared" ref="AD41:AD64" si="34">(0.795*R41)-0.0014</f>
        <v>0.5948500000000001</v>
      </c>
      <c r="AF41" cm="1">
        <f t="array" ref="AF41:AF64">_xlfn.DROP(_xlfn.XLOOKUP($C41,QueryDMA[[#Headers],[ACT/NSW]:[WA]],QueryDMA[[#All],[ACT/NSW]:[WA]]),1)</f>
        <v>2.9</v>
      </c>
      <c r="AG41">
        <f>1 - EXP(-2*(AF41^2))</f>
        <v>0.9999999504359468</v>
      </c>
      <c r="AH41">
        <f t="shared" ref="AH41:AH64" si="35">(104.7*AD41+0.307*T41-15)*(T41^0.75)*10^-3</f>
        <v>1.2720847291262878</v>
      </c>
      <c r="AI41">
        <f>AH41*AG41*AC41</f>
        <v>1.5983743829252637</v>
      </c>
      <c r="AJ41">
        <f t="shared" ref="AJ41:AJ64" si="36">(AI41 * P41) + (0.045 * AA41)</f>
        <v>0.31967487658505278</v>
      </c>
      <c r="AK41">
        <f t="shared" ref="AK41:AK64" si="37">$BZ$2</f>
        <v>0.08</v>
      </c>
      <c r="AL41">
        <f t="shared" ref="AL41:AL64" si="38">(AI41 * ((1 - R41) + (0.04 * AI41))) * ( 1 - AK41 )</f>
        <v>0.46164277265490583</v>
      </c>
      <c r="AM41">
        <f t="shared" ref="AM41:AM64" si="39">$BZ$1</f>
        <v>0.19</v>
      </c>
      <c r="AN41">
        <f t="shared" ref="AN41:AN64" si="40">$CA$20</f>
        <v>0.6784</v>
      </c>
      <c r="AO41">
        <f t="shared" ref="AO41:AO64" si="41">AL41 * AM41 * U41 * W41 * AN41</f>
        <v>2.0082568553143039E-4</v>
      </c>
      <c r="AP41">
        <f t="shared" ref="AP41:AP64" si="42">AL41*AM41*V41*X41*AN41</f>
        <v>2.7840985444406538E-4</v>
      </c>
      <c r="AQ41">
        <f>AO41+AP41</f>
        <v>4.792355399754958E-4</v>
      </c>
      <c r="AR41">
        <f t="shared" ref="AR41:AR64" si="43">H41*AQ41*L41</f>
        <v>4.3730243022763986</v>
      </c>
      <c r="AS41">
        <f>SUM(AR41:AR64)*10^-3</f>
        <v>9.2374227055833799E-2</v>
      </c>
      <c r="AT41" t="s">
        <v>276</v>
      </c>
      <c r="AU41">
        <f>IF(AT41="yes", 1,0)</f>
        <v>0</v>
      </c>
      <c r="AV41">
        <f>$BZ$4</f>
        <v>0.24</v>
      </c>
      <c r="AW41" t="s">
        <v>327</v>
      </c>
      <c r="AX41" s="28">
        <f>VLOOKUP(AW41,$CD$37:$CF$46,2, FALSE)</f>
        <v>2E-3</v>
      </c>
      <c r="AY41" s="28">
        <f>$BZ$7</f>
        <v>1.57</v>
      </c>
      <c r="AZ41">
        <f>$BZ$5</f>
        <v>0.21</v>
      </c>
      <c r="BA41">
        <v>20</v>
      </c>
      <c r="BB41">
        <v>0.8</v>
      </c>
      <c r="BC41">
        <f>Y41 * 1.6</f>
        <v>1.3680000000000001</v>
      </c>
      <c r="BD41">
        <f>(BA41 * BB41) / 365</f>
        <v>4.3835616438356165E-2</v>
      </c>
      <c r="BE41">
        <f t="shared" ref="BE41:BE64" si="44">N41 * 0.92</f>
        <v>3.6799999999999999E-2</v>
      </c>
      <c r="BF41" cm="1">
        <f t="array" ref="BF41:BF64">_xlfn.DROP(_xlfn.XLOOKUP($C41,QuerySRW[[#Headers],[ACT/NSW]:[WA]],QuerySRW[[#All],[ACT/NSW]:[WA]]),1)</f>
        <v>57</v>
      </c>
      <c r="BG41">
        <f>T41 / BF41</f>
        <v>0.94736842105263153</v>
      </c>
      <c r="BH41">
        <f>((0.045 * BC41) + (BD41 * 0.84)  + (BE41 * ((212 - 4 * ((BE41 * 1000)/(4* (BF41^0.75)) - 1)) - ((140 - 4 * (((BE41 * 1000)/(4 * BF41 ^0.75)) - 1))/(1 + EXP(-6 * (BG41 - 0.4)))))) * 10^-3) / 6.25</f>
        <v>1.6195288074689305E-2</v>
      </c>
      <c r="BI41">
        <f>MAX((AJ41  / 6.25 ) - BH41, 0)</f>
        <v>3.4952692178919137E-2</v>
      </c>
      <c r="BJ41">
        <f t="shared" ref="BJ41:BJ64" si="45">H41*BI41*L41</f>
        <v>318.94331613263711</v>
      </c>
      <c r="BK41">
        <f>SUM(BJ41:BJ64)</f>
        <v>5093.7807503121494</v>
      </c>
      <c r="BL41" s="28">
        <f>BK41*$AU$11*$AV$11</f>
        <v>1222.5073800749158</v>
      </c>
      <c r="BM41">
        <f>BK41 * AZ41</f>
        <v>1069.6939575655513</v>
      </c>
      <c r="BN41" t="s">
        <v>227</v>
      </c>
      <c r="BO41">
        <f>VLOOKUP(BN41, $BY$37:$BZ$49, 2, FALSE)</f>
        <v>2.8999999999999998E-3</v>
      </c>
      <c r="BP41">
        <f>BM41 * BO41 * AY41 * 10^-3</f>
        <v>4.8703165887959551E-3</v>
      </c>
      <c r="BQ41">
        <f>BK41 * AU41 * AV41</f>
        <v>0</v>
      </c>
      <c r="BR41">
        <f>$BZ$6</f>
        <v>1.0999999999999999E-2</v>
      </c>
      <c r="BS41">
        <f>BK41 * AX41 * AY41 * 10^-3</f>
        <v>1.599447155598015E-2</v>
      </c>
      <c r="BT41">
        <f>BQ41 * BR41 * AY41 * 10^-3</f>
        <v>0</v>
      </c>
      <c r="BY41" s="13" t="s">
        <v>228</v>
      </c>
      <c r="BZ41" s="13">
        <v>8.0000000000000002E-3</v>
      </c>
      <c r="CD41" t="s">
        <v>325</v>
      </c>
      <c r="CE41">
        <v>6.0000000000000001E-3</v>
      </c>
      <c r="CF41" t="s">
        <v>254</v>
      </c>
    </row>
    <row r="42" spans="1:84" x14ac:dyDescent="0.2">
      <c r="E42" s="12"/>
      <c r="F42" t="s">
        <v>164</v>
      </c>
      <c r="H42">
        <v>70</v>
      </c>
      <c r="I42">
        <v>0</v>
      </c>
      <c r="J42">
        <v>0</v>
      </c>
      <c r="L42">
        <f t="shared" si="30"/>
        <v>91.25</v>
      </c>
      <c r="N42">
        <v>-0.05</v>
      </c>
      <c r="P42">
        <v>0.1</v>
      </c>
      <c r="R42">
        <v>0.61</v>
      </c>
      <c r="T42">
        <v>49</v>
      </c>
      <c r="U42">
        <f t="shared" ref="U42:U64" si="46">1-V42</f>
        <v>4.5000000000000595E-3</v>
      </c>
      <c r="V42">
        <f>V41</f>
        <v>0.99549999999999994</v>
      </c>
      <c r="W42">
        <f>W41</f>
        <v>0.75</v>
      </c>
      <c r="X42">
        <f t="shared" si="31"/>
        <v>4.7000000000000002E-3</v>
      </c>
      <c r="Y42">
        <f t="shared" si="32"/>
        <v>0</v>
      </c>
      <c r="Z42">
        <v>0</v>
      </c>
      <c r="AA42">
        <f t="shared" ref="AA42:AA64" si="47">1.6 * Z42</f>
        <v>0</v>
      </c>
      <c r="AB42">
        <f>$AB$11</f>
        <v>1.3</v>
      </c>
      <c r="AC42">
        <f t="shared" si="33"/>
        <v>1</v>
      </c>
      <c r="AD42">
        <f t="shared" si="34"/>
        <v>0.48354999999999998</v>
      </c>
      <c r="AF42">
        <v>2.5</v>
      </c>
      <c r="AG42">
        <f t="shared" ref="AG42:AG64" si="48">1 - EXP(-2*(AF42^2))</f>
        <v>0.99999627334682795</v>
      </c>
      <c r="AH42">
        <f t="shared" si="35"/>
        <v>0.93843421889903578</v>
      </c>
      <c r="AI42">
        <f t="shared" ref="AI42:AI64" si="49">AH42*AG42*AC42</f>
        <v>0.93843072168017716</v>
      </c>
      <c r="AJ42">
        <f t="shared" si="36"/>
        <v>9.3843072168017724E-2</v>
      </c>
      <c r="AK42">
        <f t="shared" si="37"/>
        <v>0.08</v>
      </c>
      <c r="AL42">
        <f t="shared" si="38"/>
        <v>0.3691169446125166</v>
      </c>
      <c r="AM42">
        <f t="shared" si="39"/>
        <v>0.19</v>
      </c>
      <c r="AN42">
        <f t="shared" si="40"/>
        <v>0.6784</v>
      </c>
      <c r="AO42">
        <f t="shared" si="41"/>
        <v>1.6057472971311754E-4</v>
      </c>
      <c r="AP42">
        <f t="shared" si="42"/>
        <v>2.2260891084984003E-4</v>
      </c>
      <c r="AQ42">
        <f t="shared" ref="AQ42:AQ64" si="50">AO42+AP42</f>
        <v>3.8318364056295754E-4</v>
      </c>
      <c r="AR42">
        <f t="shared" si="43"/>
        <v>2.4475855040958914</v>
      </c>
      <c r="BA42">
        <f>BA41</f>
        <v>20</v>
      </c>
      <c r="BC42">
        <f t="shared" ref="BC42:BC64" si="51">Y42 * 1.6</f>
        <v>0</v>
      </c>
      <c r="BD42">
        <f>BD41</f>
        <v>4.3835616438356165E-2</v>
      </c>
      <c r="BE42">
        <f t="shared" si="44"/>
        <v>-4.6000000000000006E-2</v>
      </c>
      <c r="BF42">
        <v>57</v>
      </c>
      <c r="BG42">
        <f t="shared" ref="BG42:BG64" si="52">T42 / BF42</f>
        <v>0.85964912280701755</v>
      </c>
      <c r="BH42">
        <f>((0.045 * BC42) + (BD$11 * 0.84)  + (BE42 * ((212 - 4 * ((BE42 * 1000)/(4* (BF42^0.75)) - 1)) - ((140 - 4 * (((BE42 * 1000)/(4 * BF42 ^0.75)) - 1))/(1 + EXP(-6 * (BG42 - 0.4)))))) * 10^-3) / 6.25</f>
        <v>5.297402137952799E-3</v>
      </c>
      <c r="BI42">
        <f t="shared" ref="BI42:BI64" si="53">MAX((AJ42  / 6.25 ) - BH42, 0)</f>
        <v>9.7174894089300384E-3</v>
      </c>
      <c r="BJ42">
        <f t="shared" si="45"/>
        <v>62.070463599540624</v>
      </c>
      <c r="BL42" s="28"/>
      <c r="BY42" s="13" t="s">
        <v>229</v>
      </c>
      <c r="BZ42" s="13">
        <v>1.9900000000000001E-2</v>
      </c>
      <c r="CD42" t="s">
        <v>326</v>
      </c>
      <c r="CE42">
        <v>6.0000000000000001E-3</v>
      </c>
      <c r="CF42" t="s">
        <v>254</v>
      </c>
    </row>
    <row r="43" spans="1:84" x14ac:dyDescent="0.2">
      <c r="E43" s="11"/>
      <c r="F43" t="s">
        <v>165</v>
      </c>
      <c r="H43">
        <v>65</v>
      </c>
      <c r="I43">
        <v>0</v>
      </c>
      <c r="J43">
        <v>0</v>
      </c>
      <c r="L43">
        <f t="shared" si="30"/>
        <v>91.25</v>
      </c>
      <c r="N43">
        <v>0.01</v>
      </c>
      <c r="P43">
        <v>0.12</v>
      </c>
      <c r="R43">
        <v>0.64</v>
      </c>
      <c r="T43">
        <v>50</v>
      </c>
      <c r="U43">
        <f t="shared" si="46"/>
        <v>4.5000000000000595E-3</v>
      </c>
      <c r="V43">
        <f>V41</f>
        <v>0.99549999999999994</v>
      </c>
      <c r="W43">
        <f>W41</f>
        <v>0.75</v>
      </c>
      <c r="X43">
        <f t="shared" si="31"/>
        <v>4.7000000000000002E-3</v>
      </c>
      <c r="Y43">
        <f t="shared" si="32"/>
        <v>0</v>
      </c>
      <c r="Z43">
        <v>0</v>
      </c>
      <c r="AA43">
        <f t="shared" si="47"/>
        <v>0</v>
      </c>
      <c r="AB43">
        <f t="shared" ref="AB43:AB64" si="54">$AB$11</f>
        <v>1.3</v>
      </c>
      <c r="AC43">
        <f t="shared" si="33"/>
        <v>1</v>
      </c>
      <c r="AD43">
        <f t="shared" si="34"/>
        <v>0.50740000000000007</v>
      </c>
      <c r="AF43">
        <v>1.6</v>
      </c>
      <c r="AG43">
        <f t="shared" si="48"/>
        <v>0.99402397710499402</v>
      </c>
      <c r="AH43">
        <f t="shared" si="35"/>
        <v>1.0054871153505722</v>
      </c>
      <c r="AI43">
        <f t="shared" si="49"/>
        <v>0.99947830132860371</v>
      </c>
      <c r="AJ43">
        <f t="shared" si="36"/>
        <v>0.11993739615943244</v>
      </c>
      <c r="AK43">
        <f t="shared" si="37"/>
        <v>0.08</v>
      </c>
      <c r="AL43">
        <f t="shared" si="38"/>
        <v>0.36778882639365651</v>
      </c>
      <c r="AM43">
        <f t="shared" si="39"/>
        <v>0.19</v>
      </c>
      <c r="AN43">
        <f t="shared" si="40"/>
        <v>0.6784</v>
      </c>
      <c r="AO43">
        <f t="shared" si="41"/>
        <v>1.5999696641307614E-4</v>
      </c>
      <c r="AP43">
        <f t="shared" si="42"/>
        <v>2.2180794260794414E-4</v>
      </c>
      <c r="AQ43">
        <f t="shared" si="50"/>
        <v>3.8180490902102026E-4</v>
      </c>
      <c r="AR43">
        <f t="shared" si="43"/>
        <v>2.2645803666309265</v>
      </c>
      <c r="BA43">
        <f>BA41</f>
        <v>20</v>
      </c>
      <c r="BC43">
        <f t="shared" si="51"/>
        <v>0</v>
      </c>
      <c r="BD43">
        <f>BD41</f>
        <v>4.3835616438356165E-2</v>
      </c>
      <c r="BE43">
        <f t="shared" si="44"/>
        <v>9.1999999999999998E-3</v>
      </c>
      <c r="BF43">
        <v>57</v>
      </c>
      <c r="BG43">
        <f t="shared" si="52"/>
        <v>0.8771929824561403</v>
      </c>
      <c r="BH43">
        <f t="shared" ref="BH43:BH44" si="55">((0.045 * BC43) + (BD$11 * 0.84)  + (BE43 * ((212 - 4 * ((BE43 * 1000)/(4* (BF43^0.75)) - 1)) - ((140 - 4 * (((BE43 * 1000)/(4 * BF43 ^0.75)) - 1))/(1 + EXP(-6 * (BG43 - 0.4)))))) * 10^-3) / 6.25</f>
        <v>6.008902955663851E-3</v>
      </c>
      <c r="BI43">
        <f t="shared" si="53"/>
        <v>1.3181080429845341E-2</v>
      </c>
      <c r="BJ43">
        <f t="shared" si="45"/>
        <v>78.180283299520184</v>
      </c>
      <c r="BL43" s="28"/>
      <c r="BY43" s="13" t="s">
        <v>230</v>
      </c>
      <c r="BZ43" s="13">
        <v>5.3E-3</v>
      </c>
      <c r="CD43" t="s">
        <v>327</v>
      </c>
      <c r="CE43">
        <v>2E-3</v>
      </c>
      <c r="CF43" t="s">
        <v>255</v>
      </c>
    </row>
    <row r="44" spans="1:84" x14ac:dyDescent="0.2">
      <c r="E44" s="12"/>
      <c r="F44" t="s">
        <v>166</v>
      </c>
      <c r="H44">
        <v>80</v>
      </c>
      <c r="I44">
        <v>0</v>
      </c>
      <c r="J44">
        <v>0</v>
      </c>
      <c r="L44">
        <f t="shared" si="30"/>
        <v>91.25</v>
      </c>
      <c r="N44">
        <v>0</v>
      </c>
      <c r="P44">
        <v>0.18</v>
      </c>
      <c r="R44">
        <v>0.72</v>
      </c>
      <c r="T44">
        <v>50</v>
      </c>
      <c r="U44">
        <f t="shared" si="46"/>
        <v>4.5000000000000595E-3</v>
      </c>
      <c r="V44">
        <f>V41</f>
        <v>0.99549999999999994</v>
      </c>
      <c r="W44">
        <f>W41</f>
        <v>0.75</v>
      </c>
      <c r="X44">
        <f t="shared" si="31"/>
        <v>4.7000000000000002E-3</v>
      </c>
      <c r="Y44">
        <f t="shared" si="32"/>
        <v>0</v>
      </c>
      <c r="Z44">
        <v>0</v>
      </c>
      <c r="AA44">
        <f t="shared" si="47"/>
        <v>0</v>
      </c>
      <c r="AB44">
        <f t="shared" si="54"/>
        <v>1.3</v>
      </c>
      <c r="AC44">
        <f t="shared" si="33"/>
        <v>1</v>
      </c>
      <c r="AD44">
        <f t="shared" si="34"/>
        <v>0.57100000000000006</v>
      </c>
      <c r="AF44">
        <v>1.7</v>
      </c>
      <c r="AG44">
        <f t="shared" si="48"/>
        <v>0.99691128459176326</v>
      </c>
      <c r="AH44">
        <f t="shared" si="35"/>
        <v>1.1306948910936463</v>
      </c>
      <c r="AI44">
        <f t="shared" si="49"/>
        <v>1.1272024963615108</v>
      </c>
      <c r="AJ44">
        <f t="shared" si="36"/>
        <v>0.20289644934507195</v>
      </c>
      <c r="AK44">
        <f t="shared" si="37"/>
        <v>0.08</v>
      </c>
      <c r="AL44">
        <f t="shared" si="38"/>
        <v>0.33712490827789848</v>
      </c>
      <c r="AM44">
        <f t="shared" si="39"/>
        <v>0.19</v>
      </c>
      <c r="AN44">
        <f t="shared" si="40"/>
        <v>0.6784</v>
      </c>
      <c r="AO44">
        <f t="shared" si="41"/>
        <v>1.4665742609868643E-4</v>
      </c>
      <c r="AP44">
        <f t="shared" si="42"/>
        <v>2.0331499203017186E-4</v>
      </c>
      <c r="AQ44">
        <f t="shared" si="50"/>
        <v>3.499724181288583E-4</v>
      </c>
      <c r="AR44">
        <f t="shared" si="43"/>
        <v>2.5547986523406658</v>
      </c>
      <c r="BA44">
        <f>BA41</f>
        <v>20</v>
      </c>
      <c r="BC44">
        <f t="shared" si="51"/>
        <v>0</v>
      </c>
      <c r="BD44">
        <f>BD41</f>
        <v>4.3835616438356165E-2</v>
      </c>
      <c r="BE44">
        <f t="shared" si="44"/>
        <v>0</v>
      </c>
      <c r="BF44">
        <v>57</v>
      </c>
      <c r="BG44">
        <f t="shared" si="52"/>
        <v>0.8771929824561403</v>
      </c>
      <c r="BH44">
        <f t="shared" si="55"/>
        <v>5.8915068493150683E-3</v>
      </c>
      <c r="BI44">
        <f t="shared" si="53"/>
        <v>2.6571925045896443E-2</v>
      </c>
      <c r="BJ44">
        <f t="shared" si="45"/>
        <v>193.97505283504404</v>
      </c>
      <c r="BL44" s="28"/>
      <c r="BY44" s="13" t="s">
        <v>231</v>
      </c>
      <c r="BZ44" s="13">
        <v>6.4000000000000003E-3</v>
      </c>
      <c r="CD44" t="s">
        <v>328</v>
      </c>
      <c r="CE44">
        <v>2E-3</v>
      </c>
      <c r="CF44" t="s">
        <v>255</v>
      </c>
    </row>
    <row r="45" spans="1:84" x14ac:dyDescent="0.2">
      <c r="E45" s="11" t="s">
        <v>171</v>
      </c>
      <c r="F45" t="s">
        <v>163</v>
      </c>
      <c r="H45">
        <v>200</v>
      </c>
      <c r="I45">
        <v>0</v>
      </c>
      <c r="J45">
        <v>0</v>
      </c>
      <c r="L45">
        <f t="shared" si="30"/>
        <v>91.25</v>
      </c>
      <c r="N45">
        <v>0.16</v>
      </c>
      <c r="P45">
        <v>0.2</v>
      </c>
      <c r="R45">
        <v>0.75</v>
      </c>
      <c r="T45">
        <v>20</v>
      </c>
      <c r="U45">
        <f t="shared" si="46"/>
        <v>4.5000000000000595E-3</v>
      </c>
      <c r="V45">
        <f>V41</f>
        <v>0.99549999999999994</v>
      </c>
      <c r="W45">
        <f>W41</f>
        <v>0.75</v>
      </c>
      <c r="X45">
        <f t="shared" si="31"/>
        <v>4.7000000000000002E-3</v>
      </c>
      <c r="Y45">
        <f t="shared" si="32"/>
        <v>0</v>
      </c>
      <c r="Z45">
        <v>1</v>
      </c>
      <c r="AA45">
        <f t="shared" si="47"/>
        <v>1.6</v>
      </c>
      <c r="AB45">
        <f t="shared" si="54"/>
        <v>1.3</v>
      </c>
      <c r="AC45">
        <f t="shared" si="33"/>
        <v>1</v>
      </c>
      <c r="AD45">
        <f t="shared" si="34"/>
        <v>0.5948500000000001</v>
      </c>
      <c r="AF45">
        <v>2.9</v>
      </c>
      <c r="AG45">
        <f t="shared" si="48"/>
        <v>0.9999999504359468</v>
      </c>
      <c r="AH45">
        <f t="shared" si="35"/>
        <v>0.5052226861752882</v>
      </c>
      <c r="AI45">
        <f t="shared" si="49"/>
        <v>0.50522266113440406</v>
      </c>
      <c r="AJ45">
        <f t="shared" si="36"/>
        <v>0.17304453222688082</v>
      </c>
      <c r="AK45">
        <f t="shared" si="37"/>
        <v>0.08</v>
      </c>
      <c r="AL45">
        <f t="shared" si="38"/>
        <v>0.12559440975442615</v>
      </c>
      <c r="AM45">
        <f t="shared" si="39"/>
        <v>0.19</v>
      </c>
      <c r="AN45">
        <f t="shared" si="40"/>
        <v>0.6784</v>
      </c>
      <c r="AO45">
        <f t="shared" si="41"/>
        <v>5.4636582509010208E-5</v>
      </c>
      <c r="AP45">
        <f t="shared" si="42"/>
        <v>7.5744110836230803E-5</v>
      </c>
      <c r="AQ45">
        <f t="shared" si="50"/>
        <v>1.3038069334524101E-4</v>
      </c>
      <c r="AR45">
        <f t="shared" si="43"/>
        <v>2.3794476535506481</v>
      </c>
      <c r="BA45">
        <v>15</v>
      </c>
      <c r="BB45">
        <v>0.85</v>
      </c>
      <c r="BC45">
        <f t="shared" si="51"/>
        <v>0</v>
      </c>
      <c r="BD45">
        <f t="shared" ref="BD45" si="56">(BA45 * BB45) / 365</f>
        <v>3.4931506849315071E-2</v>
      </c>
      <c r="BE45">
        <f t="shared" si="44"/>
        <v>0.1472</v>
      </c>
      <c r="BF45">
        <v>60</v>
      </c>
      <c r="BG45">
        <f t="shared" si="52"/>
        <v>0.33333333333333331</v>
      </c>
      <c r="BH45">
        <f>((0.045 * BC45) + (BD$15 * 0.84)  + (BE45 * ((212 - 4 * ((BE45 * 1000)/(4* (BF45^0.75)) - 1)) - ((140 - 4 * (((BE45 * 1000)/(4 * BF45 ^0.75)) - 1))/(1 + EXP(-6 * (BG45 - 0.4)))))) * 10^-3) / 6.25</f>
        <v>8.3247035527562636E-3</v>
      </c>
      <c r="BI45">
        <f t="shared" si="53"/>
        <v>1.9362421603544667E-2</v>
      </c>
      <c r="BJ45">
        <f t="shared" si="45"/>
        <v>353.36419426469018</v>
      </c>
      <c r="BL45" s="28"/>
      <c r="BY45" s="13" t="s">
        <v>222</v>
      </c>
      <c r="BZ45" s="13">
        <v>2.5999999999999999E-3</v>
      </c>
      <c r="CD45" t="s">
        <v>329</v>
      </c>
      <c r="CE45">
        <v>2E-3</v>
      </c>
      <c r="CF45" t="s">
        <v>255</v>
      </c>
    </row>
    <row r="46" spans="1:84" x14ac:dyDescent="0.2">
      <c r="E46" s="12"/>
      <c r="F46" t="s">
        <v>164</v>
      </c>
      <c r="H46">
        <v>210</v>
      </c>
      <c r="I46">
        <v>0</v>
      </c>
      <c r="J46">
        <v>0</v>
      </c>
      <c r="L46">
        <f t="shared" si="30"/>
        <v>91.25</v>
      </c>
      <c r="N46">
        <v>0.08</v>
      </c>
      <c r="P46">
        <v>0.1</v>
      </c>
      <c r="R46">
        <v>0.61</v>
      </c>
      <c r="T46">
        <v>27</v>
      </c>
      <c r="U46">
        <f t="shared" si="46"/>
        <v>4.5000000000000595E-3</v>
      </c>
      <c r="V46">
        <f>V41</f>
        <v>0.99549999999999994</v>
      </c>
      <c r="W46">
        <f>W41</f>
        <v>0.75</v>
      </c>
      <c r="X46">
        <f t="shared" si="31"/>
        <v>4.7000000000000002E-3</v>
      </c>
      <c r="Y46">
        <f t="shared" si="32"/>
        <v>0</v>
      </c>
      <c r="Z46">
        <v>0</v>
      </c>
      <c r="AA46">
        <f t="shared" si="47"/>
        <v>0</v>
      </c>
      <c r="AB46">
        <f t="shared" si="54"/>
        <v>1.3</v>
      </c>
      <c r="AC46">
        <f t="shared" si="33"/>
        <v>1</v>
      </c>
      <c r="AD46">
        <f t="shared" si="34"/>
        <v>0.48354999999999998</v>
      </c>
      <c r="AF46">
        <v>2.5</v>
      </c>
      <c r="AG46">
        <f t="shared" si="48"/>
        <v>0.99999627334682795</v>
      </c>
      <c r="AH46">
        <f t="shared" si="35"/>
        <v>0.52017847077168489</v>
      </c>
      <c r="AI46">
        <f t="shared" si="49"/>
        <v>0.52017653224693672</v>
      </c>
      <c r="AJ46">
        <f t="shared" si="36"/>
        <v>5.2017653224693677E-2</v>
      </c>
      <c r="AK46">
        <f t="shared" si="37"/>
        <v>0.08</v>
      </c>
      <c r="AL46">
        <f t="shared" si="38"/>
        <v>0.1965968171591774</v>
      </c>
      <c r="AM46">
        <f t="shared" si="39"/>
        <v>0.19</v>
      </c>
      <c r="AN46">
        <f t="shared" si="40"/>
        <v>0.6784</v>
      </c>
      <c r="AO46">
        <f t="shared" si="41"/>
        <v>8.552433378785512E-5</v>
      </c>
      <c r="AP46">
        <f t="shared" si="42"/>
        <v>1.1856460122764464E-4</v>
      </c>
      <c r="AQ46">
        <f t="shared" si="50"/>
        <v>2.0408893501549976E-4</v>
      </c>
      <c r="AR46">
        <f t="shared" si="43"/>
        <v>3.9108542172345144</v>
      </c>
      <c r="BA46">
        <f>BA45</f>
        <v>15</v>
      </c>
      <c r="BC46">
        <f t="shared" si="51"/>
        <v>0</v>
      </c>
      <c r="BD46">
        <f>BD45</f>
        <v>3.4931506849315071E-2</v>
      </c>
      <c r="BE46">
        <f t="shared" si="44"/>
        <v>7.3599999999999999E-2</v>
      </c>
      <c r="BF46">
        <v>60</v>
      </c>
      <c r="BG46">
        <f t="shared" si="52"/>
        <v>0.45</v>
      </c>
      <c r="BH46">
        <f t="shared" ref="BH46:BH64" si="57">((0.045 * BC46) + (BD46 * 0.84)  + (BE46 * ((212 - 4 * ((BE46 * 1000)/(4* (BF46^0.75)) - 1)) - ((140 - 4 * (((BE46 * 1000)/(4 * BF46 ^0.75)) - 1))/(1 + EXP(-6 * (BG46 - 0.4)))))) * 10^-3) / 6.25</f>
        <v>6.247194235605622E-3</v>
      </c>
      <c r="BI46">
        <f t="shared" si="53"/>
        <v>2.075630280345366E-3</v>
      </c>
      <c r="BJ46">
        <f t="shared" si="45"/>
        <v>39.774265247118073</v>
      </c>
      <c r="BL46" s="28"/>
      <c r="BY46" s="13" t="s">
        <v>232</v>
      </c>
      <c r="BZ46" s="13">
        <v>3.0000000000000001E-3</v>
      </c>
      <c r="CD46" t="s">
        <v>330</v>
      </c>
      <c r="CE46">
        <v>2E-3</v>
      </c>
      <c r="CF46" t="s">
        <v>255</v>
      </c>
    </row>
    <row r="47" spans="1:84" x14ac:dyDescent="0.2">
      <c r="E47" s="11"/>
      <c r="F47" t="s">
        <v>165</v>
      </c>
      <c r="H47">
        <v>170</v>
      </c>
      <c r="I47">
        <v>0</v>
      </c>
      <c r="J47">
        <v>0</v>
      </c>
      <c r="L47">
        <f t="shared" si="30"/>
        <v>91.25</v>
      </c>
      <c r="N47">
        <v>0.05</v>
      </c>
      <c r="P47">
        <v>0.12</v>
      </c>
      <c r="R47">
        <v>0.64</v>
      </c>
      <c r="T47">
        <v>32</v>
      </c>
      <c r="U47">
        <f t="shared" si="46"/>
        <v>4.5000000000000595E-3</v>
      </c>
      <c r="V47">
        <f>V41</f>
        <v>0.99549999999999994</v>
      </c>
      <c r="W47">
        <f>W41</f>
        <v>0.75</v>
      </c>
      <c r="X47">
        <f t="shared" si="31"/>
        <v>4.7000000000000002E-3</v>
      </c>
      <c r="Y47">
        <f t="shared" si="32"/>
        <v>0</v>
      </c>
      <c r="Z47">
        <v>0</v>
      </c>
      <c r="AA47">
        <f t="shared" si="47"/>
        <v>0</v>
      </c>
      <c r="AB47">
        <f t="shared" si="54"/>
        <v>1.3</v>
      </c>
      <c r="AC47">
        <f t="shared" si="33"/>
        <v>1</v>
      </c>
      <c r="AD47">
        <f t="shared" si="34"/>
        <v>0.50740000000000007</v>
      </c>
      <c r="AF47">
        <v>1.6</v>
      </c>
      <c r="AG47">
        <f t="shared" si="48"/>
        <v>0.99402397710499402</v>
      </c>
      <c r="AH47">
        <f t="shared" si="35"/>
        <v>0.64511931548462409</v>
      </c>
      <c r="AI47">
        <f t="shared" si="49"/>
        <v>0.64126406768527744</v>
      </c>
      <c r="AJ47">
        <f t="shared" si="36"/>
        <v>7.6951688122233283E-2</v>
      </c>
      <c r="AK47">
        <f t="shared" si="37"/>
        <v>0.08</v>
      </c>
      <c r="AL47">
        <f t="shared" si="38"/>
        <v>0.22751954066312097</v>
      </c>
      <c r="AM47">
        <f t="shared" si="39"/>
        <v>0.19</v>
      </c>
      <c r="AN47">
        <f t="shared" si="40"/>
        <v>0.6784</v>
      </c>
      <c r="AO47">
        <f t="shared" si="41"/>
        <v>9.8976460657434855E-5</v>
      </c>
      <c r="AP47">
        <f t="shared" si="42"/>
        <v>1.3721363346578752E-4</v>
      </c>
      <c r="AQ47">
        <f t="shared" si="50"/>
        <v>2.3619009412322237E-4</v>
      </c>
      <c r="AR47">
        <f t="shared" si="43"/>
        <v>3.6638988350864872</v>
      </c>
      <c r="BA47">
        <f>BA45</f>
        <v>15</v>
      </c>
      <c r="BC47">
        <f t="shared" si="51"/>
        <v>0</v>
      </c>
      <c r="BD47">
        <f>BD45</f>
        <v>3.4931506849315071E-2</v>
      </c>
      <c r="BE47">
        <f t="shared" si="44"/>
        <v>4.6000000000000006E-2</v>
      </c>
      <c r="BF47">
        <v>60</v>
      </c>
      <c r="BG47">
        <f t="shared" si="52"/>
        <v>0.53333333333333333</v>
      </c>
      <c r="BH47">
        <f t="shared" si="57"/>
        <v>5.5484231920723938E-3</v>
      </c>
      <c r="BI47">
        <f t="shared" si="53"/>
        <v>6.7638469074849323E-3</v>
      </c>
      <c r="BJ47">
        <f t="shared" si="45"/>
        <v>104.92417515236002</v>
      </c>
      <c r="BL47" s="28"/>
      <c r="BY47" s="13" t="s">
        <v>233</v>
      </c>
      <c r="BZ47" s="13">
        <v>5.0000000000000001E-3</v>
      </c>
    </row>
    <row r="48" spans="1:84" x14ac:dyDescent="0.2">
      <c r="E48" s="12"/>
      <c r="F48" t="s">
        <v>166</v>
      </c>
      <c r="H48">
        <v>200</v>
      </c>
      <c r="I48">
        <v>0</v>
      </c>
      <c r="J48">
        <v>0</v>
      </c>
      <c r="L48">
        <f t="shared" si="30"/>
        <v>91.25</v>
      </c>
      <c r="N48">
        <v>0.04</v>
      </c>
      <c r="P48">
        <v>0.18</v>
      </c>
      <c r="R48">
        <v>0.72</v>
      </c>
      <c r="T48">
        <v>34</v>
      </c>
      <c r="U48">
        <f t="shared" si="46"/>
        <v>4.5000000000000595E-3</v>
      </c>
      <c r="V48">
        <f>V41</f>
        <v>0.99549999999999994</v>
      </c>
      <c r="W48">
        <f>W41</f>
        <v>0.75</v>
      </c>
      <c r="X48">
        <f t="shared" si="31"/>
        <v>4.7000000000000002E-3</v>
      </c>
      <c r="Y48">
        <f t="shared" si="32"/>
        <v>0</v>
      </c>
      <c r="Z48">
        <v>0</v>
      </c>
      <c r="AA48">
        <f t="shared" si="47"/>
        <v>0</v>
      </c>
      <c r="AB48">
        <f t="shared" si="54"/>
        <v>1.3</v>
      </c>
      <c r="AC48">
        <f t="shared" si="33"/>
        <v>1</v>
      </c>
      <c r="AD48">
        <f t="shared" si="34"/>
        <v>0.57100000000000006</v>
      </c>
      <c r="AF48">
        <v>1.7</v>
      </c>
      <c r="AG48">
        <f t="shared" si="48"/>
        <v>0.99691128459176326</v>
      </c>
      <c r="AH48">
        <f t="shared" si="35"/>
        <v>0.77753323213623582</v>
      </c>
      <c r="AI48">
        <f t="shared" si="49"/>
        <v>0.77513165326172051</v>
      </c>
      <c r="AJ48">
        <f t="shared" si="36"/>
        <v>0.1395236975871097</v>
      </c>
      <c r="AK48">
        <f t="shared" si="37"/>
        <v>0.08</v>
      </c>
      <c r="AL48">
        <f t="shared" si="38"/>
        <v>0.22178442402010679</v>
      </c>
      <c r="AM48">
        <f t="shared" si="39"/>
        <v>0.19</v>
      </c>
      <c r="AN48">
        <f t="shared" si="40"/>
        <v>0.6784</v>
      </c>
      <c r="AO48">
        <f t="shared" si="41"/>
        <v>9.6481547274924231E-5</v>
      </c>
      <c r="AP48">
        <f t="shared" si="42"/>
        <v>1.3375487036067354E-4</v>
      </c>
      <c r="AQ48">
        <f t="shared" si="50"/>
        <v>2.3023641763559777E-4</v>
      </c>
      <c r="AR48">
        <f t="shared" si="43"/>
        <v>4.2018146218496595</v>
      </c>
      <c r="BA48">
        <f>BA45</f>
        <v>15</v>
      </c>
      <c r="BC48">
        <f t="shared" si="51"/>
        <v>0</v>
      </c>
      <c r="BD48">
        <f>BD45</f>
        <v>3.4931506849315071E-2</v>
      </c>
      <c r="BE48">
        <f t="shared" si="44"/>
        <v>3.6799999999999999E-2</v>
      </c>
      <c r="BF48">
        <v>60</v>
      </c>
      <c r="BG48">
        <f t="shared" si="52"/>
        <v>0.56666666666666665</v>
      </c>
      <c r="BH48">
        <f t="shared" si="57"/>
        <v>5.3440553352755134E-3</v>
      </c>
      <c r="BI48">
        <f t="shared" si="53"/>
        <v>1.697973627866204E-2</v>
      </c>
      <c r="BJ48">
        <f t="shared" si="45"/>
        <v>309.88018708558224</v>
      </c>
      <c r="BL48" s="28"/>
      <c r="BY48" s="13" t="s">
        <v>223</v>
      </c>
      <c r="BZ48" s="13">
        <v>2.5999999999999999E-3</v>
      </c>
    </row>
    <row r="49" spans="5:78" x14ac:dyDescent="0.2">
      <c r="E49" s="11" t="s">
        <v>168</v>
      </c>
      <c r="F49" t="s">
        <v>163</v>
      </c>
      <c r="H49">
        <v>100</v>
      </c>
      <c r="I49">
        <v>95</v>
      </c>
      <c r="J49">
        <v>92</v>
      </c>
      <c r="L49">
        <f t="shared" si="30"/>
        <v>91.25</v>
      </c>
      <c r="N49">
        <v>7.0000000000000007E-2</v>
      </c>
      <c r="P49">
        <v>0.2</v>
      </c>
      <c r="R49">
        <v>0.75</v>
      </c>
      <c r="T49">
        <v>44</v>
      </c>
      <c r="U49">
        <f t="shared" si="46"/>
        <v>4.5000000000000595E-3</v>
      </c>
      <c r="V49">
        <f>V41</f>
        <v>0.99549999999999994</v>
      </c>
      <c r="W49">
        <f>W41</f>
        <v>0.75</v>
      </c>
      <c r="X49">
        <f t="shared" si="31"/>
        <v>4.7000000000000002E-3</v>
      </c>
      <c r="Y49">
        <f t="shared" si="32"/>
        <v>0.874</v>
      </c>
      <c r="Z49">
        <v>0</v>
      </c>
      <c r="AA49">
        <f t="shared" si="47"/>
        <v>0</v>
      </c>
      <c r="AB49">
        <f t="shared" si="54"/>
        <v>1.3</v>
      </c>
      <c r="AC49">
        <f t="shared" si="33"/>
        <v>1.2622</v>
      </c>
      <c r="AD49">
        <f t="shared" si="34"/>
        <v>0.5948500000000001</v>
      </c>
      <c r="AF49">
        <v>2.9</v>
      </c>
      <c r="AG49">
        <f t="shared" si="48"/>
        <v>0.9999999504359468</v>
      </c>
      <c r="AH49">
        <f t="shared" si="35"/>
        <v>1.0385156413271623</v>
      </c>
      <c r="AI49">
        <f t="shared" si="49"/>
        <v>1.3108143775138676</v>
      </c>
      <c r="AJ49">
        <f t="shared" si="36"/>
        <v>0.26216287550277356</v>
      </c>
      <c r="AK49">
        <f t="shared" si="37"/>
        <v>0.08</v>
      </c>
      <c r="AL49">
        <f t="shared" si="38"/>
        <v>0.36471833025672168</v>
      </c>
      <c r="AM49">
        <f t="shared" si="39"/>
        <v>0.19</v>
      </c>
      <c r="AN49">
        <f t="shared" si="40"/>
        <v>0.6784</v>
      </c>
      <c r="AO49">
        <f t="shared" si="41"/>
        <v>1.5866122690160218E-4</v>
      </c>
      <c r="AP49">
        <f t="shared" si="42"/>
        <v>2.1995617229290414E-4</v>
      </c>
      <c r="AQ49">
        <f t="shared" si="50"/>
        <v>3.7861739919450632E-4</v>
      </c>
      <c r="AR49">
        <f t="shared" si="43"/>
        <v>3.45488376764987</v>
      </c>
      <c r="BA49">
        <v>18</v>
      </c>
      <c r="BB49">
        <v>0.8</v>
      </c>
      <c r="BC49">
        <f t="shared" si="51"/>
        <v>1.3984000000000001</v>
      </c>
      <c r="BD49">
        <f t="shared" ref="BD49" si="58">(BA49 * BB49) / 365</f>
        <v>3.9452054794520547E-2</v>
      </c>
      <c r="BE49">
        <f t="shared" si="44"/>
        <v>6.4400000000000013E-2</v>
      </c>
      <c r="BF49">
        <v>57</v>
      </c>
      <c r="BG49">
        <f t="shared" si="52"/>
        <v>0.77192982456140347</v>
      </c>
      <c r="BH49">
        <f t="shared" si="57"/>
        <v>1.6253475478570988E-2</v>
      </c>
      <c r="BI49">
        <f t="shared" si="53"/>
        <v>2.5692584601872782E-2</v>
      </c>
      <c r="BJ49">
        <f t="shared" si="45"/>
        <v>234.44483449208911</v>
      </c>
      <c r="BL49" s="28"/>
      <c r="BY49" s="13" t="s">
        <v>234</v>
      </c>
      <c r="BZ49" s="13">
        <v>1.8E-3</v>
      </c>
    </row>
    <row r="50" spans="5:78" x14ac:dyDescent="0.2">
      <c r="E50" s="12"/>
      <c r="F50" t="s">
        <v>164</v>
      </c>
      <c r="H50">
        <v>140</v>
      </c>
      <c r="I50">
        <v>0</v>
      </c>
      <c r="J50">
        <v>0</v>
      </c>
      <c r="L50">
        <f t="shared" si="30"/>
        <v>91.25</v>
      </c>
      <c r="N50">
        <v>0</v>
      </c>
      <c r="P50">
        <v>0.1</v>
      </c>
      <c r="R50">
        <v>0.61</v>
      </c>
      <c r="T50">
        <v>42</v>
      </c>
      <c r="U50">
        <f t="shared" si="46"/>
        <v>4.5000000000000595E-3</v>
      </c>
      <c r="V50">
        <f>V41</f>
        <v>0.99549999999999994</v>
      </c>
      <c r="W50">
        <f>W41</f>
        <v>0.75</v>
      </c>
      <c r="X50">
        <f t="shared" si="31"/>
        <v>4.7000000000000002E-3</v>
      </c>
      <c r="Y50">
        <f t="shared" si="32"/>
        <v>0</v>
      </c>
      <c r="Z50">
        <v>0</v>
      </c>
      <c r="AA50">
        <f t="shared" si="47"/>
        <v>0</v>
      </c>
      <c r="AB50">
        <f t="shared" si="54"/>
        <v>1.3</v>
      </c>
      <c r="AC50">
        <f t="shared" si="33"/>
        <v>1</v>
      </c>
      <c r="AD50">
        <f t="shared" si="34"/>
        <v>0.48354999999999998</v>
      </c>
      <c r="AF50">
        <v>2.5</v>
      </c>
      <c r="AG50">
        <f t="shared" si="48"/>
        <v>0.99999627334682795</v>
      </c>
      <c r="AH50">
        <f t="shared" si="35"/>
        <v>0.80052120768394575</v>
      </c>
      <c r="AI50">
        <f t="shared" si="49"/>
        <v>0.80051822441904785</v>
      </c>
      <c r="AJ50">
        <f t="shared" si="36"/>
        <v>8.0051822441904785E-2</v>
      </c>
      <c r="AK50">
        <f t="shared" si="37"/>
        <v>0.08</v>
      </c>
      <c r="AL50">
        <f t="shared" si="38"/>
        <v>0.31080846185822891</v>
      </c>
      <c r="AM50">
        <f t="shared" si="39"/>
        <v>0.19</v>
      </c>
      <c r="AN50">
        <f t="shared" si="40"/>
        <v>0.6784</v>
      </c>
      <c r="AO50">
        <f t="shared" si="41"/>
        <v>1.3520914031141595E-4</v>
      </c>
      <c r="AP50">
        <f t="shared" si="42"/>
        <v>1.8744393663586969E-4</v>
      </c>
      <c r="AQ50">
        <f t="shared" si="50"/>
        <v>3.2265307694728568E-4</v>
      </c>
      <c r="AR50">
        <f t="shared" si="43"/>
        <v>4.1218930580015742</v>
      </c>
      <c r="BA50">
        <f>BA49</f>
        <v>18</v>
      </c>
      <c r="BC50">
        <f t="shared" si="51"/>
        <v>0</v>
      </c>
      <c r="BD50">
        <f>BD49</f>
        <v>3.9452054794520547E-2</v>
      </c>
      <c r="BE50">
        <f t="shared" si="44"/>
        <v>0</v>
      </c>
      <c r="BF50">
        <v>57</v>
      </c>
      <c r="BG50">
        <f t="shared" si="52"/>
        <v>0.73684210526315785</v>
      </c>
      <c r="BH50">
        <f t="shared" si="57"/>
        <v>5.3023561643835617E-3</v>
      </c>
      <c r="BI50">
        <f t="shared" si="53"/>
        <v>7.5059354263212041E-3</v>
      </c>
      <c r="BJ50">
        <f t="shared" si="45"/>
        <v>95.888325071253377</v>
      </c>
      <c r="BL50" s="28"/>
    </row>
    <row r="51" spans="5:78" x14ac:dyDescent="0.2">
      <c r="E51" s="11"/>
      <c r="F51" t="s">
        <v>165</v>
      </c>
      <c r="H51">
        <v>135</v>
      </c>
      <c r="I51">
        <v>0</v>
      </c>
      <c r="J51">
        <v>0</v>
      </c>
      <c r="L51">
        <f t="shared" si="30"/>
        <v>91.25</v>
      </c>
      <c r="N51">
        <v>0</v>
      </c>
      <c r="P51">
        <v>0.12</v>
      </c>
      <c r="R51">
        <v>0.64</v>
      </c>
      <c r="T51">
        <v>43</v>
      </c>
      <c r="U51">
        <f t="shared" si="46"/>
        <v>4.5000000000000595E-3</v>
      </c>
      <c r="V51">
        <f>V41</f>
        <v>0.99549999999999994</v>
      </c>
      <c r="W51">
        <f>W41</f>
        <v>0.75</v>
      </c>
      <c r="X51">
        <f t="shared" si="31"/>
        <v>4.7000000000000002E-3</v>
      </c>
      <c r="Y51">
        <f t="shared" si="32"/>
        <v>0</v>
      </c>
      <c r="Z51">
        <v>0</v>
      </c>
      <c r="AA51">
        <f t="shared" si="47"/>
        <v>0</v>
      </c>
      <c r="AB51">
        <f t="shared" si="54"/>
        <v>1.3</v>
      </c>
      <c r="AC51">
        <f t="shared" si="33"/>
        <v>1</v>
      </c>
      <c r="AD51">
        <f t="shared" si="34"/>
        <v>0.50740000000000007</v>
      </c>
      <c r="AF51">
        <v>1.6</v>
      </c>
      <c r="AG51">
        <f t="shared" si="48"/>
        <v>0.99402397710499402</v>
      </c>
      <c r="AH51">
        <f t="shared" si="35"/>
        <v>0.86186034677094148</v>
      </c>
      <c r="AI51">
        <f t="shared" si="49"/>
        <v>0.85670984960634056</v>
      </c>
      <c r="AJ51">
        <f t="shared" si="36"/>
        <v>0.10280518195276087</v>
      </c>
      <c r="AK51">
        <f t="shared" si="37"/>
        <v>0.08</v>
      </c>
      <c r="AL51">
        <f t="shared" si="38"/>
        <v>0.31075172719360067</v>
      </c>
      <c r="AM51">
        <f t="shared" si="39"/>
        <v>0.19</v>
      </c>
      <c r="AN51">
        <f t="shared" si="40"/>
        <v>0.6784</v>
      </c>
      <c r="AO51">
        <f t="shared" si="41"/>
        <v>1.3518445937067073E-4</v>
      </c>
      <c r="AP51">
        <f t="shared" si="42"/>
        <v>1.8740972080783831E-4</v>
      </c>
      <c r="AQ51">
        <f t="shared" si="50"/>
        <v>3.2259418017850904E-4</v>
      </c>
      <c r="AR51">
        <f t="shared" si="43"/>
        <v>3.9739570570740086</v>
      </c>
      <c r="BA51">
        <f>BA49</f>
        <v>18</v>
      </c>
      <c r="BC51">
        <f t="shared" si="51"/>
        <v>0</v>
      </c>
      <c r="BD51">
        <f>BD49</f>
        <v>3.9452054794520547E-2</v>
      </c>
      <c r="BE51">
        <f t="shared" si="44"/>
        <v>0</v>
      </c>
      <c r="BF51">
        <v>57</v>
      </c>
      <c r="BG51">
        <f t="shared" si="52"/>
        <v>0.75438596491228072</v>
      </c>
      <c r="BH51">
        <f t="shared" si="57"/>
        <v>5.3023561643835617E-3</v>
      </c>
      <c r="BI51">
        <f t="shared" si="53"/>
        <v>1.1146472948058176E-2</v>
      </c>
      <c r="BJ51">
        <f t="shared" si="45"/>
        <v>137.31061362889167</v>
      </c>
      <c r="BL51" s="28"/>
    </row>
    <row r="52" spans="5:78" x14ac:dyDescent="0.2">
      <c r="E52" s="12"/>
      <c r="F52" t="s">
        <v>166</v>
      </c>
      <c r="H52">
        <v>130</v>
      </c>
      <c r="I52">
        <v>0</v>
      </c>
      <c r="J52">
        <v>0</v>
      </c>
      <c r="L52">
        <f t="shared" si="30"/>
        <v>91.25</v>
      </c>
      <c r="N52">
        <v>0.02</v>
      </c>
      <c r="P52">
        <v>0.18</v>
      </c>
      <c r="R52">
        <v>0.72</v>
      </c>
      <c r="T52">
        <v>45</v>
      </c>
      <c r="U52">
        <f t="shared" si="46"/>
        <v>4.5000000000000595E-3</v>
      </c>
      <c r="V52">
        <f>V41</f>
        <v>0.99549999999999994</v>
      </c>
      <c r="W52">
        <f>W41</f>
        <v>0.75</v>
      </c>
      <c r="X52">
        <f t="shared" si="31"/>
        <v>4.7000000000000002E-3</v>
      </c>
      <c r="Y52">
        <f t="shared" si="32"/>
        <v>0</v>
      </c>
      <c r="Z52">
        <v>0</v>
      </c>
      <c r="AA52">
        <f t="shared" si="47"/>
        <v>0</v>
      </c>
      <c r="AB52">
        <f t="shared" si="54"/>
        <v>1.3</v>
      </c>
      <c r="AC52">
        <f t="shared" si="33"/>
        <v>1</v>
      </c>
      <c r="AD52">
        <f t="shared" si="34"/>
        <v>0.57100000000000006</v>
      </c>
      <c r="AF52">
        <v>1.7</v>
      </c>
      <c r="AG52">
        <f t="shared" si="48"/>
        <v>0.99691128459176326</v>
      </c>
      <c r="AH52">
        <f t="shared" si="35"/>
        <v>1.0181162441707754</v>
      </c>
      <c r="AI52">
        <f t="shared" si="49"/>
        <v>1.014971572840029</v>
      </c>
      <c r="AJ52">
        <f t="shared" si="36"/>
        <v>0.18269488311120521</v>
      </c>
      <c r="AK52">
        <f t="shared" si="37"/>
        <v>0.08</v>
      </c>
      <c r="AL52">
        <f t="shared" si="38"/>
        <v>0.29936683357077126</v>
      </c>
      <c r="AM52">
        <f t="shared" si="39"/>
        <v>0.19</v>
      </c>
      <c r="AN52">
        <f t="shared" si="40"/>
        <v>0.6784</v>
      </c>
      <c r="AO52">
        <f t="shared" si="41"/>
        <v>1.3023175740729291E-4</v>
      </c>
      <c r="AP52">
        <f t="shared" si="42"/>
        <v>1.8054366167262351E-4</v>
      </c>
      <c r="AQ52">
        <f t="shared" si="50"/>
        <v>3.1077541907991639E-4</v>
      </c>
      <c r="AR52">
        <f t="shared" si="43"/>
        <v>3.6865734088355082</v>
      </c>
      <c r="BA52">
        <f>BA49</f>
        <v>18</v>
      </c>
      <c r="BC52">
        <f t="shared" si="51"/>
        <v>0</v>
      </c>
      <c r="BD52">
        <f>BD49</f>
        <v>3.9452054794520547E-2</v>
      </c>
      <c r="BE52">
        <f t="shared" si="44"/>
        <v>1.84E-2</v>
      </c>
      <c r="BF52">
        <v>57</v>
      </c>
      <c r="BG52">
        <f t="shared" si="52"/>
        <v>0.78947368421052633</v>
      </c>
      <c r="BH52">
        <f t="shared" si="57"/>
        <v>5.5514501759816046E-3</v>
      </c>
      <c r="BI52">
        <f t="shared" si="53"/>
        <v>2.367973112181123E-2</v>
      </c>
      <c r="BJ52">
        <f t="shared" si="45"/>
        <v>280.90081043248574</v>
      </c>
      <c r="BL52" s="28"/>
    </row>
    <row r="53" spans="5:78" x14ac:dyDescent="0.2">
      <c r="E53" s="11" t="s">
        <v>170</v>
      </c>
      <c r="F53" t="s">
        <v>163</v>
      </c>
      <c r="H53">
        <v>200</v>
      </c>
      <c r="I53">
        <v>0</v>
      </c>
      <c r="J53">
        <v>0</v>
      </c>
      <c r="L53">
        <f t="shared" si="30"/>
        <v>91.25</v>
      </c>
      <c r="N53">
        <v>0.05</v>
      </c>
      <c r="P53">
        <v>0.2</v>
      </c>
      <c r="R53">
        <v>0.75</v>
      </c>
      <c r="T53">
        <v>56</v>
      </c>
      <c r="U53">
        <f t="shared" si="46"/>
        <v>4.5000000000000595E-3</v>
      </c>
      <c r="V53">
        <f>V41</f>
        <v>0.99549999999999994</v>
      </c>
      <c r="W53">
        <f>W41</f>
        <v>0.75</v>
      </c>
      <c r="X53">
        <f t="shared" si="31"/>
        <v>4.7000000000000002E-3</v>
      </c>
      <c r="Y53">
        <f t="shared" si="32"/>
        <v>0</v>
      </c>
      <c r="Z53">
        <v>0</v>
      </c>
      <c r="AA53">
        <f t="shared" si="47"/>
        <v>0</v>
      </c>
      <c r="AB53">
        <f t="shared" si="54"/>
        <v>1.3</v>
      </c>
      <c r="AC53">
        <f t="shared" si="33"/>
        <v>1</v>
      </c>
      <c r="AD53">
        <f t="shared" si="34"/>
        <v>0.5948500000000001</v>
      </c>
      <c r="AF53">
        <v>2.9</v>
      </c>
      <c r="AG53">
        <f t="shared" si="48"/>
        <v>0.9999999504359468</v>
      </c>
      <c r="AH53">
        <f t="shared" si="35"/>
        <v>1.3198285488795851</v>
      </c>
      <c r="AI53">
        <f t="shared" si="49"/>
        <v>1.3198284834635328</v>
      </c>
      <c r="AJ53">
        <f t="shared" si="36"/>
        <v>0.26396569669270659</v>
      </c>
      <c r="AK53">
        <f t="shared" si="37"/>
        <v>0.08</v>
      </c>
      <c r="AL53">
        <f t="shared" si="38"/>
        <v>0.3676642091046412</v>
      </c>
      <c r="AM53">
        <f t="shared" si="39"/>
        <v>0.19</v>
      </c>
      <c r="AN53">
        <f t="shared" si="40"/>
        <v>0.6784</v>
      </c>
      <c r="AO53">
        <f t="shared" si="41"/>
        <v>1.5994275490153958E-4</v>
      </c>
      <c r="AP53">
        <f t="shared" si="42"/>
        <v>2.2173278778401734E-4</v>
      </c>
      <c r="AQ53">
        <f t="shared" si="50"/>
        <v>3.8167554268555691E-4</v>
      </c>
      <c r="AR53">
        <f t="shared" si="43"/>
        <v>6.9655786540114137</v>
      </c>
      <c r="BA53">
        <v>20</v>
      </c>
      <c r="BB53">
        <v>0.8</v>
      </c>
      <c r="BC53">
        <f t="shared" si="51"/>
        <v>0</v>
      </c>
      <c r="BD53">
        <f t="shared" ref="BD53" si="59">(BA53 * BB53) / 365</f>
        <v>4.3835616438356165E-2</v>
      </c>
      <c r="BE53">
        <f t="shared" si="44"/>
        <v>4.6000000000000006E-2</v>
      </c>
      <c r="BF53">
        <v>57</v>
      </c>
      <c r="BG53">
        <f t="shared" si="52"/>
        <v>0.98245614035087714</v>
      </c>
      <c r="BH53">
        <f t="shared" si="57"/>
        <v>6.4521713957214491E-3</v>
      </c>
      <c r="BI53">
        <f t="shared" si="53"/>
        <v>3.5782340075111607E-2</v>
      </c>
      <c r="BJ53">
        <f t="shared" si="45"/>
        <v>653.02770637078686</v>
      </c>
      <c r="BL53" s="28"/>
    </row>
    <row r="54" spans="5:78" x14ac:dyDescent="0.2">
      <c r="E54" s="12"/>
      <c r="F54" t="s">
        <v>164</v>
      </c>
      <c r="H54">
        <v>210</v>
      </c>
      <c r="I54">
        <v>0</v>
      </c>
      <c r="J54">
        <v>0</v>
      </c>
      <c r="L54">
        <f t="shared" si="30"/>
        <v>91.25</v>
      </c>
      <c r="N54">
        <v>-0.05</v>
      </c>
      <c r="P54">
        <v>0.1</v>
      </c>
      <c r="R54">
        <v>0.61</v>
      </c>
      <c r="T54">
        <v>51</v>
      </c>
      <c r="U54">
        <f t="shared" si="46"/>
        <v>4.5000000000000595E-3</v>
      </c>
      <c r="V54">
        <f>V41</f>
        <v>0.99549999999999994</v>
      </c>
      <c r="W54">
        <f>W41</f>
        <v>0.75</v>
      </c>
      <c r="X54">
        <f t="shared" si="31"/>
        <v>4.7000000000000002E-3</v>
      </c>
      <c r="Y54">
        <f t="shared" si="32"/>
        <v>0</v>
      </c>
      <c r="Z54">
        <v>0</v>
      </c>
      <c r="AA54">
        <f t="shared" si="47"/>
        <v>0</v>
      </c>
      <c r="AB54">
        <f t="shared" si="54"/>
        <v>1.3</v>
      </c>
      <c r="AC54">
        <f t="shared" si="33"/>
        <v>1</v>
      </c>
      <c r="AD54">
        <f t="shared" si="34"/>
        <v>0.48354999999999998</v>
      </c>
      <c r="AF54">
        <v>2.5</v>
      </c>
      <c r="AG54">
        <f t="shared" si="48"/>
        <v>0.99999627334682795</v>
      </c>
      <c r="AH54">
        <f t="shared" si="35"/>
        <v>0.97873546256970145</v>
      </c>
      <c r="AI54">
        <f t="shared" si="49"/>
        <v>0.97873181516208529</v>
      </c>
      <c r="AJ54">
        <f t="shared" si="36"/>
        <v>9.7873181516208538E-2</v>
      </c>
      <c r="AK54">
        <f t="shared" si="37"/>
        <v>0.08</v>
      </c>
      <c r="AL54">
        <f t="shared" si="38"/>
        <v>0.38642028282934154</v>
      </c>
      <c r="AM54">
        <f t="shared" si="39"/>
        <v>0.19</v>
      </c>
      <c r="AN54">
        <f t="shared" si="40"/>
        <v>0.6784</v>
      </c>
      <c r="AO54">
        <f t="shared" si="41"/>
        <v>1.6810209711755372E-4</v>
      </c>
      <c r="AP54">
        <f t="shared" si="42"/>
        <v>2.3304429543657951E-4</v>
      </c>
      <c r="AQ54">
        <f t="shared" si="50"/>
        <v>4.011463925541332E-4</v>
      </c>
      <c r="AR54">
        <f t="shared" si="43"/>
        <v>7.6869677473185778</v>
      </c>
      <c r="BA54">
        <f>BA53</f>
        <v>20</v>
      </c>
      <c r="BC54">
        <f t="shared" si="51"/>
        <v>0</v>
      </c>
      <c r="BD54">
        <f>BD53</f>
        <v>4.3835616438356165E-2</v>
      </c>
      <c r="BE54">
        <f t="shared" si="44"/>
        <v>-4.6000000000000006E-2</v>
      </c>
      <c r="BF54">
        <v>57</v>
      </c>
      <c r="BG54">
        <f t="shared" si="52"/>
        <v>0.89473684210526316</v>
      </c>
      <c r="BH54">
        <f t="shared" si="57"/>
        <v>5.3089915920333389E-3</v>
      </c>
      <c r="BI54">
        <f t="shared" si="53"/>
        <v>1.0350717450560029E-2</v>
      </c>
      <c r="BJ54">
        <f t="shared" si="45"/>
        <v>198.34562314635656</v>
      </c>
      <c r="BL54" s="28"/>
    </row>
    <row r="55" spans="5:78" x14ac:dyDescent="0.2">
      <c r="E55" s="11"/>
      <c r="F55" t="s">
        <v>165</v>
      </c>
      <c r="H55">
        <v>190</v>
      </c>
      <c r="I55">
        <v>0</v>
      </c>
      <c r="J55">
        <v>0</v>
      </c>
      <c r="L55">
        <f t="shared" si="30"/>
        <v>91.25</v>
      </c>
      <c r="N55">
        <v>-0.01</v>
      </c>
      <c r="P55">
        <v>0.12</v>
      </c>
      <c r="R55">
        <v>0.64</v>
      </c>
      <c r="T55">
        <v>50</v>
      </c>
      <c r="U55">
        <f t="shared" si="46"/>
        <v>4.5000000000000595E-3</v>
      </c>
      <c r="V55">
        <f>V41</f>
        <v>0.99549999999999994</v>
      </c>
      <c r="W55">
        <f>W41</f>
        <v>0.75</v>
      </c>
      <c r="X55">
        <f t="shared" si="31"/>
        <v>4.7000000000000002E-3</v>
      </c>
      <c r="Y55">
        <f t="shared" si="32"/>
        <v>0</v>
      </c>
      <c r="Z55">
        <v>0</v>
      </c>
      <c r="AA55">
        <f t="shared" si="47"/>
        <v>0</v>
      </c>
      <c r="AB55">
        <f t="shared" si="54"/>
        <v>1.3</v>
      </c>
      <c r="AC55">
        <f t="shared" si="33"/>
        <v>1</v>
      </c>
      <c r="AD55">
        <f t="shared" si="34"/>
        <v>0.50740000000000007</v>
      </c>
      <c r="AF55">
        <v>1.6</v>
      </c>
      <c r="AG55">
        <f t="shared" si="48"/>
        <v>0.99402397710499402</v>
      </c>
      <c r="AH55">
        <f t="shared" si="35"/>
        <v>1.0054871153505722</v>
      </c>
      <c r="AI55">
        <f t="shared" si="49"/>
        <v>0.99947830132860371</v>
      </c>
      <c r="AJ55">
        <f t="shared" si="36"/>
        <v>0.11993739615943244</v>
      </c>
      <c r="AK55">
        <f t="shared" si="37"/>
        <v>0.08</v>
      </c>
      <c r="AL55">
        <f t="shared" si="38"/>
        <v>0.36778882639365651</v>
      </c>
      <c r="AM55">
        <f t="shared" si="39"/>
        <v>0.19</v>
      </c>
      <c r="AN55">
        <f t="shared" si="40"/>
        <v>0.6784</v>
      </c>
      <c r="AO55">
        <f t="shared" si="41"/>
        <v>1.5999696641307614E-4</v>
      </c>
      <c r="AP55">
        <f t="shared" si="42"/>
        <v>2.2180794260794414E-4</v>
      </c>
      <c r="AQ55">
        <f t="shared" si="50"/>
        <v>3.8180490902102026E-4</v>
      </c>
      <c r="AR55">
        <f t="shared" si="43"/>
        <v>6.6195426101519388</v>
      </c>
      <c r="BA55">
        <f>BA53</f>
        <v>20</v>
      </c>
      <c r="BC55">
        <f t="shared" si="51"/>
        <v>0</v>
      </c>
      <c r="BD55">
        <f>BD53</f>
        <v>4.3835616438356165E-2</v>
      </c>
      <c r="BE55">
        <f t="shared" si="44"/>
        <v>-9.1999999999999998E-3</v>
      </c>
      <c r="BF55">
        <v>57</v>
      </c>
      <c r="BG55">
        <f t="shared" si="52"/>
        <v>0.8771929824561403</v>
      </c>
      <c r="BH55">
        <f t="shared" si="57"/>
        <v>5.7740402323365947E-3</v>
      </c>
      <c r="BI55">
        <f t="shared" si="53"/>
        <v>1.3415943153172596E-2</v>
      </c>
      <c r="BJ55">
        <f t="shared" si="45"/>
        <v>232.59891441812988</v>
      </c>
      <c r="BL55" s="28"/>
    </row>
    <row r="56" spans="5:78" x14ac:dyDescent="0.2">
      <c r="E56" s="12"/>
      <c r="F56" t="s">
        <v>166</v>
      </c>
      <c r="H56">
        <v>180</v>
      </c>
      <c r="I56">
        <v>0</v>
      </c>
      <c r="J56">
        <v>0</v>
      </c>
      <c r="L56">
        <f t="shared" si="30"/>
        <v>91.25</v>
      </c>
      <c r="N56">
        <v>0.01</v>
      </c>
      <c r="P56">
        <v>0.18</v>
      </c>
      <c r="R56">
        <v>0.72</v>
      </c>
      <c r="T56">
        <v>51</v>
      </c>
      <c r="U56">
        <f t="shared" si="46"/>
        <v>4.5000000000000595E-3</v>
      </c>
      <c r="V56">
        <f>V41</f>
        <v>0.99549999999999994</v>
      </c>
      <c r="W56">
        <f>W41</f>
        <v>0.75</v>
      </c>
      <c r="X56">
        <f t="shared" si="31"/>
        <v>4.7000000000000002E-3</v>
      </c>
      <c r="Y56">
        <f t="shared" si="32"/>
        <v>0</v>
      </c>
      <c r="Z56">
        <v>0</v>
      </c>
      <c r="AA56">
        <f t="shared" si="47"/>
        <v>0</v>
      </c>
      <c r="AB56">
        <f t="shared" si="54"/>
        <v>1.3</v>
      </c>
      <c r="AC56">
        <f t="shared" si="33"/>
        <v>1</v>
      </c>
      <c r="AD56">
        <f t="shared" si="34"/>
        <v>0.57100000000000006</v>
      </c>
      <c r="AF56">
        <v>1.7</v>
      </c>
      <c r="AG56">
        <f t="shared" si="48"/>
        <v>0.99691128459176326</v>
      </c>
      <c r="AH56">
        <f t="shared" si="35"/>
        <v>1.1534721617679149</v>
      </c>
      <c r="AI56">
        <f t="shared" si="49"/>
        <v>1.1499094145288902</v>
      </c>
      <c r="AJ56">
        <f t="shared" si="36"/>
        <v>0.20698369461520022</v>
      </c>
      <c r="AK56">
        <f t="shared" si="37"/>
        <v>0.08</v>
      </c>
      <c r="AL56">
        <f t="shared" si="38"/>
        <v>0.34487699833033825</v>
      </c>
      <c r="AM56">
        <f t="shared" si="39"/>
        <v>0.19</v>
      </c>
      <c r="AN56">
        <f t="shared" si="40"/>
        <v>0.6784</v>
      </c>
      <c r="AO56">
        <f t="shared" si="41"/>
        <v>1.5002977132165903E-4</v>
      </c>
      <c r="AP56">
        <f t="shared" si="42"/>
        <v>2.0799016164395117E-4</v>
      </c>
      <c r="AQ56">
        <f t="shared" si="50"/>
        <v>3.5801993296561021E-4</v>
      </c>
      <c r="AR56">
        <f t="shared" si="43"/>
        <v>5.8804773989601475</v>
      </c>
      <c r="BA56">
        <f>BA53</f>
        <v>20</v>
      </c>
      <c r="BC56">
        <f t="shared" si="51"/>
        <v>0</v>
      </c>
      <c r="BD56">
        <f>BD53</f>
        <v>4.3835616438356165E-2</v>
      </c>
      <c r="BE56">
        <f t="shared" si="44"/>
        <v>9.1999999999999998E-3</v>
      </c>
      <c r="BF56">
        <v>57</v>
      </c>
      <c r="BG56">
        <f t="shared" si="52"/>
        <v>0.89473684210526316</v>
      </c>
      <c r="BH56">
        <f t="shared" si="57"/>
        <v>6.0078184706201763E-3</v>
      </c>
      <c r="BI56">
        <f t="shared" si="53"/>
        <v>2.7109572667811856E-2</v>
      </c>
      <c r="BJ56">
        <f t="shared" si="45"/>
        <v>445.27473106880979</v>
      </c>
      <c r="BL56" s="28"/>
    </row>
    <row r="57" spans="5:78" x14ac:dyDescent="0.2">
      <c r="E57" s="11" t="s">
        <v>162</v>
      </c>
      <c r="F57" t="s">
        <v>163</v>
      </c>
      <c r="H57">
        <v>50</v>
      </c>
      <c r="I57">
        <v>0</v>
      </c>
      <c r="J57">
        <v>0</v>
      </c>
      <c r="L57">
        <f t="shared" si="30"/>
        <v>91.25</v>
      </c>
      <c r="N57">
        <v>7.0000000000000007E-2</v>
      </c>
      <c r="P57">
        <v>0.2</v>
      </c>
      <c r="R57">
        <v>0.75</v>
      </c>
      <c r="T57">
        <v>75</v>
      </c>
      <c r="U57">
        <f t="shared" si="46"/>
        <v>4.5000000000000595E-3</v>
      </c>
      <c r="V57">
        <f>V41</f>
        <v>0.99549999999999994</v>
      </c>
      <c r="W57">
        <f>W41</f>
        <v>0.75</v>
      </c>
      <c r="X57">
        <f t="shared" si="31"/>
        <v>4.7000000000000002E-3</v>
      </c>
      <c r="Y57">
        <f t="shared" si="32"/>
        <v>0</v>
      </c>
      <c r="Z57">
        <v>0</v>
      </c>
      <c r="AA57">
        <f t="shared" si="47"/>
        <v>0</v>
      </c>
      <c r="AB57">
        <f t="shared" si="54"/>
        <v>1.3</v>
      </c>
      <c r="AC57">
        <f t="shared" si="33"/>
        <v>1</v>
      </c>
      <c r="AD57">
        <f t="shared" si="34"/>
        <v>0.5948500000000001</v>
      </c>
      <c r="AF57">
        <v>2.9</v>
      </c>
      <c r="AG57">
        <f t="shared" si="48"/>
        <v>0.9999999504359468</v>
      </c>
      <c r="AH57">
        <f t="shared" si="35"/>
        <v>1.7917898456122741</v>
      </c>
      <c r="AI57">
        <f t="shared" si="49"/>
        <v>1.7917897568039067</v>
      </c>
      <c r="AJ57">
        <f t="shared" si="36"/>
        <v>0.35835795136078136</v>
      </c>
      <c r="AK57">
        <f t="shared" si="37"/>
        <v>0.08</v>
      </c>
      <c r="AL57">
        <f t="shared" si="38"/>
        <v>0.53025843166411502</v>
      </c>
      <c r="AM57">
        <f t="shared" si="39"/>
        <v>0.19</v>
      </c>
      <c r="AN57">
        <f t="shared" si="40"/>
        <v>0.6784</v>
      </c>
      <c r="AO57">
        <f t="shared" si="41"/>
        <v>2.3067514397625299E-4</v>
      </c>
      <c r="AP57">
        <f t="shared" si="42"/>
        <v>3.1979093256097102E-4</v>
      </c>
      <c r="AQ57">
        <f t="shared" si="50"/>
        <v>5.5046607653722404E-4</v>
      </c>
      <c r="AR57">
        <f t="shared" si="43"/>
        <v>2.5115014742010846</v>
      </c>
      <c r="BA57">
        <v>15</v>
      </c>
      <c r="BB57">
        <v>0.85</v>
      </c>
      <c r="BC57">
        <f t="shared" si="51"/>
        <v>0</v>
      </c>
      <c r="BD57">
        <f t="shared" ref="BD57" si="60">(BA57 * BB57) / 365</f>
        <v>3.4931506849315071E-2</v>
      </c>
      <c r="BE57">
        <f t="shared" si="44"/>
        <v>6.4400000000000013E-2</v>
      </c>
      <c r="BF57">
        <v>78</v>
      </c>
      <c r="BG57">
        <f t="shared" si="52"/>
        <v>0.96153846153846156</v>
      </c>
      <c r="BH57">
        <f t="shared" si="57"/>
        <v>5.4852081169471656E-3</v>
      </c>
      <c r="BI57">
        <f>MAX((AJ57  / 6.25 ) - BH57, 0)</f>
        <v>5.1852064100777855E-2</v>
      </c>
      <c r="BJ57">
        <f t="shared" si="45"/>
        <v>236.57504245979894</v>
      </c>
      <c r="BL57" s="28"/>
    </row>
    <row r="58" spans="5:78" x14ac:dyDescent="0.2">
      <c r="E58" s="12"/>
      <c r="F58" t="s">
        <v>164</v>
      </c>
      <c r="H58">
        <v>55</v>
      </c>
      <c r="I58">
        <v>0</v>
      </c>
      <c r="J58">
        <v>0</v>
      </c>
      <c r="L58">
        <f t="shared" si="30"/>
        <v>91.25</v>
      </c>
      <c r="N58">
        <v>0</v>
      </c>
      <c r="P58">
        <v>0.1</v>
      </c>
      <c r="R58">
        <v>0.61</v>
      </c>
      <c r="T58">
        <v>75</v>
      </c>
      <c r="U58">
        <f t="shared" si="46"/>
        <v>4.5000000000000595E-3</v>
      </c>
      <c r="V58">
        <f>V41</f>
        <v>0.99549999999999994</v>
      </c>
      <c r="W58">
        <f>W41</f>
        <v>0.75</v>
      </c>
      <c r="X58">
        <f t="shared" si="31"/>
        <v>4.7000000000000002E-3</v>
      </c>
      <c r="Y58">
        <f t="shared" si="32"/>
        <v>0</v>
      </c>
      <c r="Z58">
        <v>0</v>
      </c>
      <c r="AA58">
        <f t="shared" si="47"/>
        <v>0</v>
      </c>
      <c r="AB58">
        <f t="shared" si="54"/>
        <v>1.3</v>
      </c>
      <c r="AC58">
        <f t="shared" si="33"/>
        <v>1</v>
      </c>
      <c r="AD58">
        <f t="shared" si="34"/>
        <v>0.48354999999999998</v>
      </c>
      <c r="AF58">
        <v>2.5</v>
      </c>
      <c r="AG58">
        <f t="shared" si="48"/>
        <v>0.99999627334682795</v>
      </c>
      <c r="AH58">
        <f t="shared" si="35"/>
        <v>1.4948026034112167</v>
      </c>
      <c r="AI58">
        <f t="shared" si="49"/>
        <v>1.494797032800353</v>
      </c>
      <c r="AJ58">
        <f t="shared" si="36"/>
        <v>0.14947970328003532</v>
      </c>
      <c r="AK58">
        <f t="shared" si="37"/>
        <v>0.08</v>
      </c>
      <c r="AL58">
        <f t="shared" si="38"/>
        <v>0.61855976399785639</v>
      </c>
      <c r="AM58">
        <f t="shared" si="39"/>
        <v>0.19</v>
      </c>
      <c r="AN58">
        <f t="shared" si="40"/>
        <v>0.6784</v>
      </c>
      <c r="AO58">
        <f t="shared" si="41"/>
        <v>2.69088342773407E-4</v>
      </c>
      <c r="AP58">
        <f t="shared" si="42"/>
        <v>3.7304414595121151E-4</v>
      </c>
      <c r="AQ58">
        <f t="shared" si="50"/>
        <v>6.4213248872461851E-4</v>
      </c>
      <c r="AR58">
        <f t="shared" si="43"/>
        <v>3.2227024277866794</v>
      </c>
      <c r="BA58">
        <f>BA57</f>
        <v>15</v>
      </c>
      <c r="BC58">
        <f t="shared" si="51"/>
        <v>0</v>
      </c>
      <c r="BD58">
        <f>BD57</f>
        <v>3.4931506849315071E-2</v>
      </c>
      <c r="BE58">
        <f t="shared" si="44"/>
        <v>0</v>
      </c>
      <c r="BF58">
        <v>78</v>
      </c>
      <c r="BG58">
        <f t="shared" si="52"/>
        <v>0.96153846153846156</v>
      </c>
      <c r="BH58">
        <f t="shared" si="57"/>
        <v>4.6947945205479454E-3</v>
      </c>
      <c r="BI58">
        <f t="shared" si="53"/>
        <v>1.9221958004257703E-2</v>
      </c>
      <c r="BJ58">
        <f t="shared" si="45"/>
        <v>96.470201733868336</v>
      </c>
      <c r="BL58" s="28"/>
    </row>
    <row r="59" spans="5:78" x14ac:dyDescent="0.2">
      <c r="E59" s="11"/>
      <c r="F59" t="s">
        <v>165</v>
      </c>
      <c r="H59">
        <v>60</v>
      </c>
      <c r="I59">
        <v>0</v>
      </c>
      <c r="J59">
        <v>0</v>
      </c>
      <c r="L59">
        <f t="shared" si="30"/>
        <v>91.25</v>
      </c>
      <c r="N59">
        <v>-7.0000000000000007E-2</v>
      </c>
      <c r="P59">
        <v>0.12</v>
      </c>
      <c r="R59">
        <v>0.64</v>
      </c>
      <c r="T59">
        <v>69</v>
      </c>
      <c r="U59">
        <f t="shared" si="46"/>
        <v>4.5000000000000595E-3</v>
      </c>
      <c r="V59">
        <f>V41</f>
        <v>0.99549999999999994</v>
      </c>
      <c r="W59">
        <f>W41</f>
        <v>0.75</v>
      </c>
      <c r="X59">
        <f t="shared" si="31"/>
        <v>4.7000000000000002E-3</v>
      </c>
      <c r="Y59">
        <f t="shared" si="32"/>
        <v>0</v>
      </c>
      <c r="Z59">
        <v>0</v>
      </c>
      <c r="AA59">
        <f t="shared" si="47"/>
        <v>0</v>
      </c>
      <c r="AB59">
        <f t="shared" si="54"/>
        <v>1.3</v>
      </c>
      <c r="AC59">
        <f t="shared" si="33"/>
        <v>1</v>
      </c>
      <c r="AD59">
        <f t="shared" si="34"/>
        <v>0.50740000000000007</v>
      </c>
      <c r="AF59">
        <v>1.6</v>
      </c>
      <c r="AG59">
        <f t="shared" si="48"/>
        <v>0.99402397710499402</v>
      </c>
      <c r="AH59">
        <f t="shared" si="35"/>
        <v>1.4198696820048529</v>
      </c>
      <c r="AI59">
        <f t="shared" si="49"/>
        <v>1.4113845082772669</v>
      </c>
      <c r="AJ59">
        <f t="shared" si="36"/>
        <v>0.16936614099327202</v>
      </c>
      <c r="AK59">
        <f t="shared" si="37"/>
        <v>0.08</v>
      </c>
      <c r="AL59">
        <f t="shared" si="38"/>
        <v>0.54075637841297708</v>
      </c>
      <c r="AM59">
        <f t="shared" si="39"/>
        <v>0.19</v>
      </c>
      <c r="AN59">
        <f t="shared" si="40"/>
        <v>0.6784</v>
      </c>
      <c r="AO59">
        <f t="shared" si="41"/>
        <v>2.3524200276273005E-4</v>
      </c>
      <c r="AP59">
        <f t="shared" si="42"/>
        <v>3.2612208729670668E-4</v>
      </c>
      <c r="AQ59">
        <f t="shared" si="50"/>
        <v>5.6136409005943676E-4</v>
      </c>
      <c r="AR59">
        <f t="shared" si="43"/>
        <v>3.0734683930754159</v>
      </c>
      <c r="BA59">
        <f>BA57</f>
        <v>15</v>
      </c>
      <c r="BC59">
        <f t="shared" si="51"/>
        <v>0</v>
      </c>
      <c r="BD59">
        <f>BD57</f>
        <v>3.4931506849315071E-2</v>
      </c>
      <c r="BE59">
        <f t="shared" si="44"/>
        <v>-6.4400000000000013E-2</v>
      </c>
      <c r="BF59">
        <v>78</v>
      </c>
      <c r="BG59">
        <f t="shared" si="52"/>
        <v>0.88461538461538458</v>
      </c>
      <c r="BH59">
        <f t="shared" si="57"/>
        <v>3.8747755996647393E-3</v>
      </c>
      <c r="BI59">
        <f t="shared" si="53"/>
        <v>2.3223806959258783E-2</v>
      </c>
      <c r="BJ59">
        <f t="shared" si="45"/>
        <v>127.15034310194183</v>
      </c>
      <c r="BL59" s="28"/>
    </row>
    <row r="60" spans="5:78" x14ac:dyDescent="0.2">
      <c r="E60" s="12"/>
      <c r="F60" t="s">
        <v>166</v>
      </c>
      <c r="H60">
        <v>65</v>
      </c>
      <c r="I60">
        <v>0</v>
      </c>
      <c r="J60">
        <v>0</v>
      </c>
      <c r="L60">
        <f t="shared" si="30"/>
        <v>91.25</v>
      </c>
      <c r="N60">
        <v>0</v>
      </c>
      <c r="P60">
        <v>0.18</v>
      </c>
      <c r="R60">
        <v>0.72</v>
      </c>
      <c r="T60">
        <v>69</v>
      </c>
      <c r="U60">
        <f t="shared" si="46"/>
        <v>4.5000000000000595E-3</v>
      </c>
      <c r="V60">
        <f>V41</f>
        <v>0.99549999999999994</v>
      </c>
      <c r="W60">
        <f>W41</f>
        <v>0.75</v>
      </c>
      <c r="X60">
        <f t="shared" si="31"/>
        <v>4.7000000000000002E-3</v>
      </c>
      <c r="Y60">
        <f t="shared" si="32"/>
        <v>0</v>
      </c>
      <c r="Z60">
        <v>0</v>
      </c>
      <c r="AA60">
        <f t="shared" si="47"/>
        <v>0</v>
      </c>
      <c r="AB60">
        <f t="shared" si="54"/>
        <v>1.3</v>
      </c>
      <c r="AC60">
        <f t="shared" si="33"/>
        <v>1</v>
      </c>
      <c r="AD60">
        <f t="shared" si="34"/>
        <v>0.57100000000000006</v>
      </c>
      <c r="AF60">
        <v>1.7</v>
      </c>
      <c r="AG60">
        <f t="shared" si="48"/>
        <v>0.99691128459176326</v>
      </c>
      <c r="AH60">
        <f t="shared" si="35"/>
        <v>1.5792888783210146</v>
      </c>
      <c r="AI60">
        <f t="shared" si="49"/>
        <v>1.5744109044284875</v>
      </c>
      <c r="AJ60">
        <f t="shared" si="36"/>
        <v>0.28339396279712775</v>
      </c>
      <c r="AK60">
        <f t="shared" si="37"/>
        <v>0.08</v>
      </c>
      <c r="AL60">
        <f t="shared" si="38"/>
        <v>0.49678697379296494</v>
      </c>
      <c r="AM60">
        <f t="shared" si="39"/>
        <v>0.19</v>
      </c>
      <c r="AN60">
        <f t="shared" si="40"/>
        <v>0.6784</v>
      </c>
      <c r="AO60">
        <f t="shared" si="41"/>
        <v>2.1611425648731364E-4</v>
      </c>
      <c r="AP60">
        <f t="shared" si="42"/>
        <v>2.9960479673056415E-4</v>
      </c>
      <c r="AQ60">
        <f t="shared" si="50"/>
        <v>5.1571905321787779E-4</v>
      </c>
      <c r="AR60">
        <f t="shared" si="43"/>
        <v>3.058858634398538</v>
      </c>
      <c r="BA60">
        <f>BA57</f>
        <v>15</v>
      </c>
      <c r="BC60">
        <f t="shared" si="51"/>
        <v>0</v>
      </c>
      <c r="BD60">
        <f>BD57</f>
        <v>3.4931506849315071E-2</v>
      </c>
      <c r="BE60">
        <f t="shared" si="44"/>
        <v>0</v>
      </c>
      <c r="BF60">
        <v>78</v>
      </c>
      <c r="BG60">
        <f t="shared" si="52"/>
        <v>0.88461538461538458</v>
      </c>
      <c r="BH60">
        <f t="shared" si="57"/>
        <v>4.6947945205479454E-3</v>
      </c>
      <c r="BI60">
        <f t="shared" si="53"/>
        <v>4.0648239526992494E-2</v>
      </c>
      <c r="BJ60">
        <f t="shared" si="45"/>
        <v>241.09487069447422</v>
      </c>
      <c r="BL60" s="28"/>
    </row>
    <row r="61" spans="5:78" x14ac:dyDescent="0.2">
      <c r="E61" s="11" t="s">
        <v>167</v>
      </c>
      <c r="F61" t="s">
        <v>163</v>
      </c>
      <c r="H61">
        <v>50</v>
      </c>
      <c r="I61">
        <v>0</v>
      </c>
      <c r="J61">
        <v>0</v>
      </c>
      <c r="L61">
        <f t="shared" si="30"/>
        <v>91.25</v>
      </c>
      <c r="N61">
        <v>0.08</v>
      </c>
      <c r="P61">
        <v>0.2</v>
      </c>
      <c r="R61">
        <v>0.75</v>
      </c>
      <c r="T61">
        <v>62</v>
      </c>
      <c r="U61">
        <f t="shared" si="46"/>
        <v>4.5000000000000595E-3</v>
      </c>
      <c r="V61">
        <f>V41</f>
        <v>0.99549999999999994</v>
      </c>
      <c r="W61">
        <f>W41</f>
        <v>0.75</v>
      </c>
      <c r="X61">
        <f t="shared" si="31"/>
        <v>4.7000000000000002E-3</v>
      </c>
      <c r="Y61">
        <f t="shared" si="32"/>
        <v>0</v>
      </c>
      <c r="Z61">
        <v>0</v>
      </c>
      <c r="AA61">
        <f t="shared" si="47"/>
        <v>0</v>
      </c>
      <c r="AB61">
        <f t="shared" si="54"/>
        <v>1.3</v>
      </c>
      <c r="AC61">
        <f t="shared" si="33"/>
        <v>1</v>
      </c>
      <c r="AD61">
        <f t="shared" si="34"/>
        <v>0.5948500000000001</v>
      </c>
      <c r="AF61">
        <v>2.9</v>
      </c>
      <c r="AG61">
        <f t="shared" si="48"/>
        <v>0.9999999504359468</v>
      </c>
      <c r="AH61">
        <f t="shared" si="35"/>
        <v>1.4652245899459331</v>
      </c>
      <c r="AI61">
        <f t="shared" si="49"/>
        <v>1.4652245173234635</v>
      </c>
      <c r="AJ61">
        <f t="shared" si="36"/>
        <v>0.2930449034646927</v>
      </c>
      <c r="AK61">
        <f t="shared" si="37"/>
        <v>0.08</v>
      </c>
      <c r="AL61">
        <f t="shared" si="38"/>
        <v>0.41600692919529714</v>
      </c>
      <c r="AM61">
        <f t="shared" si="39"/>
        <v>0.19</v>
      </c>
      <c r="AN61">
        <f t="shared" si="40"/>
        <v>0.6784</v>
      </c>
      <c r="AO61">
        <f t="shared" si="41"/>
        <v>1.8097299836625734E-4</v>
      </c>
      <c r="AP61">
        <f t="shared" si="42"/>
        <v>2.5088755952768947E-4</v>
      </c>
      <c r="AQ61">
        <f t="shared" si="50"/>
        <v>4.3186055789394681E-4</v>
      </c>
      <c r="AR61">
        <f t="shared" si="43"/>
        <v>1.9703637953911324</v>
      </c>
      <c r="BA61">
        <v>18</v>
      </c>
      <c r="BB61">
        <v>0.8</v>
      </c>
      <c r="BC61">
        <f t="shared" si="51"/>
        <v>0</v>
      </c>
      <c r="BD61">
        <f t="shared" ref="BD61" si="61">(BA61 * BB61) / 365</f>
        <v>3.9452054794520547E-2</v>
      </c>
      <c r="BE61">
        <f t="shared" si="44"/>
        <v>7.3599999999999999E-2</v>
      </c>
      <c r="BF61">
        <v>62</v>
      </c>
      <c r="BG61">
        <f t="shared" si="52"/>
        <v>1</v>
      </c>
      <c r="BH61">
        <f t="shared" si="57"/>
        <v>6.1942865442030813E-3</v>
      </c>
      <c r="BI61">
        <f t="shared" si="53"/>
        <v>4.0692898010147756E-2</v>
      </c>
      <c r="BJ61">
        <f t="shared" si="45"/>
        <v>185.66134717129916</v>
      </c>
      <c r="BL61" s="28"/>
    </row>
    <row r="62" spans="5:78" x14ac:dyDescent="0.2">
      <c r="E62" s="12"/>
      <c r="F62" t="s">
        <v>164</v>
      </c>
      <c r="H62">
        <v>100</v>
      </c>
      <c r="I62">
        <v>0</v>
      </c>
      <c r="J62">
        <v>0</v>
      </c>
      <c r="L62">
        <f t="shared" si="30"/>
        <v>91.25</v>
      </c>
      <c r="N62">
        <v>-0.08</v>
      </c>
      <c r="P62">
        <v>0.1</v>
      </c>
      <c r="R62">
        <v>0.61</v>
      </c>
      <c r="T62">
        <v>55</v>
      </c>
      <c r="U62">
        <f t="shared" si="46"/>
        <v>4.5000000000000595E-3</v>
      </c>
      <c r="V62">
        <f>V41</f>
        <v>0.99549999999999994</v>
      </c>
      <c r="W62">
        <f>W41</f>
        <v>0.75</v>
      </c>
      <c r="X62">
        <f t="shared" si="31"/>
        <v>4.7000000000000002E-3</v>
      </c>
      <c r="Y62">
        <f t="shared" si="32"/>
        <v>0</v>
      </c>
      <c r="Z62">
        <v>0</v>
      </c>
      <c r="AA62">
        <f t="shared" si="47"/>
        <v>0</v>
      </c>
      <c r="AB62">
        <f t="shared" si="54"/>
        <v>1.3</v>
      </c>
      <c r="AC62">
        <f t="shared" si="33"/>
        <v>1</v>
      </c>
      <c r="AD62">
        <f t="shared" si="34"/>
        <v>0.48354999999999998</v>
      </c>
      <c r="AF62">
        <v>2.5</v>
      </c>
      <c r="AG62">
        <f t="shared" si="48"/>
        <v>0.99999627334682795</v>
      </c>
      <c r="AH62">
        <f t="shared" si="35"/>
        <v>1.0605624381175847</v>
      </c>
      <c r="AI62">
        <f t="shared" si="49"/>
        <v>1.0605584857692105</v>
      </c>
      <c r="AJ62">
        <f t="shared" si="36"/>
        <v>0.10605584857692106</v>
      </c>
      <c r="AK62">
        <f t="shared" si="37"/>
        <v>0.08</v>
      </c>
      <c r="AL62">
        <f t="shared" si="38"/>
        <v>0.42192044699791736</v>
      </c>
      <c r="AM62">
        <f t="shared" si="39"/>
        <v>0.19</v>
      </c>
      <c r="AN62">
        <f t="shared" si="40"/>
        <v>0.6784</v>
      </c>
      <c r="AO62">
        <f t="shared" si="41"/>
        <v>1.8354552053482444E-4</v>
      </c>
      <c r="AP62">
        <f t="shared" si="42"/>
        <v>2.544539137049932E-4</v>
      </c>
      <c r="AQ62">
        <f t="shared" si="50"/>
        <v>4.3799943423981761E-4</v>
      </c>
      <c r="AR62">
        <f t="shared" si="43"/>
        <v>3.9967448374383356</v>
      </c>
      <c r="BA62">
        <f>BA61</f>
        <v>18</v>
      </c>
      <c r="BC62">
        <f t="shared" si="51"/>
        <v>0</v>
      </c>
      <c r="BD62">
        <f>BD61</f>
        <v>3.9452054794520547E-2</v>
      </c>
      <c r="BE62">
        <f t="shared" si="44"/>
        <v>-7.3599999999999999E-2</v>
      </c>
      <c r="BF62">
        <v>62</v>
      </c>
      <c r="BG62">
        <f t="shared" si="52"/>
        <v>0.88709677419354838</v>
      </c>
      <c r="BH62">
        <f t="shared" si="57"/>
        <v>4.3659164379425625E-3</v>
      </c>
      <c r="BI62">
        <f t="shared" si="53"/>
        <v>1.2603019334364807E-2</v>
      </c>
      <c r="BJ62">
        <f t="shared" si="45"/>
        <v>115.00255142607887</v>
      </c>
      <c r="BL62" s="28"/>
    </row>
    <row r="63" spans="5:78" x14ac:dyDescent="0.2">
      <c r="E63" s="11"/>
      <c r="F63" t="s">
        <v>165</v>
      </c>
      <c r="H63">
        <v>90</v>
      </c>
      <c r="I63">
        <v>0</v>
      </c>
      <c r="J63">
        <v>0</v>
      </c>
      <c r="L63">
        <f t="shared" si="30"/>
        <v>91.25</v>
      </c>
      <c r="N63">
        <v>0</v>
      </c>
      <c r="P63">
        <v>0.12</v>
      </c>
      <c r="R63">
        <v>0.64</v>
      </c>
      <c r="T63">
        <v>55</v>
      </c>
      <c r="U63">
        <f t="shared" si="46"/>
        <v>4.5000000000000595E-3</v>
      </c>
      <c r="V63">
        <f>V41</f>
        <v>0.99549999999999994</v>
      </c>
      <c r="W63">
        <f>W41</f>
        <v>0.75</v>
      </c>
      <c r="X63">
        <f t="shared" si="31"/>
        <v>4.7000000000000002E-3</v>
      </c>
      <c r="Y63">
        <f t="shared" si="32"/>
        <v>0</v>
      </c>
      <c r="Z63">
        <v>0</v>
      </c>
      <c r="AA63">
        <f t="shared" si="47"/>
        <v>0</v>
      </c>
      <c r="AB63">
        <f t="shared" si="54"/>
        <v>1.3</v>
      </c>
      <c r="AC63">
        <f t="shared" si="33"/>
        <v>1</v>
      </c>
      <c r="AD63">
        <f t="shared" si="34"/>
        <v>0.50740000000000007</v>
      </c>
      <c r="AF63">
        <v>1.6</v>
      </c>
      <c r="AG63">
        <f t="shared" si="48"/>
        <v>0.99402397710499402</v>
      </c>
      <c r="AH63">
        <f t="shared" si="35"/>
        <v>1.1109945415495692</v>
      </c>
      <c r="AI63">
        <f t="shared" si="49"/>
        <v>1.1043552127330423</v>
      </c>
      <c r="AJ63">
        <f t="shared" si="36"/>
        <v>0.13252262552796507</v>
      </c>
      <c r="AK63">
        <f t="shared" si="37"/>
        <v>0.08</v>
      </c>
      <c r="AL63">
        <f t="shared" si="38"/>
        <v>0.41064374249795926</v>
      </c>
      <c r="AM63">
        <f t="shared" si="39"/>
        <v>0.19</v>
      </c>
      <c r="AN63">
        <f t="shared" si="40"/>
        <v>0.6784</v>
      </c>
      <c r="AO63">
        <f t="shared" si="41"/>
        <v>1.7863988343643457E-4</v>
      </c>
      <c r="AP63">
        <f t="shared" si="42"/>
        <v>2.4765310181231137E-4</v>
      </c>
      <c r="AQ63">
        <f t="shared" si="50"/>
        <v>4.2629298524874597E-4</v>
      </c>
      <c r="AR63">
        <f t="shared" si="43"/>
        <v>3.5009311413553261</v>
      </c>
      <c r="BA63">
        <f>BA61</f>
        <v>18</v>
      </c>
      <c r="BC63">
        <f t="shared" si="51"/>
        <v>0</v>
      </c>
      <c r="BD63">
        <f>BD61</f>
        <v>3.9452054794520547E-2</v>
      </c>
      <c r="BE63">
        <f t="shared" si="44"/>
        <v>0</v>
      </c>
      <c r="BF63">
        <v>62</v>
      </c>
      <c r="BG63">
        <f t="shared" si="52"/>
        <v>0.88709677419354838</v>
      </c>
      <c r="BH63">
        <f t="shared" si="57"/>
        <v>5.3023561643835617E-3</v>
      </c>
      <c r="BI63">
        <f t="shared" si="53"/>
        <v>1.590126392009085E-2</v>
      </c>
      <c r="BJ63">
        <f t="shared" si="45"/>
        <v>130.58912994374612</v>
      </c>
      <c r="BL63" s="28"/>
    </row>
    <row r="64" spans="5:78" x14ac:dyDescent="0.2">
      <c r="E64" s="12"/>
      <c r="F64" t="s">
        <v>166</v>
      </c>
      <c r="H64">
        <v>80</v>
      </c>
      <c r="I64">
        <v>0</v>
      </c>
      <c r="J64">
        <v>0</v>
      </c>
      <c r="L64">
        <f t="shared" si="30"/>
        <v>91.25</v>
      </c>
      <c r="N64">
        <v>0</v>
      </c>
      <c r="P64">
        <v>0.18</v>
      </c>
      <c r="R64">
        <v>0.72</v>
      </c>
      <c r="T64">
        <v>55</v>
      </c>
      <c r="U64">
        <f t="shared" si="46"/>
        <v>4.5000000000000595E-3</v>
      </c>
      <c r="V64">
        <f>V41</f>
        <v>0.99549999999999994</v>
      </c>
      <c r="W64">
        <f>W41</f>
        <v>0.75</v>
      </c>
      <c r="X64">
        <f t="shared" si="31"/>
        <v>4.7000000000000002E-3</v>
      </c>
      <c r="Y64">
        <f t="shared" si="32"/>
        <v>0</v>
      </c>
      <c r="Z64">
        <v>0</v>
      </c>
      <c r="AA64">
        <f t="shared" si="47"/>
        <v>0</v>
      </c>
      <c r="AB64">
        <f t="shared" si="54"/>
        <v>1.3</v>
      </c>
      <c r="AC64">
        <f t="shared" si="33"/>
        <v>1</v>
      </c>
      <c r="AD64">
        <f t="shared" si="34"/>
        <v>0.57100000000000006</v>
      </c>
      <c r="AF64">
        <v>1.7</v>
      </c>
      <c r="AG64">
        <f t="shared" si="48"/>
        <v>0.99691128459176326</v>
      </c>
      <c r="AH64">
        <f t="shared" si="35"/>
        <v>1.2454801507015281</v>
      </c>
      <c r="AI64">
        <f t="shared" si="49"/>
        <v>1.2416332169694033</v>
      </c>
      <c r="AJ64">
        <f t="shared" si="36"/>
        <v>0.22349397905449259</v>
      </c>
      <c r="AK64">
        <f t="shared" si="37"/>
        <v>0.08</v>
      </c>
      <c r="AL64">
        <f t="shared" si="38"/>
        <v>0.37657754876504823</v>
      </c>
      <c r="AM64">
        <f t="shared" si="39"/>
        <v>0.19</v>
      </c>
      <c r="AN64">
        <f t="shared" si="40"/>
        <v>0.6784</v>
      </c>
      <c r="AO64">
        <f t="shared" si="41"/>
        <v>1.6382027157396851E-4</v>
      </c>
      <c r="AP64">
        <f t="shared" si="42"/>
        <v>2.2710828967521554E-4</v>
      </c>
      <c r="AQ64">
        <f t="shared" si="50"/>
        <v>3.9092856124918409E-4</v>
      </c>
      <c r="AR64">
        <f t="shared" si="43"/>
        <v>2.8537784971190434</v>
      </c>
      <c r="BA64">
        <f>BA61</f>
        <v>18</v>
      </c>
      <c r="BC64">
        <f t="shared" si="51"/>
        <v>0</v>
      </c>
      <c r="BD64">
        <f>BD61</f>
        <v>3.9452054794520547E-2</v>
      </c>
      <c r="BE64">
        <f t="shared" si="44"/>
        <v>0</v>
      </c>
      <c r="BF64">
        <v>62</v>
      </c>
      <c r="BG64">
        <f t="shared" si="52"/>
        <v>0.88709677419354838</v>
      </c>
      <c r="BH64">
        <f t="shared" si="57"/>
        <v>5.3023561643835617E-3</v>
      </c>
      <c r="BI64">
        <f t="shared" si="53"/>
        <v>3.0456680484335252E-2</v>
      </c>
      <c r="BJ64">
        <f t="shared" si="45"/>
        <v>222.33376753564735</v>
      </c>
      <c r="BL64" s="28"/>
    </row>
    <row r="71" spans="1:72" x14ac:dyDescent="0.2">
      <c r="A71" t="s">
        <v>271</v>
      </c>
      <c r="B71" t="s">
        <v>271</v>
      </c>
      <c r="C71" t="s">
        <v>271</v>
      </c>
      <c r="D71" t="s">
        <v>213</v>
      </c>
      <c r="E71" s="11" t="s">
        <v>169</v>
      </c>
      <c r="F71" t="s">
        <v>163</v>
      </c>
      <c r="H71">
        <v>100</v>
      </c>
      <c r="I71">
        <v>95</v>
      </c>
      <c r="J71">
        <v>90</v>
      </c>
      <c r="L71">
        <f t="shared" ref="L71:L94" si="62">$BZ$3</f>
        <v>91.25</v>
      </c>
      <c r="N71" cm="1">
        <f t="array" ref="N71:N94">_xlfn.DROP(_xlfn.XLOOKUP($C71,TableLWG2_1[[#Headers],[ACT/NSW]:[WA]],TableLWG2_1[[#All],[ACT/NSW]:[WA]]),1)</f>
        <v>-0.02</v>
      </c>
      <c r="P71" cm="1">
        <f t="array" ref="P71:P94">_xlfn.DROP(_xlfn.XLOOKUP($C71,QueryCP[[#Headers],[ACT/NSW]:[WA]],QueryCP[[#All],[ACT/NSW]:[WA]]),1)</f>
        <v>0.08</v>
      </c>
      <c r="R71" cm="1">
        <f t="array" ref="R71:R94">_xlfn.DROP(_xlfn.XLOOKUP($C71,QueryDMD[[#Headers],[ACT/NSW]:[WA]],QueryDMD[[#All],[ACT/NSW]:[WA]]),1)</f>
        <v>0.51</v>
      </c>
      <c r="T71" cm="1">
        <f t="array" ref="T71:T94">_xlfn.DROP(_xlfn.XLOOKUP($C71,QueryW[[#Headers],[ACT/NSW]:[WA]],QueryW[[#All],[ACT/NSW]:[WA]]),1)</f>
        <v>40</v>
      </c>
      <c r="U71">
        <f>1-V71</f>
        <v>0</v>
      </c>
      <c r="V71">
        <f>IF($D71="yes", 1, VLOOKUP($B71, $BY$26:$CA$32, 2)/100)</f>
        <v>1</v>
      </c>
      <c r="W71">
        <f>VLOOKUP($B71,$CA$10:$CB$16, 2, FALSE)</f>
        <v>0.78</v>
      </c>
      <c r="X71">
        <f t="shared" ref="X71:X94" si="63">$BZ$10</f>
        <v>4.7000000000000002E-3</v>
      </c>
      <c r="Y71">
        <f t="shared" ref="Y71:Y94" si="64">(I71/100)*(MIN(J71,100)/100)</f>
        <v>0.85499999999999998</v>
      </c>
      <c r="Z71">
        <v>0</v>
      </c>
      <c r="AA71">
        <f>1.6 * Z71</f>
        <v>0</v>
      </c>
      <c r="AB71">
        <f>$CC$1</f>
        <v>1.3</v>
      </c>
      <c r="AC71">
        <f t="shared" ref="AC71:AC94" si="65">Y71*AB71+(1-Y71)</f>
        <v>1.2565</v>
      </c>
      <c r="AD71">
        <f t="shared" ref="AD71:AD94" si="66">(0.795*R71)-0.0014</f>
        <v>0.40405000000000002</v>
      </c>
      <c r="AF71" cm="1">
        <f t="array" ref="AF71:AF94">_xlfn.DROP(_xlfn.XLOOKUP($C71,QueryDMA[[#Headers],[ACT/NSW]:[WA]],QueryDMA[[#All],[ACT/NSW]:[WA]]),1)</f>
        <v>1.5</v>
      </c>
      <c r="AG71">
        <f>1 - EXP(-2*(AF71^2))</f>
        <v>0.98889100346175773</v>
      </c>
      <c r="AH71">
        <f t="shared" ref="AH71:AH94" si="67">(104.7*AD71+0.307*T71-15)*(T71^0.75)*10^-3</f>
        <v>0.62960048723980899</v>
      </c>
      <c r="AI71">
        <f>AH71*AG71*AC71</f>
        <v>0.78230476268267568</v>
      </c>
      <c r="AJ71">
        <f t="shared" ref="AJ71:AJ94" si="68">(AI71 * P71) + (0.045 * AA71)</f>
        <v>6.2584381014614054E-2</v>
      </c>
      <c r="AK71">
        <f t="shared" ref="AK71:AK94" si="69">$BZ$2</f>
        <v>0.08</v>
      </c>
      <c r="AL71">
        <f t="shared" ref="AL71:AL94" si="70">(AI71 * ((1 - R71) + (0.04 * AI71))) * ( 1 - AK71 )</f>
        <v>0.37518461431249894</v>
      </c>
      <c r="AM71">
        <f t="shared" ref="AM71:AM94" si="71">$BZ$1</f>
        <v>0.19</v>
      </c>
      <c r="AN71">
        <f t="shared" ref="AN71:AN94" si="72">$CA$20</f>
        <v>0.6784</v>
      </c>
      <c r="AO71">
        <f t="shared" ref="AO71:AO94" si="73">AL71 * AM71 * U71 * W71 * AN71</f>
        <v>0</v>
      </c>
      <c r="AP71">
        <f t="shared" ref="AP71:AP94" si="74">AL71*AM71*V71*X71*AN71</f>
        <v>2.2729104141819216E-4</v>
      </c>
      <c r="AQ71">
        <f>AO71+AP71</f>
        <v>2.2729104141819216E-4</v>
      </c>
      <c r="AR71">
        <f t="shared" ref="AR71:AR94" si="75">H71*AQ71*L71</f>
        <v>2.0740307529410034</v>
      </c>
      <c r="AS71">
        <f>SUM(AR71:AR94)*10^-3</f>
        <v>5.0519802937549436E-2</v>
      </c>
      <c r="AT71" t="s">
        <v>213</v>
      </c>
      <c r="AU71">
        <f>IF(AT71="yes", 1,0)</f>
        <v>1</v>
      </c>
      <c r="AV71">
        <f>$BZ$4</f>
        <v>0.24</v>
      </c>
      <c r="AW71" t="s">
        <v>324</v>
      </c>
      <c r="AX71" s="28">
        <f>VLOOKUP(AW71,$CD$37:$CF$46,2, FALSE)</f>
        <v>6.0000000000000001E-3</v>
      </c>
      <c r="AY71" s="28">
        <f>$BZ$7</f>
        <v>1.57</v>
      </c>
      <c r="AZ71">
        <f>$BZ$5</f>
        <v>0.21</v>
      </c>
      <c r="BA71">
        <v>20</v>
      </c>
      <c r="BB71">
        <v>0.8</v>
      </c>
      <c r="BC71">
        <f>Y71 * 1.6</f>
        <v>1.3680000000000001</v>
      </c>
      <c r="BD71">
        <f>(BA71 * BB71) / 365</f>
        <v>4.3835616438356165E-2</v>
      </c>
      <c r="BE71">
        <f t="shared" ref="BE71:BE94" si="76">N71 * 0.92</f>
        <v>-1.84E-2</v>
      </c>
      <c r="BF71" cm="1">
        <f t="array" ref="BF71:BF94">_xlfn.DROP(_xlfn.XLOOKUP($C71,QuerySRW[[#Headers],[ACT/NSW]:[WA]],QuerySRW[[#All],[ACT/NSW]:[WA]]),1)</f>
        <v>50</v>
      </c>
      <c r="BG71">
        <f>T71 / BF71</f>
        <v>0.8</v>
      </c>
      <c r="BH71">
        <f>((0.045 * BC71) + (BD71 * 0.84)  + (BE71 * ((212 - 4 * ((BE71 * 1000)/(4* (BF71^0.75)) - 1)) - ((140 - 4 * (((BE71 * 1000)/(4 * BF71 ^0.75)) - 1))/(1 + EXP(-6 * (BG71 - 0.4)))))) * 10^-3) / 6.25</f>
        <v>1.5493639336864979E-2</v>
      </c>
      <c r="BI71">
        <f>MAX((AJ71  / 6.25 ) - BH71, 0)</f>
        <v>0</v>
      </c>
      <c r="BJ71">
        <f t="shared" ref="BJ71:BJ94" si="77">H71*BI71*L71</f>
        <v>0</v>
      </c>
      <c r="BK71">
        <f>SUM(BJ71:BJ94)</f>
        <v>1232.9836611727076</v>
      </c>
      <c r="BL71" s="28">
        <f>BK71*$AU$11*$AV$11</f>
        <v>295.91607868144979</v>
      </c>
      <c r="BM71">
        <f>BK71 * AZ71</f>
        <v>258.92656884626859</v>
      </c>
      <c r="BN71" s="13" t="s">
        <v>228</v>
      </c>
      <c r="BO71">
        <f>VLOOKUP(BN71, $BY$37:$BZ$49, 2, FALSE)</f>
        <v>8.0000000000000002E-3</v>
      </c>
      <c r="BP71">
        <f>BM71 * BO71 * AY71 * 10^-3</f>
        <v>3.2521177047091336E-3</v>
      </c>
      <c r="BQ71">
        <f>BK71 * AU71 * AV71</f>
        <v>295.91607868144979</v>
      </c>
      <c r="BR71">
        <f>$BZ$6</f>
        <v>1.0999999999999999E-2</v>
      </c>
      <c r="BS71">
        <f>BK71 * AX71 * AY71 * 10^-3</f>
        <v>1.1614706088246907E-2</v>
      </c>
      <c r="BT71">
        <f>BQ71 * BR71 * AY71 * 10^-3</f>
        <v>5.110470678828638E-3</v>
      </c>
    </row>
    <row r="72" spans="1:72" x14ac:dyDescent="0.2">
      <c r="E72" s="12"/>
      <c r="F72" t="s">
        <v>164</v>
      </c>
      <c r="H72">
        <v>70</v>
      </c>
      <c r="I72">
        <v>0</v>
      </c>
      <c r="J72">
        <v>0</v>
      </c>
      <c r="L72">
        <f t="shared" si="62"/>
        <v>91.25</v>
      </c>
      <c r="N72">
        <v>0.05</v>
      </c>
      <c r="P72">
        <v>0.1</v>
      </c>
      <c r="R72">
        <v>0.55000000000000004</v>
      </c>
      <c r="T72">
        <v>45</v>
      </c>
      <c r="U72">
        <f t="shared" ref="U72:U94" si="78">1-V72</f>
        <v>0</v>
      </c>
      <c r="V72">
        <f>V71</f>
        <v>1</v>
      </c>
      <c r="W72">
        <f>W71</f>
        <v>0.78</v>
      </c>
      <c r="X72">
        <f t="shared" si="63"/>
        <v>4.7000000000000002E-3</v>
      </c>
      <c r="Y72">
        <f t="shared" si="64"/>
        <v>0</v>
      </c>
      <c r="Z72">
        <v>0</v>
      </c>
      <c r="AA72">
        <f t="shared" ref="AA72:AA94" si="79">1.6 * Z72</f>
        <v>0</v>
      </c>
      <c r="AB72">
        <f>$AB$11</f>
        <v>1.3</v>
      </c>
      <c r="AC72">
        <f t="shared" si="65"/>
        <v>1</v>
      </c>
      <c r="AD72">
        <f t="shared" si="66"/>
        <v>0.43585000000000007</v>
      </c>
      <c r="AF72">
        <v>2</v>
      </c>
      <c r="AG72">
        <f t="shared" ref="AG72:AG94" si="80">1 - EXP(-2*(AF72^2))</f>
        <v>0.99966453737209748</v>
      </c>
      <c r="AH72">
        <f t="shared" si="67"/>
        <v>0.77226516609487061</v>
      </c>
      <c r="AI72">
        <f t="shared" ref="AI72:AI94" si="81">AH72*AG72*AC72</f>
        <v>0.77200609999281489</v>
      </c>
      <c r="AJ72">
        <f t="shared" si="68"/>
        <v>7.7200609999281494E-2</v>
      </c>
      <c r="AK72">
        <f t="shared" si="69"/>
        <v>0.08</v>
      </c>
      <c r="AL72">
        <f t="shared" si="70"/>
        <v>0.3415430831951064</v>
      </c>
      <c r="AM72">
        <f t="shared" si="71"/>
        <v>0.19</v>
      </c>
      <c r="AN72">
        <f t="shared" si="72"/>
        <v>0.6784</v>
      </c>
      <c r="AO72">
        <f t="shared" si="73"/>
        <v>0</v>
      </c>
      <c r="AP72">
        <f t="shared" si="74"/>
        <v>2.0691062508212729E-4</v>
      </c>
      <c r="AQ72">
        <f t="shared" ref="AQ72:AQ94" si="82">AO72+AP72</f>
        <v>2.0691062508212729E-4</v>
      </c>
      <c r="AR72">
        <f t="shared" si="75"/>
        <v>1.321641617712088</v>
      </c>
      <c r="BA72">
        <f>BA71</f>
        <v>20</v>
      </c>
      <c r="BC72">
        <f t="shared" ref="BC72:BC94" si="83">Y72 * 1.6</f>
        <v>0</v>
      </c>
      <c r="BD72">
        <f>BD71</f>
        <v>4.3835616438356165E-2</v>
      </c>
      <c r="BE72">
        <f t="shared" si="76"/>
        <v>4.6000000000000006E-2</v>
      </c>
      <c r="BF72">
        <v>50</v>
      </c>
      <c r="BG72">
        <f t="shared" ref="BG72:BG94" si="84">T72 / BF72</f>
        <v>0.9</v>
      </c>
      <c r="BH72">
        <f>((0.045 * BC72) + (BD$11 * 0.84)  + (BE72 * ((212 - 4 * ((BE72 * 1000)/(4* (BF72^0.75)) - 1)) - ((140 - 4 * (((BE72 * 1000)/(4 * BF72 ^0.75)) - 1))/(1 + EXP(-6 * (BG72 - 0.4)))))) * 10^-3) / 6.25</f>
        <v>6.4708367543702058E-3</v>
      </c>
      <c r="BI72">
        <f t="shared" ref="BI72:BI94" si="85">MAX((AJ72  / 6.25 ) - BH72, 0)</f>
        <v>5.8812608455148328E-3</v>
      </c>
      <c r="BJ72">
        <f t="shared" si="77"/>
        <v>37.566553650725993</v>
      </c>
      <c r="BL72" s="28"/>
    </row>
    <row r="73" spans="1:72" x14ac:dyDescent="0.2">
      <c r="E73" s="11"/>
      <c r="F73" t="s">
        <v>165</v>
      </c>
      <c r="H73">
        <v>65</v>
      </c>
      <c r="I73">
        <v>0</v>
      </c>
      <c r="J73">
        <v>0</v>
      </c>
      <c r="L73">
        <f t="shared" si="62"/>
        <v>91.25</v>
      </c>
      <c r="N73">
        <v>0</v>
      </c>
      <c r="P73">
        <v>0.09</v>
      </c>
      <c r="R73">
        <v>0.59</v>
      </c>
      <c r="T73">
        <v>45</v>
      </c>
      <c r="U73">
        <f t="shared" si="78"/>
        <v>0</v>
      </c>
      <c r="V73">
        <f>V71</f>
        <v>1</v>
      </c>
      <c r="W73">
        <f>W71</f>
        <v>0.78</v>
      </c>
      <c r="X73">
        <f t="shared" si="63"/>
        <v>4.7000000000000002E-3</v>
      </c>
      <c r="Y73">
        <f t="shared" si="64"/>
        <v>0</v>
      </c>
      <c r="Z73">
        <v>0</v>
      </c>
      <c r="AA73">
        <f t="shared" si="79"/>
        <v>0</v>
      </c>
      <c r="AB73">
        <f t="shared" ref="AB73:AB94" si="86">$AB$11</f>
        <v>1.3</v>
      </c>
      <c r="AC73">
        <f t="shared" si="65"/>
        <v>1</v>
      </c>
      <c r="AD73">
        <f t="shared" si="66"/>
        <v>0.46765000000000001</v>
      </c>
      <c r="AF73">
        <v>2.2000000000000002</v>
      </c>
      <c r="AG73">
        <f t="shared" si="80"/>
        <v>0.99993747849622516</v>
      </c>
      <c r="AH73">
        <f t="shared" si="67"/>
        <v>0.8301124785833186</v>
      </c>
      <c r="AI73">
        <f t="shared" si="81"/>
        <v>0.83006057870285532</v>
      </c>
      <c r="AJ73">
        <f t="shared" si="68"/>
        <v>7.4705452083256976E-2</v>
      </c>
      <c r="AK73">
        <f t="shared" si="69"/>
        <v>0.08</v>
      </c>
      <c r="AL73">
        <f t="shared" si="70"/>
        <v>0.33845407105356495</v>
      </c>
      <c r="AM73">
        <f t="shared" si="71"/>
        <v>0.19</v>
      </c>
      <c r="AN73">
        <f t="shared" si="72"/>
        <v>0.6784</v>
      </c>
      <c r="AO73">
        <f t="shared" si="73"/>
        <v>0</v>
      </c>
      <c r="AP73">
        <f t="shared" si="74"/>
        <v>2.0503926692984546E-4</v>
      </c>
      <c r="AQ73">
        <f t="shared" si="82"/>
        <v>2.0503926692984546E-4</v>
      </c>
      <c r="AR73">
        <f t="shared" si="75"/>
        <v>1.2161391519776459</v>
      </c>
      <c r="BA73">
        <f>BA71</f>
        <v>20</v>
      </c>
      <c r="BC73">
        <f t="shared" si="83"/>
        <v>0</v>
      </c>
      <c r="BD73">
        <f>BD71</f>
        <v>4.3835616438356165E-2</v>
      </c>
      <c r="BE73">
        <f t="shared" si="76"/>
        <v>0</v>
      </c>
      <c r="BF73">
        <v>50</v>
      </c>
      <c r="BG73">
        <f t="shared" si="84"/>
        <v>0.9</v>
      </c>
      <c r="BH73">
        <f t="shared" ref="BH73:BH74" si="87">((0.045 * BC73) + (BD$11 * 0.84)  + (BE73 * ((212 - 4 * ((BE73 * 1000)/(4* (BF73^0.75)) - 1)) - ((140 - 4 * (((BE73 * 1000)/(4 * BF73 ^0.75)) - 1))/(1 + EXP(-6 * (BG73 - 0.4)))))) * 10^-3) / 6.25</f>
        <v>5.8915068493150683E-3</v>
      </c>
      <c r="BI73">
        <f t="shared" si="85"/>
        <v>6.0613654840060488E-3</v>
      </c>
      <c r="BJ73">
        <f t="shared" si="77"/>
        <v>35.951474027010875</v>
      </c>
      <c r="BL73" s="28"/>
    </row>
    <row r="74" spans="1:72" x14ac:dyDescent="0.2">
      <c r="E74" s="12"/>
      <c r="F74" t="s">
        <v>166</v>
      </c>
      <c r="H74">
        <v>80</v>
      </c>
      <c r="I74">
        <v>0</v>
      </c>
      <c r="J74">
        <v>0</v>
      </c>
      <c r="L74">
        <f t="shared" si="62"/>
        <v>91.25</v>
      </c>
      <c r="N74">
        <v>-0.03</v>
      </c>
      <c r="P74">
        <v>7.0000000000000007E-2</v>
      </c>
      <c r="R74">
        <v>0.57999999999999996</v>
      </c>
      <c r="T74">
        <v>42</v>
      </c>
      <c r="U74">
        <f t="shared" si="78"/>
        <v>0</v>
      </c>
      <c r="V74">
        <f>V71</f>
        <v>1</v>
      </c>
      <c r="W74">
        <f>W71</f>
        <v>0.78</v>
      </c>
      <c r="X74">
        <f t="shared" si="63"/>
        <v>4.7000000000000002E-3</v>
      </c>
      <c r="Y74">
        <f t="shared" si="64"/>
        <v>0</v>
      </c>
      <c r="Z74">
        <v>0</v>
      </c>
      <c r="AA74">
        <f t="shared" si="79"/>
        <v>0</v>
      </c>
      <c r="AB74">
        <f t="shared" si="86"/>
        <v>1.3</v>
      </c>
      <c r="AC74">
        <f t="shared" si="65"/>
        <v>1</v>
      </c>
      <c r="AD74">
        <f t="shared" si="66"/>
        <v>0.4597</v>
      </c>
      <c r="AF74">
        <v>1.7</v>
      </c>
      <c r="AG74">
        <f t="shared" si="80"/>
        <v>0.99691128459176326</v>
      </c>
      <c r="AH74">
        <f t="shared" si="67"/>
        <v>0.7593235966549482</v>
      </c>
      <c r="AI74">
        <f t="shared" si="81"/>
        <v>0.75697826216212227</v>
      </c>
      <c r="AJ74">
        <f t="shared" si="68"/>
        <v>5.2988478351348567E-2</v>
      </c>
      <c r="AK74">
        <f t="shared" si="69"/>
        <v>0.08</v>
      </c>
      <c r="AL74">
        <f t="shared" si="70"/>
        <v>0.31358339258884838</v>
      </c>
      <c r="AM74">
        <f t="shared" si="71"/>
        <v>0.19</v>
      </c>
      <c r="AN74">
        <f t="shared" si="72"/>
        <v>0.6784</v>
      </c>
      <c r="AO74">
        <f t="shared" si="73"/>
        <v>0</v>
      </c>
      <c r="AP74">
        <f t="shared" si="74"/>
        <v>1.8997233136432135E-4</v>
      </c>
      <c r="AQ74">
        <f t="shared" si="82"/>
        <v>1.8997233136432135E-4</v>
      </c>
      <c r="AR74">
        <f t="shared" si="75"/>
        <v>1.3867980189595459</v>
      </c>
      <c r="BA74">
        <f>BA71</f>
        <v>20</v>
      </c>
      <c r="BC74">
        <f t="shared" si="83"/>
        <v>0</v>
      </c>
      <c r="BD74">
        <f>BD71</f>
        <v>4.3835616438356165E-2</v>
      </c>
      <c r="BE74">
        <f t="shared" si="76"/>
        <v>-2.76E-2</v>
      </c>
      <c r="BF74">
        <v>50</v>
      </c>
      <c r="BG74">
        <f t="shared" si="84"/>
        <v>0.84</v>
      </c>
      <c r="BH74">
        <f t="shared" si="87"/>
        <v>5.5307667781667466E-3</v>
      </c>
      <c r="BI74">
        <f t="shared" si="85"/>
        <v>2.9473897580490236E-3</v>
      </c>
      <c r="BJ74">
        <f t="shared" si="77"/>
        <v>21.515945233757876</v>
      </c>
      <c r="BL74" s="28"/>
    </row>
    <row r="75" spans="1:72" x14ac:dyDescent="0.2">
      <c r="E75" s="11" t="s">
        <v>171</v>
      </c>
      <c r="F75" t="s">
        <v>163</v>
      </c>
      <c r="H75">
        <v>200</v>
      </c>
      <c r="I75">
        <v>0</v>
      </c>
      <c r="J75">
        <v>0</v>
      </c>
      <c r="L75">
        <f t="shared" si="62"/>
        <v>91.25</v>
      </c>
      <c r="N75">
        <v>0.2</v>
      </c>
      <c r="P75">
        <v>0.08</v>
      </c>
      <c r="R75">
        <v>0.51</v>
      </c>
      <c r="T75">
        <v>20</v>
      </c>
      <c r="U75">
        <f t="shared" si="78"/>
        <v>0</v>
      </c>
      <c r="V75">
        <f>V71</f>
        <v>1</v>
      </c>
      <c r="W75">
        <f>W71</f>
        <v>0.78</v>
      </c>
      <c r="X75">
        <f t="shared" si="63"/>
        <v>4.7000000000000002E-3</v>
      </c>
      <c r="Y75">
        <f t="shared" si="64"/>
        <v>0</v>
      </c>
      <c r="Z75">
        <v>1</v>
      </c>
      <c r="AA75">
        <f t="shared" si="79"/>
        <v>1.6</v>
      </c>
      <c r="AB75">
        <f t="shared" si="86"/>
        <v>1.3</v>
      </c>
      <c r="AC75">
        <f t="shared" si="65"/>
        <v>1</v>
      </c>
      <c r="AD75">
        <f t="shared" si="66"/>
        <v>0.40405000000000002</v>
      </c>
      <c r="AF75">
        <v>1.5</v>
      </c>
      <c r="AG75">
        <f t="shared" si="80"/>
        <v>0.98889100346175773</v>
      </c>
      <c r="AH75">
        <f t="shared" si="67"/>
        <v>0.31629415472458533</v>
      </c>
      <c r="AI75">
        <f t="shared" si="81"/>
        <v>0.31278044405468364</v>
      </c>
      <c r="AJ75">
        <f t="shared" si="68"/>
        <v>9.7022435524374687E-2</v>
      </c>
      <c r="AK75">
        <f t="shared" si="69"/>
        <v>0.08</v>
      </c>
      <c r="AL75">
        <f t="shared" si="70"/>
        <v>0.14460162728738746</v>
      </c>
      <c r="AM75">
        <f t="shared" si="71"/>
        <v>0.19</v>
      </c>
      <c r="AN75">
        <f t="shared" si="72"/>
        <v>0.6784</v>
      </c>
      <c r="AO75">
        <f t="shared" si="73"/>
        <v>0</v>
      </c>
      <c r="AP75">
        <f t="shared" si="74"/>
        <v>8.760128534892494E-5</v>
      </c>
      <c r="AQ75">
        <f t="shared" si="82"/>
        <v>8.760128534892494E-5</v>
      </c>
      <c r="AR75">
        <f t="shared" si="75"/>
        <v>1.5987234576178802</v>
      </c>
      <c r="BA75">
        <v>15</v>
      </c>
      <c r="BB75">
        <v>0.85</v>
      </c>
      <c r="BC75">
        <f t="shared" si="83"/>
        <v>0</v>
      </c>
      <c r="BD75">
        <f t="shared" ref="BD75" si="88">(BA75 * BB75) / 365</f>
        <v>3.4931506849315071E-2</v>
      </c>
      <c r="BE75">
        <f t="shared" si="76"/>
        <v>0.18400000000000002</v>
      </c>
      <c r="BF75">
        <v>55</v>
      </c>
      <c r="BG75">
        <f t="shared" si="84"/>
        <v>0.36363636363636365</v>
      </c>
      <c r="BH75">
        <f>((0.045 * BC75) + (BD$15 * 0.84)  + (BE75 * ((212 - 4 * ((BE75 * 1000)/(4* (BF75^0.75)) - 1)) - ((140 - 4 * (((BE75 * 1000)/(4 * BF75 ^0.75)) - 1))/(1 + EXP(-6 * (BG75 - 0.4)))))) * 10^-3) / 6.25</f>
        <v>9.0157995413422138E-3</v>
      </c>
      <c r="BI75">
        <f t="shared" si="85"/>
        <v>6.5077901425577359E-3</v>
      </c>
      <c r="BJ75">
        <f t="shared" si="77"/>
        <v>118.76717010167867</v>
      </c>
      <c r="BL75" s="28"/>
    </row>
    <row r="76" spans="1:72" x14ac:dyDescent="0.2">
      <c r="E76" s="12"/>
      <c r="F76" t="s">
        <v>164</v>
      </c>
      <c r="H76">
        <v>210</v>
      </c>
      <c r="I76">
        <v>0</v>
      </c>
      <c r="J76">
        <v>0</v>
      </c>
      <c r="L76">
        <f t="shared" si="62"/>
        <v>91.25</v>
      </c>
      <c r="N76">
        <v>0.05</v>
      </c>
      <c r="P76">
        <v>0.1</v>
      </c>
      <c r="R76">
        <v>0.55000000000000004</v>
      </c>
      <c r="T76">
        <v>25</v>
      </c>
      <c r="U76">
        <f t="shared" si="78"/>
        <v>0</v>
      </c>
      <c r="V76">
        <f>V71</f>
        <v>1</v>
      </c>
      <c r="W76">
        <f>W71</f>
        <v>0.78</v>
      </c>
      <c r="X76">
        <f t="shared" si="63"/>
        <v>4.7000000000000002E-3</v>
      </c>
      <c r="Y76">
        <f t="shared" si="64"/>
        <v>0</v>
      </c>
      <c r="Z76">
        <v>0</v>
      </c>
      <c r="AA76">
        <f t="shared" si="79"/>
        <v>0</v>
      </c>
      <c r="AB76">
        <f t="shared" si="86"/>
        <v>1.3</v>
      </c>
      <c r="AC76">
        <f t="shared" si="65"/>
        <v>1</v>
      </c>
      <c r="AD76">
        <f t="shared" si="66"/>
        <v>0.43585000000000007</v>
      </c>
      <c r="AF76">
        <v>2</v>
      </c>
      <c r="AG76">
        <f t="shared" si="80"/>
        <v>0.99966453737209748</v>
      </c>
      <c r="AH76">
        <f t="shared" si="67"/>
        <v>0.42830199467855401</v>
      </c>
      <c r="AI76">
        <f t="shared" si="81"/>
        <v>0.42815831536588328</v>
      </c>
      <c r="AJ76">
        <f t="shared" si="68"/>
        <v>4.2815831536588328E-2</v>
      </c>
      <c r="AK76">
        <f t="shared" si="69"/>
        <v>0.08</v>
      </c>
      <c r="AL76">
        <f t="shared" si="70"/>
        <v>0.18400370174449945</v>
      </c>
      <c r="AM76">
        <f t="shared" si="71"/>
        <v>0.19</v>
      </c>
      <c r="AN76">
        <f t="shared" si="72"/>
        <v>0.6784</v>
      </c>
      <c r="AO76">
        <f t="shared" si="73"/>
        <v>0</v>
      </c>
      <c r="AP76">
        <f t="shared" si="74"/>
        <v>1.114715033582773E-4</v>
      </c>
      <c r="AQ76">
        <f t="shared" si="82"/>
        <v>1.114715033582773E-4</v>
      </c>
      <c r="AR76">
        <f t="shared" si="75"/>
        <v>2.1360726831029888</v>
      </c>
      <c r="BA76">
        <f>BA75</f>
        <v>15</v>
      </c>
      <c r="BC76">
        <f t="shared" si="83"/>
        <v>0</v>
      </c>
      <c r="BD76">
        <f>BD75</f>
        <v>3.4931506849315071E-2</v>
      </c>
      <c r="BE76">
        <f t="shared" si="76"/>
        <v>4.6000000000000006E-2</v>
      </c>
      <c r="BF76">
        <v>55</v>
      </c>
      <c r="BG76">
        <f t="shared" si="84"/>
        <v>0.45454545454545453</v>
      </c>
      <c r="BH76">
        <f t="shared" ref="BH76:BH94" si="89">((0.045 * BC76) + (BD76 * 0.84)  + (BE76 * ((212 - 4 * ((BE76 * 1000)/(4* (BF76^0.75)) - 1)) - ((140 - 4 * (((BE76 * 1000)/(4 * BF76 ^0.75)) - 1))/(1 + EXP(-6 * (BG76 - 0.4)))))) * 10^-3) / 6.25</f>
        <v>5.6616638296466335E-3</v>
      </c>
      <c r="BI76">
        <f t="shared" si="85"/>
        <v>1.1888692162074993E-3</v>
      </c>
      <c r="BJ76">
        <f t="shared" si="77"/>
        <v>22.781706355576205</v>
      </c>
      <c r="BL76" s="28"/>
    </row>
    <row r="77" spans="1:72" x14ac:dyDescent="0.2">
      <c r="E77" s="11"/>
      <c r="F77" t="s">
        <v>165</v>
      </c>
      <c r="H77">
        <v>170</v>
      </c>
      <c r="I77">
        <v>0</v>
      </c>
      <c r="J77">
        <v>0</v>
      </c>
      <c r="L77">
        <f t="shared" si="62"/>
        <v>91.25</v>
      </c>
      <c r="N77">
        <v>0.2</v>
      </c>
      <c r="P77">
        <v>0.09</v>
      </c>
      <c r="R77">
        <v>0.59</v>
      </c>
      <c r="T77">
        <v>20</v>
      </c>
      <c r="U77">
        <f t="shared" si="78"/>
        <v>0</v>
      </c>
      <c r="V77">
        <f>V71</f>
        <v>1</v>
      </c>
      <c r="W77">
        <f>W71</f>
        <v>0.78</v>
      </c>
      <c r="X77">
        <f t="shared" si="63"/>
        <v>4.7000000000000002E-3</v>
      </c>
      <c r="Y77">
        <f t="shared" si="64"/>
        <v>0</v>
      </c>
      <c r="Z77">
        <v>0</v>
      </c>
      <c r="AA77">
        <f t="shared" si="79"/>
        <v>0</v>
      </c>
      <c r="AB77">
        <f t="shared" si="86"/>
        <v>1.3</v>
      </c>
      <c r="AC77">
        <f t="shared" si="65"/>
        <v>1</v>
      </c>
      <c r="AD77">
        <f t="shared" si="66"/>
        <v>0.46765000000000001</v>
      </c>
      <c r="AF77">
        <v>2.2000000000000002</v>
      </c>
      <c r="AG77">
        <f t="shared" si="80"/>
        <v>0.99993747849622516</v>
      </c>
      <c r="AH77">
        <f t="shared" si="67"/>
        <v>0.37927033187481962</v>
      </c>
      <c r="AI77">
        <f t="shared" si="81"/>
        <v>0.37924661932333364</v>
      </c>
      <c r="AJ77">
        <f t="shared" si="68"/>
        <v>3.4132195739100028E-2</v>
      </c>
      <c r="AK77">
        <f t="shared" si="69"/>
        <v>0.08</v>
      </c>
      <c r="AL77">
        <f t="shared" si="70"/>
        <v>0.1483446951450304</v>
      </c>
      <c r="AM77">
        <f t="shared" si="71"/>
        <v>0.19</v>
      </c>
      <c r="AN77">
        <f t="shared" si="72"/>
        <v>0.6784</v>
      </c>
      <c r="AO77">
        <f t="shared" si="73"/>
        <v>0</v>
      </c>
      <c r="AP77">
        <f t="shared" si="74"/>
        <v>8.9868877779445051E-5</v>
      </c>
      <c r="AQ77">
        <f t="shared" si="82"/>
        <v>8.9868877779445051E-5</v>
      </c>
      <c r="AR77">
        <f t="shared" si="75"/>
        <v>1.3940909665536414</v>
      </c>
      <c r="BA77">
        <f>BA75</f>
        <v>15</v>
      </c>
      <c r="BC77">
        <f t="shared" si="83"/>
        <v>0</v>
      </c>
      <c r="BD77">
        <f>BD75</f>
        <v>3.4931506849315071E-2</v>
      </c>
      <c r="BE77">
        <f t="shared" si="76"/>
        <v>0.18400000000000002</v>
      </c>
      <c r="BF77">
        <v>55</v>
      </c>
      <c r="BG77">
        <f t="shared" si="84"/>
        <v>0.36363636363636365</v>
      </c>
      <c r="BH77">
        <f t="shared" si="89"/>
        <v>9.0157995413422138E-3</v>
      </c>
      <c r="BI77">
        <f t="shared" si="85"/>
        <v>0</v>
      </c>
      <c r="BJ77">
        <f t="shared" si="77"/>
        <v>0</v>
      </c>
      <c r="BL77" s="28"/>
    </row>
    <row r="78" spans="1:72" x14ac:dyDescent="0.2">
      <c r="E78" s="12"/>
      <c r="F78" t="s">
        <v>166</v>
      </c>
      <c r="H78">
        <v>200</v>
      </c>
      <c r="I78">
        <v>0</v>
      </c>
      <c r="J78">
        <v>0</v>
      </c>
      <c r="L78">
        <f t="shared" si="62"/>
        <v>91.25</v>
      </c>
      <c r="N78">
        <v>0.05</v>
      </c>
      <c r="P78">
        <v>7.0000000000000007E-2</v>
      </c>
      <c r="R78">
        <v>0.57999999999999996</v>
      </c>
      <c r="T78">
        <v>25</v>
      </c>
      <c r="U78">
        <f t="shared" si="78"/>
        <v>0</v>
      </c>
      <c r="V78">
        <f>V71</f>
        <v>1</v>
      </c>
      <c r="W78">
        <f>W71</f>
        <v>0.78</v>
      </c>
      <c r="X78">
        <f t="shared" si="63"/>
        <v>4.7000000000000002E-3</v>
      </c>
      <c r="Y78">
        <f t="shared" si="64"/>
        <v>0</v>
      </c>
      <c r="Z78">
        <v>0</v>
      </c>
      <c r="AA78">
        <f t="shared" si="79"/>
        <v>0</v>
      </c>
      <c r="AB78">
        <f t="shared" si="86"/>
        <v>1.3</v>
      </c>
      <c r="AC78">
        <f t="shared" si="65"/>
        <v>1</v>
      </c>
      <c r="AD78">
        <f t="shared" si="66"/>
        <v>0.4597</v>
      </c>
      <c r="AF78">
        <v>1.7</v>
      </c>
      <c r="AG78">
        <f t="shared" si="80"/>
        <v>0.99691128459176326</v>
      </c>
      <c r="AH78">
        <f t="shared" si="67"/>
        <v>0.45622036550992806</v>
      </c>
      <c r="AI78">
        <f t="shared" si="81"/>
        <v>0.45481123063742612</v>
      </c>
      <c r="AJ78">
        <f t="shared" si="68"/>
        <v>3.1836786144619829E-2</v>
      </c>
      <c r="AK78">
        <f t="shared" si="69"/>
        <v>0.08</v>
      </c>
      <c r="AL78">
        <f t="shared" si="70"/>
        <v>0.1833512593212141</v>
      </c>
      <c r="AM78">
        <f t="shared" si="71"/>
        <v>0.19</v>
      </c>
      <c r="AN78">
        <f t="shared" si="72"/>
        <v>0.6784</v>
      </c>
      <c r="AO78">
        <f t="shared" si="73"/>
        <v>0</v>
      </c>
      <c r="AP78">
        <f t="shared" si="74"/>
        <v>1.1107624643089592E-4</v>
      </c>
      <c r="AQ78">
        <f t="shared" si="82"/>
        <v>1.1107624643089592E-4</v>
      </c>
      <c r="AR78">
        <f t="shared" si="75"/>
        <v>2.0271414973638504</v>
      </c>
      <c r="BA78">
        <f>BA75</f>
        <v>15</v>
      </c>
      <c r="BC78">
        <f t="shared" si="83"/>
        <v>0</v>
      </c>
      <c r="BD78">
        <f>BD75</f>
        <v>3.4931506849315071E-2</v>
      </c>
      <c r="BE78">
        <f t="shared" si="76"/>
        <v>4.6000000000000006E-2</v>
      </c>
      <c r="BF78">
        <v>55</v>
      </c>
      <c r="BG78">
        <f t="shared" si="84"/>
        <v>0.45454545454545453</v>
      </c>
      <c r="BH78">
        <f t="shared" si="89"/>
        <v>5.6616638296466335E-3</v>
      </c>
      <c r="BI78">
        <f t="shared" si="85"/>
        <v>0</v>
      </c>
      <c r="BJ78">
        <f t="shared" si="77"/>
        <v>0</v>
      </c>
      <c r="BL78" s="28"/>
    </row>
    <row r="79" spans="1:72" x14ac:dyDescent="0.2">
      <c r="E79" s="11" t="s">
        <v>168</v>
      </c>
      <c r="F79" t="s">
        <v>163</v>
      </c>
      <c r="H79">
        <v>100</v>
      </c>
      <c r="I79">
        <v>95</v>
      </c>
      <c r="J79">
        <v>92</v>
      </c>
      <c r="L79">
        <f t="shared" si="62"/>
        <v>91.25</v>
      </c>
      <c r="N79">
        <v>0</v>
      </c>
      <c r="P79">
        <v>0.08</v>
      </c>
      <c r="R79">
        <v>0.51</v>
      </c>
      <c r="T79">
        <v>35</v>
      </c>
      <c r="U79">
        <f t="shared" si="78"/>
        <v>0</v>
      </c>
      <c r="V79">
        <f>V71</f>
        <v>1</v>
      </c>
      <c r="W79">
        <f>W71</f>
        <v>0.78</v>
      </c>
      <c r="X79">
        <f t="shared" si="63"/>
        <v>4.7000000000000002E-3</v>
      </c>
      <c r="Y79">
        <f t="shared" si="64"/>
        <v>0.874</v>
      </c>
      <c r="Z79">
        <v>0</v>
      </c>
      <c r="AA79">
        <f t="shared" si="79"/>
        <v>0</v>
      </c>
      <c r="AB79">
        <f t="shared" si="86"/>
        <v>1.3</v>
      </c>
      <c r="AC79">
        <f t="shared" si="65"/>
        <v>1.2622</v>
      </c>
      <c r="AD79">
        <f t="shared" si="66"/>
        <v>0.40405000000000002</v>
      </c>
      <c r="AF79">
        <v>1.5</v>
      </c>
      <c r="AG79">
        <f t="shared" si="80"/>
        <v>0.98889100346175773</v>
      </c>
      <c r="AH79">
        <f t="shared" si="67"/>
        <v>0.5475133082693564</v>
      </c>
      <c r="AI79">
        <f t="shared" si="81"/>
        <v>0.68339418904378058</v>
      </c>
      <c r="AJ79">
        <f t="shared" si="68"/>
        <v>5.4671535123502445E-2</v>
      </c>
      <c r="AK79">
        <f t="shared" si="69"/>
        <v>0.08</v>
      </c>
      <c r="AL79">
        <f t="shared" si="70"/>
        <v>0.3252607167493084</v>
      </c>
      <c r="AM79">
        <f t="shared" si="71"/>
        <v>0.19</v>
      </c>
      <c r="AN79">
        <f t="shared" si="72"/>
        <v>0.6784</v>
      </c>
      <c r="AO79">
        <f t="shared" si="73"/>
        <v>0</v>
      </c>
      <c r="AP79">
        <f t="shared" si="74"/>
        <v>1.9704658512675863E-4</v>
      </c>
      <c r="AQ79">
        <f t="shared" si="82"/>
        <v>1.9704658512675863E-4</v>
      </c>
      <c r="AR79">
        <f t="shared" si="75"/>
        <v>1.7980500892816726</v>
      </c>
      <c r="BA79">
        <v>18</v>
      </c>
      <c r="BB79">
        <v>0.8</v>
      </c>
      <c r="BC79">
        <f t="shared" si="83"/>
        <v>1.3984000000000001</v>
      </c>
      <c r="BD79">
        <f t="shared" ref="BD79" si="90">(BA79 * BB79) / 365</f>
        <v>3.9452054794520547E-2</v>
      </c>
      <c r="BE79">
        <f t="shared" si="76"/>
        <v>0</v>
      </c>
      <c r="BF79">
        <v>50</v>
      </c>
      <c r="BG79">
        <f t="shared" si="84"/>
        <v>0.7</v>
      </c>
      <c r="BH79">
        <f t="shared" si="89"/>
        <v>1.5370836164383561E-2</v>
      </c>
      <c r="BI79">
        <f t="shared" si="85"/>
        <v>0</v>
      </c>
      <c r="BJ79">
        <f t="shared" si="77"/>
        <v>0</v>
      </c>
      <c r="BL79" s="28"/>
    </row>
    <row r="80" spans="1:72" x14ac:dyDescent="0.2">
      <c r="E80" s="12"/>
      <c r="F80" t="s">
        <v>164</v>
      </c>
      <c r="H80">
        <v>140</v>
      </c>
      <c r="I80">
        <v>0</v>
      </c>
      <c r="J80">
        <v>0</v>
      </c>
      <c r="L80">
        <f t="shared" si="62"/>
        <v>91.25</v>
      </c>
      <c r="N80">
        <v>0.05</v>
      </c>
      <c r="P80">
        <v>0.1</v>
      </c>
      <c r="R80">
        <v>0.55000000000000004</v>
      </c>
      <c r="T80">
        <v>40</v>
      </c>
      <c r="U80">
        <f t="shared" si="78"/>
        <v>0</v>
      </c>
      <c r="V80">
        <f>V71</f>
        <v>1</v>
      </c>
      <c r="W80">
        <f>W71</f>
        <v>0.78</v>
      </c>
      <c r="X80">
        <f t="shared" si="63"/>
        <v>4.7000000000000002E-3</v>
      </c>
      <c r="Y80">
        <f t="shared" si="64"/>
        <v>0</v>
      </c>
      <c r="Z80">
        <v>0</v>
      </c>
      <c r="AA80">
        <f t="shared" si="79"/>
        <v>0</v>
      </c>
      <c r="AB80">
        <f t="shared" si="86"/>
        <v>1.3</v>
      </c>
      <c r="AC80">
        <f t="shared" si="65"/>
        <v>1</v>
      </c>
      <c r="AD80">
        <f t="shared" si="66"/>
        <v>0.43585000000000007</v>
      </c>
      <c r="AF80">
        <v>2</v>
      </c>
      <c r="AG80">
        <f t="shared" si="80"/>
        <v>0.99966453737209748</v>
      </c>
      <c r="AH80">
        <f t="shared" si="67"/>
        <v>0.68255692885182395</v>
      </c>
      <c r="AI80">
        <f t="shared" si="81"/>
        <v>0.68232795651077827</v>
      </c>
      <c r="AJ80">
        <f t="shared" si="68"/>
        <v>6.8232795651077829E-2</v>
      </c>
      <c r="AK80">
        <f t="shared" si="69"/>
        <v>0.08</v>
      </c>
      <c r="AL80">
        <f t="shared" si="70"/>
        <v>0.2996168029961534</v>
      </c>
      <c r="AM80">
        <f t="shared" si="71"/>
        <v>0.19</v>
      </c>
      <c r="AN80">
        <f t="shared" si="72"/>
        <v>0.6784</v>
      </c>
      <c r="AO80">
        <f t="shared" si="73"/>
        <v>0</v>
      </c>
      <c r="AP80">
        <f t="shared" si="74"/>
        <v>1.8151121496326329E-4</v>
      </c>
      <c r="AQ80">
        <f t="shared" si="82"/>
        <v>1.8151121496326329E-4</v>
      </c>
      <c r="AR80">
        <f t="shared" si="75"/>
        <v>2.3188057711556884</v>
      </c>
      <c r="BA80">
        <f>BA79</f>
        <v>18</v>
      </c>
      <c r="BC80">
        <f t="shared" si="83"/>
        <v>0</v>
      </c>
      <c r="BD80">
        <f>BD79</f>
        <v>3.9452054794520547E-2</v>
      </c>
      <c r="BE80">
        <f t="shared" si="76"/>
        <v>4.6000000000000006E-2</v>
      </c>
      <c r="BF80">
        <v>50</v>
      </c>
      <c r="BG80">
        <f t="shared" si="84"/>
        <v>0.8</v>
      </c>
      <c r="BH80">
        <f t="shared" si="89"/>
        <v>5.918928338852927E-3</v>
      </c>
      <c r="BI80">
        <f t="shared" si="85"/>
        <v>4.9983189653195256E-3</v>
      </c>
      <c r="BJ80">
        <f t="shared" si="77"/>
        <v>63.853524781956942</v>
      </c>
      <c r="BL80" s="28"/>
    </row>
    <row r="81" spans="5:64" x14ac:dyDescent="0.2">
      <c r="E81" s="11"/>
      <c r="F81" t="s">
        <v>165</v>
      </c>
      <c r="H81">
        <v>135</v>
      </c>
      <c r="I81">
        <v>0</v>
      </c>
      <c r="J81">
        <v>0</v>
      </c>
      <c r="L81">
        <f t="shared" si="62"/>
        <v>91.25</v>
      </c>
      <c r="N81">
        <v>0</v>
      </c>
      <c r="P81">
        <v>0.09</v>
      </c>
      <c r="R81">
        <v>0.59</v>
      </c>
      <c r="T81">
        <v>40</v>
      </c>
      <c r="U81">
        <f t="shared" si="78"/>
        <v>0</v>
      </c>
      <c r="V81">
        <f>V71</f>
        <v>1</v>
      </c>
      <c r="W81">
        <f>W71</f>
        <v>0.78</v>
      </c>
      <c r="X81">
        <f t="shared" si="63"/>
        <v>4.7000000000000002E-3</v>
      </c>
      <c r="Y81">
        <f t="shared" si="64"/>
        <v>0</v>
      </c>
      <c r="Z81">
        <v>0</v>
      </c>
      <c r="AA81">
        <f t="shared" si="79"/>
        <v>0</v>
      </c>
      <c r="AB81">
        <f t="shared" si="86"/>
        <v>1.3</v>
      </c>
      <c r="AC81">
        <f t="shared" si="65"/>
        <v>1</v>
      </c>
      <c r="AD81">
        <f t="shared" si="66"/>
        <v>0.46765000000000001</v>
      </c>
      <c r="AF81">
        <v>2.2000000000000002</v>
      </c>
      <c r="AG81">
        <f t="shared" si="80"/>
        <v>0.99993747849622516</v>
      </c>
      <c r="AH81">
        <f t="shared" si="67"/>
        <v>0.73551337046383869</v>
      </c>
      <c r="AI81">
        <f t="shared" si="81"/>
        <v>0.73546738506187082</v>
      </c>
      <c r="AJ81">
        <f t="shared" si="68"/>
        <v>6.6192064655568372E-2</v>
      </c>
      <c r="AK81">
        <f t="shared" si="69"/>
        <v>0.08</v>
      </c>
      <c r="AL81">
        <f t="shared" si="70"/>
        <v>0.29732386934656035</v>
      </c>
      <c r="AM81">
        <f t="shared" si="71"/>
        <v>0.19</v>
      </c>
      <c r="AN81">
        <f t="shared" si="72"/>
        <v>0.6784</v>
      </c>
      <c r="AO81">
        <f t="shared" si="73"/>
        <v>0</v>
      </c>
      <c r="AP81">
        <f t="shared" si="74"/>
        <v>1.8012213007748295E-4</v>
      </c>
      <c r="AQ81">
        <f t="shared" si="82"/>
        <v>1.8012213007748295E-4</v>
      </c>
      <c r="AR81">
        <f t="shared" si="75"/>
        <v>2.218879489891993</v>
      </c>
      <c r="BA81">
        <f>BA79</f>
        <v>18</v>
      </c>
      <c r="BC81">
        <f t="shared" si="83"/>
        <v>0</v>
      </c>
      <c r="BD81">
        <f>BD79</f>
        <v>3.9452054794520547E-2</v>
      </c>
      <c r="BE81">
        <f t="shared" si="76"/>
        <v>0</v>
      </c>
      <c r="BF81">
        <v>50</v>
      </c>
      <c r="BG81">
        <f t="shared" si="84"/>
        <v>0.8</v>
      </c>
      <c r="BH81">
        <f t="shared" si="89"/>
        <v>5.3023561643835617E-3</v>
      </c>
      <c r="BI81">
        <f t="shared" si="85"/>
        <v>5.2883741805073783E-3</v>
      </c>
      <c r="BJ81">
        <f t="shared" si="77"/>
        <v>65.146159436125274</v>
      </c>
      <c r="BL81" s="28"/>
    </row>
    <row r="82" spans="5:64" x14ac:dyDescent="0.2">
      <c r="E82" s="12"/>
      <c r="F82" t="s">
        <v>166</v>
      </c>
      <c r="H82">
        <v>130</v>
      </c>
      <c r="I82">
        <v>0</v>
      </c>
      <c r="J82">
        <v>0</v>
      </c>
      <c r="L82">
        <f t="shared" si="62"/>
        <v>91.25</v>
      </c>
      <c r="N82">
        <v>-0.05</v>
      </c>
      <c r="P82">
        <v>7.0000000000000007E-2</v>
      </c>
      <c r="R82">
        <v>0.57999999999999996</v>
      </c>
      <c r="T82">
        <v>35</v>
      </c>
      <c r="U82">
        <f t="shared" si="78"/>
        <v>0</v>
      </c>
      <c r="V82">
        <f>V71</f>
        <v>1</v>
      </c>
      <c r="W82">
        <f>W71</f>
        <v>0.78</v>
      </c>
      <c r="X82">
        <f t="shared" si="63"/>
        <v>4.7000000000000002E-3</v>
      </c>
      <c r="Y82">
        <f t="shared" si="64"/>
        <v>0</v>
      </c>
      <c r="Z82">
        <v>0</v>
      </c>
      <c r="AA82">
        <f t="shared" si="79"/>
        <v>0</v>
      </c>
      <c r="AB82">
        <f t="shared" si="86"/>
        <v>1.3</v>
      </c>
      <c r="AC82">
        <f t="shared" si="65"/>
        <v>1</v>
      </c>
      <c r="AD82">
        <f t="shared" si="66"/>
        <v>0.4597</v>
      </c>
      <c r="AF82">
        <v>1.7</v>
      </c>
      <c r="AG82">
        <f t="shared" si="80"/>
        <v>0.99691128459176326</v>
      </c>
      <c r="AH82">
        <f t="shared" si="67"/>
        <v>0.63135555036204949</v>
      </c>
      <c r="AI82">
        <f t="shared" si="81"/>
        <v>0.62940547274557046</v>
      </c>
      <c r="AJ82">
        <f t="shared" si="68"/>
        <v>4.4058383092189936E-2</v>
      </c>
      <c r="AK82">
        <f t="shared" si="69"/>
        <v>0.08</v>
      </c>
      <c r="AL82">
        <f t="shared" si="70"/>
        <v>0.25778064063658079</v>
      </c>
      <c r="AM82">
        <f t="shared" si="71"/>
        <v>0.19</v>
      </c>
      <c r="AN82">
        <f t="shared" si="72"/>
        <v>0.6784</v>
      </c>
      <c r="AO82">
        <f t="shared" si="73"/>
        <v>0</v>
      </c>
      <c r="AP82">
        <f t="shared" si="74"/>
        <v>1.5616639924081579E-4</v>
      </c>
      <c r="AQ82">
        <f t="shared" si="82"/>
        <v>1.5616639924081579E-4</v>
      </c>
      <c r="AR82">
        <f t="shared" si="75"/>
        <v>1.8525239109941771</v>
      </c>
      <c r="BA82">
        <f>BA79</f>
        <v>18</v>
      </c>
      <c r="BC82">
        <f t="shared" si="83"/>
        <v>0</v>
      </c>
      <c r="BD82">
        <f>BD79</f>
        <v>3.9452054794520547E-2</v>
      </c>
      <c r="BE82">
        <f t="shared" si="76"/>
        <v>-4.6000000000000006E-2</v>
      </c>
      <c r="BF82">
        <v>50</v>
      </c>
      <c r="BG82">
        <f t="shared" si="84"/>
        <v>0.7</v>
      </c>
      <c r="BH82">
        <f t="shared" si="89"/>
        <v>4.6195426150210253E-3</v>
      </c>
      <c r="BI82">
        <f t="shared" si="85"/>
        <v>2.4297986797293643E-3</v>
      </c>
      <c r="BJ82">
        <f t="shared" si="77"/>
        <v>28.823486838289586</v>
      </c>
      <c r="BL82" s="28"/>
    </row>
    <row r="83" spans="5:64" x14ac:dyDescent="0.2">
      <c r="E83" s="11" t="s">
        <v>170</v>
      </c>
      <c r="F83" t="s">
        <v>163</v>
      </c>
      <c r="H83">
        <v>200</v>
      </c>
      <c r="I83">
        <v>0</v>
      </c>
      <c r="J83">
        <v>0</v>
      </c>
      <c r="L83">
        <f t="shared" si="62"/>
        <v>91.25</v>
      </c>
      <c r="N83">
        <v>-0.03</v>
      </c>
      <c r="P83">
        <v>0.08</v>
      </c>
      <c r="R83">
        <v>0.51</v>
      </c>
      <c r="T83">
        <v>45</v>
      </c>
      <c r="U83">
        <f t="shared" si="78"/>
        <v>0</v>
      </c>
      <c r="V83">
        <f>V71</f>
        <v>1</v>
      </c>
      <c r="W83">
        <f>W71</f>
        <v>0.78</v>
      </c>
      <c r="X83">
        <f t="shared" si="63"/>
        <v>4.7000000000000002E-3</v>
      </c>
      <c r="Y83">
        <f t="shared" si="64"/>
        <v>0</v>
      </c>
      <c r="Z83">
        <v>0</v>
      </c>
      <c r="AA83">
        <f t="shared" si="79"/>
        <v>0</v>
      </c>
      <c r="AB83">
        <f t="shared" si="86"/>
        <v>1.3</v>
      </c>
      <c r="AC83">
        <f t="shared" si="65"/>
        <v>1</v>
      </c>
      <c r="AD83">
        <f t="shared" si="66"/>
        <v>0.40405000000000002</v>
      </c>
      <c r="AF83">
        <v>1.5</v>
      </c>
      <c r="AG83">
        <f t="shared" si="80"/>
        <v>0.98889100346175773</v>
      </c>
      <c r="AH83">
        <f t="shared" si="67"/>
        <v>0.71441785360642229</v>
      </c>
      <c r="AI83">
        <f t="shared" si="81"/>
        <v>0.70648138814385009</v>
      </c>
      <c r="AJ83">
        <f t="shared" si="68"/>
        <v>5.6518511051508007E-2</v>
      </c>
      <c r="AK83">
        <f t="shared" si="69"/>
        <v>0.08</v>
      </c>
      <c r="AL83">
        <f t="shared" si="70"/>
        <v>0.33684927680125443</v>
      </c>
      <c r="AM83">
        <f t="shared" si="71"/>
        <v>0.19</v>
      </c>
      <c r="AN83">
        <f t="shared" si="72"/>
        <v>0.6784</v>
      </c>
      <c r="AO83">
        <f t="shared" si="73"/>
        <v>0</v>
      </c>
      <c r="AP83">
        <f t="shared" si="74"/>
        <v>2.0406706459810014E-4</v>
      </c>
      <c r="AQ83">
        <f t="shared" si="82"/>
        <v>2.0406706459810014E-4</v>
      </c>
      <c r="AR83">
        <f t="shared" si="75"/>
        <v>3.7242239289153276</v>
      </c>
      <c r="BA83">
        <v>20</v>
      </c>
      <c r="BB83">
        <v>0.8</v>
      </c>
      <c r="BC83">
        <f t="shared" si="83"/>
        <v>0</v>
      </c>
      <c r="BD83">
        <f t="shared" ref="BD83" si="91">(BA83 * BB83) / 365</f>
        <v>4.3835616438356165E-2</v>
      </c>
      <c r="BE83">
        <f t="shared" si="76"/>
        <v>-2.76E-2</v>
      </c>
      <c r="BF83">
        <v>50</v>
      </c>
      <c r="BG83">
        <f t="shared" si="84"/>
        <v>0.9</v>
      </c>
      <c r="BH83">
        <f t="shared" si="89"/>
        <v>5.5430891312035456E-3</v>
      </c>
      <c r="BI83">
        <f t="shared" si="85"/>
        <v>3.4998726370377362E-3</v>
      </c>
      <c r="BJ83">
        <f t="shared" si="77"/>
        <v>63.87267562593869</v>
      </c>
      <c r="BL83" s="28"/>
    </row>
    <row r="84" spans="5:64" x14ac:dyDescent="0.2">
      <c r="E84" s="12"/>
      <c r="F84" t="s">
        <v>164</v>
      </c>
      <c r="H84">
        <v>210</v>
      </c>
      <c r="I84">
        <v>0</v>
      </c>
      <c r="J84">
        <v>0</v>
      </c>
      <c r="L84">
        <f t="shared" si="62"/>
        <v>91.25</v>
      </c>
      <c r="N84">
        <v>0.05</v>
      </c>
      <c r="P84">
        <v>0.1</v>
      </c>
      <c r="R84">
        <v>0.55000000000000004</v>
      </c>
      <c r="T84">
        <v>50</v>
      </c>
      <c r="U84">
        <f t="shared" si="78"/>
        <v>0</v>
      </c>
      <c r="V84">
        <f>V71</f>
        <v>1</v>
      </c>
      <c r="W84">
        <f>W71</f>
        <v>0.78</v>
      </c>
      <c r="X84">
        <f t="shared" si="63"/>
        <v>4.7000000000000002E-3</v>
      </c>
      <c r="Y84">
        <f t="shared" si="64"/>
        <v>0</v>
      </c>
      <c r="Z84">
        <v>0</v>
      </c>
      <c r="AA84">
        <f t="shared" si="79"/>
        <v>0</v>
      </c>
      <c r="AB84">
        <f t="shared" si="86"/>
        <v>1.3</v>
      </c>
      <c r="AC84">
        <f t="shared" si="65"/>
        <v>1</v>
      </c>
      <c r="AD84">
        <f t="shared" si="66"/>
        <v>0.43585000000000007</v>
      </c>
      <c r="AF84">
        <v>2</v>
      </c>
      <c r="AG84">
        <f t="shared" si="80"/>
        <v>0.99966453737209748</v>
      </c>
      <c r="AH84">
        <f t="shared" si="67"/>
        <v>0.8646283676396137</v>
      </c>
      <c r="AI84">
        <f t="shared" si="81"/>
        <v>0.86433831713524623</v>
      </c>
      <c r="AJ84">
        <f t="shared" si="68"/>
        <v>8.6433831713524631E-2</v>
      </c>
      <c r="AK84">
        <f t="shared" si="69"/>
        <v>0.08</v>
      </c>
      <c r="AL84">
        <f t="shared" si="70"/>
        <v>0.38532863402802131</v>
      </c>
      <c r="AM84">
        <f t="shared" si="71"/>
        <v>0.19</v>
      </c>
      <c r="AN84">
        <f t="shared" si="72"/>
        <v>0.6784</v>
      </c>
      <c r="AO84">
        <f t="shared" si="73"/>
        <v>0</v>
      </c>
      <c r="AP84">
        <f t="shared" si="74"/>
        <v>2.3343640217487642E-4</v>
      </c>
      <c r="AQ84">
        <f t="shared" si="82"/>
        <v>2.3343640217487642E-4</v>
      </c>
      <c r="AR84">
        <f t="shared" si="75"/>
        <v>4.4732250566760694</v>
      </c>
      <c r="BA84">
        <f>BA83</f>
        <v>20</v>
      </c>
      <c r="BC84">
        <f t="shared" si="83"/>
        <v>0</v>
      </c>
      <c r="BD84">
        <f>BD83</f>
        <v>4.3835616438356165E-2</v>
      </c>
      <c r="BE84">
        <f t="shared" si="76"/>
        <v>4.6000000000000006E-2</v>
      </c>
      <c r="BF84">
        <v>50</v>
      </c>
      <c r="BG84">
        <f t="shared" si="84"/>
        <v>1</v>
      </c>
      <c r="BH84">
        <f t="shared" si="89"/>
        <v>6.4491365115592345E-3</v>
      </c>
      <c r="BI84">
        <f t="shared" si="85"/>
        <v>7.3802765626047066E-3</v>
      </c>
      <c r="BJ84">
        <f t="shared" si="77"/>
        <v>141.42454963091268</v>
      </c>
      <c r="BL84" s="28"/>
    </row>
    <row r="85" spans="5:64" x14ac:dyDescent="0.2">
      <c r="E85" s="11"/>
      <c r="F85" t="s">
        <v>165</v>
      </c>
      <c r="H85">
        <v>190</v>
      </c>
      <c r="I85">
        <v>0</v>
      </c>
      <c r="J85">
        <v>0</v>
      </c>
      <c r="L85">
        <f t="shared" si="62"/>
        <v>91.25</v>
      </c>
      <c r="N85">
        <v>0</v>
      </c>
      <c r="P85">
        <v>0.09</v>
      </c>
      <c r="R85">
        <v>0.59</v>
      </c>
      <c r="T85">
        <v>50</v>
      </c>
      <c r="U85">
        <f t="shared" si="78"/>
        <v>0</v>
      </c>
      <c r="V85">
        <f>V71</f>
        <v>1</v>
      </c>
      <c r="W85">
        <f>W71</f>
        <v>0.78</v>
      </c>
      <c r="X85">
        <f t="shared" si="63"/>
        <v>4.7000000000000002E-3</v>
      </c>
      <c r="Y85">
        <f t="shared" si="64"/>
        <v>0</v>
      </c>
      <c r="Z85">
        <v>0</v>
      </c>
      <c r="AA85">
        <f t="shared" si="79"/>
        <v>0</v>
      </c>
      <c r="AB85">
        <f t="shared" si="86"/>
        <v>1.3</v>
      </c>
      <c r="AC85">
        <f t="shared" si="65"/>
        <v>1</v>
      </c>
      <c r="AD85">
        <f t="shared" si="66"/>
        <v>0.46765000000000001</v>
      </c>
      <c r="AF85">
        <v>2.2000000000000002</v>
      </c>
      <c r="AG85">
        <f t="shared" si="80"/>
        <v>0.99993747849622516</v>
      </c>
      <c r="AH85">
        <f t="shared" si="67"/>
        <v>0.92723225551115063</v>
      </c>
      <c r="AI85">
        <f t="shared" si="81"/>
        <v>0.92717428355618758</v>
      </c>
      <c r="AJ85">
        <f t="shared" si="68"/>
        <v>8.3445685520056878E-2</v>
      </c>
      <c r="AK85">
        <f t="shared" si="69"/>
        <v>0.08</v>
      </c>
      <c r="AL85">
        <f t="shared" si="70"/>
        <v>0.3813653389542298</v>
      </c>
      <c r="AM85">
        <f t="shared" si="71"/>
        <v>0.19</v>
      </c>
      <c r="AN85">
        <f t="shared" si="72"/>
        <v>0.6784</v>
      </c>
      <c r="AO85">
        <f t="shared" si="73"/>
        <v>0</v>
      </c>
      <c r="AP85">
        <f t="shared" si="74"/>
        <v>2.3103539363026872E-4</v>
      </c>
      <c r="AQ85">
        <f t="shared" si="82"/>
        <v>2.3103539363026872E-4</v>
      </c>
      <c r="AR85">
        <f t="shared" si="75"/>
        <v>4.005576137064784</v>
      </c>
      <c r="BA85">
        <f>BA83</f>
        <v>20</v>
      </c>
      <c r="BC85">
        <f t="shared" si="83"/>
        <v>0</v>
      </c>
      <c r="BD85">
        <f>BD83</f>
        <v>4.3835616438356165E-2</v>
      </c>
      <c r="BE85">
        <f t="shared" si="76"/>
        <v>0</v>
      </c>
      <c r="BF85">
        <v>50</v>
      </c>
      <c r="BG85">
        <f t="shared" si="84"/>
        <v>1</v>
      </c>
      <c r="BH85">
        <f t="shared" si="89"/>
        <v>5.8915068493150683E-3</v>
      </c>
      <c r="BI85">
        <f t="shared" si="85"/>
        <v>7.4598028338940326E-3</v>
      </c>
      <c r="BJ85">
        <f t="shared" si="77"/>
        <v>129.3343316326378</v>
      </c>
      <c r="BL85" s="28"/>
    </row>
    <row r="86" spans="5:64" x14ac:dyDescent="0.2">
      <c r="E86" s="12"/>
      <c r="F86" t="s">
        <v>166</v>
      </c>
      <c r="H86">
        <v>180</v>
      </c>
      <c r="I86">
        <v>0</v>
      </c>
      <c r="J86">
        <v>0</v>
      </c>
      <c r="L86">
        <f t="shared" si="62"/>
        <v>91.25</v>
      </c>
      <c r="N86">
        <v>-0.02</v>
      </c>
      <c r="P86">
        <v>7.0000000000000007E-2</v>
      </c>
      <c r="R86">
        <v>0.57999999999999996</v>
      </c>
      <c r="T86">
        <v>48</v>
      </c>
      <c r="U86">
        <f t="shared" si="78"/>
        <v>0</v>
      </c>
      <c r="V86">
        <f>V71</f>
        <v>1</v>
      </c>
      <c r="W86">
        <f>W71</f>
        <v>0.78</v>
      </c>
      <c r="X86">
        <f t="shared" si="63"/>
        <v>4.7000000000000002E-3</v>
      </c>
      <c r="Y86">
        <f t="shared" si="64"/>
        <v>0</v>
      </c>
      <c r="Z86">
        <v>0</v>
      </c>
      <c r="AA86">
        <f t="shared" si="79"/>
        <v>0</v>
      </c>
      <c r="AB86">
        <f t="shared" si="86"/>
        <v>1.3</v>
      </c>
      <c r="AC86">
        <f t="shared" si="65"/>
        <v>1</v>
      </c>
      <c r="AD86">
        <f t="shared" si="66"/>
        <v>0.4597</v>
      </c>
      <c r="AF86">
        <v>1.7</v>
      </c>
      <c r="AG86">
        <f t="shared" si="80"/>
        <v>0.99691128459176326</v>
      </c>
      <c r="AH86">
        <f t="shared" si="67"/>
        <v>0.87289783757888828</v>
      </c>
      <c r="AI86">
        <f t="shared" si="81"/>
        <v>0.87020170457814183</v>
      </c>
      <c r="AJ86">
        <f t="shared" si="68"/>
        <v>6.0914119320469931E-2</v>
      </c>
      <c r="AK86">
        <f t="shared" si="69"/>
        <v>0.08</v>
      </c>
      <c r="AL86">
        <f t="shared" si="70"/>
        <v>0.3641127756937399</v>
      </c>
      <c r="AM86">
        <f t="shared" si="71"/>
        <v>0.19</v>
      </c>
      <c r="AN86">
        <f t="shared" si="72"/>
        <v>0.6784</v>
      </c>
      <c r="AO86">
        <f t="shared" si="73"/>
        <v>0</v>
      </c>
      <c r="AP86">
        <f t="shared" si="74"/>
        <v>2.2058359757835542E-4</v>
      </c>
      <c r="AQ86">
        <f t="shared" si="82"/>
        <v>2.2058359757835542E-4</v>
      </c>
      <c r="AR86">
        <f t="shared" si="75"/>
        <v>3.6230855902244881</v>
      </c>
      <c r="BA86">
        <f>BA83</f>
        <v>20</v>
      </c>
      <c r="BC86">
        <f t="shared" si="83"/>
        <v>0</v>
      </c>
      <c r="BD86">
        <f>BD83</f>
        <v>4.3835616438356165E-2</v>
      </c>
      <c r="BE86">
        <f t="shared" si="76"/>
        <v>-1.84E-2</v>
      </c>
      <c r="BF86">
        <v>50</v>
      </c>
      <c r="BG86">
        <f t="shared" si="84"/>
        <v>0.96</v>
      </c>
      <c r="BH86">
        <f t="shared" si="89"/>
        <v>5.6652109375116087E-3</v>
      </c>
      <c r="BI86">
        <f t="shared" si="85"/>
        <v>4.0810481537635803E-3</v>
      </c>
      <c r="BJ86">
        <f t="shared" si="77"/>
        <v>67.031215925566812</v>
      </c>
      <c r="BL86" s="28"/>
    </row>
    <row r="87" spans="5:64" x14ac:dyDescent="0.2">
      <c r="E87" s="11" t="s">
        <v>162</v>
      </c>
      <c r="F87" t="s">
        <v>163</v>
      </c>
      <c r="H87">
        <v>50</v>
      </c>
      <c r="I87">
        <v>0</v>
      </c>
      <c r="J87">
        <v>0</v>
      </c>
      <c r="L87">
        <f t="shared" si="62"/>
        <v>91.25</v>
      </c>
      <c r="N87">
        <v>-0.02</v>
      </c>
      <c r="P87">
        <v>0.08</v>
      </c>
      <c r="R87">
        <v>0.51</v>
      </c>
      <c r="T87">
        <v>58</v>
      </c>
      <c r="U87">
        <f t="shared" si="78"/>
        <v>0</v>
      </c>
      <c r="V87">
        <f>V71</f>
        <v>1</v>
      </c>
      <c r="W87">
        <f>W71</f>
        <v>0.78</v>
      </c>
      <c r="X87">
        <f t="shared" si="63"/>
        <v>4.7000000000000002E-3</v>
      </c>
      <c r="Y87">
        <f t="shared" si="64"/>
        <v>0</v>
      </c>
      <c r="Z87">
        <v>0</v>
      </c>
      <c r="AA87">
        <f t="shared" si="79"/>
        <v>0</v>
      </c>
      <c r="AB87">
        <f t="shared" si="86"/>
        <v>1.3</v>
      </c>
      <c r="AC87">
        <f t="shared" si="65"/>
        <v>1</v>
      </c>
      <c r="AD87">
        <f t="shared" si="66"/>
        <v>0.40405000000000002</v>
      </c>
      <c r="AF87">
        <v>1.5</v>
      </c>
      <c r="AG87">
        <f t="shared" si="80"/>
        <v>0.98889100346175773</v>
      </c>
      <c r="AH87">
        <f t="shared" si="67"/>
        <v>0.94807819706718344</v>
      </c>
      <c r="AI87">
        <f t="shared" si="81"/>
        <v>0.93754599965798113</v>
      </c>
      <c r="AJ87">
        <f t="shared" si="68"/>
        <v>7.5003679972638487E-2</v>
      </c>
      <c r="AK87">
        <f t="shared" si="69"/>
        <v>0.08</v>
      </c>
      <c r="AL87">
        <f t="shared" si="70"/>
        <v>0.45499266070008626</v>
      </c>
      <c r="AM87">
        <f t="shared" si="71"/>
        <v>0.19</v>
      </c>
      <c r="AN87">
        <f t="shared" si="72"/>
        <v>0.6784</v>
      </c>
      <c r="AO87">
        <f t="shared" si="73"/>
        <v>0</v>
      </c>
      <c r="AP87">
        <f t="shared" si="74"/>
        <v>2.7563964976991213E-4</v>
      </c>
      <c r="AQ87">
        <f t="shared" si="82"/>
        <v>2.7563964976991213E-4</v>
      </c>
      <c r="AR87">
        <f t="shared" si="75"/>
        <v>1.2576059020752242</v>
      </c>
      <c r="BA87">
        <v>15</v>
      </c>
      <c r="BB87">
        <v>0.85</v>
      </c>
      <c r="BC87">
        <f t="shared" si="83"/>
        <v>0</v>
      </c>
      <c r="BD87">
        <f t="shared" ref="BD87" si="92">(BA87 * BB87) / 365</f>
        <v>3.4931506849315071E-2</v>
      </c>
      <c r="BE87">
        <f t="shared" si="76"/>
        <v>-1.84E-2</v>
      </c>
      <c r="BF87">
        <v>70</v>
      </c>
      <c r="BG87">
        <f t="shared" si="84"/>
        <v>0.82857142857142863</v>
      </c>
      <c r="BH87">
        <f t="shared" si="89"/>
        <v>4.45256813203507E-3</v>
      </c>
      <c r="BI87">
        <f>MAX((AJ87  / 6.25 ) - BH87, 0)</f>
        <v>7.548020663587088E-3</v>
      </c>
      <c r="BJ87">
        <f t="shared" si="77"/>
        <v>34.437844277616094</v>
      </c>
      <c r="BL87" s="28"/>
    </row>
    <row r="88" spans="5:64" x14ac:dyDescent="0.2">
      <c r="E88" s="12"/>
      <c r="F88" t="s">
        <v>164</v>
      </c>
      <c r="H88">
        <v>55</v>
      </c>
      <c r="I88">
        <v>0</v>
      </c>
      <c r="J88">
        <v>0</v>
      </c>
      <c r="L88">
        <f t="shared" si="62"/>
        <v>91.25</v>
      </c>
      <c r="N88">
        <v>0.03</v>
      </c>
      <c r="P88">
        <v>0.1</v>
      </c>
      <c r="R88">
        <v>0.55000000000000004</v>
      </c>
      <c r="T88">
        <v>61</v>
      </c>
      <c r="U88">
        <f t="shared" si="78"/>
        <v>0</v>
      </c>
      <c r="V88">
        <f>V71</f>
        <v>1</v>
      </c>
      <c r="W88">
        <f>W71</f>
        <v>0.78</v>
      </c>
      <c r="X88">
        <f t="shared" si="63"/>
        <v>4.7000000000000002E-3</v>
      </c>
      <c r="Y88">
        <f t="shared" si="64"/>
        <v>0</v>
      </c>
      <c r="Z88">
        <v>0</v>
      </c>
      <c r="AA88">
        <f t="shared" si="79"/>
        <v>0</v>
      </c>
      <c r="AB88">
        <f t="shared" si="86"/>
        <v>1.3</v>
      </c>
      <c r="AC88">
        <f t="shared" si="65"/>
        <v>1</v>
      </c>
      <c r="AD88">
        <f t="shared" si="66"/>
        <v>0.43585000000000007</v>
      </c>
      <c r="AF88">
        <v>2</v>
      </c>
      <c r="AG88">
        <f t="shared" si="80"/>
        <v>0.99966453737209748</v>
      </c>
      <c r="AH88">
        <f t="shared" si="67"/>
        <v>1.0773997799878814</v>
      </c>
      <c r="AI88">
        <f t="shared" si="81"/>
        <v>1.0770383526263851</v>
      </c>
      <c r="AJ88">
        <f t="shared" si="68"/>
        <v>0.10770383526263852</v>
      </c>
      <c r="AK88">
        <f t="shared" si="69"/>
        <v>0.08</v>
      </c>
      <c r="AL88">
        <f t="shared" si="70"/>
        <v>0.48858230534675962</v>
      </c>
      <c r="AM88">
        <f t="shared" si="71"/>
        <v>0.19</v>
      </c>
      <c r="AN88">
        <f t="shared" si="72"/>
        <v>0.6784</v>
      </c>
      <c r="AO88">
        <f t="shared" si="73"/>
        <v>0</v>
      </c>
      <c r="AP88">
        <f t="shared" si="74"/>
        <v>2.9598863270088687E-4</v>
      </c>
      <c r="AQ88">
        <f t="shared" si="82"/>
        <v>2.9598863270088687E-4</v>
      </c>
      <c r="AR88">
        <f t="shared" si="75"/>
        <v>1.485492950367576</v>
      </c>
      <c r="BA88">
        <f>BA87</f>
        <v>15</v>
      </c>
      <c r="BC88">
        <f t="shared" si="83"/>
        <v>0</v>
      </c>
      <c r="BD88">
        <f>BD87</f>
        <v>3.4931506849315071E-2</v>
      </c>
      <c r="BE88">
        <f t="shared" si="76"/>
        <v>2.76E-2</v>
      </c>
      <c r="BF88">
        <v>70</v>
      </c>
      <c r="BG88">
        <f t="shared" si="84"/>
        <v>0.87142857142857144</v>
      </c>
      <c r="BH88">
        <f t="shared" si="89"/>
        <v>5.0479486939506747E-3</v>
      </c>
      <c r="BI88">
        <f t="shared" si="85"/>
        <v>1.2184664948071487E-2</v>
      </c>
      <c r="BJ88">
        <f t="shared" si="77"/>
        <v>61.151787208133776</v>
      </c>
      <c r="BL88" s="28"/>
    </row>
    <row r="89" spans="5:64" x14ac:dyDescent="0.2">
      <c r="E89" s="11"/>
      <c r="F89" t="s">
        <v>165</v>
      </c>
      <c r="H89">
        <v>60</v>
      </c>
      <c r="I89">
        <v>0</v>
      </c>
      <c r="J89">
        <v>0</v>
      </c>
      <c r="L89">
        <f t="shared" si="62"/>
        <v>91.25</v>
      </c>
      <c r="N89">
        <v>0.02</v>
      </c>
      <c r="P89">
        <v>0.09</v>
      </c>
      <c r="R89">
        <v>0.59</v>
      </c>
      <c r="T89">
        <v>63</v>
      </c>
      <c r="U89">
        <f t="shared" si="78"/>
        <v>0</v>
      </c>
      <c r="V89">
        <f>V71</f>
        <v>1</v>
      </c>
      <c r="W89">
        <f>W71</f>
        <v>0.78</v>
      </c>
      <c r="X89">
        <f t="shared" si="63"/>
        <v>4.7000000000000002E-3</v>
      </c>
      <c r="Y89">
        <f t="shared" si="64"/>
        <v>0</v>
      </c>
      <c r="Z89">
        <v>0</v>
      </c>
      <c r="AA89">
        <f t="shared" si="79"/>
        <v>0</v>
      </c>
      <c r="AB89">
        <f t="shared" si="86"/>
        <v>1.3</v>
      </c>
      <c r="AC89">
        <f t="shared" si="65"/>
        <v>1</v>
      </c>
      <c r="AD89">
        <f t="shared" si="66"/>
        <v>0.46765000000000001</v>
      </c>
      <c r="AF89">
        <v>2.2000000000000002</v>
      </c>
      <c r="AG89">
        <f t="shared" si="80"/>
        <v>0.99993747849622516</v>
      </c>
      <c r="AH89">
        <f t="shared" si="67"/>
        <v>1.1919686844423474</v>
      </c>
      <c r="AI89">
        <f t="shared" si="81"/>
        <v>1.1918941607677436</v>
      </c>
      <c r="AJ89">
        <f t="shared" si="68"/>
        <v>0.10727047446909692</v>
      </c>
      <c r="AK89">
        <f t="shared" si="69"/>
        <v>0.08</v>
      </c>
      <c r="AL89">
        <f t="shared" si="70"/>
        <v>0.50186098765097142</v>
      </c>
      <c r="AM89">
        <f t="shared" si="71"/>
        <v>0.19</v>
      </c>
      <c r="AN89">
        <f t="shared" si="72"/>
        <v>0.6784</v>
      </c>
      <c r="AO89">
        <f t="shared" si="73"/>
        <v>0</v>
      </c>
      <c r="AP89">
        <f t="shared" si="74"/>
        <v>3.0403300716202021E-4</v>
      </c>
      <c r="AQ89">
        <f t="shared" si="82"/>
        <v>3.0403300716202021E-4</v>
      </c>
      <c r="AR89">
        <f t="shared" si="75"/>
        <v>1.6645807142120606</v>
      </c>
      <c r="BA89">
        <f>BA87</f>
        <v>15</v>
      </c>
      <c r="BC89">
        <f t="shared" si="83"/>
        <v>0</v>
      </c>
      <c r="BD89">
        <f>BD87</f>
        <v>3.4931506849315071E-2</v>
      </c>
      <c r="BE89">
        <f t="shared" si="76"/>
        <v>1.84E-2</v>
      </c>
      <c r="BF89">
        <v>70</v>
      </c>
      <c r="BG89">
        <f t="shared" si="84"/>
        <v>0.9</v>
      </c>
      <c r="BH89">
        <f t="shared" si="89"/>
        <v>4.9267618988133024E-3</v>
      </c>
      <c r="BI89">
        <f t="shared" si="85"/>
        <v>1.2236514016242202E-2</v>
      </c>
      <c r="BJ89">
        <f t="shared" si="77"/>
        <v>66.994914238926057</v>
      </c>
      <c r="BL89" s="28"/>
    </row>
    <row r="90" spans="5:64" x14ac:dyDescent="0.2">
      <c r="E90" s="12"/>
      <c r="F90" t="s">
        <v>166</v>
      </c>
      <c r="H90">
        <v>65</v>
      </c>
      <c r="I90">
        <v>0</v>
      </c>
      <c r="J90">
        <v>0</v>
      </c>
      <c r="L90">
        <f t="shared" si="62"/>
        <v>91.25</v>
      </c>
      <c r="N90">
        <v>-0.03</v>
      </c>
      <c r="P90">
        <v>7.0000000000000007E-2</v>
      </c>
      <c r="R90">
        <v>0.57999999999999996</v>
      </c>
      <c r="T90">
        <v>60</v>
      </c>
      <c r="U90">
        <f t="shared" si="78"/>
        <v>0</v>
      </c>
      <c r="V90">
        <f>V71</f>
        <v>1</v>
      </c>
      <c r="W90">
        <f>W71</f>
        <v>0.78</v>
      </c>
      <c r="X90">
        <f t="shared" si="63"/>
        <v>4.7000000000000002E-3</v>
      </c>
      <c r="Y90">
        <f t="shared" si="64"/>
        <v>0</v>
      </c>
      <c r="Z90">
        <v>0</v>
      </c>
      <c r="AA90">
        <f t="shared" si="79"/>
        <v>0</v>
      </c>
      <c r="AB90">
        <f t="shared" si="86"/>
        <v>1.3</v>
      </c>
      <c r="AC90">
        <f t="shared" si="65"/>
        <v>1</v>
      </c>
      <c r="AD90">
        <f t="shared" si="66"/>
        <v>0.4597</v>
      </c>
      <c r="AF90">
        <v>1.7</v>
      </c>
      <c r="AG90">
        <f t="shared" si="80"/>
        <v>0.99691128459176326</v>
      </c>
      <c r="AH90">
        <f t="shared" si="67"/>
        <v>1.1113403376673825</v>
      </c>
      <c r="AI90">
        <f t="shared" si="81"/>
        <v>1.1079077236426342</v>
      </c>
      <c r="AJ90">
        <f t="shared" si="68"/>
        <v>7.7553540654984404E-2</v>
      </c>
      <c r="AK90">
        <f t="shared" si="69"/>
        <v>0.08</v>
      </c>
      <c r="AL90">
        <f t="shared" si="70"/>
        <v>0.47326605490265167</v>
      </c>
      <c r="AM90">
        <f t="shared" si="71"/>
        <v>0.19</v>
      </c>
      <c r="AN90">
        <f t="shared" si="72"/>
        <v>0.6784</v>
      </c>
      <c r="AO90">
        <f t="shared" si="73"/>
        <v>0</v>
      </c>
      <c r="AP90">
        <f t="shared" si="74"/>
        <v>2.8670987663984129E-4</v>
      </c>
      <c r="AQ90">
        <f t="shared" si="82"/>
        <v>2.8670987663984129E-4</v>
      </c>
      <c r="AR90">
        <f t="shared" si="75"/>
        <v>1.7005479558200585</v>
      </c>
      <c r="BA90">
        <f>BA87</f>
        <v>15</v>
      </c>
      <c r="BC90">
        <f t="shared" si="83"/>
        <v>0</v>
      </c>
      <c r="BD90">
        <f>BD87</f>
        <v>3.4931506849315071E-2</v>
      </c>
      <c r="BE90">
        <f t="shared" si="76"/>
        <v>-2.76E-2</v>
      </c>
      <c r="BF90">
        <v>70</v>
      </c>
      <c r="BG90">
        <f t="shared" si="84"/>
        <v>0.8571428571428571</v>
      </c>
      <c r="BH90">
        <f t="shared" si="89"/>
        <v>4.3380711924999506E-3</v>
      </c>
      <c r="BI90">
        <f t="shared" si="85"/>
        <v>8.0704953122975546E-3</v>
      </c>
      <c r="BJ90">
        <f t="shared" si="77"/>
        <v>47.868125321064866</v>
      </c>
      <c r="BL90" s="28"/>
    </row>
    <row r="91" spans="5:64" x14ac:dyDescent="0.2">
      <c r="E91" s="11" t="s">
        <v>167</v>
      </c>
      <c r="F91" t="s">
        <v>163</v>
      </c>
      <c r="H91">
        <v>50</v>
      </c>
      <c r="I91">
        <v>0</v>
      </c>
      <c r="J91">
        <v>0</v>
      </c>
      <c r="L91">
        <f t="shared" si="62"/>
        <v>91.25</v>
      </c>
      <c r="N91">
        <v>0</v>
      </c>
      <c r="P91">
        <v>0.08</v>
      </c>
      <c r="R91">
        <v>0.51</v>
      </c>
      <c r="T91">
        <v>50</v>
      </c>
      <c r="U91">
        <f t="shared" si="78"/>
        <v>0</v>
      </c>
      <c r="V91">
        <f>V71</f>
        <v>1</v>
      </c>
      <c r="W91">
        <f>W71</f>
        <v>0.78</v>
      </c>
      <c r="X91">
        <f t="shared" si="63"/>
        <v>4.7000000000000002E-3</v>
      </c>
      <c r="Y91">
        <f t="shared" si="64"/>
        <v>0</v>
      </c>
      <c r="Z91">
        <v>0</v>
      </c>
      <c r="AA91">
        <f t="shared" si="79"/>
        <v>0</v>
      </c>
      <c r="AB91">
        <f t="shared" si="86"/>
        <v>1.3</v>
      </c>
      <c r="AC91">
        <f t="shared" si="65"/>
        <v>1</v>
      </c>
      <c r="AD91">
        <f t="shared" si="66"/>
        <v>0.40405000000000002</v>
      </c>
      <c r="AF91">
        <v>1.5</v>
      </c>
      <c r="AG91">
        <f t="shared" si="80"/>
        <v>0.98889100346175773</v>
      </c>
      <c r="AH91">
        <f t="shared" si="67"/>
        <v>0.80202447976807656</v>
      </c>
      <c r="AI91">
        <f t="shared" si="81"/>
        <v>0.7931147925987474</v>
      </c>
      <c r="AJ91">
        <f t="shared" si="68"/>
        <v>6.344918340789979E-2</v>
      </c>
      <c r="AK91">
        <f t="shared" si="69"/>
        <v>0.08</v>
      </c>
      <c r="AL91">
        <f t="shared" si="70"/>
        <v>0.38068449203550886</v>
      </c>
      <c r="AM91">
        <f t="shared" si="71"/>
        <v>0.19</v>
      </c>
      <c r="AN91">
        <f t="shared" si="72"/>
        <v>0.6784</v>
      </c>
      <c r="AO91">
        <f t="shared" si="73"/>
        <v>0</v>
      </c>
      <c r="AP91">
        <f t="shared" si="74"/>
        <v>2.3062292894142209E-4</v>
      </c>
      <c r="AQ91">
        <f t="shared" si="82"/>
        <v>2.3062292894142209E-4</v>
      </c>
      <c r="AR91">
        <f t="shared" si="75"/>
        <v>1.0522171132952383</v>
      </c>
      <c r="BA91">
        <v>18</v>
      </c>
      <c r="BB91">
        <v>0.8</v>
      </c>
      <c r="BC91">
        <f t="shared" si="83"/>
        <v>0</v>
      </c>
      <c r="BD91">
        <f t="shared" ref="BD91" si="93">(BA91 * BB91) / 365</f>
        <v>3.9452054794520547E-2</v>
      </c>
      <c r="BE91">
        <f t="shared" si="76"/>
        <v>0</v>
      </c>
      <c r="BF91">
        <v>60</v>
      </c>
      <c r="BG91">
        <f t="shared" si="84"/>
        <v>0.83333333333333337</v>
      </c>
      <c r="BH91">
        <f t="shared" si="89"/>
        <v>5.3023561643835617E-3</v>
      </c>
      <c r="BI91">
        <f t="shared" si="85"/>
        <v>4.8495131808804041E-3</v>
      </c>
      <c r="BJ91">
        <f t="shared" si="77"/>
        <v>22.125903887766846</v>
      </c>
      <c r="BL91" s="28"/>
    </row>
    <row r="92" spans="5:64" x14ac:dyDescent="0.2">
      <c r="E92" s="12"/>
      <c r="F92" t="s">
        <v>164</v>
      </c>
      <c r="H92">
        <v>100</v>
      </c>
      <c r="I92">
        <v>0</v>
      </c>
      <c r="J92">
        <v>0</v>
      </c>
      <c r="L92">
        <f t="shared" si="62"/>
        <v>91.25</v>
      </c>
      <c r="N92">
        <v>0.05</v>
      </c>
      <c r="P92">
        <v>0.1</v>
      </c>
      <c r="R92">
        <v>0.55000000000000004</v>
      </c>
      <c r="T92">
        <v>55</v>
      </c>
      <c r="U92">
        <f t="shared" si="78"/>
        <v>0</v>
      </c>
      <c r="V92">
        <f>V71</f>
        <v>1</v>
      </c>
      <c r="W92">
        <f>W71</f>
        <v>0.78</v>
      </c>
      <c r="X92">
        <f t="shared" si="63"/>
        <v>4.7000000000000002E-3</v>
      </c>
      <c r="Y92">
        <f t="shared" si="64"/>
        <v>0</v>
      </c>
      <c r="Z92">
        <v>0</v>
      </c>
      <c r="AA92">
        <f t="shared" si="79"/>
        <v>0</v>
      </c>
      <c r="AB92">
        <f t="shared" si="86"/>
        <v>1.3</v>
      </c>
      <c r="AC92">
        <f t="shared" si="65"/>
        <v>1</v>
      </c>
      <c r="AD92">
        <f t="shared" si="66"/>
        <v>0.43585000000000007</v>
      </c>
      <c r="AF92">
        <v>2</v>
      </c>
      <c r="AG92">
        <f t="shared" si="80"/>
        <v>0.99966453737209748</v>
      </c>
      <c r="AH92">
        <f t="shared" si="67"/>
        <v>0.95969823125361531</v>
      </c>
      <c r="AI92">
        <f t="shared" si="81"/>
        <v>0.95937628836296562</v>
      </c>
      <c r="AJ92">
        <f t="shared" si="68"/>
        <v>9.5937628836296571E-2</v>
      </c>
      <c r="AK92">
        <f t="shared" si="69"/>
        <v>0.08</v>
      </c>
      <c r="AL92">
        <f t="shared" si="70"/>
        <v>0.43105260872863782</v>
      </c>
      <c r="AM92">
        <f t="shared" si="71"/>
        <v>0.19</v>
      </c>
      <c r="AN92">
        <f t="shared" si="72"/>
        <v>0.6784</v>
      </c>
      <c r="AO92">
        <f t="shared" si="73"/>
        <v>0</v>
      </c>
      <c r="AP92">
        <f t="shared" si="74"/>
        <v>2.6113649815702656E-4</v>
      </c>
      <c r="AQ92">
        <f t="shared" si="82"/>
        <v>2.6113649815702656E-4</v>
      </c>
      <c r="AR92">
        <f t="shared" si="75"/>
        <v>2.3828705456828674</v>
      </c>
      <c r="BA92">
        <f>BA91</f>
        <v>18</v>
      </c>
      <c r="BC92">
        <f t="shared" si="83"/>
        <v>0</v>
      </c>
      <c r="BD92">
        <f>BD91</f>
        <v>3.9452054794520547E-2</v>
      </c>
      <c r="BE92">
        <f t="shared" si="76"/>
        <v>4.6000000000000006E-2</v>
      </c>
      <c r="BF92">
        <v>60</v>
      </c>
      <c r="BG92">
        <f t="shared" si="84"/>
        <v>0.91666666666666663</v>
      </c>
      <c r="BH92">
        <f t="shared" si="89"/>
        <v>5.8772859825456224E-3</v>
      </c>
      <c r="BI92">
        <f t="shared" si="85"/>
        <v>9.4727346312618293E-3</v>
      </c>
      <c r="BJ92">
        <f t="shared" si="77"/>
        <v>86.43870351026419</v>
      </c>
      <c r="BL92" s="28"/>
    </row>
    <row r="93" spans="5:64" x14ac:dyDescent="0.2">
      <c r="E93" s="11"/>
      <c r="F93" t="s">
        <v>165</v>
      </c>
      <c r="H93">
        <v>90</v>
      </c>
      <c r="I93">
        <v>0</v>
      </c>
      <c r="J93">
        <v>0</v>
      </c>
      <c r="L93">
        <f t="shared" si="62"/>
        <v>91.25</v>
      </c>
      <c r="N93">
        <v>0</v>
      </c>
      <c r="P93">
        <v>0.09</v>
      </c>
      <c r="R93">
        <v>0.59</v>
      </c>
      <c r="T93">
        <v>55</v>
      </c>
      <c r="U93">
        <f t="shared" si="78"/>
        <v>0</v>
      </c>
      <c r="V93">
        <f>V71</f>
        <v>1</v>
      </c>
      <c r="W93">
        <f>W71</f>
        <v>0.78</v>
      </c>
      <c r="X93">
        <f t="shared" si="63"/>
        <v>4.7000000000000002E-3</v>
      </c>
      <c r="Y93">
        <f t="shared" si="64"/>
        <v>0</v>
      </c>
      <c r="Z93">
        <v>0</v>
      </c>
      <c r="AA93">
        <f t="shared" si="79"/>
        <v>0</v>
      </c>
      <c r="AB93">
        <f t="shared" si="86"/>
        <v>1.3</v>
      </c>
      <c r="AC93">
        <f t="shared" si="65"/>
        <v>1</v>
      </c>
      <c r="AD93">
        <f t="shared" si="66"/>
        <v>0.46765000000000001</v>
      </c>
      <c r="AF93">
        <v>2.2000000000000002</v>
      </c>
      <c r="AG93">
        <f t="shared" si="80"/>
        <v>0.99993747849622516</v>
      </c>
      <c r="AH93">
        <f t="shared" si="67"/>
        <v>1.0269410358295947</v>
      </c>
      <c r="AI93">
        <f t="shared" si="81"/>
        <v>1.0268768299317466</v>
      </c>
      <c r="AJ93">
        <f t="shared" si="68"/>
        <v>9.2418914693857185E-2</v>
      </c>
      <c r="AK93">
        <f t="shared" si="69"/>
        <v>0.08</v>
      </c>
      <c r="AL93">
        <f t="shared" si="70"/>
        <v>0.42614265792795969</v>
      </c>
      <c r="AM93">
        <f t="shared" si="71"/>
        <v>0.19</v>
      </c>
      <c r="AN93">
        <f t="shared" si="72"/>
        <v>0.6784</v>
      </c>
      <c r="AO93">
        <f t="shared" si="73"/>
        <v>0</v>
      </c>
      <c r="AP93">
        <f t="shared" si="74"/>
        <v>2.5816199497052678E-4</v>
      </c>
      <c r="AQ93">
        <f t="shared" si="82"/>
        <v>2.5816199497052678E-4</v>
      </c>
      <c r="AR93">
        <f t="shared" si="75"/>
        <v>2.120155383695451</v>
      </c>
      <c r="BA93">
        <f>BA91</f>
        <v>18</v>
      </c>
      <c r="BC93">
        <f t="shared" si="83"/>
        <v>0</v>
      </c>
      <c r="BD93">
        <f>BD91</f>
        <v>3.9452054794520547E-2</v>
      </c>
      <c r="BE93">
        <f t="shared" si="76"/>
        <v>0</v>
      </c>
      <c r="BF93">
        <v>60</v>
      </c>
      <c r="BG93">
        <f t="shared" si="84"/>
        <v>0.91666666666666663</v>
      </c>
      <c r="BH93">
        <f t="shared" si="89"/>
        <v>5.3023561643835617E-3</v>
      </c>
      <c r="BI93">
        <f t="shared" si="85"/>
        <v>9.4846701866335877E-3</v>
      </c>
      <c r="BJ93">
        <f t="shared" si="77"/>
        <v>77.892853907728338</v>
      </c>
      <c r="BL93" s="28"/>
    </row>
    <row r="94" spans="5:64" x14ac:dyDescent="0.2">
      <c r="E94" s="12"/>
      <c r="F94" t="s">
        <v>166</v>
      </c>
      <c r="H94">
        <v>80</v>
      </c>
      <c r="I94">
        <v>0</v>
      </c>
      <c r="J94">
        <v>0</v>
      </c>
      <c r="L94">
        <f t="shared" si="62"/>
        <v>91.25</v>
      </c>
      <c r="N94">
        <v>-0.05</v>
      </c>
      <c r="P94">
        <v>7.0000000000000007E-2</v>
      </c>
      <c r="R94">
        <v>0.57999999999999996</v>
      </c>
      <c r="T94">
        <v>50</v>
      </c>
      <c r="U94">
        <f t="shared" si="78"/>
        <v>0</v>
      </c>
      <c r="V94">
        <f>V71</f>
        <v>1</v>
      </c>
      <c r="W94">
        <f>W71</f>
        <v>0.78</v>
      </c>
      <c r="X94">
        <f t="shared" si="63"/>
        <v>4.7000000000000002E-3</v>
      </c>
      <c r="Y94">
        <f t="shared" si="64"/>
        <v>0</v>
      </c>
      <c r="Z94">
        <v>0</v>
      </c>
      <c r="AA94">
        <f t="shared" si="79"/>
        <v>0</v>
      </c>
      <c r="AB94">
        <f t="shared" si="86"/>
        <v>1.3</v>
      </c>
      <c r="AC94">
        <f t="shared" si="65"/>
        <v>1</v>
      </c>
      <c r="AD94">
        <f t="shared" si="66"/>
        <v>0.4597</v>
      </c>
      <c r="AF94">
        <v>1.7</v>
      </c>
      <c r="AG94">
        <f t="shared" si="80"/>
        <v>0.99691128459176326</v>
      </c>
      <c r="AH94">
        <f t="shared" si="67"/>
        <v>0.91158128354326629</v>
      </c>
      <c r="AI94">
        <f t="shared" si="81"/>
        <v>0.90876566838692596</v>
      </c>
      <c r="AJ94">
        <f t="shared" si="68"/>
        <v>6.3613596787084822E-2</v>
      </c>
      <c r="AK94">
        <f t="shared" si="69"/>
        <v>0.08</v>
      </c>
      <c r="AL94">
        <f t="shared" si="70"/>
        <v>0.38153851973813374</v>
      </c>
      <c r="AM94">
        <f t="shared" si="71"/>
        <v>0.19</v>
      </c>
      <c r="AN94">
        <f t="shared" si="72"/>
        <v>0.6784</v>
      </c>
      <c r="AO94">
        <f t="shared" si="73"/>
        <v>0</v>
      </c>
      <c r="AP94">
        <f t="shared" si="74"/>
        <v>2.3114030848878249E-4</v>
      </c>
      <c r="AQ94">
        <f t="shared" si="82"/>
        <v>2.3114030848878249E-4</v>
      </c>
      <c r="AR94">
        <f t="shared" si="75"/>
        <v>1.6873242519681124</v>
      </c>
      <c r="BA94">
        <f>BA91</f>
        <v>18</v>
      </c>
      <c r="BC94">
        <f t="shared" si="83"/>
        <v>0</v>
      </c>
      <c r="BD94">
        <f>BD91</f>
        <v>3.9452054794520547E-2</v>
      </c>
      <c r="BE94">
        <f t="shared" si="76"/>
        <v>-4.6000000000000006E-2</v>
      </c>
      <c r="BF94">
        <v>60</v>
      </c>
      <c r="BG94">
        <f t="shared" si="84"/>
        <v>0.83333333333333337</v>
      </c>
      <c r="BH94">
        <f t="shared" si="89"/>
        <v>4.6980747214089178E-3</v>
      </c>
      <c r="BI94">
        <f t="shared" si="85"/>
        <v>5.4801007645246544E-3</v>
      </c>
      <c r="BJ94">
        <f t="shared" si="77"/>
        <v>40.004735581029976</v>
      </c>
      <c r="BL94" s="28"/>
    </row>
    <row r="101" spans="1:72" x14ac:dyDescent="0.2">
      <c r="A101" t="s">
        <v>272</v>
      </c>
      <c r="B101" t="s">
        <v>272</v>
      </c>
      <c r="C101" t="s">
        <v>272</v>
      </c>
      <c r="D101" t="s">
        <v>276</v>
      </c>
      <c r="E101" s="11" t="s">
        <v>169</v>
      </c>
      <c r="F101" t="s">
        <v>163</v>
      </c>
      <c r="H101">
        <v>100</v>
      </c>
      <c r="I101">
        <v>95</v>
      </c>
      <c r="J101">
        <v>90</v>
      </c>
      <c r="L101">
        <f t="shared" ref="L101:L124" si="94">$BZ$3</f>
        <v>91.25</v>
      </c>
      <c r="N101" cm="1">
        <f t="array" ref="N101:N124">_xlfn.DROP(_xlfn.XLOOKUP($C101,TableLWG2_1[[#Headers],[ACT/NSW]:[WA]],TableLWG2_1[[#All],[ACT/NSW]:[WA]]),1)</f>
        <v>0</v>
      </c>
      <c r="P101" cm="1">
        <f t="array" ref="P101:P124">_xlfn.DROP(_xlfn.XLOOKUP($C101,QueryCP[[#Headers],[ACT/NSW]:[WA]],QueryCP[[#All],[ACT/NSW]:[WA]]),1)</f>
        <v>0.16</v>
      </c>
      <c r="R101" cm="1">
        <f t="array" ref="R101:R124">_xlfn.DROP(_xlfn.XLOOKUP($C101,QueryDMD[[#Headers],[ACT/NSW]:[WA]],QueryDMD[[#All],[ACT/NSW]:[WA]]),1)</f>
        <v>0.7</v>
      </c>
      <c r="T101" cm="1">
        <f t="array" ref="T101:T124">_xlfn.DROP(_xlfn.XLOOKUP($C101,QueryW[[#Headers],[ACT/NSW]:[WA]],QueryW[[#All],[ACT/NSW]:[WA]]),1)</f>
        <v>55</v>
      </c>
      <c r="U101">
        <f>1-V101</f>
        <v>2.6000000000000467E-3</v>
      </c>
      <c r="V101">
        <f>IF($D101="yes", 1, VLOOKUP($B101, $BY$26:$CA$32, 2)/100)</f>
        <v>0.99739999999999995</v>
      </c>
      <c r="W101">
        <f>VLOOKUP($B101,$CA$10:$CB$16, 2, FALSE)</f>
        <v>0.74</v>
      </c>
      <c r="X101">
        <f t="shared" ref="X101:X124" si="95">$BZ$10</f>
        <v>4.7000000000000002E-3</v>
      </c>
      <c r="Y101">
        <f t="shared" ref="Y101:Y124" si="96">(I101/100)*(MIN(J101,100)/100)</f>
        <v>0.85499999999999998</v>
      </c>
      <c r="Z101">
        <v>0</v>
      </c>
      <c r="AA101">
        <f>1.6 * Z101</f>
        <v>0</v>
      </c>
      <c r="AB101">
        <f>$CC$1</f>
        <v>1.3</v>
      </c>
      <c r="AC101">
        <f t="shared" ref="AC101:AC124" si="97">Y101*AB101+(1-Y101)</f>
        <v>1.2565</v>
      </c>
      <c r="AD101">
        <f t="shared" ref="AD101:AD124" si="98">(0.795*R101)-0.0014</f>
        <v>0.55510000000000004</v>
      </c>
      <c r="AF101" cm="1">
        <f t="array" ref="AF101:AF124">_xlfn.DROP(_xlfn.XLOOKUP($C101,QueryDMA[[#Headers],[ACT/NSW]:[WA]],QueryDMA[[#All],[ACT/NSW]:[WA]]),1)</f>
        <v>4</v>
      </c>
      <c r="AG101">
        <f>1 - EXP(-2*(AF101^2))</f>
        <v>0.99999999999998734</v>
      </c>
      <c r="AH101">
        <f t="shared" ref="AH101:AH124" si="99">(104.7*AD101+0.307*T101-15)*(T101^0.75)*10^-3</f>
        <v>1.2118587484135388</v>
      </c>
      <c r="AI101">
        <f>AH101*AG101*AC101</f>
        <v>1.5227005173815922</v>
      </c>
      <c r="AJ101">
        <f t="shared" ref="AJ101:AJ124" si="100">(AI101 * P101) + (0.045 * AA101)</f>
        <v>0.24363208278105475</v>
      </c>
      <c r="AK101">
        <f t="shared" ref="AK101:AK124" si="101">$BZ$2</f>
        <v>0.08</v>
      </c>
      <c r="AL101">
        <f t="shared" ref="AL101:AL124" si="102">(AI101 * ((1 - R101) + (0.04 * AI101))) * ( 1 - AK101 )</f>
        <v>0.50559044345265691</v>
      </c>
      <c r="AM101">
        <f t="shared" ref="AM101:AM124" si="103">$BZ$1</f>
        <v>0.19</v>
      </c>
      <c r="AN101">
        <f t="shared" ref="AN101:AN124" si="104">$CA$20</f>
        <v>0.6784</v>
      </c>
      <c r="AO101">
        <f t="shared" ref="AO101:AO124" si="105">AL101 * AM101 * U101 * W101 * AN101</f>
        <v>1.2538435907780477E-4</v>
      </c>
      <c r="AP101">
        <f t="shared" ref="AP101:AP124" si="106">AL101*AM101*V101*X101*AN101</f>
        <v>3.0549599313811914E-4</v>
      </c>
      <c r="AQ101">
        <f>AO101+AP101</f>
        <v>4.3088035221592387E-4</v>
      </c>
      <c r="AR101">
        <f t="shared" ref="AR101:AR124" si="107">H101*AQ101*L101</f>
        <v>3.9317832139703053</v>
      </c>
      <c r="AS101">
        <f>SUM(AR101:AR124)*10^-3</f>
        <v>7.5276513875585233E-2</v>
      </c>
      <c r="AT101" t="s">
        <v>276</v>
      </c>
      <c r="AU101">
        <f>IF(AT101="yes", 1,0)</f>
        <v>0</v>
      </c>
      <c r="AV101">
        <f>$BZ$4</f>
        <v>0.24</v>
      </c>
      <c r="AW101" t="s">
        <v>323</v>
      </c>
      <c r="AX101" s="28">
        <f>VLOOKUP(AW101,$CD$37:$CF$46,2, FALSE)</f>
        <v>6.0000000000000001E-3</v>
      </c>
      <c r="AY101" s="28">
        <f>$BZ$7</f>
        <v>1.57</v>
      </c>
      <c r="AZ101">
        <f>$BZ$5</f>
        <v>0.21</v>
      </c>
      <c r="BA101">
        <v>20</v>
      </c>
      <c r="BB101">
        <v>0.8</v>
      </c>
      <c r="BC101">
        <f>Y101 * 1.6</f>
        <v>1.3680000000000001</v>
      </c>
      <c r="BD101">
        <f>(BA101 * BB101) / 365</f>
        <v>4.3835616438356165E-2</v>
      </c>
      <c r="BE101">
        <f t="shared" ref="BE101:BE124" si="108">N101 * 0.92</f>
        <v>0</v>
      </c>
      <c r="BF101" cm="1">
        <f t="array" ref="BF101:BF124">_xlfn.DROP(_xlfn.XLOOKUP($C101,QuerySRW[[#Headers],[ACT/NSW]:[WA]],QuerySRW[[#All],[ACT/NSW]:[WA]]),1)</f>
        <v>60</v>
      </c>
      <c r="BG101">
        <f>T101 / BF101</f>
        <v>0.91666666666666663</v>
      </c>
      <c r="BH101">
        <f>((0.045 * BC101) + (BD101 * 0.84)  + (BE101 * ((212 - 4 * ((BE101 * 1000)/(4* (BF101^0.75)) - 1)) - ((140 - 4 * (((BE101 * 1000)/(4 * BF101 ^0.75)) - 1))/(1 + EXP(-6 * (BG101 - 0.4)))))) * 10^-3) / 6.25</f>
        <v>1.5741106849315067E-2</v>
      </c>
      <c r="BI101">
        <f>MAX((AJ101  / 6.25 ) - BH101, 0)</f>
        <v>2.3240026395653694E-2</v>
      </c>
      <c r="BJ101">
        <f t="shared" ref="BJ101:BJ124" si="109">H101*BI101*L101</f>
        <v>212.06524086033994</v>
      </c>
      <c r="BK101">
        <f>SUM(BJ101:BJ124)</f>
        <v>3881.3362918865646</v>
      </c>
      <c r="BL101" s="28">
        <f>BK101*$AU$11*$AV$11</f>
        <v>931.52071005277548</v>
      </c>
      <c r="BM101">
        <f>BK101 * AZ101</f>
        <v>815.08062129617849</v>
      </c>
      <c r="BN101" t="s">
        <v>228</v>
      </c>
      <c r="BO101">
        <f>VLOOKUP(BN101, $BY$37:$BZ$49, 2, FALSE)</f>
        <v>8.0000000000000002E-3</v>
      </c>
      <c r="BP101">
        <f>BM101 * BO101 * AY101 * 10^-3</f>
        <v>1.0237412603480003E-2</v>
      </c>
      <c r="BQ101">
        <f>BK101 * AU101 * AV101</f>
        <v>0</v>
      </c>
      <c r="BR101">
        <f>$BZ$6</f>
        <v>1.0999999999999999E-2</v>
      </c>
      <c r="BS101">
        <f>BK101 * AX101 * AY101 * 10^-3</f>
        <v>3.6562187869571439E-2</v>
      </c>
      <c r="BT101">
        <f>BQ101 * BR101 * AY101 * 10^-3</f>
        <v>0</v>
      </c>
    </row>
    <row r="102" spans="1:72" x14ac:dyDescent="0.2">
      <c r="E102" s="12"/>
      <c r="F102" t="s">
        <v>164</v>
      </c>
      <c r="H102">
        <v>70</v>
      </c>
      <c r="I102">
        <v>0</v>
      </c>
      <c r="J102">
        <v>0</v>
      </c>
      <c r="L102">
        <f t="shared" si="94"/>
        <v>91.25</v>
      </c>
      <c r="N102">
        <v>0</v>
      </c>
      <c r="P102">
        <v>7.0000000000000007E-2</v>
      </c>
      <c r="R102">
        <v>0.55000000000000004</v>
      </c>
      <c r="T102">
        <v>55</v>
      </c>
      <c r="U102">
        <f t="shared" ref="U102:U124" si="110">1-V102</f>
        <v>2.6000000000000467E-3</v>
      </c>
      <c r="V102">
        <f>V101</f>
        <v>0.99739999999999995</v>
      </c>
      <c r="W102">
        <f>W101</f>
        <v>0.74</v>
      </c>
      <c r="X102">
        <f t="shared" si="95"/>
        <v>4.7000000000000002E-3</v>
      </c>
      <c r="Y102">
        <f t="shared" si="96"/>
        <v>0</v>
      </c>
      <c r="Z102">
        <v>0</v>
      </c>
      <c r="AA102">
        <f t="shared" ref="AA102:AA124" si="111">1.6 * Z102</f>
        <v>0</v>
      </c>
      <c r="AB102">
        <f>$AB$11</f>
        <v>1.3</v>
      </c>
      <c r="AC102">
        <f t="shared" si="97"/>
        <v>1</v>
      </c>
      <c r="AD102">
        <f t="shared" si="98"/>
        <v>0.43585000000000007</v>
      </c>
      <c r="AF102">
        <v>2.5</v>
      </c>
      <c r="AG102">
        <f t="shared" ref="AG102:AG124" si="112">1 - EXP(-2*(AF102^2))</f>
        <v>0.99999627334682795</v>
      </c>
      <c r="AH102">
        <f t="shared" si="99"/>
        <v>0.95969823125361531</v>
      </c>
      <c r="AI102">
        <f t="shared" ref="AI102:AI124" si="113">AH102*AG102*AC102</f>
        <v>0.95969465479115756</v>
      </c>
      <c r="AJ102">
        <f t="shared" si="100"/>
        <v>6.7178625835381034E-2</v>
      </c>
      <c r="AK102">
        <f t="shared" si="101"/>
        <v>0.08</v>
      </c>
      <c r="AL102">
        <f t="shared" si="102"/>
        <v>0.43120689604353685</v>
      </c>
      <c r="AM102">
        <f t="shared" si="103"/>
        <v>0.19</v>
      </c>
      <c r="AN102">
        <f t="shared" si="104"/>
        <v>0.6784</v>
      </c>
      <c r="AO102">
        <f t="shared" si="105"/>
        <v>1.0693754399535288E-4</v>
      </c>
      <c r="AP102">
        <f t="shared" si="106"/>
        <v>2.6055076922584526E-4</v>
      </c>
      <c r="AQ102">
        <f t="shared" ref="AQ102:AQ124" si="114">AO102+AP102</f>
        <v>3.6748831322119813E-4</v>
      </c>
      <c r="AR102">
        <f t="shared" si="107"/>
        <v>2.3473316007004028</v>
      </c>
      <c r="BA102">
        <f>BA101</f>
        <v>20</v>
      </c>
      <c r="BC102">
        <f t="shared" ref="BC102:BC124" si="115">Y102 * 1.6</f>
        <v>0</v>
      </c>
      <c r="BD102">
        <f>BD101</f>
        <v>4.3835616438356165E-2</v>
      </c>
      <c r="BE102">
        <f t="shared" si="108"/>
        <v>0</v>
      </c>
      <c r="BF102">
        <v>60</v>
      </c>
      <c r="BG102">
        <f t="shared" ref="BG102:BG124" si="116">T102 / BF102</f>
        <v>0.91666666666666663</v>
      </c>
      <c r="BH102">
        <f>((0.045 * BC102) + (BD$11 * 0.84)  + (BE102 * ((212 - 4 * ((BE102 * 1000)/(4* (BF102^0.75)) - 1)) - ((140 - 4 * (((BE102 * 1000)/(4 * BF102 ^0.75)) - 1))/(1 + EXP(-6 * (BG102 - 0.4)))))) * 10^-3) / 6.25</f>
        <v>5.8915068493150683E-3</v>
      </c>
      <c r="BI102">
        <f t="shared" ref="BI102:BI124" si="117">MAX((AJ102  / 6.25 ) - BH102, 0)</f>
        <v>4.8570732843458966E-3</v>
      </c>
      <c r="BJ102">
        <f t="shared" si="109"/>
        <v>31.024555603759413</v>
      </c>
      <c r="BL102" s="28"/>
    </row>
    <row r="103" spans="1:72" x14ac:dyDescent="0.2">
      <c r="E103" s="11"/>
      <c r="F103" t="s">
        <v>165</v>
      </c>
      <c r="H103">
        <v>65</v>
      </c>
      <c r="I103">
        <v>0</v>
      </c>
      <c r="J103">
        <v>0</v>
      </c>
      <c r="L103">
        <f t="shared" si="94"/>
        <v>91.25</v>
      </c>
      <c r="N103">
        <v>0</v>
      </c>
      <c r="P103">
        <v>0.09</v>
      </c>
      <c r="R103">
        <v>0.55000000000000004</v>
      </c>
      <c r="T103">
        <v>55</v>
      </c>
      <c r="U103">
        <f t="shared" si="110"/>
        <v>2.6000000000000467E-3</v>
      </c>
      <c r="V103">
        <f>V101</f>
        <v>0.99739999999999995</v>
      </c>
      <c r="W103">
        <f>W101</f>
        <v>0.74</v>
      </c>
      <c r="X103">
        <f t="shared" si="95"/>
        <v>4.7000000000000002E-3</v>
      </c>
      <c r="Y103">
        <f t="shared" si="96"/>
        <v>0</v>
      </c>
      <c r="Z103">
        <v>0</v>
      </c>
      <c r="AA103">
        <f t="shared" si="111"/>
        <v>0</v>
      </c>
      <c r="AB103">
        <f t="shared" ref="AB103:AB124" si="118">$AB$11</f>
        <v>1.3</v>
      </c>
      <c r="AC103">
        <f t="shared" si="97"/>
        <v>1</v>
      </c>
      <c r="AD103">
        <f t="shared" si="98"/>
        <v>0.43585000000000007</v>
      </c>
      <c r="AF103">
        <v>0.7</v>
      </c>
      <c r="AG103">
        <f t="shared" si="112"/>
        <v>0.62468890114860043</v>
      </c>
      <c r="AH103">
        <f t="shared" si="99"/>
        <v>0.95969823125361531</v>
      </c>
      <c r="AI103">
        <f t="shared" si="113"/>
        <v>0.59951283351607632</v>
      </c>
      <c r="AJ103">
        <f t="shared" si="100"/>
        <v>5.3956155016446863E-2</v>
      </c>
      <c r="AK103">
        <f t="shared" si="101"/>
        <v>0.08</v>
      </c>
      <c r="AL103">
        <f t="shared" si="102"/>
        <v>0.26142480853751304</v>
      </c>
      <c r="AM103">
        <f t="shared" si="103"/>
        <v>0.19</v>
      </c>
      <c r="AN103">
        <f t="shared" si="104"/>
        <v>0.6784</v>
      </c>
      <c r="AO103">
        <f t="shared" si="105"/>
        <v>6.4832281721288623E-5</v>
      </c>
      <c r="AP103">
        <f t="shared" si="106"/>
        <v>1.5796230436975934E-4</v>
      </c>
      <c r="AQ103">
        <f t="shared" si="114"/>
        <v>2.2279458609104796E-4</v>
      </c>
      <c r="AR103">
        <f t="shared" si="107"/>
        <v>1.3214503887525282</v>
      </c>
      <c r="BA103">
        <f>BA101</f>
        <v>20</v>
      </c>
      <c r="BC103">
        <f t="shared" si="115"/>
        <v>0</v>
      </c>
      <c r="BD103">
        <f>BD101</f>
        <v>4.3835616438356165E-2</v>
      </c>
      <c r="BE103">
        <f t="shared" si="108"/>
        <v>0</v>
      </c>
      <c r="BF103">
        <v>60</v>
      </c>
      <c r="BG103">
        <f t="shared" si="116"/>
        <v>0.91666666666666663</v>
      </c>
      <c r="BH103">
        <f t="shared" ref="BH103:BH104" si="119">((0.045 * BC103) + (BD$11 * 0.84)  + (BE103 * ((212 - 4 * ((BE103 * 1000)/(4* (BF103^0.75)) - 1)) - ((140 - 4 * (((BE103 * 1000)/(4 * BF103 ^0.75)) - 1))/(1 + EXP(-6 * (BG103 - 0.4)))))) * 10^-3) / 6.25</f>
        <v>5.8915068493150683E-3</v>
      </c>
      <c r="BI103">
        <f t="shared" si="117"/>
        <v>2.7414779533164292E-3</v>
      </c>
      <c r="BJ103">
        <f t="shared" si="109"/>
        <v>16.260391110608069</v>
      </c>
      <c r="BL103" s="28"/>
    </row>
    <row r="104" spans="1:72" x14ac:dyDescent="0.2">
      <c r="E104" s="12"/>
      <c r="F104" t="s">
        <v>166</v>
      </c>
      <c r="H104">
        <v>80</v>
      </c>
      <c r="I104">
        <v>0</v>
      </c>
      <c r="J104">
        <v>0</v>
      </c>
      <c r="L104">
        <f t="shared" si="94"/>
        <v>91.25</v>
      </c>
      <c r="N104">
        <v>0</v>
      </c>
      <c r="P104">
        <v>0.2</v>
      </c>
      <c r="R104">
        <v>0.75</v>
      </c>
      <c r="T104">
        <v>55</v>
      </c>
      <c r="U104">
        <f t="shared" si="110"/>
        <v>2.6000000000000467E-3</v>
      </c>
      <c r="V104">
        <f>V101</f>
        <v>0.99739999999999995</v>
      </c>
      <c r="W104">
        <f>W101</f>
        <v>0.74</v>
      </c>
      <c r="X104">
        <f t="shared" si="95"/>
        <v>4.7000000000000002E-3</v>
      </c>
      <c r="Y104">
        <f t="shared" si="96"/>
        <v>0</v>
      </c>
      <c r="Z104">
        <v>0</v>
      </c>
      <c r="AA104">
        <f t="shared" si="111"/>
        <v>0</v>
      </c>
      <c r="AB104">
        <f t="shared" si="118"/>
        <v>1.3</v>
      </c>
      <c r="AC104">
        <f t="shared" si="97"/>
        <v>1</v>
      </c>
      <c r="AD104">
        <f t="shared" si="98"/>
        <v>0.5948500000000001</v>
      </c>
      <c r="AF104">
        <v>0.9</v>
      </c>
      <c r="AG104">
        <f t="shared" si="112"/>
        <v>0.80210130091638532</v>
      </c>
      <c r="AH104">
        <f t="shared" si="99"/>
        <v>1.2959122541335131</v>
      </c>
      <c r="AI104">
        <f t="shared" si="113"/>
        <v>1.0394529049139762</v>
      </c>
      <c r="AJ104">
        <f t="shared" si="100"/>
        <v>0.20789058098279525</v>
      </c>
      <c r="AK104">
        <f t="shared" si="101"/>
        <v>0.08</v>
      </c>
      <c r="AL104">
        <f t="shared" si="102"/>
        <v>0.27883518229866955</v>
      </c>
      <c r="AM104">
        <f t="shared" si="103"/>
        <v>0.19</v>
      </c>
      <c r="AN104">
        <f t="shared" si="104"/>
        <v>0.6784</v>
      </c>
      <c r="AO104">
        <f t="shared" si="105"/>
        <v>6.9149983101164588E-5</v>
      </c>
      <c r="AP104">
        <f t="shared" si="106"/>
        <v>1.6848228055196026E-4</v>
      </c>
      <c r="AQ104">
        <f t="shared" si="114"/>
        <v>2.3763226365312485E-4</v>
      </c>
      <c r="AR104">
        <f t="shared" si="107"/>
        <v>1.7347155246678114</v>
      </c>
      <c r="BA104">
        <f>BA101</f>
        <v>20</v>
      </c>
      <c r="BC104">
        <f t="shared" si="115"/>
        <v>0</v>
      </c>
      <c r="BD104">
        <f>BD101</f>
        <v>4.3835616438356165E-2</v>
      </c>
      <c r="BE104">
        <f t="shared" si="108"/>
        <v>0</v>
      </c>
      <c r="BF104">
        <v>60</v>
      </c>
      <c r="BG104">
        <f t="shared" si="116"/>
        <v>0.91666666666666663</v>
      </c>
      <c r="BH104">
        <f t="shared" si="119"/>
        <v>5.8915068493150683E-3</v>
      </c>
      <c r="BI104">
        <f t="shared" si="117"/>
        <v>2.737098610793217E-2</v>
      </c>
      <c r="BJ104">
        <f t="shared" si="109"/>
        <v>199.80819858790485</v>
      </c>
      <c r="BL104" s="28"/>
    </row>
    <row r="105" spans="1:72" x14ac:dyDescent="0.2">
      <c r="E105" s="11" t="s">
        <v>171</v>
      </c>
      <c r="F105" t="s">
        <v>163</v>
      </c>
      <c r="H105">
        <v>200</v>
      </c>
      <c r="I105">
        <v>0</v>
      </c>
      <c r="J105">
        <v>0</v>
      </c>
      <c r="L105">
        <f t="shared" si="94"/>
        <v>91.25</v>
      </c>
      <c r="N105">
        <v>0.11</v>
      </c>
      <c r="P105">
        <v>0.16</v>
      </c>
      <c r="R105">
        <v>0.7</v>
      </c>
      <c r="T105">
        <v>40</v>
      </c>
      <c r="U105">
        <f t="shared" si="110"/>
        <v>2.6000000000000467E-3</v>
      </c>
      <c r="V105">
        <f>V101</f>
        <v>0.99739999999999995</v>
      </c>
      <c r="W105">
        <f>W101</f>
        <v>0.74</v>
      </c>
      <c r="X105">
        <f t="shared" si="95"/>
        <v>4.7000000000000002E-3</v>
      </c>
      <c r="Y105">
        <f t="shared" si="96"/>
        <v>0</v>
      </c>
      <c r="Z105">
        <v>1</v>
      </c>
      <c r="AA105">
        <f t="shared" si="111"/>
        <v>1.6</v>
      </c>
      <c r="AB105">
        <f t="shared" si="118"/>
        <v>1.3</v>
      </c>
      <c r="AC105">
        <f t="shared" si="97"/>
        <v>1</v>
      </c>
      <c r="AD105">
        <f t="shared" si="98"/>
        <v>0.55510000000000004</v>
      </c>
      <c r="AF105">
        <v>4</v>
      </c>
      <c r="AG105">
        <f t="shared" si="112"/>
        <v>0.99999999999998734</v>
      </c>
      <c r="AH105">
        <f t="shared" si="99"/>
        <v>0.88114358489687972</v>
      </c>
      <c r="AI105">
        <f t="shared" si="113"/>
        <v>0.88114358489686861</v>
      </c>
      <c r="AJ105">
        <f t="shared" si="100"/>
        <v>0.21298297358349899</v>
      </c>
      <c r="AK105">
        <f t="shared" si="101"/>
        <v>0.08</v>
      </c>
      <c r="AL105">
        <f t="shared" si="102"/>
        <v>0.27176766526467627</v>
      </c>
      <c r="AM105">
        <f t="shared" si="103"/>
        <v>0.19</v>
      </c>
      <c r="AN105">
        <f t="shared" si="104"/>
        <v>0.6784</v>
      </c>
      <c r="AO105">
        <f t="shared" si="105"/>
        <v>6.739726782528401E-5</v>
      </c>
      <c r="AP105">
        <f t="shared" si="106"/>
        <v>1.6421183168711234E-4</v>
      </c>
      <c r="AQ105">
        <f t="shared" si="114"/>
        <v>2.3160909951239634E-4</v>
      </c>
      <c r="AR105">
        <f t="shared" si="107"/>
        <v>4.2268660661012332</v>
      </c>
      <c r="BA105">
        <v>15</v>
      </c>
      <c r="BB105">
        <v>0.85</v>
      </c>
      <c r="BC105">
        <f t="shared" si="115"/>
        <v>0</v>
      </c>
      <c r="BD105">
        <f t="shared" ref="BD105" si="120">(BA105 * BB105) / 365</f>
        <v>3.4931506849315071E-2</v>
      </c>
      <c r="BE105">
        <f t="shared" si="108"/>
        <v>0.1012</v>
      </c>
      <c r="BF105">
        <v>66</v>
      </c>
      <c r="BG105">
        <f t="shared" si="116"/>
        <v>0.60606060606060608</v>
      </c>
      <c r="BH105">
        <f>((0.045 * BC105) + (BD$15 * 0.84)  + (BE105 * ((212 - 4 * ((BE105 * 1000)/(4* (BF105^0.75)) - 1)) - ((140 - 4 * (((BE105 * 1000)/(4 * BF105 ^0.75)) - 1))/(1 + EXP(-6 * (BG105 - 0.4)))))) * 10^-3) / 6.25</f>
        <v>6.3694743448404452E-3</v>
      </c>
      <c r="BI105">
        <f t="shared" si="117"/>
        <v>2.7707801428519394E-2</v>
      </c>
      <c r="BJ105">
        <f t="shared" si="109"/>
        <v>505.66737607047895</v>
      </c>
      <c r="BL105" s="28"/>
    </row>
    <row r="106" spans="1:72" x14ac:dyDescent="0.2">
      <c r="E106" s="12"/>
      <c r="F106" t="s">
        <v>164</v>
      </c>
      <c r="H106">
        <v>210</v>
      </c>
      <c r="I106">
        <v>0</v>
      </c>
      <c r="J106">
        <v>0</v>
      </c>
      <c r="L106">
        <f t="shared" si="94"/>
        <v>91.25</v>
      </c>
      <c r="N106">
        <v>0.05</v>
      </c>
      <c r="P106">
        <v>7.0000000000000007E-2</v>
      </c>
      <c r="R106">
        <v>0.55000000000000004</v>
      </c>
      <c r="T106">
        <v>45</v>
      </c>
      <c r="U106">
        <f t="shared" si="110"/>
        <v>2.6000000000000467E-3</v>
      </c>
      <c r="V106">
        <f>V101</f>
        <v>0.99739999999999995</v>
      </c>
      <c r="W106">
        <f>W101</f>
        <v>0.74</v>
      </c>
      <c r="X106">
        <f t="shared" si="95"/>
        <v>4.7000000000000002E-3</v>
      </c>
      <c r="Y106">
        <f t="shared" si="96"/>
        <v>0</v>
      </c>
      <c r="Z106">
        <v>0</v>
      </c>
      <c r="AA106">
        <f t="shared" si="111"/>
        <v>0</v>
      </c>
      <c r="AB106">
        <f t="shared" si="118"/>
        <v>1.3</v>
      </c>
      <c r="AC106">
        <f t="shared" si="97"/>
        <v>1</v>
      </c>
      <c r="AD106">
        <f t="shared" si="98"/>
        <v>0.43585000000000007</v>
      </c>
      <c r="AF106">
        <v>2.5</v>
      </c>
      <c r="AG106">
        <f t="shared" si="112"/>
        <v>0.99999627334682795</v>
      </c>
      <c r="AH106">
        <f t="shared" si="99"/>
        <v>0.77226516609487061</v>
      </c>
      <c r="AI106">
        <f t="shared" si="113"/>
        <v>0.77226228813043973</v>
      </c>
      <c r="AJ106">
        <f t="shared" si="100"/>
        <v>5.4058360169130786E-2</v>
      </c>
      <c r="AK106">
        <f t="shared" si="101"/>
        <v>0.08</v>
      </c>
      <c r="AL106">
        <f t="shared" si="102"/>
        <v>0.34166370401940144</v>
      </c>
      <c r="AM106">
        <f t="shared" si="103"/>
        <v>0.19</v>
      </c>
      <c r="AN106">
        <f t="shared" si="104"/>
        <v>0.6784</v>
      </c>
      <c r="AO106">
        <f t="shared" si="105"/>
        <v>8.4731199142281413E-5</v>
      </c>
      <c r="AP106">
        <f t="shared" si="106"/>
        <v>2.0644554091226448E-4</v>
      </c>
      <c r="AQ106">
        <f t="shared" si="114"/>
        <v>2.9117674005454589E-4</v>
      </c>
      <c r="AR106">
        <f t="shared" si="107"/>
        <v>5.5796742812952358</v>
      </c>
      <c r="BA106">
        <f>BA105</f>
        <v>15</v>
      </c>
      <c r="BC106">
        <f t="shared" si="115"/>
        <v>0</v>
      </c>
      <c r="BD106">
        <f>BD105</f>
        <v>3.4931506849315071E-2</v>
      </c>
      <c r="BE106">
        <f t="shared" si="108"/>
        <v>4.6000000000000006E-2</v>
      </c>
      <c r="BF106">
        <v>66</v>
      </c>
      <c r="BG106">
        <f t="shared" si="116"/>
        <v>0.68181818181818177</v>
      </c>
      <c r="BH106">
        <f t="shared" ref="BH106:BH124" si="121">((0.045 * BC106) + (BD106 * 0.84)  + (BE106 * ((212 - 4 * ((BE106 * 1000)/(4* (BF106^0.75)) - 1)) - ((140 - 4 * (((BE106 * 1000)/(4 * BF106 ^0.75)) - 1))/(1 + EXP(-6 * (BG106 - 0.4)))))) * 10^-3) / 6.25</f>
        <v>5.3874094638282398E-3</v>
      </c>
      <c r="BI106">
        <f t="shared" si="117"/>
        <v>3.2619281632326859E-3</v>
      </c>
      <c r="BJ106">
        <f t="shared" si="109"/>
        <v>62.50669842794634</v>
      </c>
      <c r="BL106" s="28"/>
    </row>
    <row r="107" spans="1:72" x14ac:dyDescent="0.2">
      <c r="E107" s="11"/>
      <c r="F107" t="s">
        <v>165</v>
      </c>
      <c r="H107">
        <v>170</v>
      </c>
      <c r="I107">
        <v>0</v>
      </c>
      <c r="J107">
        <v>0</v>
      </c>
      <c r="L107">
        <f t="shared" si="94"/>
        <v>91.25</v>
      </c>
      <c r="N107">
        <v>0.16</v>
      </c>
      <c r="P107">
        <v>0.09</v>
      </c>
      <c r="R107">
        <v>0.55000000000000004</v>
      </c>
      <c r="T107">
        <v>20</v>
      </c>
      <c r="U107">
        <f t="shared" si="110"/>
        <v>2.6000000000000467E-3</v>
      </c>
      <c r="V107">
        <f>V101</f>
        <v>0.99739999999999995</v>
      </c>
      <c r="W107">
        <f>W101</f>
        <v>0.74</v>
      </c>
      <c r="X107">
        <f t="shared" si="95"/>
        <v>4.7000000000000002E-3</v>
      </c>
      <c r="Y107">
        <f t="shared" si="96"/>
        <v>0</v>
      </c>
      <c r="Z107">
        <v>0</v>
      </c>
      <c r="AA107">
        <f t="shared" si="111"/>
        <v>0</v>
      </c>
      <c r="AB107">
        <f t="shared" si="118"/>
        <v>1.3</v>
      </c>
      <c r="AC107">
        <f t="shared" si="97"/>
        <v>1</v>
      </c>
      <c r="AD107">
        <f t="shared" si="98"/>
        <v>0.43585000000000007</v>
      </c>
      <c r="AF107">
        <v>0.7</v>
      </c>
      <c r="AG107">
        <f t="shared" si="112"/>
        <v>0.62468890114860043</v>
      </c>
      <c r="AH107">
        <f t="shared" si="99"/>
        <v>0.34778224329970253</v>
      </c>
      <c r="AI107">
        <f t="shared" si="113"/>
        <v>0.21725570740588637</v>
      </c>
      <c r="AJ107">
        <f t="shared" si="100"/>
        <v>1.9553013666529773E-2</v>
      </c>
      <c r="AK107">
        <f t="shared" si="101"/>
        <v>0.08</v>
      </c>
      <c r="AL107">
        <f t="shared" si="102"/>
        <v>9.1680824426372848E-2</v>
      </c>
      <c r="AM107">
        <f t="shared" si="103"/>
        <v>0.19</v>
      </c>
      <c r="AN107">
        <f t="shared" si="104"/>
        <v>0.6784</v>
      </c>
      <c r="AO107">
        <f t="shared" si="105"/>
        <v>2.2736468933084021E-5</v>
      </c>
      <c r="AP107">
        <f t="shared" si="106"/>
        <v>5.5396862960047147E-5</v>
      </c>
      <c r="AQ107">
        <f t="shared" si="114"/>
        <v>7.8133331893131175E-5</v>
      </c>
      <c r="AR107">
        <f t="shared" si="107"/>
        <v>1.2120433109921973</v>
      </c>
      <c r="BA107">
        <f>BA105</f>
        <v>15</v>
      </c>
      <c r="BC107">
        <f t="shared" si="115"/>
        <v>0</v>
      </c>
      <c r="BD107">
        <f>BD105</f>
        <v>3.4931506849315071E-2</v>
      </c>
      <c r="BE107">
        <f t="shared" si="108"/>
        <v>0.1472</v>
      </c>
      <c r="BF107">
        <v>66</v>
      </c>
      <c r="BG107">
        <f t="shared" si="116"/>
        <v>0.30303030303030304</v>
      </c>
      <c r="BH107">
        <f t="shared" si="121"/>
        <v>8.4700866932011874E-3</v>
      </c>
      <c r="BI107">
        <f t="shared" si="117"/>
        <v>0</v>
      </c>
      <c r="BJ107">
        <f t="shared" si="109"/>
        <v>0</v>
      </c>
      <c r="BL107" s="28"/>
    </row>
    <row r="108" spans="1:72" x14ac:dyDescent="0.2">
      <c r="E108" s="12"/>
      <c r="F108" t="s">
        <v>166</v>
      </c>
      <c r="H108">
        <v>200</v>
      </c>
      <c r="I108">
        <v>0</v>
      </c>
      <c r="J108">
        <v>0</v>
      </c>
      <c r="L108">
        <f t="shared" si="94"/>
        <v>91.25</v>
      </c>
      <c r="N108">
        <v>0.16</v>
      </c>
      <c r="P108">
        <v>0.2</v>
      </c>
      <c r="R108">
        <v>0.75</v>
      </c>
      <c r="T108">
        <v>30</v>
      </c>
      <c r="U108">
        <f t="shared" si="110"/>
        <v>2.6000000000000467E-3</v>
      </c>
      <c r="V108">
        <f>V101</f>
        <v>0.99739999999999995</v>
      </c>
      <c r="W108">
        <f>W101</f>
        <v>0.74</v>
      </c>
      <c r="X108">
        <f t="shared" si="95"/>
        <v>4.7000000000000002E-3</v>
      </c>
      <c r="Y108">
        <f t="shared" si="96"/>
        <v>0</v>
      </c>
      <c r="Z108">
        <v>0</v>
      </c>
      <c r="AA108">
        <f t="shared" si="111"/>
        <v>0</v>
      </c>
      <c r="AB108">
        <f t="shared" si="118"/>
        <v>1.3</v>
      </c>
      <c r="AC108">
        <f t="shared" si="97"/>
        <v>1</v>
      </c>
      <c r="AD108">
        <f t="shared" si="98"/>
        <v>0.5948500000000001</v>
      </c>
      <c r="AF108">
        <v>0.9</v>
      </c>
      <c r="AG108">
        <f t="shared" si="112"/>
        <v>0.80210130091638532</v>
      </c>
      <c r="AH108">
        <f t="shared" si="99"/>
        <v>0.72413348053480053</v>
      </c>
      <c r="AI108">
        <f t="shared" si="113"/>
        <v>0.58082840677407355</v>
      </c>
      <c r="AJ108">
        <f t="shared" si="100"/>
        <v>0.11616568135481471</v>
      </c>
      <c r="AK108">
        <f t="shared" si="101"/>
        <v>0.08</v>
      </c>
      <c r="AL108">
        <f t="shared" si="102"/>
        <v>0.146005441840695</v>
      </c>
      <c r="AM108">
        <f t="shared" si="103"/>
        <v>0.19</v>
      </c>
      <c r="AN108">
        <f t="shared" si="104"/>
        <v>0.6784</v>
      </c>
      <c r="AO108">
        <f t="shared" si="105"/>
        <v>3.6208751538203234E-5</v>
      </c>
      <c r="AP108">
        <f t="shared" si="106"/>
        <v>8.8221757425028738E-5</v>
      </c>
      <c r="AQ108">
        <f t="shared" si="114"/>
        <v>1.2443050896323197E-4</v>
      </c>
      <c r="AR108">
        <f t="shared" si="107"/>
        <v>2.2708567885789832</v>
      </c>
      <c r="BA108">
        <f>BA105</f>
        <v>15</v>
      </c>
      <c r="BC108">
        <f t="shared" si="115"/>
        <v>0</v>
      </c>
      <c r="BD108">
        <f>BD105</f>
        <v>3.4931506849315071E-2</v>
      </c>
      <c r="BE108">
        <f t="shared" si="108"/>
        <v>0.1472</v>
      </c>
      <c r="BF108">
        <v>66</v>
      </c>
      <c r="BG108">
        <f t="shared" si="116"/>
        <v>0.45454545454545453</v>
      </c>
      <c r="BH108">
        <f t="shared" si="121"/>
        <v>7.7485295770712368E-3</v>
      </c>
      <c r="BI108">
        <f t="shared" si="117"/>
        <v>1.0837979439699117E-2</v>
      </c>
      <c r="BJ108">
        <f t="shared" si="109"/>
        <v>197.7931247745089</v>
      </c>
      <c r="BL108" s="28"/>
    </row>
    <row r="109" spans="1:72" x14ac:dyDescent="0.2">
      <c r="E109" s="11" t="s">
        <v>168</v>
      </c>
      <c r="F109" t="s">
        <v>163</v>
      </c>
      <c r="H109">
        <v>100</v>
      </c>
      <c r="I109">
        <v>95</v>
      </c>
      <c r="J109">
        <v>92</v>
      </c>
      <c r="L109">
        <f t="shared" si="94"/>
        <v>91.25</v>
      </c>
      <c r="N109">
        <v>0</v>
      </c>
      <c r="P109">
        <v>0.16</v>
      </c>
      <c r="R109">
        <v>0.7</v>
      </c>
      <c r="T109">
        <v>52</v>
      </c>
      <c r="U109">
        <f t="shared" si="110"/>
        <v>2.6000000000000467E-3</v>
      </c>
      <c r="V109">
        <f>V101</f>
        <v>0.99739999999999995</v>
      </c>
      <c r="W109">
        <f>W101</f>
        <v>0.74</v>
      </c>
      <c r="X109">
        <f t="shared" si="95"/>
        <v>4.7000000000000002E-3</v>
      </c>
      <c r="Y109">
        <f t="shared" si="96"/>
        <v>0.874</v>
      </c>
      <c r="Z109">
        <v>0</v>
      </c>
      <c r="AA109">
        <f t="shared" si="111"/>
        <v>0</v>
      </c>
      <c r="AB109">
        <f t="shared" si="118"/>
        <v>1.3</v>
      </c>
      <c r="AC109">
        <f t="shared" si="97"/>
        <v>1.2622</v>
      </c>
      <c r="AD109">
        <f t="shared" si="98"/>
        <v>0.55510000000000004</v>
      </c>
      <c r="AF109">
        <v>4</v>
      </c>
      <c r="AG109">
        <f t="shared" si="112"/>
        <v>0.99999999999998734</v>
      </c>
      <c r="AH109">
        <f t="shared" si="99"/>
        <v>1.1441022143482507</v>
      </c>
      <c r="AI109">
        <f t="shared" si="113"/>
        <v>1.4440858149503437</v>
      </c>
      <c r="AJ109">
        <f t="shared" si="100"/>
        <v>0.23105373039205501</v>
      </c>
      <c r="AK109">
        <f t="shared" si="101"/>
        <v>0.08</v>
      </c>
      <c r="AL109">
        <f t="shared" si="102"/>
        <v>0.4753098102729163</v>
      </c>
      <c r="AM109">
        <f t="shared" si="103"/>
        <v>0.19</v>
      </c>
      <c r="AN109">
        <f t="shared" si="104"/>
        <v>0.6784</v>
      </c>
      <c r="AO109">
        <f t="shared" si="105"/>
        <v>1.1787488607870249E-4</v>
      </c>
      <c r="AP109">
        <f t="shared" si="106"/>
        <v>2.8719934171622143E-4</v>
      </c>
      <c r="AQ109">
        <f t="shared" si="114"/>
        <v>4.0507422779492393E-4</v>
      </c>
      <c r="AR109">
        <f t="shared" si="107"/>
        <v>3.6963023286286809</v>
      </c>
      <c r="BA109">
        <v>18</v>
      </c>
      <c r="BB109">
        <v>0.8</v>
      </c>
      <c r="BC109">
        <f t="shared" si="115"/>
        <v>1.3984000000000001</v>
      </c>
      <c r="BD109">
        <f t="shared" ref="BD109" si="122">(BA109 * BB109) / 365</f>
        <v>3.9452054794520547E-2</v>
      </c>
      <c r="BE109">
        <f t="shared" si="108"/>
        <v>0</v>
      </c>
      <c r="BF109">
        <v>60</v>
      </c>
      <c r="BG109">
        <f t="shared" si="116"/>
        <v>0.8666666666666667</v>
      </c>
      <c r="BH109">
        <f t="shared" si="121"/>
        <v>1.5370836164383561E-2</v>
      </c>
      <c r="BI109">
        <f t="shared" si="117"/>
        <v>2.1597760698345243E-2</v>
      </c>
      <c r="BJ109">
        <f t="shared" si="109"/>
        <v>197.07956637240034</v>
      </c>
      <c r="BL109" s="28"/>
    </row>
    <row r="110" spans="1:72" x14ac:dyDescent="0.2">
      <c r="E110" s="12"/>
      <c r="F110" t="s">
        <v>164</v>
      </c>
      <c r="H110">
        <v>140</v>
      </c>
      <c r="I110">
        <v>0</v>
      </c>
      <c r="J110">
        <v>0</v>
      </c>
      <c r="L110">
        <f t="shared" si="94"/>
        <v>91.25</v>
      </c>
      <c r="N110">
        <v>0</v>
      </c>
      <c r="P110">
        <v>7.0000000000000007E-2</v>
      </c>
      <c r="R110">
        <v>0.55000000000000004</v>
      </c>
      <c r="T110">
        <v>52</v>
      </c>
      <c r="U110">
        <f t="shared" si="110"/>
        <v>2.6000000000000467E-3</v>
      </c>
      <c r="V110">
        <f>V101</f>
        <v>0.99739999999999995</v>
      </c>
      <c r="W110">
        <f>W101</f>
        <v>0.74</v>
      </c>
      <c r="X110">
        <f t="shared" si="95"/>
        <v>4.7000000000000002E-3</v>
      </c>
      <c r="Y110">
        <f t="shared" si="96"/>
        <v>0</v>
      </c>
      <c r="Z110">
        <v>0</v>
      </c>
      <c r="AA110">
        <f t="shared" si="111"/>
        <v>0</v>
      </c>
      <c r="AB110">
        <f t="shared" si="118"/>
        <v>1.3</v>
      </c>
      <c r="AC110">
        <f t="shared" si="97"/>
        <v>1</v>
      </c>
      <c r="AD110">
        <f t="shared" si="98"/>
        <v>0.43585000000000007</v>
      </c>
      <c r="AF110">
        <v>2.5</v>
      </c>
      <c r="AG110">
        <f t="shared" si="112"/>
        <v>0.99999627334682795</v>
      </c>
      <c r="AH110">
        <f t="shared" si="99"/>
        <v>0.90232933809152693</v>
      </c>
      <c r="AI110">
        <f t="shared" si="113"/>
        <v>0.90232597542303694</v>
      </c>
      <c r="AJ110">
        <f t="shared" si="100"/>
        <v>6.3162818279612593E-2</v>
      </c>
      <c r="AK110">
        <f t="shared" si="101"/>
        <v>0.08</v>
      </c>
      <c r="AL110">
        <f t="shared" si="102"/>
        <v>0.40352522553110864</v>
      </c>
      <c r="AM110">
        <f t="shared" si="103"/>
        <v>0.19</v>
      </c>
      <c r="AN110">
        <f t="shared" si="104"/>
        <v>0.6784</v>
      </c>
      <c r="AO110">
        <f t="shared" si="105"/>
        <v>1.0007260309239297E-4</v>
      </c>
      <c r="AP110">
        <f t="shared" si="106"/>
        <v>2.4382450484638747E-4</v>
      </c>
      <c r="AQ110">
        <f t="shared" si="114"/>
        <v>3.4389710793878044E-4</v>
      </c>
      <c r="AR110">
        <f t="shared" si="107"/>
        <v>4.3932855539179201</v>
      </c>
      <c r="BA110">
        <f>BA109</f>
        <v>18</v>
      </c>
      <c r="BC110">
        <f t="shared" si="115"/>
        <v>0</v>
      </c>
      <c r="BD110">
        <f>BD109</f>
        <v>3.9452054794520547E-2</v>
      </c>
      <c r="BE110">
        <f t="shared" si="108"/>
        <v>0</v>
      </c>
      <c r="BF110">
        <v>60</v>
      </c>
      <c r="BG110">
        <f t="shared" si="116"/>
        <v>0.8666666666666667</v>
      </c>
      <c r="BH110">
        <f t="shared" si="121"/>
        <v>5.3023561643835617E-3</v>
      </c>
      <c r="BI110">
        <f t="shared" si="117"/>
        <v>4.8036947603544537E-3</v>
      </c>
      <c r="BJ110">
        <f t="shared" si="109"/>
        <v>61.367200563528144</v>
      </c>
      <c r="BL110" s="28"/>
    </row>
    <row r="111" spans="1:72" x14ac:dyDescent="0.2">
      <c r="E111" s="11"/>
      <c r="F111" t="s">
        <v>165</v>
      </c>
      <c r="H111">
        <v>135</v>
      </c>
      <c r="I111">
        <v>0</v>
      </c>
      <c r="J111">
        <v>0</v>
      </c>
      <c r="L111">
        <f t="shared" si="94"/>
        <v>91.25</v>
      </c>
      <c r="N111">
        <v>0</v>
      </c>
      <c r="P111">
        <v>0.09</v>
      </c>
      <c r="R111">
        <v>0.55000000000000004</v>
      </c>
      <c r="T111">
        <v>52</v>
      </c>
      <c r="U111">
        <f t="shared" si="110"/>
        <v>2.6000000000000467E-3</v>
      </c>
      <c r="V111">
        <f>V101</f>
        <v>0.99739999999999995</v>
      </c>
      <c r="W111">
        <f>W101</f>
        <v>0.74</v>
      </c>
      <c r="X111">
        <f t="shared" si="95"/>
        <v>4.7000000000000002E-3</v>
      </c>
      <c r="Y111">
        <f t="shared" si="96"/>
        <v>0</v>
      </c>
      <c r="Z111">
        <v>0</v>
      </c>
      <c r="AA111">
        <f t="shared" si="111"/>
        <v>0</v>
      </c>
      <c r="AB111">
        <f t="shared" si="118"/>
        <v>1.3</v>
      </c>
      <c r="AC111">
        <f t="shared" si="97"/>
        <v>1</v>
      </c>
      <c r="AD111">
        <f t="shared" si="98"/>
        <v>0.43585000000000007</v>
      </c>
      <c r="AF111">
        <v>0.7</v>
      </c>
      <c r="AG111">
        <f t="shared" si="112"/>
        <v>0.62468890114860043</v>
      </c>
      <c r="AH111">
        <f t="shared" si="99"/>
        <v>0.90232933809152693</v>
      </c>
      <c r="AI111">
        <f t="shared" si="113"/>
        <v>0.56367512268653996</v>
      </c>
      <c r="AJ111">
        <f t="shared" si="100"/>
        <v>5.0730761041788593E-2</v>
      </c>
      <c r="AK111">
        <f t="shared" si="101"/>
        <v>0.08</v>
      </c>
      <c r="AL111">
        <f t="shared" si="102"/>
        <v>0.24505395168906077</v>
      </c>
      <c r="AM111">
        <f t="shared" si="103"/>
        <v>0.19</v>
      </c>
      <c r="AN111">
        <f t="shared" si="104"/>
        <v>0.6784</v>
      </c>
      <c r="AO111">
        <f t="shared" si="105"/>
        <v>6.0772376277902046E-5</v>
      </c>
      <c r="AP111">
        <f t="shared" si="106"/>
        <v>1.4807044182329446E-4</v>
      </c>
      <c r="AQ111">
        <f t="shared" si="114"/>
        <v>2.088428181011965E-4</v>
      </c>
      <c r="AR111">
        <f t="shared" si="107"/>
        <v>2.5726824654841147</v>
      </c>
      <c r="BA111">
        <f>BA109</f>
        <v>18</v>
      </c>
      <c r="BC111">
        <f t="shared" si="115"/>
        <v>0</v>
      </c>
      <c r="BD111">
        <f>BD109</f>
        <v>3.9452054794520547E-2</v>
      </c>
      <c r="BE111">
        <f t="shared" si="108"/>
        <v>0</v>
      </c>
      <c r="BF111">
        <v>60</v>
      </c>
      <c r="BG111">
        <f t="shared" si="116"/>
        <v>0.8666666666666667</v>
      </c>
      <c r="BH111">
        <f t="shared" si="121"/>
        <v>5.3023561643835617E-3</v>
      </c>
      <c r="BI111">
        <f t="shared" si="117"/>
        <v>2.8145656023026138E-3</v>
      </c>
      <c r="BJ111">
        <f t="shared" si="109"/>
        <v>34.671930013365319</v>
      </c>
      <c r="BL111" s="28"/>
    </row>
    <row r="112" spans="1:72" x14ac:dyDescent="0.2">
      <c r="E112" s="12"/>
      <c r="F112" t="s">
        <v>166</v>
      </c>
      <c r="H112">
        <v>130</v>
      </c>
      <c r="I112">
        <v>0</v>
      </c>
      <c r="J112">
        <v>0</v>
      </c>
      <c r="L112">
        <f t="shared" si="94"/>
        <v>91.25</v>
      </c>
      <c r="N112">
        <v>0</v>
      </c>
      <c r="P112">
        <v>0.2</v>
      </c>
      <c r="R112">
        <v>0.75</v>
      </c>
      <c r="T112">
        <v>52</v>
      </c>
      <c r="U112">
        <f t="shared" si="110"/>
        <v>2.6000000000000467E-3</v>
      </c>
      <c r="V112">
        <f>V101</f>
        <v>0.99739999999999995</v>
      </c>
      <c r="W112">
        <f>W101</f>
        <v>0.74</v>
      </c>
      <c r="X112">
        <f t="shared" si="95"/>
        <v>4.7000000000000002E-3</v>
      </c>
      <c r="Y112">
        <f t="shared" si="96"/>
        <v>0</v>
      </c>
      <c r="Z112">
        <v>0</v>
      </c>
      <c r="AA112">
        <f t="shared" si="111"/>
        <v>0</v>
      </c>
      <c r="AB112">
        <f t="shared" si="118"/>
        <v>1.3</v>
      </c>
      <c r="AC112">
        <f t="shared" si="97"/>
        <v>1</v>
      </c>
      <c r="AD112">
        <f t="shared" si="98"/>
        <v>0.5948500000000001</v>
      </c>
      <c r="AF112">
        <v>0.9</v>
      </c>
      <c r="AG112">
        <f t="shared" si="112"/>
        <v>0.80210130091638532</v>
      </c>
      <c r="AH112">
        <f t="shared" si="99"/>
        <v>1.224693173100492</v>
      </c>
      <c r="AI112">
        <f t="shared" si="113"/>
        <v>0.98232798736732052</v>
      </c>
      <c r="AJ112">
        <f t="shared" si="100"/>
        <v>0.19646559747346412</v>
      </c>
      <c r="AK112">
        <f t="shared" si="101"/>
        <v>0.08</v>
      </c>
      <c r="AL112">
        <f t="shared" si="102"/>
        <v>0.26144626960584055</v>
      </c>
      <c r="AM112">
        <f t="shared" si="103"/>
        <v>0.19</v>
      </c>
      <c r="AN112">
        <f t="shared" si="104"/>
        <v>0.6784</v>
      </c>
      <c r="AO112">
        <f t="shared" si="105"/>
        <v>6.4837603978329307E-5</v>
      </c>
      <c r="AP112">
        <f t="shared" si="106"/>
        <v>1.5797527192179165E-4</v>
      </c>
      <c r="AQ112">
        <f t="shared" si="114"/>
        <v>2.2281287590012095E-4</v>
      </c>
      <c r="AR112">
        <f t="shared" si="107"/>
        <v>2.6431177403651849</v>
      </c>
      <c r="BA112">
        <f>BA109</f>
        <v>18</v>
      </c>
      <c r="BC112">
        <f t="shared" si="115"/>
        <v>0</v>
      </c>
      <c r="BD112">
        <f>BD109</f>
        <v>3.9452054794520547E-2</v>
      </c>
      <c r="BE112">
        <f t="shared" si="108"/>
        <v>0</v>
      </c>
      <c r="BF112">
        <v>60</v>
      </c>
      <c r="BG112">
        <f t="shared" si="116"/>
        <v>0.8666666666666667</v>
      </c>
      <c r="BH112">
        <f t="shared" si="121"/>
        <v>5.3023561643835617E-3</v>
      </c>
      <c r="BI112">
        <f t="shared" si="117"/>
        <v>2.6132139431370695E-2</v>
      </c>
      <c r="BJ112">
        <f t="shared" si="109"/>
        <v>309.9925040046349</v>
      </c>
      <c r="BL112" s="28"/>
    </row>
    <row r="113" spans="5:64" x14ac:dyDescent="0.2">
      <c r="E113" s="11" t="s">
        <v>170</v>
      </c>
      <c r="F113" t="s">
        <v>163</v>
      </c>
      <c r="H113">
        <v>200</v>
      </c>
      <c r="I113">
        <v>0</v>
      </c>
      <c r="J113">
        <v>0</v>
      </c>
      <c r="L113">
        <f t="shared" si="94"/>
        <v>91.25</v>
      </c>
      <c r="N113">
        <v>0</v>
      </c>
      <c r="P113">
        <v>0.16</v>
      </c>
      <c r="R113">
        <v>0.7</v>
      </c>
      <c r="T113">
        <v>55</v>
      </c>
      <c r="U113">
        <f t="shared" si="110"/>
        <v>2.6000000000000467E-3</v>
      </c>
      <c r="V113">
        <f>V101</f>
        <v>0.99739999999999995</v>
      </c>
      <c r="W113">
        <f>W101</f>
        <v>0.74</v>
      </c>
      <c r="X113">
        <f t="shared" si="95"/>
        <v>4.7000000000000002E-3</v>
      </c>
      <c r="Y113">
        <f t="shared" si="96"/>
        <v>0</v>
      </c>
      <c r="Z113">
        <v>0</v>
      </c>
      <c r="AA113">
        <f t="shared" si="111"/>
        <v>0</v>
      </c>
      <c r="AB113">
        <f t="shared" si="118"/>
        <v>1.3</v>
      </c>
      <c r="AC113">
        <f t="shared" si="97"/>
        <v>1</v>
      </c>
      <c r="AD113">
        <f t="shared" si="98"/>
        <v>0.55510000000000004</v>
      </c>
      <c r="AF113">
        <v>4</v>
      </c>
      <c r="AG113">
        <f t="shared" si="112"/>
        <v>0.99999999999998734</v>
      </c>
      <c r="AH113">
        <f t="shared" si="99"/>
        <v>1.2118587484135388</v>
      </c>
      <c r="AI113">
        <f t="shared" si="113"/>
        <v>1.2118587484135235</v>
      </c>
      <c r="AJ113">
        <f t="shared" si="100"/>
        <v>0.19389739974616377</v>
      </c>
      <c r="AK113">
        <f t="shared" si="101"/>
        <v>0.08</v>
      </c>
      <c r="AL113">
        <f t="shared" si="102"/>
        <v>0.38851755440284774</v>
      </c>
      <c r="AM113">
        <f t="shared" si="103"/>
        <v>0.19</v>
      </c>
      <c r="AN113">
        <f t="shared" si="104"/>
        <v>0.6784</v>
      </c>
      <c r="AO113">
        <f t="shared" si="105"/>
        <v>9.6350762124005137E-5</v>
      </c>
      <c r="AP113">
        <f t="shared" si="106"/>
        <v>2.3475632831063448E-4</v>
      </c>
      <c r="AQ113">
        <f t="shared" si="114"/>
        <v>3.3110709043463962E-4</v>
      </c>
      <c r="AR113">
        <f t="shared" si="107"/>
        <v>6.0427044004321733</v>
      </c>
      <c r="BA113">
        <v>20</v>
      </c>
      <c r="BB113">
        <v>0.8</v>
      </c>
      <c r="BC113">
        <f t="shared" si="115"/>
        <v>0</v>
      </c>
      <c r="BD113">
        <f t="shared" ref="BD113" si="123">(BA113 * BB113) / 365</f>
        <v>4.3835616438356165E-2</v>
      </c>
      <c r="BE113">
        <f t="shared" si="108"/>
        <v>0</v>
      </c>
      <c r="BF113">
        <v>60</v>
      </c>
      <c r="BG113">
        <f t="shared" si="116"/>
        <v>0.91666666666666663</v>
      </c>
      <c r="BH113">
        <f t="shared" si="121"/>
        <v>5.8915068493150683E-3</v>
      </c>
      <c r="BI113">
        <f t="shared" si="117"/>
        <v>2.5132077110071135E-2</v>
      </c>
      <c r="BJ113">
        <f t="shared" si="109"/>
        <v>458.66040725879822</v>
      </c>
      <c r="BL113" s="28"/>
    </row>
    <row r="114" spans="5:64" x14ac:dyDescent="0.2">
      <c r="E114" s="12"/>
      <c r="F114" t="s">
        <v>164</v>
      </c>
      <c r="H114">
        <v>210</v>
      </c>
      <c r="I114">
        <v>0</v>
      </c>
      <c r="J114">
        <v>0</v>
      </c>
      <c r="L114">
        <f t="shared" si="94"/>
        <v>91.25</v>
      </c>
      <c r="N114">
        <v>0</v>
      </c>
      <c r="P114">
        <v>7.0000000000000007E-2</v>
      </c>
      <c r="R114">
        <v>0.55000000000000004</v>
      </c>
      <c r="T114">
        <v>55</v>
      </c>
      <c r="U114">
        <f t="shared" si="110"/>
        <v>2.6000000000000467E-3</v>
      </c>
      <c r="V114">
        <f>V101</f>
        <v>0.99739999999999995</v>
      </c>
      <c r="W114">
        <f>W101</f>
        <v>0.74</v>
      </c>
      <c r="X114">
        <f t="shared" si="95"/>
        <v>4.7000000000000002E-3</v>
      </c>
      <c r="Y114">
        <f t="shared" si="96"/>
        <v>0</v>
      </c>
      <c r="Z114">
        <v>0</v>
      </c>
      <c r="AA114">
        <f t="shared" si="111"/>
        <v>0</v>
      </c>
      <c r="AB114">
        <f t="shared" si="118"/>
        <v>1.3</v>
      </c>
      <c r="AC114">
        <f t="shared" si="97"/>
        <v>1</v>
      </c>
      <c r="AD114">
        <f t="shared" si="98"/>
        <v>0.43585000000000007</v>
      </c>
      <c r="AF114">
        <v>2.5</v>
      </c>
      <c r="AG114">
        <f t="shared" si="112"/>
        <v>0.99999627334682795</v>
      </c>
      <c r="AH114">
        <f t="shared" si="99"/>
        <v>0.95969823125361531</v>
      </c>
      <c r="AI114">
        <f t="shared" si="113"/>
        <v>0.95969465479115756</v>
      </c>
      <c r="AJ114">
        <f t="shared" si="100"/>
        <v>6.7178625835381034E-2</v>
      </c>
      <c r="AK114">
        <f t="shared" si="101"/>
        <v>0.08</v>
      </c>
      <c r="AL114">
        <f t="shared" si="102"/>
        <v>0.43120689604353685</v>
      </c>
      <c r="AM114">
        <f t="shared" si="103"/>
        <v>0.19</v>
      </c>
      <c r="AN114">
        <f t="shared" si="104"/>
        <v>0.6784</v>
      </c>
      <c r="AO114">
        <f t="shared" si="105"/>
        <v>1.0693754399535288E-4</v>
      </c>
      <c r="AP114">
        <f t="shared" si="106"/>
        <v>2.6055076922584526E-4</v>
      </c>
      <c r="AQ114">
        <f t="shared" si="114"/>
        <v>3.6748831322119813E-4</v>
      </c>
      <c r="AR114">
        <f t="shared" si="107"/>
        <v>7.0419948021012093</v>
      </c>
      <c r="BA114">
        <f>BA113</f>
        <v>20</v>
      </c>
      <c r="BC114">
        <f t="shared" si="115"/>
        <v>0</v>
      </c>
      <c r="BD114">
        <f>BD113</f>
        <v>4.3835616438356165E-2</v>
      </c>
      <c r="BE114">
        <f t="shared" si="108"/>
        <v>0</v>
      </c>
      <c r="BF114">
        <v>60</v>
      </c>
      <c r="BG114">
        <f t="shared" si="116"/>
        <v>0.91666666666666663</v>
      </c>
      <c r="BH114">
        <f t="shared" si="121"/>
        <v>5.8915068493150683E-3</v>
      </c>
      <c r="BI114">
        <f t="shared" si="117"/>
        <v>4.8570732843458966E-3</v>
      </c>
      <c r="BJ114">
        <f t="shared" si="109"/>
        <v>93.073666811278244</v>
      </c>
      <c r="BL114" s="28"/>
    </row>
    <row r="115" spans="5:64" x14ac:dyDescent="0.2">
      <c r="E115" s="11"/>
      <c r="F115" t="s">
        <v>165</v>
      </c>
      <c r="H115">
        <v>190</v>
      </c>
      <c r="I115">
        <v>0</v>
      </c>
      <c r="J115">
        <v>0</v>
      </c>
      <c r="L115">
        <f t="shared" si="94"/>
        <v>91.25</v>
      </c>
      <c r="N115">
        <v>0</v>
      </c>
      <c r="P115">
        <v>0.09</v>
      </c>
      <c r="R115">
        <v>0.55000000000000004</v>
      </c>
      <c r="T115">
        <v>55</v>
      </c>
      <c r="U115">
        <f t="shared" si="110"/>
        <v>2.6000000000000467E-3</v>
      </c>
      <c r="V115">
        <f>V101</f>
        <v>0.99739999999999995</v>
      </c>
      <c r="W115">
        <f>W101</f>
        <v>0.74</v>
      </c>
      <c r="X115">
        <f t="shared" si="95"/>
        <v>4.7000000000000002E-3</v>
      </c>
      <c r="Y115">
        <f t="shared" si="96"/>
        <v>0</v>
      </c>
      <c r="Z115">
        <v>0</v>
      </c>
      <c r="AA115">
        <f t="shared" si="111"/>
        <v>0</v>
      </c>
      <c r="AB115">
        <f t="shared" si="118"/>
        <v>1.3</v>
      </c>
      <c r="AC115">
        <f t="shared" si="97"/>
        <v>1</v>
      </c>
      <c r="AD115">
        <f t="shared" si="98"/>
        <v>0.43585000000000007</v>
      </c>
      <c r="AF115">
        <v>0.7</v>
      </c>
      <c r="AG115">
        <f t="shared" si="112"/>
        <v>0.62468890114860043</v>
      </c>
      <c r="AH115">
        <f t="shared" si="99"/>
        <v>0.95969823125361531</v>
      </c>
      <c r="AI115">
        <f t="shared" si="113"/>
        <v>0.59951283351607632</v>
      </c>
      <c r="AJ115">
        <f t="shared" si="100"/>
        <v>5.3956155016446863E-2</v>
      </c>
      <c r="AK115">
        <f t="shared" si="101"/>
        <v>0.08</v>
      </c>
      <c r="AL115">
        <f t="shared" si="102"/>
        <v>0.26142480853751304</v>
      </c>
      <c r="AM115">
        <f t="shared" si="103"/>
        <v>0.19</v>
      </c>
      <c r="AN115">
        <f t="shared" si="104"/>
        <v>0.6784</v>
      </c>
      <c r="AO115">
        <f t="shared" si="105"/>
        <v>6.4832281721288623E-5</v>
      </c>
      <c r="AP115">
        <f t="shared" si="106"/>
        <v>1.5796230436975934E-4</v>
      </c>
      <c r="AQ115">
        <f t="shared" si="114"/>
        <v>2.2279458609104796E-4</v>
      </c>
      <c r="AR115">
        <f t="shared" si="107"/>
        <v>3.8627011363535444</v>
      </c>
      <c r="BA115">
        <f>BA113</f>
        <v>20</v>
      </c>
      <c r="BC115">
        <f t="shared" si="115"/>
        <v>0</v>
      </c>
      <c r="BD115">
        <f>BD113</f>
        <v>4.3835616438356165E-2</v>
      </c>
      <c r="BE115">
        <f t="shared" si="108"/>
        <v>0</v>
      </c>
      <c r="BF115">
        <v>60</v>
      </c>
      <c r="BG115">
        <f t="shared" si="116"/>
        <v>0.91666666666666663</v>
      </c>
      <c r="BH115">
        <f t="shared" si="121"/>
        <v>5.8915068493150683E-3</v>
      </c>
      <c r="BI115">
        <f t="shared" si="117"/>
        <v>2.7414779533164292E-3</v>
      </c>
      <c r="BJ115">
        <f t="shared" si="109"/>
        <v>47.530374015623586</v>
      </c>
      <c r="BL115" s="28"/>
    </row>
    <row r="116" spans="5:64" x14ac:dyDescent="0.2">
      <c r="E116" s="12"/>
      <c r="F116" t="s">
        <v>166</v>
      </c>
      <c r="H116">
        <v>180</v>
      </c>
      <c r="I116">
        <v>0</v>
      </c>
      <c r="J116">
        <v>0</v>
      </c>
      <c r="L116">
        <f t="shared" si="94"/>
        <v>91.25</v>
      </c>
      <c r="N116">
        <v>0</v>
      </c>
      <c r="P116">
        <v>0.2</v>
      </c>
      <c r="R116">
        <v>0.75</v>
      </c>
      <c r="T116">
        <v>55</v>
      </c>
      <c r="U116">
        <f t="shared" si="110"/>
        <v>2.6000000000000467E-3</v>
      </c>
      <c r="V116">
        <f>V101</f>
        <v>0.99739999999999995</v>
      </c>
      <c r="W116">
        <f>W101</f>
        <v>0.74</v>
      </c>
      <c r="X116">
        <f t="shared" si="95"/>
        <v>4.7000000000000002E-3</v>
      </c>
      <c r="Y116">
        <f t="shared" si="96"/>
        <v>0</v>
      </c>
      <c r="Z116">
        <v>0</v>
      </c>
      <c r="AA116">
        <f t="shared" si="111"/>
        <v>0</v>
      </c>
      <c r="AB116">
        <f t="shared" si="118"/>
        <v>1.3</v>
      </c>
      <c r="AC116">
        <f t="shared" si="97"/>
        <v>1</v>
      </c>
      <c r="AD116">
        <f t="shared" si="98"/>
        <v>0.5948500000000001</v>
      </c>
      <c r="AF116">
        <v>0.9</v>
      </c>
      <c r="AG116">
        <f t="shared" si="112"/>
        <v>0.80210130091638532</v>
      </c>
      <c r="AH116">
        <f t="shared" si="99"/>
        <v>1.2959122541335131</v>
      </c>
      <c r="AI116">
        <f t="shared" si="113"/>
        <v>1.0394529049139762</v>
      </c>
      <c r="AJ116">
        <f t="shared" si="100"/>
        <v>0.20789058098279525</v>
      </c>
      <c r="AK116">
        <f t="shared" si="101"/>
        <v>0.08</v>
      </c>
      <c r="AL116">
        <f t="shared" si="102"/>
        <v>0.27883518229866955</v>
      </c>
      <c r="AM116">
        <f t="shared" si="103"/>
        <v>0.19</v>
      </c>
      <c r="AN116">
        <f t="shared" si="104"/>
        <v>0.6784</v>
      </c>
      <c r="AO116">
        <f t="shared" si="105"/>
        <v>6.9149983101164588E-5</v>
      </c>
      <c r="AP116">
        <f t="shared" si="106"/>
        <v>1.6848228055196026E-4</v>
      </c>
      <c r="AQ116">
        <f t="shared" si="114"/>
        <v>2.3763226365312485E-4</v>
      </c>
      <c r="AR116">
        <f t="shared" si="107"/>
        <v>3.9031099305025756</v>
      </c>
      <c r="BA116">
        <f>BA113</f>
        <v>20</v>
      </c>
      <c r="BC116">
        <f t="shared" si="115"/>
        <v>0</v>
      </c>
      <c r="BD116">
        <f>BD113</f>
        <v>4.3835616438356165E-2</v>
      </c>
      <c r="BE116">
        <f t="shared" si="108"/>
        <v>0</v>
      </c>
      <c r="BF116">
        <v>60</v>
      </c>
      <c r="BG116">
        <f t="shared" si="116"/>
        <v>0.91666666666666663</v>
      </c>
      <c r="BH116">
        <f t="shared" si="121"/>
        <v>5.8915068493150683E-3</v>
      </c>
      <c r="BI116">
        <f t="shared" si="117"/>
        <v>2.737098610793217E-2</v>
      </c>
      <c r="BJ116">
        <f t="shared" si="109"/>
        <v>449.56844682278586</v>
      </c>
      <c r="BL116" s="28"/>
    </row>
    <row r="117" spans="5:64" x14ac:dyDescent="0.2">
      <c r="E117" s="11" t="s">
        <v>162</v>
      </c>
      <c r="F117" t="s">
        <v>163</v>
      </c>
      <c r="H117">
        <v>50</v>
      </c>
      <c r="I117">
        <v>0</v>
      </c>
      <c r="J117">
        <v>0</v>
      </c>
      <c r="L117">
        <f t="shared" si="94"/>
        <v>91.25</v>
      </c>
      <c r="N117">
        <v>0.11</v>
      </c>
      <c r="P117">
        <v>0.16</v>
      </c>
      <c r="R117">
        <v>0.7</v>
      </c>
      <c r="T117">
        <v>80</v>
      </c>
      <c r="U117">
        <f t="shared" si="110"/>
        <v>2.6000000000000467E-3</v>
      </c>
      <c r="V117">
        <f>V101</f>
        <v>0.99739999999999995</v>
      </c>
      <c r="W117">
        <f>W101</f>
        <v>0.74</v>
      </c>
      <c r="X117">
        <f t="shared" si="95"/>
        <v>4.7000000000000002E-3</v>
      </c>
      <c r="Y117">
        <f t="shared" si="96"/>
        <v>0</v>
      </c>
      <c r="Z117">
        <v>0</v>
      </c>
      <c r="AA117">
        <f t="shared" si="111"/>
        <v>0</v>
      </c>
      <c r="AB117">
        <f t="shared" si="118"/>
        <v>1.3</v>
      </c>
      <c r="AC117">
        <f t="shared" si="97"/>
        <v>1</v>
      </c>
      <c r="AD117">
        <f t="shared" si="98"/>
        <v>0.55510000000000004</v>
      </c>
      <c r="AF117">
        <v>4</v>
      </c>
      <c r="AG117">
        <f t="shared" si="112"/>
        <v>0.99999999999998734</v>
      </c>
      <c r="AH117">
        <f t="shared" si="99"/>
        <v>1.8103862015316043</v>
      </c>
      <c r="AI117">
        <f t="shared" si="113"/>
        <v>1.8103862015315815</v>
      </c>
      <c r="AJ117">
        <f t="shared" si="100"/>
        <v>0.28966179224505306</v>
      </c>
      <c r="AK117">
        <f t="shared" si="101"/>
        <v>0.08</v>
      </c>
      <c r="AL117">
        <f t="shared" si="102"/>
        <v>0.62027852533472749</v>
      </c>
      <c r="AM117">
        <f t="shared" si="103"/>
        <v>0.19</v>
      </c>
      <c r="AN117">
        <f t="shared" si="104"/>
        <v>0.6784</v>
      </c>
      <c r="AO117">
        <f t="shared" si="105"/>
        <v>1.5382653362217542E-4</v>
      </c>
      <c r="AP117">
        <f t="shared" si="106"/>
        <v>3.7479467140506676E-4</v>
      </c>
      <c r="AQ117">
        <f t="shared" si="114"/>
        <v>5.2862120502724221E-4</v>
      </c>
      <c r="AR117">
        <f t="shared" si="107"/>
        <v>2.4118342479367927</v>
      </c>
      <c r="BA117">
        <v>15</v>
      </c>
      <c r="BB117">
        <v>0.85</v>
      </c>
      <c r="BC117">
        <f t="shared" si="115"/>
        <v>0</v>
      </c>
      <c r="BD117">
        <f t="shared" ref="BD117" si="124">(BA117 * BB117) / 365</f>
        <v>3.4931506849315071E-2</v>
      </c>
      <c r="BE117">
        <f t="shared" si="108"/>
        <v>0.1012</v>
      </c>
      <c r="BF117">
        <v>84</v>
      </c>
      <c r="BG117">
        <f t="shared" si="116"/>
        <v>0.95238095238095233</v>
      </c>
      <c r="BH117">
        <f t="shared" si="121"/>
        <v>5.940350883350415E-3</v>
      </c>
      <c r="BI117">
        <f>MAX((AJ117  / 6.25 ) - BH117, 0)</f>
        <v>4.0405535875858073E-2</v>
      </c>
      <c r="BJ117">
        <f t="shared" si="109"/>
        <v>184.35025743360248</v>
      </c>
      <c r="BL117" s="28"/>
    </row>
    <row r="118" spans="5:64" x14ac:dyDescent="0.2">
      <c r="E118" s="12"/>
      <c r="F118" t="s">
        <v>164</v>
      </c>
      <c r="H118">
        <v>55</v>
      </c>
      <c r="I118">
        <v>0</v>
      </c>
      <c r="J118">
        <v>0</v>
      </c>
      <c r="L118">
        <f t="shared" si="94"/>
        <v>91.25</v>
      </c>
      <c r="N118">
        <v>-0.1</v>
      </c>
      <c r="P118">
        <v>7.0000000000000007E-2</v>
      </c>
      <c r="R118">
        <v>0.55000000000000004</v>
      </c>
      <c r="T118">
        <v>70</v>
      </c>
      <c r="U118">
        <f t="shared" si="110"/>
        <v>2.6000000000000467E-3</v>
      </c>
      <c r="V118">
        <f>V101</f>
        <v>0.99739999999999995</v>
      </c>
      <c r="W118">
        <f>W101</f>
        <v>0.74</v>
      </c>
      <c r="X118">
        <f t="shared" si="95"/>
        <v>4.7000000000000002E-3</v>
      </c>
      <c r="Y118">
        <f t="shared" si="96"/>
        <v>0</v>
      </c>
      <c r="Z118">
        <v>0</v>
      </c>
      <c r="AA118">
        <f t="shared" si="111"/>
        <v>0</v>
      </c>
      <c r="AB118">
        <f t="shared" si="118"/>
        <v>1.3</v>
      </c>
      <c r="AC118">
        <f t="shared" si="97"/>
        <v>1</v>
      </c>
      <c r="AD118">
        <f t="shared" si="98"/>
        <v>0.43585000000000007</v>
      </c>
      <c r="AF118">
        <v>2.5</v>
      </c>
      <c r="AG118">
        <f t="shared" si="112"/>
        <v>0.99999627334682795</v>
      </c>
      <c r="AH118">
        <f t="shared" si="99"/>
        <v>1.2614122912776211</v>
      </c>
      <c r="AI118">
        <f t="shared" si="113"/>
        <v>1.2614075904315045</v>
      </c>
      <c r="AJ118">
        <f t="shared" si="100"/>
        <v>8.8298531330205321E-2</v>
      </c>
      <c r="AK118">
        <f t="shared" si="101"/>
        <v>0.08</v>
      </c>
      <c r="AL118">
        <f t="shared" si="102"/>
        <v>0.58077702965713707</v>
      </c>
      <c r="AM118">
        <f t="shared" si="103"/>
        <v>0.19</v>
      </c>
      <c r="AN118">
        <f t="shared" si="104"/>
        <v>0.6784</v>
      </c>
      <c r="AO118">
        <f t="shared" si="105"/>
        <v>1.4403032449225909E-4</v>
      </c>
      <c r="AP118">
        <f t="shared" si="106"/>
        <v>3.5092644207292627E-4</v>
      </c>
      <c r="AQ118">
        <f t="shared" si="114"/>
        <v>4.9495676656518542E-4</v>
      </c>
      <c r="AR118">
        <f t="shared" si="107"/>
        <v>2.4840642721990243</v>
      </c>
      <c r="BA118">
        <f>BA117</f>
        <v>15</v>
      </c>
      <c r="BC118">
        <f t="shared" si="115"/>
        <v>0</v>
      </c>
      <c r="BD118">
        <f>BD117</f>
        <v>3.4931506849315071E-2</v>
      </c>
      <c r="BE118">
        <f t="shared" si="108"/>
        <v>-9.2000000000000012E-2</v>
      </c>
      <c r="BF118">
        <v>84</v>
      </c>
      <c r="BG118">
        <f t="shared" si="116"/>
        <v>0.83333333333333337</v>
      </c>
      <c r="BH118">
        <f t="shared" si="121"/>
        <v>3.4850287232951337E-3</v>
      </c>
      <c r="BI118">
        <f t="shared" si="117"/>
        <v>1.0642736289537718E-2</v>
      </c>
      <c r="BJ118">
        <f t="shared" si="109"/>
        <v>53.413232753117427</v>
      </c>
      <c r="BL118" s="28"/>
    </row>
    <row r="119" spans="5:64" x14ac:dyDescent="0.2">
      <c r="E119" s="11"/>
      <c r="F119" t="s">
        <v>165</v>
      </c>
      <c r="H119">
        <v>60</v>
      </c>
      <c r="I119">
        <v>0</v>
      </c>
      <c r="J119">
        <v>0</v>
      </c>
      <c r="L119">
        <f t="shared" si="94"/>
        <v>91.25</v>
      </c>
      <c r="N119">
        <v>0</v>
      </c>
      <c r="P119">
        <v>0.09</v>
      </c>
      <c r="R119">
        <v>0.55000000000000004</v>
      </c>
      <c r="T119">
        <v>70</v>
      </c>
      <c r="U119">
        <f t="shared" si="110"/>
        <v>2.6000000000000467E-3</v>
      </c>
      <c r="V119">
        <f>V101</f>
        <v>0.99739999999999995</v>
      </c>
      <c r="W119">
        <f>W101</f>
        <v>0.74</v>
      </c>
      <c r="X119">
        <f t="shared" si="95"/>
        <v>4.7000000000000002E-3</v>
      </c>
      <c r="Y119">
        <f t="shared" si="96"/>
        <v>0</v>
      </c>
      <c r="Z119">
        <v>0</v>
      </c>
      <c r="AA119">
        <f t="shared" si="111"/>
        <v>0</v>
      </c>
      <c r="AB119">
        <f t="shared" si="118"/>
        <v>1.3</v>
      </c>
      <c r="AC119">
        <f t="shared" si="97"/>
        <v>1</v>
      </c>
      <c r="AD119">
        <f t="shared" si="98"/>
        <v>0.43585000000000007</v>
      </c>
      <c r="AF119">
        <v>0.7</v>
      </c>
      <c r="AG119">
        <f t="shared" si="112"/>
        <v>0.62468890114860043</v>
      </c>
      <c r="AH119">
        <f t="shared" si="99"/>
        <v>1.2614122912776211</v>
      </c>
      <c r="AI119">
        <f t="shared" si="113"/>
        <v>0.78799025813355539</v>
      </c>
      <c r="AJ119">
        <f t="shared" si="100"/>
        <v>7.0919123232019987E-2</v>
      </c>
      <c r="AK119">
        <f t="shared" si="101"/>
        <v>0.08</v>
      </c>
      <c r="AL119">
        <f t="shared" si="102"/>
        <v>0.34907814107370461</v>
      </c>
      <c r="AM119">
        <f t="shared" si="103"/>
        <v>0.19</v>
      </c>
      <c r="AN119">
        <f t="shared" si="104"/>
        <v>0.6784</v>
      </c>
      <c r="AO119">
        <f t="shared" si="105"/>
        <v>8.656994916221446E-5</v>
      </c>
      <c r="AP119">
        <f t="shared" si="106"/>
        <v>2.1092561137403245E-4</v>
      </c>
      <c r="AQ119">
        <f t="shared" si="114"/>
        <v>2.9749556053624692E-4</v>
      </c>
      <c r="AR119">
        <f t="shared" si="107"/>
        <v>1.6287881939359519</v>
      </c>
      <c r="BA119">
        <f>BA117</f>
        <v>15</v>
      </c>
      <c r="BC119">
        <f t="shared" si="115"/>
        <v>0</v>
      </c>
      <c r="BD119">
        <f>BD117</f>
        <v>3.4931506849315071E-2</v>
      </c>
      <c r="BE119">
        <f t="shared" si="108"/>
        <v>0</v>
      </c>
      <c r="BF119">
        <v>84</v>
      </c>
      <c r="BG119">
        <f t="shared" si="116"/>
        <v>0.83333333333333337</v>
      </c>
      <c r="BH119">
        <f t="shared" si="121"/>
        <v>4.6947945205479454E-3</v>
      </c>
      <c r="BI119">
        <f t="shared" si="117"/>
        <v>6.6522651965752518E-3</v>
      </c>
      <c r="BJ119">
        <f t="shared" si="109"/>
        <v>36.421151951249506</v>
      </c>
      <c r="BL119" s="28"/>
    </row>
    <row r="120" spans="5:64" x14ac:dyDescent="0.2">
      <c r="E120" s="12"/>
      <c r="F120" t="s">
        <v>166</v>
      </c>
      <c r="H120">
        <v>65</v>
      </c>
      <c r="I120">
        <v>0</v>
      </c>
      <c r="J120">
        <v>0</v>
      </c>
      <c r="L120">
        <f t="shared" si="94"/>
        <v>91.25</v>
      </c>
      <c r="N120">
        <v>0</v>
      </c>
      <c r="P120">
        <v>0.2</v>
      </c>
      <c r="R120">
        <v>0.75</v>
      </c>
      <c r="T120">
        <v>70</v>
      </c>
      <c r="U120">
        <f t="shared" si="110"/>
        <v>2.6000000000000467E-3</v>
      </c>
      <c r="V120">
        <f>V101</f>
        <v>0.99739999999999995</v>
      </c>
      <c r="W120">
        <f>W101</f>
        <v>0.74</v>
      </c>
      <c r="X120">
        <f t="shared" si="95"/>
        <v>4.7000000000000002E-3</v>
      </c>
      <c r="Y120">
        <f t="shared" si="96"/>
        <v>0</v>
      </c>
      <c r="Z120">
        <v>0</v>
      </c>
      <c r="AA120">
        <f t="shared" si="111"/>
        <v>0</v>
      </c>
      <c r="AB120">
        <f t="shared" si="118"/>
        <v>1.3</v>
      </c>
      <c r="AC120">
        <f t="shared" si="97"/>
        <v>1</v>
      </c>
      <c r="AD120">
        <f t="shared" si="98"/>
        <v>0.5948500000000001</v>
      </c>
      <c r="AF120">
        <v>0.9</v>
      </c>
      <c r="AG120">
        <f t="shared" si="112"/>
        <v>0.80210130091638532</v>
      </c>
      <c r="AH120">
        <f t="shared" si="99"/>
        <v>1.6642845245495062</v>
      </c>
      <c r="AI120">
        <f t="shared" si="113"/>
        <v>1.3349247822361667</v>
      </c>
      <c r="AJ120">
        <f t="shared" si="100"/>
        <v>0.26698495644723336</v>
      </c>
      <c r="AK120">
        <f t="shared" si="101"/>
        <v>0.08</v>
      </c>
      <c r="AL120">
        <f t="shared" si="102"/>
        <v>0.37261118952591898</v>
      </c>
      <c r="AM120">
        <f t="shared" si="103"/>
        <v>0.19</v>
      </c>
      <c r="AN120">
        <f t="shared" si="104"/>
        <v>0.6784</v>
      </c>
      <c r="AO120">
        <f t="shared" si="105"/>
        <v>9.2406048786997279E-5</v>
      </c>
      <c r="AP120">
        <f t="shared" si="106"/>
        <v>2.2514512857728809E-4</v>
      </c>
      <c r="AQ120">
        <f t="shared" si="114"/>
        <v>3.1755117736428538E-4</v>
      </c>
      <c r="AR120">
        <f t="shared" si="107"/>
        <v>1.8834754207419178</v>
      </c>
      <c r="BA120">
        <f>BA117</f>
        <v>15</v>
      </c>
      <c r="BC120">
        <f t="shared" si="115"/>
        <v>0</v>
      </c>
      <c r="BD120">
        <f>BD117</f>
        <v>3.4931506849315071E-2</v>
      </c>
      <c r="BE120">
        <f t="shared" si="108"/>
        <v>0</v>
      </c>
      <c r="BF120">
        <v>84</v>
      </c>
      <c r="BG120">
        <f t="shared" si="116"/>
        <v>0.83333333333333337</v>
      </c>
      <c r="BH120">
        <f t="shared" si="121"/>
        <v>4.6947945205479454E-3</v>
      </c>
      <c r="BI120">
        <f t="shared" si="117"/>
        <v>3.8022798511009391E-2</v>
      </c>
      <c r="BJ120">
        <f t="shared" si="109"/>
        <v>225.52272366842448</v>
      </c>
      <c r="BL120" s="28"/>
    </row>
    <row r="121" spans="5:64" x14ac:dyDescent="0.2">
      <c r="E121" s="11" t="s">
        <v>167</v>
      </c>
      <c r="F121" t="s">
        <v>163</v>
      </c>
      <c r="H121">
        <v>50</v>
      </c>
      <c r="I121">
        <v>0</v>
      </c>
      <c r="J121">
        <v>0</v>
      </c>
      <c r="L121">
        <f t="shared" si="94"/>
        <v>91.25</v>
      </c>
      <c r="N121">
        <v>0.11</v>
      </c>
      <c r="P121">
        <v>0.16</v>
      </c>
      <c r="R121">
        <v>0.7</v>
      </c>
      <c r="T121">
        <v>70</v>
      </c>
      <c r="U121">
        <f t="shared" si="110"/>
        <v>2.6000000000000467E-3</v>
      </c>
      <c r="V121">
        <f>V101</f>
        <v>0.99739999999999995</v>
      </c>
      <c r="W121">
        <f>W101</f>
        <v>0.74</v>
      </c>
      <c r="X121">
        <f t="shared" si="95"/>
        <v>4.7000000000000002E-3</v>
      </c>
      <c r="Y121">
        <f t="shared" si="96"/>
        <v>0</v>
      </c>
      <c r="Z121">
        <v>0</v>
      </c>
      <c r="AA121">
        <f t="shared" si="111"/>
        <v>0</v>
      </c>
      <c r="AB121">
        <f t="shared" si="118"/>
        <v>1.3</v>
      </c>
      <c r="AC121">
        <f t="shared" si="97"/>
        <v>1</v>
      </c>
      <c r="AD121">
        <f t="shared" si="98"/>
        <v>0.55510000000000004</v>
      </c>
      <c r="AF121">
        <v>4</v>
      </c>
      <c r="AG121">
        <f t="shared" si="112"/>
        <v>0.99999999999998734</v>
      </c>
      <c r="AH121">
        <f t="shared" si="99"/>
        <v>1.5635664662315347</v>
      </c>
      <c r="AI121">
        <f t="shared" si="113"/>
        <v>1.563566466231515</v>
      </c>
      <c r="AJ121">
        <f t="shared" si="100"/>
        <v>0.25017063459704242</v>
      </c>
      <c r="AK121">
        <f t="shared" si="101"/>
        <v>0.08</v>
      </c>
      <c r="AL121">
        <f t="shared" si="102"/>
        <v>0.52151078015101071</v>
      </c>
      <c r="AM121">
        <f t="shared" si="103"/>
        <v>0.19</v>
      </c>
      <c r="AN121">
        <f t="shared" si="104"/>
        <v>0.6784</v>
      </c>
      <c r="AO121">
        <f t="shared" si="105"/>
        <v>1.2933253736929746E-4</v>
      </c>
      <c r="AP121">
        <f t="shared" si="106"/>
        <v>3.151156351502258E-4</v>
      </c>
      <c r="AQ121">
        <f t="shared" si="114"/>
        <v>4.4444817251952326E-4</v>
      </c>
      <c r="AR121">
        <f t="shared" si="107"/>
        <v>2.027794787120325</v>
      </c>
      <c r="BA121">
        <v>18</v>
      </c>
      <c r="BB121">
        <v>0.8</v>
      </c>
      <c r="BC121">
        <f t="shared" si="115"/>
        <v>0</v>
      </c>
      <c r="BD121">
        <f t="shared" ref="BD121" si="125">(BA121 * BB121) / 365</f>
        <v>3.9452054794520547E-2</v>
      </c>
      <c r="BE121">
        <f t="shared" si="108"/>
        <v>0.1012</v>
      </c>
      <c r="BF121">
        <v>72</v>
      </c>
      <c r="BG121">
        <f t="shared" si="116"/>
        <v>0.97222222222222221</v>
      </c>
      <c r="BH121">
        <f t="shared" si="121"/>
        <v>6.5390172977718266E-3</v>
      </c>
      <c r="BI121">
        <f t="shared" si="117"/>
        <v>3.3488284237754955E-2</v>
      </c>
      <c r="BJ121">
        <f t="shared" si="109"/>
        <v>152.79029683475696</v>
      </c>
      <c r="BL121" s="28"/>
    </row>
    <row r="122" spans="5:64" x14ac:dyDescent="0.2">
      <c r="E122" s="12"/>
      <c r="F122" t="s">
        <v>164</v>
      </c>
      <c r="H122">
        <v>100</v>
      </c>
      <c r="I122">
        <v>0</v>
      </c>
      <c r="J122">
        <v>0</v>
      </c>
      <c r="L122">
        <f t="shared" si="94"/>
        <v>91.25</v>
      </c>
      <c r="N122">
        <v>-0.1</v>
      </c>
      <c r="P122">
        <v>7.0000000000000007E-2</v>
      </c>
      <c r="R122">
        <v>0.55000000000000004</v>
      </c>
      <c r="T122">
        <v>65</v>
      </c>
      <c r="U122">
        <f t="shared" si="110"/>
        <v>2.6000000000000467E-3</v>
      </c>
      <c r="V122">
        <f>V101</f>
        <v>0.99739999999999995</v>
      </c>
      <c r="W122">
        <f>W101</f>
        <v>0.74</v>
      </c>
      <c r="X122">
        <f t="shared" si="95"/>
        <v>4.7000000000000002E-3</v>
      </c>
      <c r="Y122">
        <f t="shared" si="96"/>
        <v>0</v>
      </c>
      <c r="Z122">
        <v>0</v>
      </c>
      <c r="AA122">
        <f t="shared" si="111"/>
        <v>0</v>
      </c>
      <c r="AB122">
        <f t="shared" si="118"/>
        <v>1.3</v>
      </c>
      <c r="AC122">
        <f t="shared" si="97"/>
        <v>1</v>
      </c>
      <c r="AD122">
        <f t="shared" si="98"/>
        <v>0.43585000000000007</v>
      </c>
      <c r="AF122">
        <v>2.5</v>
      </c>
      <c r="AG122">
        <f t="shared" si="112"/>
        <v>0.99999627334682795</v>
      </c>
      <c r="AH122">
        <f t="shared" si="99"/>
        <v>1.1580752413958724</v>
      </c>
      <c r="AI122">
        <f t="shared" si="113"/>
        <v>1.1580709256511006</v>
      </c>
      <c r="AJ122">
        <f t="shared" si="100"/>
        <v>8.1064964795577052E-2</v>
      </c>
      <c r="AK122">
        <f t="shared" si="101"/>
        <v>0.08</v>
      </c>
      <c r="AL122">
        <f t="shared" si="102"/>
        <v>0.52879488351280868</v>
      </c>
      <c r="AM122">
        <f t="shared" si="103"/>
        <v>0.19</v>
      </c>
      <c r="AN122">
        <f t="shared" si="104"/>
        <v>0.6784</v>
      </c>
      <c r="AO122">
        <f t="shared" si="105"/>
        <v>1.3113896516733602E-4</v>
      </c>
      <c r="AP122">
        <f t="shared" si="106"/>
        <v>3.1951695329112447E-4</v>
      </c>
      <c r="AQ122">
        <f t="shared" si="114"/>
        <v>4.5065591845846049E-4</v>
      </c>
      <c r="AR122">
        <f t="shared" si="107"/>
        <v>4.1122352559334523</v>
      </c>
      <c r="BA122">
        <f>BA121</f>
        <v>18</v>
      </c>
      <c r="BC122">
        <f t="shared" si="115"/>
        <v>0</v>
      </c>
      <c r="BD122">
        <f>BD121</f>
        <v>3.9452054794520547E-2</v>
      </c>
      <c r="BE122">
        <f t="shared" si="108"/>
        <v>-9.2000000000000012E-2</v>
      </c>
      <c r="BF122">
        <v>72</v>
      </c>
      <c r="BG122">
        <f t="shared" si="116"/>
        <v>0.90277777777777779</v>
      </c>
      <c r="BH122">
        <f t="shared" si="121"/>
        <v>4.1410150159114749E-3</v>
      </c>
      <c r="BI122">
        <f t="shared" si="117"/>
        <v>8.8293793513808533E-3</v>
      </c>
      <c r="BJ122">
        <f t="shared" si="109"/>
        <v>80.568086581350286</v>
      </c>
      <c r="BL122" s="28"/>
    </row>
    <row r="123" spans="5:64" x14ac:dyDescent="0.2">
      <c r="E123" s="11"/>
      <c r="F123" t="s">
        <v>165</v>
      </c>
      <c r="H123">
        <v>90</v>
      </c>
      <c r="I123">
        <v>0</v>
      </c>
      <c r="J123">
        <v>0</v>
      </c>
      <c r="L123">
        <f t="shared" si="94"/>
        <v>91.25</v>
      </c>
      <c r="N123">
        <v>-0.1</v>
      </c>
      <c r="P123">
        <v>0.09</v>
      </c>
      <c r="R123">
        <v>0.55000000000000004</v>
      </c>
      <c r="T123">
        <v>60</v>
      </c>
      <c r="U123">
        <f t="shared" si="110"/>
        <v>2.6000000000000467E-3</v>
      </c>
      <c r="V123">
        <f>V101</f>
        <v>0.99739999999999995</v>
      </c>
      <c r="W123">
        <f>W101</f>
        <v>0.74</v>
      </c>
      <c r="X123">
        <f t="shared" si="95"/>
        <v>4.7000000000000002E-3</v>
      </c>
      <c r="Y123">
        <f t="shared" si="96"/>
        <v>0</v>
      </c>
      <c r="Z123">
        <v>0</v>
      </c>
      <c r="AA123">
        <f t="shared" si="111"/>
        <v>0</v>
      </c>
      <c r="AB123">
        <f t="shared" si="118"/>
        <v>1.3</v>
      </c>
      <c r="AC123">
        <f t="shared" si="97"/>
        <v>1</v>
      </c>
      <c r="AD123">
        <f t="shared" si="98"/>
        <v>0.43585000000000007</v>
      </c>
      <c r="AF123">
        <v>0.7</v>
      </c>
      <c r="AG123">
        <f t="shared" si="112"/>
        <v>0.62468890114860043</v>
      </c>
      <c r="AH123">
        <f t="shared" si="99"/>
        <v>1.0575073475796353</v>
      </c>
      <c r="AI123">
        <f t="shared" si="113"/>
        <v>0.66061310291609343</v>
      </c>
      <c r="AJ123">
        <f t="shared" si="100"/>
        <v>5.9455179262448407E-2</v>
      </c>
      <c r="AK123">
        <f t="shared" si="101"/>
        <v>0.08</v>
      </c>
      <c r="AL123">
        <f t="shared" si="102"/>
        <v>0.28955370052745766</v>
      </c>
      <c r="AM123">
        <f t="shared" si="103"/>
        <v>0.19</v>
      </c>
      <c r="AN123">
        <f t="shared" si="104"/>
        <v>0.6784</v>
      </c>
      <c r="AO123">
        <f t="shared" si="105"/>
        <v>7.1808131718853423E-5</v>
      </c>
      <c r="AP123">
        <f t="shared" si="106"/>
        <v>1.7495879610654924E-4</v>
      </c>
      <c r="AQ123">
        <f t="shared" si="114"/>
        <v>2.4676692782540265E-4</v>
      </c>
      <c r="AR123">
        <f t="shared" si="107"/>
        <v>2.0265733947661193</v>
      </c>
      <c r="BA123">
        <f>BA121</f>
        <v>18</v>
      </c>
      <c r="BC123">
        <f t="shared" si="115"/>
        <v>0</v>
      </c>
      <c r="BD123">
        <f>BD121</f>
        <v>3.9452054794520547E-2</v>
      </c>
      <c r="BE123">
        <f t="shared" si="108"/>
        <v>-9.2000000000000012E-2</v>
      </c>
      <c r="BF123">
        <v>72</v>
      </c>
      <c r="BG123">
        <f t="shared" si="116"/>
        <v>0.83333333333333337</v>
      </c>
      <c r="BH123">
        <f t="shared" si="121"/>
        <v>4.092176787420224E-3</v>
      </c>
      <c r="BI123">
        <f t="shared" si="117"/>
        <v>5.4206518945715213E-3</v>
      </c>
      <c r="BJ123">
        <f t="shared" si="109"/>
        <v>44.517103684168625</v>
      </c>
      <c r="BL123" s="28"/>
    </row>
    <row r="124" spans="5:64" x14ac:dyDescent="0.2">
      <c r="E124" s="12"/>
      <c r="F124" t="s">
        <v>166</v>
      </c>
      <c r="H124">
        <v>80</v>
      </c>
      <c r="I124">
        <v>0</v>
      </c>
      <c r="J124">
        <v>0</v>
      </c>
      <c r="L124">
        <f t="shared" si="94"/>
        <v>91.25</v>
      </c>
      <c r="N124">
        <v>0</v>
      </c>
      <c r="P124">
        <v>0.2</v>
      </c>
      <c r="R124">
        <v>0.75</v>
      </c>
      <c r="T124">
        <v>60</v>
      </c>
      <c r="U124">
        <f t="shared" si="110"/>
        <v>2.6000000000000467E-3</v>
      </c>
      <c r="V124">
        <f>V101</f>
        <v>0.99739999999999995</v>
      </c>
      <c r="W124">
        <f>W101</f>
        <v>0.74</v>
      </c>
      <c r="X124">
        <f t="shared" si="95"/>
        <v>4.7000000000000002E-3</v>
      </c>
      <c r="Y124">
        <f t="shared" si="96"/>
        <v>0</v>
      </c>
      <c r="Z124">
        <v>0</v>
      </c>
      <c r="AA124">
        <f t="shared" si="111"/>
        <v>0</v>
      </c>
      <c r="AB124">
        <f t="shared" si="118"/>
        <v>1.3</v>
      </c>
      <c r="AC124">
        <f t="shared" si="97"/>
        <v>1</v>
      </c>
      <c r="AD124">
        <f t="shared" si="98"/>
        <v>0.5948500000000001</v>
      </c>
      <c r="AF124">
        <v>0.9</v>
      </c>
      <c r="AG124">
        <f t="shared" si="112"/>
        <v>0.80210130091638532</v>
      </c>
      <c r="AH124">
        <f t="shared" si="99"/>
        <v>1.4163939481646182</v>
      </c>
      <c r="AI124">
        <f t="shared" si="113"/>
        <v>1.1360914284329355</v>
      </c>
      <c r="AJ124">
        <f t="shared" si="100"/>
        <v>0.22721828568658711</v>
      </c>
      <c r="AK124">
        <f t="shared" si="101"/>
        <v>0.08</v>
      </c>
      <c r="AL124">
        <f t="shared" si="102"/>
        <v>0.30879892594189856</v>
      </c>
      <c r="AM124">
        <f t="shared" si="103"/>
        <v>0.19</v>
      </c>
      <c r="AN124">
        <f t="shared" si="104"/>
        <v>0.6784</v>
      </c>
      <c r="AO124">
        <f t="shared" si="105"/>
        <v>7.6580868793191565E-5</v>
      </c>
      <c r="AP124">
        <f t="shared" si="106"/>
        <v>1.865874558790754E-4</v>
      </c>
      <c r="AQ124">
        <f t="shared" si="114"/>
        <v>2.6316832467226698E-4</v>
      </c>
      <c r="AR124">
        <f t="shared" si="107"/>
        <v>1.921128770107549</v>
      </c>
      <c r="BA124">
        <f>BA121</f>
        <v>18</v>
      </c>
      <c r="BC124">
        <f t="shared" si="115"/>
        <v>0</v>
      </c>
      <c r="BD124">
        <f>BD121</f>
        <v>3.9452054794520547E-2</v>
      </c>
      <c r="BE124">
        <f t="shared" si="108"/>
        <v>0</v>
      </c>
      <c r="BF124">
        <v>72</v>
      </c>
      <c r="BG124">
        <f t="shared" si="116"/>
        <v>0.83333333333333337</v>
      </c>
      <c r="BH124">
        <f t="shared" si="121"/>
        <v>5.3023561643835617E-3</v>
      </c>
      <c r="BI124">
        <f t="shared" si="117"/>
        <v>3.1052569545470372E-2</v>
      </c>
      <c r="BJ124">
        <f t="shared" si="109"/>
        <v>226.68375768193371</v>
      </c>
      <c r="BL124" s="28"/>
    </row>
    <row r="131" spans="1:72" x14ac:dyDescent="0.2">
      <c r="A131" t="s">
        <v>273</v>
      </c>
      <c r="B131" t="s">
        <v>273</v>
      </c>
      <c r="C131" t="s">
        <v>273</v>
      </c>
      <c r="D131" t="s">
        <v>213</v>
      </c>
      <c r="E131" s="11" t="s">
        <v>169</v>
      </c>
      <c r="F131" t="s">
        <v>163</v>
      </c>
      <c r="H131">
        <v>100</v>
      </c>
      <c r="I131">
        <v>95</v>
      </c>
      <c r="J131">
        <v>90</v>
      </c>
      <c r="L131">
        <f t="shared" ref="L131:L154" si="126">$BZ$3</f>
        <v>91.25</v>
      </c>
      <c r="N131" cm="1">
        <f t="array" ref="N131:N154">_xlfn.DROP(_xlfn.XLOOKUP($C131,TableLWG2_1[[#Headers],[ACT/NSW]:[WA]],TableLWG2_1[[#All],[ACT/NSW]:[WA]]),1)</f>
        <v>-0.02</v>
      </c>
      <c r="P131" cm="1">
        <f t="array" ref="P131:P154">_xlfn.DROP(_xlfn.XLOOKUP($C131,QueryCP[[#Headers],[ACT/NSW]:[WA]],QueryCP[[#All],[ACT/NSW]:[WA]]),1)</f>
        <v>0.2</v>
      </c>
      <c r="R131" cm="1">
        <f t="array" ref="R131:R154">_xlfn.DROP(_xlfn.XLOOKUP($C131,QueryDMD[[#Headers],[ACT/NSW]:[WA]],QueryDMD[[#All],[ACT/NSW]:[WA]]),1)</f>
        <v>0.75</v>
      </c>
      <c r="T131" cm="1">
        <f t="array" ref="T131:T154">_xlfn.DROP(_xlfn.XLOOKUP($C131,QueryW[[#Headers],[ACT/NSW]:[WA]],QueryW[[#All],[ACT/NSW]:[WA]]),1)</f>
        <v>50</v>
      </c>
      <c r="U131">
        <f>1-V131</f>
        <v>0</v>
      </c>
      <c r="V131">
        <f>IF($D131="yes", 1, VLOOKUP($B131, $BY$26:$CA$32, 2)/100)</f>
        <v>1</v>
      </c>
      <c r="W131">
        <f>VLOOKUP($B131,$CA$10:$CB$16, 2, FALSE)</f>
        <v>0.69</v>
      </c>
      <c r="X131">
        <f t="shared" ref="X131:X154" si="127">$BZ$10</f>
        <v>4.7000000000000002E-3</v>
      </c>
      <c r="Y131">
        <f t="shared" ref="Y131:Y154" si="128">(I131/100)*(MIN(J131,100)/100)</f>
        <v>0.85499999999999998</v>
      </c>
      <c r="Z131">
        <v>0</v>
      </c>
      <c r="AA131">
        <f>1.6 * Z131</f>
        <v>0</v>
      </c>
      <c r="AB131">
        <f>$CC$1</f>
        <v>1.3</v>
      </c>
      <c r="AC131">
        <f t="shared" ref="AC131:AC154" si="129">Y131*AB131+(1-Y131)</f>
        <v>1.2565</v>
      </c>
      <c r="AD131">
        <f t="shared" ref="AD131:AD154" si="130">(0.795*R131)-0.0014</f>
        <v>0.5948500000000001</v>
      </c>
      <c r="AF131" cm="1">
        <f t="array" ref="AF131:AF154">_xlfn.DROP(_xlfn.XLOOKUP($C131,QueryDMA[[#Headers],[ACT/NSW]:[WA]],QueryDMA[[#All],[ACT/NSW]:[WA]]),1)</f>
        <v>2.5</v>
      </c>
      <c r="AG131">
        <f>1 - EXP(-2*(AF131^2))</f>
        <v>0.99999627334682795</v>
      </c>
      <c r="AH131">
        <f t="shared" ref="AH131:AH154" si="131">(104.7*AD131+0.307*T131-15)*(T131^0.75)*10^-3</f>
        <v>1.1776478069972991</v>
      </c>
      <c r="AI131">
        <f>AH131*AG131*AC131</f>
        <v>1.4797089551094849</v>
      </c>
      <c r="AJ131">
        <f t="shared" ref="AJ131:AJ154" si="132">(AI131 * P131) + (0.045 * AA131)</f>
        <v>0.29594179102189699</v>
      </c>
      <c r="AK131">
        <f t="shared" ref="AK131:AK154" si="133">$BZ$2</f>
        <v>0.08</v>
      </c>
      <c r="AL131">
        <f t="shared" ref="AL131:AL154" si="134">(AI131 * ((1 - R131) + (0.04 * AI131))) * ( 1 - AK131 )</f>
        <v>0.42090807985456985</v>
      </c>
      <c r="AM131">
        <f t="shared" ref="AM131:AM154" si="135">$BZ$1</f>
        <v>0.19</v>
      </c>
      <c r="AN131">
        <f t="shared" ref="AN131:AN154" si="136">$CA$20</f>
        <v>0.6784</v>
      </c>
      <c r="AO131">
        <f t="shared" ref="AO131:AO154" si="137">AL131 * AM131 * U131 * W131 * AN131</f>
        <v>0</v>
      </c>
      <c r="AP131">
        <f t="shared" ref="AP131:AP154" si="138">AL131*AM131*V131*X131*AN131</f>
        <v>2.5499082894639278E-4</v>
      </c>
      <c r="AQ131">
        <f>AO131+AP131</f>
        <v>2.5499082894639278E-4</v>
      </c>
      <c r="AR131">
        <f t="shared" ref="AR131:AR154" si="139">H131*AQ131*L131</f>
        <v>2.3267913141358343</v>
      </c>
      <c r="AS131">
        <f>SUM(AR131:AR154)*10^-3</f>
        <v>5.0334239802221521E-2</v>
      </c>
      <c r="AT131" t="s">
        <v>213</v>
      </c>
      <c r="AU131">
        <f>IF(AT131="yes", 1,0)</f>
        <v>1</v>
      </c>
      <c r="AV131">
        <f>$BZ$4</f>
        <v>0.24</v>
      </c>
      <c r="AW131" t="s">
        <v>328</v>
      </c>
      <c r="AX131" s="28">
        <f>VLOOKUP(AW131,$CD$37:$CF$46,2, FALSE)</f>
        <v>2E-3</v>
      </c>
      <c r="AY131" s="28">
        <f>$BZ$7</f>
        <v>1.57</v>
      </c>
      <c r="AZ131">
        <f>$BZ$5</f>
        <v>0.21</v>
      </c>
      <c r="BA131">
        <v>20</v>
      </c>
      <c r="BB131">
        <v>0.8</v>
      </c>
      <c r="BC131">
        <f>Y131 * 1.6</f>
        <v>1.3680000000000001</v>
      </c>
      <c r="BD131">
        <f>(BA131 * BB131) / 365</f>
        <v>4.3835616438356165E-2</v>
      </c>
      <c r="BE131">
        <f t="shared" ref="BE131:BE154" si="140">N131 * 0.92</f>
        <v>-1.84E-2</v>
      </c>
      <c r="BF131" cm="1">
        <f t="array" ref="BF131:BF154">_xlfn.DROP(_xlfn.XLOOKUP($C131,QuerySRW[[#Headers],[ACT/NSW]:[WA]],QuerySRW[[#All],[ACT/NSW]:[WA]]),1)</f>
        <v>55</v>
      </c>
      <c r="BG131">
        <f>T131 / BF131</f>
        <v>0.90909090909090906</v>
      </c>
      <c r="BH131">
        <f>((0.045 * BC131) + (BD131 * 0.84)  + (BE131 * ((212 - 4 * ((BE131 * 1000)/(4* (BF131^0.75)) - 1)) - ((140 - 4 * (((BE131 * 1000)/(4 * BF131 ^0.75)) - 1))/(1 + EXP(-6 * (BG131 - 0.4)))))) * 10^-3) / 6.25</f>
        <v>1.5509931801075634E-2</v>
      </c>
      <c r="BI131">
        <f>MAX((AJ131  / 6.25 ) - BH131, 0)</f>
        <v>3.1840754762427884E-2</v>
      </c>
      <c r="BJ131">
        <f t="shared" ref="BJ131:BJ154" si="141">H131*BI131*L131</f>
        <v>290.54688720715444</v>
      </c>
      <c r="BK131">
        <f>SUM(BJ131:BJ154)</f>
        <v>4102.7807957329487</v>
      </c>
      <c r="BL131" s="28">
        <f>BK131*$AU$11*$AV$11</f>
        <v>984.66739097590767</v>
      </c>
      <c r="BM131">
        <f>BK131 * AZ131</f>
        <v>861.58396710391924</v>
      </c>
      <c r="BN131" s="13" t="s">
        <v>224</v>
      </c>
      <c r="BO131">
        <f>VLOOKUP(BN131, $BY$37:$BZ$49, 2, FALSE)</f>
        <v>5.8999999999999999E-3</v>
      </c>
      <c r="BP131">
        <f>BM131 * BO131 * AY131 * 10^-3</f>
        <v>7.9808522872836032E-3</v>
      </c>
      <c r="BQ131">
        <f>BK131 * AU131 * AV131</f>
        <v>984.66739097590767</v>
      </c>
      <c r="BR131">
        <f>$BZ$6</f>
        <v>1.0999999999999999E-2</v>
      </c>
      <c r="BS131">
        <f>BK131 * AX131 * AY131 * 10^-3</f>
        <v>1.2882731698601461E-2</v>
      </c>
      <c r="BT131">
        <f>BQ131 * BR131 * AY131 * 10^-3</f>
        <v>1.7005205842153925E-2</v>
      </c>
    </row>
    <row r="132" spans="1:72" x14ac:dyDescent="0.2">
      <c r="E132" s="12"/>
      <c r="F132" t="s">
        <v>164</v>
      </c>
      <c r="H132">
        <v>70</v>
      </c>
      <c r="I132">
        <v>0</v>
      </c>
      <c r="J132">
        <v>0</v>
      </c>
      <c r="L132">
        <f t="shared" si="126"/>
        <v>91.25</v>
      </c>
      <c r="N132">
        <v>0</v>
      </c>
      <c r="P132">
        <v>7.0000000000000007E-2</v>
      </c>
      <c r="R132">
        <v>0.55000000000000004</v>
      </c>
      <c r="T132">
        <v>50</v>
      </c>
      <c r="U132">
        <f t="shared" ref="U132:U154" si="142">1-V132</f>
        <v>0</v>
      </c>
      <c r="V132">
        <f>V131</f>
        <v>1</v>
      </c>
      <c r="W132">
        <f>W131</f>
        <v>0.69</v>
      </c>
      <c r="X132">
        <f t="shared" si="127"/>
        <v>4.7000000000000002E-3</v>
      </c>
      <c r="Y132">
        <f t="shared" si="128"/>
        <v>0</v>
      </c>
      <c r="Z132">
        <v>0</v>
      </c>
      <c r="AA132">
        <f t="shared" ref="AA132:AA154" si="143">1.6 * Z132</f>
        <v>0</v>
      </c>
      <c r="AB132">
        <f>$AB$11</f>
        <v>1.3</v>
      </c>
      <c r="AC132">
        <f t="shared" si="129"/>
        <v>1</v>
      </c>
      <c r="AD132">
        <f t="shared" si="130"/>
        <v>0.43585000000000007</v>
      </c>
      <c r="AF132">
        <v>2.5</v>
      </c>
      <c r="AG132">
        <f t="shared" ref="AG132:AG154" si="144">1 - EXP(-2*(AF132^2))</f>
        <v>0.99999627334682795</v>
      </c>
      <c r="AH132">
        <f t="shared" si="131"/>
        <v>0.8646283676396137</v>
      </c>
      <c r="AI132">
        <f t="shared" ref="AI132:AI154" si="145">AH132*AG132*AC132</f>
        <v>0.86462514546956482</v>
      </c>
      <c r="AJ132">
        <f t="shared" si="132"/>
        <v>6.0523760182869542E-2</v>
      </c>
      <c r="AK132">
        <f t="shared" si="133"/>
        <v>0.08</v>
      </c>
      <c r="AL132">
        <f t="shared" si="134"/>
        <v>0.38546563065656003</v>
      </c>
      <c r="AM132">
        <f t="shared" si="135"/>
        <v>0.19</v>
      </c>
      <c r="AN132">
        <f t="shared" si="136"/>
        <v>0.6784</v>
      </c>
      <c r="AO132">
        <f t="shared" si="137"/>
        <v>0</v>
      </c>
      <c r="AP132">
        <f t="shared" si="138"/>
        <v>2.3351939626680747E-4</v>
      </c>
      <c r="AQ132">
        <f t="shared" ref="AQ132:AQ154" si="146">AO132+AP132</f>
        <v>2.3351939626680747E-4</v>
      </c>
      <c r="AR132">
        <f t="shared" si="139"/>
        <v>1.4916051436542326</v>
      </c>
      <c r="BA132">
        <f>BA131</f>
        <v>20</v>
      </c>
      <c r="BC132">
        <f t="shared" ref="BC132:BC154" si="147">Y132 * 1.6</f>
        <v>0</v>
      </c>
      <c r="BD132">
        <f>BD131</f>
        <v>4.3835616438356165E-2</v>
      </c>
      <c r="BE132">
        <f t="shared" si="140"/>
        <v>0</v>
      </c>
      <c r="BF132">
        <v>55</v>
      </c>
      <c r="BG132">
        <f t="shared" ref="BG132:BG154" si="148">T132 / BF132</f>
        <v>0.90909090909090906</v>
      </c>
      <c r="BH132">
        <f>((0.045 * BC132) + (BD$11 * 0.84)  + (BE132 * ((212 - 4 * ((BE132 * 1000)/(4* (BF132^0.75)) - 1)) - ((140 - 4 * (((BE132 * 1000)/(4 * BF132 ^0.75)) - 1))/(1 + EXP(-6 * (BG132 - 0.4)))))) * 10^-3) / 6.25</f>
        <v>5.8915068493150683E-3</v>
      </c>
      <c r="BI132">
        <f t="shared" ref="BI132:BI154" si="149">MAX((AJ132  / 6.25 ) - BH132, 0)</f>
        <v>3.792294779944058E-3</v>
      </c>
      <c r="BJ132">
        <f t="shared" si="141"/>
        <v>24.22328290689267</v>
      </c>
      <c r="BL132" s="28"/>
    </row>
    <row r="133" spans="1:72" x14ac:dyDescent="0.2">
      <c r="E133" s="11"/>
      <c r="F133" t="s">
        <v>165</v>
      </c>
      <c r="H133">
        <v>65</v>
      </c>
      <c r="I133">
        <v>0</v>
      </c>
      <c r="J133">
        <v>0</v>
      </c>
      <c r="L133">
        <f t="shared" si="126"/>
        <v>91.25</v>
      </c>
      <c r="N133">
        <v>0</v>
      </c>
      <c r="P133">
        <v>0.14000000000000001</v>
      </c>
      <c r="R133">
        <v>0.67</v>
      </c>
      <c r="T133">
        <v>50</v>
      </c>
      <c r="U133">
        <f t="shared" si="142"/>
        <v>0</v>
      </c>
      <c r="V133">
        <f>V131</f>
        <v>1</v>
      </c>
      <c r="W133">
        <f>W131</f>
        <v>0.69</v>
      </c>
      <c r="X133">
        <f t="shared" si="127"/>
        <v>4.7000000000000002E-3</v>
      </c>
      <c r="Y133">
        <f t="shared" si="128"/>
        <v>0</v>
      </c>
      <c r="Z133">
        <v>0</v>
      </c>
      <c r="AA133">
        <f t="shared" si="143"/>
        <v>0</v>
      </c>
      <c r="AB133">
        <f t="shared" ref="AB133:AB154" si="150">$AB$11</f>
        <v>1.3</v>
      </c>
      <c r="AC133">
        <f t="shared" si="129"/>
        <v>1</v>
      </c>
      <c r="AD133">
        <f t="shared" si="130"/>
        <v>0.53125000000000011</v>
      </c>
      <c r="AF133">
        <v>1.3</v>
      </c>
      <c r="AG133">
        <f t="shared" si="144"/>
        <v>0.96595254526540064</v>
      </c>
      <c r="AH133">
        <f t="shared" si="131"/>
        <v>1.052440031254225</v>
      </c>
      <c r="AI133">
        <f t="shared" si="145"/>
        <v>1.0166071269292165</v>
      </c>
      <c r="AJ133">
        <f t="shared" si="132"/>
        <v>0.14232499777009033</v>
      </c>
      <c r="AK133">
        <f t="shared" si="133"/>
        <v>0.08</v>
      </c>
      <c r="AL133">
        <f t="shared" si="134"/>
        <v>0.34667435759496673</v>
      </c>
      <c r="AM133">
        <f t="shared" si="135"/>
        <v>0.19</v>
      </c>
      <c r="AN133">
        <f t="shared" si="136"/>
        <v>0.6784</v>
      </c>
      <c r="AO133">
        <f t="shared" si="137"/>
        <v>0</v>
      </c>
      <c r="AP133">
        <f t="shared" si="138"/>
        <v>2.1001920858383592E-4</v>
      </c>
      <c r="AQ133">
        <f t="shared" si="146"/>
        <v>2.1001920858383592E-4</v>
      </c>
      <c r="AR133">
        <f t="shared" si="139"/>
        <v>1.2456764309128769</v>
      </c>
      <c r="BA133">
        <f>BA131</f>
        <v>20</v>
      </c>
      <c r="BC133">
        <f t="shared" si="147"/>
        <v>0</v>
      </c>
      <c r="BD133">
        <f>BD131</f>
        <v>4.3835616438356165E-2</v>
      </c>
      <c r="BE133">
        <f t="shared" si="140"/>
        <v>0</v>
      </c>
      <c r="BF133">
        <v>55</v>
      </c>
      <c r="BG133">
        <f t="shared" si="148"/>
        <v>0.90909090909090906</v>
      </c>
      <c r="BH133">
        <f t="shared" ref="BH133:BH134" si="151">((0.045 * BC133) + (BD$11 * 0.84)  + (BE133 * ((212 - 4 * ((BE133 * 1000)/(4* (BF133^0.75)) - 1)) - ((140 - 4 * (((BE133 * 1000)/(4 * BF133 ^0.75)) - 1))/(1 + EXP(-6 * (BG133 - 0.4)))))) * 10^-3) / 6.25</f>
        <v>5.8915068493150683E-3</v>
      </c>
      <c r="BI133">
        <f t="shared" si="149"/>
        <v>1.6880492793899388E-2</v>
      </c>
      <c r="BJ133">
        <f t="shared" si="141"/>
        <v>100.12242288381574</v>
      </c>
      <c r="BL133" s="28"/>
    </row>
    <row r="134" spans="1:72" x14ac:dyDescent="0.2">
      <c r="E134" s="12"/>
      <c r="F134" t="s">
        <v>166</v>
      </c>
      <c r="H134">
        <v>80</v>
      </c>
      <c r="I134">
        <v>0</v>
      </c>
      <c r="J134">
        <v>0</v>
      </c>
      <c r="L134">
        <f t="shared" si="126"/>
        <v>91.25</v>
      </c>
      <c r="N134">
        <v>0.02</v>
      </c>
      <c r="P134">
        <v>0.16</v>
      </c>
      <c r="R134">
        <v>0.7</v>
      </c>
      <c r="T134">
        <v>55</v>
      </c>
      <c r="U134">
        <f t="shared" si="142"/>
        <v>0</v>
      </c>
      <c r="V134">
        <f>V131</f>
        <v>1</v>
      </c>
      <c r="W134">
        <f>W131</f>
        <v>0.69</v>
      </c>
      <c r="X134">
        <f t="shared" si="127"/>
        <v>4.7000000000000002E-3</v>
      </c>
      <c r="Y134">
        <f t="shared" si="128"/>
        <v>0</v>
      </c>
      <c r="Z134">
        <v>0</v>
      </c>
      <c r="AA134">
        <f t="shared" si="143"/>
        <v>0</v>
      </c>
      <c r="AB134">
        <f t="shared" si="150"/>
        <v>1.3</v>
      </c>
      <c r="AC134">
        <f t="shared" si="129"/>
        <v>1</v>
      </c>
      <c r="AD134">
        <f t="shared" si="130"/>
        <v>0.55510000000000004</v>
      </c>
      <c r="AF134">
        <v>0.8</v>
      </c>
      <c r="AG134">
        <f t="shared" si="144"/>
        <v>0.72196269954680592</v>
      </c>
      <c r="AH134">
        <f t="shared" si="131"/>
        <v>1.2118587484135388</v>
      </c>
      <c r="AI134">
        <f t="shared" si="145"/>
        <v>0.87491681347405192</v>
      </c>
      <c r="AJ134">
        <f t="shared" si="132"/>
        <v>0.1399866901558483</v>
      </c>
      <c r="AK134">
        <f t="shared" si="133"/>
        <v>0.08</v>
      </c>
      <c r="AL134">
        <f t="shared" si="134"/>
        <v>0.26964668356122329</v>
      </c>
      <c r="AM134">
        <f t="shared" si="135"/>
        <v>0.19</v>
      </c>
      <c r="AN134">
        <f t="shared" si="136"/>
        <v>0.6784</v>
      </c>
      <c r="AO134">
        <f t="shared" si="137"/>
        <v>0</v>
      </c>
      <c r="AP134">
        <f t="shared" si="138"/>
        <v>1.6335498094424496E-4</v>
      </c>
      <c r="AQ134">
        <f t="shared" si="146"/>
        <v>1.6335498094424496E-4</v>
      </c>
      <c r="AR134">
        <f t="shared" si="139"/>
        <v>1.1924913608929884</v>
      </c>
      <c r="BA134">
        <f>BA131</f>
        <v>20</v>
      </c>
      <c r="BC134">
        <f t="shared" si="147"/>
        <v>0</v>
      </c>
      <c r="BD134">
        <f>BD131</f>
        <v>4.3835616438356165E-2</v>
      </c>
      <c r="BE134">
        <f t="shared" si="140"/>
        <v>1.84E-2</v>
      </c>
      <c r="BF134">
        <v>55</v>
      </c>
      <c r="BG134">
        <f t="shared" si="148"/>
        <v>1</v>
      </c>
      <c r="BH134">
        <f t="shared" si="151"/>
        <v>6.1146789351675165E-3</v>
      </c>
      <c r="BI134">
        <f t="shared" si="149"/>
        <v>1.6283191489768215E-2</v>
      </c>
      <c r="BJ134">
        <f t="shared" si="141"/>
        <v>118.86729787530797</v>
      </c>
      <c r="BL134" s="28"/>
    </row>
    <row r="135" spans="1:72" x14ac:dyDescent="0.2">
      <c r="E135" s="11" t="s">
        <v>171</v>
      </c>
      <c r="F135" t="s">
        <v>163</v>
      </c>
      <c r="H135">
        <v>200</v>
      </c>
      <c r="I135">
        <v>0</v>
      </c>
      <c r="J135">
        <v>0</v>
      </c>
      <c r="L135">
        <f t="shared" si="126"/>
        <v>91.25</v>
      </c>
      <c r="N135">
        <v>0.15</v>
      </c>
      <c r="P135">
        <v>0.2</v>
      </c>
      <c r="R135">
        <v>0.75</v>
      </c>
      <c r="T135">
        <v>14</v>
      </c>
      <c r="U135">
        <f t="shared" si="142"/>
        <v>0</v>
      </c>
      <c r="V135">
        <f>V131</f>
        <v>1</v>
      </c>
      <c r="W135">
        <f>W131</f>
        <v>0.69</v>
      </c>
      <c r="X135">
        <f t="shared" si="127"/>
        <v>4.7000000000000002E-3</v>
      </c>
      <c r="Y135">
        <f t="shared" si="128"/>
        <v>0</v>
      </c>
      <c r="Z135">
        <v>1</v>
      </c>
      <c r="AA135">
        <f t="shared" si="143"/>
        <v>1.6</v>
      </c>
      <c r="AB135">
        <f t="shared" si="150"/>
        <v>1.3</v>
      </c>
      <c r="AC135">
        <f t="shared" si="129"/>
        <v>1</v>
      </c>
      <c r="AD135">
        <f t="shared" si="130"/>
        <v>0.5948500000000001</v>
      </c>
      <c r="AF135">
        <v>2.5</v>
      </c>
      <c r="AG135">
        <f t="shared" si="144"/>
        <v>0.99999627334682795</v>
      </c>
      <c r="AH135">
        <f t="shared" si="131"/>
        <v>0.3733079325984448</v>
      </c>
      <c r="AI135">
        <f t="shared" si="145"/>
        <v>0.37330654140925362</v>
      </c>
      <c r="AJ135">
        <f t="shared" si="132"/>
        <v>0.14666130828185073</v>
      </c>
      <c r="AK135">
        <f t="shared" si="133"/>
        <v>0.08</v>
      </c>
      <c r="AL135">
        <f t="shared" si="134"/>
        <v>9.0988870602137284E-2</v>
      </c>
      <c r="AM135">
        <f t="shared" si="135"/>
        <v>0.19</v>
      </c>
      <c r="AN135">
        <f t="shared" si="136"/>
        <v>0.6784</v>
      </c>
      <c r="AO135">
        <f t="shared" si="137"/>
        <v>0</v>
      </c>
      <c r="AP135">
        <f t="shared" si="138"/>
        <v>5.5122076886125516E-5</v>
      </c>
      <c r="AQ135">
        <f t="shared" si="146"/>
        <v>5.5122076886125516E-5</v>
      </c>
      <c r="AR135">
        <f t="shared" si="139"/>
        <v>1.0059779031717906</v>
      </c>
      <c r="BA135">
        <v>15</v>
      </c>
      <c r="BB135">
        <v>0.85</v>
      </c>
      <c r="BC135">
        <f t="shared" si="147"/>
        <v>0</v>
      </c>
      <c r="BD135">
        <f t="shared" ref="BD135" si="152">(BA135 * BB135) / 365</f>
        <v>3.4931506849315071E-2</v>
      </c>
      <c r="BE135">
        <f t="shared" si="140"/>
        <v>0.13800000000000001</v>
      </c>
      <c r="BF135">
        <v>60</v>
      </c>
      <c r="BG135">
        <f t="shared" si="148"/>
        <v>0.23333333333333334</v>
      </c>
      <c r="BH135">
        <f>((0.045 * BC135) + (BD$15 * 0.84)  + (BE135 * ((212 - 4 * ((BE135 * 1000)/(4* (BF135^0.75)) - 1)) - ((140 - 4 * (((BE135 * 1000)/(4 * BF135 ^0.75)) - 1))/(1 + EXP(-6 * (BG135 - 0.4)))))) * 10^-3) / 6.25</f>
        <v>8.5056421608361906E-3</v>
      </c>
      <c r="BI135">
        <f t="shared" si="149"/>
        <v>1.4960167164259927E-2</v>
      </c>
      <c r="BJ135">
        <f t="shared" si="141"/>
        <v>273.0230507477437</v>
      </c>
      <c r="BL135" s="28"/>
    </row>
    <row r="136" spans="1:72" x14ac:dyDescent="0.2">
      <c r="E136" s="12"/>
      <c r="F136" t="s">
        <v>164</v>
      </c>
      <c r="H136">
        <v>210</v>
      </c>
      <c r="I136">
        <v>0</v>
      </c>
      <c r="J136">
        <v>0</v>
      </c>
      <c r="L136">
        <f t="shared" si="126"/>
        <v>91.25</v>
      </c>
      <c r="N136">
        <v>0.11</v>
      </c>
      <c r="P136">
        <v>7.0000000000000007E-2</v>
      </c>
      <c r="R136">
        <v>0.55000000000000004</v>
      </c>
      <c r="T136">
        <v>24</v>
      </c>
      <c r="U136">
        <f t="shared" si="142"/>
        <v>0</v>
      </c>
      <c r="V136">
        <f>V131</f>
        <v>1</v>
      </c>
      <c r="W136">
        <f>W131</f>
        <v>0.69</v>
      </c>
      <c r="X136">
        <f t="shared" si="127"/>
        <v>4.7000000000000002E-3</v>
      </c>
      <c r="Y136">
        <f t="shared" si="128"/>
        <v>0</v>
      </c>
      <c r="Z136">
        <v>0</v>
      </c>
      <c r="AA136">
        <f t="shared" si="143"/>
        <v>0</v>
      </c>
      <c r="AB136">
        <f t="shared" si="150"/>
        <v>1.3</v>
      </c>
      <c r="AC136">
        <f t="shared" si="129"/>
        <v>1</v>
      </c>
      <c r="AD136">
        <f t="shared" si="130"/>
        <v>0.43585000000000007</v>
      </c>
      <c r="AF136">
        <v>2.5</v>
      </c>
      <c r="AG136">
        <f t="shared" si="144"/>
        <v>0.99999627334682795</v>
      </c>
      <c r="AH136">
        <f t="shared" si="131"/>
        <v>0.41205872426603418</v>
      </c>
      <c r="AI136">
        <f t="shared" si="145"/>
        <v>0.41205718866608232</v>
      </c>
      <c r="AJ136">
        <f t="shared" si="132"/>
        <v>2.8844003206625765E-2</v>
      </c>
      <c r="AK136">
        <f t="shared" si="133"/>
        <v>0.08</v>
      </c>
      <c r="AL136">
        <f t="shared" si="134"/>
        <v>0.1768399895714734</v>
      </c>
      <c r="AM136">
        <f t="shared" si="135"/>
        <v>0.19</v>
      </c>
      <c r="AN136">
        <f t="shared" si="136"/>
        <v>0.6784</v>
      </c>
      <c r="AO136">
        <f t="shared" si="137"/>
        <v>0</v>
      </c>
      <c r="AP136">
        <f t="shared" si="138"/>
        <v>1.0713164629028178E-4</v>
      </c>
      <c r="AQ136">
        <f t="shared" si="146"/>
        <v>1.0713164629028178E-4</v>
      </c>
      <c r="AR136">
        <f t="shared" si="139"/>
        <v>2.0529101720375245</v>
      </c>
      <c r="BA136">
        <f>BA135</f>
        <v>15</v>
      </c>
      <c r="BC136">
        <f t="shared" si="147"/>
        <v>0</v>
      </c>
      <c r="BD136">
        <f>BD135</f>
        <v>3.4931506849315071E-2</v>
      </c>
      <c r="BE136">
        <f t="shared" si="140"/>
        <v>0.1012</v>
      </c>
      <c r="BF136">
        <v>60</v>
      </c>
      <c r="BG136">
        <f t="shared" si="148"/>
        <v>0.4</v>
      </c>
      <c r="BH136">
        <f t="shared" ref="BH136:BH154" si="153">((0.045 * BC136) + (BD136 * 0.84)  + (BE136 * ((212 - 4 * ((BE136 * 1000)/(4* (BF136^0.75)) - 1)) - ((140 - 4 * (((BE136 * 1000)/(4 * BF136 ^0.75)) - 1))/(1 + EXP(-6 * (BG136 - 0.4)))))) * 10^-3) / 6.25</f>
        <v>6.9884377973102206E-3</v>
      </c>
      <c r="BI136">
        <f t="shared" si="149"/>
        <v>0</v>
      </c>
      <c r="BJ136">
        <f t="shared" si="141"/>
        <v>0</v>
      </c>
      <c r="BL136" s="28"/>
    </row>
    <row r="137" spans="1:72" x14ac:dyDescent="0.2">
      <c r="E137" s="11"/>
      <c r="F137" t="s">
        <v>165</v>
      </c>
      <c r="H137">
        <v>170</v>
      </c>
      <c r="I137">
        <v>0</v>
      </c>
      <c r="J137">
        <v>0</v>
      </c>
      <c r="L137">
        <f t="shared" si="126"/>
        <v>91.25</v>
      </c>
      <c r="N137">
        <v>0.13</v>
      </c>
      <c r="P137">
        <v>0.14000000000000001</v>
      </c>
      <c r="R137">
        <v>0.67</v>
      </c>
      <c r="T137">
        <v>36</v>
      </c>
      <c r="U137">
        <f t="shared" si="142"/>
        <v>0</v>
      </c>
      <c r="V137">
        <f>V131</f>
        <v>1</v>
      </c>
      <c r="W137">
        <f>W131</f>
        <v>0.69</v>
      </c>
      <c r="X137">
        <f t="shared" si="127"/>
        <v>4.7000000000000002E-3</v>
      </c>
      <c r="Y137">
        <f t="shared" si="128"/>
        <v>0</v>
      </c>
      <c r="Z137">
        <v>0</v>
      </c>
      <c r="AA137">
        <f t="shared" si="143"/>
        <v>0</v>
      </c>
      <c r="AB137">
        <f t="shared" si="150"/>
        <v>1.3</v>
      </c>
      <c r="AC137">
        <f t="shared" si="129"/>
        <v>1</v>
      </c>
      <c r="AD137">
        <f t="shared" si="130"/>
        <v>0.53125000000000011</v>
      </c>
      <c r="AF137">
        <v>1.3</v>
      </c>
      <c r="AG137">
        <f t="shared" si="144"/>
        <v>0.96595254526540064</v>
      </c>
      <c r="AH137">
        <f t="shared" si="131"/>
        <v>0.75944776069416087</v>
      </c>
      <c r="AI137">
        <f t="shared" si="145"/>
        <v>0.73359049743863358</v>
      </c>
      <c r="AJ137">
        <f t="shared" si="132"/>
        <v>0.10270266964140871</v>
      </c>
      <c r="AK137">
        <f t="shared" si="133"/>
        <v>0.08</v>
      </c>
      <c r="AL137">
        <f t="shared" si="134"/>
        <v>0.24252217968227641</v>
      </c>
      <c r="AM137">
        <f t="shared" si="135"/>
        <v>0.19</v>
      </c>
      <c r="AN137">
        <f t="shared" si="136"/>
        <v>0.6784</v>
      </c>
      <c r="AO137">
        <f t="shared" si="137"/>
        <v>0</v>
      </c>
      <c r="AP137">
        <f t="shared" si="138"/>
        <v>1.4692265269993551E-4</v>
      </c>
      <c r="AQ137">
        <f t="shared" si="146"/>
        <v>1.4692265269993551E-4</v>
      </c>
      <c r="AR137">
        <f t="shared" si="139"/>
        <v>2.2791376500077494</v>
      </c>
      <c r="BA137">
        <f>BA135</f>
        <v>15</v>
      </c>
      <c r="BC137">
        <f t="shared" si="147"/>
        <v>0</v>
      </c>
      <c r="BD137">
        <f>BD135</f>
        <v>3.4931506849315071E-2</v>
      </c>
      <c r="BE137">
        <f t="shared" si="140"/>
        <v>0.11960000000000001</v>
      </c>
      <c r="BF137">
        <v>60</v>
      </c>
      <c r="BG137">
        <f t="shared" si="148"/>
        <v>0.6</v>
      </c>
      <c r="BH137">
        <f t="shared" si="153"/>
        <v>6.68586206220934E-3</v>
      </c>
      <c r="BI137">
        <f t="shared" si="149"/>
        <v>9.7465650804160545E-3</v>
      </c>
      <c r="BJ137">
        <f t="shared" si="141"/>
        <v>151.19359080995403</v>
      </c>
      <c r="BL137" s="28"/>
    </row>
    <row r="138" spans="1:72" x14ac:dyDescent="0.2">
      <c r="E138" s="12"/>
      <c r="F138" t="s">
        <v>166</v>
      </c>
      <c r="H138">
        <v>200</v>
      </c>
      <c r="I138">
        <v>0</v>
      </c>
      <c r="J138">
        <v>0</v>
      </c>
      <c r="L138">
        <f t="shared" si="126"/>
        <v>91.25</v>
      </c>
      <c r="N138">
        <v>7.0000000000000007E-2</v>
      </c>
      <c r="P138">
        <v>0.16</v>
      </c>
      <c r="R138">
        <v>0.7</v>
      </c>
      <c r="T138">
        <v>42</v>
      </c>
      <c r="U138">
        <f t="shared" si="142"/>
        <v>0</v>
      </c>
      <c r="V138">
        <f>V131</f>
        <v>1</v>
      </c>
      <c r="W138">
        <f>W131</f>
        <v>0.69</v>
      </c>
      <c r="X138">
        <f t="shared" si="127"/>
        <v>4.7000000000000002E-3</v>
      </c>
      <c r="Y138">
        <f t="shared" si="128"/>
        <v>0</v>
      </c>
      <c r="Z138">
        <v>0</v>
      </c>
      <c r="AA138">
        <f t="shared" si="143"/>
        <v>0</v>
      </c>
      <c r="AB138">
        <f t="shared" si="150"/>
        <v>1.3</v>
      </c>
      <c r="AC138">
        <f t="shared" si="129"/>
        <v>1</v>
      </c>
      <c r="AD138">
        <f t="shared" si="130"/>
        <v>0.55510000000000004</v>
      </c>
      <c r="AF138">
        <v>0.8</v>
      </c>
      <c r="AG138">
        <f t="shared" si="144"/>
        <v>0.72196269954680592</v>
      </c>
      <c r="AH138">
        <f t="shared" si="131"/>
        <v>0.92411404077093851</v>
      </c>
      <c r="AI138">
        <f t="shared" si="145"/>
        <v>0.66717586756409386</v>
      </c>
      <c r="AJ138">
        <f t="shared" si="132"/>
        <v>0.10674813881025502</v>
      </c>
      <c r="AK138">
        <f t="shared" si="133"/>
        <v>0.08</v>
      </c>
      <c r="AL138">
        <f t="shared" si="134"/>
        <v>0.2005210893356543</v>
      </c>
      <c r="AM138">
        <f t="shared" si="135"/>
        <v>0.19</v>
      </c>
      <c r="AN138">
        <f t="shared" si="136"/>
        <v>0.6784</v>
      </c>
      <c r="AO138">
        <f t="shared" si="137"/>
        <v>0</v>
      </c>
      <c r="AP138">
        <f t="shared" si="138"/>
        <v>1.2147792175573995E-4</v>
      </c>
      <c r="AQ138">
        <f t="shared" si="146"/>
        <v>1.2147792175573995E-4</v>
      </c>
      <c r="AR138">
        <f t="shared" si="139"/>
        <v>2.2169720720422541</v>
      </c>
      <c r="BA138">
        <f>BA135</f>
        <v>15</v>
      </c>
      <c r="BC138">
        <f t="shared" si="147"/>
        <v>0</v>
      </c>
      <c r="BD138">
        <f>BD135</f>
        <v>3.4931506849315071E-2</v>
      </c>
      <c r="BE138">
        <f t="shared" si="140"/>
        <v>6.4400000000000013E-2</v>
      </c>
      <c r="BF138">
        <v>60</v>
      </c>
      <c r="BG138">
        <f t="shared" si="148"/>
        <v>0.7</v>
      </c>
      <c r="BH138">
        <f t="shared" si="153"/>
        <v>5.642791453285145E-3</v>
      </c>
      <c r="BI138">
        <f t="shared" si="149"/>
        <v>1.1436910756355658E-2</v>
      </c>
      <c r="BJ138">
        <f t="shared" si="141"/>
        <v>208.72362130349077</v>
      </c>
      <c r="BL138" s="28"/>
    </row>
    <row r="139" spans="1:72" x14ac:dyDescent="0.2">
      <c r="E139" s="11" t="s">
        <v>168</v>
      </c>
      <c r="F139" t="s">
        <v>163</v>
      </c>
      <c r="H139">
        <v>100</v>
      </c>
      <c r="I139">
        <v>95</v>
      </c>
      <c r="J139">
        <v>92</v>
      </c>
      <c r="L139">
        <f t="shared" si="126"/>
        <v>91.25</v>
      </c>
      <c r="N139">
        <v>0.03</v>
      </c>
      <c r="P139">
        <v>0.2</v>
      </c>
      <c r="R139">
        <v>0.75</v>
      </c>
      <c r="T139">
        <v>45</v>
      </c>
      <c r="U139">
        <f t="shared" si="142"/>
        <v>0</v>
      </c>
      <c r="V139">
        <f>V131</f>
        <v>1</v>
      </c>
      <c r="W139">
        <f>W131</f>
        <v>0.69</v>
      </c>
      <c r="X139">
        <f t="shared" si="127"/>
        <v>4.7000000000000002E-3</v>
      </c>
      <c r="Y139">
        <f t="shared" si="128"/>
        <v>0.874</v>
      </c>
      <c r="Z139">
        <v>0</v>
      </c>
      <c r="AA139">
        <f t="shared" si="143"/>
        <v>0</v>
      </c>
      <c r="AB139">
        <f t="shared" si="150"/>
        <v>1.3</v>
      </c>
      <c r="AC139">
        <f t="shared" si="129"/>
        <v>1.2622</v>
      </c>
      <c r="AD139">
        <f t="shared" si="130"/>
        <v>0.5948500000000001</v>
      </c>
      <c r="AF139">
        <v>2.5</v>
      </c>
      <c r="AG139">
        <f t="shared" si="144"/>
        <v>0.99999627334682795</v>
      </c>
      <c r="AH139">
        <f t="shared" si="131"/>
        <v>1.0615017285371116</v>
      </c>
      <c r="AI139">
        <f t="shared" si="145"/>
        <v>1.3398224886872072</v>
      </c>
      <c r="AJ139">
        <f t="shared" si="132"/>
        <v>0.26796449773744146</v>
      </c>
      <c r="AK139">
        <f t="shared" si="133"/>
        <v>0.08</v>
      </c>
      <c r="AL139">
        <f t="shared" si="134"/>
        <v>0.37421974668192259</v>
      </c>
      <c r="AM139">
        <f t="shared" si="135"/>
        <v>0.19</v>
      </c>
      <c r="AN139">
        <f t="shared" si="136"/>
        <v>0.6784</v>
      </c>
      <c r="AO139">
        <f t="shared" si="137"/>
        <v>0</v>
      </c>
      <c r="AP139">
        <f t="shared" si="138"/>
        <v>2.2670651380107159E-4</v>
      </c>
      <c r="AQ139">
        <f t="shared" si="146"/>
        <v>2.2670651380107159E-4</v>
      </c>
      <c r="AR139">
        <f t="shared" si="139"/>
        <v>2.068696938434778</v>
      </c>
      <c r="BA139">
        <v>18</v>
      </c>
      <c r="BB139">
        <v>0.8</v>
      </c>
      <c r="BC139">
        <f t="shared" si="147"/>
        <v>1.3984000000000001</v>
      </c>
      <c r="BD139">
        <f t="shared" ref="BD139" si="154">(BA139 * BB139) / 365</f>
        <v>3.9452054794520547E-2</v>
      </c>
      <c r="BE139">
        <f t="shared" si="140"/>
        <v>2.76E-2</v>
      </c>
      <c r="BF139">
        <v>55</v>
      </c>
      <c r="BG139">
        <f t="shared" si="148"/>
        <v>0.81818181818181823</v>
      </c>
      <c r="BH139">
        <f t="shared" si="153"/>
        <v>1.5736169017014176E-2</v>
      </c>
      <c r="BI139">
        <f t="shared" si="149"/>
        <v>2.7138150620976458E-2</v>
      </c>
      <c r="BJ139">
        <f t="shared" si="141"/>
        <v>247.63562441641017</v>
      </c>
      <c r="BL139" s="28"/>
    </row>
    <row r="140" spans="1:72" x14ac:dyDescent="0.2">
      <c r="E140" s="12"/>
      <c r="F140" t="s">
        <v>164</v>
      </c>
      <c r="H140">
        <v>140</v>
      </c>
      <c r="I140">
        <v>0</v>
      </c>
      <c r="J140">
        <v>0</v>
      </c>
      <c r="L140">
        <f t="shared" si="126"/>
        <v>91.25</v>
      </c>
      <c r="N140">
        <v>0</v>
      </c>
      <c r="P140">
        <v>7.0000000000000007E-2</v>
      </c>
      <c r="R140">
        <v>0.55000000000000004</v>
      </c>
      <c r="T140">
        <v>45</v>
      </c>
      <c r="U140">
        <f t="shared" si="142"/>
        <v>0</v>
      </c>
      <c r="V140">
        <f>V131</f>
        <v>1</v>
      </c>
      <c r="W140">
        <f>W131</f>
        <v>0.69</v>
      </c>
      <c r="X140">
        <f t="shared" si="127"/>
        <v>4.7000000000000002E-3</v>
      </c>
      <c r="Y140">
        <f t="shared" si="128"/>
        <v>0</v>
      </c>
      <c r="Z140">
        <v>0</v>
      </c>
      <c r="AA140">
        <f t="shared" si="143"/>
        <v>0</v>
      </c>
      <c r="AB140">
        <f t="shared" si="150"/>
        <v>1.3</v>
      </c>
      <c r="AC140">
        <f t="shared" si="129"/>
        <v>1</v>
      </c>
      <c r="AD140">
        <f t="shared" si="130"/>
        <v>0.43585000000000007</v>
      </c>
      <c r="AF140">
        <v>2.5</v>
      </c>
      <c r="AG140">
        <f t="shared" si="144"/>
        <v>0.99999627334682795</v>
      </c>
      <c r="AH140">
        <f t="shared" si="131"/>
        <v>0.77226516609487061</v>
      </c>
      <c r="AI140">
        <f t="shared" si="145"/>
        <v>0.77226228813043973</v>
      </c>
      <c r="AJ140">
        <f t="shared" si="132"/>
        <v>5.4058360169130786E-2</v>
      </c>
      <c r="AK140">
        <f t="shared" si="133"/>
        <v>0.08</v>
      </c>
      <c r="AL140">
        <f t="shared" si="134"/>
        <v>0.34166370401940144</v>
      </c>
      <c r="AM140">
        <f t="shared" si="135"/>
        <v>0.19</v>
      </c>
      <c r="AN140">
        <f t="shared" si="136"/>
        <v>0.6784</v>
      </c>
      <c r="AO140">
        <f t="shared" si="137"/>
        <v>0</v>
      </c>
      <c r="AP140">
        <f t="shared" si="138"/>
        <v>2.069836985284384E-4</v>
      </c>
      <c r="AQ140">
        <f t="shared" si="146"/>
        <v>2.069836985284384E-4</v>
      </c>
      <c r="AR140">
        <f t="shared" si="139"/>
        <v>2.6442167487008006</v>
      </c>
      <c r="BA140">
        <f>BA139</f>
        <v>18</v>
      </c>
      <c r="BC140">
        <f t="shared" si="147"/>
        <v>0</v>
      </c>
      <c r="BD140">
        <f>BD139</f>
        <v>3.9452054794520547E-2</v>
      </c>
      <c r="BE140">
        <f t="shared" si="140"/>
        <v>0</v>
      </c>
      <c r="BF140">
        <v>55</v>
      </c>
      <c r="BG140">
        <f t="shared" si="148"/>
        <v>0.81818181818181823</v>
      </c>
      <c r="BH140">
        <f t="shared" si="153"/>
        <v>5.3023561643835617E-3</v>
      </c>
      <c r="BI140">
        <f t="shared" si="149"/>
        <v>3.346981462677364E-3</v>
      </c>
      <c r="BJ140">
        <f t="shared" si="141"/>
        <v>42.757688185703323</v>
      </c>
      <c r="BL140" s="28"/>
    </row>
    <row r="141" spans="1:72" x14ac:dyDescent="0.2">
      <c r="E141" s="11"/>
      <c r="F141" t="s">
        <v>165</v>
      </c>
      <c r="H141">
        <v>135</v>
      </c>
      <c r="I141">
        <v>0</v>
      </c>
      <c r="J141">
        <v>0</v>
      </c>
      <c r="L141">
        <f t="shared" si="126"/>
        <v>91.25</v>
      </c>
      <c r="N141">
        <v>0</v>
      </c>
      <c r="P141">
        <v>0.14000000000000001</v>
      </c>
      <c r="R141">
        <v>0.67</v>
      </c>
      <c r="T141">
        <v>45</v>
      </c>
      <c r="U141">
        <f t="shared" si="142"/>
        <v>0</v>
      </c>
      <c r="V141">
        <f>V131</f>
        <v>1</v>
      </c>
      <c r="W141">
        <f>W131</f>
        <v>0.69</v>
      </c>
      <c r="X141">
        <f t="shared" si="127"/>
        <v>4.7000000000000002E-3</v>
      </c>
      <c r="Y141">
        <f t="shared" si="128"/>
        <v>0</v>
      </c>
      <c r="Z141">
        <v>0</v>
      </c>
      <c r="AA141">
        <f t="shared" si="143"/>
        <v>0</v>
      </c>
      <c r="AB141">
        <f t="shared" si="150"/>
        <v>1.3</v>
      </c>
      <c r="AC141">
        <f t="shared" si="129"/>
        <v>1</v>
      </c>
      <c r="AD141">
        <f t="shared" si="130"/>
        <v>0.53125000000000011</v>
      </c>
      <c r="AF141">
        <v>1.3</v>
      </c>
      <c r="AG141">
        <f t="shared" si="144"/>
        <v>0.96595254526540064</v>
      </c>
      <c r="AH141">
        <f t="shared" si="131"/>
        <v>0.94580710356021536</v>
      </c>
      <c r="AI141">
        <f t="shared" si="145"/>
        <v>0.91360477901408643</v>
      </c>
      <c r="AJ141">
        <f t="shared" si="132"/>
        <v>0.12790466906197212</v>
      </c>
      <c r="AK141">
        <f t="shared" si="133"/>
        <v>0.08</v>
      </c>
      <c r="AL141">
        <f t="shared" si="134"/>
        <v>0.30808640278301214</v>
      </c>
      <c r="AM141">
        <f t="shared" si="135"/>
        <v>0.19</v>
      </c>
      <c r="AN141">
        <f t="shared" si="136"/>
        <v>0.6784</v>
      </c>
      <c r="AO141">
        <f t="shared" si="137"/>
        <v>0</v>
      </c>
      <c r="AP141">
        <f t="shared" si="138"/>
        <v>1.8664219337365993E-4</v>
      </c>
      <c r="AQ141">
        <f t="shared" si="146"/>
        <v>1.8664219337365993E-4</v>
      </c>
      <c r="AR141">
        <f t="shared" si="139"/>
        <v>2.2991985196217732</v>
      </c>
      <c r="BA141">
        <f>BA139</f>
        <v>18</v>
      </c>
      <c r="BC141">
        <f t="shared" si="147"/>
        <v>0</v>
      </c>
      <c r="BD141">
        <f>BD139</f>
        <v>3.9452054794520547E-2</v>
      </c>
      <c r="BE141">
        <f t="shared" si="140"/>
        <v>0</v>
      </c>
      <c r="BF141">
        <v>55</v>
      </c>
      <c r="BG141">
        <f t="shared" si="148"/>
        <v>0.81818181818181823</v>
      </c>
      <c r="BH141">
        <f t="shared" si="153"/>
        <v>5.3023561643835617E-3</v>
      </c>
      <c r="BI141">
        <f t="shared" si="149"/>
        <v>1.5162390885531977E-2</v>
      </c>
      <c r="BJ141">
        <f t="shared" si="141"/>
        <v>186.78170272114704</v>
      </c>
      <c r="BL141" s="28"/>
    </row>
    <row r="142" spans="1:72" x14ac:dyDescent="0.2">
      <c r="E142" s="12"/>
      <c r="F142" t="s">
        <v>166</v>
      </c>
      <c r="H142">
        <v>130</v>
      </c>
      <c r="I142">
        <v>0</v>
      </c>
      <c r="J142">
        <v>0</v>
      </c>
      <c r="L142">
        <f t="shared" si="126"/>
        <v>91.25</v>
      </c>
      <c r="N142">
        <v>0.5</v>
      </c>
      <c r="P142">
        <v>0.16</v>
      </c>
      <c r="R142">
        <v>0.7</v>
      </c>
      <c r="T142">
        <v>50</v>
      </c>
      <c r="U142">
        <f t="shared" si="142"/>
        <v>0</v>
      </c>
      <c r="V142">
        <f>V131</f>
        <v>1</v>
      </c>
      <c r="W142">
        <f>W131</f>
        <v>0.69</v>
      </c>
      <c r="X142">
        <f t="shared" si="127"/>
        <v>4.7000000000000002E-3</v>
      </c>
      <c r="Y142">
        <f t="shared" si="128"/>
        <v>0</v>
      </c>
      <c r="Z142">
        <v>0</v>
      </c>
      <c r="AA142">
        <f t="shared" si="143"/>
        <v>0</v>
      </c>
      <c r="AB142">
        <f t="shared" si="150"/>
        <v>1.3</v>
      </c>
      <c r="AC142">
        <f t="shared" si="129"/>
        <v>1</v>
      </c>
      <c r="AD142">
        <f t="shared" si="130"/>
        <v>0.55510000000000004</v>
      </c>
      <c r="AF142">
        <v>0.8</v>
      </c>
      <c r="AG142">
        <f t="shared" si="144"/>
        <v>0.72196269954680592</v>
      </c>
      <c r="AH142">
        <f t="shared" si="131"/>
        <v>1.0993929471578776</v>
      </c>
      <c r="AI142">
        <f t="shared" si="145"/>
        <v>0.79372069999282024</v>
      </c>
      <c r="AJ142">
        <f t="shared" si="132"/>
        <v>0.12699531199885125</v>
      </c>
      <c r="AK142">
        <f t="shared" si="133"/>
        <v>0.08</v>
      </c>
      <c r="AL142">
        <f t="shared" si="134"/>
        <v>0.24225063902319144</v>
      </c>
      <c r="AM142">
        <f t="shared" si="135"/>
        <v>0.19</v>
      </c>
      <c r="AN142">
        <f t="shared" si="136"/>
        <v>0.6784</v>
      </c>
      <c r="AO142">
        <f t="shared" si="137"/>
        <v>0</v>
      </c>
      <c r="AP142">
        <f t="shared" si="138"/>
        <v>1.4675815032740645E-4</v>
      </c>
      <c r="AQ142">
        <f t="shared" si="146"/>
        <v>1.4675815032740645E-4</v>
      </c>
      <c r="AR142">
        <f t="shared" si="139"/>
        <v>1.7409185582588591</v>
      </c>
      <c r="BA142">
        <f>BA139</f>
        <v>18</v>
      </c>
      <c r="BC142">
        <f t="shared" si="147"/>
        <v>0</v>
      </c>
      <c r="BD142">
        <f>BD139</f>
        <v>3.9452054794520547E-2</v>
      </c>
      <c r="BE142">
        <f t="shared" si="140"/>
        <v>0.46</v>
      </c>
      <c r="BF142">
        <v>55</v>
      </c>
      <c r="BG142">
        <f t="shared" si="148"/>
        <v>0.90909090909090906</v>
      </c>
      <c r="BH142">
        <f t="shared" si="153"/>
        <v>1.1003241659247723E-2</v>
      </c>
      <c r="BI142">
        <f t="shared" si="149"/>
        <v>9.3160082605684771E-3</v>
      </c>
      <c r="BJ142">
        <f t="shared" si="141"/>
        <v>110.51114799099355</v>
      </c>
      <c r="BL142" s="28"/>
    </row>
    <row r="143" spans="1:72" x14ac:dyDescent="0.2">
      <c r="E143" s="11" t="s">
        <v>170</v>
      </c>
      <c r="F143" t="s">
        <v>163</v>
      </c>
      <c r="H143">
        <v>200</v>
      </c>
      <c r="I143">
        <v>0</v>
      </c>
      <c r="J143">
        <v>0</v>
      </c>
      <c r="L143">
        <f t="shared" si="126"/>
        <v>91.25</v>
      </c>
      <c r="N143">
        <v>0</v>
      </c>
      <c r="P143">
        <v>0.2</v>
      </c>
      <c r="R143">
        <v>0.75</v>
      </c>
      <c r="T143">
        <v>50</v>
      </c>
      <c r="U143">
        <f t="shared" si="142"/>
        <v>0</v>
      </c>
      <c r="V143">
        <f>V131</f>
        <v>1</v>
      </c>
      <c r="W143">
        <f>W131</f>
        <v>0.69</v>
      </c>
      <c r="X143">
        <f t="shared" si="127"/>
        <v>4.7000000000000002E-3</v>
      </c>
      <c r="Y143">
        <f t="shared" si="128"/>
        <v>0</v>
      </c>
      <c r="Z143">
        <v>0</v>
      </c>
      <c r="AA143">
        <f t="shared" si="143"/>
        <v>0</v>
      </c>
      <c r="AB143">
        <f t="shared" si="150"/>
        <v>1.3</v>
      </c>
      <c r="AC143">
        <f t="shared" si="129"/>
        <v>1</v>
      </c>
      <c r="AD143">
        <f t="shared" si="130"/>
        <v>0.5948500000000001</v>
      </c>
      <c r="AF143">
        <v>2.5</v>
      </c>
      <c r="AG143">
        <f t="shared" si="144"/>
        <v>0.99999627334682795</v>
      </c>
      <c r="AH143">
        <f t="shared" si="131"/>
        <v>1.1776478069972991</v>
      </c>
      <c r="AI143">
        <f t="shared" si="145"/>
        <v>1.1776434183123636</v>
      </c>
      <c r="AJ143">
        <f t="shared" si="132"/>
        <v>0.23552868366247273</v>
      </c>
      <c r="AK143">
        <f t="shared" si="133"/>
        <v>0.08</v>
      </c>
      <c r="AL143">
        <f t="shared" si="134"/>
        <v>0.32189384617339861</v>
      </c>
      <c r="AM143">
        <f t="shared" si="135"/>
        <v>0.19</v>
      </c>
      <c r="AN143">
        <f t="shared" si="136"/>
        <v>0.6784</v>
      </c>
      <c r="AO143">
        <f t="shared" si="137"/>
        <v>0</v>
      </c>
      <c r="AP143">
        <f t="shared" si="138"/>
        <v>1.9500689722292205E-4</v>
      </c>
      <c r="AQ143">
        <f t="shared" si="146"/>
        <v>1.9500689722292205E-4</v>
      </c>
      <c r="AR143">
        <f t="shared" si="139"/>
        <v>3.5588758743183275</v>
      </c>
      <c r="BA143">
        <v>20</v>
      </c>
      <c r="BB143">
        <v>0.8</v>
      </c>
      <c r="BC143">
        <f t="shared" si="147"/>
        <v>0</v>
      </c>
      <c r="BD143">
        <f t="shared" ref="BD143" si="155">(BA143 * BB143) / 365</f>
        <v>4.3835616438356165E-2</v>
      </c>
      <c r="BE143">
        <f t="shared" si="140"/>
        <v>0</v>
      </c>
      <c r="BF143">
        <v>55</v>
      </c>
      <c r="BG143">
        <f t="shared" si="148"/>
        <v>0.90909090909090906</v>
      </c>
      <c r="BH143">
        <f t="shared" si="153"/>
        <v>5.8915068493150683E-3</v>
      </c>
      <c r="BI143">
        <f t="shared" si="149"/>
        <v>3.1793082536680568E-2</v>
      </c>
      <c r="BJ143">
        <f t="shared" si="141"/>
        <v>580.22375629442035</v>
      </c>
      <c r="BL143" s="28"/>
    </row>
    <row r="144" spans="1:72" x14ac:dyDescent="0.2">
      <c r="E144" s="12"/>
      <c r="F144" t="s">
        <v>164</v>
      </c>
      <c r="H144">
        <v>210</v>
      </c>
      <c r="I144">
        <v>0</v>
      </c>
      <c r="J144">
        <v>0</v>
      </c>
      <c r="L144">
        <f t="shared" si="126"/>
        <v>91.25</v>
      </c>
      <c r="N144">
        <v>0</v>
      </c>
      <c r="P144">
        <v>7.0000000000000007E-2</v>
      </c>
      <c r="R144">
        <v>0.55000000000000004</v>
      </c>
      <c r="T144">
        <v>50</v>
      </c>
      <c r="U144">
        <f t="shared" si="142"/>
        <v>0</v>
      </c>
      <c r="V144">
        <f>V131</f>
        <v>1</v>
      </c>
      <c r="W144">
        <f>W131</f>
        <v>0.69</v>
      </c>
      <c r="X144">
        <f t="shared" si="127"/>
        <v>4.7000000000000002E-3</v>
      </c>
      <c r="Y144">
        <f t="shared" si="128"/>
        <v>0</v>
      </c>
      <c r="Z144">
        <v>0</v>
      </c>
      <c r="AA144">
        <f t="shared" si="143"/>
        <v>0</v>
      </c>
      <c r="AB144">
        <f t="shared" si="150"/>
        <v>1.3</v>
      </c>
      <c r="AC144">
        <f t="shared" si="129"/>
        <v>1</v>
      </c>
      <c r="AD144">
        <f t="shared" si="130"/>
        <v>0.43585000000000007</v>
      </c>
      <c r="AF144">
        <v>2.5</v>
      </c>
      <c r="AG144">
        <f t="shared" si="144"/>
        <v>0.99999627334682795</v>
      </c>
      <c r="AH144">
        <f t="shared" si="131"/>
        <v>0.8646283676396137</v>
      </c>
      <c r="AI144">
        <f t="shared" si="145"/>
        <v>0.86462514546956482</v>
      </c>
      <c r="AJ144">
        <f t="shared" si="132"/>
        <v>6.0523760182869542E-2</v>
      </c>
      <c r="AK144">
        <f t="shared" si="133"/>
        <v>0.08</v>
      </c>
      <c r="AL144">
        <f t="shared" si="134"/>
        <v>0.38546563065656003</v>
      </c>
      <c r="AM144">
        <f t="shared" si="135"/>
        <v>0.19</v>
      </c>
      <c r="AN144">
        <f t="shared" si="136"/>
        <v>0.6784</v>
      </c>
      <c r="AO144">
        <f t="shared" si="137"/>
        <v>0</v>
      </c>
      <c r="AP144">
        <f t="shared" si="138"/>
        <v>2.3351939626680747E-4</v>
      </c>
      <c r="AQ144">
        <f t="shared" si="146"/>
        <v>2.3351939626680747E-4</v>
      </c>
      <c r="AR144">
        <f t="shared" si="139"/>
        <v>4.474815430962698</v>
      </c>
      <c r="BA144">
        <f>BA143</f>
        <v>20</v>
      </c>
      <c r="BC144">
        <f t="shared" si="147"/>
        <v>0</v>
      </c>
      <c r="BD144">
        <f>BD143</f>
        <v>4.3835616438356165E-2</v>
      </c>
      <c r="BE144">
        <f t="shared" si="140"/>
        <v>0</v>
      </c>
      <c r="BF144">
        <v>55</v>
      </c>
      <c r="BG144">
        <f t="shared" si="148"/>
        <v>0.90909090909090906</v>
      </c>
      <c r="BH144">
        <f t="shared" si="153"/>
        <v>5.8915068493150683E-3</v>
      </c>
      <c r="BI144">
        <f t="shared" si="149"/>
        <v>3.792294779944058E-3</v>
      </c>
      <c r="BJ144">
        <f t="shared" si="141"/>
        <v>72.669848720678004</v>
      </c>
      <c r="BL144" s="28"/>
    </row>
    <row r="145" spans="5:64" x14ac:dyDescent="0.2">
      <c r="E145" s="11"/>
      <c r="F145" t="s">
        <v>165</v>
      </c>
      <c r="H145">
        <v>190</v>
      </c>
      <c r="I145">
        <v>0</v>
      </c>
      <c r="J145">
        <v>0</v>
      </c>
      <c r="L145">
        <f t="shared" si="126"/>
        <v>91.25</v>
      </c>
      <c r="N145">
        <v>0</v>
      </c>
      <c r="P145">
        <v>0.14000000000000001</v>
      </c>
      <c r="R145">
        <v>0.67</v>
      </c>
      <c r="T145">
        <v>50</v>
      </c>
      <c r="U145">
        <f t="shared" si="142"/>
        <v>0</v>
      </c>
      <c r="V145">
        <f>V131</f>
        <v>1</v>
      </c>
      <c r="W145">
        <f>W131</f>
        <v>0.69</v>
      </c>
      <c r="X145">
        <f t="shared" si="127"/>
        <v>4.7000000000000002E-3</v>
      </c>
      <c r="Y145">
        <f t="shared" si="128"/>
        <v>0</v>
      </c>
      <c r="Z145">
        <v>0</v>
      </c>
      <c r="AA145">
        <f t="shared" si="143"/>
        <v>0</v>
      </c>
      <c r="AB145">
        <f t="shared" si="150"/>
        <v>1.3</v>
      </c>
      <c r="AC145">
        <f t="shared" si="129"/>
        <v>1</v>
      </c>
      <c r="AD145">
        <f t="shared" si="130"/>
        <v>0.53125000000000011</v>
      </c>
      <c r="AF145">
        <v>1.3</v>
      </c>
      <c r="AG145">
        <f t="shared" si="144"/>
        <v>0.96595254526540064</v>
      </c>
      <c r="AH145">
        <f t="shared" si="131"/>
        <v>1.052440031254225</v>
      </c>
      <c r="AI145">
        <f t="shared" si="145"/>
        <v>1.0166071269292165</v>
      </c>
      <c r="AJ145">
        <f t="shared" si="132"/>
        <v>0.14232499777009033</v>
      </c>
      <c r="AK145">
        <f t="shared" si="133"/>
        <v>0.08</v>
      </c>
      <c r="AL145">
        <f t="shared" si="134"/>
        <v>0.34667435759496673</v>
      </c>
      <c r="AM145">
        <f t="shared" si="135"/>
        <v>0.19</v>
      </c>
      <c r="AN145">
        <f t="shared" si="136"/>
        <v>0.6784</v>
      </c>
      <c r="AO145">
        <f t="shared" si="137"/>
        <v>0</v>
      </c>
      <c r="AP145">
        <f t="shared" si="138"/>
        <v>2.1001920858383592E-4</v>
      </c>
      <c r="AQ145">
        <f t="shared" si="146"/>
        <v>2.1001920858383592E-4</v>
      </c>
      <c r="AR145">
        <f t="shared" si="139"/>
        <v>3.641208028822255</v>
      </c>
      <c r="BA145">
        <f>BA143</f>
        <v>20</v>
      </c>
      <c r="BC145">
        <f t="shared" si="147"/>
        <v>0</v>
      </c>
      <c r="BD145">
        <f>BD143</f>
        <v>4.3835616438356165E-2</v>
      </c>
      <c r="BE145">
        <f t="shared" si="140"/>
        <v>0</v>
      </c>
      <c r="BF145">
        <v>55</v>
      </c>
      <c r="BG145">
        <f t="shared" si="148"/>
        <v>0.90909090909090906</v>
      </c>
      <c r="BH145">
        <f t="shared" si="153"/>
        <v>5.8915068493150683E-3</v>
      </c>
      <c r="BI145">
        <f t="shared" si="149"/>
        <v>1.6880492793899388E-2</v>
      </c>
      <c r="BJ145">
        <f t="shared" si="141"/>
        <v>292.6655438142306</v>
      </c>
      <c r="BL145" s="28"/>
    </row>
    <row r="146" spans="5:64" x14ac:dyDescent="0.2">
      <c r="E146" s="12"/>
      <c r="F146" t="s">
        <v>166</v>
      </c>
      <c r="H146">
        <v>180</v>
      </c>
      <c r="I146">
        <v>0</v>
      </c>
      <c r="J146">
        <v>0</v>
      </c>
      <c r="L146">
        <f t="shared" si="126"/>
        <v>91.25</v>
      </c>
      <c r="N146">
        <v>0</v>
      </c>
      <c r="P146">
        <v>0.16</v>
      </c>
      <c r="R146">
        <v>0.7</v>
      </c>
      <c r="T146">
        <v>50</v>
      </c>
      <c r="U146">
        <f t="shared" si="142"/>
        <v>0</v>
      </c>
      <c r="V146">
        <f>V131</f>
        <v>1</v>
      </c>
      <c r="W146">
        <f>W131</f>
        <v>0.69</v>
      </c>
      <c r="X146">
        <f t="shared" si="127"/>
        <v>4.7000000000000002E-3</v>
      </c>
      <c r="Y146">
        <f t="shared" si="128"/>
        <v>0</v>
      </c>
      <c r="Z146">
        <v>0</v>
      </c>
      <c r="AA146">
        <f t="shared" si="143"/>
        <v>0</v>
      </c>
      <c r="AB146">
        <f t="shared" si="150"/>
        <v>1.3</v>
      </c>
      <c r="AC146">
        <f t="shared" si="129"/>
        <v>1</v>
      </c>
      <c r="AD146">
        <f t="shared" si="130"/>
        <v>0.55510000000000004</v>
      </c>
      <c r="AF146">
        <v>0.8</v>
      </c>
      <c r="AG146">
        <f t="shared" si="144"/>
        <v>0.72196269954680592</v>
      </c>
      <c r="AH146">
        <f t="shared" si="131"/>
        <v>1.0993929471578776</v>
      </c>
      <c r="AI146">
        <f t="shared" si="145"/>
        <v>0.79372069999282024</v>
      </c>
      <c r="AJ146">
        <f t="shared" si="132"/>
        <v>0.12699531199885125</v>
      </c>
      <c r="AK146">
        <f t="shared" si="133"/>
        <v>0.08</v>
      </c>
      <c r="AL146">
        <f t="shared" si="134"/>
        <v>0.24225063902319144</v>
      </c>
      <c r="AM146">
        <f t="shared" si="135"/>
        <v>0.19</v>
      </c>
      <c r="AN146">
        <f t="shared" si="136"/>
        <v>0.6784</v>
      </c>
      <c r="AO146">
        <f t="shared" si="137"/>
        <v>0</v>
      </c>
      <c r="AP146">
        <f t="shared" si="138"/>
        <v>1.4675815032740645E-4</v>
      </c>
      <c r="AQ146">
        <f t="shared" si="146"/>
        <v>1.4675815032740645E-4</v>
      </c>
      <c r="AR146">
        <f t="shared" si="139"/>
        <v>2.4105026191276511</v>
      </c>
      <c r="BA146">
        <f>BA143</f>
        <v>20</v>
      </c>
      <c r="BC146">
        <f t="shared" si="147"/>
        <v>0</v>
      </c>
      <c r="BD146">
        <f>BD143</f>
        <v>4.3835616438356165E-2</v>
      </c>
      <c r="BE146">
        <f t="shared" si="140"/>
        <v>0</v>
      </c>
      <c r="BF146">
        <v>55</v>
      </c>
      <c r="BG146">
        <f t="shared" si="148"/>
        <v>0.90909090909090906</v>
      </c>
      <c r="BH146">
        <f t="shared" si="153"/>
        <v>5.8915068493150683E-3</v>
      </c>
      <c r="BI146">
        <f t="shared" si="149"/>
        <v>1.4427743070501133E-2</v>
      </c>
      <c r="BJ146">
        <f t="shared" si="141"/>
        <v>236.97567993298111</v>
      </c>
      <c r="BL146" s="28"/>
    </row>
    <row r="147" spans="5:64" x14ac:dyDescent="0.2">
      <c r="E147" s="11" t="s">
        <v>162</v>
      </c>
      <c r="F147" t="s">
        <v>163</v>
      </c>
      <c r="H147">
        <v>50</v>
      </c>
      <c r="I147">
        <v>0</v>
      </c>
      <c r="J147">
        <v>0</v>
      </c>
      <c r="L147">
        <f t="shared" si="126"/>
        <v>91.25</v>
      </c>
      <c r="N147">
        <v>0.16</v>
      </c>
      <c r="P147">
        <v>0.2</v>
      </c>
      <c r="R147">
        <v>0.75</v>
      </c>
      <c r="T147">
        <v>90</v>
      </c>
      <c r="U147">
        <f t="shared" si="142"/>
        <v>0</v>
      </c>
      <c r="V147">
        <f>V131</f>
        <v>1</v>
      </c>
      <c r="W147">
        <f>W131</f>
        <v>0.69</v>
      </c>
      <c r="X147">
        <f t="shared" si="127"/>
        <v>4.7000000000000002E-3</v>
      </c>
      <c r="Y147">
        <f t="shared" si="128"/>
        <v>0</v>
      </c>
      <c r="Z147">
        <v>0</v>
      </c>
      <c r="AA147">
        <f t="shared" si="143"/>
        <v>0</v>
      </c>
      <c r="AB147">
        <f t="shared" si="150"/>
        <v>1.3</v>
      </c>
      <c r="AC147">
        <f t="shared" si="129"/>
        <v>1</v>
      </c>
      <c r="AD147">
        <f t="shared" si="130"/>
        <v>0.5948500000000001</v>
      </c>
      <c r="AF147">
        <v>2.5</v>
      </c>
      <c r="AG147">
        <f t="shared" si="144"/>
        <v>0.99999627334682795</v>
      </c>
      <c r="AH147">
        <f t="shared" si="131"/>
        <v>2.188901849330922</v>
      </c>
      <c r="AI147">
        <f t="shared" si="145"/>
        <v>2.1888936920529019</v>
      </c>
      <c r="AJ147">
        <f t="shared" si="132"/>
        <v>0.4377787384105804</v>
      </c>
      <c r="AK147">
        <f t="shared" si="133"/>
        <v>0.08</v>
      </c>
      <c r="AL147">
        <f t="shared" si="134"/>
        <v>0.67976375507217801</v>
      </c>
      <c r="AM147">
        <f t="shared" si="135"/>
        <v>0.19</v>
      </c>
      <c r="AN147">
        <f t="shared" si="136"/>
        <v>0.6784</v>
      </c>
      <c r="AO147">
        <f t="shared" si="137"/>
        <v>0</v>
      </c>
      <c r="AP147">
        <f t="shared" si="138"/>
        <v>4.1180849617678233E-4</v>
      </c>
      <c r="AQ147">
        <f t="shared" si="146"/>
        <v>4.1180849617678233E-4</v>
      </c>
      <c r="AR147">
        <f t="shared" si="139"/>
        <v>1.8788762638065695</v>
      </c>
      <c r="BA147">
        <v>15</v>
      </c>
      <c r="BB147">
        <v>0.85</v>
      </c>
      <c r="BC147">
        <f t="shared" si="147"/>
        <v>0</v>
      </c>
      <c r="BD147">
        <f t="shared" ref="BD147" si="156">(BA147 * BB147) / 365</f>
        <v>3.4931506849315071E-2</v>
      </c>
      <c r="BE147">
        <f t="shared" si="140"/>
        <v>0.1472</v>
      </c>
      <c r="BF147">
        <v>77</v>
      </c>
      <c r="BG147">
        <f t="shared" si="148"/>
        <v>1.1688311688311688</v>
      </c>
      <c r="BH147">
        <f t="shared" si="153"/>
        <v>6.4225483770823221E-3</v>
      </c>
      <c r="BI147">
        <f>MAX((AJ147  / 6.25 ) - BH147, 0)</f>
        <v>6.3622049768610536E-2</v>
      </c>
      <c r="BJ147">
        <f t="shared" si="141"/>
        <v>290.27560206928558</v>
      </c>
      <c r="BL147" s="28"/>
    </row>
    <row r="148" spans="5:64" x14ac:dyDescent="0.2">
      <c r="E148" s="12"/>
      <c r="F148" t="s">
        <v>164</v>
      </c>
      <c r="H148">
        <v>55</v>
      </c>
      <c r="I148">
        <v>0</v>
      </c>
      <c r="J148">
        <v>0</v>
      </c>
      <c r="L148">
        <f t="shared" si="126"/>
        <v>91.25</v>
      </c>
      <c r="N148">
        <v>0</v>
      </c>
      <c r="P148">
        <v>7.0000000000000007E-2</v>
      </c>
      <c r="R148">
        <v>0.55000000000000004</v>
      </c>
      <c r="T148">
        <v>90</v>
      </c>
      <c r="U148">
        <f t="shared" si="142"/>
        <v>0</v>
      </c>
      <c r="V148">
        <f>V131</f>
        <v>1</v>
      </c>
      <c r="W148">
        <f>W131</f>
        <v>0.69</v>
      </c>
      <c r="X148">
        <f t="shared" si="127"/>
        <v>4.7000000000000002E-3</v>
      </c>
      <c r="Y148">
        <f t="shared" si="128"/>
        <v>0</v>
      </c>
      <c r="Z148">
        <v>0</v>
      </c>
      <c r="AA148">
        <f t="shared" si="143"/>
        <v>0</v>
      </c>
      <c r="AB148">
        <f t="shared" si="150"/>
        <v>1.3</v>
      </c>
      <c r="AC148">
        <f t="shared" si="129"/>
        <v>1</v>
      </c>
      <c r="AD148">
        <f t="shared" si="130"/>
        <v>0.43585000000000007</v>
      </c>
      <c r="AF148">
        <v>2.5</v>
      </c>
      <c r="AG148">
        <f t="shared" si="144"/>
        <v>0.99999627334682795</v>
      </c>
      <c r="AH148">
        <f t="shared" si="131"/>
        <v>1.7024658722949466</v>
      </c>
      <c r="AI148">
        <f t="shared" si="145"/>
        <v>1.7024595277951033</v>
      </c>
      <c r="AJ148">
        <f t="shared" si="132"/>
        <v>0.11917216694565724</v>
      </c>
      <c r="AK148">
        <f t="shared" si="133"/>
        <v>0.08</v>
      </c>
      <c r="AL148">
        <f t="shared" si="134"/>
        <v>0.81147820323828879</v>
      </c>
      <c r="AM148">
        <f t="shared" si="135"/>
        <v>0.19</v>
      </c>
      <c r="AN148">
        <f t="shared" si="136"/>
        <v>0.6784</v>
      </c>
      <c r="AO148">
        <f t="shared" si="137"/>
        <v>0</v>
      </c>
      <c r="AP148">
        <f t="shared" si="138"/>
        <v>4.9160258407763158E-4</v>
      </c>
      <c r="AQ148">
        <f t="shared" si="146"/>
        <v>4.9160258407763158E-4</v>
      </c>
      <c r="AR148">
        <f t="shared" si="139"/>
        <v>2.4672304688396136</v>
      </c>
      <c r="BA148">
        <f>BA147</f>
        <v>15</v>
      </c>
      <c r="BC148">
        <f t="shared" si="147"/>
        <v>0</v>
      </c>
      <c r="BD148">
        <f>BD147</f>
        <v>3.4931506849315071E-2</v>
      </c>
      <c r="BE148">
        <f t="shared" si="140"/>
        <v>0</v>
      </c>
      <c r="BF148">
        <v>77</v>
      </c>
      <c r="BG148">
        <f t="shared" si="148"/>
        <v>1.1688311688311688</v>
      </c>
      <c r="BH148">
        <f t="shared" si="153"/>
        <v>4.6947945205479454E-3</v>
      </c>
      <c r="BI148">
        <f t="shared" si="149"/>
        <v>1.4372752190757213E-2</v>
      </c>
      <c r="BJ148">
        <f t="shared" si="141"/>
        <v>72.133250057362758</v>
      </c>
      <c r="BL148" s="28"/>
    </row>
    <row r="149" spans="5:64" x14ac:dyDescent="0.2">
      <c r="E149" s="11"/>
      <c r="F149" t="s">
        <v>165</v>
      </c>
      <c r="H149">
        <v>60</v>
      </c>
      <c r="I149">
        <v>0</v>
      </c>
      <c r="J149">
        <v>0</v>
      </c>
      <c r="L149">
        <f t="shared" si="126"/>
        <v>91.25</v>
      </c>
      <c r="N149">
        <v>-0.2</v>
      </c>
      <c r="P149">
        <v>0.14000000000000001</v>
      </c>
      <c r="R149">
        <v>0.67</v>
      </c>
      <c r="T149">
        <v>75</v>
      </c>
      <c r="U149">
        <f t="shared" si="142"/>
        <v>0</v>
      </c>
      <c r="V149">
        <f>V131</f>
        <v>1</v>
      </c>
      <c r="W149">
        <f>W131</f>
        <v>0.69</v>
      </c>
      <c r="X149">
        <f t="shared" si="127"/>
        <v>4.7000000000000002E-3</v>
      </c>
      <c r="Y149">
        <f t="shared" si="128"/>
        <v>0</v>
      </c>
      <c r="Z149">
        <v>0</v>
      </c>
      <c r="AA149">
        <f t="shared" si="143"/>
        <v>0</v>
      </c>
      <c r="AB149">
        <f t="shared" si="150"/>
        <v>1.3</v>
      </c>
      <c r="AC149">
        <f t="shared" si="129"/>
        <v>1</v>
      </c>
      <c r="AD149">
        <f t="shared" si="130"/>
        <v>0.53125000000000011</v>
      </c>
      <c r="AF149">
        <v>1.3</v>
      </c>
      <c r="AG149">
        <f t="shared" si="144"/>
        <v>0.96595254526540064</v>
      </c>
      <c r="AH149">
        <f t="shared" si="131"/>
        <v>1.6220828500688129</v>
      </c>
      <c r="AI149">
        <f t="shared" si="145"/>
        <v>1.5668550576553251</v>
      </c>
      <c r="AJ149">
        <f t="shared" si="132"/>
        <v>0.21935970807174554</v>
      </c>
      <c r="AK149">
        <f t="shared" si="133"/>
        <v>0.08</v>
      </c>
      <c r="AL149">
        <f t="shared" si="134"/>
        <v>0.56604247510271932</v>
      </c>
      <c r="AM149">
        <f t="shared" si="135"/>
        <v>0.19</v>
      </c>
      <c r="AN149">
        <f t="shared" si="136"/>
        <v>0.6784</v>
      </c>
      <c r="AO149">
        <f t="shared" si="137"/>
        <v>0</v>
      </c>
      <c r="AP149">
        <f t="shared" si="138"/>
        <v>3.4291487109294852E-4</v>
      </c>
      <c r="AQ149">
        <f t="shared" si="146"/>
        <v>3.4291487109294852E-4</v>
      </c>
      <c r="AR149">
        <f t="shared" si="139"/>
        <v>1.8774589192338933</v>
      </c>
      <c r="BA149">
        <f>BA147</f>
        <v>15</v>
      </c>
      <c r="BC149">
        <f t="shared" si="147"/>
        <v>0</v>
      </c>
      <c r="BD149">
        <f>BD147</f>
        <v>3.4931506849315071E-2</v>
      </c>
      <c r="BE149">
        <f t="shared" si="140"/>
        <v>-0.18400000000000002</v>
      </c>
      <c r="BF149">
        <v>77</v>
      </c>
      <c r="BG149">
        <f t="shared" si="148"/>
        <v>0.97402597402597402</v>
      </c>
      <c r="BH149">
        <f t="shared" si="153"/>
        <v>2.4374848608923693E-3</v>
      </c>
      <c r="BI149">
        <f t="shared" si="149"/>
        <v>3.2660068430586921E-2</v>
      </c>
      <c r="BJ149">
        <f t="shared" si="141"/>
        <v>178.81387465746337</v>
      </c>
      <c r="BL149" s="28"/>
    </row>
    <row r="150" spans="5:64" x14ac:dyDescent="0.2">
      <c r="E150" s="12"/>
      <c r="F150" t="s">
        <v>166</v>
      </c>
      <c r="H150">
        <v>65</v>
      </c>
      <c r="I150">
        <v>0</v>
      </c>
      <c r="J150">
        <v>0</v>
      </c>
      <c r="L150">
        <f t="shared" si="126"/>
        <v>91.25</v>
      </c>
      <c r="N150">
        <v>0</v>
      </c>
      <c r="P150">
        <v>0.16</v>
      </c>
      <c r="R150">
        <v>0.7</v>
      </c>
      <c r="T150">
        <v>75</v>
      </c>
      <c r="U150">
        <f t="shared" si="142"/>
        <v>0</v>
      </c>
      <c r="V150">
        <f>V131</f>
        <v>1</v>
      </c>
      <c r="W150">
        <f>W131</f>
        <v>0.69</v>
      </c>
      <c r="X150">
        <f t="shared" si="127"/>
        <v>4.7000000000000002E-3</v>
      </c>
      <c r="Y150">
        <f t="shared" si="128"/>
        <v>0</v>
      </c>
      <c r="Z150">
        <v>0</v>
      </c>
      <c r="AA150">
        <f t="shared" si="143"/>
        <v>0</v>
      </c>
      <c r="AB150">
        <f t="shared" si="150"/>
        <v>1.3</v>
      </c>
      <c r="AC150">
        <f t="shared" si="129"/>
        <v>1</v>
      </c>
      <c r="AD150">
        <f t="shared" si="130"/>
        <v>0.55510000000000004</v>
      </c>
      <c r="AF150">
        <v>0.8</v>
      </c>
      <c r="AG150">
        <f t="shared" si="144"/>
        <v>0.72196269954680592</v>
      </c>
      <c r="AH150">
        <f t="shared" si="131"/>
        <v>1.6857229733976102</v>
      </c>
      <c r="AI150">
        <f t="shared" si="145"/>
        <v>1.2170291085622071</v>
      </c>
      <c r="AJ150">
        <f t="shared" si="132"/>
        <v>0.19472465736995315</v>
      </c>
      <c r="AK150">
        <f t="shared" si="133"/>
        <v>0.08</v>
      </c>
      <c r="AL150">
        <f t="shared" si="134"/>
        <v>0.39040671648319736</v>
      </c>
      <c r="AM150">
        <f t="shared" si="135"/>
        <v>0.19</v>
      </c>
      <c r="AN150">
        <f t="shared" si="136"/>
        <v>0.6784</v>
      </c>
      <c r="AO150">
        <f t="shared" si="137"/>
        <v>0</v>
      </c>
      <c r="AP150">
        <f t="shared" si="138"/>
        <v>2.365127614007456E-4</v>
      </c>
      <c r="AQ150">
        <f t="shared" si="146"/>
        <v>2.365127614007456E-4</v>
      </c>
      <c r="AR150">
        <f t="shared" si="139"/>
        <v>1.4028163160581724</v>
      </c>
      <c r="BA150">
        <f>BA147</f>
        <v>15</v>
      </c>
      <c r="BC150">
        <f t="shared" si="147"/>
        <v>0</v>
      </c>
      <c r="BD150">
        <f>BD147</f>
        <v>3.4931506849315071E-2</v>
      </c>
      <c r="BE150">
        <f t="shared" si="140"/>
        <v>0</v>
      </c>
      <c r="BF150">
        <v>77</v>
      </c>
      <c r="BG150">
        <f t="shared" si="148"/>
        <v>0.97402597402597402</v>
      </c>
      <c r="BH150">
        <f t="shared" si="153"/>
        <v>4.6947945205479454E-3</v>
      </c>
      <c r="BI150">
        <f t="shared" si="149"/>
        <v>2.6461150658644558E-2</v>
      </c>
      <c r="BJ150">
        <f t="shared" si="141"/>
        <v>156.94769984408552</v>
      </c>
      <c r="BL150" s="28"/>
    </row>
    <row r="151" spans="5:64" x14ac:dyDescent="0.2">
      <c r="E151" s="11" t="s">
        <v>167</v>
      </c>
      <c r="F151" t="s">
        <v>163</v>
      </c>
      <c r="H151">
        <v>50</v>
      </c>
      <c r="I151">
        <v>0</v>
      </c>
      <c r="J151">
        <v>0</v>
      </c>
      <c r="L151">
        <f t="shared" si="126"/>
        <v>91.25</v>
      </c>
      <c r="N151">
        <v>0.11</v>
      </c>
      <c r="P151">
        <v>0.2</v>
      </c>
      <c r="R151">
        <v>0.75</v>
      </c>
      <c r="T151">
        <v>55</v>
      </c>
      <c r="U151">
        <f t="shared" si="142"/>
        <v>0</v>
      </c>
      <c r="V151">
        <f>V131</f>
        <v>1</v>
      </c>
      <c r="W151">
        <f>W131</f>
        <v>0.69</v>
      </c>
      <c r="X151">
        <f t="shared" si="127"/>
        <v>4.7000000000000002E-3</v>
      </c>
      <c r="Y151">
        <f t="shared" si="128"/>
        <v>0</v>
      </c>
      <c r="Z151">
        <v>0</v>
      </c>
      <c r="AA151">
        <f t="shared" si="143"/>
        <v>0</v>
      </c>
      <c r="AB151">
        <f t="shared" si="150"/>
        <v>1.3</v>
      </c>
      <c r="AC151">
        <f t="shared" si="129"/>
        <v>1</v>
      </c>
      <c r="AD151">
        <f t="shared" si="130"/>
        <v>0.5948500000000001</v>
      </c>
      <c r="AF151">
        <v>2.5</v>
      </c>
      <c r="AG151">
        <f t="shared" si="144"/>
        <v>0.99999627334682795</v>
      </c>
      <c r="AH151">
        <f t="shared" si="131"/>
        <v>1.2959122541335131</v>
      </c>
      <c r="AI151">
        <f t="shared" si="145"/>
        <v>1.2959074247180005</v>
      </c>
      <c r="AJ151">
        <f t="shared" si="132"/>
        <v>0.2591814849436001</v>
      </c>
      <c r="AK151">
        <f t="shared" si="133"/>
        <v>0.08</v>
      </c>
      <c r="AL151">
        <f t="shared" si="134"/>
        <v>0.35985974645170415</v>
      </c>
      <c r="AM151">
        <f t="shared" si="135"/>
        <v>0.19</v>
      </c>
      <c r="AN151">
        <f t="shared" si="136"/>
        <v>0.6784</v>
      </c>
      <c r="AO151">
        <f t="shared" si="137"/>
        <v>0</v>
      </c>
      <c r="AP151">
        <f t="shared" si="138"/>
        <v>2.1800706482960261E-4</v>
      </c>
      <c r="AQ151">
        <f t="shared" si="146"/>
        <v>2.1800706482960261E-4</v>
      </c>
      <c r="AR151">
        <f t="shared" si="139"/>
        <v>0.99465723328506195</v>
      </c>
      <c r="BA151">
        <v>18</v>
      </c>
      <c r="BB151">
        <v>0.8</v>
      </c>
      <c r="BC151">
        <f t="shared" si="147"/>
        <v>0</v>
      </c>
      <c r="BD151">
        <f t="shared" ref="BD151" si="157">(BA151 * BB151) / 365</f>
        <v>3.9452054794520547E-2</v>
      </c>
      <c r="BE151">
        <f t="shared" si="140"/>
        <v>0.1012</v>
      </c>
      <c r="BF151">
        <v>66</v>
      </c>
      <c r="BG151">
        <f t="shared" si="148"/>
        <v>0.83333333333333337</v>
      </c>
      <c r="BH151">
        <f t="shared" si="153"/>
        <v>6.6244939923823295E-3</v>
      </c>
      <c r="BI151">
        <f t="shared" si="149"/>
        <v>3.4844543598593687E-2</v>
      </c>
      <c r="BJ151">
        <f t="shared" si="141"/>
        <v>158.97823016858371</v>
      </c>
      <c r="BL151" s="28"/>
    </row>
    <row r="152" spans="5:64" x14ac:dyDescent="0.2">
      <c r="E152" s="12"/>
      <c r="F152" t="s">
        <v>164</v>
      </c>
      <c r="H152">
        <v>100</v>
      </c>
      <c r="I152">
        <v>0</v>
      </c>
      <c r="J152">
        <v>0</v>
      </c>
      <c r="L152">
        <f t="shared" si="126"/>
        <v>91.25</v>
      </c>
      <c r="N152">
        <v>0</v>
      </c>
      <c r="P152">
        <v>7.0000000000000007E-2</v>
      </c>
      <c r="R152">
        <v>0.55000000000000004</v>
      </c>
      <c r="T152">
        <v>55</v>
      </c>
      <c r="U152">
        <f t="shared" si="142"/>
        <v>0</v>
      </c>
      <c r="V152">
        <f>V131</f>
        <v>1</v>
      </c>
      <c r="W152">
        <f>W131</f>
        <v>0.69</v>
      </c>
      <c r="X152">
        <f t="shared" si="127"/>
        <v>4.7000000000000002E-3</v>
      </c>
      <c r="Y152">
        <f t="shared" si="128"/>
        <v>0</v>
      </c>
      <c r="Z152">
        <v>0</v>
      </c>
      <c r="AA152">
        <f t="shared" si="143"/>
        <v>0</v>
      </c>
      <c r="AB152">
        <f t="shared" si="150"/>
        <v>1.3</v>
      </c>
      <c r="AC152">
        <f t="shared" si="129"/>
        <v>1</v>
      </c>
      <c r="AD152">
        <f t="shared" si="130"/>
        <v>0.43585000000000007</v>
      </c>
      <c r="AF152">
        <v>2.5</v>
      </c>
      <c r="AG152">
        <f t="shared" si="144"/>
        <v>0.99999627334682795</v>
      </c>
      <c r="AH152">
        <f t="shared" si="131"/>
        <v>0.95969823125361531</v>
      </c>
      <c r="AI152">
        <f t="shared" si="145"/>
        <v>0.95969465479115756</v>
      </c>
      <c r="AJ152">
        <f t="shared" si="132"/>
        <v>6.7178625835381034E-2</v>
      </c>
      <c r="AK152">
        <f t="shared" si="133"/>
        <v>0.08</v>
      </c>
      <c r="AL152">
        <f t="shared" si="134"/>
        <v>0.43120689604353685</v>
      </c>
      <c r="AM152">
        <f t="shared" si="135"/>
        <v>0.19</v>
      </c>
      <c r="AN152">
        <f t="shared" si="136"/>
        <v>0.6784</v>
      </c>
      <c r="AO152">
        <f t="shared" si="137"/>
        <v>0</v>
      </c>
      <c r="AP152">
        <f t="shared" si="138"/>
        <v>2.6122996714041032E-4</v>
      </c>
      <c r="AQ152">
        <f t="shared" si="146"/>
        <v>2.6122996714041032E-4</v>
      </c>
      <c r="AR152">
        <f t="shared" si="139"/>
        <v>2.3837234501562445</v>
      </c>
      <c r="BA152">
        <f>BA151</f>
        <v>18</v>
      </c>
      <c r="BC152">
        <f t="shared" si="147"/>
        <v>0</v>
      </c>
      <c r="BD152">
        <f>BD151</f>
        <v>3.9452054794520547E-2</v>
      </c>
      <c r="BE152">
        <f t="shared" si="140"/>
        <v>0</v>
      </c>
      <c r="BF152">
        <v>66</v>
      </c>
      <c r="BG152">
        <f t="shared" si="148"/>
        <v>0.83333333333333337</v>
      </c>
      <c r="BH152">
        <f t="shared" si="153"/>
        <v>5.3023561643835617E-3</v>
      </c>
      <c r="BI152">
        <f t="shared" si="149"/>
        <v>5.4462239692774032E-3</v>
      </c>
      <c r="BJ152">
        <f t="shared" si="141"/>
        <v>49.696793719656299</v>
      </c>
      <c r="BL152" s="28"/>
    </row>
    <row r="153" spans="5:64" x14ac:dyDescent="0.2">
      <c r="E153" s="11"/>
      <c r="F153" t="s">
        <v>165</v>
      </c>
      <c r="H153">
        <v>90</v>
      </c>
      <c r="I153">
        <v>0</v>
      </c>
      <c r="J153">
        <v>0</v>
      </c>
      <c r="L153">
        <f t="shared" si="126"/>
        <v>91.25</v>
      </c>
      <c r="N153">
        <v>-0.1</v>
      </c>
      <c r="P153">
        <v>0.14000000000000001</v>
      </c>
      <c r="R153">
        <v>0.67</v>
      </c>
      <c r="T153">
        <v>50</v>
      </c>
      <c r="U153">
        <f t="shared" si="142"/>
        <v>0</v>
      </c>
      <c r="V153">
        <f>V131</f>
        <v>1</v>
      </c>
      <c r="W153">
        <f>W131</f>
        <v>0.69</v>
      </c>
      <c r="X153">
        <f t="shared" si="127"/>
        <v>4.7000000000000002E-3</v>
      </c>
      <c r="Y153">
        <f t="shared" si="128"/>
        <v>0</v>
      </c>
      <c r="Z153">
        <v>0</v>
      </c>
      <c r="AA153">
        <f t="shared" si="143"/>
        <v>0</v>
      </c>
      <c r="AB153">
        <f t="shared" si="150"/>
        <v>1.3</v>
      </c>
      <c r="AC153">
        <f t="shared" si="129"/>
        <v>1</v>
      </c>
      <c r="AD153">
        <f t="shared" si="130"/>
        <v>0.53125000000000011</v>
      </c>
      <c r="AF153">
        <v>1.3</v>
      </c>
      <c r="AG153">
        <f t="shared" si="144"/>
        <v>0.96595254526540064</v>
      </c>
      <c r="AH153">
        <f t="shared" si="131"/>
        <v>1.052440031254225</v>
      </c>
      <c r="AI153">
        <f t="shared" si="145"/>
        <v>1.0166071269292165</v>
      </c>
      <c r="AJ153">
        <f t="shared" si="132"/>
        <v>0.14232499777009033</v>
      </c>
      <c r="AK153">
        <f t="shared" si="133"/>
        <v>0.08</v>
      </c>
      <c r="AL153">
        <f t="shared" si="134"/>
        <v>0.34667435759496673</v>
      </c>
      <c r="AM153">
        <f t="shared" si="135"/>
        <v>0.19</v>
      </c>
      <c r="AN153">
        <f t="shared" si="136"/>
        <v>0.6784</v>
      </c>
      <c r="AO153">
        <f t="shared" si="137"/>
        <v>0</v>
      </c>
      <c r="AP153">
        <f t="shared" si="138"/>
        <v>2.1001920858383592E-4</v>
      </c>
      <c r="AQ153">
        <f t="shared" si="146"/>
        <v>2.1001920858383592E-4</v>
      </c>
      <c r="AR153">
        <f t="shared" si="139"/>
        <v>1.7247827504947524</v>
      </c>
      <c r="BA153">
        <f>BA151</f>
        <v>18</v>
      </c>
      <c r="BC153">
        <f t="shared" si="147"/>
        <v>0</v>
      </c>
      <c r="BD153">
        <f>BD151</f>
        <v>3.9452054794520547E-2</v>
      </c>
      <c r="BE153">
        <f t="shared" si="140"/>
        <v>-9.2000000000000012E-2</v>
      </c>
      <c r="BF153">
        <v>66</v>
      </c>
      <c r="BG153">
        <f t="shared" si="148"/>
        <v>0.75757575757575757</v>
      </c>
      <c r="BH153">
        <f t="shared" si="153"/>
        <v>4.0143387888308055E-3</v>
      </c>
      <c r="BI153">
        <f t="shared" si="149"/>
        <v>1.875766085438365E-2</v>
      </c>
      <c r="BJ153">
        <f t="shared" si="141"/>
        <v>154.04728976662571</v>
      </c>
      <c r="BL153" s="28"/>
    </row>
    <row r="154" spans="5:64" x14ac:dyDescent="0.2">
      <c r="E154" s="12"/>
      <c r="F154" t="s">
        <v>166</v>
      </c>
      <c r="H154">
        <v>80</v>
      </c>
      <c r="I154">
        <v>0</v>
      </c>
      <c r="J154">
        <v>0</v>
      </c>
      <c r="L154">
        <f t="shared" si="126"/>
        <v>91.25</v>
      </c>
      <c r="N154">
        <v>-0.1</v>
      </c>
      <c r="P154">
        <v>0.16</v>
      </c>
      <c r="R154">
        <v>0.7</v>
      </c>
      <c r="T154">
        <v>45</v>
      </c>
      <c r="U154">
        <f t="shared" si="142"/>
        <v>0</v>
      </c>
      <c r="V154">
        <f>V131</f>
        <v>1</v>
      </c>
      <c r="W154">
        <f>W131</f>
        <v>0.69</v>
      </c>
      <c r="X154">
        <f t="shared" si="127"/>
        <v>4.7000000000000002E-3</v>
      </c>
      <c r="Y154">
        <f t="shared" si="128"/>
        <v>0</v>
      </c>
      <c r="Z154">
        <v>0</v>
      </c>
      <c r="AA154">
        <f t="shared" si="143"/>
        <v>0</v>
      </c>
      <c r="AB154">
        <f t="shared" si="150"/>
        <v>1.3</v>
      </c>
      <c r="AC154">
        <f t="shared" si="129"/>
        <v>1</v>
      </c>
      <c r="AD154">
        <f t="shared" si="130"/>
        <v>0.55510000000000004</v>
      </c>
      <c r="AF154">
        <v>0.8</v>
      </c>
      <c r="AG154">
        <f t="shared" si="144"/>
        <v>0.72196269954680592</v>
      </c>
      <c r="AH154">
        <f t="shared" si="131"/>
        <v>0.98919258792655118</v>
      </c>
      <c r="AI154">
        <f t="shared" si="145"/>
        <v>0.71416015115114406</v>
      </c>
      <c r="AJ154">
        <f t="shared" si="132"/>
        <v>0.11426562418418305</v>
      </c>
      <c r="AK154">
        <f t="shared" si="133"/>
        <v>0.08</v>
      </c>
      <c r="AL154">
        <f t="shared" si="134"/>
        <v>0.21587711146862967</v>
      </c>
      <c r="AM154">
        <f t="shared" si="135"/>
        <v>0.19</v>
      </c>
      <c r="AN154">
        <f t="shared" si="136"/>
        <v>0.6784</v>
      </c>
      <c r="AO154">
        <f t="shared" si="137"/>
        <v>0</v>
      </c>
      <c r="AP154">
        <f t="shared" si="138"/>
        <v>1.3078077195134431E-4</v>
      </c>
      <c r="AQ154">
        <f t="shared" si="146"/>
        <v>1.3078077195134431E-4</v>
      </c>
      <c r="AR154">
        <f t="shared" si="139"/>
        <v>0.95469963524481338</v>
      </c>
      <c r="BA154">
        <f>BA151</f>
        <v>18</v>
      </c>
      <c r="BC154">
        <f t="shared" si="147"/>
        <v>0</v>
      </c>
      <c r="BD154">
        <f>BD151</f>
        <v>3.9452054794520547E-2</v>
      </c>
      <c r="BE154">
        <f t="shared" si="140"/>
        <v>-9.2000000000000012E-2</v>
      </c>
      <c r="BF154">
        <v>66</v>
      </c>
      <c r="BG154">
        <f t="shared" si="148"/>
        <v>0.68181818181818177</v>
      </c>
      <c r="BH154">
        <f t="shared" si="153"/>
        <v>3.903471151803224E-3</v>
      </c>
      <c r="BI154">
        <f t="shared" si="149"/>
        <v>1.4379028717666064E-2</v>
      </c>
      <c r="BJ154">
        <f t="shared" si="141"/>
        <v>104.96690963896228</v>
      </c>
      <c r="BL154" s="28"/>
    </row>
    <row r="161" spans="1:72" x14ac:dyDescent="0.2">
      <c r="A161" t="s">
        <v>274</v>
      </c>
      <c r="B161" t="s">
        <v>274</v>
      </c>
      <c r="C161" t="s">
        <v>274</v>
      </c>
      <c r="D161" t="s">
        <v>276</v>
      </c>
      <c r="E161" s="11" t="s">
        <v>169</v>
      </c>
      <c r="F161" t="s">
        <v>163</v>
      </c>
      <c r="H161">
        <v>100</v>
      </c>
      <c r="I161">
        <v>95</v>
      </c>
      <c r="J161">
        <v>90</v>
      </c>
      <c r="L161">
        <f t="shared" ref="L161:L184" si="158">$BZ$3</f>
        <v>91.25</v>
      </c>
      <c r="N161" cm="1">
        <f t="array" ref="N161:N184">_xlfn.DROP(_xlfn.XLOOKUP($C161,TableLWG2_1[[#Headers],[ACT/NSW]:[WA]],TableLWG2_1[[#All],[ACT/NSW]:[WA]]),1)</f>
        <v>0.11</v>
      </c>
      <c r="P161" cm="1">
        <f t="array" ref="P161:P184">_xlfn.DROP(_xlfn.XLOOKUP($C161,QueryCP[[#Headers],[ACT/NSW]:[WA]],QueryCP[[#All],[ACT/NSW]:[WA]]),1)</f>
        <v>0.16</v>
      </c>
      <c r="R161" cm="1">
        <f t="array" ref="R161:R184">_xlfn.DROP(_xlfn.XLOOKUP($C161,QueryDMD[[#Headers],[ACT/NSW]:[WA]],QueryDMD[[#All],[ACT/NSW]:[WA]]),1)</f>
        <v>0.7</v>
      </c>
      <c r="T161" cm="1">
        <f t="array" ref="T161:T184">_xlfn.DROP(_xlfn.XLOOKUP($C161,QueryW[[#Headers],[ACT/NSW]:[WA]],QueryW[[#All],[ACT/NSW]:[WA]]),1)</f>
        <v>55</v>
      </c>
      <c r="U161">
        <f>1-V161</f>
        <v>8.2999999999999741E-3</v>
      </c>
      <c r="V161">
        <f>IF($D161="yes", 1, VLOOKUP($B161, $BY$26:$CA$32, 2)/100)</f>
        <v>0.99170000000000003</v>
      </c>
      <c r="W161">
        <f>VLOOKUP($B161,$CA$10:$CB$16, 2, FALSE)</f>
        <v>0.73</v>
      </c>
      <c r="X161">
        <f t="shared" ref="X161:X184" si="159">$BZ$10</f>
        <v>4.7000000000000002E-3</v>
      </c>
      <c r="Y161">
        <f t="shared" ref="Y161:Y184" si="160">(I161/100)*(MIN(J161,100)/100)</f>
        <v>0.85499999999999998</v>
      </c>
      <c r="Z161">
        <v>0</v>
      </c>
      <c r="AA161">
        <f>1.6 * Z161</f>
        <v>0</v>
      </c>
      <c r="AB161">
        <f>$CC$1</f>
        <v>1.3</v>
      </c>
      <c r="AC161">
        <f t="shared" ref="AC161:AC184" si="161">Y161*AB161+(1-Y161)</f>
        <v>1.2565</v>
      </c>
      <c r="AD161">
        <f t="shared" ref="AD161:AD184" si="162">(0.795*R161)-0.0014</f>
        <v>0.55510000000000004</v>
      </c>
      <c r="AF161" cm="1">
        <f t="array" ref="AF161:AF184">_xlfn.DROP(_xlfn.XLOOKUP($C161,QueryDMA[[#Headers],[ACT/NSW]:[WA]],QueryDMA[[#All],[ACT/NSW]:[WA]]),1)</f>
        <v>3.2</v>
      </c>
      <c r="AG161">
        <f>1 - EXP(-2*(AF161^2))</f>
        <v>0.99999999872459233</v>
      </c>
      <c r="AH161">
        <f t="shared" ref="AH161:AH184" si="163">(104.7*AD161+0.307*T161-15)*(T161^0.75)*10^-3</f>
        <v>1.2118587484135388</v>
      </c>
      <c r="AI161">
        <f>AH161*AG161*AC161</f>
        <v>1.5227005154395477</v>
      </c>
      <c r="AJ161">
        <f t="shared" ref="AJ161:AJ184" si="164">(AI161 * P161) + (0.045 * AA161)</f>
        <v>0.24363208247032764</v>
      </c>
      <c r="AK161">
        <f t="shared" ref="AK161:AK184" si="165">$BZ$2</f>
        <v>0.08</v>
      </c>
      <c r="AL161">
        <f t="shared" ref="AL161:AL184" si="166">(AI161 * ((1 - R161) + (0.04 * AI161))) * ( 1 - AK161 )</f>
        <v>0.50559044269900633</v>
      </c>
      <c r="AM161">
        <f t="shared" ref="AM161:AM184" si="167">$BZ$1</f>
        <v>0.19</v>
      </c>
      <c r="AN161">
        <f t="shared" ref="AN161:AN184" si="168">$CA$20</f>
        <v>0.6784</v>
      </c>
      <c r="AO161">
        <f t="shared" ref="AO161:AO184" si="169">AL161 * AM161 * U161 * W161 * AN161</f>
        <v>3.9485646076921121E-4</v>
      </c>
      <c r="AP161">
        <f t="shared" ref="AP161:AP184" si="170">AL161*AM161*V161*X161*AN161</f>
        <v>3.0375012627177617E-4</v>
      </c>
      <c r="AQ161">
        <f>AO161+AP161</f>
        <v>6.9860658704098738E-4</v>
      </c>
      <c r="AR161">
        <f t="shared" ref="AR161:AR184" si="171">H161*AQ161*L161</f>
        <v>6.3747851067490107</v>
      </c>
      <c r="AS161">
        <f>SUM(AR161:AR184)*10^-3</f>
        <v>0.12146276071325623</v>
      </c>
      <c r="AT161" t="s">
        <v>276</v>
      </c>
      <c r="AU161">
        <f>IF(AT161="yes", 1,0)</f>
        <v>0</v>
      </c>
      <c r="AV161">
        <f>$BZ$4</f>
        <v>0.24</v>
      </c>
      <c r="AW161" t="s">
        <v>329</v>
      </c>
      <c r="AX161" s="28">
        <f>VLOOKUP(AW161,$CD$37:$CF$46,2, FALSE)</f>
        <v>2E-3</v>
      </c>
      <c r="AY161" s="28">
        <f>$BZ$7</f>
        <v>1.57</v>
      </c>
      <c r="AZ161">
        <f>$BZ$5</f>
        <v>0.21</v>
      </c>
      <c r="BA161">
        <v>20</v>
      </c>
      <c r="BB161">
        <v>0.8</v>
      </c>
      <c r="BC161">
        <f>Y161 * 1.6</f>
        <v>1.3680000000000001</v>
      </c>
      <c r="BD161">
        <f>(BA161 * BB161) / 365</f>
        <v>4.3835616438356165E-2</v>
      </c>
      <c r="BE161">
        <f t="shared" ref="BE161:BE184" si="172">N161 * 0.92</f>
        <v>0.1012</v>
      </c>
      <c r="BF161" cm="1">
        <f t="array" ref="BF161:BF184">_xlfn.DROP(_xlfn.XLOOKUP($C161,QuerySRW[[#Headers],[ACT/NSW]:[WA]],QuerySRW[[#All],[ACT/NSW]:[WA]]),1)</f>
        <v>50</v>
      </c>
      <c r="BG161">
        <f>T161 / BF161</f>
        <v>1.1000000000000001</v>
      </c>
      <c r="BH161">
        <f>((0.045 * BC161) + (BD161 * 0.84)  + (BE161 * ((212 - 4 * ((BE161 * 1000)/(4* (BF161^0.75)) - 1)) - ((140 - 4 * (((BE161 * 1000)/(4 * BF161 ^0.75)) - 1))/(1 + EXP(-6 * (BG161 - 0.4)))))) * 10^-3) / 6.25</f>
        <v>1.6940091175072919E-2</v>
      </c>
      <c r="BI161">
        <f>MAX((AJ161  / 6.25 ) - BH161, 0)</f>
        <v>2.2041042020179501E-2</v>
      </c>
      <c r="BJ161">
        <f t="shared" ref="BJ161:BJ184" si="173">H161*BI161*L161</f>
        <v>201.12450843413794</v>
      </c>
      <c r="BK161">
        <f>SUM(BJ161:BJ184)</f>
        <v>2955.0599379477699</v>
      </c>
      <c r="BL161" s="28">
        <f>BK161*$AU$11*$AV$11</f>
        <v>709.21438510746475</v>
      </c>
      <c r="BM161">
        <f>BK161 * AZ161</f>
        <v>620.5625869690316</v>
      </c>
      <c r="BN161" t="s">
        <v>226</v>
      </c>
      <c r="BO161">
        <f>VLOOKUP(BN161, $BY$37:$BZ$49, 2, FALSE)</f>
        <v>1.8E-3</v>
      </c>
      <c r="BP161">
        <f>BM161 * BO161 * AY161 * 10^-3</f>
        <v>1.7537098707744833E-3</v>
      </c>
      <c r="BQ161">
        <f>BK161 * AU161 * AV161</f>
        <v>0</v>
      </c>
      <c r="BR161">
        <f>$BZ$6</f>
        <v>1.0999999999999999E-2</v>
      </c>
      <c r="BS161">
        <f>BK161 * AX161 * AY161 * 10^-3</f>
        <v>9.2788882051559971E-3</v>
      </c>
      <c r="BT161">
        <f>BQ161 * BR161 * AY161 * 10^-3</f>
        <v>0</v>
      </c>
    </row>
    <row r="162" spans="1:72" x14ac:dyDescent="0.2">
      <c r="E162" s="12"/>
      <c r="F162" t="s">
        <v>164</v>
      </c>
      <c r="H162">
        <v>70</v>
      </c>
      <c r="I162">
        <v>0</v>
      </c>
      <c r="J162">
        <v>0</v>
      </c>
      <c r="L162">
        <f t="shared" si="158"/>
        <v>91.25</v>
      </c>
      <c r="N162">
        <v>-0.05</v>
      </c>
      <c r="P162">
        <v>7.0000000000000007E-2</v>
      </c>
      <c r="R162">
        <v>0.55000000000000004</v>
      </c>
      <c r="T162">
        <v>50</v>
      </c>
      <c r="U162">
        <f t="shared" ref="U162:U184" si="174">1-V162</f>
        <v>8.2999999999999741E-3</v>
      </c>
      <c r="V162">
        <f>V161</f>
        <v>0.99170000000000003</v>
      </c>
      <c r="W162">
        <f>W161</f>
        <v>0.73</v>
      </c>
      <c r="X162">
        <f t="shared" si="159"/>
        <v>4.7000000000000002E-3</v>
      </c>
      <c r="Y162">
        <f t="shared" si="160"/>
        <v>0</v>
      </c>
      <c r="Z162">
        <v>0</v>
      </c>
      <c r="AA162">
        <f t="shared" ref="AA162:AA184" si="175">1.6 * Z162</f>
        <v>0</v>
      </c>
      <c r="AB162">
        <f>$AB$11</f>
        <v>1.3</v>
      </c>
      <c r="AC162">
        <f t="shared" si="161"/>
        <v>1</v>
      </c>
      <c r="AD162">
        <f t="shared" si="162"/>
        <v>0.43585000000000007</v>
      </c>
      <c r="AF162">
        <v>3</v>
      </c>
      <c r="AG162">
        <f t="shared" ref="AG162:AG184" si="176">1 - EXP(-2*(AF162^2))</f>
        <v>0.99999998477002028</v>
      </c>
      <c r="AH162">
        <f t="shared" si="163"/>
        <v>0.8646283676396137</v>
      </c>
      <c r="AI162">
        <f t="shared" ref="AI162:AI184" si="177">AH162*AG162*AC162</f>
        <v>0.86462835447134123</v>
      </c>
      <c r="AJ162">
        <f t="shared" si="164"/>
        <v>6.052398481299389E-2</v>
      </c>
      <c r="AK162">
        <f t="shared" si="165"/>
        <v>0.08</v>
      </c>
      <c r="AL162">
        <f t="shared" si="166"/>
        <v>0.38546716339302944</v>
      </c>
      <c r="AM162">
        <f t="shared" si="167"/>
        <v>0.19</v>
      </c>
      <c r="AN162">
        <f t="shared" si="168"/>
        <v>0.6784</v>
      </c>
      <c r="AO162">
        <f t="shared" si="169"/>
        <v>3.0104247831031633E-4</v>
      </c>
      <c r="AP162">
        <f t="shared" si="170"/>
        <v>2.3158210611975671E-4</v>
      </c>
      <c r="AQ162">
        <f t="shared" ref="AQ162:AQ184" si="178">AO162+AP162</f>
        <v>5.3262458443007301E-4</v>
      </c>
      <c r="AR162">
        <f t="shared" si="171"/>
        <v>3.4021395330470914</v>
      </c>
      <c r="BA162">
        <f>BA161</f>
        <v>20</v>
      </c>
      <c r="BC162">
        <f t="shared" ref="BC162:BC184" si="179">Y162 * 1.6</f>
        <v>0</v>
      </c>
      <c r="BD162">
        <f>BD161</f>
        <v>4.3835616438356165E-2</v>
      </c>
      <c r="BE162">
        <f t="shared" si="172"/>
        <v>-4.6000000000000006E-2</v>
      </c>
      <c r="BF162">
        <v>50</v>
      </c>
      <c r="BG162">
        <f t="shared" ref="BG162:BG184" si="180">T162 / BF162</f>
        <v>1</v>
      </c>
      <c r="BH162">
        <f>((0.045 * BC162) + (BD$11 * 0.84)  + (BE162 * ((212 - 4 * ((BE162 * 1000)/(4* (BF162^0.75)) - 1)) - ((140 - 4 * (((BE162 * 1000)/(4 * BF162 ^0.75)) - 1))/(1 + EXP(-6 * (BG162 - 0.4)))))) * 10^-3) / 6.25</f>
        <v>5.3329193962142231E-3</v>
      </c>
      <c r="BI162">
        <f t="shared" ref="BI162:BI184" si="181">MAX((AJ162  / 6.25 ) - BH162, 0)</f>
        <v>4.3509181738647998E-3</v>
      </c>
      <c r="BJ162">
        <f t="shared" si="173"/>
        <v>27.791489835561411</v>
      </c>
      <c r="BL162" s="28"/>
    </row>
    <row r="163" spans="1:72" x14ac:dyDescent="0.2">
      <c r="E163" s="11"/>
      <c r="F163" t="s">
        <v>165</v>
      </c>
      <c r="H163">
        <v>65</v>
      </c>
      <c r="I163">
        <v>0</v>
      </c>
      <c r="J163">
        <v>0</v>
      </c>
      <c r="L163">
        <f t="shared" si="158"/>
        <v>91.25</v>
      </c>
      <c r="N163">
        <v>-0.02</v>
      </c>
      <c r="P163">
        <v>0.13</v>
      </c>
      <c r="R163">
        <v>0.65</v>
      </c>
      <c r="T163">
        <v>48</v>
      </c>
      <c r="U163">
        <f t="shared" si="174"/>
        <v>8.2999999999999741E-3</v>
      </c>
      <c r="V163">
        <f>V161</f>
        <v>0.99170000000000003</v>
      </c>
      <c r="W163">
        <f>W161</f>
        <v>0.73</v>
      </c>
      <c r="X163">
        <f t="shared" si="159"/>
        <v>4.7000000000000002E-3</v>
      </c>
      <c r="Y163">
        <f t="shared" si="160"/>
        <v>0</v>
      </c>
      <c r="Z163">
        <v>0</v>
      </c>
      <c r="AA163">
        <f t="shared" si="175"/>
        <v>0</v>
      </c>
      <c r="AB163">
        <f t="shared" ref="AB163:AB184" si="182">$AB$11</f>
        <v>1.3</v>
      </c>
      <c r="AC163">
        <f t="shared" si="161"/>
        <v>1</v>
      </c>
      <c r="AD163">
        <f t="shared" si="162"/>
        <v>0.51535000000000009</v>
      </c>
      <c r="AF163">
        <v>1.8</v>
      </c>
      <c r="AG163">
        <f t="shared" si="176"/>
        <v>0.99846618932067555</v>
      </c>
      <c r="AH163">
        <f t="shared" si="163"/>
        <v>0.97915122350076966</v>
      </c>
      <c r="AI163">
        <f t="shared" si="177"/>
        <v>0.97764939089749059</v>
      </c>
      <c r="AJ163">
        <f t="shared" si="164"/>
        <v>0.12709442081667377</v>
      </c>
      <c r="AK163">
        <f t="shared" si="165"/>
        <v>0.08</v>
      </c>
      <c r="AL163">
        <f t="shared" si="166"/>
        <v>0.3499764824690102</v>
      </c>
      <c r="AM163">
        <f t="shared" si="167"/>
        <v>0.19</v>
      </c>
      <c r="AN163">
        <f t="shared" si="168"/>
        <v>0.6784</v>
      </c>
      <c r="AO163">
        <f t="shared" si="169"/>
        <v>2.7332493565832759E-4</v>
      </c>
      <c r="AP163">
        <f t="shared" si="170"/>
        <v>2.1025990953195452E-4</v>
      </c>
      <c r="AQ163">
        <f t="shared" si="178"/>
        <v>4.8358484519028214E-4</v>
      </c>
      <c r="AR163">
        <f t="shared" si="171"/>
        <v>2.8682626130348607</v>
      </c>
      <c r="BA163">
        <f>BA161</f>
        <v>20</v>
      </c>
      <c r="BC163">
        <f t="shared" si="179"/>
        <v>0</v>
      </c>
      <c r="BD163">
        <f>BD161</f>
        <v>4.3835616438356165E-2</v>
      </c>
      <c r="BE163">
        <f t="shared" si="172"/>
        <v>-1.84E-2</v>
      </c>
      <c r="BF163">
        <v>50</v>
      </c>
      <c r="BG163">
        <f t="shared" si="180"/>
        <v>0.96</v>
      </c>
      <c r="BH163">
        <f t="shared" ref="BH163:BH164" si="183">((0.045 * BC163) + (BD$11 * 0.84)  + (BE163 * ((212 - 4 * ((BE163 * 1000)/(4* (BF163^0.75)) - 1)) - ((140 - 4 * (((BE163 * 1000)/(4 * BF163 ^0.75)) - 1))/(1 + EXP(-6 * (BG163 - 0.4)))))) * 10^-3) / 6.25</f>
        <v>5.6652109375116087E-3</v>
      </c>
      <c r="BI163">
        <f t="shared" si="181"/>
        <v>1.4669896393156195E-2</v>
      </c>
      <c r="BJ163">
        <f t="shared" si="173"/>
        <v>87.01082298190768</v>
      </c>
      <c r="BL163" s="28"/>
    </row>
    <row r="164" spans="1:72" x14ac:dyDescent="0.2">
      <c r="E164" s="12"/>
      <c r="F164" t="s">
        <v>166</v>
      </c>
      <c r="H164">
        <v>80</v>
      </c>
      <c r="I164">
        <v>0</v>
      </c>
      <c r="J164">
        <v>0</v>
      </c>
      <c r="L164">
        <f t="shared" si="158"/>
        <v>91.25</v>
      </c>
      <c r="N164">
        <v>-0.03</v>
      </c>
      <c r="P164">
        <v>0.1</v>
      </c>
      <c r="R164">
        <v>0.6</v>
      </c>
      <c r="T164">
        <v>45</v>
      </c>
      <c r="U164">
        <f t="shared" si="174"/>
        <v>8.2999999999999741E-3</v>
      </c>
      <c r="V164">
        <f>V161</f>
        <v>0.99170000000000003</v>
      </c>
      <c r="W164">
        <f>W161</f>
        <v>0.73</v>
      </c>
      <c r="X164">
        <f t="shared" si="159"/>
        <v>4.7000000000000002E-3</v>
      </c>
      <c r="Y164">
        <f t="shared" si="160"/>
        <v>0</v>
      </c>
      <c r="Z164">
        <v>0</v>
      </c>
      <c r="AA164">
        <f t="shared" si="175"/>
        <v>0</v>
      </c>
      <c r="AB164">
        <f t="shared" si="182"/>
        <v>1.3</v>
      </c>
      <c r="AC164">
        <f t="shared" si="161"/>
        <v>1</v>
      </c>
      <c r="AD164">
        <f t="shared" si="162"/>
        <v>0.47559999999999997</v>
      </c>
      <c r="AF164">
        <v>1</v>
      </c>
      <c r="AG164">
        <f t="shared" si="176"/>
        <v>0.8646647167633873</v>
      </c>
      <c r="AH164">
        <f t="shared" si="163"/>
        <v>0.84457430670543054</v>
      </c>
      <c r="AI164">
        <f t="shared" si="177"/>
        <v>0.73027360369308525</v>
      </c>
      <c r="AJ164">
        <f t="shared" si="164"/>
        <v>7.3027360369308528E-2</v>
      </c>
      <c r="AK164">
        <f t="shared" si="165"/>
        <v>0.08</v>
      </c>
      <c r="AL164">
        <f t="shared" si="166"/>
        <v>0.28836610909308796</v>
      </c>
      <c r="AM164">
        <f t="shared" si="167"/>
        <v>0.19</v>
      </c>
      <c r="AN164">
        <f t="shared" si="168"/>
        <v>0.6784</v>
      </c>
      <c r="AO164">
        <f t="shared" si="169"/>
        <v>2.2520841302783737E-4</v>
      </c>
      <c r="AP164">
        <f t="shared" si="170"/>
        <v>1.7324544661472571E-4</v>
      </c>
      <c r="AQ164">
        <f t="shared" si="178"/>
        <v>3.9845385964256308E-4</v>
      </c>
      <c r="AR164">
        <f t="shared" si="171"/>
        <v>2.9087131753907101</v>
      </c>
      <c r="BA164">
        <f>BA161</f>
        <v>20</v>
      </c>
      <c r="BC164">
        <f t="shared" si="179"/>
        <v>0</v>
      </c>
      <c r="BD164">
        <f>BD161</f>
        <v>4.3835616438356165E-2</v>
      </c>
      <c r="BE164">
        <f t="shared" si="172"/>
        <v>-2.76E-2</v>
      </c>
      <c r="BF164">
        <v>50</v>
      </c>
      <c r="BG164">
        <f t="shared" si="180"/>
        <v>0.9</v>
      </c>
      <c r="BH164">
        <f t="shared" si="183"/>
        <v>5.5430891312035456E-3</v>
      </c>
      <c r="BI164">
        <f t="shared" si="181"/>
        <v>6.1412885278858183E-3</v>
      </c>
      <c r="BJ164">
        <f t="shared" si="173"/>
        <v>44.831406253566477</v>
      </c>
      <c r="BL164" s="28"/>
    </row>
    <row r="165" spans="1:72" x14ac:dyDescent="0.2">
      <c r="E165" s="11" t="s">
        <v>171</v>
      </c>
      <c r="F165" t="s">
        <v>163</v>
      </c>
      <c r="H165">
        <v>200</v>
      </c>
      <c r="I165">
        <v>0</v>
      </c>
      <c r="J165">
        <v>0</v>
      </c>
      <c r="L165">
        <f t="shared" si="158"/>
        <v>91.25</v>
      </c>
      <c r="N165">
        <v>0.15</v>
      </c>
      <c r="P165">
        <v>0.16</v>
      </c>
      <c r="R165">
        <v>0.7</v>
      </c>
      <c r="T165">
        <v>22</v>
      </c>
      <c r="U165">
        <f t="shared" si="174"/>
        <v>8.2999999999999741E-3</v>
      </c>
      <c r="V165">
        <f>V161</f>
        <v>0.99170000000000003</v>
      </c>
      <c r="W165">
        <f>W161</f>
        <v>0.73</v>
      </c>
      <c r="X165">
        <f t="shared" si="159"/>
        <v>4.7000000000000002E-3</v>
      </c>
      <c r="Y165">
        <f t="shared" si="160"/>
        <v>0</v>
      </c>
      <c r="Z165">
        <v>1</v>
      </c>
      <c r="AA165">
        <f t="shared" si="175"/>
        <v>1.6</v>
      </c>
      <c r="AB165">
        <f t="shared" si="182"/>
        <v>1.3</v>
      </c>
      <c r="AC165">
        <f t="shared" si="161"/>
        <v>1</v>
      </c>
      <c r="AD165">
        <f t="shared" si="162"/>
        <v>0.55510000000000004</v>
      </c>
      <c r="AF165">
        <v>3.2</v>
      </c>
      <c r="AG165">
        <f t="shared" si="176"/>
        <v>0.99999999872459233</v>
      </c>
      <c r="AH165">
        <f t="shared" si="163"/>
        <v>0.50661989714547884</v>
      </c>
      <c r="AI165">
        <f t="shared" si="177"/>
        <v>0.50661989649933192</v>
      </c>
      <c r="AJ165">
        <f t="shared" si="164"/>
        <v>0.15305918343989311</v>
      </c>
      <c r="AK165">
        <f t="shared" si="165"/>
        <v>0.08</v>
      </c>
      <c r="AL165">
        <f t="shared" si="166"/>
        <v>0.14927231631248258</v>
      </c>
      <c r="AM165">
        <f t="shared" si="167"/>
        <v>0.19</v>
      </c>
      <c r="AN165">
        <f t="shared" si="168"/>
        <v>0.6784</v>
      </c>
      <c r="AO165">
        <f t="shared" si="169"/>
        <v>1.1657882256500357E-4</v>
      </c>
      <c r="AP165">
        <f t="shared" si="170"/>
        <v>8.9680265091146702E-5</v>
      </c>
      <c r="AQ165">
        <f t="shared" si="178"/>
        <v>2.0625908765615027E-4</v>
      </c>
      <c r="AR165">
        <f t="shared" si="171"/>
        <v>3.7642283497247426</v>
      </c>
      <c r="BA165">
        <v>15</v>
      </c>
      <c r="BB165">
        <v>0.85</v>
      </c>
      <c r="BC165">
        <f t="shared" si="179"/>
        <v>0</v>
      </c>
      <c r="BD165">
        <f t="shared" ref="BD165" si="184">(BA165 * BB165) / 365</f>
        <v>3.4931506849315071E-2</v>
      </c>
      <c r="BE165">
        <f t="shared" si="172"/>
        <v>0.13800000000000001</v>
      </c>
      <c r="BF165">
        <v>55</v>
      </c>
      <c r="BG165">
        <f t="shared" si="180"/>
        <v>0.4</v>
      </c>
      <c r="BH165">
        <f>((0.045 * BC165) + (BD$15 * 0.84)  + (BE165 * ((212 - 4 * ((BE165 * 1000)/(4* (BF165^0.75)) - 1)) - ((140 - 4 * (((BE165 * 1000)/(4 * BF165 ^0.75)) - 1))/(1 + EXP(-6 * (BG165 - 0.4)))))) * 10^-3) / 6.25</f>
        <v>7.7988789563833306E-3</v>
      </c>
      <c r="BI165">
        <f t="shared" si="181"/>
        <v>1.6690590393999567E-2</v>
      </c>
      <c r="BJ165">
        <f t="shared" si="173"/>
        <v>304.60327469049207</v>
      </c>
      <c r="BL165" s="28"/>
    </row>
    <row r="166" spans="1:72" x14ac:dyDescent="0.2">
      <c r="E166" s="12"/>
      <c r="F166" t="s">
        <v>164</v>
      </c>
      <c r="H166">
        <v>210</v>
      </c>
      <c r="I166">
        <v>0</v>
      </c>
      <c r="J166">
        <v>0</v>
      </c>
      <c r="L166">
        <f t="shared" si="158"/>
        <v>91.25</v>
      </c>
      <c r="N166">
        <v>7.0000000000000007E-2</v>
      </c>
      <c r="P166">
        <v>7.0000000000000007E-2</v>
      </c>
      <c r="R166">
        <v>0.55000000000000004</v>
      </c>
      <c r="T166">
        <v>28</v>
      </c>
      <c r="U166">
        <f t="shared" si="174"/>
        <v>8.2999999999999741E-3</v>
      </c>
      <c r="V166">
        <f>V161</f>
        <v>0.99170000000000003</v>
      </c>
      <c r="W166">
        <f>W161</f>
        <v>0.73</v>
      </c>
      <c r="X166">
        <f t="shared" si="159"/>
        <v>4.7000000000000002E-3</v>
      </c>
      <c r="Y166">
        <f t="shared" si="160"/>
        <v>0</v>
      </c>
      <c r="Z166">
        <v>0</v>
      </c>
      <c r="AA166">
        <f t="shared" si="175"/>
        <v>0</v>
      </c>
      <c r="AB166">
        <f t="shared" si="182"/>
        <v>1.3</v>
      </c>
      <c r="AC166">
        <f t="shared" si="161"/>
        <v>1</v>
      </c>
      <c r="AD166">
        <f t="shared" si="162"/>
        <v>0.43585000000000007</v>
      </c>
      <c r="AF166">
        <v>3</v>
      </c>
      <c r="AG166">
        <f t="shared" si="176"/>
        <v>0.99999998477002028</v>
      </c>
      <c r="AH166">
        <f t="shared" si="163"/>
        <v>0.47750864762612716</v>
      </c>
      <c r="AI166">
        <f t="shared" si="177"/>
        <v>0.47750864035368012</v>
      </c>
      <c r="AJ166">
        <f t="shared" si="164"/>
        <v>3.3425604824757614E-2</v>
      </c>
      <c r="AK166">
        <f t="shared" si="165"/>
        <v>0.08</v>
      </c>
      <c r="AL166">
        <f t="shared" si="166"/>
        <v>0.20607951076576064</v>
      </c>
      <c r="AM166">
        <f t="shared" si="167"/>
        <v>0.19</v>
      </c>
      <c r="AN166">
        <f t="shared" si="168"/>
        <v>0.6784</v>
      </c>
      <c r="AO166">
        <f t="shared" si="169"/>
        <v>1.6094415437054054E-4</v>
      </c>
      <c r="AP166">
        <f t="shared" si="170"/>
        <v>1.238090599240053E-4</v>
      </c>
      <c r="AQ166">
        <f t="shared" si="178"/>
        <v>2.8475321429454587E-4</v>
      </c>
      <c r="AR166">
        <f t="shared" si="171"/>
        <v>5.4565834689192352</v>
      </c>
      <c r="BA166">
        <f>BA165</f>
        <v>15</v>
      </c>
      <c r="BC166">
        <f t="shared" si="179"/>
        <v>0</v>
      </c>
      <c r="BD166">
        <f>BD165</f>
        <v>3.4931506849315071E-2</v>
      </c>
      <c r="BE166">
        <f t="shared" si="172"/>
        <v>6.4400000000000013E-2</v>
      </c>
      <c r="BF166">
        <v>55</v>
      </c>
      <c r="BG166">
        <f t="shared" si="180"/>
        <v>0.50909090909090904</v>
      </c>
      <c r="BH166">
        <f t="shared" ref="BH166:BH184" si="185">((0.045 * BC166) + (BD166 * 0.84)  + (BE166 * ((212 - 4 * ((BE166 * 1000)/(4* (BF166^0.75)) - 1)) - ((140 - 4 * (((BE166 * 1000)/(4 * BF166 ^0.75)) - 1))/(1 + EXP(-6 * (BG166 - 0.4)))))) * 10^-3) / 6.25</f>
        <v>5.9328476442243603E-3</v>
      </c>
      <c r="BI166">
        <f t="shared" si="181"/>
        <v>0</v>
      </c>
      <c r="BJ166">
        <f t="shared" si="173"/>
        <v>0</v>
      </c>
      <c r="BL166" s="28"/>
    </row>
    <row r="167" spans="1:72" x14ac:dyDescent="0.2">
      <c r="E167" s="11"/>
      <c r="F167" t="s">
        <v>165</v>
      </c>
      <c r="H167">
        <v>170</v>
      </c>
      <c r="I167">
        <v>0</v>
      </c>
      <c r="J167">
        <v>0</v>
      </c>
      <c r="L167">
        <f t="shared" si="158"/>
        <v>91.25</v>
      </c>
      <c r="N167">
        <v>0.05</v>
      </c>
      <c r="P167">
        <v>0.13</v>
      </c>
      <c r="R167">
        <v>0.65</v>
      </c>
      <c r="T167">
        <v>33</v>
      </c>
      <c r="U167">
        <f t="shared" si="174"/>
        <v>8.2999999999999741E-3</v>
      </c>
      <c r="V167">
        <f>V161</f>
        <v>0.99170000000000003</v>
      </c>
      <c r="W167">
        <f>W161</f>
        <v>0.73</v>
      </c>
      <c r="X167">
        <f t="shared" si="159"/>
        <v>4.7000000000000002E-3</v>
      </c>
      <c r="Y167">
        <f t="shared" si="160"/>
        <v>0</v>
      </c>
      <c r="Z167">
        <v>0</v>
      </c>
      <c r="AA167">
        <f t="shared" si="175"/>
        <v>0</v>
      </c>
      <c r="AB167">
        <f t="shared" si="182"/>
        <v>1.3</v>
      </c>
      <c r="AC167">
        <f t="shared" si="161"/>
        <v>1</v>
      </c>
      <c r="AD167">
        <f t="shared" si="162"/>
        <v>0.51535000000000009</v>
      </c>
      <c r="AF167">
        <v>1.8</v>
      </c>
      <c r="AG167">
        <f t="shared" si="176"/>
        <v>0.99846618932067555</v>
      </c>
      <c r="AH167">
        <f t="shared" si="163"/>
        <v>0.67586829739226073</v>
      </c>
      <c r="AI167">
        <f t="shared" si="177"/>
        <v>0.67483164337990365</v>
      </c>
      <c r="AJ167">
        <f t="shared" si="164"/>
        <v>8.772811363938747E-2</v>
      </c>
      <c r="AK167">
        <f t="shared" si="165"/>
        <v>0.08</v>
      </c>
      <c r="AL167">
        <f t="shared" si="166"/>
        <v>0.23405442625450001</v>
      </c>
      <c r="AM167">
        <f t="shared" si="167"/>
        <v>0.19</v>
      </c>
      <c r="AN167">
        <f t="shared" si="168"/>
        <v>0.6784</v>
      </c>
      <c r="AO167">
        <f t="shared" si="169"/>
        <v>1.8279202803926314E-4</v>
      </c>
      <c r="AP167">
        <f t="shared" si="170"/>
        <v>1.4061591265402342E-4</v>
      </c>
      <c r="AQ167">
        <f t="shared" si="178"/>
        <v>3.2340794069328656E-4</v>
      </c>
      <c r="AR167">
        <f t="shared" si="171"/>
        <v>5.0168656800046083</v>
      </c>
      <c r="BA167">
        <f>BA165</f>
        <v>15</v>
      </c>
      <c r="BC167">
        <f t="shared" si="179"/>
        <v>0</v>
      </c>
      <c r="BD167">
        <f>BD165</f>
        <v>3.4931506849315071E-2</v>
      </c>
      <c r="BE167">
        <f t="shared" si="172"/>
        <v>4.6000000000000006E-2</v>
      </c>
      <c r="BF167">
        <v>55</v>
      </c>
      <c r="BG167">
        <f t="shared" si="180"/>
        <v>0.6</v>
      </c>
      <c r="BH167">
        <f t="shared" si="185"/>
        <v>5.4661608887717076E-3</v>
      </c>
      <c r="BI167">
        <f t="shared" si="181"/>
        <v>8.5703372935302877E-3</v>
      </c>
      <c r="BJ167">
        <f t="shared" si="173"/>
        <v>132.9473572658886</v>
      </c>
      <c r="BL167" s="28"/>
    </row>
    <row r="168" spans="1:72" x14ac:dyDescent="0.2">
      <c r="E168" s="12"/>
      <c r="F168" t="s">
        <v>166</v>
      </c>
      <c r="H168">
        <v>200</v>
      </c>
      <c r="I168">
        <v>0</v>
      </c>
      <c r="J168">
        <v>0</v>
      </c>
      <c r="L168">
        <f t="shared" si="158"/>
        <v>91.25</v>
      </c>
      <c r="N168">
        <v>0.02</v>
      </c>
      <c r="P168">
        <v>0.1</v>
      </c>
      <c r="R168">
        <v>0.6</v>
      </c>
      <c r="T168">
        <v>35</v>
      </c>
      <c r="U168">
        <f t="shared" si="174"/>
        <v>8.2999999999999741E-3</v>
      </c>
      <c r="V168">
        <f>V161</f>
        <v>0.99170000000000003</v>
      </c>
      <c r="W168">
        <f>W161</f>
        <v>0.73</v>
      </c>
      <c r="X168">
        <f t="shared" si="159"/>
        <v>4.7000000000000002E-3</v>
      </c>
      <c r="Y168">
        <f t="shared" si="160"/>
        <v>0</v>
      </c>
      <c r="Z168">
        <v>0</v>
      </c>
      <c r="AA168">
        <f t="shared" si="175"/>
        <v>0</v>
      </c>
      <c r="AB168">
        <f t="shared" si="182"/>
        <v>1.3</v>
      </c>
      <c r="AC168">
        <f t="shared" si="161"/>
        <v>1</v>
      </c>
      <c r="AD168">
        <f t="shared" si="162"/>
        <v>0.47559999999999997</v>
      </c>
      <c r="AF168">
        <v>1</v>
      </c>
      <c r="AG168">
        <f t="shared" si="176"/>
        <v>0.8646647167633873</v>
      </c>
      <c r="AH168">
        <f t="shared" si="163"/>
        <v>0.65531047667424769</v>
      </c>
      <c r="AI168">
        <f t="shared" si="177"/>
        <v>0.56662384770561869</v>
      </c>
      <c r="AJ168">
        <f t="shared" si="164"/>
        <v>5.6662384770561874E-2</v>
      </c>
      <c r="AK168">
        <f t="shared" si="165"/>
        <v>0.08</v>
      </c>
      <c r="AL168">
        <f t="shared" si="166"/>
        <v>0.2203326790758926</v>
      </c>
      <c r="AM168">
        <f t="shared" si="167"/>
        <v>0.19</v>
      </c>
      <c r="AN168">
        <f t="shared" si="168"/>
        <v>0.6784</v>
      </c>
      <c r="AO168">
        <f t="shared" si="169"/>
        <v>1.720756060721248E-4</v>
      </c>
      <c r="AP168">
        <f t="shared" si="170"/>
        <v>1.3237212067108688E-4</v>
      </c>
      <c r="AQ168">
        <f t="shared" si="178"/>
        <v>3.0444772674321168E-4</v>
      </c>
      <c r="AR168">
        <f t="shared" si="171"/>
        <v>5.5561710130636133</v>
      </c>
      <c r="BA168">
        <f>BA165</f>
        <v>15</v>
      </c>
      <c r="BC168">
        <f t="shared" si="179"/>
        <v>0</v>
      </c>
      <c r="BD168">
        <f>BD165</f>
        <v>3.4931506849315071E-2</v>
      </c>
      <c r="BE168">
        <f t="shared" si="172"/>
        <v>1.84E-2</v>
      </c>
      <c r="BF168">
        <v>55</v>
      </c>
      <c r="BG168">
        <f t="shared" si="180"/>
        <v>0.63636363636363635</v>
      </c>
      <c r="BH168">
        <f t="shared" si="185"/>
        <v>4.9888845995640432E-3</v>
      </c>
      <c r="BI168">
        <f t="shared" si="181"/>
        <v>4.0770969637258566E-3</v>
      </c>
      <c r="BJ168">
        <f t="shared" si="173"/>
        <v>74.407019587996885</v>
      </c>
      <c r="BL168" s="28"/>
    </row>
    <row r="169" spans="1:72" x14ac:dyDescent="0.2">
      <c r="E169" s="11" t="s">
        <v>168</v>
      </c>
      <c r="F169" t="s">
        <v>163</v>
      </c>
      <c r="H169">
        <v>100</v>
      </c>
      <c r="I169">
        <v>95</v>
      </c>
      <c r="J169">
        <v>92</v>
      </c>
      <c r="L169">
        <f t="shared" si="158"/>
        <v>91.25</v>
      </c>
      <c r="N169">
        <v>0.16</v>
      </c>
      <c r="P169">
        <v>0.16</v>
      </c>
      <c r="R169">
        <v>0.7</v>
      </c>
      <c r="T169">
        <v>50</v>
      </c>
      <c r="U169">
        <f t="shared" si="174"/>
        <v>8.2999999999999741E-3</v>
      </c>
      <c r="V169">
        <f>V161</f>
        <v>0.99170000000000003</v>
      </c>
      <c r="W169">
        <f>W161</f>
        <v>0.73</v>
      </c>
      <c r="X169">
        <f t="shared" si="159"/>
        <v>4.7000000000000002E-3</v>
      </c>
      <c r="Y169">
        <f t="shared" si="160"/>
        <v>0.874</v>
      </c>
      <c r="Z169">
        <v>0</v>
      </c>
      <c r="AA169">
        <f t="shared" si="175"/>
        <v>0</v>
      </c>
      <c r="AB169">
        <f t="shared" si="182"/>
        <v>1.3</v>
      </c>
      <c r="AC169">
        <f t="shared" si="161"/>
        <v>1.2622</v>
      </c>
      <c r="AD169">
        <f t="shared" si="162"/>
        <v>0.55510000000000004</v>
      </c>
      <c r="AF169">
        <v>3.2</v>
      </c>
      <c r="AG169">
        <f t="shared" si="176"/>
        <v>0.99999999872459233</v>
      </c>
      <c r="AH169">
        <f t="shared" si="163"/>
        <v>1.0993929471578776</v>
      </c>
      <c r="AI169">
        <f t="shared" si="177"/>
        <v>1.3876537761328489</v>
      </c>
      <c r="AJ169">
        <f t="shared" si="164"/>
        <v>0.22202460418125583</v>
      </c>
      <c r="AK169">
        <f t="shared" si="165"/>
        <v>0.08</v>
      </c>
      <c r="AL169">
        <f t="shared" si="166"/>
        <v>0.45385389670156617</v>
      </c>
      <c r="AM169">
        <f t="shared" si="167"/>
        <v>0.19</v>
      </c>
      <c r="AN169">
        <f t="shared" si="168"/>
        <v>0.6784</v>
      </c>
      <c r="AO169">
        <f t="shared" si="169"/>
        <v>3.5445120837575479E-4</v>
      </c>
      <c r="AP169">
        <f t="shared" si="170"/>
        <v>2.7266769066303261E-4</v>
      </c>
      <c r="AQ169">
        <f t="shared" si="178"/>
        <v>6.2711889903878739E-4</v>
      </c>
      <c r="AR169">
        <f t="shared" si="171"/>
        <v>5.7224599537289356</v>
      </c>
      <c r="BA169">
        <v>18</v>
      </c>
      <c r="BB169">
        <v>0.8</v>
      </c>
      <c r="BC169">
        <f t="shared" si="179"/>
        <v>1.3984000000000001</v>
      </c>
      <c r="BD169">
        <f t="shared" ref="BD169" si="186">(BA169 * BB169) / 365</f>
        <v>3.9452054794520547E-2</v>
      </c>
      <c r="BE169">
        <f t="shared" si="172"/>
        <v>0.1472</v>
      </c>
      <c r="BF169">
        <v>50</v>
      </c>
      <c r="BG169">
        <f t="shared" si="180"/>
        <v>1</v>
      </c>
      <c r="BH169">
        <f t="shared" si="185"/>
        <v>1.7151879659749389E-2</v>
      </c>
      <c r="BI169">
        <f t="shared" si="181"/>
        <v>1.8372057009251541E-2</v>
      </c>
      <c r="BJ169">
        <f t="shared" si="173"/>
        <v>167.64502020942032</v>
      </c>
      <c r="BL169" s="28"/>
    </row>
    <row r="170" spans="1:72" x14ac:dyDescent="0.2">
      <c r="E170" s="12"/>
      <c r="F170" t="s">
        <v>164</v>
      </c>
      <c r="H170">
        <v>140</v>
      </c>
      <c r="I170">
        <v>0</v>
      </c>
      <c r="J170">
        <v>0</v>
      </c>
      <c r="L170">
        <f t="shared" si="158"/>
        <v>91.25</v>
      </c>
      <c r="N170">
        <v>-0.05</v>
      </c>
      <c r="P170">
        <v>7.0000000000000007E-2</v>
      </c>
      <c r="R170">
        <v>0.55000000000000004</v>
      </c>
      <c r="T170">
        <v>45</v>
      </c>
      <c r="U170">
        <f t="shared" si="174"/>
        <v>8.2999999999999741E-3</v>
      </c>
      <c r="V170">
        <f>V161</f>
        <v>0.99170000000000003</v>
      </c>
      <c r="W170">
        <f>W161</f>
        <v>0.73</v>
      </c>
      <c r="X170">
        <f t="shared" si="159"/>
        <v>4.7000000000000002E-3</v>
      </c>
      <c r="Y170">
        <f t="shared" si="160"/>
        <v>0</v>
      </c>
      <c r="Z170">
        <v>0</v>
      </c>
      <c r="AA170">
        <f t="shared" si="175"/>
        <v>0</v>
      </c>
      <c r="AB170">
        <f t="shared" si="182"/>
        <v>1.3</v>
      </c>
      <c r="AC170">
        <f t="shared" si="161"/>
        <v>1</v>
      </c>
      <c r="AD170">
        <f t="shared" si="162"/>
        <v>0.43585000000000007</v>
      </c>
      <c r="AF170">
        <v>3</v>
      </c>
      <c r="AG170">
        <f t="shared" si="176"/>
        <v>0.99999998477002028</v>
      </c>
      <c r="AH170">
        <f t="shared" si="163"/>
        <v>0.77226516609487061</v>
      </c>
      <c r="AI170">
        <f t="shared" si="177"/>
        <v>0.7722651543332878</v>
      </c>
      <c r="AJ170">
        <f t="shared" si="164"/>
        <v>5.4058560803330151E-2</v>
      </c>
      <c r="AK170">
        <f t="shared" si="165"/>
        <v>0.08</v>
      </c>
      <c r="AL170">
        <f t="shared" si="166"/>
        <v>0.34166505353836607</v>
      </c>
      <c r="AM170">
        <f t="shared" si="167"/>
        <v>0.19</v>
      </c>
      <c r="AN170">
        <f t="shared" si="168"/>
        <v>0.6784</v>
      </c>
      <c r="AO170">
        <f t="shared" si="169"/>
        <v>2.6683386871099855E-4</v>
      </c>
      <c r="AP170">
        <f t="shared" si="170"/>
        <v>2.0526654459866004E-4</v>
      </c>
      <c r="AQ170">
        <f t="shared" si="178"/>
        <v>4.7210041330965856E-4</v>
      </c>
      <c r="AR170">
        <f t="shared" si="171"/>
        <v>6.0310827800308875</v>
      </c>
      <c r="BA170">
        <f>BA169</f>
        <v>18</v>
      </c>
      <c r="BC170">
        <f t="shared" si="179"/>
        <v>0</v>
      </c>
      <c r="BD170">
        <f>BD169</f>
        <v>3.9452054794520547E-2</v>
      </c>
      <c r="BE170">
        <f t="shared" si="172"/>
        <v>-4.6000000000000006E-2</v>
      </c>
      <c r="BF170">
        <v>50</v>
      </c>
      <c r="BG170">
        <f t="shared" si="180"/>
        <v>0.9</v>
      </c>
      <c r="BH170">
        <f t="shared" si="185"/>
        <v>4.7213183945816741E-3</v>
      </c>
      <c r="BI170">
        <f t="shared" si="181"/>
        <v>3.9280513339511507E-3</v>
      </c>
      <c r="BJ170">
        <f t="shared" si="173"/>
        <v>50.180855791225952</v>
      </c>
      <c r="BL170" s="28"/>
    </row>
    <row r="171" spans="1:72" x14ac:dyDescent="0.2">
      <c r="E171" s="11"/>
      <c r="F171" t="s">
        <v>165</v>
      </c>
      <c r="H171">
        <v>135</v>
      </c>
      <c r="I171">
        <v>0</v>
      </c>
      <c r="J171">
        <v>0</v>
      </c>
      <c r="L171">
        <f t="shared" si="158"/>
        <v>91.25</v>
      </c>
      <c r="N171">
        <v>-0.02</v>
      </c>
      <c r="P171">
        <v>0.13</v>
      </c>
      <c r="R171">
        <v>0.65</v>
      </c>
      <c r="T171">
        <v>43</v>
      </c>
      <c r="U171">
        <f t="shared" si="174"/>
        <v>8.2999999999999741E-3</v>
      </c>
      <c r="V171">
        <f>V161</f>
        <v>0.99170000000000003</v>
      </c>
      <c r="W171">
        <f>W161</f>
        <v>0.73</v>
      </c>
      <c r="X171">
        <f t="shared" si="159"/>
        <v>4.7000000000000002E-3</v>
      </c>
      <c r="Y171">
        <f t="shared" si="160"/>
        <v>0</v>
      </c>
      <c r="Z171">
        <v>0</v>
      </c>
      <c r="AA171">
        <f t="shared" si="175"/>
        <v>0</v>
      </c>
      <c r="AB171">
        <f t="shared" si="182"/>
        <v>1.3</v>
      </c>
      <c r="AC171">
        <f t="shared" si="161"/>
        <v>1</v>
      </c>
      <c r="AD171">
        <f t="shared" si="162"/>
        <v>0.51535000000000009</v>
      </c>
      <c r="AF171">
        <v>1.8</v>
      </c>
      <c r="AG171">
        <f t="shared" si="176"/>
        <v>0.99846618932067555</v>
      </c>
      <c r="AH171">
        <f t="shared" si="163"/>
        <v>0.87583738496773078</v>
      </c>
      <c r="AI171">
        <f t="shared" si="177"/>
        <v>0.87449401623331569</v>
      </c>
      <c r="AJ171">
        <f t="shared" si="164"/>
        <v>0.11368422211033104</v>
      </c>
      <c r="AK171">
        <f t="shared" si="165"/>
        <v>0.08</v>
      </c>
      <c r="AL171">
        <f t="shared" si="166"/>
        <v>0.3097294972940734</v>
      </c>
      <c r="AM171">
        <f t="shared" si="167"/>
        <v>0.19</v>
      </c>
      <c r="AN171">
        <f t="shared" si="168"/>
        <v>0.6784</v>
      </c>
      <c r="AO171">
        <f t="shared" si="169"/>
        <v>2.4189281040301033E-4</v>
      </c>
      <c r="AP171">
        <f t="shared" si="170"/>
        <v>1.8608020636414109E-4</v>
      </c>
      <c r="AQ171">
        <f t="shared" si="178"/>
        <v>4.2797301676715142E-4</v>
      </c>
      <c r="AR171">
        <f t="shared" si="171"/>
        <v>5.2720926003003461</v>
      </c>
      <c r="BA171">
        <f>BA169</f>
        <v>18</v>
      </c>
      <c r="BC171">
        <f t="shared" si="179"/>
        <v>0</v>
      </c>
      <c r="BD171">
        <f>BD169</f>
        <v>3.9452054794520547E-2</v>
      </c>
      <c r="BE171">
        <f t="shared" si="172"/>
        <v>-1.84E-2</v>
      </c>
      <c r="BF171">
        <v>50</v>
      </c>
      <c r="BG171">
        <f t="shared" si="180"/>
        <v>0.86</v>
      </c>
      <c r="BH171">
        <f t="shared" si="185"/>
        <v>5.0649821590459708E-3</v>
      </c>
      <c r="BI171">
        <f t="shared" si="181"/>
        <v>1.3124493378606997E-2</v>
      </c>
      <c r="BJ171">
        <f t="shared" si="173"/>
        <v>161.67735280771495</v>
      </c>
      <c r="BL171" s="28"/>
    </row>
    <row r="172" spans="1:72" x14ac:dyDescent="0.2">
      <c r="E172" s="12"/>
      <c r="F172" t="s">
        <v>166</v>
      </c>
      <c r="H172">
        <v>130</v>
      </c>
      <c r="I172">
        <v>0</v>
      </c>
      <c r="J172">
        <v>0</v>
      </c>
      <c r="L172">
        <f t="shared" si="158"/>
        <v>91.25</v>
      </c>
      <c r="N172">
        <v>-0.03</v>
      </c>
      <c r="P172">
        <v>0.1</v>
      </c>
      <c r="R172">
        <v>0.6</v>
      </c>
      <c r="T172">
        <v>40</v>
      </c>
      <c r="U172">
        <f t="shared" si="174"/>
        <v>8.2999999999999741E-3</v>
      </c>
      <c r="V172">
        <f>V161</f>
        <v>0.99170000000000003</v>
      </c>
      <c r="W172">
        <f>W161</f>
        <v>0.73</v>
      </c>
      <c r="X172">
        <f t="shared" si="159"/>
        <v>4.7000000000000002E-3</v>
      </c>
      <c r="Y172">
        <f t="shared" si="160"/>
        <v>0</v>
      </c>
      <c r="Z172">
        <v>0</v>
      </c>
      <c r="AA172">
        <f t="shared" si="175"/>
        <v>0</v>
      </c>
      <c r="AB172">
        <f t="shared" si="182"/>
        <v>1.3</v>
      </c>
      <c r="AC172">
        <f t="shared" si="161"/>
        <v>1</v>
      </c>
      <c r="AD172">
        <f t="shared" si="162"/>
        <v>0.47559999999999997</v>
      </c>
      <c r="AF172">
        <v>1</v>
      </c>
      <c r="AG172">
        <f t="shared" si="176"/>
        <v>0.8646647167633873</v>
      </c>
      <c r="AH172">
        <f t="shared" si="163"/>
        <v>0.74875248086684232</v>
      </c>
      <c r="AI172">
        <f t="shared" si="177"/>
        <v>0.64741985179461181</v>
      </c>
      <c r="AJ172">
        <f t="shared" si="164"/>
        <v>6.4741985179461184E-2</v>
      </c>
      <c r="AK172">
        <f t="shared" si="165"/>
        <v>0.08</v>
      </c>
      <c r="AL172">
        <f t="shared" si="166"/>
        <v>0.25367531615393463</v>
      </c>
      <c r="AM172">
        <f t="shared" si="167"/>
        <v>0.19</v>
      </c>
      <c r="AN172">
        <f t="shared" si="168"/>
        <v>0.6784</v>
      </c>
      <c r="AO172">
        <f t="shared" si="169"/>
        <v>1.981155675853724E-4</v>
      </c>
      <c r="AP172">
        <f t="shared" si="170"/>
        <v>1.5240380910377092E-4</v>
      </c>
      <c r="AQ172">
        <f t="shared" si="178"/>
        <v>3.5051937668914329E-4</v>
      </c>
      <c r="AR172">
        <f t="shared" si="171"/>
        <v>4.1580361059749622</v>
      </c>
      <c r="BA172">
        <f>BA169</f>
        <v>18</v>
      </c>
      <c r="BC172">
        <f t="shared" si="179"/>
        <v>0</v>
      </c>
      <c r="BD172">
        <f>BD169</f>
        <v>3.9452054794520547E-2</v>
      </c>
      <c r="BE172">
        <f t="shared" si="172"/>
        <v>-2.76E-2</v>
      </c>
      <c r="BF172">
        <v>50</v>
      </c>
      <c r="BG172">
        <f t="shared" si="180"/>
        <v>0.8</v>
      </c>
      <c r="BH172">
        <f t="shared" si="185"/>
        <v>4.930975186566499E-3</v>
      </c>
      <c r="BI172">
        <f t="shared" si="181"/>
        <v>5.4277424421472903E-3</v>
      </c>
      <c r="BJ172">
        <f t="shared" si="173"/>
        <v>64.386594719972223</v>
      </c>
      <c r="BL172" s="28"/>
    </row>
    <row r="173" spans="1:72" x14ac:dyDescent="0.2">
      <c r="E173" s="11" t="s">
        <v>170</v>
      </c>
      <c r="F173" t="s">
        <v>163</v>
      </c>
      <c r="H173">
        <v>200</v>
      </c>
      <c r="I173">
        <v>0</v>
      </c>
      <c r="J173">
        <v>0</v>
      </c>
      <c r="L173">
        <f t="shared" si="158"/>
        <v>91.25</v>
      </c>
      <c r="N173">
        <v>0</v>
      </c>
      <c r="P173">
        <v>0.16</v>
      </c>
      <c r="R173">
        <v>0.7</v>
      </c>
      <c r="T173">
        <v>50</v>
      </c>
      <c r="U173">
        <f t="shared" si="174"/>
        <v>8.2999999999999741E-3</v>
      </c>
      <c r="V173">
        <f>V161</f>
        <v>0.99170000000000003</v>
      </c>
      <c r="W173">
        <f>W161</f>
        <v>0.73</v>
      </c>
      <c r="X173">
        <f t="shared" si="159"/>
        <v>4.7000000000000002E-3</v>
      </c>
      <c r="Y173">
        <f t="shared" si="160"/>
        <v>0</v>
      </c>
      <c r="Z173">
        <v>0</v>
      </c>
      <c r="AA173">
        <f t="shared" si="175"/>
        <v>0</v>
      </c>
      <c r="AB173">
        <f t="shared" si="182"/>
        <v>1.3</v>
      </c>
      <c r="AC173">
        <f t="shared" si="161"/>
        <v>1</v>
      </c>
      <c r="AD173">
        <f t="shared" si="162"/>
        <v>0.55510000000000004</v>
      </c>
      <c r="AF173">
        <v>3.2</v>
      </c>
      <c r="AG173">
        <f t="shared" si="176"/>
        <v>0.99999999872459233</v>
      </c>
      <c r="AH173">
        <f t="shared" si="163"/>
        <v>1.0993929471578776</v>
      </c>
      <c r="AI173">
        <f t="shared" si="177"/>
        <v>1.0993929457557035</v>
      </c>
      <c r="AJ173">
        <f t="shared" si="164"/>
        <v>0.17590287132091256</v>
      </c>
      <c r="AK173">
        <f t="shared" si="165"/>
        <v>0.08</v>
      </c>
      <c r="AL173">
        <f t="shared" si="166"/>
        <v>0.34791131947830267</v>
      </c>
      <c r="AM173">
        <f t="shared" si="167"/>
        <v>0.19</v>
      </c>
      <c r="AN173">
        <f t="shared" si="168"/>
        <v>0.6784</v>
      </c>
      <c r="AO173">
        <f t="shared" si="169"/>
        <v>2.7171208288154398E-4</v>
      </c>
      <c r="AP173">
        <f t="shared" si="170"/>
        <v>2.0901919478297603E-4</v>
      </c>
      <c r="AQ173">
        <f t="shared" si="178"/>
        <v>4.8073127766452004E-4</v>
      </c>
      <c r="AR173">
        <f t="shared" si="171"/>
        <v>8.773345817377491</v>
      </c>
      <c r="BA173">
        <v>20</v>
      </c>
      <c r="BB173">
        <v>0.8</v>
      </c>
      <c r="BC173">
        <f t="shared" si="179"/>
        <v>0</v>
      </c>
      <c r="BD173">
        <f t="shared" ref="BD173" si="187">(BA173 * BB173) / 365</f>
        <v>4.3835616438356165E-2</v>
      </c>
      <c r="BE173">
        <f t="shared" si="172"/>
        <v>0</v>
      </c>
      <c r="BF173">
        <v>50</v>
      </c>
      <c r="BG173">
        <f t="shared" si="180"/>
        <v>1</v>
      </c>
      <c r="BH173">
        <f t="shared" si="185"/>
        <v>5.8915068493150683E-3</v>
      </c>
      <c r="BI173">
        <f t="shared" si="181"/>
        <v>2.2252952562030942E-2</v>
      </c>
      <c r="BJ173">
        <f t="shared" si="173"/>
        <v>406.11638425706474</v>
      </c>
      <c r="BL173" s="28"/>
    </row>
    <row r="174" spans="1:72" x14ac:dyDescent="0.2">
      <c r="E174" s="12"/>
      <c r="F174" t="s">
        <v>164</v>
      </c>
      <c r="H174">
        <v>210</v>
      </c>
      <c r="I174">
        <v>0</v>
      </c>
      <c r="J174">
        <v>0</v>
      </c>
      <c r="L174">
        <f t="shared" si="158"/>
        <v>91.25</v>
      </c>
      <c r="N174">
        <v>0</v>
      </c>
      <c r="P174">
        <v>7.0000000000000007E-2</v>
      </c>
      <c r="R174">
        <v>0.55000000000000004</v>
      </c>
      <c r="T174">
        <v>50</v>
      </c>
      <c r="U174">
        <f t="shared" si="174"/>
        <v>8.2999999999999741E-3</v>
      </c>
      <c r="V174">
        <f>V161</f>
        <v>0.99170000000000003</v>
      </c>
      <c r="W174">
        <f>W161</f>
        <v>0.73</v>
      </c>
      <c r="X174">
        <f t="shared" si="159"/>
        <v>4.7000000000000002E-3</v>
      </c>
      <c r="Y174">
        <f t="shared" si="160"/>
        <v>0</v>
      </c>
      <c r="Z174">
        <v>0</v>
      </c>
      <c r="AA174">
        <f t="shared" si="175"/>
        <v>0</v>
      </c>
      <c r="AB174">
        <f t="shared" si="182"/>
        <v>1.3</v>
      </c>
      <c r="AC174">
        <f t="shared" si="161"/>
        <v>1</v>
      </c>
      <c r="AD174">
        <f t="shared" si="162"/>
        <v>0.43585000000000007</v>
      </c>
      <c r="AF174">
        <v>3</v>
      </c>
      <c r="AG174">
        <f t="shared" si="176"/>
        <v>0.99999998477002028</v>
      </c>
      <c r="AH174">
        <f t="shared" si="163"/>
        <v>0.8646283676396137</v>
      </c>
      <c r="AI174">
        <f t="shared" si="177"/>
        <v>0.86462835447134123</v>
      </c>
      <c r="AJ174">
        <f t="shared" si="164"/>
        <v>6.052398481299389E-2</v>
      </c>
      <c r="AK174">
        <f t="shared" si="165"/>
        <v>0.08</v>
      </c>
      <c r="AL174">
        <f t="shared" si="166"/>
        <v>0.38546716339302944</v>
      </c>
      <c r="AM174">
        <f t="shared" si="167"/>
        <v>0.19</v>
      </c>
      <c r="AN174">
        <f t="shared" si="168"/>
        <v>0.6784</v>
      </c>
      <c r="AO174">
        <f t="shared" si="169"/>
        <v>3.0104247831031633E-4</v>
      </c>
      <c r="AP174">
        <f t="shared" si="170"/>
        <v>2.3158210611975671E-4</v>
      </c>
      <c r="AQ174">
        <f t="shared" si="178"/>
        <v>5.3262458443007301E-4</v>
      </c>
      <c r="AR174">
        <f t="shared" si="171"/>
        <v>10.206418599141273</v>
      </c>
      <c r="BA174">
        <f>BA173</f>
        <v>20</v>
      </c>
      <c r="BC174">
        <f t="shared" si="179"/>
        <v>0</v>
      </c>
      <c r="BD174">
        <f>BD173</f>
        <v>4.3835616438356165E-2</v>
      </c>
      <c r="BE174">
        <f t="shared" si="172"/>
        <v>0</v>
      </c>
      <c r="BF174">
        <v>50</v>
      </c>
      <c r="BG174">
        <f t="shared" si="180"/>
        <v>1</v>
      </c>
      <c r="BH174">
        <f t="shared" si="185"/>
        <v>5.8915068493150683E-3</v>
      </c>
      <c r="BI174">
        <f t="shared" si="181"/>
        <v>3.7923307207639546E-3</v>
      </c>
      <c r="BJ174">
        <f t="shared" si="173"/>
        <v>72.670537436639279</v>
      </c>
      <c r="BL174" s="28"/>
    </row>
    <row r="175" spans="1:72" x14ac:dyDescent="0.2">
      <c r="E175" s="11"/>
      <c r="F175" t="s">
        <v>165</v>
      </c>
      <c r="H175">
        <v>190</v>
      </c>
      <c r="I175">
        <v>0</v>
      </c>
      <c r="J175">
        <v>0</v>
      </c>
      <c r="L175">
        <f t="shared" si="158"/>
        <v>91.25</v>
      </c>
      <c r="N175">
        <v>0</v>
      </c>
      <c r="P175">
        <v>0.13</v>
      </c>
      <c r="R175">
        <v>0.65</v>
      </c>
      <c r="T175">
        <v>50</v>
      </c>
      <c r="U175">
        <f t="shared" si="174"/>
        <v>8.2999999999999741E-3</v>
      </c>
      <c r="V175">
        <f>V161</f>
        <v>0.99170000000000003</v>
      </c>
      <c r="W175">
        <f>W161</f>
        <v>0.73</v>
      </c>
      <c r="X175">
        <f t="shared" si="159"/>
        <v>4.7000000000000002E-3</v>
      </c>
      <c r="Y175">
        <f t="shared" si="160"/>
        <v>0</v>
      </c>
      <c r="Z175">
        <v>0</v>
      </c>
      <c r="AA175">
        <f t="shared" si="175"/>
        <v>0</v>
      </c>
      <c r="AB175">
        <f t="shared" si="182"/>
        <v>1.3</v>
      </c>
      <c r="AC175">
        <f t="shared" si="161"/>
        <v>1</v>
      </c>
      <c r="AD175">
        <f t="shared" si="162"/>
        <v>0.51535000000000009</v>
      </c>
      <c r="AF175">
        <v>1.8</v>
      </c>
      <c r="AG175">
        <f t="shared" si="176"/>
        <v>0.99846618932067555</v>
      </c>
      <c r="AH175">
        <f t="shared" si="163"/>
        <v>1.0211380873184563</v>
      </c>
      <c r="AI175">
        <f t="shared" si="177"/>
        <v>1.0195718548150623</v>
      </c>
      <c r="AJ175">
        <f t="shared" si="164"/>
        <v>0.13254434112595812</v>
      </c>
      <c r="AK175">
        <f t="shared" si="165"/>
        <v>0.08</v>
      </c>
      <c r="AL175">
        <f t="shared" si="166"/>
        <v>0.36655672228087188</v>
      </c>
      <c r="AM175">
        <f t="shared" si="167"/>
        <v>0.19</v>
      </c>
      <c r="AN175">
        <f t="shared" si="168"/>
        <v>0.6784</v>
      </c>
      <c r="AO175">
        <f t="shared" si="169"/>
        <v>2.8627378567192246E-4</v>
      </c>
      <c r="AP175">
        <f t="shared" si="170"/>
        <v>2.2022103520035946E-4</v>
      </c>
      <c r="AQ175">
        <f t="shared" si="178"/>
        <v>5.0649482087228195E-4</v>
      </c>
      <c r="AR175">
        <f t="shared" si="171"/>
        <v>8.781353956873188</v>
      </c>
      <c r="BA175">
        <f>BA173</f>
        <v>20</v>
      </c>
      <c r="BC175">
        <f t="shared" si="179"/>
        <v>0</v>
      </c>
      <c r="BD175">
        <f>BD173</f>
        <v>4.3835616438356165E-2</v>
      </c>
      <c r="BE175">
        <f t="shared" si="172"/>
        <v>0</v>
      </c>
      <c r="BF175">
        <v>50</v>
      </c>
      <c r="BG175">
        <f t="shared" si="180"/>
        <v>1</v>
      </c>
      <c r="BH175">
        <f t="shared" si="185"/>
        <v>5.8915068493150683E-3</v>
      </c>
      <c r="BI175">
        <f t="shared" si="181"/>
        <v>1.5315587730838232E-2</v>
      </c>
      <c r="BJ175">
        <f t="shared" si="173"/>
        <v>265.53400228340786</v>
      </c>
      <c r="BL175" s="28"/>
    </row>
    <row r="176" spans="1:72" x14ac:dyDescent="0.2">
      <c r="E176" s="12"/>
      <c r="F176" t="s">
        <v>166</v>
      </c>
      <c r="H176">
        <v>180</v>
      </c>
      <c r="I176">
        <v>0</v>
      </c>
      <c r="J176">
        <v>0</v>
      </c>
      <c r="L176">
        <f t="shared" si="158"/>
        <v>91.25</v>
      </c>
      <c r="N176">
        <v>0</v>
      </c>
      <c r="P176">
        <v>0.1</v>
      </c>
      <c r="R176">
        <v>0.6</v>
      </c>
      <c r="T176">
        <v>50</v>
      </c>
      <c r="U176">
        <f t="shared" si="174"/>
        <v>8.2999999999999741E-3</v>
      </c>
      <c r="V176">
        <f>V161</f>
        <v>0.99170000000000003</v>
      </c>
      <c r="W176">
        <f>W161</f>
        <v>0.73</v>
      </c>
      <c r="X176">
        <f t="shared" si="159"/>
        <v>4.7000000000000002E-3</v>
      </c>
      <c r="Y176">
        <f t="shared" si="160"/>
        <v>0</v>
      </c>
      <c r="Z176">
        <v>0</v>
      </c>
      <c r="AA176">
        <f t="shared" si="175"/>
        <v>0</v>
      </c>
      <c r="AB176">
        <f t="shared" si="182"/>
        <v>1.3</v>
      </c>
      <c r="AC176">
        <f t="shared" si="161"/>
        <v>1</v>
      </c>
      <c r="AD176">
        <f t="shared" si="162"/>
        <v>0.47559999999999997</v>
      </c>
      <c r="AF176">
        <v>1</v>
      </c>
      <c r="AG176">
        <f t="shared" si="176"/>
        <v>0.8646647167633873</v>
      </c>
      <c r="AH176">
        <f t="shared" si="163"/>
        <v>0.94288322747903475</v>
      </c>
      <c r="AI176">
        <f t="shared" si="177"/>
        <v>0.81527785882910808</v>
      </c>
      <c r="AJ176">
        <f t="shared" si="164"/>
        <v>8.1527785882910819E-2</v>
      </c>
      <c r="AK176">
        <f t="shared" si="165"/>
        <v>0.08</v>
      </c>
      <c r="AL176">
        <f t="shared" si="166"/>
        <v>0.32448240197428052</v>
      </c>
      <c r="AM176">
        <f t="shared" si="167"/>
        <v>0.19</v>
      </c>
      <c r="AN176">
        <f t="shared" si="168"/>
        <v>0.6784</v>
      </c>
      <c r="AO176">
        <f t="shared" si="169"/>
        <v>2.5341454664666813E-4</v>
      </c>
      <c r="AP176">
        <f t="shared" si="170"/>
        <v>1.9494350021037423E-4</v>
      </c>
      <c r="AQ176">
        <f t="shared" si="178"/>
        <v>4.4835804685704238E-4</v>
      </c>
      <c r="AR176">
        <f t="shared" si="171"/>
        <v>7.3642809196269212</v>
      </c>
      <c r="BA176">
        <f>BA173</f>
        <v>20</v>
      </c>
      <c r="BC176">
        <f t="shared" si="179"/>
        <v>0</v>
      </c>
      <c r="BD176">
        <f>BD173</f>
        <v>4.3835616438356165E-2</v>
      </c>
      <c r="BE176">
        <f t="shared" si="172"/>
        <v>0</v>
      </c>
      <c r="BF176">
        <v>50</v>
      </c>
      <c r="BG176">
        <f t="shared" si="180"/>
        <v>1</v>
      </c>
      <c r="BH176">
        <f t="shared" si="185"/>
        <v>5.8915068493150683E-3</v>
      </c>
      <c r="BI176">
        <f t="shared" si="181"/>
        <v>7.1529388919506628E-3</v>
      </c>
      <c r="BJ176">
        <f t="shared" si="173"/>
        <v>117.48702130028964</v>
      </c>
      <c r="BL176" s="28"/>
    </row>
    <row r="177" spans="1:72" x14ac:dyDescent="0.2">
      <c r="E177" s="11" t="s">
        <v>162</v>
      </c>
      <c r="F177" t="s">
        <v>163</v>
      </c>
      <c r="H177">
        <v>50</v>
      </c>
      <c r="I177">
        <v>0</v>
      </c>
      <c r="J177">
        <v>0</v>
      </c>
      <c r="L177">
        <f t="shared" si="158"/>
        <v>91.25</v>
      </c>
      <c r="N177">
        <v>0.11</v>
      </c>
      <c r="P177">
        <v>0.16</v>
      </c>
      <c r="R177">
        <v>0.7</v>
      </c>
      <c r="T177">
        <v>70</v>
      </c>
      <c r="U177">
        <f t="shared" si="174"/>
        <v>8.2999999999999741E-3</v>
      </c>
      <c r="V177">
        <f>V161</f>
        <v>0.99170000000000003</v>
      </c>
      <c r="W177">
        <f>W161</f>
        <v>0.73</v>
      </c>
      <c r="X177">
        <f t="shared" si="159"/>
        <v>4.7000000000000002E-3</v>
      </c>
      <c r="Y177">
        <f t="shared" si="160"/>
        <v>0</v>
      </c>
      <c r="Z177">
        <v>0</v>
      </c>
      <c r="AA177">
        <f t="shared" si="175"/>
        <v>0</v>
      </c>
      <c r="AB177">
        <f t="shared" si="182"/>
        <v>1.3</v>
      </c>
      <c r="AC177">
        <f t="shared" si="161"/>
        <v>1</v>
      </c>
      <c r="AD177">
        <f t="shared" si="162"/>
        <v>0.55510000000000004</v>
      </c>
      <c r="AF177">
        <v>3.2</v>
      </c>
      <c r="AG177">
        <f t="shared" si="176"/>
        <v>0.99999999872459233</v>
      </c>
      <c r="AH177">
        <f t="shared" si="163"/>
        <v>1.5635664662315347</v>
      </c>
      <c r="AI177">
        <f t="shared" si="177"/>
        <v>1.5635664642373501</v>
      </c>
      <c r="AJ177">
        <f t="shared" si="164"/>
        <v>0.25017063427797603</v>
      </c>
      <c r="AK177">
        <f t="shared" si="165"/>
        <v>0.08</v>
      </c>
      <c r="AL177">
        <f t="shared" si="166"/>
        <v>0.52151077937113577</v>
      </c>
      <c r="AM177">
        <f t="shared" si="167"/>
        <v>0.19</v>
      </c>
      <c r="AN177">
        <f t="shared" si="168"/>
        <v>0.6784</v>
      </c>
      <c r="AO177">
        <f t="shared" si="169"/>
        <v>4.0728993905858168E-4</v>
      </c>
      <c r="AP177">
        <f t="shared" si="170"/>
        <v>3.133147933739338E-4</v>
      </c>
      <c r="AQ177">
        <f t="shared" si="178"/>
        <v>7.2060473243251548E-4</v>
      </c>
      <c r="AR177">
        <f t="shared" si="171"/>
        <v>3.2877590917233519</v>
      </c>
      <c r="BA177">
        <v>15</v>
      </c>
      <c r="BB177">
        <v>0.85</v>
      </c>
      <c r="BC177">
        <f t="shared" si="179"/>
        <v>0</v>
      </c>
      <c r="BD177">
        <f t="shared" ref="BD177" si="188">(BA177 * BB177) / 365</f>
        <v>3.4931506849315071E-2</v>
      </c>
      <c r="BE177">
        <f t="shared" si="172"/>
        <v>0.1012</v>
      </c>
      <c r="BF177">
        <v>70</v>
      </c>
      <c r="BG177">
        <f t="shared" si="180"/>
        <v>1</v>
      </c>
      <c r="BH177">
        <f t="shared" si="185"/>
        <v>5.9208324456527239E-3</v>
      </c>
      <c r="BI177">
        <f>MAX((AJ177  / 6.25 ) - BH177, 0)</f>
        <v>3.4106469038823445E-2</v>
      </c>
      <c r="BJ177">
        <f t="shared" si="173"/>
        <v>155.61076498963197</v>
      </c>
      <c r="BL177" s="28"/>
    </row>
    <row r="178" spans="1:72" x14ac:dyDescent="0.2">
      <c r="E178" s="12"/>
      <c r="F178" t="s">
        <v>164</v>
      </c>
      <c r="H178">
        <v>55</v>
      </c>
      <c r="I178">
        <v>0</v>
      </c>
      <c r="J178">
        <v>0</v>
      </c>
      <c r="L178">
        <f t="shared" si="158"/>
        <v>91.25</v>
      </c>
      <c r="N178">
        <v>-0.05</v>
      </c>
      <c r="P178">
        <v>7.0000000000000007E-2</v>
      </c>
      <c r="R178">
        <v>0.55000000000000004</v>
      </c>
      <c r="T178">
        <v>65</v>
      </c>
      <c r="U178">
        <f t="shared" si="174"/>
        <v>8.2999999999999741E-3</v>
      </c>
      <c r="V178">
        <f>V161</f>
        <v>0.99170000000000003</v>
      </c>
      <c r="W178">
        <f>W161</f>
        <v>0.73</v>
      </c>
      <c r="X178">
        <f t="shared" si="159"/>
        <v>4.7000000000000002E-3</v>
      </c>
      <c r="Y178">
        <f t="shared" si="160"/>
        <v>0</v>
      </c>
      <c r="Z178">
        <v>0</v>
      </c>
      <c r="AA178">
        <f t="shared" si="175"/>
        <v>0</v>
      </c>
      <c r="AB178">
        <f t="shared" si="182"/>
        <v>1.3</v>
      </c>
      <c r="AC178">
        <f t="shared" si="161"/>
        <v>1</v>
      </c>
      <c r="AD178">
        <f t="shared" si="162"/>
        <v>0.43585000000000007</v>
      </c>
      <c r="AF178">
        <v>3</v>
      </c>
      <c r="AG178">
        <f t="shared" si="176"/>
        <v>0.99999998477002028</v>
      </c>
      <c r="AH178">
        <f t="shared" si="163"/>
        <v>1.1580752413958724</v>
      </c>
      <c r="AI178">
        <f t="shared" si="177"/>
        <v>1.15807522375841</v>
      </c>
      <c r="AJ178">
        <f t="shared" si="164"/>
        <v>8.1065265663088706E-2</v>
      </c>
      <c r="AK178">
        <f t="shared" si="165"/>
        <v>0.08</v>
      </c>
      <c r="AL178">
        <f t="shared" si="166"/>
        <v>0.52879702927487948</v>
      </c>
      <c r="AM178">
        <f t="shared" si="167"/>
        <v>0.19</v>
      </c>
      <c r="AN178">
        <f t="shared" si="168"/>
        <v>0.6784</v>
      </c>
      <c r="AO178">
        <f t="shared" si="169"/>
        <v>4.1298036080372741E-4</v>
      </c>
      <c r="AP178">
        <f t="shared" si="170"/>
        <v>3.1769224820969987E-4</v>
      </c>
      <c r="AQ178">
        <f t="shared" si="178"/>
        <v>7.3067260901342728E-4</v>
      </c>
      <c r="AR178">
        <f t="shared" si="171"/>
        <v>3.6670631564861385</v>
      </c>
      <c r="BA178">
        <f>BA177</f>
        <v>15</v>
      </c>
      <c r="BC178">
        <f t="shared" si="179"/>
        <v>0</v>
      </c>
      <c r="BD178">
        <f>BD177</f>
        <v>3.4931506849315071E-2</v>
      </c>
      <c r="BE178">
        <f t="shared" si="172"/>
        <v>-4.6000000000000006E-2</v>
      </c>
      <c r="BF178">
        <v>70</v>
      </c>
      <c r="BG178">
        <f t="shared" si="180"/>
        <v>0.9285714285714286</v>
      </c>
      <c r="BH178">
        <f t="shared" si="185"/>
        <v>4.1216473006511047E-3</v>
      </c>
      <c r="BI178">
        <f t="shared" si="181"/>
        <v>8.8487952054430892E-3</v>
      </c>
      <c r="BJ178">
        <f t="shared" si="173"/>
        <v>44.409890937317506</v>
      </c>
      <c r="BL178" s="28"/>
    </row>
    <row r="179" spans="1:72" x14ac:dyDescent="0.2">
      <c r="E179" s="11"/>
      <c r="F179" t="s">
        <v>165</v>
      </c>
      <c r="H179">
        <v>60</v>
      </c>
      <c r="I179">
        <v>0</v>
      </c>
      <c r="J179">
        <v>0</v>
      </c>
      <c r="L179">
        <f t="shared" si="158"/>
        <v>91.25</v>
      </c>
      <c r="N179">
        <v>0</v>
      </c>
      <c r="P179">
        <v>0.13</v>
      </c>
      <c r="R179">
        <v>0.65</v>
      </c>
      <c r="T179">
        <v>65</v>
      </c>
      <c r="U179">
        <f t="shared" si="174"/>
        <v>8.2999999999999741E-3</v>
      </c>
      <c r="V179">
        <f>V161</f>
        <v>0.99170000000000003</v>
      </c>
      <c r="W179">
        <f>W161</f>
        <v>0.73</v>
      </c>
      <c r="X179">
        <f t="shared" si="159"/>
        <v>4.7000000000000002E-3</v>
      </c>
      <c r="Y179">
        <f t="shared" si="160"/>
        <v>0</v>
      </c>
      <c r="Z179">
        <v>0</v>
      </c>
      <c r="AA179">
        <f t="shared" si="175"/>
        <v>0</v>
      </c>
      <c r="AB179">
        <f t="shared" si="182"/>
        <v>1.3</v>
      </c>
      <c r="AC179">
        <f t="shared" si="161"/>
        <v>1</v>
      </c>
      <c r="AD179">
        <f t="shared" si="162"/>
        <v>0.51535000000000009</v>
      </c>
      <c r="AF179">
        <v>1.8</v>
      </c>
      <c r="AG179">
        <f t="shared" si="176"/>
        <v>0.99846618932067555</v>
      </c>
      <c r="AH179">
        <f t="shared" si="163"/>
        <v>1.3486207988995054</v>
      </c>
      <c r="AI179">
        <f t="shared" si="177"/>
        <v>1.3465522699157941</v>
      </c>
      <c r="AJ179">
        <f t="shared" si="164"/>
        <v>0.17505179508905325</v>
      </c>
      <c r="AK179">
        <f t="shared" si="165"/>
        <v>0.08</v>
      </c>
      <c r="AL179">
        <f t="shared" si="166"/>
        <v>0.50031570188753161</v>
      </c>
      <c r="AM179">
        <f t="shared" si="167"/>
        <v>0.19</v>
      </c>
      <c r="AN179">
        <f t="shared" si="168"/>
        <v>0.6784</v>
      </c>
      <c r="AO179">
        <f t="shared" si="169"/>
        <v>3.9073698913288962E-4</v>
      </c>
      <c r="AP179">
        <f t="shared" si="170"/>
        <v>3.005811518366914E-4</v>
      </c>
      <c r="AQ179">
        <f t="shared" si="178"/>
        <v>6.9131814096958107E-4</v>
      </c>
      <c r="AR179">
        <f t="shared" si="171"/>
        <v>3.7849668218084562</v>
      </c>
      <c r="BA179">
        <f>BA177</f>
        <v>15</v>
      </c>
      <c r="BC179">
        <f t="shared" si="179"/>
        <v>0</v>
      </c>
      <c r="BD179">
        <f>BD177</f>
        <v>3.4931506849315071E-2</v>
      </c>
      <c r="BE179">
        <f t="shared" si="172"/>
        <v>0</v>
      </c>
      <c r="BF179">
        <v>70</v>
      </c>
      <c r="BG179">
        <f t="shared" si="180"/>
        <v>0.9285714285714286</v>
      </c>
      <c r="BH179">
        <f t="shared" si="185"/>
        <v>4.6947945205479454E-3</v>
      </c>
      <c r="BI179">
        <f t="shared" si="181"/>
        <v>2.3313492693700574E-2</v>
      </c>
      <c r="BJ179">
        <f t="shared" si="173"/>
        <v>127.64137249801064</v>
      </c>
      <c r="BL179" s="28"/>
    </row>
    <row r="180" spans="1:72" x14ac:dyDescent="0.2">
      <c r="E180" s="12"/>
      <c r="F180" t="s">
        <v>166</v>
      </c>
      <c r="H180">
        <v>65</v>
      </c>
      <c r="I180">
        <v>0</v>
      </c>
      <c r="J180">
        <v>0</v>
      </c>
      <c r="L180">
        <f t="shared" si="158"/>
        <v>91.25</v>
      </c>
      <c r="N180">
        <v>-0.05</v>
      </c>
      <c r="P180">
        <v>0.1</v>
      </c>
      <c r="R180">
        <v>0.6</v>
      </c>
      <c r="T180">
        <v>60</v>
      </c>
      <c r="U180">
        <f t="shared" si="174"/>
        <v>8.2999999999999741E-3</v>
      </c>
      <c r="V180">
        <f>V161</f>
        <v>0.99170000000000003</v>
      </c>
      <c r="W180">
        <f>W161</f>
        <v>0.73</v>
      </c>
      <c r="X180">
        <f t="shared" si="159"/>
        <v>4.7000000000000002E-3</v>
      </c>
      <c r="Y180">
        <f t="shared" si="160"/>
        <v>0</v>
      </c>
      <c r="Z180">
        <v>0</v>
      </c>
      <c r="AA180">
        <f t="shared" si="175"/>
        <v>0</v>
      </c>
      <c r="AB180">
        <f t="shared" si="182"/>
        <v>1.3</v>
      </c>
      <c r="AC180">
        <f t="shared" si="161"/>
        <v>1</v>
      </c>
      <c r="AD180">
        <f t="shared" si="162"/>
        <v>0.47559999999999997</v>
      </c>
      <c r="AF180">
        <v>1</v>
      </c>
      <c r="AG180">
        <f t="shared" si="176"/>
        <v>0.8646647167633873</v>
      </c>
      <c r="AH180">
        <f t="shared" si="163"/>
        <v>1.1472289977258807</v>
      </c>
      <c r="AI180">
        <f t="shared" si="177"/>
        <v>0.99196843638139331</v>
      </c>
      <c r="AJ180">
        <f t="shared" si="164"/>
        <v>9.919684363813934E-2</v>
      </c>
      <c r="AK180">
        <f t="shared" si="165"/>
        <v>0.08</v>
      </c>
      <c r="AL180">
        <f t="shared" si="166"/>
        <v>0.40125563532734443</v>
      </c>
      <c r="AM180">
        <f t="shared" si="167"/>
        <v>0.19</v>
      </c>
      <c r="AN180">
        <f t="shared" si="168"/>
        <v>0.6784</v>
      </c>
      <c r="AO180">
        <f t="shared" si="169"/>
        <v>3.1337297276281742E-4</v>
      </c>
      <c r="AP180">
        <f t="shared" si="170"/>
        <v>2.4106755113348225E-4</v>
      </c>
      <c r="AQ180">
        <f t="shared" si="178"/>
        <v>5.5444052389629962E-4</v>
      </c>
      <c r="AR180">
        <f t="shared" si="171"/>
        <v>3.2885253573599269</v>
      </c>
      <c r="BA180">
        <f>BA177</f>
        <v>15</v>
      </c>
      <c r="BC180">
        <f t="shared" si="179"/>
        <v>0</v>
      </c>
      <c r="BD180">
        <f>BD177</f>
        <v>3.4931506849315071E-2</v>
      </c>
      <c r="BE180">
        <f t="shared" si="172"/>
        <v>-4.6000000000000006E-2</v>
      </c>
      <c r="BF180">
        <v>70</v>
      </c>
      <c r="BG180">
        <f t="shared" si="180"/>
        <v>0.8571428571428571</v>
      </c>
      <c r="BH180">
        <f t="shared" si="185"/>
        <v>4.0999171353949902E-3</v>
      </c>
      <c r="BI180">
        <f t="shared" si="181"/>
        <v>1.1771577846707305E-2</v>
      </c>
      <c r="BJ180">
        <f t="shared" si="173"/>
        <v>69.820171103282703</v>
      </c>
      <c r="BL180" s="28"/>
    </row>
    <row r="181" spans="1:72" x14ac:dyDescent="0.2">
      <c r="E181" s="11" t="s">
        <v>167</v>
      </c>
      <c r="F181" t="s">
        <v>163</v>
      </c>
      <c r="H181">
        <v>50</v>
      </c>
      <c r="I181">
        <v>0</v>
      </c>
      <c r="J181">
        <v>0</v>
      </c>
      <c r="L181">
        <f t="shared" si="158"/>
        <v>91.25</v>
      </c>
      <c r="N181">
        <v>0.11</v>
      </c>
      <c r="P181">
        <v>0.16</v>
      </c>
      <c r="R181">
        <v>0.7</v>
      </c>
      <c r="T181">
        <v>60</v>
      </c>
      <c r="U181">
        <f t="shared" si="174"/>
        <v>8.2999999999999741E-3</v>
      </c>
      <c r="V181">
        <f>V161</f>
        <v>0.99170000000000003</v>
      </c>
      <c r="W181">
        <f>W161</f>
        <v>0.73</v>
      </c>
      <c r="X181">
        <f t="shared" si="159"/>
        <v>4.7000000000000002E-3</v>
      </c>
      <c r="Y181">
        <f t="shared" si="160"/>
        <v>0</v>
      </c>
      <c r="Z181">
        <v>0</v>
      </c>
      <c r="AA181">
        <f t="shared" si="175"/>
        <v>0</v>
      </c>
      <c r="AB181">
        <f t="shared" si="182"/>
        <v>1.3</v>
      </c>
      <c r="AC181">
        <f t="shared" si="161"/>
        <v>1</v>
      </c>
      <c r="AD181">
        <f t="shared" si="162"/>
        <v>0.55510000000000004</v>
      </c>
      <c r="AF181">
        <v>3.2</v>
      </c>
      <c r="AG181">
        <f t="shared" si="176"/>
        <v>0.99999999872459233</v>
      </c>
      <c r="AH181">
        <f t="shared" si="163"/>
        <v>1.3266722980183725</v>
      </c>
      <c r="AI181">
        <f t="shared" si="177"/>
        <v>1.3266722963263244</v>
      </c>
      <c r="AJ181">
        <f t="shared" si="164"/>
        <v>0.21226756741221192</v>
      </c>
      <c r="AK181">
        <f t="shared" si="165"/>
        <v>0.08</v>
      </c>
      <c r="AL181">
        <f t="shared" si="166"/>
        <v>0.43093173903776888</v>
      </c>
      <c r="AM181">
        <f t="shared" si="167"/>
        <v>0.19</v>
      </c>
      <c r="AN181">
        <f t="shared" si="168"/>
        <v>0.6784</v>
      </c>
      <c r="AO181">
        <f t="shared" si="169"/>
        <v>3.365494418787382E-4</v>
      </c>
      <c r="AP181">
        <f t="shared" si="170"/>
        <v>2.5889644877081781E-4</v>
      </c>
      <c r="AQ181">
        <f t="shared" si="178"/>
        <v>5.9544589064955606E-4</v>
      </c>
      <c r="AR181">
        <f t="shared" si="171"/>
        <v>2.7167218760885996</v>
      </c>
      <c r="BA181">
        <v>18</v>
      </c>
      <c r="BB181">
        <v>0.8</v>
      </c>
      <c r="BC181">
        <f t="shared" si="179"/>
        <v>0</v>
      </c>
      <c r="BD181">
        <f t="shared" ref="BD181" si="189">(BA181 * BB181) / 365</f>
        <v>3.9452054794520547E-2</v>
      </c>
      <c r="BE181">
        <f t="shared" si="172"/>
        <v>0.1012</v>
      </c>
      <c r="BF181">
        <v>60</v>
      </c>
      <c r="BG181">
        <f t="shared" si="180"/>
        <v>1</v>
      </c>
      <c r="BH181">
        <f t="shared" si="185"/>
        <v>6.5281733685033849E-3</v>
      </c>
      <c r="BI181">
        <f t="shared" si="181"/>
        <v>2.7434637417450523E-2</v>
      </c>
      <c r="BJ181">
        <f t="shared" si="173"/>
        <v>125.17053321711801</v>
      </c>
      <c r="BL181" s="28"/>
    </row>
    <row r="182" spans="1:72" x14ac:dyDescent="0.2">
      <c r="E182" s="12"/>
      <c r="F182" t="s">
        <v>164</v>
      </c>
      <c r="H182">
        <v>100</v>
      </c>
      <c r="I182">
        <v>0</v>
      </c>
      <c r="J182">
        <v>0</v>
      </c>
      <c r="L182">
        <f t="shared" si="158"/>
        <v>91.25</v>
      </c>
      <c r="N182">
        <v>-0.05</v>
      </c>
      <c r="P182">
        <v>7.0000000000000007E-2</v>
      </c>
      <c r="R182">
        <v>0.55000000000000004</v>
      </c>
      <c r="T182">
        <v>55</v>
      </c>
      <c r="U182">
        <f t="shared" si="174"/>
        <v>8.2999999999999741E-3</v>
      </c>
      <c r="V182">
        <f>V161</f>
        <v>0.99170000000000003</v>
      </c>
      <c r="W182">
        <f>W161</f>
        <v>0.73</v>
      </c>
      <c r="X182">
        <f t="shared" si="159"/>
        <v>4.7000000000000002E-3</v>
      </c>
      <c r="Y182">
        <f t="shared" si="160"/>
        <v>0</v>
      </c>
      <c r="Z182">
        <v>0</v>
      </c>
      <c r="AA182">
        <f t="shared" si="175"/>
        <v>0</v>
      </c>
      <c r="AB182">
        <f t="shared" si="182"/>
        <v>1.3</v>
      </c>
      <c r="AC182">
        <f t="shared" si="161"/>
        <v>1</v>
      </c>
      <c r="AD182">
        <f t="shared" si="162"/>
        <v>0.43585000000000007</v>
      </c>
      <c r="AF182">
        <v>3</v>
      </c>
      <c r="AG182">
        <f t="shared" si="176"/>
        <v>0.99999998477002028</v>
      </c>
      <c r="AH182">
        <f t="shared" si="163"/>
        <v>0.95969823125361531</v>
      </c>
      <c r="AI182">
        <f t="shared" si="177"/>
        <v>0.95969821663743071</v>
      </c>
      <c r="AJ182">
        <f t="shared" si="164"/>
        <v>6.717887516462015E-2</v>
      </c>
      <c r="AK182">
        <f t="shared" si="165"/>
        <v>0.08</v>
      </c>
      <c r="AL182">
        <f t="shared" si="166"/>
        <v>0.43120862223412426</v>
      </c>
      <c r="AM182">
        <f t="shared" si="167"/>
        <v>0.19</v>
      </c>
      <c r="AN182">
        <f t="shared" si="168"/>
        <v>0.6784</v>
      </c>
      <c r="AO182">
        <f t="shared" si="169"/>
        <v>3.3676568235665495E-4</v>
      </c>
      <c r="AP182">
        <f t="shared" si="170"/>
        <v>2.5906279547904771E-4</v>
      </c>
      <c r="AQ182">
        <f t="shared" si="178"/>
        <v>5.9582847783570272E-4</v>
      </c>
      <c r="AR182">
        <f t="shared" si="171"/>
        <v>5.436934860250787</v>
      </c>
      <c r="BA182">
        <f>BA181</f>
        <v>18</v>
      </c>
      <c r="BC182">
        <f t="shared" si="179"/>
        <v>0</v>
      </c>
      <c r="BD182">
        <f>BD181</f>
        <v>3.9452054794520547E-2</v>
      </c>
      <c r="BE182">
        <f t="shared" si="172"/>
        <v>-4.6000000000000006E-2</v>
      </c>
      <c r="BF182">
        <v>60</v>
      </c>
      <c r="BG182">
        <f t="shared" si="180"/>
        <v>0.91666666666666663</v>
      </c>
      <c r="BH182">
        <f t="shared" si="185"/>
        <v>4.7260723963921001E-3</v>
      </c>
      <c r="BI182">
        <f t="shared" si="181"/>
        <v>6.0225476299471245E-3</v>
      </c>
      <c r="BJ182">
        <f t="shared" si="173"/>
        <v>54.955747123267514</v>
      </c>
      <c r="BL182" s="28"/>
    </row>
    <row r="183" spans="1:72" x14ac:dyDescent="0.2">
      <c r="E183" s="11"/>
      <c r="F183" t="s">
        <v>165</v>
      </c>
      <c r="H183">
        <v>90</v>
      </c>
      <c r="I183">
        <v>0</v>
      </c>
      <c r="J183">
        <v>0</v>
      </c>
      <c r="L183">
        <f t="shared" si="158"/>
        <v>91.25</v>
      </c>
      <c r="N183">
        <v>-0.03</v>
      </c>
      <c r="P183">
        <v>0.13</v>
      </c>
      <c r="R183">
        <v>0.65</v>
      </c>
      <c r="T183">
        <v>52</v>
      </c>
      <c r="U183">
        <f t="shared" si="174"/>
        <v>8.2999999999999741E-3</v>
      </c>
      <c r="V183">
        <f>V161</f>
        <v>0.99170000000000003</v>
      </c>
      <c r="W183">
        <f>W161</f>
        <v>0.73</v>
      </c>
      <c r="X183">
        <f t="shared" si="159"/>
        <v>4.7000000000000002E-3</v>
      </c>
      <c r="Y183">
        <f t="shared" si="160"/>
        <v>0</v>
      </c>
      <c r="Z183">
        <v>0</v>
      </c>
      <c r="AA183">
        <f t="shared" si="175"/>
        <v>0</v>
      </c>
      <c r="AB183">
        <f t="shared" si="182"/>
        <v>1.3</v>
      </c>
      <c r="AC183">
        <f t="shared" si="161"/>
        <v>1</v>
      </c>
      <c r="AD183">
        <f t="shared" si="162"/>
        <v>0.51535000000000009</v>
      </c>
      <c r="AF183">
        <v>1.8</v>
      </c>
      <c r="AG183">
        <f t="shared" si="176"/>
        <v>0.99846618932067555</v>
      </c>
      <c r="AH183">
        <f t="shared" si="163"/>
        <v>1.0635112555960096</v>
      </c>
      <c r="AI183">
        <f t="shared" si="177"/>
        <v>1.0618800306745946</v>
      </c>
      <c r="AJ183">
        <f t="shared" si="164"/>
        <v>0.1380444039876973</v>
      </c>
      <c r="AK183">
        <f t="shared" si="165"/>
        <v>0.08</v>
      </c>
      <c r="AL183">
        <f t="shared" si="166"/>
        <v>0.383420652420493</v>
      </c>
      <c r="AM183">
        <f t="shared" si="167"/>
        <v>0.19</v>
      </c>
      <c r="AN183">
        <f t="shared" si="168"/>
        <v>0.6784</v>
      </c>
      <c r="AO183">
        <f t="shared" si="169"/>
        <v>2.9944419240279937E-4</v>
      </c>
      <c r="AP183">
        <f t="shared" si="170"/>
        <v>2.3035259718559638E-4</v>
      </c>
      <c r="AQ183">
        <f t="shared" si="178"/>
        <v>5.2979678958839577E-4</v>
      </c>
      <c r="AR183">
        <f t="shared" si="171"/>
        <v>4.3509561344947008</v>
      </c>
      <c r="BA183">
        <f>BA181</f>
        <v>18</v>
      </c>
      <c r="BC183">
        <f t="shared" si="179"/>
        <v>0</v>
      </c>
      <c r="BD183">
        <f>BD181</f>
        <v>3.9452054794520547E-2</v>
      </c>
      <c r="BE183">
        <f t="shared" si="172"/>
        <v>-2.76E-2</v>
      </c>
      <c r="BF183">
        <v>60</v>
      </c>
      <c r="BG183">
        <f t="shared" si="180"/>
        <v>0.8666666666666667</v>
      </c>
      <c r="BH183">
        <f t="shared" si="185"/>
        <v>4.9476274039474974E-3</v>
      </c>
      <c r="BI183">
        <f t="shared" si="181"/>
        <v>1.7139477234084072E-2</v>
      </c>
      <c r="BJ183">
        <f t="shared" si="173"/>
        <v>140.75795678491542</v>
      </c>
      <c r="BL183" s="28"/>
    </row>
    <row r="184" spans="1:72" x14ac:dyDescent="0.2">
      <c r="E184" s="12"/>
      <c r="F184" t="s">
        <v>166</v>
      </c>
      <c r="H184">
        <v>80</v>
      </c>
      <c r="I184">
        <v>0</v>
      </c>
      <c r="J184">
        <v>0</v>
      </c>
      <c r="L184">
        <f t="shared" si="158"/>
        <v>91.25</v>
      </c>
      <c r="N184">
        <v>-0.02</v>
      </c>
      <c r="P184">
        <v>0.1</v>
      </c>
      <c r="R184">
        <v>0.6</v>
      </c>
      <c r="T184">
        <v>50</v>
      </c>
      <c r="U184">
        <f t="shared" si="174"/>
        <v>8.2999999999999741E-3</v>
      </c>
      <c r="V184">
        <f>V161</f>
        <v>0.99170000000000003</v>
      </c>
      <c r="W184">
        <f>W161</f>
        <v>0.73</v>
      </c>
      <c r="X184">
        <f t="shared" si="159"/>
        <v>4.7000000000000002E-3</v>
      </c>
      <c r="Y184">
        <f t="shared" si="160"/>
        <v>0</v>
      </c>
      <c r="Z184">
        <v>0</v>
      </c>
      <c r="AA184">
        <f t="shared" si="175"/>
        <v>0</v>
      </c>
      <c r="AB184">
        <f t="shared" si="182"/>
        <v>1.3</v>
      </c>
      <c r="AC184">
        <f t="shared" si="161"/>
        <v>1</v>
      </c>
      <c r="AD184">
        <f t="shared" si="162"/>
        <v>0.47559999999999997</v>
      </c>
      <c r="AF184">
        <v>1</v>
      </c>
      <c r="AG184">
        <f t="shared" si="176"/>
        <v>0.8646647167633873</v>
      </c>
      <c r="AH184">
        <f t="shared" si="163"/>
        <v>0.94288322747903475</v>
      </c>
      <c r="AI184">
        <f t="shared" si="177"/>
        <v>0.81527785882910808</v>
      </c>
      <c r="AJ184">
        <f t="shared" si="164"/>
        <v>8.1527785882910819E-2</v>
      </c>
      <c r="AK184">
        <f t="shared" si="165"/>
        <v>0.08</v>
      </c>
      <c r="AL184">
        <f t="shared" si="166"/>
        <v>0.32448240197428052</v>
      </c>
      <c r="AM184">
        <f t="shared" si="167"/>
        <v>0.19</v>
      </c>
      <c r="AN184">
        <f t="shared" si="168"/>
        <v>0.6784</v>
      </c>
      <c r="AO184">
        <f t="shared" si="169"/>
        <v>2.5341454664666813E-4</v>
      </c>
      <c r="AP184">
        <f t="shared" si="170"/>
        <v>1.9494350021037423E-4</v>
      </c>
      <c r="AQ184">
        <f t="shared" si="178"/>
        <v>4.4835804685704238E-4</v>
      </c>
      <c r="AR184">
        <f t="shared" si="171"/>
        <v>3.2730137420564094</v>
      </c>
      <c r="BA184">
        <f>BA181</f>
        <v>18</v>
      </c>
      <c r="BC184">
        <f t="shared" si="179"/>
        <v>0</v>
      </c>
      <c r="BD184">
        <f>BD181</f>
        <v>3.9452054794520547E-2</v>
      </c>
      <c r="BE184">
        <f t="shared" si="172"/>
        <v>-1.84E-2</v>
      </c>
      <c r="BF184">
        <v>60</v>
      </c>
      <c r="BG184">
        <f t="shared" si="180"/>
        <v>0.83333333333333337</v>
      </c>
      <c r="BH184">
        <f t="shared" si="185"/>
        <v>5.0609041742876127E-3</v>
      </c>
      <c r="BI184">
        <f t="shared" si="181"/>
        <v>7.9835415669781175E-3</v>
      </c>
      <c r="BJ184">
        <f t="shared" si="173"/>
        <v>58.27985343894025</v>
      </c>
      <c r="BL184" s="28"/>
    </row>
    <row r="191" spans="1:72" x14ac:dyDescent="0.2">
      <c r="A191" t="s">
        <v>275</v>
      </c>
      <c r="B191" t="s">
        <v>275</v>
      </c>
      <c r="C191" t="s">
        <v>275</v>
      </c>
      <c r="D191" t="s">
        <v>213</v>
      </c>
      <c r="E191" s="11" t="s">
        <v>169</v>
      </c>
      <c r="F191" t="s">
        <v>163</v>
      </c>
      <c r="H191">
        <v>100</v>
      </c>
      <c r="I191">
        <v>95</v>
      </c>
      <c r="J191">
        <v>90</v>
      </c>
      <c r="L191">
        <f t="shared" ref="L191:L214" si="190">$BZ$3</f>
        <v>91.25</v>
      </c>
      <c r="N191" cm="1">
        <f t="array" ref="N191:N214">_xlfn.DROP(_xlfn.XLOOKUP($C191,TableLWG2_1[[#Headers],[ACT/NSW]:[WA]],TableLWG2_1[[#All],[ACT/NSW]:[WA]]),1)</f>
        <v>0.05</v>
      </c>
      <c r="P191" cm="1">
        <f t="array" ref="P191:P214">_xlfn.DROP(_xlfn.XLOOKUP($C191,QueryCP[[#Headers],[ACT/NSW]:[WA]],QueryCP[[#All],[ACT/NSW]:[WA]]),1)</f>
        <v>0.18</v>
      </c>
      <c r="R191" cm="1">
        <f t="array" ref="R191:R214">_xlfn.DROP(_xlfn.XLOOKUP($C191,QueryDMD[[#Headers],[ACT/NSW]:[WA]],QueryDMD[[#All],[ACT/NSW]:[WA]]),1)</f>
        <v>0.73</v>
      </c>
      <c r="T191" cm="1">
        <f t="array" ref="T191:T214">_xlfn.DROP(_xlfn.XLOOKUP($C191,QueryW[[#Headers],[ACT/NSW]:[WA]],QueryW[[#All],[ACT/NSW]:[WA]]),1)</f>
        <v>55</v>
      </c>
      <c r="U191">
        <f>1-V191</f>
        <v>0</v>
      </c>
      <c r="V191">
        <f>IF($D191="yes", 1, VLOOKUP($B191, $BY$26:$CA$32, 2)/100)</f>
        <v>1</v>
      </c>
      <c r="W191">
        <f>VLOOKUP($B191,$CA$10:$CB$16, 2, FALSE)</f>
        <v>0.76</v>
      </c>
      <c r="X191">
        <f t="shared" ref="X191:X214" si="191">$BZ$10</f>
        <v>4.7000000000000002E-3</v>
      </c>
      <c r="Y191">
        <f t="shared" ref="Y191:Y214" si="192">(I191/100)*(MIN(J191,100)/100)</f>
        <v>0.85499999999999998</v>
      </c>
      <c r="Z191">
        <v>0</v>
      </c>
      <c r="AA191">
        <f>1.6 * Z191</f>
        <v>0</v>
      </c>
      <c r="AB191">
        <f>$CC$1</f>
        <v>1.3</v>
      </c>
      <c r="AC191">
        <f t="shared" ref="AC191:AC214" si="193">Y191*AB191+(1-Y191)</f>
        <v>1.2565</v>
      </c>
      <c r="AD191">
        <f t="shared" ref="AD191:AD214" si="194">(0.795*R191)-0.0014</f>
        <v>0.57895000000000008</v>
      </c>
      <c r="AF191" cm="1">
        <f t="array" ref="AF191:AF214">_xlfn.DROP(_xlfn.XLOOKUP($C191,QueryDMA[[#Headers],[ACT/NSW]:[WA]],QueryDMA[[#All],[ACT/NSW]:[WA]]),1)</f>
        <v>3.5</v>
      </c>
      <c r="AG191">
        <f>1 - EXP(-2*(AF191^2))</f>
        <v>0.99999999997710265</v>
      </c>
      <c r="AH191">
        <f t="shared" ref="AH191:AH214" si="195">(104.7*AD191+0.307*T191-15)*(T191^0.75)*10^-3</f>
        <v>1.2622908518455234</v>
      </c>
      <c r="AI191">
        <f>AH191*AG191*AC191</f>
        <v>1.5860684553075832</v>
      </c>
      <c r="AJ191">
        <f t="shared" ref="AJ191:AJ214" si="196">(AI191 * P191) + (0.045 * AA191)</f>
        <v>0.28549232195536495</v>
      </c>
      <c r="AK191">
        <f t="shared" ref="AK191:AK214" si="197">$BZ$2</f>
        <v>0.08</v>
      </c>
      <c r="AL191">
        <f t="shared" ref="AL191:AL214" si="198">(AI191 * ((1 - R191) + (0.04 * AI191))) * ( 1 - AK191 )</f>
        <v>0.4865539680315254</v>
      </c>
      <c r="AM191">
        <f t="shared" ref="AM191:AM214" si="199">$BZ$1</f>
        <v>0.19</v>
      </c>
      <c r="AN191">
        <f t="shared" ref="AN191:AN214" si="200">$CA$20</f>
        <v>0.6784</v>
      </c>
      <c r="AO191">
        <f t="shared" ref="AO191:AO214" si="201">AL191 * AM191 * U191 * W191 * AN191</f>
        <v>0</v>
      </c>
      <c r="AP191">
        <f t="shared" ref="AP191:AP214" si="202">AL191*AM191*V191*X191*AN191</f>
        <v>2.9475984323794005E-4</v>
      </c>
      <c r="AQ191">
        <f>AO191+AP191</f>
        <v>2.9475984323794005E-4</v>
      </c>
      <c r="AR191">
        <f t="shared" ref="AR191:AR214" si="203">H191*AQ191*L191</f>
        <v>2.6896835695462031</v>
      </c>
      <c r="AS191">
        <f>SUM(AR191:AR214)*10^-3</f>
        <v>4.577588251216725E-2</v>
      </c>
      <c r="AT191" t="s">
        <v>213</v>
      </c>
      <c r="AU191">
        <f>IF(AT191="yes", 1,0)</f>
        <v>1</v>
      </c>
      <c r="AV191">
        <f>$BZ$4</f>
        <v>0.24</v>
      </c>
      <c r="AW191" t="s">
        <v>321</v>
      </c>
      <c r="AX191" s="28">
        <f>VLOOKUP(AW191,$CD$37:$CF$46,2, FALSE)</f>
        <v>6.0000000000000001E-3</v>
      </c>
      <c r="AY191" s="28">
        <f>$BZ$7</f>
        <v>1.57</v>
      </c>
      <c r="AZ191">
        <f>$BZ$5</f>
        <v>0.21</v>
      </c>
      <c r="BA191">
        <v>20</v>
      </c>
      <c r="BB191">
        <v>0.8</v>
      </c>
      <c r="BC191">
        <f>Y191 * 1.6</f>
        <v>1.3680000000000001</v>
      </c>
      <c r="BD191">
        <f>(BA191 * BB191) / 365</f>
        <v>4.3835616438356165E-2</v>
      </c>
      <c r="BE191">
        <f t="shared" ref="BE191:BE214" si="204">N191 * 0.92</f>
        <v>4.6000000000000006E-2</v>
      </c>
      <c r="BF191" cm="1">
        <f t="array" ref="BF191:BF214">_xlfn.DROP(_xlfn.XLOOKUP($C191,QuerySRW[[#Headers],[ACT/NSW]:[WA]],QuerySRW[[#All],[ACT/NSW]:[WA]]),1)</f>
        <v>60</v>
      </c>
      <c r="BG191">
        <f>T191 / BF191</f>
        <v>0.91666666666666663</v>
      </c>
      <c r="BH191">
        <f>((0.045 * BC191) + (BD191 * 0.84)  + (BE191 * ((212 - 4 * ((BE191 * 1000)/(4* (BF191^0.75)) - 1)) - ((140 - 4 * (((BE191 * 1000)/(4 * BF191 ^0.75)) - 1))/(1 + EXP(-6 * (BG191 - 0.4)))))) * 10^-3) / 6.25</f>
        <v>1.6316036667477128E-2</v>
      </c>
      <c r="BI191">
        <f>MAX((AJ191  / 6.25 ) - BH191, 0)</f>
        <v>2.9362734845381266E-2</v>
      </c>
      <c r="BJ191">
        <f t="shared" ref="BJ191:BJ214" si="205">H191*BI191*L191</f>
        <v>267.93495546410406</v>
      </c>
      <c r="BK191">
        <f>SUM(BJ191:BJ214)</f>
        <v>3944.369719638878</v>
      </c>
      <c r="BL191" s="28">
        <f>BK191*$AU$11*$AV$11</f>
        <v>946.64873271333067</v>
      </c>
      <c r="BM191">
        <f>BK191 * AZ191</f>
        <v>828.31764112416431</v>
      </c>
      <c r="BN191" t="s">
        <v>226</v>
      </c>
      <c r="BO191">
        <f>VLOOKUP(BN191, $BY$37:$BZ$49, 2, FALSE)</f>
        <v>1.8E-3</v>
      </c>
      <c r="BP191">
        <f>BM191 * BO191 * AY191 * 10^-3</f>
        <v>2.3408256538168886E-3</v>
      </c>
      <c r="BQ191">
        <f>BK191 * AU191 * AV191</f>
        <v>946.64873271333067</v>
      </c>
      <c r="BR191">
        <f>$BZ$6</f>
        <v>1.0999999999999999E-2</v>
      </c>
      <c r="BS191">
        <f>BK191 * AX191 * AY191 * 10^-3</f>
        <v>3.7155962758998233E-2</v>
      </c>
      <c r="BT191">
        <f>BQ191 * BR191 * AY191 * 10^-3</f>
        <v>1.6348623613959223E-2</v>
      </c>
    </row>
    <row r="192" spans="1:72" x14ac:dyDescent="0.2">
      <c r="E192" s="12"/>
      <c r="F192" t="s">
        <v>164</v>
      </c>
      <c r="H192">
        <v>70</v>
      </c>
      <c r="I192">
        <v>0</v>
      </c>
      <c r="J192">
        <v>0</v>
      </c>
      <c r="L192">
        <f t="shared" si="190"/>
        <v>91.25</v>
      </c>
      <c r="N192">
        <v>-0.05</v>
      </c>
      <c r="P192">
        <v>0.06</v>
      </c>
      <c r="R192">
        <v>0.55000000000000004</v>
      </c>
      <c r="T192">
        <v>50</v>
      </c>
      <c r="U192">
        <f t="shared" ref="U192:U214" si="206">1-V192</f>
        <v>0</v>
      </c>
      <c r="V192">
        <f>V191</f>
        <v>1</v>
      </c>
      <c r="W192">
        <f>W191</f>
        <v>0.76</v>
      </c>
      <c r="X192">
        <f t="shared" si="191"/>
        <v>4.7000000000000002E-3</v>
      </c>
      <c r="Y192">
        <f t="shared" si="192"/>
        <v>0</v>
      </c>
      <c r="Z192">
        <v>0</v>
      </c>
      <c r="AA192">
        <f t="shared" ref="AA192:AA214" si="207">1.6 * Z192</f>
        <v>0</v>
      </c>
      <c r="AB192">
        <f>$AB$11</f>
        <v>1.3</v>
      </c>
      <c r="AC192">
        <f t="shared" si="193"/>
        <v>1</v>
      </c>
      <c r="AD192">
        <f t="shared" si="194"/>
        <v>0.43585000000000007</v>
      </c>
      <c r="AF192">
        <v>1.5</v>
      </c>
      <c r="AG192">
        <f t="shared" ref="AG192:AG214" si="208">1 - EXP(-2*(AF192^2))</f>
        <v>0.98889100346175773</v>
      </c>
      <c r="AH192">
        <f t="shared" si="195"/>
        <v>0.8646283676396137</v>
      </c>
      <c r="AI192">
        <f t="shared" ref="AI192:AI214" si="209">AH192*AG192*AC192</f>
        <v>0.85502321409663917</v>
      </c>
      <c r="AJ192">
        <f t="shared" si="196"/>
        <v>5.1301392845798349E-2</v>
      </c>
      <c r="AK192">
        <f t="shared" si="197"/>
        <v>0.08</v>
      </c>
      <c r="AL192">
        <f t="shared" si="198"/>
        <v>0.38088279147251325</v>
      </c>
      <c r="AM192">
        <f t="shared" si="199"/>
        <v>0.19</v>
      </c>
      <c r="AN192">
        <f t="shared" si="200"/>
        <v>0.6784</v>
      </c>
      <c r="AO192">
        <f t="shared" si="201"/>
        <v>0</v>
      </c>
      <c r="AP192">
        <f t="shared" si="202"/>
        <v>2.3074306096131303E-4</v>
      </c>
      <c r="AQ192">
        <f t="shared" ref="AQ192:AQ214" si="210">AO192+AP192</f>
        <v>2.3074306096131303E-4</v>
      </c>
      <c r="AR192">
        <f t="shared" si="203"/>
        <v>1.4738713018903871</v>
      </c>
      <c r="BA192">
        <f>BA191</f>
        <v>20</v>
      </c>
      <c r="BC192">
        <f t="shared" ref="BC192:BC214" si="211">Y192 * 1.6</f>
        <v>0</v>
      </c>
      <c r="BD192">
        <f>BD191</f>
        <v>4.3835616438356165E-2</v>
      </c>
      <c r="BE192">
        <f t="shared" si="204"/>
        <v>-4.6000000000000006E-2</v>
      </c>
      <c r="BF192">
        <v>60</v>
      </c>
      <c r="BG192">
        <f t="shared" ref="BG192:BG214" si="212">T192 / BF192</f>
        <v>0.83333333333333337</v>
      </c>
      <c r="BH192">
        <f>((0.045 * BC192) + (BD$11 * 0.84)  + (BE192 * ((212 - 4 * ((BE192 * 1000)/(4* (BF192^0.75)) - 1)) - ((140 - 4 * (((BE192 * 1000)/(4 * BF192 ^0.75)) - 1))/(1 + EXP(-6 * (BG192 - 0.4)))))) * 10^-3) / 6.25</f>
        <v>5.2872254063404235E-3</v>
      </c>
      <c r="BI192">
        <f t="shared" ref="BI192:BI214" si="213">MAX((AJ192  / 6.25 ) - BH192, 0)</f>
        <v>2.9209974489873116E-3</v>
      </c>
      <c r="BJ192">
        <f t="shared" si="205"/>
        <v>18.657871205406451</v>
      </c>
      <c r="BL192" s="28"/>
    </row>
    <row r="193" spans="5:64" x14ac:dyDescent="0.2">
      <c r="E193" s="11"/>
      <c r="F193" t="s">
        <v>165</v>
      </c>
      <c r="H193">
        <v>65</v>
      </c>
      <c r="I193">
        <v>0</v>
      </c>
      <c r="J193">
        <v>0</v>
      </c>
      <c r="L193">
        <f t="shared" si="190"/>
        <v>91.25</v>
      </c>
      <c r="N193">
        <v>-0.05</v>
      </c>
      <c r="P193">
        <v>0.16</v>
      </c>
      <c r="R193">
        <v>0.7</v>
      </c>
      <c r="T193">
        <v>45</v>
      </c>
      <c r="U193">
        <f t="shared" si="206"/>
        <v>0</v>
      </c>
      <c r="V193">
        <f>V191</f>
        <v>1</v>
      </c>
      <c r="W193">
        <f>W191</f>
        <v>0.76</v>
      </c>
      <c r="X193">
        <f t="shared" si="191"/>
        <v>4.7000000000000002E-3</v>
      </c>
      <c r="Y193">
        <f t="shared" si="192"/>
        <v>0</v>
      </c>
      <c r="Z193">
        <v>0</v>
      </c>
      <c r="AA193">
        <f t="shared" si="207"/>
        <v>0</v>
      </c>
      <c r="AB193">
        <f t="shared" ref="AB193:AB214" si="214">$AB$11</f>
        <v>1.3</v>
      </c>
      <c r="AC193">
        <f t="shared" si="193"/>
        <v>1</v>
      </c>
      <c r="AD193">
        <f t="shared" si="194"/>
        <v>0.55510000000000004</v>
      </c>
      <c r="AF193">
        <v>0.7</v>
      </c>
      <c r="AG193">
        <f t="shared" si="208"/>
        <v>0.62468890114860043</v>
      </c>
      <c r="AH193">
        <f t="shared" si="195"/>
        <v>0.98919258792655118</v>
      </c>
      <c r="AI193">
        <f t="shared" si="209"/>
        <v>0.61793763077617758</v>
      </c>
      <c r="AJ193">
        <f t="shared" si="196"/>
        <v>9.8870020924188409E-2</v>
      </c>
      <c r="AK193">
        <f t="shared" si="197"/>
        <v>0.08</v>
      </c>
      <c r="AL193">
        <f t="shared" si="198"/>
        <v>0.18460275258570238</v>
      </c>
      <c r="AM193">
        <f t="shared" si="199"/>
        <v>0.19</v>
      </c>
      <c r="AN193">
        <f t="shared" si="200"/>
        <v>0.6784</v>
      </c>
      <c r="AO193">
        <f t="shared" si="201"/>
        <v>0</v>
      </c>
      <c r="AP193">
        <f t="shared" si="202"/>
        <v>1.1183441506724749E-4</v>
      </c>
      <c r="AQ193">
        <f t="shared" si="210"/>
        <v>1.1183441506724749E-4</v>
      </c>
      <c r="AR193">
        <f t="shared" si="203"/>
        <v>0.66331787436761169</v>
      </c>
      <c r="BA193">
        <f>BA191</f>
        <v>20</v>
      </c>
      <c r="BC193">
        <f t="shared" si="211"/>
        <v>0</v>
      </c>
      <c r="BD193">
        <f>BD191</f>
        <v>4.3835616438356165E-2</v>
      </c>
      <c r="BE193">
        <f t="shared" si="204"/>
        <v>-4.6000000000000006E-2</v>
      </c>
      <c r="BF193">
        <v>60</v>
      </c>
      <c r="BG193">
        <f t="shared" si="212"/>
        <v>0.75</v>
      </c>
      <c r="BH193">
        <f t="shared" ref="BH193:BH194" si="215">((0.045 * BC193) + (BD$11 * 0.84)  + (BE193 * ((212 - 4 * ((BE193 * 1000)/(4* (BF193^0.75)) - 1)) - ((140 - 4 * (((BE193 * 1000)/(4 * BF193 ^0.75)) - 1))/(1 + EXP(-6 * (BG193 - 0.4)))))) * 10^-3) / 6.25</f>
        <v>5.2442483708285085E-3</v>
      </c>
      <c r="BI193">
        <f t="shared" si="213"/>
        <v>1.0574954977041638E-2</v>
      </c>
      <c r="BJ193">
        <f t="shared" si="205"/>
        <v>62.722701707578217</v>
      </c>
      <c r="BL193" s="28"/>
    </row>
    <row r="194" spans="5:64" x14ac:dyDescent="0.2">
      <c r="E194" s="12"/>
      <c r="F194" t="s">
        <v>166</v>
      </c>
      <c r="H194">
        <v>80</v>
      </c>
      <c r="I194">
        <v>0</v>
      </c>
      <c r="J194">
        <v>0</v>
      </c>
      <c r="L194">
        <f t="shared" si="190"/>
        <v>91.25</v>
      </c>
      <c r="N194">
        <v>0.05</v>
      </c>
      <c r="P194">
        <v>0.21</v>
      </c>
      <c r="R194">
        <v>0.76</v>
      </c>
      <c r="T194">
        <v>50</v>
      </c>
      <c r="U194">
        <f t="shared" si="206"/>
        <v>0</v>
      </c>
      <c r="V194">
        <f>V191</f>
        <v>1</v>
      </c>
      <c r="W194">
        <f>W191</f>
        <v>0.76</v>
      </c>
      <c r="X194">
        <f t="shared" si="191"/>
        <v>4.7000000000000002E-3</v>
      </c>
      <c r="Y194">
        <f t="shared" si="192"/>
        <v>0</v>
      </c>
      <c r="Z194">
        <v>0</v>
      </c>
      <c r="AA194">
        <f t="shared" si="207"/>
        <v>0</v>
      </c>
      <c r="AB194">
        <f t="shared" si="214"/>
        <v>1.3</v>
      </c>
      <c r="AC194">
        <f t="shared" si="193"/>
        <v>1</v>
      </c>
      <c r="AD194">
        <f t="shared" si="194"/>
        <v>0.60280000000000011</v>
      </c>
      <c r="AF194">
        <v>1.2</v>
      </c>
      <c r="AG194">
        <f t="shared" si="208"/>
        <v>0.94386523716586623</v>
      </c>
      <c r="AH194">
        <f t="shared" si="195"/>
        <v>1.1932987789651837</v>
      </c>
      <c r="AI194">
        <f t="shared" si="209"/>
        <v>1.1263132350177116</v>
      </c>
      <c r="AJ194">
        <f t="shared" si="196"/>
        <v>0.23652577935371943</v>
      </c>
      <c r="AK194">
        <f t="shared" si="197"/>
        <v>0.08</v>
      </c>
      <c r="AL194">
        <f t="shared" si="198"/>
        <v>0.29537376161614987</v>
      </c>
      <c r="AM194">
        <f t="shared" si="199"/>
        <v>0.19</v>
      </c>
      <c r="AN194">
        <f t="shared" si="200"/>
        <v>0.6784</v>
      </c>
      <c r="AO194">
        <f t="shared" si="201"/>
        <v>0</v>
      </c>
      <c r="AP194">
        <f t="shared" si="202"/>
        <v>1.7894073297319371E-4</v>
      </c>
      <c r="AQ194">
        <f t="shared" si="210"/>
        <v>1.7894073297319371E-4</v>
      </c>
      <c r="AR194">
        <f t="shared" si="203"/>
        <v>1.3062673507043141</v>
      </c>
      <c r="BA194">
        <f>BA191</f>
        <v>20</v>
      </c>
      <c r="BC194">
        <f t="shared" si="211"/>
        <v>0</v>
      </c>
      <c r="BD194">
        <f>BD191</f>
        <v>4.3835616438356165E-2</v>
      </c>
      <c r="BE194">
        <f t="shared" si="204"/>
        <v>4.6000000000000006E-2</v>
      </c>
      <c r="BF194">
        <v>60</v>
      </c>
      <c r="BG194">
        <f t="shared" si="212"/>
        <v>0.83333333333333337</v>
      </c>
      <c r="BH194">
        <f t="shared" si="215"/>
        <v>6.4936167331738097E-3</v>
      </c>
      <c r="BI194">
        <f t="shared" si="213"/>
        <v>3.1350507963421301E-2</v>
      </c>
      <c r="BJ194">
        <f t="shared" si="205"/>
        <v>228.85870813297552</v>
      </c>
      <c r="BL194" s="28"/>
    </row>
    <row r="195" spans="5:64" x14ac:dyDescent="0.2">
      <c r="E195" s="11" t="s">
        <v>171</v>
      </c>
      <c r="F195" t="s">
        <v>163</v>
      </c>
      <c r="H195">
        <v>200</v>
      </c>
      <c r="I195">
        <v>0</v>
      </c>
      <c r="J195">
        <v>0</v>
      </c>
      <c r="L195">
        <f t="shared" si="190"/>
        <v>91.25</v>
      </c>
      <c r="N195">
        <v>0.11</v>
      </c>
      <c r="P195">
        <v>0.18</v>
      </c>
      <c r="R195">
        <v>0.73</v>
      </c>
      <c r="T195">
        <v>30</v>
      </c>
      <c r="U195">
        <f t="shared" si="206"/>
        <v>0</v>
      </c>
      <c r="V195">
        <f>V191</f>
        <v>1</v>
      </c>
      <c r="W195">
        <f>W191</f>
        <v>0.76</v>
      </c>
      <c r="X195">
        <f t="shared" si="191"/>
        <v>4.7000000000000002E-3</v>
      </c>
      <c r="Y195">
        <f t="shared" si="192"/>
        <v>0</v>
      </c>
      <c r="Z195">
        <v>1</v>
      </c>
      <c r="AA195">
        <f t="shared" si="207"/>
        <v>1.6</v>
      </c>
      <c r="AB195">
        <f t="shared" si="214"/>
        <v>1.3</v>
      </c>
      <c r="AC195">
        <f t="shared" si="193"/>
        <v>1</v>
      </c>
      <c r="AD195">
        <f t="shared" si="194"/>
        <v>0.57895000000000008</v>
      </c>
      <c r="AF195">
        <v>3.5</v>
      </c>
      <c r="AG195">
        <f t="shared" si="208"/>
        <v>0.99999999997710265</v>
      </c>
      <c r="AH195">
        <f t="shared" si="195"/>
        <v>0.70279395559006042</v>
      </c>
      <c r="AI195">
        <f t="shared" si="209"/>
        <v>0.70279395557396829</v>
      </c>
      <c r="AJ195">
        <f t="shared" si="196"/>
        <v>0.19850291200331427</v>
      </c>
      <c r="AK195">
        <f t="shared" si="197"/>
        <v>0.08</v>
      </c>
      <c r="AL195">
        <f t="shared" si="198"/>
        <v>0.19275025042345378</v>
      </c>
      <c r="AM195">
        <f t="shared" si="199"/>
        <v>0.19</v>
      </c>
      <c r="AN195">
        <f t="shared" si="200"/>
        <v>0.6784</v>
      </c>
      <c r="AO195">
        <f t="shared" si="201"/>
        <v>0</v>
      </c>
      <c r="AP195">
        <f t="shared" si="202"/>
        <v>1.1677026050933304E-4</v>
      </c>
      <c r="AQ195">
        <f t="shared" si="210"/>
        <v>1.1677026050933304E-4</v>
      </c>
      <c r="AR195">
        <f t="shared" si="203"/>
        <v>2.1310572542953281</v>
      </c>
      <c r="BA195">
        <v>15</v>
      </c>
      <c r="BB195">
        <v>0.85</v>
      </c>
      <c r="BC195">
        <f t="shared" si="211"/>
        <v>0</v>
      </c>
      <c r="BD195">
        <f t="shared" ref="BD195" si="216">(BA195 * BB195) / 365</f>
        <v>3.4931506849315071E-2</v>
      </c>
      <c r="BE195">
        <f t="shared" si="204"/>
        <v>0.1012</v>
      </c>
      <c r="BF195">
        <v>66</v>
      </c>
      <c r="BG195">
        <f t="shared" si="212"/>
        <v>0.45454545454545453</v>
      </c>
      <c r="BH195">
        <f>((0.045 * BC195) + (BD$15 * 0.84)  + (BE195 * ((212 - 4 * ((BE195 * 1000)/(4* (BF195^0.75)) - 1)) - ((140 - 4 * (((BE195 * 1000)/(4 * BF195 ^0.75)) - 1))/(1 + EXP(-6 * (BG195 - 0.4)))))) * 10^-3) / 6.25</f>
        <v>6.8077119524259187E-3</v>
      </c>
      <c r="BI195">
        <f t="shared" si="213"/>
        <v>2.4952753968104369E-2</v>
      </c>
      <c r="BJ195">
        <f t="shared" si="205"/>
        <v>455.3877599179047</v>
      </c>
      <c r="BL195" s="28"/>
    </row>
    <row r="196" spans="5:64" x14ac:dyDescent="0.2">
      <c r="E196" s="12"/>
      <c r="F196" t="s">
        <v>164</v>
      </c>
      <c r="H196">
        <v>210</v>
      </c>
      <c r="I196">
        <v>0</v>
      </c>
      <c r="J196">
        <v>0</v>
      </c>
      <c r="L196">
        <f t="shared" si="190"/>
        <v>91.25</v>
      </c>
      <c r="N196">
        <v>0</v>
      </c>
      <c r="P196">
        <v>0.06</v>
      </c>
      <c r="R196">
        <v>0.55000000000000004</v>
      </c>
      <c r="T196">
        <v>30</v>
      </c>
      <c r="U196">
        <f t="shared" si="206"/>
        <v>0</v>
      </c>
      <c r="V196">
        <f>V191</f>
        <v>1</v>
      </c>
      <c r="W196">
        <f>W191</f>
        <v>0.76</v>
      </c>
      <c r="X196">
        <f t="shared" si="191"/>
        <v>4.7000000000000002E-3</v>
      </c>
      <c r="Y196">
        <f t="shared" si="192"/>
        <v>0</v>
      </c>
      <c r="Z196">
        <v>0</v>
      </c>
      <c r="AA196">
        <f t="shared" si="207"/>
        <v>0</v>
      </c>
      <c r="AB196">
        <f t="shared" si="214"/>
        <v>1.3</v>
      </c>
      <c r="AC196">
        <f t="shared" si="193"/>
        <v>1</v>
      </c>
      <c r="AD196">
        <f t="shared" si="194"/>
        <v>0.43585000000000007</v>
      </c>
      <c r="AF196">
        <v>1.5</v>
      </c>
      <c r="AG196">
        <f t="shared" si="208"/>
        <v>0.98889100346175773</v>
      </c>
      <c r="AH196">
        <f t="shared" si="195"/>
        <v>0.5107382310873998</v>
      </c>
      <c r="AI196">
        <f t="shared" si="209"/>
        <v>0.50506444184630195</v>
      </c>
      <c r="AJ196">
        <f t="shared" si="196"/>
        <v>3.0303866510778116E-2</v>
      </c>
      <c r="AK196">
        <f t="shared" si="197"/>
        <v>0.08</v>
      </c>
      <c r="AL196">
        <f t="shared" si="198"/>
        <v>0.21848399425173362</v>
      </c>
      <c r="AM196">
        <f t="shared" si="199"/>
        <v>0.19</v>
      </c>
      <c r="AN196">
        <f t="shared" si="200"/>
        <v>0.6784</v>
      </c>
      <c r="AO196">
        <f t="shared" si="201"/>
        <v>0</v>
      </c>
      <c r="AP196">
        <f t="shared" si="202"/>
        <v>1.3236005073843587E-4</v>
      </c>
      <c r="AQ196">
        <f t="shared" si="210"/>
        <v>1.3236005073843587E-4</v>
      </c>
      <c r="AR196">
        <f t="shared" si="203"/>
        <v>2.5363494722752775</v>
      </c>
      <c r="BA196">
        <f>BA195</f>
        <v>15</v>
      </c>
      <c r="BC196">
        <f t="shared" si="211"/>
        <v>0</v>
      </c>
      <c r="BD196">
        <f>BD195</f>
        <v>3.4931506849315071E-2</v>
      </c>
      <c r="BE196">
        <f t="shared" si="204"/>
        <v>0</v>
      </c>
      <c r="BF196">
        <v>66</v>
      </c>
      <c r="BG196">
        <f t="shared" si="212"/>
        <v>0.45454545454545453</v>
      </c>
      <c r="BH196">
        <f t="shared" ref="BH196:BH214" si="217">((0.045 * BC196) + (BD196 * 0.84)  + (BE196 * ((212 - 4 * ((BE196 * 1000)/(4* (BF196^0.75)) - 1)) - ((140 - 4 * (((BE196 * 1000)/(4 * BF196 ^0.75)) - 1))/(1 + EXP(-6 * (BG196 - 0.4)))))) * 10^-3) / 6.25</f>
        <v>4.6947945205479454E-3</v>
      </c>
      <c r="BI196">
        <f t="shared" si="213"/>
        <v>1.5382412117655349E-4</v>
      </c>
      <c r="BJ196">
        <f t="shared" si="205"/>
        <v>2.9476547220457059</v>
      </c>
      <c r="BL196" s="28"/>
    </row>
    <row r="197" spans="5:64" x14ac:dyDescent="0.2">
      <c r="E197" s="11"/>
      <c r="F197" t="s">
        <v>165</v>
      </c>
      <c r="H197">
        <v>170</v>
      </c>
      <c r="I197">
        <v>0</v>
      </c>
      <c r="J197">
        <v>0</v>
      </c>
      <c r="L197">
        <f t="shared" si="190"/>
        <v>91.25</v>
      </c>
      <c r="N197">
        <v>0.11</v>
      </c>
      <c r="P197">
        <v>0.16</v>
      </c>
      <c r="R197">
        <v>0.7</v>
      </c>
      <c r="T197">
        <v>10</v>
      </c>
      <c r="U197">
        <f t="shared" si="206"/>
        <v>0</v>
      </c>
      <c r="V197">
        <f>V191</f>
        <v>1</v>
      </c>
      <c r="W197">
        <f>W191</f>
        <v>0.76</v>
      </c>
      <c r="X197">
        <f t="shared" si="191"/>
        <v>4.7000000000000002E-3</v>
      </c>
      <c r="Y197">
        <f t="shared" si="192"/>
        <v>0</v>
      </c>
      <c r="Z197">
        <v>0</v>
      </c>
      <c r="AA197">
        <f t="shared" si="207"/>
        <v>0</v>
      </c>
      <c r="AB197">
        <f t="shared" si="214"/>
        <v>1.3</v>
      </c>
      <c r="AC197">
        <f t="shared" si="193"/>
        <v>1</v>
      </c>
      <c r="AD197">
        <f t="shared" si="194"/>
        <v>0.55510000000000004</v>
      </c>
      <c r="AF197">
        <v>0.7</v>
      </c>
      <c r="AG197">
        <f t="shared" si="208"/>
        <v>0.62468890114860043</v>
      </c>
      <c r="AH197">
        <f t="shared" si="195"/>
        <v>0.25973966598977283</v>
      </c>
      <c r="AI197">
        <f t="shared" si="209"/>
        <v>0.1622564865318557</v>
      </c>
      <c r="AJ197">
        <f t="shared" si="196"/>
        <v>2.5961037845096912E-2</v>
      </c>
      <c r="AK197">
        <f t="shared" si="197"/>
        <v>0.08</v>
      </c>
      <c r="AL197">
        <f t="shared" si="198"/>
        <v>4.575163004390935E-2</v>
      </c>
      <c r="AM197">
        <f t="shared" si="199"/>
        <v>0.19</v>
      </c>
      <c r="AN197">
        <f t="shared" si="200"/>
        <v>0.6784</v>
      </c>
      <c r="AO197">
        <f t="shared" si="201"/>
        <v>0</v>
      </c>
      <c r="AP197">
        <f t="shared" si="202"/>
        <v>2.7716849898856777E-5</v>
      </c>
      <c r="AQ197">
        <f t="shared" si="210"/>
        <v>2.7716849898856777E-5</v>
      </c>
      <c r="AR197">
        <f t="shared" si="203"/>
        <v>0.42995763405601573</v>
      </c>
      <c r="BA197">
        <f>BA195</f>
        <v>15</v>
      </c>
      <c r="BC197">
        <f t="shared" si="211"/>
        <v>0</v>
      </c>
      <c r="BD197">
        <f>BD195</f>
        <v>3.4931506849315071E-2</v>
      </c>
      <c r="BE197">
        <f t="shared" si="204"/>
        <v>0.1012</v>
      </c>
      <c r="BF197">
        <v>66</v>
      </c>
      <c r="BG197">
        <f t="shared" si="212"/>
        <v>0.15151515151515152</v>
      </c>
      <c r="BH197">
        <f t="shared" si="217"/>
        <v>7.7059838170942755E-3</v>
      </c>
      <c r="BI197">
        <f t="shared" si="213"/>
        <v>0</v>
      </c>
      <c r="BJ197">
        <f t="shared" si="205"/>
        <v>0</v>
      </c>
      <c r="BL197" s="28"/>
    </row>
    <row r="198" spans="5:64" x14ac:dyDescent="0.2">
      <c r="E198" s="12"/>
      <c r="F198" t="s">
        <v>166</v>
      </c>
      <c r="H198">
        <v>200</v>
      </c>
      <c r="I198">
        <v>0</v>
      </c>
      <c r="J198">
        <v>0</v>
      </c>
      <c r="L198">
        <f t="shared" si="190"/>
        <v>91.25</v>
      </c>
      <c r="N198">
        <v>0.11</v>
      </c>
      <c r="P198">
        <v>0.21</v>
      </c>
      <c r="R198">
        <v>0.76</v>
      </c>
      <c r="T198">
        <v>20</v>
      </c>
      <c r="U198">
        <f t="shared" si="206"/>
        <v>0</v>
      </c>
      <c r="V198">
        <f>V191</f>
        <v>1</v>
      </c>
      <c r="W198">
        <f>W191</f>
        <v>0.76</v>
      </c>
      <c r="X198">
        <f t="shared" si="191"/>
        <v>4.7000000000000002E-3</v>
      </c>
      <c r="Y198">
        <f t="shared" si="192"/>
        <v>0</v>
      </c>
      <c r="Z198">
        <v>0</v>
      </c>
      <c r="AA198">
        <f t="shared" si="207"/>
        <v>0</v>
      </c>
      <c r="AB198">
        <f t="shared" si="214"/>
        <v>1.3</v>
      </c>
      <c r="AC198">
        <f t="shared" si="193"/>
        <v>1</v>
      </c>
      <c r="AD198">
        <f t="shared" si="194"/>
        <v>0.60280000000000011</v>
      </c>
      <c r="AF198">
        <v>1.2</v>
      </c>
      <c r="AG198">
        <f t="shared" si="208"/>
        <v>0.94386523716586623</v>
      </c>
      <c r="AH198">
        <f t="shared" si="195"/>
        <v>0.51309470831906745</v>
      </c>
      <c r="AI198">
        <f t="shared" si="209"/>
        <v>0.48429225855612756</v>
      </c>
      <c r="AJ198">
        <f t="shared" si="196"/>
        <v>0.10170137429678679</v>
      </c>
      <c r="AK198">
        <f t="shared" si="197"/>
        <v>0.08</v>
      </c>
      <c r="AL198">
        <f t="shared" si="198"/>
        <v>0.11556276558365712</v>
      </c>
      <c r="AM198">
        <f t="shared" si="199"/>
        <v>0.19</v>
      </c>
      <c r="AN198">
        <f t="shared" si="200"/>
        <v>0.6784</v>
      </c>
      <c r="AO198">
        <f t="shared" si="201"/>
        <v>0</v>
      </c>
      <c r="AP198">
        <f t="shared" si="202"/>
        <v>7.000921769355402E-5</v>
      </c>
      <c r="AQ198">
        <f t="shared" si="210"/>
        <v>7.000921769355402E-5</v>
      </c>
      <c r="AR198">
        <f t="shared" si="203"/>
        <v>1.2776682229073608</v>
      </c>
      <c r="BA198">
        <f>BA195</f>
        <v>15</v>
      </c>
      <c r="BC198">
        <f t="shared" si="211"/>
        <v>0</v>
      </c>
      <c r="BD198">
        <f>BD195</f>
        <v>3.4931506849315071E-2</v>
      </c>
      <c r="BE198">
        <f t="shared" si="204"/>
        <v>0.1012</v>
      </c>
      <c r="BF198">
        <v>66</v>
      </c>
      <c r="BG198">
        <f t="shared" si="212"/>
        <v>0.30303030303030304</v>
      </c>
      <c r="BH198">
        <f t="shared" si="217"/>
        <v>7.3109420746927563E-3</v>
      </c>
      <c r="BI198">
        <f t="shared" si="213"/>
        <v>8.9612778127931281E-3</v>
      </c>
      <c r="BJ198">
        <f t="shared" si="205"/>
        <v>163.54332008347458</v>
      </c>
      <c r="BL198" s="28"/>
    </row>
    <row r="199" spans="5:64" x14ac:dyDescent="0.2">
      <c r="E199" s="11" t="s">
        <v>168</v>
      </c>
      <c r="F199" t="s">
        <v>163</v>
      </c>
      <c r="H199">
        <v>100</v>
      </c>
      <c r="I199">
        <v>95</v>
      </c>
      <c r="J199">
        <v>92</v>
      </c>
      <c r="L199">
        <f t="shared" si="190"/>
        <v>91.25</v>
      </c>
      <c r="N199">
        <v>0.05</v>
      </c>
      <c r="P199">
        <v>0.18</v>
      </c>
      <c r="R199">
        <v>0.73</v>
      </c>
      <c r="T199">
        <v>50</v>
      </c>
      <c r="U199">
        <f t="shared" si="206"/>
        <v>0</v>
      </c>
      <c r="V199">
        <f>V191</f>
        <v>1</v>
      </c>
      <c r="W199">
        <f>W191</f>
        <v>0.76</v>
      </c>
      <c r="X199">
        <f t="shared" si="191"/>
        <v>4.7000000000000002E-3</v>
      </c>
      <c r="Y199">
        <f t="shared" si="192"/>
        <v>0.874</v>
      </c>
      <c r="Z199">
        <v>0</v>
      </c>
      <c r="AA199">
        <f t="shared" si="207"/>
        <v>0</v>
      </c>
      <c r="AB199">
        <f t="shared" si="214"/>
        <v>1.3</v>
      </c>
      <c r="AC199">
        <f t="shared" si="193"/>
        <v>1.2622</v>
      </c>
      <c r="AD199">
        <f t="shared" si="194"/>
        <v>0.57895000000000008</v>
      </c>
      <c r="AF199">
        <v>3.5</v>
      </c>
      <c r="AG199">
        <f t="shared" si="208"/>
        <v>0.99999999997710265</v>
      </c>
      <c r="AH199">
        <f t="shared" si="195"/>
        <v>1.1463458630615306</v>
      </c>
      <c r="AI199">
        <f t="shared" si="209"/>
        <v>1.4469177483231332</v>
      </c>
      <c r="AJ199">
        <f t="shared" si="196"/>
        <v>0.26044519469816396</v>
      </c>
      <c r="AK199">
        <f t="shared" si="197"/>
        <v>0.08</v>
      </c>
      <c r="AL199">
        <f t="shared" si="198"/>
        <v>0.43645778039464578</v>
      </c>
      <c r="AM199">
        <f t="shared" si="199"/>
        <v>0.19</v>
      </c>
      <c r="AN199">
        <f t="shared" si="200"/>
        <v>0.6784</v>
      </c>
      <c r="AO199">
        <f t="shared" si="201"/>
        <v>0</v>
      </c>
      <c r="AP199">
        <f t="shared" si="202"/>
        <v>2.6441101169021687E-4</v>
      </c>
      <c r="AQ199">
        <f t="shared" si="210"/>
        <v>2.6441101169021687E-4</v>
      </c>
      <c r="AR199">
        <f t="shared" si="203"/>
        <v>2.4127504816732288</v>
      </c>
      <c r="BA199">
        <v>18</v>
      </c>
      <c r="BB199">
        <v>0.8</v>
      </c>
      <c r="BC199">
        <f t="shared" si="211"/>
        <v>1.3984000000000001</v>
      </c>
      <c r="BD199">
        <f t="shared" ref="BD199" si="218">(BA199 * BB199) / 365</f>
        <v>3.9452054794520547E-2</v>
      </c>
      <c r="BE199">
        <f t="shared" si="204"/>
        <v>4.6000000000000006E-2</v>
      </c>
      <c r="BF199">
        <v>60</v>
      </c>
      <c r="BG199">
        <f t="shared" si="212"/>
        <v>0.83333333333333337</v>
      </c>
      <c r="BH199">
        <f t="shared" si="217"/>
        <v>1.5972946048242301E-2</v>
      </c>
      <c r="BI199">
        <f t="shared" si="213"/>
        <v>2.5698285103463933E-2</v>
      </c>
      <c r="BJ199">
        <f t="shared" si="205"/>
        <v>234.4968515691084</v>
      </c>
      <c r="BL199" s="28"/>
    </row>
    <row r="200" spans="5:64" x14ac:dyDescent="0.2">
      <c r="E200" s="12"/>
      <c r="F200" t="s">
        <v>164</v>
      </c>
      <c r="H200">
        <v>140</v>
      </c>
      <c r="I200">
        <v>0</v>
      </c>
      <c r="J200">
        <v>0</v>
      </c>
      <c r="L200">
        <f t="shared" si="190"/>
        <v>91.25</v>
      </c>
      <c r="N200">
        <v>-0.05</v>
      </c>
      <c r="P200">
        <v>0.06</v>
      </c>
      <c r="R200">
        <v>0.55000000000000004</v>
      </c>
      <c r="T200">
        <v>45</v>
      </c>
      <c r="U200">
        <f t="shared" si="206"/>
        <v>0</v>
      </c>
      <c r="V200">
        <f>V191</f>
        <v>1</v>
      </c>
      <c r="W200">
        <f>W191</f>
        <v>0.76</v>
      </c>
      <c r="X200">
        <f t="shared" si="191"/>
        <v>4.7000000000000002E-3</v>
      </c>
      <c r="Y200">
        <f t="shared" si="192"/>
        <v>0</v>
      </c>
      <c r="Z200">
        <v>0</v>
      </c>
      <c r="AA200">
        <f t="shared" si="207"/>
        <v>0</v>
      </c>
      <c r="AB200">
        <f t="shared" si="214"/>
        <v>1.3</v>
      </c>
      <c r="AC200">
        <f t="shared" si="193"/>
        <v>1</v>
      </c>
      <c r="AD200">
        <f t="shared" si="194"/>
        <v>0.43585000000000007</v>
      </c>
      <c r="AF200">
        <v>1.5</v>
      </c>
      <c r="AG200">
        <f t="shared" si="208"/>
        <v>0.98889100346175773</v>
      </c>
      <c r="AH200">
        <f t="shared" si="195"/>
        <v>0.77226516609487061</v>
      </c>
      <c r="AI200">
        <f t="shared" si="209"/>
        <v>0.76368607503811758</v>
      </c>
      <c r="AJ200">
        <f t="shared" si="196"/>
        <v>4.5821164502287057E-2</v>
      </c>
      <c r="AK200">
        <f t="shared" si="197"/>
        <v>0.08</v>
      </c>
      <c r="AL200">
        <f t="shared" si="198"/>
        <v>0.33762839936620287</v>
      </c>
      <c r="AM200">
        <f t="shared" si="199"/>
        <v>0.19</v>
      </c>
      <c r="AN200">
        <f t="shared" si="200"/>
        <v>0.6784</v>
      </c>
      <c r="AO200">
        <f t="shared" si="201"/>
        <v>0</v>
      </c>
      <c r="AP200">
        <f t="shared" si="202"/>
        <v>2.0453906577411863E-4</v>
      </c>
      <c r="AQ200">
        <f t="shared" si="210"/>
        <v>2.0453906577411863E-4</v>
      </c>
      <c r="AR200">
        <f t="shared" si="203"/>
        <v>2.6129865652643653</v>
      </c>
      <c r="BA200">
        <f>BA199</f>
        <v>18</v>
      </c>
      <c r="BC200">
        <f t="shared" si="211"/>
        <v>0</v>
      </c>
      <c r="BD200">
        <f>BD199</f>
        <v>3.9452054794520547E-2</v>
      </c>
      <c r="BE200">
        <f t="shared" si="204"/>
        <v>-4.6000000000000006E-2</v>
      </c>
      <c r="BF200">
        <v>60</v>
      </c>
      <c r="BG200">
        <f t="shared" si="212"/>
        <v>0.75</v>
      </c>
      <c r="BH200">
        <f t="shared" si="217"/>
        <v>4.6550976858970019E-3</v>
      </c>
      <c r="BI200">
        <f t="shared" si="213"/>
        <v>2.6762886344689268E-3</v>
      </c>
      <c r="BJ200">
        <f t="shared" si="205"/>
        <v>34.189587305340538</v>
      </c>
      <c r="BL200" s="28"/>
    </row>
    <row r="201" spans="5:64" x14ac:dyDescent="0.2">
      <c r="E201" s="11"/>
      <c r="F201" t="s">
        <v>165</v>
      </c>
      <c r="H201">
        <v>135</v>
      </c>
      <c r="I201">
        <v>0</v>
      </c>
      <c r="J201">
        <v>0</v>
      </c>
      <c r="L201">
        <f t="shared" si="190"/>
        <v>91.25</v>
      </c>
      <c r="N201">
        <v>0.11</v>
      </c>
      <c r="P201">
        <v>0.16</v>
      </c>
      <c r="R201">
        <v>0.7</v>
      </c>
      <c r="T201">
        <v>40</v>
      </c>
      <c r="U201">
        <f t="shared" si="206"/>
        <v>0</v>
      </c>
      <c r="V201">
        <f>V191</f>
        <v>1</v>
      </c>
      <c r="W201">
        <f>W191</f>
        <v>0.76</v>
      </c>
      <c r="X201">
        <f t="shared" si="191"/>
        <v>4.7000000000000002E-3</v>
      </c>
      <c r="Y201">
        <f t="shared" si="192"/>
        <v>0</v>
      </c>
      <c r="Z201">
        <v>0</v>
      </c>
      <c r="AA201">
        <f t="shared" si="207"/>
        <v>0</v>
      </c>
      <c r="AB201">
        <f t="shared" si="214"/>
        <v>1.3</v>
      </c>
      <c r="AC201">
        <f t="shared" si="193"/>
        <v>1</v>
      </c>
      <c r="AD201">
        <f t="shared" si="194"/>
        <v>0.55510000000000004</v>
      </c>
      <c r="AF201">
        <v>0.7</v>
      </c>
      <c r="AG201">
        <f t="shared" si="208"/>
        <v>0.62468890114860043</v>
      </c>
      <c r="AH201">
        <f t="shared" si="195"/>
        <v>0.88114358489687972</v>
      </c>
      <c r="AI201">
        <f t="shared" si="209"/>
        <v>0.55044061780337028</v>
      </c>
      <c r="AJ201">
        <f t="shared" si="196"/>
        <v>8.807049884853925E-2</v>
      </c>
      <c r="AK201">
        <f t="shared" si="197"/>
        <v>0.08</v>
      </c>
      <c r="AL201">
        <f t="shared" si="198"/>
        <v>0.16307145386691163</v>
      </c>
      <c r="AM201">
        <f t="shared" si="199"/>
        <v>0.19</v>
      </c>
      <c r="AN201">
        <f t="shared" si="200"/>
        <v>0.6784</v>
      </c>
      <c r="AO201">
        <f t="shared" si="201"/>
        <v>0</v>
      </c>
      <c r="AP201">
        <f t="shared" si="202"/>
        <v>9.8790513152858376E-5</v>
      </c>
      <c r="AQ201">
        <f t="shared" si="210"/>
        <v>9.8790513152858376E-5</v>
      </c>
      <c r="AR201">
        <f t="shared" si="203"/>
        <v>1.2169756339017741</v>
      </c>
      <c r="BA201">
        <f>BA199</f>
        <v>18</v>
      </c>
      <c r="BC201">
        <f t="shared" si="211"/>
        <v>0</v>
      </c>
      <c r="BD201">
        <f>BD199</f>
        <v>3.9452054794520547E-2</v>
      </c>
      <c r="BE201">
        <f t="shared" si="204"/>
        <v>0.1012</v>
      </c>
      <c r="BF201">
        <v>60</v>
      </c>
      <c r="BG201">
        <f t="shared" si="212"/>
        <v>0.66666666666666663</v>
      </c>
      <c r="BH201">
        <f t="shared" si="217"/>
        <v>6.847085971158795E-3</v>
      </c>
      <c r="BI201">
        <f t="shared" si="213"/>
        <v>7.2441938446074841E-3</v>
      </c>
      <c r="BJ201">
        <f t="shared" si="205"/>
        <v>89.239412923258442</v>
      </c>
      <c r="BL201" s="28"/>
    </row>
    <row r="202" spans="5:64" x14ac:dyDescent="0.2">
      <c r="E202" s="12"/>
      <c r="F202" t="s">
        <v>166</v>
      </c>
      <c r="H202">
        <v>130</v>
      </c>
      <c r="I202">
        <v>0</v>
      </c>
      <c r="J202">
        <v>0</v>
      </c>
      <c r="L202">
        <f t="shared" si="190"/>
        <v>91.25</v>
      </c>
      <c r="N202">
        <v>0.05</v>
      </c>
      <c r="P202">
        <v>0.21</v>
      </c>
      <c r="R202">
        <v>0.76</v>
      </c>
      <c r="T202">
        <v>45</v>
      </c>
      <c r="U202">
        <f t="shared" si="206"/>
        <v>0</v>
      </c>
      <c r="V202">
        <f>V191</f>
        <v>1</v>
      </c>
      <c r="W202">
        <f>W191</f>
        <v>0.76</v>
      </c>
      <c r="X202">
        <f t="shared" si="191"/>
        <v>4.7000000000000002E-3</v>
      </c>
      <c r="Y202">
        <f t="shared" si="192"/>
        <v>0</v>
      </c>
      <c r="Z202">
        <v>0</v>
      </c>
      <c r="AA202">
        <f t="shared" si="207"/>
        <v>0</v>
      </c>
      <c r="AB202">
        <f t="shared" si="214"/>
        <v>1.3</v>
      </c>
      <c r="AC202">
        <f t="shared" si="193"/>
        <v>1</v>
      </c>
      <c r="AD202">
        <f t="shared" si="194"/>
        <v>0.60280000000000011</v>
      </c>
      <c r="AF202">
        <v>1.2</v>
      </c>
      <c r="AG202">
        <f t="shared" si="208"/>
        <v>0.94386523716586623</v>
      </c>
      <c r="AH202">
        <f t="shared" si="195"/>
        <v>1.0759635566592238</v>
      </c>
      <c r="AI202">
        <f t="shared" si="209"/>
        <v>1.0155645975879872</v>
      </c>
      <c r="AJ202">
        <f t="shared" si="196"/>
        <v>0.21326856549347731</v>
      </c>
      <c r="AK202">
        <f t="shared" si="197"/>
        <v>0.08</v>
      </c>
      <c r="AL202">
        <f t="shared" si="198"/>
        <v>0.26219113257639265</v>
      </c>
      <c r="AM202">
        <f t="shared" si="199"/>
        <v>0.19</v>
      </c>
      <c r="AN202">
        <f t="shared" si="200"/>
        <v>0.6784</v>
      </c>
      <c r="AO202">
        <f t="shared" si="201"/>
        <v>0</v>
      </c>
      <c r="AP202">
        <f t="shared" si="202"/>
        <v>1.5883832465546355E-4</v>
      </c>
      <c r="AQ202">
        <f t="shared" si="210"/>
        <v>1.5883832465546355E-4</v>
      </c>
      <c r="AR202">
        <f t="shared" si="203"/>
        <v>1.8842196262254365</v>
      </c>
      <c r="BA202">
        <f>BA199</f>
        <v>18</v>
      </c>
      <c r="BC202">
        <f t="shared" si="211"/>
        <v>0</v>
      </c>
      <c r="BD202">
        <f>BD199</f>
        <v>3.9452054794520547E-2</v>
      </c>
      <c r="BE202">
        <f t="shared" si="204"/>
        <v>4.6000000000000006E-2</v>
      </c>
      <c r="BF202">
        <v>60</v>
      </c>
      <c r="BG202">
        <f t="shared" si="212"/>
        <v>0.75</v>
      </c>
      <c r="BH202">
        <f t="shared" si="217"/>
        <v>5.9461880358489183E-3</v>
      </c>
      <c r="BI202">
        <f t="shared" si="213"/>
        <v>2.8176782443107451E-2</v>
      </c>
      <c r="BJ202">
        <f t="shared" si="205"/>
        <v>334.24708173136213</v>
      </c>
      <c r="BL202" s="28"/>
    </row>
    <row r="203" spans="5:64" x14ac:dyDescent="0.2">
      <c r="E203" s="11" t="s">
        <v>170</v>
      </c>
      <c r="F203" t="s">
        <v>163</v>
      </c>
      <c r="H203">
        <v>200</v>
      </c>
      <c r="I203">
        <v>0</v>
      </c>
      <c r="J203">
        <v>0</v>
      </c>
      <c r="L203">
        <f t="shared" si="190"/>
        <v>91.25</v>
      </c>
      <c r="N203">
        <v>0.05</v>
      </c>
      <c r="P203">
        <v>0.18</v>
      </c>
      <c r="R203">
        <v>0.73</v>
      </c>
      <c r="T203">
        <v>55</v>
      </c>
      <c r="U203">
        <f t="shared" si="206"/>
        <v>0</v>
      </c>
      <c r="V203">
        <f>V191</f>
        <v>1</v>
      </c>
      <c r="W203">
        <f>W191</f>
        <v>0.76</v>
      </c>
      <c r="X203">
        <f t="shared" si="191"/>
        <v>4.7000000000000002E-3</v>
      </c>
      <c r="Y203">
        <f t="shared" si="192"/>
        <v>0</v>
      </c>
      <c r="Z203">
        <v>0</v>
      </c>
      <c r="AA203">
        <f t="shared" si="207"/>
        <v>0</v>
      </c>
      <c r="AB203">
        <f t="shared" si="214"/>
        <v>1.3</v>
      </c>
      <c r="AC203">
        <f t="shared" si="193"/>
        <v>1</v>
      </c>
      <c r="AD203">
        <f t="shared" si="194"/>
        <v>0.57895000000000008</v>
      </c>
      <c r="AF203">
        <v>3.5</v>
      </c>
      <c r="AG203">
        <f t="shared" si="208"/>
        <v>0.99999999997710265</v>
      </c>
      <c r="AH203">
        <f t="shared" si="195"/>
        <v>1.2622908518455234</v>
      </c>
      <c r="AI203">
        <f t="shared" si="209"/>
        <v>1.2622908518166203</v>
      </c>
      <c r="AJ203">
        <f t="shared" si="196"/>
        <v>0.22721235332699163</v>
      </c>
      <c r="AK203">
        <f t="shared" si="197"/>
        <v>0.08</v>
      </c>
      <c r="AL203">
        <f t="shared" si="198"/>
        <v>0.37218936515178991</v>
      </c>
      <c r="AM203">
        <f t="shared" si="199"/>
        <v>0.19</v>
      </c>
      <c r="AN203">
        <f t="shared" si="200"/>
        <v>0.6784</v>
      </c>
      <c r="AO203">
        <f t="shared" si="201"/>
        <v>0</v>
      </c>
      <c r="AP203">
        <f t="shared" si="202"/>
        <v>2.2547648592984403E-4</v>
      </c>
      <c r="AQ203">
        <f t="shared" si="210"/>
        <v>2.2547648592984403E-4</v>
      </c>
      <c r="AR203">
        <f t="shared" si="203"/>
        <v>4.114945868219654</v>
      </c>
      <c r="BA203">
        <v>20</v>
      </c>
      <c r="BB203">
        <v>0.8</v>
      </c>
      <c r="BC203">
        <f t="shared" si="211"/>
        <v>0</v>
      </c>
      <c r="BD203">
        <f t="shared" ref="BD203" si="219">(BA203 * BB203) / 365</f>
        <v>4.3835616438356165E-2</v>
      </c>
      <c r="BE203">
        <f t="shared" si="204"/>
        <v>4.6000000000000006E-2</v>
      </c>
      <c r="BF203">
        <v>60</v>
      </c>
      <c r="BG203">
        <f t="shared" si="212"/>
        <v>0.91666666666666663</v>
      </c>
      <c r="BH203">
        <f t="shared" si="217"/>
        <v>6.466436667477129E-3</v>
      </c>
      <c r="BI203">
        <f t="shared" si="213"/>
        <v>2.9887539864841536E-2</v>
      </c>
      <c r="BJ203">
        <f t="shared" si="205"/>
        <v>545.44760253335801</v>
      </c>
      <c r="BL203" s="28"/>
    </row>
    <row r="204" spans="5:64" x14ac:dyDescent="0.2">
      <c r="E204" s="12"/>
      <c r="F204" t="s">
        <v>164</v>
      </c>
      <c r="H204">
        <v>210</v>
      </c>
      <c r="I204">
        <v>0</v>
      </c>
      <c r="J204">
        <v>0</v>
      </c>
      <c r="L204">
        <f t="shared" si="190"/>
        <v>91.25</v>
      </c>
      <c r="N204">
        <v>-0.05</v>
      </c>
      <c r="P204">
        <v>0.06</v>
      </c>
      <c r="R204">
        <v>0.55000000000000004</v>
      </c>
      <c r="T204">
        <v>50</v>
      </c>
      <c r="U204">
        <f t="shared" si="206"/>
        <v>0</v>
      </c>
      <c r="V204">
        <f>V191</f>
        <v>1</v>
      </c>
      <c r="W204">
        <f>W191</f>
        <v>0.76</v>
      </c>
      <c r="X204">
        <f t="shared" si="191"/>
        <v>4.7000000000000002E-3</v>
      </c>
      <c r="Y204">
        <f t="shared" si="192"/>
        <v>0</v>
      </c>
      <c r="Z204">
        <v>0</v>
      </c>
      <c r="AA204">
        <f t="shared" si="207"/>
        <v>0</v>
      </c>
      <c r="AB204">
        <f t="shared" si="214"/>
        <v>1.3</v>
      </c>
      <c r="AC204">
        <f t="shared" si="193"/>
        <v>1</v>
      </c>
      <c r="AD204">
        <f t="shared" si="194"/>
        <v>0.43585000000000007</v>
      </c>
      <c r="AF204">
        <v>1.5</v>
      </c>
      <c r="AG204">
        <f t="shared" si="208"/>
        <v>0.98889100346175773</v>
      </c>
      <c r="AH204">
        <f t="shared" si="195"/>
        <v>0.8646283676396137</v>
      </c>
      <c r="AI204">
        <f t="shared" si="209"/>
        <v>0.85502321409663917</v>
      </c>
      <c r="AJ204">
        <f t="shared" si="196"/>
        <v>5.1301392845798349E-2</v>
      </c>
      <c r="AK204">
        <f t="shared" si="197"/>
        <v>0.08</v>
      </c>
      <c r="AL204">
        <f t="shared" si="198"/>
        <v>0.38088279147251325</v>
      </c>
      <c r="AM204">
        <f t="shared" si="199"/>
        <v>0.19</v>
      </c>
      <c r="AN204">
        <f t="shared" si="200"/>
        <v>0.6784</v>
      </c>
      <c r="AO204">
        <f t="shared" si="201"/>
        <v>0</v>
      </c>
      <c r="AP204">
        <f t="shared" si="202"/>
        <v>2.3074306096131303E-4</v>
      </c>
      <c r="AQ204">
        <f t="shared" si="210"/>
        <v>2.3074306096131303E-4</v>
      </c>
      <c r="AR204">
        <f t="shared" si="203"/>
        <v>4.421613905671161</v>
      </c>
      <c r="BA204">
        <f>BA203</f>
        <v>20</v>
      </c>
      <c r="BC204">
        <f t="shared" si="211"/>
        <v>0</v>
      </c>
      <c r="BD204">
        <f>BD203</f>
        <v>4.3835616438356165E-2</v>
      </c>
      <c r="BE204">
        <f t="shared" si="204"/>
        <v>-4.6000000000000006E-2</v>
      </c>
      <c r="BF204">
        <v>60</v>
      </c>
      <c r="BG204">
        <f t="shared" si="212"/>
        <v>0.83333333333333337</v>
      </c>
      <c r="BH204">
        <f t="shared" si="217"/>
        <v>5.2872254063404235E-3</v>
      </c>
      <c r="BI204">
        <f t="shared" si="213"/>
        <v>2.9209974489873116E-3</v>
      </c>
      <c r="BJ204">
        <f t="shared" si="205"/>
        <v>55.97361361621936</v>
      </c>
      <c r="BL204" s="28"/>
    </row>
    <row r="205" spans="5:64" x14ac:dyDescent="0.2">
      <c r="E205" s="11"/>
      <c r="F205" t="s">
        <v>165</v>
      </c>
      <c r="H205">
        <v>190</v>
      </c>
      <c r="I205">
        <v>0</v>
      </c>
      <c r="J205">
        <v>0</v>
      </c>
      <c r="L205">
        <f t="shared" si="190"/>
        <v>91.25</v>
      </c>
      <c r="N205">
        <v>-0.05</v>
      </c>
      <c r="P205">
        <v>0.06</v>
      </c>
      <c r="R205">
        <v>0.5</v>
      </c>
      <c r="T205">
        <v>45</v>
      </c>
      <c r="U205">
        <f t="shared" si="206"/>
        <v>0</v>
      </c>
      <c r="V205">
        <f>V191</f>
        <v>1</v>
      </c>
      <c r="W205">
        <f>W191</f>
        <v>0.76</v>
      </c>
      <c r="X205">
        <f t="shared" si="191"/>
        <v>4.7000000000000002E-3</v>
      </c>
      <c r="Y205">
        <f t="shared" si="192"/>
        <v>0</v>
      </c>
      <c r="Z205">
        <v>0</v>
      </c>
      <c r="AA205">
        <f t="shared" si="207"/>
        <v>0</v>
      </c>
      <c r="AB205">
        <f t="shared" si="214"/>
        <v>1.3</v>
      </c>
      <c r="AC205">
        <f t="shared" si="193"/>
        <v>1</v>
      </c>
      <c r="AD205">
        <f t="shared" si="194"/>
        <v>0.39610000000000001</v>
      </c>
      <c r="AF205">
        <v>0.7</v>
      </c>
      <c r="AG205">
        <f t="shared" si="208"/>
        <v>0.62468890114860043</v>
      </c>
      <c r="AH205">
        <f t="shared" si="195"/>
        <v>0.69995602548431024</v>
      </c>
      <c r="AI205">
        <f t="shared" si="209"/>
        <v>0.43725476041213551</v>
      </c>
      <c r="AJ205">
        <f t="shared" si="196"/>
        <v>2.6235285624728131E-2</v>
      </c>
      <c r="AK205">
        <f t="shared" si="197"/>
        <v>0.08</v>
      </c>
      <c r="AL205">
        <f t="shared" si="198"/>
        <v>0.20817304528809549</v>
      </c>
      <c r="AM205">
        <f t="shared" si="199"/>
        <v>0.19</v>
      </c>
      <c r="AN205">
        <f t="shared" si="200"/>
        <v>0.6784</v>
      </c>
      <c r="AO205">
        <f t="shared" si="201"/>
        <v>0</v>
      </c>
      <c r="AP205">
        <f t="shared" si="202"/>
        <v>1.2611356237363547E-4</v>
      </c>
      <c r="AQ205">
        <f t="shared" si="210"/>
        <v>1.2611356237363547E-4</v>
      </c>
      <c r="AR205">
        <f t="shared" si="203"/>
        <v>2.186493887652905</v>
      </c>
      <c r="BA205">
        <f>BA203</f>
        <v>20</v>
      </c>
      <c r="BC205">
        <f t="shared" si="211"/>
        <v>0</v>
      </c>
      <c r="BD205">
        <f>BD203</f>
        <v>4.3835616438356165E-2</v>
      </c>
      <c r="BE205">
        <f t="shared" si="204"/>
        <v>-4.6000000000000006E-2</v>
      </c>
      <c r="BF205">
        <v>60</v>
      </c>
      <c r="BG205">
        <f t="shared" si="212"/>
        <v>0.75</v>
      </c>
      <c r="BH205">
        <f t="shared" si="217"/>
        <v>5.2442483708285085E-3</v>
      </c>
      <c r="BI205">
        <f t="shared" si="213"/>
        <v>0</v>
      </c>
      <c r="BJ205">
        <f t="shared" si="205"/>
        <v>0</v>
      </c>
      <c r="BL205" s="28"/>
    </row>
    <row r="206" spans="5:64" x14ac:dyDescent="0.2">
      <c r="E206" s="12"/>
      <c r="F206" t="s">
        <v>166</v>
      </c>
      <c r="H206">
        <v>180</v>
      </c>
      <c r="I206">
        <v>0</v>
      </c>
      <c r="J206">
        <v>0</v>
      </c>
      <c r="L206">
        <f t="shared" si="190"/>
        <v>91.25</v>
      </c>
      <c r="N206">
        <v>0.05</v>
      </c>
      <c r="P206">
        <v>0.21</v>
      </c>
      <c r="R206">
        <v>0.76</v>
      </c>
      <c r="T206">
        <v>50</v>
      </c>
      <c r="U206">
        <f t="shared" si="206"/>
        <v>0</v>
      </c>
      <c r="V206">
        <f>V191</f>
        <v>1</v>
      </c>
      <c r="W206">
        <f>W191</f>
        <v>0.76</v>
      </c>
      <c r="X206">
        <f t="shared" si="191"/>
        <v>4.7000000000000002E-3</v>
      </c>
      <c r="Y206">
        <f t="shared" si="192"/>
        <v>0</v>
      </c>
      <c r="Z206">
        <v>0</v>
      </c>
      <c r="AA206">
        <f t="shared" si="207"/>
        <v>0</v>
      </c>
      <c r="AB206">
        <f t="shared" si="214"/>
        <v>1.3</v>
      </c>
      <c r="AC206">
        <f t="shared" si="193"/>
        <v>1</v>
      </c>
      <c r="AD206">
        <f t="shared" si="194"/>
        <v>0.60280000000000011</v>
      </c>
      <c r="AF206">
        <v>1.2</v>
      </c>
      <c r="AG206">
        <f t="shared" si="208"/>
        <v>0.94386523716586623</v>
      </c>
      <c r="AH206">
        <f t="shared" si="195"/>
        <v>1.1932987789651837</v>
      </c>
      <c r="AI206">
        <f t="shared" si="209"/>
        <v>1.1263132350177116</v>
      </c>
      <c r="AJ206">
        <f t="shared" si="196"/>
        <v>0.23652577935371943</v>
      </c>
      <c r="AK206">
        <f t="shared" si="197"/>
        <v>0.08</v>
      </c>
      <c r="AL206">
        <f t="shared" si="198"/>
        <v>0.29537376161614987</v>
      </c>
      <c r="AM206">
        <f t="shared" si="199"/>
        <v>0.19</v>
      </c>
      <c r="AN206">
        <f t="shared" si="200"/>
        <v>0.6784</v>
      </c>
      <c r="AO206">
        <f t="shared" si="201"/>
        <v>0</v>
      </c>
      <c r="AP206">
        <f t="shared" si="202"/>
        <v>1.7894073297319371E-4</v>
      </c>
      <c r="AQ206">
        <f t="shared" si="210"/>
        <v>1.7894073297319371E-4</v>
      </c>
      <c r="AR206">
        <f t="shared" si="203"/>
        <v>2.9391015390847066</v>
      </c>
      <c r="BA206">
        <f>BA203</f>
        <v>20</v>
      </c>
      <c r="BC206">
        <f t="shared" si="211"/>
        <v>0</v>
      </c>
      <c r="BD206">
        <f>BD203</f>
        <v>4.3835616438356165E-2</v>
      </c>
      <c r="BE206">
        <f t="shared" si="204"/>
        <v>4.6000000000000006E-2</v>
      </c>
      <c r="BF206">
        <v>60</v>
      </c>
      <c r="BG206">
        <f t="shared" si="212"/>
        <v>0.83333333333333337</v>
      </c>
      <c r="BH206">
        <f t="shared" si="217"/>
        <v>6.4936167331738097E-3</v>
      </c>
      <c r="BI206">
        <f t="shared" si="213"/>
        <v>3.1350507963421301E-2</v>
      </c>
      <c r="BJ206">
        <f t="shared" si="205"/>
        <v>514.93209329919489</v>
      </c>
      <c r="BL206" s="28"/>
    </row>
    <row r="207" spans="5:64" x14ac:dyDescent="0.2">
      <c r="E207" s="11" t="s">
        <v>162</v>
      </c>
      <c r="F207" t="s">
        <v>163</v>
      </c>
      <c r="H207">
        <v>50</v>
      </c>
      <c r="I207">
        <v>0</v>
      </c>
      <c r="J207">
        <v>0</v>
      </c>
      <c r="L207">
        <f t="shared" si="190"/>
        <v>91.25</v>
      </c>
      <c r="N207">
        <v>0.11</v>
      </c>
      <c r="P207">
        <v>0.18</v>
      </c>
      <c r="R207">
        <v>0.73</v>
      </c>
      <c r="T207">
        <v>75</v>
      </c>
      <c r="U207">
        <f t="shared" si="206"/>
        <v>0</v>
      </c>
      <c r="V207">
        <f>V191</f>
        <v>1</v>
      </c>
      <c r="W207">
        <f>W191</f>
        <v>0.76</v>
      </c>
      <c r="X207">
        <f t="shared" si="191"/>
        <v>4.7000000000000002E-3</v>
      </c>
      <c r="Y207">
        <f t="shared" si="192"/>
        <v>0</v>
      </c>
      <c r="Z207">
        <v>0</v>
      </c>
      <c r="AA207">
        <f t="shared" si="207"/>
        <v>0</v>
      </c>
      <c r="AB207">
        <f t="shared" si="214"/>
        <v>1.3</v>
      </c>
      <c r="AC207">
        <f t="shared" si="193"/>
        <v>1</v>
      </c>
      <c r="AD207">
        <f t="shared" si="194"/>
        <v>0.57895000000000008</v>
      </c>
      <c r="AF207">
        <v>3.5</v>
      </c>
      <c r="AG207">
        <f t="shared" si="208"/>
        <v>0.99999999997710265</v>
      </c>
      <c r="AH207">
        <f t="shared" si="195"/>
        <v>1.7493630967264082</v>
      </c>
      <c r="AI207">
        <f t="shared" si="209"/>
        <v>1.7493630966863525</v>
      </c>
      <c r="AJ207">
        <f t="shared" si="196"/>
        <v>0.31488535740354345</v>
      </c>
      <c r="AK207">
        <f t="shared" si="197"/>
        <v>0.08</v>
      </c>
      <c r="AL207">
        <f t="shared" si="198"/>
        <v>0.54715977499785873</v>
      </c>
      <c r="AM207">
        <f t="shared" si="199"/>
        <v>0.19</v>
      </c>
      <c r="AN207">
        <f t="shared" si="200"/>
        <v>0.6784</v>
      </c>
      <c r="AO207">
        <f t="shared" si="201"/>
        <v>0</v>
      </c>
      <c r="AP207">
        <f t="shared" si="202"/>
        <v>3.314755198831828E-4</v>
      </c>
      <c r="AQ207">
        <f t="shared" si="210"/>
        <v>3.314755198831828E-4</v>
      </c>
      <c r="AR207">
        <f t="shared" si="203"/>
        <v>1.5123570594670215</v>
      </c>
      <c r="BA207">
        <v>15</v>
      </c>
      <c r="BB207">
        <v>0.85</v>
      </c>
      <c r="BC207">
        <f t="shared" si="211"/>
        <v>0</v>
      </c>
      <c r="BD207">
        <f t="shared" ref="BD207" si="220">(BA207 * BB207) / 365</f>
        <v>3.4931506849315071E-2</v>
      </c>
      <c r="BE207">
        <f t="shared" si="204"/>
        <v>0.1012</v>
      </c>
      <c r="BF207">
        <v>84</v>
      </c>
      <c r="BG207">
        <f t="shared" si="212"/>
        <v>0.8928571428571429</v>
      </c>
      <c r="BH207">
        <f t="shared" si="217"/>
        <v>5.9728845237048576E-3</v>
      </c>
      <c r="BI207">
        <f>MAX((AJ207  / 6.25 ) - BH207, 0)</f>
        <v>4.44087726608621E-2</v>
      </c>
      <c r="BJ207">
        <f t="shared" si="205"/>
        <v>202.61502526518333</v>
      </c>
      <c r="BL207" s="28"/>
    </row>
    <row r="208" spans="5:64" x14ac:dyDescent="0.2">
      <c r="E208" s="12"/>
      <c r="F208" t="s">
        <v>164</v>
      </c>
      <c r="H208">
        <v>55</v>
      </c>
      <c r="I208">
        <v>0</v>
      </c>
      <c r="J208">
        <v>0</v>
      </c>
      <c r="L208">
        <f t="shared" si="190"/>
        <v>91.25</v>
      </c>
      <c r="N208">
        <v>-0.11</v>
      </c>
      <c r="P208">
        <v>0.06</v>
      </c>
      <c r="R208">
        <v>0.55000000000000004</v>
      </c>
      <c r="T208">
        <v>65</v>
      </c>
      <c r="U208">
        <f t="shared" si="206"/>
        <v>0</v>
      </c>
      <c r="V208">
        <f>V191</f>
        <v>1</v>
      </c>
      <c r="W208">
        <f>W191</f>
        <v>0.76</v>
      </c>
      <c r="X208">
        <f t="shared" si="191"/>
        <v>4.7000000000000002E-3</v>
      </c>
      <c r="Y208">
        <f t="shared" si="192"/>
        <v>0</v>
      </c>
      <c r="Z208">
        <v>0</v>
      </c>
      <c r="AA208">
        <f t="shared" si="207"/>
        <v>0</v>
      </c>
      <c r="AB208">
        <f t="shared" si="214"/>
        <v>1.3</v>
      </c>
      <c r="AC208">
        <f t="shared" si="193"/>
        <v>1</v>
      </c>
      <c r="AD208">
        <f t="shared" si="194"/>
        <v>0.43585000000000007</v>
      </c>
      <c r="AF208">
        <v>1.5</v>
      </c>
      <c r="AG208">
        <f t="shared" si="208"/>
        <v>0.98889100346175773</v>
      </c>
      <c r="AH208">
        <f t="shared" si="195"/>
        <v>1.1580752413958724</v>
      </c>
      <c r="AI208">
        <f t="shared" si="209"/>
        <v>1.1452101875481815</v>
      </c>
      <c r="AJ208">
        <f t="shared" si="196"/>
        <v>6.8712611252890882E-2</v>
      </c>
      <c r="AK208">
        <f t="shared" si="197"/>
        <v>0.08</v>
      </c>
      <c r="AL208">
        <f t="shared" si="198"/>
        <v>0.52238045219578755</v>
      </c>
      <c r="AM208">
        <f t="shared" si="199"/>
        <v>0.19</v>
      </c>
      <c r="AN208">
        <f t="shared" si="200"/>
        <v>0.6784</v>
      </c>
      <c r="AO208">
        <f t="shared" si="201"/>
        <v>0</v>
      </c>
      <c r="AP208">
        <f t="shared" si="202"/>
        <v>3.1646392860127271E-4</v>
      </c>
      <c r="AQ208">
        <f t="shared" si="210"/>
        <v>3.1646392860127271E-4</v>
      </c>
      <c r="AR208">
        <f t="shared" si="203"/>
        <v>1.5882533416676372</v>
      </c>
      <c r="BA208">
        <f>BA207</f>
        <v>15</v>
      </c>
      <c r="BC208">
        <f t="shared" si="211"/>
        <v>0</v>
      </c>
      <c r="BD208">
        <f>BD207</f>
        <v>3.4931506849315071E-2</v>
      </c>
      <c r="BE208">
        <f t="shared" si="204"/>
        <v>-0.1012</v>
      </c>
      <c r="BF208">
        <v>84</v>
      </c>
      <c r="BG208">
        <f t="shared" si="212"/>
        <v>0.77380952380952384</v>
      </c>
      <c r="BH208">
        <f t="shared" si="217"/>
        <v>3.299540831764456E-3</v>
      </c>
      <c r="BI208">
        <f t="shared" si="213"/>
        <v>7.6944769686980857E-3</v>
      </c>
      <c r="BJ208">
        <f t="shared" si="205"/>
        <v>38.616656286653516</v>
      </c>
      <c r="BL208" s="28"/>
    </row>
    <row r="209" spans="5:64" x14ac:dyDescent="0.2">
      <c r="E209" s="11"/>
      <c r="F209" t="s">
        <v>165</v>
      </c>
      <c r="H209">
        <v>60</v>
      </c>
      <c r="I209">
        <v>0</v>
      </c>
      <c r="J209">
        <v>0</v>
      </c>
      <c r="L209">
        <f t="shared" si="190"/>
        <v>91.25</v>
      </c>
      <c r="N209">
        <v>0</v>
      </c>
      <c r="P209">
        <v>0.06</v>
      </c>
      <c r="R209">
        <v>0.5</v>
      </c>
      <c r="T209">
        <v>65</v>
      </c>
      <c r="U209">
        <f t="shared" si="206"/>
        <v>0</v>
      </c>
      <c r="V209">
        <f>V191</f>
        <v>1</v>
      </c>
      <c r="W209">
        <f>W191</f>
        <v>0.76</v>
      </c>
      <c r="X209">
        <f t="shared" si="191"/>
        <v>4.7000000000000002E-3</v>
      </c>
      <c r="Y209">
        <f t="shared" si="192"/>
        <v>0</v>
      </c>
      <c r="Z209">
        <v>0</v>
      </c>
      <c r="AA209">
        <f t="shared" si="207"/>
        <v>0</v>
      </c>
      <c r="AB209">
        <f t="shared" si="214"/>
        <v>1.3</v>
      </c>
      <c r="AC209">
        <f t="shared" si="193"/>
        <v>1</v>
      </c>
      <c r="AD209">
        <f t="shared" si="194"/>
        <v>0.39610000000000001</v>
      </c>
      <c r="AF209">
        <v>0.7</v>
      </c>
      <c r="AG209">
        <f t="shared" si="208"/>
        <v>0.62468890114860043</v>
      </c>
      <c r="AH209">
        <f t="shared" si="195"/>
        <v>1.0628024626440558</v>
      </c>
      <c r="AI209">
        <f t="shared" si="209"/>
        <v>0.66392090252714164</v>
      </c>
      <c r="AJ209">
        <f t="shared" si="196"/>
        <v>3.9835254151628495E-2</v>
      </c>
      <c r="AK209">
        <f t="shared" si="197"/>
        <v>0.08</v>
      </c>
      <c r="AL209">
        <f t="shared" si="198"/>
        <v>0.32162472266758352</v>
      </c>
      <c r="AM209">
        <f t="shared" si="199"/>
        <v>0.19</v>
      </c>
      <c r="AN209">
        <f t="shared" si="200"/>
        <v>0.6784</v>
      </c>
      <c r="AO209">
        <f t="shared" si="201"/>
        <v>0</v>
      </c>
      <c r="AP209">
        <f t="shared" si="202"/>
        <v>1.9484385918891597E-4</v>
      </c>
      <c r="AQ209">
        <f t="shared" si="210"/>
        <v>1.9484385918891597E-4</v>
      </c>
      <c r="AR209">
        <f t="shared" si="203"/>
        <v>1.066770129059315</v>
      </c>
      <c r="BA209">
        <f>BA207</f>
        <v>15</v>
      </c>
      <c r="BC209">
        <f t="shared" si="211"/>
        <v>0</v>
      </c>
      <c r="BD209">
        <f>BD207</f>
        <v>3.4931506849315071E-2</v>
      </c>
      <c r="BE209">
        <f t="shared" si="204"/>
        <v>0</v>
      </c>
      <c r="BF209">
        <v>84</v>
      </c>
      <c r="BG209">
        <f t="shared" si="212"/>
        <v>0.77380952380952384</v>
      </c>
      <c r="BH209">
        <f t="shared" si="217"/>
        <v>4.6947945205479454E-3</v>
      </c>
      <c r="BI209">
        <f t="shared" si="213"/>
        <v>1.6788461437126142E-3</v>
      </c>
      <c r="BJ209">
        <f t="shared" si="205"/>
        <v>9.1916826368265614</v>
      </c>
      <c r="BL209" s="28"/>
    </row>
    <row r="210" spans="5:64" x14ac:dyDescent="0.2">
      <c r="E210" s="12"/>
      <c r="F210" t="s">
        <v>166</v>
      </c>
      <c r="H210">
        <v>65</v>
      </c>
      <c r="I210">
        <v>0</v>
      </c>
      <c r="J210">
        <v>0</v>
      </c>
      <c r="L210">
        <f t="shared" si="190"/>
        <v>91.25</v>
      </c>
      <c r="N210">
        <v>0</v>
      </c>
      <c r="P210">
        <v>0.21</v>
      </c>
      <c r="R210">
        <v>0.76</v>
      </c>
      <c r="T210">
        <v>65</v>
      </c>
      <c r="U210">
        <f t="shared" si="206"/>
        <v>0</v>
      </c>
      <c r="V210">
        <f>V191</f>
        <v>1</v>
      </c>
      <c r="W210">
        <f>W191</f>
        <v>0.76</v>
      </c>
      <c r="X210">
        <f t="shared" si="191"/>
        <v>4.7000000000000002E-3</v>
      </c>
      <c r="Y210">
        <f t="shared" si="192"/>
        <v>0</v>
      </c>
      <c r="Z210">
        <v>0</v>
      </c>
      <c r="AA210">
        <f t="shared" si="207"/>
        <v>0</v>
      </c>
      <c r="AB210">
        <f t="shared" si="214"/>
        <v>1.3</v>
      </c>
      <c r="AC210">
        <f t="shared" si="193"/>
        <v>1</v>
      </c>
      <c r="AD210">
        <f t="shared" si="194"/>
        <v>0.60280000000000011</v>
      </c>
      <c r="AF210">
        <v>1.2</v>
      </c>
      <c r="AG210">
        <f t="shared" si="208"/>
        <v>0.94386523716586623</v>
      </c>
      <c r="AH210">
        <f t="shared" si="195"/>
        <v>1.5582209121535018</v>
      </c>
      <c r="AI210">
        <f t="shared" si="209"/>
        <v>1.4707505508065775</v>
      </c>
      <c r="AJ210">
        <f t="shared" si="196"/>
        <v>0.30885761566938125</v>
      </c>
      <c r="AK210">
        <f t="shared" si="197"/>
        <v>0.08</v>
      </c>
      <c r="AL210">
        <f t="shared" si="198"/>
        <v>0.40434406594137329</v>
      </c>
      <c r="AM210">
        <f t="shared" si="199"/>
        <v>0.19</v>
      </c>
      <c r="AN210">
        <f t="shared" si="200"/>
        <v>0.6784</v>
      </c>
      <c r="AO210">
        <f t="shared" si="201"/>
        <v>0</v>
      </c>
      <c r="AP210">
        <f t="shared" si="202"/>
        <v>2.4495616380082252E-4</v>
      </c>
      <c r="AQ210">
        <f t="shared" si="210"/>
        <v>2.4495616380082252E-4</v>
      </c>
      <c r="AR210">
        <f t="shared" si="203"/>
        <v>1.4528962465436284</v>
      </c>
      <c r="BA210">
        <f>BA207</f>
        <v>15</v>
      </c>
      <c r="BC210">
        <f t="shared" si="211"/>
        <v>0</v>
      </c>
      <c r="BD210">
        <f>BD207</f>
        <v>3.4931506849315071E-2</v>
      </c>
      <c r="BE210">
        <f t="shared" si="204"/>
        <v>0</v>
      </c>
      <c r="BF210">
        <v>84</v>
      </c>
      <c r="BG210">
        <f t="shared" si="212"/>
        <v>0.77380952380952384</v>
      </c>
      <c r="BH210">
        <f t="shared" si="217"/>
        <v>4.6947945205479454E-3</v>
      </c>
      <c r="BI210">
        <f t="shared" si="213"/>
        <v>4.4722423986553052E-2</v>
      </c>
      <c r="BJ210">
        <f t="shared" si="205"/>
        <v>265.25987727024278</v>
      </c>
      <c r="BL210" s="28"/>
    </row>
    <row r="211" spans="5:64" x14ac:dyDescent="0.2">
      <c r="E211" s="11" t="s">
        <v>167</v>
      </c>
      <c r="F211" t="s">
        <v>163</v>
      </c>
      <c r="H211">
        <v>50</v>
      </c>
      <c r="I211">
        <v>0</v>
      </c>
      <c r="J211">
        <v>0</v>
      </c>
      <c r="L211">
        <f t="shared" si="190"/>
        <v>91.25</v>
      </c>
      <c r="N211">
        <v>0.13</v>
      </c>
      <c r="P211">
        <v>0.18</v>
      </c>
      <c r="R211">
        <v>0.73</v>
      </c>
      <c r="T211">
        <v>60</v>
      </c>
      <c r="U211">
        <f t="shared" si="206"/>
        <v>0</v>
      </c>
      <c r="V211">
        <f>V191</f>
        <v>1</v>
      </c>
      <c r="W211">
        <f>W191</f>
        <v>0.76</v>
      </c>
      <c r="X211">
        <f t="shared" si="191"/>
        <v>4.7000000000000002E-3</v>
      </c>
      <c r="Y211">
        <f t="shared" si="192"/>
        <v>0</v>
      </c>
      <c r="Z211">
        <v>0</v>
      </c>
      <c r="AA211">
        <f t="shared" si="207"/>
        <v>0</v>
      </c>
      <c r="AB211">
        <f t="shared" si="214"/>
        <v>1.3</v>
      </c>
      <c r="AC211">
        <f t="shared" si="193"/>
        <v>1</v>
      </c>
      <c r="AD211">
        <f t="shared" si="194"/>
        <v>0.57895000000000008</v>
      </c>
      <c r="AF211">
        <v>3.5</v>
      </c>
      <c r="AG211">
        <f t="shared" si="208"/>
        <v>0.99999999997710265</v>
      </c>
      <c r="AH211">
        <f t="shared" si="195"/>
        <v>1.3805052881061199</v>
      </c>
      <c r="AI211">
        <f t="shared" si="209"/>
        <v>1.3805052880745101</v>
      </c>
      <c r="AJ211">
        <f t="shared" si="196"/>
        <v>0.2484909518534118</v>
      </c>
      <c r="AK211">
        <f t="shared" si="197"/>
        <v>0.08</v>
      </c>
      <c r="AL211">
        <f t="shared" si="198"/>
        <v>0.41305076405249036</v>
      </c>
      <c r="AM211">
        <f t="shared" si="199"/>
        <v>0.19</v>
      </c>
      <c r="AN211">
        <f t="shared" si="200"/>
        <v>0.6784</v>
      </c>
      <c r="AO211">
        <f t="shared" si="201"/>
        <v>0</v>
      </c>
      <c r="AP211">
        <f t="shared" si="202"/>
        <v>2.5023077903155606E-4</v>
      </c>
      <c r="AQ211">
        <f t="shared" si="210"/>
        <v>2.5023077903155606E-4</v>
      </c>
      <c r="AR211">
        <f t="shared" si="203"/>
        <v>1.1416779293314745</v>
      </c>
      <c r="BA211">
        <v>18</v>
      </c>
      <c r="BB211">
        <v>0.8</v>
      </c>
      <c r="BC211">
        <f t="shared" si="211"/>
        <v>0</v>
      </c>
      <c r="BD211">
        <f t="shared" ref="BD211" si="221">(BA211 * BB211) / 365</f>
        <v>3.9452054794520547E-2</v>
      </c>
      <c r="BE211">
        <f t="shared" si="204"/>
        <v>0.11960000000000001</v>
      </c>
      <c r="BF211">
        <v>72</v>
      </c>
      <c r="BG211">
        <f t="shared" si="212"/>
        <v>0.83333333333333337</v>
      </c>
      <c r="BH211">
        <f t="shared" si="217"/>
        <v>6.8642630845473437E-3</v>
      </c>
      <c r="BI211">
        <f t="shared" si="213"/>
        <v>3.2894289211998544E-2</v>
      </c>
      <c r="BJ211">
        <f t="shared" si="205"/>
        <v>150.08019452974335</v>
      </c>
      <c r="BL211" s="28"/>
    </row>
    <row r="212" spans="5:64" x14ac:dyDescent="0.2">
      <c r="E212" s="12"/>
      <c r="F212" t="s">
        <v>164</v>
      </c>
      <c r="H212">
        <v>100</v>
      </c>
      <c r="I212">
        <v>0</v>
      </c>
      <c r="J212">
        <v>0</v>
      </c>
      <c r="L212">
        <f t="shared" si="190"/>
        <v>91.25</v>
      </c>
      <c r="N212">
        <v>-0.05</v>
      </c>
      <c r="P212">
        <v>0.06</v>
      </c>
      <c r="R212">
        <v>0.55000000000000004</v>
      </c>
      <c r="T212">
        <v>55</v>
      </c>
      <c r="U212">
        <f t="shared" si="206"/>
        <v>0</v>
      </c>
      <c r="V212">
        <f>V191</f>
        <v>1</v>
      </c>
      <c r="W212">
        <f>W191</f>
        <v>0.76</v>
      </c>
      <c r="X212">
        <f t="shared" si="191"/>
        <v>4.7000000000000002E-3</v>
      </c>
      <c r="Y212">
        <f t="shared" si="192"/>
        <v>0</v>
      </c>
      <c r="Z212">
        <v>0</v>
      </c>
      <c r="AA212">
        <f t="shared" si="207"/>
        <v>0</v>
      </c>
      <c r="AB212">
        <f t="shared" si="214"/>
        <v>1.3</v>
      </c>
      <c r="AC212">
        <f t="shared" si="193"/>
        <v>1</v>
      </c>
      <c r="AD212">
        <f t="shared" si="194"/>
        <v>0.43585000000000007</v>
      </c>
      <c r="AF212">
        <v>1.5</v>
      </c>
      <c r="AG212">
        <f t="shared" si="208"/>
        <v>0.98889100346175773</v>
      </c>
      <c r="AH212">
        <f t="shared" si="195"/>
        <v>0.95969823125361531</v>
      </c>
      <c r="AI212">
        <f t="shared" si="209"/>
        <v>0.94903694692486162</v>
      </c>
      <c r="AJ212">
        <f t="shared" si="196"/>
        <v>5.6942216815491692E-2</v>
      </c>
      <c r="AK212">
        <f t="shared" si="197"/>
        <v>0.08</v>
      </c>
      <c r="AL212">
        <f t="shared" si="198"/>
        <v>0.4260459934868201</v>
      </c>
      <c r="AM212">
        <f t="shared" si="199"/>
        <v>0.19</v>
      </c>
      <c r="AN212">
        <f t="shared" si="200"/>
        <v>0.6784</v>
      </c>
      <c r="AO212">
        <f t="shared" si="201"/>
        <v>0</v>
      </c>
      <c r="AP212">
        <f t="shared" si="202"/>
        <v>2.5810343456944269E-4</v>
      </c>
      <c r="AQ212">
        <f t="shared" si="210"/>
        <v>2.5810343456944269E-4</v>
      </c>
      <c r="AR212">
        <f t="shared" si="203"/>
        <v>2.3551938404461645</v>
      </c>
      <c r="BA212">
        <f>BA211</f>
        <v>18</v>
      </c>
      <c r="BC212">
        <f t="shared" si="211"/>
        <v>0</v>
      </c>
      <c r="BD212">
        <f>BD211</f>
        <v>3.9452054794520547E-2</v>
      </c>
      <c r="BE212">
        <f t="shared" si="204"/>
        <v>-4.6000000000000006E-2</v>
      </c>
      <c r="BF212">
        <v>72</v>
      </c>
      <c r="BG212">
        <f t="shared" si="212"/>
        <v>0.76388888888888884</v>
      </c>
      <c r="BH212">
        <f t="shared" si="217"/>
        <v>4.6637328035463001E-3</v>
      </c>
      <c r="BI212">
        <f t="shared" si="213"/>
        <v>4.4470218869323711E-3</v>
      </c>
      <c r="BJ212">
        <f t="shared" si="205"/>
        <v>40.579074718257885</v>
      </c>
      <c r="BL212" s="28"/>
    </row>
    <row r="213" spans="5:64" x14ac:dyDescent="0.2">
      <c r="E213" s="11"/>
      <c r="F213" t="s">
        <v>165</v>
      </c>
      <c r="H213">
        <v>90</v>
      </c>
      <c r="I213">
        <v>0</v>
      </c>
      <c r="J213">
        <v>0</v>
      </c>
      <c r="L213">
        <f t="shared" si="190"/>
        <v>91.25</v>
      </c>
      <c r="N213">
        <v>-0.08</v>
      </c>
      <c r="P213">
        <v>0.06</v>
      </c>
      <c r="R213">
        <v>0.5</v>
      </c>
      <c r="T213">
        <v>48</v>
      </c>
      <c r="U213">
        <f t="shared" si="206"/>
        <v>0</v>
      </c>
      <c r="V213">
        <f>V191</f>
        <v>1</v>
      </c>
      <c r="W213">
        <f>W191</f>
        <v>0.76</v>
      </c>
      <c r="X213">
        <f t="shared" si="191"/>
        <v>4.7000000000000002E-3</v>
      </c>
      <c r="Y213">
        <f t="shared" si="192"/>
        <v>0</v>
      </c>
      <c r="Z213">
        <v>0</v>
      </c>
      <c r="AA213">
        <f t="shared" si="207"/>
        <v>0</v>
      </c>
      <c r="AB213">
        <f t="shared" si="214"/>
        <v>1.3</v>
      </c>
      <c r="AC213">
        <f t="shared" si="193"/>
        <v>1</v>
      </c>
      <c r="AD213">
        <f t="shared" si="194"/>
        <v>0.39610000000000001</v>
      </c>
      <c r="AF213">
        <v>0.7</v>
      </c>
      <c r="AG213">
        <f t="shared" si="208"/>
        <v>0.62468890114860043</v>
      </c>
      <c r="AH213">
        <f t="shared" si="195"/>
        <v>0.75146539652530986</v>
      </c>
      <c r="AI213">
        <f t="shared" si="209"/>
        <v>0.46943209280659309</v>
      </c>
      <c r="AJ213">
        <f t="shared" si="196"/>
        <v>2.8165925568395585E-2</v>
      </c>
      <c r="AK213">
        <f t="shared" si="197"/>
        <v>0.08</v>
      </c>
      <c r="AL213">
        <f t="shared" si="198"/>
        <v>0.22404824951408225</v>
      </c>
      <c r="AM213">
        <f t="shared" si="199"/>
        <v>0.19</v>
      </c>
      <c r="AN213">
        <f t="shared" si="200"/>
        <v>0.6784</v>
      </c>
      <c r="AO213">
        <f t="shared" si="201"/>
        <v>0</v>
      </c>
      <c r="AP213">
        <f t="shared" si="202"/>
        <v>1.357309388960256E-4</v>
      </c>
      <c r="AQ213">
        <f t="shared" si="210"/>
        <v>1.357309388960256E-4</v>
      </c>
      <c r="AR213">
        <f t="shared" si="203"/>
        <v>1.1146903356836102</v>
      </c>
      <c r="BA213">
        <f>BA211</f>
        <v>18</v>
      </c>
      <c r="BC213">
        <f t="shared" si="211"/>
        <v>0</v>
      </c>
      <c r="BD213">
        <f>BD211</f>
        <v>3.9452054794520547E-2</v>
      </c>
      <c r="BE213">
        <f t="shared" si="204"/>
        <v>-7.3599999999999999E-2</v>
      </c>
      <c r="BF213">
        <v>72</v>
      </c>
      <c r="BG213">
        <f t="shared" si="212"/>
        <v>0.66666666666666663</v>
      </c>
      <c r="BH213">
        <f t="shared" si="217"/>
        <v>4.1637400410452045E-3</v>
      </c>
      <c r="BI213">
        <f t="shared" si="213"/>
        <v>3.4280804989808913E-4</v>
      </c>
      <c r="BJ213">
        <f t="shared" si="205"/>
        <v>2.8153111097880572</v>
      </c>
      <c r="BL213" s="28"/>
    </row>
    <row r="214" spans="5:64" x14ac:dyDescent="0.2">
      <c r="E214" s="12"/>
      <c r="F214" t="s">
        <v>166</v>
      </c>
      <c r="H214">
        <v>80</v>
      </c>
      <c r="I214">
        <v>0</v>
      </c>
      <c r="J214">
        <v>0</v>
      </c>
      <c r="L214">
        <f t="shared" si="190"/>
        <v>91.25</v>
      </c>
      <c r="N214">
        <v>0</v>
      </c>
      <c r="P214">
        <v>0.21</v>
      </c>
      <c r="R214">
        <v>0.76</v>
      </c>
      <c r="T214">
        <v>48</v>
      </c>
      <c r="U214">
        <f t="shared" si="206"/>
        <v>0</v>
      </c>
      <c r="V214">
        <f>V191</f>
        <v>1</v>
      </c>
      <c r="W214">
        <f>W191</f>
        <v>0.76</v>
      </c>
      <c r="X214">
        <f t="shared" si="191"/>
        <v>4.7000000000000002E-3</v>
      </c>
      <c r="Y214">
        <f t="shared" si="192"/>
        <v>0</v>
      </c>
      <c r="Z214">
        <v>0</v>
      </c>
      <c r="AA214">
        <f t="shared" si="207"/>
        <v>0</v>
      </c>
      <c r="AB214">
        <f t="shared" si="214"/>
        <v>1.3</v>
      </c>
      <c r="AC214">
        <f t="shared" si="193"/>
        <v>1</v>
      </c>
      <c r="AD214">
        <f t="shared" si="194"/>
        <v>0.60280000000000011</v>
      </c>
      <c r="AF214">
        <v>1.2</v>
      </c>
      <c r="AG214">
        <f t="shared" si="208"/>
        <v>0.94386523716586623</v>
      </c>
      <c r="AH214">
        <f t="shared" si="195"/>
        <v>1.1461208299494401</v>
      </c>
      <c r="AI214">
        <f t="shared" si="209"/>
        <v>1.0817836089809678</v>
      </c>
      <c r="AJ214">
        <f t="shared" si="196"/>
        <v>0.22717455788600324</v>
      </c>
      <c r="AK214">
        <f t="shared" si="197"/>
        <v>0.08</v>
      </c>
      <c r="AL214">
        <f t="shared" si="198"/>
        <v>0.2819232334440816</v>
      </c>
      <c r="AM214">
        <f t="shared" si="199"/>
        <v>0.19</v>
      </c>
      <c r="AN214">
        <f t="shared" si="200"/>
        <v>0.6784</v>
      </c>
      <c r="AO214">
        <f t="shared" si="201"/>
        <v>0</v>
      </c>
      <c r="AP214">
        <f t="shared" si="202"/>
        <v>1.7079225236063924E-4</v>
      </c>
      <c r="AQ214">
        <f t="shared" si="210"/>
        <v>1.7079225236063924E-4</v>
      </c>
      <c r="AR214">
        <f t="shared" si="203"/>
        <v>1.2467834422326665</v>
      </c>
      <c r="BA214">
        <f>BA211</f>
        <v>18</v>
      </c>
      <c r="BC214">
        <f t="shared" si="211"/>
        <v>0</v>
      </c>
      <c r="BD214">
        <f>BD211</f>
        <v>3.9452054794520547E-2</v>
      </c>
      <c r="BE214">
        <f t="shared" si="204"/>
        <v>0</v>
      </c>
      <c r="BF214">
        <v>72</v>
      </c>
      <c r="BG214">
        <f t="shared" si="212"/>
        <v>0.66666666666666663</v>
      </c>
      <c r="BH214">
        <f t="shared" si="217"/>
        <v>5.3023561643835617E-3</v>
      </c>
      <c r="BI214">
        <f t="shared" si="213"/>
        <v>3.1045573097376954E-2</v>
      </c>
      <c r="BJ214">
        <f t="shared" si="205"/>
        <v>226.63268361085179</v>
      </c>
      <c r="BL214" s="28"/>
    </row>
    <row r="231" spans="1:72" x14ac:dyDescent="0.2">
      <c r="A231" t="s">
        <v>274</v>
      </c>
      <c r="B231" t="s">
        <v>274</v>
      </c>
      <c r="C231" t="s">
        <v>274</v>
      </c>
      <c r="D231" t="s">
        <v>276</v>
      </c>
      <c r="E231" t="s">
        <v>290</v>
      </c>
      <c r="F231" t="s">
        <v>164</v>
      </c>
      <c r="G231" t="s">
        <v>278</v>
      </c>
      <c r="H231">
        <v>100</v>
      </c>
      <c r="I231">
        <v>0</v>
      </c>
      <c r="J231">
        <v>0</v>
      </c>
      <c r="L231">
        <v>31</v>
      </c>
      <c r="M231" s="1">
        <v>-0.04</v>
      </c>
      <c r="N231" s="1">
        <v>-0.04</v>
      </c>
      <c r="P231">
        <f>Tables!CC39</f>
        <v>7.0000000000000007E-2</v>
      </c>
      <c r="Q231" s="1">
        <v>0.5</v>
      </c>
      <c r="R231" s="1">
        <v>0.5</v>
      </c>
      <c r="T231">
        <f>Tables!CC97</f>
        <v>50</v>
      </c>
      <c r="U231">
        <f>1-V231</f>
        <v>8.2999999999999741E-3</v>
      </c>
      <c r="V231">
        <f>IF($D231="yes", 1, VLOOKUP($B231, $BY$26:$CA$32, 2)/100)</f>
        <v>0.99170000000000003</v>
      </c>
      <c r="W231">
        <f>VLOOKUP($B231,$CA$10:$CB$16, 2, FALSE)</f>
        <v>0.73</v>
      </c>
      <c r="X231">
        <f t="shared" ref="X231:X278" si="222">$BZ$10</f>
        <v>4.7000000000000002E-3</v>
      </c>
      <c r="Y231">
        <f t="shared" ref="Y231:Y278" si="223">(I231/100)*(MIN(J231,100)/100)</f>
        <v>0</v>
      </c>
      <c r="Z231">
        <v>0</v>
      </c>
      <c r="AA231">
        <f>1.6 * Z231</f>
        <v>0</v>
      </c>
      <c r="AB231">
        <f>$CC$1</f>
        <v>1.3</v>
      </c>
      <c r="AC231">
        <f t="shared" ref="AC231:AC278" si="224">Y231*AB231+(1-Y231)</f>
        <v>1</v>
      </c>
      <c r="AD231">
        <f>(0.795*R231)-0.0014</f>
        <v>0.39610000000000001</v>
      </c>
      <c r="AF231">
        <f>Tables!CC168</f>
        <v>3</v>
      </c>
      <c r="AG231">
        <f>1 - EXP(-2*(AF231^2))</f>
        <v>0.99999998477002028</v>
      </c>
      <c r="AH231">
        <f>(104.7*AD231+0.307*T231-15)*(T231^0.75)*10^-3</f>
        <v>0.78637350780019211</v>
      </c>
      <c r="AI231">
        <f>AH231*AG231*AC231</f>
        <v>0.7863734958237395</v>
      </c>
      <c r="AJ231">
        <f t="shared" ref="AJ231:AJ278" si="225">(AI231 * P231) + (0.045 * AA231)</f>
        <v>5.5046144707661768E-2</v>
      </c>
      <c r="AK231">
        <f t="shared" ref="AK231:AK278" si="226">$BZ$2</f>
        <v>0.08</v>
      </c>
      <c r="AL231">
        <f t="shared" ref="AL231:AL278" si="227">(AI231 * ((1 - R231) + (0.04 * AI231))) * ( 1 - AK231 )</f>
        <v>0.38448831259649313</v>
      </c>
      <c r="AM231">
        <f t="shared" ref="AM231:AM278" si="228">$BZ$1</f>
        <v>0.19</v>
      </c>
      <c r="AN231">
        <f t="shared" ref="AN231:AN278" si="229">$CA$20</f>
        <v>0.6784</v>
      </c>
      <c r="AO231">
        <f t="shared" ref="AO231:AO278" si="230">AL231 * AM231 * U231 * W231 * AN231</f>
        <v>3.0027801456951033E-4</v>
      </c>
      <c r="AP231">
        <f t="shared" ref="AP231:AP278" si="231">AL231*AM231*V231*X231*AN231</f>
        <v>2.3099402923392419E-4</v>
      </c>
      <c r="AQ231">
        <f>AO231+AP231</f>
        <v>5.3127204380343457E-4</v>
      </c>
      <c r="AR231">
        <f t="shared" ref="AR231:AR278" si="232">H231*AQ231*L231</f>
        <v>1.6469433357906471</v>
      </c>
      <c r="AS231">
        <f>SUM(AR231:AR278)*10^-3</f>
        <v>4.4522267073324906E-2</v>
      </c>
      <c r="AT231" t="s">
        <v>213</v>
      </c>
      <c r="AU231">
        <f>IF(AT231="yes", 1,0)</f>
        <v>1</v>
      </c>
      <c r="AV231">
        <f>$BZ$4</f>
        <v>0.24</v>
      </c>
      <c r="AW231" t="s">
        <v>321</v>
      </c>
      <c r="AX231" s="28">
        <f>VLOOKUP(AW231,$CD$37:$CF$46,2, FALSE)</f>
        <v>6.0000000000000001E-3</v>
      </c>
      <c r="AY231" s="28">
        <f>$BZ$7</f>
        <v>1.57</v>
      </c>
      <c r="AZ231">
        <f>$BZ$5</f>
        <v>0.21</v>
      </c>
      <c r="BA231">
        <v>20</v>
      </c>
      <c r="BB231">
        <v>0.8</v>
      </c>
      <c r="BC231">
        <f>Y231 * 1.6</f>
        <v>0</v>
      </c>
      <c r="BD231">
        <f>(BA231 * BB231) / 365</f>
        <v>4.3835616438356165E-2</v>
      </c>
      <c r="BE231">
        <f t="shared" ref="BE231" si="233">N231 * 0.92</f>
        <v>-3.6799999999999999E-2</v>
      </c>
      <c r="BF231">
        <f>Tables!CC$131</f>
        <v>50</v>
      </c>
      <c r="BG231">
        <f>T231 / BF231</f>
        <v>1</v>
      </c>
      <c r="BH231">
        <f>((0.045 * BC231) + (BD231 * 0.84)  + (BE231 * ((212 - 4 * ((BE231 * 1000)/(4* (BF231^0.75)) - 1)) - ((140 - 4 * (((BE231 * 1000)/(4 * BF231 ^0.75)) - 1))/(1 + EXP(-6 * (BG231 - 0.4)))))) * 10^-3) / 6.25</f>
        <v>5.4447135101029264E-3</v>
      </c>
      <c r="BI231">
        <f>MAX((AJ231  / 6.25 ) - BH231, 0)</f>
        <v>3.3626696431229572E-3</v>
      </c>
      <c r="BJ231">
        <f t="shared" ref="BJ231:BJ278" si="234">H231*BI231*L231</f>
        <v>10.424275893681168</v>
      </c>
      <c r="BK231">
        <f>SUM(BJ231:BJ278)</f>
        <v>998.05440559101351</v>
      </c>
      <c r="BL231" s="28">
        <f>BK231*$AU$11*$AV$11</f>
        <v>239.53305734184323</v>
      </c>
      <c r="BM231">
        <f>BJ231 * AZ231</f>
        <v>2.1890979376730453</v>
      </c>
      <c r="BN231" t="s">
        <v>225</v>
      </c>
      <c r="BO231">
        <f>VLOOKUP(BN231, $BY$37:$BZ$49, 2, FALSE)</f>
        <v>7.0000000000000001E-3</v>
      </c>
      <c r="BP231">
        <f>BM231 * BO231 * AY231 * 10^-3</f>
        <v>2.405818633502677E-5</v>
      </c>
      <c r="BQ231">
        <f>BJ231 * AP231 * AV231</f>
        <v>5.7790691772659491E-4</v>
      </c>
      <c r="BR231">
        <f>$BZ$6</f>
        <v>1.0999999999999999E-2</v>
      </c>
      <c r="BS231">
        <f>BK231 * AX231 * AY231 * 10^-3</f>
        <v>9.4016725006673494E-3</v>
      </c>
      <c r="BT231">
        <f>BQ231 * BR231 * AY231 * 10^-3</f>
        <v>9.9804524691382944E-9</v>
      </c>
    </row>
    <row r="232" spans="1:72" x14ac:dyDescent="0.2">
      <c r="F232" t="s">
        <v>164</v>
      </c>
      <c r="G232" t="s">
        <v>279</v>
      </c>
      <c r="H232">
        <v>95</v>
      </c>
      <c r="I232">
        <v>0</v>
      </c>
      <c r="J232">
        <v>0</v>
      </c>
      <c r="L232">
        <v>28</v>
      </c>
      <c r="M232" s="1">
        <v>-0.04</v>
      </c>
      <c r="N232" s="1">
        <v>-0.04</v>
      </c>
      <c r="P232">
        <f>Tables!CC39</f>
        <v>7.0000000000000007E-2</v>
      </c>
      <c r="Q232" s="1">
        <v>0.45</v>
      </c>
      <c r="R232" s="1">
        <v>0.45</v>
      </c>
      <c r="T232">
        <f>Tables!CC97</f>
        <v>50</v>
      </c>
      <c r="U232">
        <f t="shared" ref="U232:U253" si="235">1-V232</f>
        <v>8.2999999999999741E-3</v>
      </c>
      <c r="V232">
        <f>V231</f>
        <v>0.99170000000000003</v>
      </c>
      <c r="W232">
        <f>W231</f>
        <v>0.73</v>
      </c>
      <c r="X232">
        <f t="shared" si="222"/>
        <v>4.7000000000000002E-3</v>
      </c>
      <c r="Y232">
        <f t="shared" si="223"/>
        <v>0</v>
      </c>
      <c r="Z232">
        <v>0</v>
      </c>
      <c r="AA232">
        <f t="shared" ref="AA232:AA278" si="236">1.6 * Z232</f>
        <v>0</v>
      </c>
      <c r="AB232">
        <f>$AB$231</f>
        <v>1.3</v>
      </c>
      <c r="AC232">
        <f t="shared" si="224"/>
        <v>1</v>
      </c>
      <c r="AD232">
        <f t="shared" ref="AD232:AD278" si="237">(0.795*R232)-0.0014</f>
        <v>0.35635</v>
      </c>
      <c r="AF232">
        <f>Tables!CC168</f>
        <v>3</v>
      </c>
      <c r="AG232">
        <f t="shared" ref="AG232:AG278" si="238">1 - EXP(-2*(AF232^2))</f>
        <v>0.99999998477002028</v>
      </c>
      <c r="AH232">
        <f t="shared" ref="AH232:AH278" si="239">(104.7*AD232+0.307*T232-15)*(T232^0.75)*10^-3</f>
        <v>0.70811864796077084</v>
      </c>
      <c r="AI232">
        <f t="shared" ref="AI232:AI278" si="240">AH232*AG232*AC232</f>
        <v>0.70811863717613821</v>
      </c>
      <c r="AJ232">
        <f t="shared" si="225"/>
        <v>4.956830460232968E-2</v>
      </c>
      <c r="AK232">
        <f t="shared" si="226"/>
        <v>0.08</v>
      </c>
      <c r="AL232">
        <f t="shared" si="227"/>
        <v>0.37676072816996181</v>
      </c>
      <c r="AM232">
        <f t="shared" si="228"/>
        <v>0.19</v>
      </c>
      <c r="AN232">
        <f t="shared" si="229"/>
        <v>0.6784</v>
      </c>
      <c r="AO232">
        <f t="shared" si="230"/>
        <v>2.9424291900744497E-4</v>
      </c>
      <c r="AP232">
        <f t="shared" si="231"/>
        <v>2.2635142813410056E-4</v>
      </c>
      <c r="AQ232">
        <f t="shared" ref="AQ232:AQ278" si="241">AO232+AP232</f>
        <v>5.2059434714154553E-4</v>
      </c>
      <c r="AR232">
        <f t="shared" si="232"/>
        <v>1.3847809633965111</v>
      </c>
      <c r="BA232">
        <v>20</v>
      </c>
      <c r="BB232">
        <v>0.8</v>
      </c>
      <c r="BC232">
        <f t="shared" ref="BC232:BC278" si="242">Y232 * 1.6</f>
        <v>0</v>
      </c>
      <c r="BD232">
        <f t="shared" ref="BD232:BD278" si="243">(BA232 * BB232) / 365</f>
        <v>4.3835616438356165E-2</v>
      </c>
      <c r="BE232">
        <f t="shared" ref="BE232:BE278" si="244">N232 * 0.92</f>
        <v>-3.6799999999999999E-2</v>
      </c>
      <c r="BF232">
        <f>Tables!CC$131</f>
        <v>50</v>
      </c>
      <c r="BG232">
        <f t="shared" ref="BG232:BG278" si="245">T232 / BF232</f>
        <v>1</v>
      </c>
      <c r="BH232">
        <f t="shared" ref="BH232:BH278" si="246">((0.045 * BC232) + (BD232 * 0.84)  + (BE232 * ((212 - 4 * ((BE232 * 1000)/(4* (BF232^0.75)) - 1)) - ((140 - 4 * (((BE232 * 1000)/(4 * BF232 ^0.75)) - 1))/(1 + EXP(-6 * (BG232 - 0.4)))))) * 10^-3) / 6.25</f>
        <v>5.4447135101029264E-3</v>
      </c>
      <c r="BI232">
        <f t="shared" ref="BI232:BI254" si="247">MAX((AJ232  / 6.25 ) - BH232, 0)</f>
        <v>2.4862152262698231E-3</v>
      </c>
      <c r="BJ232">
        <f t="shared" si="234"/>
        <v>6.6133325018777294</v>
      </c>
    </row>
    <row r="233" spans="1:72" x14ac:dyDescent="0.2">
      <c r="F233" t="s">
        <v>165</v>
      </c>
      <c r="G233" t="s">
        <v>280</v>
      </c>
      <c r="H233">
        <v>90</v>
      </c>
      <c r="I233">
        <v>0</v>
      </c>
      <c r="J233">
        <v>0</v>
      </c>
      <c r="L233">
        <v>31</v>
      </c>
      <c r="M233" s="1">
        <v>-0.04</v>
      </c>
      <c r="N233" s="1">
        <v>-0.04</v>
      </c>
      <c r="P233">
        <f>Tables!CC40</f>
        <v>0.13</v>
      </c>
      <c r="Q233" s="1">
        <v>0.4</v>
      </c>
      <c r="R233" s="1">
        <v>0.4</v>
      </c>
      <c r="T233">
        <f>Tables!CC98</f>
        <v>48</v>
      </c>
      <c r="U233">
        <f t="shared" si="235"/>
        <v>8.2999999999999741E-3</v>
      </c>
      <c r="V233">
        <f>V231</f>
        <v>0.99170000000000003</v>
      </c>
      <c r="W233">
        <f>W231</f>
        <v>0.73</v>
      </c>
      <c r="X233">
        <f t="shared" si="222"/>
        <v>4.7000000000000002E-3</v>
      </c>
      <c r="Y233">
        <f t="shared" si="223"/>
        <v>0</v>
      </c>
      <c r="Z233">
        <v>0</v>
      </c>
      <c r="AA233">
        <f t="shared" si="236"/>
        <v>0</v>
      </c>
      <c r="AB233">
        <f t="shared" ref="AB233:AB278" si="248">$AB$231</f>
        <v>1.3</v>
      </c>
      <c r="AC233">
        <f t="shared" si="224"/>
        <v>1</v>
      </c>
      <c r="AD233">
        <f t="shared" si="237"/>
        <v>0.31660000000000005</v>
      </c>
      <c r="AF233">
        <f>Tables!CC169</f>
        <v>1.8</v>
      </c>
      <c r="AG233">
        <f t="shared" si="238"/>
        <v>0.99846618932067555</v>
      </c>
      <c r="AH233">
        <f t="shared" si="239"/>
        <v>0.59967484520833669</v>
      </c>
      <c r="AI233">
        <f t="shared" si="240"/>
        <v>0.59875505752663394</v>
      </c>
      <c r="AJ233">
        <f t="shared" si="225"/>
        <v>7.7838157478462414E-2</v>
      </c>
      <c r="AK233">
        <f t="shared" si="226"/>
        <v>0.08</v>
      </c>
      <c r="AL233">
        <f t="shared" si="227"/>
        <v>0.3437058721307269</v>
      </c>
      <c r="AM233">
        <f t="shared" si="228"/>
        <v>0.19</v>
      </c>
      <c r="AN233">
        <f t="shared" si="229"/>
        <v>0.6784</v>
      </c>
      <c r="AO233">
        <f t="shared" si="230"/>
        <v>2.6842770897852781E-4</v>
      </c>
      <c r="AP233">
        <f t="shared" si="231"/>
        <v>2.0649263364776901E-4</v>
      </c>
      <c r="AQ233">
        <f t="shared" si="241"/>
        <v>4.7492034262629679E-4</v>
      </c>
      <c r="AR233">
        <f t="shared" si="232"/>
        <v>1.325027755927368</v>
      </c>
      <c r="BA233">
        <v>20</v>
      </c>
      <c r="BB233">
        <v>0.8</v>
      </c>
      <c r="BC233">
        <f t="shared" si="242"/>
        <v>0</v>
      </c>
      <c r="BD233">
        <f t="shared" si="243"/>
        <v>4.3835616438356165E-2</v>
      </c>
      <c r="BE233">
        <f t="shared" si="244"/>
        <v>-3.6799999999999999E-2</v>
      </c>
      <c r="BF233">
        <f>Tables!CC$132</f>
        <v>50</v>
      </c>
      <c r="BG233">
        <f t="shared" si="245"/>
        <v>0.96</v>
      </c>
      <c r="BH233">
        <f t="shared" si="246"/>
        <v>5.43872160658335E-3</v>
      </c>
      <c r="BI233">
        <f t="shared" si="247"/>
        <v>7.0153835899706366E-3</v>
      </c>
      <c r="BJ233">
        <f t="shared" si="234"/>
        <v>19.572920216018076</v>
      </c>
    </row>
    <row r="234" spans="1:72" x14ac:dyDescent="0.2">
      <c r="F234" t="s">
        <v>165</v>
      </c>
      <c r="G234" t="s">
        <v>281</v>
      </c>
      <c r="H234">
        <v>130</v>
      </c>
      <c r="I234">
        <v>0</v>
      </c>
      <c r="J234">
        <v>0</v>
      </c>
      <c r="L234">
        <v>30</v>
      </c>
      <c r="M234" s="1">
        <v>-0.04</v>
      </c>
      <c r="N234" s="1">
        <v>-0.04</v>
      </c>
      <c r="P234">
        <f>Tables!CC40</f>
        <v>0.13</v>
      </c>
      <c r="Q234" s="1">
        <v>0.45</v>
      </c>
      <c r="R234" s="1">
        <v>0.45</v>
      </c>
      <c r="T234">
        <f>Tables!CC98</f>
        <v>48</v>
      </c>
      <c r="U234">
        <f t="shared" si="235"/>
        <v>8.2999999999999741E-3</v>
      </c>
      <c r="V234">
        <f>V231</f>
        <v>0.99170000000000003</v>
      </c>
      <c r="W234">
        <f>W231</f>
        <v>0.73</v>
      </c>
      <c r="X234">
        <f t="shared" si="222"/>
        <v>4.7000000000000002E-3</v>
      </c>
      <c r="Y234">
        <f t="shared" si="223"/>
        <v>0</v>
      </c>
      <c r="Z234">
        <v>0</v>
      </c>
      <c r="AA234">
        <f t="shared" si="236"/>
        <v>0</v>
      </c>
      <c r="AB234">
        <f t="shared" si="248"/>
        <v>1.3</v>
      </c>
      <c r="AC234">
        <f t="shared" si="224"/>
        <v>1</v>
      </c>
      <c r="AD234">
        <f t="shared" si="237"/>
        <v>0.35635</v>
      </c>
      <c r="AF234">
        <f>Tables!CC169</f>
        <v>1.8</v>
      </c>
      <c r="AG234">
        <f t="shared" si="238"/>
        <v>0.99846618932067555</v>
      </c>
      <c r="AH234">
        <f t="shared" si="239"/>
        <v>0.67557012086682311</v>
      </c>
      <c r="AI234">
        <f t="shared" si="240"/>
        <v>0.67453392420080505</v>
      </c>
      <c r="AJ234">
        <f t="shared" si="225"/>
        <v>8.7689410146104665E-2</v>
      </c>
      <c r="AK234">
        <f t="shared" si="226"/>
        <v>0.08</v>
      </c>
      <c r="AL234">
        <f t="shared" si="227"/>
        <v>0.35805801899384415</v>
      </c>
      <c r="AM234">
        <f t="shared" si="228"/>
        <v>0.19</v>
      </c>
      <c r="AN234">
        <f t="shared" si="229"/>
        <v>0.6784</v>
      </c>
      <c r="AO234">
        <f t="shared" si="230"/>
        <v>2.7963646103593994E-4</v>
      </c>
      <c r="AP234">
        <f t="shared" si="231"/>
        <v>2.1511515902358636E-4</v>
      </c>
      <c r="AQ234">
        <f t="shared" si="241"/>
        <v>4.9475162005952627E-4</v>
      </c>
      <c r="AR234">
        <f t="shared" si="232"/>
        <v>1.9295313182321525</v>
      </c>
      <c r="BA234">
        <v>20</v>
      </c>
      <c r="BB234">
        <v>0.8</v>
      </c>
      <c r="BC234">
        <f t="shared" si="242"/>
        <v>0</v>
      </c>
      <c r="BD234">
        <f t="shared" si="243"/>
        <v>4.3835616438356165E-2</v>
      </c>
      <c r="BE234">
        <f t="shared" si="244"/>
        <v>-3.6799999999999999E-2</v>
      </c>
      <c r="BF234">
        <f>Tables!CC$132</f>
        <v>50</v>
      </c>
      <c r="BG234">
        <f t="shared" si="245"/>
        <v>0.96</v>
      </c>
      <c r="BH234">
        <f t="shared" si="246"/>
        <v>5.43872160658335E-3</v>
      </c>
      <c r="BI234">
        <f t="shared" si="247"/>
        <v>8.5915840167933959E-3</v>
      </c>
      <c r="BJ234">
        <f t="shared" si="234"/>
        <v>33.50717766549424</v>
      </c>
    </row>
    <row r="235" spans="1:72" x14ac:dyDescent="0.2">
      <c r="F235" t="s">
        <v>165</v>
      </c>
      <c r="G235" t="s">
        <v>282</v>
      </c>
      <c r="H235">
        <v>130</v>
      </c>
      <c r="I235">
        <v>0</v>
      </c>
      <c r="J235">
        <v>0</v>
      </c>
      <c r="L235">
        <v>31</v>
      </c>
      <c r="M235" s="1">
        <v>-0.04</v>
      </c>
      <c r="N235" s="1">
        <v>-0.04</v>
      </c>
      <c r="P235">
        <f>Tables!CC40</f>
        <v>0.13</v>
      </c>
      <c r="Q235" s="1">
        <v>0.46</v>
      </c>
      <c r="R235" s="1">
        <v>0.46</v>
      </c>
      <c r="T235">
        <f>Tables!CC98</f>
        <v>48</v>
      </c>
      <c r="U235">
        <f t="shared" si="235"/>
        <v>8.2999999999999741E-3</v>
      </c>
      <c r="V235">
        <f>V231</f>
        <v>0.99170000000000003</v>
      </c>
      <c r="W235">
        <f>W231</f>
        <v>0.73</v>
      </c>
      <c r="X235">
        <f t="shared" si="222"/>
        <v>4.7000000000000002E-3</v>
      </c>
      <c r="Y235">
        <f t="shared" si="223"/>
        <v>0</v>
      </c>
      <c r="Z235">
        <v>0</v>
      </c>
      <c r="AA235">
        <f t="shared" si="236"/>
        <v>0</v>
      </c>
      <c r="AB235">
        <f t="shared" si="248"/>
        <v>1.3</v>
      </c>
      <c r="AC235">
        <f t="shared" si="224"/>
        <v>1</v>
      </c>
      <c r="AD235">
        <f t="shared" si="237"/>
        <v>0.36430000000000001</v>
      </c>
      <c r="AF235">
        <f>Tables!CC169</f>
        <v>1.8</v>
      </c>
      <c r="AG235">
        <f t="shared" si="238"/>
        <v>0.99846618932067555</v>
      </c>
      <c r="AH235">
        <f t="shared" si="239"/>
        <v>0.69074917599852059</v>
      </c>
      <c r="AI235">
        <f t="shared" si="240"/>
        <v>0.68968969753563947</v>
      </c>
      <c r="AJ235">
        <f t="shared" si="225"/>
        <v>8.965966067963313E-2</v>
      </c>
      <c r="AK235">
        <f t="shared" si="226"/>
        <v>0.08</v>
      </c>
      <c r="AL235">
        <f t="shared" si="227"/>
        <v>0.36014256687874002</v>
      </c>
      <c r="AM235">
        <f t="shared" si="228"/>
        <v>0.19</v>
      </c>
      <c r="AN235">
        <f t="shared" si="229"/>
        <v>0.6784</v>
      </c>
      <c r="AO235">
        <f t="shared" si="230"/>
        <v>2.8126445304413528E-4</v>
      </c>
      <c r="AP235">
        <f t="shared" si="231"/>
        <v>2.1636751988681109E-4</v>
      </c>
      <c r="AQ235">
        <f t="shared" si="241"/>
        <v>4.9763197293094643E-4</v>
      </c>
      <c r="AR235">
        <f t="shared" si="232"/>
        <v>2.0054568509117141</v>
      </c>
      <c r="BA235">
        <v>20</v>
      </c>
      <c r="BB235">
        <v>0.8</v>
      </c>
      <c r="BC235">
        <f t="shared" si="242"/>
        <v>0</v>
      </c>
      <c r="BD235">
        <f t="shared" si="243"/>
        <v>4.3835616438356165E-2</v>
      </c>
      <c r="BE235">
        <f t="shared" si="244"/>
        <v>-3.6799999999999999E-2</v>
      </c>
      <c r="BF235">
        <f>Tables!CC$132</f>
        <v>50</v>
      </c>
      <c r="BG235">
        <f t="shared" si="245"/>
        <v>0.96</v>
      </c>
      <c r="BH235">
        <f t="shared" si="246"/>
        <v>5.43872160658335E-3</v>
      </c>
      <c r="BI235">
        <f t="shared" si="247"/>
        <v>8.9068241021579512E-3</v>
      </c>
      <c r="BJ235">
        <f t="shared" si="234"/>
        <v>35.894501131696543</v>
      </c>
    </row>
    <row r="236" spans="1:72" x14ac:dyDescent="0.2">
      <c r="F236" t="s">
        <v>166</v>
      </c>
      <c r="G236" t="s">
        <v>283</v>
      </c>
      <c r="H236">
        <v>125</v>
      </c>
      <c r="I236">
        <v>0</v>
      </c>
      <c r="J236">
        <v>0</v>
      </c>
      <c r="K236" s="1">
        <v>25</v>
      </c>
      <c r="L236" s="1">
        <v>25</v>
      </c>
      <c r="M236" s="1">
        <v>0</v>
      </c>
      <c r="N236" s="1">
        <v>0</v>
      </c>
      <c r="P236">
        <f>Tables!CC41</f>
        <v>0.1</v>
      </c>
      <c r="Q236" s="1">
        <v>0.51</v>
      </c>
      <c r="R236" s="1">
        <v>0.51</v>
      </c>
      <c r="T236">
        <f>Tables!CC99</f>
        <v>45</v>
      </c>
      <c r="U236">
        <f t="shared" si="235"/>
        <v>8.2999999999999741E-3</v>
      </c>
      <c r="V236">
        <f>V231</f>
        <v>0.99170000000000003</v>
      </c>
      <c r="W236">
        <f>W231</f>
        <v>0.73</v>
      </c>
      <c r="X236">
        <f t="shared" si="222"/>
        <v>4.7000000000000002E-3</v>
      </c>
      <c r="Y236">
        <f t="shared" si="223"/>
        <v>0</v>
      </c>
      <c r="Z236">
        <v>0</v>
      </c>
      <c r="AA236">
        <f t="shared" si="236"/>
        <v>0</v>
      </c>
      <c r="AB236">
        <f t="shared" si="248"/>
        <v>1.3</v>
      </c>
      <c r="AC236">
        <f t="shared" si="224"/>
        <v>1</v>
      </c>
      <c r="AD236">
        <f t="shared" si="237"/>
        <v>0.40405000000000002</v>
      </c>
      <c r="AF236">
        <f>Tables!CC170</f>
        <v>1</v>
      </c>
      <c r="AG236">
        <f t="shared" si="238"/>
        <v>0.8646647167633873</v>
      </c>
      <c r="AH236">
        <f t="shared" si="239"/>
        <v>0.71441785360642229</v>
      </c>
      <c r="AI236">
        <f t="shared" si="240"/>
        <v>0.61773191103930425</v>
      </c>
      <c r="AJ236">
        <f t="shared" si="225"/>
        <v>6.1773191103930425E-2</v>
      </c>
      <c r="AK236">
        <f t="shared" si="226"/>
        <v>0.08</v>
      </c>
      <c r="AL236">
        <f t="shared" si="227"/>
        <v>0.29251615736863712</v>
      </c>
      <c r="AM236">
        <f t="shared" si="228"/>
        <v>0.19</v>
      </c>
      <c r="AN236">
        <f t="shared" si="229"/>
        <v>0.6784</v>
      </c>
      <c r="AO236">
        <f t="shared" si="230"/>
        <v>2.2844952131571749E-4</v>
      </c>
      <c r="AP236">
        <f t="shared" si="231"/>
        <v>1.7573872493106937E-4</v>
      </c>
      <c r="AQ236">
        <f t="shared" si="241"/>
        <v>4.0418824624678684E-4</v>
      </c>
      <c r="AR236">
        <f t="shared" si="232"/>
        <v>1.2630882695212089</v>
      </c>
      <c r="BA236">
        <v>20</v>
      </c>
      <c r="BB236">
        <v>0.8</v>
      </c>
      <c r="BC236">
        <f t="shared" si="242"/>
        <v>0</v>
      </c>
      <c r="BD236">
        <f t="shared" si="243"/>
        <v>4.3835616438356165E-2</v>
      </c>
      <c r="BE236">
        <f t="shared" si="244"/>
        <v>0</v>
      </c>
      <c r="BF236">
        <f>Tables!CC$133</f>
        <v>50</v>
      </c>
      <c r="BG236">
        <f t="shared" si="245"/>
        <v>0.9</v>
      </c>
      <c r="BH236">
        <f t="shared" si="246"/>
        <v>5.8915068493150683E-3</v>
      </c>
      <c r="BI236">
        <f t="shared" si="247"/>
        <v>3.9922037273138001E-3</v>
      </c>
      <c r="BJ236">
        <f t="shared" si="234"/>
        <v>12.475636647855627</v>
      </c>
    </row>
    <row r="237" spans="1:72" x14ac:dyDescent="0.2">
      <c r="F237" t="s">
        <v>166</v>
      </c>
      <c r="G237" t="s">
        <v>284</v>
      </c>
      <c r="H237">
        <v>120</v>
      </c>
      <c r="I237">
        <v>0</v>
      </c>
      <c r="J237">
        <v>0</v>
      </c>
      <c r="L237">
        <v>31</v>
      </c>
      <c r="M237" s="1">
        <v>0</v>
      </c>
      <c r="N237" s="1">
        <v>0</v>
      </c>
      <c r="P237">
        <f>Tables!CC41</f>
        <v>0.1</v>
      </c>
      <c r="Q237" s="1">
        <v>0.45</v>
      </c>
      <c r="R237" s="1">
        <v>0.45</v>
      </c>
      <c r="T237">
        <f>Tables!CC99</f>
        <v>45</v>
      </c>
      <c r="U237">
        <f t="shared" si="235"/>
        <v>8.2999999999999741E-3</v>
      </c>
      <c r="V237">
        <f>V231</f>
        <v>0.99170000000000003</v>
      </c>
      <c r="W237">
        <f>W231</f>
        <v>0.73</v>
      </c>
      <c r="X237">
        <f t="shared" si="222"/>
        <v>4.7000000000000002E-3</v>
      </c>
      <c r="Y237">
        <f t="shared" si="223"/>
        <v>0</v>
      </c>
      <c r="Z237">
        <v>0</v>
      </c>
      <c r="AA237">
        <f t="shared" si="236"/>
        <v>0</v>
      </c>
      <c r="AB237">
        <f t="shared" si="248"/>
        <v>1.3</v>
      </c>
      <c r="AC237">
        <f t="shared" si="224"/>
        <v>1</v>
      </c>
      <c r="AD237">
        <f t="shared" si="237"/>
        <v>0.35635</v>
      </c>
      <c r="AF237">
        <f>Tables!CC170</f>
        <v>1</v>
      </c>
      <c r="AG237">
        <f t="shared" si="238"/>
        <v>0.8646647167633873</v>
      </c>
      <c r="AH237">
        <f t="shared" si="239"/>
        <v>0.62764688487374998</v>
      </c>
      <c r="AI237">
        <f t="shared" si="240"/>
        <v>0.54270411593678336</v>
      </c>
      <c r="AJ237">
        <f t="shared" si="225"/>
        <v>5.427041159367834E-2</v>
      </c>
      <c r="AK237">
        <f t="shared" si="226"/>
        <v>0.08</v>
      </c>
      <c r="AL237">
        <f t="shared" si="227"/>
        <v>0.28544690413834639</v>
      </c>
      <c r="AM237">
        <f t="shared" si="228"/>
        <v>0.19</v>
      </c>
      <c r="AN237">
        <f t="shared" si="229"/>
        <v>0.6784</v>
      </c>
      <c r="AO237">
        <f t="shared" si="230"/>
        <v>2.2292856982009026E-4</v>
      </c>
      <c r="AP237">
        <f t="shared" si="231"/>
        <v>1.7149163800061823E-4</v>
      </c>
      <c r="AQ237">
        <f t="shared" si="241"/>
        <v>3.9442020782070849E-4</v>
      </c>
      <c r="AR237">
        <f t="shared" si="232"/>
        <v>1.4672431730930358</v>
      </c>
      <c r="BA237">
        <v>20</v>
      </c>
      <c r="BB237">
        <v>0.8</v>
      </c>
      <c r="BC237">
        <f t="shared" si="242"/>
        <v>0</v>
      </c>
      <c r="BD237">
        <f t="shared" si="243"/>
        <v>4.3835616438356165E-2</v>
      </c>
      <c r="BE237">
        <f t="shared" si="244"/>
        <v>0</v>
      </c>
      <c r="BF237">
        <f>Tables!CC$133</f>
        <v>50</v>
      </c>
      <c r="BG237">
        <f t="shared" si="245"/>
        <v>0.9</v>
      </c>
      <c r="BH237">
        <f t="shared" si="246"/>
        <v>5.8915068493150683E-3</v>
      </c>
      <c r="BI237">
        <f t="shared" si="247"/>
        <v>2.7917590056734656E-3</v>
      </c>
      <c r="BJ237">
        <f t="shared" si="234"/>
        <v>10.385343501105291</v>
      </c>
    </row>
    <row r="238" spans="1:72" x14ac:dyDescent="0.2">
      <c r="F238" t="s">
        <v>166</v>
      </c>
      <c r="G238" t="s">
        <v>285</v>
      </c>
      <c r="H238">
        <v>115</v>
      </c>
      <c r="I238">
        <v>0</v>
      </c>
      <c r="J238">
        <v>0</v>
      </c>
      <c r="L238">
        <v>31</v>
      </c>
      <c r="M238" s="1">
        <v>0</v>
      </c>
      <c r="N238" s="1">
        <v>0</v>
      </c>
      <c r="P238">
        <f>Tables!CC41</f>
        <v>0.1</v>
      </c>
      <c r="Q238" s="1">
        <v>0.44</v>
      </c>
      <c r="R238" s="1">
        <v>0.44</v>
      </c>
      <c r="T238">
        <f>Tables!CC99</f>
        <v>45</v>
      </c>
      <c r="U238">
        <f t="shared" si="235"/>
        <v>8.2999999999999741E-3</v>
      </c>
      <c r="V238">
        <f>V231</f>
        <v>0.99170000000000003</v>
      </c>
      <c r="W238">
        <f>W231</f>
        <v>0.73</v>
      </c>
      <c r="X238">
        <f t="shared" si="222"/>
        <v>4.7000000000000002E-3</v>
      </c>
      <c r="Y238">
        <f t="shared" si="223"/>
        <v>0</v>
      </c>
      <c r="Z238">
        <v>0</v>
      </c>
      <c r="AA238">
        <f t="shared" si="236"/>
        <v>0</v>
      </c>
      <c r="AB238">
        <f t="shared" si="248"/>
        <v>1.3</v>
      </c>
      <c r="AC238">
        <f t="shared" si="224"/>
        <v>1</v>
      </c>
      <c r="AD238">
        <f t="shared" si="237"/>
        <v>0.34839999999999999</v>
      </c>
      <c r="AF238">
        <f>Tables!CC170</f>
        <v>1</v>
      </c>
      <c r="AG238">
        <f t="shared" si="238"/>
        <v>0.8646647167633873</v>
      </c>
      <c r="AH238">
        <f t="shared" si="239"/>
        <v>0.61318505675163781</v>
      </c>
      <c r="AI238">
        <f t="shared" si="240"/>
        <v>0.53019948341969647</v>
      </c>
      <c r="AJ238">
        <f t="shared" si="225"/>
        <v>5.3019948341969651E-2</v>
      </c>
      <c r="AK238">
        <f t="shared" si="226"/>
        <v>0.08</v>
      </c>
      <c r="AL238">
        <f t="shared" si="227"/>
        <v>0.28350367677146893</v>
      </c>
      <c r="AM238">
        <f t="shared" si="228"/>
        <v>0.19</v>
      </c>
      <c r="AN238">
        <f t="shared" si="229"/>
        <v>0.6784</v>
      </c>
      <c r="AO238">
        <f t="shared" si="230"/>
        <v>2.2141094643215781E-4</v>
      </c>
      <c r="AP238">
        <f t="shared" si="231"/>
        <v>1.7032418009751223E-4</v>
      </c>
      <c r="AQ238">
        <f t="shared" si="241"/>
        <v>3.9173512652967003E-4</v>
      </c>
      <c r="AR238">
        <f t="shared" si="232"/>
        <v>1.3965357260782736</v>
      </c>
      <c r="BA238">
        <v>20</v>
      </c>
      <c r="BB238">
        <v>0.8</v>
      </c>
      <c r="BC238">
        <f t="shared" si="242"/>
        <v>0</v>
      </c>
      <c r="BD238">
        <f t="shared" si="243"/>
        <v>4.3835616438356165E-2</v>
      </c>
      <c r="BE238">
        <f t="shared" si="244"/>
        <v>0</v>
      </c>
      <c r="BF238">
        <f>Tables!CC$133</f>
        <v>50</v>
      </c>
      <c r="BG238">
        <f t="shared" si="245"/>
        <v>0.9</v>
      </c>
      <c r="BH238">
        <f t="shared" si="246"/>
        <v>5.8915068493150683E-3</v>
      </c>
      <c r="BI238">
        <f t="shared" si="247"/>
        <v>2.5916848854000757E-3</v>
      </c>
      <c r="BJ238">
        <f t="shared" si="234"/>
        <v>9.2393566164512713</v>
      </c>
    </row>
    <row r="239" spans="1:72" x14ac:dyDescent="0.2">
      <c r="F239" t="s">
        <v>163</v>
      </c>
      <c r="G239" t="s">
        <v>286</v>
      </c>
      <c r="H239">
        <v>110</v>
      </c>
      <c r="I239">
        <v>32</v>
      </c>
      <c r="J239">
        <v>28</v>
      </c>
      <c r="K239" s="1">
        <v>24</v>
      </c>
      <c r="L239" s="1">
        <v>24</v>
      </c>
      <c r="M239" s="1">
        <v>0</v>
      </c>
      <c r="N239" s="1">
        <v>0</v>
      </c>
      <c r="P239">
        <f>Tables!CC38</f>
        <v>0.16</v>
      </c>
      <c r="Q239" s="1">
        <v>0.65</v>
      </c>
      <c r="R239" s="1">
        <v>0.65</v>
      </c>
      <c r="T239">
        <f>Tables!CC96</f>
        <v>55</v>
      </c>
      <c r="U239">
        <f t="shared" si="235"/>
        <v>8.2999999999999741E-3</v>
      </c>
      <c r="V239">
        <f>V231</f>
        <v>0.99170000000000003</v>
      </c>
      <c r="W239">
        <f>W231</f>
        <v>0.73</v>
      </c>
      <c r="X239">
        <f t="shared" si="222"/>
        <v>4.7000000000000002E-3</v>
      </c>
      <c r="Y239">
        <f t="shared" si="223"/>
        <v>8.9600000000000013E-2</v>
      </c>
      <c r="Z239">
        <v>0</v>
      </c>
      <c r="AA239">
        <f t="shared" si="236"/>
        <v>0</v>
      </c>
      <c r="AB239">
        <f t="shared" si="248"/>
        <v>1.3</v>
      </c>
      <c r="AC239">
        <f t="shared" si="224"/>
        <v>1.02688</v>
      </c>
      <c r="AD239">
        <f t="shared" si="237"/>
        <v>0.51535000000000009</v>
      </c>
      <c r="AF239">
        <f>Tables!CC167</f>
        <v>3.2</v>
      </c>
      <c r="AG239">
        <f t="shared" si="238"/>
        <v>0.99999999872459233</v>
      </c>
      <c r="AH239">
        <f t="shared" si="239"/>
        <v>1.1278052426935643</v>
      </c>
      <c r="AI239">
        <f t="shared" si="240"/>
        <v>1.1581206461400915</v>
      </c>
      <c r="AJ239">
        <f t="shared" si="225"/>
        <v>0.18529930338241463</v>
      </c>
      <c r="AK239">
        <f t="shared" si="226"/>
        <v>0.08</v>
      </c>
      <c r="AL239">
        <f t="shared" si="227"/>
        <v>0.42227260631849611</v>
      </c>
      <c r="AM239">
        <f t="shared" si="228"/>
        <v>0.19</v>
      </c>
      <c r="AN239">
        <f t="shared" si="229"/>
        <v>0.6784</v>
      </c>
      <c r="AO239">
        <f t="shared" si="230"/>
        <v>3.2978682492614995E-4</v>
      </c>
      <c r="AP239">
        <f t="shared" si="231"/>
        <v>2.5369418932374001E-4</v>
      </c>
      <c r="AQ239">
        <f t="shared" si="241"/>
        <v>5.8348101424988996E-4</v>
      </c>
      <c r="AR239">
        <f t="shared" si="232"/>
        <v>1.5403898776197096</v>
      </c>
      <c r="BA239">
        <v>20</v>
      </c>
      <c r="BB239">
        <v>0.8</v>
      </c>
      <c r="BC239">
        <f t="shared" si="242"/>
        <v>0.14336000000000002</v>
      </c>
      <c r="BD239">
        <f t="shared" si="243"/>
        <v>4.3835616438356165E-2</v>
      </c>
      <c r="BE239">
        <f t="shared" si="244"/>
        <v>0</v>
      </c>
      <c r="BF239">
        <f>Tables!CC$134</f>
        <v>50</v>
      </c>
      <c r="BG239">
        <f t="shared" si="245"/>
        <v>1.1000000000000001</v>
      </c>
      <c r="BH239">
        <f t="shared" si="246"/>
        <v>6.9236988493150678E-3</v>
      </c>
      <c r="BI239">
        <f t="shared" si="247"/>
        <v>2.2724189691871271E-2</v>
      </c>
      <c r="BJ239">
        <f t="shared" si="234"/>
        <v>59.991860786540158</v>
      </c>
    </row>
    <row r="240" spans="1:72" x14ac:dyDescent="0.2">
      <c r="F240" t="s">
        <v>163</v>
      </c>
      <c r="G240" t="s">
        <v>287</v>
      </c>
      <c r="H240">
        <v>105</v>
      </c>
      <c r="I240">
        <v>30</v>
      </c>
      <c r="J240">
        <v>28</v>
      </c>
      <c r="L240">
        <v>31</v>
      </c>
      <c r="M240" s="1">
        <v>0.05</v>
      </c>
      <c r="N240" s="1">
        <v>0.05</v>
      </c>
      <c r="P240">
        <f>Tables!CC38</f>
        <v>0.16</v>
      </c>
      <c r="Q240" s="1">
        <v>0.66</v>
      </c>
      <c r="R240" s="1">
        <v>0.66</v>
      </c>
      <c r="T240">
        <f>Tables!CC96</f>
        <v>55</v>
      </c>
      <c r="U240">
        <f t="shared" si="235"/>
        <v>8.2999999999999741E-3</v>
      </c>
      <c r="V240">
        <f>V231</f>
        <v>0.99170000000000003</v>
      </c>
      <c r="W240">
        <f>W231</f>
        <v>0.73</v>
      </c>
      <c r="X240">
        <f t="shared" si="222"/>
        <v>4.7000000000000002E-3</v>
      </c>
      <c r="Y240">
        <f t="shared" si="223"/>
        <v>8.4000000000000005E-2</v>
      </c>
      <c r="Z240">
        <v>0</v>
      </c>
      <c r="AA240">
        <f t="shared" si="236"/>
        <v>0</v>
      </c>
      <c r="AB240">
        <f t="shared" si="248"/>
        <v>1.3</v>
      </c>
      <c r="AC240">
        <f t="shared" si="224"/>
        <v>1.0252000000000001</v>
      </c>
      <c r="AD240">
        <f t="shared" si="237"/>
        <v>0.5233000000000001</v>
      </c>
      <c r="AF240">
        <f>Tables!CC167</f>
        <v>3.2</v>
      </c>
      <c r="AG240">
        <f t="shared" si="238"/>
        <v>0.99999999872459233</v>
      </c>
      <c r="AH240">
        <f t="shared" si="239"/>
        <v>1.1446159438375592</v>
      </c>
      <c r="AI240">
        <f t="shared" si="240"/>
        <v>1.1734602641256255</v>
      </c>
      <c r="AJ240">
        <f t="shared" si="225"/>
        <v>0.18775364226010008</v>
      </c>
      <c r="AK240">
        <f t="shared" si="226"/>
        <v>0.08</v>
      </c>
      <c r="AL240">
        <f t="shared" si="227"/>
        <v>0.41773230150502522</v>
      </c>
      <c r="AM240">
        <f t="shared" si="228"/>
        <v>0.19</v>
      </c>
      <c r="AN240">
        <f t="shared" si="229"/>
        <v>0.6784</v>
      </c>
      <c r="AO240">
        <f t="shared" si="230"/>
        <v>3.2624093375010213E-4</v>
      </c>
      <c r="AP240">
        <f t="shared" si="231"/>
        <v>2.5096645152663692E-4</v>
      </c>
      <c r="AQ240">
        <f t="shared" si="241"/>
        <v>5.7720738527673905E-4</v>
      </c>
      <c r="AR240">
        <f t="shared" si="232"/>
        <v>1.8788100390757856</v>
      </c>
      <c r="BA240">
        <v>20</v>
      </c>
      <c r="BB240">
        <v>0.8</v>
      </c>
      <c r="BC240">
        <f t="shared" si="242"/>
        <v>0.13440000000000002</v>
      </c>
      <c r="BD240">
        <f t="shared" si="243"/>
        <v>4.3835616438356165E-2</v>
      </c>
      <c r="BE240">
        <f t="shared" si="244"/>
        <v>4.6000000000000006E-2</v>
      </c>
      <c r="BF240">
        <f>Tables!CC$134</f>
        <v>50</v>
      </c>
      <c r="BG240">
        <f t="shared" si="245"/>
        <v>1.1000000000000001</v>
      </c>
      <c r="BH240">
        <f t="shared" si="246"/>
        <v>7.4044989434260836E-3</v>
      </c>
      <c r="BI240">
        <f t="shared" si="247"/>
        <v>2.263608381818993E-2</v>
      </c>
      <c r="BJ240">
        <f t="shared" si="234"/>
        <v>73.680452828208217</v>
      </c>
    </row>
    <row r="241" spans="5:62" x14ac:dyDescent="0.2">
      <c r="F241" t="s">
        <v>163</v>
      </c>
      <c r="G241" t="s">
        <v>288</v>
      </c>
      <c r="H241">
        <v>105</v>
      </c>
      <c r="I241">
        <v>35</v>
      </c>
      <c r="J241">
        <v>32</v>
      </c>
      <c r="L241">
        <v>30</v>
      </c>
      <c r="M241" s="1">
        <v>0.05</v>
      </c>
      <c r="N241" s="1">
        <v>0.05</v>
      </c>
      <c r="P241">
        <f>Tables!CC38</f>
        <v>0.16</v>
      </c>
      <c r="Q241" s="1">
        <v>0.62</v>
      </c>
      <c r="R241" s="1">
        <v>0.62</v>
      </c>
      <c r="T241">
        <f>Tables!CC96</f>
        <v>55</v>
      </c>
      <c r="U241">
        <f t="shared" si="235"/>
        <v>8.2999999999999741E-3</v>
      </c>
      <c r="V241">
        <f>V231</f>
        <v>0.99170000000000003</v>
      </c>
      <c r="W241">
        <f>W231</f>
        <v>0.73</v>
      </c>
      <c r="X241">
        <f t="shared" si="222"/>
        <v>4.7000000000000002E-3</v>
      </c>
      <c r="Y241">
        <f t="shared" si="223"/>
        <v>0.11199999999999999</v>
      </c>
      <c r="Z241">
        <v>0</v>
      </c>
      <c r="AA241">
        <f t="shared" si="236"/>
        <v>0</v>
      </c>
      <c r="AB241">
        <f t="shared" si="248"/>
        <v>1.3</v>
      </c>
      <c r="AC241">
        <f t="shared" si="224"/>
        <v>1.0336000000000001</v>
      </c>
      <c r="AD241">
        <f t="shared" si="237"/>
        <v>0.49149999999999999</v>
      </c>
      <c r="AF241">
        <f>Tables!CC167</f>
        <v>3.2</v>
      </c>
      <c r="AG241">
        <f t="shared" si="238"/>
        <v>0.99999999872459233</v>
      </c>
      <c r="AH241">
        <f t="shared" si="239"/>
        <v>1.0773731392615793</v>
      </c>
      <c r="AI241">
        <f t="shared" si="240"/>
        <v>1.113572875320509</v>
      </c>
      <c r="AJ241">
        <f t="shared" si="225"/>
        <v>0.17817166005128143</v>
      </c>
      <c r="AK241">
        <f t="shared" si="226"/>
        <v>0.08</v>
      </c>
      <c r="AL241">
        <f t="shared" si="227"/>
        <v>0.43493871660235472</v>
      </c>
      <c r="AM241">
        <f t="shared" si="228"/>
        <v>0.19</v>
      </c>
      <c r="AN241">
        <f t="shared" si="229"/>
        <v>0.6784</v>
      </c>
      <c r="AO241">
        <f t="shared" si="230"/>
        <v>3.3967881467915708E-4</v>
      </c>
      <c r="AP241">
        <f t="shared" si="231"/>
        <v>2.6130377264093241E-4</v>
      </c>
      <c r="AQ241">
        <f t="shared" si="241"/>
        <v>6.0098258732008949E-4</v>
      </c>
      <c r="AR241">
        <f t="shared" si="232"/>
        <v>1.893095150058282</v>
      </c>
      <c r="BA241">
        <v>20</v>
      </c>
      <c r="BB241">
        <v>0.8</v>
      </c>
      <c r="BC241">
        <f t="shared" si="242"/>
        <v>0.1792</v>
      </c>
      <c r="BD241">
        <f t="shared" si="243"/>
        <v>4.3835616438356165E-2</v>
      </c>
      <c r="BE241">
        <f t="shared" si="244"/>
        <v>4.6000000000000006E-2</v>
      </c>
      <c r="BF241">
        <f>Tables!CC$134</f>
        <v>50</v>
      </c>
      <c r="BG241">
        <f t="shared" si="245"/>
        <v>1.1000000000000001</v>
      </c>
      <c r="BH241">
        <f t="shared" si="246"/>
        <v>7.727058943426084E-3</v>
      </c>
      <c r="BI241">
        <f t="shared" si="247"/>
        <v>2.0780406664778948E-2</v>
      </c>
      <c r="BJ241">
        <f t="shared" si="234"/>
        <v>65.458280994053695</v>
      </c>
    </row>
    <row r="242" spans="5:62" x14ac:dyDescent="0.2">
      <c r="F242" t="s">
        <v>164</v>
      </c>
      <c r="G242" t="s">
        <v>289</v>
      </c>
      <c r="H242">
        <v>100</v>
      </c>
      <c r="I242">
        <v>0</v>
      </c>
      <c r="J242">
        <v>0</v>
      </c>
      <c r="L242">
        <v>31</v>
      </c>
      <c r="M242" s="1">
        <v>0.05</v>
      </c>
      <c r="N242" s="1">
        <v>0.05</v>
      </c>
      <c r="P242">
        <f>Tables!CC39</f>
        <v>7.0000000000000007E-2</v>
      </c>
      <c r="Q242" s="1">
        <v>0.6</v>
      </c>
      <c r="R242" s="1">
        <v>0.6</v>
      </c>
      <c r="T242">
        <f>Tables!CC97</f>
        <v>50</v>
      </c>
      <c r="U242">
        <f t="shared" si="235"/>
        <v>8.2999999999999741E-3</v>
      </c>
      <c r="V242">
        <f>V231</f>
        <v>0.99170000000000003</v>
      </c>
      <c r="W242">
        <f>W231</f>
        <v>0.73</v>
      </c>
      <c r="X242">
        <f t="shared" si="222"/>
        <v>4.7000000000000002E-3</v>
      </c>
      <c r="Y242">
        <f t="shared" si="223"/>
        <v>0</v>
      </c>
      <c r="Z242">
        <v>0</v>
      </c>
      <c r="AA242">
        <f t="shared" si="236"/>
        <v>0</v>
      </c>
      <c r="AB242">
        <f t="shared" si="248"/>
        <v>1.3</v>
      </c>
      <c r="AC242">
        <f t="shared" si="224"/>
        <v>1</v>
      </c>
      <c r="AD242">
        <f t="shared" si="237"/>
        <v>0.47559999999999997</v>
      </c>
      <c r="AF242">
        <f>Tables!CC168</f>
        <v>3</v>
      </c>
      <c r="AG242">
        <f t="shared" si="238"/>
        <v>0.99999998477002028</v>
      </c>
      <c r="AH242">
        <f t="shared" si="239"/>
        <v>0.94288322747903475</v>
      </c>
      <c r="AI242">
        <f t="shared" si="240"/>
        <v>0.9428832131189423</v>
      </c>
      <c r="AJ242">
        <f t="shared" si="225"/>
        <v>6.6001824918325971E-2</v>
      </c>
      <c r="AK242">
        <f t="shared" si="226"/>
        <v>0.08</v>
      </c>
      <c r="AL242">
        <f t="shared" si="227"/>
        <v>0.37969728055957003</v>
      </c>
      <c r="AM242">
        <f t="shared" si="228"/>
        <v>0.19</v>
      </c>
      <c r="AN242">
        <f t="shared" si="229"/>
        <v>0.6784</v>
      </c>
      <c r="AO242">
        <f t="shared" si="230"/>
        <v>2.9653631022986249E-4</v>
      </c>
      <c r="AP242">
        <f t="shared" si="231"/>
        <v>2.2811565879159781E-4</v>
      </c>
      <c r="AQ242">
        <f t="shared" si="241"/>
        <v>5.246519690214603E-4</v>
      </c>
      <c r="AR242">
        <f t="shared" si="232"/>
        <v>1.6264211039665268</v>
      </c>
      <c r="BA242">
        <v>20</v>
      </c>
      <c r="BB242">
        <v>0.8</v>
      </c>
      <c r="BC242">
        <f t="shared" si="242"/>
        <v>0</v>
      </c>
      <c r="BD242">
        <f t="shared" si="243"/>
        <v>4.3835616438356165E-2</v>
      </c>
      <c r="BE242">
        <f t="shared" si="244"/>
        <v>4.6000000000000006E-2</v>
      </c>
      <c r="BF242">
        <f>Tables!CC$131</f>
        <v>50</v>
      </c>
      <c r="BG242">
        <f t="shared" si="245"/>
        <v>1</v>
      </c>
      <c r="BH242">
        <f t="shared" si="246"/>
        <v>6.4491365115592345E-3</v>
      </c>
      <c r="BI242">
        <f t="shared" si="247"/>
        <v>4.1111554753729207E-3</v>
      </c>
      <c r="BJ242">
        <f t="shared" si="234"/>
        <v>12.744581973656054</v>
      </c>
    </row>
    <row r="243" spans="5:62" x14ac:dyDescent="0.2">
      <c r="E243" t="s">
        <v>171</v>
      </c>
      <c r="F243" t="s">
        <v>164</v>
      </c>
      <c r="G243" t="s">
        <v>278</v>
      </c>
      <c r="H243">
        <v>40</v>
      </c>
      <c r="I243">
        <v>0</v>
      </c>
      <c r="J243">
        <v>0</v>
      </c>
      <c r="L243">
        <v>31</v>
      </c>
      <c r="N243" s="28">
        <f>Tables!CC$12</f>
        <v>7.0000000000000007E-2</v>
      </c>
      <c r="O243" s="1">
        <v>0.06</v>
      </c>
      <c r="P243" s="1">
        <v>0.06</v>
      </c>
      <c r="R243">
        <f>Tables!CC73</f>
        <v>0.55000000000000004</v>
      </c>
      <c r="T243">
        <f>Tables!CC101</f>
        <v>28</v>
      </c>
      <c r="U243">
        <f t="shared" si="235"/>
        <v>8.2999999999999741E-3</v>
      </c>
      <c r="V243">
        <f>V231</f>
        <v>0.99170000000000003</v>
      </c>
      <c r="W243">
        <f>W231</f>
        <v>0.73</v>
      </c>
      <c r="X243">
        <f t="shared" si="222"/>
        <v>4.7000000000000002E-3</v>
      </c>
      <c r="Y243">
        <f t="shared" si="223"/>
        <v>0</v>
      </c>
      <c r="Z243">
        <v>0</v>
      </c>
      <c r="AA243">
        <f t="shared" si="236"/>
        <v>0</v>
      </c>
      <c r="AB243">
        <f t="shared" si="248"/>
        <v>1.3</v>
      </c>
      <c r="AC243">
        <f t="shared" si="224"/>
        <v>1</v>
      </c>
      <c r="AD243">
        <f t="shared" si="237"/>
        <v>0.43585000000000007</v>
      </c>
      <c r="AE243" s="1">
        <v>2.8</v>
      </c>
      <c r="AF243" s="1">
        <v>2.8</v>
      </c>
      <c r="AG243">
        <f t="shared" si="238"/>
        <v>0.99999984502468642</v>
      </c>
      <c r="AH243">
        <f t="shared" si="239"/>
        <v>0.47750864762612716</v>
      </c>
      <c r="AI243">
        <f t="shared" si="240"/>
        <v>0.47750857362407473</v>
      </c>
      <c r="AJ243">
        <f t="shared" si="225"/>
        <v>2.8650514417444484E-2</v>
      </c>
      <c r="AK243">
        <f t="shared" si="226"/>
        <v>0.08</v>
      </c>
      <c r="AL243">
        <f t="shared" si="227"/>
        <v>0.20607948079451649</v>
      </c>
      <c r="AM243">
        <f t="shared" si="228"/>
        <v>0.19</v>
      </c>
      <c r="AN243">
        <f t="shared" si="229"/>
        <v>0.6784</v>
      </c>
      <c r="AO243">
        <f t="shared" si="230"/>
        <v>1.6094413096357239E-4</v>
      </c>
      <c r="AP243">
        <f t="shared" si="231"/>
        <v>1.2380904191779232E-4</v>
      </c>
      <c r="AQ243">
        <f t="shared" si="241"/>
        <v>2.8475317288136472E-4</v>
      </c>
      <c r="AR243">
        <f>H243*AQ243*L243</f>
        <v>0.35309393437289222</v>
      </c>
      <c r="BA243">
        <v>19</v>
      </c>
      <c r="BB243">
        <v>0.7</v>
      </c>
      <c r="BC243">
        <f t="shared" si="242"/>
        <v>0</v>
      </c>
      <c r="BD243">
        <f t="shared" si="243"/>
        <v>3.643835616438356E-2</v>
      </c>
      <c r="BE243">
        <f t="shared" si="244"/>
        <v>6.4400000000000013E-2</v>
      </c>
      <c r="BF243">
        <f>Tables!CC$136</f>
        <v>55</v>
      </c>
      <c r="BG243">
        <f t="shared" si="245"/>
        <v>0.50909090909090904</v>
      </c>
      <c r="BH243">
        <f t="shared" si="246"/>
        <v>6.1353681921695654E-3</v>
      </c>
      <c r="BI243">
        <f t="shared" si="247"/>
        <v>0</v>
      </c>
      <c r="BJ243">
        <f t="shared" si="234"/>
        <v>0</v>
      </c>
    </row>
    <row r="244" spans="5:62" x14ac:dyDescent="0.2">
      <c r="F244" t="s">
        <v>164</v>
      </c>
      <c r="G244" t="s">
        <v>279</v>
      </c>
      <c r="H244">
        <v>40</v>
      </c>
      <c r="I244">
        <v>0</v>
      </c>
      <c r="J244">
        <v>0</v>
      </c>
      <c r="L244">
        <v>28</v>
      </c>
      <c r="N244" s="28">
        <f>Tables!CC$12</f>
        <v>7.0000000000000007E-2</v>
      </c>
      <c r="O244" s="1">
        <v>0.06</v>
      </c>
      <c r="P244" s="1">
        <v>0.06</v>
      </c>
      <c r="R244">
        <f>Tables!CC73</f>
        <v>0.55000000000000004</v>
      </c>
      <c r="T244">
        <f>Tables!CC101</f>
        <v>28</v>
      </c>
      <c r="U244">
        <f t="shared" si="235"/>
        <v>8.2999999999999741E-3</v>
      </c>
      <c r="V244">
        <f>V231</f>
        <v>0.99170000000000003</v>
      </c>
      <c r="W244">
        <f>W231</f>
        <v>0.73</v>
      </c>
      <c r="X244">
        <f t="shared" si="222"/>
        <v>4.7000000000000002E-3</v>
      </c>
      <c r="Y244">
        <f t="shared" si="223"/>
        <v>0</v>
      </c>
      <c r="Z244">
        <v>0</v>
      </c>
      <c r="AA244">
        <f t="shared" si="236"/>
        <v>0</v>
      </c>
      <c r="AB244">
        <f t="shared" si="248"/>
        <v>1.3</v>
      </c>
      <c r="AC244">
        <f t="shared" si="224"/>
        <v>1</v>
      </c>
      <c r="AD244">
        <f t="shared" si="237"/>
        <v>0.43585000000000007</v>
      </c>
      <c r="AE244" s="1">
        <v>2.7</v>
      </c>
      <c r="AF244" s="1">
        <v>2.7</v>
      </c>
      <c r="AG244">
        <f t="shared" si="238"/>
        <v>0.99999953442842837</v>
      </c>
      <c r="AH244">
        <f t="shared" si="239"/>
        <v>0.47750864762612716</v>
      </c>
      <c r="AI244">
        <f t="shared" si="240"/>
        <v>0.47750842531167564</v>
      </c>
      <c r="AJ244">
        <f t="shared" si="225"/>
        <v>2.8650505518700537E-2</v>
      </c>
      <c r="AK244">
        <f t="shared" si="226"/>
        <v>0.08</v>
      </c>
      <c r="AL244">
        <f t="shared" si="227"/>
        <v>0.20607941418079953</v>
      </c>
      <c r="AM244">
        <f t="shared" si="228"/>
        <v>0.19</v>
      </c>
      <c r="AN244">
        <f t="shared" si="229"/>
        <v>0.6784</v>
      </c>
      <c r="AO244">
        <f t="shared" si="230"/>
        <v>1.6094407893953419E-4</v>
      </c>
      <c r="AP244">
        <f t="shared" si="231"/>
        <v>1.238090018974058E-4</v>
      </c>
      <c r="AQ244">
        <f t="shared" si="241"/>
        <v>2.8475308083694001E-4</v>
      </c>
      <c r="AR244">
        <f t="shared" si="232"/>
        <v>0.31892345053737281</v>
      </c>
      <c r="BA244">
        <v>19</v>
      </c>
      <c r="BB244">
        <v>0.7</v>
      </c>
      <c r="BC244">
        <f t="shared" si="242"/>
        <v>0</v>
      </c>
      <c r="BD244">
        <f t="shared" si="243"/>
        <v>3.643835616438356E-2</v>
      </c>
      <c r="BE244">
        <f t="shared" si="244"/>
        <v>6.4400000000000013E-2</v>
      </c>
      <c r="BF244">
        <f>Tables!CC$136</f>
        <v>55</v>
      </c>
      <c r="BG244">
        <f t="shared" si="245"/>
        <v>0.50909090909090904</v>
      </c>
      <c r="BH244">
        <f t="shared" si="246"/>
        <v>6.1353681921695654E-3</v>
      </c>
      <c r="BI244">
        <f t="shared" si="247"/>
        <v>0</v>
      </c>
      <c r="BJ244">
        <f t="shared" si="234"/>
        <v>0</v>
      </c>
    </row>
    <row r="245" spans="5:62" x14ac:dyDescent="0.2">
      <c r="F245" t="s">
        <v>165</v>
      </c>
      <c r="G245" t="s">
        <v>280</v>
      </c>
      <c r="H245">
        <v>40</v>
      </c>
      <c r="I245">
        <v>0</v>
      </c>
      <c r="J245">
        <v>0</v>
      </c>
      <c r="L245">
        <v>31</v>
      </c>
      <c r="N245" s="28">
        <f>Tables!CC$13</f>
        <v>0.05</v>
      </c>
      <c r="P245">
        <f>Tables!CC44</f>
        <v>0.13</v>
      </c>
      <c r="R245">
        <f>Tables!CC74</f>
        <v>0.65</v>
      </c>
      <c r="T245">
        <f>Tables!CC102</f>
        <v>33</v>
      </c>
      <c r="U245">
        <f t="shared" si="235"/>
        <v>8.2999999999999741E-3</v>
      </c>
      <c r="V245">
        <f>V231</f>
        <v>0.99170000000000003</v>
      </c>
      <c r="W245">
        <f>W231</f>
        <v>0.73</v>
      </c>
      <c r="X245">
        <f t="shared" si="222"/>
        <v>4.7000000000000002E-3</v>
      </c>
      <c r="Y245">
        <f t="shared" si="223"/>
        <v>0</v>
      </c>
      <c r="Z245">
        <v>0</v>
      </c>
      <c r="AA245">
        <f t="shared" si="236"/>
        <v>0</v>
      </c>
      <c r="AB245">
        <f t="shared" si="248"/>
        <v>1.3</v>
      </c>
      <c r="AC245">
        <f t="shared" si="224"/>
        <v>1</v>
      </c>
      <c r="AD245">
        <f t="shared" si="237"/>
        <v>0.51535000000000009</v>
      </c>
      <c r="AE245" s="1">
        <v>2.4</v>
      </c>
      <c r="AF245" s="1">
        <v>2.4</v>
      </c>
      <c r="AG245">
        <f t="shared" si="238"/>
        <v>0.99999007049569411</v>
      </c>
      <c r="AH245">
        <f t="shared" si="239"/>
        <v>0.67586829739226073</v>
      </c>
      <c r="AI245">
        <f t="shared" si="240"/>
        <v>0.67586158635509153</v>
      </c>
      <c r="AJ245">
        <f t="shared" si="225"/>
        <v>8.7862006226161901E-2</v>
      </c>
      <c r="AK245">
        <f t="shared" si="226"/>
        <v>0.08</v>
      </c>
      <c r="AL245">
        <f t="shared" si="227"/>
        <v>0.23443726173424295</v>
      </c>
      <c r="AM245">
        <f t="shared" si="228"/>
        <v>0.19</v>
      </c>
      <c r="AN245">
        <f t="shared" si="229"/>
        <v>0.6784</v>
      </c>
      <c r="AO245">
        <f t="shared" si="230"/>
        <v>1.8309101522300263E-4</v>
      </c>
      <c r="AP245">
        <f t="shared" si="231"/>
        <v>1.4084591368943155E-4</v>
      </c>
      <c r="AQ245">
        <f t="shared" si="241"/>
        <v>3.2393692891243421E-4</v>
      </c>
      <c r="AR245">
        <f t="shared" si="232"/>
        <v>0.40168179185141845</v>
      </c>
      <c r="BA245">
        <v>19</v>
      </c>
      <c r="BB245">
        <v>0.7</v>
      </c>
      <c r="BC245">
        <f t="shared" si="242"/>
        <v>0</v>
      </c>
      <c r="BD245">
        <f t="shared" si="243"/>
        <v>3.643835616438356E-2</v>
      </c>
      <c r="BE245">
        <f t="shared" si="244"/>
        <v>4.6000000000000006E-2</v>
      </c>
      <c r="BF245">
        <f>Tables!CC$137</f>
        <v>55</v>
      </c>
      <c r="BG245">
        <f t="shared" si="245"/>
        <v>0.6</v>
      </c>
      <c r="BH245">
        <f t="shared" si="246"/>
        <v>5.6686814367169127E-3</v>
      </c>
      <c r="BI245">
        <f t="shared" si="247"/>
        <v>8.3892395594689917E-3</v>
      </c>
      <c r="BJ245">
        <f t="shared" si="234"/>
        <v>10.402657053741549</v>
      </c>
    </row>
    <row r="246" spans="5:62" x14ac:dyDescent="0.2">
      <c r="F246" t="s">
        <v>165</v>
      </c>
      <c r="G246" t="s">
        <v>281</v>
      </c>
      <c r="H246">
        <v>35</v>
      </c>
      <c r="I246">
        <v>0</v>
      </c>
      <c r="J246">
        <v>0</v>
      </c>
      <c r="L246">
        <v>30</v>
      </c>
      <c r="N246" s="28">
        <f>Tables!CC$13</f>
        <v>0.05</v>
      </c>
      <c r="P246">
        <f>Tables!CC44</f>
        <v>0.13</v>
      </c>
      <c r="R246">
        <f>Tables!CC74</f>
        <v>0.65</v>
      </c>
      <c r="T246">
        <f>Tables!CC102</f>
        <v>33</v>
      </c>
      <c r="U246">
        <f t="shared" si="235"/>
        <v>8.2999999999999741E-3</v>
      </c>
      <c r="V246">
        <f>V231</f>
        <v>0.99170000000000003</v>
      </c>
      <c r="W246">
        <f>W231</f>
        <v>0.73</v>
      </c>
      <c r="X246">
        <f t="shared" si="222"/>
        <v>4.7000000000000002E-3</v>
      </c>
      <c r="Y246">
        <f t="shared" si="223"/>
        <v>0</v>
      </c>
      <c r="Z246">
        <v>0</v>
      </c>
      <c r="AA246">
        <f t="shared" si="236"/>
        <v>0</v>
      </c>
      <c r="AB246">
        <f t="shared" si="248"/>
        <v>1.3</v>
      </c>
      <c r="AC246">
        <f t="shared" si="224"/>
        <v>1</v>
      </c>
      <c r="AD246">
        <f t="shared" si="237"/>
        <v>0.51535000000000009</v>
      </c>
      <c r="AE246" s="1">
        <v>2.2000000000000002</v>
      </c>
      <c r="AF246" s="1">
        <v>2.2000000000000002</v>
      </c>
      <c r="AG246">
        <f t="shared" si="238"/>
        <v>0.99993747849622516</v>
      </c>
      <c r="AH246">
        <f t="shared" si="239"/>
        <v>0.67586829739226073</v>
      </c>
      <c r="AI246">
        <f t="shared" si="240"/>
        <v>0.67582604108995403</v>
      </c>
      <c r="AJ246">
        <f t="shared" si="225"/>
        <v>8.785738534169403E-2</v>
      </c>
      <c r="AK246">
        <f t="shared" si="226"/>
        <v>0.08</v>
      </c>
      <c r="AL246">
        <f t="shared" si="227"/>
        <v>0.23442404806256897</v>
      </c>
      <c r="AM246">
        <f t="shared" si="228"/>
        <v>0.19</v>
      </c>
      <c r="AN246">
        <f t="shared" si="229"/>
        <v>0.6784</v>
      </c>
      <c r="AO246">
        <f t="shared" si="230"/>
        <v>1.8308069559828209E-4</v>
      </c>
      <c r="AP246">
        <f t="shared" si="231"/>
        <v>1.4083797514055776E-4</v>
      </c>
      <c r="AQ246">
        <f t="shared" si="241"/>
        <v>3.2391867073883987E-4</v>
      </c>
      <c r="AR246">
        <f t="shared" si="232"/>
        <v>0.34011460427578188</v>
      </c>
      <c r="BA246">
        <v>19</v>
      </c>
      <c r="BB246">
        <v>0.7</v>
      </c>
      <c r="BC246">
        <f t="shared" si="242"/>
        <v>0</v>
      </c>
      <c r="BD246">
        <f t="shared" si="243"/>
        <v>3.643835616438356E-2</v>
      </c>
      <c r="BE246">
        <f t="shared" si="244"/>
        <v>4.6000000000000006E-2</v>
      </c>
      <c r="BF246">
        <f>Tables!CC$137</f>
        <v>55</v>
      </c>
      <c r="BG246">
        <f t="shared" si="245"/>
        <v>0.6</v>
      </c>
      <c r="BH246">
        <f t="shared" si="246"/>
        <v>5.6686814367169127E-3</v>
      </c>
      <c r="BI246">
        <f t="shared" si="247"/>
        <v>8.3885002179541323E-3</v>
      </c>
      <c r="BJ246">
        <f t="shared" si="234"/>
        <v>8.8079252288518397</v>
      </c>
    </row>
    <row r="247" spans="5:62" x14ac:dyDescent="0.2">
      <c r="F247" t="s">
        <v>165</v>
      </c>
      <c r="G247" t="s">
        <v>282</v>
      </c>
      <c r="H247">
        <v>35</v>
      </c>
      <c r="I247">
        <v>0</v>
      </c>
      <c r="J247">
        <v>0</v>
      </c>
      <c r="L247">
        <v>31</v>
      </c>
      <c r="N247" s="28">
        <f>Tables!CC$13</f>
        <v>0.05</v>
      </c>
      <c r="P247">
        <f>Tables!CC44</f>
        <v>0.13</v>
      </c>
      <c r="R247">
        <f>Tables!CC74</f>
        <v>0.65</v>
      </c>
      <c r="T247">
        <f>Tables!CC102</f>
        <v>33</v>
      </c>
      <c r="U247">
        <f t="shared" si="235"/>
        <v>8.2999999999999741E-3</v>
      </c>
      <c r="V247">
        <f>V231</f>
        <v>0.99170000000000003</v>
      </c>
      <c r="W247">
        <f>W231</f>
        <v>0.73</v>
      </c>
      <c r="X247">
        <f t="shared" si="222"/>
        <v>4.7000000000000002E-3</v>
      </c>
      <c r="Y247">
        <f t="shared" si="223"/>
        <v>0</v>
      </c>
      <c r="Z247">
        <v>0</v>
      </c>
      <c r="AA247">
        <f t="shared" si="236"/>
        <v>0</v>
      </c>
      <c r="AB247">
        <f t="shared" si="248"/>
        <v>1.3</v>
      </c>
      <c r="AC247">
        <f t="shared" si="224"/>
        <v>1</v>
      </c>
      <c r="AD247">
        <f t="shared" si="237"/>
        <v>0.51535000000000009</v>
      </c>
      <c r="AE247" s="1">
        <v>1.9</v>
      </c>
      <c r="AF247" s="1">
        <v>1.9</v>
      </c>
      <c r="AG247">
        <f t="shared" si="238"/>
        <v>0.99926819758111951</v>
      </c>
      <c r="AH247">
        <f t="shared" si="239"/>
        <v>0.67586829739226073</v>
      </c>
      <c r="AI247">
        <f t="shared" si="240"/>
        <v>0.67537369533738445</v>
      </c>
      <c r="AJ247">
        <f t="shared" si="225"/>
        <v>8.7798580393859987E-2</v>
      </c>
      <c r="AK247">
        <f t="shared" si="226"/>
        <v>0.08</v>
      </c>
      <c r="AL247">
        <f t="shared" si="227"/>
        <v>0.234255900222053</v>
      </c>
      <c r="AM247">
        <f t="shared" si="228"/>
        <v>0.19</v>
      </c>
      <c r="AN247">
        <f t="shared" si="229"/>
        <v>0.6784</v>
      </c>
      <c r="AO247">
        <f t="shared" si="230"/>
        <v>1.8294937535251617E-4</v>
      </c>
      <c r="AP247">
        <f t="shared" si="231"/>
        <v>1.4073695478203119E-4</v>
      </c>
      <c r="AQ247">
        <f t="shared" si="241"/>
        <v>3.2368633013454736E-4</v>
      </c>
      <c r="AR247">
        <f t="shared" si="232"/>
        <v>0.35119966819598386</v>
      </c>
      <c r="BA247">
        <v>19</v>
      </c>
      <c r="BB247">
        <v>0.7</v>
      </c>
      <c r="BC247">
        <f t="shared" si="242"/>
        <v>0</v>
      </c>
      <c r="BD247">
        <f t="shared" si="243"/>
        <v>3.643835616438356E-2</v>
      </c>
      <c r="BE247">
        <f t="shared" si="244"/>
        <v>4.6000000000000006E-2</v>
      </c>
      <c r="BF247">
        <f>Tables!CC$137</f>
        <v>55</v>
      </c>
      <c r="BG247">
        <f t="shared" si="245"/>
        <v>0.6</v>
      </c>
      <c r="BH247">
        <f t="shared" si="246"/>
        <v>5.6686814367169127E-3</v>
      </c>
      <c r="BI247">
        <f>MAX((AJ247  / 6.25 ) - BH247, 0)</f>
        <v>8.3790914263006857E-3</v>
      </c>
      <c r="BJ247">
        <f t="shared" si="234"/>
        <v>9.0913141975362439</v>
      </c>
    </row>
    <row r="248" spans="5:62" x14ac:dyDescent="0.2">
      <c r="F248" t="s">
        <v>166</v>
      </c>
      <c r="G248" t="s">
        <v>283</v>
      </c>
      <c r="H248">
        <v>35</v>
      </c>
      <c r="I248">
        <v>0</v>
      </c>
      <c r="J248">
        <v>0</v>
      </c>
      <c r="L248">
        <v>30</v>
      </c>
      <c r="N248" s="28">
        <f>Tables!CC$14</f>
        <v>0.02</v>
      </c>
      <c r="P248">
        <f>Tables!CC45</f>
        <v>0.1</v>
      </c>
      <c r="R248">
        <f>Tables!CC75</f>
        <v>0.6</v>
      </c>
      <c r="T248">
        <f>Tables!CC103</f>
        <v>35</v>
      </c>
      <c r="U248">
        <f t="shared" si="235"/>
        <v>8.2999999999999741E-3</v>
      </c>
      <c r="V248">
        <f>V231</f>
        <v>0.99170000000000003</v>
      </c>
      <c r="W248">
        <f>W231</f>
        <v>0.73</v>
      </c>
      <c r="X248">
        <f t="shared" si="222"/>
        <v>4.7000000000000002E-3</v>
      </c>
      <c r="Y248">
        <f t="shared" si="223"/>
        <v>0</v>
      </c>
      <c r="Z248">
        <v>0</v>
      </c>
      <c r="AA248">
        <f t="shared" si="236"/>
        <v>0</v>
      </c>
      <c r="AB248">
        <f t="shared" si="248"/>
        <v>1.3</v>
      </c>
      <c r="AC248">
        <f t="shared" si="224"/>
        <v>1</v>
      </c>
      <c r="AD248">
        <f t="shared" si="237"/>
        <v>0.47559999999999997</v>
      </c>
      <c r="AE248" s="1">
        <v>1.4</v>
      </c>
      <c r="AF248" s="1">
        <v>1.4</v>
      </c>
      <c r="AG248">
        <f t="shared" si="238"/>
        <v>0.98015890525562965</v>
      </c>
      <c r="AH248">
        <f t="shared" si="239"/>
        <v>0.65531047667424769</v>
      </c>
      <c r="AI248">
        <f t="shared" si="240"/>
        <v>0.6423083994195754</v>
      </c>
      <c r="AJ248">
        <f t="shared" si="225"/>
        <v>6.4230839941957538E-2</v>
      </c>
      <c r="AK248">
        <f t="shared" si="226"/>
        <v>0.08</v>
      </c>
      <c r="AL248">
        <f t="shared" si="227"/>
        <v>0.25155170192911341</v>
      </c>
      <c r="AM248">
        <f t="shared" si="228"/>
        <v>0.19</v>
      </c>
      <c r="AN248">
        <f t="shared" si="229"/>
        <v>0.6784</v>
      </c>
      <c r="AO248">
        <f t="shared" si="230"/>
        <v>1.9645706551326883E-4</v>
      </c>
      <c r="AP248">
        <f t="shared" si="231"/>
        <v>1.5112797784893445E-4</v>
      </c>
      <c r="AQ248">
        <f t="shared" si="241"/>
        <v>3.4758504336220329E-4</v>
      </c>
      <c r="AR248">
        <f t="shared" si="232"/>
        <v>0.36496429553031345</v>
      </c>
      <c r="BA248">
        <v>19</v>
      </c>
      <c r="BB248">
        <v>0.7</v>
      </c>
      <c r="BC248">
        <f t="shared" si="242"/>
        <v>0</v>
      </c>
      <c r="BD248">
        <f t="shared" si="243"/>
        <v>3.643835616438356E-2</v>
      </c>
      <c r="BE248">
        <f t="shared" si="244"/>
        <v>1.84E-2</v>
      </c>
      <c r="BF248">
        <f>Tables!CC$138</f>
        <v>55</v>
      </c>
      <c r="BG248">
        <f t="shared" si="245"/>
        <v>0.63636363636363635</v>
      </c>
      <c r="BH248">
        <f t="shared" si="246"/>
        <v>5.1914051475092492E-3</v>
      </c>
      <c r="BI248">
        <f t="shared" si="247"/>
        <v>5.0855292432039571E-3</v>
      </c>
      <c r="BJ248">
        <f t="shared" si="234"/>
        <v>5.3398057053641548</v>
      </c>
    </row>
    <row r="249" spans="5:62" x14ac:dyDescent="0.2">
      <c r="F249" t="s">
        <v>166</v>
      </c>
      <c r="G249" t="s">
        <v>284</v>
      </c>
      <c r="H249">
        <v>80</v>
      </c>
      <c r="I249">
        <v>0</v>
      </c>
      <c r="J249">
        <v>0</v>
      </c>
      <c r="L249">
        <v>31</v>
      </c>
      <c r="N249" s="28">
        <f>Tables!CC$14</f>
        <v>0.02</v>
      </c>
      <c r="P249">
        <f>Tables!CC45</f>
        <v>0.1</v>
      </c>
      <c r="R249">
        <f>Tables!CC75</f>
        <v>0.6</v>
      </c>
      <c r="T249">
        <f>Tables!CC103</f>
        <v>35</v>
      </c>
      <c r="U249">
        <f t="shared" si="235"/>
        <v>8.2999999999999741E-3</v>
      </c>
      <c r="V249">
        <f>V231</f>
        <v>0.99170000000000003</v>
      </c>
      <c r="W249">
        <f>W231</f>
        <v>0.73</v>
      </c>
      <c r="X249">
        <f t="shared" si="222"/>
        <v>4.7000000000000002E-3</v>
      </c>
      <c r="Y249">
        <f t="shared" si="223"/>
        <v>0</v>
      </c>
      <c r="Z249">
        <v>0</v>
      </c>
      <c r="AA249">
        <f t="shared" si="236"/>
        <v>0</v>
      </c>
      <c r="AB249">
        <f t="shared" si="248"/>
        <v>1.3</v>
      </c>
      <c r="AC249">
        <f t="shared" si="224"/>
        <v>1</v>
      </c>
      <c r="AD249">
        <f t="shared" si="237"/>
        <v>0.47559999999999997</v>
      </c>
      <c r="AE249" s="1">
        <v>1.3</v>
      </c>
      <c r="AF249" s="1">
        <v>1.3</v>
      </c>
      <c r="AG249">
        <f t="shared" si="238"/>
        <v>0.96595254526540064</v>
      </c>
      <c r="AH249">
        <f t="shared" si="239"/>
        <v>0.65531047667424769</v>
      </c>
      <c r="AI249">
        <f t="shared" si="240"/>
        <v>0.63299882288257248</v>
      </c>
      <c r="AJ249">
        <f t="shared" si="225"/>
        <v>6.3299882288257253E-2</v>
      </c>
      <c r="AK249">
        <f t="shared" si="226"/>
        <v>0.08</v>
      </c>
      <c r="AL249">
        <f t="shared" si="227"/>
        <v>0.2476888671803493</v>
      </c>
      <c r="AM249">
        <f t="shared" si="228"/>
        <v>0.19</v>
      </c>
      <c r="AN249">
        <f t="shared" si="229"/>
        <v>0.6784</v>
      </c>
      <c r="AO249">
        <f t="shared" si="230"/>
        <v>1.9344026549368985E-4</v>
      </c>
      <c r="AP249">
        <f t="shared" si="231"/>
        <v>1.4880725252738674E-4</v>
      </c>
      <c r="AQ249">
        <f t="shared" si="241"/>
        <v>3.4224751802107661E-4</v>
      </c>
      <c r="AR249">
        <f t="shared" si="232"/>
        <v>0.84877384469226991</v>
      </c>
      <c r="BA249">
        <v>19</v>
      </c>
      <c r="BB249">
        <v>0.7</v>
      </c>
      <c r="BC249">
        <f t="shared" si="242"/>
        <v>0</v>
      </c>
      <c r="BD249">
        <f t="shared" si="243"/>
        <v>3.643835616438356E-2</v>
      </c>
      <c r="BE249">
        <f t="shared" si="244"/>
        <v>1.84E-2</v>
      </c>
      <c r="BF249">
        <f>Tables!CC$138</f>
        <v>55</v>
      </c>
      <c r="BG249">
        <f t="shared" si="245"/>
        <v>0.63636363636363635</v>
      </c>
      <c r="BH249">
        <f t="shared" si="246"/>
        <v>5.1914051475092492E-3</v>
      </c>
      <c r="BI249">
        <f t="shared" si="247"/>
        <v>4.9365760186119104E-3</v>
      </c>
      <c r="BJ249">
        <f t="shared" si="234"/>
        <v>12.242708526157537</v>
      </c>
    </row>
    <row r="250" spans="5:62" x14ac:dyDescent="0.2">
      <c r="F250" t="s">
        <v>166</v>
      </c>
      <c r="G250" t="s">
        <v>285</v>
      </c>
      <c r="H250">
        <v>90</v>
      </c>
      <c r="I250">
        <v>0</v>
      </c>
      <c r="J250">
        <v>0</v>
      </c>
      <c r="L250">
        <v>31</v>
      </c>
      <c r="N250" s="28">
        <f>Tables!CC$14</f>
        <v>0.02</v>
      </c>
      <c r="P250">
        <f>Tables!CC45</f>
        <v>0.1</v>
      </c>
      <c r="R250">
        <f>Tables!CC75</f>
        <v>0.6</v>
      </c>
      <c r="T250">
        <f>Tables!CC103</f>
        <v>35</v>
      </c>
      <c r="U250">
        <f t="shared" si="235"/>
        <v>8.2999999999999741E-3</v>
      </c>
      <c r="V250">
        <f>V231</f>
        <v>0.99170000000000003</v>
      </c>
      <c r="W250">
        <f>W231</f>
        <v>0.73</v>
      </c>
      <c r="X250">
        <f t="shared" si="222"/>
        <v>4.7000000000000002E-3</v>
      </c>
      <c r="Y250">
        <f t="shared" si="223"/>
        <v>0</v>
      </c>
      <c r="Z250">
        <v>0</v>
      </c>
      <c r="AA250">
        <f t="shared" si="236"/>
        <v>0</v>
      </c>
      <c r="AB250">
        <f t="shared" si="248"/>
        <v>1.3</v>
      </c>
      <c r="AC250">
        <f t="shared" si="224"/>
        <v>1</v>
      </c>
      <c r="AD250">
        <f t="shared" si="237"/>
        <v>0.47559999999999997</v>
      </c>
      <c r="AE250" s="1">
        <v>1.1000000000000001</v>
      </c>
      <c r="AF250" s="1">
        <v>1.1000000000000001</v>
      </c>
      <c r="AG250">
        <f t="shared" si="238"/>
        <v>0.91107838254061368</v>
      </c>
      <c r="AH250">
        <f t="shared" si="239"/>
        <v>0.65531047667424769</v>
      </c>
      <c r="AI250">
        <f t="shared" si="240"/>
        <v>0.59703920915029218</v>
      </c>
      <c r="AJ250">
        <f t="shared" si="225"/>
        <v>5.970392091502922E-2</v>
      </c>
      <c r="AK250">
        <f t="shared" si="226"/>
        <v>0.08</v>
      </c>
      <c r="AL250">
        <f t="shared" si="227"/>
        <v>0.23282800304257883</v>
      </c>
      <c r="AM250">
        <f t="shared" si="228"/>
        <v>0.19</v>
      </c>
      <c r="AN250">
        <f t="shared" si="229"/>
        <v>0.6784</v>
      </c>
      <c r="AO250">
        <f t="shared" si="230"/>
        <v>1.8183421497958729E-4</v>
      </c>
      <c r="AP250">
        <f t="shared" si="231"/>
        <v>1.3987909847791867E-4</v>
      </c>
      <c r="AQ250">
        <f t="shared" si="241"/>
        <v>3.2171331345750599E-4</v>
      </c>
      <c r="AR250">
        <f t="shared" si="232"/>
        <v>0.89758014454644175</v>
      </c>
      <c r="BA250">
        <v>19</v>
      </c>
      <c r="BB250">
        <v>0.7</v>
      </c>
      <c r="BC250">
        <f t="shared" si="242"/>
        <v>0</v>
      </c>
      <c r="BD250">
        <f t="shared" si="243"/>
        <v>3.643835616438356E-2</v>
      </c>
      <c r="BE250">
        <f t="shared" si="244"/>
        <v>1.84E-2</v>
      </c>
      <c r="BF250">
        <f>Tables!CC$138</f>
        <v>55</v>
      </c>
      <c r="BG250">
        <f t="shared" si="245"/>
        <v>0.63636363636363635</v>
      </c>
      <c r="BH250">
        <f t="shared" si="246"/>
        <v>5.1914051475092492E-3</v>
      </c>
      <c r="BI250">
        <f t="shared" si="247"/>
        <v>4.3612221988954258E-3</v>
      </c>
      <c r="BJ250">
        <f t="shared" si="234"/>
        <v>12.167809934918239</v>
      </c>
    </row>
    <row r="251" spans="5:62" x14ac:dyDescent="0.2">
      <c r="F251" t="s">
        <v>163</v>
      </c>
      <c r="G251" t="s">
        <v>286</v>
      </c>
      <c r="H251">
        <v>90</v>
      </c>
      <c r="I251">
        <v>0</v>
      </c>
      <c r="J251">
        <v>0</v>
      </c>
      <c r="K251" s="1">
        <v>20</v>
      </c>
      <c r="L251" s="1">
        <v>20</v>
      </c>
      <c r="N251" s="28">
        <f>Tables!CC$11</f>
        <v>0.15</v>
      </c>
      <c r="P251">
        <f>Tables!CC42</f>
        <v>0.16</v>
      </c>
      <c r="R251">
        <f>Tables!CC72</f>
        <v>0.7</v>
      </c>
      <c r="T251">
        <f>Tables!CC100</f>
        <v>22</v>
      </c>
      <c r="U251">
        <f t="shared" si="235"/>
        <v>8.2999999999999741E-3</v>
      </c>
      <c r="V251">
        <f>V231</f>
        <v>0.99170000000000003</v>
      </c>
      <c r="W251">
        <f>W231</f>
        <v>0.73</v>
      </c>
      <c r="X251">
        <f t="shared" si="222"/>
        <v>4.7000000000000002E-3</v>
      </c>
      <c r="Y251">
        <f t="shared" si="223"/>
        <v>0</v>
      </c>
      <c r="Z251">
        <v>0.3</v>
      </c>
      <c r="AA251">
        <f t="shared" si="236"/>
        <v>0.48</v>
      </c>
      <c r="AB251">
        <f t="shared" si="248"/>
        <v>1.3</v>
      </c>
      <c r="AC251">
        <f t="shared" si="224"/>
        <v>1</v>
      </c>
      <c r="AD251">
        <f t="shared" si="237"/>
        <v>0.55510000000000004</v>
      </c>
      <c r="AF251">
        <f>Tables!CC171</f>
        <v>3.2</v>
      </c>
      <c r="AG251">
        <f t="shared" si="238"/>
        <v>0.99999999872459233</v>
      </c>
      <c r="AH251">
        <f t="shared" si="239"/>
        <v>0.50661989714547884</v>
      </c>
      <c r="AI251">
        <f t="shared" si="240"/>
        <v>0.50661989649933192</v>
      </c>
      <c r="AJ251">
        <f t="shared" si="225"/>
        <v>0.10265918343989311</v>
      </c>
      <c r="AK251">
        <f t="shared" si="226"/>
        <v>0.08</v>
      </c>
      <c r="AL251">
        <f t="shared" si="227"/>
        <v>0.14927231631248258</v>
      </c>
      <c r="AM251">
        <f t="shared" si="228"/>
        <v>0.19</v>
      </c>
      <c r="AN251">
        <f t="shared" si="229"/>
        <v>0.6784</v>
      </c>
      <c r="AO251">
        <f t="shared" si="230"/>
        <v>1.1657882256500357E-4</v>
      </c>
      <c r="AP251">
        <f t="shared" si="231"/>
        <v>8.9680265091146702E-5</v>
      </c>
      <c r="AQ251">
        <f t="shared" si="241"/>
        <v>2.0625908765615027E-4</v>
      </c>
      <c r="AR251">
        <f t="shared" si="232"/>
        <v>0.37126635778107048</v>
      </c>
      <c r="BA251">
        <v>19</v>
      </c>
      <c r="BB251">
        <v>0.7</v>
      </c>
      <c r="BC251">
        <f t="shared" si="242"/>
        <v>0</v>
      </c>
      <c r="BD251">
        <f t="shared" si="243"/>
        <v>3.643835616438356E-2</v>
      </c>
      <c r="BE251">
        <f t="shared" si="244"/>
        <v>0.13800000000000001</v>
      </c>
      <c r="BF251">
        <f>Tables!CC$135</f>
        <v>55</v>
      </c>
      <c r="BG251">
        <f t="shared" si="245"/>
        <v>0.4</v>
      </c>
      <c r="BH251">
        <f t="shared" si="246"/>
        <v>8.0013995043285348E-3</v>
      </c>
      <c r="BI251">
        <f t="shared" si="247"/>
        <v>8.424069846054363E-3</v>
      </c>
      <c r="BJ251">
        <f t="shared" si="234"/>
        <v>15.163325722897854</v>
      </c>
    </row>
    <row r="252" spans="5:62" x14ac:dyDescent="0.2">
      <c r="F252" t="s">
        <v>163</v>
      </c>
      <c r="G252" t="s">
        <v>287</v>
      </c>
      <c r="H252">
        <v>95</v>
      </c>
      <c r="I252">
        <v>0</v>
      </c>
      <c r="J252">
        <v>0</v>
      </c>
      <c r="L252">
        <v>31</v>
      </c>
      <c r="N252" s="28">
        <f>Tables!CC$11</f>
        <v>0.15</v>
      </c>
      <c r="P252">
        <f>Tables!CC42</f>
        <v>0.16</v>
      </c>
      <c r="R252">
        <f>Tables!CC72</f>
        <v>0.7</v>
      </c>
      <c r="T252">
        <f>Tables!CC100</f>
        <v>22</v>
      </c>
      <c r="U252">
        <f t="shared" si="235"/>
        <v>8.2999999999999741E-3</v>
      </c>
      <c r="V252">
        <f>V231</f>
        <v>0.99170000000000003</v>
      </c>
      <c r="W252">
        <f>W231</f>
        <v>0.73</v>
      </c>
      <c r="X252">
        <f t="shared" si="222"/>
        <v>4.7000000000000002E-3</v>
      </c>
      <c r="Y252">
        <f t="shared" si="223"/>
        <v>0</v>
      </c>
      <c r="Z252">
        <v>0.4</v>
      </c>
      <c r="AA252">
        <f t="shared" si="236"/>
        <v>0.64000000000000012</v>
      </c>
      <c r="AB252">
        <f t="shared" si="248"/>
        <v>1.3</v>
      </c>
      <c r="AC252">
        <f t="shared" si="224"/>
        <v>1</v>
      </c>
      <c r="AD252">
        <f t="shared" si="237"/>
        <v>0.55510000000000004</v>
      </c>
      <c r="AF252">
        <f>Tables!CC171</f>
        <v>3.2</v>
      </c>
      <c r="AG252">
        <f t="shared" si="238"/>
        <v>0.99999999872459233</v>
      </c>
      <c r="AH252">
        <f t="shared" si="239"/>
        <v>0.50661989714547884</v>
      </c>
      <c r="AI252">
        <f t="shared" si="240"/>
        <v>0.50661989649933192</v>
      </c>
      <c r="AJ252">
        <f t="shared" si="225"/>
        <v>0.10985918343989312</v>
      </c>
      <c r="AK252">
        <f t="shared" si="226"/>
        <v>0.08</v>
      </c>
      <c r="AL252">
        <f t="shared" si="227"/>
        <v>0.14927231631248258</v>
      </c>
      <c r="AM252">
        <f t="shared" si="228"/>
        <v>0.19</v>
      </c>
      <c r="AN252">
        <f t="shared" si="229"/>
        <v>0.6784</v>
      </c>
      <c r="AO252">
        <f t="shared" si="230"/>
        <v>1.1657882256500357E-4</v>
      </c>
      <c r="AP252">
        <f t="shared" si="231"/>
        <v>8.9680265091146702E-5</v>
      </c>
      <c r="AQ252">
        <f t="shared" si="241"/>
        <v>2.0625908765615027E-4</v>
      </c>
      <c r="AR252">
        <f t="shared" si="232"/>
        <v>0.60743301314736253</v>
      </c>
      <c r="BA252">
        <v>19</v>
      </c>
      <c r="BB252">
        <v>0.7</v>
      </c>
      <c r="BC252">
        <f t="shared" si="242"/>
        <v>0</v>
      </c>
      <c r="BD252">
        <f t="shared" si="243"/>
        <v>3.643835616438356E-2</v>
      </c>
      <c r="BE252">
        <f t="shared" si="244"/>
        <v>0.13800000000000001</v>
      </c>
      <c r="BF252">
        <f>Tables!CC$135</f>
        <v>55</v>
      </c>
      <c r="BG252">
        <f t="shared" si="245"/>
        <v>0.4</v>
      </c>
      <c r="BH252">
        <f t="shared" si="246"/>
        <v>8.0013995043285348E-3</v>
      </c>
      <c r="BI252">
        <f t="shared" si="247"/>
        <v>9.5760698460543633E-3</v>
      </c>
      <c r="BJ252">
        <f t="shared" si="234"/>
        <v>28.2015256966301</v>
      </c>
    </row>
    <row r="253" spans="5:62" x14ac:dyDescent="0.2">
      <c r="F253" t="s">
        <v>163</v>
      </c>
      <c r="G253" t="s">
        <v>288</v>
      </c>
      <c r="H253">
        <v>90</v>
      </c>
      <c r="I253">
        <v>0</v>
      </c>
      <c r="J253">
        <v>0</v>
      </c>
      <c r="L253">
        <v>30</v>
      </c>
      <c r="N253" s="28">
        <f>Tables!CC$11</f>
        <v>0.15</v>
      </c>
      <c r="P253">
        <f>Tables!CC42</f>
        <v>0.16</v>
      </c>
      <c r="R253">
        <f>Tables!CC72</f>
        <v>0.7</v>
      </c>
      <c r="T253">
        <f>Tables!CC100</f>
        <v>22</v>
      </c>
      <c r="U253">
        <f t="shared" si="235"/>
        <v>8.2999999999999741E-3</v>
      </c>
      <c r="V253">
        <f>V231</f>
        <v>0.99170000000000003</v>
      </c>
      <c r="W253">
        <f>W231</f>
        <v>0.73</v>
      </c>
      <c r="X253">
        <f t="shared" si="222"/>
        <v>4.7000000000000002E-3</v>
      </c>
      <c r="Y253">
        <f t="shared" si="223"/>
        <v>0</v>
      </c>
      <c r="Z253">
        <v>0.3</v>
      </c>
      <c r="AA253">
        <f t="shared" si="236"/>
        <v>0.48</v>
      </c>
      <c r="AB253">
        <f t="shared" si="248"/>
        <v>1.3</v>
      </c>
      <c r="AC253">
        <f t="shared" si="224"/>
        <v>1</v>
      </c>
      <c r="AD253">
        <f t="shared" si="237"/>
        <v>0.55510000000000004</v>
      </c>
      <c r="AF253">
        <f>Tables!CC171</f>
        <v>3.2</v>
      </c>
      <c r="AG253">
        <f t="shared" si="238"/>
        <v>0.99999999872459233</v>
      </c>
      <c r="AH253">
        <f t="shared" si="239"/>
        <v>0.50661989714547884</v>
      </c>
      <c r="AI253">
        <f t="shared" si="240"/>
        <v>0.50661989649933192</v>
      </c>
      <c r="AJ253">
        <f t="shared" si="225"/>
        <v>0.10265918343989311</v>
      </c>
      <c r="AK253">
        <f t="shared" si="226"/>
        <v>0.08</v>
      </c>
      <c r="AL253">
        <f t="shared" si="227"/>
        <v>0.14927231631248258</v>
      </c>
      <c r="AM253">
        <f t="shared" si="228"/>
        <v>0.19</v>
      </c>
      <c r="AN253">
        <f t="shared" si="229"/>
        <v>0.6784</v>
      </c>
      <c r="AO253">
        <f t="shared" si="230"/>
        <v>1.1657882256500357E-4</v>
      </c>
      <c r="AP253">
        <f t="shared" si="231"/>
        <v>8.9680265091146702E-5</v>
      </c>
      <c r="AQ253">
        <f t="shared" si="241"/>
        <v>2.0625908765615027E-4</v>
      </c>
      <c r="AR253">
        <f t="shared" si="232"/>
        <v>0.55689953667160574</v>
      </c>
      <c r="BA253">
        <v>19</v>
      </c>
      <c r="BB253">
        <v>0.7</v>
      </c>
      <c r="BC253">
        <f t="shared" si="242"/>
        <v>0</v>
      </c>
      <c r="BD253">
        <f t="shared" si="243"/>
        <v>3.643835616438356E-2</v>
      </c>
      <c r="BE253">
        <f t="shared" si="244"/>
        <v>0.13800000000000001</v>
      </c>
      <c r="BF253">
        <f>Tables!CC$135</f>
        <v>55</v>
      </c>
      <c r="BG253">
        <f t="shared" si="245"/>
        <v>0.4</v>
      </c>
      <c r="BH253">
        <f t="shared" si="246"/>
        <v>8.0013995043285348E-3</v>
      </c>
      <c r="BI253">
        <f t="shared" si="247"/>
        <v>8.424069846054363E-3</v>
      </c>
      <c r="BJ253">
        <f t="shared" si="234"/>
        <v>22.744988584346782</v>
      </c>
    </row>
    <row r="254" spans="5:62" x14ac:dyDescent="0.2">
      <c r="F254" t="s">
        <v>164</v>
      </c>
      <c r="G254" t="s">
        <v>289</v>
      </c>
      <c r="H254">
        <v>60</v>
      </c>
      <c r="I254">
        <v>0</v>
      </c>
      <c r="J254">
        <v>0</v>
      </c>
      <c r="L254">
        <v>31</v>
      </c>
      <c r="N254" s="28">
        <f>Tables!CC$12</f>
        <v>7.0000000000000007E-2</v>
      </c>
      <c r="O254" s="1">
        <v>0.06</v>
      </c>
      <c r="P254" s="1">
        <v>0.06</v>
      </c>
      <c r="R254">
        <f>Tables!CC73</f>
        <v>0.55000000000000004</v>
      </c>
      <c r="T254">
        <f>Tables!CC101</f>
        <v>28</v>
      </c>
      <c r="U254">
        <f t="shared" ref="U254:U278" si="249">$U$231</f>
        <v>8.2999999999999741E-3</v>
      </c>
      <c r="V254">
        <f t="shared" ref="V254:V278" si="250">$V$231</f>
        <v>0.99170000000000003</v>
      </c>
      <c r="W254">
        <f t="shared" ref="W254:W278" si="251">$W$231</f>
        <v>0.73</v>
      </c>
      <c r="X254">
        <f t="shared" si="222"/>
        <v>4.7000000000000002E-3</v>
      </c>
      <c r="Y254">
        <f t="shared" si="223"/>
        <v>0</v>
      </c>
      <c r="Z254">
        <v>0</v>
      </c>
      <c r="AA254">
        <f t="shared" si="236"/>
        <v>0</v>
      </c>
      <c r="AB254">
        <f t="shared" si="248"/>
        <v>1.3</v>
      </c>
      <c r="AC254">
        <f t="shared" si="224"/>
        <v>1</v>
      </c>
      <c r="AD254">
        <f t="shared" si="237"/>
        <v>0.43585000000000007</v>
      </c>
      <c r="AF254">
        <f>Tables!CC172</f>
        <v>3</v>
      </c>
      <c r="AG254">
        <f t="shared" si="238"/>
        <v>0.99999998477002028</v>
      </c>
      <c r="AH254">
        <f t="shared" si="239"/>
        <v>0.47750864762612716</v>
      </c>
      <c r="AI254">
        <f t="shared" si="240"/>
        <v>0.47750864035368012</v>
      </c>
      <c r="AJ254">
        <f t="shared" si="225"/>
        <v>2.8650518421220808E-2</v>
      </c>
      <c r="AK254">
        <f t="shared" si="226"/>
        <v>0.08</v>
      </c>
      <c r="AL254">
        <f t="shared" si="227"/>
        <v>0.20607951076576064</v>
      </c>
      <c r="AM254">
        <f t="shared" si="228"/>
        <v>0.19</v>
      </c>
      <c r="AN254">
        <f t="shared" si="229"/>
        <v>0.6784</v>
      </c>
      <c r="AO254">
        <f t="shared" si="230"/>
        <v>1.6094415437054054E-4</v>
      </c>
      <c r="AP254">
        <f t="shared" si="231"/>
        <v>1.238090599240053E-4</v>
      </c>
      <c r="AQ254">
        <f t="shared" si="241"/>
        <v>2.8475321429454587E-4</v>
      </c>
      <c r="AR254">
        <f t="shared" si="232"/>
        <v>0.5296409785878553</v>
      </c>
      <c r="BA254">
        <v>19</v>
      </c>
      <c r="BB254">
        <v>0.7</v>
      </c>
      <c r="BC254">
        <f t="shared" si="242"/>
        <v>0</v>
      </c>
      <c r="BD254">
        <f t="shared" si="243"/>
        <v>3.643835616438356E-2</v>
      </c>
      <c r="BE254">
        <f t="shared" si="244"/>
        <v>6.4400000000000013E-2</v>
      </c>
      <c r="BF254">
        <f>Tables!CC$136</f>
        <v>55</v>
      </c>
      <c r="BG254">
        <f t="shared" si="245"/>
        <v>0.50909090909090904</v>
      </c>
      <c r="BH254">
        <f t="shared" si="246"/>
        <v>6.1353681921695654E-3</v>
      </c>
      <c r="BI254">
        <f t="shared" si="247"/>
        <v>0</v>
      </c>
      <c r="BJ254">
        <f t="shared" si="234"/>
        <v>0</v>
      </c>
    </row>
    <row r="255" spans="5:62" x14ac:dyDescent="0.2">
      <c r="E255" t="s">
        <v>162</v>
      </c>
      <c r="F255" t="s">
        <v>164</v>
      </c>
      <c r="G255" t="s">
        <v>278</v>
      </c>
      <c r="H255">
        <v>20</v>
      </c>
      <c r="I255">
        <v>0</v>
      </c>
      <c r="J255">
        <v>0</v>
      </c>
      <c r="L255">
        <v>31</v>
      </c>
      <c r="N255">
        <f>Tables!CC$24</f>
        <v>-0.05</v>
      </c>
      <c r="P255">
        <f>Tables!CC47</f>
        <v>7.0000000000000007E-2</v>
      </c>
      <c r="R255">
        <f>Tables!CC85</f>
        <v>0.55000000000000004</v>
      </c>
      <c r="S255" s="1">
        <v>66</v>
      </c>
      <c r="T255" s="1">
        <v>66</v>
      </c>
      <c r="U255">
        <f t="shared" si="249"/>
        <v>8.2999999999999741E-3</v>
      </c>
      <c r="V255">
        <f t="shared" si="250"/>
        <v>0.99170000000000003</v>
      </c>
      <c r="W255">
        <f t="shared" si="251"/>
        <v>0.73</v>
      </c>
      <c r="X255">
        <f t="shared" si="222"/>
        <v>4.7000000000000002E-3</v>
      </c>
      <c r="Y255">
        <f t="shared" si="223"/>
        <v>0</v>
      </c>
      <c r="Z255">
        <v>0</v>
      </c>
      <c r="AA255">
        <f t="shared" si="236"/>
        <v>0</v>
      </c>
      <c r="AB255">
        <f t="shared" si="248"/>
        <v>1.3</v>
      </c>
      <c r="AC255">
        <f t="shared" si="224"/>
        <v>1</v>
      </c>
      <c r="AD255">
        <f t="shared" si="237"/>
        <v>0.43585000000000007</v>
      </c>
      <c r="AF255">
        <f>Tables!CC184</f>
        <v>3</v>
      </c>
      <c r="AG255">
        <f t="shared" si="238"/>
        <v>0.99999998477002028</v>
      </c>
      <c r="AH255">
        <f t="shared" si="239"/>
        <v>1.1785209149153895</v>
      </c>
      <c r="AI255">
        <f t="shared" si="240"/>
        <v>1.1785208969665397</v>
      </c>
      <c r="AJ255">
        <f t="shared" si="225"/>
        <v>8.2496462787657793E-2</v>
      </c>
      <c r="AK255">
        <f t="shared" si="226"/>
        <v>0.08</v>
      </c>
      <c r="AL255">
        <f t="shared" si="227"/>
        <v>0.53901959471294225</v>
      </c>
      <c r="AM255">
        <f t="shared" si="228"/>
        <v>0.19</v>
      </c>
      <c r="AN255">
        <f t="shared" si="229"/>
        <v>0.6784</v>
      </c>
      <c r="AO255">
        <f t="shared" si="230"/>
        <v>4.2096398879184219E-4</v>
      </c>
      <c r="AP255">
        <f t="shared" si="231"/>
        <v>3.2383379140433978E-4</v>
      </c>
      <c r="AQ255">
        <f t="shared" si="241"/>
        <v>7.4479778019618192E-4</v>
      </c>
      <c r="AR255">
        <f t="shared" si="232"/>
        <v>0.4617746237216328</v>
      </c>
      <c r="BA255">
        <v>25</v>
      </c>
      <c r="BB255">
        <v>0.8</v>
      </c>
      <c r="BC255">
        <f t="shared" si="242"/>
        <v>0</v>
      </c>
      <c r="BD255">
        <f t="shared" si="243"/>
        <v>5.4794520547945202E-2</v>
      </c>
      <c r="BE255">
        <f t="shared" si="244"/>
        <v>-4.6000000000000006E-2</v>
      </c>
      <c r="BF255">
        <f>Tables!CC$148</f>
        <v>70</v>
      </c>
      <c r="BG255">
        <f t="shared" si="245"/>
        <v>0.94285714285714284</v>
      </c>
      <c r="BH255">
        <f t="shared" si="246"/>
        <v>6.794655546204809E-3</v>
      </c>
      <c r="BI255">
        <f>MAX((AJ255  / 6.25 ) - BH255, 0)</f>
        <v>6.4047784998204384E-3</v>
      </c>
      <c r="BJ255">
        <f t="shared" si="234"/>
        <v>3.9709626698886713</v>
      </c>
    </row>
    <row r="256" spans="5:62" x14ac:dyDescent="0.2">
      <c r="F256" t="s">
        <v>164</v>
      </c>
      <c r="G256" t="s">
        <v>279</v>
      </c>
      <c r="H256">
        <v>15</v>
      </c>
      <c r="I256">
        <v>0</v>
      </c>
      <c r="J256">
        <v>0</v>
      </c>
      <c r="L256">
        <v>28</v>
      </c>
      <c r="N256">
        <f>Tables!CC$24</f>
        <v>-0.05</v>
      </c>
      <c r="P256">
        <f>Tables!CC47</f>
        <v>7.0000000000000007E-2</v>
      </c>
      <c r="R256">
        <f>Tables!CC85</f>
        <v>0.55000000000000004</v>
      </c>
      <c r="S256" s="1">
        <v>67</v>
      </c>
      <c r="T256" s="1">
        <v>67</v>
      </c>
      <c r="U256">
        <f t="shared" si="249"/>
        <v>8.2999999999999741E-3</v>
      </c>
      <c r="V256">
        <f t="shared" si="250"/>
        <v>0.99170000000000003</v>
      </c>
      <c r="W256">
        <f t="shared" si="251"/>
        <v>0.73</v>
      </c>
      <c r="X256">
        <f t="shared" si="222"/>
        <v>4.7000000000000002E-3</v>
      </c>
      <c r="Y256">
        <f t="shared" si="223"/>
        <v>0</v>
      </c>
      <c r="Z256">
        <v>0</v>
      </c>
      <c r="AA256">
        <f t="shared" si="236"/>
        <v>0</v>
      </c>
      <c r="AB256">
        <f t="shared" si="248"/>
        <v>1.3</v>
      </c>
      <c r="AC256">
        <f t="shared" si="224"/>
        <v>1</v>
      </c>
      <c r="AD256">
        <f t="shared" si="237"/>
        <v>0.43585000000000007</v>
      </c>
      <c r="AF256">
        <f>Tables!CC184</f>
        <v>3</v>
      </c>
      <c r="AG256">
        <f t="shared" si="238"/>
        <v>0.99999998477002028</v>
      </c>
      <c r="AH256">
        <f t="shared" si="239"/>
        <v>1.199077422939921</v>
      </c>
      <c r="AI256">
        <f t="shared" si="240"/>
        <v>1.1990774046779962</v>
      </c>
      <c r="AJ256">
        <f t="shared" si="225"/>
        <v>8.3935418327459738E-2</v>
      </c>
      <c r="AK256">
        <f t="shared" si="226"/>
        <v>0.08</v>
      </c>
      <c r="AL256">
        <f t="shared" si="227"/>
        <v>0.54932859324135341</v>
      </c>
      <c r="AM256">
        <f t="shared" si="228"/>
        <v>0.19</v>
      </c>
      <c r="AN256">
        <f t="shared" si="229"/>
        <v>0.6784</v>
      </c>
      <c r="AO256">
        <f t="shared" si="230"/>
        <v>4.2901511936953545E-4</v>
      </c>
      <c r="AP256">
        <f t="shared" si="231"/>
        <v>3.3002726212744962E-4</v>
      </c>
      <c r="AQ256">
        <f t="shared" si="241"/>
        <v>7.5904238149698507E-4</v>
      </c>
      <c r="AR256">
        <f t="shared" si="232"/>
        <v>0.31879780022873372</v>
      </c>
      <c r="BA256">
        <v>25</v>
      </c>
      <c r="BB256">
        <v>0.8</v>
      </c>
      <c r="BC256">
        <f t="shared" si="242"/>
        <v>0</v>
      </c>
      <c r="BD256">
        <f t="shared" si="243"/>
        <v>5.4794520547945202E-2</v>
      </c>
      <c r="BE256">
        <f t="shared" si="244"/>
        <v>-4.6000000000000006E-2</v>
      </c>
      <c r="BF256">
        <f>Tables!CC$148</f>
        <v>70</v>
      </c>
      <c r="BG256">
        <f t="shared" si="245"/>
        <v>0.95714285714285718</v>
      </c>
      <c r="BH256">
        <f t="shared" si="246"/>
        <v>6.7978139147228164E-3</v>
      </c>
      <c r="BI256">
        <f t="shared" ref="BI256:BI278" si="252">MAX((AJ256  / 6.25 ) - BH256, 0)</f>
        <v>6.6318530176707417E-3</v>
      </c>
      <c r="BJ256">
        <f t="shared" si="234"/>
        <v>2.7853782674217111</v>
      </c>
    </row>
    <row r="257" spans="5:62" x14ac:dyDescent="0.2">
      <c r="F257" t="s">
        <v>165</v>
      </c>
      <c r="G257" t="s">
        <v>280</v>
      </c>
      <c r="H257">
        <v>10</v>
      </c>
      <c r="I257">
        <v>0</v>
      </c>
      <c r="J257">
        <v>0</v>
      </c>
      <c r="L257">
        <v>31</v>
      </c>
      <c r="N257">
        <f>Tables!CC$25</f>
        <v>0</v>
      </c>
      <c r="P257">
        <f>Tables!CC48</f>
        <v>0.13</v>
      </c>
      <c r="R257">
        <f>Tables!CC78</f>
        <v>0.65</v>
      </c>
      <c r="S257" s="1">
        <v>68</v>
      </c>
      <c r="T257" s="1">
        <v>68</v>
      </c>
      <c r="U257">
        <f t="shared" si="249"/>
        <v>8.2999999999999741E-3</v>
      </c>
      <c r="V257">
        <f t="shared" si="250"/>
        <v>0.99170000000000003</v>
      </c>
      <c r="W257">
        <f t="shared" si="251"/>
        <v>0.73</v>
      </c>
      <c r="X257">
        <f t="shared" si="222"/>
        <v>4.7000000000000002E-3</v>
      </c>
      <c r="Y257">
        <f t="shared" si="223"/>
        <v>0</v>
      </c>
      <c r="Z257">
        <v>0</v>
      </c>
      <c r="AA257">
        <f t="shared" si="236"/>
        <v>0</v>
      </c>
      <c r="AB257">
        <f t="shared" si="248"/>
        <v>1.3</v>
      </c>
      <c r="AC257">
        <f t="shared" si="224"/>
        <v>1</v>
      </c>
      <c r="AD257">
        <f t="shared" si="237"/>
        <v>0.51535000000000009</v>
      </c>
      <c r="AF257">
        <f>Tables!CC185</f>
        <v>1.8</v>
      </c>
      <c r="AG257">
        <f t="shared" si="238"/>
        <v>0.99846618932067555</v>
      </c>
      <c r="AH257">
        <f t="shared" si="239"/>
        <v>1.4168488294882187</v>
      </c>
      <c r="AI257">
        <f t="shared" si="240"/>
        <v>1.4146756516225614</v>
      </c>
      <c r="AJ257">
        <f t="shared" si="225"/>
        <v>0.18390783471093297</v>
      </c>
      <c r="AK257">
        <f t="shared" si="226"/>
        <v>0.08</v>
      </c>
      <c r="AL257">
        <f t="shared" si="227"/>
        <v>0.52917366475647365</v>
      </c>
      <c r="AM257">
        <f t="shared" si="228"/>
        <v>0.19</v>
      </c>
      <c r="AN257">
        <f t="shared" si="229"/>
        <v>0.6784</v>
      </c>
      <c r="AO257">
        <f t="shared" si="230"/>
        <v>4.132745059075558E-4</v>
      </c>
      <c r="AP257">
        <f t="shared" si="231"/>
        <v>3.1791852439182455E-4</v>
      </c>
      <c r="AQ257">
        <f t="shared" si="241"/>
        <v>7.311930302993804E-4</v>
      </c>
      <c r="AR257">
        <f t="shared" si="232"/>
        <v>0.22666983939280794</v>
      </c>
      <c r="BA257">
        <v>25</v>
      </c>
      <c r="BB257">
        <v>0.8</v>
      </c>
      <c r="BC257">
        <f t="shared" si="242"/>
        <v>0</v>
      </c>
      <c r="BD257">
        <f t="shared" si="243"/>
        <v>5.4794520547945202E-2</v>
      </c>
      <c r="BE257">
        <f t="shared" si="244"/>
        <v>0</v>
      </c>
      <c r="BF257">
        <f>Tables!CC$149</f>
        <v>70</v>
      </c>
      <c r="BG257">
        <f t="shared" si="245"/>
        <v>0.97142857142857142</v>
      </c>
      <c r="BH257">
        <f t="shared" si="246"/>
        <v>7.3643835616438343E-3</v>
      </c>
      <c r="BI257">
        <f t="shared" si="252"/>
        <v>2.206086999210544E-2</v>
      </c>
      <c r="BJ257">
        <f t="shared" si="234"/>
        <v>6.8388696975526857</v>
      </c>
    </row>
    <row r="258" spans="5:62" x14ac:dyDescent="0.2">
      <c r="F258" t="s">
        <v>165</v>
      </c>
      <c r="G258" t="s">
        <v>281</v>
      </c>
      <c r="H258">
        <v>25</v>
      </c>
      <c r="I258">
        <v>0</v>
      </c>
      <c r="J258">
        <v>0</v>
      </c>
      <c r="L258">
        <v>30</v>
      </c>
      <c r="N258">
        <f>Tables!CC$25</f>
        <v>0</v>
      </c>
      <c r="P258">
        <f>Tables!CC48</f>
        <v>0.13</v>
      </c>
      <c r="R258">
        <f>Tables!CC78</f>
        <v>0.65</v>
      </c>
      <c r="S258" s="1">
        <v>67</v>
      </c>
      <c r="T258" s="1">
        <v>67</v>
      </c>
      <c r="U258">
        <f t="shared" si="249"/>
        <v>8.2999999999999741E-3</v>
      </c>
      <c r="V258">
        <f t="shared" si="250"/>
        <v>0.99170000000000003</v>
      </c>
      <c r="W258">
        <f t="shared" si="251"/>
        <v>0.73</v>
      </c>
      <c r="X258">
        <f t="shared" si="222"/>
        <v>4.7000000000000002E-3</v>
      </c>
      <c r="Y258">
        <f t="shared" si="223"/>
        <v>0</v>
      </c>
      <c r="Z258">
        <v>0</v>
      </c>
      <c r="AA258">
        <f t="shared" si="236"/>
        <v>0</v>
      </c>
      <c r="AB258">
        <f t="shared" si="248"/>
        <v>1.3</v>
      </c>
      <c r="AC258">
        <f t="shared" si="224"/>
        <v>1</v>
      </c>
      <c r="AD258">
        <f t="shared" si="237"/>
        <v>0.51535000000000009</v>
      </c>
      <c r="AF258">
        <f>Tables!CC185</f>
        <v>1.8</v>
      </c>
      <c r="AG258">
        <f t="shared" si="238"/>
        <v>0.99846618932067555</v>
      </c>
      <c r="AH258">
        <f t="shared" si="239"/>
        <v>1.3940034864345587</v>
      </c>
      <c r="AI258">
        <f t="shared" si="240"/>
        <v>1.3918653490000499</v>
      </c>
      <c r="AJ258">
        <f t="shared" si="225"/>
        <v>0.18094249537000648</v>
      </c>
      <c r="AK258">
        <f t="shared" si="226"/>
        <v>0.08</v>
      </c>
      <c r="AL258">
        <f t="shared" si="227"/>
        <v>0.51947288308870676</v>
      </c>
      <c r="AM258">
        <f t="shared" si="228"/>
        <v>0.19</v>
      </c>
      <c r="AN258">
        <f t="shared" si="229"/>
        <v>0.6784</v>
      </c>
      <c r="AO258">
        <f t="shared" si="230"/>
        <v>4.0569838105918791E-4</v>
      </c>
      <c r="AP258">
        <f t="shared" si="231"/>
        <v>3.1209045999885634E-4</v>
      </c>
      <c r="AQ258">
        <f t="shared" si="241"/>
        <v>7.1778884105804419E-4</v>
      </c>
      <c r="AR258">
        <f t="shared" si="232"/>
        <v>0.53834163079353314</v>
      </c>
      <c r="BA258">
        <v>25</v>
      </c>
      <c r="BB258">
        <v>0.8</v>
      </c>
      <c r="BC258">
        <f t="shared" si="242"/>
        <v>0</v>
      </c>
      <c r="BD258">
        <f t="shared" si="243"/>
        <v>5.4794520547945202E-2</v>
      </c>
      <c r="BE258">
        <f t="shared" si="244"/>
        <v>0</v>
      </c>
      <c r="BF258">
        <f>Tables!CC$149</f>
        <v>70</v>
      </c>
      <c r="BG258">
        <f t="shared" si="245"/>
        <v>0.95714285714285718</v>
      </c>
      <c r="BH258">
        <f t="shared" si="246"/>
        <v>7.3643835616438343E-3</v>
      </c>
      <c r="BI258">
        <f t="shared" si="252"/>
        <v>2.1586415697557201E-2</v>
      </c>
      <c r="BJ258">
        <f t="shared" si="234"/>
        <v>16.1898117731679</v>
      </c>
    </row>
    <row r="259" spans="5:62" x14ac:dyDescent="0.2">
      <c r="F259" t="s">
        <v>165</v>
      </c>
      <c r="G259" t="s">
        <v>282</v>
      </c>
      <c r="H259">
        <v>25</v>
      </c>
      <c r="I259">
        <v>0</v>
      </c>
      <c r="J259">
        <v>0</v>
      </c>
      <c r="L259">
        <v>31</v>
      </c>
      <c r="N259">
        <f>Tables!CC$25</f>
        <v>0</v>
      </c>
      <c r="P259">
        <f>Tables!CC48</f>
        <v>0.13</v>
      </c>
      <c r="R259">
        <f>Tables!CC78</f>
        <v>0.65</v>
      </c>
      <c r="T259">
        <f>Tables!CC114</f>
        <v>65</v>
      </c>
      <c r="U259">
        <f t="shared" si="249"/>
        <v>8.2999999999999741E-3</v>
      </c>
      <c r="V259">
        <f t="shared" si="250"/>
        <v>0.99170000000000003</v>
      </c>
      <c r="W259">
        <f t="shared" si="251"/>
        <v>0.73</v>
      </c>
      <c r="X259">
        <f t="shared" si="222"/>
        <v>4.7000000000000002E-3</v>
      </c>
      <c r="Y259">
        <f t="shared" si="223"/>
        <v>0</v>
      </c>
      <c r="Z259">
        <v>0</v>
      </c>
      <c r="AA259">
        <f t="shared" si="236"/>
        <v>0</v>
      </c>
      <c r="AB259">
        <f t="shared" si="248"/>
        <v>1.3</v>
      </c>
      <c r="AC259">
        <f t="shared" si="224"/>
        <v>1</v>
      </c>
      <c r="AD259">
        <f t="shared" si="237"/>
        <v>0.51535000000000009</v>
      </c>
      <c r="AF259">
        <f>Tables!CC185</f>
        <v>1.8</v>
      </c>
      <c r="AG259">
        <f t="shared" si="238"/>
        <v>0.99846618932067555</v>
      </c>
      <c r="AH259">
        <f t="shared" si="239"/>
        <v>1.3486207988995054</v>
      </c>
      <c r="AI259">
        <f t="shared" si="240"/>
        <v>1.3465522699157941</v>
      </c>
      <c r="AJ259">
        <f t="shared" si="225"/>
        <v>0.17505179508905325</v>
      </c>
      <c r="AK259">
        <f t="shared" si="226"/>
        <v>0.08</v>
      </c>
      <c r="AL259">
        <f t="shared" si="227"/>
        <v>0.50031570188753161</v>
      </c>
      <c r="AM259">
        <f t="shared" si="228"/>
        <v>0.19</v>
      </c>
      <c r="AN259">
        <f t="shared" si="229"/>
        <v>0.6784</v>
      </c>
      <c r="AO259">
        <f t="shared" si="230"/>
        <v>3.9073698913288962E-4</v>
      </c>
      <c r="AP259">
        <f t="shared" si="231"/>
        <v>3.005811518366914E-4</v>
      </c>
      <c r="AQ259">
        <f t="shared" si="241"/>
        <v>6.9131814096958107E-4</v>
      </c>
      <c r="AR259">
        <f t="shared" si="232"/>
        <v>0.53577155925142539</v>
      </c>
      <c r="BA259">
        <v>25</v>
      </c>
      <c r="BB259">
        <v>0.8</v>
      </c>
      <c r="BC259">
        <f t="shared" si="242"/>
        <v>0</v>
      </c>
      <c r="BD259">
        <f t="shared" si="243"/>
        <v>5.4794520547945202E-2</v>
      </c>
      <c r="BE259">
        <f t="shared" si="244"/>
        <v>0</v>
      </c>
      <c r="BF259">
        <f>Tables!CC$149</f>
        <v>70</v>
      </c>
      <c r="BG259">
        <f t="shared" si="245"/>
        <v>0.9285714285714286</v>
      </c>
      <c r="BH259">
        <f t="shared" si="246"/>
        <v>7.3643835616438343E-3</v>
      </c>
      <c r="BI259">
        <f t="shared" si="252"/>
        <v>2.0643903652604684E-2</v>
      </c>
      <c r="BJ259">
        <f t="shared" si="234"/>
        <v>15.999025330768632</v>
      </c>
    </row>
    <row r="260" spans="5:62" x14ac:dyDescent="0.2">
      <c r="F260" t="s">
        <v>166</v>
      </c>
      <c r="G260" t="s">
        <v>283</v>
      </c>
      <c r="H260">
        <v>22</v>
      </c>
      <c r="I260">
        <v>0</v>
      </c>
      <c r="J260">
        <v>0</v>
      </c>
      <c r="L260">
        <v>30</v>
      </c>
      <c r="N260">
        <f>Tables!CC$26</f>
        <v>-0.05</v>
      </c>
      <c r="P260">
        <f>Tables!CC49</f>
        <v>0.1</v>
      </c>
      <c r="R260">
        <f>Tables!CC79</f>
        <v>0.6</v>
      </c>
      <c r="T260">
        <f>Tables!CC115</f>
        <v>60</v>
      </c>
      <c r="U260">
        <f t="shared" si="249"/>
        <v>8.2999999999999741E-3</v>
      </c>
      <c r="V260">
        <f t="shared" si="250"/>
        <v>0.99170000000000003</v>
      </c>
      <c r="W260">
        <f t="shared" si="251"/>
        <v>0.73</v>
      </c>
      <c r="X260">
        <f t="shared" si="222"/>
        <v>4.7000000000000002E-3</v>
      </c>
      <c r="Y260">
        <f t="shared" si="223"/>
        <v>0</v>
      </c>
      <c r="Z260">
        <v>0</v>
      </c>
      <c r="AA260">
        <f t="shared" si="236"/>
        <v>0</v>
      </c>
      <c r="AB260">
        <f t="shared" si="248"/>
        <v>1.3</v>
      </c>
      <c r="AC260">
        <f t="shared" si="224"/>
        <v>1</v>
      </c>
      <c r="AD260">
        <f t="shared" si="237"/>
        <v>0.47559999999999997</v>
      </c>
      <c r="AF260">
        <f>Tables!CC186</f>
        <v>1</v>
      </c>
      <c r="AG260">
        <f t="shared" si="238"/>
        <v>0.8646647167633873</v>
      </c>
      <c r="AH260">
        <f t="shared" si="239"/>
        <v>1.1472289977258807</v>
      </c>
      <c r="AI260">
        <f t="shared" si="240"/>
        <v>0.99196843638139331</v>
      </c>
      <c r="AJ260">
        <f t="shared" si="225"/>
        <v>9.919684363813934E-2</v>
      </c>
      <c r="AK260">
        <f t="shared" si="226"/>
        <v>0.08</v>
      </c>
      <c r="AL260">
        <f t="shared" si="227"/>
        <v>0.40125563532734443</v>
      </c>
      <c r="AM260">
        <f t="shared" si="228"/>
        <v>0.19</v>
      </c>
      <c r="AN260">
        <f t="shared" si="229"/>
        <v>0.6784</v>
      </c>
      <c r="AO260">
        <f t="shared" si="230"/>
        <v>3.1337297276281742E-4</v>
      </c>
      <c r="AP260">
        <f t="shared" si="231"/>
        <v>2.4106755113348225E-4</v>
      </c>
      <c r="AQ260">
        <f t="shared" si="241"/>
        <v>5.5444052389629962E-4</v>
      </c>
      <c r="AR260">
        <f t="shared" si="232"/>
        <v>0.36593074577155776</v>
      </c>
      <c r="BA260">
        <v>25</v>
      </c>
      <c r="BB260">
        <v>0.8</v>
      </c>
      <c r="BC260">
        <f t="shared" si="242"/>
        <v>0</v>
      </c>
      <c r="BD260">
        <f t="shared" si="243"/>
        <v>5.4794520547945202E-2</v>
      </c>
      <c r="BE260">
        <f t="shared" si="244"/>
        <v>-4.6000000000000006E-2</v>
      </c>
      <c r="BF260">
        <f>Tables!CC$150</f>
        <v>70</v>
      </c>
      <c r="BG260">
        <f t="shared" si="245"/>
        <v>0.8571428571428571</v>
      </c>
      <c r="BH260">
        <f t="shared" si="246"/>
        <v>6.769506176490879E-3</v>
      </c>
      <c r="BI260">
        <f t="shared" si="252"/>
        <v>9.1019888056114162E-3</v>
      </c>
      <c r="BJ260">
        <f t="shared" si="234"/>
        <v>6.0073126117035347</v>
      </c>
    </row>
    <row r="261" spans="5:62" x14ac:dyDescent="0.2">
      <c r="F261" t="s">
        <v>166</v>
      </c>
      <c r="G261" t="s">
        <v>284</v>
      </c>
      <c r="H261">
        <v>22</v>
      </c>
      <c r="I261">
        <v>0</v>
      </c>
      <c r="J261">
        <v>0</v>
      </c>
      <c r="L261">
        <v>31</v>
      </c>
      <c r="N261">
        <f>Tables!CC$26</f>
        <v>-0.05</v>
      </c>
      <c r="P261">
        <f>Tables!CC49</f>
        <v>0.1</v>
      </c>
      <c r="R261">
        <f>Tables!CC79</f>
        <v>0.6</v>
      </c>
      <c r="T261">
        <f>Tables!CC115</f>
        <v>60</v>
      </c>
      <c r="U261">
        <f t="shared" si="249"/>
        <v>8.2999999999999741E-3</v>
      </c>
      <c r="V261">
        <f t="shared" si="250"/>
        <v>0.99170000000000003</v>
      </c>
      <c r="W261">
        <f t="shared" si="251"/>
        <v>0.73</v>
      </c>
      <c r="X261">
        <f t="shared" si="222"/>
        <v>4.7000000000000002E-3</v>
      </c>
      <c r="Y261">
        <f t="shared" si="223"/>
        <v>0</v>
      </c>
      <c r="Z261">
        <v>0</v>
      </c>
      <c r="AA261">
        <f t="shared" si="236"/>
        <v>0</v>
      </c>
      <c r="AB261">
        <f t="shared" si="248"/>
        <v>1.3</v>
      </c>
      <c r="AC261">
        <f t="shared" si="224"/>
        <v>1</v>
      </c>
      <c r="AD261">
        <f t="shared" si="237"/>
        <v>0.47559999999999997</v>
      </c>
      <c r="AF261">
        <f>Tables!CC186</f>
        <v>1</v>
      </c>
      <c r="AG261">
        <f t="shared" si="238"/>
        <v>0.8646647167633873</v>
      </c>
      <c r="AH261">
        <f t="shared" si="239"/>
        <v>1.1472289977258807</v>
      </c>
      <c r="AI261">
        <f t="shared" si="240"/>
        <v>0.99196843638139331</v>
      </c>
      <c r="AJ261">
        <f t="shared" si="225"/>
        <v>9.919684363813934E-2</v>
      </c>
      <c r="AK261">
        <f t="shared" si="226"/>
        <v>0.08</v>
      </c>
      <c r="AL261">
        <f t="shared" si="227"/>
        <v>0.40125563532734443</v>
      </c>
      <c r="AM261">
        <f t="shared" si="228"/>
        <v>0.19</v>
      </c>
      <c r="AN261">
        <f t="shared" si="229"/>
        <v>0.6784</v>
      </c>
      <c r="AO261">
        <f t="shared" si="230"/>
        <v>3.1337297276281742E-4</v>
      </c>
      <c r="AP261">
        <f t="shared" si="231"/>
        <v>2.4106755113348225E-4</v>
      </c>
      <c r="AQ261">
        <f t="shared" si="241"/>
        <v>5.5444052389629962E-4</v>
      </c>
      <c r="AR261">
        <f t="shared" si="232"/>
        <v>0.37812843729727635</v>
      </c>
      <c r="BA261">
        <v>25</v>
      </c>
      <c r="BB261">
        <v>0.8</v>
      </c>
      <c r="BC261">
        <f t="shared" si="242"/>
        <v>0</v>
      </c>
      <c r="BD261">
        <f t="shared" si="243"/>
        <v>5.4794520547945202E-2</v>
      </c>
      <c r="BE261">
        <f t="shared" si="244"/>
        <v>-4.6000000000000006E-2</v>
      </c>
      <c r="BF261">
        <f>Tables!CC$150</f>
        <v>70</v>
      </c>
      <c r="BG261">
        <f t="shared" si="245"/>
        <v>0.8571428571428571</v>
      </c>
      <c r="BH261">
        <f t="shared" si="246"/>
        <v>6.769506176490879E-3</v>
      </c>
      <c r="BI261">
        <f t="shared" si="252"/>
        <v>9.1019888056114162E-3</v>
      </c>
      <c r="BJ261">
        <f t="shared" si="234"/>
        <v>6.2075563654269859</v>
      </c>
    </row>
    <row r="262" spans="5:62" x14ac:dyDescent="0.2">
      <c r="F262" t="s">
        <v>166</v>
      </c>
      <c r="G262" t="s">
        <v>285</v>
      </c>
      <c r="H262">
        <v>20</v>
      </c>
      <c r="I262">
        <v>0</v>
      </c>
      <c r="J262">
        <v>0</v>
      </c>
      <c r="L262">
        <v>31</v>
      </c>
      <c r="N262">
        <f>Tables!CC$26</f>
        <v>-0.05</v>
      </c>
      <c r="P262">
        <f>Tables!CC49</f>
        <v>0.1</v>
      </c>
      <c r="R262">
        <f>Tables!CC79</f>
        <v>0.6</v>
      </c>
      <c r="T262">
        <f>Tables!CC115</f>
        <v>60</v>
      </c>
      <c r="U262">
        <f t="shared" si="249"/>
        <v>8.2999999999999741E-3</v>
      </c>
      <c r="V262">
        <f t="shared" si="250"/>
        <v>0.99170000000000003</v>
      </c>
      <c r="W262">
        <f t="shared" si="251"/>
        <v>0.73</v>
      </c>
      <c r="X262">
        <f t="shared" si="222"/>
        <v>4.7000000000000002E-3</v>
      </c>
      <c r="Y262">
        <f t="shared" si="223"/>
        <v>0</v>
      </c>
      <c r="Z262">
        <v>0</v>
      </c>
      <c r="AA262">
        <f t="shared" si="236"/>
        <v>0</v>
      </c>
      <c r="AB262">
        <f t="shared" si="248"/>
        <v>1.3</v>
      </c>
      <c r="AC262">
        <f t="shared" si="224"/>
        <v>1</v>
      </c>
      <c r="AD262">
        <f t="shared" si="237"/>
        <v>0.47559999999999997</v>
      </c>
      <c r="AF262">
        <f>Tables!CC186</f>
        <v>1</v>
      </c>
      <c r="AG262">
        <f t="shared" si="238"/>
        <v>0.8646647167633873</v>
      </c>
      <c r="AH262">
        <f t="shared" si="239"/>
        <v>1.1472289977258807</v>
      </c>
      <c r="AI262">
        <f t="shared" si="240"/>
        <v>0.99196843638139331</v>
      </c>
      <c r="AJ262">
        <f t="shared" si="225"/>
        <v>9.919684363813934E-2</v>
      </c>
      <c r="AK262">
        <f t="shared" si="226"/>
        <v>0.08</v>
      </c>
      <c r="AL262">
        <f t="shared" si="227"/>
        <v>0.40125563532734443</v>
      </c>
      <c r="AM262">
        <f t="shared" si="228"/>
        <v>0.19</v>
      </c>
      <c r="AN262">
        <f t="shared" si="229"/>
        <v>0.6784</v>
      </c>
      <c r="AO262">
        <f t="shared" si="230"/>
        <v>3.1337297276281742E-4</v>
      </c>
      <c r="AP262">
        <f t="shared" si="231"/>
        <v>2.4106755113348225E-4</v>
      </c>
      <c r="AQ262">
        <f t="shared" si="241"/>
        <v>5.5444052389629962E-4</v>
      </c>
      <c r="AR262">
        <f t="shared" si="232"/>
        <v>0.34375312481570575</v>
      </c>
      <c r="BA262">
        <v>25</v>
      </c>
      <c r="BB262">
        <v>0.8</v>
      </c>
      <c r="BC262">
        <f t="shared" si="242"/>
        <v>0</v>
      </c>
      <c r="BD262">
        <f t="shared" si="243"/>
        <v>5.4794520547945202E-2</v>
      </c>
      <c r="BE262">
        <f t="shared" si="244"/>
        <v>-4.6000000000000006E-2</v>
      </c>
      <c r="BF262">
        <f>Tables!CC$150</f>
        <v>70</v>
      </c>
      <c r="BG262">
        <f t="shared" si="245"/>
        <v>0.8571428571428571</v>
      </c>
      <c r="BH262">
        <f t="shared" si="246"/>
        <v>6.769506176490879E-3</v>
      </c>
      <c r="BI262">
        <f t="shared" si="252"/>
        <v>9.1019888056114162E-3</v>
      </c>
      <c r="BJ262">
        <f t="shared" si="234"/>
        <v>5.6432330594790781</v>
      </c>
    </row>
    <row r="263" spans="5:62" x14ac:dyDescent="0.2">
      <c r="F263" t="s">
        <v>163</v>
      </c>
      <c r="G263" t="s">
        <v>286</v>
      </c>
      <c r="H263">
        <v>18</v>
      </c>
      <c r="I263">
        <v>0</v>
      </c>
      <c r="J263">
        <v>0</v>
      </c>
      <c r="L263">
        <v>30</v>
      </c>
      <c r="M263" s="1">
        <v>0.08</v>
      </c>
      <c r="N263" s="1">
        <v>0.08</v>
      </c>
      <c r="P263">
        <f>Tables!CC46</f>
        <v>0.16</v>
      </c>
      <c r="R263">
        <f>Tables!CC76</f>
        <v>0.7</v>
      </c>
      <c r="T263">
        <f>Tables!CC112</f>
        <v>70</v>
      </c>
      <c r="U263">
        <f t="shared" si="249"/>
        <v>8.2999999999999741E-3</v>
      </c>
      <c r="V263">
        <f t="shared" si="250"/>
        <v>0.99170000000000003</v>
      </c>
      <c r="W263">
        <f t="shared" si="251"/>
        <v>0.73</v>
      </c>
      <c r="X263">
        <f t="shared" si="222"/>
        <v>4.7000000000000002E-3</v>
      </c>
      <c r="Y263">
        <f t="shared" si="223"/>
        <v>0</v>
      </c>
      <c r="Z263">
        <v>0</v>
      </c>
      <c r="AA263">
        <f t="shared" si="236"/>
        <v>0</v>
      </c>
      <c r="AB263">
        <f t="shared" si="248"/>
        <v>1.3</v>
      </c>
      <c r="AC263">
        <f t="shared" si="224"/>
        <v>1</v>
      </c>
      <c r="AD263">
        <f t="shared" si="237"/>
        <v>0.55510000000000004</v>
      </c>
      <c r="AF263">
        <f>Tables!CC183</f>
        <v>3.2</v>
      </c>
      <c r="AG263">
        <f t="shared" si="238"/>
        <v>0.99999999872459233</v>
      </c>
      <c r="AH263">
        <f t="shared" si="239"/>
        <v>1.5635664662315347</v>
      </c>
      <c r="AI263">
        <f t="shared" si="240"/>
        <v>1.5635664642373501</v>
      </c>
      <c r="AJ263">
        <f t="shared" si="225"/>
        <v>0.25017063427797603</v>
      </c>
      <c r="AK263">
        <f t="shared" si="226"/>
        <v>0.08</v>
      </c>
      <c r="AL263">
        <f t="shared" si="227"/>
        <v>0.52151077937113577</v>
      </c>
      <c r="AM263">
        <f t="shared" si="228"/>
        <v>0.19</v>
      </c>
      <c r="AN263">
        <f t="shared" si="229"/>
        <v>0.6784</v>
      </c>
      <c r="AO263">
        <f t="shared" si="230"/>
        <v>4.0728993905858168E-4</v>
      </c>
      <c r="AP263">
        <f t="shared" si="231"/>
        <v>3.133147933739338E-4</v>
      </c>
      <c r="AQ263">
        <f t="shared" si="241"/>
        <v>7.2060473243251548E-4</v>
      </c>
      <c r="AR263">
        <f t="shared" si="232"/>
        <v>0.38912655551355835</v>
      </c>
      <c r="BA263">
        <v>25</v>
      </c>
      <c r="BB263">
        <v>0.8</v>
      </c>
      <c r="BC263">
        <f t="shared" si="242"/>
        <v>0</v>
      </c>
      <c r="BD263">
        <f t="shared" si="243"/>
        <v>5.4794520547945202E-2</v>
      </c>
      <c r="BE263">
        <f t="shared" si="244"/>
        <v>7.3599999999999999E-2</v>
      </c>
      <c r="BF263">
        <f>Tables!CC$147</f>
        <v>70</v>
      </c>
      <c r="BG263">
        <f t="shared" si="245"/>
        <v>1</v>
      </c>
      <c r="BH263">
        <f t="shared" si="246"/>
        <v>8.256404710832381E-3</v>
      </c>
      <c r="BI263">
        <f t="shared" si="252"/>
        <v>3.1770896773643788E-2</v>
      </c>
      <c r="BJ263">
        <f t="shared" si="234"/>
        <v>17.156284257767645</v>
      </c>
    </row>
    <row r="264" spans="5:62" x14ac:dyDescent="0.2">
      <c r="F264" t="s">
        <v>163</v>
      </c>
      <c r="G264" t="s">
        <v>287</v>
      </c>
      <c r="H264">
        <v>18</v>
      </c>
      <c r="I264">
        <v>0</v>
      </c>
      <c r="J264">
        <v>0</v>
      </c>
      <c r="L264">
        <v>31</v>
      </c>
      <c r="M264" s="1">
        <v>0.08</v>
      </c>
      <c r="N264" s="1">
        <v>0.08</v>
      </c>
      <c r="P264">
        <f>Tables!CC46</f>
        <v>0.16</v>
      </c>
      <c r="R264">
        <f>Tables!CC76</f>
        <v>0.7</v>
      </c>
      <c r="T264">
        <f>Tables!CC112</f>
        <v>70</v>
      </c>
      <c r="U264">
        <f t="shared" si="249"/>
        <v>8.2999999999999741E-3</v>
      </c>
      <c r="V264">
        <f t="shared" si="250"/>
        <v>0.99170000000000003</v>
      </c>
      <c r="W264">
        <f t="shared" si="251"/>
        <v>0.73</v>
      </c>
      <c r="X264">
        <f t="shared" si="222"/>
        <v>4.7000000000000002E-3</v>
      </c>
      <c r="Y264">
        <f t="shared" si="223"/>
        <v>0</v>
      </c>
      <c r="Z264">
        <v>0</v>
      </c>
      <c r="AA264">
        <f t="shared" si="236"/>
        <v>0</v>
      </c>
      <c r="AB264">
        <f t="shared" si="248"/>
        <v>1.3</v>
      </c>
      <c r="AC264">
        <f t="shared" si="224"/>
        <v>1</v>
      </c>
      <c r="AD264">
        <f t="shared" si="237"/>
        <v>0.55510000000000004</v>
      </c>
      <c r="AF264">
        <f>Tables!CC183</f>
        <v>3.2</v>
      </c>
      <c r="AG264">
        <f t="shared" si="238"/>
        <v>0.99999999872459233</v>
      </c>
      <c r="AH264">
        <f t="shared" si="239"/>
        <v>1.5635664662315347</v>
      </c>
      <c r="AI264">
        <f t="shared" si="240"/>
        <v>1.5635664642373501</v>
      </c>
      <c r="AJ264">
        <f t="shared" si="225"/>
        <v>0.25017063427797603</v>
      </c>
      <c r="AK264">
        <f t="shared" si="226"/>
        <v>0.08</v>
      </c>
      <c r="AL264">
        <f t="shared" si="227"/>
        <v>0.52151077937113577</v>
      </c>
      <c r="AM264">
        <f t="shared" si="228"/>
        <v>0.19</v>
      </c>
      <c r="AN264">
        <f t="shared" si="229"/>
        <v>0.6784</v>
      </c>
      <c r="AO264">
        <f t="shared" si="230"/>
        <v>4.0728993905858168E-4</v>
      </c>
      <c r="AP264">
        <f t="shared" si="231"/>
        <v>3.133147933739338E-4</v>
      </c>
      <c r="AQ264">
        <f t="shared" si="241"/>
        <v>7.2060473243251548E-4</v>
      </c>
      <c r="AR264">
        <f t="shared" si="232"/>
        <v>0.40209744069734366</v>
      </c>
      <c r="BA264">
        <v>25</v>
      </c>
      <c r="BB264">
        <v>0.8</v>
      </c>
      <c r="BC264">
        <f t="shared" si="242"/>
        <v>0</v>
      </c>
      <c r="BD264">
        <f t="shared" si="243"/>
        <v>5.4794520547945202E-2</v>
      </c>
      <c r="BE264">
        <f t="shared" si="244"/>
        <v>7.3599999999999999E-2</v>
      </c>
      <c r="BF264">
        <f>Tables!CC$147</f>
        <v>70</v>
      </c>
      <c r="BG264">
        <f t="shared" si="245"/>
        <v>1</v>
      </c>
      <c r="BH264">
        <f t="shared" si="246"/>
        <v>8.256404710832381E-3</v>
      </c>
      <c r="BI264">
        <f t="shared" si="252"/>
        <v>3.1770896773643788E-2</v>
      </c>
      <c r="BJ264">
        <f t="shared" si="234"/>
        <v>17.728160399693234</v>
      </c>
    </row>
    <row r="265" spans="5:62" x14ac:dyDescent="0.2">
      <c r="F265" t="s">
        <v>163</v>
      </c>
      <c r="G265" t="s">
        <v>288</v>
      </c>
      <c r="H265">
        <v>19</v>
      </c>
      <c r="I265">
        <v>0</v>
      </c>
      <c r="J265">
        <v>0</v>
      </c>
      <c r="L265">
        <v>30</v>
      </c>
      <c r="M265" s="1">
        <v>0.08</v>
      </c>
      <c r="N265" s="1">
        <v>0.08</v>
      </c>
      <c r="P265">
        <f>Tables!CC46</f>
        <v>0.16</v>
      </c>
      <c r="R265">
        <f>Tables!CC76</f>
        <v>0.7</v>
      </c>
      <c r="T265">
        <f>Tables!CC112</f>
        <v>70</v>
      </c>
      <c r="U265">
        <f t="shared" si="249"/>
        <v>8.2999999999999741E-3</v>
      </c>
      <c r="V265">
        <f t="shared" si="250"/>
        <v>0.99170000000000003</v>
      </c>
      <c r="W265">
        <f t="shared" si="251"/>
        <v>0.73</v>
      </c>
      <c r="X265">
        <f t="shared" si="222"/>
        <v>4.7000000000000002E-3</v>
      </c>
      <c r="Y265">
        <f t="shared" si="223"/>
        <v>0</v>
      </c>
      <c r="Z265">
        <v>0</v>
      </c>
      <c r="AA265">
        <f t="shared" si="236"/>
        <v>0</v>
      </c>
      <c r="AB265">
        <f t="shared" si="248"/>
        <v>1.3</v>
      </c>
      <c r="AC265">
        <f t="shared" si="224"/>
        <v>1</v>
      </c>
      <c r="AD265">
        <f t="shared" si="237"/>
        <v>0.55510000000000004</v>
      </c>
      <c r="AF265">
        <f>Tables!CC183</f>
        <v>3.2</v>
      </c>
      <c r="AG265">
        <f t="shared" si="238"/>
        <v>0.99999999872459233</v>
      </c>
      <c r="AH265">
        <f t="shared" si="239"/>
        <v>1.5635664662315347</v>
      </c>
      <c r="AI265">
        <f t="shared" si="240"/>
        <v>1.5635664642373501</v>
      </c>
      <c r="AJ265">
        <f t="shared" si="225"/>
        <v>0.25017063427797603</v>
      </c>
      <c r="AK265">
        <f t="shared" si="226"/>
        <v>0.08</v>
      </c>
      <c r="AL265">
        <f t="shared" si="227"/>
        <v>0.52151077937113577</v>
      </c>
      <c r="AM265">
        <f t="shared" si="228"/>
        <v>0.19</v>
      </c>
      <c r="AN265">
        <f t="shared" si="229"/>
        <v>0.6784</v>
      </c>
      <c r="AO265">
        <f t="shared" si="230"/>
        <v>4.0728993905858168E-4</v>
      </c>
      <c r="AP265">
        <f t="shared" si="231"/>
        <v>3.133147933739338E-4</v>
      </c>
      <c r="AQ265">
        <f t="shared" si="241"/>
        <v>7.2060473243251548E-4</v>
      </c>
      <c r="AR265">
        <f t="shared" si="232"/>
        <v>0.41074469748653381</v>
      </c>
      <c r="BA265">
        <v>25</v>
      </c>
      <c r="BB265">
        <v>0.8</v>
      </c>
      <c r="BC265">
        <f t="shared" si="242"/>
        <v>0</v>
      </c>
      <c r="BD265">
        <f t="shared" si="243"/>
        <v>5.4794520547945202E-2</v>
      </c>
      <c r="BE265">
        <f t="shared" si="244"/>
        <v>7.3599999999999999E-2</v>
      </c>
      <c r="BF265">
        <f>Tables!CC$147</f>
        <v>70</v>
      </c>
      <c r="BG265">
        <f t="shared" si="245"/>
        <v>1</v>
      </c>
      <c r="BH265">
        <f t="shared" si="246"/>
        <v>8.256404710832381E-3</v>
      </c>
      <c r="BI265">
        <f t="shared" si="252"/>
        <v>3.1770896773643788E-2</v>
      </c>
      <c r="BJ265">
        <f t="shared" si="234"/>
        <v>18.109411160976958</v>
      </c>
    </row>
    <row r="266" spans="5:62" x14ac:dyDescent="0.2">
      <c r="F266" t="s">
        <v>164</v>
      </c>
      <c r="G266" t="s">
        <v>289</v>
      </c>
      <c r="H266">
        <v>20</v>
      </c>
      <c r="I266">
        <v>0</v>
      </c>
      <c r="J266">
        <v>0</v>
      </c>
      <c r="L266">
        <v>31</v>
      </c>
      <c r="N266">
        <f>Tables!CC$24</f>
        <v>-0.05</v>
      </c>
      <c r="P266">
        <f>Tables!CC47</f>
        <v>7.0000000000000007E-2</v>
      </c>
      <c r="R266">
        <f>Tables!CC77</f>
        <v>0.55000000000000004</v>
      </c>
      <c r="T266">
        <f>Tables!CC113</f>
        <v>65</v>
      </c>
      <c r="U266">
        <f t="shared" si="249"/>
        <v>8.2999999999999741E-3</v>
      </c>
      <c r="V266">
        <f t="shared" si="250"/>
        <v>0.99170000000000003</v>
      </c>
      <c r="W266">
        <f t="shared" si="251"/>
        <v>0.73</v>
      </c>
      <c r="X266">
        <f t="shared" si="222"/>
        <v>4.7000000000000002E-3</v>
      </c>
      <c r="Y266">
        <f t="shared" si="223"/>
        <v>0</v>
      </c>
      <c r="Z266">
        <v>0</v>
      </c>
      <c r="AA266">
        <f t="shared" si="236"/>
        <v>0</v>
      </c>
      <c r="AB266">
        <f t="shared" si="248"/>
        <v>1.3</v>
      </c>
      <c r="AC266">
        <f t="shared" si="224"/>
        <v>1</v>
      </c>
      <c r="AD266">
        <f t="shared" si="237"/>
        <v>0.43585000000000007</v>
      </c>
      <c r="AF266">
        <f>Tables!CC184</f>
        <v>3</v>
      </c>
      <c r="AG266">
        <f t="shared" si="238"/>
        <v>0.99999998477002028</v>
      </c>
      <c r="AH266">
        <f t="shared" si="239"/>
        <v>1.1580752413958724</v>
      </c>
      <c r="AI266">
        <f t="shared" si="240"/>
        <v>1.15807522375841</v>
      </c>
      <c r="AJ266">
        <f t="shared" si="225"/>
        <v>8.1065265663088706E-2</v>
      </c>
      <c r="AK266">
        <f t="shared" si="226"/>
        <v>0.08</v>
      </c>
      <c r="AL266">
        <f t="shared" si="227"/>
        <v>0.52879702927487948</v>
      </c>
      <c r="AM266">
        <f t="shared" si="228"/>
        <v>0.19</v>
      </c>
      <c r="AN266">
        <f t="shared" si="229"/>
        <v>0.6784</v>
      </c>
      <c r="AO266">
        <f t="shared" si="230"/>
        <v>4.1298036080372741E-4</v>
      </c>
      <c r="AP266">
        <f t="shared" si="231"/>
        <v>3.1769224820969987E-4</v>
      </c>
      <c r="AQ266">
        <f t="shared" si="241"/>
        <v>7.3067260901342728E-4</v>
      </c>
      <c r="AR266">
        <f t="shared" si="232"/>
        <v>0.45301701758832491</v>
      </c>
      <c r="BA266">
        <v>25</v>
      </c>
      <c r="BB266">
        <v>0.8</v>
      </c>
      <c r="BC266">
        <f t="shared" si="242"/>
        <v>0</v>
      </c>
      <c r="BD266">
        <f t="shared" si="243"/>
        <v>5.4794520547945202E-2</v>
      </c>
      <c r="BE266">
        <f t="shared" si="244"/>
        <v>-4.6000000000000006E-2</v>
      </c>
      <c r="BF266">
        <f>Tables!CC$147</f>
        <v>70</v>
      </c>
      <c r="BG266">
        <f t="shared" si="245"/>
        <v>0.9285714285714286</v>
      </c>
      <c r="BH266">
        <f t="shared" si="246"/>
        <v>6.7912363417469944E-3</v>
      </c>
      <c r="BI266">
        <f t="shared" si="252"/>
        <v>6.1792061643471986E-3</v>
      </c>
      <c r="BJ266">
        <f t="shared" si="234"/>
        <v>3.8311078218952632</v>
      </c>
    </row>
    <row r="267" spans="5:62" x14ac:dyDescent="0.2">
      <c r="E267" t="s">
        <v>167</v>
      </c>
      <c r="F267" t="s">
        <v>164</v>
      </c>
      <c r="G267" t="s">
        <v>278</v>
      </c>
      <c r="H267">
        <v>80</v>
      </c>
      <c r="I267">
        <v>0</v>
      </c>
      <c r="J267">
        <v>0</v>
      </c>
      <c r="L267">
        <v>31</v>
      </c>
      <c r="N267">
        <f>Tables!CC$28</f>
        <v>-0.05</v>
      </c>
      <c r="P267">
        <f>Tables!CC59</f>
        <v>7.0000000000000007E-2</v>
      </c>
      <c r="R267">
        <f>Tables!CC89</f>
        <v>0.55000000000000004</v>
      </c>
      <c r="T267">
        <f>Tables!CC117</f>
        <v>55</v>
      </c>
      <c r="U267">
        <f t="shared" si="249"/>
        <v>8.2999999999999741E-3</v>
      </c>
      <c r="V267">
        <f t="shared" si="250"/>
        <v>0.99170000000000003</v>
      </c>
      <c r="W267">
        <f t="shared" si="251"/>
        <v>0.73</v>
      </c>
      <c r="X267">
        <f t="shared" si="222"/>
        <v>4.7000000000000002E-3</v>
      </c>
      <c r="Y267">
        <f t="shared" si="223"/>
        <v>0</v>
      </c>
      <c r="Z267">
        <v>0</v>
      </c>
      <c r="AA267">
        <f t="shared" si="236"/>
        <v>0</v>
      </c>
      <c r="AB267">
        <f t="shared" si="248"/>
        <v>1.3</v>
      </c>
      <c r="AC267">
        <f t="shared" si="224"/>
        <v>1</v>
      </c>
      <c r="AD267">
        <f t="shared" si="237"/>
        <v>0.43585000000000007</v>
      </c>
      <c r="AF267">
        <f>Tables!CC188</f>
        <v>3</v>
      </c>
      <c r="AG267">
        <f t="shared" si="238"/>
        <v>0.99999998477002028</v>
      </c>
      <c r="AH267">
        <f t="shared" si="239"/>
        <v>0.95969823125361531</v>
      </c>
      <c r="AI267">
        <f t="shared" si="240"/>
        <v>0.95969821663743071</v>
      </c>
      <c r="AJ267">
        <f t="shared" si="225"/>
        <v>6.717887516462015E-2</v>
      </c>
      <c r="AK267">
        <f t="shared" si="226"/>
        <v>0.08</v>
      </c>
      <c r="AL267">
        <f t="shared" si="227"/>
        <v>0.43120862223412426</v>
      </c>
      <c r="AM267">
        <f t="shared" si="228"/>
        <v>0.19</v>
      </c>
      <c r="AN267">
        <f t="shared" si="229"/>
        <v>0.6784</v>
      </c>
      <c r="AO267">
        <f t="shared" si="230"/>
        <v>3.3676568235665495E-4</v>
      </c>
      <c r="AP267">
        <f t="shared" si="231"/>
        <v>2.5906279547904771E-4</v>
      </c>
      <c r="AQ267">
        <f t="shared" si="241"/>
        <v>5.9582847783570272E-4</v>
      </c>
      <c r="AR267">
        <f t="shared" si="232"/>
        <v>1.4776546250325429</v>
      </c>
      <c r="BA267">
        <v>17</v>
      </c>
      <c r="BB267">
        <v>0.7</v>
      </c>
      <c r="BC267">
        <f t="shared" si="242"/>
        <v>0</v>
      </c>
      <c r="BD267">
        <f t="shared" si="243"/>
        <v>3.2602739726027397E-2</v>
      </c>
      <c r="BE267">
        <f t="shared" si="244"/>
        <v>-4.6000000000000006E-2</v>
      </c>
      <c r="BF267">
        <f>Tables!CC$152</f>
        <v>60</v>
      </c>
      <c r="BG267">
        <f t="shared" si="245"/>
        <v>0.91666666666666663</v>
      </c>
      <c r="BH267">
        <f t="shared" si="246"/>
        <v>3.8055244511866217E-3</v>
      </c>
      <c r="BI267">
        <f t="shared" si="252"/>
        <v>6.9430955751526024E-3</v>
      </c>
      <c r="BJ267">
        <f t="shared" si="234"/>
        <v>17.218877026378454</v>
      </c>
    </row>
    <row r="268" spans="5:62" x14ac:dyDescent="0.2">
      <c r="F268" t="s">
        <v>164</v>
      </c>
      <c r="G268" t="s">
        <v>279</v>
      </c>
      <c r="H268">
        <v>80</v>
      </c>
      <c r="I268">
        <v>0</v>
      </c>
      <c r="J268">
        <v>0</v>
      </c>
      <c r="L268">
        <v>28</v>
      </c>
      <c r="N268">
        <f>Tables!CC$28</f>
        <v>-0.05</v>
      </c>
      <c r="P268">
        <f>Tables!CC59</f>
        <v>7.0000000000000007E-2</v>
      </c>
      <c r="R268">
        <f>Tables!CC89</f>
        <v>0.55000000000000004</v>
      </c>
      <c r="T268">
        <f>Tables!CC117</f>
        <v>55</v>
      </c>
      <c r="U268">
        <f t="shared" si="249"/>
        <v>8.2999999999999741E-3</v>
      </c>
      <c r="V268">
        <f t="shared" si="250"/>
        <v>0.99170000000000003</v>
      </c>
      <c r="W268">
        <f t="shared" si="251"/>
        <v>0.73</v>
      </c>
      <c r="X268">
        <f t="shared" si="222"/>
        <v>4.7000000000000002E-3</v>
      </c>
      <c r="Y268">
        <f t="shared" si="223"/>
        <v>0</v>
      </c>
      <c r="Z268">
        <v>0</v>
      </c>
      <c r="AA268">
        <f t="shared" si="236"/>
        <v>0</v>
      </c>
      <c r="AB268">
        <f t="shared" si="248"/>
        <v>1.3</v>
      </c>
      <c r="AC268">
        <f t="shared" si="224"/>
        <v>1</v>
      </c>
      <c r="AD268">
        <f t="shared" si="237"/>
        <v>0.43585000000000007</v>
      </c>
      <c r="AF268">
        <f>Tables!CC188</f>
        <v>3</v>
      </c>
      <c r="AG268">
        <f t="shared" si="238"/>
        <v>0.99999998477002028</v>
      </c>
      <c r="AH268">
        <f t="shared" si="239"/>
        <v>0.95969823125361531</v>
      </c>
      <c r="AI268">
        <f t="shared" si="240"/>
        <v>0.95969821663743071</v>
      </c>
      <c r="AJ268">
        <f t="shared" si="225"/>
        <v>6.717887516462015E-2</v>
      </c>
      <c r="AK268">
        <f t="shared" si="226"/>
        <v>0.08</v>
      </c>
      <c r="AL268">
        <f t="shared" si="227"/>
        <v>0.43120862223412426</v>
      </c>
      <c r="AM268">
        <f t="shared" si="228"/>
        <v>0.19</v>
      </c>
      <c r="AN268">
        <f t="shared" si="229"/>
        <v>0.6784</v>
      </c>
      <c r="AO268">
        <f t="shared" si="230"/>
        <v>3.3676568235665495E-4</v>
      </c>
      <c r="AP268">
        <f t="shared" si="231"/>
        <v>2.5906279547904771E-4</v>
      </c>
      <c r="AQ268">
        <f t="shared" si="241"/>
        <v>5.9582847783570272E-4</v>
      </c>
      <c r="AR268">
        <f t="shared" si="232"/>
        <v>1.3346557903519742</v>
      </c>
      <c r="BA268">
        <v>17</v>
      </c>
      <c r="BB268">
        <v>0.7</v>
      </c>
      <c r="BC268">
        <f t="shared" si="242"/>
        <v>0</v>
      </c>
      <c r="BD268">
        <f t="shared" si="243"/>
        <v>3.2602739726027397E-2</v>
      </c>
      <c r="BE268">
        <f t="shared" si="244"/>
        <v>-4.6000000000000006E-2</v>
      </c>
      <c r="BF268">
        <f>Tables!CC$152</f>
        <v>60</v>
      </c>
      <c r="BG268">
        <f t="shared" si="245"/>
        <v>0.91666666666666663</v>
      </c>
      <c r="BH268">
        <f t="shared" si="246"/>
        <v>3.8055244511866217E-3</v>
      </c>
      <c r="BI268">
        <f t="shared" si="252"/>
        <v>6.9430955751526024E-3</v>
      </c>
      <c r="BJ268">
        <f t="shared" si="234"/>
        <v>15.552534088341829</v>
      </c>
    </row>
    <row r="269" spans="5:62" x14ac:dyDescent="0.2">
      <c r="F269" t="s">
        <v>165</v>
      </c>
      <c r="G269" t="s">
        <v>280</v>
      </c>
      <c r="H269">
        <v>78</v>
      </c>
      <c r="I269">
        <v>0</v>
      </c>
      <c r="J269">
        <v>0</v>
      </c>
      <c r="L269">
        <v>31</v>
      </c>
      <c r="N269">
        <f>Tables!CC$29</f>
        <v>-0.03</v>
      </c>
      <c r="O269" s="1">
        <v>0.15</v>
      </c>
      <c r="P269" s="1">
        <v>0.15</v>
      </c>
      <c r="R269">
        <f>Tables!CC90</f>
        <v>0.65</v>
      </c>
      <c r="T269">
        <f>Tables!CC118</f>
        <v>52</v>
      </c>
      <c r="U269">
        <f t="shared" si="249"/>
        <v>8.2999999999999741E-3</v>
      </c>
      <c r="V269">
        <f t="shared" si="250"/>
        <v>0.99170000000000003</v>
      </c>
      <c r="W269">
        <f t="shared" si="251"/>
        <v>0.73</v>
      </c>
      <c r="X269">
        <f t="shared" si="222"/>
        <v>4.7000000000000002E-3</v>
      </c>
      <c r="Y269">
        <f t="shared" si="223"/>
        <v>0</v>
      </c>
      <c r="Z269">
        <v>0</v>
      </c>
      <c r="AA269">
        <f t="shared" si="236"/>
        <v>0</v>
      </c>
      <c r="AB269">
        <f t="shared" si="248"/>
        <v>1.3</v>
      </c>
      <c r="AC269">
        <f t="shared" si="224"/>
        <v>1</v>
      </c>
      <c r="AD269">
        <f t="shared" si="237"/>
        <v>0.51535000000000009</v>
      </c>
      <c r="AF269">
        <f>Tables!CC189</f>
        <v>1.8</v>
      </c>
      <c r="AG269">
        <f t="shared" si="238"/>
        <v>0.99846618932067555</v>
      </c>
      <c r="AH269">
        <f t="shared" si="239"/>
        <v>1.0635112555960096</v>
      </c>
      <c r="AI269">
        <f t="shared" si="240"/>
        <v>1.0618800306745946</v>
      </c>
      <c r="AJ269">
        <f t="shared" si="225"/>
        <v>0.15928200460118919</v>
      </c>
      <c r="AK269">
        <f t="shared" si="226"/>
        <v>0.08</v>
      </c>
      <c r="AL269">
        <f t="shared" si="227"/>
        <v>0.383420652420493</v>
      </c>
      <c r="AM269">
        <f t="shared" si="228"/>
        <v>0.19</v>
      </c>
      <c r="AN269">
        <f t="shared" si="229"/>
        <v>0.6784</v>
      </c>
      <c r="AO269">
        <f t="shared" si="230"/>
        <v>2.9944419240279937E-4</v>
      </c>
      <c r="AP269">
        <f t="shared" si="231"/>
        <v>2.3035259718559638E-4</v>
      </c>
      <c r="AQ269">
        <f t="shared" si="241"/>
        <v>5.2979678958839577E-4</v>
      </c>
      <c r="AR269">
        <f t="shared" si="232"/>
        <v>1.2810486372247409</v>
      </c>
      <c r="BA269">
        <v>17</v>
      </c>
      <c r="BB269">
        <v>0.7</v>
      </c>
      <c r="BC269">
        <f t="shared" si="242"/>
        <v>0</v>
      </c>
      <c r="BD269">
        <f t="shared" si="243"/>
        <v>3.2602739726027397E-2</v>
      </c>
      <c r="BE269">
        <f t="shared" si="244"/>
        <v>-2.76E-2</v>
      </c>
      <c r="BF269">
        <f>Tables!CC$153</f>
        <v>60</v>
      </c>
      <c r="BG269">
        <f t="shared" si="245"/>
        <v>0.8666666666666667</v>
      </c>
      <c r="BH269">
        <f t="shared" si="246"/>
        <v>4.0270794587420186E-3</v>
      </c>
      <c r="BI269">
        <f t="shared" si="252"/>
        <v>2.1458041277448249E-2</v>
      </c>
      <c r="BJ269">
        <f t="shared" si="234"/>
        <v>51.885543808869862</v>
      </c>
    </row>
    <row r="270" spans="5:62" x14ac:dyDescent="0.2">
      <c r="F270" t="s">
        <v>165</v>
      </c>
      <c r="G270" t="s">
        <v>281</v>
      </c>
      <c r="H270">
        <v>78</v>
      </c>
      <c r="I270">
        <v>0</v>
      </c>
      <c r="J270">
        <v>0</v>
      </c>
      <c r="L270">
        <v>30</v>
      </c>
      <c r="N270">
        <f>Tables!CC$29</f>
        <v>-0.03</v>
      </c>
      <c r="O270" s="1">
        <v>0.15</v>
      </c>
      <c r="P270" s="1">
        <v>0.15</v>
      </c>
      <c r="R270">
        <f>Tables!CC90</f>
        <v>0.65</v>
      </c>
      <c r="T270">
        <f>Tables!CC118</f>
        <v>52</v>
      </c>
      <c r="U270">
        <f t="shared" si="249"/>
        <v>8.2999999999999741E-3</v>
      </c>
      <c r="V270">
        <f t="shared" si="250"/>
        <v>0.99170000000000003</v>
      </c>
      <c r="W270">
        <f t="shared" si="251"/>
        <v>0.73</v>
      </c>
      <c r="X270">
        <f t="shared" si="222"/>
        <v>4.7000000000000002E-3</v>
      </c>
      <c r="Y270">
        <f t="shared" si="223"/>
        <v>0</v>
      </c>
      <c r="Z270">
        <v>0</v>
      </c>
      <c r="AA270">
        <f t="shared" si="236"/>
        <v>0</v>
      </c>
      <c r="AB270">
        <f t="shared" si="248"/>
        <v>1.3</v>
      </c>
      <c r="AC270">
        <f t="shared" si="224"/>
        <v>1</v>
      </c>
      <c r="AD270">
        <f t="shared" si="237"/>
        <v>0.51535000000000009</v>
      </c>
      <c r="AF270">
        <f>Tables!CC189</f>
        <v>1.8</v>
      </c>
      <c r="AG270">
        <f t="shared" si="238"/>
        <v>0.99846618932067555</v>
      </c>
      <c r="AH270">
        <f t="shared" si="239"/>
        <v>1.0635112555960096</v>
      </c>
      <c r="AI270">
        <f t="shared" si="240"/>
        <v>1.0618800306745946</v>
      </c>
      <c r="AJ270">
        <f t="shared" si="225"/>
        <v>0.15928200460118919</v>
      </c>
      <c r="AK270">
        <f t="shared" si="226"/>
        <v>0.08</v>
      </c>
      <c r="AL270">
        <f t="shared" si="227"/>
        <v>0.383420652420493</v>
      </c>
      <c r="AM270">
        <f t="shared" si="228"/>
        <v>0.19</v>
      </c>
      <c r="AN270">
        <f t="shared" si="229"/>
        <v>0.6784</v>
      </c>
      <c r="AO270">
        <f t="shared" si="230"/>
        <v>2.9944419240279937E-4</v>
      </c>
      <c r="AP270">
        <f t="shared" si="231"/>
        <v>2.3035259718559638E-4</v>
      </c>
      <c r="AQ270">
        <f t="shared" si="241"/>
        <v>5.2979678958839577E-4</v>
      </c>
      <c r="AR270">
        <f t="shared" si="232"/>
        <v>1.2397244876368461</v>
      </c>
      <c r="BA270">
        <v>17</v>
      </c>
      <c r="BB270">
        <v>0.7</v>
      </c>
      <c r="BC270">
        <f t="shared" si="242"/>
        <v>0</v>
      </c>
      <c r="BD270">
        <f t="shared" si="243"/>
        <v>3.2602739726027397E-2</v>
      </c>
      <c r="BE270">
        <f t="shared" si="244"/>
        <v>-2.76E-2</v>
      </c>
      <c r="BF270">
        <f>Tables!CC$153</f>
        <v>60</v>
      </c>
      <c r="BG270">
        <f t="shared" si="245"/>
        <v>0.8666666666666667</v>
      </c>
      <c r="BH270">
        <f t="shared" si="246"/>
        <v>4.0270794587420186E-3</v>
      </c>
      <c r="BI270">
        <f t="shared" si="252"/>
        <v>2.1458041277448249E-2</v>
      </c>
      <c r="BJ270">
        <f t="shared" si="234"/>
        <v>50.211816589228903</v>
      </c>
    </row>
    <row r="271" spans="5:62" x14ac:dyDescent="0.2">
      <c r="F271" t="s">
        <v>165</v>
      </c>
      <c r="G271" t="s">
        <v>282</v>
      </c>
      <c r="H271">
        <v>76</v>
      </c>
      <c r="I271">
        <v>0</v>
      </c>
      <c r="J271">
        <v>0</v>
      </c>
      <c r="L271">
        <v>31</v>
      </c>
      <c r="N271">
        <f>Tables!CC$29</f>
        <v>-0.03</v>
      </c>
      <c r="O271" s="1">
        <v>0.15</v>
      </c>
      <c r="P271" s="1">
        <v>0.15</v>
      </c>
      <c r="R271">
        <f>Tables!CC90</f>
        <v>0.65</v>
      </c>
      <c r="T271">
        <f>Tables!CC118</f>
        <v>52</v>
      </c>
      <c r="U271">
        <f t="shared" si="249"/>
        <v>8.2999999999999741E-3</v>
      </c>
      <c r="V271">
        <f t="shared" si="250"/>
        <v>0.99170000000000003</v>
      </c>
      <c r="W271">
        <f t="shared" si="251"/>
        <v>0.73</v>
      </c>
      <c r="X271">
        <f t="shared" si="222"/>
        <v>4.7000000000000002E-3</v>
      </c>
      <c r="Y271">
        <f t="shared" si="223"/>
        <v>0</v>
      </c>
      <c r="Z271">
        <v>0</v>
      </c>
      <c r="AA271">
        <f t="shared" si="236"/>
        <v>0</v>
      </c>
      <c r="AB271">
        <f t="shared" si="248"/>
        <v>1.3</v>
      </c>
      <c r="AC271">
        <f t="shared" si="224"/>
        <v>1</v>
      </c>
      <c r="AD271">
        <f t="shared" si="237"/>
        <v>0.51535000000000009</v>
      </c>
      <c r="AF271">
        <f>Tables!CC189</f>
        <v>1.8</v>
      </c>
      <c r="AG271">
        <f t="shared" si="238"/>
        <v>0.99846618932067555</v>
      </c>
      <c r="AH271">
        <f t="shared" si="239"/>
        <v>1.0635112555960096</v>
      </c>
      <c r="AI271">
        <f t="shared" si="240"/>
        <v>1.0618800306745946</v>
      </c>
      <c r="AJ271">
        <f t="shared" si="225"/>
        <v>0.15928200460118919</v>
      </c>
      <c r="AK271">
        <f t="shared" si="226"/>
        <v>0.08</v>
      </c>
      <c r="AL271">
        <f t="shared" si="227"/>
        <v>0.383420652420493</v>
      </c>
      <c r="AM271">
        <f t="shared" si="228"/>
        <v>0.19</v>
      </c>
      <c r="AN271">
        <f t="shared" si="229"/>
        <v>0.6784</v>
      </c>
      <c r="AO271">
        <f t="shared" si="230"/>
        <v>2.9944419240279937E-4</v>
      </c>
      <c r="AP271">
        <f t="shared" si="231"/>
        <v>2.3035259718559638E-4</v>
      </c>
      <c r="AQ271">
        <f t="shared" si="241"/>
        <v>5.2979678958839577E-4</v>
      </c>
      <c r="AR271">
        <f t="shared" si="232"/>
        <v>1.2482012362702606</v>
      </c>
      <c r="BA271">
        <v>17</v>
      </c>
      <c r="BB271">
        <v>0.7</v>
      </c>
      <c r="BC271">
        <f t="shared" si="242"/>
        <v>0</v>
      </c>
      <c r="BD271">
        <f t="shared" si="243"/>
        <v>3.2602739726027397E-2</v>
      </c>
      <c r="BE271">
        <f t="shared" si="244"/>
        <v>-2.76E-2</v>
      </c>
      <c r="BF271">
        <f>Tables!CC$153</f>
        <v>60</v>
      </c>
      <c r="BG271">
        <f t="shared" si="245"/>
        <v>0.8666666666666667</v>
      </c>
      <c r="BH271">
        <f t="shared" si="246"/>
        <v>4.0270794587420186E-3</v>
      </c>
      <c r="BI271">
        <f>MAX((AJ271  / 6.25 ) - BH271, 0)</f>
        <v>2.1458041277448249E-2</v>
      </c>
      <c r="BJ271">
        <f t="shared" si="234"/>
        <v>50.555145249668072</v>
      </c>
    </row>
    <row r="272" spans="5:62" x14ac:dyDescent="0.2">
      <c r="F272" t="s">
        <v>166</v>
      </c>
      <c r="G272" t="s">
        <v>283</v>
      </c>
      <c r="H272">
        <v>90</v>
      </c>
      <c r="I272">
        <v>0</v>
      </c>
      <c r="J272">
        <v>0</v>
      </c>
      <c r="L272">
        <v>30</v>
      </c>
      <c r="N272">
        <f>Tables!CC$30</f>
        <v>-0.02</v>
      </c>
      <c r="P272">
        <f>Tables!CC61</f>
        <v>0.1</v>
      </c>
      <c r="R272">
        <f>Tables!CC91</f>
        <v>0.6</v>
      </c>
      <c r="T272">
        <f>Tables!CC119</f>
        <v>50</v>
      </c>
      <c r="U272">
        <f t="shared" si="249"/>
        <v>8.2999999999999741E-3</v>
      </c>
      <c r="V272">
        <f t="shared" si="250"/>
        <v>0.99170000000000003</v>
      </c>
      <c r="W272">
        <f t="shared" si="251"/>
        <v>0.73</v>
      </c>
      <c r="X272">
        <f t="shared" si="222"/>
        <v>4.7000000000000002E-3</v>
      </c>
      <c r="Y272">
        <f t="shared" si="223"/>
        <v>0</v>
      </c>
      <c r="Z272">
        <v>0</v>
      </c>
      <c r="AA272">
        <f t="shared" si="236"/>
        <v>0</v>
      </c>
      <c r="AB272">
        <f t="shared" si="248"/>
        <v>1.3</v>
      </c>
      <c r="AC272">
        <f t="shared" si="224"/>
        <v>1</v>
      </c>
      <c r="AD272">
        <f t="shared" si="237"/>
        <v>0.47559999999999997</v>
      </c>
      <c r="AF272">
        <f>Tables!CC190</f>
        <v>1</v>
      </c>
      <c r="AG272">
        <f t="shared" si="238"/>
        <v>0.8646647167633873</v>
      </c>
      <c r="AH272">
        <f t="shared" si="239"/>
        <v>0.94288322747903475</v>
      </c>
      <c r="AI272">
        <f t="shared" si="240"/>
        <v>0.81527785882910808</v>
      </c>
      <c r="AJ272">
        <f t="shared" si="225"/>
        <v>8.1527785882910819E-2</v>
      </c>
      <c r="AK272">
        <f t="shared" si="226"/>
        <v>0.08</v>
      </c>
      <c r="AL272">
        <f t="shared" si="227"/>
        <v>0.32448240197428052</v>
      </c>
      <c r="AM272">
        <f t="shared" si="228"/>
        <v>0.19</v>
      </c>
      <c r="AN272">
        <f t="shared" si="229"/>
        <v>0.6784</v>
      </c>
      <c r="AO272">
        <f t="shared" si="230"/>
        <v>2.5341454664666813E-4</v>
      </c>
      <c r="AP272">
        <f t="shared" si="231"/>
        <v>1.9494350021037423E-4</v>
      </c>
      <c r="AQ272">
        <f t="shared" si="241"/>
        <v>4.4835804685704238E-4</v>
      </c>
      <c r="AR272">
        <f t="shared" si="232"/>
        <v>1.2105667265140145</v>
      </c>
      <c r="BA272">
        <v>17</v>
      </c>
      <c r="BB272">
        <v>0.7</v>
      </c>
      <c r="BC272">
        <f t="shared" si="242"/>
        <v>0</v>
      </c>
      <c r="BD272">
        <f t="shared" si="243"/>
        <v>3.2602739726027397E-2</v>
      </c>
      <c r="BE272">
        <f t="shared" si="244"/>
        <v>-1.84E-2</v>
      </c>
      <c r="BF272">
        <f>Tables!CC$154</f>
        <v>60</v>
      </c>
      <c r="BG272">
        <f t="shared" si="245"/>
        <v>0.83333333333333337</v>
      </c>
      <c r="BH272">
        <f t="shared" si="246"/>
        <v>4.140356229082133E-3</v>
      </c>
      <c r="BI272">
        <f t="shared" si="252"/>
        <v>8.9040895121835981E-3</v>
      </c>
      <c r="BJ272">
        <f t="shared" si="234"/>
        <v>24.041041682895717</v>
      </c>
    </row>
    <row r="273" spans="6:62" x14ac:dyDescent="0.2">
      <c r="F273" t="s">
        <v>166</v>
      </c>
      <c r="G273" t="s">
        <v>284</v>
      </c>
      <c r="H273">
        <v>90</v>
      </c>
      <c r="I273">
        <v>0</v>
      </c>
      <c r="J273">
        <v>0</v>
      </c>
      <c r="L273">
        <v>31</v>
      </c>
      <c r="N273">
        <f>Tables!CC$30</f>
        <v>-0.02</v>
      </c>
      <c r="P273">
        <f>Tables!CC61</f>
        <v>0.1</v>
      </c>
      <c r="R273">
        <f>Tables!CC91</f>
        <v>0.6</v>
      </c>
      <c r="T273">
        <f>Tables!CC119</f>
        <v>50</v>
      </c>
      <c r="U273">
        <f t="shared" si="249"/>
        <v>8.2999999999999741E-3</v>
      </c>
      <c r="V273">
        <f t="shared" si="250"/>
        <v>0.99170000000000003</v>
      </c>
      <c r="W273">
        <f t="shared" si="251"/>
        <v>0.73</v>
      </c>
      <c r="X273">
        <f t="shared" si="222"/>
        <v>4.7000000000000002E-3</v>
      </c>
      <c r="Y273">
        <f t="shared" si="223"/>
        <v>0</v>
      </c>
      <c r="Z273">
        <v>0</v>
      </c>
      <c r="AA273">
        <f t="shared" si="236"/>
        <v>0</v>
      </c>
      <c r="AB273">
        <f t="shared" si="248"/>
        <v>1.3</v>
      </c>
      <c r="AC273">
        <f t="shared" si="224"/>
        <v>1</v>
      </c>
      <c r="AD273">
        <f t="shared" si="237"/>
        <v>0.47559999999999997</v>
      </c>
      <c r="AF273">
        <f>Tables!CC190</f>
        <v>1</v>
      </c>
      <c r="AG273">
        <f t="shared" si="238"/>
        <v>0.8646647167633873</v>
      </c>
      <c r="AH273">
        <f t="shared" si="239"/>
        <v>0.94288322747903475</v>
      </c>
      <c r="AI273">
        <f t="shared" si="240"/>
        <v>0.81527785882910808</v>
      </c>
      <c r="AJ273">
        <f t="shared" si="225"/>
        <v>8.1527785882910819E-2</v>
      </c>
      <c r="AK273">
        <f t="shared" si="226"/>
        <v>0.08</v>
      </c>
      <c r="AL273">
        <f t="shared" si="227"/>
        <v>0.32448240197428052</v>
      </c>
      <c r="AM273">
        <f t="shared" si="228"/>
        <v>0.19</v>
      </c>
      <c r="AN273">
        <f t="shared" si="229"/>
        <v>0.6784</v>
      </c>
      <c r="AO273">
        <f t="shared" si="230"/>
        <v>2.5341454664666813E-4</v>
      </c>
      <c r="AP273">
        <f t="shared" si="231"/>
        <v>1.9494350021037423E-4</v>
      </c>
      <c r="AQ273">
        <f t="shared" si="241"/>
        <v>4.4835804685704238E-4</v>
      </c>
      <c r="AR273">
        <f t="shared" si="232"/>
        <v>1.2509189507311482</v>
      </c>
      <c r="BA273">
        <v>17</v>
      </c>
      <c r="BB273">
        <v>0.7</v>
      </c>
      <c r="BC273">
        <f t="shared" si="242"/>
        <v>0</v>
      </c>
      <c r="BD273">
        <f t="shared" si="243"/>
        <v>3.2602739726027397E-2</v>
      </c>
      <c r="BE273">
        <f t="shared" si="244"/>
        <v>-1.84E-2</v>
      </c>
      <c r="BF273">
        <f>Tables!CC$154</f>
        <v>60</v>
      </c>
      <c r="BG273">
        <f t="shared" si="245"/>
        <v>0.83333333333333337</v>
      </c>
      <c r="BH273">
        <f t="shared" si="246"/>
        <v>4.140356229082133E-3</v>
      </c>
      <c r="BI273">
        <f t="shared" si="252"/>
        <v>8.9040895121835981E-3</v>
      </c>
      <c r="BJ273">
        <f t="shared" si="234"/>
        <v>24.842409738992238</v>
      </c>
    </row>
    <row r="274" spans="6:62" x14ac:dyDescent="0.2">
      <c r="F274" t="s">
        <v>166</v>
      </c>
      <c r="G274" t="s">
        <v>285</v>
      </c>
      <c r="H274">
        <v>85</v>
      </c>
      <c r="I274">
        <v>0</v>
      </c>
      <c r="J274">
        <v>0</v>
      </c>
      <c r="L274">
        <v>31</v>
      </c>
      <c r="N274">
        <f>Tables!CC$30</f>
        <v>-0.02</v>
      </c>
      <c r="P274">
        <f>Tables!CC61</f>
        <v>0.1</v>
      </c>
      <c r="R274">
        <f>Tables!CC91</f>
        <v>0.6</v>
      </c>
      <c r="T274">
        <f>Tables!CC119</f>
        <v>50</v>
      </c>
      <c r="U274">
        <f t="shared" si="249"/>
        <v>8.2999999999999741E-3</v>
      </c>
      <c r="V274">
        <f t="shared" si="250"/>
        <v>0.99170000000000003</v>
      </c>
      <c r="W274">
        <f t="shared" si="251"/>
        <v>0.73</v>
      </c>
      <c r="X274">
        <f t="shared" si="222"/>
        <v>4.7000000000000002E-3</v>
      </c>
      <c r="Y274">
        <f t="shared" si="223"/>
        <v>0</v>
      </c>
      <c r="Z274">
        <v>0</v>
      </c>
      <c r="AA274">
        <f t="shared" si="236"/>
        <v>0</v>
      </c>
      <c r="AB274">
        <f t="shared" si="248"/>
        <v>1.3</v>
      </c>
      <c r="AC274">
        <f t="shared" si="224"/>
        <v>1</v>
      </c>
      <c r="AD274">
        <f t="shared" si="237"/>
        <v>0.47559999999999997</v>
      </c>
      <c r="AF274">
        <f>Tables!CC190</f>
        <v>1</v>
      </c>
      <c r="AG274">
        <f t="shared" si="238"/>
        <v>0.8646647167633873</v>
      </c>
      <c r="AH274">
        <f t="shared" si="239"/>
        <v>0.94288322747903475</v>
      </c>
      <c r="AI274">
        <f t="shared" si="240"/>
        <v>0.81527785882910808</v>
      </c>
      <c r="AJ274">
        <f t="shared" si="225"/>
        <v>8.1527785882910819E-2</v>
      </c>
      <c r="AK274">
        <f t="shared" si="226"/>
        <v>0.08</v>
      </c>
      <c r="AL274">
        <f t="shared" si="227"/>
        <v>0.32448240197428052</v>
      </c>
      <c r="AM274">
        <f t="shared" si="228"/>
        <v>0.19</v>
      </c>
      <c r="AN274">
        <f t="shared" si="229"/>
        <v>0.6784</v>
      </c>
      <c r="AO274">
        <f t="shared" si="230"/>
        <v>2.5341454664666813E-4</v>
      </c>
      <c r="AP274">
        <f t="shared" si="231"/>
        <v>1.9494350021037423E-4</v>
      </c>
      <c r="AQ274">
        <f t="shared" si="241"/>
        <v>4.4835804685704238E-4</v>
      </c>
      <c r="AR274">
        <f t="shared" si="232"/>
        <v>1.1814234534683066</v>
      </c>
      <c r="BA274">
        <v>17</v>
      </c>
      <c r="BB274">
        <v>0.7</v>
      </c>
      <c r="BC274">
        <f t="shared" si="242"/>
        <v>0</v>
      </c>
      <c r="BD274">
        <f t="shared" si="243"/>
        <v>3.2602739726027397E-2</v>
      </c>
      <c r="BE274">
        <f t="shared" si="244"/>
        <v>-1.84E-2</v>
      </c>
      <c r="BF274">
        <f>Tables!CC$154</f>
        <v>60</v>
      </c>
      <c r="BG274">
        <f t="shared" si="245"/>
        <v>0.83333333333333337</v>
      </c>
      <c r="BH274">
        <f t="shared" si="246"/>
        <v>4.140356229082133E-3</v>
      </c>
      <c r="BI274">
        <f t="shared" si="252"/>
        <v>8.9040895121835981E-3</v>
      </c>
      <c r="BJ274">
        <f t="shared" si="234"/>
        <v>23.462275864603782</v>
      </c>
    </row>
    <row r="275" spans="6:62" x14ac:dyDescent="0.2">
      <c r="F275" t="s">
        <v>163</v>
      </c>
      <c r="G275" t="s">
        <v>286</v>
      </c>
      <c r="H275">
        <v>85</v>
      </c>
      <c r="I275">
        <v>0</v>
      </c>
      <c r="J275">
        <v>0</v>
      </c>
      <c r="K275" s="1">
        <v>18</v>
      </c>
      <c r="L275" s="1">
        <v>18</v>
      </c>
      <c r="N275">
        <f>Tables!CC$27</f>
        <v>0.11</v>
      </c>
      <c r="P275">
        <f>Tables!CC58</f>
        <v>0.16</v>
      </c>
      <c r="R275">
        <f>Tables!CC88</f>
        <v>0.7</v>
      </c>
      <c r="T275">
        <f>Tables!CC116</f>
        <v>60</v>
      </c>
      <c r="U275">
        <f t="shared" si="249"/>
        <v>8.2999999999999741E-3</v>
      </c>
      <c r="V275">
        <f t="shared" si="250"/>
        <v>0.99170000000000003</v>
      </c>
      <c r="W275">
        <f t="shared" si="251"/>
        <v>0.73</v>
      </c>
      <c r="X275">
        <f t="shared" si="222"/>
        <v>4.7000000000000002E-3</v>
      </c>
      <c r="Y275">
        <f t="shared" si="223"/>
        <v>0</v>
      </c>
      <c r="Z275">
        <v>0</v>
      </c>
      <c r="AA275">
        <f t="shared" si="236"/>
        <v>0</v>
      </c>
      <c r="AB275">
        <f t="shared" si="248"/>
        <v>1.3</v>
      </c>
      <c r="AC275">
        <f t="shared" si="224"/>
        <v>1</v>
      </c>
      <c r="AD275">
        <f t="shared" si="237"/>
        <v>0.55510000000000004</v>
      </c>
      <c r="AF275">
        <f>Tables!CC187</f>
        <v>3.2</v>
      </c>
      <c r="AG275">
        <f t="shared" si="238"/>
        <v>0.99999999872459233</v>
      </c>
      <c r="AH275">
        <f t="shared" si="239"/>
        <v>1.3266722980183725</v>
      </c>
      <c r="AI275">
        <f t="shared" si="240"/>
        <v>1.3266722963263244</v>
      </c>
      <c r="AJ275">
        <f t="shared" si="225"/>
        <v>0.21226756741221192</v>
      </c>
      <c r="AK275">
        <f t="shared" si="226"/>
        <v>0.08</v>
      </c>
      <c r="AL275">
        <f t="shared" si="227"/>
        <v>0.43093173903776888</v>
      </c>
      <c r="AM275">
        <f t="shared" si="228"/>
        <v>0.19</v>
      </c>
      <c r="AN275">
        <f t="shared" si="229"/>
        <v>0.6784</v>
      </c>
      <c r="AO275">
        <f t="shared" si="230"/>
        <v>3.365494418787382E-4</v>
      </c>
      <c r="AP275">
        <f t="shared" si="231"/>
        <v>2.5889644877081781E-4</v>
      </c>
      <c r="AQ275">
        <f t="shared" si="241"/>
        <v>5.9544589064955606E-4</v>
      </c>
      <c r="AR275">
        <f t="shared" si="232"/>
        <v>0.91103221269382084</v>
      </c>
      <c r="BA275">
        <v>17</v>
      </c>
      <c r="BB275">
        <v>0.7</v>
      </c>
      <c r="BC275">
        <f t="shared" si="242"/>
        <v>0</v>
      </c>
      <c r="BD275">
        <f t="shared" si="243"/>
        <v>3.2602739726027397E-2</v>
      </c>
      <c r="BE275">
        <f t="shared" si="244"/>
        <v>0.1012</v>
      </c>
      <c r="BF275">
        <f>Tables!CC$151</f>
        <v>60</v>
      </c>
      <c r="BG275">
        <f t="shared" si="245"/>
        <v>1</v>
      </c>
      <c r="BH275">
        <f t="shared" si="246"/>
        <v>5.607625423297906E-3</v>
      </c>
      <c r="BI275">
        <f t="shared" si="252"/>
        <v>2.8355185362656004E-2</v>
      </c>
      <c r="BJ275">
        <f t="shared" si="234"/>
        <v>43.383433604863683</v>
      </c>
    </row>
    <row r="276" spans="6:62" x14ac:dyDescent="0.2">
      <c r="F276" t="s">
        <v>163</v>
      </c>
      <c r="G276" t="s">
        <v>287</v>
      </c>
      <c r="H276">
        <v>75</v>
      </c>
      <c r="I276">
        <v>0</v>
      </c>
      <c r="J276">
        <v>0</v>
      </c>
      <c r="K276" s="1">
        <v>20</v>
      </c>
      <c r="L276" s="1">
        <v>20</v>
      </c>
      <c r="N276">
        <f>Tables!CC$27</f>
        <v>0.11</v>
      </c>
      <c r="P276">
        <f>Tables!CC58</f>
        <v>0.16</v>
      </c>
      <c r="R276">
        <f>Tables!CC88</f>
        <v>0.7</v>
      </c>
      <c r="T276">
        <f>Tables!CC116</f>
        <v>60</v>
      </c>
      <c r="U276">
        <f t="shared" si="249"/>
        <v>8.2999999999999741E-3</v>
      </c>
      <c r="V276">
        <f t="shared" si="250"/>
        <v>0.99170000000000003</v>
      </c>
      <c r="W276">
        <f t="shared" si="251"/>
        <v>0.73</v>
      </c>
      <c r="X276">
        <f t="shared" si="222"/>
        <v>4.7000000000000002E-3</v>
      </c>
      <c r="Y276">
        <f t="shared" si="223"/>
        <v>0</v>
      </c>
      <c r="Z276">
        <v>0</v>
      </c>
      <c r="AA276">
        <f t="shared" si="236"/>
        <v>0</v>
      </c>
      <c r="AB276">
        <f t="shared" si="248"/>
        <v>1.3</v>
      </c>
      <c r="AC276">
        <f t="shared" si="224"/>
        <v>1</v>
      </c>
      <c r="AD276">
        <f t="shared" si="237"/>
        <v>0.55510000000000004</v>
      </c>
      <c r="AF276">
        <f>Tables!CC187</f>
        <v>3.2</v>
      </c>
      <c r="AG276">
        <f t="shared" si="238"/>
        <v>0.99999999872459233</v>
      </c>
      <c r="AH276">
        <f t="shared" si="239"/>
        <v>1.3266722980183725</v>
      </c>
      <c r="AI276">
        <f t="shared" si="240"/>
        <v>1.3266722963263244</v>
      </c>
      <c r="AJ276">
        <f t="shared" si="225"/>
        <v>0.21226756741221192</v>
      </c>
      <c r="AK276">
        <f t="shared" si="226"/>
        <v>0.08</v>
      </c>
      <c r="AL276">
        <f t="shared" si="227"/>
        <v>0.43093173903776888</v>
      </c>
      <c r="AM276">
        <f t="shared" si="228"/>
        <v>0.19</v>
      </c>
      <c r="AN276">
        <f t="shared" si="229"/>
        <v>0.6784</v>
      </c>
      <c r="AO276">
        <f t="shared" si="230"/>
        <v>3.365494418787382E-4</v>
      </c>
      <c r="AP276">
        <f t="shared" si="231"/>
        <v>2.5889644877081781E-4</v>
      </c>
      <c r="AQ276">
        <f t="shared" si="241"/>
        <v>5.9544589064955606E-4</v>
      </c>
      <c r="AR276">
        <f t="shared" si="232"/>
        <v>0.89316883597433405</v>
      </c>
      <c r="BA276">
        <v>17</v>
      </c>
      <c r="BB276">
        <v>0.7</v>
      </c>
      <c r="BC276">
        <f t="shared" si="242"/>
        <v>0</v>
      </c>
      <c r="BD276">
        <f t="shared" si="243"/>
        <v>3.2602739726027397E-2</v>
      </c>
      <c r="BE276">
        <f t="shared" si="244"/>
        <v>0.1012</v>
      </c>
      <c r="BF276">
        <f>Tables!CC$151</f>
        <v>60</v>
      </c>
      <c r="BG276">
        <f t="shared" si="245"/>
        <v>1</v>
      </c>
      <c r="BH276">
        <f t="shared" si="246"/>
        <v>5.607625423297906E-3</v>
      </c>
      <c r="BI276">
        <f t="shared" si="252"/>
        <v>2.8355185362656004E-2</v>
      </c>
      <c r="BJ276">
        <f t="shared" si="234"/>
        <v>42.53277804398401</v>
      </c>
    </row>
    <row r="277" spans="6:62" x14ac:dyDescent="0.2">
      <c r="F277" t="s">
        <v>163</v>
      </c>
      <c r="G277" t="s">
        <v>288</v>
      </c>
      <c r="H277">
        <v>75</v>
      </c>
      <c r="I277">
        <v>0</v>
      </c>
      <c r="J277">
        <v>0</v>
      </c>
      <c r="K277" s="1">
        <v>20</v>
      </c>
      <c r="L277" s="1">
        <v>20</v>
      </c>
      <c r="N277">
        <f>Tables!CC$27</f>
        <v>0.11</v>
      </c>
      <c r="P277">
        <f>Tables!CC58</f>
        <v>0.16</v>
      </c>
      <c r="R277">
        <f>Tables!CC88</f>
        <v>0.7</v>
      </c>
      <c r="T277">
        <f>Tables!CC116</f>
        <v>60</v>
      </c>
      <c r="U277">
        <f t="shared" si="249"/>
        <v>8.2999999999999741E-3</v>
      </c>
      <c r="V277">
        <f t="shared" si="250"/>
        <v>0.99170000000000003</v>
      </c>
      <c r="W277">
        <f t="shared" si="251"/>
        <v>0.73</v>
      </c>
      <c r="X277">
        <f t="shared" si="222"/>
        <v>4.7000000000000002E-3</v>
      </c>
      <c r="Y277">
        <f t="shared" si="223"/>
        <v>0</v>
      </c>
      <c r="Z277">
        <v>0</v>
      </c>
      <c r="AA277">
        <f t="shared" si="236"/>
        <v>0</v>
      </c>
      <c r="AB277">
        <f t="shared" si="248"/>
        <v>1.3</v>
      </c>
      <c r="AC277">
        <f t="shared" si="224"/>
        <v>1</v>
      </c>
      <c r="AD277">
        <f t="shared" si="237"/>
        <v>0.55510000000000004</v>
      </c>
      <c r="AF277">
        <f>Tables!CC187</f>
        <v>3.2</v>
      </c>
      <c r="AG277">
        <f t="shared" si="238"/>
        <v>0.99999999872459233</v>
      </c>
      <c r="AH277">
        <f t="shared" si="239"/>
        <v>1.3266722980183725</v>
      </c>
      <c r="AI277">
        <f t="shared" si="240"/>
        <v>1.3266722963263244</v>
      </c>
      <c r="AJ277">
        <f t="shared" si="225"/>
        <v>0.21226756741221192</v>
      </c>
      <c r="AK277">
        <f t="shared" si="226"/>
        <v>0.08</v>
      </c>
      <c r="AL277">
        <f t="shared" si="227"/>
        <v>0.43093173903776888</v>
      </c>
      <c r="AM277">
        <f t="shared" si="228"/>
        <v>0.19</v>
      </c>
      <c r="AN277">
        <f t="shared" si="229"/>
        <v>0.6784</v>
      </c>
      <c r="AO277">
        <f t="shared" si="230"/>
        <v>3.365494418787382E-4</v>
      </c>
      <c r="AP277">
        <f t="shared" si="231"/>
        <v>2.5889644877081781E-4</v>
      </c>
      <c r="AQ277">
        <f t="shared" si="241"/>
        <v>5.9544589064955606E-4</v>
      </c>
      <c r="AR277">
        <f t="shared" si="232"/>
        <v>0.89316883597433405</v>
      </c>
      <c r="BA277">
        <v>17</v>
      </c>
      <c r="BB277">
        <v>0.7</v>
      </c>
      <c r="BC277">
        <f t="shared" si="242"/>
        <v>0</v>
      </c>
      <c r="BD277">
        <f t="shared" si="243"/>
        <v>3.2602739726027397E-2</v>
      </c>
      <c r="BE277">
        <f t="shared" si="244"/>
        <v>0.1012</v>
      </c>
      <c r="BF277">
        <f>Tables!CC$151</f>
        <v>60</v>
      </c>
      <c r="BG277">
        <f t="shared" si="245"/>
        <v>1</v>
      </c>
      <c r="BH277">
        <f t="shared" si="246"/>
        <v>5.607625423297906E-3</v>
      </c>
      <c r="BI277">
        <f t="shared" si="252"/>
        <v>2.8355185362656004E-2</v>
      </c>
      <c r="BJ277">
        <f t="shared" si="234"/>
        <v>42.53277804398401</v>
      </c>
    </row>
    <row r="278" spans="6:62" x14ac:dyDescent="0.2">
      <c r="F278" t="s">
        <v>164</v>
      </c>
      <c r="G278" t="s">
        <v>289</v>
      </c>
      <c r="H278">
        <v>80</v>
      </c>
      <c r="I278">
        <v>0</v>
      </c>
      <c r="J278">
        <v>0</v>
      </c>
      <c r="L278">
        <v>31</v>
      </c>
      <c r="N278">
        <f>Tables!CC$28</f>
        <v>-0.05</v>
      </c>
      <c r="P278">
        <f>Tables!CC59</f>
        <v>7.0000000000000007E-2</v>
      </c>
      <c r="R278">
        <f>Tables!CC89</f>
        <v>0.55000000000000004</v>
      </c>
      <c r="T278">
        <f>Tables!CC117</f>
        <v>55</v>
      </c>
      <c r="U278">
        <f t="shared" si="249"/>
        <v>8.2999999999999741E-3</v>
      </c>
      <c r="V278">
        <f t="shared" si="250"/>
        <v>0.99170000000000003</v>
      </c>
      <c r="W278">
        <f t="shared" si="251"/>
        <v>0.73</v>
      </c>
      <c r="X278">
        <f t="shared" si="222"/>
        <v>4.7000000000000002E-3</v>
      </c>
      <c r="Y278">
        <f t="shared" si="223"/>
        <v>0</v>
      </c>
      <c r="Z278">
        <v>0</v>
      </c>
      <c r="AA278">
        <f t="shared" si="236"/>
        <v>0</v>
      </c>
      <c r="AB278">
        <f t="shared" si="248"/>
        <v>1.3</v>
      </c>
      <c r="AC278">
        <f t="shared" si="224"/>
        <v>1</v>
      </c>
      <c r="AD278">
        <f t="shared" si="237"/>
        <v>0.43585000000000007</v>
      </c>
      <c r="AF278">
        <f>Tables!CC188</f>
        <v>3</v>
      </c>
      <c r="AG278">
        <f t="shared" si="238"/>
        <v>0.99999998477002028</v>
      </c>
      <c r="AH278">
        <f t="shared" si="239"/>
        <v>0.95969823125361531</v>
      </c>
      <c r="AI278">
        <f t="shared" si="240"/>
        <v>0.95969821663743071</v>
      </c>
      <c r="AJ278">
        <f t="shared" si="225"/>
        <v>6.717887516462015E-2</v>
      </c>
      <c r="AK278">
        <f t="shared" si="226"/>
        <v>0.08</v>
      </c>
      <c r="AL278">
        <f t="shared" si="227"/>
        <v>0.43120862223412426</v>
      </c>
      <c r="AM278">
        <f t="shared" si="228"/>
        <v>0.19</v>
      </c>
      <c r="AN278">
        <f t="shared" si="229"/>
        <v>0.6784</v>
      </c>
      <c r="AO278">
        <f t="shared" si="230"/>
        <v>3.3676568235665495E-4</v>
      </c>
      <c r="AP278">
        <f t="shared" si="231"/>
        <v>2.5906279547904771E-4</v>
      </c>
      <c r="AQ278">
        <f t="shared" si="241"/>
        <v>5.9582847783570272E-4</v>
      </c>
      <c r="AR278">
        <f t="shared" si="232"/>
        <v>1.4776546250325429</v>
      </c>
      <c r="BA278">
        <v>17</v>
      </c>
      <c r="BB278">
        <v>0.7</v>
      </c>
      <c r="BC278">
        <f t="shared" si="242"/>
        <v>0</v>
      </c>
      <c r="BD278">
        <f t="shared" si="243"/>
        <v>3.2602739726027397E-2</v>
      </c>
      <c r="BE278">
        <f t="shared" si="244"/>
        <v>-4.6000000000000006E-2</v>
      </c>
      <c r="BF278">
        <f>Tables!CC$152</f>
        <v>60</v>
      </c>
      <c r="BG278">
        <f t="shared" si="245"/>
        <v>0.91666666666666663</v>
      </c>
      <c r="BH278">
        <f t="shared" si="246"/>
        <v>3.8055244511866217E-3</v>
      </c>
      <c r="BI278">
        <f t="shared" si="252"/>
        <v>6.9430955751526024E-3</v>
      </c>
      <c r="BJ278">
        <f t="shared" si="234"/>
        <v>17.218877026378454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90"/>
  <sheetViews>
    <sheetView topLeftCell="BR92" workbookViewId="0">
      <selection activeCell="CA126" sqref="CA126"/>
    </sheetView>
  </sheetViews>
  <sheetFormatPr baseColWidth="10" defaultRowHeight="16" x14ac:dyDescent="0.2"/>
  <cols>
    <col min="4" max="7" width="16.83203125" customWidth="1"/>
    <col min="8" max="8" width="13.5" customWidth="1"/>
    <col min="10" max="10" width="11.83203125" customWidth="1"/>
    <col min="11" max="11" width="13.1640625" customWidth="1"/>
    <col min="38" max="38" width="17.83203125" customWidth="1"/>
    <col min="48" max="48" width="16.83203125" customWidth="1"/>
    <col min="62" max="62" width="17.83203125" customWidth="1"/>
    <col min="69" max="69" width="11" customWidth="1"/>
    <col min="70" max="70" width="35.83203125" bestFit="1" customWidth="1"/>
    <col min="71" max="74" width="11" customWidth="1"/>
    <col min="75" max="75" width="9.6640625" bestFit="1" customWidth="1"/>
    <col min="76" max="76" width="16.5" bestFit="1" customWidth="1"/>
    <col min="77" max="77" width="11.6640625" bestFit="1" customWidth="1"/>
    <col min="78" max="78" width="13.5" bestFit="1" customWidth="1"/>
    <col min="79" max="79" width="16.1640625" bestFit="1" customWidth="1"/>
    <col min="80" max="80" width="11.6640625" bestFit="1" customWidth="1"/>
    <col min="81" max="81" width="10.1640625" bestFit="1" customWidth="1"/>
    <col min="82" max="82" width="18.5" bestFit="1" customWidth="1"/>
    <col min="83" max="83" width="14.33203125" bestFit="1" customWidth="1"/>
    <col min="86" max="90" width="12" customWidth="1"/>
    <col min="91" max="93" width="11" customWidth="1"/>
  </cols>
  <sheetData>
    <row r="1" spans="1:93" x14ac:dyDescent="0.2">
      <c r="M1" t="s">
        <v>238</v>
      </c>
      <c r="N1" t="s">
        <v>238</v>
      </c>
      <c r="AC1" t="s">
        <v>239</v>
      </c>
      <c r="AP1" t="s">
        <v>238</v>
      </c>
      <c r="AS1" t="s">
        <v>238</v>
      </c>
      <c r="AT1" t="s">
        <v>238</v>
      </c>
      <c r="AU1" t="s">
        <v>256</v>
      </c>
      <c r="BQ1">
        <v>1084</v>
      </c>
      <c r="BR1" t="s">
        <v>257</v>
      </c>
      <c r="BS1">
        <v>0.24</v>
      </c>
      <c r="BU1" t="s">
        <v>265</v>
      </c>
      <c r="BV1">
        <v>1.3</v>
      </c>
    </row>
    <row r="2" spans="1:93" x14ac:dyDescent="0.2">
      <c r="AD2" t="s">
        <v>2</v>
      </c>
      <c r="AE2" t="s">
        <v>3</v>
      </c>
      <c r="AF2" t="s">
        <v>4</v>
      </c>
      <c r="AH2" t="s">
        <v>5</v>
      </c>
      <c r="AJ2" t="s">
        <v>6</v>
      </c>
      <c r="AK2" t="s">
        <v>8</v>
      </c>
      <c r="AL2" t="s">
        <v>9</v>
      </c>
      <c r="AV2" t="s">
        <v>7</v>
      </c>
      <c r="AX2" t="s">
        <v>11</v>
      </c>
      <c r="BA2" t="s">
        <v>12</v>
      </c>
      <c r="BC2" t="s">
        <v>12</v>
      </c>
      <c r="BD2" t="s">
        <v>13</v>
      </c>
      <c r="BF2" t="s">
        <v>10</v>
      </c>
      <c r="BH2" t="s">
        <v>1</v>
      </c>
      <c r="BI2" t="s">
        <v>0</v>
      </c>
      <c r="BJ2" t="s">
        <v>14</v>
      </c>
      <c r="BK2" t="s">
        <v>15</v>
      </c>
      <c r="BL2" t="s">
        <v>16</v>
      </c>
      <c r="BQ2">
        <v>1087</v>
      </c>
      <c r="BR2" t="s">
        <v>152</v>
      </c>
      <c r="BS2">
        <v>0.08</v>
      </c>
    </row>
    <row r="3" spans="1:93" x14ac:dyDescent="0.2">
      <c r="J3" t="s">
        <v>17</v>
      </c>
      <c r="K3" t="s">
        <v>18</v>
      </c>
      <c r="L3" t="s">
        <v>19</v>
      </c>
      <c r="M3">
        <v>342</v>
      </c>
      <c r="N3">
        <v>323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U3" t="s">
        <v>51</v>
      </c>
      <c r="W3" t="s">
        <v>25</v>
      </c>
      <c r="X3" t="s">
        <v>26</v>
      </c>
      <c r="Y3" t="s">
        <v>27</v>
      </c>
      <c r="Z3" t="s">
        <v>29</v>
      </c>
      <c r="AA3" t="s">
        <v>30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42</v>
      </c>
      <c r="AL3" t="s">
        <v>43</v>
      </c>
      <c r="AM3" t="s">
        <v>45</v>
      </c>
      <c r="AN3" t="s">
        <v>46</v>
      </c>
      <c r="AO3">
        <v>351</v>
      </c>
      <c r="AP3">
        <v>314</v>
      </c>
      <c r="AQ3">
        <v>302</v>
      </c>
      <c r="AR3">
        <v>349</v>
      </c>
      <c r="AS3">
        <v>308</v>
      </c>
      <c r="AT3">
        <v>296</v>
      </c>
      <c r="AU3" t="s">
        <v>47</v>
      </c>
      <c r="AV3" t="s">
        <v>41</v>
      </c>
      <c r="AW3" t="s">
        <v>48</v>
      </c>
      <c r="AX3" t="s">
        <v>49</v>
      </c>
      <c r="AY3" t="s">
        <v>50</v>
      </c>
      <c r="AZ3" t="s">
        <v>52</v>
      </c>
      <c r="BA3" t="s">
        <v>53</v>
      </c>
      <c r="BC3" t="s">
        <v>53</v>
      </c>
      <c r="BD3" t="s">
        <v>54</v>
      </c>
      <c r="BF3" t="s">
        <v>44</v>
      </c>
      <c r="BH3" t="s">
        <v>31</v>
      </c>
      <c r="BI3" t="s">
        <v>28</v>
      </c>
      <c r="BJ3" t="s">
        <v>55</v>
      </c>
      <c r="BK3" t="s">
        <v>56</v>
      </c>
      <c r="BL3" t="s">
        <v>57</v>
      </c>
      <c r="BR3" t="s">
        <v>125</v>
      </c>
      <c r="BS3">
        <v>91.25</v>
      </c>
    </row>
    <row r="4" spans="1:93" x14ac:dyDescent="0.2">
      <c r="J4" t="s">
        <v>58</v>
      </c>
      <c r="K4" t="s">
        <v>58</v>
      </c>
      <c r="L4" t="s">
        <v>58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U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60</v>
      </c>
      <c r="AE4" t="s">
        <v>60</v>
      </c>
      <c r="AF4" t="s">
        <v>60</v>
      </c>
      <c r="AG4" t="s">
        <v>59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59</v>
      </c>
      <c r="AN4" t="s">
        <v>59</v>
      </c>
      <c r="AO4" t="s">
        <v>59</v>
      </c>
      <c r="AP4" t="s">
        <v>60</v>
      </c>
      <c r="AQ4" t="s">
        <v>60</v>
      </c>
      <c r="AR4" t="s">
        <v>59</v>
      </c>
      <c r="AS4" t="s">
        <v>60</v>
      </c>
      <c r="AT4" t="s">
        <v>60</v>
      </c>
      <c r="AU4" t="s">
        <v>60</v>
      </c>
      <c r="AV4" t="s">
        <v>60</v>
      </c>
      <c r="AW4" t="s">
        <v>59</v>
      </c>
      <c r="AX4" t="s">
        <v>60</v>
      </c>
      <c r="AY4" t="s">
        <v>59</v>
      </c>
      <c r="AZ4" t="s">
        <v>59</v>
      </c>
      <c r="BA4" t="s">
        <v>60</v>
      </c>
      <c r="BC4" t="s">
        <v>60</v>
      </c>
      <c r="BD4" t="s">
        <v>60</v>
      </c>
      <c r="BF4" t="s">
        <v>60</v>
      </c>
      <c r="BH4" t="s">
        <v>60</v>
      </c>
      <c r="BI4" t="s">
        <v>60</v>
      </c>
      <c r="BJ4" t="s">
        <v>60</v>
      </c>
      <c r="BK4" t="s">
        <v>60</v>
      </c>
      <c r="BL4" t="s">
        <v>60</v>
      </c>
      <c r="BQ4">
        <v>1094</v>
      </c>
      <c r="BR4" t="s">
        <v>131</v>
      </c>
      <c r="BS4">
        <v>0.24</v>
      </c>
    </row>
    <row r="5" spans="1:93" x14ac:dyDescent="0.2">
      <c r="J5" t="s">
        <v>61</v>
      </c>
      <c r="K5" t="s">
        <v>61</v>
      </c>
      <c r="L5" t="s">
        <v>61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U5" t="s">
        <v>61</v>
      </c>
      <c r="W5" t="s">
        <v>58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R5" t="s">
        <v>58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C5" t="s">
        <v>61</v>
      </c>
      <c r="BD5" t="s">
        <v>61</v>
      </c>
      <c r="BF5" t="s">
        <v>61</v>
      </c>
      <c r="BH5" t="s">
        <v>61</v>
      </c>
      <c r="BI5" t="s">
        <v>61</v>
      </c>
      <c r="BJ5" t="s">
        <v>61</v>
      </c>
      <c r="BK5" t="s">
        <v>61</v>
      </c>
      <c r="BL5" t="s">
        <v>61</v>
      </c>
      <c r="BQ5">
        <v>1093</v>
      </c>
      <c r="BR5" t="s">
        <v>219</v>
      </c>
      <c r="BS5">
        <v>0.21</v>
      </c>
      <c r="BW5" t="s">
        <v>172</v>
      </c>
      <c r="BX5" t="s">
        <v>126</v>
      </c>
    </row>
    <row r="6" spans="1:93" ht="17" thickBot="1" x14ac:dyDescent="0.25">
      <c r="BQ6">
        <v>1095</v>
      </c>
      <c r="BR6" t="s">
        <v>220</v>
      </c>
      <c r="BS6">
        <v>1.0999999999999999E-2</v>
      </c>
      <c r="BW6" t="s">
        <v>180</v>
      </c>
      <c r="BX6" t="s">
        <v>161</v>
      </c>
      <c r="BY6" t="s">
        <v>173</v>
      </c>
      <c r="BZ6" t="s">
        <v>271</v>
      </c>
      <c r="CA6" t="s">
        <v>272</v>
      </c>
      <c r="CB6" t="s">
        <v>273</v>
      </c>
      <c r="CC6" t="s">
        <v>274</v>
      </c>
      <c r="CD6" t="s">
        <v>275</v>
      </c>
      <c r="CE6" t="s">
        <v>189</v>
      </c>
      <c r="CH6" t="s">
        <v>181</v>
      </c>
      <c r="CI6" t="s">
        <v>182</v>
      </c>
      <c r="CJ6" t="s">
        <v>183</v>
      </c>
      <c r="CK6" t="s">
        <v>184</v>
      </c>
      <c r="CL6" t="s">
        <v>185</v>
      </c>
      <c r="CM6" t="s">
        <v>186</v>
      </c>
      <c r="CN6" t="s">
        <v>187</v>
      </c>
      <c r="CO6" t="s">
        <v>188</v>
      </c>
    </row>
    <row r="7" spans="1:93" ht="17" thickTop="1" x14ac:dyDescent="0.2">
      <c r="BQ7">
        <v>1088</v>
      </c>
      <c r="BR7" t="s">
        <v>150</v>
      </c>
      <c r="BS7">
        <f>[1]!common_cn2o</f>
        <v>1.57</v>
      </c>
      <c r="BW7" t="s">
        <v>163</v>
      </c>
      <c r="BX7" t="s">
        <v>169</v>
      </c>
      <c r="BY7">
        <v>0.04</v>
      </c>
      <c r="BZ7">
        <v>-0.02</v>
      </c>
      <c r="CA7">
        <v>0</v>
      </c>
      <c r="CB7">
        <v>-0.02</v>
      </c>
      <c r="CC7">
        <v>0.11</v>
      </c>
      <c r="CD7">
        <v>0.05</v>
      </c>
      <c r="CE7">
        <v>1</v>
      </c>
      <c r="CH7" t="s">
        <v>179</v>
      </c>
      <c r="CI7" t="s">
        <v>180</v>
      </c>
      <c r="CJ7" t="s">
        <v>162</v>
      </c>
      <c r="CK7" t="s">
        <v>167</v>
      </c>
      <c r="CL7" t="s">
        <v>168</v>
      </c>
      <c r="CM7" t="s">
        <v>169</v>
      </c>
      <c r="CN7" t="s">
        <v>170</v>
      </c>
      <c r="CO7" s="6" t="s">
        <v>171</v>
      </c>
    </row>
    <row r="8" spans="1:93" x14ac:dyDescent="0.2">
      <c r="J8" t="s">
        <v>62</v>
      </c>
      <c r="K8" t="s">
        <v>63</v>
      </c>
      <c r="L8" t="s">
        <v>64</v>
      </c>
      <c r="O8" t="s">
        <v>65</v>
      </c>
      <c r="P8" t="s">
        <v>66</v>
      </c>
      <c r="Q8" t="s">
        <v>63</v>
      </c>
      <c r="R8" t="s">
        <v>63</v>
      </c>
      <c r="S8" t="s">
        <v>66</v>
      </c>
      <c r="U8" t="s">
        <v>63</v>
      </c>
      <c r="W8" t="s">
        <v>63</v>
      </c>
      <c r="X8" t="s">
        <v>63</v>
      </c>
      <c r="Y8" t="s">
        <v>63</v>
      </c>
      <c r="Z8" t="s">
        <v>68</v>
      </c>
      <c r="AA8" t="s">
        <v>69</v>
      </c>
      <c r="AB8" t="s">
        <v>70</v>
      </c>
      <c r="AC8" t="s">
        <v>63</v>
      </c>
      <c r="AD8" t="s">
        <v>71</v>
      </c>
      <c r="AE8" t="s">
        <v>71</v>
      </c>
      <c r="AF8" t="s">
        <v>66</v>
      </c>
      <c r="AG8" t="s">
        <v>66</v>
      </c>
      <c r="AH8" t="s">
        <v>63</v>
      </c>
      <c r="AI8" t="s">
        <v>63</v>
      </c>
      <c r="AJ8" t="s">
        <v>72</v>
      </c>
      <c r="AK8" t="s">
        <v>73</v>
      </c>
      <c r="AL8" t="s">
        <v>73</v>
      </c>
      <c r="AM8" t="s">
        <v>74</v>
      </c>
      <c r="AN8" t="s">
        <v>63</v>
      </c>
      <c r="AU8" t="s">
        <v>75</v>
      </c>
      <c r="AV8" t="s">
        <v>71</v>
      </c>
      <c r="AW8" t="s">
        <v>63</v>
      </c>
      <c r="AX8" t="s">
        <v>71</v>
      </c>
      <c r="AY8" t="s">
        <v>76</v>
      </c>
      <c r="AZ8" t="s">
        <v>77</v>
      </c>
      <c r="BA8" t="s">
        <v>78</v>
      </c>
      <c r="BC8" t="s">
        <v>78</v>
      </c>
      <c r="BD8" t="s">
        <v>79</v>
      </c>
      <c r="BF8" t="s">
        <v>67</v>
      </c>
      <c r="BH8" t="s">
        <v>67</v>
      </c>
      <c r="BI8" t="s">
        <v>67</v>
      </c>
      <c r="BJ8" t="s">
        <v>80</v>
      </c>
      <c r="BK8" t="s">
        <v>80</v>
      </c>
      <c r="BL8" t="s">
        <v>80</v>
      </c>
      <c r="BW8" t="s">
        <v>164</v>
      </c>
      <c r="BX8" t="s">
        <v>169</v>
      </c>
      <c r="BY8">
        <v>-0.05</v>
      </c>
      <c r="BZ8">
        <v>0.05</v>
      </c>
      <c r="CA8">
        <v>0</v>
      </c>
      <c r="CB8">
        <v>0</v>
      </c>
      <c r="CC8">
        <v>-0.05</v>
      </c>
      <c r="CD8">
        <v>-0.05</v>
      </c>
      <c r="CE8">
        <v>2</v>
      </c>
      <c r="CH8" t="s">
        <v>173</v>
      </c>
      <c r="CI8" t="s">
        <v>163</v>
      </c>
      <c r="CJ8">
        <v>7.0000000000000007E-2</v>
      </c>
      <c r="CK8">
        <v>0.08</v>
      </c>
      <c r="CL8">
        <v>7.0000000000000007E-2</v>
      </c>
      <c r="CM8">
        <v>0.04</v>
      </c>
      <c r="CN8">
        <v>0.05</v>
      </c>
      <c r="CO8">
        <v>0.16</v>
      </c>
    </row>
    <row r="9" spans="1:93" x14ac:dyDescent="0.2">
      <c r="J9" t="s">
        <v>81</v>
      </c>
      <c r="K9" t="s">
        <v>82</v>
      </c>
      <c r="L9" t="s">
        <v>83</v>
      </c>
      <c r="M9" t="s">
        <v>236</v>
      </c>
      <c r="N9" t="s">
        <v>237</v>
      </c>
      <c r="O9" t="s">
        <v>84</v>
      </c>
      <c r="P9" t="s">
        <v>85</v>
      </c>
      <c r="Q9" t="s">
        <v>86</v>
      </c>
      <c r="R9" t="s">
        <v>87</v>
      </c>
      <c r="S9" t="s">
        <v>88</v>
      </c>
      <c r="U9" t="s">
        <v>115</v>
      </c>
      <c r="W9" t="s">
        <v>89</v>
      </c>
      <c r="X9" t="s">
        <v>90</v>
      </c>
      <c r="Y9" t="s">
        <v>91</v>
      </c>
      <c r="Z9" t="s">
        <v>93</v>
      </c>
      <c r="AA9" t="s">
        <v>94</v>
      </c>
      <c r="AB9" t="s">
        <v>96</v>
      </c>
      <c r="AC9" t="s">
        <v>97</v>
      </c>
      <c r="AD9" t="s">
        <v>98</v>
      </c>
      <c r="AE9" t="s">
        <v>99</v>
      </c>
      <c r="AF9" t="s">
        <v>100</v>
      </c>
      <c r="AG9" t="s">
        <v>101</v>
      </c>
      <c r="AH9" t="s">
        <v>102</v>
      </c>
      <c r="AI9" t="s">
        <v>103</v>
      </c>
      <c r="AJ9" t="s">
        <v>104</v>
      </c>
      <c r="AK9" t="s">
        <v>106</v>
      </c>
      <c r="AL9" t="s">
        <v>107</v>
      </c>
      <c r="AM9" t="s">
        <v>109</v>
      </c>
      <c r="AN9" t="s">
        <v>110</v>
      </c>
      <c r="AU9" t="s">
        <v>111</v>
      </c>
      <c r="AV9" t="s">
        <v>105</v>
      </c>
      <c r="AW9" t="s">
        <v>112</v>
      </c>
      <c r="AX9" t="s">
        <v>113</v>
      </c>
      <c r="AY9" t="s">
        <v>114</v>
      </c>
      <c r="AZ9" t="s">
        <v>116</v>
      </c>
      <c r="BA9" t="s">
        <v>117</v>
      </c>
      <c r="BC9" t="s">
        <v>117</v>
      </c>
      <c r="BD9" t="s">
        <v>118</v>
      </c>
      <c r="BF9" t="s">
        <v>108</v>
      </c>
      <c r="BH9" t="s">
        <v>95</v>
      </c>
      <c r="BI9" t="s">
        <v>92</v>
      </c>
      <c r="BJ9" t="s">
        <v>119</v>
      </c>
      <c r="BK9" t="s">
        <v>120</v>
      </c>
      <c r="BL9" t="s">
        <v>121</v>
      </c>
      <c r="BS9" t="s">
        <v>200</v>
      </c>
      <c r="BU9" t="s">
        <v>201</v>
      </c>
      <c r="BW9" t="s">
        <v>165</v>
      </c>
      <c r="BX9" t="s">
        <v>169</v>
      </c>
      <c r="BY9">
        <v>0.01</v>
      </c>
      <c r="BZ9">
        <v>0</v>
      </c>
      <c r="CA9">
        <v>0</v>
      </c>
      <c r="CB9">
        <v>0</v>
      </c>
      <c r="CC9">
        <v>-0.02</v>
      </c>
      <c r="CD9">
        <v>-0.05</v>
      </c>
      <c r="CE9">
        <v>3</v>
      </c>
      <c r="CI9" t="s">
        <v>164</v>
      </c>
      <c r="CJ9">
        <v>0</v>
      </c>
      <c r="CK9">
        <v>-0.08</v>
      </c>
      <c r="CL9">
        <v>0</v>
      </c>
      <c r="CM9">
        <v>-0.05</v>
      </c>
      <c r="CN9">
        <v>-0.05</v>
      </c>
      <c r="CO9">
        <v>0.08</v>
      </c>
    </row>
    <row r="10" spans="1:93" ht="17" thickBot="1" x14ac:dyDescent="0.25">
      <c r="A10" t="s">
        <v>160</v>
      </c>
      <c r="B10" s="1" t="s">
        <v>179</v>
      </c>
      <c r="C10" s="1" t="s">
        <v>179</v>
      </c>
      <c r="D10" s="1" t="s">
        <v>212</v>
      </c>
      <c r="E10" s="1" t="s">
        <v>218</v>
      </c>
      <c r="F10" s="1" t="s">
        <v>221</v>
      </c>
      <c r="G10" s="1" t="s">
        <v>253</v>
      </c>
      <c r="H10" t="s">
        <v>161</v>
      </c>
      <c r="J10" s="1" t="s">
        <v>122</v>
      </c>
      <c r="K10" s="1" t="s">
        <v>123</v>
      </c>
      <c r="L10" s="1" t="s">
        <v>124</v>
      </c>
      <c r="M10" s="1" t="s">
        <v>235</v>
      </c>
      <c r="N10" s="1" t="s">
        <v>240</v>
      </c>
      <c r="O10" t="s">
        <v>125</v>
      </c>
      <c r="P10" t="s">
        <v>126</v>
      </c>
      <c r="Q10" t="s">
        <v>127</v>
      </c>
      <c r="R10" t="s">
        <v>128</v>
      </c>
      <c r="S10" t="s">
        <v>129</v>
      </c>
      <c r="T10" t="s">
        <v>215</v>
      </c>
      <c r="U10" t="s">
        <v>214</v>
      </c>
      <c r="V10" t="s">
        <v>217</v>
      </c>
      <c r="W10" t="s">
        <v>216</v>
      </c>
      <c r="X10" t="s">
        <v>130</v>
      </c>
      <c r="Y10" t="s">
        <v>131</v>
      </c>
      <c r="Z10" t="s">
        <v>133</v>
      </c>
      <c r="AA10" t="s">
        <v>134</v>
      </c>
      <c r="AB10" t="s">
        <v>136</v>
      </c>
      <c r="AC10" t="s">
        <v>137</v>
      </c>
      <c r="AD10" t="s">
        <v>138</v>
      </c>
      <c r="AE10" t="s">
        <v>139</v>
      </c>
      <c r="AF10" t="s">
        <v>140</v>
      </c>
      <c r="AG10" t="s">
        <v>141</v>
      </c>
      <c r="AH10" t="s">
        <v>142</v>
      </c>
      <c r="AI10" t="s">
        <v>143</v>
      </c>
      <c r="AJ10" t="s">
        <v>144</v>
      </c>
      <c r="AK10" t="s">
        <v>146</v>
      </c>
      <c r="AL10" t="s">
        <v>147</v>
      </c>
      <c r="AM10" t="s">
        <v>149</v>
      </c>
      <c r="AN10" t="s">
        <v>150</v>
      </c>
      <c r="AO10" t="s">
        <v>265</v>
      </c>
      <c r="AP10" t="s">
        <v>261</v>
      </c>
      <c r="AQ10" t="s">
        <v>264</v>
      </c>
      <c r="AR10" t="s">
        <v>262</v>
      </c>
      <c r="AS10" t="s">
        <v>260</v>
      </c>
      <c r="AT10" t="s">
        <v>259</v>
      </c>
      <c r="AU10" t="s">
        <v>151</v>
      </c>
      <c r="AV10" t="s">
        <v>145</v>
      </c>
      <c r="AW10" t="s">
        <v>152</v>
      </c>
      <c r="AX10" t="s">
        <v>153</v>
      </c>
      <c r="AY10" t="s">
        <v>154</v>
      </c>
      <c r="AZ10" t="s">
        <v>155</v>
      </c>
      <c r="BA10" t="s">
        <v>266</v>
      </c>
      <c r="BB10" t="s">
        <v>267</v>
      </c>
      <c r="BC10" t="s">
        <v>268</v>
      </c>
      <c r="BD10" t="s">
        <v>156</v>
      </c>
      <c r="BE10" s="27" t="s">
        <v>156</v>
      </c>
      <c r="BF10" t="s">
        <v>148</v>
      </c>
      <c r="BG10" t="s">
        <v>148</v>
      </c>
      <c r="BH10" t="s">
        <v>135</v>
      </c>
      <c r="BI10" t="s">
        <v>132</v>
      </c>
      <c r="BJ10" s="27" t="s">
        <v>157</v>
      </c>
      <c r="BK10" s="27" t="s">
        <v>158</v>
      </c>
      <c r="BL10" s="27" t="s">
        <v>159</v>
      </c>
      <c r="BR10" t="s">
        <v>202</v>
      </c>
      <c r="BS10">
        <v>4.7000000000000002E-3</v>
      </c>
      <c r="BT10" s="13" t="s">
        <v>193</v>
      </c>
      <c r="BU10" s="13">
        <v>0.72</v>
      </c>
      <c r="BW10" t="s">
        <v>166</v>
      </c>
      <c r="BX10" t="s">
        <v>169</v>
      </c>
      <c r="BY10">
        <v>0</v>
      </c>
      <c r="BZ10">
        <v>-0.03</v>
      </c>
      <c r="CA10">
        <v>0</v>
      </c>
      <c r="CB10">
        <v>0.02</v>
      </c>
      <c r="CC10">
        <v>-0.03</v>
      </c>
      <c r="CD10">
        <v>0.05</v>
      </c>
      <c r="CE10">
        <v>4</v>
      </c>
      <c r="CI10" t="s">
        <v>165</v>
      </c>
      <c r="CJ10">
        <v>-7.0000000000000007E-2</v>
      </c>
      <c r="CK10">
        <v>0</v>
      </c>
      <c r="CL10">
        <v>0</v>
      </c>
      <c r="CM10">
        <v>0.01</v>
      </c>
      <c r="CN10">
        <v>-0.01</v>
      </c>
      <c r="CO10">
        <v>0.05</v>
      </c>
    </row>
    <row r="11" spans="1:93" ht="18" thickTop="1" thickBot="1" x14ac:dyDescent="0.25">
      <c r="A11" t="s">
        <v>269</v>
      </c>
      <c r="B11" t="s">
        <v>193</v>
      </c>
      <c r="C11" t="s">
        <v>173</v>
      </c>
      <c r="D11" t="s">
        <v>213</v>
      </c>
      <c r="E11" t="s">
        <v>213</v>
      </c>
      <c r="F11" s="13" t="s">
        <v>224</v>
      </c>
      <c r="G11" s="13" t="s">
        <v>254</v>
      </c>
      <c r="H11" s="11" t="s">
        <v>169</v>
      </c>
      <c r="I11" t="s">
        <v>163</v>
      </c>
      <c r="J11">
        <v>4</v>
      </c>
      <c r="K11">
        <v>0.65</v>
      </c>
      <c r="L11">
        <v>100</v>
      </c>
      <c r="M11">
        <v>95</v>
      </c>
      <c r="N11">
        <v>90</v>
      </c>
      <c r="O11">
        <f t="shared" ref="O11:O34" si="0">$BS$3</f>
        <v>91.25</v>
      </c>
      <c r="P11" cm="1">
        <f t="array" ref="P11:P34">_xlfn.DROP(_xlfn.XLOOKUP($C11,TableLWG2_1[[#Headers],[ACT/NSW]:[WA]],TableLWG2_1[[#All],[ACT/NSW]:[WA]]),1)</f>
        <v>0.04</v>
      </c>
      <c r="Q11" cm="1">
        <f t="array" ref="Q11:Q34">_xlfn.DROP(_xlfn.XLOOKUP($C11,QueryCP[[#Headers],[ACT/NSW]:[WA]],QueryCP[[#All],[ACT/NSW]:[WA]]),1)</f>
        <v>0.2</v>
      </c>
      <c r="R11" cm="1">
        <f t="array" ref="R11:R34">_xlfn.DROP(_xlfn.XLOOKUP($C11,QueryDMD[[#Headers],[ACT/NSW]:[WA]],QueryDMD[[#All],[ACT/NSW]:[WA]]),1)</f>
        <v>0.75</v>
      </c>
      <c r="S11" cm="1">
        <f t="array" ref="S11:S34">_xlfn.DROP(_xlfn.XLOOKUP($C11,QueryW[[#Headers],[ACT/NSW]:[WA]],QueryW[[#All],[ACT/NSW]:[WA]]),1)</f>
        <v>54</v>
      </c>
      <c r="T11">
        <f>1-U11</f>
        <v>0</v>
      </c>
      <c r="U11">
        <f>IF($D$11="yes", 1, VLOOKUP(B11, $BR$26:$BT$32, 1))</f>
        <v>1</v>
      </c>
      <c r="V11">
        <f>VLOOKUP($B$11,$BT$10:$BU$16, 2, FALSE)</f>
        <v>0.72</v>
      </c>
      <c r="W11">
        <f t="shared" ref="W11:W34" si="1">$BS$10</f>
        <v>4.7000000000000002E-3</v>
      </c>
      <c r="X11">
        <f>IF(E11="yes",1,0)</f>
        <v>1</v>
      </c>
      <c r="Y11">
        <f t="shared" ref="Y11:Y34" si="2">$BS$4</f>
        <v>0.24</v>
      </c>
      <c r="Z11">
        <f t="shared" ref="Z11:Z34" si="3">$BS$6</f>
        <v>1.0999999999999999E-2</v>
      </c>
      <c r="AA11">
        <f t="shared" ref="AA11:AA34" si="4">$BS$5</f>
        <v>0.21</v>
      </c>
      <c r="AB11">
        <f>VLOOKUP($F$11,$BR$37:$BS$49,2,FALSE)</f>
        <v>5.8999999999999999E-3</v>
      </c>
      <c r="AC11">
        <f t="shared" ref="AC11:AC34" si="5">(M11/100)*(MIN(N11,100)/100)</f>
        <v>0.85499999999999998</v>
      </c>
      <c r="AD11">
        <f>AC11 * 1.6</f>
        <v>1.3680000000000001</v>
      </c>
      <c r="AE11">
        <f t="shared" ref="AE11:AE34" si="6">J11 * K11 / 365</f>
        <v>7.1232876712328773E-3</v>
      </c>
      <c r="AF11">
        <f t="shared" ref="AF11:AF34" si="7">P11 * 0.92</f>
        <v>3.6799999999999999E-2</v>
      </c>
      <c r="AG11" cm="1">
        <f t="array" ref="AG11:AG34">_xlfn.DROP(_xlfn.XLOOKUP($C11,QuerySRW[[#Headers],[ACT/NSW]:[WA]],QuerySRW[[#All],[ACT/NSW]:[WA]]),1)</f>
        <v>57</v>
      </c>
      <c r="AH11">
        <f t="shared" ref="AH11:AH34" si="8">S11 / AG11</f>
        <v>0.94736842105263153</v>
      </c>
      <c r="AI11">
        <v>0</v>
      </c>
      <c r="AJ11">
        <f>1.6 * AI11</f>
        <v>0</v>
      </c>
      <c r="AK11">
        <f>(0.045*AD11+AE11*0.84+
      (AF11*
          (
              (212 - 4*(AF11*1000/(4*AG11^0.75)-1))-((140 - 4 * (AF11*1000/(4*AG11^0.75)-1))/(1+EXP(-6*(AH11-0.4))))
          )
      )*10^-3
)/6.25</f>
        <v>1.1261151088387938E-2</v>
      </c>
      <c r="AL11">
        <f t="shared" ref="AL11:AL34" si="9">(AV11 / 6.25 ) - AK11</f>
        <v>3.9886829165220503E-2</v>
      </c>
      <c r="AM11">
        <f t="shared" ref="AM11:AM34" si="10">IF($G$11="wet",$BU$18,$BU$19)</f>
        <v>6.0000000000000001E-3</v>
      </c>
      <c r="AN11">
        <f>$BS$7</f>
        <v>1.57</v>
      </c>
      <c r="AO11">
        <f>$BV$1</f>
        <v>1.3</v>
      </c>
      <c r="AP11">
        <f>AC11*AO11+(1-AC11)</f>
        <v>1.2565</v>
      </c>
      <c r="AQ11">
        <f t="shared" ref="AQ11:AQ34" si="11">(0.795*R11)-0.0014</f>
        <v>0.5948500000000001</v>
      </c>
      <c r="AR11" cm="1">
        <f t="array" ref="AR11:AR34">_xlfn.DROP(_xlfn.XLOOKUP($C11,QueryDMA[[#Headers],[ACT/NSW]:[WA]],QueryDMA[[#All],[ACT/NSW]:[WA]]),1)</f>
        <v>2.9</v>
      </c>
      <c r="AS11">
        <f>1 - EXP(-2*(AR11^2))</f>
        <v>0.9999999504359468</v>
      </c>
      <c r="AT11">
        <f t="shared" ref="AT11:AT34" si="12">(104.7*AQ11+0.307*S11-15)*(S11^0.75)*10^-3</f>
        <v>1.2720847291262878</v>
      </c>
      <c r="AU11">
        <f>AT11*AS11*AP11</f>
        <v>1.5983743829252637</v>
      </c>
      <c r="AV11">
        <f t="shared" ref="AV11:AV34" si="13">(AU11 * Q11) + (0.045 * AJ11)</f>
        <v>0.31967487658505278</v>
      </c>
      <c r="AW11">
        <f>$BS$2</f>
        <v>0.08</v>
      </c>
      <c r="AX11">
        <f t="shared" ref="AX11:AX34" si="14">(AU11 * ((1 - R11) + (0.04 * AU11))) * ( 1 - AW11 )</f>
        <v>0.46164277265490583</v>
      </c>
      <c r="AY11">
        <f>$BS$1</f>
        <v>0.24</v>
      </c>
      <c r="AZ11">
        <f>$BT$20</f>
        <v>0.6784</v>
      </c>
      <c r="BA11">
        <f>AX11 * AY11 * T11 * V11 * AZ11</f>
        <v>0</v>
      </c>
      <c r="BB11">
        <f>AX11*AY11*U11*W11*AZ11</f>
        <v>3.5326529946113142E-4</v>
      </c>
      <c r="BC11">
        <f>BA11+BB11</f>
        <v>3.5326529946113142E-4</v>
      </c>
      <c r="BD11">
        <f>L11*BC11*O11</f>
        <v>3.223545857582824</v>
      </c>
      <c r="BE11">
        <f>SUM(BD11:BD34)*10^-3</f>
        <v>6.8147172064674369E-2</v>
      </c>
      <c r="BF11">
        <f t="shared" ref="BF11:BF34" si="15">L11*AL11*O11</f>
        <v>363.96731613263705</v>
      </c>
      <c r="BG11">
        <f>SUM(BF11:BF34)</f>
        <v>6371.2696517031618</v>
      </c>
      <c r="BH11">
        <f>BF11 * AA11</f>
        <v>76.433136387853779</v>
      </c>
      <c r="BI11">
        <f>BF11 * X11 * Y11</f>
        <v>87.352155871832892</v>
      </c>
      <c r="BJ11">
        <f>BF11 * AM11 * AN11 * 10^-3</f>
        <v>3.428572117969441E-3</v>
      </c>
      <c r="BK11">
        <f>BH11 * AB11 * AN11 * 10^-3</f>
        <v>7.0800014236068951E-4</v>
      </c>
      <c r="BL11">
        <f>BI11 * Z11 * AN11 * 10^-3</f>
        <v>1.5085717319065542E-3</v>
      </c>
      <c r="BT11" s="13" t="s">
        <v>194</v>
      </c>
      <c r="BU11" s="13">
        <v>0.75</v>
      </c>
      <c r="BW11" t="s">
        <v>163</v>
      </c>
      <c r="BX11" s="6" t="s">
        <v>171</v>
      </c>
      <c r="BY11">
        <v>0.16</v>
      </c>
      <c r="BZ11">
        <v>0.2</v>
      </c>
      <c r="CA11">
        <v>0.11</v>
      </c>
      <c r="CB11">
        <v>0.15</v>
      </c>
      <c r="CC11">
        <v>0.15</v>
      </c>
      <c r="CD11">
        <v>0.11</v>
      </c>
      <c r="CE11">
        <v>1</v>
      </c>
      <c r="CI11" t="s">
        <v>166</v>
      </c>
      <c r="CJ11">
        <v>0</v>
      </c>
      <c r="CK11">
        <v>0</v>
      </c>
      <c r="CL11">
        <v>0.02</v>
      </c>
      <c r="CM11">
        <v>0</v>
      </c>
      <c r="CN11">
        <v>0.01</v>
      </c>
      <c r="CO11">
        <v>0.04</v>
      </c>
    </row>
    <row r="12" spans="1:93" ht="18" thickTop="1" thickBot="1" x14ac:dyDescent="0.25">
      <c r="H12" s="12"/>
      <c r="I12" t="s">
        <v>164</v>
      </c>
      <c r="J12">
        <f>J11</f>
        <v>4</v>
      </c>
      <c r="K12">
        <f>K11</f>
        <v>0.65</v>
      </c>
      <c r="L12">
        <v>70</v>
      </c>
      <c r="M12">
        <v>0</v>
      </c>
      <c r="N12">
        <v>0</v>
      </c>
      <c r="O12">
        <f t="shared" si="0"/>
        <v>91.25</v>
      </c>
      <c r="P12">
        <v>-0.05</v>
      </c>
      <c r="Q12">
        <v>0.1</v>
      </c>
      <c r="R12">
        <v>0.61</v>
      </c>
      <c r="S12">
        <v>49</v>
      </c>
      <c r="T12">
        <f t="shared" ref="T12:T34" si="16">1-U12</f>
        <v>0</v>
      </c>
      <c r="U12">
        <f t="shared" ref="U12:U34" si="17">IF($D$11="yes", 1, VLOOKUP(B12, $BR$26:$BT$32, 1))</f>
        <v>1</v>
      </c>
      <c r="V12">
        <f t="shared" ref="V12:V34" si="18">VLOOKUP($B$11,$BT$10:$BU$16, 2, FALSE)</f>
        <v>0.72</v>
      </c>
      <c r="W12">
        <f t="shared" si="1"/>
        <v>4.7000000000000002E-3</v>
      </c>
      <c r="X12">
        <f t="shared" ref="X12:X34" si="19">IF(E12="yes",1,0)</f>
        <v>0</v>
      </c>
      <c r="Y12">
        <f t="shared" si="2"/>
        <v>0.24</v>
      </c>
      <c r="Z12">
        <f t="shared" si="3"/>
        <v>1.0999999999999999E-2</v>
      </c>
      <c r="AA12">
        <f t="shared" si="4"/>
        <v>0.21</v>
      </c>
      <c r="AB12">
        <f t="shared" ref="AB12:AB34" si="20">VLOOKUP($F$11,$BR$37:$BS$49,2,FALSE)</f>
        <v>5.8999999999999999E-3</v>
      </c>
      <c r="AC12">
        <f t="shared" si="5"/>
        <v>0</v>
      </c>
      <c r="AD12">
        <f t="shared" ref="AD12:AD34" si="21">AC12 * 1.6</f>
        <v>0</v>
      </c>
      <c r="AE12">
        <f t="shared" si="6"/>
        <v>7.1232876712328773E-3</v>
      </c>
      <c r="AF12">
        <f t="shared" si="7"/>
        <v>-4.6000000000000006E-2</v>
      </c>
      <c r="AG12">
        <v>57</v>
      </c>
      <c r="AH12">
        <f t="shared" si="8"/>
        <v>0.85964912280701755</v>
      </c>
      <c r="AI12">
        <v>0</v>
      </c>
      <c r="AJ12">
        <f t="shared" ref="AJ12:AJ34" si="22">1.6 * AI12</f>
        <v>0</v>
      </c>
      <c r="AK12">
        <f t="shared" ref="AK12:AK34" si="23">(0.045*AD12+AE12*0.84+
      (AF12*
          (
              (212 - 4*(AF12*1000/(4*AG12^0.75)-1))-((140 - 4 * (AF12*1000/(4*AG12^0.75)-1))/(1+EXP(-6*(AH12-0.4))))
          )
      )*10^-3
)/6.25</f>
        <v>3.6326515165143006E-4</v>
      </c>
      <c r="AL12">
        <f t="shared" si="9"/>
        <v>1.4651626395231406E-2</v>
      </c>
      <c r="AM12">
        <f t="shared" si="10"/>
        <v>6.0000000000000001E-3</v>
      </c>
      <c r="AN12">
        <f t="shared" ref="AN12:AN34" si="24">$BS$7</f>
        <v>1.57</v>
      </c>
      <c r="AO12">
        <f t="shared" ref="AO12:AO34" si="25">$BV$1</f>
        <v>1.3</v>
      </c>
      <c r="AP12">
        <f t="shared" ref="AP12:AP34" si="26">AC12*AO12+(1-AC12)</f>
        <v>1</v>
      </c>
      <c r="AQ12">
        <f t="shared" si="11"/>
        <v>0.48354999999999998</v>
      </c>
      <c r="AR12">
        <v>2.5</v>
      </c>
      <c r="AS12">
        <f t="shared" ref="AS12:AS34" si="27">1 - EXP(-2*(AR12^2))</f>
        <v>0.99999627334682795</v>
      </c>
      <c r="AT12">
        <f t="shared" si="12"/>
        <v>0.93843421889903578</v>
      </c>
      <c r="AU12">
        <f t="shared" ref="AU12:AU34" si="28">AT12*AS12*AP12</f>
        <v>0.93843072168017716</v>
      </c>
      <c r="AV12">
        <f t="shared" si="13"/>
        <v>9.3843072168017724E-2</v>
      </c>
      <c r="AW12">
        <f t="shared" ref="AW12:AW34" si="29">$BS$2</f>
        <v>0.08</v>
      </c>
      <c r="AX12">
        <f t="shared" si="14"/>
        <v>0.3691169446125166</v>
      </c>
      <c r="AY12">
        <f t="shared" ref="AY12:AY34" si="30">$BS$1</f>
        <v>0.24</v>
      </c>
      <c r="AZ12">
        <f t="shared" ref="AZ12:AZ34" si="31">$BT$20</f>
        <v>0.6784</v>
      </c>
      <c r="BA12">
        <f>AX12 * AY12 * T12 * V12 * AZ12</f>
        <v>0</v>
      </c>
      <c r="BB12">
        <f t="shared" ref="BB12:BB34" si="32">AX12*AY12*U12*W12*AZ12</f>
        <v>2.8246127893394806E-4</v>
      </c>
      <c r="BC12">
        <f t="shared" ref="BC12:BC34" si="33">BA12+BB12</f>
        <v>2.8246127893394806E-4</v>
      </c>
      <c r="BD12">
        <f t="shared" ref="BD12:BD34" si="34">L12*BC12*O12</f>
        <v>1.8042214191905934</v>
      </c>
      <c r="BF12">
        <f t="shared" si="15"/>
        <v>93.587263599540606</v>
      </c>
      <c r="BT12" s="13" t="s">
        <v>195</v>
      </c>
      <c r="BU12" s="13">
        <v>0.78</v>
      </c>
      <c r="BW12" t="s">
        <v>164</v>
      </c>
      <c r="BX12" s="6" t="s">
        <v>171</v>
      </c>
      <c r="BY12">
        <v>0.08</v>
      </c>
      <c r="BZ12">
        <v>0.05</v>
      </c>
      <c r="CA12">
        <v>0.05</v>
      </c>
      <c r="CB12">
        <v>0.11</v>
      </c>
      <c r="CC12">
        <v>7.0000000000000007E-2</v>
      </c>
      <c r="CD12">
        <v>0</v>
      </c>
      <c r="CE12">
        <v>2</v>
      </c>
      <c r="CH12" t="s">
        <v>174</v>
      </c>
      <c r="CI12" t="s">
        <v>163</v>
      </c>
      <c r="CJ12">
        <v>-0.02</v>
      </c>
      <c r="CK12">
        <v>0</v>
      </c>
      <c r="CL12">
        <v>0</v>
      </c>
      <c r="CM12">
        <v>-0.02</v>
      </c>
      <c r="CN12">
        <v>-0.03</v>
      </c>
      <c r="CO12">
        <v>0.2</v>
      </c>
    </row>
    <row r="13" spans="1:93" ht="18" thickTop="1" thickBot="1" x14ac:dyDescent="0.25">
      <c r="H13" s="11"/>
      <c r="I13" t="s">
        <v>165</v>
      </c>
      <c r="J13">
        <f t="shared" ref="J13:J14" si="35">J12</f>
        <v>4</v>
      </c>
      <c r="K13">
        <f>K11</f>
        <v>0.65</v>
      </c>
      <c r="L13">
        <v>65</v>
      </c>
      <c r="M13">
        <v>0</v>
      </c>
      <c r="N13">
        <v>0</v>
      </c>
      <c r="O13">
        <f t="shared" si="0"/>
        <v>91.25</v>
      </c>
      <c r="P13">
        <v>0.01</v>
      </c>
      <c r="Q13">
        <v>0.12</v>
      </c>
      <c r="R13">
        <v>0.64</v>
      </c>
      <c r="S13">
        <v>50</v>
      </c>
      <c r="T13">
        <f t="shared" si="16"/>
        <v>0</v>
      </c>
      <c r="U13">
        <f t="shared" si="17"/>
        <v>1</v>
      </c>
      <c r="V13">
        <f t="shared" si="18"/>
        <v>0.72</v>
      </c>
      <c r="W13">
        <f t="shared" si="1"/>
        <v>4.7000000000000002E-3</v>
      </c>
      <c r="X13">
        <f t="shared" si="19"/>
        <v>0</v>
      </c>
      <c r="Y13">
        <f t="shared" si="2"/>
        <v>0.24</v>
      </c>
      <c r="Z13">
        <f t="shared" si="3"/>
        <v>1.0999999999999999E-2</v>
      </c>
      <c r="AA13">
        <f t="shared" si="4"/>
        <v>0.21</v>
      </c>
      <c r="AB13">
        <f t="shared" si="20"/>
        <v>5.8999999999999999E-3</v>
      </c>
      <c r="AC13">
        <f t="shared" si="5"/>
        <v>0</v>
      </c>
      <c r="AD13">
        <f t="shared" si="21"/>
        <v>0</v>
      </c>
      <c r="AE13">
        <f t="shared" si="6"/>
        <v>7.1232876712328773E-3</v>
      </c>
      <c r="AF13">
        <f t="shared" si="7"/>
        <v>9.1999999999999998E-3</v>
      </c>
      <c r="AG13">
        <v>57</v>
      </c>
      <c r="AH13">
        <f t="shared" si="8"/>
        <v>0.8771929824561403</v>
      </c>
      <c r="AI13">
        <v>0</v>
      </c>
      <c r="AJ13">
        <f t="shared" si="22"/>
        <v>0</v>
      </c>
      <c r="AK13">
        <f t="shared" si="23"/>
        <v>1.0747659693624819E-3</v>
      </c>
      <c r="AL13">
        <f t="shared" si="9"/>
        <v>1.811521741614671E-2</v>
      </c>
      <c r="AM13">
        <f t="shared" si="10"/>
        <v>6.0000000000000001E-3</v>
      </c>
      <c r="AN13">
        <f t="shared" si="24"/>
        <v>1.57</v>
      </c>
      <c r="AO13">
        <f t="shared" si="25"/>
        <v>1.3</v>
      </c>
      <c r="AP13">
        <f t="shared" si="26"/>
        <v>1</v>
      </c>
      <c r="AQ13">
        <f t="shared" si="11"/>
        <v>0.50740000000000007</v>
      </c>
      <c r="AR13">
        <v>1.6</v>
      </c>
      <c r="AS13">
        <f t="shared" si="27"/>
        <v>0.99402397710499402</v>
      </c>
      <c r="AT13">
        <f t="shared" si="12"/>
        <v>1.0054871153505722</v>
      </c>
      <c r="AU13">
        <f t="shared" si="28"/>
        <v>0.99947830132860371</v>
      </c>
      <c r="AV13">
        <f t="shared" si="13"/>
        <v>0.11993739615943244</v>
      </c>
      <c r="AW13">
        <f t="shared" si="29"/>
        <v>0.08</v>
      </c>
      <c r="AX13">
        <f t="shared" si="14"/>
        <v>0.36778882639365651</v>
      </c>
      <c r="AY13">
        <f t="shared" si="30"/>
        <v>0.24</v>
      </c>
      <c r="AZ13">
        <f t="shared" si="31"/>
        <v>0.6784</v>
      </c>
      <c r="BA13">
        <f t="shared" ref="BA13:BA34" si="36">AX13 * AY13 * T13 * V13 * AZ13</f>
        <v>0</v>
      </c>
      <c r="BB13">
        <f t="shared" si="32"/>
        <v>2.8144495612311498E-4</v>
      </c>
      <c r="BC13">
        <f t="shared" si="33"/>
        <v>2.8144495612311498E-4</v>
      </c>
      <c r="BD13">
        <f t="shared" si="34"/>
        <v>1.6693203960052256</v>
      </c>
      <c r="BF13">
        <f t="shared" si="15"/>
        <v>107.44588329952018</v>
      </c>
      <c r="BT13" s="13" t="s">
        <v>196</v>
      </c>
      <c r="BU13" s="13">
        <v>0.74</v>
      </c>
      <c r="BW13" t="s">
        <v>165</v>
      </c>
      <c r="BX13" s="6" t="s">
        <v>171</v>
      </c>
      <c r="BY13">
        <v>0.05</v>
      </c>
      <c r="BZ13">
        <v>0.2</v>
      </c>
      <c r="CA13">
        <v>0.16</v>
      </c>
      <c r="CB13">
        <v>0.13</v>
      </c>
      <c r="CC13">
        <v>0.05</v>
      </c>
      <c r="CD13">
        <v>0.11</v>
      </c>
      <c r="CE13">
        <v>3</v>
      </c>
      <c r="CI13" t="s">
        <v>164</v>
      </c>
      <c r="CJ13">
        <v>0.03</v>
      </c>
      <c r="CK13">
        <v>0.05</v>
      </c>
      <c r="CL13">
        <v>0.05</v>
      </c>
      <c r="CM13">
        <v>0.05</v>
      </c>
      <c r="CN13">
        <v>0.05</v>
      </c>
      <c r="CO13">
        <v>0.05</v>
      </c>
    </row>
    <row r="14" spans="1:93" ht="17" thickTop="1" x14ac:dyDescent="0.2">
      <c r="H14" s="12"/>
      <c r="I14" t="s">
        <v>166</v>
      </c>
      <c r="J14">
        <f t="shared" si="35"/>
        <v>4</v>
      </c>
      <c r="K14">
        <f>K11</f>
        <v>0.65</v>
      </c>
      <c r="L14">
        <v>80</v>
      </c>
      <c r="M14">
        <v>0</v>
      </c>
      <c r="N14">
        <v>0</v>
      </c>
      <c r="O14">
        <f t="shared" si="0"/>
        <v>91.25</v>
      </c>
      <c r="P14">
        <v>0</v>
      </c>
      <c r="Q14">
        <v>0.18</v>
      </c>
      <c r="R14">
        <v>0.72</v>
      </c>
      <c r="S14">
        <v>50</v>
      </c>
      <c r="T14">
        <f t="shared" si="16"/>
        <v>0</v>
      </c>
      <c r="U14">
        <f t="shared" si="17"/>
        <v>1</v>
      </c>
      <c r="V14">
        <f t="shared" si="18"/>
        <v>0.72</v>
      </c>
      <c r="W14">
        <f t="shared" si="1"/>
        <v>4.7000000000000002E-3</v>
      </c>
      <c r="X14">
        <f t="shared" si="19"/>
        <v>0</v>
      </c>
      <c r="Y14">
        <f t="shared" si="2"/>
        <v>0.24</v>
      </c>
      <c r="Z14">
        <f t="shared" si="3"/>
        <v>1.0999999999999999E-2</v>
      </c>
      <c r="AA14">
        <f t="shared" si="4"/>
        <v>0.21</v>
      </c>
      <c r="AB14">
        <f t="shared" si="20"/>
        <v>5.8999999999999999E-3</v>
      </c>
      <c r="AC14">
        <f t="shared" si="5"/>
        <v>0</v>
      </c>
      <c r="AD14">
        <f t="shared" si="21"/>
        <v>0</v>
      </c>
      <c r="AE14">
        <f t="shared" si="6"/>
        <v>7.1232876712328773E-3</v>
      </c>
      <c r="AF14">
        <f t="shared" si="7"/>
        <v>0</v>
      </c>
      <c r="AG14">
        <v>57</v>
      </c>
      <c r="AH14">
        <f t="shared" si="8"/>
        <v>0.8771929824561403</v>
      </c>
      <c r="AI14">
        <v>0</v>
      </c>
      <c r="AJ14">
        <f t="shared" si="22"/>
        <v>0</v>
      </c>
      <c r="AK14">
        <f t="shared" si="23"/>
        <v>9.5736986301369871E-4</v>
      </c>
      <c r="AL14">
        <f t="shared" si="9"/>
        <v>3.1506062032197808E-2</v>
      </c>
      <c r="AM14">
        <f t="shared" si="10"/>
        <v>6.0000000000000001E-3</v>
      </c>
      <c r="AN14">
        <f t="shared" si="24"/>
        <v>1.57</v>
      </c>
      <c r="AO14">
        <f t="shared" si="25"/>
        <v>1.3</v>
      </c>
      <c r="AP14">
        <f t="shared" si="26"/>
        <v>1</v>
      </c>
      <c r="AQ14">
        <f t="shared" si="11"/>
        <v>0.57100000000000006</v>
      </c>
      <c r="AR14">
        <v>1.7</v>
      </c>
      <c r="AS14">
        <f t="shared" si="27"/>
        <v>0.99691128459176326</v>
      </c>
      <c r="AT14">
        <f t="shared" si="12"/>
        <v>1.1306948910936463</v>
      </c>
      <c r="AU14">
        <f t="shared" si="28"/>
        <v>1.1272024963615108</v>
      </c>
      <c r="AV14">
        <f t="shared" si="13"/>
        <v>0.20289644934507195</v>
      </c>
      <c r="AW14">
        <f t="shared" si="29"/>
        <v>0.08</v>
      </c>
      <c r="AX14">
        <f t="shared" si="14"/>
        <v>0.33712490827789848</v>
      </c>
      <c r="AY14">
        <f t="shared" si="30"/>
        <v>0.24</v>
      </c>
      <c r="AZ14">
        <f t="shared" si="31"/>
        <v>0.6784</v>
      </c>
      <c r="BA14">
        <f t="shared" si="36"/>
        <v>0</v>
      </c>
      <c r="BB14">
        <f t="shared" si="32"/>
        <v>2.5797984661101933E-4</v>
      </c>
      <c r="BC14">
        <f t="shared" si="33"/>
        <v>2.5797984661101933E-4</v>
      </c>
      <c r="BD14">
        <f t="shared" si="34"/>
        <v>1.8832528802604411</v>
      </c>
      <c r="BF14">
        <f t="shared" si="15"/>
        <v>229.99425283504399</v>
      </c>
      <c r="BT14" s="13" t="s">
        <v>197</v>
      </c>
      <c r="BU14" s="13">
        <v>0.69</v>
      </c>
      <c r="BW14" t="s">
        <v>166</v>
      </c>
      <c r="BX14" s="6" t="s">
        <v>171</v>
      </c>
      <c r="BY14">
        <v>0.04</v>
      </c>
      <c r="BZ14">
        <v>0.05</v>
      </c>
      <c r="CA14">
        <v>0.16</v>
      </c>
      <c r="CB14">
        <v>7.0000000000000007E-2</v>
      </c>
      <c r="CC14">
        <v>0.02</v>
      </c>
      <c r="CD14">
        <v>0.11</v>
      </c>
      <c r="CE14">
        <v>4</v>
      </c>
      <c r="CI14" t="s">
        <v>165</v>
      </c>
      <c r="CJ14">
        <v>0.02</v>
      </c>
      <c r="CK14">
        <v>0</v>
      </c>
      <c r="CL14">
        <v>0</v>
      </c>
      <c r="CM14">
        <v>0</v>
      </c>
      <c r="CN14">
        <v>0</v>
      </c>
      <c r="CO14">
        <v>0.2</v>
      </c>
    </row>
    <row r="15" spans="1:93" x14ac:dyDescent="0.2">
      <c r="H15" s="11" t="s">
        <v>171</v>
      </c>
      <c r="I15" t="s">
        <v>163</v>
      </c>
      <c r="J15">
        <v>3</v>
      </c>
      <c r="K15">
        <v>0.6</v>
      </c>
      <c r="L15">
        <v>200</v>
      </c>
      <c r="M15">
        <v>0</v>
      </c>
      <c r="N15">
        <v>0</v>
      </c>
      <c r="O15">
        <f t="shared" si="0"/>
        <v>91.25</v>
      </c>
      <c r="P15">
        <v>0.16</v>
      </c>
      <c r="Q15">
        <v>0.2</v>
      </c>
      <c r="R15">
        <v>0.75</v>
      </c>
      <c r="S15">
        <v>20</v>
      </c>
      <c r="T15">
        <f t="shared" si="16"/>
        <v>0</v>
      </c>
      <c r="U15">
        <f t="shared" si="17"/>
        <v>1</v>
      </c>
      <c r="V15">
        <f t="shared" si="18"/>
        <v>0.72</v>
      </c>
      <c r="W15">
        <f t="shared" si="1"/>
        <v>4.7000000000000002E-3</v>
      </c>
      <c r="X15">
        <f t="shared" si="19"/>
        <v>0</v>
      </c>
      <c r="Y15">
        <f t="shared" si="2"/>
        <v>0.24</v>
      </c>
      <c r="Z15">
        <f t="shared" si="3"/>
        <v>1.0999999999999999E-2</v>
      </c>
      <c r="AA15">
        <f t="shared" si="4"/>
        <v>0.21</v>
      </c>
      <c r="AB15">
        <f t="shared" si="20"/>
        <v>5.8999999999999999E-3</v>
      </c>
      <c r="AC15">
        <f t="shared" si="5"/>
        <v>0</v>
      </c>
      <c r="AD15">
        <f t="shared" si="21"/>
        <v>0</v>
      </c>
      <c r="AE15">
        <f t="shared" si="6"/>
        <v>4.9315068493150684E-3</v>
      </c>
      <c r="AF15">
        <f t="shared" si="7"/>
        <v>0.1472</v>
      </c>
      <c r="AG15">
        <v>60</v>
      </c>
      <c r="AH15">
        <f t="shared" si="8"/>
        <v>0.33333333333333331</v>
      </c>
      <c r="AI15">
        <v>1</v>
      </c>
      <c r="AJ15">
        <f t="shared" si="22"/>
        <v>1.6</v>
      </c>
      <c r="AK15">
        <f t="shared" si="23"/>
        <v>4.2927035527562628E-3</v>
      </c>
      <c r="AL15">
        <f t="shared" si="9"/>
        <v>2.3394421603544668E-2</v>
      </c>
      <c r="AM15">
        <f t="shared" si="10"/>
        <v>6.0000000000000001E-3</v>
      </c>
      <c r="AN15">
        <f t="shared" si="24"/>
        <v>1.57</v>
      </c>
      <c r="AO15">
        <f t="shared" si="25"/>
        <v>1.3</v>
      </c>
      <c r="AP15">
        <f t="shared" si="26"/>
        <v>1</v>
      </c>
      <c r="AQ15">
        <f t="shared" si="11"/>
        <v>0.5948500000000001</v>
      </c>
      <c r="AR15">
        <v>2.9</v>
      </c>
      <c r="AS15">
        <f t="shared" si="27"/>
        <v>0.9999999504359468</v>
      </c>
      <c r="AT15">
        <f t="shared" si="12"/>
        <v>0.5052226861752882</v>
      </c>
      <c r="AU15">
        <f t="shared" si="28"/>
        <v>0.50522266113440406</v>
      </c>
      <c r="AV15">
        <f t="shared" si="13"/>
        <v>0.17304453222688082</v>
      </c>
      <c r="AW15">
        <f t="shared" si="29"/>
        <v>0.08</v>
      </c>
      <c r="AX15">
        <f t="shared" si="14"/>
        <v>0.12559440975442615</v>
      </c>
      <c r="AY15">
        <f t="shared" si="30"/>
        <v>0.24</v>
      </c>
      <c r="AZ15">
        <f t="shared" si="31"/>
        <v>0.6784</v>
      </c>
      <c r="BA15">
        <f t="shared" si="36"/>
        <v>0</v>
      </c>
      <c r="BB15">
        <f t="shared" si="32"/>
        <v>9.6109263267310253E-5</v>
      </c>
      <c r="BC15">
        <f t="shared" si="33"/>
        <v>9.6109263267310253E-5</v>
      </c>
      <c r="BD15">
        <f t="shared" si="34"/>
        <v>1.7539940546284121</v>
      </c>
      <c r="BF15">
        <f t="shared" si="15"/>
        <v>426.94819426469013</v>
      </c>
      <c r="BT15" s="13" t="s">
        <v>198</v>
      </c>
      <c r="BU15" s="13">
        <v>0.73</v>
      </c>
      <c r="BW15" t="s">
        <v>163</v>
      </c>
      <c r="BX15" t="s">
        <v>168</v>
      </c>
      <c r="BY15">
        <v>7.0000000000000007E-2</v>
      </c>
      <c r="BZ15">
        <v>0</v>
      </c>
      <c r="CA15">
        <v>0</v>
      </c>
      <c r="CB15">
        <v>0.03</v>
      </c>
      <c r="CC15">
        <v>0.16</v>
      </c>
      <c r="CD15">
        <v>0.05</v>
      </c>
      <c r="CE15">
        <v>1</v>
      </c>
      <c r="CI15" t="s">
        <v>166</v>
      </c>
      <c r="CJ15">
        <v>-0.03</v>
      </c>
      <c r="CK15">
        <v>-0.05</v>
      </c>
      <c r="CL15">
        <v>-0.05</v>
      </c>
      <c r="CM15">
        <v>-0.03</v>
      </c>
      <c r="CN15">
        <v>-0.02</v>
      </c>
      <c r="CO15">
        <v>0.05</v>
      </c>
    </row>
    <row r="16" spans="1:93" x14ac:dyDescent="0.2">
      <c r="H16" s="12"/>
      <c r="I16" t="s">
        <v>164</v>
      </c>
      <c r="J16">
        <f>J15</f>
        <v>3</v>
      </c>
      <c r="K16">
        <f>K15</f>
        <v>0.6</v>
      </c>
      <c r="L16">
        <v>210</v>
      </c>
      <c r="M16">
        <v>0</v>
      </c>
      <c r="N16">
        <v>0</v>
      </c>
      <c r="O16">
        <f t="shared" si="0"/>
        <v>91.25</v>
      </c>
      <c r="P16">
        <v>0.08</v>
      </c>
      <c r="Q16">
        <v>0.1</v>
      </c>
      <c r="R16">
        <v>0.61</v>
      </c>
      <c r="S16">
        <v>27</v>
      </c>
      <c r="T16">
        <f t="shared" si="16"/>
        <v>0</v>
      </c>
      <c r="U16">
        <f t="shared" si="17"/>
        <v>1</v>
      </c>
      <c r="V16">
        <f t="shared" si="18"/>
        <v>0.72</v>
      </c>
      <c r="W16">
        <f t="shared" si="1"/>
        <v>4.7000000000000002E-3</v>
      </c>
      <c r="X16">
        <f t="shared" si="19"/>
        <v>0</v>
      </c>
      <c r="Y16">
        <f t="shared" si="2"/>
        <v>0.24</v>
      </c>
      <c r="Z16">
        <f t="shared" si="3"/>
        <v>1.0999999999999999E-2</v>
      </c>
      <c r="AA16">
        <f t="shared" si="4"/>
        <v>0.21</v>
      </c>
      <c r="AB16">
        <f t="shared" si="20"/>
        <v>5.8999999999999999E-3</v>
      </c>
      <c r="AC16">
        <f t="shared" si="5"/>
        <v>0</v>
      </c>
      <c r="AD16">
        <f t="shared" si="21"/>
        <v>0</v>
      </c>
      <c r="AE16">
        <f t="shared" si="6"/>
        <v>4.9315068493150684E-3</v>
      </c>
      <c r="AF16">
        <f t="shared" si="7"/>
        <v>7.3599999999999999E-2</v>
      </c>
      <c r="AG16">
        <v>60</v>
      </c>
      <c r="AH16">
        <f t="shared" si="8"/>
        <v>0.45</v>
      </c>
      <c r="AI16">
        <v>0</v>
      </c>
      <c r="AJ16">
        <f t="shared" si="22"/>
        <v>0</v>
      </c>
      <c r="AK16">
        <f t="shared" si="23"/>
        <v>2.2151942356056224E-3</v>
      </c>
      <c r="AL16">
        <f t="shared" si="9"/>
        <v>6.107630280345366E-3</v>
      </c>
      <c r="AM16">
        <f t="shared" si="10"/>
        <v>6.0000000000000001E-3</v>
      </c>
      <c r="AN16">
        <f t="shared" si="24"/>
        <v>1.57</v>
      </c>
      <c r="AO16">
        <f t="shared" si="25"/>
        <v>1.3</v>
      </c>
      <c r="AP16">
        <f t="shared" si="26"/>
        <v>1</v>
      </c>
      <c r="AQ16">
        <f t="shared" si="11"/>
        <v>0.48354999999999998</v>
      </c>
      <c r="AR16">
        <v>2.5</v>
      </c>
      <c r="AS16">
        <f t="shared" si="27"/>
        <v>0.99999627334682795</v>
      </c>
      <c r="AT16">
        <f t="shared" si="12"/>
        <v>0.52017847077168489</v>
      </c>
      <c r="AU16">
        <f t="shared" si="28"/>
        <v>0.52017653224693672</v>
      </c>
      <c r="AV16">
        <f t="shared" si="13"/>
        <v>5.2017653224693677E-2</v>
      </c>
      <c r="AW16">
        <f t="shared" si="29"/>
        <v>0.08</v>
      </c>
      <c r="AX16">
        <f t="shared" si="14"/>
        <v>0.1965968171591774</v>
      </c>
      <c r="AY16">
        <f t="shared" si="30"/>
        <v>0.24</v>
      </c>
      <c r="AZ16">
        <f t="shared" si="31"/>
        <v>0.6784</v>
      </c>
      <c r="BA16">
        <f t="shared" si="36"/>
        <v>0</v>
      </c>
      <c r="BB16">
        <f t="shared" si="32"/>
        <v>1.5044280469816656E-4</v>
      </c>
      <c r="BC16">
        <f t="shared" si="33"/>
        <v>1.5044280469816656E-4</v>
      </c>
      <c r="BD16">
        <f t="shared" si="34"/>
        <v>2.8828602450286169</v>
      </c>
      <c r="BF16">
        <f t="shared" si="15"/>
        <v>117.03746524711808</v>
      </c>
      <c r="BT16" s="13" t="s">
        <v>199</v>
      </c>
      <c r="BU16" s="13">
        <v>0.76</v>
      </c>
      <c r="BW16" t="s">
        <v>164</v>
      </c>
      <c r="BX16" t="s">
        <v>168</v>
      </c>
      <c r="BY16">
        <v>0</v>
      </c>
      <c r="BZ16">
        <v>0.05</v>
      </c>
      <c r="CA16">
        <v>0</v>
      </c>
      <c r="CB16">
        <v>0</v>
      </c>
      <c r="CC16">
        <v>-0.05</v>
      </c>
      <c r="CD16">
        <v>-0.05</v>
      </c>
      <c r="CE16">
        <v>2</v>
      </c>
      <c r="CH16" t="s">
        <v>175</v>
      </c>
      <c r="CI16" t="s">
        <v>163</v>
      </c>
      <c r="CJ16">
        <v>0.11</v>
      </c>
      <c r="CK16">
        <v>0.11</v>
      </c>
      <c r="CL16">
        <v>0</v>
      </c>
      <c r="CM16">
        <v>0</v>
      </c>
      <c r="CN16">
        <v>0</v>
      </c>
      <c r="CO16">
        <v>0.11</v>
      </c>
    </row>
    <row r="17" spans="8:93" x14ac:dyDescent="0.2">
      <c r="H17" s="11"/>
      <c r="I17" t="s">
        <v>165</v>
      </c>
      <c r="J17">
        <f t="shared" ref="J17:J18" si="37">J16</f>
        <v>3</v>
      </c>
      <c r="K17">
        <f t="shared" ref="K17:K18" si="38">K16</f>
        <v>0.6</v>
      </c>
      <c r="L17">
        <v>170</v>
      </c>
      <c r="M17">
        <v>0</v>
      </c>
      <c r="N17">
        <v>0</v>
      </c>
      <c r="O17">
        <f t="shared" si="0"/>
        <v>91.25</v>
      </c>
      <c r="P17">
        <v>0.05</v>
      </c>
      <c r="Q17">
        <v>0.12</v>
      </c>
      <c r="R17">
        <v>0.64</v>
      </c>
      <c r="S17">
        <v>32</v>
      </c>
      <c r="T17">
        <f t="shared" si="16"/>
        <v>0</v>
      </c>
      <c r="U17">
        <f t="shared" si="17"/>
        <v>1</v>
      </c>
      <c r="V17">
        <f t="shared" si="18"/>
        <v>0.72</v>
      </c>
      <c r="W17">
        <f t="shared" si="1"/>
        <v>4.7000000000000002E-3</v>
      </c>
      <c r="X17">
        <f t="shared" si="19"/>
        <v>0</v>
      </c>
      <c r="Y17">
        <f t="shared" si="2"/>
        <v>0.24</v>
      </c>
      <c r="Z17">
        <f t="shared" si="3"/>
        <v>1.0999999999999999E-2</v>
      </c>
      <c r="AA17">
        <f t="shared" si="4"/>
        <v>0.21</v>
      </c>
      <c r="AB17">
        <f t="shared" si="20"/>
        <v>5.8999999999999999E-3</v>
      </c>
      <c r="AC17">
        <f t="shared" si="5"/>
        <v>0</v>
      </c>
      <c r="AD17">
        <f t="shared" si="21"/>
        <v>0</v>
      </c>
      <c r="AE17">
        <f t="shared" si="6"/>
        <v>4.9315068493150684E-3</v>
      </c>
      <c r="AF17">
        <f t="shared" si="7"/>
        <v>4.6000000000000006E-2</v>
      </c>
      <c r="AG17">
        <v>60</v>
      </c>
      <c r="AH17">
        <f t="shared" si="8"/>
        <v>0.53333333333333333</v>
      </c>
      <c r="AI17">
        <v>0</v>
      </c>
      <c r="AJ17">
        <f t="shared" si="22"/>
        <v>0</v>
      </c>
      <c r="AK17">
        <f t="shared" si="23"/>
        <v>1.516423192072393E-3</v>
      </c>
      <c r="AL17">
        <f t="shared" si="9"/>
        <v>1.0795846907484932E-2</v>
      </c>
      <c r="AM17">
        <f t="shared" si="10"/>
        <v>6.0000000000000001E-3</v>
      </c>
      <c r="AN17">
        <f t="shared" si="24"/>
        <v>1.57</v>
      </c>
      <c r="AO17">
        <f t="shared" si="25"/>
        <v>1.3</v>
      </c>
      <c r="AP17">
        <f t="shared" si="26"/>
        <v>1</v>
      </c>
      <c r="AQ17">
        <f t="shared" si="11"/>
        <v>0.50740000000000007</v>
      </c>
      <c r="AR17">
        <v>1.6</v>
      </c>
      <c r="AS17">
        <f t="shared" si="27"/>
        <v>0.99402397710499402</v>
      </c>
      <c r="AT17">
        <f t="shared" si="12"/>
        <v>0.64511931548462409</v>
      </c>
      <c r="AU17">
        <f t="shared" si="28"/>
        <v>0.64126406768527744</v>
      </c>
      <c r="AV17">
        <f t="shared" si="13"/>
        <v>7.6951688122233283E-2</v>
      </c>
      <c r="AW17">
        <f t="shared" si="29"/>
        <v>0.08</v>
      </c>
      <c r="AX17">
        <f t="shared" si="14"/>
        <v>0.22751954066312097</v>
      </c>
      <c r="AY17">
        <f t="shared" si="30"/>
        <v>0.24</v>
      </c>
      <c r="AZ17">
        <f t="shared" si="31"/>
        <v>0.6784</v>
      </c>
      <c r="BA17">
        <f t="shared" si="36"/>
        <v>0</v>
      </c>
      <c r="BB17">
        <f t="shared" si="32"/>
        <v>1.7410596120325152E-4</v>
      </c>
      <c r="BC17">
        <f t="shared" si="33"/>
        <v>1.7410596120325152E-4</v>
      </c>
      <c r="BD17">
        <f t="shared" si="34"/>
        <v>2.700818723165439</v>
      </c>
      <c r="BF17">
        <f t="shared" si="15"/>
        <v>167.47057515236003</v>
      </c>
      <c r="BW17" t="s">
        <v>165</v>
      </c>
      <c r="BX17" t="s">
        <v>168</v>
      </c>
      <c r="BY17">
        <v>0</v>
      </c>
      <c r="BZ17">
        <v>0</v>
      </c>
      <c r="CA17">
        <v>0</v>
      </c>
      <c r="CB17">
        <v>0</v>
      </c>
      <c r="CC17">
        <v>-0.02</v>
      </c>
      <c r="CD17">
        <v>0.11</v>
      </c>
      <c r="CE17">
        <v>3</v>
      </c>
      <c r="CI17" t="s">
        <v>164</v>
      </c>
      <c r="CJ17">
        <v>-0.1</v>
      </c>
      <c r="CK17">
        <v>-0.1</v>
      </c>
      <c r="CL17">
        <v>0</v>
      </c>
      <c r="CM17">
        <v>0</v>
      </c>
      <c r="CN17">
        <v>0</v>
      </c>
      <c r="CO17">
        <v>0.05</v>
      </c>
    </row>
    <row r="18" spans="8:93" x14ac:dyDescent="0.2">
      <c r="H18" s="12"/>
      <c r="I18" t="s">
        <v>166</v>
      </c>
      <c r="J18">
        <f t="shared" si="37"/>
        <v>3</v>
      </c>
      <c r="K18">
        <f t="shared" si="38"/>
        <v>0.6</v>
      </c>
      <c r="L18">
        <v>200</v>
      </c>
      <c r="M18">
        <v>0</v>
      </c>
      <c r="N18">
        <v>0</v>
      </c>
      <c r="O18">
        <f t="shared" si="0"/>
        <v>91.25</v>
      </c>
      <c r="P18">
        <v>0.04</v>
      </c>
      <c r="Q18">
        <v>0.18</v>
      </c>
      <c r="R18">
        <v>0.72</v>
      </c>
      <c r="S18">
        <v>34</v>
      </c>
      <c r="T18">
        <f t="shared" si="16"/>
        <v>0</v>
      </c>
      <c r="U18">
        <f t="shared" si="17"/>
        <v>1</v>
      </c>
      <c r="V18">
        <f t="shared" si="18"/>
        <v>0.72</v>
      </c>
      <c r="W18">
        <f t="shared" si="1"/>
        <v>4.7000000000000002E-3</v>
      </c>
      <c r="X18">
        <f t="shared" si="19"/>
        <v>0</v>
      </c>
      <c r="Y18">
        <f t="shared" si="2"/>
        <v>0.24</v>
      </c>
      <c r="Z18">
        <f t="shared" si="3"/>
        <v>1.0999999999999999E-2</v>
      </c>
      <c r="AA18">
        <f t="shared" si="4"/>
        <v>0.21</v>
      </c>
      <c r="AB18">
        <f t="shared" si="20"/>
        <v>5.8999999999999999E-3</v>
      </c>
      <c r="AC18">
        <f t="shared" si="5"/>
        <v>0</v>
      </c>
      <c r="AD18">
        <f t="shared" si="21"/>
        <v>0</v>
      </c>
      <c r="AE18">
        <f t="shared" si="6"/>
        <v>4.9315068493150684E-3</v>
      </c>
      <c r="AF18">
        <f t="shared" si="7"/>
        <v>3.6799999999999999E-2</v>
      </c>
      <c r="AG18">
        <v>60</v>
      </c>
      <c r="AH18">
        <f t="shared" si="8"/>
        <v>0.56666666666666665</v>
      </c>
      <c r="AI18">
        <v>0</v>
      </c>
      <c r="AJ18">
        <f t="shared" si="22"/>
        <v>0</v>
      </c>
      <c r="AK18">
        <f t="shared" si="23"/>
        <v>1.3120553352755139E-3</v>
      </c>
      <c r="AL18">
        <f t="shared" si="9"/>
        <v>2.1011736278662037E-2</v>
      </c>
      <c r="AM18">
        <f t="shared" si="10"/>
        <v>6.0000000000000001E-3</v>
      </c>
      <c r="AN18">
        <f t="shared" si="24"/>
        <v>1.57</v>
      </c>
      <c r="AO18">
        <f t="shared" si="25"/>
        <v>1.3</v>
      </c>
      <c r="AP18">
        <f t="shared" si="26"/>
        <v>1</v>
      </c>
      <c r="AQ18">
        <f t="shared" si="11"/>
        <v>0.57100000000000006</v>
      </c>
      <c r="AR18">
        <v>1.7</v>
      </c>
      <c r="AS18">
        <f t="shared" si="27"/>
        <v>0.99691128459176326</v>
      </c>
      <c r="AT18">
        <f t="shared" si="12"/>
        <v>0.77753323213623582</v>
      </c>
      <c r="AU18">
        <f t="shared" si="28"/>
        <v>0.77513165326172051</v>
      </c>
      <c r="AV18">
        <f t="shared" si="13"/>
        <v>0.1395236975871097</v>
      </c>
      <c r="AW18">
        <f t="shared" si="29"/>
        <v>0.08</v>
      </c>
      <c r="AX18">
        <f t="shared" si="14"/>
        <v>0.22178442402010679</v>
      </c>
      <c r="AY18">
        <f t="shared" si="30"/>
        <v>0.24</v>
      </c>
      <c r="AZ18">
        <f t="shared" si="31"/>
        <v>0.6784</v>
      </c>
      <c r="BA18">
        <f t="shared" si="36"/>
        <v>0</v>
      </c>
      <c r="BB18">
        <f t="shared" si="32"/>
        <v>1.6971724807191121E-4</v>
      </c>
      <c r="BC18">
        <f t="shared" si="33"/>
        <v>1.6971724807191121E-4</v>
      </c>
      <c r="BD18">
        <f t="shared" si="34"/>
        <v>3.0973397773123792</v>
      </c>
      <c r="BF18">
        <f t="shared" si="15"/>
        <v>383.46418708558218</v>
      </c>
      <c r="BS18" t="s">
        <v>149</v>
      </c>
      <c r="BT18" s="13" t="s">
        <v>254</v>
      </c>
      <c r="BU18" s="13">
        <v>6.0000000000000001E-3</v>
      </c>
      <c r="BW18" t="s">
        <v>166</v>
      </c>
      <c r="BX18" t="s">
        <v>168</v>
      </c>
      <c r="BY18">
        <v>0.02</v>
      </c>
      <c r="BZ18">
        <v>-0.05</v>
      </c>
      <c r="CA18">
        <v>0</v>
      </c>
      <c r="CB18">
        <v>0.5</v>
      </c>
      <c r="CC18">
        <v>-0.03</v>
      </c>
      <c r="CD18">
        <v>0.05</v>
      </c>
      <c r="CE18">
        <v>4</v>
      </c>
      <c r="CI18" t="s">
        <v>165</v>
      </c>
      <c r="CJ18">
        <v>0</v>
      </c>
      <c r="CK18">
        <v>-0.1</v>
      </c>
      <c r="CL18">
        <v>0</v>
      </c>
      <c r="CM18">
        <v>0</v>
      </c>
      <c r="CN18">
        <v>0</v>
      </c>
      <c r="CO18">
        <v>0.16</v>
      </c>
    </row>
    <row r="19" spans="8:93" x14ac:dyDescent="0.2">
      <c r="H19" s="11" t="s">
        <v>168</v>
      </c>
      <c r="I19" t="s">
        <v>163</v>
      </c>
      <c r="J19">
        <v>2</v>
      </c>
      <c r="K19">
        <v>0.65</v>
      </c>
      <c r="L19">
        <v>100</v>
      </c>
      <c r="M19">
        <v>95</v>
      </c>
      <c r="N19">
        <v>105</v>
      </c>
      <c r="O19">
        <f t="shared" si="0"/>
        <v>91.25</v>
      </c>
      <c r="P19">
        <v>7.0000000000000007E-2</v>
      </c>
      <c r="Q19">
        <v>0.2</v>
      </c>
      <c r="R19">
        <v>0.75</v>
      </c>
      <c r="S19">
        <v>44</v>
      </c>
      <c r="T19">
        <f t="shared" si="16"/>
        <v>0</v>
      </c>
      <c r="U19">
        <f t="shared" si="17"/>
        <v>1</v>
      </c>
      <c r="V19">
        <f t="shared" si="18"/>
        <v>0.72</v>
      </c>
      <c r="W19">
        <f t="shared" si="1"/>
        <v>4.7000000000000002E-3</v>
      </c>
      <c r="X19">
        <f t="shared" si="19"/>
        <v>0</v>
      </c>
      <c r="Y19">
        <f t="shared" si="2"/>
        <v>0.24</v>
      </c>
      <c r="Z19">
        <f t="shared" si="3"/>
        <v>1.0999999999999999E-2</v>
      </c>
      <c r="AA19">
        <f t="shared" si="4"/>
        <v>0.21</v>
      </c>
      <c r="AB19">
        <f t="shared" si="20"/>
        <v>5.8999999999999999E-3</v>
      </c>
      <c r="AC19">
        <f t="shared" si="5"/>
        <v>0.95</v>
      </c>
      <c r="AD19">
        <f t="shared" si="21"/>
        <v>1.52</v>
      </c>
      <c r="AE19">
        <f t="shared" si="6"/>
        <v>3.5616438356164386E-3</v>
      </c>
      <c r="AF19">
        <f t="shared" si="7"/>
        <v>6.4400000000000013E-2</v>
      </c>
      <c r="AG19">
        <v>57</v>
      </c>
      <c r="AH19">
        <f t="shared" si="8"/>
        <v>0.77192982456140347</v>
      </c>
      <c r="AI19">
        <v>0</v>
      </c>
      <c r="AJ19">
        <f t="shared" si="22"/>
        <v>0</v>
      </c>
      <c r="AK19">
        <f t="shared" si="23"/>
        <v>1.2305324245694275E-2</v>
      </c>
      <c r="AL19">
        <f t="shared" si="9"/>
        <v>3.0398436809107053E-2</v>
      </c>
      <c r="AM19">
        <f t="shared" si="10"/>
        <v>6.0000000000000001E-3</v>
      </c>
      <c r="AN19">
        <f t="shared" si="24"/>
        <v>1.57</v>
      </c>
      <c r="AO19">
        <f t="shared" si="25"/>
        <v>1.3</v>
      </c>
      <c r="AP19">
        <f t="shared" si="26"/>
        <v>1.2849999999999999</v>
      </c>
      <c r="AQ19">
        <f t="shared" si="11"/>
        <v>0.5948500000000001</v>
      </c>
      <c r="AR19">
        <v>2.9</v>
      </c>
      <c r="AS19">
        <f t="shared" si="27"/>
        <v>0.9999999504359468</v>
      </c>
      <c r="AT19">
        <f t="shared" si="12"/>
        <v>1.0385156413271623</v>
      </c>
      <c r="AU19">
        <f t="shared" si="28"/>
        <v>1.3344925329625414</v>
      </c>
      <c r="AV19">
        <f t="shared" si="13"/>
        <v>0.2668985065925083</v>
      </c>
      <c r="AW19">
        <f t="shared" si="29"/>
        <v>0.08</v>
      </c>
      <c r="AX19">
        <f t="shared" si="14"/>
        <v>0.37246931037699088</v>
      </c>
      <c r="AY19">
        <f t="shared" si="30"/>
        <v>0.24</v>
      </c>
      <c r="AZ19">
        <f t="shared" si="31"/>
        <v>0.6784</v>
      </c>
      <c r="BA19">
        <f t="shared" si="36"/>
        <v>0</v>
      </c>
      <c r="BB19">
        <f t="shared" si="32"/>
        <v>2.850266272201987E-4</v>
      </c>
      <c r="BC19">
        <f t="shared" si="33"/>
        <v>2.850266272201987E-4</v>
      </c>
      <c r="BD19">
        <f t="shared" si="34"/>
        <v>2.6008679733843132</v>
      </c>
      <c r="BF19">
        <f t="shared" si="15"/>
        <v>277.38573588310186</v>
      </c>
      <c r="BT19" s="13" t="s">
        <v>255</v>
      </c>
      <c r="BU19" s="13">
        <v>2E-3</v>
      </c>
      <c r="BW19" t="s">
        <v>163</v>
      </c>
      <c r="BX19" t="s">
        <v>170</v>
      </c>
      <c r="BY19">
        <v>0.05</v>
      </c>
      <c r="BZ19">
        <v>-0.03</v>
      </c>
      <c r="CA19">
        <v>0</v>
      </c>
      <c r="CB19">
        <v>0</v>
      </c>
      <c r="CC19">
        <v>0</v>
      </c>
      <c r="CD19">
        <v>0.05</v>
      </c>
      <c r="CE19">
        <v>1</v>
      </c>
      <c r="CI19" t="s">
        <v>166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0.16</v>
      </c>
    </row>
    <row r="20" spans="8:93" x14ac:dyDescent="0.2">
      <c r="H20" s="12"/>
      <c r="I20" t="s">
        <v>164</v>
      </c>
      <c r="J20">
        <f>J19</f>
        <v>2</v>
      </c>
      <c r="K20">
        <f>K19</f>
        <v>0.65</v>
      </c>
      <c r="L20">
        <v>140</v>
      </c>
      <c r="M20">
        <v>0</v>
      </c>
      <c r="N20">
        <v>0</v>
      </c>
      <c r="O20">
        <f t="shared" si="0"/>
        <v>91.25</v>
      </c>
      <c r="P20">
        <v>0</v>
      </c>
      <c r="Q20">
        <v>0.1</v>
      </c>
      <c r="R20">
        <v>0.61</v>
      </c>
      <c r="S20">
        <v>42</v>
      </c>
      <c r="T20">
        <f t="shared" si="16"/>
        <v>0</v>
      </c>
      <c r="U20">
        <f t="shared" si="17"/>
        <v>1</v>
      </c>
      <c r="V20">
        <f t="shared" si="18"/>
        <v>0.72</v>
      </c>
      <c r="W20">
        <f t="shared" si="1"/>
        <v>4.7000000000000002E-3</v>
      </c>
      <c r="X20">
        <f t="shared" si="19"/>
        <v>0</v>
      </c>
      <c r="Y20">
        <f t="shared" si="2"/>
        <v>0.24</v>
      </c>
      <c r="Z20">
        <f t="shared" si="3"/>
        <v>1.0999999999999999E-2</v>
      </c>
      <c r="AA20">
        <f t="shared" si="4"/>
        <v>0.21</v>
      </c>
      <c r="AB20">
        <f t="shared" si="20"/>
        <v>5.8999999999999999E-3</v>
      </c>
      <c r="AC20">
        <f t="shared" si="5"/>
        <v>0</v>
      </c>
      <c r="AD20">
        <f t="shared" si="21"/>
        <v>0</v>
      </c>
      <c r="AE20">
        <f t="shared" si="6"/>
        <v>3.5616438356164386E-3</v>
      </c>
      <c r="AF20">
        <f t="shared" si="7"/>
        <v>0</v>
      </c>
      <c r="AG20">
        <v>57</v>
      </c>
      <c r="AH20">
        <f t="shared" si="8"/>
        <v>0.73684210526315785</v>
      </c>
      <c r="AI20">
        <v>0</v>
      </c>
      <c r="AJ20">
        <f t="shared" si="22"/>
        <v>0</v>
      </c>
      <c r="AK20">
        <f t="shared" si="23"/>
        <v>4.7868493150684936E-4</v>
      </c>
      <c r="AL20">
        <f t="shared" si="9"/>
        <v>1.2329606659197917E-2</v>
      </c>
      <c r="AM20">
        <f t="shared" si="10"/>
        <v>6.0000000000000001E-3</v>
      </c>
      <c r="AN20">
        <f t="shared" si="24"/>
        <v>1.57</v>
      </c>
      <c r="AO20">
        <f t="shared" si="25"/>
        <v>1.3</v>
      </c>
      <c r="AP20">
        <f t="shared" si="26"/>
        <v>1</v>
      </c>
      <c r="AQ20">
        <f t="shared" si="11"/>
        <v>0.48354999999999998</v>
      </c>
      <c r="AR20">
        <v>2.5</v>
      </c>
      <c r="AS20">
        <f t="shared" si="27"/>
        <v>0.99999627334682795</v>
      </c>
      <c r="AT20">
        <f t="shared" si="12"/>
        <v>0.80052120768394575</v>
      </c>
      <c r="AU20">
        <f t="shared" si="28"/>
        <v>0.80051822441904785</v>
      </c>
      <c r="AV20">
        <f t="shared" si="13"/>
        <v>8.0051822441904785E-2</v>
      </c>
      <c r="AW20">
        <f t="shared" si="29"/>
        <v>0.08</v>
      </c>
      <c r="AX20">
        <f t="shared" si="14"/>
        <v>0.31080846185822891</v>
      </c>
      <c r="AY20">
        <f t="shared" si="30"/>
        <v>0.24</v>
      </c>
      <c r="AZ20">
        <f t="shared" si="31"/>
        <v>0.6784</v>
      </c>
      <c r="BA20">
        <f t="shared" si="36"/>
        <v>0</v>
      </c>
      <c r="BB20">
        <f t="shared" si="32"/>
        <v>2.3784157547177418E-4</v>
      </c>
      <c r="BC20">
        <f t="shared" si="33"/>
        <v>2.3784157547177418E-4</v>
      </c>
      <c r="BD20">
        <f t="shared" si="34"/>
        <v>3.0384261266519155</v>
      </c>
      <c r="BF20">
        <f t="shared" si="15"/>
        <v>157.51072507125338</v>
      </c>
      <c r="BS20" t="s">
        <v>258</v>
      </c>
      <c r="BT20">
        <v>0.6784</v>
      </c>
      <c r="BW20" t="s">
        <v>164</v>
      </c>
      <c r="BX20" t="s">
        <v>170</v>
      </c>
      <c r="BY20">
        <v>-0.05</v>
      </c>
      <c r="BZ20">
        <v>0.05</v>
      </c>
      <c r="CA20">
        <v>0</v>
      </c>
      <c r="CB20">
        <v>0</v>
      </c>
      <c r="CC20">
        <v>0</v>
      </c>
      <c r="CD20">
        <v>-0.05</v>
      </c>
      <c r="CE20">
        <v>2</v>
      </c>
      <c r="CH20" t="s">
        <v>176</v>
      </c>
      <c r="CI20" t="s">
        <v>163</v>
      </c>
      <c r="CJ20">
        <v>0.16</v>
      </c>
      <c r="CK20">
        <v>0.11</v>
      </c>
      <c r="CL20">
        <v>0.03</v>
      </c>
      <c r="CM20">
        <v>-0.02</v>
      </c>
      <c r="CN20">
        <v>0</v>
      </c>
      <c r="CO20">
        <v>0.15</v>
      </c>
    </row>
    <row r="21" spans="8:93" x14ac:dyDescent="0.2">
      <c r="H21" s="11"/>
      <c r="I21" t="s">
        <v>165</v>
      </c>
      <c r="J21">
        <f t="shared" ref="J21:J22" si="39">J20</f>
        <v>2</v>
      </c>
      <c r="K21">
        <f t="shared" ref="K21:K22" si="40">K20</f>
        <v>0.65</v>
      </c>
      <c r="L21">
        <v>135</v>
      </c>
      <c r="M21">
        <v>0</v>
      </c>
      <c r="N21">
        <v>0</v>
      </c>
      <c r="O21">
        <f t="shared" si="0"/>
        <v>91.25</v>
      </c>
      <c r="P21">
        <v>0</v>
      </c>
      <c r="Q21">
        <v>0.12</v>
      </c>
      <c r="R21">
        <v>0.64</v>
      </c>
      <c r="S21">
        <v>43</v>
      </c>
      <c r="T21">
        <f t="shared" si="16"/>
        <v>0</v>
      </c>
      <c r="U21">
        <f t="shared" si="17"/>
        <v>1</v>
      </c>
      <c r="V21">
        <f t="shared" si="18"/>
        <v>0.72</v>
      </c>
      <c r="W21">
        <f t="shared" si="1"/>
        <v>4.7000000000000002E-3</v>
      </c>
      <c r="X21">
        <f t="shared" si="19"/>
        <v>0</v>
      </c>
      <c r="Y21">
        <f t="shared" si="2"/>
        <v>0.24</v>
      </c>
      <c r="Z21">
        <f t="shared" si="3"/>
        <v>1.0999999999999999E-2</v>
      </c>
      <c r="AA21">
        <f t="shared" si="4"/>
        <v>0.21</v>
      </c>
      <c r="AB21">
        <f t="shared" si="20"/>
        <v>5.8999999999999999E-3</v>
      </c>
      <c r="AC21">
        <f t="shared" si="5"/>
        <v>0</v>
      </c>
      <c r="AD21">
        <f t="shared" si="21"/>
        <v>0</v>
      </c>
      <c r="AE21">
        <f t="shared" si="6"/>
        <v>3.5616438356164386E-3</v>
      </c>
      <c r="AF21">
        <f t="shared" si="7"/>
        <v>0</v>
      </c>
      <c r="AG21">
        <v>57</v>
      </c>
      <c r="AH21">
        <f t="shared" si="8"/>
        <v>0.75438596491228072</v>
      </c>
      <c r="AI21">
        <v>0</v>
      </c>
      <c r="AJ21">
        <f t="shared" si="22"/>
        <v>0</v>
      </c>
      <c r="AK21">
        <f t="shared" si="23"/>
        <v>4.7868493150684936E-4</v>
      </c>
      <c r="AL21">
        <f t="shared" si="9"/>
        <v>1.5970144180934887E-2</v>
      </c>
      <c r="AM21">
        <f t="shared" si="10"/>
        <v>6.0000000000000001E-3</v>
      </c>
      <c r="AN21">
        <f t="shared" si="24"/>
        <v>1.57</v>
      </c>
      <c r="AO21">
        <f t="shared" si="25"/>
        <v>1.3</v>
      </c>
      <c r="AP21">
        <f t="shared" si="26"/>
        <v>1</v>
      </c>
      <c r="AQ21">
        <f t="shared" si="11"/>
        <v>0.50740000000000007</v>
      </c>
      <c r="AR21">
        <v>1.6</v>
      </c>
      <c r="AS21">
        <f t="shared" si="27"/>
        <v>0.99402397710499402</v>
      </c>
      <c r="AT21">
        <f t="shared" si="12"/>
        <v>0.86186034677094148</v>
      </c>
      <c r="AU21">
        <f t="shared" si="28"/>
        <v>0.85670984960634056</v>
      </c>
      <c r="AV21">
        <f t="shared" si="13"/>
        <v>0.10280518195276087</v>
      </c>
      <c r="AW21">
        <f t="shared" si="29"/>
        <v>0.08</v>
      </c>
      <c r="AX21">
        <f t="shared" si="14"/>
        <v>0.31075172719360067</v>
      </c>
      <c r="AY21">
        <f t="shared" si="30"/>
        <v>0.24</v>
      </c>
      <c r="AZ21">
        <f t="shared" si="31"/>
        <v>0.6784</v>
      </c>
      <c r="BA21">
        <f t="shared" si="36"/>
        <v>0</v>
      </c>
      <c r="BB21">
        <f t="shared" si="32"/>
        <v>2.3779816010934047E-4</v>
      </c>
      <c r="BC21">
        <f t="shared" si="33"/>
        <v>2.3779816010934047E-4</v>
      </c>
      <c r="BD21">
        <f t="shared" si="34"/>
        <v>2.9293760848469379</v>
      </c>
      <c r="BF21">
        <f t="shared" si="15"/>
        <v>196.73221362889163</v>
      </c>
      <c r="BW21" t="s">
        <v>165</v>
      </c>
      <c r="BX21" t="s">
        <v>170</v>
      </c>
      <c r="BY21">
        <v>-0.01</v>
      </c>
      <c r="BZ21">
        <v>0</v>
      </c>
      <c r="CA21">
        <v>0</v>
      </c>
      <c r="CB21">
        <v>0</v>
      </c>
      <c r="CC21">
        <v>0</v>
      </c>
      <c r="CD21">
        <v>-0.05</v>
      </c>
      <c r="CE21">
        <v>3</v>
      </c>
      <c r="CI21" t="s">
        <v>164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0.11</v>
      </c>
    </row>
    <row r="22" spans="8:93" x14ac:dyDescent="0.2">
      <c r="H22" s="12"/>
      <c r="I22" t="s">
        <v>166</v>
      </c>
      <c r="J22">
        <f t="shared" si="39"/>
        <v>2</v>
      </c>
      <c r="K22">
        <f t="shared" si="40"/>
        <v>0.65</v>
      </c>
      <c r="L22">
        <v>130</v>
      </c>
      <c r="M22">
        <v>0</v>
      </c>
      <c r="N22">
        <v>0</v>
      </c>
      <c r="O22">
        <f t="shared" si="0"/>
        <v>91.25</v>
      </c>
      <c r="P22">
        <v>0.02</v>
      </c>
      <c r="Q22">
        <v>0.18</v>
      </c>
      <c r="R22">
        <v>0.72</v>
      </c>
      <c r="S22">
        <v>45</v>
      </c>
      <c r="T22">
        <f t="shared" si="16"/>
        <v>0</v>
      </c>
      <c r="U22">
        <f t="shared" si="17"/>
        <v>1</v>
      </c>
      <c r="V22">
        <f t="shared" si="18"/>
        <v>0.72</v>
      </c>
      <c r="W22">
        <f t="shared" si="1"/>
        <v>4.7000000000000002E-3</v>
      </c>
      <c r="X22">
        <f t="shared" si="19"/>
        <v>0</v>
      </c>
      <c r="Y22">
        <f t="shared" si="2"/>
        <v>0.24</v>
      </c>
      <c r="Z22">
        <f t="shared" si="3"/>
        <v>1.0999999999999999E-2</v>
      </c>
      <c r="AA22">
        <f t="shared" si="4"/>
        <v>0.21</v>
      </c>
      <c r="AB22">
        <f t="shared" si="20"/>
        <v>5.8999999999999999E-3</v>
      </c>
      <c r="AC22">
        <f t="shared" si="5"/>
        <v>0</v>
      </c>
      <c r="AD22">
        <f t="shared" si="21"/>
        <v>0</v>
      </c>
      <c r="AE22">
        <f t="shared" si="6"/>
        <v>3.5616438356164386E-3</v>
      </c>
      <c r="AF22">
        <f t="shared" si="7"/>
        <v>1.84E-2</v>
      </c>
      <c r="AG22">
        <v>57</v>
      </c>
      <c r="AH22">
        <f t="shared" si="8"/>
        <v>0.78947368421052633</v>
      </c>
      <c r="AI22">
        <v>0</v>
      </c>
      <c r="AJ22">
        <f t="shared" si="22"/>
        <v>0</v>
      </c>
      <c r="AK22">
        <f t="shared" si="23"/>
        <v>7.2777894310489225E-4</v>
      </c>
      <c r="AL22">
        <f t="shared" si="9"/>
        <v>2.8503402354687943E-2</v>
      </c>
      <c r="AM22">
        <f t="shared" si="10"/>
        <v>6.0000000000000001E-3</v>
      </c>
      <c r="AN22">
        <f t="shared" si="24"/>
        <v>1.57</v>
      </c>
      <c r="AO22">
        <f t="shared" si="25"/>
        <v>1.3</v>
      </c>
      <c r="AP22">
        <f t="shared" si="26"/>
        <v>1</v>
      </c>
      <c r="AQ22">
        <f t="shared" si="11"/>
        <v>0.57100000000000006</v>
      </c>
      <c r="AR22">
        <v>1.7</v>
      </c>
      <c r="AS22">
        <f t="shared" si="27"/>
        <v>0.99691128459176326</v>
      </c>
      <c r="AT22">
        <f t="shared" si="12"/>
        <v>1.0181162441707754</v>
      </c>
      <c r="AU22">
        <f t="shared" si="28"/>
        <v>1.014971572840029</v>
      </c>
      <c r="AV22">
        <f t="shared" si="13"/>
        <v>0.18269488311120521</v>
      </c>
      <c r="AW22">
        <f t="shared" si="29"/>
        <v>0.08</v>
      </c>
      <c r="AX22">
        <f t="shared" si="14"/>
        <v>0.29936683357077126</v>
      </c>
      <c r="AY22">
        <f t="shared" si="30"/>
        <v>0.24</v>
      </c>
      <c r="AZ22">
        <f t="shared" si="31"/>
        <v>0.6784</v>
      </c>
      <c r="BA22">
        <f t="shared" si="36"/>
        <v>0</v>
      </c>
      <c r="BB22">
        <f t="shared" si="32"/>
        <v>2.2908603876089584E-4</v>
      </c>
      <c r="BC22">
        <f t="shared" si="33"/>
        <v>2.2908603876089584E-4</v>
      </c>
      <c r="BD22">
        <f t="shared" si="34"/>
        <v>2.7175331348011267</v>
      </c>
      <c r="BF22">
        <f t="shared" si="15"/>
        <v>338.12161043248574</v>
      </c>
      <c r="BW22" t="s">
        <v>166</v>
      </c>
      <c r="BX22" t="s">
        <v>170</v>
      </c>
      <c r="BY22">
        <v>0.01</v>
      </c>
      <c r="BZ22">
        <v>-0.02</v>
      </c>
      <c r="CA22">
        <v>0</v>
      </c>
      <c r="CB22">
        <v>0</v>
      </c>
      <c r="CC22">
        <v>0</v>
      </c>
      <c r="CD22">
        <v>0.05</v>
      </c>
      <c r="CE22">
        <v>4</v>
      </c>
      <c r="CI22" t="s">
        <v>165</v>
      </c>
      <c r="CJ22">
        <v>-0.2</v>
      </c>
      <c r="CK22">
        <v>-0.1</v>
      </c>
      <c r="CL22">
        <v>0</v>
      </c>
      <c r="CM22">
        <v>0</v>
      </c>
      <c r="CN22">
        <v>0</v>
      </c>
      <c r="CO22">
        <v>0.13</v>
      </c>
    </row>
    <row r="23" spans="8:93" x14ac:dyDescent="0.2">
      <c r="H23" s="11" t="s">
        <v>170</v>
      </c>
      <c r="I23" t="s">
        <v>163</v>
      </c>
      <c r="J23">
        <v>2</v>
      </c>
      <c r="K23">
        <v>0.7</v>
      </c>
      <c r="L23">
        <v>200</v>
      </c>
      <c r="M23">
        <v>0</v>
      </c>
      <c r="N23">
        <v>0</v>
      </c>
      <c r="O23">
        <f t="shared" si="0"/>
        <v>91.25</v>
      </c>
      <c r="P23">
        <v>0.05</v>
      </c>
      <c r="Q23">
        <v>0.2</v>
      </c>
      <c r="R23">
        <v>0.75</v>
      </c>
      <c r="S23">
        <v>56</v>
      </c>
      <c r="T23">
        <f t="shared" si="16"/>
        <v>0</v>
      </c>
      <c r="U23">
        <f t="shared" si="17"/>
        <v>1</v>
      </c>
      <c r="V23">
        <f t="shared" si="18"/>
        <v>0.72</v>
      </c>
      <c r="W23">
        <f t="shared" si="1"/>
        <v>4.7000000000000002E-3</v>
      </c>
      <c r="X23">
        <f t="shared" si="19"/>
        <v>0</v>
      </c>
      <c r="Y23">
        <f t="shared" si="2"/>
        <v>0.24</v>
      </c>
      <c r="Z23">
        <f t="shared" si="3"/>
        <v>1.0999999999999999E-2</v>
      </c>
      <c r="AA23">
        <f t="shared" si="4"/>
        <v>0.21</v>
      </c>
      <c r="AB23">
        <f t="shared" si="20"/>
        <v>5.8999999999999999E-3</v>
      </c>
      <c r="AC23">
        <f t="shared" si="5"/>
        <v>0</v>
      </c>
      <c r="AD23">
        <f t="shared" si="21"/>
        <v>0</v>
      </c>
      <c r="AE23">
        <f t="shared" si="6"/>
        <v>3.8356164383561643E-3</v>
      </c>
      <c r="AF23">
        <f t="shared" si="7"/>
        <v>4.6000000000000006E-2</v>
      </c>
      <c r="AG23">
        <v>57</v>
      </c>
      <c r="AH23">
        <f t="shared" si="8"/>
        <v>0.98245614035087714</v>
      </c>
      <c r="AI23">
        <v>0</v>
      </c>
      <c r="AJ23">
        <f t="shared" si="22"/>
        <v>0</v>
      </c>
      <c r="AK23">
        <f t="shared" si="23"/>
        <v>1.0761713957214488E-3</v>
      </c>
      <c r="AL23">
        <f t="shared" si="9"/>
        <v>4.1158340075111606E-2</v>
      </c>
      <c r="AM23">
        <f t="shared" si="10"/>
        <v>6.0000000000000001E-3</v>
      </c>
      <c r="AN23">
        <f t="shared" si="24"/>
        <v>1.57</v>
      </c>
      <c r="AO23">
        <f t="shared" si="25"/>
        <v>1.3</v>
      </c>
      <c r="AP23">
        <f t="shared" si="26"/>
        <v>1</v>
      </c>
      <c r="AQ23">
        <f t="shared" si="11"/>
        <v>0.5948500000000001</v>
      </c>
      <c r="AR23">
        <v>2.9</v>
      </c>
      <c r="AS23">
        <f t="shared" si="27"/>
        <v>0.9999999504359468</v>
      </c>
      <c r="AT23">
        <f t="shared" si="12"/>
        <v>1.3198285488795851</v>
      </c>
      <c r="AU23">
        <f t="shared" si="28"/>
        <v>1.3198284834635328</v>
      </c>
      <c r="AV23">
        <f t="shared" si="13"/>
        <v>0.26396569669270659</v>
      </c>
      <c r="AW23">
        <f t="shared" si="29"/>
        <v>0.08</v>
      </c>
      <c r="AX23">
        <f t="shared" si="14"/>
        <v>0.3676642091046412</v>
      </c>
      <c r="AY23">
        <f t="shared" si="30"/>
        <v>0.24</v>
      </c>
      <c r="AZ23">
        <f t="shared" si="31"/>
        <v>0.6784</v>
      </c>
      <c r="BA23">
        <f t="shared" si="36"/>
        <v>0</v>
      </c>
      <c r="BB23">
        <f t="shared" si="32"/>
        <v>2.8134959458703197E-4</v>
      </c>
      <c r="BC23">
        <f t="shared" si="33"/>
        <v>2.8134959458703197E-4</v>
      </c>
      <c r="BD23">
        <f t="shared" si="34"/>
        <v>5.1346301012133333</v>
      </c>
      <c r="BF23">
        <f t="shared" si="15"/>
        <v>751.13970637078694</v>
      </c>
      <c r="BW23" t="s">
        <v>163</v>
      </c>
      <c r="BX23" t="s">
        <v>162</v>
      </c>
      <c r="BY23">
        <v>7.0000000000000007E-2</v>
      </c>
      <c r="BZ23">
        <v>-0.02</v>
      </c>
      <c r="CA23">
        <v>0.11</v>
      </c>
      <c r="CB23">
        <v>0.16</v>
      </c>
      <c r="CC23">
        <v>0.11</v>
      </c>
      <c r="CD23">
        <v>0.11</v>
      </c>
      <c r="CE23">
        <v>1</v>
      </c>
      <c r="CI23" t="s">
        <v>166</v>
      </c>
      <c r="CJ23">
        <v>0</v>
      </c>
      <c r="CK23">
        <v>-0.1</v>
      </c>
      <c r="CL23">
        <v>0.5</v>
      </c>
      <c r="CM23">
        <v>0.02</v>
      </c>
      <c r="CN23">
        <v>0</v>
      </c>
      <c r="CO23">
        <v>7.0000000000000007E-2</v>
      </c>
    </row>
    <row r="24" spans="8:93" x14ac:dyDescent="0.2">
      <c r="H24" s="12"/>
      <c r="I24" t="s">
        <v>164</v>
      </c>
      <c r="J24">
        <f>J23</f>
        <v>2</v>
      </c>
      <c r="K24">
        <f>K23</f>
        <v>0.7</v>
      </c>
      <c r="L24">
        <v>210</v>
      </c>
      <c r="M24">
        <v>0</v>
      </c>
      <c r="N24">
        <v>0</v>
      </c>
      <c r="O24">
        <f t="shared" si="0"/>
        <v>91.25</v>
      </c>
      <c r="P24">
        <v>-0.05</v>
      </c>
      <c r="Q24">
        <v>0.1</v>
      </c>
      <c r="R24">
        <v>0.61</v>
      </c>
      <c r="S24">
        <v>51</v>
      </c>
      <c r="T24">
        <f t="shared" si="16"/>
        <v>0</v>
      </c>
      <c r="U24">
        <f t="shared" si="17"/>
        <v>1</v>
      </c>
      <c r="V24">
        <f t="shared" si="18"/>
        <v>0.72</v>
      </c>
      <c r="W24">
        <f t="shared" si="1"/>
        <v>4.7000000000000002E-3</v>
      </c>
      <c r="X24">
        <f t="shared" si="19"/>
        <v>0</v>
      </c>
      <c r="Y24">
        <f t="shared" si="2"/>
        <v>0.24</v>
      </c>
      <c r="Z24">
        <f t="shared" si="3"/>
        <v>1.0999999999999999E-2</v>
      </c>
      <c r="AA24">
        <f t="shared" si="4"/>
        <v>0.21</v>
      </c>
      <c r="AB24">
        <f t="shared" si="20"/>
        <v>5.8999999999999999E-3</v>
      </c>
      <c r="AC24">
        <f t="shared" si="5"/>
        <v>0</v>
      </c>
      <c r="AD24">
        <f t="shared" si="21"/>
        <v>0</v>
      </c>
      <c r="AE24">
        <f t="shared" si="6"/>
        <v>3.8356164383561643E-3</v>
      </c>
      <c r="AF24">
        <f t="shared" si="7"/>
        <v>-4.6000000000000006E-2</v>
      </c>
      <c r="AG24">
        <v>57</v>
      </c>
      <c r="AH24">
        <f t="shared" si="8"/>
        <v>0.89473684210526316</v>
      </c>
      <c r="AI24">
        <v>0</v>
      </c>
      <c r="AJ24">
        <f t="shared" si="22"/>
        <v>0</v>
      </c>
      <c r="AK24">
        <f t="shared" si="23"/>
        <v>-6.7008407966660379E-5</v>
      </c>
      <c r="AL24">
        <f t="shared" si="9"/>
        <v>1.5726717450560028E-2</v>
      </c>
      <c r="AM24">
        <f t="shared" si="10"/>
        <v>6.0000000000000001E-3</v>
      </c>
      <c r="AN24">
        <f t="shared" si="24"/>
        <v>1.57</v>
      </c>
      <c r="AO24">
        <f t="shared" si="25"/>
        <v>1.3</v>
      </c>
      <c r="AP24">
        <f t="shared" si="26"/>
        <v>1</v>
      </c>
      <c r="AQ24">
        <f t="shared" si="11"/>
        <v>0.48354999999999998</v>
      </c>
      <c r="AR24">
        <v>2.5</v>
      </c>
      <c r="AS24">
        <f t="shared" si="27"/>
        <v>0.99999627334682795</v>
      </c>
      <c r="AT24">
        <f t="shared" si="12"/>
        <v>0.97873546256970145</v>
      </c>
      <c r="AU24">
        <f t="shared" si="28"/>
        <v>0.97873181516208529</v>
      </c>
      <c r="AV24">
        <f t="shared" si="13"/>
        <v>9.7873181516208538E-2</v>
      </c>
      <c r="AW24">
        <f t="shared" si="29"/>
        <v>0.08</v>
      </c>
      <c r="AX24">
        <f t="shared" si="14"/>
        <v>0.38642028282934154</v>
      </c>
      <c r="AY24">
        <f t="shared" si="30"/>
        <v>0.24</v>
      </c>
      <c r="AZ24">
        <f t="shared" si="31"/>
        <v>0.6784</v>
      </c>
      <c r="BA24">
        <f t="shared" si="36"/>
        <v>0</v>
      </c>
      <c r="BB24">
        <f t="shared" si="32"/>
        <v>2.9570240241496779E-4</v>
      </c>
      <c r="BC24">
        <f t="shared" si="33"/>
        <v>2.9570240241496779E-4</v>
      </c>
      <c r="BD24">
        <f t="shared" si="34"/>
        <v>5.6663972862768199</v>
      </c>
      <c r="BF24">
        <f t="shared" si="15"/>
        <v>301.36322314635652</v>
      </c>
      <c r="BW24" t="s">
        <v>164</v>
      </c>
      <c r="BX24" t="s">
        <v>162</v>
      </c>
      <c r="BY24">
        <v>0</v>
      </c>
      <c r="BZ24">
        <v>0.03</v>
      </c>
      <c r="CA24">
        <v>-0.1</v>
      </c>
      <c r="CB24">
        <v>0</v>
      </c>
      <c r="CC24">
        <v>-0.05</v>
      </c>
      <c r="CD24">
        <v>-0.11</v>
      </c>
      <c r="CE24">
        <v>2</v>
      </c>
      <c r="CH24" t="s">
        <v>177</v>
      </c>
      <c r="CI24" t="s">
        <v>163</v>
      </c>
      <c r="CJ24">
        <v>0.11</v>
      </c>
      <c r="CK24">
        <v>0.11</v>
      </c>
      <c r="CL24">
        <v>0.16</v>
      </c>
      <c r="CM24">
        <v>0.11</v>
      </c>
      <c r="CN24">
        <v>0</v>
      </c>
      <c r="CO24">
        <v>0.15</v>
      </c>
    </row>
    <row r="25" spans="8:93" x14ac:dyDescent="0.2">
      <c r="H25" s="11"/>
      <c r="I25" t="s">
        <v>165</v>
      </c>
      <c r="J25">
        <f t="shared" ref="J25:J26" si="41">J24</f>
        <v>2</v>
      </c>
      <c r="K25">
        <f t="shared" ref="K25:K26" si="42">K24</f>
        <v>0.7</v>
      </c>
      <c r="L25">
        <v>190</v>
      </c>
      <c r="M25">
        <v>0</v>
      </c>
      <c r="N25">
        <v>0</v>
      </c>
      <c r="O25">
        <f t="shared" si="0"/>
        <v>91.25</v>
      </c>
      <c r="P25">
        <v>-0.01</v>
      </c>
      <c r="Q25">
        <v>0.12</v>
      </c>
      <c r="R25">
        <v>0.64</v>
      </c>
      <c r="S25">
        <v>50</v>
      </c>
      <c r="T25">
        <f t="shared" si="16"/>
        <v>0</v>
      </c>
      <c r="U25">
        <f t="shared" si="17"/>
        <v>1</v>
      </c>
      <c r="V25">
        <f t="shared" si="18"/>
        <v>0.72</v>
      </c>
      <c r="W25">
        <f t="shared" si="1"/>
        <v>4.7000000000000002E-3</v>
      </c>
      <c r="X25">
        <f t="shared" si="19"/>
        <v>0</v>
      </c>
      <c r="Y25">
        <f t="shared" si="2"/>
        <v>0.24</v>
      </c>
      <c r="Z25">
        <f t="shared" si="3"/>
        <v>1.0999999999999999E-2</v>
      </c>
      <c r="AA25">
        <f t="shared" si="4"/>
        <v>0.21</v>
      </c>
      <c r="AB25">
        <f t="shared" si="20"/>
        <v>5.8999999999999999E-3</v>
      </c>
      <c r="AC25">
        <f t="shared" si="5"/>
        <v>0</v>
      </c>
      <c r="AD25">
        <f t="shared" si="21"/>
        <v>0</v>
      </c>
      <c r="AE25">
        <f t="shared" si="6"/>
        <v>3.8356164383561643E-3</v>
      </c>
      <c r="AF25">
        <f t="shared" si="7"/>
        <v>-9.1999999999999998E-3</v>
      </c>
      <c r="AG25">
        <v>57</v>
      </c>
      <c r="AH25">
        <f t="shared" si="8"/>
        <v>0.8771929824561403</v>
      </c>
      <c r="AI25">
        <v>0</v>
      </c>
      <c r="AJ25">
        <f t="shared" si="22"/>
        <v>0</v>
      </c>
      <c r="AK25">
        <f t="shared" si="23"/>
        <v>3.9804023233659479E-4</v>
      </c>
      <c r="AL25">
        <f t="shared" si="9"/>
        <v>1.8791943153172598E-2</v>
      </c>
      <c r="AM25">
        <f t="shared" si="10"/>
        <v>6.0000000000000001E-3</v>
      </c>
      <c r="AN25">
        <f t="shared" si="24"/>
        <v>1.57</v>
      </c>
      <c r="AO25">
        <f t="shared" si="25"/>
        <v>1.3</v>
      </c>
      <c r="AP25">
        <f t="shared" si="26"/>
        <v>1</v>
      </c>
      <c r="AQ25">
        <f t="shared" si="11"/>
        <v>0.50740000000000007</v>
      </c>
      <c r="AR25">
        <v>1.6</v>
      </c>
      <c r="AS25">
        <f t="shared" si="27"/>
        <v>0.99402397710499402</v>
      </c>
      <c r="AT25">
        <f t="shared" si="12"/>
        <v>1.0054871153505722</v>
      </c>
      <c r="AU25">
        <f t="shared" si="28"/>
        <v>0.99947830132860371</v>
      </c>
      <c r="AV25">
        <f t="shared" si="13"/>
        <v>0.11993739615943244</v>
      </c>
      <c r="AW25">
        <f t="shared" si="29"/>
        <v>0.08</v>
      </c>
      <c r="AX25">
        <f t="shared" si="14"/>
        <v>0.36778882639365651</v>
      </c>
      <c r="AY25">
        <f t="shared" si="30"/>
        <v>0.24</v>
      </c>
      <c r="AZ25">
        <f t="shared" si="31"/>
        <v>0.6784</v>
      </c>
      <c r="BA25">
        <f t="shared" si="36"/>
        <v>0</v>
      </c>
      <c r="BB25">
        <f t="shared" si="32"/>
        <v>2.8144495612311498E-4</v>
      </c>
      <c r="BC25">
        <f t="shared" si="33"/>
        <v>2.8144495612311498E-4</v>
      </c>
      <c r="BD25">
        <f t="shared" si="34"/>
        <v>4.8795519267845062</v>
      </c>
      <c r="BF25">
        <f t="shared" si="15"/>
        <v>325.80531441812991</v>
      </c>
      <c r="BR25" t="s">
        <v>211</v>
      </c>
      <c r="BW25" t="s">
        <v>165</v>
      </c>
      <c r="BX25" t="s">
        <v>162</v>
      </c>
      <c r="BY25">
        <v>-7.0000000000000007E-2</v>
      </c>
      <c r="BZ25">
        <v>0.02</v>
      </c>
      <c r="CA25">
        <v>0</v>
      </c>
      <c r="CB25">
        <v>-0.2</v>
      </c>
      <c r="CC25">
        <v>0</v>
      </c>
      <c r="CD25">
        <v>0</v>
      </c>
      <c r="CE25">
        <v>3</v>
      </c>
      <c r="CI25" t="s">
        <v>164</v>
      </c>
      <c r="CJ25">
        <v>-0.05</v>
      </c>
      <c r="CK25">
        <v>-0.05</v>
      </c>
      <c r="CL25">
        <v>-0.05</v>
      </c>
      <c r="CM25">
        <v>-0.05</v>
      </c>
      <c r="CN25">
        <v>0</v>
      </c>
      <c r="CO25">
        <v>7.0000000000000007E-2</v>
      </c>
    </row>
    <row r="26" spans="8:93" x14ac:dyDescent="0.2">
      <c r="H26" s="12"/>
      <c r="I26" t="s">
        <v>166</v>
      </c>
      <c r="J26">
        <f t="shared" si="41"/>
        <v>2</v>
      </c>
      <c r="K26">
        <f t="shared" si="42"/>
        <v>0.7</v>
      </c>
      <c r="L26">
        <v>180</v>
      </c>
      <c r="M26">
        <v>0</v>
      </c>
      <c r="N26">
        <v>0</v>
      </c>
      <c r="O26">
        <f t="shared" si="0"/>
        <v>91.25</v>
      </c>
      <c r="P26">
        <v>0.01</v>
      </c>
      <c r="Q26">
        <v>0.18</v>
      </c>
      <c r="R26">
        <v>0.72</v>
      </c>
      <c r="S26">
        <v>51</v>
      </c>
      <c r="T26">
        <f t="shared" si="16"/>
        <v>0</v>
      </c>
      <c r="U26">
        <f t="shared" si="17"/>
        <v>1</v>
      </c>
      <c r="V26">
        <f t="shared" si="18"/>
        <v>0.72</v>
      </c>
      <c r="W26">
        <f t="shared" si="1"/>
        <v>4.7000000000000002E-3</v>
      </c>
      <c r="X26">
        <f t="shared" si="19"/>
        <v>0</v>
      </c>
      <c r="Y26">
        <f t="shared" si="2"/>
        <v>0.24</v>
      </c>
      <c r="Z26">
        <f t="shared" si="3"/>
        <v>1.0999999999999999E-2</v>
      </c>
      <c r="AA26">
        <f t="shared" si="4"/>
        <v>0.21</v>
      </c>
      <c r="AB26">
        <f t="shared" si="20"/>
        <v>5.8999999999999999E-3</v>
      </c>
      <c r="AC26">
        <f t="shared" si="5"/>
        <v>0</v>
      </c>
      <c r="AD26">
        <f t="shared" si="21"/>
        <v>0</v>
      </c>
      <c r="AE26">
        <f t="shared" si="6"/>
        <v>3.8356164383561643E-3</v>
      </c>
      <c r="AF26">
        <f t="shared" si="7"/>
        <v>9.1999999999999998E-3</v>
      </c>
      <c r="AG26">
        <v>57</v>
      </c>
      <c r="AH26">
        <f t="shared" si="8"/>
        <v>0.89473684210526316</v>
      </c>
      <c r="AI26">
        <v>0</v>
      </c>
      <c r="AJ26">
        <f t="shared" si="22"/>
        <v>0</v>
      </c>
      <c r="AK26">
        <f t="shared" si="23"/>
        <v>6.3181847062017697E-4</v>
      </c>
      <c r="AL26">
        <f t="shared" si="9"/>
        <v>3.2485572667811859E-2</v>
      </c>
      <c r="AM26">
        <f t="shared" si="10"/>
        <v>6.0000000000000001E-3</v>
      </c>
      <c r="AN26">
        <f t="shared" si="24"/>
        <v>1.57</v>
      </c>
      <c r="AO26">
        <f t="shared" si="25"/>
        <v>1.3</v>
      </c>
      <c r="AP26">
        <f t="shared" si="26"/>
        <v>1</v>
      </c>
      <c r="AQ26">
        <f t="shared" si="11"/>
        <v>0.57100000000000006</v>
      </c>
      <c r="AR26">
        <v>1.7</v>
      </c>
      <c r="AS26">
        <f t="shared" si="27"/>
        <v>0.99691128459176326</v>
      </c>
      <c r="AT26">
        <f t="shared" si="12"/>
        <v>1.1534721617679149</v>
      </c>
      <c r="AU26">
        <f t="shared" si="28"/>
        <v>1.1499094145288902</v>
      </c>
      <c r="AV26">
        <f t="shared" si="13"/>
        <v>0.20698369461520022</v>
      </c>
      <c r="AW26">
        <f t="shared" si="29"/>
        <v>0.08</v>
      </c>
      <c r="AX26">
        <f t="shared" si="14"/>
        <v>0.34487699833033825</v>
      </c>
      <c r="AY26">
        <f t="shared" si="30"/>
        <v>0.24</v>
      </c>
      <c r="AZ26">
        <f t="shared" si="31"/>
        <v>0.6784</v>
      </c>
      <c r="BA26">
        <f t="shared" si="36"/>
        <v>0</v>
      </c>
      <c r="BB26">
        <f t="shared" si="32"/>
        <v>2.6391201879271607E-4</v>
      </c>
      <c r="BC26">
        <f t="shared" si="33"/>
        <v>2.6391201879271607E-4</v>
      </c>
      <c r="BD26">
        <f t="shared" si="34"/>
        <v>4.3347549086703614</v>
      </c>
      <c r="BF26">
        <f t="shared" si="15"/>
        <v>533.57553106880982</v>
      </c>
      <c r="BR26" s="13" t="s">
        <v>203</v>
      </c>
      <c r="BS26" s="13" t="s">
        <v>204</v>
      </c>
      <c r="BT26" s="13">
        <v>0.75</v>
      </c>
      <c r="BW26" t="s">
        <v>166</v>
      </c>
      <c r="BX26" t="s">
        <v>162</v>
      </c>
      <c r="BY26">
        <v>0</v>
      </c>
      <c r="BZ26">
        <v>-0.03</v>
      </c>
      <c r="CA26">
        <v>0</v>
      </c>
      <c r="CB26">
        <v>0</v>
      </c>
      <c r="CC26">
        <v>-0.05</v>
      </c>
      <c r="CD26">
        <v>0</v>
      </c>
      <c r="CE26">
        <v>4</v>
      </c>
      <c r="CI26" t="s">
        <v>165</v>
      </c>
      <c r="CJ26">
        <v>0</v>
      </c>
      <c r="CK26">
        <v>-0.03</v>
      </c>
      <c r="CL26">
        <v>-0.02</v>
      </c>
      <c r="CM26">
        <v>-0.02</v>
      </c>
      <c r="CN26">
        <v>0</v>
      </c>
      <c r="CO26">
        <v>0.05</v>
      </c>
    </row>
    <row r="27" spans="8:93" x14ac:dyDescent="0.2">
      <c r="H27" s="11" t="s">
        <v>162</v>
      </c>
      <c r="I27" t="s">
        <v>163</v>
      </c>
      <c r="J27">
        <v>1</v>
      </c>
      <c r="K27">
        <v>0.65</v>
      </c>
      <c r="L27">
        <v>50</v>
      </c>
      <c r="M27">
        <v>0</v>
      </c>
      <c r="N27">
        <v>0</v>
      </c>
      <c r="O27">
        <f t="shared" si="0"/>
        <v>91.25</v>
      </c>
      <c r="P27">
        <v>7.0000000000000007E-2</v>
      </c>
      <c r="Q27">
        <v>0.2</v>
      </c>
      <c r="R27">
        <v>0.75</v>
      </c>
      <c r="S27">
        <v>75</v>
      </c>
      <c r="T27">
        <f t="shared" si="16"/>
        <v>0</v>
      </c>
      <c r="U27">
        <f t="shared" si="17"/>
        <v>1</v>
      </c>
      <c r="V27">
        <f t="shared" si="18"/>
        <v>0.72</v>
      </c>
      <c r="W27">
        <f t="shared" si="1"/>
        <v>4.7000000000000002E-3</v>
      </c>
      <c r="X27">
        <f t="shared" si="19"/>
        <v>0</v>
      </c>
      <c r="Y27">
        <f t="shared" si="2"/>
        <v>0.24</v>
      </c>
      <c r="Z27">
        <f t="shared" si="3"/>
        <v>1.0999999999999999E-2</v>
      </c>
      <c r="AA27">
        <f t="shared" si="4"/>
        <v>0.21</v>
      </c>
      <c r="AB27">
        <f t="shared" si="20"/>
        <v>5.8999999999999999E-3</v>
      </c>
      <c r="AC27">
        <f t="shared" si="5"/>
        <v>0</v>
      </c>
      <c r="AD27">
        <f t="shared" si="21"/>
        <v>0</v>
      </c>
      <c r="AE27">
        <f t="shared" si="6"/>
        <v>1.7808219178082193E-3</v>
      </c>
      <c r="AF27">
        <f t="shared" si="7"/>
        <v>6.4400000000000013E-2</v>
      </c>
      <c r="AG27">
        <v>78</v>
      </c>
      <c r="AH27">
        <f t="shared" si="8"/>
        <v>0.96153846153846156</v>
      </c>
      <c r="AI27">
        <v>0</v>
      </c>
      <c r="AJ27">
        <f t="shared" si="22"/>
        <v>0</v>
      </c>
      <c r="AK27">
        <f t="shared" si="23"/>
        <v>1.0297560621526452E-3</v>
      </c>
      <c r="AL27">
        <f t="shared" si="9"/>
        <v>5.6307516155572376E-2</v>
      </c>
      <c r="AM27">
        <f t="shared" si="10"/>
        <v>6.0000000000000001E-3</v>
      </c>
      <c r="AN27">
        <f t="shared" si="24"/>
        <v>1.57</v>
      </c>
      <c r="AO27">
        <f t="shared" si="25"/>
        <v>1.3</v>
      </c>
      <c r="AP27">
        <f t="shared" si="26"/>
        <v>1</v>
      </c>
      <c r="AQ27">
        <f t="shared" si="11"/>
        <v>0.5948500000000001</v>
      </c>
      <c r="AR27">
        <v>2.9</v>
      </c>
      <c r="AS27">
        <f t="shared" si="27"/>
        <v>0.9999999504359468</v>
      </c>
      <c r="AT27">
        <f t="shared" si="12"/>
        <v>1.7917898456122741</v>
      </c>
      <c r="AU27">
        <f t="shared" si="28"/>
        <v>1.7917897568039067</v>
      </c>
      <c r="AV27">
        <f t="shared" si="13"/>
        <v>0.35835795136078136</v>
      </c>
      <c r="AW27">
        <f t="shared" si="29"/>
        <v>0.08</v>
      </c>
      <c r="AX27">
        <f t="shared" si="14"/>
        <v>0.53025843166411502</v>
      </c>
      <c r="AY27">
        <f t="shared" si="30"/>
        <v>0.24</v>
      </c>
      <c r="AZ27">
        <f t="shared" si="31"/>
        <v>0.6784</v>
      </c>
      <c r="BA27">
        <f t="shared" si="36"/>
        <v>0</v>
      </c>
      <c r="BB27">
        <f t="shared" si="32"/>
        <v>4.057724170061754E-4</v>
      </c>
      <c r="BC27">
        <f t="shared" si="33"/>
        <v>4.057724170061754E-4</v>
      </c>
      <c r="BD27">
        <f t="shared" si="34"/>
        <v>1.8513366525906754</v>
      </c>
      <c r="BF27">
        <f t="shared" si="15"/>
        <v>256.90304245979894</v>
      </c>
      <c r="BR27" s="13" t="s">
        <v>194</v>
      </c>
      <c r="BS27" s="13" t="s">
        <v>205</v>
      </c>
      <c r="BT27" s="13">
        <v>0.45</v>
      </c>
      <c r="BW27" t="s">
        <v>163</v>
      </c>
      <c r="BX27" t="s">
        <v>167</v>
      </c>
      <c r="BY27">
        <v>0.08</v>
      </c>
      <c r="BZ27">
        <v>0</v>
      </c>
      <c r="CA27">
        <v>0.11</v>
      </c>
      <c r="CB27">
        <v>0.11</v>
      </c>
      <c r="CC27">
        <v>0.11</v>
      </c>
      <c r="CD27">
        <v>0.13</v>
      </c>
      <c r="CE27">
        <v>1</v>
      </c>
      <c r="CI27" t="s">
        <v>166</v>
      </c>
      <c r="CJ27">
        <v>-0.05</v>
      </c>
      <c r="CK27">
        <v>-0.02</v>
      </c>
      <c r="CL27">
        <v>-0.03</v>
      </c>
      <c r="CM27">
        <v>-0.03</v>
      </c>
      <c r="CN27">
        <v>0</v>
      </c>
      <c r="CO27">
        <v>0.02</v>
      </c>
    </row>
    <row r="28" spans="8:93" x14ac:dyDescent="0.2">
      <c r="H28" s="12"/>
      <c r="I28" t="s">
        <v>164</v>
      </c>
      <c r="J28">
        <f>J27</f>
        <v>1</v>
      </c>
      <c r="K28">
        <f>K27</f>
        <v>0.65</v>
      </c>
      <c r="L28">
        <v>55</v>
      </c>
      <c r="M28">
        <v>0</v>
      </c>
      <c r="N28">
        <v>0</v>
      </c>
      <c r="O28">
        <f t="shared" si="0"/>
        <v>91.25</v>
      </c>
      <c r="P28">
        <v>0</v>
      </c>
      <c r="Q28">
        <v>0.1</v>
      </c>
      <c r="R28">
        <v>0.61</v>
      </c>
      <c r="S28">
        <v>75</v>
      </c>
      <c r="T28">
        <f t="shared" si="16"/>
        <v>0</v>
      </c>
      <c r="U28">
        <f t="shared" si="17"/>
        <v>1</v>
      </c>
      <c r="V28">
        <f t="shared" si="18"/>
        <v>0.72</v>
      </c>
      <c r="W28">
        <f t="shared" si="1"/>
        <v>4.7000000000000002E-3</v>
      </c>
      <c r="X28">
        <f t="shared" si="19"/>
        <v>0</v>
      </c>
      <c r="Y28">
        <f t="shared" si="2"/>
        <v>0.24</v>
      </c>
      <c r="Z28">
        <f t="shared" si="3"/>
        <v>1.0999999999999999E-2</v>
      </c>
      <c r="AA28">
        <f t="shared" si="4"/>
        <v>0.21</v>
      </c>
      <c r="AB28">
        <f t="shared" si="20"/>
        <v>5.8999999999999999E-3</v>
      </c>
      <c r="AC28">
        <f t="shared" si="5"/>
        <v>0</v>
      </c>
      <c r="AD28">
        <f t="shared" si="21"/>
        <v>0</v>
      </c>
      <c r="AE28">
        <f t="shared" si="6"/>
        <v>1.7808219178082193E-3</v>
      </c>
      <c r="AF28">
        <f t="shared" si="7"/>
        <v>0</v>
      </c>
      <c r="AG28">
        <v>78</v>
      </c>
      <c r="AH28">
        <f t="shared" si="8"/>
        <v>0.96153846153846156</v>
      </c>
      <c r="AI28">
        <v>0</v>
      </c>
      <c r="AJ28">
        <f t="shared" si="22"/>
        <v>0</v>
      </c>
      <c r="AK28">
        <f t="shared" si="23"/>
        <v>2.3934246575342468E-4</v>
      </c>
      <c r="AL28">
        <f t="shared" si="9"/>
        <v>2.3677410059052224E-2</v>
      </c>
      <c r="AM28">
        <f t="shared" si="10"/>
        <v>6.0000000000000001E-3</v>
      </c>
      <c r="AN28">
        <f t="shared" si="24"/>
        <v>1.57</v>
      </c>
      <c r="AO28">
        <f t="shared" si="25"/>
        <v>1.3</v>
      </c>
      <c r="AP28">
        <f t="shared" si="26"/>
        <v>1</v>
      </c>
      <c r="AQ28">
        <f t="shared" si="11"/>
        <v>0.48354999999999998</v>
      </c>
      <c r="AR28">
        <v>2.5</v>
      </c>
      <c r="AS28">
        <f t="shared" si="27"/>
        <v>0.99999627334682795</v>
      </c>
      <c r="AT28">
        <f t="shared" si="12"/>
        <v>1.4948026034112167</v>
      </c>
      <c r="AU28">
        <f t="shared" si="28"/>
        <v>1.494797032800353</v>
      </c>
      <c r="AV28">
        <f t="shared" si="13"/>
        <v>0.14947970328003532</v>
      </c>
      <c r="AW28">
        <f t="shared" si="29"/>
        <v>0.08</v>
      </c>
      <c r="AX28">
        <f t="shared" si="14"/>
        <v>0.61855976399785639</v>
      </c>
      <c r="AY28">
        <f t="shared" si="30"/>
        <v>0.24</v>
      </c>
      <c r="AZ28">
        <f t="shared" si="31"/>
        <v>0.6784</v>
      </c>
      <c r="BA28">
        <f t="shared" si="36"/>
        <v>0</v>
      </c>
      <c r="BB28">
        <f t="shared" si="32"/>
        <v>4.7334370471485243E-4</v>
      </c>
      <c r="BC28">
        <f t="shared" si="33"/>
        <v>4.7334370471485243E-4</v>
      </c>
      <c r="BD28">
        <f t="shared" si="34"/>
        <v>2.3755937180376656</v>
      </c>
      <c r="BF28">
        <f t="shared" si="15"/>
        <v>118.83100173386836</v>
      </c>
      <c r="BR28" s="13" t="s">
        <v>195</v>
      </c>
      <c r="BS28" s="13" t="s">
        <v>206</v>
      </c>
      <c r="BT28" s="13">
        <v>0.09</v>
      </c>
      <c r="BW28" t="s">
        <v>164</v>
      </c>
      <c r="BX28" t="s">
        <v>167</v>
      </c>
      <c r="BY28">
        <v>-0.08</v>
      </c>
      <c r="BZ28">
        <v>0.05</v>
      </c>
      <c r="CA28">
        <v>-0.1</v>
      </c>
      <c r="CB28">
        <v>0</v>
      </c>
      <c r="CC28">
        <v>-0.05</v>
      </c>
      <c r="CD28">
        <v>-0.05</v>
      </c>
      <c r="CE28">
        <v>2</v>
      </c>
      <c r="CH28" t="s">
        <v>178</v>
      </c>
      <c r="CI28" t="s">
        <v>163</v>
      </c>
      <c r="CJ28">
        <v>0.11</v>
      </c>
      <c r="CK28">
        <v>0.13</v>
      </c>
      <c r="CL28">
        <v>0.05</v>
      </c>
      <c r="CM28">
        <v>0.05</v>
      </c>
      <c r="CN28">
        <v>0.05</v>
      </c>
      <c r="CO28">
        <v>0.11</v>
      </c>
    </row>
    <row r="29" spans="8:93" x14ac:dyDescent="0.2">
      <c r="H29" s="11"/>
      <c r="I29" t="s">
        <v>165</v>
      </c>
      <c r="J29">
        <f t="shared" ref="J29:J30" si="43">J28</f>
        <v>1</v>
      </c>
      <c r="K29">
        <f t="shared" ref="K29:K30" si="44">K28</f>
        <v>0.65</v>
      </c>
      <c r="L29">
        <v>60</v>
      </c>
      <c r="M29">
        <v>0</v>
      </c>
      <c r="N29">
        <v>0</v>
      </c>
      <c r="O29">
        <f t="shared" si="0"/>
        <v>91.25</v>
      </c>
      <c r="P29">
        <v>-7.0000000000000007E-2</v>
      </c>
      <c r="Q29">
        <v>0.12</v>
      </c>
      <c r="R29">
        <v>0.64</v>
      </c>
      <c r="S29">
        <v>69</v>
      </c>
      <c r="T29">
        <f t="shared" si="16"/>
        <v>0</v>
      </c>
      <c r="U29">
        <f t="shared" si="17"/>
        <v>1</v>
      </c>
      <c r="V29">
        <f t="shared" si="18"/>
        <v>0.72</v>
      </c>
      <c r="W29">
        <f t="shared" si="1"/>
        <v>4.7000000000000002E-3</v>
      </c>
      <c r="X29">
        <f t="shared" si="19"/>
        <v>0</v>
      </c>
      <c r="Y29">
        <f t="shared" si="2"/>
        <v>0.24</v>
      </c>
      <c r="Z29">
        <f t="shared" si="3"/>
        <v>1.0999999999999999E-2</v>
      </c>
      <c r="AA29">
        <f t="shared" si="4"/>
        <v>0.21</v>
      </c>
      <c r="AB29">
        <f t="shared" si="20"/>
        <v>5.8999999999999999E-3</v>
      </c>
      <c r="AC29">
        <f t="shared" si="5"/>
        <v>0</v>
      </c>
      <c r="AD29">
        <f t="shared" si="21"/>
        <v>0</v>
      </c>
      <c r="AE29">
        <f t="shared" si="6"/>
        <v>1.7808219178082193E-3</v>
      </c>
      <c r="AF29">
        <f t="shared" si="7"/>
        <v>-6.4400000000000013E-2</v>
      </c>
      <c r="AG29">
        <v>78</v>
      </c>
      <c r="AH29">
        <f t="shared" si="8"/>
        <v>0.88461538461538458</v>
      </c>
      <c r="AI29">
        <v>0</v>
      </c>
      <c r="AJ29">
        <f t="shared" si="22"/>
        <v>0</v>
      </c>
      <c r="AK29">
        <f t="shared" si="23"/>
        <v>-5.8067645512978143E-4</v>
      </c>
      <c r="AL29">
        <f t="shared" si="9"/>
        <v>2.7679259014053301E-2</v>
      </c>
      <c r="AM29">
        <f t="shared" si="10"/>
        <v>6.0000000000000001E-3</v>
      </c>
      <c r="AN29">
        <f t="shared" si="24"/>
        <v>1.57</v>
      </c>
      <c r="AO29">
        <f t="shared" si="25"/>
        <v>1.3</v>
      </c>
      <c r="AP29">
        <f t="shared" si="26"/>
        <v>1</v>
      </c>
      <c r="AQ29">
        <f t="shared" si="11"/>
        <v>0.50740000000000007</v>
      </c>
      <c r="AR29">
        <v>1.6</v>
      </c>
      <c r="AS29">
        <f t="shared" si="27"/>
        <v>0.99402397710499402</v>
      </c>
      <c r="AT29">
        <f t="shared" si="12"/>
        <v>1.4198696820048529</v>
      </c>
      <c r="AU29">
        <f t="shared" si="28"/>
        <v>1.4113845082772669</v>
      </c>
      <c r="AV29">
        <f t="shared" si="13"/>
        <v>0.16936614099327202</v>
      </c>
      <c r="AW29">
        <f t="shared" si="29"/>
        <v>0.08</v>
      </c>
      <c r="AX29">
        <f t="shared" si="14"/>
        <v>0.54075637841297708</v>
      </c>
      <c r="AY29">
        <f t="shared" si="30"/>
        <v>0.24</v>
      </c>
      <c r="AZ29">
        <f t="shared" si="31"/>
        <v>0.6784</v>
      </c>
      <c r="BA29">
        <f t="shared" si="36"/>
        <v>0</v>
      </c>
      <c r="BB29">
        <f t="shared" si="32"/>
        <v>4.138058153861302E-4</v>
      </c>
      <c r="BC29">
        <f t="shared" si="33"/>
        <v>4.138058153861302E-4</v>
      </c>
      <c r="BD29">
        <f t="shared" si="34"/>
        <v>2.265586839239063</v>
      </c>
      <c r="BF29">
        <f t="shared" si="15"/>
        <v>151.54394310194181</v>
      </c>
      <c r="BR29" s="13" t="s">
        <v>196</v>
      </c>
      <c r="BS29" s="13" t="s">
        <v>207</v>
      </c>
      <c r="BT29" s="13">
        <v>0.26</v>
      </c>
      <c r="BW29" t="s">
        <v>165</v>
      </c>
      <c r="BX29" t="s">
        <v>167</v>
      </c>
      <c r="BY29">
        <v>0</v>
      </c>
      <c r="BZ29">
        <v>0</v>
      </c>
      <c r="CA29">
        <v>-0.1</v>
      </c>
      <c r="CB29">
        <v>-0.1</v>
      </c>
      <c r="CC29">
        <v>-0.03</v>
      </c>
      <c r="CD29">
        <v>-0.08</v>
      </c>
      <c r="CE29">
        <v>3</v>
      </c>
      <c r="CI29" t="s">
        <v>164</v>
      </c>
      <c r="CJ29">
        <v>-0.11</v>
      </c>
      <c r="CK29">
        <v>-0.05</v>
      </c>
      <c r="CL29">
        <v>-0.05</v>
      </c>
      <c r="CM29">
        <v>-0.05</v>
      </c>
      <c r="CN29">
        <v>-0.05</v>
      </c>
      <c r="CO29">
        <v>0</v>
      </c>
    </row>
    <row r="30" spans="8:93" x14ac:dyDescent="0.2">
      <c r="H30" s="12"/>
      <c r="I30" t="s">
        <v>166</v>
      </c>
      <c r="J30">
        <f t="shared" si="43"/>
        <v>1</v>
      </c>
      <c r="K30">
        <f t="shared" si="44"/>
        <v>0.65</v>
      </c>
      <c r="L30">
        <v>65</v>
      </c>
      <c r="M30">
        <v>0</v>
      </c>
      <c r="N30">
        <v>0</v>
      </c>
      <c r="O30">
        <f t="shared" si="0"/>
        <v>91.25</v>
      </c>
      <c r="P30">
        <v>0</v>
      </c>
      <c r="Q30">
        <v>0.18</v>
      </c>
      <c r="R30">
        <v>0.72</v>
      </c>
      <c r="S30">
        <v>69</v>
      </c>
      <c r="T30">
        <f t="shared" si="16"/>
        <v>0</v>
      </c>
      <c r="U30">
        <f t="shared" si="17"/>
        <v>1</v>
      </c>
      <c r="V30">
        <f t="shared" si="18"/>
        <v>0.72</v>
      </c>
      <c r="W30">
        <f t="shared" si="1"/>
        <v>4.7000000000000002E-3</v>
      </c>
      <c r="X30">
        <f t="shared" si="19"/>
        <v>0</v>
      </c>
      <c r="Y30">
        <f t="shared" si="2"/>
        <v>0.24</v>
      </c>
      <c r="Z30">
        <f t="shared" si="3"/>
        <v>1.0999999999999999E-2</v>
      </c>
      <c r="AA30">
        <f t="shared" si="4"/>
        <v>0.21</v>
      </c>
      <c r="AB30">
        <f t="shared" si="20"/>
        <v>5.8999999999999999E-3</v>
      </c>
      <c r="AC30">
        <f t="shared" si="5"/>
        <v>0</v>
      </c>
      <c r="AD30">
        <f t="shared" si="21"/>
        <v>0</v>
      </c>
      <c r="AE30">
        <f t="shared" si="6"/>
        <v>1.7808219178082193E-3</v>
      </c>
      <c r="AF30">
        <f t="shared" si="7"/>
        <v>0</v>
      </c>
      <c r="AG30">
        <v>78</v>
      </c>
      <c r="AH30">
        <f t="shared" si="8"/>
        <v>0.88461538461538458</v>
      </c>
      <c r="AI30">
        <v>0</v>
      </c>
      <c r="AJ30">
        <f t="shared" si="22"/>
        <v>0</v>
      </c>
      <c r="AK30">
        <f t="shared" si="23"/>
        <v>2.3934246575342468E-4</v>
      </c>
      <c r="AL30">
        <f t="shared" si="9"/>
        <v>4.5103691581787016E-2</v>
      </c>
      <c r="AM30">
        <f t="shared" si="10"/>
        <v>6.0000000000000001E-3</v>
      </c>
      <c r="AN30">
        <f t="shared" si="24"/>
        <v>1.57</v>
      </c>
      <c r="AO30">
        <f t="shared" si="25"/>
        <v>1.3</v>
      </c>
      <c r="AP30">
        <f t="shared" si="26"/>
        <v>1</v>
      </c>
      <c r="AQ30">
        <f t="shared" si="11"/>
        <v>0.57100000000000006</v>
      </c>
      <c r="AR30">
        <v>1.7</v>
      </c>
      <c r="AS30">
        <f t="shared" si="27"/>
        <v>0.99691128459176326</v>
      </c>
      <c r="AT30">
        <f t="shared" si="12"/>
        <v>1.5792888783210146</v>
      </c>
      <c r="AU30">
        <f t="shared" si="28"/>
        <v>1.5744109044284875</v>
      </c>
      <c r="AV30">
        <f t="shared" si="13"/>
        <v>0.28339396279712775</v>
      </c>
      <c r="AW30">
        <f t="shared" si="29"/>
        <v>0.08</v>
      </c>
      <c r="AX30">
        <f t="shared" si="14"/>
        <v>0.49678697379296494</v>
      </c>
      <c r="AY30">
        <f t="shared" si="30"/>
        <v>0.24</v>
      </c>
      <c r="AZ30">
        <f t="shared" si="31"/>
        <v>0.6784</v>
      </c>
      <c r="BA30">
        <f t="shared" si="36"/>
        <v>0</v>
      </c>
      <c r="BB30">
        <f t="shared" si="32"/>
        <v>3.8015887924785428E-4</v>
      </c>
      <c r="BC30">
        <f t="shared" si="33"/>
        <v>3.8015887924785428E-4</v>
      </c>
      <c r="BD30">
        <f t="shared" si="34"/>
        <v>2.2548173525388355</v>
      </c>
      <c r="BF30">
        <f t="shared" si="15"/>
        <v>267.52127069447425</v>
      </c>
      <c r="BR30" s="13" t="s">
        <v>197</v>
      </c>
      <c r="BS30" s="13" t="s">
        <v>208</v>
      </c>
      <c r="BT30" s="13">
        <v>0.5</v>
      </c>
      <c r="BW30" t="s">
        <v>166</v>
      </c>
      <c r="BX30" t="s">
        <v>167</v>
      </c>
      <c r="BY30">
        <v>0</v>
      </c>
      <c r="BZ30">
        <v>-0.05</v>
      </c>
      <c r="CA30">
        <v>0</v>
      </c>
      <c r="CB30">
        <v>-0.1</v>
      </c>
      <c r="CC30">
        <v>-0.02</v>
      </c>
      <c r="CD30">
        <v>0</v>
      </c>
      <c r="CE30">
        <v>4</v>
      </c>
      <c r="CI30" t="s">
        <v>165</v>
      </c>
      <c r="CJ30">
        <v>0</v>
      </c>
      <c r="CK30">
        <v>-0.08</v>
      </c>
      <c r="CL30">
        <v>0.11</v>
      </c>
      <c r="CM30">
        <v>-0.05</v>
      </c>
      <c r="CN30">
        <v>-0.05</v>
      </c>
      <c r="CO30">
        <v>0.11</v>
      </c>
    </row>
    <row r="31" spans="8:93" x14ac:dyDescent="0.2">
      <c r="H31" s="11" t="s">
        <v>167</v>
      </c>
      <c r="I31" t="s">
        <v>163</v>
      </c>
      <c r="J31">
        <v>0.5</v>
      </c>
      <c r="K31">
        <v>0.65</v>
      </c>
      <c r="L31">
        <v>50</v>
      </c>
      <c r="M31">
        <v>0</v>
      </c>
      <c r="N31">
        <v>0</v>
      </c>
      <c r="O31">
        <f t="shared" si="0"/>
        <v>91.25</v>
      </c>
      <c r="P31">
        <v>0.08</v>
      </c>
      <c r="Q31">
        <v>0.2</v>
      </c>
      <c r="R31">
        <v>0.75</v>
      </c>
      <c r="S31">
        <v>62</v>
      </c>
      <c r="T31">
        <f t="shared" si="16"/>
        <v>0</v>
      </c>
      <c r="U31">
        <f t="shared" si="17"/>
        <v>1</v>
      </c>
      <c r="V31">
        <f t="shared" si="18"/>
        <v>0.72</v>
      </c>
      <c r="W31">
        <f t="shared" si="1"/>
        <v>4.7000000000000002E-3</v>
      </c>
      <c r="X31">
        <f t="shared" si="19"/>
        <v>0</v>
      </c>
      <c r="Y31">
        <f t="shared" si="2"/>
        <v>0.24</v>
      </c>
      <c r="Z31">
        <f t="shared" si="3"/>
        <v>1.0999999999999999E-2</v>
      </c>
      <c r="AA31">
        <f t="shared" si="4"/>
        <v>0.21</v>
      </c>
      <c r="AB31">
        <f t="shared" si="20"/>
        <v>5.8999999999999999E-3</v>
      </c>
      <c r="AC31">
        <f t="shared" si="5"/>
        <v>0</v>
      </c>
      <c r="AD31">
        <f t="shared" si="21"/>
        <v>0</v>
      </c>
      <c r="AE31">
        <f t="shared" si="6"/>
        <v>8.9041095890410966E-4</v>
      </c>
      <c r="AF31">
        <f t="shared" si="7"/>
        <v>7.3599999999999999E-2</v>
      </c>
      <c r="AG31">
        <v>62</v>
      </c>
      <c r="AH31">
        <f t="shared" si="8"/>
        <v>1</v>
      </c>
      <c r="AI31">
        <v>0</v>
      </c>
      <c r="AJ31">
        <f t="shared" si="22"/>
        <v>0</v>
      </c>
      <c r="AK31">
        <f t="shared" si="23"/>
        <v>1.0116016126962319E-3</v>
      </c>
      <c r="AL31">
        <f t="shared" si="9"/>
        <v>4.58755829416546E-2</v>
      </c>
      <c r="AM31">
        <f t="shared" si="10"/>
        <v>6.0000000000000001E-3</v>
      </c>
      <c r="AN31">
        <f t="shared" si="24"/>
        <v>1.57</v>
      </c>
      <c r="AO31">
        <f t="shared" si="25"/>
        <v>1.3</v>
      </c>
      <c r="AP31">
        <f t="shared" si="26"/>
        <v>1</v>
      </c>
      <c r="AQ31">
        <f t="shared" si="11"/>
        <v>0.5948500000000001</v>
      </c>
      <c r="AR31">
        <v>2.9</v>
      </c>
      <c r="AS31">
        <f t="shared" si="27"/>
        <v>0.9999999504359468</v>
      </c>
      <c r="AT31">
        <f t="shared" si="12"/>
        <v>1.4652245899459331</v>
      </c>
      <c r="AU31">
        <f t="shared" si="28"/>
        <v>1.4652245173234635</v>
      </c>
      <c r="AV31">
        <f t="shared" si="13"/>
        <v>0.2930449034646927</v>
      </c>
      <c r="AW31">
        <f t="shared" si="29"/>
        <v>0.08</v>
      </c>
      <c r="AX31">
        <f t="shared" si="14"/>
        <v>0.41600692919529714</v>
      </c>
      <c r="AY31">
        <f t="shared" si="30"/>
        <v>0.24</v>
      </c>
      <c r="AZ31">
        <f t="shared" si="31"/>
        <v>0.6784</v>
      </c>
      <c r="BA31">
        <f t="shared" si="36"/>
        <v>0</v>
      </c>
      <c r="BB31">
        <f t="shared" si="32"/>
        <v>3.1834314566414905E-4</v>
      </c>
      <c r="BC31">
        <f t="shared" si="33"/>
        <v>3.1834314566414905E-4</v>
      </c>
      <c r="BD31">
        <f t="shared" si="34"/>
        <v>1.4524406020926799</v>
      </c>
      <c r="BF31">
        <f t="shared" si="15"/>
        <v>209.30734717129909</v>
      </c>
      <c r="BR31" s="13" t="s">
        <v>198</v>
      </c>
      <c r="BS31" s="13" t="s">
        <v>209</v>
      </c>
      <c r="BT31" s="13">
        <v>0.83</v>
      </c>
      <c r="CI31" t="s">
        <v>166</v>
      </c>
      <c r="CJ31">
        <v>0</v>
      </c>
      <c r="CK31">
        <v>0</v>
      </c>
      <c r="CL31">
        <v>0.05</v>
      </c>
      <c r="CM31">
        <v>0.05</v>
      </c>
      <c r="CN31">
        <v>0.05</v>
      </c>
      <c r="CO31">
        <v>0.11</v>
      </c>
    </row>
    <row r="32" spans="8:93" x14ac:dyDescent="0.2">
      <c r="H32" s="12"/>
      <c r="I32" t="s">
        <v>164</v>
      </c>
      <c r="J32">
        <f>J31</f>
        <v>0.5</v>
      </c>
      <c r="K32">
        <f>K31</f>
        <v>0.65</v>
      </c>
      <c r="L32">
        <v>100</v>
      </c>
      <c r="M32">
        <v>0</v>
      </c>
      <c r="N32">
        <v>0</v>
      </c>
      <c r="O32">
        <f t="shared" si="0"/>
        <v>91.25</v>
      </c>
      <c r="P32">
        <v>-0.08</v>
      </c>
      <c r="Q32">
        <v>0.1</v>
      </c>
      <c r="R32">
        <v>0.61</v>
      </c>
      <c r="S32">
        <v>55</v>
      </c>
      <c r="T32">
        <f t="shared" si="16"/>
        <v>0</v>
      </c>
      <c r="U32">
        <f t="shared" si="17"/>
        <v>1</v>
      </c>
      <c r="V32">
        <f t="shared" si="18"/>
        <v>0.72</v>
      </c>
      <c r="W32">
        <f t="shared" si="1"/>
        <v>4.7000000000000002E-3</v>
      </c>
      <c r="X32">
        <f t="shared" si="19"/>
        <v>0</v>
      </c>
      <c r="Y32">
        <f t="shared" si="2"/>
        <v>0.24</v>
      </c>
      <c r="Z32">
        <f t="shared" si="3"/>
        <v>1.0999999999999999E-2</v>
      </c>
      <c r="AA32">
        <f t="shared" si="4"/>
        <v>0.21</v>
      </c>
      <c r="AB32">
        <f t="shared" si="20"/>
        <v>5.8999999999999999E-3</v>
      </c>
      <c r="AC32">
        <f t="shared" si="5"/>
        <v>0</v>
      </c>
      <c r="AD32">
        <f t="shared" si="21"/>
        <v>0</v>
      </c>
      <c r="AE32">
        <f t="shared" si="6"/>
        <v>8.9041095890410966E-4</v>
      </c>
      <c r="AF32">
        <f t="shared" si="7"/>
        <v>-7.3599999999999999E-2</v>
      </c>
      <c r="AG32">
        <v>62</v>
      </c>
      <c r="AH32">
        <f t="shared" si="8"/>
        <v>0.88709677419354838</v>
      </c>
      <c r="AI32">
        <v>0</v>
      </c>
      <c r="AJ32">
        <f t="shared" si="22"/>
        <v>0</v>
      </c>
      <c r="AK32">
        <f t="shared" si="23"/>
        <v>-8.1676849356428693E-4</v>
      </c>
      <c r="AL32">
        <f t="shared" si="9"/>
        <v>1.7785704265871654E-2</v>
      </c>
      <c r="AM32">
        <f t="shared" si="10"/>
        <v>6.0000000000000001E-3</v>
      </c>
      <c r="AN32">
        <f t="shared" si="24"/>
        <v>1.57</v>
      </c>
      <c r="AO32">
        <f t="shared" si="25"/>
        <v>1.3</v>
      </c>
      <c r="AP32">
        <f t="shared" si="26"/>
        <v>1</v>
      </c>
      <c r="AQ32">
        <f t="shared" si="11"/>
        <v>0.48354999999999998</v>
      </c>
      <c r="AR32">
        <v>2.5</v>
      </c>
      <c r="AS32">
        <f t="shared" si="27"/>
        <v>0.99999627334682795</v>
      </c>
      <c r="AT32">
        <f t="shared" si="12"/>
        <v>1.0605624381175847</v>
      </c>
      <c r="AU32">
        <f t="shared" si="28"/>
        <v>1.0605584857692105</v>
      </c>
      <c r="AV32">
        <f t="shared" si="13"/>
        <v>0.10605584857692106</v>
      </c>
      <c r="AW32">
        <f t="shared" si="29"/>
        <v>0.08</v>
      </c>
      <c r="AX32">
        <f t="shared" si="14"/>
        <v>0.42192044699791736</v>
      </c>
      <c r="AY32">
        <f t="shared" si="30"/>
        <v>0.24</v>
      </c>
      <c r="AZ32">
        <f t="shared" si="31"/>
        <v>0.6784</v>
      </c>
      <c r="BA32">
        <f t="shared" si="36"/>
        <v>0</v>
      </c>
      <c r="BB32">
        <f t="shared" si="32"/>
        <v>3.2286837764254069E-4</v>
      </c>
      <c r="BC32">
        <f t="shared" si="33"/>
        <v>3.2286837764254069E-4</v>
      </c>
      <c r="BD32">
        <f t="shared" si="34"/>
        <v>2.9461739459881837</v>
      </c>
      <c r="BF32">
        <f t="shared" si="15"/>
        <v>162.29455142607884</v>
      </c>
      <c r="BR32" s="13" t="s">
        <v>199</v>
      </c>
      <c r="BS32" s="13" t="s">
        <v>210</v>
      </c>
      <c r="BT32" s="13">
        <v>0.41</v>
      </c>
    </row>
    <row r="33" spans="8:93" x14ac:dyDescent="0.2">
      <c r="H33" s="11"/>
      <c r="I33" t="s">
        <v>165</v>
      </c>
      <c r="J33">
        <f t="shared" ref="J33:J34" si="45">J32</f>
        <v>0.5</v>
      </c>
      <c r="K33">
        <f t="shared" ref="K33:K34" si="46">K32</f>
        <v>0.65</v>
      </c>
      <c r="L33">
        <v>90</v>
      </c>
      <c r="M33">
        <v>0</v>
      </c>
      <c r="N33">
        <v>0</v>
      </c>
      <c r="O33">
        <f t="shared" si="0"/>
        <v>91.25</v>
      </c>
      <c r="P33">
        <v>0</v>
      </c>
      <c r="Q33">
        <v>0.12</v>
      </c>
      <c r="R33">
        <v>0.64</v>
      </c>
      <c r="S33">
        <v>55</v>
      </c>
      <c r="T33">
        <f t="shared" si="16"/>
        <v>0</v>
      </c>
      <c r="U33">
        <f t="shared" si="17"/>
        <v>1</v>
      </c>
      <c r="V33">
        <f t="shared" si="18"/>
        <v>0.72</v>
      </c>
      <c r="W33">
        <f t="shared" si="1"/>
        <v>4.7000000000000002E-3</v>
      </c>
      <c r="X33">
        <f t="shared" si="19"/>
        <v>0</v>
      </c>
      <c r="Y33">
        <f t="shared" si="2"/>
        <v>0.24</v>
      </c>
      <c r="Z33">
        <f t="shared" si="3"/>
        <v>1.0999999999999999E-2</v>
      </c>
      <c r="AA33">
        <f t="shared" si="4"/>
        <v>0.21</v>
      </c>
      <c r="AB33">
        <f t="shared" si="20"/>
        <v>5.8999999999999999E-3</v>
      </c>
      <c r="AC33">
        <f t="shared" si="5"/>
        <v>0</v>
      </c>
      <c r="AD33">
        <f t="shared" si="21"/>
        <v>0</v>
      </c>
      <c r="AE33">
        <f t="shared" si="6"/>
        <v>8.9041095890410966E-4</v>
      </c>
      <c r="AF33">
        <f t="shared" si="7"/>
        <v>0</v>
      </c>
      <c r="AG33">
        <v>62</v>
      </c>
      <c r="AH33">
        <f t="shared" si="8"/>
        <v>0.88709677419354838</v>
      </c>
      <c r="AI33">
        <v>0</v>
      </c>
      <c r="AJ33">
        <f t="shared" si="22"/>
        <v>0</v>
      </c>
      <c r="AK33">
        <f t="shared" si="23"/>
        <v>1.1967123287671234E-4</v>
      </c>
      <c r="AL33">
        <f t="shared" si="9"/>
        <v>2.1083948851597697E-2</v>
      </c>
      <c r="AM33">
        <f t="shared" si="10"/>
        <v>6.0000000000000001E-3</v>
      </c>
      <c r="AN33">
        <f t="shared" si="24"/>
        <v>1.57</v>
      </c>
      <c r="AO33">
        <f t="shared" si="25"/>
        <v>1.3</v>
      </c>
      <c r="AP33">
        <f t="shared" si="26"/>
        <v>1</v>
      </c>
      <c r="AQ33">
        <f t="shared" si="11"/>
        <v>0.50740000000000007</v>
      </c>
      <c r="AR33">
        <v>1.6</v>
      </c>
      <c r="AS33">
        <f t="shared" si="27"/>
        <v>0.99402397710499402</v>
      </c>
      <c r="AT33">
        <f t="shared" si="12"/>
        <v>1.1109945415495692</v>
      </c>
      <c r="AU33">
        <f t="shared" si="28"/>
        <v>1.1043552127330423</v>
      </c>
      <c r="AV33">
        <f t="shared" si="13"/>
        <v>0.13252262552796507</v>
      </c>
      <c r="AW33">
        <f t="shared" si="29"/>
        <v>0.08</v>
      </c>
      <c r="AX33">
        <f t="shared" si="14"/>
        <v>0.41064374249795926</v>
      </c>
      <c r="AY33">
        <f t="shared" si="30"/>
        <v>0.24</v>
      </c>
      <c r="AZ33">
        <f t="shared" si="31"/>
        <v>0.6784</v>
      </c>
      <c r="BA33">
        <f t="shared" si="36"/>
        <v>0</v>
      </c>
      <c r="BB33">
        <f t="shared" si="32"/>
        <v>3.1423904641917434E-4</v>
      </c>
      <c r="BC33">
        <f t="shared" si="33"/>
        <v>3.1423904641917434E-4</v>
      </c>
      <c r="BD33">
        <f t="shared" si="34"/>
        <v>2.5806881687174696</v>
      </c>
      <c r="BF33">
        <f t="shared" si="15"/>
        <v>173.1519299437461</v>
      </c>
    </row>
    <row r="34" spans="8:93" x14ac:dyDescent="0.2">
      <c r="H34" s="12"/>
      <c r="I34" t="s">
        <v>166</v>
      </c>
      <c r="J34">
        <f t="shared" si="45"/>
        <v>0.5</v>
      </c>
      <c r="K34">
        <f t="shared" si="46"/>
        <v>0.65</v>
      </c>
      <c r="L34">
        <v>80</v>
      </c>
      <c r="M34">
        <v>0</v>
      </c>
      <c r="N34">
        <v>0</v>
      </c>
      <c r="O34">
        <f t="shared" si="0"/>
        <v>91.25</v>
      </c>
      <c r="P34">
        <v>0</v>
      </c>
      <c r="Q34">
        <v>0.18</v>
      </c>
      <c r="R34">
        <v>0.72</v>
      </c>
      <c r="S34">
        <v>55</v>
      </c>
      <c r="T34">
        <f t="shared" si="16"/>
        <v>0</v>
      </c>
      <c r="U34">
        <f t="shared" si="17"/>
        <v>1</v>
      </c>
      <c r="V34">
        <f t="shared" si="18"/>
        <v>0.72</v>
      </c>
      <c r="W34">
        <f t="shared" si="1"/>
        <v>4.7000000000000002E-3</v>
      </c>
      <c r="X34">
        <f t="shared" si="19"/>
        <v>0</v>
      </c>
      <c r="Y34">
        <f t="shared" si="2"/>
        <v>0.24</v>
      </c>
      <c r="Z34">
        <f t="shared" si="3"/>
        <v>1.0999999999999999E-2</v>
      </c>
      <c r="AA34">
        <f t="shared" si="4"/>
        <v>0.21</v>
      </c>
      <c r="AB34">
        <f t="shared" si="20"/>
        <v>5.8999999999999999E-3</v>
      </c>
      <c r="AC34">
        <f t="shared" si="5"/>
        <v>0</v>
      </c>
      <c r="AD34">
        <f t="shared" si="21"/>
        <v>0</v>
      </c>
      <c r="AE34">
        <f t="shared" si="6"/>
        <v>8.9041095890410966E-4</v>
      </c>
      <c r="AF34">
        <f t="shared" si="7"/>
        <v>0</v>
      </c>
      <c r="AG34">
        <v>62</v>
      </c>
      <c r="AH34">
        <f t="shared" si="8"/>
        <v>0.88709677419354838</v>
      </c>
      <c r="AI34">
        <v>0</v>
      </c>
      <c r="AJ34">
        <f t="shared" si="22"/>
        <v>0</v>
      </c>
      <c r="AK34">
        <f t="shared" si="23"/>
        <v>1.1967123287671234E-4</v>
      </c>
      <c r="AL34">
        <f t="shared" si="9"/>
        <v>3.5639365415842103E-2</v>
      </c>
      <c r="AM34">
        <f t="shared" si="10"/>
        <v>6.0000000000000001E-3</v>
      </c>
      <c r="AN34">
        <f t="shared" si="24"/>
        <v>1.57</v>
      </c>
      <c r="AO34">
        <f t="shared" si="25"/>
        <v>1.3</v>
      </c>
      <c r="AP34">
        <f t="shared" si="26"/>
        <v>1</v>
      </c>
      <c r="AQ34">
        <f t="shared" si="11"/>
        <v>0.57100000000000006</v>
      </c>
      <c r="AR34">
        <v>1.7</v>
      </c>
      <c r="AS34">
        <f t="shared" si="27"/>
        <v>0.99691128459176326</v>
      </c>
      <c r="AT34">
        <f t="shared" si="12"/>
        <v>1.2454801507015281</v>
      </c>
      <c r="AU34">
        <f t="shared" si="28"/>
        <v>1.2416332169694033</v>
      </c>
      <c r="AV34">
        <f t="shared" si="13"/>
        <v>0.22349397905449259</v>
      </c>
      <c r="AW34">
        <f t="shared" si="29"/>
        <v>0.08</v>
      </c>
      <c r="AX34">
        <f t="shared" si="14"/>
        <v>0.37657754876504823</v>
      </c>
      <c r="AY34">
        <f t="shared" si="30"/>
        <v>0.24</v>
      </c>
      <c r="AZ34">
        <f t="shared" si="31"/>
        <v>0.6784</v>
      </c>
      <c r="BA34">
        <f t="shared" si="36"/>
        <v>0</v>
      </c>
      <c r="BB34">
        <f t="shared" si="32"/>
        <v>2.8817039584473142E-4</v>
      </c>
      <c r="BC34">
        <f t="shared" si="33"/>
        <v>2.8817039584473142E-4</v>
      </c>
      <c r="BD34">
        <f t="shared" si="34"/>
        <v>2.1036438896665395</v>
      </c>
      <c r="BF34">
        <f t="shared" si="15"/>
        <v>260.16736753564737</v>
      </c>
    </row>
    <row r="36" spans="8:93" x14ac:dyDescent="0.2">
      <c r="BR36" t="s">
        <v>136</v>
      </c>
      <c r="BW36" t="s">
        <v>190</v>
      </c>
      <c r="BX36" t="s">
        <v>127</v>
      </c>
    </row>
    <row r="37" spans="8:93" ht="17" thickBot="1" x14ac:dyDescent="0.25">
      <c r="BR37" s="13" t="s">
        <v>224</v>
      </c>
      <c r="BS37" s="13">
        <v>5.8999999999999999E-3</v>
      </c>
      <c r="BW37" t="s">
        <v>180</v>
      </c>
      <c r="BX37" t="s">
        <v>161</v>
      </c>
      <c r="BY37" t="s">
        <v>173</v>
      </c>
      <c r="BZ37" t="s">
        <v>271</v>
      </c>
      <c r="CA37" t="s">
        <v>272</v>
      </c>
      <c r="CB37" t="s">
        <v>273</v>
      </c>
      <c r="CC37" t="s">
        <v>274</v>
      </c>
      <c r="CD37" t="s">
        <v>275</v>
      </c>
      <c r="CE37" t="s">
        <v>189</v>
      </c>
      <c r="CH37" s="8" t="s">
        <v>181</v>
      </c>
      <c r="CI37" s="9" t="s">
        <v>182</v>
      </c>
      <c r="CJ37" s="9" t="s">
        <v>183</v>
      </c>
      <c r="CK37" s="9" t="s">
        <v>184</v>
      </c>
      <c r="CL37" s="9" t="s">
        <v>185</v>
      </c>
      <c r="CM37" s="9" t="s">
        <v>186</v>
      </c>
      <c r="CN37" s="9" t="s">
        <v>187</v>
      </c>
      <c r="CO37" s="10" t="s">
        <v>188</v>
      </c>
    </row>
    <row r="38" spans="8:93" ht="17" thickTop="1" x14ac:dyDescent="0.2">
      <c r="BR38" s="13" t="s">
        <v>225</v>
      </c>
      <c r="BS38" s="13">
        <v>7.0000000000000001E-3</v>
      </c>
      <c r="BW38" t="s">
        <v>163</v>
      </c>
      <c r="BX38" t="s">
        <v>169</v>
      </c>
      <c r="BY38">
        <v>0.2</v>
      </c>
      <c r="BZ38">
        <v>0.08</v>
      </c>
      <c r="CA38">
        <v>0.16</v>
      </c>
      <c r="CB38">
        <v>0.2</v>
      </c>
      <c r="CC38">
        <v>0.16</v>
      </c>
      <c r="CD38">
        <v>0.18</v>
      </c>
      <c r="CE38">
        <v>1</v>
      </c>
      <c r="CH38" s="2" t="s">
        <v>179</v>
      </c>
      <c r="CI38" s="3" t="s">
        <v>180</v>
      </c>
      <c r="CJ38" s="3" t="s">
        <v>162</v>
      </c>
      <c r="CK38" s="3" t="s">
        <v>167</v>
      </c>
      <c r="CL38" s="3" t="s">
        <v>168</v>
      </c>
      <c r="CM38" s="3" t="s">
        <v>169</v>
      </c>
      <c r="CN38" s="3" t="s">
        <v>170</v>
      </c>
      <c r="CO38" s="6" t="s">
        <v>171</v>
      </c>
    </row>
    <row r="39" spans="8:93" x14ac:dyDescent="0.2">
      <c r="BR39" s="13" t="s">
        <v>226</v>
      </c>
      <c r="BS39" s="13">
        <v>1.8E-3</v>
      </c>
      <c r="BW39" t="s">
        <v>164</v>
      </c>
      <c r="BX39" t="s">
        <v>169</v>
      </c>
      <c r="BY39">
        <v>0.1</v>
      </c>
      <c r="BZ39">
        <v>0.1</v>
      </c>
      <c r="CA39">
        <v>7.0000000000000007E-2</v>
      </c>
      <c r="CB39">
        <v>7.0000000000000007E-2</v>
      </c>
      <c r="CC39">
        <v>7.0000000000000007E-2</v>
      </c>
      <c r="CD39">
        <v>0.06</v>
      </c>
      <c r="CE39">
        <v>2</v>
      </c>
      <c r="CH39" s="4" t="s">
        <v>173</v>
      </c>
      <c r="CI39" t="s">
        <v>163</v>
      </c>
      <c r="CJ39">
        <v>0.2</v>
      </c>
      <c r="CK39">
        <v>0.2</v>
      </c>
      <c r="CL39">
        <v>0.2</v>
      </c>
      <c r="CM39">
        <v>0.2</v>
      </c>
      <c r="CN39">
        <v>0.2</v>
      </c>
      <c r="CO39">
        <v>0.2</v>
      </c>
    </row>
    <row r="40" spans="8:93" x14ac:dyDescent="0.2">
      <c r="BR40" s="13" t="s">
        <v>227</v>
      </c>
      <c r="BS40" s="13">
        <v>2.8999999999999998E-3</v>
      </c>
      <c r="BW40" t="s">
        <v>165</v>
      </c>
      <c r="BX40" t="s">
        <v>169</v>
      </c>
      <c r="BY40">
        <v>0.12</v>
      </c>
      <c r="BZ40">
        <v>0.09</v>
      </c>
      <c r="CA40">
        <v>0.09</v>
      </c>
      <c r="CB40">
        <v>0.14000000000000001</v>
      </c>
      <c r="CC40">
        <v>0.13</v>
      </c>
      <c r="CD40">
        <v>0.16</v>
      </c>
      <c r="CE40">
        <v>3</v>
      </c>
      <c r="CH40" s="4" t="s">
        <v>173</v>
      </c>
      <c r="CI40" t="s">
        <v>164</v>
      </c>
      <c r="CJ40">
        <v>0.1</v>
      </c>
      <c r="CK40">
        <v>0.1</v>
      </c>
      <c r="CL40">
        <v>0.1</v>
      </c>
      <c r="CM40">
        <v>0.1</v>
      </c>
      <c r="CN40">
        <v>0.1</v>
      </c>
      <c r="CO40">
        <v>0.1</v>
      </c>
    </row>
    <row r="41" spans="8:93" ht="17" thickBot="1" x14ac:dyDescent="0.25">
      <c r="BR41" s="13" t="s">
        <v>228</v>
      </c>
      <c r="BS41" s="13">
        <v>8.0000000000000002E-3</v>
      </c>
      <c r="BW41" t="s">
        <v>166</v>
      </c>
      <c r="BX41" t="s">
        <v>169</v>
      </c>
      <c r="BY41">
        <v>0.18</v>
      </c>
      <c r="BZ41">
        <v>7.0000000000000007E-2</v>
      </c>
      <c r="CA41">
        <v>0.2</v>
      </c>
      <c r="CB41">
        <v>0.16</v>
      </c>
      <c r="CC41">
        <v>0.1</v>
      </c>
      <c r="CD41">
        <v>0.21</v>
      </c>
      <c r="CE41">
        <v>4</v>
      </c>
      <c r="CH41" s="4" t="s">
        <v>173</v>
      </c>
      <c r="CI41" t="s">
        <v>165</v>
      </c>
      <c r="CJ41">
        <v>0.12</v>
      </c>
      <c r="CK41">
        <v>0.12</v>
      </c>
      <c r="CL41">
        <v>0.12</v>
      </c>
      <c r="CM41">
        <v>0.12</v>
      </c>
      <c r="CN41">
        <v>0.12</v>
      </c>
      <c r="CO41">
        <v>0.12</v>
      </c>
    </row>
    <row r="42" spans="8:93" ht="18" thickTop="1" thickBot="1" x14ac:dyDescent="0.25">
      <c r="BR42" s="13" t="s">
        <v>229</v>
      </c>
      <c r="BS42" s="13">
        <v>1.9900000000000001E-2</v>
      </c>
      <c r="BW42" t="s">
        <v>163</v>
      </c>
      <c r="BX42" s="6" t="s">
        <v>171</v>
      </c>
      <c r="BY42">
        <v>0.2</v>
      </c>
      <c r="BZ42">
        <v>0.08</v>
      </c>
      <c r="CA42">
        <v>0.16</v>
      </c>
      <c r="CB42">
        <v>0.2</v>
      </c>
      <c r="CC42">
        <v>0.16</v>
      </c>
      <c r="CD42">
        <v>0.18</v>
      </c>
      <c r="CE42">
        <v>1</v>
      </c>
      <c r="CH42" s="4" t="s">
        <v>173</v>
      </c>
      <c r="CI42" t="s">
        <v>166</v>
      </c>
      <c r="CJ42">
        <v>0.18</v>
      </c>
      <c r="CK42">
        <v>0.18</v>
      </c>
      <c r="CL42">
        <v>0.18</v>
      </c>
      <c r="CM42">
        <v>0.18</v>
      </c>
      <c r="CN42">
        <v>0.18</v>
      </c>
      <c r="CO42">
        <v>0.18</v>
      </c>
    </row>
    <row r="43" spans="8:93" ht="18" thickTop="1" thickBot="1" x14ac:dyDescent="0.25">
      <c r="BR43" s="13" t="s">
        <v>230</v>
      </c>
      <c r="BS43" s="13">
        <v>5.3E-3</v>
      </c>
      <c r="BW43" t="s">
        <v>164</v>
      </c>
      <c r="BX43" s="6" t="s">
        <v>171</v>
      </c>
      <c r="BY43">
        <v>0.1</v>
      </c>
      <c r="BZ43">
        <v>0.1</v>
      </c>
      <c r="CA43">
        <v>7.0000000000000007E-2</v>
      </c>
      <c r="CB43">
        <v>7.0000000000000007E-2</v>
      </c>
      <c r="CC43">
        <v>7.0000000000000007E-2</v>
      </c>
      <c r="CD43">
        <v>0.06</v>
      </c>
      <c r="CE43">
        <v>2</v>
      </c>
      <c r="CH43" s="4" t="s">
        <v>174</v>
      </c>
      <c r="CI43" t="s">
        <v>163</v>
      </c>
      <c r="CJ43">
        <v>0.08</v>
      </c>
      <c r="CK43">
        <v>0.08</v>
      </c>
      <c r="CL43">
        <v>0.08</v>
      </c>
      <c r="CM43">
        <v>0.08</v>
      </c>
      <c r="CN43">
        <v>0.08</v>
      </c>
      <c r="CO43">
        <v>0.08</v>
      </c>
    </row>
    <row r="44" spans="8:93" ht="18" thickTop="1" thickBot="1" x14ac:dyDescent="0.25">
      <c r="BR44" s="13" t="s">
        <v>231</v>
      </c>
      <c r="BS44" s="13">
        <v>6.4000000000000003E-3</v>
      </c>
      <c r="BW44" t="s">
        <v>165</v>
      </c>
      <c r="BX44" s="6" t="s">
        <v>171</v>
      </c>
      <c r="BY44">
        <v>0.12</v>
      </c>
      <c r="BZ44">
        <v>0.09</v>
      </c>
      <c r="CA44">
        <v>0.09</v>
      </c>
      <c r="CB44">
        <v>0.14000000000000001</v>
      </c>
      <c r="CC44">
        <v>0.13</v>
      </c>
      <c r="CD44">
        <v>0.16</v>
      </c>
      <c r="CE44">
        <v>3</v>
      </c>
      <c r="CH44" s="4" t="s">
        <v>174</v>
      </c>
      <c r="CI44" t="s">
        <v>164</v>
      </c>
      <c r="CJ44">
        <v>0.1</v>
      </c>
      <c r="CK44">
        <v>0.1</v>
      </c>
      <c r="CL44">
        <v>0.1</v>
      </c>
      <c r="CM44">
        <v>0.1</v>
      </c>
      <c r="CN44">
        <v>0.1</v>
      </c>
      <c r="CO44">
        <v>0.1</v>
      </c>
    </row>
    <row r="45" spans="8:93" ht="17" thickTop="1" x14ac:dyDescent="0.2">
      <c r="BR45" s="13" t="s">
        <v>222</v>
      </c>
      <c r="BS45" s="13">
        <v>2.5999999999999999E-3</v>
      </c>
      <c r="BW45" t="s">
        <v>166</v>
      </c>
      <c r="BX45" s="6" t="s">
        <v>171</v>
      </c>
      <c r="BY45">
        <v>0.18</v>
      </c>
      <c r="BZ45">
        <v>7.0000000000000007E-2</v>
      </c>
      <c r="CA45">
        <v>0.2</v>
      </c>
      <c r="CB45">
        <v>0.16</v>
      </c>
      <c r="CC45">
        <v>0.1</v>
      </c>
      <c r="CD45">
        <v>0.21</v>
      </c>
      <c r="CE45">
        <v>4</v>
      </c>
      <c r="CH45" s="4" t="s">
        <v>174</v>
      </c>
      <c r="CI45" t="s">
        <v>165</v>
      </c>
      <c r="CJ45">
        <v>0.09</v>
      </c>
      <c r="CK45">
        <v>0.09</v>
      </c>
      <c r="CL45">
        <v>0.09</v>
      </c>
      <c r="CM45">
        <v>0.09</v>
      </c>
      <c r="CN45">
        <v>0.09</v>
      </c>
      <c r="CO45">
        <v>0.09</v>
      </c>
    </row>
    <row r="46" spans="8:93" x14ac:dyDescent="0.2">
      <c r="BR46" s="13" t="s">
        <v>232</v>
      </c>
      <c r="BS46" s="13">
        <v>3.0000000000000001E-3</v>
      </c>
      <c r="BW46" t="s">
        <v>163</v>
      </c>
      <c r="BX46" t="s">
        <v>168</v>
      </c>
      <c r="BY46">
        <v>0.2</v>
      </c>
      <c r="BZ46">
        <v>0.08</v>
      </c>
      <c r="CA46">
        <v>0.16</v>
      </c>
      <c r="CB46">
        <v>0.2</v>
      </c>
      <c r="CC46">
        <v>0.16</v>
      </c>
      <c r="CD46">
        <v>0.18</v>
      </c>
      <c r="CE46">
        <v>1</v>
      </c>
      <c r="CH46" s="4" t="s">
        <v>174</v>
      </c>
      <c r="CI46" t="s">
        <v>166</v>
      </c>
      <c r="CJ46">
        <v>7.0000000000000007E-2</v>
      </c>
      <c r="CK46">
        <v>7.0000000000000007E-2</v>
      </c>
      <c r="CL46">
        <v>7.0000000000000007E-2</v>
      </c>
      <c r="CM46">
        <v>7.0000000000000007E-2</v>
      </c>
      <c r="CN46">
        <v>7.0000000000000007E-2</v>
      </c>
      <c r="CO46">
        <v>7.0000000000000007E-2</v>
      </c>
    </row>
    <row r="47" spans="8:93" x14ac:dyDescent="0.2">
      <c r="BR47" s="13" t="s">
        <v>233</v>
      </c>
      <c r="BS47" s="13">
        <v>5.0000000000000001E-3</v>
      </c>
      <c r="BW47" t="s">
        <v>164</v>
      </c>
      <c r="BX47" t="s">
        <v>168</v>
      </c>
      <c r="BY47">
        <v>0.1</v>
      </c>
      <c r="BZ47">
        <v>0.1</v>
      </c>
      <c r="CA47">
        <v>7.0000000000000007E-2</v>
      </c>
      <c r="CB47">
        <v>7.0000000000000007E-2</v>
      </c>
      <c r="CC47">
        <v>7.0000000000000007E-2</v>
      </c>
      <c r="CD47">
        <v>0.06</v>
      </c>
      <c r="CE47">
        <v>2</v>
      </c>
      <c r="CH47" s="4" t="s">
        <v>175</v>
      </c>
      <c r="CI47" t="s">
        <v>163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</row>
    <row r="48" spans="8:93" x14ac:dyDescent="0.2">
      <c r="BR48" s="13" t="s">
        <v>223</v>
      </c>
      <c r="BS48" s="13">
        <v>2.5999999999999999E-3</v>
      </c>
      <c r="BW48" t="s">
        <v>165</v>
      </c>
      <c r="BX48" t="s">
        <v>168</v>
      </c>
      <c r="BY48">
        <v>0.12</v>
      </c>
      <c r="BZ48">
        <v>0.09</v>
      </c>
      <c r="CA48">
        <v>0.09</v>
      </c>
      <c r="CB48">
        <v>0.14000000000000001</v>
      </c>
      <c r="CC48">
        <v>0.13</v>
      </c>
      <c r="CD48">
        <v>0.16</v>
      </c>
      <c r="CE48">
        <v>3</v>
      </c>
      <c r="CH48" s="4" t="s">
        <v>175</v>
      </c>
      <c r="CI48" t="s">
        <v>164</v>
      </c>
      <c r="CJ48">
        <v>7.0000000000000007E-2</v>
      </c>
      <c r="CK48">
        <v>7.0000000000000007E-2</v>
      </c>
      <c r="CL48">
        <v>7.0000000000000007E-2</v>
      </c>
      <c r="CM48">
        <v>7.0000000000000007E-2</v>
      </c>
      <c r="CN48">
        <v>7.0000000000000007E-2</v>
      </c>
      <c r="CO48">
        <v>7.0000000000000007E-2</v>
      </c>
    </row>
    <row r="49" spans="70:93" x14ac:dyDescent="0.2">
      <c r="BR49" s="13" t="s">
        <v>234</v>
      </c>
      <c r="BS49" s="13">
        <v>1.8E-3</v>
      </c>
      <c r="BW49" t="s">
        <v>166</v>
      </c>
      <c r="BX49" t="s">
        <v>168</v>
      </c>
      <c r="BY49">
        <v>0.18</v>
      </c>
      <c r="BZ49">
        <v>7.0000000000000007E-2</v>
      </c>
      <c r="CA49">
        <v>0.2</v>
      </c>
      <c r="CB49">
        <v>0.16</v>
      </c>
      <c r="CC49">
        <v>0.1</v>
      </c>
      <c r="CD49">
        <v>0.21</v>
      </c>
      <c r="CE49">
        <v>4</v>
      </c>
      <c r="CH49" s="4" t="s">
        <v>175</v>
      </c>
      <c r="CI49" t="s">
        <v>165</v>
      </c>
      <c r="CJ49">
        <v>0.09</v>
      </c>
      <c r="CK49">
        <v>0.09</v>
      </c>
      <c r="CL49">
        <v>0.09</v>
      </c>
      <c r="CM49">
        <v>0.09</v>
      </c>
      <c r="CN49">
        <v>0.09</v>
      </c>
      <c r="CO49">
        <v>0.09</v>
      </c>
    </row>
    <row r="50" spans="70:93" x14ac:dyDescent="0.2">
      <c r="BW50" t="s">
        <v>163</v>
      </c>
      <c r="BX50" t="s">
        <v>170</v>
      </c>
      <c r="BY50">
        <v>0.2</v>
      </c>
      <c r="BZ50">
        <v>0.08</v>
      </c>
      <c r="CA50">
        <v>0.16</v>
      </c>
      <c r="CB50">
        <v>0.2</v>
      </c>
      <c r="CC50">
        <v>0.16</v>
      </c>
      <c r="CD50">
        <v>0.18</v>
      </c>
      <c r="CE50">
        <v>1</v>
      </c>
      <c r="CH50" s="4" t="s">
        <v>175</v>
      </c>
      <c r="CI50" t="s">
        <v>166</v>
      </c>
      <c r="CJ50">
        <v>0.2</v>
      </c>
      <c r="CK50">
        <v>0.2</v>
      </c>
      <c r="CL50">
        <v>0.2</v>
      </c>
      <c r="CM50">
        <v>0.2</v>
      </c>
      <c r="CN50">
        <v>0.2</v>
      </c>
      <c r="CO50">
        <v>0.2</v>
      </c>
    </row>
    <row r="51" spans="70:93" x14ac:dyDescent="0.2">
      <c r="BW51" t="s">
        <v>164</v>
      </c>
      <c r="BX51" t="s">
        <v>170</v>
      </c>
      <c r="BY51">
        <v>0.1</v>
      </c>
      <c r="BZ51">
        <v>0.1</v>
      </c>
      <c r="CA51">
        <v>7.0000000000000007E-2</v>
      </c>
      <c r="CB51">
        <v>7.0000000000000007E-2</v>
      </c>
      <c r="CC51">
        <v>7.0000000000000007E-2</v>
      </c>
      <c r="CD51">
        <v>0.06</v>
      </c>
      <c r="CE51">
        <v>2</v>
      </c>
      <c r="CH51" s="4" t="s">
        <v>176</v>
      </c>
      <c r="CI51" t="s">
        <v>163</v>
      </c>
      <c r="CJ51">
        <v>0.2</v>
      </c>
      <c r="CK51">
        <v>0.2</v>
      </c>
      <c r="CL51">
        <v>0.2</v>
      </c>
      <c r="CM51">
        <v>0.2</v>
      </c>
      <c r="CN51">
        <v>0.2</v>
      </c>
      <c r="CO51">
        <v>0.2</v>
      </c>
    </row>
    <row r="52" spans="70:93" x14ac:dyDescent="0.2">
      <c r="BW52" t="s">
        <v>165</v>
      </c>
      <c r="BX52" t="s">
        <v>170</v>
      </c>
      <c r="BY52">
        <v>0.12</v>
      </c>
      <c r="BZ52">
        <v>0.09</v>
      </c>
      <c r="CA52">
        <v>0.09</v>
      </c>
      <c r="CB52">
        <v>0.14000000000000001</v>
      </c>
      <c r="CC52">
        <v>0.13</v>
      </c>
      <c r="CD52">
        <v>0.06</v>
      </c>
      <c r="CE52">
        <v>3</v>
      </c>
      <c r="CH52" s="4" t="s">
        <v>176</v>
      </c>
      <c r="CI52" t="s">
        <v>164</v>
      </c>
      <c r="CJ52">
        <v>7.0000000000000007E-2</v>
      </c>
      <c r="CK52">
        <v>7.0000000000000007E-2</v>
      </c>
      <c r="CL52">
        <v>7.0000000000000007E-2</v>
      </c>
      <c r="CM52">
        <v>7.0000000000000007E-2</v>
      </c>
      <c r="CN52">
        <v>7.0000000000000007E-2</v>
      </c>
      <c r="CO52">
        <v>7.0000000000000007E-2</v>
      </c>
    </row>
    <row r="53" spans="70:93" x14ac:dyDescent="0.2">
      <c r="BW53" t="s">
        <v>166</v>
      </c>
      <c r="BX53" t="s">
        <v>170</v>
      </c>
      <c r="BY53">
        <v>0.18</v>
      </c>
      <c r="BZ53">
        <v>7.0000000000000007E-2</v>
      </c>
      <c r="CA53">
        <v>0.2</v>
      </c>
      <c r="CB53">
        <v>0.16</v>
      </c>
      <c r="CC53">
        <v>0.1</v>
      </c>
      <c r="CD53">
        <v>0.21</v>
      </c>
      <c r="CE53">
        <v>4</v>
      </c>
      <c r="CH53" s="4" t="s">
        <v>176</v>
      </c>
      <c r="CI53" t="s">
        <v>165</v>
      </c>
      <c r="CJ53">
        <v>0.14000000000000001</v>
      </c>
      <c r="CK53">
        <v>0.14000000000000001</v>
      </c>
      <c r="CL53">
        <v>0.14000000000000001</v>
      </c>
      <c r="CM53">
        <v>0.14000000000000001</v>
      </c>
      <c r="CN53">
        <v>0.14000000000000001</v>
      </c>
      <c r="CO53">
        <v>0.14000000000000001</v>
      </c>
    </row>
    <row r="54" spans="70:93" x14ac:dyDescent="0.2">
      <c r="BW54" t="s">
        <v>163</v>
      </c>
      <c r="BX54" t="s">
        <v>162</v>
      </c>
      <c r="BY54">
        <v>0.2</v>
      </c>
      <c r="BZ54">
        <v>0.08</v>
      </c>
      <c r="CA54">
        <v>0.16</v>
      </c>
      <c r="CB54">
        <v>0.2</v>
      </c>
      <c r="CC54">
        <v>0.16</v>
      </c>
      <c r="CD54">
        <v>0.18</v>
      </c>
      <c r="CE54">
        <v>1</v>
      </c>
      <c r="CH54" s="4" t="s">
        <v>176</v>
      </c>
      <c r="CI54" t="s">
        <v>166</v>
      </c>
      <c r="CJ54">
        <v>0.16</v>
      </c>
      <c r="CK54">
        <v>0.16</v>
      </c>
      <c r="CL54">
        <v>0.16</v>
      </c>
      <c r="CM54">
        <v>0.16</v>
      </c>
      <c r="CN54">
        <v>0.16</v>
      </c>
      <c r="CO54">
        <v>0.16</v>
      </c>
    </row>
    <row r="55" spans="70:93" x14ac:dyDescent="0.2">
      <c r="BW55" t="s">
        <v>164</v>
      </c>
      <c r="BX55" t="s">
        <v>162</v>
      </c>
      <c r="BY55">
        <v>0.1</v>
      </c>
      <c r="BZ55">
        <v>0.1</v>
      </c>
      <c r="CA55">
        <v>7.0000000000000007E-2</v>
      </c>
      <c r="CB55">
        <v>7.0000000000000007E-2</v>
      </c>
      <c r="CC55">
        <v>7.0000000000000007E-2</v>
      </c>
      <c r="CD55">
        <v>0.06</v>
      </c>
      <c r="CE55">
        <v>2</v>
      </c>
      <c r="CH55" s="4" t="s">
        <v>177</v>
      </c>
      <c r="CI55" t="s">
        <v>163</v>
      </c>
      <c r="CJ55">
        <v>0.16</v>
      </c>
      <c r="CK55">
        <v>0.16</v>
      </c>
      <c r="CL55">
        <v>0.16</v>
      </c>
      <c r="CM55">
        <v>0.16</v>
      </c>
      <c r="CN55">
        <v>0.16</v>
      </c>
      <c r="CO55">
        <v>0.16</v>
      </c>
    </row>
    <row r="56" spans="70:93" x14ac:dyDescent="0.2">
      <c r="BW56" t="s">
        <v>165</v>
      </c>
      <c r="BX56" t="s">
        <v>162</v>
      </c>
      <c r="BY56">
        <v>0.12</v>
      </c>
      <c r="BZ56">
        <v>0.09</v>
      </c>
      <c r="CA56">
        <v>0.09</v>
      </c>
      <c r="CB56">
        <v>0.14000000000000001</v>
      </c>
      <c r="CC56">
        <v>0.13</v>
      </c>
      <c r="CD56">
        <v>0.06</v>
      </c>
      <c r="CE56">
        <v>3</v>
      </c>
      <c r="CH56" s="4" t="s">
        <v>177</v>
      </c>
      <c r="CI56" t="s">
        <v>164</v>
      </c>
      <c r="CJ56">
        <v>7.0000000000000007E-2</v>
      </c>
      <c r="CK56">
        <v>7.0000000000000007E-2</v>
      </c>
      <c r="CL56">
        <v>7.0000000000000007E-2</v>
      </c>
      <c r="CM56">
        <v>7.0000000000000007E-2</v>
      </c>
      <c r="CN56">
        <v>7.0000000000000007E-2</v>
      </c>
      <c r="CO56">
        <v>7.0000000000000007E-2</v>
      </c>
    </row>
    <row r="57" spans="70:93" x14ac:dyDescent="0.2">
      <c r="BW57" t="s">
        <v>166</v>
      </c>
      <c r="BX57" t="s">
        <v>162</v>
      </c>
      <c r="BY57">
        <v>0.18</v>
      </c>
      <c r="BZ57">
        <v>7.0000000000000007E-2</v>
      </c>
      <c r="CA57">
        <v>0.2</v>
      </c>
      <c r="CB57">
        <v>0.16</v>
      </c>
      <c r="CC57">
        <v>0.1</v>
      </c>
      <c r="CD57">
        <v>0.21</v>
      </c>
      <c r="CE57">
        <v>4</v>
      </c>
      <c r="CH57" s="4" t="s">
        <v>177</v>
      </c>
      <c r="CI57" t="s">
        <v>165</v>
      </c>
      <c r="CJ57">
        <v>0.13</v>
      </c>
      <c r="CK57">
        <v>0.13</v>
      </c>
      <c r="CL57">
        <v>0.13</v>
      </c>
      <c r="CM57">
        <v>0.13</v>
      </c>
      <c r="CN57">
        <v>0.13</v>
      </c>
      <c r="CO57">
        <v>0.13</v>
      </c>
    </row>
    <row r="58" spans="70:93" x14ac:dyDescent="0.2">
      <c r="BW58" t="s">
        <v>163</v>
      </c>
      <c r="BX58" t="s">
        <v>167</v>
      </c>
      <c r="BY58">
        <v>0.2</v>
      </c>
      <c r="BZ58">
        <v>0.08</v>
      </c>
      <c r="CA58">
        <v>0.16</v>
      </c>
      <c r="CB58">
        <v>0.2</v>
      </c>
      <c r="CC58">
        <v>0.16</v>
      </c>
      <c r="CD58">
        <v>0.18</v>
      </c>
      <c r="CE58">
        <v>1</v>
      </c>
      <c r="CH58" s="4" t="s">
        <v>177</v>
      </c>
      <c r="CI58" t="s">
        <v>166</v>
      </c>
      <c r="CJ58">
        <v>0.1</v>
      </c>
      <c r="CK58">
        <v>0.1</v>
      </c>
      <c r="CL58">
        <v>0.1</v>
      </c>
      <c r="CM58">
        <v>0.1</v>
      </c>
      <c r="CN58">
        <v>0.1</v>
      </c>
      <c r="CO58">
        <v>0.1</v>
      </c>
    </row>
    <row r="59" spans="70:93" x14ac:dyDescent="0.2">
      <c r="BW59" t="s">
        <v>164</v>
      </c>
      <c r="BX59" t="s">
        <v>167</v>
      </c>
      <c r="BY59">
        <v>0.1</v>
      </c>
      <c r="BZ59">
        <v>0.1</v>
      </c>
      <c r="CA59">
        <v>7.0000000000000007E-2</v>
      </c>
      <c r="CB59">
        <v>7.0000000000000007E-2</v>
      </c>
      <c r="CC59">
        <v>7.0000000000000007E-2</v>
      </c>
      <c r="CD59">
        <v>0.06</v>
      </c>
      <c r="CE59">
        <v>2</v>
      </c>
      <c r="CH59" s="4" t="s">
        <v>178</v>
      </c>
      <c r="CI59" t="s">
        <v>163</v>
      </c>
      <c r="CJ59">
        <v>0.18</v>
      </c>
      <c r="CK59">
        <v>0.18</v>
      </c>
      <c r="CL59">
        <v>0.18</v>
      </c>
      <c r="CM59">
        <v>0.18</v>
      </c>
      <c r="CN59">
        <v>0.18</v>
      </c>
      <c r="CO59">
        <v>0.18</v>
      </c>
    </row>
    <row r="60" spans="70:93" x14ac:dyDescent="0.2">
      <c r="BW60" t="s">
        <v>165</v>
      </c>
      <c r="BX60" t="s">
        <v>167</v>
      </c>
      <c r="BY60">
        <v>0.12</v>
      </c>
      <c r="BZ60">
        <v>0.09</v>
      </c>
      <c r="CA60">
        <v>0.09</v>
      </c>
      <c r="CB60">
        <v>0.14000000000000001</v>
      </c>
      <c r="CC60">
        <v>0.13</v>
      </c>
      <c r="CD60">
        <v>0.06</v>
      </c>
      <c r="CE60">
        <v>3</v>
      </c>
      <c r="CH60" s="4" t="s">
        <v>178</v>
      </c>
      <c r="CI60" t="s">
        <v>164</v>
      </c>
      <c r="CJ60">
        <v>0.06</v>
      </c>
      <c r="CK60">
        <v>0.06</v>
      </c>
      <c r="CL60">
        <v>0.06</v>
      </c>
      <c r="CM60">
        <v>0.06</v>
      </c>
      <c r="CN60">
        <v>0.06</v>
      </c>
      <c r="CO60">
        <v>0.06</v>
      </c>
    </row>
    <row r="61" spans="70:93" x14ac:dyDescent="0.2">
      <c r="BW61" t="s">
        <v>166</v>
      </c>
      <c r="BX61" t="s">
        <v>167</v>
      </c>
      <c r="BY61">
        <v>0.18</v>
      </c>
      <c r="BZ61">
        <v>7.0000000000000007E-2</v>
      </c>
      <c r="CA61">
        <v>0.2</v>
      </c>
      <c r="CB61">
        <v>0.16</v>
      </c>
      <c r="CC61">
        <v>0.1</v>
      </c>
      <c r="CD61">
        <v>0.21</v>
      </c>
      <c r="CE61">
        <v>4</v>
      </c>
      <c r="CH61" s="4" t="s">
        <v>178</v>
      </c>
      <c r="CI61" t="s">
        <v>165</v>
      </c>
      <c r="CJ61">
        <v>0.06</v>
      </c>
      <c r="CK61">
        <v>0.06</v>
      </c>
      <c r="CL61">
        <v>0.16</v>
      </c>
      <c r="CM61">
        <v>0.16</v>
      </c>
      <c r="CN61">
        <v>0.06</v>
      </c>
      <c r="CO61">
        <v>0.16</v>
      </c>
    </row>
    <row r="62" spans="70:93" x14ac:dyDescent="0.2">
      <c r="CH62" s="4" t="s">
        <v>178</v>
      </c>
      <c r="CI62" t="s">
        <v>166</v>
      </c>
      <c r="CJ62">
        <v>0.21</v>
      </c>
      <c r="CK62">
        <v>0.21</v>
      </c>
      <c r="CL62">
        <v>0.21</v>
      </c>
      <c r="CM62">
        <v>0.21</v>
      </c>
      <c r="CN62">
        <v>0.21</v>
      </c>
      <c r="CO62">
        <v>0.21</v>
      </c>
    </row>
    <row r="66" spans="63:93" ht="17" thickBot="1" x14ac:dyDescent="0.25">
      <c r="BW66" t="s">
        <v>191</v>
      </c>
      <c r="BX66" t="s">
        <v>128</v>
      </c>
      <c r="CH66" s="8" t="s">
        <v>181</v>
      </c>
      <c r="CI66" s="9" t="s">
        <v>182</v>
      </c>
      <c r="CJ66" s="9" t="s">
        <v>183</v>
      </c>
      <c r="CK66" s="9" t="s">
        <v>184</v>
      </c>
      <c r="CL66" s="9" t="s">
        <v>185</v>
      </c>
      <c r="CM66" s="9" t="s">
        <v>186</v>
      </c>
      <c r="CN66" s="9" t="s">
        <v>187</v>
      </c>
      <c r="CO66" s="10" t="s">
        <v>188</v>
      </c>
    </row>
    <row r="67" spans="63:93" ht="17" thickTop="1" x14ac:dyDescent="0.2">
      <c r="BW67" t="s">
        <v>180</v>
      </c>
      <c r="BX67" t="s">
        <v>161</v>
      </c>
      <c r="BY67" t="s">
        <v>173</v>
      </c>
      <c r="BZ67" t="s">
        <v>271</v>
      </c>
      <c r="CA67" t="s">
        <v>272</v>
      </c>
      <c r="CB67" t="s">
        <v>273</v>
      </c>
      <c r="CC67" t="s">
        <v>274</v>
      </c>
      <c r="CD67" t="s">
        <v>275</v>
      </c>
      <c r="CE67" t="s">
        <v>189</v>
      </c>
      <c r="CH67" s="2" t="s">
        <v>179</v>
      </c>
      <c r="CI67" s="3" t="s">
        <v>180</v>
      </c>
      <c r="CJ67" s="3" t="s">
        <v>162</v>
      </c>
      <c r="CK67" s="3" t="s">
        <v>167</v>
      </c>
      <c r="CL67" s="3" t="s">
        <v>168</v>
      </c>
      <c r="CM67" s="3" t="s">
        <v>169</v>
      </c>
      <c r="CN67" s="3" t="s">
        <v>170</v>
      </c>
      <c r="CO67" s="6" t="s">
        <v>171</v>
      </c>
    </row>
    <row r="68" spans="63:93" x14ac:dyDescent="0.2">
      <c r="BW68" t="s">
        <v>163</v>
      </c>
      <c r="BX68" t="s">
        <v>169</v>
      </c>
      <c r="BY68">
        <v>0.75</v>
      </c>
      <c r="BZ68">
        <v>0.51</v>
      </c>
      <c r="CA68">
        <v>0.7</v>
      </c>
      <c r="CB68">
        <v>0.75</v>
      </c>
      <c r="CC68">
        <v>0.7</v>
      </c>
      <c r="CD68">
        <v>0.73</v>
      </c>
      <c r="CE68">
        <v>1</v>
      </c>
      <c r="CH68" s="4" t="s">
        <v>173</v>
      </c>
      <c r="CI68" s="13" t="s">
        <v>163</v>
      </c>
      <c r="CJ68" s="13">
        <v>0.75</v>
      </c>
      <c r="CK68" s="13">
        <v>0.75</v>
      </c>
      <c r="CL68" s="13">
        <v>0.75</v>
      </c>
      <c r="CM68" s="13">
        <v>0.75</v>
      </c>
      <c r="CN68" s="13">
        <v>0.75</v>
      </c>
      <c r="CO68" s="13">
        <v>0.75</v>
      </c>
    </row>
    <row r="69" spans="63:93" x14ac:dyDescent="0.2">
      <c r="BW69" t="s">
        <v>164</v>
      </c>
      <c r="BX69" t="s">
        <v>169</v>
      </c>
      <c r="BY69">
        <v>0.61</v>
      </c>
      <c r="BZ69">
        <v>0.55000000000000004</v>
      </c>
      <c r="CA69">
        <v>0.55000000000000004</v>
      </c>
      <c r="CB69">
        <v>0.55000000000000004</v>
      </c>
      <c r="CC69">
        <v>0.55000000000000004</v>
      </c>
      <c r="CD69">
        <v>0.55000000000000004</v>
      </c>
      <c r="CE69">
        <v>2</v>
      </c>
      <c r="CH69" s="2"/>
      <c r="CI69" s="13" t="s">
        <v>164</v>
      </c>
      <c r="CJ69" s="13">
        <v>0.61</v>
      </c>
      <c r="CK69" s="13">
        <v>0.61</v>
      </c>
      <c r="CL69" s="13">
        <v>0.61</v>
      </c>
      <c r="CM69" s="13">
        <v>0.61</v>
      </c>
      <c r="CN69" s="13">
        <v>0.61</v>
      </c>
      <c r="CO69">
        <v>0.61</v>
      </c>
    </row>
    <row r="70" spans="63:93" x14ac:dyDescent="0.2">
      <c r="BW70" t="s">
        <v>165</v>
      </c>
      <c r="BX70" t="s">
        <v>169</v>
      </c>
      <c r="BY70">
        <v>0.64</v>
      </c>
      <c r="BZ70">
        <v>0.59</v>
      </c>
      <c r="CA70">
        <v>0.55000000000000004</v>
      </c>
      <c r="CB70">
        <v>0.67</v>
      </c>
      <c r="CC70">
        <v>0.65</v>
      </c>
      <c r="CD70">
        <v>0.7</v>
      </c>
      <c r="CE70">
        <v>3</v>
      </c>
      <c r="CH70" s="4"/>
      <c r="CI70" s="13" t="s">
        <v>165</v>
      </c>
      <c r="CJ70" s="13">
        <v>0.64</v>
      </c>
      <c r="CK70" s="13">
        <v>0.64</v>
      </c>
      <c r="CL70" s="13">
        <v>0.64</v>
      </c>
      <c r="CM70" s="13">
        <v>0.64</v>
      </c>
      <c r="CN70" s="13">
        <v>0.64</v>
      </c>
      <c r="CO70">
        <v>0.64</v>
      </c>
    </row>
    <row r="71" spans="63:93" ht="17" thickBot="1" x14ac:dyDescent="0.25">
      <c r="BW71" t="s">
        <v>166</v>
      </c>
      <c r="BX71" t="s">
        <v>169</v>
      </c>
      <c r="BY71">
        <v>0.72</v>
      </c>
      <c r="BZ71">
        <v>0.57999999999999996</v>
      </c>
      <c r="CA71">
        <v>0.75</v>
      </c>
      <c r="CB71">
        <v>0.7</v>
      </c>
      <c r="CC71">
        <v>0.6</v>
      </c>
      <c r="CD71">
        <v>0.76</v>
      </c>
      <c r="CE71">
        <v>4</v>
      </c>
      <c r="CH71" s="2"/>
      <c r="CI71" s="13" t="s">
        <v>166</v>
      </c>
      <c r="CJ71" s="13">
        <v>0.72</v>
      </c>
      <c r="CK71" s="13">
        <v>0.72</v>
      </c>
      <c r="CL71" s="13">
        <v>0.72</v>
      </c>
      <c r="CM71" s="13">
        <v>0.72</v>
      </c>
      <c r="CN71" s="13">
        <v>0.72</v>
      </c>
      <c r="CO71">
        <v>0.72</v>
      </c>
    </row>
    <row r="72" spans="63:93" ht="18" thickTop="1" thickBot="1" x14ac:dyDescent="0.25">
      <c r="BK72" s="6"/>
      <c r="BW72" t="s">
        <v>163</v>
      </c>
      <c r="BX72" t="s">
        <v>171</v>
      </c>
      <c r="BY72">
        <v>0.75</v>
      </c>
      <c r="BZ72">
        <v>0.51</v>
      </c>
      <c r="CA72">
        <v>0.7</v>
      </c>
      <c r="CB72">
        <v>0.75</v>
      </c>
      <c r="CC72">
        <v>0.7</v>
      </c>
      <c r="CD72">
        <v>0.73</v>
      </c>
      <c r="CE72">
        <v>1</v>
      </c>
      <c r="CH72" s="4" t="s">
        <v>174</v>
      </c>
      <c r="CI72" s="13" t="s">
        <v>163</v>
      </c>
      <c r="CJ72" s="13">
        <v>0.51</v>
      </c>
      <c r="CK72" s="13">
        <v>0.51</v>
      </c>
      <c r="CL72" s="13">
        <v>0.51</v>
      </c>
      <c r="CM72" s="13">
        <v>0.51</v>
      </c>
      <c r="CN72" s="13">
        <v>0.51</v>
      </c>
      <c r="CO72" s="13">
        <v>0.51</v>
      </c>
    </row>
    <row r="73" spans="63:93" ht="18" thickTop="1" thickBot="1" x14ac:dyDescent="0.25">
      <c r="BK73" s="6"/>
      <c r="BW73" t="s">
        <v>164</v>
      </c>
      <c r="BX73" t="s">
        <v>171</v>
      </c>
      <c r="BY73">
        <v>0.61</v>
      </c>
      <c r="BZ73">
        <v>0.55000000000000004</v>
      </c>
      <c r="CA73">
        <v>0.55000000000000004</v>
      </c>
      <c r="CB73">
        <v>0.55000000000000004</v>
      </c>
      <c r="CC73">
        <v>0.55000000000000004</v>
      </c>
      <c r="CD73">
        <v>0.55000000000000004</v>
      </c>
      <c r="CE73">
        <v>2</v>
      </c>
      <c r="CH73" s="2"/>
      <c r="CI73" s="13" t="s">
        <v>164</v>
      </c>
      <c r="CJ73" s="13">
        <v>0.55000000000000004</v>
      </c>
      <c r="CK73" s="13">
        <v>0.55000000000000004</v>
      </c>
      <c r="CL73" s="13">
        <v>0.55000000000000004</v>
      </c>
      <c r="CM73" s="13">
        <v>0.55000000000000004</v>
      </c>
      <c r="CN73" s="13">
        <v>0.55000000000000004</v>
      </c>
      <c r="CO73">
        <v>0.55000000000000004</v>
      </c>
    </row>
    <row r="74" spans="63:93" ht="18" thickTop="1" thickBot="1" x14ac:dyDescent="0.25">
      <c r="BK74" s="6"/>
      <c r="BW74" t="s">
        <v>165</v>
      </c>
      <c r="BX74" t="s">
        <v>171</v>
      </c>
      <c r="BY74">
        <v>0.64</v>
      </c>
      <c r="BZ74">
        <v>0.59</v>
      </c>
      <c r="CA74">
        <v>0.55000000000000004</v>
      </c>
      <c r="CB74">
        <v>0.67</v>
      </c>
      <c r="CC74">
        <v>0.65</v>
      </c>
      <c r="CD74">
        <v>0.7</v>
      </c>
      <c r="CE74">
        <v>3</v>
      </c>
      <c r="CH74" s="4"/>
      <c r="CI74" s="13" t="s">
        <v>165</v>
      </c>
      <c r="CJ74" s="13">
        <v>0.59</v>
      </c>
      <c r="CK74" s="13">
        <v>0.59</v>
      </c>
      <c r="CL74" s="13">
        <v>0.59</v>
      </c>
      <c r="CM74" s="13">
        <v>0.59</v>
      </c>
      <c r="CN74" s="13">
        <v>0.59</v>
      </c>
      <c r="CO74">
        <v>0.59</v>
      </c>
    </row>
    <row r="75" spans="63:93" ht="17" thickTop="1" x14ac:dyDescent="0.2">
      <c r="BK75" s="6"/>
      <c r="BW75" t="s">
        <v>166</v>
      </c>
      <c r="BX75" t="s">
        <v>171</v>
      </c>
      <c r="BY75">
        <v>0.72</v>
      </c>
      <c r="BZ75">
        <v>0.57999999999999996</v>
      </c>
      <c r="CA75">
        <v>0.75</v>
      </c>
      <c r="CB75">
        <v>0.7</v>
      </c>
      <c r="CC75">
        <v>0.6</v>
      </c>
      <c r="CD75">
        <v>0.76</v>
      </c>
      <c r="CE75">
        <v>4</v>
      </c>
      <c r="CH75" s="2"/>
      <c r="CI75" s="13" t="s">
        <v>166</v>
      </c>
      <c r="CJ75" s="13">
        <v>0.57999999999999996</v>
      </c>
      <c r="CK75" s="13">
        <v>0.57999999999999996</v>
      </c>
      <c r="CL75" s="13">
        <v>0.57999999999999996</v>
      </c>
      <c r="CM75" s="13">
        <v>0.57999999999999996</v>
      </c>
      <c r="CN75" s="13">
        <v>0.57999999999999996</v>
      </c>
      <c r="CO75">
        <v>0.57999999999999996</v>
      </c>
    </row>
    <row r="76" spans="63:93" x14ac:dyDescent="0.2">
      <c r="BW76" t="s">
        <v>163</v>
      </c>
      <c r="BX76" t="s">
        <v>168</v>
      </c>
      <c r="BY76">
        <v>0.75</v>
      </c>
      <c r="BZ76">
        <v>0.51</v>
      </c>
      <c r="CA76">
        <v>0.7</v>
      </c>
      <c r="CB76">
        <v>0.75</v>
      </c>
      <c r="CC76">
        <v>0.7</v>
      </c>
      <c r="CD76">
        <v>0.73</v>
      </c>
      <c r="CE76">
        <v>1</v>
      </c>
      <c r="CH76" s="4" t="s">
        <v>175</v>
      </c>
      <c r="CI76" s="13" t="s">
        <v>163</v>
      </c>
      <c r="CJ76" s="13">
        <v>0.7</v>
      </c>
      <c r="CK76" s="13">
        <v>0.7</v>
      </c>
      <c r="CL76" s="13">
        <v>0.7</v>
      </c>
      <c r="CM76" s="13">
        <v>0.7</v>
      </c>
      <c r="CN76" s="13">
        <v>0.7</v>
      </c>
      <c r="CO76" s="13">
        <v>0.7</v>
      </c>
    </row>
    <row r="77" spans="63:93" x14ac:dyDescent="0.2">
      <c r="BW77" t="s">
        <v>164</v>
      </c>
      <c r="BX77" t="s">
        <v>168</v>
      </c>
      <c r="BY77">
        <v>0.61</v>
      </c>
      <c r="BZ77">
        <v>0.55000000000000004</v>
      </c>
      <c r="CA77">
        <v>0.55000000000000004</v>
      </c>
      <c r="CB77">
        <v>0.55000000000000004</v>
      </c>
      <c r="CC77">
        <v>0.55000000000000004</v>
      </c>
      <c r="CD77">
        <v>0.55000000000000004</v>
      </c>
      <c r="CE77">
        <v>2</v>
      </c>
      <c r="CH77" s="2"/>
      <c r="CI77" s="13" t="s">
        <v>164</v>
      </c>
      <c r="CJ77" s="13">
        <v>0.55000000000000004</v>
      </c>
      <c r="CK77" s="13">
        <v>0.55000000000000004</v>
      </c>
      <c r="CL77" s="13">
        <v>0.55000000000000004</v>
      </c>
      <c r="CM77" s="13">
        <v>0.55000000000000004</v>
      </c>
      <c r="CN77" s="13">
        <v>0.55000000000000004</v>
      </c>
      <c r="CO77">
        <v>0.55000000000000004</v>
      </c>
    </row>
    <row r="78" spans="63:93" x14ac:dyDescent="0.2">
      <c r="BW78" t="s">
        <v>165</v>
      </c>
      <c r="BX78" t="s">
        <v>168</v>
      </c>
      <c r="BY78">
        <v>0.64</v>
      </c>
      <c r="BZ78">
        <v>0.59</v>
      </c>
      <c r="CA78">
        <v>0.55000000000000004</v>
      </c>
      <c r="CB78">
        <v>0.67</v>
      </c>
      <c r="CC78">
        <v>0.65</v>
      </c>
      <c r="CD78">
        <v>0.7</v>
      </c>
      <c r="CE78">
        <v>3</v>
      </c>
      <c r="CH78" s="4"/>
      <c r="CI78" s="13" t="s">
        <v>165</v>
      </c>
      <c r="CJ78" s="13">
        <v>0.55000000000000004</v>
      </c>
      <c r="CK78" s="13">
        <v>0.55000000000000004</v>
      </c>
      <c r="CL78" s="13">
        <v>0.55000000000000004</v>
      </c>
      <c r="CM78" s="13">
        <v>0.55000000000000004</v>
      </c>
      <c r="CN78" s="13">
        <v>0.55000000000000004</v>
      </c>
      <c r="CO78">
        <v>0.55000000000000004</v>
      </c>
    </row>
    <row r="79" spans="63:93" x14ac:dyDescent="0.2">
      <c r="BW79" t="s">
        <v>166</v>
      </c>
      <c r="BX79" t="s">
        <v>168</v>
      </c>
      <c r="BY79">
        <v>0.72</v>
      </c>
      <c r="BZ79">
        <v>0.57999999999999996</v>
      </c>
      <c r="CA79">
        <v>0.75</v>
      </c>
      <c r="CB79">
        <v>0.7</v>
      </c>
      <c r="CC79">
        <v>0.6</v>
      </c>
      <c r="CD79">
        <v>0.76</v>
      </c>
      <c r="CE79">
        <v>4</v>
      </c>
      <c r="CH79" s="2"/>
      <c r="CI79" s="13" t="s">
        <v>166</v>
      </c>
      <c r="CJ79" s="13">
        <v>0.75</v>
      </c>
      <c r="CK79" s="13">
        <v>0.75</v>
      </c>
      <c r="CL79" s="13">
        <v>0.75</v>
      </c>
      <c r="CM79" s="13">
        <v>0.75</v>
      </c>
      <c r="CN79" s="13">
        <v>0.75</v>
      </c>
      <c r="CO79">
        <v>0.75</v>
      </c>
    </row>
    <row r="80" spans="63:93" x14ac:dyDescent="0.2">
      <c r="BW80" t="s">
        <v>163</v>
      </c>
      <c r="BX80" t="s">
        <v>170</v>
      </c>
      <c r="BY80">
        <v>0.75</v>
      </c>
      <c r="BZ80">
        <v>0.51</v>
      </c>
      <c r="CA80">
        <v>0.7</v>
      </c>
      <c r="CB80">
        <v>0.75</v>
      </c>
      <c r="CC80">
        <v>0.7</v>
      </c>
      <c r="CD80">
        <v>0.73</v>
      </c>
      <c r="CE80">
        <v>1</v>
      </c>
      <c r="CH80" s="4" t="s">
        <v>176</v>
      </c>
      <c r="CI80" s="13" t="s">
        <v>163</v>
      </c>
      <c r="CJ80" s="13">
        <v>0.75</v>
      </c>
      <c r="CK80" s="13">
        <v>0.75</v>
      </c>
      <c r="CL80" s="13">
        <v>0.75</v>
      </c>
      <c r="CM80" s="13">
        <v>0.75</v>
      </c>
      <c r="CN80" s="13">
        <v>0.75</v>
      </c>
      <c r="CO80" s="13">
        <v>0.75</v>
      </c>
    </row>
    <row r="81" spans="75:93" x14ac:dyDescent="0.2">
      <c r="BW81" t="s">
        <v>164</v>
      </c>
      <c r="BX81" t="s">
        <v>170</v>
      </c>
      <c r="BY81">
        <v>0.61</v>
      </c>
      <c r="BZ81">
        <v>0.55000000000000004</v>
      </c>
      <c r="CA81">
        <v>0.55000000000000004</v>
      </c>
      <c r="CB81">
        <v>0.55000000000000004</v>
      </c>
      <c r="CC81">
        <v>0.55000000000000004</v>
      </c>
      <c r="CD81">
        <v>0.55000000000000004</v>
      </c>
      <c r="CE81">
        <v>2</v>
      </c>
      <c r="CH81" s="2"/>
      <c r="CI81" s="13" t="s">
        <v>164</v>
      </c>
      <c r="CJ81" s="13">
        <v>0.55000000000000004</v>
      </c>
      <c r="CK81" s="13">
        <v>0.55000000000000004</v>
      </c>
      <c r="CL81" s="13">
        <v>0.55000000000000004</v>
      </c>
      <c r="CM81" s="13">
        <v>0.55000000000000004</v>
      </c>
      <c r="CN81" s="13">
        <v>0.55000000000000004</v>
      </c>
      <c r="CO81">
        <v>0.55000000000000004</v>
      </c>
    </row>
    <row r="82" spans="75:93" x14ac:dyDescent="0.2">
      <c r="BW82" t="s">
        <v>165</v>
      </c>
      <c r="BX82" t="s">
        <v>170</v>
      </c>
      <c r="BY82">
        <v>0.64</v>
      </c>
      <c r="BZ82">
        <v>0.59</v>
      </c>
      <c r="CA82">
        <v>0.55000000000000004</v>
      </c>
      <c r="CB82">
        <v>0.67</v>
      </c>
      <c r="CC82">
        <v>0.65</v>
      </c>
      <c r="CD82">
        <v>0.5</v>
      </c>
      <c r="CE82">
        <v>3</v>
      </c>
      <c r="CH82" s="4"/>
      <c r="CI82" s="13" t="s">
        <v>165</v>
      </c>
      <c r="CJ82" s="13">
        <v>0.67</v>
      </c>
      <c r="CK82" s="13">
        <v>0.67</v>
      </c>
      <c r="CL82" s="13">
        <v>0.67</v>
      </c>
      <c r="CM82" s="13">
        <v>0.67</v>
      </c>
      <c r="CN82" s="13">
        <v>0.67</v>
      </c>
      <c r="CO82">
        <v>0.67</v>
      </c>
    </row>
    <row r="83" spans="75:93" x14ac:dyDescent="0.2">
      <c r="BW83" t="s">
        <v>166</v>
      </c>
      <c r="BX83" t="s">
        <v>170</v>
      </c>
      <c r="BY83">
        <v>0.72</v>
      </c>
      <c r="BZ83">
        <v>0.57999999999999996</v>
      </c>
      <c r="CA83">
        <v>0.75</v>
      </c>
      <c r="CB83">
        <v>0.7</v>
      </c>
      <c r="CC83">
        <v>0.6</v>
      </c>
      <c r="CD83">
        <v>0.76</v>
      </c>
      <c r="CE83">
        <v>4</v>
      </c>
      <c r="CH83" s="2"/>
      <c r="CI83" s="13" t="s">
        <v>166</v>
      </c>
      <c r="CJ83" s="13">
        <v>0.7</v>
      </c>
      <c r="CK83" s="13">
        <v>0.7</v>
      </c>
      <c r="CL83" s="13">
        <v>0.7</v>
      </c>
      <c r="CM83" s="13">
        <v>0.7</v>
      </c>
      <c r="CN83" s="13">
        <v>0.7</v>
      </c>
      <c r="CO83">
        <v>0.7</v>
      </c>
    </row>
    <row r="84" spans="75:93" x14ac:dyDescent="0.2">
      <c r="BW84" t="s">
        <v>163</v>
      </c>
      <c r="BX84" t="s">
        <v>162</v>
      </c>
      <c r="BY84">
        <v>0.75</v>
      </c>
      <c r="BZ84">
        <v>0.51</v>
      </c>
      <c r="CA84">
        <v>0.7</v>
      </c>
      <c r="CB84">
        <v>0.75</v>
      </c>
      <c r="CC84">
        <v>0.7</v>
      </c>
      <c r="CD84">
        <v>0.73</v>
      </c>
      <c r="CE84">
        <v>1</v>
      </c>
      <c r="CH84" s="4" t="s">
        <v>177</v>
      </c>
      <c r="CI84" s="13" t="s">
        <v>163</v>
      </c>
      <c r="CJ84" s="13">
        <v>0.7</v>
      </c>
      <c r="CK84" s="13">
        <v>0.7</v>
      </c>
      <c r="CL84" s="13">
        <v>0.7</v>
      </c>
      <c r="CM84" s="13">
        <v>0.7</v>
      </c>
      <c r="CN84" s="13">
        <v>0.7</v>
      </c>
      <c r="CO84" s="13">
        <v>0.7</v>
      </c>
    </row>
    <row r="85" spans="75:93" x14ac:dyDescent="0.2">
      <c r="BW85" t="s">
        <v>164</v>
      </c>
      <c r="BX85" t="s">
        <v>162</v>
      </c>
      <c r="BY85">
        <v>0.61</v>
      </c>
      <c r="BZ85">
        <v>0.55000000000000004</v>
      </c>
      <c r="CA85">
        <v>0.55000000000000004</v>
      </c>
      <c r="CB85">
        <v>0.55000000000000004</v>
      </c>
      <c r="CC85">
        <v>0.55000000000000004</v>
      </c>
      <c r="CD85">
        <v>0.55000000000000004</v>
      </c>
      <c r="CE85">
        <v>2</v>
      </c>
      <c r="CH85" s="2"/>
      <c r="CI85" s="13" t="s">
        <v>164</v>
      </c>
      <c r="CJ85" s="13">
        <v>0.55000000000000004</v>
      </c>
      <c r="CK85" s="13">
        <v>0.55000000000000004</v>
      </c>
      <c r="CL85" s="13">
        <v>0.55000000000000004</v>
      </c>
      <c r="CM85" s="13">
        <v>0.55000000000000004</v>
      </c>
      <c r="CN85" s="13">
        <v>0.55000000000000004</v>
      </c>
      <c r="CO85">
        <v>0.55000000000000004</v>
      </c>
    </row>
    <row r="86" spans="75:93" x14ac:dyDescent="0.2">
      <c r="BW86" t="s">
        <v>165</v>
      </c>
      <c r="BX86" t="s">
        <v>162</v>
      </c>
      <c r="BY86">
        <v>0.64</v>
      </c>
      <c r="BZ86">
        <v>0.59</v>
      </c>
      <c r="CA86">
        <v>0.55000000000000004</v>
      </c>
      <c r="CB86">
        <v>0.67</v>
      </c>
      <c r="CC86">
        <v>0.65</v>
      </c>
      <c r="CD86">
        <v>0.5</v>
      </c>
      <c r="CE86">
        <v>3</v>
      </c>
      <c r="CH86" s="4"/>
      <c r="CI86" s="13" t="s">
        <v>165</v>
      </c>
      <c r="CJ86" s="13">
        <v>0.65</v>
      </c>
      <c r="CK86" s="13">
        <v>0.65</v>
      </c>
      <c r="CL86" s="13">
        <v>0.65</v>
      </c>
      <c r="CM86" s="13">
        <v>0.65</v>
      </c>
      <c r="CN86" s="13">
        <v>0.65</v>
      </c>
      <c r="CO86">
        <v>0.65</v>
      </c>
    </row>
    <row r="87" spans="75:93" x14ac:dyDescent="0.2">
      <c r="BW87" t="s">
        <v>166</v>
      </c>
      <c r="BX87" t="s">
        <v>162</v>
      </c>
      <c r="BY87">
        <v>0.72</v>
      </c>
      <c r="BZ87">
        <v>0.57999999999999996</v>
      </c>
      <c r="CA87">
        <v>0.75</v>
      </c>
      <c r="CB87">
        <v>0.7</v>
      </c>
      <c r="CC87">
        <v>0.6</v>
      </c>
      <c r="CD87">
        <v>0.76</v>
      </c>
      <c r="CE87">
        <v>4</v>
      </c>
      <c r="CH87" s="2"/>
      <c r="CI87" s="13" t="s">
        <v>166</v>
      </c>
      <c r="CJ87" s="13">
        <v>0.6</v>
      </c>
      <c r="CK87" s="13">
        <v>0.6</v>
      </c>
      <c r="CL87" s="13">
        <v>0.6</v>
      </c>
      <c r="CM87" s="13">
        <v>0.6</v>
      </c>
      <c r="CN87" s="13">
        <v>0.6</v>
      </c>
      <c r="CO87">
        <v>0.6</v>
      </c>
    </row>
    <row r="88" spans="75:93" x14ac:dyDescent="0.2">
      <c r="BW88" t="s">
        <v>163</v>
      </c>
      <c r="BX88" t="s">
        <v>167</v>
      </c>
      <c r="BY88">
        <v>0.75</v>
      </c>
      <c r="BZ88">
        <v>0.51</v>
      </c>
      <c r="CA88">
        <v>0.7</v>
      </c>
      <c r="CB88">
        <v>0.75</v>
      </c>
      <c r="CC88">
        <v>0.7</v>
      </c>
      <c r="CD88">
        <v>0.73</v>
      </c>
      <c r="CE88">
        <v>1</v>
      </c>
      <c r="CH88" s="4" t="s">
        <v>178</v>
      </c>
      <c r="CI88" s="13" t="s">
        <v>163</v>
      </c>
      <c r="CJ88" s="13">
        <v>0.73</v>
      </c>
      <c r="CK88" s="13">
        <v>0.73</v>
      </c>
      <c r="CL88" s="13">
        <v>0.73</v>
      </c>
      <c r="CM88" s="13">
        <v>0.73</v>
      </c>
      <c r="CN88" s="13">
        <v>0.73</v>
      </c>
      <c r="CO88" s="13">
        <v>0.73</v>
      </c>
    </row>
    <row r="89" spans="75:93" x14ac:dyDescent="0.2">
      <c r="BW89" t="s">
        <v>164</v>
      </c>
      <c r="BX89" t="s">
        <v>167</v>
      </c>
      <c r="BY89">
        <v>0.61</v>
      </c>
      <c r="BZ89">
        <v>0.55000000000000004</v>
      </c>
      <c r="CA89">
        <v>0.55000000000000004</v>
      </c>
      <c r="CB89">
        <v>0.55000000000000004</v>
      </c>
      <c r="CC89">
        <v>0.55000000000000004</v>
      </c>
      <c r="CD89">
        <v>0.55000000000000004</v>
      </c>
      <c r="CE89">
        <v>2</v>
      </c>
      <c r="CH89" s="2"/>
      <c r="CI89" s="13" t="s">
        <v>164</v>
      </c>
      <c r="CJ89" s="13">
        <v>0.55000000000000004</v>
      </c>
      <c r="CK89" s="13">
        <v>0.55000000000000004</v>
      </c>
      <c r="CL89" s="13">
        <v>0.55000000000000004</v>
      </c>
      <c r="CM89" s="13">
        <v>0.55000000000000004</v>
      </c>
      <c r="CN89" s="13">
        <v>0.55000000000000004</v>
      </c>
      <c r="CO89">
        <v>0.55000000000000004</v>
      </c>
    </row>
    <row r="90" spans="75:93" x14ac:dyDescent="0.2">
      <c r="BW90" t="s">
        <v>165</v>
      </c>
      <c r="BX90" t="s">
        <v>167</v>
      </c>
      <c r="BY90">
        <v>0.64</v>
      </c>
      <c r="BZ90">
        <v>0.59</v>
      </c>
      <c r="CA90">
        <v>0.55000000000000004</v>
      </c>
      <c r="CB90">
        <v>0.67</v>
      </c>
      <c r="CC90">
        <v>0.65</v>
      </c>
      <c r="CD90">
        <v>0.5</v>
      </c>
      <c r="CE90">
        <v>3</v>
      </c>
      <c r="CH90" s="4"/>
      <c r="CI90" s="13" t="s">
        <v>165</v>
      </c>
      <c r="CJ90" s="13">
        <v>0.5</v>
      </c>
      <c r="CK90" s="13">
        <v>0.5</v>
      </c>
      <c r="CL90" s="13">
        <v>0.7</v>
      </c>
      <c r="CM90" s="13">
        <v>0.7</v>
      </c>
      <c r="CN90" s="13">
        <v>0.5</v>
      </c>
      <c r="CO90">
        <v>0.7</v>
      </c>
    </row>
    <row r="91" spans="75:93" x14ac:dyDescent="0.2">
      <c r="BW91" t="s">
        <v>166</v>
      </c>
      <c r="BX91" t="s">
        <v>167</v>
      </c>
      <c r="BY91">
        <v>0.72</v>
      </c>
      <c r="BZ91">
        <v>0.57999999999999996</v>
      </c>
      <c r="CA91">
        <v>0.75</v>
      </c>
      <c r="CB91">
        <v>0.7</v>
      </c>
      <c r="CC91">
        <v>0.6</v>
      </c>
      <c r="CD91">
        <v>0.76</v>
      </c>
      <c r="CE91">
        <v>4</v>
      </c>
      <c r="CH91" s="7"/>
      <c r="CI91" s="13" t="s">
        <v>166</v>
      </c>
      <c r="CJ91" s="13">
        <v>0.76</v>
      </c>
      <c r="CK91" s="13">
        <v>0.76</v>
      </c>
      <c r="CL91" s="13">
        <v>0.76</v>
      </c>
      <c r="CM91" s="13">
        <v>0.76</v>
      </c>
      <c r="CN91" s="13">
        <v>0.76</v>
      </c>
      <c r="CO91">
        <v>0.76</v>
      </c>
    </row>
    <row r="94" spans="75:93" x14ac:dyDescent="0.2">
      <c r="BW94" t="s">
        <v>192</v>
      </c>
      <c r="BX94" t="s">
        <v>129</v>
      </c>
    </row>
    <row r="95" spans="75:93" ht="17" thickBot="1" x14ac:dyDescent="0.25">
      <c r="BW95" t="s">
        <v>180</v>
      </c>
      <c r="BX95" t="s">
        <v>161</v>
      </c>
      <c r="BY95" t="s">
        <v>173</v>
      </c>
      <c r="BZ95" t="s">
        <v>271</v>
      </c>
      <c r="CA95" t="s">
        <v>272</v>
      </c>
      <c r="CB95" t="s">
        <v>273</v>
      </c>
      <c r="CC95" t="s">
        <v>274</v>
      </c>
      <c r="CD95" t="s">
        <v>275</v>
      </c>
      <c r="CE95" t="s">
        <v>189</v>
      </c>
      <c r="CH95" s="8" t="s">
        <v>181</v>
      </c>
      <c r="CI95" s="9" t="s">
        <v>182</v>
      </c>
      <c r="CJ95" s="9" t="s">
        <v>183</v>
      </c>
      <c r="CK95" s="9" t="s">
        <v>184</v>
      </c>
      <c r="CL95" s="9" t="s">
        <v>185</v>
      </c>
      <c r="CM95" s="9" t="s">
        <v>186</v>
      </c>
      <c r="CN95" s="9" t="s">
        <v>187</v>
      </c>
      <c r="CO95" s="10" t="s">
        <v>188</v>
      </c>
    </row>
    <row r="96" spans="75:93" ht="17" thickTop="1" x14ac:dyDescent="0.2">
      <c r="BW96" t="s">
        <v>163</v>
      </c>
      <c r="BX96" t="s">
        <v>169</v>
      </c>
      <c r="BY96">
        <v>54</v>
      </c>
      <c r="BZ96">
        <v>40</v>
      </c>
      <c r="CA96">
        <v>55</v>
      </c>
      <c r="CB96">
        <v>50</v>
      </c>
      <c r="CC96">
        <v>55</v>
      </c>
      <c r="CD96">
        <v>55</v>
      </c>
      <c r="CE96">
        <v>1</v>
      </c>
      <c r="CH96" s="2" t="s">
        <v>179</v>
      </c>
      <c r="CI96" s="3" t="s">
        <v>180</v>
      </c>
      <c r="CJ96" s="3" t="s">
        <v>162</v>
      </c>
      <c r="CK96" s="3" t="s">
        <v>167</v>
      </c>
      <c r="CL96" s="3" t="s">
        <v>168</v>
      </c>
      <c r="CM96" s="3" t="s">
        <v>169</v>
      </c>
      <c r="CN96" s="3" t="s">
        <v>170</v>
      </c>
      <c r="CO96" s="6" t="s">
        <v>171</v>
      </c>
    </row>
    <row r="97" spans="75:93" x14ac:dyDescent="0.2">
      <c r="BW97" t="s">
        <v>164</v>
      </c>
      <c r="BX97" t="s">
        <v>169</v>
      </c>
      <c r="BY97">
        <v>49</v>
      </c>
      <c r="BZ97">
        <v>45</v>
      </c>
      <c r="CA97">
        <v>55</v>
      </c>
      <c r="CB97">
        <v>50</v>
      </c>
      <c r="CC97">
        <v>50</v>
      </c>
      <c r="CD97">
        <v>50</v>
      </c>
      <c r="CE97">
        <v>2</v>
      </c>
      <c r="CH97" s="4" t="s">
        <v>173</v>
      </c>
      <c r="CI97" t="s">
        <v>163</v>
      </c>
      <c r="CJ97">
        <v>75</v>
      </c>
      <c r="CK97">
        <v>62</v>
      </c>
      <c r="CL97">
        <v>44</v>
      </c>
      <c r="CM97">
        <v>54</v>
      </c>
      <c r="CN97">
        <v>56</v>
      </c>
      <c r="CO97">
        <v>20</v>
      </c>
    </row>
    <row r="98" spans="75:93" x14ac:dyDescent="0.2">
      <c r="BW98" t="s">
        <v>165</v>
      </c>
      <c r="BX98" t="s">
        <v>169</v>
      </c>
      <c r="BY98">
        <v>50</v>
      </c>
      <c r="BZ98">
        <v>45</v>
      </c>
      <c r="CA98">
        <v>55</v>
      </c>
      <c r="CB98">
        <v>50</v>
      </c>
      <c r="CC98">
        <v>48</v>
      </c>
      <c r="CD98">
        <v>45</v>
      </c>
      <c r="CE98">
        <v>3</v>
      </c>
      <c r="CH98" s="2"/>
      <c r="CI98" t="s">
        <v>164</v>
      </c>
      <c r="CJ98">
        <v>75</v>
      </c>
      <c r="CK98">
        <v>55</v>
      </c>
      <c r="CL98">
        <v>42</v>
      </c>
      <c r="CM98">
        <v>49</v>
      </c>
      <c r="CN98">
        <v>51</v>
      </c>
      <c r="CO98">
        <v>27</v>
      </c>
    </row>
    <row r="99" spans="75:93" ht="17" thickBot="1" x14ac:dyDescent="0.25">
      <c r="BW99" t="s">
        <v>166</v>
      </c>
      <c r="BX99" t="s">
        <v>169</v>
      </c>
      <c r="BY99">
        <v>50</v>
      </c>
      <c r="BZ99">
        <v>42</v>
      </c>
      <c r="CA99">
        <v>55</v>
      </c>
      <c r="CB99">
        <v>55</v>
      </c>
      <c r="CC99">
        <v>45</v>
      </c>
      <c r="CD99">
        <v>50</v>
      </c>
      <c r="CE99">
        <v>4</v>
      </c>
      <c r="CH99" s="4"/>
      <c r="CI99" t="s">
        <v>165</v>
      </c>
      <c r="CJ99">
        <v>69</v>
      </c>
      <c r="CK99">
        <v>55</v>
      </c>
      <c r="CL99">
        <v>43</v>
      </c>
      <c r="CM99">
        <v>50</v>
      </c>
      <c r="CN99">
        <v>50</v>
      </c>
      <c r="CO99">
        <v>32</v>
      </c>
    </row>
    <row r="100" spans="75:93" ht="18" thickTop="1" thickBot="1" x14ac:dyDescent="0.25">
      <c r="BW100" t="s">
        <v>163</v>
      </c>
      <c r="BX100" s="6" t="s">
        <v>171</v>
      </c>
      <c r="BY100">
        <v>20</v>
      </c>
      <c r="BZ100">
        <v>20</v>
      </c>
      <c r="CA100">
        <v>40</v>
      </c>
      <c r="CB100">
        <v>14</v>
      </c>
      <c r="CC100">
        <v>22</v>
      </c>
      <c r="CD100">
        <v>30</v>
      </c>
      <c r="CE100">
        <v>1</v>
      </c>
      <c r="CH100" s="2"/>
      <c r="CI100" t="s">
        <v>166</v>
      </c>
      <c r="CJ100">
        <v>69</v>
      </c>
      <c r="CK100">
        <v>55</v>
      </c>
      <c r="CL100">
        <v>45</v>
      </c>
      <c r="CM100">
        <v>50</v>
      </c>
      <c r="CN100">
        <v>51</v>
      </c>
      <c r="CO100">
        <v>34</v>
      </c>
    </row>
    <row r="101" spans="75:93" ht="18" thickTop="1" thickBot="1" x14ac:dyDescent="0.25">
      <c r="BW101" t="s">
        <v>164</v>
      </c>
      <c r="BX101" s="6" t="s">
        <v>171</v>
      </c>
      <c r="BY101">
        <v>27</v>
      </c>
      <c r="BZ101">
        <v>25</v>
      </c>
      <c r="CA101">
        <v>45</v>
      </c>
      <c r="CB101">
        <v>24</v>
      </c>
      <c r="CC101">
        <v>28</v>
      </c>
      <c r="CD101">
        <v>30</v>
      </c>
      <c r="CE101">
        <v>2</v>
      </c>
      <c r="CH101" s="4" t="s">
        <v>174</v>
      </c>
      <c r="CI101" t="s">
        <v>163</v>
      </c>
      <c r="CJ101">
        <v>58</v>
      </c>
      <c r="CK101">
        <v>50</v>
      </c>
      <c r="CL101">
        <v>35</v>
      </c>
      <c r="CM101">
        <v>40</v>
      </c>
      <c r="CN101">
        <v>45</v>
      </c>
      <c r="CO101">
        <v>20</v>
      </c>
    </row>
    <row r="102" spans="75:93" ht="18" thickTop="1" thickBot="1" x14ac:dyDescent="0.25">
      <c r="BW102" t="s">
        <v>165</v>
      </c>
      <c r="BX102" s="6" t="s">
        <v>171</v>
      </c>
      <c r="BY102">
        <v>32</v>
      </c>
      <c r="BZ102">
        <v>20</v>
      </c>
      <c r="CA102">
        <v>20</v>
      </c>
      <c r="CB102">
        <v>36</v>
      </c>
      <c r="CC102">
        <v>33</v>
      </c>
      <c r="CD102">
        <v>10</v>
      </c>
      <c r="CE102">
        <v>3</v>
      </c>
      <c r="CH102" s="2"/>
      <c r="CI102" t="s">
        <v>164</v>
      </c>
      <c r="CJ102">
        <v>61</v>
      </c>
      <c r="CK102">
        <v>55</v>
      </c>
      <c r="CL102">
        <v>40</v>
      </c>
      <c r="CM102">
        <v>45</v>
      </c>
      <c r="CN102">
        <v>50</v>
      </c>
      <c r="CO102">
        <v>25</v>
      </c>
    </row>
    <row r="103" spans="75:93" ht="17" thickTop="1" x14ac:dyDescent="0.2">
      <c r="BW103" t="s">
        <v>166</v>
      </c>
      <c r="BX103" s="6" t="s">
        <v>171</v>
      </c>
      <c r="BY103">
        <v>34</v>
      </c>
      <c r="BZ103">
        <v>25</v>
      </c>
      <c r="CA103">
        <v>30</v>
      </c>
      <c r="CB103">
        <v>42</v>
      </c>
      <c r="CC103">
        <v>35</v>
      </c>
      <c r="CD103">
        <v>20</v>
      </c>
      <c r="CE103">
        <v>4</v>
      </c>
      <c r="CH103" s="4"/>
      <c r="CI103" t="s">
        <v>165</v>
      </c>
      <c r="CJ103">
        <v>63</v>
      </c>
      <c r="CK103">
        <v>55</v>
      </c>
      <c r="CL103">
        <v>40</v>
      </c>
      <c r="CM103">
        <v>45</v>
      </c>
      <c r="CN103">
        <v>50</v>
      </c>
      <c r="CO103">
        <v>20</v>
      </c>
    </row>
    <row r="104" spans="75:93" x14ac:dyDescent="0.2">
      <c r="BW104" t="s">
        <v>163</v>
      </c>
      <c r="BX104" t="s">
        <v>168</v>
      </c>
      <c r="BY104">
        <v>44</v>
      </c>
      <c r="BZ104">
        <v>35</v>
      </c>
      <c r="CA104">
        <v>52</v>
      </c>
      <c r="CB104">
        <v>45</v>
      </c>
      <c r="CC104">
        <v>50</v>
      </c>
      <c r="CD104">
        <v>50</v>
      </c>
      <c r="CE104">
        <v>1</v>
      </c>
      <c r="CH104" s="2"/>
      <c r="CI104" t="s">
        <v>166</v>
      </c>
      <c r="CJ104">
        <v>60</v>
      </c>
      <c r="CK104">
        <v>50</v>
      </c>
      <c r="CL104">
        <v>35</v>
      </c>
      <c r="CM104">
        <v>42</v>
      </c>
      <c r="CN104">
        <v>48</v>
      </c>
      <c r="CO104">
        <v>25</v>
      </c>
    </row>
    <row r="105" spans="75:93" x14ac:dyDescent="0.2">
      <c r="BW105" t="s">
        <v>164</v>
      </c>
      <c r="BX105" t="s">
        <v>168</v>
      </c>
      <c r="BY105">
        <v>42</v>
      </c>
      <c r="BZ105">
        <v>40</v>
      </c>
      <c r="CA105">
        <v>52</v>
      </c>
      <c r="CB105">
        <v>45</v>
      </c>
      <c r="CC105">
        <v>45</v>
      </c>
      <c r="CD105">
        <v>45</v>
      </c>
      <c r="CE105">
        <v>2</v>
      </c>
      <c r="CH105" s="4" t="s">
        <v>175</v>
      </c>
      <c r="CI105" t="s">
        <v>163</v>
      </c>
      <c r="CJ105">
        <v>80</v>
      </c>
      <c r="CK105">
        <v>70</v>
      </c>
      <c r="CL105">
        <v>52</v>
      </c>
      <c r="CM105">
        <v>55</v>
      </c>
      <c r="CN105">
        <v>55</v>
      </c>
      <c r="CO105">
        <v>40</v>
      </c>
    </row>
    <row r="106" spans="75:93" x14ac:dyDescent="0.2">
      <c r="BW106" t="s">
        <v>165</v>
      </c>
      <c r="BX106" t="s">
        <v>168</v>
      </c>
      <c r="BY106">
        <v>43</v>
      </c>
      <c r="BZ106">
        <v>40</v>
      </c>
      <c r="CA106">
        <v>52</v>
      </c>
      <c r="CB106">
        <v>45</v>
      </c>
      <c r="CC106">
        <v>43</v>
      </c>
      <c r="CD106">
        <v>40</v>
      </c>
      <c r="CE106">
        <v>3</v>
      </c>
      <c r="CH106" s="2"/>
      <c r="CI106" t="s">
        <v>164</v>
      </c>
      <c r="CJ106">
        <v>70</v>
      </c>
      <c r="CK106">
        <v>65</v>
      </c>
      <c r="CL106">
        <v>52</v>
      </c>
      <c r="CM106">
        <v>55</v>
      </c>
      <c r="CN106">
        <v>55</v>
      </c>
      <c r="CO106">
        <v>45</v>
      </c>
    </row>
    <row r="107" spans="75:93" x14ac:dyDescent="0.2">
      <c r="BW107" t="s">
        <v>166</v>
      </c>
      <c r="BX107" t="s">
        <v>168</v>
      </c>
      <c r="BY107">
        <v>45</v>
      </c>
      <c r="BZ107">
        <v>35</v>
      </c>
      <c r="CA107">
        <v>52</v>
      </c>
      <c r="CB107">
        <v>50</v>
      </c>
      <c r="CC107">
        <v>40</v>
      </c>
      <c r="CD107">
        <v>45</v>
      </c>
      <c r="CE107">
        <v>4</v>
      </c>
      <c r="CH107" s="4"/>
      <c r="CI107" t="s">
        <v>165</v>
      </c>
      <c r="CJ107">
        <v>70</v>
      </c>
      <c r="CK107">
        <v>60</v>
      </c>
      <c r="CL107">
        <v>52</v>
      </c>
      <c r="CM107">
        <v>55</v>
      </c>
      <c r="CN107">
        <v>55</v>
      </c>
      <c r="CO107">
        <v>20</v>
      </c>
    </row>
    <row r="108" spans="75:93" x14ac:dyDescent="0.2">
      <c r="BW108" t="s">
        <v>163</v>
      </c>
      <c r="BX108" t="s">
        <v>170</v>
      </c>
      <c r="BY108">
        <v>56</v>
      </c>
      <c r="BZ108">
        <v>45</v>
      </c>
      <c r="CA108">
        <v>55</v>
      </c>
      <c r="CB108">
        <v>50</v>
      </c>
      <c r="CC108">
        <v>50</v>
      </c>
      <c r="CD108">
        <v>55</v>
      </c>
      <c r="CE108">
        <v>1</v>
      </c>
      <c r="CH108" s="2"/>
      <c r="CI108" t="s">
        <v>166</v>
      </c>
      <c r="CJ108">
        <v>70</v>
      </c>
      <c r="CK108">
        <v>60</v>
      </c>
      <c r="CL108">
        <v>52</v>
      </c>
      <c r="CM108">
        <v>55</v>
      </c>
      <c r="CN108">
        <v>55</v>
      </c>
      <c r="CO108">
        <v>30</v>
      </c>
    </row>
    <row r="109" spans="75:93" x14ac:dyDescent="0.2">
      <c r="BW109" t="s">
        <v>164</v>
      </c>
      <c r="BX109" t="s">
        <v>170</v>
      </c>
      <c r="BY109">
        <v>51</v>
      </c>
      <c r="BZ109">
        <v>50</v>
      </c>
      <c r="CA109">
        <v>55</v>
      </c>
      <c r="CB109">
        <v>50</v>
      </c>
      <c r="CC109">
        <v>50</v>
      </c>
      <c r="CD109">
        <v>50</v>
      </c>
      <c r="CE109">
        <v>2</v>
      </c>
      <c r="CH109" s="4" t="s">
        <v>176</v>
      </c>
      <c r="CI109" t="s">
        <v>163</v>
      </c>
      <c r="CJ109">
        <v>90</v>
      </c>
      <c r="CK109">
        <v>55</v>
      </c>
      <c r="CL109">
        <v>45</v>
      </c>
      <c r="CM109">
        <v>50</v>
      </c>
      <c r="CN109">
        <v>50</v>
      </c>
      <c r="CO109">
        <v>14</v>
      </c>
    </row>
    <row r="110" spans="75:93" x14ac:dyDescent="0.2">
      <c r="BW110" t="s">
        <v>165</v>
      </c>
      <c r="BX110" t="s">
        <v>170</v>
      </c>
      <c r="BY110">
        <v>50</v>
      </c>
      <c r="BZ110">
        <v>50</v>
      </c>
      <c r="CA110">
        <v>55</v>
      </c>
      <c r="CB110">
        <v>50</v>
      </c>
      <c r="CC110">
        <v>50</v>
      </c>
      <c r="CD110">
        <v>45</v>
      </c>
      <c r="CE110">
        <v>3</v>
      </c>
      <c r="CH110" s="2"/>
      <c r="CI110" t="s">
        <v>164</v>
      </c>
      <c r="CJ110">
        <v>90</v>
      </c>
      <c r="CK110">
        <v>55</v>
      </c>
      <c r="CL110">
        <v>45</v>
      </c>
      <c r="CM110">
        <v>50</v>
      </c>
      <c r="CN110">
        <v>50</v>
      </c>
      <c r="CO110">
        <v>24</v>
      </c>
    </row>
    <row r="111" spans="75:93" x14ac:dyDescent="0.2">
      <c r="BW111" t="s">
        <v>166</v>
      </c>
      <c r="BX111" t="s">
        <v>170</v>
      </c>
      <c r="BY111">
        <v>51</v>
      </c>
      <c r="BZ111">
        <v>48</v>
      </c>
      <c r="CA111">
        <v>55</v>
      </c>
      <c r="CB111">
        <v>50</v>
      </c>
      <c r="CC111">
        <v>50</v>
      </c>
      <c r="CD111">
        <v>50</v>
      </c>
      <c r="CE111">
        <v>4</v>
      </c>
      <c r="CH111" s="4"/>
      <c r="CI111" t="s">
        <v>165</v>
      </c>
      <c r="CJ111">
        <v>75</v>
      </c>
      <c r="CK111">
        <v>50</v>
      </c>
      <c r="CL111">
        <v>45</v>
      </c>
      <c r="CM111">
        <v>50</v>
      </c>
      <c r="CN111">
        <v>50</v>
      </c>
      <c r="CO111">
        <v>36</v>
      </c>
    </row>
    <row r="112" spans="75:93" x14ac:dyDescent="0.2">
      <c r="BW112" t="s">
        <v>163</v>
      </c>
      <c r="BX112" t="s">
        <v>162</v>
      </c>
      <c r="BY112">
        <v>75</v>
      </c>
      <c r="BZ112">
        <v>58</v>
      </c>
      <c r="CA112">
        <v>80</v>
      </c>
      <c r="CB112">
        <v>90</v>
      </c>
      <c r="CC112">
        <v>70</v>
      </c>
      <c r="CD112">
        <v>75</v>
      </c>
      <c r="CE112">
        <v>1</v>
      </c>
      <c r="CH112" s="2"/>
      <c r="CI112" t="s">
        <v>166</v>
      </c>
      <c r="CJ112">
        <v>75</v>
      </c>
      <c r="CK112">
        <v>45</v>
      </c>
      <c r="CL112">
        <v>50</v>
      </c>
      <c r="CM112">
        <v>55</v>
      </c>
      <c r="CN112">
        <v>50</v>
      </c>
      <c r="CO112">
        <v>42</v>
      </c>
    </row>
    <row r="113" spans="75:93" x14ac:dyDescent="0.2">
      <c r="BW113" t="s">
        <v>164</v>
      </c>
      <c r="BX113" t="s">
        <v>162</v>
      </c>
      <c r="BY113">
        <v>75</v>
      </c>
      <c r="BZ113">
        <v>61</v>
      </c>
      <c r="CA113">
        <v>70</v>
      </c>
      <c r="CB113">
        <v>90</v>
      </c>
      <c r="CC113">
        <v>65</v>
      </c>
      <c r="CD113">
        <v>65</v>
      </c>
      <c r="CE113">
        <v>2</v>
      </c>
      <c r="CH113" s="4" t="s">
        <v>177</v>
      </c>
      <c r="CI113" t="s">
        <v>163</v>
      </c>
      <c r="CJ113">
        <v>70</v>
      </c>
      <c r="CK113">
        <v>60</v>
      </c>
      <c r="CL113">
        <v>50</v>
      </c>
      <c r="CM113">
        <v>55</v>
      </c>
      <c r="CN113">
        <v>50</v>
      </c>
      <c r="CO113">
        <v>22</v>
      </c>
    </row>
    <row r="114" spans="75:93" x14ac:dyDescent="0.2">
      <c r="BW114" t="s">
        <v>165</v>
      </c>
      <c r="BX114" t="s">
        <v>162</v>
      </c>
      <c r="BY114">
        <v>69</v>
      </c>
      <c r="BZ114">
        <v>63</v>
      </c>
      <c r="CA114">
        <v>70</v>
      </c>
      <c r="CB114">
        <v>75</v>
      </c>
      <c r="CC114">
        <v>65</v>
      </c>
      <c r="CD114">
        <v>65</v>
      </c>
      <c r="CE114">
        <v>3</v>
      </c>
      <c r="CH114" s="2"/>
      <c r="CI114" t="s">
        <v>164</v>
      </c>
      <c r="CJ114">
        <v>65</v>
      </c>
      <c r="CK114">
        <v>55</v>
      </c>
      <c r="CL114">
        <v>45</v>
      </c>
      <c r="CM114">
        <v>50</v>
      </c>
      <c r="CN114">
        <v>50</v>
      </c>
      <c r="CO114">
        <v>28</v>
      </c>
    </row>
    <row r="115" spans="75:93" x14ac:dyDescent="0.2">
      <c r="BW115" t="s">
        <v>166</v>
      </c>
      <c r="BX115" t="s">
        <v>162</v>
      </c>
      <c r="BY115">
        <v>69</v>
      </c>
      <c r="BZ115">
        <v>60</v>
      </c>
      <c r="CA115">
        <v>70</v>
      </c>
      <c r="CB115">
        <v>75</v>
      </c>
      <c r="CC115">
        <v>60</v>
      </c>
      <c r="CD115">
        <v>65</v>
      </c>
      <c r="CE115">
        <v>4</v>
      </c>
      <c r="CH115" s="4"/>
      <c r="CI115" t="s">
        <v>165</v>
      </c>
      <c r="CJ115">
        <v>65</v>
      </c>
      <c r="CK115">
        <v>52</v>
      </c>
      <c r="CL115">
        <v>43</v>
      </c>
      <c r="CM115">
        <v>48</v>
      </c>
      <c r="CN115">
        <v>50</v>
      </c>
      <c r="CO115">
        <v>33</v>
      </c>
    </row>
    <row r="116" spans="75:93" x14ac:dyDescent="0.2">
      <c r="BW116" t="s">
        <v>163</v>
      </c>
      <c r="BX116" t="s">
        <v>167</v>
      </c>
      <c r="BY116">
        <v>62</v>
      </c>
      <c r="BZ116">
        <v>50</v>
      </c>
      <c r="CA116">
        <v>70</v>
      </c>
      <c r="CB116">
        <v>55</v>
      </c>
      <c r="CC116">
        <v>60</v>
      </c>
      <c r="CD116">
        <v>60</v>
      </c>
      <c r="CE116">
        <v>1</v>
      </c>
      <c r="CH116" s="2"/>
      <c r="CI116" t="s">
        <v>166</v>
      </c>
      <c r="CJ116">
        <v>60</v>
      </c>
      <c r="CK116">
        <v>50</v>
      </c>
      <c r="CL116">
        <v>40</v>
      </c>
      <c r="CM116">
        <v>45</v>
      </c>
      <c r="CN116">
        <v>50</v>
      </c>
      <c r="CO116">
        <v>35</v>
      </c>
    </row>
    <row r="117" spans="75:93" x14ac:dyDescent="0.2">
      <c r="BW117" t="s">
        <v>164</v>
      </c>
      <c r="BX117" t="s">
        <v>167</v>
      </c>
      <c r="BY117">
        <v>55</v>
      </c>
      <c r="BZ117">
        <v>55</v>
      </c>
      <c r="CA117">
        <v>65</v>
      </c>
      <c r="CB117">
        <v>55</v>
      </c>
      <c r="CC117">
        <v>55</v>
      </c>
      <c r="CD117">
        <v>55</v>
      </c>
      <c r="CE117">
        <v>2</v>
      </c>
      <c r="CH117" s="4" t="s">
        <v>178</v>
      </c>
      <c r="CI117" t="s">
        <v>163</v>
      </c>
      <c r="CJ117">
        <v>75</v>
      </c>
      <c r="CK117">
        <v>60</v>
      </c>
      <c r="CL117">
        <v>50</v>
      </c>
      <c r="CM117">
        <v>55</v>
      </c>
      <c r="CN117">
        <v>55</v>
      </c>
      <c r="CO117">
        <v>30</v>
      </c>
    </row>
    <row r="118" spans="75:93" x14ac:dyDescent="0.2">
      <c r="BW118" t="s">
        <v>165</v>
      </c>
      <c r="BX118" t="s">
        <v>167</v>
      </c>
      <c r="BY118">
        <v>55</v>
      </c>
      <c r="BZ118">
        <v>55</v>
      </c>
      <c r="CA118">
        <v>60</v>
      </c>
      <c r="CB118">
        <v>50</v>
      </c>
      <c r="CC118">
        <v>52</v>
      </c>
      <c r="CD118">
        <v>48</v>
      </c>
      <c r="CE118">
        <v>3</v>
      </c>
      <c r="CH118" s="2"/>
      <c r="CI118" t="s">
        <v>164</v>
      </c>
      <c r="CJ118">
        <v>65</v>
      </c>
      <c r="CK118">
        <v>55</v>
      </c>
      <c r="CL118">
        <v>45</v>
      </c>
      <c r="CM118">
        <v>50</v>
      </c>
      <c r="CN118">
        <v>50</v>
      </c>
      <c r="CO118">
        <v>30</v>
      </c>
    </row>
    <row r="119" spans="75:93" x14ac:dyDescent="0.2">
      <c r="BW119" t="s">
        <v>166</v>
      </c>
      <c r="BX119" t="s">
        <v>167</v>
      </c>
      <c r="BY119">
        <v>55</v>
      </c>
      <c r="BZ119">
        <v>50</v>
      </c>
      <c r="CA119">
        <v>60</v>
      </c>
      <c r="CB119">
        <v>45</v>
      </c>
      <c r="CC119">
        <v>50</v>
      </c>
      <c r="CD119">
        <v>48</v>
      </c>
      <c r="CE119">
        <v>4</v>
      </c>
      <c r="CH119" s="4"/>
      <c r="CI119" t="s">
        <v>165</v>
      </c>
      <c r="CJ119">
        <v>65</v>
      </c>
      <c r="CK119">
        <v>48</v>
      </c>
      <c r="CL119">
        <v>40</v>
      </c>
      <c r="CM119">
        <v>45</v>
      </c>
      <c r="CN119">
        <v>45</v>
      </c>
      <c r="CO119">
        <v>10</v>
      </c>
    </row>
    <row r="120" spans="75:93" x14ac:dyDescent="0.2">
      <c r="CH120" s="7"/>
      <c r="CI120" t="s">
        <v>166</v>
      </c>
      <c r="CJ120">
        <v>65</v>
      </c>
      <c r="CK120">
        <v>48</v>
      </c>
      <c r="CL120">
        <v>45</v>
      </c>
      <c r="CM120">
        <v>50</v>
      </c>
      <c r="CN120">
        <v>50</v>
      </c>
      <c r="CO120">
        <v>20</v>
      </c>
    </row>
    <row r="127" spans="75:93" x14ac:dyDescent="0.2">
      <c r="CK127" s="13"/>
      <c r="CL127" s="13"/>
      <c r="CM127" s="13"/>
      <c r="CN127" s="13"/>
    </row>
    <row r="128" spans="75:93" x14ac:dyDescent="0.2">
      <c r="CH128" s="13" t="s">
        <v>252</v>
      </c>
      <c r="CI128" s="13" t="s">
        <v>141</v>
      </c>
      <c r="CJ128" s="13"/>
      <c r="CK128" s="13"/>
      <c r="CL128" s="13"/>
      <c r="CM128" s="13"/>
      <c r="CN128" s="13"/>
    </row>
    <row r="129" spans="49:93" ht="17" thickBot="1" x14ac:dyDescent="0.25">
      <c r="CH129" s="20"/>
      <c r="CJ129" s="21"/>
      <c r="CK129" s="21"/>
      <c r="CL129" s="21"/>
      <c r="CM129" s="5"/>
      <c r="CN129" s="5"/>
      <c r="CO129" s="5"/>
    </row>
    <row r="130" spans="49:93" ht="18" thickTop="1" thickBot="1" x14ac:dyDescent="0.25">
      <c r="AW130" t="str" cm="1">
        <f t="array" ref="AW130:BE153">QueryW[]</f>
        <v>Spring</v>
      </c>
      <c r="AX130" t="str">
        <v>Breeding ewes</v>
      </c>
      <c r="AY130">
        <v>54</v>
      </c>
      <c r="AZ130">
        <v>40</v>
      </c>
      <c r="BA130">
        <v>55</v>
      </c>
      <c r="BB130">
        <v>50</v>
      </c>
      <c r="BC130">
        <v>55</v>
      </c>
      <c r="BD130">
        <v>55</v>
      </c>
      <c r="BE130">
        <v>1</v>
      </c>
      <c r="BW130" t="s">
        <v>180</v>
      </c>
      <c r="BX130" t="s">
        <v>161</v>
      </c>
      <c r="BY130" t="s">
        <v>173</v>
      </c>
      <c r="BZ130" t="s">
        <v>271</v>
      </c>
      <c r="CA130" t="s">
        <v>272</v>
      </c>
      <c r="CB130" t="s">
        <v>273</v>
      </c>
      <c r="CC130" t="s">
        <v>274</v>
      </c>
      <c r="CD130" t="s">
        <v>275</v>
      </c>
      <c r="CE130" t="s">
        <v>189</v>
      </c>
      <c r="CH130" s="22" t="s">
        <v>181</v>
      </c>
      <c r="CI130" t="s">
        <v>182</v>
      </c>
      <c r="CJ130" s="23" t="s">
        <v>183</v>
      </c>
      <c r="CK130" s="23" t="s">
        <v>184</v>
      </c>
      <c r="CL130" s="23" t="s">
        <v>185</v>
      </c>
      <c r="CM130" s="6" t="s">
        <v>186</v>
      </c>
      <c r="CN130" s="6" t="s">
        <v>187</v>
      </c>
      <c r="CO130" s="6" t="s">
        <v>188</v>
      </c>
    </row>
    <row r="131" spans="49:93" ht="17" thickTop="1" x14ac:dyDescent="0.2">
      <c r="AW131" t="str">
        <v>Summer</v>
      </c>
      <c r="AX131" t="str">
        <v>Breeding ewes</v>
      </c>
      <c r="AY131">
        <v>49</v>
      </c>
      <c r="AZ131">
        <v>45</v>
      </c>
      <c r="BA131">
        <v>55</v>
      </c>
      <c r="BB131">
        <v>50</v>
      </c>
      <c r="BC131">
        <v>50</v>
      </c>
      <c r="BD131">
        <v>50</v>
      </c>
      <c r="BE131">
        <v>2</v>
      </c>
      <c r="BW131" t="s">
        <v>163</v>
      </c>
      <c r="BX131" t="s">
        <v>169</v>
      </c>
      <c r="BY131">
        <v>57</v>
      </c>
      <c r="BZ131">
        <v>50</v>
      </c>
      <c r="CA131">
        <v>60</v>
      </c>
      <c r="CB131">
        <v>55</v>
      </c>
      <c r="CC131">
        <v>50</v>
      </c>
      <c r="CD131">
        <v>60</v>
      </c>
      <c r="CE131">
        <v>1</v>
      </c>
      <c r="CH131" s="22" t="s">
        <v>179</v>
      </c>
      <c r="CI131" t="s">
        <v>180</v>
      </c>
      <c r="CJ131" s="23" t="s">
        <v>162</v>
      </c>
      <c r="CK131" s="23" t="s">
        <v>167</v>
      </c>
      <c r="CL131" s="23" t="s">
        <v>168</v>
      </c>
      <c r="CM131" s="6" t="s">
        <v>169</v>
      </c>
      <c r="CN131" s="6" t="s">
        <v>170</v>
      </c>
      <c r="CO131" s="6" t="s">
        <v>171</v>
      </c>
    </row>
    <row r="132" spans="49:93" x14ac:dyDescent="0.2">
      <c r="AW132" t="str">
        <v>Autumn</v>
      </c>
      <c r="AX132" t="str">
        <v>Breeding ewes</v>
      </c>
      <c r="AY132">
        <v>50</v>
      </c>
      <c r="AZ132">
        <v>45</v>
      </c>
      <c r="BA132">
        <v>55</v>
      </c>
      <c r="BB132">
        <v>50</v>
      </c>
      <c r="BC132">
        <v>48</v>
      </c>
      <c r="BD132">
        <v>45</v>
      </c>
      <c r="BE132">
        <v>3</v>
      </c>
      <c r="BW132" t="s">
        <v>164</v>
      </c>
      <c r="BX132" t="s">
        <v>169</v>
      </c>
      <c r="BY132">
        <v>57</v>
      </c>
      <c r="BZ132">
        <v>50</v>
      </c>
      <c r="CA132">
        <v>60</v>
      </c>
      <c r="CB132">
        <v>55</v>
      </c>
      <c r="CC132">
        <v>50</v>
      </c>
      <c r="CD132">
        <v>60</v>
      </c>
      <c r="CE132">
        <v>2</v>
      </c>
      <c r="CH132" s="24" t="s">
        <v>173</v>
      </c>
      <c r="CI132" t="s">
        <v>163</v>
      </c>
      <c r="CJ132" s="25" t="s">
        <v>241</v>
      </c>
      <c r="CK132" s="25" t="s">
        <v>242</v>
      </c>
      <c r="CL132" s="25" t="s">
        <v>243</v>
      </c>
      <c r="CM132" s="25" t="s">
        <v>243</v>
      </c>
      <c r="CN132" s="25" t="s">
        <v>243</v>
      </c>
      <c r="CO132" s="25">
        <v>60</v>
      </c>
    </row>
    <row r="133" spans="49:93" x14ac:dyDescent="0.2">
      <c r="AW133" t="str">
        <v>Winter</v>
      </c>
      <c r="AX133" t="str">
        <v>Breeding ewes</v>
      </c>
      <c r="AY133">
        <v>50</v>
      </c>
      <c r="AZ133">
        <v>42</v>
      </c>
      <c r="BA133">
        <v>55</v>
      </c>
      <c r="BB133">
        <v>55</v>
      </c>
      <c r="BC133">
        <v>45</v>
      </c>
      <c r="BD133">
        <v>50</v>
      </c>
      <c r="BE133">
        <v>4</v>
      </c>
      <c r="BW133" t="s">
        <v>165</v>
      </c>
      <c r="BX133" t="s">
        <v>169</v>
      </c>
      <c r="BY133">
        <v>57</v>
      </c>
      <c r="BZ133">
        <v>50</v>
      </c>
      <c r="CA133">
        <v>60</v>
      </c>
      <c r="CB133">
        <v>55</v>
      </c>
      <c r="CC133">
        <v>50</v>
      </c>
      <c r="CD133">
        <v>60</v>
      </c>
      <c r="CE133">
        <v>3</v>
      </c>
      <c r="CH133" s="24" t="s">
        <v>173</v>
      </c>
      <c r="CI133" t="s">
        <v>164</v>
      </c>
      <c r="CJ133" s="25" t="s">
        <v>241</v>
      </c>
      <c r="CK133" s="25" t="s">
        <v>242</v>
      </c>
      <c r="CL133" s="25" t="s">
        <v>243</v>
      </c>
      <c r="CM133" s="25" t="s">
        <v>243</v>
      </c>
      <c r="CN133" s="25" t="s">
        <v>243</v>
      </c>
      <c r="CO133" s="25">
        <v>60</v>
      </c>
    </row>
    <row r="134" spans="49:93" x14ac:dyDescent="0.2">
      <c r="AW134" t="str">
        <v>Spring</v>
      </c>
      <c r="AX134" t="str">
        <v>Lambs and hoggets</v>
      </c>
      <c r="AY134">
        <v>20</v>
      </c>
      <c r="AZ134">
        <v>20</v>
      </c>
      <c r="BA134">
        <v>40</v>
      </c>
      <c r="BB134">
        <v>14</v>
      </c>
      <c r="BC134">
        <v>22</v>
      </c>
      <c r="BD134">
        <v>30</v>
      </c>
      <c r="BE134">
        <v>1</v>
      </c>
      <c r="BW134" t="s">
        <v>166</v>
      </c>
      <c r="BX134" t="s">
        <v>169</v>
      </c>
      <c r="BY134">
        <v>57</v>
      </c>
      <c r="BZ134">
        <v>50</v>
      </c>
      <c r="CA134">
        <v>60</v>
      </c>
      <c r="CB134">
        <v>55</v>
      </c>
      <c r="CC134">
        <v>50</v>
      </c>
      <c r="CD134">
        <v>60</v>
      </c>
      <c r="CE134">
        <v>4</v>
      </c>
      <c r="CH134" s="24" t="s">
        <v>173</v>
      </c>
      <c r="CI134" t="s">
        <v>165</v>
      </c>
      <c r="CJ134" s="25" t="s">
        <v>241</v>
      </c>
      <c r="CK134" s="25" t="s">
        <v>242</v>
      </c>
      <c r="CL134" s="25" t="s">
        <v>243</v>
      </c>
      <c r="CM134" s="25" t="s">
        <v>243</v>
      </c>
      <c r="CN134" s="25" t="s">
        <v>243</v>
      </c>
      <c r="CO134" s="25">
        <v>60</v>
      </c>
    </row>
    <row r="135" spans="49:93" x14ac:dyDescent="0.2">
      <c r="AW135" t="str">
        <v>Summer</v>
      </c>
      <c r="AX135" t="str">
        <v>Lambs and hoggets</v>
      </c>
      <c r="AY135">
        <v>27</v>
      </c>
      <c r="AZ135">
        <v>25</v>
      </c>
      <c r="BA135">
        <v>45</v>
      </c>
      <c r="BB135">
        <v>24</v>
      </c>
      <c r="BC135">
        <v>28</v>
      </c>
      <c r="BD135">
        <v>30</v>
      </c>
      <c r="BE135">
        <v>2</v>
      </c>
      <c r="BW135" t="s">
        <v>163</v>
      </c>
      <c r="BX135" t="s">
        <v>171</v>
      </c>
      <c r="BY135">
        <v>60</v>
      </c>
      <c r="BZ135">
        <v>55</v>
      </c>
      <c r="CA135">
        <v>66</v>
      </c>
      <c r="CB135">
        <v>60</v>
      </c>
      <c r="CC135">
        <v>55</v>
      </c>
      <c r="CD135">
        <v>66</v>
      </c>
      <c r="CE135">
        <v>1</v>
      </c>
      <c r="CH135" s="24" t="s">
        <v>173</v>
      </c>
      <c r="CI135" t="s">
        <v>166</v>
      </c>
      <c r="CJ135" s="25" t="s">
        <v>241</v>
      </c>
      <c r="CK135" s="25" t="s">
        <v>242</v>
      </c>
      <c r="CL135" s="25" t="s">
        <v>243</v>
      </c>
      <c r="CM135" s="25" t="s">
        <v>243</v>
      </c>
      <c r="CN135" s="25" t="s">
        <v>243</v>
      </c>
      <c r="CO135" s="25">
        <v>60</v>
      </c>
    </row>
    <row r="136" spans="49:93" x14ac:dyDescent="0.2">
      <c r="AW136" t="str">
        <v>Autumn</v>
      </c>
      <c r="AX136" t="str">
        <v>Lambs and hoggets</v>
      </c>
      <c r="AY136">
        <v>32</v>
      </c>
      <c r="AZ136">
        <v>20</v>
      </c>
      <c r="BA136">
        <v>20</v>
      </c>
      <c r="BB136">
        <v>36</v>
      </c>
      <c r="BC136">
        <v>33</v>
      </c>
      <c r="BD136">
        <v>10</v>
      </c>
      <c r="BE136">
        <v>3</v>
      </c>
      <c r="BW136" t="s">
        <v>164</v>
      </c>
      <c r="BX136" t="s">
        <v>171</v>
      </c>
      <c r="BY136">
        <v>60</v>
      </c>
      <c r="BZ136">
        <v>55</v>
      </c>
      <c r="CA136">
        <v>66</v>
      </c>
      <c r="CB136">
        <v>60</v>
      </c>
      <c r="CC136">
        <v>55</v>
      </c>
      <c r="CD136">
        <v>66</v>
      </c>
      <c r="CE136">
        <v>2</v>
      </c>
      <c r="CH136" s="26" t="s">
        <v>174</v>
      </c>
      <c r="CI136" t="s">
        <v>163</v>
      </c>
      <c r="CJ136" s="19" t="s">
        <v>244</v>
      </c>
      <c r="CK136" s="19" t="s">
        <v>245</v>
      </c>
      <c r="CL136" s="19" t="s">
        <v>246</v>
      </c>
      <c r="CM136" s="19" t="s">
        <v>246</v>
      </c>
      <c r="CN136" s="19" t="s">
        <v>246</v>
      </c>
      <c r="CO136" s="19">
        <v>55</v>
      </c>
    </row>
    <row r="137" spans="49:93" x14ac:dyDescent="0.2">
      <c r="AW137" t="str">
        <v>Winter</v>
      </c>
      <c r="AX137" t="str">
        <v>Lambs and hoggets</v>
      </c>
      <c r="AY137">
        <v>34</v>
      </c>
      <c r="AZ137">
        <v>25</v>
      </c>
      <c r="BA137">
        <v>30</v>
      </c>
      <c r="BB137">
        <v>42</v>
      </c>
      <c r="BC137">
        <v>35</v>
      </c>
      <c r="BD137">
        <v>20</v>
      </c>
      <c r="BE137">
        <v>4</v>
      </c>
      <c r="BW137" t="s">
        <v>165</v>
      </c>
      <c r="BX137" t="s">
        <v>171</v>
      </c>
      <c r="BY137">
        <v>60</v>
      </c>
      <c r="BZ137">
        <v>55</v>
      </c>
      <c r="CA137">
        <v>66</v>
      </c>
      <c r="CB137">
        <v>60</v>
      </c>
      <c r="CC137">
        <v>55</v>
      </c>
      <c r="CD137">
        <v>66</v>
      </c>
      <c r="CE137">
        <v>3</v>
      </c>
      <c r="CH137" s="26" t="s">
        <v>174</v>
      </c>
      <c r="CI137" t="s">
        <v>164</v>
      </c>
      <c r="CJ137" s="19" t="s">
        <v>244</v>
      </c>
      <c r="CK137" s="19" t="s">
        <v>245</v>
      </c>
      <c r="CL137" s="19" t="s">
        <v>246</v>
      </c>
      <c r="CM137" s="19" t="s">
        <v>246</v>
      </c>
      <c r="CN137" s="19" t="s">
        <v>246</v>
      </c>
      <c r="CO137" s="19">
        <v>55</v>
      </c>
    </row>
    <row r="138" spans="49:93" x14ac:dyDescent="0.2">
      <c r="AW138" t="str">
        <v>Spring</v>
      </c>
      <c r="AX138" t="str">
        <v>Maiden ewes</v>
      </c>
      <c r="AY138">
        <v>44</v>
      </c>
      <c r="AZ138">
        <v>35</v>
      </c>
      <c r="BA138">
        <v>52</v>
      </c>
      <c r="BB138">
        <v>45</v>
      </c>
      <c r="BC138">
        <v>50</v>
      </c>
      <c r="BD138">
        <v>50</v>
      </c>
      <c r="BE138">
        <v>1</v>
      </c>
      <c r="BW138" t="s">
        <v>166</v>
      </c>
      <c r="BX138" t="s">
        <v>171</v>
      </c>
      <c r="BY138">
        <v>60</v>
      </c>
      <c r="BZ138">
        <v>55</v>
      </c>
      <c r="CA138">
        <v>66</v>
      </c>
      <c r="CB138">
        <v>60</v>
      </c>
      <c r="CC138">
        <v>55</v>
      </c>
      <c r="CD138">
        <v>66</v>
      </c>
      <c r="CE138">
        <v>4</v>
      </c>
      <c r="CH138" s="26" t="s">
        <v>174</v>
      </c>
      <c r="CI138" t="s">
        <v>165</v>
      </c>
      <c r="CJ138" s="19" t="s">
        <v>244</v>
      </c>
      <c r="CK138" s="19" t="s">
        <v>245</v>
      </c>
      <c r="CL138" s="19" t="s">
        <v>246</v>
      </c>
      <c r="CM138" s="19" t="s">
        <v>246</v>
      </c>
      <c r="CN138" s="19" t="s">
        <v>246</v>
      </c>
      <c r="CO138" s="19">
        <v>55</v>
      </c>
    </row>
    <row r="139" spans="49:93" x14ac:dyDescent="0.2">
      <c r="AW139" t="str">
        <v>Summer</v>
      </c>
      <c r="AX139" t="str">
        <v>Maiden ewes</v>
      </c>
      <c r="AY139">
        <v>42</v>
      </c>
      <c r="AZ139">
        <v>40</v>
      </c>
      <c r="BA139">
        <v>52</v>
      </c>
      <c r="BB139">
        <v>45</v>
      </c>
      <c r="BC139">
        <v>45</v>
      </c>
      <c r="BD139">
        <v>45</v>
      </c>
      <c r="BE139">
        <v>2</v>
      </c>
      <c r="BW139" t="s">
        <v>163</v>
      </c>
      <c r="BX139" t="s">
        <v>168</v>
      </c>
      <c r="BY139">
        <v>57</v>
      </c>
      <c r="BZ139">
        <v>50</v>
      </c>
      <c r="CA139">
        <v>60</v>
      </c>
      <c r="CB139">
        <v>55</v>
      </c>
      <c r="CC139">
        <v>50</v>
      </c>
      <c r="CD139">
        <v>60</v>
      </c>
      <c r="CE139">
        <v>1</v>
      </c>
      <c r="CH139" s="26" t="s">
        <v>174</v>
      </c>
      <c r="CI139" t="s">
        <v>166</v>
      </c>
      <c r="CJ139" s="19" t="s">
        <v>244</v>
      </c>
      <c r="CK139" s="19" t="s">
        <v>245</v>
      </c>
      <c r="CL139" s="19" t="s">
        <v>246</v>
      </c>
      <c r="CM139" s="19" t="s">
        <v>246</v>
      </c>
      <c r="CN139" s="19" t="s">
        <v>246</v>
      </c>
      <c r="CO139" s="19">
        <v>55</v>
      </c>
    </row>
    <row r="140" spans="49:93" x14ac:dyDescent="0.2">
      <c r="AW140" t="str">
        <v>Autumn</v>
      </c>
      <c r="AX140" t="str">
        <v>Maiden ewes</v>
      </c>
      <c r="AY140">
        <v>43</v>
      </c>
      <c r="AZ140">
        <v>40</v>
      </c>
      <c r="BA140">
        <v>52</v>
      </c>
      <c r="BB140">
        <v>45</v>
      </c>
      <c r="BC140">
        <v>43</v>
      </c>
      <c r="BD140">
        <v>40</v>
      </c>
      <c r="BE140">
        <v>3</v>
      </c>
      <c r="BW140" t="s">
        <v>164</v>
      </c>
      <c r="BX140" t="s">
        <v>168</v>
      </c>
      <c r="BY140">
        <v>57</v>
      </c>
      <c r="BZ140">
        <v>50</v>
      </c>
      <c r="CA140">
        <v>60</v>
      </c>
      <c r="CB140">
        <v>55</v>
      </c>
      <c r="CC140">
        <v>50</v>
      </c>
      <c r="CD140">
        <v>60</v>
      </c>
      <c r="CE140">
        <v>2</v>
      </c>
      <c r="CH140" s="26" t="s">
        <v>175</v>
      </c>
      <c r="CI140" t="s">
        <v>163</v>
      </c>
      <c r="CJ140" s="19" t="s">
        <v>247</v>
      </c>
      <c r="CK140" s="19" t="s">
        <v>248</v>
      </c>
      <c r="CL140" s="19" t="s">
        <v>245</v>
      </c>
      <c r="CM140" s="19" t="s">
        <v>245</v>
      </c>
      <c r="CN140" s="19" t="s">
        <v>245</v>
      </c>
      <c r="CO140" s="19">
        <v>66</v>
      </c>
    </row>
    <row r="141" spans="49:93" x14ac:dyDescent="0.2">
      <c r="AW141" t="str">
        <v>Winter</v>
      </c>
      <c r="AX141" t="str">
        <v>Maiden ewes</v>
      </c>
      <c r="AY141">
        <v>45</v>
      </c>
      <c r="AZ141">
        <v>35</v>
      </c>
      <c r="BA141">
        <v>52</v>
      </c>
      <c r="BB141">
        <v>50</v>
      </c>
      <c r="BC141">
        <v>40</v>
      </c>
      <c r="BD141">
        <v>45</v>
      </c>
      <c r="BE141">
        <v>4</v>
      </c>
      <c r="BW141" t="s">
        <v>165</v>
      </c>
      <c r="BX141" t="s">
        <v>168</v>
      </c>
      <c r="BY141">
        <v>57</v>
      </c>
      <c r="BZ141">
        <v>50</v>
      </c>
      <c r="CA141">
        <v>60</v>
      </c>
      <c r="CB141">
        <v>55</v>
      </c>
      <c r="CC141">
        <v>50</v>
      </c>
      <c r="CD141">
        <v>60</v>
      </c>
      <c r="CE141">
        <v>3</v>
      </c>
      <c r="CH141" s="26" t="s">
        <v>175</v>
      </c>
      <c r="CI141" t="s">
        <v>164</v>
      </c>
      <c r="CJ141" s="19" t="s">
        <v>247</v>
      </c>
      <c r="CK141" s="19" t="s">
        <v>248</v>
      </c>
      <c r="CL141" s="19" t="s">
        <v>245</v>
      </c>
      <c r="CM141" s="19" t="s">
        <v>245</v>
      </c>
      <c r="CN141" s="19" t="s">
        <v>245</v>
      </c>
      <c r="CO141" s="19">
        <v>66</v>
      </c>
    </row>
    <row r="142" spans="49:93" x14ac:dyDescent="0.2">
      <c r="AW142" t="str">
        <v>Spring</v>
      </c>
      <c r="AX142" t="str">
        <v>Other ewes</v>
      </c>
      <c r="AY142">
        <v>56</v>
      </c>
      <c r="AZ142">
        <v>45</v>
      </c>
      <c r="BA142">
        <v>55</v>
      </c>
      <c r="BB142">
        <v>50</v>
      </c>
      <c r="BC142">
        <v>50</v>
      </c>
      <c r="BD142">
        <v>55</v>
      </c>
      <c r="BE142">
        <v>1</v>
      </c>
      <c r="BW142" t="s">
        <v>166</v>
      </c>
      <c r="BX142" t="s">
        <v>168</v>
      </c>
      <c r="BY142">
        <v>57</v>
      </c>
      <c r="BZ142">
        <v>50</v>
      </c>
      <c r="CA142">
        <v>60</v>
      </c>
      <c r="CB142">
        <v>55</v>
      </c>
      <c r="CC142">
        <v>50</v>
      </c>
      <c r="CD142">
        <v>60</v>
      </c>
      <c r="CE142">
        <v>4</v>
      </c>
      <c r="CH142" s="26" t="s">
        <v>175</v>
      </c>
      <c r="CI142" t="s">
        <v>165</v>
      </c>
      <c r="CJ142" s="19" t="s">
        <v>247</v>
      </c>
      <c r="CK142" s="19" t="s">
        <v>248</v>
      </c>
      <c r="CL142" s="19" t="s">
        <v>245</v>
      </c>
      <c r="CM142" s="19" t="s">
        <v>245</v>
      </c>
      <c r="CN142" s="19" t="s">
        <v>245</v>
      </c>
      <c r="CO142" s="19">
        <v>66</v>
      </c>
    </row>
    <row r="143" spans="49:93" x14ac:dyDescent="0.2">
      <c r="AW143" t="str">
        <v>Summer</v>
      </c>
      <c r="AX143" t="str">
        <v>Other ewes</v>
      </c>
      <c r="AY143">
        <v>51</v>
      </c>
      <c r="AZ143">
        <v>50</v>
      </c>
      <c r="BA143">
        <v>55</v>
      </c>
      <c r="BB143">
        <v>50</v>
      </c>
      <c r="BC143">
        <v>50</v>
      </c>
      <c r="BD143">
        <v>50</v>
      </c>
      <c r="BE143">
        <v>2</v>
      </c>
      <c r="BW143" t="s">
        <v>163</v>
      </c>
      <c r="BX143" t="s">
        <v>170</v>
      </c>
      <c r="BY143">
        <v>57</v>
      </c>
      <c r="BZ143">
        <v>50</v>
      </c>
      <c r="CA143">
        <v>60</v>
      </c>
      <c r="CB143">
        <v>55</v>
      </c>
      <c r="CC143">
        <v>50</v>
      </c>
      <c r="CD143">
        <v>60</v>
      </c>
      <c r="CE143">
        <v>1</v>
      </c>
      <c r="CH143" s="26" t="s">
        <v>175</v>
      </c>
      <c r="CI143" t="s">
        <v>166</v>
      </c>
      <c r="CJ143" s="19" t="s">
        <v>247</v>
      </c>
      <c r="CK143" s="19" t="s">
        <v>248</v>
      </c>
      <c r="CL143" s="19" t="s">
        <v>245</v>
      </c>
      <c r="CM143" s="19" t="s">
        <v>245</v>
      </c>
      <c r="CN143" s="19" t="s">
        <v>245</v>
      </c>
      <c r="CO143" s="19">
        <v>66</v>
      </c>
    </row>
    <row r="144" spans="49:93" x14ac:dyDescent="0.2">
      <c r="AW144" t="str">
        <v>Autumn</v>
      </c>
      <c r="AX144" t="str">
        <v>Other ewes</v>
      </c>
      <c r="AY144">
        <v>50</v>
      </c>
      <c r="AZ144">
        <v>50</v>
      </c>
      <c r="BA144">
        <v>55</v>
      </c>
      <c r="BB144">
        <v>50</v>
      </c>
      <c r="BC144">
        <v>50</v>
      </c>
      <c r="BD144">
        <v>45</v>
      </c>
      <c r="BE144">
        <v>3</v>
      </c>
      <c r="BW144" t="s">
        <v>164</v>
      </c>
      <c r="BX144" t="s">
        <v>170</v>
      </c>
      <c r="BY144">
        <v>57</v>
      </c>
      <c r="BZ144">
        <v>50</v>
      </c>
      <c r="CA144">
        <v>60</v>
      </c>
      <c r="CB144">
        <v>55</v>
      </c>
      <c r="CC144">
        <v>50</v>
      </c>
      <c r="CD144">
        <v>60</v>
      </c>
      <c r="CE144">
        <v>2</v>
      </c>
      <c r="CH144" s="26" t="s">
        <v>176</v>
      </c>
      <c r="CI144" t="s">
        <v>163</v>
      </c>
      <c r="CJ144" s="19" t="s">
        <v>249</v>
      </c>
      <c r="CK144" s="19" t="s">
        <v>250</v>
      </c>
      <c r="CL144" s="19" t="s">
        <v>251</v>
      </c>
      <c r="CM144" s="19" t="s">
        <v>251</v>
      </c>
      <c r="CN144" s="19" t="s">
        <v>251</v>
      </c>
      <c r="CO144" s="19">
        <v>60</v>
      </c>
    </row>
    <row r="145" spans="49:93" x14ac:dyDescent="0.2">
      <c r="AW145" t="str">
        <v>Winter</v>
      </c>
      <c r="AX145" t="str">
        <v>Other ewes</v>
      </c>
      <c r="AY145">
        <v>51</v>
      </c>
      <c r="AZ145">
        <v>48</v>
      </c>
      <c r="BA145">
        <v>55</v>
      </c>
      <c r="BB145">
        <v>50</v>
      </c>
      <c r="BC145">
        <v>50</v>
      </c>
      <c r="BD145">
        <v>50</v>
      </c>
      <c r="BE145">
        <v>4</v>
      </c>
      <c r="BW145" t="s">
        <v>165</v>
      </c>
      <c r="BX145" t="s">
        <v>170</v>
      </c>
      <c r="BY145">
        <v>57</v>
      </c>
      <c r="BZ145">
        <v>50</v>
      </c>
      <c r="CA145">
        <v>60</v>
      </c>
      <c r="CB145">
        <v>55</v>
      </c>
      <c r="CC145">
        <v>50</v>
      </c>
      <c r="CD145">
        <v>60</v>
      </c>
      <c r="CE145">
        <v>3</v>
      </c>
      <c r="CH145" s="26" t="s">
        <v>176</v>
      </c>
      <c r="CI145" t="s">
        <v>164</v>
      </c>
      <c r="CJ145" s="19" t="s">
        <v>249</v>
      </c>
      <c r="CK145" s="19" t="s">
        <v>250</v>
      </c>
      <c r="CL145" s="19" t="s">
        <v>251</v>
      </c>
      <c r="CM145" s="19" t="s">
        <v>251</v>
      </c>
      <c r="CN145" s="19" t="s">
        <v>251</v>
      </c>
      <c r="CO145" s="19">
        <v>60</v>
      </c>
    </row>
    <row r="146" spans="49:93" x14ac:dyDescent="0.2">
      <c r="AW146" t="str">
        <v>Spring</v>
      </c>
      <c r="AX146" t="str">
        <v>Rams</v>
      </c>
      <c r="AY146">
        <v>75</v>
      </c>
      <c r="AZ146">
        <v>58</v>
      </c>
      <c r="BA146">
        <v>80</v>
      </c>
      <c r="BB146">
        <v>90</v>
      </c>
      <c r="BC146">
        <v>70</v>
      </c>
      <c r="BD146">
        <v>75</v>
      </c>
      <c r="BE146">
        <v>1</v>
      </c>
      <c r="BW146" t="s">
        <v>166</v>
      </c>
      <c r="BX146" t="s">
        <v>170</v>
      </c>
      <c r="BY146">
        <v>57</v>
      </c>
      <c r="BZ146">
        <v>50</v>
      </c>
      <c r="CA146">
        <v>60</v>
      </c>
      <c r="CB146">
        <v>55</v>
      </c>
      <c r="CC146">
        <v>50</v>
      </c>
      <c r="CD146">
        <v>60</v>
      </c>
      <c r="CE146">
        <v>4</v>
      </c>
      <c r="CH146" s="26" t="s">
        <v>176</v>
      </c>
      <c r="CI146" t="s">
        <v>165</v>
      </c>
      <c r="CJ146" s="19" t="s">
        <v>249</v>
      </c>
      <c r="CK146" s="19" t="s">
        <v>250</v>
      </c>
      <c r="CL146" s="19" t="s">
        <v>251</v>
      </c>
      <c r="CM146" s="19" t="s">
        <v>251</v>
      </c>
      <c r="CN146" s="19" t="s">
        <v>251</v>
      </c>
      <c r="CO146" s="19">
        <v>60</v>
      </c>
    </row>
    <row r="147" spans="49:93" x14ac:dyDescent="0.2">
      <c r="AW147" t="str">
        <v>Summer</v>
      </c>
      <c r="AX147" t="str">
        <v>Rams</v>
      </c>
      <c r="AY147">
        <v>75</v>
      </c>
      <c r="AZ147">
        <v>61</v>
      </c>
      <c r="BA147">
        <v>70</v>
      </c>
      <c r="BB147">
        <v>90</v>
      </c>
      <c r="BC147">
        <v>65</v>
      </c>
      <c r="BD147">
        <v>65</v>
      </c>
      <c r="BE147">
        <v>2</v>
      </c>
      <c r="BW147" t="s">
        <v>163</v>
      </c>
      <c r="BX147" t="s">
        <v>162</v>
      </c>
      <c r="BY147">
        <v>78</v>
      </c>
      <c r="BZ147">
        <v>70</v>
      </c>
      <c r="CA147">
        <v>84</v>
      </c>
      <c r="CB147">
        <v>77</v>
      </c>
      <c r="CC147">
        <v>70</v>
      </c>
      <c r="CD147">
        <v>84</v>
      </c>
      <c r="CE147">
        <v>1</v>
      </c>
      <c r="CH147" s="26" t="s">
        <v>176</v>
      </c>
      <c r="CI147" t="s">
        <v>166</v>
      </c>
      <c r="CJ147" s="19" t="s">
        <v>249</v>
      </c>
      <c r="CK147" s="19" t="s">
        <v>250</v>
      </c>
      <c r="CL147" s="19" t="s">
        <v>251</v>
      </c>
      <c r="CM147" s="19" t="s">
        <v>251</v>
      </c>
      <c r="CN147" s="19" t="s">
        <v>251</v>
      </c>
      <c r="CO147" s="19">
        <v>60</v>
      </c>
    </row>
    <row r="148" spans="49:93" x14ac:dyDescent="0.2">
      <c r="AW148" t="str">
        <v>Autumn</v>
      </c>
      <c r="AX148" t="str">
        <v>Rams</v>
      </c>
      <c r="AY148">
        <v>69</v>
      </c>
      <c r="AZ148">
        <v>63</v>
      </c>
      <c r="BA148">
        <v>70</v>
      </c>
      <c r="BB148">
        <v>75</v>
      </c>
      <c r="BC148">
        <v>65</v>
      </c>
      <c r="BD148">
        <v>65</v>
      </c>
      <c r="BE148">
        <v>3</v>
      </c>
      <c r="BW148" t="s">
        <v>164</v>
      </c>
      <c r="BX148" t="s">
        <v>162</v>
      </c>
      <c r="BY148">
        <v>78</v>
      </c>
      <c r="BZ148">
        <v>70</v>
      </c>
      <c r="CA148">
        <v>84</v>
      </c>
      <c r="CB148">
        <v>77</v>
      </c>
      <c r="CC148">
        <v>70</v>
      </c>
      <c r="CD148">
        <v>84</v>
      </c>
      <c r="CE148">
        <v>2</v>
      </c>
      <c r="CH148" s="14" t="s">
        <v>177</v>
      </c>
      <c r="CI148" t="s">
        <v>163</v>
      </c>
      <c r="CJ148" s="15" t="s">
        <v>244</v>
      </c>
      <c r="CK148" s="15" t="s">
        <v>245</v>
      </c>
      <c r="CL148" s="15" t="s">
        <v>246</v>
      </c>
      <c r="CM148" s="15" t="s">
        <v>246</v>
      </c>
      <c r="CN148" s="15" t="s">
        <v>246</v>
      </c>
      <c r="CO148" s="16">
        <v>55</v>
      </c>
    </row>
    <row r="149" spans="49:93" x14ac:dyDescent="0.2">
      <c r="AW149" t="str">
        <v>Winter</v>
      </c>
      <c r="AX149" t="str">
        <v>Rams</v>
      </c>
      <c r="AY149">
        <v>69</v>
      </c>
      <c r="AZ149">
        <v>60</v>
      </c>
      <c r="BA149">
        <v>70</v>
      </c>
      <c r="BB149">
        <v>75</v>
      </c>
      <c r="BC149">
        <v>60</v>
      </c>
      <c r="BD149">
        <v>65</v>
      </c>
      <c r="BE149">
        <v>4</v>
      </c>
      <c r="BW149" t="s">
        <v>165</v>
      </c>
      <c r="BX149" t="s">
        <v>162</v>
      </c>
      <c r="BY149">
        <v>78</v>
      </c>
      <c r="BZ149">
        <v>70</v>
      </c>
      <c r="CA149">
        <v>84</v>
      </c>
      <c r="CB149">
        <v>77</v>
      </c>
      <c r="CC149">
        <v>70</v>
      </c>
      <c r="CD149">
        <v>84</v>
      </c>
      <c r="CE149">
        <v>3</v>
      </c>
      <c r="CH149" s="14" t="s">
        <v>177</v>
      </c>
      <c r="CI149" t="s">
        <v>164</v>
      </c>
      <c r="CJ149" s="15" t="s">
        <v>244</v>
      </c>
      <c r="CK149" s="15" t="s">
        <v>245</v>
      </c>
      <c r="CL149" s="15" t="s">
        <v>246</v>
      </c>
      <c r="CM149" s="15" t="s">
        <v>246</v>
      </c>
      <c r="CN149" s="15" t="s">
        <v>246</v>
      </c>
      <c r="CO149" s="16">
        <v>55</v>
      </c>
    </row>
    <row r="150" spans="49:93" x14ac:dyDescent="0.2">
      <c r="AW150" t="str">
        <v>Spring</v>
      </c>
      <c r="AX150" t="str">
        <v>Wethers</v>
      </c>
      <c r="AY150">
        <v>62</v>
      </c>
      <c r="AZ150">
        <v>50</v>
      </c>
      <c r="BA150">
        <v>70</v>
      </c>
      <c r="BB150">
        <v>55</v>
      </c>
      <c r="BC150">
        <v>60</v>
      </c>
      <c r="BD150">
        <v>60</v>
      </c>
      <c r="BE150">
        <v>1</v>
      </c>
      <c r="BW150" t="s">
        <v>166</v>
      </c>
      <c r="BX150" t="s">
        <v>162</v>
      </c>
      <c r="BY150">
        <v>78</v>
      </c>
      <c r="BZ150">
        <v>70</v>
      </c>
      <c r="CA150">
        <v>84</v>
      </c>
      <c r="CB150">
        <v>77</v>
      </c>
      <c r="CC150">
        <v>70</v>
      </c>
      <c r="CD150">
        <v>84</v>
      </c>
      <c r="CE150">
        <v>4</v>
      </c>
      <c r="CH150" s="14" t="s">
        <v>177</v>
      </c>
      <c r="CI150" t="s">
        <v>165</v>
      </c>
      <c r="CJ150" s="15" t="s">
        <v>244</v>
      </c>
      <c r="CK150" s="15" t="s">
        <v>245</v>
      </c>
      <c r="CL150" s="15" t="s">
        <v>246</v>
      </c>
      <c r="CM150" s="15" t="s">
        <v>246</v>
      </c>
      <c r="CN150" s="15" t="s">
        <v>246</v>
      </c>
      <c r="CO150" s="16">
        <v>55</v>
      </c>
    </row>
    <row r="151" spans="49:93" x14ac:dyDescent="0.2">
      <c r="AW151" t="str">
        <v>Summer</v>
      </c>
      <c r="AX151" t="str">
        <v>Wethers</v>
      </c>
      <c r="AY151">
        <v>55</v>
      </c>
      <c r="AZ151">
        <v>55</v>
      </c>
      <c r="BA151">
        <v>65</v>
      </c>
      <c r="BB151">
        <v>55</v>
      </c>
      <c r="BC151">
        <v>55</v>
      </c>
      <c r="BD151">
        <v>55</v>
      </c>
      <c r="BE151">
        <v>2</v>
      </c>
      <c r="BW151" t="s">
        <v>163</v>
      </c>
      <c r="BX151" t="s">
        <v>167</v>
      </c>
      <c r="BY151">
        <v>62</v>
      </c>
      <c r="BZ151">
        <v>60</v>
      </c>
      <c r="CA151">
        <v>72</v>
      </c>
      <c r="CB151">
        <v>66</v>
      </c>
      <c r="CC151">
        <v>60</v>
      </c>
      <c r="CD151">
        <v>72</v>
      </c>
      <c r="CE151">
        <v>1</v>
      </c>
      <c r="CH151" s="14" t="s">
        <v>177</v>
      </c>
      <c r="CI151" t="s">
        <v>166</v>
      </c>
      <c r="CJ151" s="15" t="s">
        <v>244</v>
      </c>
      <c r="CK151" s="15" t="s">
        <v>245</v>
      </c>
      <c r="CL151" s="15" t="s">
        <v>246</v>
      </c>
      <c r="CM151" s="15" t="s">
        <v>246</v>
      </c>
      <c r="CN151" s="15" t="s">
        <v>246</v>
      </c>
      <c r="CO151" s="16">
        <v>55</v>
      </c>
    </row>
    <row r="152" spans="49:93" x14ac:dyDescent="0.2">
      <c r="AW152" t="str">
        <v>Autumn</v>
      </c>
      <c r="AX152" t="str">
        <v>Wethers</v>
      </c>
      <c r="AY152">
        <v>55</v>
      </c>
      <c r="AZ152">
        <v>55</v>
      </c>
      <c r="BA152">
        <v>60</v>
      </c>
      <c r="BB152">
        <v>50</v>
      </c>
      <c r="BC152">
        <v>52</v>
      </c>
      <c r="BD152">
        <v>48</v>
      </c>
      <c r="BE152">
        <v>3</v>
      </c>
      <c r="BW152" t="s">
        <v>164</v>
      </c>
      <c r="BX152" t="s">
        <v>167</v>
      </c>
      <c r="BY152">
        <v>62</v>
      </c>
      <c r="BZ152">
        <v>60</v>
      </c>
      <c r="CA152">
        <v>72</v>
      </c>
      <c r="CB152">
        <v>66</v>
      </c>
      <c r="CC152">
        <v>60</v>
      </c>
      <c r="CD152">
        <v>72</v>
      </c>
      <c r="CE152">
        <v>2</v>
      </c>
      <c r="CH152" s="17" t="s">
        <v>178</v>
      </c>
      <c r="CI152" t="s">
        <v>163</v>
      </c>
      <c r="CJ152" s="18" t="s">
        <v>247</v>
      </c>
      <c r="CK152" s="18" t="s">
        <v>248</v>
      </c>
      <c r="CL152" s="18" t="s">
        <v>245</v>
      </c>
      <c r="CM152" s="18" t="s">
        <v>245</v>
      </c>
      <c r="CN152" s="18" t="s">
        <v>245</v>
      </c>
      <c r="CO152" s="19">
        <v>66</v>
      </c>
    </row>
    <row r="153" spans="49:93" x14ac:dyDescent="0.2">
      <c r="AW153" t="str">
        <v>Winter</v>
      </c>
      <c r="AX153" t="str">
        <v>Wethers</v>
      </c>
      <c r="AY153">
        <v>55</v>
      </c>
      <c r="AZ153">
        <v>50</v>
      </c>
      <c r="BA153">
        <v>60</v>
      </c>
      <c r="BB153">
        <v>45</v>
      </c>
      <c r="BC153">
        <v>50</v>
      </c>
      <c r="BD153">
        <v>48</v>
      </c>
      <c r="BE153">
        <v>4</v>
      </c>
      <c r="BW153" t="s">
        <v>165</v>
      </c>
      <c r="BX153" t="s">
        <v>167</v>
      </c>
      <c r="BY153">
        <v>62</v>
      </c>
      <c r="BZ153">
        <v>60</v>
      </c>
      <c r="CA153">
        <v>72</v>
      </c>
      <c r="CB153">
        <v>66</v>
      </c>
      <c r="CC153">
        <v>60</v>
      </c>
      <c r="CD153">
        <v>72</v>
      </c>
      <c r="CE153">
        <v>3</v>
      </c>
      <c r="CH153" s="17" t="s">
        <v>178</v>
      </c>
      <c r="CI153" t="s">
        <v>164</v>
      </c>
      <c r="CJ153" s="18" t="s">
        <v>247</v>
      </c>
      <c r="CK153" s="18" t="s">
        <v>248</v>
      </c>
      <c r="CL153" s="18" t="s">
        <v>245</v>
      </c>
      <c r="CM153" s="18" t="s">
        <v>245</v>
      </c>
      <c r="CN153" s="18" t="s">
        <v>245</v>
      </c>
      <c r="CO153" s="19">
        <v>66</v>
      </c>
    </row>
    <row r="154" spans="49:93" x14ac:dyDescent="0.2">
      <c r="BW154" t="s">
        <v>166</v>
      </c>
      <c r="BX154" t="s">
        <v>167</v>
      </c>
      <c r="BY154">
        <v>62</v>
      </c>
      <c r="BZ154">
        <v>60</v>
      </c>
      <c r="CA154">
        <v>72</v>
      </c>
      <c r="CB154">
        <v>66</v>
      </c>
      <c r="CC154">
        <v>60</v>
      </c>
      <c r="CD154">
        <v>72</v>
      </c>
      <c r="CE154">
        <v>4</v>
      </c>
      <c r="CH154" s="17" t="s">
        <v>178</v>
      </c>
      <c r="CI154" t="s">
        <v>165</v>
      </c>
      <c r="CJ154" s="18" t="s">
        <v>247</v>
      </c>
      <c r="CK154" s="18" t="s">
        <v>248</v>
      </c>
      <c r="CL154" s="18" t="s">
        <v>245</v>
      </c>
      <c r="CM154" s="18" t="s">
        <v>245</v>
      </c>
      <c r="CN154" s="18" t="s">
        <v>245</v>
      </c>
      <c r="CO154" s="19">
        <v>66</v>
      </c>
    </row>
    <row r="155" spans="49:93" x14ac:dyDescent="0.2">
      <c r="CH155" s="17" t="s">
        <v>178</v>
      </c>
      <c r="CI155" t="s">
        <v>166</v>
      </c>
      <c r="CJ155" s="18" t="s">
        <v>247</v>
      </c>
      <c r="CK155" s="18" t="s">
        <v>248</v>
      </c>
      <c r="CL155" s="18" t="s">
        <v>245</v>
      </c>
      <c r="CM155" s="18" t="s">
        <v>245</v>
      </c>
      <c r="CN155" s="18" t="s">
        <v>245</v>
      </c>
      <c r="CO155" s="19">
        <v>66</v>
      </c>
    </row>
    <row r="156" spans="49:93" x14ac:dyDescent="0.2">
      <c r="AW156" t="str" cm="1">
        <f t="array" ref="AW156:BB156">QueryW[[#Headers],[ACT/NSW]:[WA]]</f>
        <v>ACT/NSW</v>
      </c>
      <c r="AX156" t="str">
        <v>QLD</v>
      </c>
      <c r="AY156" t="str">
        <v>SA</v>
      </c>
      <c r="AZ156" t="str">
        <v>TAS</v>
      </c>
      <c r="BA156" t="str">
        <v>VIC</v>
      </c>
      <c r="BB156" t="str">
        <v>WA</v>
      </c>
    </row>
    <row r="163" spans="49:93" x14ac:dyDescent="0.2">
      <c r="CH163" t="s">
        <v>263</v>
      </c>
    </row>
    <row r="164" spans="49:93" x14ac:dyDescent="0.2">
      <c r="CH164" t="s">
        <v>262</v>
      </c>
    </row>
    <row r="165" spans="49:93" x14ac:dyDescent="0.2">
      <c r="CH165" t="s">
        <v>181</v>
      </c>
      <c r="CI165" t="s">
        <v>182</v>
      </c>
      <c r="CJ165" t="s">
        <v>183</v>
      </c>
      <c r="CK165" t="s">
        <v>184</v>
      </c>
      <c r="CL165" t="s">
        <v>185</v>
      </c>
      <c r="CM165" t="s">
        <v>186</v>
      </c>
      <c r="CN165" t="s">
        <v>187</v>
      </c>
      <c r="CO165" t="s">
        <v>188</v>
      </c>
    </row>
    <row r="166" spans="49:93" x14ac:dyDescent="0.2">
      <c r="BW166" t="s">
        <v>180</v>
      </c>
      <c r="BX166" t="s">
        <v>161</v>
      </c>
      <c r="BY166" t="s">
        <v>173</v>
      </c>
      <c r="BZ166" t="s">
        <v>271</v>
      </c>
      <c r="CA166" t="s">
        <v>272</v>
      </c>
      <c r="CB166" t="s">
        <v>273</v>
      </c>
      <c r="CC166" t="s">
        <v>274</v>
      </c>
      <c r="CD166" t="s">
        <v>275</v>
      </c>
      <c r="CE166" t="s">
        <v>189</v>
      </c>
      <c r="CH166" t="s">
        <v>179</v>
      </c>
      <c r="CI166" t="s">
        <v>180</v>
      </c>
      <c r="CJ166" t="s">
        <v>162</v>
      </c>
      <c r="CK166" t="s">
        <v>167</v>
      </c>
      <c r="CL166" t="s">
        <v>168</v>
      </c>
      <c r="CM166" t="s">
        <v>169</v>
      </c>
      <c r="CN166" t="s">
        <v>170</v>
      </c>
      <c r="CO166" t="s">
        <v>171</v>
      </c>
    </row>
    <row r="167" spans="49:93" x14ac:dyDescent="0.2">
      <c r="BW167" t="s">
        <v>163</v>
      </c>
      <c r="BX167" t="s">
        <v>169</v>
      </c>
      <c r="BY167">
        <v>2.9</v>
      </c>
      <c r="BZ167">
        <v>1.5</v>
      </c>
      <c r="CA167">
        <v>4</v>
      </c>
      <c r="CB167">
        <v>2.5</v>
      </c>
      <c r="CC167">
        <v>3.2</v>
      </c>
      <c r="CD167">
        <v>3.5</v>
      </c>
      <c r="CE167">
        <v>1</v>
      </c>
      <c r="CH167" t="s">
        <v>173</v>
      </c>
      <c r="CI167" t="s">
        <v>163</v>
      </c>
      <c r="CJ167">
        <v>2.9</v>
      </c>
      <c r="CK167">
        <v>2.9</v>
      </c>
      <c r="CL167">
        <v>2.9</v>
      </c>
      <c r="CM167">
        <v>2.9</v>
      </c>
      <c r="CN167">
        <v>2.9</v>
      </c>
      <c r="CO167">
        <v>2.9</v>
      </c>
    </row>
    <row r="168" spans="49:93" x14ac:dyDescent="0.2">
      <c r="BW168" t="s">
        <v>164</v>
      </c>
      <c r="BX168" t="s">
        <v>169</v>
      </c>
      <c r="BY168">
        <v>2.5</v>
      </c>
      <c r="BZ168">
        <v>2</v>
      </c>
      <c r="CA168">
        <v>2.5</v>
      </c>
      <c r="CB168">
        <v>2.5</v>
      </c>
      <c r="CC168">
        <v>3</v>
      </c>
      <c r="CD168">
        <v>1.5</v>
      </c>
      <c r="CE168">
        <v>2</v>
      </c>
      <c r="CI168" t="s">
        <v>164</v>
      </c>
      <c r="CJ168">
        <v>2.5</v>
      </c>
      <c r="CK168">
        <v>2.5</v>
      </c>
      <c r="CL168">
        <v>2.5</v>
      </c>
      <c r="CM168">
        <v>2.5</v>
      </c>
      <c r="CN168">
        <v>2.5</v>
      </c>
      <c r="CO168">
        <v>2.5</v>
      </c>
    </row>
    <row r="169" spans="49:93" x14ac:dyDescent="0.2">
      <c r="BW169" t="s">
        <v>165</v>
      </c>
      <c r="BX169" t="s">
        <v>169</v>
      </c>
      <c r="BY169">
        <v>1.6</v>
      </c>
      <c r="BZ169">
        <v>2.2000000000000002</v>
      </c>
      <c r="CA169">
        <v>0.7</v>
      </c>
      <c r="CB169">
        <v>1.3</v>
      </c>
      <c r="CC169">
        <v>1.8</v>
      </c>
      <c r="CD169">
        <v>0.7</v>
      </c>
      <c r="CE169">
        <v>3</v>
      </c>
      <c r="CI169" t="s">
        <v>165</v>
      </c>
      <c r="CJ169">
        <v>1.6</v>
      </c>
      <c r="CK169">
        <v>1.6</v>
      </c>
      <c r="CL169">
        <v>1.6</v>
      </c>
      <c r="CM169">
        <v>1.6</v>
      </c>
      <c r="CN169">
        <v>1.6</v>
      </c>
      <c r="CO169">
        <v>1.6</v>
      </c>
    </row>
    <row r="170" spans="49:93" x14ac:dyDescent="0.2">
      <c r="BW170" t="s">
        <v>166</v>
      </c>
      <c r="BX170" t="s">
        <v>169</v>
      </c>
      <c r="BY170">
        <v>1.7</v>
      </c>
      <c r="BZ170">
        <v>1.7</v>
      </c>
      <c r="CA170">
        <v>0.9</v>
      </c>
      <c r="CB170">
        <v>0.8</v>
      </c>
      <c r="CC170">
        <v>1</v>
      </c>
      <c r="CD170">
        <v>1.2</v>
      </c>
      <c r="CE170">
        <v>4</v>
      </c>
      <c r="CI170" t="s">
        <v>166</v>
      </c>
      <c r="CJ170">
        <v>1.7</v>
      </c>
      <c r="CK170">
        <v>1.7</v>
      </c>
      <c r="CL170">
        <v>1.7</v>
      </c>
      <c r="CM170">
        <v>1.7</v>
      </c>
      <c r="CN170">
        <v>1.7</v>
      </c>
      <c r="CO170">
        <v>1.7</v>
      </c>
    </row>
    <row r="171" spans="49:93" x14ac:dyDescent="0.2">
      <c r="BW171" t="s">
        <v>163</v>
      </c>
      <c r="BX171" t="s">
        <v>171</v>
      </c>
      <c r="BY171">
        <v>2.9</v>
      </c>
      <c r="BZ171">
        <v>1.5</v>
      </c>
      <c r="CA171">
        <v>4</v>
      </c>
      <c r="CB171">
        <v>2.5</v>
      </c>
      <c r="CC171">
        <v>3.2</v>
      </c>
      <c r="CD171">
        <v>3.5</v>
      </c>
      <c r="CE171">
        <v>1</v>
      </c>
      <c r="CH171" t="s">
        <v>174</v>
      </c>
      <c r="CI171" t="s">
        <v>163</v>
      </c>
      <c r="CJ171">
        <v>1.5</v>
      </c>
      <c r="CK171">
        <v>1.5</v>
      </c>
      <c r="CL171">
        <v>1.5</v>
      </c>
      <c r="CM171">
        <v>1.5</v>
      </c>
      <c r="CN171">
        <v>1.5</v>
      </c>
      <c r="CO171">
        <v>1.5</v>
      </c>
    </row>
    <row r="172" spans="49:93" x14ac:dyDescent="0.2">
      <c r="AW172" t="e" cm="1">
        <f t="array" ref="AW172">#REF!</f>
        <v>#REF!</v>
      </c>
      <c r="BW172" t="s">
        <v>164</v>
      </c>
      <c r="BX172" t="s">
        <v>171</v>
      </c>
      <c r="BY172">
        <v>2.5</v>
      </c>
      <c r="BZ172">
        <v>2</v>
      </c>
      <c r="CA172">
        <v>2.5</v>
      </c>
      <c r="CB172">
        <v>2.5</v>
      </c>
      <c r="CC172">
        <v>3</v>
      </c>
      <c r="CD172">
        <v>1.5</v>
      </c>
      <c r="CE172">
        <v>2</v>
      </c>
      <c r="CI172" t="s">
        <v>164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</row>
    <row r="173" spans="49:93" x14ac:dyDescent="0.2">
      <c r="AW173" t="str" cm="1">
        <f t="array" ref="AW173:BE173">QueryW[#Headers]</f>
        <v>Season</v>
      </c>
      <c r="AX173" t="str">
        <v>Class</v>
      </c>
      <c r="AY173" t="str">
        <v>ACT/NSW</v>
      </c>
      <c r="AZ173" t="str">
        <v>QLD</v>
      </c>
      <c r="BA173" t="str">
        <v>SA</v>
      </c>
      <c r="BB173" t="str">
        <v>TAS</v>
      </c>
      <c r="BC173" t="str">
        <v>VIC</v>
      </c>
      <c r="BD173" t="str">
        <v>WA</v>
      </c>
      <c r="BE173" t="str">
        <v>SeasonOrder</v>
      </c>
      <c r="BW173" t="s">
        <v>165</v>
      </c>
      <c r="BX173" t="s">
        <v>171</v>
      </c>
      <c r="BY173">
        <v>1.6</v>
      </c>
      <c r="BZ173">
        <v>2.2000000000000002</v>
      </c>
      <c r="CA173">
        <v>0.7</v>
      </c>
      <c r="CB173">
        <v>1.3</v>
      </c>
      <c r="CC173">
        <v>1.8</v>
      </c>
      <c r="CD173">
        <v>0.7</v>
      </c>
      <c r="CE173">
        <v>3</v>
      </c>
      <c r="CI173" t="s">
        <v>165</v>
      </c>
      <c r="CJ173">
        <v>2.2000000000000002</v>
      </c>
      <c r="CK173">
        <v>2.2000000000000002</v>
      </c>
      <c r="CL173">
        <v>2.2000000000000002</v>
      </c>
      <c r="CM173">
        <v>2.2000000000000002</v>
      </c>
      <c r="CN173">
        <v>2.2000000000000002</v>
      </c>
      <c r="CO173">
        <v>2.2000000000000002</v>
      </c>
    </row>
    <row r="174" spans="49:93" x14ac:dyDescent="0.2">
      <c r="AW174" t="str" cm="1">
        <f t="array" ref="AW174:BB174">QueryW[[#Headers],[ACT/NSW]:[WA]]</f>
        <v>ACT/NSW</v>
      </c>
      <c r="AX174" t="str">
        <v>QLD</v>
      </c>
      <c r="AY174" t="str">
        <v>SA</v>
      </c>
      <c r="AZ174" t="str">
        <v>TAS</v>
      </c>
      <c r="BA174" t="str">
        <v>VIC</v>
      </c>
      <c r="BB174" t="str">
        <v>WA</v>
      </c>
      <c r="BW174" t="s">
        <v>166</v>
      </c>
      <c r="BX174" t="s">
        <v>171</v>
      </c>
      <c r="BY174">
        <v>1.7</v>
      </c>
      <c r="BZ174">
        <v>1.7</v>
      </c>
      <c r="CA174">
        <v>0.9</v>
      </c>
      <c r="CB174">
        <v>0.8</v>
      </c>
      <c r="CC174">
        <v>1</v>
      </c>
      <c r="CD174">
        <v>1.2</v>
      </c>
      <c r="CE174">
        <v>4</v>
      </c>
      <c r="CI174" t="s">
        <v>166</v>
      </c>
      <c r="CJ174">
        <v>1.7</v>
      </c>
      <c r="CK174">
        <v>1.7</v>
      </c>
      <c r="CL174">
        <v>1.7</v>
      </c>
      <c r="CM174">
        <v>1.7</v>
      </c>
      <c r="CN174">
        <v>1.7</v>
      </c>
      <c r="CO174">
        <v>1.7</v>
      </c>
    </row>
    <row r="175" spans="49:93" x14ac:dyDescent="0.2">
      <c r="BW175" t="s">
        <v>163</v>
      </c>
      <c r="BX175" t="s">
        <v>168</v>
      </c>
      <c r="BY175">
        <v>2.9</v>
      </c>
      <c r="BZ175">
        <v>1.5</v>
      </c>
      <c r="CA175">
        <v>4</v>
      </c>
      <c r="CB175">
        <v>2.5</v>
      </c>
      <c r="CC175">
        <v>3.2</v>
      </c>
      <c r="CD175">
        <v>3.5</v>
      </c>
      <c r="CE175">
        <v>1</v>
      </c>
      <c r="CH175" t="s">
        <v>175</v>
      </c>
      <c r="CI175" t="s">
        <v>163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</row>
    <row r="176" spans="49:93" x14ac:dyDescent="0.2">
      <c r="AW176" t="e" cm="1">
        <f t="array" ref="AW176">#REF!</f>
        <v>#REF!</v>
      </c>
      <c r="BW176" t="s">
        <v>164</v>
      </c>
      <c r="BX176" t="s">
        <v>168</v>
      </c>
      <c r="BY176">
        <v>2.5</v>
      </c>
      <c r="BZ176">
        <v>2</v>
      </c>
      <c r="CA176">
        <v>2.5</v>
      </c>
      <c r="CB176">
        <v>2.5</v>
      </c>
      <c r="CC176">
        <v>3</v>
      </c>
      <c r="CD176">
        <v>1.5</v>
      </c>
      <c r="CE176">
        <v>2</v>
      </c>
      <c r="CI176" t="s">
        <v>164</v>
      </c>
      <c r="CJ176">
        <v>2.5</v>
      </c>
      <c r="CK176">
        <v>2.5</v>
      </c>
      <c r="CL176">
        <v>2.5</v>
      </c>
      <c r="CM176">
        <v>2.5</v>
      </c>
      <c r="CN176">
        <v>2.5</v>
      </c>
      <c r="CO176">
        <v>2.5</v>
      </c>
    </row>
    <row r="177" spans="75:93" x14ac:dyDescent="0.2">
      <c r="BW177" t="s">
        <v>165</v>
      </c>
      <c r="BX177" t="s">
        <v>168</v>
      </c>
      <c r="BY177">
        <v>1.6</v>
      </c>
      <c r="BZ177">
        <v>2.2000000000000002</v>
      </c>
      <c r="CA177">
        <v>0.7</v>
      </c>
      <c r="CB177">
        <v>1.3</v>
      </c>
      <c r="CC177">
        <v>1.8</v>
      </c>
      <c r="CD177">
        <v>0.7</v>
      </c>
      <c r="CE177">
        <v>3</v>
      </c>
      <c r="CI177" t="s">
        <v>165</v>
      </c>
      <c r="CJ177">
        <v>0.7</v>
      </c>
      <c r="CK177">
        <v>0.7</v>
      </c>
      <c r="CL177">
        <v>0.7</v>
      </c>
      <c r="CM177">
        <v>0.7</v>
      </c>
      <c r="CN177">
        <v>0.7</v>
      </c>
      <c r="CO177">
        <v>0.7</v>
      </c>
    </row>
    <row r="178" spans="75:93" x14ac:dyDescent="0.2">
      <c r="BW178" t="s">
        <v>166</v>
      </c>
      <c r="BX178" t="s">
        <v>168</v>
      </c>
      <c r="BY178">
        <v>1.7</v>
      </c>
      <c r="BZ178">
        <v>1.7</v>
      </c>
      <c r="CA178">
        <v>0.9</v>
      </c>
      <c r="CB178">
        <v>0.8</v>
      </c>
      <c r="CC178">
        <v>1</v>
      </c>
      <c r="CD178">
        <v>1.2</v>
      </c>
      <c r="CE178">
        <v>4</v>
      </c>
      <c r="CI178" t="s">
        <v>166</v>
      </c>
      <c r="CJ178">
        <v>0.9</v>
      </c>
      <c r="CK178">
        <v>0.9</v>
      </c>
      <c r="CL178">
        <v>0.9</v>
      </c>
      <c r="CM178">
        <v>0.9</v>
      </c>
      <c r="CN178">
        <v>0.9</v>
      </c>
      <c r="CO178">
        <v>0.9</v>
      </c>
    </row>
    <row r="179" spans="75:93" x14ac:dyDescent="0.2">
      <c r="BW179" t="s">
        <v>163</v>
      </c>
      <c r="BX179" t="s">
        <v>170</v>
      </c>
      <c r="BY179">
        <v>2.9</v>
      </c>
      <c r="BZ179">
        <v>1.5</v>
      </c>
      <c r="CA179">
        <v>4</v>
      </c>
      <c r="CB179">
        <v>2.5</v>
      </c>
      <c r="CC179">
        <v>3.2</v>
      </c>
      <c r="CD179">
        <v>3.5</v>
      </c>
      <c r="CE179">
        <v>1</v>
      </c>
      <c r="CH179" t="s">
        <v>176</v>
      </c>
      <c r="CI179" t="s">
        <v>163</v>
      </c>
      <c r="CJ179">
        <v>2.5</v>
      </c>
      <c r="CK179">
        <v>2.5</v>
      </c>
      <c r="CL179">
        <v>2.5</v>
      </c>
      <c r="CM179">
        <v>2.5</v>
      </c>
      <c r="CN179">
        <v>2.5</v>
      </c>
      <c r="CO179">
        <v>2.5</v>
      </c>
    </row>
    <row r="180" spans="75:93" x14ac:dyDescent="0.2">
      <c r="BW180" t="s">
        <v>164</v>
      </c>
      <c r="BX180" t="s">
        <v>170</v>
      </c>
      <c r="BY180">
        <v>2.5</v>
      </c>
      <c r="BZ180">
        <v>2</v>
      </c>
      <c r="CA180">
        <v>2.5</v>
      </c>
      <c r="CB180">
        <v>2.5</v>
      </c>
      <c r="CC180">
        <v>3</v>
      </c>
      <c r="CD180">
        <v>1.5</v>
      </c>
      <c r="CE180">
        <v>2</v>
      </c>
      <c r="CI180" t="s">
        <v>164</v>
      </c>
      <c r="CJ180">
        <v>2.5</v>
      </c>
      <c r="CK180">
        <v>2.5</v>
      </c>
      <c r="CL180">
        <v>2.5</v>
      </c>
      <c r="CM180">
        <v>2.5</v>
      </c>
      <c r="CN180">
        <v>2.5</v>
      </c>
      <c r="CO180">
        <v>2.5</v>
      </c>
    </row>
    <row r="181" spans="75:93" x14ac:dyDescent="0.2">
      <c r="BW181" t="s">
        <v>165</v>
      </c>
      <c r="BX181" t="s">
        <v>170</v>
      </c>
      <c r="BY181">
        <v>1.6</v>
      </c>
      <c r="BZ181">
        <v>2.2000000000000002</v>
      </c>
      <c r="CA181">
        <v>0.7</v>
      </c>
      <c r="CB181">
        <v>1.3</v>
      </c>
      <c r="CC181">
        <v>1.8</v>
      </c>
      <c r="CD181">
        <v>0.7</v>
      </c>
      <c r="CE181">
        <v>3</v>
      </c>
      <c r="CI181" t="s">
        <v>165</v>
      </c>
      <c r="CJ181">
        <v>1.3</v>
      </c>
      <c r="CK181">
        <v>1.3</v>
      </c>
      <c r="CL181">
        <v>1.3</v>
      </c>
      <c r="CM181">
        <v>1.3</v>
      </c>
      <c r="CN181">
        <v>1.3</v>
      </c>
      <c r="CO181">
        <v>1.3</v>
      </c>
    </row>
    <row r="182" spans="75:93" x14ac:dyDescent="0.2">
      <c r="BW182" t="s">
        <v>166</v>
      </c>
      <c r="BX182" t="s">
        <v>170</v>
      </c>
      <c r="BY182">
        <v>1.7</v>
      </c>
      <c r="BZ182">
        <v>1.7</v>
      </c>
      <c r="CA182">
        <v>0.9</v>
      </c>
      <c r="CB182">
        <v>0.8</v>
      </c>
      <c r="CC182">
        <v>1</v>
      </c>
      <c r="CD182">
        <v>1.2</v>
      </c>
      <c r="CE182">
        <v>4</v>
      </c>
      <c r="CI182" t="s">
        <v>166</v>
      </c>
      <c r="CJ182">
        <v>0.8</v>
      </c>
      <c r="CK182">
        <v>0.8</v>
      </c>
      <c r="CL182">
        <v>0.8</v>
      </c>
      <c r="CM182">
        <v>0.8</v>
      </c>
      <c r="CN182">
        <v>0.8</v>
      </c>
      <c r="CO182">
        <v>0.8</v>
      </c>
    </row>
    <row r="183" spans="75:93" x14ac:dyDescent="0.2">
      <c r="BW183" t="s">
        <v>163</v>
      </c>
      <c r="BX183" t="s">
        <v>162</v>
      </c>
      <c r="BY183">
        <v>2.9</v>
      </c>
      <c r="BZ183">
        <v>1.5</v>
      </c>
      <c r="CA183">
        <v>4</v>
      </c>
      <c r="CB183">
        <v>2.5</v>
      </c>
      <c r="CC183">
        <v>3.2</v>
      </c>
      <c r="CD183">
        <v>3.5</v>
      </c>
      <c r="CE183">
        <v>1</v>
      </c>
      <c r="CH183" t="s">
        <v>177</v>
      </c>
      <c r="CI183" t="s">
        <v>163</v>
      </c>
      <c r="CJ183">
        <v>3.2</v>
      </c>
      <c r="CK183">
        <v>3.2</v>
      </c>
      <c r="CL183">
        <v>3.2</v>
      </c>
      <c r="CM183">
        <v>3.2</v>
      </c>
      <c r="CN183">
        <v>3.2</v>
      </c>
      <c r="CO183">
        <v>3.2</v>
      </c>
    </row>
    <row r="184" spans="75:93" x14ac:dyDescent="0.2">
      <c r="BW184" t="s">
        <v>164</v>
      </c>
      <c r="BX184" t="s">
        <v>162</v>
      </c>
      <c r="BY184">
        <v>2.5</v>
      </c>
      <c r="BZ184">
        <v>2</v>
      </c>
      <c r="CA184">
        <v>2.5</v>
      </c>
      <c r="CB184">
        <v>2.5</v>
      </c>
      <c r="CC184">
        <v>3</v>
      </c>
      <c r="CD184">
        <v>1.5</v>
      </c>
      <c r="CE184">
        <v>2</v>
      </c>
      <c r="CI184" t="s">
        <v>164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3</v>
      </c>
    </row>
    <row r="185" spans="75:93" x14ac:dyDescent="0.2">
      <c r="BW185" t="s">
        <v>165</v>
      </c>
      <c r="BX185" t="s">
        <v>162</v>
      </c>
      <c r="BY185">
        <v>1.6</v>
      </c>
      <c r="BZ185">
        <v>2.2000000000000002</v>
      </c>
      <c r="CA185">
        <v>0.7</v>
      </c>
      <c r="CB185">
        <v>1.3</v>
      </c>
      <c r="CC185">
        <v>1.8</v>
      </c>
      <c r="CD185">
        <v>0.7</v>
      </c>
      <c r="CE185">
        <v>3</v>
      </c>
      <c r="CI185" t="s">
        <v>165</v>
      </c>
      <c r="CJ185">
        <v>1.8</v>
      </c>
      <c r="CK185">
        <v>1.8</v>
      </c>
      <c r="CL185">
        <v>1.8</v>
      </c>
      <c r="CM185">
        <v>1.8</v>
      </c>
      <c r="CN185">
        <v>1.8</v>
      </c>
      <c r="CO185">
        <v>1.8</v>
      </c>
    </row>
    <row r="186" spans="75:93" x14ac:dyDescent="0.2">
      <c r="BW186" t="s">
        <v>166</v>
      </c>
      <c r="BX186" t="s">
        <v>162</v>
      </c>
      <c r="BY186">
        <v>1.7</v>
      </c>
      <c r="BZ186">
        <v>1.7</v>
      </c>
      <c r="CA186">
        <v>0.9</v>
      </c>
      <c r="CB186">
        <v>0.8</v>
      </c>
      <c r="CC186">
        <v>1</v>
      </c>
      <c r="CD186">
        <v>1.2</v>
      </c>
      <c r="CE186">
        <v>4</v>
      </c>
      <c r="CI186" t="s">
        <v>166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</row>
    <row r="187" spans="75:93" x14ac:dyDescent="0.2">
      <c r="BW187" t="s">
        <v>163</v>
      </c>
      <c r="BX187" t="s">
        <v>167</v>
      </c>
      <c r="BY187">
        <v>2.9</v>
      </c>
      <c r="BZ187">
        <v>1.5</v>
      </c>
      <c r="CA187">
        <v>4</v>
      </c>
      <c r="CB187">
        <v>2.5</v>
      </c>
      <c r="CC187">
        <v>3.2</v>
      </c>
      <c r="CD187">
        <v>3.5</v>
      </c>
      <c r="CE187">
        <v>1</v>
      </c>
      <c r="CH187" t="s">
        <v>178</v>
      </c>
      <c r="CI187" t="s">
        <v>163</v>
      </c>
      <c r="CJ187">
        <v>3.5</v>
      </c>
      <c r="CK187">
        <v>3.5</v>
      </c>
      <c r="CL187">
        <v>3.5</v>
      </c>
      <c r="CM187">
        <v>3.5</v>
      </c>
      <c r="CN187">
        <v>3.5</v>
      </c>
      <c r="CO187">
        <v>3.5</v>
      </c>
    </row>
    <row r="188" spans="75:93" x14ac:dyDescent="0.2">
      <c r="BW188" t="s">
        <v>164</v>
      </c>
      <c r="BX188" t="s">
        <v>167</v>
      </c>
      <c r="BY188">
        <v>2.5</v>
      </c>
      <c r="BZ188">
        <v>2</v>
      </c>
      <c r="CA188">
        <v>2.5</v>
      </c>
      <c r="CB188">
        <v>2.5</v>
      </c>
      <c r="CC188">
        <v>3</v>
      </c>
      <c r="CD188">
        <v>1.5</v>
      </c>
      <c r="CE188">
        <v>2</v>
      </c>
      <c r="CI188" t="s">
        <v>164</v>
      </c>
      <c r="CJ188">
        <v>1.5</v>
      </c>
      <c r="CK188">
        <v>1.5</v>
      </c>
      <c r="CL188">
        <v>1.5</v>
      </c>
      <c r="CM188">
        <v>1.5</v>
      </c>
      <c r="CN188">
        <v>1.5</v>
      </c>
      <c r="CO188">
        <v>1.5</v>
      </c>
    </row>
    <row r="189" spans="75:93" x14ac:dyDescent="0.2">
      <c r="BW189" t="s">
        <v>165</v>
      </c>
      <c r="BX189" t="s">
        <v>167</v>
      </c>
      <c r="BY189">
        <v>1.6</v>
      </c>
      <c r="BZ189">
        <v>2.2000000000000002</v>
      </c>
      <c r="CA189">
        <v>0.7</v>
      </c>
      <c r="CB189">
        <v>1.3</v>
      </c>
      <c r="CC189">
        <v>1.8</v>
      </c>
      <c r="CD189">
        <v>0.7</v>
      </c>
      <c r="CE189">
        <v>3</v>
      </c>
      <c r="CI189" t="s">
        <v>165</v>
      </c>
      <c r="CJ189">
        <v>0.7</v>
      </c>
      <c r="CK189">
        <v>0.7</v>
      </c>
      <c r="CL189">
        <v>0.7</v>
      </c>
      <c r="CM189">
        <v>0.7</v>
      </c>
      <c r="CN189">
        <v>0.7</v>
      </c>
      <c r="CO189">
        <v>0.7</v>
      </c>
    </row>
    <row r="190" spans="75:93" x14ac:dyDescent="0.2">
      <c r="BW190" t="s">
        <v>166</v>
      </c>
      <c r="BX190" t="s">
        <v>167</v>
      </c>
      <c r="BY190">
        <v>1.7</v>
      </c>
      <c r="BZ190">
        <v>1.7</v>
      </c>
      <c r="CA190">
        <v>0.9</v>
      </c>
      <c r="CB190">
        <v>0.8</v>
      </c>
      <c r="CC190">
        <v>1</v>
      </c>
      <c r="CD190">
        <v>1.2</v>
      </c>
      <c r="CE190">
        <v>4</v>
      </c>
      <c r="CI190" t="s">
        <v>166</v>
      </c>
      <c r="CJ190">
        <v>1.2</v>
      </c>
      <c r="CK190">
        <v>1.2</v>
      </c>
      <c r="CL190">
        <v>1.2</v>
      </c>
      <c r="CM190">
        <v>1.2</v>
      </c>
      <c r="CN190">
        <v>1.2</v>
      </c>
      <c r="CO190">
        <v>1.2</v>
      </c>
    </row>
  </sheetData>
  <pageMargins left="0.7" right="0.7" top="0.75" bottom="0.75" header="0.3" footer="0.3"/>
  <ignoredErrors>
    <ignoredError sqref="O2:S10 BJ2:BL11 W2:W9 AD11:AF11 J2:L10 AH11 AJ11 AU2:AU10 AL11 AX11 BD2:BD10 X2:AN10 AW2:BA9 AW10:AZ10" numberStoredAsText="1"/>
  </ignoredErrors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3DD8-C28C-9341-9269-6D44499D5015}">
  <dimension ref="A1:CO190"/>
  <sheetViews>
    <sheetView topLeftCell="BR3" workbookViewId="0">
      <selection activeCell="CH7" sqref="CH7:CO31"/>
    </sheetView>
  </sheetViews>
  <sheetFormatPr baseColWidth="10" defaultRowHeight="16" x14ac:dyDescent="0.2"/>
  <cols>
    <col min="4" max="7" width="16.83203125" customWidth="1"/>
    <col min="8" max="8" width="13.5" customWidth="1"/>
    <col min="10" max="10" width="11.83203125" customWidth="1"/>
    <col min="11" max="11" width="13.1640625" customWidth="1"/>
    <col min="38" max="38" width="17.83203125" customWidth="1"/>
    <col min="48" max="48" width="16.83203125" customWidth="1"/>
    <col min="62" max="62" width="17.83203125" customWidth="1"/>
    <col min="69" max="69" width="11" customWidth="1"/>
    <col min="70" max="70" width="35.83203125" bestFit="1" customWidth="1"/>
    <col min="71" max="74" width="11" customWidth="1"/>
    <col min="75" max="75" width="9.6640625" bestFit="1" customWidth="1"/>
    <col min="76" max="76" width="16.5" bestFit="1" customWidth="1"/>
    <col min="77" max="77" width="11.6640625" bestFit="1" customWidth="1"/>
    <col min="78" max="78" width="13.5" bestFit="1" customWidth="1"/>
    <col min="79" max="79" width="16.1640625" bestFit="1" customWidth="1"/>
    <col min="80" max="80" width="11.6640625" bestFit="1" customWidth="1"/>
    <col min="81" max="81" width="10.1640625" bestFit="1" customWidth="1"/>
    <col min="82" max="82" width="18.5" bestFit="1" customWidth="1"/>
    <col min="83" max="83" width="14.33203125" bestFit="1" customWidth="1"/>
    <col min="86" max="90" width="12" customWidth="1"/>
    <col min="91" max="93" width="11" customWidth="1"/>
  </cols>
  <sheetData>
    <row r="1" spans="1:93" x14ac:dyDescent="0.2">
      <c r="M1" t="s">
        <v>238</v>
      </c>
      <c r="N1" t="s">
        <v>238</v>
      </c>
      <c r="AC1" t="s">
        <v>239</v>
      </c>
      <c r="AP1" t="s">
        <v>238</v>
      </c>
      <c r="AS1" t="s">
        <v>238</v>
      </c>
      <c r="AT1" t="s">
        <v>238</v>
      </c>
      <c r="AU1" t="s">
        <v>256</v>
      </c>
      <c r="BQ1">
        <v>1084</v>
      </c>
      <c r="BR1" t="s">
        <v>257</v>
      </c>
      <c r="BS1">
        <v>0.24</v>
      </c>
      <c r="BU1" t="s">
        <v>265</v>
      </c>
      <c r="BV1">
        <v>1.3</v>
      </c>
    </row>
    <row r="2" spans="1:93" x14ac:dyDescent="0.2">
      <c r="AD2" t="s">
        <v>2</v>
      </c>
      <c r="AE2" t="s">
        <v>3</v>
      </c>
      <c r="AF2" t="s">
        <v>4</v>
      </c>
      <c r="AH2" t="s">
        <v>5</v>
      </c>
      <c r="AJ2" t="s">
        <v>6</v>
      </c>
      <c r="AK2" t="s">
        <v>8</v>
      </c>
      <c r="AL2" t="s">
        <v>9</v>
      </c>
      <c r="AV2" t="s">
        <v>7</v>
      </c>
      <c r="AX2" t="s">
        <v>11</v>
      </c>
      <c r="BA2" t="s">
        <v>12</v>
      </c>
      <c r="BC2" t="s">
        <v>12</v>
      </c>
      <c r="BD2" t="s">
        <v>13</v>
      </c>
      <c r="BF2" t="s">
        <v>10</v>
      </c>
      <c r="BH2" t="s">
        <v>1</v>
      </c>
      <c r="BI2" t="s">
        <v>0</v>
      </c>
      <c r="BJ2" t="s">
        <v>14</v>
      </c>
      <c r="BK2" t="s">
        <v>15</v>
      </c>
      <c r="BL2" t="s">
        <v>16</v>
      </c>
      <c r="BQ2">
        <v>1087</v>
      </c>
      <c r="BR2" t="s">
        <v>152</v>
      </c>
      <c r="BS2">
        <v>0.08</v>
      </c>
    </row>
    <row r="3" spans="1:93" x14ac:dyDescent="0.2">
      <c r="J3" t="s">
        <v>17</v>
      </c>
      <c r="K3" t="s">
        <v>18</v>
      </c>
      <c r="L3" t="s">
        <v>19</v>
      </c>
      <c r="M3">
        <v>342</v>
      </c>
      <c r="N3">
        <v>323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U3" t="s">
        <v>51</v>
      </c>
      <c r="W3" t="s">
        <v>25</v>
      </c>
      <c r="X3" t="s">
        <v>26</v>
      </c>
      <c r="Y3" t="s">
        <v>27</v>
      </c>
      <c r="Z3" t="s">
        <v>29</v>
      </c>
      <c r="AA3" t="s">
        <v>30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42</v>
      </c>
      <c r="AL3" t="s">
        <v>43</v>
      </c>
      <c r="AM3" t="s">
        <v>45</v>
      </c>
      <c r="AN3" t="s">
        <v>46</v>
      </c>
      <c r="AO3">
        <v>351</v>
      </c>
      <c r="AP3">
        <v>314</v>
      </c>
      <c r="AQ3">
        <v>302</v>
      </c>
      <c r="AR3">
        <v>349</v>
      </c>
      <c r="AS3">
        <v>308</v>
      </c>
      <c r="AT3">
        <v>296</v>
      </c>
      <c r="AU3" t="s">
        <v>47</v>
      </c>
      <c r="AV3" t="s">
        <v>41</v>
      </c>
      <c r="AW3" t="s">
        <v>48</v>
      </c>
      <c r="AX3" t="s">
        <v>49</v>
      </c>
      <c r="AY3" t="s">
        <v>50</v>
      </c>
      <c r="AZ3" t="s">
        <v>52</v>
      </c>
      <c r="BA3" t="s">
        <v>53</v>
      </c>
      <c r="BC3" t="s">
        <v>53</v>
      </c>
      <c r="BD3" t="s">
        <v>54</v>
      </c>
      <c r="BF3" t="s">
        <v>44</v>
      </c>
      <c r="BH3" t="s">
        <v>31</v>
      </c>
      <c r="BI3" t="s">
        <v>28</v>
      </c>
      <c r="BJ3" t="s">
        <v>55</v>
      </c>
      <c r="BK3" t="s">
        <v>56</v>
      </c>
      <c r="BL3" t="s">
        <v>57</v>
      </c>
      <c r="BR3" t="s">
        <v>125</v>
      </c>
      <c r="BS3">
        <v>91.25</v>
      </c>
    </row>
    <row r="4" spans="1:93" x14ac:dyDescent="0.2">
      <c r="J4" t="s">
        <v>58</v>
      </c>
      <c r="K4" t="s">
        <v>58</v>
      </c>
      <c r="L4" t="s">
        <v>58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U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60</v>
      </c>
      <c r="AE4" t="s">
        <v>60</v>
      </c>
      <c r="AF4" t="s">
        <v>60</v>
      </c>
      <c r="AG4" t="s">
        <v>59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59</v>
      </c>
      <c r="AN4" t="s">
        <v>59</v>
      </c>
      <c r="AO4" t="s">
        <v>59</v>
      </c>
      <c r="AP4" t="s">
        <v>60</v>
      </c>
      <c r="AQ4" t="s">
        <v>60</v>
      </c>
      <c r="AR4" t="s">
        <v>59</v>
      </c>
      <c r="AS4" t="s">
        <v>60</v>
      </c>
      <c r="AT4" t="s">
        <v>60</v>
      </c>
      <c r="AU4" t="s">
        <v>60</v>
      </c>
      <c r="AV4" t="s">
        <v>60</v>
      </c>
      <c r="AW4" t="s">
        <v>59</v>
      </c>
      <c r="AX4" t="s">
        <v>60</v>
      </c>
      <c r="AY4" t="s">
        <v>59</v>
      </c>
      <c r="AZ4" t="s">
        <v>59</v>
      </c>
      <c r="BA4" t="s">
        <v>60</v>
      </c>
      <c r="BC4" t="s">
        <v>60</v>
      </c>
      <c r="BD4" t="s">
        <v>60</v>
      </c>
      <c r="BF4" t="s">
        <v>60</v>
      </c>
      <c r="BH4" t="s">
        <v>60</v>
      </c>
      <c r="BI4" t="s">
        <v>60</v>
      </c>
      <c r="BJ4" t="s">
        <v>60</v>
      </c>
      <c r="BK4" t="s">
        <v>60</v>
      </c>
      <c r="BL4" t="s">
        <v>60</v>
      </c>
      <c r="BQ4">
        <v>1094</v>
      </c>
      <c r="BR4" t="s">
        <v>131</v>
      </c>
      <c r="BS4">
        <v>0.24</v>
      </c>
    </row>
    <row r="5" spans="1:93" x14ac:dyDescent="0.2">
      <c r="J5" t="s">
        <v>61</v>
      </c>
      <c r="K5" t="s">
        <v>61</v>
      </c>
      <c r="L5" t="s">
        <v>61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U5" t="s">
        <v>61</v>
      </c>
      <c r="W5" t="s">
        <v>58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R5" t="s">
        <v>58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C5" t="s">
        <v>61</v>
      </c>
      <c r="BD5" t="s">
        <v>61</v>
      </c>
      <c r="BF5" t="s">
        <v>61</v>
      </c>
      <c r="BH5" t="s">
        <v>61</v>
      </c>
      <c r="BI5" t="s">
        <v>61</v>
      </c>
      <c r="BJ5" t="s">
        <v>61</v>
      </c>
      <c r="BK5" t="s">
        <v>61</v>
      </c>
      <c r="BL5" t="s">
        <v>61</v>
      </c>
      <c r="BQ5">
        <v>1093</v>
      </c>
      <c r="BR5" t="s">
        <v>219</v>
      </c>
      <c r="BS5">
        <v>0.21</v>
      </c>
      <c r="BW5" t="s">
        <v>172</v>
      </c>
      <c r="BX5" t="s">
        <v>126</v>
      </c>
    </row>
    <row r="6" spans="1:93" ht="17" thickBot="1" x14ac:dyDescent="0.25">
      <c r="BQ6">
        <v>1095</v>
      </c>
      <c r="BR6" t="s">
        <v>220</v>
      </c>
      <c r="BS6">
        <v>1.0999999999999999E-2</v>
      </c>
      <c r="BW6" t="s">
        <v>180</v>
      </c>
      <c r="BX6" t="s">
        <v>161</v>
      </c>
      <c r="BY6" t="s">
        <v>173</v>
      </c>
      <c r="BZ6" t="s">
        <v>174</v>
      </c>
      <c r="CA6" t="s">
        <v>175</v>
      </c>
      <c r="CB6" t="s">
        <v>176</v>
      </c>
      <c r="CC6" t="s">
        <v>177</v>
      </c>
      <c r="CD6" t="s">
        <v>178</v>
      </c>
      <c r="CE6" t="s">
        <v>189</v>
      </c>
      <c r="CH6" t="s">
        <v>181</v>
      </c>
      <c r="CI6" t="s">
        <v>182</v>
      </c>
      <c r="CJ6" t="s">
        <v>183</v>
      </c>
      <c r="CK6" t="s">
        <v>184</v>
      </c>
      <c r="CL6" t="s">
        <v>185</v>
      </c>
      <c r="CM6" t="s">
        <v>186</v>
      </c>
      <c r="CN6" t="s">
        <v>187</v>
      </c>
      <c r="CO6" t="s">
        <v>188</v>
      </c>
    </row>
    <row r="7" spans="1:93" ht="17" thickTop="1" x14ac:dyDescent="0.2">
      <c r="BQ7">
        <v>1088</v>
      </c>
      <c r="BR7" t="s">
        <v>150</v>
      </c>
      <c r="BS7">
        <f>[1]!common_cn2o</f>
        <v>1.57</v>
      </c>
      <c r="BW7" t="s">
        <v>163</v>
      </c>
      <c r="BX7" t="s">
        <v>169</v>
      </c>
      <c r="BY7">
        <v>0.04</v>
      </c>
      <c r="BZ7">
        <v>-0.02</v>
      </c>
      <c r="CA7">
        <v>0</v>
      </c>
      <c r="CB7">
        <v>-0.02</v>
      </c>
      <c r="CC7">
        <v>0.11</v>
      </c>
      <c r="CD7">
        <v>0.05</v>
      </c>
      <c r="CE7">
        <v>1</v>
      </c>
      <c r="CH7" t="s">
        <v>179</v>
      </c>
      <c r="CI7" t="s">
        <v>180</v>
      </c>
      <c r="CJ7" t="s">
        <v>162</v>
      </c>
      <c r="CK7" t="s">
        <v>167</v>
      </c>
      <c r="CL7" t="s">
        <v>168</v>
      </c>
      <c r="CM7" t="s">
        <v>169</v>
      </c>
      <c r="CN7" t="s">
        <v>170</v>
      </c>
      <c r="CO7" s="6" t="s">
        <v>171</v>
      </c>
    </row>
    <row r="8" spans="1:93" x14ac:dyDescent="0.2">
      <c r="J8" t="s">
        <v>62</v>
      </c>
      <c r="K8" t="s">
        <v>63</v>
      </c>
      <c r="L8" t="s">
        <v>64</v>
      </c>
      <c r="O8" t="s">
        <v>65</v>
      </c>
      <c r="P8" t="s">
        <v>66</v>
      </c>
      <c r="Q8" t="s">
        <v>63</v>
      </c>
      <c r="R8" t="s">
        <v>63</v>
      </c>
      <c r="S8" t="s">
        <v>66</v>
      </c>
      <c r="U8" t="s">
        <v>63</v>
      </c>
      <c r="W8" t="s">
        <v>63</v>
      </c>
      <c r="X8" t="s">
        <v>63</v>
      </c>
      <c r="Y8" t="s">
        <v>63</v>
      </c>
      <c r="Z8" t="s">
        <v>68</v>
      </c>
      <c r="AA8" t="s">
        <v>69</v>
      </c>
      <c r="AB8" t="s">
        <v>70</v>
      </c>
      <c r="AC8" t="s">
        <v>63</v>
      </c>
      <c r="AD8" t="s">
        <v>71</v>
      </c>
      <c r="AE8" t="s">
        <v>71</v>
      </c>
      <c r="AF8" t="s">
        <v>66</v>
      </c>
      <c r="AG8" t="s">
        <v>66</v>
      </c>
      <c r="AH8" t="s">
        <v>63</v>
      </c>
      <c r="AI8" t="s">
        <v>63</v>
      </c>
      <c r="AJ8" t="s">
        <v>72</v>
      </c>
      <c r="AK8" t="s">
        <v>73</v>
      </c>
      <c r="AL8" t="s">
        <v>73</v>
      </c>
      <c r="AM8" t="s">
        <v>74</v>
      </c>
      <c r="AN8" t="s">
        <v>63</v>
      </c>
      <c r="AU8" t="s">
        <v>75</v>
      </c>
      <c r="AV8" t="s">
        <v>71</v>
      </c>
      <c r="AW8" t="s">
        <v>63</v>
      </c>
      <c r="AX8" t="s">
        <v>71</v>
      </c>
      <c r="AY8" t="s">
        <v>76</v>
      </c>
      <c r="AZ8" t="s">
        <v>77</v>
      </c>
      <c r="BA8" t="s">
        <v>78</v>
      </c>
      <c r="BC8" t="s">
        <v>78</v>
      </c>
      <c r="BD8" t="s">
        <v>79</v>
      </c>
      <c r="BF8" t="s">
        <v>67</v>
      </c>
      <c r="BH8" t="s">
        <v>67</v>
      </c>
      <c r="BI8" t="s">
        <v>67</v>
      </c>
      <c r="BJ8" t="s">
        <v>80</v>
      </c>
      <c r="BK8" t="s">
        <v>80</v>
      </c>
      <c r="BL8" t="s">
        <v>80</v>
      </c>
      <c r="BW8" t="s">
        <v>164</v>
      </c>
      <c r="BX8" t="s">
        <v>169</v>
      </c>
      <c r="BY8">
        <v>-0.05</v>
      </c>
      <c r="BZ8">
        <v>0.05</v>
      </c>
      <c r="CA8">
        <v>0</v>
      </c>
      <c r="CB8">
        <v>0</v>
      </c>
      <c r="CC8">
        <v>-0.05</v>
      </c>
      <c r="CD8">
        <v>-0.05</v>
      </c>
      <c r="CE8">
        <v>2</v>
      </c>
      <c r="CH8" t="s">
        <v>173</v>
      </c>
      <c r="CI8" t="s">
        <v>163</v>
      </c>
      <c r="CJ8">
        <v>7.0000000000000007E-2</v>
      </c>
      <c r="CK8">
        <v>0.08</v>
      </c>
      <c r="CL8">
        <v>7.0000000000000007E-2</v>
      </c>
      <c r="CM8">
        <v>0.04</v>
      </c>
      <c r="CN8">
        <v>0.05</v>
      </c>
      <c r="CO8">
        <v>0.16</v>
      </c>
    </row>
    <row r="9" spans="1:93" x14ac:dyDescent="0.2">
      <c r="J9" t="s">
        <v>81</v>
      </c>
      <c r="K9" t="s">
        <v>82</v>
      </c>
      <c r="L9" t="s">
        <v>83</v>
      </c>
      <c r="M9" t="s">
        <v>236</v>
      </c>
      <c r="N9" t="s">
        <v>237</v>
      </c>
      <c r="O9" t="s">
        <v>84</v>
      </c>
      <c r="P9" t="s">
        <v>85</v>
      </c>
      <c r="Q9" t="s">
        <v>86</v>
      </c>
      <c r="R9" t="s">
        <v>87</v>
      </c>
      <c r="S9" t="s">
        <v>88</v>
      </c>
      <c r="U9" t="s">
        <v>115</v>
      </c>
      <c r="W9" t="s">
        <v>89</v>
      </c>
      <c r="X9" t="s">
        <v>90</v>
      </c>
      <c r="Y9" t="s">
        <v>91</v>
      </c>
      <c r="Z9" t="s">
        <v>93</v>
      </c>
      <c r="AA9" t="s">
        <v>94</v>
      </c>
      <c r="AB9" t="s">
        <v>96</v>
      </c>
      <c r="AC9" t="s">
        <v>97</v>
      </c>
      <c r="AD9" t="s">
        <v>98</v>
      </c>
      <c r="AE9" t="s">
        <v>99</v>
      </c>
      <c r="AF9" t="s">
        <v>100</v>
      </c>
      <c r="AG9" t="s">
        <v>101</v>
      </c>
      <c r="AH9" t="s">
        <v>102</v>
      </c>
      <c r="AI9" t="s">
        <v>103</v>
      </c>
      <c r="AJ9" t="s">
        <v>104</v>
      </c>
      <c r="AK9" t="s">
        <v>106</v>
      </c>
      <c r="AL9" t="s">
        <v>107</v>
      </c>
      <c r="AM9" t="s">
        <v>109</v>
      </c>
      <c r="AN9" t="s">
        <v>110</v>
      </c>
      <c r="AU9" t="s">
        <v>111</v>
      </c>
      <c r="AV9" t="s">
        <v>105</v>
      </c>
      <c r="AW9" t="s">
        <v>112</v>
      </c>
      <c r="AX9" t="s">
        <v>113</v>
      </c>
      <c r="AY9" t="s">
        <v>114</v>
      </c>
      <c r="AZ9" t="s">
        <v>116</v>
      </c>
      <c r="BA9" t="s">
        <v>117</v>
      </c>
      <c r="BC9" t="s">
        <v>117</v>
      </c>
      <c r="BD9" t="s">
        <v>118</v>
      </c>
      <c r="BF9" t="s">
        <v>108</v>
      </c>
      <c r="BH9" t="s">
        <v>95</v>
      </c>
      <c r="BI9" t="s">
        <v>92</v>
      </c>
      <c r="BJ9" t="s">
        <v>119</v>
      </c>
      <c r="BK9" t="s">
        <v>120</v>
      </c>
      <c r="BL9" t="s">
        <v>121</v>
      </c>
      <c r="BS9" t="s">
        <v>200</v>
      </c>
      <c r="BU9" t="s">
        <v>201</v>
      </c>
      <c r="BW9" t="s">
        <v>165</v>
      </c>
      <c r="BX9" t="s">
        <v>169</v>
      </c>
      <c r="BY9">
        <v>0.01</v>
      </c>
      <c r="BZ9">
        <v>0</v>
      </c>
      <c r="CA9">
        <v>0</v>
      </c>
      <c r="CB9">
        <v>0</v>
      </c>
      <c r="CC9">
        <v>-0.02</v>
      </c>
      <c r="CD9">
        <v>-0.05</v>
      </c>
      <c r="CE9">
        <v>3</v>
      </c>
      <c r="CI9" t="s">
        <v>164</v>
      </c>
      <c r="CJ9">
        <v>0</v>
      </c>
      <c r="CK9">
        <v>-0.08</v>
      </c>
      <c r="CL9">
        <v>0</v>
      </c>
      <c r="CM9">
        <v>-0.05</v>
      </c>
      <c r="CN9">
        <v>-0.05</v>
      </c>
      <c r="CO9">
        <v>0.08</v>
      </c>
    </row>
    <row r="10" spans="1:93" ht="17" thickBot="1" x14ac:dyDescent="0.25">
      <c r="A10" t="s">
        <v>160</v>
      </c>
      <c r="B10" s="1" t="s">
        <v>179</v>
      </c>
      <c r="C10" s="1" t="s">
        <v>179</v>
      </c>
      <c r="D10" s="1" t="s">
        <v>212</v>
      </c>
      <c r="E10" s="1" t="s">
        <v>218</v>
      </c>
      <c r="F10" s="1" t="s">
        <v>221</v>
      </c>
      <c r="G10" s="1" t="s">
        <v>253</v>
      </c>
      <c r="H10" t="s">
        <v>161</v>
      </c>
      <c r="J10" s="1" t="s">
        <v>122</v>
      </c>
      <c r="K10" s="1" t="s">
        <v>123</v>
      </c>
      <c r="L10" s="1" t="s">
        <v>124</v>
      </c>
      <c r="M10" s="1" t="s">
        <v>235</v>
      </c>
      <c r="N10" s="1" t="s">
        <v>240</v>
      </c>
      <c r="O10" t="s">
        <v>125</v>
      </c>
      <c r="P10" t="s">
        <v>126</v>
      </c>
      <c r="Q10" t="s">
        <v>127</v>
      </c>
      <c r="R10" t="s">
        <v>128</v>
      </c>
      <c r="S10" t="s">
        <v>129</v>
      </c>
      <c r="T10" t="s">
        <v>215</v>
      </c>
      <c r="U10" t="s">
        <v>214</v>
      </c>
      <c r="V10" t="s">
        <v>217</v>
      </c>
      <c r="W10" t="s">
        <v>216</v>
      </c>
      <c r="X10" t="s">
        <v>130</v>
      </c>
      <c r="Y10" t="s">
        <v>131</v>
      </c>
      <c r="Z10" t="s">
        <v>133</v>
      </c>
      <c r="AA10" t="s">
        <v>134</v>
      </c>
      <c r="AB10" t="s">
        <v>136</v>
      </c>
      <c r="AC10" t="s">
        <v>137</v>
      </c>
      <c r="AD10" t="s">
        <v>138</v>
      </c>
      <c r="AE10" t="s">
        <v>139</v>
      </c>
      <c r="AF10" t="s">
        <v>140</v>
      </c>
      <c r="AG10" t="s">
        <v>141</v>
      </c>
      <c r="AH10" t="s">
        <v>142</v>
      </c>
      <c r="AI10" t="s">
        <v>143</v>
      </c>
      <c r="AJ10" t="s">
        <v>144</v>
      </c>
      <c r="AK10" t="s">
        <v>146</v>
      </c>
      <c r="AL10" t="s">
        <v>147</v>
      </c>
      <c r="AM10" t="s">
        <v>149</v>
      </c>
      <c r="AN10" t="s">
        <v>150</v>
      </c>
      <c r="AO10" t="s">
        <v>265</v>
      </c>
      <c r="AP10" t="s">
        <v>261</v>
      </c>
      <c r="AQ10" t="s">
        <v>264</v>
      </c>
      <c r="AR10" t="s">
        <v>262</v>
      </c>
      <c r="AS10" t="s">
        <v>260</v>
      </c>
      <c r="AT10" t="s">
        <v>259</v>
      </c>
      <c r="AU10" t="s">
        <v>151</v>
      </c>
      <c r="AV10" t="s">
        <v>145</v>
      </c>
      <c r="AW10" t="s">
        <v>152</v>
      </c>
      <c r="AX10" t="s">
        <v>153</v>
      </c>
      <c r="AY10" t="s">
        <v>154</v>
      </c>
      <c r="AZ10" t="s">
        <v>155</v>
      </c>
      <c r="BA10" t="s">
        <v>266</v>
      </c>
      <c r="BB10" t="s">
        <v>267</v>
      </c>
      <c r="BC10" t="s">
        <v>268</v>
      </c>
      <c r="BD10" t="s">
        <v>156</v>
      </c>
      <c r="BE10" s="27" t="s">
        <v>156</v>
      </c>
      <c r="BF10" t="s">
        <v>148</v>
      </c>
      <c r="BG10" t="s">
        <v>148</v>
      </c>
      <c r="BH10" t="s">
        <v>135</v>
      </c>
      <c r="BI10" t="s">
        <v>132</v>
      </c>
      <c r="BJ10" s="27" t="s">
        <v>157</v>
      </c>
      <c r="BK10" s="27" t="s">
        <v>158</v>
      </c>
      <c r="BL10" s="27" t="s">
        <v>159</v>
      </c>
      <c r="BR10" t="s">
        <v>202</v>
      </c>
      <c r="BS10">
        <v>4.7000000000000002E-3</v>
      </c>
      <c r="BT10" s="13" t="s">
        <v>193</v>
      </c>
      <c r="BU10" s="13">
        <v>0.72</v>
      </c>
      <c r="BW10" t="s">
        <v>166</v>
      </c>
      <c r="BX10" t="s">
        <v>169</v>
      </c>
      <c r="BY10">
        <v>0</v>
      </c>
      <c r="BZ10">
        <v>-0.03</v>
      </c>
      <c r="CA10">
        <v>0</v>
      </c>
      <c r="CB10">
        <v>0.02</v>
      </c>
      <c r="CC10">
        <v>-0.03</v>
      </c>
      <c r="CD10">
        <v>0.05</v>
      </c>
      <c r="CE10">
        <v>4</v>
      </c>
      <c r="CI10" t="s">
        <v>165</v>
      </c>
      <c r="CJ10">
        <v>-7.0000000000000007E-2</v>
      </c>
      <c r="CK10">
        <v>0</v>
      </c>
      <c r="CL10">
        <v>0</v>
      </c>
      <c r="CM10">
        <v>0.01</v>
      </c>
      <c r="CN10">
        <v>-0.01</v>
      </c>
      <c r="CO10">
        <v>0.05</v>
      </c>
    </row>
    <row r="11" spans="1:93" ht="18" thickTop="1" thickBot="1" x14ac:dyDescent="0.25">
      <c r="A11" t="s">
        <v>269</v>
      </c>
      <c r="B11" t="s">
        <v>193</v>
      </c>
      <c r="C11" t="s">
        <v>173</v>
      </c>
      <c r="D11" t="s">
        <v>213</v>
      </c>
      <c r="E11" t="s">
        <v>213</v>
      </c>
      <c r="F11" s="13" t="s">
        <v>224</v>
      </c>
      <c r="G11" s="13" t="s">
        <v>254</v>
      </c>
      <c r="H11" s="11" t="s">
        <v>169</v>
      </c>
      <c r="I11" t="s">
        <v>163</v>
      </c>
      <c r="J11">
        <v>4</v>
      </c>
      <c r="K11">
        <v>0.65</v>
      </c>
      <c r="L11">
        <v>100</v>
      </c>
      <c r="M11">
        <v>95</v>
      </c>
      <c r="N11">
        <v>90</v>
      </c>
      <c r="O11">
        <f t="shared" ref="O11:O34" si="0">$BS$3</f>
        <v>91.25</v>
      </c>
      <c r="P11" cm="1">
        <f t="array" ref="P11:P34">_xlfn.DROP(_xlfn.XLOOKUP($C11,TableLWG2_136[[#Headers],[ACT/NSW]:[Western Australia]],TableLWG2_136[[#All],[ACT/NSW]:[Western Australia]]),1)</f>
        <v>0.04</v>
      </c>
      <c r="Q11" cm="1">
        <f t="array" ref="Q11:Q34">_xlfn.DROP(_xlfn.XLOOKUP($C11,QueryCP37[[#Headers],[ACT/NSW]:[Western Australia]],QueryCP37[[#All],[ACT/NSW]:[Western Australia]]),1)</f>
        <v>0.2</v>
      </c>
      <c r="R11" cm="1">
        <f t="array" ref="R11:R34">_xlfn.DROP(_xlfn.XLOOKUP($C11,QueryDMD44[[#Headers],[ACT/NSW]:[Western Australia]],QueryDMD44[[#All],[ACT/NSW]:[Western Australia]]),1)</f>
        <v>0.75</v>
      </c>
      <c r="S11" cm="1">
        <f t="array" ref="S11:S34">_xlfn.DROP(_xlfn.XLOOKUP($C11,QueryW40[[#Headers],[ACT/NSW]:[Western Australia]],QueryW40[[#All],[ACT/NSW]:[Western Australia]]),1)</f>
        <v>54</v>
      </c>
      <c r="T11">
        <f>1-U11</f>
        <v>0</v>
      </c>
      <c r="U11">
        <f>IF($D$11="yes", 1, VLOOKUP(B11, $BR$26:$BT$32, 1))</f>
        <v>1</v>
      </c>
      <c r="V11">
        <f>VLOOKUP($B$11,$BT$10:$BU$16, 2, FALSE)</f>
        <v>0.72</v>
      </c>
      <c r="W11">
        <f t="shared" ref="W11:W34" si="1">$BS$10</f>
        <v>4.7000000000000002E-3</v>
      </c>
      <c r="X11">
        <f>IF(E11="yes",1,0)</f>
        <v>1</v>
      </c>
      <c r="Y11">
        <f t="shared" ref="Y11:Y34" si="2">$BS$4</f>
        <v>0.24</v>
      </c>
      <c r="Z11">
        <f t="shared" ref="Z11:Z34" si="3">$BS$6</f>
        <v>1.0999999999999999E-2</v>
      </c>
      <c r="AA11">
        <f t="shared" ref="AA11:AA34" si="4">$BS$5</f>
        <v>0.21</v>
      </c>
      <c r="AB11">
        <f>VLOOKUP($F$11,$BR$37:$BS$49,2,FALSE)</f>
        <v>5.8999999999999999E-3</v>
      </c>
      <c r="AC11">
        <f t="shared" ref="AC11:AC34" si="5">(M11/100)*(MIN(N11,100)/100)</f>
        <v>0.85499999999999998</v>
      </c>
      <c r="AD11">
        <f>AC11 * 1.6</f>
        <v>1.3680000000000001</v>
      </c>
      <c r="AE11">
        <f t="shared" ref="AE11:AE34" si="6">J11 * K11 / 365</f>
        <v>7.1232876712328773E-3</v>
      </c>
      <c r="AF11">
        <f t="shared" ref="AF11:AF34" si="7">P11 * 0.92</f>
        <v>3.6799999999999999E-2</v>
      </c>
      <c r="AG11" cm="1">
        <f t="array" ref="AG11:AG34">_xlfn.DROP(_xlfn.XLOOKUP($C11,QuerySRW45[[#Headers],[ACT/NSW]:[Western Australia]],QuerySRW45[[#All],[ACT/NSW]:[Western Australia]]),1)</f>
        <v>57</v>
      </c>
      <c r="AH11">
        <f t="shared" ref="AH11:AH34" si="8">S11 / AG11</f>
        <v>0.94736842105263153</v>
      </c>
      <c r="AI11">
        <v>0</v>
      </c>
      <c r="AJ11">
        <f>1.6 * AI11</f>
        <v>0</v>
      </c>
      <c r="AK11">
        <f>(0.045*AD11+AE11*0.84+
      (AF11*
          (
              (212 - 4*(AF11*1000/(4*AG11^0.75)-1))-((140 - 4 * (AF11*1000/(4*AG11^0.75)-1))/(1+EXP(-6*(AH11-0.4))))
          )
      )*10^-3
)/6.25</f>
        <v>1.1261151088387938E-2</v>
      </c>
      <c r="AL11">
        <f t="shared" ref="AL11:AL34" si="9">(AV11 / 6.25 ) - AK11</f>
        <v>3.9886829165220503E-2</v>
      </c>
      <c r="AM11">
        <f t="shared" ref="AM11:AM34" si="10">IF($G$11="wet",$BU$18,$BU$19)</f>
        <v>6.0000000000000001E-3</v>
      </c>
      <c r="AN11">
        <f>$BS$7</f>
        <v>1.57</v>
      </c>
      <c r="AO11">
        <f>$BV$1</f>
        <v>1.3</v>
      </c>
      <c r="AP11">
        <f>AC11*AO11+(1-AC11)</f>
        <v>1.2565</v>
      </c>
      <c r="AQ11">
        <f t="shared" ref="AQ11:AQ34" si="11">(0.795*R11)-0.0014</f>
        <v>0.5948500000000001</v>
      </c>
      <c r="AR11" cm="1">
        <f t="array" ref="AR11:AR34">_xlfn.DROP(_xlfn.XLOOKUP($C11,QueryDMA43[[#Headers],[ACT/NSW]:[Western Australia]],QueryDMA43[[#All],[ACT/NSW]:[Western Australia]]),1)</f>
        <v>2.9</v>
      </c>
      <c r="AS11">
        <f>1 - EXP(-2*(AR11^2))</f>
        <v>0.9999999504359468</v>
      </c>
      <c r="AT11">
        <f t="shared" ref="AT11:AT34" si="12">(104.7*AQ11+0.307*S11-15)*(S11^0.75)*10^-3</f>
        <v>1.2720847291262878</v>
      </c>
      <c r="AU11">
        <f>AT11*AS11*AP11</f>
        <v>1.5983743829252637</v>
      </c>
      <c r="AV11">
        <f t="shared" ref="AV11:AV34" si="13">(AU11 * Q11) + (0.045 * AJ11)</f>
        <v>0.31967487658505278</v>
      </c>
      <c r="AW11">
        <f>$BS$2</f>
        <v>0.08</v>
      </c>
      <c r="AX11">
        <f t="shared" ref="AX11:AX34" si="14">(AU11 * ((1 - R11) + (0.04 * AU11))) * ( 1 - AW11 )</f>
        <v>0.46164277265490583</v>
      </c>
      <c r="AY11">
        <f>$BS$1</f>
        <v>0.24</v>
      </c>
      <c r="AZ11">
        <f>$BT$20</f>
        <v>0.6784</v>
      </c>
      <c r="BA11">
        <f>AX11 * AY11 * T11 * V11 * AZ11</f>
        <v>0</v>
      </c>
      <c r="BB11">
        <f>AX11*AY11*U11*W11*AZ11</f>
        <v>3.5326529946113142E-4</v>
      </c>
      <c r="BC11">
        <f>BA11+BB11</f>
        <v>3.5326529946113142E-4</v>
      </c>
      <c r="BD11">
        <f>L11*BC11*O11</f>
        <v>3.223545857582824</v>
      </c>
      <c r="BE11">
        <f>SUM(BD11:BD34)*10^-3</f>
        <v>6.8147172064674369E-2</v>
      </c>
      <c r="BF11">
        <f t="shared" ref="BF11:BF34" si="15">L11*AL11*O11</f>
        <v>363.96731613263705</v>
      </c>
      <c r="BG11">
        <f>SUM(BF11:BF34)</f>
        <v>6370.0482375534466</v>
      </c>
      <c r="BH11">
        <f>BF11 * AA11</f>
        <v>76.433136387853779</v>
      </c>
      <c r="BI11">
        <f>BF11 * X11 * Y11</f>
        <v>87.352155871832892</v>
      </c>
      <c r="BJ11">
        <f>BF11 * AM11 * AN11 * 10^-3</f>
        <v>3.428572117969441E-3</v>
      </c>
      <c r="BK11">
        <f>BH11 * AB11 * AN11 * 10^-3</f>
        <v>7.0800014236068951E-4</v>
      </c>
      <c r="BL11">
        <f>BI11 * Z11 * AN11 * 10^-3</f>
        <v>1.5085717319065542E-3</v>
      </c>
      <c r="BT11" s="13" t="s">
        <v>194</v>
      </c>
      <c r="BU11" s="13">
        <v>0.75</v>
      </c>
      <c r="BW11" t="s">
        <v>163</v>
      </c>
      <c r="BX11" s="6" t="s">
        <v>171</v>
      </c>
      <c r="BY11">
        <v>0.16</v>
      </c>
      <c r="BZ11">
        <v>0.2</v>
      </c>
      <c r="CA11">
        <v>0.11</v>
      </c>
      <c r="CB11">
        <v>0.15</v>
      </c>
      <c r="CC11">
        <v>0.15</v>
      </c>
      <c r="CD11">
        <v>0.11</v>
      </c>
      <c r="CE11">
        <v>1</v>
      </c>
      <c r="CI11" t="s">
        <v>166</v>
      </c>
      <c r="CJ11">
        <v>0</v>
      </c>
      <c r="CK11">
        <v>0</v>
      </c>
      <c r="CL11">
        <v>0.02</v>
      </c>
      <c r="CM11">
        <v>0</v>
      </c>
      <c r="CN11">
        <v>0.01</v>
      </c>
      <c r="CO11">
        <v>0.04</v>
      </c>
    </row>
    <row r="12" spans="1:93" ht="18" thickTop="1" thickBot="1" x14ac:dyDescent="0.25">
      <c r="H12" s="12"/>
      <c r="I12" t="s">
        <v>164</v>
      </c>
      <c r="J12">
        <f>J11</f>
        <v>4</v>
      </c>
      <c r="K12">
        <f>K11</f>
        <v>0.65</v>
      </c>
      <c r="L12">
        <v>70</v>
      </c>
      <c r="M12">
        <v>0</v>
      </c>
      <c r="N12">
        <v>0</v>
      </c>
      <c r="O12">
        <f t="shared" si="0"/>
        <v>91.25</v>
      </c>
      <c r="P12">
        <v>-0.05</v>
      </c>
      <c r="Q12">
        <v>0.1</v>
      </c>
      <c r="R12">
        <v>0.61</v>
      </c>
      <c r="S12">
        <v>49</v>
      </c>
      <c r="T12">
        <f t="shared" ref="T12:T34" si="16">1-U12</f>
        <v>0</v>
      </c>
      <c r="U12">
        <f t="shared" ref="U12:U34" si="17">IF($D$11="yes", 1, VLOOKUP(B12, $BR$26:$BT$32, 1))</f>
        <v>1</v>
      </c>
      <c r="V12">
        <f t="shared" ref="V12:V34" si="18">VLOOKUP($B$11,$BT$10:$BU$16, 2, FALSE)</f>
        <v>0.72</v>
      </c>
      <c r="W12">
        <f t="shared" si="1"/>
        <v>4.7000000000000002E-3</v>
      </c>
      <c r="X12">
        <f t="shared" ref="X12:X34" si="19">IF(E12="yes",1,0)</f>
        <v>0</v>
      </c>
      <c r="Y12">
        <f t="shared" si="2"/>
        <v>0.24</v>
      </c>
      <c r="Z12">
        <f t="shared" si="3"/>
        <v>1.0999999999999999E-2</v>
      </c>
      <c r="AA12">
        <f t="shared" si="4"/>
        <v>0.21</v>
      </c>
      <c r="AB12">
        <f t="shared" ref="AB12:AB34" si="20">VLOOKUP($F$11,$BR$37:$BS$49,2,FALSE)</f>
        <v>5.8999999999999999E-3</v>
      </c>
      <c r="AC12">
        <f t="shared" si="5"/>
        <v>0</v>
      </c>
      <c r="AD12">
        <f t="shared" ref="AD12:AD34" si="21">AC12 * 1.6</f>
        <v>0</v>
      </c>
      <c r="AE12">
        <f t="shared" si="6"/>
        <v>7.1232876712328773E-3</v>
      </c>
      <c r="AF12">
        <f t="shared" si="7"/>
        <v>-4.6000000000000006E-2</v>
      </c>
      <c r="AG12">
        <v>57</v>
      </c>
      <c r="AH12">
        <f t="shared" si="8"/>
        <v>0.85964912280701755</v>
      </c>
      <c r="AI12">
        <v>0</v>
      </c>
      <c r="AJ12">
        <f t="shared" ref="AJ12:AJ34" si="22">1.6 * AI12</f>
        <v>0</v>
      </c>
      <c r="AK12">
        <f t="shared" ref="AK12:AK34" si="23">(0.045*AD12+AE12*0.84+
      (AF12*
          (
              (212 - 4*(AF12*1000/(4*AG12^0.75)-1))-((140 - 4 * (AF12*1000/(4*AG12^0.75)-1))/(1+EXP(-6*(AH12-0.4))))
          )
      )*10^-3
)/6.25</f>
        <v>3.6326515165143006E-4</v>
      </c>
      <c r="AL12">
        <f t="shared" si="9"/>
        <v>1.4651626395231406E-2</v>
      </c>
      <c r="AM12">
        <f t="shared" si="10"/>
        <v>6.0000000000000001E-3</v>
      </c>
      <c r="AN12">
        <f t="shared" ref="AN12:AN34" si="24">$BS$7</f>
        <v>1.57</v>
      </c>
      <c r="AO12">
        <f t="shared" ref="AO12:AO34" si="25">$BV$1</f>
        <v>1.3</v>
      </c>
      <c r="AP12">
        <f t="shared" ref="AP12:AP34" si="26">AC12*AO12+(1-AC12)</f>
        <v>1</v>
      </c>
      <c r="AQ12">
        <f t="shared" si="11"/>
        <v>0.48354999999999998</v>
      </c>
      <c r="AR12">
        <v>2.5</v>
      </c>
      <c r="AS12">
        <f t="shared" ref="AS12:AS34" si="27">1 - EXP(-2*(AR12^2))</f>
        <v>0.99999627334682795</v>
      </c>
      <c r="AT12">
        <f t="shared" si="12"/>
        <v>0.93843421889903578</v>
      </c>
      <c r="AU12">
        <f t="shared" ref="AU12:AU34" si="28">AT12*AS12*AP12</f>
        <v>0.93843072168017716</v>
      </c>
      <c r="AV12">
        <f t="shared" si="13"/>
        <v>9.3843072168017724E-2</v>
      </c>
      <c r="AW12">
        <f t="shared" ref="AW12:AW34" si="29">$BS$2</f>
        <v>0.08</v>
      </c>
      <c r="AX12">
        <f t="shared" si="14"/>
        <v>0.3691169446125166</v>
      </c>
      <c r="AY12">
        <f t="shared" ref="AY12:AY34" si="30">$BS$1</f>
        <v>0.24</v>
      </c>
      <c r="AZ12">
        <f t="shared" ref="AZ12:AZ34" si="31">$BT$20</f>
        <v>0.6784</v>
      </c>
      <c r="BA12">
        <f>AX12 * AY12 * T12 * V12 * AZ12</f>
        <v>0</v>
      </c>
      <c r="BB12">
        <f t="shared" ref="BB12:BB34" si="32">AX12*AY12*U12*W12*AZ12</f>
        <v>2.8246127893394806E-4</v>
      </c>
      <c r="BC12">
        <f t="shared" ref="BC12:BC34" si="33">BA12+BB12</f>
        <v>2.8246127893394806E-4</v>
      </c>
      <c r="BD12">
        <f t="shared" ref="BD12:BD34" si="34">L12*BC12*O12</f>
        <v>1.8042214191905934</v>
      </c>
      <c r="BF12">
        <f t="shared" si="15"/>
        <v>93.587263599540606</v>
      </c>
      <c r="BT12" s="13" t="s">
        <v>195</v>
      </c>
      <c r="BU12" s="13">
        <v>0.78</v>
      </c>
      <c r="BW12" t="s">
        <v>164</v>
      </c>
      <c r="BX12" s="6" t="s">
        <v>171</v>
      </c>
      <c r="BY12">
        <v>0.08</v>
      </c>
      <c r="BZ12">
        <v>0.05</v>
      </c>
      <c r="CA12">
        <v>0.05</v>
      </c>
      <c r="CB12">
        <v>0.11</v>
      </c>
      <c r="CC12">
        <v>7.0000000000000007E-2</v>
      </c>
      <c r="CD12">
        <v>0</v>
      </c>
      <c r="CE12">
        <v>2</v>
      </c>
      <c r="CH12" t="s">
        <v>174</v>
      </c>
      <c r="CI12" t="s">
        <v>163</v>
      </c>
      <c r="CJ12">
        <v>-0.02</v>
      </c>
      <c r="CK12">
        <v>0</v>
      </c>
      <c r="CL12">
        <v>0</v>
      </c>
      <c r="CM12">
        <v>-0.02</v>
      </c>
      <c r="CN12">
        <v>-0.03</v>
      </c>
      <c r="CO12">
        <v>0.2</v>
      </c>
    </row>
    <row r="13" spans="1:93" ht="18" thickTop="1" thickBot="1" x14ac:dyDescent="0.25">
      <c r="H13" s="11"/>
      <c r="I13" t="s">
        <v>165</v>
      </c>
      <c r="J13">
        <f t="shared" ref="J13:J14" si="35">J12</f>
        <v>4</v>
      </c>
      <c r="K13">
        <f>K11</f>
        <v>0.65</v>
      </c>
      <c r="L13">
        <v>65</v>
      </c>
      <c r="M13">
        <v>0</v>
      </c>
      <c r="N13">
        <v>0</v>
      </c>
      <c r="O13">
        <f t="shared" si="0"/>
        <v>91.25</v>
      </c>
      <c r="P13">
        <v>0.01</v>
      </c>
      <c r="Q13">
        <v>0.12</v>
      </c>
      <c r="R13">
        <v>0.64</v>
      </c>
      <c r="S13">
        <v>50</v>
      </c>
      <c r="T13">
        <f t="shared" si="16"/>
        <v>0</v>
      </c>
      <c r="U13">
        <f t="shared" si="17"/>
        <v>1</v>
      </c>
      <c r="V13">
        <f t="shared" si="18"/>
        <v>0.72</v>
      </c>
      <c r="W13">
        <f t="shared" si="1"/>
        <v>4.7000000000000002E-3</v>
      </c>
      <c r="X13">
        <f t="shared" si="19"/>
        <v>0</v>
      </c>
      <c r="Y13">
        <f t="shared" si="2"/>
        <v>0.24</v>
      </c>
      <c r="Z13">
        <f t="shared" si="3"/>
        <v>1.0999999999999999E-2</v>
      </c>
      <c r="AA13">
        <f t="shared" si="4"/>
        <v>0.21</v>
      </c>
      <c r="AB13">
        <f t="shared" si="20"/>
        <v>5.8999999999999999E-3</v>
      </c>
      <c r="AC13">
        <f t="shared" si="5"/>
        <v>0</v>
      </c>
      <c r="AD13">
        <f t="shared" si="21"/>
        <v>0</v>
      </c>
      <c r="AE13">
        <f t="shared" si="6"/>
        <v>7.1232876712328773E-3</v>
      </c>
      <c r="AF13">
        <f t="shared" si="7"/>
        <v>9.1999999999999998E-3</v>
      </c>
      <c r="AG13">
        <v>57</v>
      </c>
      <c r="AH13">
        <f t="shared" si="8"/>
        <v>0.8771929824561403</v>
      </c>
      <c r="AI13">
        <v>0</v>
      </c>
      <c r="AJ13">
        <f t="shared" si="22"/>
        <v>0</v>
      </c>
      <c r="AK13">
        <f t="shared" si="23"/>
        <v>1.0747659693624819E-3</v>
      </c>
      <c r="AL13">
        <f t="shared" si="9"/>
        <v>1.811521741614671E-2</v>
      </c>
      <c r="AM13">
        <f t="shared" si="10"/>
        <v>6.0000000000000001E-3</v>
      </c>
      <c r="AN13">
        <f t="shared" si="24"/>
        <v>1.57</v>
      </c>
      <c r="AO13">
        <f t="shared" si="25"/>
        <v>1.3</v>
      </c>
      <c r="AP13">
        <f t="shared" si="26"/>
        <v>1</v>
      </c>
      <c r="AQ13">
        <f t="shared" si="11"/>
        <v>0.50740000000000007</v>
      </c>
      <c r="AR13">
        <v>1.6</v>
      </c>
      <c r="AS13">
        <f t="shared" si="27"/>
        <v>0.99402397710499402</v>
      </c>
      <c r="AT13">
        <f t="shared" si="12"/>
        <v>1.0054871153505722</v>
      </c>
      <c r="AU13">
        <f t="shared" si="28"/>
        <v>0.99947830132860371</v>
      </c>
      <c r="AV13">
        <f t="shared" si="13"/>
        <v>0.11993739615943244</v>
      </c>
      <c r="AW13">
        <f t="shared" si="29"/>
        <v>0.08</v>
      </c>
      <c r="AX13">
        <f t="shared" si="14"/>
        <v>0.36778882639365651</v>
      </c>
      <c r="AY13">
        <f t="shared" si="30"/>
        <v>0.24</v>
      </c>
      <c r="AZ13">
        <f t="shared" si="31"/>
        <v>0.6784</v>
      </c>
      <c r="BA13">
        <f t="shared" ref="BA13:BA34" si="36">AX13 * AY13 * T13 * V13 * AZ13</f>
        <v>0</v>
      </c>
      <c r="BB13">
        <f t="shared" si="32"/>
        <v>2.8144495612311498E-4</v>
      </c>
      <c r="BC13">
        <f t="shared" si="33"/>
        <v>2.8144495612311498E-4</v>
      </c>
      <c r="BD13">
        <f t="shared" si="34"/>
        <v>1.6693203960052256</v>
      </c>
      <c r="BF13">
        <f t="shared" si="15"/>
        <v>107.44588329952018</v>
      </c>
      <c r="BT13" s="13" t="s">
        <v>196</v>
      </c>
      <c r="BU13" s="13">
        <v>0.74</v>
      </c>
      <c r="BW13" t="s">
        <v>165</v>
      </c>
      <c r="BX13" s="6" t="s">
        <v>171</v>
      </c>
      <c r="BY13">
        <v>0.05</v>
      </c>
      <c r="BZ13">
        <v>0.2</v>
      </c>
      <c r="CA13">
        <v>0.16</v>
      </c>
      <c r="CB13">
        <v>0.13</v>
      </c>
      <c r="CC13">
        <v>0.05</v>
      </c>
      <c r="CD13">
        <v>0.11</v>
      </c>
      <c r="CE13">
        <v>3</v>
      </c>
      <c r="CI13" t="s">
        <v>164</v>
      </c>
      <c r="CJ13">
        <v>0.03</v>
      </c>
      <c r="CK13">
        <v>0.05</v>
      </c>
      <c r="CL13">
        <v>0.05</v>
      </c>
      <c r="CM13">
        <v>0.05</v>
      </c>
      <c r="CN13">
        <v>0.05</v>
      </c>
      <c r="CO13">
        <v>0.05</v>
      </c>
    </row>
    <row r="14" spans="1:93" ht="17" thickTop="1" x14ac:dyDescent="0.2">
      <c r="H14" s="12"/>
      <c r="I14" t="s">
        <v>166</v>
      </c>
      <c r="J14">
        <f t="shared" si="35"/>
        <v>4</v>
      </c>
      <c r="K14">
        <f>K11</f>
        <v>0.65</v>
      </c>
      <c r="L14">
        <v>80</v>
      </c>
      <c r="M14">
        <v>0</v>
      </c>
      <c r="N14">
        <v>0</v>
      </c>
      <c r="O14">
        <f t="shared" si="0"/>
        <v>91.25</v>
      </c>
      <c r="P14">
        <v>0</v>
      </c>
      <c r="Q14">
        <v>0.18</v>
      </c>
      <c r="R14">
        <v>0.72</v>
      </c>
      <c r="S14">
        <v>50</v>
      </c>
      <c r="T14">
        <f t="shared" si="16"/>
        <v>0</v>
      </c>
      <c r="U14">
        <f t="shared" si="17"/>
        <v>1</v>
      </c>
      <c r="V14">
        <f t="shared" si="18"/>
        <v>0.72</v>
      </c>
      <c r="W14">
        <f t="shared" si="1"/>
        <v>4.7000000000000002E-3</v>
      </c>
      <c r="X14">
        <f t="shared" si="19"/>
        <v>0</v>
      </c>
      <c r="Y14">
        <f t="shared" si="2"/>
        <v>0.24</v>
      </c>
      <c r="Z14">
        <f t="shared" si="3"/>
        <v>1.0999999999999999E-2</v>
      </c>
      <c r="AA14">
        <f t="shared" si="4"/>
        <v>0.21</v>
      </c>
      <c r="AB14">
        <f t="shared" si="20"/>
        <v>5.8999999999999999E-3</v>
      </c>
      <c r="AC14">
        <f t="shared" si="5"/>
        <v>0</v>
      </c>
      <c r="AD14">
        <f t="shared" si="21"/>
        <v>0</v>
      </c>
      <c r="AE14">
        <f t="shared" si="6"/>
        <v>7.1232876712328773E-3</v>
      </c>
      <c r="AF14">
        <f t="shared" si="7"/>
        <v>0</v>
      </c>
      <c r="AG14">
        <v>57</v>
      </c>
      <c r="AH14">
        <f t="shared" si="8"/>
        <v>0.8771929824561403</v>
      </c>
      <c r="AI14">
        <v>0</v>
      </c>
      <c r="AJ14">
        <f t="shared" si="22"/>
        <v>0</v>
      </c>
      <c r="AK14">
        <f t="shared" si="23"/>
        <v>9.5736986301369871E-4</v>
      </c>
      <c r="AL14">
        <f t="shared" si="9"/>
        <v>3.1506062032197808E-2</v>
      </c>
      <c r="AM14">
        <f t="shared" si="10"/>
        <v>6.0000000000000001E-3</v>
      </c>
      <c r="AN14">
        <f t="shared" si="24"/>
        <v>1.57</v>
      </c>
      <c r="AO14">
        <f t="shared" si="25"/>
        <v>1.3</v>
      </c>
      <c r="AP14">
        <f t="shared" si="26"/>
        <v>1</v>
      </c>
      <c r="AQ14">
        <f t="shared" si="11"/>
        <v>0.57100000000000006</v>
      </c>
      <c r="AR14">
        <v>1.7</v>
      </c>
      <c r="AS14">
        <f t="shared" si="27"/>
        <v>0.99691128459176326</v>
      </c>
      <c r="AT14">
        <f t="shared" si="12"/>
        <v>1.1306948910936463</v>
      </c>
      <c r="AU14">
        <f t="shared" si="28"/>
        <v>1.1272024963615108</v>
      </c>
      <c r="AV14">
        <f t="shared" si="13"/>
        <v>0.20289644934507195</v>
      </c>
      <c r="AW14">
        <f t="shared" si="29"/>
        <v>0.08</v>
      </c>
      <c r="AX14">
        <f t="shared" si="14"/>
        <v>0.33712490827789848</v>
      </c>
      <c r="AY14">
        <f t="shared" si="30"/>
        <v>0.24</v>
      </c>
      <c r="AZ14">
        <f t="shared" si="31"/>
        <v>0.6784</v>
      </c>
      <c r="BA14">
        <f t="shared" si="36"/>
        <v>0</v>
      </c>
      <c r="BB14">
        <f t="shared" si="32"/>
        <v>2.5797984661101933E-4</v>
      </c>
      <c r="BC14">
        <f t="shared" si="33"/>
        <v>2.5797984661101933E-4</v>
      </c>
      <c r="BD14">
        <f t="shared" si="34"/>
        <v>1.8832528802604411</v>
      </c>
      <c r="BF14">
        <f t="shared" si="15"/>
        <v>229.99425283504399</v>
      </c>
      <c r="BT14" s="13" t="s">
        <v>197</v>
      </c>
      <c r="BU14" s="13">
        <v>0.69</v>
      </c>
      <c r="BW14" t="s">
        <v>166</v>
      </c>
      <c r="BX14" s="6" t="s">
        <v>171</v>
      </c>
      <c r="BY14">
        <v>0.04</v>
      </c>
      <c r="BZ14">
        <v>0.05</v>
      </c>
      <c r="CA14">
        <v>0.16</v>
      </c>
      <c r="CB14">
        <v>7.0000000000000007E-2</v>
      </c>
      <c r="CC14">
        <v>0.02</v>
      </c>
      <c r="CD14">
        <v>0.11</v>
      </c>
      <c r="CE14">
        <v>4</v>
      </c>
      <c r="CI14" t="s">
        <v>165</v>
      </c>
      <c r="CJ14">
        <v>0.02</v>
      </c>
      <c r="CK14">
        <v>0</v>
      </c>
      <c r="CL14">
        <v>0</v>
      </c>
      <c r="CM14">
        <v>0</v>
      </c>
      <c r="CN14">
        <v>0</v>
      </c>
      <c r="CO14">
        <v>0.2</v>
      </c>
    </row>
    <row r="15" spans="1:93" x14ac:dyDescent="0.2">
      <c r="H15" s="11" t="s">
        <v>171</v>
      </c>
      <c r="I15" t="s">
        <v>163</v>
      </c>
      <c r="J15">
        <v>3</v>
      </c>
      <c r="K15">
        <v>0.6</v>
      </c>
      <c r="L15">
        <v>200</v>
      </c>
      <c r="M15">
        <v>0</v>
      </c>
      <c r="N15">
        <v>0</v>
      </c>
      <c r="O15">
        <f t="shared" si="0"/>
        <v>91.25</v>
      </c>
      <c r="P15">
        <v>0.16</v>
      </c>
      <c r="Q15">
        <v>0.2</v>
      </c>
      <c r="R15">
        <v>0.75</v>
      </c>
      <c r="S15">
        <v>20</v>
      </c>
      <c r="T15">
        <f t="shared" si="16"/>
        <v>0</v>
      </c>
      <c r="U15">
        <f t="shared" si="17"/>
        <v>1</v>
      </c>
      <c r="V15">
        <f t="shared" si="18"/>
        <v>0.72</v>
      </c>
      <c r="W15">
        <f t="shared" si="1"/>
        <v>4.7000000000000002E-3</v>
      </c>
      <c r="X15">
        <f t="shared" si="19"/>
        <v>0</v>
      </c>
      <c r="Y15">
        <f t="shared" si="2"/>
        <v>0.24</v>
      </c>
      <c r="Z15">
        <f t="shared" si="3"/>
        <v>1.0999999999999999E-2</v>
      </c>
      <c r="AA15">
        <f t="shared" si="4"/>
        <v>0.21</v>
      </c>
      <c r="AB15">
        <f t="shared" si="20"/>
        <v>5.8999999999999999E-3</v>
      </c>
      <c r="AC15">
        <f t="shared" si="5"/>
        <v>0</v>
      </c>
      <c r="AD15">
        <f t="shared" si="21"/>
        <v>0</v>
      </c>
      <c r="AE15">
        <f t="shared" si="6"/>
        <v>4.9315068493150684E-3</v>
      </c>
      <c r="AF15">
        <f t="shared" si="7"/>
        <v>0.1472</v>
      </c>
      <c r="AG15">
        <v>60</v>
      </c>
      <c r="AH15">
        <f t="shared" si="8"/>
        <v>0.33333333333333331</v>
      </c>
      <c r="AI15">
        <v>1</v>
      </c>
      <c r="AJ15">
        <f t="shared" si="22"/>
        <v>1.6</v>
      </c>
      <c r="AK15">
        <f t="shared" si="23"/>
        <v>4.2927035527562628E-3</v>
      </c>
      <c r="AL15">
        <f t="shared" si="9"/>
        <v>2.3394421603544668E-2</v>
      </c>
      <c r="AM15">
        <f t="shared" si="10"/>
        <v>6.0000000000000001E-3</v>
      </c>
      <c r="AN15">
        <f t="shared" si="24"/>
        <v>1.57</v>
      </c>
      <c r="AO15">
        <f t="shared" si="25"/>
        <v>1.3</v>
      </c>
      <c r="AP15">
        <f t="shared" si="26"/>
        <v>1</v>
      </c>
      <c r="AQ15">
        <f t="shared" si="11"/>
        <v>0.5948500000000001</v>
      </c>
      <c r="AR15">
        <v>2.9</v>
      </c>
      <c r="AS15">
        <f t="shared" si="27"/>
        <v>0.9999999504359468</v>
      </c>
      <c r="AT15">
        <f t="shared" si="12"/>
        <v>0.5052226861752882</v>
      </c>
      <c r="AU15">
        <f t="shared" si="28"/>
        <v>0.50522266113440406</v>
      </c>
      <c r="AV15">
        <f t="shared" si="13"/>
        <v>0.17304453222688082</v>
      </c>
      <c r="AW15">
        <f t="shared" si="29"/>
        <v>0.08</v>
      </c>
      <c r="AX15">
        <f t="shared" si="14"/>
        <v>0.12559440975442615</v>
      </c>
      <c r="AY15">
        <f t="shared" si="30"/>
        <v>0.24</v>
      </c>
      <c r="AZ15">
        <f t="shared" si="31"/>
        <v>0.6784</v>
      </c>
      <c r="BA15">
        <f t="shared" si="36"/>
        <v>0</v>
      </c>
      <c r="BB15">
        <f t="shared" si="32"/>
        <v>9.6109263267310253E-5</v>
      </c>
      <c r="BC15">
        <f t="shared" si="33"/>
        <v>9.6109263267310253E-5</v>
      </c>
      <c r="BD15">
        <f t="shared" si="34"/>
        <v>1.7539940546284121</v>
      </c>
      <c r="BF15">
        <f t="shared" si="15"/>
        <v>426.94819426469013</v>
      </c>
      <c r="BT15" s="13" t="s">
        <v>198</v>
      </c>
      <c r="BU15" s="13">
        <v>0.73</v>
      </c>
      <c r="BW15" t="s">
        <v>163</v>
      </c>
      <c r="BX15" t="s">
        <v>168</v>
      </c>
      <c r="BY15">
        <v>7.0000000000000007E-2</v>
      </c>
      <c r="BZ15">
        <v>0</v>
      </c>
      <c r="CA15">
        <v>0</v>
      </c>
      <c r="CB15">
        <v>0.03</v>
      </c>
      <c r="CC15">
        <v>0.16</v>
      </c>
      <c r="CD15">
        <v>0.05</v>
      </c>
      <c r="CE15">
        <v>1</v>
      </c>
      <c r="CI15" t="s">
        <v>166</v>
      </c>
      <c r="CJ15">
        <v>-0.03</v>
      </c>
      <c r="CK15">
        <v>-0.05</v>
      </c>
      <c r="CL15">
        <v>-0.05</v>
      </c>
      <c r="CM15">
        <v>-0.03</v>
      </c>
      <c r="CN15">
        <v>-0.02</v>
      </c>
      <c r="CO15">
        <v>0.05</v>
      </c>
    </row>
    <row r="16" spans="1:93" x14ac:dyDescent="0.2">
      <c r="H16" s="12"/>
      <c r="I16" t="s">
        <v>164</v>
      </c>
      <c r="J16">
        <f>J15</f>
        <v>3</v>
      </c>
      <c r="K16">
        <f>K15</f>
        <v>0.6</v>
      </c>
      <c r="L16">
        <v>210</v>
      </c>
      <c r="M16">
        <v>0</v>
      </c>
      <c r="N16">
        <v>0</v>
      </c>
      <c r="O16">
        <f t="shared" si="0"/>
        <v>91.25</v>
      </c>
      <c r="P16">
        <v>0.08</v>
      </c>
      <c r="Q16">
        <v>0.1</v>
      </c>
      <c r="R16">
        <v>0.61</v>
      </c>
      <c r="S16">
        <v>27</v>
      </c>
      <c r="T16">
        <f t="shared" si="16"/>
        <v>0</v>
      </c>
      <c r="U16">
        <f t="shared" si="17"/>
        <v>1</v>
      </c>
      <c r="V16">
        <f t="shared" si="18"/>
        <v>0.72</v>
      </c>
      <c r="W16">
        <f t="shared" si="1"/>
        <v>4.7000000000000002E-3</v>
      </c>
      <c r="X16">
        <f t="shared" si="19"/>
        <v>0</v>
      </c>
      <c r="Y16">
        <f t="shared" si="2"/>
        <v>0.24</v>
      </c>
      <c r="Z16">
        <f t="shared" si="3"/>
        <v>1.0999999999999999E-2</v>
      </c>
      <c r="AA16">
        <f t="shared" si="4"/>
        <v>0.21</v>
      </c>
      <c r="AB16">
        <f t="shared" si="20"/>
        <v>5.8999999999999999E-3</v>
      </c>
      <c r="AC16">
        <f t="shared" si="5"/>
        <v>0</v>
      </c>
      <c r="AD16">
        <f t="shared" si="21"/>
        <v>0</v>
      </c>
      <c r="AE16">
        <f t="shared" si="6"/>
        <v>4.9315068493150684E-3</v>
      </c>
      <c r="AF16">
        <f t="shared" si="7"/>
        <v>7.3599999999999999E-2</v>
      </c>
      <c r="AG16">
        <v>61</v>
      </c>
      <c r="AH16">
        <f t="shared" si="8"/>
        <v>0.44262295081967212</v>
      </c>
      <c r="AI16">
        <v>0</v>
      </c>
      <c r="AJ16">
        <f t="shared" si="22"/>
        <v>0</v>
      </c>
      <c r="AK16">
        <f t="shared" si="23"/>
        <v>2.233380100205178E-3</v>
      </c>
      <c r="AL16">
        <f t="shared" si="9"/>
        <v>6.0894444157458105E-3</v>
      </c>
      <c r="AM16">
        <f t="shared" si="10"/>
        <v>6.0000000000000001E-3</v>
      </c>
      <c r="AN16">
        <f t="shared" si="24"/>
        <v>1.57</v>
      </c>
      <c r="AO16">
        <f t="shared" si="25"/>
        <v>1.3</v>
      </c>
      <c r="AP16">
        <f t="shared" si="26"/>
        <v>1</v>
      </c>
      <c r="AQ16">
        <f t="shared" si="11"/>
        <v>0.48354999999999998</v>
      </c>
      <c r="AR16">
        <v>2.5</v>
      </c>
      <c r="AS16">
        <f t="shared" si="27"/>
        <v>0.99999627334682795</v>
      </c>
      <c r="AT16">
        <f t="shared" si="12"/>
        <v>0.52017847077168489</v>
      </c>
      <c r="AU16">
        <f t="shared" si="28"/>
        <v>0.52017653224693672</v>
      </c>
      <c r="AV16">
        <f t="shared" si="13"/>
        <v>5.2017653224693677E-2</v>
      </c>
      <c r="AW16">
        <f t="shared" si="29"/>
        <v>0.08</v>
      </c>
      <c r="AX16">
        <f t="shared" si="14"/>
        <v>0.1965968171591774</v>
      </c>
      <c r="AY16">
        <f t="shared" si="30"/>
        <v>0.24</v>
      </c>
      <c r="AZ16">
        <f t="shared" si="31"/>
        <v>0.6784</v>
      </c>
      <c r="BA16">
        <f t="shared" si="36"/>
        <v>0</v>
      </c>
      <c r="BB16">
        <f t="shared" si="32"/>
        <v>1.5044280469816656E-4</v>
      </c>
      <c r="BC16">
        <f t="shared" si="33"/>
        <v>1.5044280469816656E-4</v>
      </c>
      <c r="BD16">
        <f t="shared" si="34"/>
        <v>2.8828602450286169</v>
      </c>
      <c r="BF16">
        <f t="shared" si="15"/>
        <v>116.6889786167291</v>
      </c>
      <c r="BT16" s="13" t="s">
        <v>199</v>
      </c>
      <c r="BU16" s="13">
        <v>0.76</v>
      </c>
      <c r="BW16" t="s">
        <v>164</v>
      </c>
      <c r="BX16" t="s">
        <v>168</v>
      </c>
      <c r="BY16">
        <v>0</v>
      </c>
      <c r="BZ16">
        <v>0.05</v>
      </c>
      <c r="CA16">
        <v>0</v>
      </c>
      <c r="CB16">
        <v>0</v>
      </c>
      <c r="CC16">
        <v>-0.05</v>
      </c>
      <c r="CD16">
        <v>-0.05</v>
      </c>
      <c r="CE16">
        <v>2</v>
      </c>
      <c r="CH16" t="s">
        <v>175</v>
      </c>
      <c r="CI16" t="s">
        <v>163</v>
      </c>
      <c r="CJ16">
        <v>0.11</v>
      </c>
      <c r="CK16">
        <v>0.11</v>
      </c>
      <c r="CL16">
        <v>0</v>
      </c>
      <c r="CM16">
        <v>0</v>
      </c>
      <c r="CN16">
        <v>0</v>
      </c>
      <c r="CO16">
        <v>0.11</v>
      </c>
    </row>
    <row r="17" spans="8:93" x14ac:dyDescent="0.2">
      <c r="H17" s="11"/>
      <c r="I17" t="s">
        <v>165</v>
      </c>
      <c r="J17">
        <f t="shared" ref="J17:K18" si="37">J16</f>
        <v>3</v>
      </c>
      <c r="K17">
        <f t="shared" si="37"/>
        <v>0.6</v>
      </c>
      <c r="L17">
        <v>170</v>
      </c>
      <c r="M17">
        <v>0</v>
      </c>
      <c r="N17">
        <v>0</v>
      </c>
      <c r="O17">
        <f t="shared" si="0"/>
        <v>91.25</v>
      </c>
      <c r="P17">
        <v>0.05</v>
      </c>
      <c r="Q17">
        <v>0.12</v>
      </c>
      <c r="R17">
        <v>0.64</v>
      </c>
      <c r="S17">
        <v>32</v>
      </c>
      <c r="T17">
        <f t="shared" si="16"/>
        <v>0</v>
      </c>
      <c r="U17">
        <f t="shared" si="17"/>
        <v>1</v>
      </c>
      <c r="V17">
        <f t="shared" si="18"/>
        <v>0.72</v>
      </c>
      <c r="W17">
        <f t="shared" si="1"/>
        <v>4.7000000000000002E-3</v>
      </c>
      <c r="X17">
        <f t="shared" si="19"/>
        <v>0</v>
      </c>
      <c r="Y17">
        <f t="shared" si="2"/>
        <v>0.24</v>
      </c>
      <c r="Z17">
        <f t="shared" si="3"/>
        <v>1.0999999999999999E-2</v>
      </c>
      <c r="AA17">
        <f t="shared" si="4"/>
        <v>0.21</v>
      </c>
      <c r="AB17">
        <f t="shared" si="20"/>
        <v>5.8999999999999999E-3</v>
      </c>
      <c r="AC17">
        <f t="shared" si="5"/>
        <v>0</v>
      </c>
      <c r="AD17">
        <f t="shared" si="21"/>
        <v>0</v>
      </c>
      <c r="AE17">
        <f t="shared" si="6"/>
        <v>4.9315068493150684E-3</v>
      </c>
      <c r="AF17">
        <f t="shared" si="7"/>
        <v>4.6000000000000006E-2</v>
      </c>
      <c r="AG17">
        <v>62</v>
      </c>
      <c r="AH17">
        <f t="shared" si="8"/>
        <v>0.5161290322580645</v>
      </c>
      <c r="AI17">
        <v>0</v>
      </c>
      <c r="AJ17">
        <f t="shared" si="22"/>
        <v>0</v>
      </c>
      <c r="AK17">
        <f t="shared" si="23"/>
        <v>1.5400455022570668E-3</v>
      </c>
      <c r="AL17">
        <f t="shared" si="9"/>
        <v>1.077222459730026E-2</v>
      </c>
      <c r="AM17">
        <f t="shared" si="10"/>
        <v>6.0000000000000001E-3</v>
      </c>
      <c r="AN17">
        <f t="shared" si="24"/>
        <v>1.57</v>
      </c>
      <c r="AO17">
        <f t="shared" si="25"/>
        <v>1.3</v>
      </c>
      <c r="AP17">
        <f t="shared" si="26"/>
        <v>1</v>
      </c>
      <c r="AQ17">
        <f t="shared" si="11"/>
        <v>0.50740000000000007</v>
      </c>
      <c r="AR17">
        <v>1.6</v>
      </c>
      <c r="AS17">
        <f t="shared" si="27"/>
        <v>0.99402397710499402</v>
      </c>
      <c r="AT17">
        <f t="shared" si="12"/>
        <v>0.64511931548462409</v>
      </c>
      <c r="AU17">
        <f t="shared" si="28"/>
        <v>0.64126406768527744</v>
      </c>
      <c r="AV17">
        <f t="shared" si="13"/>
        <v>7.6951688122233283E-2</v>
      </c>
      <c r="AW17">
        <f t="shared" si="29"/>
        <v>0.08</v>
      </c>
      <c r="AX17">
        <f t="shared" si="14"/>
        <v>0.22751954066312097</v>
      </c>
      <c r="AY17">
        <f t="shared" si="30"/>
        <v>0.24</v>
      </c>
      <c r="AZ17">
        <f t="shared" si="31"/>
        <v>0.6784</v>
      </c>
      <c r="BA17">
        <f t="shared" si="36"/>
        <v>0</v>
      </c>
      <c r="BB17">
        <f t="shared" si="32"/>
        <v>1.7410596120325152E-4</v>
      </c>
      <c r="BC17">
        <f t="shared" si="33"/>
        <v>1.7410596120325152E-4</v>
      </c>
      <c r="BD17">
        <f t="shared" si="34"/>
        <v>2.700818723165439</v>
      </c>
      <c r="BF17">
        <f t="shared" si="15"/>
        <v>167.10413406562029</v>
      </c>
      <c r="BW17" t="s">
        <v>165</v>
      </c>
      <c r="BX17" t="s">
        <v>168</v>
      </c>
      <c r="BY17">
        <v>0</v>
      </c>
      <c r="BZ17">
        <v>0</v>
      </c>
      <c r="CA17">
        <v>0</v>
      </c>
      <c r="CB17">
        <v>0</v>
      </c>
      <c r="CC17">
        <v>-0.02</v>
      </c>
      <c r="CD17">
        <v>0.11</v>
      </c>
      <c r="CE17">
        <v>3</v>
      </c>
      <c r="CI17" t="s">
        <v>164</v>
      </c>
      <c r="CJ17">
        <v>-0.1</v>
      </c>
      <c r="CK17">
        <v>-0.1</v>
      </c>
      <c r="CL17">
        <v>0</v>
      </c>
      <c r="CM17">
        <v>0</v>
      </c>
      <c r="CN17">
        <v>0</v>
      </c>
      <c r="CO17">
        <v>0.05</v>
      </c>
    </row>
    <row r="18" spans="8:93" x14ac:dyDescent="0.2">
      <c r="H18" s="12"/>
      <c r="I18" t="s">
        <v>166</v>
      </c>
      <c r="J18">
        <f t="shared" si="37"/>
        <v>3</v>
      </c>
      <c r="K18">
        <f t="shared" si="37"/>
        <v>0.6</v>
      </c>
      <c r="L18">
        <v>200</v>
      </c>
      <c r="M18">
        <v>0</v>
      </c>
      <c r="N18">
        <v>0</v>
      </c>
      <c r="O18">
        <f t="shared" si="0"/>
        <v>91.25</v>
      </c>
      <c r="P18">
        <v>0.04</v>
      </c>
      <c r="Q18">
        <v>0.18</v>
      </c>
      <c r="R18">
        <v>0.72</v>
      </c>
      <c r="S18">
        <v>34</v>
      </c>
      <c r="T18">
        <f t="shared" si="16"/>
        <v>0</v>
      </c>
      <c r="U18">
        <f t="shared" si="17"/>
        <v>1</v>
      </c>
      <c r="V18">
        <f t="shared" si="18"/>
        <v>0.72</v>
      </c>
      <c r="W18">
        <f t="shared" si="1"/>
        <v>4.7000000000000002E-3</v>
      </c>
      <c r="X18">
        <f t="shared" si="19"/>
        <v>0</v>
      </c>
      <c r="Y18">
        <f t="shared" si="2"/>
        <v>0.24</v>
      </c>
      <c r="Z18">
        <f t="shared" si="3"/>
        <v>1.0999999999999999E-2</v>
      </c>
      <c r="AA18">
        <f t="shared" si="4"/>
        <v>0.21</v>
      </c>
      <c r="AB18">
        <f t="shared" si="20"/>
        <v>5.8999999999999999E-3</v>
      </c>
      <c r="AC18">
        <f t="shared" si="5"/>
        <v>0</v>
      </c>
      <c r="AD18">
        <f t="shared" si="21"/>
        <v>0</v>
      </c>
      <c r="AE18">
        <f t="shared" si="6"/>
        <v>4.9315068493150684E-3</v>
      </c>
      <c r="AF18">
        <f t="shared" si="7"/>
        <v>3.6799999999999999E-2</v>
      </c>
      <c r="AG18">
        <v>63</v>
      </c>
      <c r="AH18">
        <f t="shared" si="8"/>
        <v>0.53968253968253965</v>
      </c>
      <c r="AI18">
        <v>0</v>
      </c>
      <c r="AJ18">
        <f t="shared" si="22"/>
        <v>0</v>
      </c>
      <c r="AK18">
        <f t="shared" si="23"/>
        <v>1.3398080165132112E-3</v>
      </c>
      <c r="AL18">
        <f t="shared" si="9"/>
        <v>2.098398359742434E-2</v>
      </c>
      <c r="AM18">
        <f t="shared" si="10"/>
        <v>6.0000000000000001E-3</v>
      </c>
      <c r="AN18">
        <f t="shared" si="24"/>
        <v>1.57</v>
      </c>
      <c r="AO18">
        <f t="shared" si="25"/>
        <v>1.3</v>
      </c>
      <c r="AP18">
        <f t="shared" si="26"/>
        <v>1</v>
      </c>
      <c r="AQ18">
        <f t="shared" si="11"/>
        <v>0.57100000000000006</v>
      </c>
      <c r="AR18">
        <v>1.7</v>
      </c>
      <c r="AS18">
        <f t="shared" si="27"/>
        <v>0.99691128459176326</v>
      </c>
      <c r="AT18">
        <f t="shared" si="12"/>
        <v>0.77753323213623582</v>
      </c>
      <c r="AU18">
        <f t="shared" si="28"/>
        <v>0.77513165326172051</v>
      </c>
      <c r="AV18">
        <f t="shared" si="13"/>
        <v>0.1395236975871097</v>
      </c>
      <c r="AW18">
        <f t="shared" si="29"/>
        <v>0.08</v>
      </c>
      <c r="AX18">
        <f t="shared" si="14"/>
        <v>0.22178442402010679</v>
      </c>
      <c r="AY18">
        <f t="shared" si="30"/>
        <v>0.24</v>
      </c>
      <c r="AZ18">
        <f t="shared" si="31"/>
        <v>0.6784</v>
      </c>
      <c r="BA18">
        <f t="shared" si="36"/>
        <v>0</v>
      </c>
      <c r="BB18">
        <f t="shared" si="32"/>
        <v>1.6971724807191121E-4</v>
      </c>
      <c r="BC18">
        <f t="shared" si="33"/>
        <v>1.6971724807191121E-4</v>
      </c>
      <c r="BD18">
        <f t="shared" si="34"/>
        <v>3.0973397773123792</v>
      </c>
      <c r="BF18">
        <f t="shared" si="15"/>
        <v>382.95770065299422</v>
      </c>
      <c r="BS18" t="s">
        <v>149</v>
      </c>
      <c r="BT18" s="13" t="s">
        <v>254</v>
      </c>
      <c r="BU18" s="13">
        <v>6.0000000000000001E-3</v>
      </c>
      <c r="BW18" t="s">
        <v>166</v>
      </c>
      <c r="BX18" t="s">
        <v>168</v>
      </c>
      <c r="BY18">
        <v>0.02</v>
      </c>
      <c r="BZ18">
        <v>-0.05</v>
      </c>
      <c r="CA18">
        <v>0</v>
      </c>
      <c r="CB18">
        <v>0.5</v>
      </c>
      <c r="CC18">
        <v>-0.03</v>
      </c>
      <c r="CD18">
        <v>0.05</v>
      </c>
      <c r="CE18">
        <v>4</v>
      </c>
      <c r="CI18" t="s">
        <v>165</v>
      </c>
      <c r="CJ18">
        <v>0</v>
      </c>
      <c r="CK18">
        <v>-0.1</v>
      </c>
      <c r="CL18">
        <v>0</v>
      </c>
      <c r="CM18">
        <v>0</v>
      </c>
      <c r="CN18">
        <v>0</v>
      </c>
      <c r="CO18">
        <v>0.16</v>
      </c>
    </row>
    <row r="19" spans="8:93" x14ac:dyDescent="0.2">
      <c r="H19" s="11" t="s">
        <v>168</v>
      </c>
      <c r="I19" t="s">
        <v>163</v>
      </c>
      <c r="J19">
        <v>2</v>
      </c>
      <c r="K19">
        <v>0.65</v>
      </c>
      <c r="L19">
        <v>100</v>
      </c>
      <c r="M19">
        <v>95</v>
      </c>
      <c r="N19">
        <v>105</v>
      </c>
      <c r="O19">
        <f t="shared" si="0"/>
        <v>91.25</v>
      </c>
      <c r="P19">
        <v>7.0000000000000007E-2</v>
      </c>
      <c r="Q19">
        <v>0.2</v>
      </c>
      <c r="R19">
        <v>0.75</v>
      </c>
      <c r="S19">
        <v>44</v>
      </c>
      <c r="T19">
        <f t="shared" si="16"/>
        <v>0</v>
      </c>
      <c r="U19">
        <f t="shared" si="17"/>
        <v>1</v>
      </c>
      <c r="V19">
        <f t="shared" si="18"/>
        <v>0.72</v>
      </c>
      <c r="W19">
        <f t="shared" si="1"/>
        <v>4.7000000000000002E-3</v>
      </c>
      <c r="X19">
        <f t="shared" si="19"/>
        <v>0</v>
      </c>
      <c r="Y19">
        <f t="shared" si="2"/>
        <v>0.24</v>
      </c>
      <c r="Z19">
        <f t="shared" si="3"/>
        <v>1.0999999999999999E-2</v>
      </c>
      <c r="AA19">
        <f t="shared" si="4"/>
        <v>0.21</v>
      </c>
      <c r="AB19">
        <f t="shared" si="20"/>
        <v>5.8999999999999999E-3</v>
      </c>
      <c r="AC19">
        <f t="shared" si="5"/>
        <v>0.95</v>
      </c>
      <c r="AD19">
        <f t="shared" si="21"/>
        <v>1.52</v>
      </c>
      <c r="AE19">
        <f t="shared" si="6"/>
        <v>3.5616438356164386E-3</v>
      </c>
      <c r="AF19">
        <f t="shared" si="7"/>
        <v>6.4400000000000013E-2</v>
      </c>
      <c r="AG19">
        <v>57</v>
      </c>
      <c r="AH19">
        <f t="shared" si="8"/>
        <v>0.77192982456140347</v>
      </c>
      <c r="AI19">
        <v>0</v>
      </c>
      <c r="AJ19">
        <f t="shared" si="22"/>
        <v>0</v>
      </c>
      <c r="AK19">
        <f t="shared" si="23"/>
        <v>1.2305324245694275E-2</v>
      </c>
      <c r="AL19">
        <f t="shared" si="9"/>
        <v>3.0398436809107053E-2</v>
      </c>
      <c r="AM19">
        <f t="shared" si="10"/>
        <v>6.0000000000000001E-3</v>
      </c>
      <c r="AN19">
        <f t="shared" si="24"/>
        <v>1.57</v>
      </c>
      <c r="AO19">
        <f t="shared" si="25"/>
        <v>1.3</v>
      </c>
      <c r="AP19">
        <f t="shared" si="26"/>
        <v>1.2849999999999999</v>
      </c>
      <c r="AQ19">
        <f t="shared" si="11"/>
        <v>0.5948500000000001</v>
      </c>
      <c r="AR19">
        <v>2.9</v>
      </c>
      <c r="AS19">
        <f t="shared" si="27"/>
        <v>0.9999999504359468</v>
      </c>
      <c r="AT19">
        <f t="shared" si="12"/>
        <v>1.0385156413271623</v>
      </c>
      <c r="AU19">
        <f t="shared" si="28"/>
        <v>1.3344925329625414</v>
      </c>
      <c r="AV19">
        <f t="shared" si="13"/>
        <v>0.2668985065925083</v>
      </c>
      <c r="AW19">
        <f t="shared" si="29"/>
        <v>0.08</v>
      </c>
      <c r="AX19">
        <f t="shared" si="14"/>
        <v>0.37246931037699088</v>
      </c>
      <c r="AY19">
        <f t="shared" si="30"/>
        <v>0.24</v>
      </c>
      <c r="AZ19">
        <f t="shared" si="31"/>
        <v>0.6784</v>
      </c>
      <c r="BA19">
        <f t="shared" si="36"/>
        <v>0</v>
      </c>
      <c r="BB19">
        <f t="shared" si="32"/>
        <v>2.850266272201987E-4</v>
      </c>
      <c r="BC19">
        <f t="shared" si="33"/>
        <v>2.850266272201987E-4</v>
      </c>
      <c r="BD19">
        <f t="shared" si="34"/>
        <v>2.6008679733843132</v>
      </c>
      <c r="BF19">
        <f t="shared" si="15"/>
        <v>277.38573588310186</v>
      </c>
      <c r="BT19" s="13" t="s">
        <v>255</v>
      </c>
      <c r="BU19" s="13">
        <v>2E-3</v>
      </c>
      <c r="BW19" t="s">
        <v>163</v>
      </c>
      <c r="BX19" t="s">
        <v>170</v>
      </c>
      <c r="BY19">
        <v>0.05</v>
      </c>
      <c r="BZ19">
        <v>-0.03</v>
      </c>
      <c r="CA19">
        <v>0</v>
      </c>
      <c r="CB19">
        <v>0</v>
      </c>
      <c r="CC19">
        <v>0</v>
      </c>
      <c r="CD19">
        <v>0.05</v>
      </c>
      <c r="CE19">
        <v>1</v>
      </c>
      <c r="CI19" t="s">
        <v>166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0.16</v>
      </c>
    </row>
    <row r="20" spans="8:93" x14ac:dyDescent="0.2">
      <c r="H20" s="12"/>
      <c r="I20" t="s">
        <v>164</v>
      </c>
      <c r="J20">
        <f>J19</f>
        <v>2</v>
      </c>
      <c r="K20">
        <f>K19</f>
        <v>0.65</v>
      </c>
      <c r="L20">
        <v>140</v>
      </c>
      <c r="M20">
        <v>0</v>
      </c>
      <c r="N20">
        <v>0</v>
      </c>
      <c r="O20">
        <f t="shared" si="0"/>
        <v>91.25</v>
      </c>
      <c r="P20">
        <v>0</v>
      </c>
      <c r="Q20">
        <v>0.1</v>
      </c>
      <c r="R20">
        <v>0.61</v>
      </c>
      <c r="S20">
        <v>42</v>
      </c>
      <c r="T20">
        <f t="shared" si="16"/>
        <v>0</v>
      </c>
      <c r="U20">
        <f t="shared" si="17"/>
        <v>1</v>
      </c>
      <c r="V20">
        <f t="shared" si="18"/>
        <v>0.72</v>
      </c>
      <c r="W20">
        <f t="shared" si="1"/>
        <v>4.7000000000000002E-3</v>
      </c>
      <c r="X20">
        <f t="shared" si="19"/>
        <v>0</v>
      </c>
      <c r="Y20">
        <f t="shared" si="2"/>
        <v>0.24</v>
      </c>
      <c r="Z20">
        <f t="shared" si="3"/>
        <v>1.0999999999999999E-2</v>
      </c>
      <c r="AA20">
        <f t="shared" si="4"/>
        <v>0.21</v>
      </c>
      <c r="AB20">
        <f t="shared" si="20"/>
        <v>5.8999999999999999E-3</v>
      </c>
      <c r="AC20">
        <f t="shared" si="5"/>
        <v>0</v>
      </c>
      <c r="AD20">
        <f t="shared" si="21"/>
        <v>0</v>
      </c>
      <c r="AE20">
        <f t="shared" si="6"/>
        <v>3.5616438356164386E-3</v>
      </c>
      <c r="AF20">
        <f t="shared" si="7"/>
        <v>0</v>
      </c>
      <c r="AG20">
        <v>57</v>
      </c>
      <c r="AH20">
        <f t="shared" si="8"/>
        <v>0.73684210526315785</v>
      </c>
      <c r="AI20">
        <v>0</v>
      </c>
      <c r="AJ20">
        <f t="shared" si="22"/>
        <v>0</v>
      </c>
      <c r="AK20">
        <f t="shared" si="23"/>
        <v>4.7868493150684936E-4</v>
      </c>
      <c r="AL20">
        <f t="shared" si="9"/>
        <v>1.2329606659197917E-2</v>
      </c>
      <c r="AM20">
        <f t="shared" si="10"/>
        <v>6.0000000000000001E-3</v>
      </c>
      <c r="AN20">
        <f t="shared" si="24"/>
        <v>1.57</v>
      </c>
      <c r="AO20">
        <f t="shared" si="25"/>
        <v>1.3</v>
      </c>
      <c r="AP20">
        <f t="shared" si="26"/>
        <v>1</v>
      </c>
      <c r="AQ20">
        <f t="shared" si="11"/>
        <v>0.48354999999999998</v>
      </c>
      <c r="AR20">
        <v>2.5</v>
      </c>
      <c r="AS20">
        <f t="shared" si="27"/>
        <v>0.99999627334682795</v>
      </c>
      <c r="AT20">
        <f t="shared" si="12"/>
        <v>0.80052120768394575</v>
      </c>
      <c r="AU20">
        <f t="shared" si="28"/>
        <v>0.80051822441904785</v>
      </c>
      <c r="AV20">
        <f t="shared" si="13"/>
        <v>8.0051822441904785E-2</v>
      </c>
      <c r="AW20">
        <f t="shared" si="29"/>
        <v>0.08</v>
      </c>
      <c r="AX20">
        <f t="shared" si="14"/>
        <v>0.31080846185822891</v>
      </c>
      <c r="AY20">
        <f t="shared" si="30"/>
        <v>0.24</v>
      </c>
      <c r="AZ20">
        <f t="shared" si="31"/>
        <v>0.6784</v>
      </c>
      <c r="BA20">
        <f t="shared" si="36"/>
        <v>0</v>
      </c>
      <c r="BB20">
        <f t="shared" si="32"/>
        <v>2.3784157547177418E-4</v>
      </c>
      <c r="BC20">
        <f t="shared" si="33"/>
        <v>2.3784157547177418E-4</v>
      </c>
      <c r="BD20">
        <f t="shared" si="34"/>
        <v>3.0384261266519155</v>
      </c>
      <c r="BF20">
        <f t="shared" si="15"/>
        <v>157.51072507125338</v>
      </c>
      <c r="BS20" t="s">
        <v>258</v>
      </c>
      <c r="BT20">
        <v>0.6784</v>
      </c>
      <c r="BW20" t="s">
        <v>164</v>
      </c>
      <c r="BX20" t="s">
        <v>170</v>
      </c>
      <c r="BY20">
        <v>-0.05</v>
      </c>
      <c r="BZ20">
        <v>0.05</v>
      </c>
      <c r="CA20">
        <v>0</v>
      </c>
      <c r="CB20">
        <v>0</v>
      </c>
      <c r="CC20">
        <v>0</v>
      </c>
      <c r="CD20">
        <v>-0.05</v>
      </c>
      <c r="CE20">
        <v>2</v>
      </c>
      <c r="CH20" t="s">
        <v>176</v>
      </c>
      <c r="CI20" t="s">
        <v>163</v>
      </c>
      <c r="CJ20">
        <v>0.16</v>
      </c>
      <c r="CK20">
        <v>0.11</v>
      </c>
      <c r="CL20">
        <v>0.03</v>
      </c>
      <c r="CM20">
        <v>-0.02</v>
      </c>
      <c r="CN20">
        <v>0</v>
      </c>
      <c r="CO20">
        <v>0.15</v>
      </c>
    </row>
    <row r="21" spans="8:93" x14ac:dyDescent="0.2">
      <c r="H21" s="11"/>
      <c r="I21" t="s">
        <v>165</v>
      </c>
      <c r="J21">
        <f t="shared" ref="J21:K22" si="38">J20</f>
        <v>2</v>
      </c>
      <c r="K21">
        <f t="shared" si="38"/>
        <v>0.65</v>
      </c>
      <c r="L21">
        <v>135</v>
      </c>
      <c r="M21">
        <v>0</v>
      </c>
      <c r="N21">
        <v>0</v>
      </c>
      <c r="O21">
        <f t="shared" si="0"/>
        <v>91.25</v>
      </c>
      <c r="P21">
        <v>0</v>
      </c>
      <c r="Q21">
        <v>0.12</v>
      </c>
      <c r="R21">
        <v>0.64</v>
      </c>
      <c r="S21">
        <v>43</v>
      </c>
      <c r="T21">
        <f t="shared" si="16"/>
        <v>0</v>
      </c>
      <c r="U21">
        <f t="shared" si="17"/>
        <v>1</v>
      </c>
      <c r="V21">
        <f t="shared" si="18"/>
        <v>0.72</v>
      </c>
      <c r="W21">
        <f t="shared" si="1"/>
        <v>4.7000000000000002E-3</v>
      </c>
      <c r="X21">
        <f t="shared" si="19"/>
        <v>0</v>
      </c>
      <c r="Y21">
        <f t="shared" si="2"/>
        <v>0.24</v>
      </c>
      <c r="Z21">
        <f t="shared" si="3"/>
        <v>1.0999999999999999E-2</v>
      </c>
      <c r="AA21">
        <f t="shared" si="4"/>
        <v>0.21</v>
      </c>
      <c r="AB21">
        <f t="shared" si="20"/>
        <v>5.8999999999999999E-3</v>
      </c>
      <c r="AC21">
        <f t="shared" si="5"/>
        <v>0</v>
      </c>
      <c r="AD21">
        <f t="shared" si="21"/>
        <v>0</v>
      </c>
      <c r="AE21">
        <f t="shared" si="6"/>
        <v>3.5616438356164386E-3</v>
      </c>
      <c r="AF21">
        <f t="shared" si="7"/>
        <v>0</v>
      </c>
      <c r="AG21">
        <v>57</v>
      </c>
      <c r="AH21">
        <f t="shared" si="8"/>
        <v>0.75438596491228072</v>
      </c>
      <c r="AI21">
        <v>0</v>
      </c>
      <c r="AJ21">
        <f t="shared" si="22"/>
        <v>0</v>
      </c>
      <c r="AK21">
        <f t="shared" si="23"/>
        <v>4.7868493150684936E-4</v>
      </c>
      <c r="AL21">
        <f t="shared" si="9"/>
        <v>1.5970144180934887E-2</v>
      </c>
      <c r="AM21">
        <f t="shared" si="10"/>
        <v>6.0000000000000001E-3</v>
      </c>
      <c r="AN21">
        <f t="shared" si="24"/>
        <v>1.57</v>
      </c>
      <c r="AO21">
        <f t="shared" si="25"/>
        <v>1.3</v>
      </c>
      <c r="AP21">
        <f t="shared" si="26"/>
        <v>1</v>
      </c>
      <c r="AQ21">
        <f t="shared" si="11"/>
        <v>0.50740000000000007</v>
      </c>
      <c r="AR21">
        <v>1.6</v>
      </c>
      <c r="AS21">
        <f t="shared" si="27"/>
        <v>0.99402397710499402</v>
      </c>
      <c r="AT21">
        <f t="shared" si="12"/>
        <v>0.86186034677094148</v>
      </c>
      <c r="AU21">
        <f t="shared" si="28"/>
        <v>0.85670984960634056</v>
      </c>
      <c r="AV21">
        <f t="shared" si="13"/>
        <v>0.10280518195276087</v>
      </c>
      <c r="AW21">
        <f t="shared" si="29"/>
        <v>0.08</v>
      </c>
      <c r="AX21">
        <f t="shared" si="14"/>
        <v>0.31075172719360067</v>
      </c>
      <c r="AY21">
        <f t="shared" si="30"/>
        <v>0.24</v>
      </c>
      <c r="AZ21">
        <f t="shared" si="31"/>
        <v>0.6784</v>
      </c>
      <c r="BA21">
        <f t="shared" si="36"/>
        <v>0</v>
      </c>
      <c r="BB21">
        <f t="shared" si="32"/>
        <v>2.3779816010934047E-4</v>
      </c>
      <c r="BC21">
        <f t="shared" si="33"/>
        <v>2.3779816010934047E-4</v>
      </c>
      <c r="BD21">
        <f t="shared" si="34"/>
        <v>2.9293760848469379</v>
      </c>
      <c r="BF21">
        <f t="shared" si="15"/>
        <v>196.73221362889163</v>
      </c>
      <c r="BW21" t="s">
        <v>165</v>
      </c>
      <c r="BX21" t="s">
        <v>170</v>
      </c>
      <c r="BY21">
        <v>-0.01</v>
      </c>
      <c r="BZ21">
        <v>0</v>
      </c>
      <c r="CA21">
        <v>0</v>
      </c>
      <c r="CB21">
        <v>0</v>
      </c>
      <c r="CC21">
        <v>0</v>
      </c>
      <c r="CD21">
        <v>-0.05</v>
      </c>
      <c r="CE21">
        <v>3</v>
      </c>
      <c r="CI21" t="s">
        <v>164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0.11</v>
      </c>
    </row>
    <row r="22" spans="8:93" x14ac:dyDescent="0.2">
      <c r="H22" s="12"/>
      <c r="I22" t="s">
        <v>166</v>
      </c>
      <c r="J22">
        <f t="shared" si="38"/>
        <v>2</v>
      </c>
      <c r="K22">
        <f t="shared" si="38"/>
        <v>0.65</v>
      </c>
      <c r="L22">
        <v>130</v>
      </c>
      <c r="M22">
        <v>0</v>
      </c>
      <c r="N22">
        <v>0</v>
      </c>
      <c r="O22">
        <f t="shared" si="0"/>
        <v>91.25</v>
      </c>
      <c r="P22">
        <v>0.02</v>
      </c>
      <c r="Q22">
        <v>0.18</v>
      </c>
      <c r="R22">
        <v>0.72</v>
      </c>
      <c r="S22">
        <v>45</v>
      </c>
      <c r="T22">
        <f t="shared" si="16"/>
        <v>0</v>
      </c>
      <c r="U22">
        <f t="shared" si="17"/>
        <v>1</v>
      </c>
      <c r="V22">
        <f t="shared" si="18"/>
        <v>0.72</v>
      </c>
      <c r="W22">
        <f t="shared" si="1"/>
        <v>4.7000000000000002E-3</v>
      </c>
      <c r="X22">
        <f t="shared" si="19"/>
        <v>0</v>
      </c>
      <c r="Y22">
        <f t="shared" si="2"/>
        <v>0.24</v>
      </c>
      <c r="Z22">
        <f t="shared" si="3"/>
        <v>1.0999999999999999E-2</v>
      </c>
      <c r="AA22">
        <f t="shared" si="4"/>
        <v>0.21</v>
      </c>
      <c r="AB22">
        <f t="shared" si="20"/>
        <v>5.8999999999999999E-3</v>
      </c>
      <c r="AC22">
        <f t="shared" si="5"/>
        <v>0</v>
      </c>
      <c r="AD22">
        <f t="shared" si="21"/>
        <v>0</v>
      </c>
      <c r="AE22">
        <f t="shared" si="6"/>
        <v>3.5616438356164386E-3</v>
      </c>
      <c r="AF22">
        <f t="shared" si="7"/>
        <v>1.84E-2</v>
      </c>
      <c r="AG22">
        <v>57</v>
      </c>
      <c r="AH22">
        <f t="shared" si="8"/>
        <v>0.78947368421052633</v>
      </c>
      <c r="AI22">
        <v>0</v>
      </c>
      <c r="AJ22">
        <f t="shared" si="22"/>
        <v>0</v>
      </c>
      <c r="AK22">
        <f t="shared" si="23"/>
        <v>7.2777894310489225E-4</v>
      </c>
      <c r="AL22">
        <f t="shared" si="9"/>
        <v>2.8503402354687943E-2</v>
      </c>
      <c r="AM22">
        <f t="shared" si="10"/>
        <v>6.0000000000000001E-3</v>
      </c>
      <c r="AN22">
        <f t="shared" si="24"/>
        <v>1.57</v>
      </c>
      <c r="AO22">
        <f t="shared" si="25"/>
        <v>1.3</v>
      </c>
      <c r="AP22">
        <f t="shared" si="26"/>
        <v>1</v>
      </c>
      <c r="AQ22">
        <f t="shared" si="11"/>
        <v>0.57100000000000006</v>
      </c>
      <c r="AR22">
        <v>1.7</v>
      </c>
      <c r="AS22">
        <f t="shared" si="27"/>
        <v>0.99691128459176326</v>
      </c>
      <c r="AT22">
        <f t="shared" si="12"/>
        <v>1.0181162441707754</v>
      </c>
      <c r="AU22">
        <f t="shared" si="28"/>
        <v>1.014971572840029</v>
      </c>
      <c r="AV22">
        <f t="shared" si="13"/>
        <v>0.18269488311120521</v>
      </c>
      <c r="AW22">
        <f t="shared" si="29"/>
        <v>0.08</v>
      </c>
      <c r="AX22">
        <f t="shared" si="14"/>
        <v>0.29936683357077126</v>
      </c>
      <c r="AY22">
        <f t="shared" si="30"/>
        <v>0.24</v>
      </c>
      <c r="AZ22">
        <f t="shared" si="31"/>
        <v>0.6784</v>
      </c>
      <c r="BA22">
        <f t="shared" si="36"/>
        <v>0</v>
      </c>
      <c r="BB22">
        <f t="shared" si="32"/>
        <v>2.2908603876089584E-4</v>
      </c>
      <c r="BC22">
        <f t="shared" si="33"/>
        <v>2.2908603876089584E-4</v>
      </c>
      <c r="BD22">
        <f t="shared" si="34"/>
        <v>2.7175331348011267</v>
      </c>
      <c r="BF22">
        <f t="shared" si="15"/>
        <v>338.12161043248574</v>
      </c>
      <c r="BW22" t="s">
        <v>166</v>
      </c>
      <c r="BX22" t="s">
        <v>170</v>
      </c>
      <c r="BY22">
        <v>0.01</v>
      </c>
      <c r="BZ22">
        <v>-0.02</v>
      </c>
      <c r="CA22">
        <v>0</v>
      </c>
      <c r="CB22">
        <v>0</v>
      </c>
      <c r="CC22">
        <v>0</v>
      </c>
      <c r="CD22">
        <v>0.05</v>
      </c>
      <c r="CE22">
        <v>4</v>
      </c>
      <c r="CI22" t="s">
        <v>165</v>
      </c>
      <c r="CJ22">
        <v>-0.2</v>
      </c>
      <c r="CK22">
        <v>-0.1</v>
      </c>
      <c r="CL22">
        <v>0</v>
      </c>
      <c r="CM22">
        <v>0</v>
      </c>
      <c r="CN22">
        <v>0</v>
      </c>
      <c r="CO22">
        <v>0.13</v>
      </c>
    </row>
    <row r="23" spans="8:93" x14ac:dyDescent="0.2">
      <c r="H23" s="11" t="s">
        <v>170</v>
      </c>
      <c r="I23" t="s">
        <v>163</v>
      </c>
      <c r="J23">
        <v>2</v>
      </c>
      <c r="K23">
        <v>0.7</v>
      </c>
      <c r="L23">
        <v>200</v>
      </c>
      <c r="M23">
        <v>0</v>
      </c>
      <c r="N23">
        <v>0</v>
      </c>
      <c r="O23">
        <f t="shared" si="0"/>
        <v>91.25</v>
      </c>
      <c r="P23">
        <v>0.05</v>
      </c>
      <c r="Q23">
        <v>0.2</v>
      </c>
      <c r="R23">
        <v>0.75</v>
      </c>
      <c r="S23">
        <v>56</v>
      </c>
      <c r="T23">
        <f t="shared" si="16"/>
        <v>0</v>
      </c>
      <c r="U23">
        <f t="shared" si="17"/>
        <v>1</v>
      </c>
      <c r="V23">
        <f t="shared" si="18"/>
        <v>0.72</v>
      </c>
      <c r="W23">
        <f t="shared" si="1"/>
        <v>4.7000000000000002E-3</v>
      </c>
      <c r="X23">
        <f t="shared" si="19"/>
        <v>0</v>
      </c>
      <c r="Y23">
        <f t="shared" si="2"/>
        <v>0.24</v>
      </c>
      <c r="Z23">
        <f t="shared" si="3"/>
        <v>1.0999999999999999E-2</v>
      </c>
      <c r="AA23">
        <f t="shared" si="4"/>
        <v>0.21</v>
      </c>
      <c r="AB23">
        <f t="shared" si="20"/>
        <v>5.8999999999999999E-3</v>
      </c>
      <c r="AC23">
        <f t="shared" si="5"/>
        <v>0</v>
      </c>
      <c r="AD23">
        <f t="shared" si="21"/>
        <v>0</v>
      </c>
      <c r="AE23">
        <f t="shared" si="6"/>
        <v>3.8356164383561643E-3</v>
      </c>
      <c r="AF23">
        <f t="shared" si="7"/>
        <v>4.6000000000000006E-2</v>
      </c>
      <c r="AG23">
        <v>57</v>
      </c>
      <c r="AH23">
        <f t="shared" si="8"/>
        <v>0.98245614035087714</v>
      </c>
      <c r="AI23">
        <v>0</v>
      </c>
      <c r="AJ23">
        <f t="shared" si="22"/>
        <v>0</v>
      </c>
      <c r="AK23">
        <f t="shared" si="23"/>
        <v>1.0761713957214488E-3</v>
      </c>
      <c r="AL23">
        <f t="shared" si="9"/>
        <v>4.1158340075111606E-2</v>
      </c>
      <c r="AM23">
        <f t="shared" si="10"/>
        <v>6.0000000000000001E-3</v>
      </c>
      <c r="AN23">
        <f t="shared" si="24"/>
        <v>1.57</v>
      </c>
      <c r="AO23">
        <f t="shared" si="25"/>
        <v>1.3</v>
      </c>
      <c r="AP23">
        <f t="shared" si="26"/>
        <v>1</v>
      </c>
      <c r="AQ23">
        <f t="shared" si="11"/>
        <v>0.5948500000000001</v>
      </c>
      <c r="AR23">
        <v>2.9</v>
      </c>
      <c r="AS23">
        <f t="shared" si="27"/>
        <v>0.9999999504359468</v>
      </c>
      <c r="AT23">
        <f t="shared" si="12"/>
        <v>1.3198285488795851</v>
      </c>
      <c r="AU23">
        <f t="shared" si="28"/>
        <v>1.3198284834635328</v>
      </c>
      <c r="AV23">
        <f t="shared" si="13"/>
        <v>0.26396569669270659</v>
      </c>
      <c r="AW23">
        <f t="shared" si="29"/>
        <v>0.08</v>
      </c>
      <c r="AX23">
        <f t="shared" si="14"/>
        <v>0.3676642091046412</v>
      </c>
      <c r="AY23">
        <f t="shared" si="30"/>
        <v>0.24</v>
      </c>
      <c r="AZ23">
        <f t="shared" si="31"/>
        <v>0.6784</v>
      </c>
      <c r="BA23">
        <f t="shared" si="36"/>
        <v>0</v>
      </c>
      <c r="BB23">
        <f t="shared" si="32"/>
        <v>2.8134959458703197E-4</v>
      </c>
      <c r="BC23">
        <f t="shared" si="33"/>
        <v>2.8134959458703197E-4</v>
      </c>
      <c r="BD23">
        <f t="shared" si="34"/>
        <v>5.1346301012133333</v>
      </c>
      <c r="BF23">
        <f t="shared" si="15"/>
        <v>751.13970637078694</v>
      </c>
      <c r="BW23" t="s">
        <v>163</v>
      </c>
      <c r="BX23" t="s">
        <v>162</v>
      </c>
      <c r="BY23">
        <v>7.0000000000000007E-2</v>
      </c>
      <c r="BZ23">
        <v>-0.02</v>
      </c>
      <c r="CA23">
        <v>0.11</v>
      </c>
      <c r="CB23">
        <v>0.16</v>
      </c>
      <c r="CC23">
        <v>0.11</v>
      </c>
      <c r="CD23">
        <v>0.11</v>
      </c>
      <c r="CE23">
        <v>1</v>
      </c>
      <c r="CI23" t="s">
        <v>166</v>
      </c>
      <c r="CJ23">
        <v>0</v>
      </c>
      <c r="CK23">
        <v>-0.1</v>
      </c>
      <c r="CL23">
        <v>0.5</v>
      </c>
      <c r="CM23">
        <v>0.02</v>
      </c>
      <c r="CN23">
        <v>0</v>
      </c>
      <c r="CO23">
        <v>7.0000000000000007E-2</v>
      </c>
    </row>
    <row r="24" spans="8:93" x14ac:dyDescent="0.2">
      <c r="H24" s="12"/>
      <c r="I24" t="s">
        <v>164</v>
      </c>
      <c r="J24">
        <f>J23</f>
        <v>2</v>
      </c>
      <c r="K24">
        <f>K23</f>
        <v>0.7</v>
      </c>
      <c r="L24">
        <v>210</v>
      </c>
      <c r="M24">
        <v>0</v>
      </c>
      <c r="N24">
        <v>0</v>
      </c>
      <c r="O24">
        <f t="shared" si="0"/>
        <v>91.25</v>
      </c>
      <c r="P24">
        <v>-0.05</v>
      </c>
      <c r="Q24">
        <v>0.1</v>
      </c>
      <c r="R24">
        <v>0.61</v>
      </c>
      <c r="S24">
        <v>51</v>
      </c>
      <c r="T24">
        <f t="shared" si="16"/>
        <v>0</v>
      </c>
      <c r="U24">
        <f t="shared" si="17"/>
        <v>1</v>
      </c>
      <c r="V24">
        <f t="shared" si="18"/>
        <v>0.72</v>
      </c>
      <c r="W24">
        <f t="shared" si="1"/>
        <v>4.7000000000000002E-3</v>
      </c>
      <c r="X24">
        <f t="shared" si="19"/>
        <v>0</v>
      </c>
      <c r="Y24">
        <f t="shared" si="2"/>
        <v>0.24</v>
      </c>
      <c r="Z24">
        <f t="shared" si="3"/>
        <v>1.0999999999999999E-2</v>
      </c>
      <c r="AA24">
        <f t="shared" si="4"/>
        <v>0.21</v>
      </c>
      <c r="AB24">
        <f t="shared" si="20"/>
        <v>5.8999999999999999E-3</v>
      </c>
      <c r="AC24">
        <f t="shared" si="5"/>
        <v>0</v>
      </c>
      <c r="AD24">
        <f t="shared" si="21"/>
        <v>0</v>
      </c>
      <c r="AE24">
        <f t="shared" si="6"/>
        <v>3.8356164383561643E-3</v>
      </c>
      <c r="AF24">
        <f t="shared" si="7"/>
        <v>-4.6000000000000006E-2</v>
      </c>
      <c r="AG24">
        <v>57</v>
      </c>
      <c r="AH24">
        <f t="shared" si="8"/>
        <v>0.89473684210526316</v>
      </c>
      <c r="AI24">
        <v>0</v>
      </c>
      <c r="AJ24">
        <f t="shared" si="22"/>
        <v>0</v>
      </c>
      <c r="AK24">
        <f t="shared" si="23"/>
        <v>-6.7008407966660379E-5</v>
      </c>
      <c r="AL24">
        <f t="shared" si="9"/>
        <v>1.5726717450560028E-2</v>
      </c>
      <c r="AM24">
        <f t="shared" si="10"/>
        <v>6.0000000000000001E-3</v>
      </c>
      <c r="AN24">
        <f t="shared" si="24"/>
        <v>1.57</v>
      </c>
      <c r="AO24">
        <f t="shared" si="25"/>
        <v>1.3</v>
      </c>
      <c r="AP24">
        <f t="shared" si="26"/>
        <v>1</v>
      </c>
      <c r="AQ24">
        <f t="shared" si="11"/>
        <v>0.48354999999999998</v>
      </c>
      <c r="AR24">
        <v>2.5</v>
      </c>
      <c r="AS24">
        <f t="shared" si="27"/>
        <v>0.99999627334682795</v>
      </c>
      <c r="AT24">
        <f t="shared" si="12"/>
        <v>0.97873546256970145</v>
      </c>
      <c r="AU24">
        <f t="shared" si="28"/>
        <v>0.97873181516208529</v>
      </c>
      <c r="AV24">
        <f t="shared" si="13"/>
        <v>9.7873181516208538E-2</v>
      </c>
      <c r="AW24">
        <f t="shared" si="29"/>
        <v>0.08</v>
      </c>
      <c r="AX24">
        <f t="shared" si="14"/>
        <v>0.38642028282934154</v>
      </c>
      <c r="AY24">
        <f t="shared" si="30"/>
        <v>0.24</v>
      </c>
      <c r="AZ24">
        <f t="shared" si="31"/>
        <v>0.6784</v>
      </c>
      <c r="BA24">
        <f t="shared" si="36"/>
        <v>0</v>
      </c>
      <c r="BB24">
        <f t="shared" si="32"/>
        <v>2.9570240241496779E-4</v>
      </c>
      <c r="BC24">
        <f t="shared" si="33"/>
        <v>2.9570240241496779E-4</v>
      </c>
      <c r="BD24">
        <f t="shared" si="34"/>
        <v>5.6663972862768199</v>
      </c>
      <c r="BF24">
        <f t="shared" si="15"/>
        <v>301.36322314635652</v>
      </c>
      <c r="BW24" t="s">
        <v>164</v>
      </c>
      <c r="BX24" t="s">
        <v>162</v>
      </c>
      <c r="BY24">
        <v>0</v>
      </c>
      <c r="BZ24">
        <v>0.03</v>
      </c>
      <c r="CA24">
        <v>-0.1</v>
      </c>
      <c r="CB24">
        <v>0</v>
      </c>
      <c r="CC24">
        <v>-0.05</v>
      </c>
      <c r="CD24">
        <v>-0.11</v>
      </c>
      <c r="CE24">
        <v>2</v>
      </c>
      <c r="CH24" t="s">
        <v>177</v>
      </c>
      <c r="CI24" t="s">
        <v>163</v>
      </c>
      <c r="CJ24">
        <v>0.11</v>
      </c>
      <c r="CK24">
        <v>0.11</v>
      </c>
      <c r="CL24">
        <v>0.16</v>
      </c>
      <c r="CM24">
        <v>0.11</v>
      </c>
      <c r="CN24">
        <v>0</v>
      </c>
      <c r="CO24">
        <v>0.15</v>
      </c>
    </row>
    <row r="25" spans="8:93" x14ac:dyDescent="0.2">
      <c r="H25" s="11"/>
      <c r="I25" t="s">
        <v>165</v>
      </c>
      <c r="J25">
        <f t="shared" ref="J25:K26" si="39">J24</f>
        <v>2</v>
      </c>
      <c r="K25">
        <f t="shared" si="39"/>
        <v>0.7</v>
      </c>
      <c r="L25">
        <v>190</v>
      </c>
      <c r="M25">
        <v>0</v>
      </c>
      <c r="N25">
        <v>0</v>
      </c>
      <c r="O25">
        <f t="shared" si="0"/>
        <v>91.25</v>
      </c>
      <c r="P25">
        <v>-0.01</v>
      </c>
      <c r="Q25">
        <v>0.12</v>
      </c>
      <c r="R25">
        <v>0.64</v>
      </c>
      <c r="S25">
        <v>50</v>
      </c>
      <c r="T25">
        <f t="shared" si="16"/>
        <v>0</v>
      </c>
      <c r="U25">
        <f t="shared" si="17"/>
        <v>1</v>
      </c>
      <c r="V25">
        <f t="shared" si="18"/>
        <v>0.72</v>
      </c>
      <c r="W25">
        <f t="shared" si="1"/>
        <v>4.7000000000000002E-3</v>
      </c>
      <c r="X25">
        <f t="shared" si="19"/>
        <v>0</v>
      </c>
      <c r="Y25">
        <f t="shared" si="2"/>
        <v>0.24</v>
      </c>
      <c r="Z25">
        <f t="shared" si="3"/>
        <v>1.0999999999999999E-2</v>
      </c>
      <c r="AA25">
        <f t="shared" si="4"/>
        <v>0.21</v>
      </c>
      <c r="AB25">
        <f t="shared" si="20"/>
        <v>5.8999999999999999E-3</v>
      </c>
      <c r="AC25">
        <f t="shared" si="5"/>
        <v>0</v>
      </c>
      <c r="AD25">
        <f t="shared" si="21"/>
        <v>0</v>
      </c>
      <c r="AE25">
        <f t="shared" si="6"/>
        <v>3.8356164383561643E-3</v>
      </c>
      <c r="AF25">
        <f t="shared" si="7"/>
        <v>-9.1999999999999998E-3</v>
      </c>
      <c r="AG25">
        <v>57</v>
      </c>
      <c r="AH25">
        <f t="shared" si="8"/>
        <v>0.8771929824561403</v>
      </c>
      <c r="AI25">
        <v>0</v>
      </c>
      <c r="AJ25">
        <f t="shared" si="22"/>
        <v>0</v>
      </c>
      <c r="AK25">
        <f t="shared" si="23"/>
        <v>3.9804023233659479E-4</v>
      </c>
      <c r="AL25">
        <f t="shared" si="9"/>
        <v>1.8791943153172598E-2</v>
      </c>
      <c r="AM25">
        <f t="shared" si="10"/>
        <v>6.0000000000000001E-3</v>
      </c>
      <c r="AN25">
        <f t="shared" si="24"/>
        <v>1.57</v>
      </c>
      <c r="AO25">
        <f t="shared" si="25"/>
        <v>1.3</v>
      </c>
      <c r="AP25">
        <f t="shared" si="26"/>
        <v>1</v>
      </c>
      <c r="AQ25">
        <f t="shared" si="11"/>
        <v>0.50740000000000007</v>
      </c>
      <c r="AR25">
        <v>1.6</v>
      </c>
      <c r="AS25">
        <f t="shared" si="27"/>
        <v>0.99402397710499402</v>
      </c>
      <c r="AT25">
        <f t="shared" si="12"/>
        <v>1.0054871153505722</v>
      </c>
      <c r="AU25">
        <f t="shared" si="28"/>
        <v>0.99947830132860371</v>
      </c>
      <c r="AV25">
        <f t="shared" si="13"/>
        <v>0.11993739615943244</v>
      </c>
      <c r="AW25">
        <f t="shared" si="29"/>
        <v>0.08</v>
      </c>
      <c r="AX25">
        <f t="shared" si="14"/>
        <v>0.36778882639365651</v>
      </c>
      <c r="AY25">
        <f t="shared" si="30"/>
        <v>0.24</v>
      </c>
      <c r="AZ25">
        <f t="shared" si="31"/>
        <v>0.6784</v>
      </c>
      <c r="BA25">
        <f t="shared" si="36"/>
        <v>0</v>
      </c>
      <c r="BB25">
        <f t="shared" si="32"/>
        <v>2.8144495612311498E-4</v>
      </c>
      <c r="BC25">
        <f t="shared" si="33"/>
        <v>2.8144495612311498E-4</v>
      </c>
      <c r="BD25">
        <f t="shared" si="34"/>
        <v>4.8795519267845062</v>
      </c>
      <c r="BF25">
        <f t="shared" si="15"/>
        <v>325.80531441812991</v>
      </c>
      <c r="BR25" t="s">
        <v>211</v>
      </c>
      <c r="BW25" t="s">
        <v>165</v>
      </c>
      <c r="BX25" t="s">
        <v>162</v>
      </c>
      <c r="BY25">
        <v>-7.0000000000000007E-2</v>
      </c>
      <c r="BZ25">
        <v>0.02</v>
      </c>
      <c r="CA25">
        <v>0</v>
      </c>
      <c r="CB25">
        <v>-0.2</v>
      </c>
      <c r="CC25">
        <v>0</v>
      </c>
      <c r="CD25">
        <v>0</v>
      </c>
      <c r="CE25">
        <v>3</v>
      </c>
      <c r="CI25" t="s">
        <v>164</v>
      </c>
      <c r="CJ25">
        <v>-0.05</v>
      </c>
      <c r="CK25">
        <v>-0.05</v>
      </c>
      <c r="CL25">
        <v>-0.05</v>
      </c>
      <c r="CM25">
        <v>-0.05</v>
      </c>
      <c r="CN25">
        <v>0</v>
      </c>
      <c r="CO25">
        <v>7.0000000000000007E-2</v>
      </c>
    </row>
    <row r="26" spans="8:93" x14ac:dyDescent="0.2">
      <c r="H26" s="12"/>
      <c r="I26" t="s">
        <v>166</v>
      </c>
      <c r="J26">
        <f t="shared" si="39"/>
        <v>2</v>
      </c>
      <c r="K26">
        <f t="shared" si="39"/>
        <v>0.7</v>
      </c>
      <c r="L26">
        <v>180</v>
      </c>
      <c r="M26">
        <v>0</v>
      </c>
      <c r="N26">
        <v>0</v>
      </c>
      <c r="O26">
        <f t="shared" si="0"/>
        <v>91.25</v>
      </c>
      <c r="P26">
        <v>0.01</v>
      </c>
      <c r="Q26">
        <v>0.18</v>
      </c>
      <c r="R26">
        <v>0.72</v>
      </c>
      <c r="S26">
        <v>51</v>
      </c>
      <c r="T26">
        <f t="shared" si="16"/>
        <v>0</v>
      </c>
      <c r="U26">
        <f t="shared" si="17"/>
        <v>1</v>
      </c>
      <c r="V26">
        <f t="shared" si="18"/>
        <v>0.72</v>
      </c>
      <c r="W26">
        <f t="shared" si="1"/>
        <v>4.7000000000000002E-3</v>
      </c>
      <c r="X26">
        <f t="shared" si="19"/>
        <v>0</v>
      </c>
      <c r="Y26">
        <f t="shared" si="2"/>
        <v>0.24</v>
      </c>
      <c r="Z26">
        <f t="shared" si="3"/>
        <v>1.0999999999999999E-2</v>
      </c>
      <c r="AA26">
        <f t="shared" si="4"/>
        <v>0.21</v>
      </c>
      <c r="AB26">
        <f t="shared" si="20"/>
        <v>5.8999999999999999E-3</v>
      </c>
      <c r="AC26">
        <f t="shared" si="5"/>
        <v>0</v>
      </c>
      <c r="AD26">
        <f t="shared" si="21"/>
        <v>0</v>
      </c>
      <c r="AE26">
        <f t="shared" si="6"/>
        <v>3.8356164383561643E-3</v>
      </c>
      <c r="AF26">
        <f t="shared" si="7"/>
        <v>9.1999999999999998E-3</v>
      </c>
      <c r="AG26">
        <v>57</v>
      </c>
      <c r="AH26">
        <f t="shared" si="8"/>
        <v>0.89473684210526316</v>
      </c>
      <c r="AI26">
        <v>0</v>
      </c>
      <c r="AJ26">
        <f t="shared" si="22"/>
        <v>0</v>
      </c>
      <c r="AK26">
        <f t="shared" si="23"/>
        <v>6.3181847062017697E-4</v>
      </c>
      <c r="AL26">
        <f t="shared" si="9"/>
        <v>3.2485572667811859E-2</v>
      </c>
      <c r="AM26">
        <f t="shared" si="10"/>
        <v>6.0000000000000001E-3</v>
      </c>
      <c r="AN26">
        <f t="shared" si="24"/>
        <v>1.57</v>
      </c>
      <c r="AO26">
        <f t="shared" si="25"/>
        <v>1.3</v>
      </c>
      <c r="AP26">
        <f t="shared" si="26"/>
        <v>1</v>
      </c>
      <c r="AQ26">
        <f t="shared" si="11"/>
        <v>0.57100000000000006</v>
      </c>
      <c r="AR26">
        <v>1.7</v>
      </c>
      <c r="AS26">
        <f t="shared" si="27"/>
        <v>0.99691128459176326</v>
      </c>
      <c r="AT26">
        <f t="shared" si="12"/>
        <v>1.1534721617679149</v>
      </c>
      <c r="AU26">
        <f t="shared" si="28"/>
        <v>1.1499094145288902</v>
      </c>
      <c r="AV26">
        <f t="shared" si="13"/>
        <v>0.20698369461520022</v>
      </c>
      <c r="AW26">
        <f t="shared" si="29"/>
        <v>0.08</v>
      </c>
      <c r="AX26">
        <f t="shared" si="14"/>
        <v>0.34487699833033825</v>
      </c>
      <c r="AY26">
        <f t="shared" si="30"/>
        <v>0.24</v>
      </c>
      <c r="AZ26">
        <f t="shared" si="31"/>
        <v>0.6784</v>
      </c>
      <c r="BA26">
        <f t="shared" si="36"/>
        <v>0</v>
      </c>
      <c r="BB26">
        <f t="shared" si="32"/>
        <v>2.6391201879271607E-4</v>
      </c>
      <c r="BC26">
        <f t="shared" si="33"/>
        <v>2.6391201879271607E-4</v>
      </c>
      <c r="BD26">
        <f t="shared" si="34"/>
        <v>4.3347549086703614</v>
      </c>
      <c r="BF26">
        <f t="shared" si="15"/>
        <v>533.57553106880982</v>
      </c>
      <c r="BR26" s="13" t="s">
        <v>203</v>
      </c>
      <c r="BS26" s="13" t="s">
        <v>204</v>
      </c>
      <c r="BT26" s="13">
        <v>0.75</v>
      </c>
      <c r="BW26" t="s">
        <v>166</v>
      </c>
      <c r="BX26" t="s">
        <v>162</v>
      </c>
      <c r="BY26">
        <v>0</v>
      </c>
      <c r="BZ26">
        <v>-0.03</v>
      </c>
      <c r="CA26">
        <v>0</v>
      </c>
      <c r="CB26">
        <v>0</v>
      </c>
      <c r="CC26">
        <v>-0.05</v>
      </c>
      <c r="CD26">
        <v>0</v>
      </c>
      <c r="CE26">
        <v>4</v>
      </c>
      <c r="CI26" t="s">
        <v>165</v>
      </c>
      <c r="CJ26">
        <v>0</v>
      </c>
      <c r="CK26">
        <v>-0.03</v>
      </c>
      <c r="CL26">
        <v>-0.02</v>
      </c>
      <c r="CM26">
        <v>-0.02</v>
      </c>
      <c r="CN26">
        <v>0</v>
      </c>
      <c r="CO26">
        <v>0.05</v>
      </c>
    </row>
    <row r="27" spans="8:93" x14ac:dyDescent="0.2">
      <c r="H27" s="11" t="s">
        <v>162</v>
      </c>
      <c r="I27" t="s">
        <v>163</v>
      </c>
      <c r="J27">
        <v>1</v>
      </c>
      <c r="K27">
        <v>0.65</v>
      </c>
      <c r="L27">
        <v>50</v>
      </c>
      <c r="M27">
        <v>0</v>
      </c>
      <c r="N27">
        <v>0</v>
      </c>
      <c r="O27">
        <f t="shared" si="0"/>
        <v>91.25</v>
      </c>
      <c r="P27">
        <v>7.0000000000000007E-2</v>
      </c>
      <c r="Q27">
        <v>0.2</v>
      </c>
      <c r="R27">
        <v>0.75</v>
      </c>
      <c r="S27">
        <v>75</v>
      </c>
      <c r="T27">
        <f t="shared" si="16"/>
        <v>0</v>
      </c>
      <c r="U27">
        <f t="shared" si="17"/>
        <v>1</v>
      </c>
      <c r="V27">
        <f t="shared" si="18"/>
        <v>0.72</v>
      </c>
      <c r="W27">
        <f t="shared" si="1"/>
        <v>4.7000000000000002E-3</v>
      </c>
      <c r="X27">
        <f t="shared" si="19"/>
        <v>0</v>
      </c>
      <c r="Y27">
        <f t="shared" si="2"/>
        <v>0.24</v>
      </c>
      <c r="Z27">
        <f t="shared" si="3"/>
        <v>1.0999999999999999E-2</v>
      </c>
      <c r="AA27">
        <f t="shared" si="4"/>
        <v>0.21</v>
      </c>
      <c r="AB27">
        <f t="shared" si="20"/>
        <v>5.8999999999999999E-3</v>
      </c>
      <c r="AC27">
        <f t="shared" si="5"/>
        <v>0</v>
      </c>
      <c r="AD27">
        <f t="shared" si="21"/>
        <v>0</v>
      </c>
      <c r="AE27">
        <f t="shared" si="6"/>
        <v>1.7808219178082193E-3</v>
      </c>
      <c r="AF27">
        <f t="shared" si="7"/>
        <v>6.4400000000000013E-2</v>
      </c>
      <c r="AG27">
        <v>78</v>
      </c>
      <c r="AH27">
        <f t="shared" si="8"/>
        <v>0.96153846153846156</v>
      </c>
      <c r="AI27">
        <v>0</v>
      </c>
      <c r="AJ27">
        <f t="shared" si="22"/>
        <v>0</v>
      </c>
      <c r="AK27">
        <f t="shared" si="23"/>
        <v>1.0297560621526452E-3</v>
      </c>
      <c r="AL27">
        <f t="shared" si="9"/>
        <v>5.6307516155572376E-2</v>
      </c>
      <c r="AM27">
        <f t="shared" si="10"/>
        <v>6.0000000000000001E-3</v>
      </c>
      <c r="AN27">
        <f t="shared" si="24"/>
        <v>1.57</v>
      </c>
      <c r="AO27">
        <f t="shared" si="25"/>
        <v>1.3</v>
      </c>
      <c r="AP27">
        <f t="shared" si="26"/>
        <v>1</v>
      </c>
      <c r="AQ27">
        <f t="shared" si="11"/>
        <v>0.5948500000000001</v>
      </c>
      <c r="AR27">
        <v>2.9</v>
      </c>
      <c r="AS27">
        <f t="shared" si="27"/>
        <v>0.9999999504359468</v>
      </c>
      <c r="AT27">
        <f t="shared" si="12"/>
        <v>1.7917898456122741</v>
      </c>
      <c r="AU27">
        <f t="shared" si="28"/>
        <v>1.7917897568039067</v>
      </c>
      <c r="AV27">
        <f t="shared" si="13"/>
        <v>0.35835795136078136</v>
      </c>
      <c r="AW27">
        <f t="shared" si="29"/>
        <v>0.08</v>
      </c>
      <c r="AX27">
        <f t="shared" si="14"/>
        <v>0.53025843166411502</v>
      </c>
      <c r="AY27">
        <f t="shared" si="30"/>
        <v>0.24</v>
      </c>
      <c r="AZ27">
        <f t="shared" si="31"/>
        <v>0.6784</v>
      </c>
      <c r="BA27">
        <f t="shared" si="36"/>
        <v>0</v>
      </c>
      <c r="BB27">
        <f t="shared" si="32"/>
        <v>4.057724170061754E-4</v>
      </c>
      <c r="BC27">
        <f t="shared" si="33"/>
        <v>4.057724170061754E-4</v>
      </c>
      <c r="BD27">
        <f t="shared" si="34"/>
        <v>1.8513366525906754</v>
      </c>
      <c r="BF27">
        <f t="shared" si="15"/>
        <v>256.90304245979894</v>
      </c>
      <c r="BR27" s="13" t="s">
        <v>194</v>
      </c>
      <c r="BS27" s="13" t="s">
        <v>205</v>
      </c>
      <c r="BT27" s="13">
        <v>0.45</v>
      </c>
      <c r="BW27" t="s">
        <v>163</v>
      </c>
      <c r="BX27" t="s">
        <v>167</v>
      </c>
      <c r="BY27">
        <v>0.08</v>
      </c>
      <c r="BZ27">
        <v>0</v>
      </c>
      <c r="CA27">
        <v>0.11</v>
      </c>
      <c r="CB27">
        <v>0.11</v>
      </c>
      <c r="CC27">
        <v>0.11</v>
      </c>
      <c r="CD27">
        <v>0.13</v>
      </c>
      <c r="CE27">
        <v>1</v>
      </c>
      <c r="CI27" t="s">
        <v>166</v>
      </c>
      <c r="CJ27">
        <v>-0.05</v>
      </c>
      <c r="CK27">
        <v>-0.02</v>
      </c>
      <c r="CL27">
        <v>-0.03</v>
      </c>
      <c r="CM27">
        <v>-0.03</v>
      </c>
      <c r="CN27">
        <v>0</v>
      </c>
      <c r="CO27">
        <v>0.02</v>
      </c>
    </row>
    <row r="28" spans="8:93" x14ac:dyDescent="0.2">
      <c r="H28" s="12"/>
      <c r="I28" t="s">
        <v>164</v>
      </c>
      <c r="J28">
        <f>J27</f>
        <v>1</v>
      </c>
      <c r="K28">
        <f>K27</f>
        <v>0.65</v>
      </c>
      <c r="L28">
        <v>55</v>
      </c>
      <c r="M28">
        <v>0</v>
      </c>
      <c r="N28">
        <v>0</v>
      </c>
      <c r="O28">
        <f t="shared" si="0"/>
        <v>91.25</v>
      </c>
      <c r="P28">
        <v>0</v>
      </c>
      <c r="Q28">
        <v>0.1</v>
      </c>
      <c r="R28">
        <v>0.61</v>
      </c>
      <c r="S28">
        <v>75</v>
      </c>
      <c r="T28">
        <f t="shared" si="16"/>
        <v>0</v>
      </c>
      <c r="U28">
        <f t="shared" si="17"/>
        <v>1</v>
      </c>
      <c r="V28">
        <f t="shared" si="18"/>
        <v>0.72</v>
      </c>
      <c r="W28">
        <f t="shared" si="1"/>
        <v>4.7000000000000002E-3</v>
      </c>
      <c r="X28">
        <f t="shared" si="19"/>
        <v>0</v>
      </c>
      <c r="Y28">
        <f t="shared" si="2"/>
        <v>0.24</v>
      </c>
      <c r="Z28">
        <f t="shared" si="3"/>
        <v>1.0999999999999999E-2</v>
      </c>
      <c r="AA28">
        <f t="shared" si="4"/>
        <v>0.21</v>
      </c>
      <c r="AB28">
        <f t="shared" si="20"/>
        <v>5.8999999999999999E-3</v>
      </c>
      <c r="AC28">
        <f t="shared" si="5"/>
        <v>0</v>
      </c>
      <c r="AD28">
        <f t="shared" si="21"/>
        <v>0</v>
      </c>
      <c r="AE28">
        <f t="shared" si="6"/>
        <v>1.7808219178082193E-3</v>
      </c>
      <c r="AF28">
        <f t="shared" si="7"/>
        <v>0</v>
      </c>
      <c r="AG28">
        <v>78</v>
      </c>
      <c r="AH28">
        <f t="shared" si="8"/>
        <v>0.96153846153846156</v>
      </c>
      <c r="AI28">
        <v>0</v>
      </c>
      <c r="AJ28">
        <f t="shared" si="22"/>
        <v>0</v>
      </c>
      <c r="AK28">
        <f t="shared" si="23"/>
        <v>2.3934246575342468E-4</v>
      </c>
      <c r="AL28">
        <f t="shared" si="9"/>
        <v>2.3677410059052224E-2</v>
      </c>
      <c r="AM28">
        <f t="shared" si="10"/>
        <v>6.0000000000000001E-3</v>
      </c>
      <c r="AN28">
        <f t="shared" si="24"/>
        <v>1.57</v>
      </c>
      <c r="AO28">
        <f t="shared" si="25"/>
        <v>1.3</v>
      </c>
      <c r="AP28">
        <f t="shared" si="26"/>
        <v>1</v>
      </c>
      <c r="AQ28">
        <f t="shared" si="11"/>
        <v>0.48354999999999998</v>
      </c>
      <c r="AR28">
        <v>2.5</v>
      </c>
      <c r="AS28">
        <f t="shared" si="27"/>
        <v>0.99999627334682795</v>
      </c>
      <c r="AT28">
        <f t="shared" si="12"/>
        <v>1.4948026034112167</v>
      </c>
      <c r="AU28">
        <f t="shared" si="28"/>
        <v>1.494797032800353</v>
      </c>
      <c r="AV28">
        <f t="shared" si="13"/>
        <v>0.14947970328003532</v>
      </c>
      <c r="AW28">
        <f t="shared" si="29"/>
        <v>0.08</v>
      </c>
      <c r="AX28">
        <f t="shared" si="14"/>
        <v>0.61855976399785639</v>
      </c>
      <c r="AY28">
        <f t="shared" si="30"/>
        <v>0.24</v>
      </c>
      <c r="AZ28">
        <f t="shared" si="31"/>
        <v>0.6784</v>
      </c>
      <c r="BA28">
        <f t="shared" si="36"/>
        <v>0</v>
      </c>
      <c r="BB28">
        <f t="shared" si="32"/>
        <v>4.7334370471485243E-4</v>
      </c>
      <c r="BC28">
        <f t="shared" si="33"/>
        <v>4.7334370471485243E-4</v>
      </c>
      <c r="BD28">
        <f t="shared" si="34"/>
        <v>2.3755937180376656</v>
      </c>
      <c r="BF28">
        <f t="shared" si="15"/>
        <v>118.83100173386836</v>
      </c>
      <c r="BR28" s="13" t="s">
        <v>195</v>
      </c>
      <c r="BS28" s="13" t="s">
        <v>206</v>
      </c>
      <c r="BT28" s="13">
        <v>0.09</v>
      </c>
      <c r="BW28" t="s">
        <v>164</v>
      </c>
      <c r="BX28" t="s">
        <v>167</v>
      </c>
      <c r="BY28">
        <v>-0.08</v>
      </c>
      <c r="BZ28">
        <v>0.05</v>
      </c>
      <c r="CA28">
        <v>-0.1</v>
      </c>
      <c r="CB28">
        <v>0</v>
      </c>
      <c r="CC28">
        <v>-0.05</v>
      </c>
      <c r="CD28">
        <v>-0.05</v>
      </c>
      <c r="CE28">
        <v>2</v>
      </c>
      <c r="CH28" t="s">
        <v>178</v>
      </c>
      <c r="CI28" t="s">
        <v>163</v>
      </c>
      <c r="CJ28">
        <v>0.11</v>
      </c>
      <c r="CK28">
        <v>0.13</v>
      </c>
      <c r="CL28">
        <v>0.05</v>
      </c>
      <c r="CM28">
        <v>0.05</v>
      </c>
      <c r="CN28">
        <v>0.05</v>
      </c>
      <c r="CO28">
        <v>0.11</v>
      </c>
    </row>
    <row r="29" spans="8:93" x14ac:dyDescent="0.2">
      <c r="H29" s="11"/>
      <c r="I29" t="s">
        <v>165</v>
      </c>
      <c r="J29">
        <f t="shared" ref="J29:K30" si="40">J28</f>
        <v>1</v>
      </c>
      <c r="K29">
        <f t="shared" si="40"/>
        <v>0.65</v>
      </c>
      <c r="L29">
        <v>60</v>
      </c>
      <c r="M29">
        <v>0</v>
      </c>
      <c r="N29">
        <v>0</v>
      </c>
      <c r="O29">
        <f t="shared" si="0"/>
        <v>91.25</v>
      </c>
      <c r="P29">
        <v>-7.0000000000000007E-2</v>
      </c>
      <c r="Q29">
        <v>0.12</v>
      </c>
      <c r="R29">
        <v>0.64</v>
      </c>
      <c r="S29">
        <v>69</v>
      </c>
      <c r="T29">
        <f t="shared" si="16"/>
        <v>0</v>
      </c>
      <c r="U29">
        <f t="shared" si="17"/>
        <v>1</v>
      </c>
      <c r="V29">
        <f t="shared" si="18"/>
        <v>0.72</v>
      </c>
      <c r="W29">
        <f t="shared" si="1"/>
        <v>4.7000000000000002E-3</v>
      </c>
      <c r="X29">
        <f t="shared" si="19"/>
        <v>0</v>
      </c>
      <c r="Y29">
        <f t="shared" si="2"/>
        <v>0.24</v>
      </c>
      <c r="Z29">
        <f t="shared" si="3"/>
        <v>1.0999999999999999E-2</v>
      </c>
      <c r="AA29">
        <f t="shared" si="4"/>
        <v>0.21</v>
      </c>
      <c r="AB29">
        <f t="shared" si="20"/>
        <v>5.8999999999999999E-3</v>
      </c>
      <c r="AC29">
        <f t="shared" si="5"/>
        <v>0</v>
      </c>
      <c r="AD29">
        <f t="shared" si="21"/>
        <v>0</v>
      </c>
      <c r="AE29">
        <f t="shared" si="6"/>
        <v>1.7808219178082193E-3</v>
      </c>
      <c r="AF29">
        <f t="shared" si="7"/>
        <v>-6.4400000000000013E-2</v>
      </c>
      <c r="AG29">
        <v>78</v>
      </c>
      <c r="AH29">
        <f t="shared" si="8"/>
        <v>0.88461538461538458</v>
      </c>
      <c r="AI29">
        <v>0</v>
      </c>
      <c r="AJ29">
        <f t="shared" si="22"/>
        <v>0</v>
      </c>
      <c r="AK29">
        <f t="shared" si="23"/>
        <v>-5.8067645512978143E-4</v>
      </c>
      <c r="AL29">
        <f t="shared" si="9"/>
        <v>2.7679259014053301E-2</v>
      </c>
      <c r="AM29">
        <f t="shared" si="10"/>
        <v>6.0000000000000001E-3</v>
      </c>
      <c r="AN29">
        <f t="shared" si="24"/>
        <v>1.57</v>
      </c>
      <c r="AO29">
        <f t="shared" si="25"/>
        <v>1.3</v>
      </c>
      <c r="AP29">
        <f t="shared" si="26"/>
        <v>1</v>
      </c>
      <c r="AQ29">
        <f t="shared" si="11"/>
        <v>0.50740000000000007</v>
      </c>
      <c r="AR29">
        <v>1.6</v>
      </c>
      <c r="AS29">
        <f t="shared" si="27"/>
        <v>0.99402397710499402</v>
      </c>
      <c r="AT29">
        <f t="shared" si="12"/>
        <v>1.4198696820048529</v>
      </c>
      <c r="AU29">
        <f t="shared" si="28"/>
        <v>1.4113845082772669</v>
      </c>
      <c r="AV29">
        <f t="shared" si="13"/>
        <v>0.16936614099327202</v>
      </c>
      <c r="AW29">
        <f t="shared" si="29"/>
        <v>0.08</v>
      </c>
      <c r="AX29">
        <f t="shared" si="14"/>
        <v>0.54075637841297708</v>
      </c>
      <c r="AY29">
        <f t="shared" si="30"/>
        <v>0.24</v>
      </c>
      <c r="AZ29">
        <f t="shared" si="31"/>
        <v>0.6784</v>
      </c>
      <c r="BA29">
        <f t="shared" si="36"/>
        <v>0</v>
      </c>
      <c r="BB29">
        <f t="shared" si="32"/>
        <v>4.138058153861302E-4</v>
      </c>
      <c r="BC29">
        <f t="shared" si="33"/>
        <v>4.138058153861302E-4</v>
      </c>
      <c r="BD29">
        <f t="shared" si="34"/>
        <v>2.265586839239063</v>
      </c>
      <c r="BF29">
        <f t="shared" si="15"/>
        <v>151.54394310194181</v>
      </c>
      <c r="BR29" s="13" t="s">
        <v>196</v>
      </c>
      <c r="BS29" s="13" t="s">
        <v>207</v>
      </c>
      <c r="BT29" s="13">
        <v>0.26</v>
      </c>
      <c r="BW29" t="s">
        <v>165</v>
      </c>
      <c r="BX29" t="s">
        <v>167</v>
      </c>
      <c r="BY29">
        <v>0</v>
      </c>
      <c r="BZ29">
        <v>0</v>
      </c>
      <c r="CA29">
        <v>-0.1</v>
      </c>
      <c r="CB29">
        <v>-0.1</v>
      </c>
      <c r="CC29">
        <v>-0.03</v>
      </c>
      <c r="CD29">
        <v>-0.08</v>
      </c>
      <c r="CE29">
        <v>3</v>
      </c>
      <c r="CI29" t="s">
        <v>164</v>
      </c>
      <c r="CJ29">
        <v>-0.11</v>
      </c>
      <c r="CK29">
        <v>-0.05</v>
      </c>
      <c r="CL29">
        <v>-0.05</v>
      </c>
      <c r="CM29">
        <v>-0.05</v>
      </c>
      <c r="CN29">
        <v>-0.05</v>
      </c>
      <c r="CO29">
        <v>0</v>
      </c>
    </row>
    <row r="30" spans="8:93" x14ac:dyDescent="0.2">
      <c r="H30" s="12"/>
      <c r="I30" t="s">
        <v>166</v>
      </c>
      <c r="J30">
        <f t="shared" si="40"/>
        <v>1</v>
      </c>
      <c r="K30">
        <f t="shared" si="40"/>
        <v>0.65</v>
      </c>
      <c r="L30">
        <v>65</v>
      </c>
      <c r="M30">
        <v>0</v>
      </c>
      <c r="N30">
        <v>0</v>
      </c>
      <c r="O30">
        <f t="shared" si="0"/>
        <v>91.25</v>
      </c>
      <c r="P30">
        <v>0</v>
      </c>
      <c r="Q30">
        <v>0.18</v>
      </c>
      <c r="R30">
        <v>0.72</v>
      </c>
      <c r="S30">
        <v>69</v>
      </c>
      <c r="T30">
        <f t="shared" si="16"/>
        <v>0</v>
      </c>
      <c r="U30">
        <f t="shared" si="17"/>
        <v>1</v>
      </c>
      <c r="V30">
        <f t="shared" si="18"/>
        <v>0.72</v>
      </c>
      <c r="W30">
        <f t="shared" si="1"/>
        <v>4.7000000000000002E-3</v>
      </c>
      <c r="X30">
        <f t="shared" si="19"/>
        <v>0</v>
      </c>
      <c r="Y30">
        <f t="shared" si="2"/>
        <v>0.24</v>
      </c>
      <c r="Z30">
        <f t="shared" si="3"/>
        <v>1.0999999999999999E-2</v>
      </c>
      <c r="AA30">
        <f t="shared" si="4"/>
        <v>0.21</v>
      </c>
      <c r="AB30">
        <f t="shared" si="20"/>
        <v>5.8999999999999999E-3</v>
      </c>
      <c r="AC30">
        <f t="shared" si="5"/>
        <v>0</v>
      </c>
      <c r="AD30">
        <f t="shared" si="21"/>
        <v>0</v>
      </c>
      <c r="AE30">
        <f t="shared" si="6"/>
        <v>1.7808219178082193E-3</v>
      </c>
      <c r="AF30">
        <f t="shared" si="7"/>
        <v>0</v>
      </c>
      <c r="AG30">
        <v>78</v>
      </c>
      <c r="AH30">
        <f t="shared" si="8"/>
        <v>0.88461538461538458</v>
      </c>
      <c r="AI30">
        <v>0</v>
      </c>
      <c r="AJ30">
        <f t="shared" si="22"/>
        <v>0</v>
      </c>
      <c r="AK30">
        <f t="shared" si="23"/>
        <v>2.3934246575342468E-4</v>
      </c>
      <c r="AL30">
        <f t="shared" si="9"/>
        <v>4.5103691581787016E-2</v>
      </c>
      <c r="AM30">
        <f t="shared" si="10"/>
        <v>6.0000000000000001E-3</v>
      </c>
      <c r="AN30">
        <f t="shared" si="24"/>
        <v>1.57</v>
      </c>
      <c r="AO30">
        <f t="shared" si="25"/>
        <v>1.3</v>
      </c>
      <c r="AP30">
        <f t="shared" si="26"/>
        <v>1</v>
      </c>
      <c r="AQ30">
        <f t="shared" si="11"/>
        <v>0.57100000000000006</v>
      </c>
      <c r="AR30">
        <v>1.7</v>
      </c>
      <c r="AS30">
        <f t="shared" si="27"/>
        <v>0.99691128459176326</v>
      </c>
      <c r="AT30">
        <f t="shared" si="12"/>
        <v>1.5792888783210146</v>
      </c>
      <c r="AU30">
        <f t="shared" si="28"/>
        <v>1.5744109044284875</v>
      </c>
      <c r="AV30">
        <f t="shared" si="13"/>
        <v>0.28339396279712775</v>
      </c>
      <c r="AW30">
        <f t="shared" si="29"/>
        <v>0.08</v>
      </c>
      <c r="AX30">
        <f t="shared" si="14"/>
        <v>0.49678697379296494</v>
      </c>
      <c r="AY30">
        <f t="shared" si="30"/>
        <v>0.24</v>
      </c>
      <c r="AZ30">
        <f t="shared" si="31"/>
        <v>0.6784</v>
      </c>
      <c r="BA30">
        <f t="shared" si="36"/>
        <v>0</v>
      </c>
      <c r="BB30">
        <f t="shared" si="32"/>
        <v>3.8015887924785428E-4</v>
      </c>
      <c r="BC30">
        <f t="shared" si="33"/>
        <v>3.8015887924785428E-4</v>
      </c>
      <c r="BD30">
        <f t="shared" si="34"/>
        <v>2.2548173525388355</v>
      </c>
      <c r="BF30">
        <f t="shared" si="15"/>
        <v>267.52127069447425</v>
      </c>
      <c r="BR30" s="13" t="s">
        <v>197</v>
      </c>
      <c r="BS30" s="13" t="s">
        <v>208</v>
      </c>
      <c r="BT30" s="13">
        <v>0.5</v>
      </c>
      <c r="BW30" t="s">
        <v>166</v>
      </c>
      <c r="BX30" t="s">
        <v>167</v>
      </c>
      <c r="BY30">
        <v>0</v>
      </c>
      <c r="BZ30">
        <v>-0.05</v>
      </c>
      <c r="CA30">
        <v>0</v>
      </c>
      <c r="CB30">
        <v>-0.1</v>
      </c>
      <c r="CC30">
        <v>-0.02</v>
      </c>
      <c r="CD30">
        <v>0</v>
      </c>
      <c r="CE30">
        <v>4</v>
      </c>
      <c r="CI30" t="s">
        <v>165</v>
      </c>
      <c r="CJ30">
        <v>0</v>
      </c>
      <c r="CK30">
        <v>-0.08</v>
      </c>
      <c r="CL30">
        <v>0.11</v>
      </c>
      <c r="CM30">
        <v>-0.05</v>
      </c>
      <c r="CN30">
        <v>-0.05</v>
      </c>
      <c r="CO30">
        <v>0.11</v>
      </c>
    </row>
    <row r="31" spans="8:93" x14ac:dyDescent="0.2">
      <c r="H31" s="11" t="s">
        <v>167</v>
      </c>
      <c r="I31" t="s">
        <v>163</v>
      </c>
      <c r="J31">
        <v>0.5</v>
      </c>
      <c r="K31">
        <v>0.65</v>
      </c>
      <c r="L31">
        <v>50</v>
      </c>
      <c r="M31">
        <v>0</v>
      </c>
      <c r="N31">
        <v>0</v>
      </c>
      <c r="O31">
        <f t="shared" si="0"/>
        <v>91.25</v>
      </c>
      <c r="P31">
        <v>0.08</v>
      </c>
      <c r="Q31">
        <v>0.2</v>
      </c>
      <c r="R31">
        <v>0.75</v>
      </c>
      <c r="S31">
        <v>62</v>
      </c>
      <c r="T31">
        <f t="shared" si="16"/>
        <v>0</v>
      </c>
      <c r="U31">
        <f t="shared" si="17"/>
        <v>1</v>
      </c>
      <c r="V31">
        <f t="shared" si="18"/>
        <v>0.72</v>
      </c>
      <c r="W31">
        <f t="shared" si="1"/>
        <v>4.7000000000000002E-3</v>
      </c>
      <c r="X31">
        <f t="shared" si="19"/>
        <v>0</v>
      </c>
      <c r="Y31">
        <f t="shared" si="2"/>
        <v>0.24</v>
      </c>
      <c r="Z31">
        <f t="shared" si="3"/>
        <v>1.0999999999999999E-2</v>
      </c>
      <c r="AA31">
        <f t="shared" si="4"/>
        <v>0.21</v>
      </c>
      <c r="AB31">
        <f t="shared" si="20"/>
        <v>5.8999999999999999E-3</v>
      </c>
      <c r="AC31">
        <f t="shared" si="5"/>
        <v>0</v>
      </c>
      <c r="AD31">
        <f t="shared" si="21"/>
        <v>0</v>
      </c>
      <c r="AE31">
        <f t="shared" si="6"/>
        <v>8.9041095890410966E-4</v>
      </c>
      <c r="AF31">
        <f t="shared" si="7"/>
        <v>7.3599999999999999E-2</v>
      </c>
      <c r="AG31">
        <v>62</v>
      </c>
      <c r="AH31">
        <f t="shared" si="8"/>
        <v>1</v>
      </c>
      <c r="AI31">
        <v>0</v>
      </c>
      <c r="AJ31">
        <f t="shared" si="22"/>
        <v>0</v>
      </c>
      <c r="AK31">
        <f t="shared" si="23"/>
        <v>1.0116016126962319E-3</v>
      </c>
      <c r="AL31">
        <f t="shared" si="9"/>
        <v>4.58755829416546E-2</v>
      </c>
      <c r="AM31">
        <f t="shared" si="10"/>
        <v>6.0000000000000001E-3</v>
      </c>
      <c r="AN31">
        <f t="shared" si="24"/>
        <v>1.57</v>
      </c>
      <c r="AO31">
        <f t="shared" si="25"/>
        <v>1.3</v>
      </c>
      <c r="AP31">
        <f t="shared" si="26"/>
        <v>1</v>
      </c>
      <c r="AQ31">
        <f t="shared" si="11"/>
        <v>0.5948500000000001</v>
      </c>
      <c r="AR31">
        <v>2.9</v>
      </c>
      <c r="AS31">
        <f t="shared" si="27"/>
        <v>0.9999999504359468</v>
      </c>
      <c r="AT31">
        <f t="shared" si="12"/>
        <v>1.4652245899459331</v>
      </c>
      <c r="AU31">
        <f t="shared" si="28"/>
        <v>1.4652245173234635</v>
      </c>
      <c r="AV31">
        <f t="shared" si="13"/>
        <v>0.2930449034646927</v>
      </c>
      <c r="AW31">
        <f t="shared" si="29"/>
        <v>0.08</v>
      </c>
      <c r="AX31">
        <f t="shared" si="14"/>
        <v>0.41600692919529714</v>
      </c>
      <c r="AY31">
        <f t="shared" si="30"/>
        <v>0.24</v>
      </c>
      <c r="AZ31">
        <f t="shared" si="31"/>
        <v>0.6784</v>
      </c>
      <c r="BA31">
        <f t="shared" si="36"/>
        <v>0</v>
      </c>
      <c r="BB31">
        <f t="shared" si="32"/>
        <v>3.1834314566414905E-4</v>
      </c>
      <c r="BC31">
        <f t="shared" si="33"/>
        <v>3.1834314566414905E-4</v>
      </c>
      <c r="BD31">
        <f t="shared" si="34"/>
        <v>1.4524406020926799</v>
      </c>
      <c r="BF31">
        <f t="shared" si="15"/>
        <v>209.30734717129909</v>
      </c>
      <c r="BR31" s="13" t="s">
        <v>198</v>
      </c>
      <c r="BS31" s="13" t="s">
        <v>209</v>
      </c>
      <c r="BT31" s="13">
        <v>0.83</v>
      </c>
      <c r="CI31" t="s">
        <v>166</v>
      </c>
      <c r="CJ31">
        <v>0</v>
      </c>
      <c r="CK31">
        <v>0</v>
      </c>
      <c r="CL31">
        <v>0.05</v>
      </c>
      <c r="CM31">
        <v>0.05</v>
      </c>
      <c r="CN31">
        <v>0.05</v>
      </c>
      <c r="CO31">
        <v>0.11</v>
      </c>
    </row>
    <row r="32" spans="8:93" x14ac:dyDescent="0.2">
      <c r="H32" s="12"/>
      <c r="I32" t="s">
        <v>164</v>
      </c>
      <c r="J32">
        <f>J31</f>
        <v>0.5</v>
      </c>
      <c r="K32">
        <f>K31</f>
        <v>0.65</v>
      </c>
      <c r="L32">
        <v>100</v>
      </c>
      <c r="M32">
        <v>0</v>
      </c>
      <c r="N32">
        <v>0</v>
      </c>
      <c r="O32">
        <f t="shared" si="0"/>
        <v>91.25</v>
      </c>
      <c r="P32">
        <v>-0.08</v>
      </c>
      <c r="Q32">
        <v>0.1</v>
      </c>
      <c r="R32">
        <v>0.61</v>
      </c>
      <c r="S32">
        <v>55</v>
      </c>
      <c r="T32">
        <f t="shared" si="16"/>
        <v>0</v>
      </c>
      <c r="U32">
        <f t="shared" si="17"/>
        <v>1</v>
      </c>
      <c r="V32">
        <f t="shared" si="18"/>
        <v>0.72</v>
      </c>
      <c r="W32">
        <f t="shared" si="1"/>
        <v>4.7000000000000002E-3</v>
      </c>
      <c r="X32">
        <f t="shared" si="19"/>
        <v>0</v>
      </c>
      <c r="Y32">
        <f t="shared" si="2"/>
        <v>0.24</v>
      </c>
      <c r="Z32">
        <f t="shared" si="3"/>
        <v>1.0999999999999999E-2</v>
      </c>
      <c r="AA32">
        <f t="shared" si="4"/>
        <v>0.21</v>
      </c>
      <c r="AB32">
        <f t="shared" si="20"/>
        <v>5.8999999999999999E-3</v>
      </c>
      <c r="AC32">
        <f t="shared" si="5"/>
        <v>0</v>
      </c>
      <c r="AD32">
        <f t="shared" si="21"/>
        <v>0</v>
      </c>
      <c r="AE32">
        <f t="shared" si="6"/>
        <v>8.9041095890410966E-4</v>
      </c>
      <c r="AF32">
        <f t="shared" si="7"/>
        <v>-7.3599999999999999E-2</v>
      </c>
      <c r="AG32">
        <v>62</v>
      </c>
      <c r="AH32">
        <f t="shared" si="8"/>
        <v>0.88709677419354838</v>
      </c>
      <c r="AI32">
        <v>0</v>
      </c>
      <c r="AJ32">
        <f t="shared" si="22"/>
        <v>0</v>
      </c>
      <c r="AK32">
        <f t="shared" si="23"/>
        <v>-8.1676849356428693E-4</v>
      </c>
      <c r="AL32">
        <f t="shared" si="9"/>
        <v>1.7785704265871654E-2</v>
      </c>
      <c r="AM32">
        <f t="shared" si="10"/>
        <v>6.0000000000000001E-3</v>
      </c>
      <c r="AN32">
        <f t="shared" si="24"/>
        <v>1.57</v>
      </c>
      <c r="AO32">
        <f t="shared" si="25"/>
        <v>1.3</v>
      </c>
      <c r="AP32">
        <f t="shared" si="26"/>
        <v>1</v>
      </c>
      <c r="AQ32">
        <f t="shared" si="11"/>
        <v>0.48354999999999998</v>
      </c>
      <c r="AR32">
        <v>2.5</v>
      </c>
      <c r="AS32">
        <f t="shared" si="27"/>
        <v>0.99999627334682795</v>
      </c>
      <c r="AT32">
        <f t="shared" si="12"/>
        <v>1.0605624381175847</v>
      </c>
      <c r="AU32">
        <f t="shared" si="28"/>
        <v>1.0605584857692105</v>
      </c>
      <c r="AV32">
        <f t="shared" si="13"/>
        <v>0.10605584857692106</v>
      </c>
      <c r="AW32">
        <f t="shared" si="29"/>
        <v>0.08</v>
      </c>
      <c r="AX32">
        <f t="shared" si="14"/>
        <v>0.42192044699791736</v>
      </c>
      <c r="AY32">
        <f t="shared" si="30"/>
        <v>0.24</v>
      </c>
      <c r="AZ32">
        <f t="shared" si="31"/>
        <v>0.6784</v>
      </c>
      <c r="BA32">
        <f t="shared" si="36"/>
        <v>0</v>
      </c>
      <c r="BB32">
        <f t="shared" si="32"/>
        <v>3.2286837764254069E-4</v>
      </c>
      <c r="BC32">
        <f t="shared" si="33"/>
        <v>3.2286837764254069E-4</v>
      </c>
      <c r="BD32">
        <f t="shared" si="34"/>
        <v>2.9461739459881837</v>
      </c>
      <c r="BF32">
        <f t="shared" si="15"/>
        <v>162.29455142607884</v>
      </c>
      <c r="BR32" s="13" t="s">
        <v>199</v>
      </c>
      <c r="BS32" s="13" t="s">
        <v>210</v>
      </c>
      <c r="BT32" s="13">
        <v>0.41</v>
      </c>
    </row>
    <row r="33" spans="8:93" x14ac:dyDescent="0.2">
      <c r="H33" s="11"/>
      <c r="I33" t="s">
        <v>165</v>
      </c>
      <c r="J33">
        <f t="shared" ref="J33:K34" si="41">J32</f>
        <v>0.5</v>
      </c>
      <c r="K33">
        <f t="shared" si="41"/>
        <v>0.65</v>
      </c>
      <c r="L33">
        <v>90</v>
      </c>
      <c r="M33">
        <v>0</v>
      </c>
      <c r="N33">
        <v>0</v>
      </c>
      <c r="O33">
        <f t="shared" si="0"/>
        <v>91.25</v>
      </c>
      <c r="P33">
        <v>0</v>
      </c>
      <c r="Q33">
        <v>0.12</v>
      </c>
      <c r="R33">
        <v>0.64</v>
      </c>
      <c r="S33">
        <v>55</v>
      </c>
      <c r="T33">
        <f t="shared" si="16"/>
        <v>0</v>
      </c>
      <c r="U33">
        <f t="shared" si="17"/>
        <v>1</v>
      </c>
      <c r="V33">
        <f t="shared" si="18"/>
        <v>0.72</v>
      </c>
      <c r="W33">
        <f t="shared" si="1"/>
        <v>4.7000000000000002E-3</v>
      </c>
      <c r="X33">
        <f t="shared" si="19"/>
        <v>0</v>
      </c>
      <c r="Y33">
        <f t="shared" si="2"/>
        <v>0.24</v>
      </c>
      <c r="Z33">
        <f t="shared" si="3"/>
        <v>1.0999999999999999E-2</v>
      </c>
      <c r="AA33">
        <f t="shared" si="4"/>
        <v>0.21</v>
      </c>
      <c r="AB33">
        <f t="shared" si="20"/>
        <v>5.8999999999999999E-3</v>
      </c>
      <c r="AC33">
        <f t="shared" si="5"/>
        <v>0</v>
      </c>
      <c r="AD33">
        <f t="shared" si="21"/>
        <v>0</v>
      </c>
      <c r="AE33">
        <f t="shared" si="6"/>
        <v>8.9041095890410966E-4</v>
      </c>
      <c r="AF33">
        <f t="shared" si="7"/>
        <v>0</v>
      </c>
      <c r="AG33">
        <v>62</v>
      </c>
      <c r="AH33">
        <f t="shared" si="8"/>
        <v>0.88709677419354838</v>
      </c>
      <c r="AI33">
        <v>0</v>
      </c>
      <c r="AJ33">
        <f t="shared" si="22"/>
        <v>0</v>
      </c>
      <c r="AK33">
        <f t="shared" si="23"/>
        <v>1.1967123287671234E-4</v>
      </c>
      <c r="AL33">
        <f t="shared" si="9"/>
        <v>2.1083948851597697E-2</v>
      </c>
      <c r="AM33">
        <f t="shared" si="10"/>
        <v>6.0000000000000001E-3</v>
      </c>
      <c r="AN33">
        <f t="shared" si="24"/>
        <v>1.57</v>
      </c>
      <c r="AO33">
        <f t="shared" si="25"/>
        <v>1.3</v>
      </c>
      <c r="AP33">
        <f t="shared" si="26"/>
        <v>1</v>
      </c>
      <c r="AQ33">
        <f t="shared" si="11"/>
        <v>0.50740000000000007</v>
      </c>
      <c r="AR33">
        <v>1.6</v>
      </c>
      <c r="AS33">
        <f t="shared" si="27"/>
        <v>0.99402397710499402</v>
      </c>
      <c r="AT33">
        <f t="shared" si="12"/>
        <v>1.1109945415495692</v>
      </c>
      <c r="AU33">
        <f t="shared" si="28"/>
        <v>1.1043552127330423</v>
      </c>
      <c r="AV33">
        <f t="shared" si="13"/>
        <v>0.13252262552796507</v>
      </c>
      <c r="AW33">
        <f t="shared" si="29"/>
        <v>0.08</v>
      </c>
      <c r="AX33">
        <f t="shared" si="14"/>
        <v>0.41064374249795926</v>
      </c>
      <c r="AY33">
        <f t="shared" si="30"/>
        <v>0.24</v>
      </c>
      <c r="AZ33">
        <f t="shared" si="31"/>
        <v>0.6784</v>
      </c>
      <c r="BA33">
        <f t="shared" si="36"/>
        <v>0</v>
      </c>
      <c r="BB33">
        <f t="shared" si="32"/>
        <v>3.1423904641917434E-4</v>
      </c>
      <c r="BC33">
        <f t="shared" si="33"/>
        <v>3.1423904641917434E-4</v>
      </c>
      <c r="BD33">
        <f t="shared" si="34"/>
        <v>2.5806881687174696</v>
      </c>
      <c r="BF33">
        <f t="shared" si="15"/>
        <v>173.1519299437461</v>
      </c>
    </row>
    <row r="34" spans="8:93" x14ac:dyDescent="0.2">
      <c r="H34" s="12"/>
      <c r="I34" t="s">
        <v>166</v>
      </c>
      <c r="J34">
        <f t="shared" si="41"/>
        <v>0.5</v>
      </c>
      <c r="K34">
        <f t="shared" si="41"/>
        <v>0.65</v>
      </c>
      <c r="L34">
        <v>80</v>
      </c>
      <c r="M34">
        <v>0</v>
      </c>
      <c r="N34">
        <v>0</v>
      </c>
      <c r="O34">
        <f t="shared" si="0"/>
        <v>91.25</v>
      </c>
      <c r="P34">
        <v>0</v>
      </c>
      <c r="Q34">
        <v>0.18</v>
      </c>
      <c r="R34">
        <v>0.72</v>
      </c>
      <c r="S34">
        <v>55</v>
      </c>
      <c r="T34">
        <f t="shared" si="16"/>
        <v>0</v>
      </c>
      <c r="U34">
        <f t="shared" si="17"/>
        <v>1</v>
      </c>
      <c r="V34">
        <f t="shared" si="18"/>
        <v>0.72</v>
      </c>
      <c r="W34">
        <f t="shared" si="1"/>
        <v>4.7000000000000002E-3</v>
      </c>
      <c r="X34">
        <f t="shared" si="19"/>
        <v>0</v>
      </c>
      <c r="Y34">
        <f t="shared" si="2"/>
        <v>0.24</v>
      </c>
      <c r="Z34">
        <f t="shared" si="3"/>
        <v>1.0999999999999999E-2</v>
      </c>
      <c r="AA34">
        <f t="shared" si="4"/>
        <v>0.21</v>
      </c>
      <c r="AB34">
        <f t="shared" si="20"/>
        <v>5.8999999999999999E-3</v>
      </c>
      <c r="AC34">
        <f t="shared" si="5"/>
        <v>0</v>
      </c>
      <c r="AD34">
        <f t="shared" si="21"/>
        <v>0</v>
      </c>
      <c r="AE34">
        <f t="shared" si="6"/>
        <v>8.9041095890410966E-4</v>
      </c>
      <c r="AF34">
        <f t="shared" si="7"/>
        <v>0</v>
      </c>
      <c r="AG34">
        <v>62</v>
      </c>
      <c r="AH34">
        <f t="shared" si="8"/>
        <v>0.88709677419354838</v>
      </c>
      <c r="AI34">
        <v>0</v>
      </c>
      <c r="AJ34">
        <f t="shared" si="22"/>
        <v>0</v>
      </c>
      <c r="AK34">
        <f t="shared" si="23"/>
        <v>1.1967123287671234E-4</v>
      </c>
      <c r="AL34">
        <f t="shared" si="9"/>
        <v>3.5639365415842103E-2</v>
      </c>
      <c r="AM34">
        <f t="shared" si="10"/>
        <v>6.0000000000000001E-3</v>
      </c>
      <c r="AN34">
        <f t="shared" si="24"/>
        <v>1.57</v>
      </c>
      <c r="AO34">
        <f t="shared" si="25"/>
        <v>1.3</v>
      </c>
      <c r="AP34">
        <f t="shared" si="26"/>
        <v>1</v>
      </c>
      <c r="AQ34">
        <f t="shared" si="11"/>
        <v>0.57100000000000006</v>
      </c>
      <c r="AR34">
        <v>1.7</v>
      </c>
      <c r="AS34">
        <f t="shared" si="27"/>
        <v>0.99691128459176326</v>
      </c>
      <c r="AT34">
        <f t="shared" si="12"/>
        <v>1.2454801507015281</v>
      </c>
      <c r="AU34">
        <f t="shared" si="28"/>
        <v>1.2416332169694033</v>
      </c>
      <c r="AV34">
        <f t="shared" si="13"/>
        <v>0.22349397905449259</v>
      </c>
      <c r="AW34">
        <f t="shared" si="29"/>
        <v>0.08</v>
      </c>
      <c r="AX34">
        <f t="shared" si="14"/>
        <v>0.37657754876504823</v>
      </c>
      <c r="AY34">
        <f t="shared" si="30"/>
        <v>0.24</v>
      </c>
      <c r="AZ34">
        <f t="shared" si="31"/>
        <v>0.6784</v>
      </c>
      <c r="BA34">
        <f t="shared" si="36"/>
        <v>0</v>
      </c>
      <c r="BB34">
        <f t="shared" si="32"/>
        <v>2.8817039584473142E-4</v>
      </c>
      <c r="BC34">
        <f t="shared" si="33"/>
        <v>2.8817039584473142E-4</v>
      </c>
      <c r="BD34">
        <f t="shared" si="34"/>
        <v>2.1036438896665395</v>
      </c>
      <c r="BF34">
        <f t="shared" si="15"/>
        <v>260.16736753564737</v>
      </c>
    </row>
    <row r="36" spans="8:93" x14ac:dyDescent="0.2">
      <c r="BR36" t="s">
        <v>136</v>
      </c>
      <c r="BW36" t="s">
        <v>190</v>
      </c>
      <c r="BX36" t="s">
        <v>127</v>
      </c>
    </row>
    <row r="37" spans="8:93" ht="17" thickBot="1" x14ac:dyDescent="0.25">
      <c r="BR37" s="13" t="s">
        <v>224</v>
      </c>
      <c r="BS37" s="13">
        <v>5.8999999999999999E-3</v>
      </c>
      <c r="BW37" t="s">
        <v>180</v>
      </c>
      <c r="BX37" t="s">
        <v>161</v>
      </c>
      <c r="BY37" t="s">
        <v>173</v>
      </c>
      <c r="BZ37" t="s">
        <v>174</v>
      </c>
      <c r="CA37" t="s">
        <v>175</v>
      </c>
      <c r="CB37" t="s">
        <v>176</v>
      </c>
      <c r="CC37" t="s">
        <v>177</v>
      </c>
      <c r="CD37" t="s">
        <v>178</v>
      </c>
      <c r="CE37" t="s">
        <v>189</v>
      </c>
      <c r="CH37" s="8" t="s">
        <v>181</v>
      </c>
      <c r="CI37" s="9" t="s">
        <v>182</v>
      </c>
      <c r="CJ37" s="9" t="s">
        <v>183</v>
      </c>
      <c r="CK37" s="9" t="s">
        <v>184</v>
      </c>
      <c r="CL37" s="9" t="s">
        <v>185</v>
      </c>
      <c r="CM37" s="9" t="s">
        <v>186</v>
      </c>
      <c r="CN37" s="9" t="s">
        <v>187</v>
      </c>
      <c r="CO37" s="10" t="s">
        <v>188</v>
      </c>
    </row>
    <row r="38" spans="8:93" ht="17" thickTop="1" x14ac:dyDescent="0.2">
      <c r="BR38" s="13" t="s">
        <v>225</v>
      </c>
      <c r="BS38" s="13">
        <v>7.0000000000000001E-3</v>
      </c>
      <c r="BW38" t="s">
        <v>163</v>
      </c>
      <c r="BX38" t="s">
        <v>169</v>
      </c>
      <c r="BY38">
        <v>0.2</v>
      </c>
      <c r="BZ38">
        <v>0.08</v>
      </c>
      <c r="CA38">
        <v>0.16</v>
      </c>
      <c r="CB38">
        <v>0.2</v>
      </c>
      <c r="CC38">
        <v>0.16</v>
      </c>
      <c r="CD38">
        <v>0.18</v>
      </c>
      <c r="CE38">
        <v>1</v>
      </c>
      <c r="CH38" s="2" t="s">
        <v>179</v>
      </c>
      <c r="CI38" s="3" t="s">
        <v>180</v>
      </c>
      <c r="CJ38" s="3" t="s">
        <v>162</v>
      </c>
      <c r="CK38" s="3" t="s">
        <v>167</v>
      </c>
      <c r="CL38" s="3" t="s">
        <v>168</v>
      </c>
      <c r="CM38" s="3" t="s">
        <v>169</v>
      </c>
      <c r="CN38" s="3" t="s">
        <v>170</v>
      </c>
      <c r="CO38" s="6" t="s">
        <v>171</v>
      </c>
    </row>
    <row r="39" spans="8:93" x14ac:dyDescent="0.2">
      <c r="BR39" s="13" t="s">
        <v>226</v>
      </c>
      <c r="BS39" s="13">
        <v>1.8E-3</v>
      </c>
      <c r="BW39" t="s">
        <v>164</v>
      </c>
      <c r="BX39" t="s">
        <v>169</v>
      </c>
      <c r="BY39">
        <v>0.1</v>
      </c>
      <c r="BZ39">
        <v>0.1</v>
      </c>
      <c r="CA39">
        <v>7.0000000000000007E-2</v>
      </c>
      <c r="CB39">
        <v>7.0000000000000007E-2</v>
      </c>
      <c r="CC39">
        <v>7.0000000000000007E-2</v>
      </c>
      <c r="CD39">
        <v>0.06</v>
      </c>
      <c r="CE39">
        <v>2</v>
      </c>
      <c r="CH39" s="4" t="s">
        <v>173</v>
      </c>
      <c r="CI39" t="s">
        <v>163</v>
      </c>
      <c r="CJ39">
        <v>0.2</v>
      </c>
      <c r="CK39">
        <v>0.2</v>
      </c>
      <c r="CL39">
        <v>0.2</v>
      </c>
      <c r="CM39">
        <v>0.2</v>
      </c>
      <c r="CN39">
        <v>0.2</v>
      </c>
      <c r="CO39">
        <v>0.2</v>
      </c>
    </row>
    <row r="40" spans="8:93" x14ac:dyDescent="0.2">
      <c r="BR40" s="13" t="s">
        <v>227</v>
      </c>
      <c r="BS40" s="13">
        <v>2.8999999999999998E-3</v>
      </c>
      <c r="BW40" t="s">
        <v>165</v>
      </c>
      <c r="BX40" t="s">
        <v>169</v>
      </c>
      <c r="BY40">
        <v>0.12</v>
      </c>
      <c r="BZ40">
        <v>0.09</v>
      </c>
      <c r="CA40">
        <v>0.09</v>
      </c>
      <c r="CB40">
        <v>0.14000000000000001</v>
      </c>
      <c r="CC40">
        <v>0.13</v>
      </c>
      <c r="CD40">
        <v>0.16</v>
      </c>
      <c r="CE40">
        <v>3</v>
      </c>
      <c r="CH40" s="2"/>
      <c r="CI40" t="s">
        <v>164</v>
      </c>
      <c r="CJ40">
        <v>0.1</v>
      </c>
      <c r="CK40">
        <v>0.1</v>
      </c>
      <c r="CL40">
        <v>0.1</v>
      </c>
      <c r="CM40">
        <v>0.1</v>
      </c>
      <c r="CN40">
        <v>0.1</v>
      </c>
      <c r="CO40">
        <v>0.1</v>
      </c>
    </row>
    <row r="41" spans="8:93" ht="17" thickBot="1" x14ac:dyDescent="0.25">
      <c r="BR41" s="13" t="s">
        <v>228</v>
      </c>
      <c r="BS41" s="13">
        <v>8.0000000000000002E-3</v>
      </c>
      <c r="BW41" t="s">
        <v>166</v>
      </c>
      <c r="BX41" t="s">
        <v>169</v>
      </c>
      <c r="BY41">
        <v>0.18</v>
      </c>
      <c r="BZ41">
        <v>7.0000000000000007E-2</v>
      </c>
      <c r="CA41">
        <v>0.2</v>
      </c>
      <c r="CB41">
        <v>0.16</v>
      </c>
      <c r="CC41">
        <v>0.1</v>
      </c>
      <c r="CD41">
        <v>0.21</v>
      </c>
      <c r="CE41">
        <v>4</v>
      </c>
      <c r="CH41" s="4"/>
      <c r="CI41" t="s">
        <v>165</v>
      </c>
      <c r="CJ41">
        <v>0.12</v>
      </c>
      <c r="CK41">
        <v>0.12</v>
      </c>
      <c r="CL41">
        <v>0.12</v>
      </c>
      <c r="CM41">
        <v>0.12</v>
      </c>
      <c r="CN41">
        <v>0.12</v>
      </c>
      <c r="CO41">
        <v>0.12</v>
      </c>
    </row>
    <row r="42" spans="8:93" ht="18" thickTop="1" thickBot="1" x14ac:dyDescent="0.25">
      <c r="BR42" s="13" t="s">
        <v>229</v>
      </c>
      <c r="BS42" s="13">
        <v>1.9900000000000001E-2</v>
      </c>
      <c r="BW42" t="s">
        <v>163</v>
      </c>
      <c r="BX42" s="6" t="s">
        <v>171</v>
      </c>
      <c r="BY42">
        <v>0.2</v>
      </c>
      <c r="BZ42">
        <v>0.08</v>
      </c>
      <c r="CA42">
        <v>0.16</v>
      </c>
      <c r="CB42">
        <v>0.2</v>
      </c>
      <c r="CC42">
        <v>0.16</v>
      </c>
      <c r="CD42">
        <v>0.18</v>
      </c>
      <c r="CE42">
        <v>1</v>
      </c>
      <c r="CH42" s="2"/>
      <c r="CI42" t="s">
        <v>166</v>
      </c>
      <c r="CJ42">
        <v>0.18</v>
      </c>
      <c r="CK42">
        <v>0.18</v>
      </c>
      <c r="CL42">
        <v>0.18</v>
      </c>
      <c r="CM42">
        <v>0.18</v>
      </c>
      <c r="CN42">
        <v>0.18</v>
      </c>
      <c r="CO42">
        <v>0.18</v>
      </c>
    </row>
    <row r="43" spans="8:93" ht="18" thickTop="1" thickBot="1" x14ac:dyDescent="0.25">
      <c r="BR43" s="13" t="s">
        <v>230</v>
      </c>
      <c r="BS43" s="13">
        <v>5.3E-3</v>
      </c>
      <c r="BW43" t="s">
        <v>164</v>
      </c>
      <c r="BX43" s="6" t="s">
        <v>171</v>
      </c>
      <c r="BY43">
        <v>0.1</v>
      </c>
      <c r="BZ43">
        <v>0.1</v>
      </c>
      <c r="CA43">
        <v>7.0000000000000007E-2</v>
      </c>
      <c r="CB43">
        <v>7.0000000000000007E-2</v>
      </c>
      <c r="CC43">
        <v>7.0000000000000007E-2</v>
      </c>
      <c r="CD43">
        <v>0.06</v>
      </c>
      <c r="CE43">
        <v>2</v>
      </c>
      <c r="CH43" s="4" t="s">
        <v>174</v>
      </c>
      <c r="CI43" t="s">
        <v>163</v>
      </c>
      <c r="CJ43">
        <v>0.08</v>
      </c>
      <c r="CK43">
        <v>0.08</v>
      </c>
      <c r="CL43">
        <v>0.08</v>
      </c>
      <c r="CM43">
        <v>0.08</v>
      </c>
      <c r="CN43">
        <v>0.08</v>
      </c>
      <c r="CO43">
        <v>0.08</v>
      </c>
    </row>
    <row r="44" spans="8:93" ht="18" thickTop="1" thickBot="1" x14ac:dyDescent="0.25">
      <c r="BR44" s="13" t="s">
        <v>231</v>
      </c>
      <c r="BS44" s="13">
        <v>6.4000000000000003E-3</v>
      </c>
      <c r="BW44" t="s">
        <v>165</v>
      </c>
      <c r="BX44" s="6" t="s">
        <v>171</v>
      </c>
      <c r="BY44">
        <v>0.12</v>
      </c>
      <c r="BZ44">
        <v>0.09</v>
      </c>
      <c r="CA44">
        <v>0.09</v>
      </c>
      <c r="CB44">
        <v>0.14000000000000001</v>
      </c>
      <c r="CC44">
        <v>0.13</v>
      </c>
      <c r="CD44">
        <v>0.16</v>
      </c>
      <c r="CE44">
        <v>3</v>
      </c>
      <c r="CH44" s="2"/>
      <c r="CI44" t="s">
        <v>164</v>
      </c>
      <c r="CJ44">
        <v>0.1</v>
      </c>
      <c r="CK44">
        <v>0.1</v>
      </c>
      <c r="CL44">
        <v>0.1</v>
      </c>
      <c r="CM44">
        <v>0.1</v>
      </c>
      <c r="CN44">
        <v>0.1</v>
      </c>
      <c r="CO44">
        <v>0.1</v>
      </c>
    </row>
    <row r="45" spans="8:93" ht="17" thickTop="1" x14ac:dyDescent="0.2">
      <c r="BR45" s="13" t="s">
        <v>222</v>
      </c>
      <c r="BS45" s="13">
        <v>2.5999999999999999E-3</v>
      </c>
      <c r="BW45" t="s">
        <v>166</v>
      </c>
      <c r="BX45" s="6" t="s">
        <v>171</v>
      </c>
      <c r="BY45">
        <v>0.18</v>
      </c>
      <c r="BZ45">
        <v>7.0000000000000007E-2</v>
      </c>
      <c r="CA45">
        <v>0.2</v>
      </c>
      <c r="CB45">
        <v>0.16</v>
      </c>
      <c r="CC45">
        <v>0.1</v>
      </c>
      <c r="CD45">
        <v>0.21</v>
      </c>
      <c r="CE45">
        <v>4</v>
      </c>
      <c r="CH45" s="4"/>
      <c r="CI45" t="s">
        <v>165</v>
      </c>
      <c r="CJ45">
        <v>0.09</v>
      </c>
      <c r="CK45">
        <v>0.09</v>
      </c>
      <c r="CL45">
        <v>0.09</v>
      </c>
      <c r="CM45">
        <v>0.09</v>
      </c>
      <c r="CN45">
        <v>0.09</v>
      </c>
      <c r="CO45">
        <v>0.09</v>
      </c>
    </row>
    <row r="46" spans="8:93" x14ac:dyDescent="0.2">
      <c r="BR46" s="13" t="s">
        <v>232</v>
      </c>
      <c r="BS46" s="13">
        <v>3.0000000000000001E-3</v>
      </c>
      <c r="BW46" t="s">
        <v>163</v>
      </c>
      <c r="BX46" t="s">
        <v>168</v>
      </c>
      <c r="BY46">
        <v>0.2</v>
      </c>
      <c r="BZ46">
        <v>0.08</v>
      </c>
      <c r="CA46">
        <v>0.16</v>
      </c>
      <c r="CB46">
        <v>0.2</v>
      </c>
      <c r="CC46">
        <v>0.16</v>
      </c>
      <c r="CD46">
        <v>0.18</v>
      </c>
      <c r="CE46">
        <v>1</v>
      </c>
      <c r="CH46" s="2"/>
      <c r="CI46" t="s">
        <v>166</v>
      </c>
      <c r="CJ46">
        <v>7.0000000000000007E-2</v>
      </c>
      <c r="CK46">
        <v>7.0000000000000007E-2</v>
      </c>
      <c r="CL46">
        <v>7.0000000000000007E-2</v>
      </c>
      <c r="CM46">
        <v>7.0000000000000007E-2</v>
      </c>
      <c r="CN46">
        <v>7.0000000000000007E-2</v>
      </c>
      <c r="CO46">
        <v>7.0000000000000007E-2</v>
      </c>
    </row>
    <row r="47" spans="8:93" x14ac:dyDescent="0.2">
      <c r="BR47" s="13" t="s">
        <v>233</v>
      </c>
      <c r="BS47" s="13">
        <v>5.0000000000000001E-3</v>
      </c>
      <c r="BW47" t="s">
        <v>164</v>
      </c>
      <c r="BX47" t="s">
        <v>168</v>
      </c>
      <c r="BY47">
        <v>0.1</v>
      </c>
      <c r="BZ47">
        <v>0.1</v>
      </c>
      <c r="CA47">
        <v>7.0000000000000007E-2</v>
      </c>
      <c r="CB47">
        <v>7.0000000000000007E-2</v>
      </c>
      <c r="CC47">
        <v>7.0000000000000007E-2</v>
      </c>
      <c r="CD47">
        <v>0.06</v>
      </c>
      <c r="CE47">
        <v>2</v>
      </c>
      <c r="CH47" s="4" t="s">
        <v>175</v>
      </c>
      <c r="CI47" t="s">
        <v>163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</row>
    <row r="48" spans="8:93" x14ac:dyDescent="0.2">
      <c r="BR48" s="13" t="s">
        <v>223</v>
      </c>
      <c r="BS48" s="13">
        <v>2.5999999999999999E-3</v>
      </c>
      <c r="BW48" t="s">
        <v>165</v>
      </c>
      <c r="BX48" t="s">
        <v>168</v>
      </c>
      <c r="BY48">
        <v>0.12</v>
      </c>
      <c r="BZ48">
        <v>0.09</v>
      </c>
      <c r="CA48">
        <v>0.09</v>
      </c>
      <c r="CB48">
        <v>0.14000000000000001</v>
      </c>
      <c r="CC48">
        <v>0.13</v>
      </c>
      <c r="CD48">
        <v>0.16</v>
      </c>
      <c r="CE48">
        <v>3</v>
      </c>
      <c r="CH48" s="2"/>
      <c r="CI48" t="s">
        <v>164</v>
      </c>
      <c r="CJ48">
        <v>7.0000000000000007E-2</v>
      </c>
      <c r="CK48">
        <v>7.0000000000000007E-2</v>
      </c>
      <c r="CL48">
        <v>7.0000000000000007E-2</v>
      </c>
      <c r="CM48">
        <v>7.0000000000000007E-2</v>
      </c>
      <c r="CN48">
        <v>7.0000000000000007E-2</v>
      </c>
      <c r="CO48">
        <v>7.0000000000000007E-2</v>
      </c>
    </row>
    <row r="49" spans="70:93" x14ac:dyDescent="0.2">
      <c r="BR49" s="13" t="s">
        <v>234</v>
      </c>
      <c r="BS49" s="13">
        <v>1.8E-3</v>
      </c>
      <c r="BW49" t="s">
        <v>166</v>
      </c>
      <c r="BX49" t="s">
        <v>168</v>
      </c>
      <c r="BY49">
        <v>0.18</v>
      </c>
      <c r="BZ49">
        <v>7.0000000000000007E-2</v>
      </c>
      <c r="CA49">
        <v>0.2</v>
      </c>
      <c r="CB49">
        <v>0.16</v>
      </c>
      <c r="CC49">
        <v>0.1</v>
      </c>
      <c r="CD49">
        <v>0.21</v>
      </c>
      <c r="CE49">
        <v>4</v>
      </c>
      <c r="CH49" s="4"/>
      <c r="CI49" t="s">
        <v>165</v>
      </c>
      <c r="CJ49">
        <v>0.09</v>
      </c>
      <c r="CK49">
        <v>0.09</v>
      </c>
      <c r="CL49">
        <v>0.09</v>
      </c>
      <c r="CM49">
        <v>0.09</v>
      </c>
      <c r="CN49">
        <v>0.09</v>
      </c>
      <c r="CO49">
        <v>0.09</v>
      </c>
    </row>
    <row r="50" spans="70:93" x14ac:dyDescent="0.2">
      <c r="BW50" t="s">
        <v>163</v>
      </c>
      <c r="BX50" t="s">
        <v>170</v>
      </c>
      <c r="BY50">
        <v>0.2</v>
      </c>
      <c r="BZ50">
        <v>0.08</v>
      </c>
      <c r="CA50">
        <v>0.16</v>
      </c>
      <c r="CB50">
        <v>0.2</v>
      </c>
      <c r="CC50">
        <v>0.16</v>
      </c>
      <c r="CD50">
        <v>0.18</v>
      </c>
      <c r="CE50">
        <v>1</v>
      </c>
      <c r="CH50" s="2"/>
      <c r="CI50" t="s">
        <v>166</v>
      </c>
      <c r="CJ50">
        <v>0.2</v>
      </c>
      <c r="CK50">
        <v>0.2</v>
      </c>
      <c r="CL50">
        <v>0.2</v>
      </c>
      <c r="CM50">
        <v>0.2</v>
      </c>
      <c r="CN50">
        <v>0.2</v>
      </c>
      <c r="CO50">
        <v>0.2</v>
      </c>
    </row>
    <row r="51" spans="70:93" x14ac:dyDescent="0.2">
      <c r="BW51" t="s">
        <v>164</v>
      </c>
      <c r="BX51" t="s">
        <v>170</v>
      </c>
      <c r="BY51">
        <v>0.1</v>
      </c>
      <c r="BZ51">
        <v>0.1</v>
      </c>
      <c r="CA51">
        <v>7.0000000000000007E-2</v>
      </c>
      <c r="CB51">
        <v>7.0000000000000007E-2</v>
      </c>
      <c r="CC51">
        <v>7.0000000000000007E-2</v>
      </c>
      <c r="CD51">
        <v>0.06</v>
      </c>
      <c r="CE51">
        <v>2</v>
      </c>
      <c r="CH51" s="4" t="s">
        <v>176</v>
      </c>
      <c r="CI51" t="s">
        <v>163</v>
      </c>
      <c r="CJ51">
        <v>0.2</v>
      </c>
      <c r="CK51">
        <v>0.2</v>
      </c>
      <c r="CL51">
        <v>0.2</v>
      </c>
      <c r="CM51">
        <v>0.2</v>
      </c>
      <c r="CN51">
        <v>0.2</v>
      </c>
      <c r="CO51">
        <v>0.2</v>
      </c>
    </row>
    <row r="52" spans="70:93" x14ac:dyDescent="0.2">
      <c r="BW52" t="s">
        <v>165</v>
      </c>
      <c r="BX52" t="s">
        <v>170</v>
      </c>
      <c r="BY52">
        <v>0.12</v>
      </c>
      <c r="BZ52">
        <v>0.09</v>
      </c>
      <c r="CA52">
        <v>0.09</v>
      </c>
      <c r="CB52">
        <v>0.14000000000000001</v>
      </c>
      <c r="CC52">
        <v>0.13</v>
      </c>
      <c r="CD52">
        <v>0.06</v>
      </c>
      <c r="CE52">
        <v>3</v>
      </c>
      <c r="CH52" s="2"/>
      <c r="CI52" t="s">
        <v>164</v>
      </c>
      <c r="CJ52">
        <v>7.0000000000000007E-2</v>
      </c>
      <c r="CK52">
        <v>7.0000000000000007E-2</v>
      </c>
      <c r="CL52">
        <v>7.0000000000000007E-2</v>
      </c>
      <c r="CM52">
        <v>7.0000000000000007E-2</v>
      </c>
      <c r="CN52">
        <v>7.0000000000000007E-2</v>
      </c>
      <c r="CO52">
        <v>7.0000000000000007E-2</v>
      </c>
    </row>
    <row r="53" spans="70:93" x14ac:dyDescent="0.2">
      <c r="BW53" t="s">
        <v>166</v>
      </c>
      <c r="BX53" t="s">
        <v>170</v>
      </c>
      <c r="BY53">
        <v>0.18</v>
      </c>
      <c r="BZ53">
        <v>7.0000000000000007E-2</v>
      </c>
      <c r="CA53">
        <v>0.2</v>
      </c>
      <c r="CB53">
        <v>0.16</v>
      </c>
      <c r="CC53">
        <v>0.1</v>
      </c>
      <c r="CD53">
        <v>0.21</v>
      </c>
      <c r="CE53">
        <v>4</v>
      </c>
      <c r="CH53" s="4"/>
      <c r="CI53" t="s">
        <v>165</v>
      </c>
      <c r="CJ53">
        <v>0.14000000000000001</v>
      </c>
      <c r="CK53">
        <v>0.14000000000000001</v>
      </c>
      <c r="CL53">
        <v>0.14000000000000001</v>
      </c>
      <c r="CM53">
        <v>0.14000000000000001</v>
      </c>
      <c r="CN53">
        <v>0.14000000000000001</v>
      </c>
      <c r="CO53">
        <v>0.14000000000000001</v>
      </c>
    </row>
    <row r="54" spans="70:93" x14ac:dyDescent="0.2">
      <c r="BW54" t="s">
        <v>163</v>
      </c>
      <c r="BX54" t="s">
        <v>162</v>
      </c>
      <c r="BY54">
        <v>0.2</v>
      </c>
      <c r="BZ54">
        <v>0.08</v>
      </c>
      <c r="CA54">
        <v>0.16</v>
      </c>
      <c r="CB54">
        <v>0.2</v>
      </c>
      <c r="CC54">
        <v>0.16</v>
      </c>
      <c r="CD54">
        <v>0.18</v>
      </c>
      <c r="CE54">
        <v>1</v>
      </c>
      <c r="CH54" s="2"/>
      <c r="CI54" t="s">
        <v>166</v>
      </c>
      <c r="CJ54">
        <v>0.16</v>
      </c>
      <c r="CK54">
        <v>0.16</v>
      </c>
      <c r="CL54">
        <v>0.16</v>
      </c>
      <c r="CM54">
        <v>0.16</v>
      </c>
      <c r="CN54">
        <v>0.16</v>
      </c>
      <c r="CO54">
        <v>0.16</v>
      </c>
    </row>
    <row r="55" spans="70:93" x14ac:dyDescent="0.2">
      <c r="BW55" t="s">
        <v>164</v>
      </c>
      <c r="BX55" t="s">
        <v>162</v>
      </c>
      <c r="BY55">
        <v>0.1</v>
      </c>
      <c r="BZ55">
        <v>0.1</v>
      </c>
      <c r="CA55">
        <v>7.0000000000000007E-2</v>
      </c>
      <c r="CB55">
        <v>7.0000000000000007E-2</v>
      </c>
      <c r="CC55">
        <v>7.0000000000000007E-2</v>
      </c>
      <c r="CD55">
        <v>0.06</v>
      </c>
      <c r="CE55">
        <v>2</v>
      </c>
      <c r="CH55" s="4" t="s">
        <v>177</v>
      </c>
      <c r="CI55" t="s">
        <v>163</v>
      </c>
      <c r="CJ55">
        <v>0.16</v>
      </c>
      <c r="CK55">
        <v>0.16</v>
      </c>
      <c r="CL55">
        <v>0.16</v>
      </c>
      <c r="CM55">
        <v>0.16</v>
      </c>
      <c r="CN55">
        <v>0.16</v>
      </c>
      <c r="CO55">
        <v>0.16</v>
      </c>
    </row>
    <row r="56" spans="70:93" x14ac:dyDescent="0.2">
      <c r="BW56" t="s">
        <v>165</v>
      </c>
      <c r="BX56" t="s">
        <v>162</v>
      </c>
      <c r="BY56">
        <v>0.12</v>
      </c>
      <c r="BZ56">
        <v>0.09</v>
      </c>
      <c r="CA56">
        <v>0.09</v>
      </c>
      <c r="CB56">
        <v>0.14000000000000001</v>
      </c>
      <c r="CC56">
        <v>0.13</v>
      </c>
      <c r="CD56">
        <v>0.06</v>
      </c>
      <c r="CE56">
        <v>3</v>
      </c>
      <c r="CH56" s="2"/>
      <c r="CI56" t="s">
        <v>164</v>
      </c>
      <c r="CJ56">
        <v>7.0000000000000007E-2</v>
      </c>
      <c r="CK56">
        <v>7.0000000000000007E-2</v>
      </c>
      <c r="CL56">
        <v>7.0000000000000007E-2</v>
      </c>
      <c r="CM56">
        <v>7.0000000000000007E-2</v>
      </c>
      <c r="CN56">
        <v>7.0000000000000007E-2</v>
      </c>
      <c r="CO56">
        <v>7.0000000000000007E-2</v>
      </c>
    </row>
    <row r="57" spans="70:93" x14ac:dyDescent="0.2">
      <c r="BW57" t="s">
        <v>166</v>
      </c>
      <c r="BX57" t="s">
        <v>162</v>
      </c>
      <c r="BY57">
        <v>0.18</v>
      </c>
      <c r="BZ57">
        <v>7.0000000000000007E-2</v>
      </c>
      <c r="CA57">
        <v>0.2</v>
      </c>
      <c r="CB57">
        <v>0.16</v>
      </c>
      <c r="CC57">
        <v>0.1</v>
      </c>
      <c r="CD57">
        <v>0.21</v>
      </c>
      <c r="CE57">
        <v>4</v>
      </c>
      <c r="CH57" s="4"/>
      <c r="CI57" t="s">
        <v>165</v>
      </c>
      <c r="CJ57">
        <v>0.13</v>
      </c>
      <c r="CK57">
        <v>0.13</v>
      </c>
      <c r="CL57">
        <v>0.13</v>
      </c>
      <c r="CM57">
        <v>0.13</v>
      </c>
      <c r="CN57">
        <v>0.13</v>
      </c>
      <c r="CO57">
        <v>0.13</v>
      </c>
    </row>
    <row r="58" spans="70:93" x14ac:dyDescent="0.2">
      <c r="BW58" t="s">
        <v>163</v>
      </c>
      <c r="BX58" t="s">
        <v>167</v>
      </c>
      <c r="BY58">
        <v>0.2</v>
      </c>
      <c r="BZ58">
        <v>0.08</v>
      </c>
      <c r="CA58">
        <v>0.16</v>
      </c>
      <c r="CB58">
        <v>0.2</v>
      </c>
      <c r="CC58">
        <v>0.16</v>
      </c>
      <c r="CD58">
        <v>0.18</v>
      </c>
      <c r="CE58">
        <v>1</v>
      </c>
      <c r="CH58" s="2"/>
      <c r="CI58" t="s">
        <v>166</v>
      </c>
      <c r="CJ58">
        <v>0.1</v>
      </c>
      <c r="CK58">
        <v>0.1</v>
      </c>
      <c r="CL58">
        <v>0.1</v>
      </c>
      <c r="CM58">
        <v>0.1</v>
      </c>
      <c r="CN58">
        <v>0.1</v>
      </c>
      <c r="CO58">
        <v>0.1</v>
      </c>
    </row>
    <row r="59" spans="70:93" x14ac:dyDescent="0.2">
      <c r="BW59" t="s">
        <v>164</v>
      </c>
      <c r="BX59" t="s">
        <v>167</v>
      </c>
      <c r="BY59">
        <v>0.1</v>
      </c>
      <c r="BZ59">
        <v>0.1</v>
      </c>
      <c r="CA59">
        <v>7.0000000000000007E-2</v>
      </c>
      <c r="CB59">
        <v>7.0000000000000007E-2</v>
      </c>
      <c r="CC59">
        <v>7.0000000000000007E-2</v>
      </c>
      <c r="CD59">
        <v>0.06</v>
      </c>
      <c r="CE59">
        <v>2</v>
      </c>
      <c r="CH59" s="4" t="s">
        <v>178</v>
      </c>
      <c r="CI59" t="s">
        <v>163</v>
      </c>
      <c r="CJ59">
        <v>0.18</v>
      </c>
      <c r="CK59">
        <v>0.18</v>
      </c>
      <c r="CL59">
        <v>0.18</v>
      </c>
      <c r="CM59">
        <v>0.18</v>
      </c>
      <c r="CN59">
        <v>0.18</v>
      </c>
      <c r="CO59">
        <v>0.18</v>
      </c>
    </row>
    <row r="60" spans="70:93" x14ac:dyDescent="0.2">
      <c r="BW60" t="s">
        <v>165</v>
      </c>
      <c r="BX60" t="s">
        <v>167</v>
      </c>
      <c r="BY60">
        <v>0.12</v>
      </c>
      <c r="BZ60">
        <v>0.09</v>
      </c>
      <c r="CA60">
        <v>0.09</v>
      </c>
      <c r="CB60">
        <v>0.14000000000000001</v>
      </c>
      <c r="CC60">
        <v>0.13</v>
      </c>
      <c r="CD60">
        <v>0.06</v>
      </c>
      <c r="CE60">
        <v>3</v>
      </c>
      <c r="CH60" s="2"/>
      <c r="CI60" t="s">
        <v>164</v>
      </c>
      <c r="CJ60">
        <v>0.06</v>
      </c>
      <c r="CK60">
        <v>0.06</v>
      </c>
      <c r="CL60">
        <v>0.06</v>
      </c>
      <c r="CM60">
        <v>0.06</v>
      </c>
      <c r="CN60">
        <v>0.06</v>
      </c>
      <c r="CO60">
        <v>0.06</v>
      </c>
    </row>
    <row r="61" spans="70:93" x14ac:dyDescent="0.2">
      <c r="BW61" t="s">
        <v>166</v>
      </c>
      <c r="BX61" t="s">
        <v>167</v>
      </c>
      <c r="BY61">
        <v>0.18</v>
      </c>
      <c r="BZ61">
        <v>7.0000000000000007E-2</v>
      </c>
      <c r="CA61">
        <v>0.2</v>
      </c>
      <c r="CB61">
        <v>0.16</v>
      </c>
      <c r="CC61">
        <v>0.1</v>
      </c>
      <c r="CD61">
        <v>0.21</v>
      </c>
      <c r="CE61">
        <v>4</v>
      </c>
      <c r="CH61" s="4"/>
      <c r="CI61" t="s">
        <v>165</v>
      </c>
      <c r="CJ61">
        <v>0.06</v>
      </c>
      <c r="CK61">
        <v>0.06</v>
      </c>
      <c r="CL61">
        <v>0.16</v>
      </c>
      <c r="CM61">
        <v>0.16</v>
      </c>
      <c r="CN61">
        <v>0.06</v>
      </c>
      <c r="CO61">
        <v>0.16</v>
      </c>
    </row>
    <row r="62" spans="70:93" x14ac:dyDescent="0.2">
      <c r="CH62" s="7"/>
      <c r="CI62" t="s">
        <v>166</v>
      </c>
      <c r="CJ62">
        <v>0.21</v>
      </c>
      <c r="CK62">
        <v>0.21</v>
      </c>
      <c r="CL62">
        <v>0.21</v>
      </c>
      <c r="CM62">
        <v>0.21</v>
      </c>
      <c r="CN62">
        <v>0.21</v>
      </c>
      <c r="CO62">
        <v>0.21</v>
      </c>
    </row>
    <row r="66" spans="63:93" ht="17" thickBot="1" x14ac:dyDescent="0.25">
      <c r="BW66" t="s">
        <v>191</v>
      </c>
      <c r="BX66" t="s">
        <v>128</v>
      </c>
      <c r="CH66" s="8" t="s">
        <v>181</v>
      </c>
      <c r="CI66" s="9" t="s">
        <v>182</v>
      </c>
      <c r="CJ66" s="9" t="s">
        <v>183</v>
      </c>
      <c r="CK66" s="9" t="s">
        <v>184</v>
      </c>
      <c r="CL66" s="9" t="s">
        <v>185</v>
      </c>
      <c r="CM66" s="9" t="s">
        <v>186</v>
      </c>
      <c r="CN66" s="9" t="s">
        <v>187</v>
      </c>
      <c r="CO66" s="10" t="s">
        <v>188</v>
      </c>
    </row>
    <row r="67" spans="63:93" ht="17" thickTop="1" x14ac:dyDescent="0.2">
      <c r="BW67" t="s">
        <v>180</v>
      </c>
      <c r="BX67" t="s">
        <v>161</v>
      </c>
      <c r="BY67" t="s">
        <v>173</v>
      </c>
      <c r="BZ67" t="s">
        <v>174</v>
      </c>
      <c r="CA67" t="s">
        <v>175</v>
      </c>
      <c r="CB67" t="s">
        <v>176</v>
      </c>
      <c r="CC67" t="s">
        <v>177</v>
      </c>
      <c r="CD67" t="s">
        <v>178</v>
      </c>
      <c r="CE67" t="s">
        <v>189</v>
      </c>
      <c r="CH67" s="2" t="s">
        <v>179</v>
      </c>
      <c r="CI67" s="3" t="s">
        <v>180</v>
      </c>
      <c r="CJ67" s="3" t="s">
        <v>162</v>
      </c>
      <c r="CK67" s="3" t="s">
        <v>167</v>
      </c>
      <c r="CL67" s="3" t="s">
        <v>168</v>
      </c>
      <c r="CM67" s="3" t="s">
        <v>169</v>
      </c>
      <c r="CN67" s="3" t="s">
        <v>170</v>
      </c>
      <c r="CO67" s="6" t="s">
        <v>171</v>
      </c>
    </row>
    <row r="68" spans="63:93" x14ac:dyDescent="0.2">
      <c r="BW68" t="s">
        <v>163</v>
      </c>
      <c r="BX68" t="s">
        <v>169</v>
      </c>
      <c r="BY68">
        <v>0.75</v>
      </c>
      <c r="BZ68">
        <v>0.51</v>
      </c>
      <c r="CA68">
        <v>0.7</v>
      </c>
      <c r="CB68">
        <v>0.75</v>
      </c>
      <c r="CC68">
        <v>0.7</v>
      </c>
      <c r="CD68">
        <v>0.73</v>
      </c>
      <c r="CE68">
        <v>1</v>
      </c>
      <c r="CH68" s="4" t="s">
        <v>173</v>
      </c>
      <c r="CI68" s="13" t="s">
        <v>163</v>
      </c>
      <c r="CJ68" s="13">
        <v>0.75</v>
      </c>
      <c r="CK68" s="13">
        <v>0.75</v>
      </c>
      <c r="CL68" s="13">
        <v>0.75</v>
      </c>
      <c r="CM68" s="13">
        <v>0.75</v>
      </c>
      <c r="CN68" s="13">
        <v>0.75</v>
      </c>
      <c r="CO68" s="13">
        <v>0.75</v>
      </c>
    </row>
    <row r="69" spans="63:93" x14ac:dyDescent="0.2">
      <c r="BW69" t="s">
        <v>164</v>
      </c>
      <c r="BX69" t="s">
        <v>169</v>
      </c>
      <c r="BY69">
        <v>0.61</v>
      </c>
      <c r="BZ69">
        <v>0.55000000000000004</v>
      </c>
      <c r="CA69">
        <v>0.55000000000000004</v>
      </c>
      <c r="CB69">
        <v>0.55000000000000004</v>
      </c>
      <c r="CC69">
        <v>0.55000000000000004</v>
      </c>
      <c r="CD69">
        <v>0.55000000000000004</v>
      </c>
      <c r="CE69">
        <v>2</v>
      </c>
      <c r="CH69" s="2"/>
      <c r="CI69" s="13" t="s">
        <v>164</v>
      </c>
      <c r="CJ69" s="13">
        <v>0.61</v>
      </c>
      <c r="CK69" s="13">
        <v>0.61</v>
      </c>
      <c r="CL69" s="13">
        <v>0.61</v>
      </c>
      <c r="CM69" s="13">
        <v>0.61</v>
      </c>
      <c r="CN69" s="13">
        <v>0.61</v>
      </c>
      <c r="CO69">
        <v>0.61</v>
      </c>
    </row>
    <row r="70" spans="63:93" x14ac:dyDescent="0.2">
      <c r="BW70" t="s">
        <v>165</v>
      </c>
      <c r="BX70" t="s">
        <v>169</v>
      </c>
      <c r="BY70">
        <v>0.64</v>
      </c>
      <c r="BZ70">
        <v>0.59</v>
      </c>
      <c r="CA70">
        <v>0.55000000000000004</v>
      </c>
      <c r="CB70">
        <v>0.67</v>
      </c>
      <c r="CC70">
        <v>0.65</v>
      </c>
      <c r="CD70">
        <v>0.7</v>
      </c>
      <c r="CE70">
        <v>3</v>
      </c>
      <c r="CH70" s="4"/>
      <c r="CI70" s="13" t="s">
        <v>165</v>
      </c>
      <c r="CJ70" s="13">
        <v>0.64</v>
      </c>
      <c r="CK70" s="13">
        <v>0.64</v>
      </c>
      <c r="CL70" s="13">
        <v>0.64</v>
      </c>
      <c r="CM70" s="13">
        <v>0.64</v>
      </c>
      <c r="CN70" s="13">
        <v>0.64</v>
      </c>
      <c r="CO70">
        <v>0.64</v>
      </c>
    </row>
    <row r="71" spans="63:93" ht="17" thickBot="1" x14ac:dyDescent="0.25">
      <c r="BW71" t="s">
        <v>166</v>
      </c>
      <c r="BX71" t="s">
        <v>169</v>
      </c>
      <c r="BY71">
        <v>0.72</v>
      </c>
      <c r="BZ71">
        <v>0.57999999999999996</v>
      </c>
      <c r="CA71">
        <v>0.75</v>
      </c>
      <c r="CB71">
        <v>0.7</v>
      </c>
      <c r="CC71">
        <v>0.6</v>
      </c>
      <c r="CD71">
        <v>0.76</v>
      </c>
      <c r="CE71">
        <v>4</v>
      </c>
      <c r="CH71" s="2"/>
      <c r="CI71" s="13" t="s">
        <v>166</v>
      </c>
      <c r="CJ71" s="13">
        <v>0.72</v>
      </c>
      <c r="CK71" s="13">
        <v>0.72</v>
      </c>
      <c r="CL71" s="13">
        <v>0.72</v>
      </c>
      <c r="CM71" s="13">
        <v>0.72</v>
      </c>
      <c r="CN71" s="13">
        <v>0.72</v>
      </c>
      <c r="CO71">
        <v>0.72</v>
      </c>
    </row>
    <row r="72" spans="63:93" ht="18" thickTop="1" thickBot="1" x14ac:dyDescent="0.25">
      <c r="BK72" s="6"/>
      <c r="BW72" t="s">
        <v>163</v>
      </c>
      <c r="BX72" t="s">
        <v>171</v>
      </c>
      <c r="BY72">
        <v>0.75</v>
      </c>
      <c r="BZ72">
        <v>0.51</v>
      </c>
      <c r="CA72">
        <v>0.7</v>
      </c>
      <c r="CB72">
        <v>0.75</v>
      </c>
      <c r="CC72">
        <v>0.7</v>
      </c>
      <c r="CD72">
        <v>0.73</v>
      </c>
      <c r="CE72">
        <v>1</v>
      </c>
      <c r="CH72" s="4" t="s">
        <v>174</v>
      </c>
      <c r="CI72" s="13" t="s">
        <v>163</v>
      </c>
      <c r="CJ72" s="13">
        <v>0.51</v>
      </c>
      <c r="CK72" s="13">
        <v>0.51</v>
      </c>
      <c r="CL72" s="13">
        <v>0.51</v>
      </c>
      <c r="CM72" s="13">
        <v>0.51</v>
      </c>
      <c r="CN72" s="13">
        <v>0.51</v>
      </c>
      <c r="CO72" s="13">
        <v>0.51</v>
      </c>
    </row>
    <row r="73" spans="63:93" ht="18" thickTop="1" thickBot="1" x14ac:dyDescent="0.25">
      <c r="BK73" s="6"/>
      <c r="BW73" t="s">
        <v>164</v>
      </c>
      <c r="BX73" t="s">
        <v>171</v>
      </c>
      <c r="BY73">
        <v>0.61</v>
      </c>
      <c r="BZ73">
        <v>0.55000000000000004</v>
      </c>
      <c r="CA73">
        <v>0.55000000000000004</v>
      </c>
      <c r="CB73">
        <v>0.55000000000000004</v>
      </c>
      <c r="CC73">
        <v>0.55000000000000004</v>
      </c>
      <c r="CD73">
        <v>0.55000000000000004</v>
      </c>
      <c r="CE73">
        <v>2</v>
      </c>
      <c r="CH73" s="2"/>
      <c r="CI73" s="13" t="s">
        <v>164</v>
      </c>
      <c r="CJ73" s="13">
        <v>0.55000000000000004</v>
      </c>
      <c r="CK73" s="13">
        <v>0.55000000000000004</v>
      </c>
      <c r="CL73" s="13">
        <v>0.55000000000000004</v>
      </c>
      <c r="CM73" s="13">
        <v>0.55000000000000004</v>
      </c>
      <c r="CN73" s="13">
        <v>0.55000000000000004</v>
      </c>
      <c r="CO73">
        <v>0.55000000000000004</v>
      </c>
    </row>
    <row r="74" spans="63:93" ht="18" thickTop="1" thickBot="1" x14ac:dyDescent="0.25">
      <c r="BK74" s="6"/>
      <c r="BW74" t="s">
        <v>165</v>
      </c>
      <c r="BX74" t="s">
        <v>171</v>
      </c>
      <c r="BY74">
        <v>0.64</v>
      </c>
      <c r="BZ74">
        <v>0.59</v>
      </c>
      <c r="CA74">
        <v>0.55000000000000004</v>
      </c>
      <c r="CB74">
        <v>0.67</v>
      </c>
      <c r="CC74">
        <v>0.65</v>
      </c>
      <c r="CD74">
        <v>0.7</v>
      </c>
      <c r="CE74">
        <v>3</v>
      </c>
      <c r="CH74" s="4"/>
      <c r="CI74" s="13" t="s">
        <v>165</v>
      </c>
      <c r="CJ74" s="13">
        <v>0.59</v>
      </c>
      <c r="CK74" s="13">
        <v>0.59</v>
      </c>
      <c r="CL74" s="13">
        <v>0.59</v>
      </c>
      <c r="CM74" s="13">
        <v>0.59</v>
      </c>
      <c r="CN74" s="13">
        <v>0.59</v>
      </c>
      <c r="CO74">
        <v>0.59</v>
      </c>
    </row>
    <row r="75" spans="63:93" ht="17" thickTop="1" x14ac:dyDescent="0.2">
      <c r="BK75" s="6"/>
      <c r="BW75" t="s">
        <v>166</v>
      </c>
      <c r="BX75" t="s">
        <v>171</v>
      </c>
      <c r="BY75">
        <v>0.72</v>
      </c>
      <c r="BZ75">
        <v>0.57999999999999996</v>
      </c>
      <c r="CA75">
        <v>0.75</v>
      </c>
      <c r="CB75">
        <v>0.7</v>
      </c>
      <c r="CC75">
        <v>0.6</v>
      </c>
      <c r="CD75">
        <v>0.76</v>
      </c>
      <c r="CE75">
        <v>4</v>
      </c>
      <c r="CH75" s="2"/>
      <c r="CI75" s="13" t="s">
        <v>166</v>
      </c>
      <c r="CJ75" s="13">
        <v>0.57999999999999996</v>
      </c>
      <c r="CK75" s="13">
        <v>0.57999999999999996</v>
      </c>
      <c r="CL75" s="13">
        <v>0.57999999999999996</v>
      </c>
      <c r="CM75" s="13">
        <v>0.57999999999999996</v>
      </c>
      <c r="CN75" s="13">
        <v>0.57999999999999996</v>
      </c>
      <c r="CO75">
        <v>0.57999999999999996</v>
      </c>
    </row>
    <row r="76" spans="63:93" x14ac:dyDescent="0.2">
      <c r="BW76" t="s">
        <v>163</v>
      </c>
      <c r="BX76" t="s">
        <v>168</v>
      </c>
      <c r="BY76">
        <v>0.75</v>
      </c>
      <c r="BZ76">
        <v>0.51</v>
      </c>
      <c r="CA76">
        <v>0.7</v>
      </c>
      <c r="CB76">
        <v>0.75</v>
      </c>
      <c r="CC76">
        <v>0.7</v>
      </c>
      <c r="CD76">
        <v>0.73</v>
      </c>
      <c r="CE76">
        <v>1</v>
      </c>
      <c r="CH76" s="4" t="s">
        <v>175</v>
      </c>
      <c r="CI76" s="13" t="s">
        <v>163</v>
      </c>
      <c r="CJ76" s="13">
        <v>0.7</v>
      </c>
      <c r="CK76" s="13">
        <v>0.7</v>
      </c>
      <c r="CL76" s="13">
        <v>0.7</v>
      </c>
      <c r="CM76" s="13">
        <v>0.7</v>
      </c>
      <c r="CN76" s="13">
        <v>0.7</v>
      </c>
      <c r="CO76" s="13">
        <v>0.7</v>
      </c>
    </row>
    <row r="77" spans="63:93" x14ac:dyDescent="0.2">
      <c r="BW77" t="s">
        <v>164</v>
      </c>
      <c r="BX77" t="s">
        <v>168</v>
      </c>
      <c r="BY77">
        <v>0.61</v>
      </c>
      <c r="BZ77">
        <v>0.55000000000000004</v>
      </c>
      <c r="CA77">
        <v>0.55000000000000004</v>
      </c>
      <c r="CB77">
        <v>0.55000000000000004</v>
      </c>
      <c r="CC77">
        <v>0.55000000000000004</v>
      </c>
      <c r="CD77">
        <v>0.55000000000000004</v>
      </c>
      <c r="CE77">
        <v>2</v>
      </c>
      <c r="CH77" s="2"/>
      <c r="CI77" s="13" t="s">
        <v>164</v>
      </c>
      <c r="CJ77" s="13">
        <v>0.55000000000000004</v>
      </c>
      <c r="CK77" s="13">
        <v>0.55000000000000004</v>
      </c>
      <c r="CL77" s="13">
        <v>0.55000000000000004</v>
      </c>
      <c r="CM77" s="13">
        <v>0.55000000000000004</v>
      </c>
      <c r="CN77" s="13">
        <v>0.55000000000000004</v>
      </c>
      <c r="CO77">
        <v>0.55000000000000004</v>
      </c>
    </row>
    <row r="78" spans="63:93" x14ac:dyDescent="0.2">
      <c r="BW78" t="s">
        <v>165</v>
      </c>
      <c r="BX78" t="s">
        <v>168</v>
      </c>
      <c r="BY78">
        <v>0.64</v>
      </c>
      <c r="BZ78">
        <v>0.59</v>
      </c>
      <c r="CA78">
        <v>0.55000000000000004</v>
      </c>
      <c r="CB78">
        <v>0.67</v>
      </c>
      <c r="CC78">
        <v>0.65</v>
      </c>
      <c r="CD78">
        <v>0.7</v>
      </c>
      <c r="CE78">
        <v>3</v>
      </c>
      <c r="CH78" s="4"/>
      <c r="CI78" s="13" t="s">
        <v>165</v>
      </c>
      <c r="CJ78" s="13">
        <v>0.55000000000000004</v>
      </c>
      <c r="CK78" s="13">
        <v>0.55000000000000004</v>
      </c>
      <c r="CL78" s="13">
        <v>0.55000000000000004</v>
      </c>
      <c r="CM78" s="13">
        <v>0.55000000000000004</v>
      </c>
      <c r="CN78" s="13">
        <v>0.55000000000000004</v>
      </c>
      <c r="CO78">
        <v>0.55000000000000004</v>
      </c>
    </row>
    <row r="79" spans="63:93" x14ac:dyDescent="0.2">
      <c r="BW79" t="s">
        <v>166</v>
      </c>
      <c r="BX79" t="s">
        <v>168</v>
      </c>
      <c r="BY79">
        <v>0.72</v>
      </c>
      <c r="BZ79">
        <v>0.57999999999999996</v>
      </c>
      <c r="CA79">
        <v>0.75</v>
      </c>
      <c r="CB79">
        <v>0.7</v>
      </c>
      <c r="CC79">
        <v>0.6</v>
      </c>
      <c r="CD79">
        <v>0.76</v>
      </c>
      <c r="CE79">
        <v>4</v>
      </c>
      <c r="CH79" s="2"/>
      <c r="CI79" s="13" t="s">
        <v>166</v>
      </c>
      <c r="CJ79" s="13">
        <v>0.75</v>
      </c>
      <c r="CK79" s="13">
        <v>0.75</v>
      </c>
      <c r="CL79" s="13">
        <v>0.75</v>
      </c>
      <c r="CM79" s="13">
        <v>0.75</v>
      </c>
      <c r="CN79" s="13">
        <v>0.75</v>
      </c>
      <c r="CO79">
        <v>0.75</v>
      </c>
    </row>
    <row r="80" spans="63:93" x14ac:dyDescent="0.2">
      <c r="BW80" t="s">
        <v>163</v>
      </c>
      <c r="BX80" t="s">
        <v>170</v>
      </c>
      <c r="BY80">
        <v>0.75</v>
      </c>
      <c r="BZ80">
        <v>0.51</v>
      </c>
      <c r="CA80">
        <v>0.7</v>
      </c>
      <c r="CB80">
        <v>0.75</v>
      </c>
      <c r="CC80">
        <v>0.7</v>
      </c>
      <c r="CD80">
        <v>0.73</v>
      </c>
      <c r="CE80">
        <v>1</v>
      </c>
      <c r="CH80" s="4" t="s">
        <v>176</v>
      </c>
      <c r="CI80" s="13" t="s">
        <v>163</v>
      </c>
      <c r="CJ80" s="13">
        <v>0.75</v>
      </c>
      <c r="CK80" s="13">
        <v>0.75</v>
      </c>
      <c r="CL80" s="13">
        <v>0.75</v>
      </c>
      <c r="CM80" s="13">
        <v>0.75</v>
      </c>
      <c r="CN80" s="13">
        <v>0.75</v>
      </c>
      <c r="CO80" s="13">
        <v>0.75</v>
      </c>
    </row>
    <row r="81" spans="75:93" x14ac:dyDescent="0.2">
      <c r="BW81" t="s">
        <v>164</v>
      </c>
      <c r="BX81" t="s">
        <v>170</v>
      </c>
      <c r="BY81">
        <v>0.61</v>
      </c>
      <c r="BZ81">
        <v>0.55000000000000004</v>
      </c>
      <c r="CA81">
        <v>0.55000000000000004</v>
      </c>
      <c r="CB81">
        <v>0.55000000000000004</v>
      </c>
      <c r="CC81">
        <v>0.55000000000000004</v>
      </c>
      <c r="CD81">
        <v>0.55000000000000004</v>
      </c>
      <c r="CE81">
        <v>2</v>
      </c>
      <c r="CH81" s="2"/>
      <c r="CI81" s="13" t="s">
        <v>164</v>
      </c>
      <c r="CJ81" s="13">
        <v>0.55000000000000004</v>
      </c>
      <c r="CK81" s="13">
        <v>0.55000000000000004</v>
      </c>
      <c r="CL81" s="13">
        <v>0.55000000000000004</v>
      </c>
      <c r="CM81" s="13">
        <v>0.55000000000000004</v>
      </c>
      <c r="CN81" s="13">
        <v>0.55000000000000004</v>
      </c>
      <c r="CO81">
        <v>0.55000000000000004</v>
      </c>
    </row>
    <row r="82" spans="75:93" x14ac:dyDescent="0.2">
      <c r="BW82" t="s">
        <v>165</v>
      </c>
      <c r="BX82" t="s">
        <v>170</v>
      </c>
      <c r="BY82">
        <v>0.64</v>
      </c>
      <c r="BZ82">
        <v>0.59</v>
      </c>
      <c r="CA82">
        <v>0.55000000000000004</v>
      </c>
      <c r="CB82">
        <v>0.67</v>
      </c>
      <c r="CC82">
        <v>0.65</v>
      </c>
      <c r="CD82">
        <v>0.5</v>
      </c>
      <c r="CE82">
        <v>3</v>
      </c>
      <c r="CH82" s="4"/>
      <c r="CI82" s="13" t="s">
        <v>165</v>
      </c>
      <c r="CJ82" s="13">
        <v>0.67</v>
      </c>
      <c r="CK82" s="13">
        <v>0.67</v>
      </c>
      <c r="CL82" s="13">
        <v>0.67</v>
      </c>
      <c r="CM82" s="13">
        <v>0.67</v>
      </c>
      <c r="CN82" s="13">
        <v>0.67</v>
      </c>
      <c r="CO82">
        <v>0.67</v>
      </c>
    </row>
    <row r="83" spans="75:93" x14ac:dyDescent="0.2">
      <c r="BW83" t="s">
        <v>166</v>
      </c>
      <c r="BX83" t="s">
        <v>170</v>
      </c>
      <c r="BY83">
        <v>0.72</v>
      </c>
      <c r="BZ83">
        <v>0.57999999999999996</v>
      </c>
      <c r="CA83">
        <v>0.75</v>
      </c>
      <c r="CB83">
        <v>0.7</v>
      </c>
      <c r="CC83">
        <v>0.6</v>
      </c>
      <c r="CD83">
        <v>0.76</v>
      </c>
      <c r="CE83">
        <v>4</v>
      </c>
      <c r="CH83" s="2"/>
      <c r="CI83" s="13" t="s">
        <v>166</v>
      </c>
      <c r="CJ83" s="13">
        <v>0.7</v>
      </c>
      <c r="CK83" s="13">
        <v>0.7</v>
      </c>
      <c r="CL83" s="13">
        <v>0.7</v>
      </c>
      <c r="CM83" s="13">
        <v>0.7</v>
      </c>
      <c r="CN83" s="13">
        <v>0.7</v>
      </c>
      <c r="CO83">
        <v>0.7</v>
      </c>
    </row>
    <row r="84" spans="75:93" x14ac:dyDescent="0.2">
      <c r="BW84" t="s">
        <v>163</v>
      </c>
      <c r="BX84" t="s">
        <v>162</v>
      </c>
      <c r="BY84">
        <v>0.75</v>
      </c>
      <c r="BZ84">
        <v>0.51</v>
      </c>
      <c r="CA84">
        <v>0.7</v>
      </c>
      <c r="CB84">
        <v>0.75</v>
      </c>
      <c r="CC84">
        <v>0.7</v>
      </c>
      <c r="CD84">
        <v>0.73</v>
      </c>
      <c r="CE84">
        <v>1</v>
      </c>
      <c r="CH84" s="4" t="s">
        <v>177</v>
      </c>
      <c r="CI84" s="13" t="s">
        <v>163</v>
      </c>
      <c r="CJ84" s="13">
        <v>0.7</v>
      </c>
      <c r="CK84" s="13">
        <v>0.7</v>
      </c>
      <c r="CL84" s="13">
        <v>0.7</v>
      </c>
      <c r="CM84" s="13">
        <v>0.7</v>
      </c>
      <c r="CN84" s="13">
        <v>0.7</v>
      </c>
      <c r="CO84" s="13">
        <v>0.7</v>
      </c>
    </row>
    <row r="85" spans="75:93" x14ac:dyDescent="0.2">
      <c r="BW85" t="s">
        <v>164</v>
      </c>
      <c r="BX85" t="s">
        <v>162</v>
      </c>
      <c r="BY85">
        <v>0.61</v>
      </c>
      <c r="BZ85">
        <v>0.55000000000000004</v>
      </c>
      <c r="CA85">
        <v>0.55000000000000004</v>
      </c>
      <c r="CB85">
        <v>0.55000000000000004</v>
      </c>
      <c r="CC85">
        <v>0.55000000000000004</v>
      </c>
      <c r="CD85">
        <v>0.55000000000000004</v>
      </c>
      <c r="CE85">
        <v>2</v>
      </c>
      <c r="CH85" s="2"/>
      <c r="CI85" s="13" t="s">
        <v>164</v>
      </c>
      <c r="CJ85" s="13">
        <v>0.55000000000000004</v>
      </c>
      <c r="CK85" s="13">
        <v>0.55000000000000004</v>
      </c>
      <c r="CL85" s="13">
        <v>0.55000000000000004</v>
      </c>
      <c r="CM85" s="13">
        <v>0.55000000000000004</v>
      </c>
      <c r="CN85" s="13">
        <v>0.55000000000000004</v>
      </c>
      <c r="CO85">
        <v>0.55000000000000004</v>
      </c>
    </row>
    <row r="86" spans="75:93" x14ac:dyDescent="0.2">
      <c r="BW86" t="s">
        <v>165</v>
      </c>
      <c r="BX86" t="s">
        <v>162</v>
      </c>
      <c r="BY86">
        <v>0.64</v>
      </c>
      <c r="BZ86">
        <v>0.59</v>
      </c>
      <c r="CA86">
        <v>0.55000000000000004</v>
      </c>
      <c r="CB86">
        <v>0.67</v>
      </c>
      <c r="CC86">
        <v>0.65</v>
      </c>
      <c r="CD86">
        <v>0.5</v>
      </c>
      <c r="CE86">
        <v>3</v>
      </c>
      <c r="CH86" s="4"/>
      <c r="CI86" s="13" t="s">
        <v>165</v>
      </c>
      <c r="CJ86" s="13">
        <v>0.65</v>
      </c>
      <c r="CK86" s="13">
        <v>0.65</v>
      </c>
      <c r="CL86" s="13">
        <v>0.65</v>
      </c>
      <c r="CM86" s="13">
        <v>0.65</v>
      </c>
      <c r="CN86" s="13">
        <v>0.65</v>
      </c>
      <c r="CO86">
        <v>0.65</v>
      </c>
    </row>
    <row r="87" spans="75:93" x14ac:dyDescent="0.2">
      <c r="BW87" t="s">
        <v>166</v>
      </c>
      <c r="BX87" t="s">
        <v>162</v>
      </c>
      <c r="BY87">
        <v>0.72</v>
      </c>
      <c r="BZ87">
        <v>0.57999999999999996</v>
      </c>
      <c r="CA87">
        <v>0.75</v>
      </c>
      <c r="CB87">
        <v>0.7</v>
      </c>
      <c r="CC87">
        <v>0.6</v>
      </c>
      <c r="CD87">
        <v>0.76</v>
      </c>
      <c r="CE87">
        <v>4</v>
      </c>
      <c r="CH87" s="2"/>
      <c r="CI87" s="13" t="s">
        <v>166</v>
      </c>
      <c r="CJ87" s="13">
        <v>0.6</v>
      </c>
      <c r="CK87" s="13">
        <v>0.6</v>
      </c>
      <c r="CL87" s="13">
        <v>0.6</v>
      </c>
      <c r="CM87" s="13">
        <v>0.6</v>
      </c>
      <c r="CN87" s="13">
        <v>0.6</v>
      </c>
      <c r="CO87">
        <v>0.6</v>
      </c>
    </row>
    <row r="88" spans="75:93" x14ac:dyDescent="0.2">
      <c r="BW88" t="s">
        <v>163</v>
      </c>
      <c r="BX88" t="s">
        <v>167</v>
      </c>
      <c r="BY88">
        <v>0.75</v>
      </c>
      <c r="BZ88">
        <v>0.51</v>
      </c>
      <c r="CA88">
        <v>0.7</v>
      </c>
      <c r="CB88">
        <v>0.75</v>
      </c>
      <c r="CC88">
        <v>0.7</v>
      </c>
      <c r="CD88">
        <v>0.73</v>
      </c>
      <c r="CE88">
        <v>1</v>
      </c>
      <c r="CH88" s="4" t="s">
        <v>178</v>
      </c>
      <c r="CI88" s="13" t="s">
        <v>163</v>
      </c>
      <c r="CJ88" s="13">
        <v>0.73</v>
      </c>
      <c r="CK88" s="13">
        <v>0.73</v>
      </c>
      <c r="CL88" s="13">
        <v>0.73</v>
      </c>
      <c r="CM88" s="13">
        <v>0.73</v>
      </c>
      <c r="CN88" s="13">
        <v>0.73</v>
      </c>
      <c r="CO88" s="13">
        <v>0.73</v>
      </c>
    </row>
    <row r="89" spans="75:93" x14ac:dyDescent="0.2">
      <c r="BW89" t="s">
        <v>164</v>
      </c>
      <c r="BX89" t="s">
        <v>167</v>
      </c>
      <c r="BY89">
        <v>0.61</v>
      </c>
      <c r="BZ89">
        <v>0.55000000000000004</v>
      </c>
      <c r="CA89">
        <v>0.55000000000000004</v>
      </c>
      <c r="CB89">
        <v>0.55000000000000004</v>
      </c>
      <c r="CC89">
        <v>0.55000000000000004</v>
      </c>
      <c r="CD89">
        <v>0.55000000000000004</v>
      </c>
      <c r="CE89">
        <v>2</v>
      </c>
      <c r="CH89" s="2"/>
      <c r="CI89" s="13" t="s">
        <v>164</v>
      </c>
      <c r="CJ89" s="13">
        <v>0.55000000000000004</v>
      </c>
      <c r="CK89" s="13">
        <v>0.55000000000000004</v>
      </c>
      <c r="CL89" s="13">
        <v>0.55000000000000004</v>
      </c>
      <c r="CM89" s="13">
        <v>0.55000000000000004</v>
      </c>
      <c r="CN89" s="13">
        <v>0.55000000000000004</v>
      </c>
      <c r="CO89">
        <v>0.55000000000000004</v>
      </c>
    </row>
    <row r="90" spans="75:93" x14ac:dyDescent="0.2">
      <c r="BW90" t="s">
        <v>165</v>
      </c>
      <c r="BX90" t="s">
        <v>167</v>
      </c>
      <c r="BY90">
        <v>0.64</v>
      </c>
      <c r="BZ90">
        <v>0.59</v>
      </c>
      <c r="CA90">
        <v>0.55000000000000004</v>
      </c>
      <c r="CB90">
        <v>0.67</v>
      </c>
      <c r="CC90">
        <v>0.65</v>
      </c>
      <c r="CD90">
        <v>0.5</v>
      </c>
      <c r="CE90">
        <v>3</v>
      </c>
      <c r="CH90" s="4"/>
      <c r="CI90" s="13" t="s">
        <v>165</v>
      </c>
      <c r="CJ90" s="13">
        <v>0.5</v>
      </c>
      <c r="CK90" s="13">
        <v>0.5</v>
      </c>
      <c r="CL90" s="13">
        <v>0.7</v>
      </c>
      <c r="CM90" s="13">
        <v>0.7</v>
      </c>
      <c r="CN90" s="13">
        <v>0.5</v>
      </c>
      <c r="CO90">
        <v>0.7</v>
      </c>
    </row>
    <row r="91" spans="75:93" x14ac:dyDescent="0.2">
      <c r="BW91" t="s">
        <v>166</v>
      </c>
      <c r="BX91" t="s">
        <v>167</v>
      </c>
      <c r="BY91">
        <v>0.72</v>
      </c>
      <c r="BZ91">
        <v>0.57999999999999996</v>
      </c>
      <c r="CA91">
        <v>0.75</v>
      </c>
      <c r="CB91">
        <v>0.7</v>
      </c>
      <c r="CC91">
        <v>0.6</v>
      </c>
      <c r="CD91">
        <v>0.76</v>
      </c>
      <c r="CE91">
        <v>4</v>
      </c>
      <c r="CH91" s="7"/>
      <c r="CI91" s="13" t="s">
        <v>166</v>
      </c>
      <c r="CJ91" s="13">
        <v>0.76</v>
      </c>
      <c r="CK91" s="13">
        <v>0.76</v>
      </c>
      <c r="CL91" s="13">
        <v>0.76</v>
      </c>
      <c r="CM91" s="13">
        <v>0.76</v>
      </c>
      <c r="CN91" s="13">
        <v>0.76</v>
      </c>
      <c r="CO91">
        <v>0.76</v>
      </c>
    </row>
    <row r="94" spans="75:93" x14ac:dyDescent="0.2">
      <c r="BW94" t="s">
        <v>192</v>
      </c>
      <c r="BX94" t="s">
        <v>129</v>
      </c>
    </row>
    <row r="95" spans="75:93" ht="17" thickBot="1" x14ac:dyDescent="0.25">
      <c r="BW95" t="s">
        <v>180</v>
      </c>
      <c r="BX95" t="s">
        <v>161</v>
      </c>
      <c r="BY95" t="s">
        <v>173</v>
      </c>
      <c r="BZ95" t="s">
        <v>174</v>
      </c>
      <c r="CA95" t="s">
        <v>175</v>
      </c>
      <c r="CB95" t="s">
        <v>176</v>
      </c>
      <c r="CC95" t="s">
        <v>177</v>
      </c>
      <c r="CD95" t="s">
        <v>178</v>
      </c>
      <c r="CE95" t="s">
        <v>189</v>
      </c>
      <c r="CH95" s="8" t="s">
        <v>181</v>
      </c>
      <c r="CI95" s="9" t="s">
        <v>182</v>
      </c>
      <c r="CJ95" s="9" t="s">
        <v>183</v>
      </c>
      <c r="CK95" s="9" t="s">
        <v>184</v>
      </c>
      <c r="CL95" s="9" t="s">
        <v>185</v>
      </c>
      <c r="CM95" s="9" t="s">
        <v>186</v>
      </c>
      <c r="CN95" s="9" t="s">
        <v>187</v>
      </c>
      <c r="CO95" s="10" t="s">
        <v>188</v>
      </c>
    </row>
    <row r="96" spans="75:93" ht="17" thickTop="1" x14ac:dyDescent="0.2">
      <c r="BW96" t="s">
        <v>163</v>
      </c>
      <c r="BX96" t="s">
        <v>169</v>
      </c>
      <c r="BY96">
        <v>54</v>
      </c>
      <c r="BZ96">
        <v>40</v>
      </c>
      <c r="CA96">
        <v>55</v>
      </c>
      <c r="CB96">
        <v>50</v>
      </c>
      <c r="CC96">
        <v>55</v>
      </c>
      <c r="CD96">
        <v>55</v>
      </c>
      <c r="CE96">
        <v>1</v>
      </c>
      <c r="CH96" s="2" t="s">
        <v>179</v>
      </c>
      <c r="CI96" s="3" t="s">
        <v>180</v>
      </c>
      <c r="CJ96" s="3" t="s">
        <v>162</v>
      </c>
      <c r="CK96" s="3" t="s">
        <v>167</v>
      </c>
      <c r="CL96" s="3" t="s">
        <v>168</v>
      </c>
      <c r="CM96" s="3" t="s">
        <v>169</v>
      </c>
      <c r="CN96" s="3" t="s">
        <v>170</v>
      </c>
      <c r="CO96" s="6" t="s">
        <v>171</v>
      </c>
    </row>
    <row r="97" spans="75:93" x14ac:dyDescent="0.2">
      <c r="BW97" t="s">
        <v>164</v>
      </c>
      <c r="BX97" t="s">
        <v>169</v>
      </c>
      <c r="BY97">
        <v>49</v>
      </c>
      <c r="BZ97">
        <v>45</v>
      </c>
      <c r="CA97">
        <v>55</v>
      </c>
      <c r="CB97">
        <v>50</v>
      </c>
      <c r="CC97">
        <v>50</v>
      </c>
      <c r="CD97">
        <v>50</v>
      </c>
      <c r="CE97">
        <v>2</v>
      </c>
      <c r="CH97" s="4" t="s">
        <v>173</v>
      </c>
      <c r="CI97" t="s">
        <v>163</v>
      </c>
      <c r="CJ97">
        <v>75</v>
      </c>
      <c r="CK97">
        <v>62</v>
      </c>
      <c r="CL97">
        <v>44</v>
      </c>
      <c r="CM97">
        <v>54</v>
      </c>
      <c r="CN97">
        <v>56</v>
      </c>
      <c r="CO97">
        <v>20</v>
      </c>
    </row>
    <row r="98" spans="75:93" x14ac:dyDescent="0.2">
      <c r="BW98" t="s">
        <v>165</v>
      </c>
      <c r="BX98" t="s">
        <v>169</v>
      </c>
      <c r="BY98">
        <v>50</v>
      </c>
      <c r="BZ98">
        <v>45</v>
      </c>
      <c r="CA98">
        <v>55</v>
      </c>
      <c r="CB98">
        <v>50</v>
      </c>
      <c r="CC98">
        <v>48</v>
      </c>
      <c r="CD98">
        <v>45</v>
      </c>
      <c r="CE98">
        <v>3</v>
      </c>
      <c r="CH98" s="2"/>
      <c r="CI98" t="s">
        <v>164</v>
      </c>
      <c r="CJ98">
        <v>75</v>
      </c>
      <c r="CK98">
        <v>55</v>
      </c>
      <c r="CL98">
        <v>42</v>
      </c>
      <c r="CM98">
        <v>49</v>
      </c>
      <c r="CN98">
        <v>51</v>
      </c>
      <c r="CO98">
        <v>27</v>
      </c>
    </row>
    <row r="99" spans="75:93" ht="17" thickBot="1" x14ac:dyDescent="0.25">
      <c r="BW99" t="s">
        <v>166</v>
      </c>
      <c r="BX99" t="s">
        <v>169</v>
      </c>
      <c r="BY99">
        <v>50</v>
      </c>
      <c r="BZ99">
        <v>42</v>
      </c>
      <c r="CA99">
        <v>55</v>
      </c>
      <c r="CB99">
        <v>55</v>
      </c>
      <c r="CC99">
        <v>45</v>
      </c>
      <c r="CD99">
        <v>50</v>
      </c>
      <c r="CE99">
        <v>4</v>
      </c>
      <c r="CH99" s="4"/>
      <c r="CI99" t="s">
        <v>165</v>
      </c>
      <c r="CJ99">
        <v>69</v>
      </c>
      <c r="CK99">
        <v>55</v>
      </c>
      <c r="CL99">
        <v>43</v>
      </c>
      <c r="CM99">
        <v>50</v>
      </c>
      <c r="CN99">
        <v>50</v>
      </c>
      <c r="CO99">
        <v>32</v>
      </c>
    </row>
    <row r="100" spans="75:93" ht="18" thickTop="1" thickBot="1" x14ac:dyDescent="0.25">
      <c r="BW100" t="s">
        <v>163</v>
      </c>
      <c r="BX100" s="6" t="s">
        <v>171</v>
      </c>
      <c r="BY100">
        <v>20</v>
      </c>
      <c r="BZ100">
        <v>20</v>
      </c>
      <c r="CA100">
        <v>40</v>
      </c>
      <c r="CB100">
        <v>14</v>
      </c>
      <c r="CC100">
        <v>22</v>
      </c>
      <c r="CD100">
        <v>30</v>
      </c>
      <c r="CE100">
        <v>1</v>
      </c>
      <c r="CH100" s="2"/>
      <c r="CI100" t="s">
        <v>166</v>
      </c>
      <c r="CJ100">
        <v>69</v>
      </c>
      <c r="CK100">
        <v>55</v>
      </c>
      <c r="CL100">
        <v>45</v>
      </c>
      <c r="CM100">
        <v>50</v>
      </c>
      <c r="CN100">
        <v>51</v>
      </c>
      <c r="CO100">
        <v>34</v>
      </c>
    </row>
    <row r="101" spans="75:93" ht="18" thickTop="1" thickBot="1" x14ac:dyDescent="0.25">
      <c r="BW101" t="s">
        <v>164</v>
      </c>
      <c r="BX101" s="6" t="s">
        <v>171</v>
      </c>
      <c r="BY101">
        <v>27</v>
      </c>
      <c r="BZ101">
        <v>25</v>
      </c>
      <c r="CA101">
        <v>45</v>
      </c>
      <c r="CB101">
        <v>24</v>
      </c>
      <c r="CC101">
        <v>28</v>
      </c>
      <c r="CD101">
        <v>30</v>
      </c>
      <c r="CE101">
        <v>2</v>
      </c>
      <c r="CH101" s="4" t="s">
        <v>174</v>
      </c>
      <c r="CI101" t="s">
        <v>163</v>
      </c>
      <c r="CJ101">
        <v>58</v>
      </c>
      <c r="CK101">
        <v>50</v>
      </c>
      <c r="CL101">
        <v>35</v>
      </c>
      <c r="CM101">
        <v>40</v>
      </c>
      <c r="CN101">
        <v>45</v>
      </c>
      <c r="CO101">
        <v>20</v>
      </c>
    </row>
    <row r="102" spans="75:93" ht="18" thickTop="1" thickBot="1" x14ac:dyDescent="0.25">
      <c r="BW102" t="s">
        <v>165</v>
      </c>
      <c r="BX102" s="6" t="s">
        <v>171</v>
      </c>
      <c r="BY102">
        <v>32</v>
      </c>
      <c r="BZ102">
        <v>20</v>
      </c>
      <c r="CA102">
        <v>20</v>
      </c>
      <c r="CB102">
        <v>36</v>
      </c>
      <c r="CC102">
        <v>33</v>
      </c>
      <c r="CD102">
        <v>10</v>
      </c>
      <c r="CE102">
        <v>3</v>
      </c>
      <c r="CH102" s="2"/>
      <c r="CI102" t="s">
        <v>164</v>
      </c>
      <c r="CJ102">
        <v>61</v>
      </c>
      <c r="CK102">
        <v>55</v>
      </c>
      <c r="CL102">
        <v>40</v>
      </c>
      <c r="CM102">
        <v>45</v>
      </c>
      <c r="CN102">
        <v>50</v>
      </c>
      <c r="CO102">
        <v>25</v>
      </c>
    </row>
    <row r="103" spans="75:93" ht="17" thickTop="1" x14ac:dyDescent="0.2">
      <c r="BW103" t="s">
        <v>166</v>
      </c>
      <c r="BX103" s="6" t="s">
        <v>171</v>
      </c>
      <c r="BY103">
        <v>34</v>
      </c>
      <c r="BZ103">
        <v>25</v>
      </c>
      <c r="CA103">
        <v>30</v>
      </c>
      <c r="CB103">
        <v>42</v>
      </c>
      <c r="CC103">
        <v>35</v>
      </c>
      <c r="CD103">
        <v>20</v>
      </c>
      <c r="CE103">
        <v>4</v>
      </c>
      <c r="CH103" s="4"/>
      <c r="CI103" t="s">
        <v>165</v>
      </c>
      <c r="CJ103">
        <v>63</v>
      </c>
      <c r="CK103">
        <v>55</v>
      </c>
      <c r="CL103">
        <v>40</v>
      </c>
      <c r="CM103">
        <v>45</v>
      </c>
      <c r="CN103">
        <v>50</v>
      </c>
      <c r="CO103">
        <v>20</v>
      </c>
    </row>
    <row r="104" spans="75:93" x14ac:dyDescent="0.2">
      <c r="BW104" t="s">
        <v>163</v>
      </c>
      <c r="BX104" t="s">
        <v>168</v>
      </c>
      <c r="BY104">
        <v>44</v>
      </c>
      <c r="BZ104">
        <v>35</v>
      </c>
      <c r="CA104">
        <v>52</v>
      </c>
      <c r="CB104">
        <v>45</v>
      </c>
      <c r="CC104">
        <v>50</v>
      </c>
      <c r="CD104">
        <v>50</v>
      </c>
      <c r="CE104">
        <v>1</v>
      </c>
      <c r="CH104" s="2"/>
      <c r="CI104" t="s">
        <v>166</v>
      </c>
      <c r="CJ104">
        <v>60</v>
      </c>
      <c r="CK104">
        <v>50</v>
      </c>
      <c r="CL104">
        <v>35</v>
      </c>
      <c r="CM104">
        <v>42</v>
      </c>
      <c r="CN104">
        <v>48</v>
      </c>
      <c r="CO104">
        <v>25</v>
      </c>
    </row>
    <row r="105" spans="75:93" x14ac:dyDescent="0.2">
      <c r="BW105" t="s">
        <v>164</v>
      </c>
      <c r="BX105" t="s">
        <v>168</v>
      </c>
      <c r="BY105">
        <v>42</v>
      </c>
      <c r="BZ105">
        <v>40</v>
      </c>
      <c r="CA105">
        <v>52</v>
      </c>
      <c r="CB105">
        <v>45</v>
      </c>
      <c r="CC105">
        <v>45</v>
      </c>
      <c r="CD105">
        <v>45</v>
      </c>
      <c r="CE105">
        <v>2</v>
      </c>
      <c r="CH105" s="4" t="s">
        <v>175</v>
      </c>
      <c r="CI105" t="s">
        <v>163</v>
      </c>
      <c r="CJ105">
        <v>80</v>
      </c>
      <c r="CK105">
        <v>70</v>
      </c>
      <c r="CL105">
        <v>52</v>
      </c>
      <c r="CM105">
        <v>55</v>
      </c>
      <c r="CN105">
        <v>55</v>
      </c>
      <c r="CO105">
        <v>40</v>
      </c>
    </row>
    <row r="106" spans="75:93" x14ac:dyDescent="0.2">
      <c r="BW106" t="s">
        <v>165</v>
      </c>
      <c r="BX106" t="s">
        <v>168</v>
      </c>
      <c r="BY106">
        <v>43</v>
      </c>
      <c r="BZ106">
        <v>40</v>
      </c>
      <c r="CA106">
        <v>52</v>
      </c>
      <c r="CB106">
        <v>45</v>
      </c>
      <c r="CC106">
        <v>43</v>
      </c>
      <c r="CD106">
        <v>40</v>
      </c>
      <c r="CE106">
        <v>3</v>
      </c>
      <c r="CH106" s="2"/>
      <c r="CI106" t="s">
        <v>164</v>
      </c>
      <c r="CJ106">
        <v>70</v>
      </c>
      <c r="CK106">
        <v>65</v>
      </c>
      <c r="CL106">
        <v>52</v>
      </c>
      <c r="CM106">
        <v>55</v>
      </c>
      <c r="CN106">
        <v>55</v>
      </c>
      <c r="CO106">
        <v>45</v>
      </c>
    </row>
    <row r="107" spans="75:93" x14ac:dyDescent="0.2">
      <c r="BW107" t="s">
        <v>166</v>
      </c>
      <c r="BX107" t="s">
        <v>168</v>
      </c>
      <c r="BY107">
        <v>45</v>
      </c>
      <c r="BZ107">
        <v>35</v>
      </c>
      <c r="CA107">
        <v>52</v>
      </c>
      <c r="CB107">
        <v>50</v>
      </c>
      <c r="CC107">
        <v>40</v>
      </c>
      <c r="CD107">
        <v>45</v>
      </c>
      <c r="CE107">
        <v>4</v>
      </c>
      <c r="CH107" s="4"/>
      <c r="CI107" t="s">
        <v>165</v>
      </c>
      <c r="CJ107">
        <v>70</v>
      </c>
      <c r="CK107">
        <v>60</v>
      </c>
      <c r="CL107">
        <v>52</v>
      </c>
      <c r="CM107">
        <v>55</v>
      </c>
      <c r="CN107">
        <v>55</v>
      </c>
      <c r="CO107">
        <v>20</v>
      </c>
    </row>
    <row r="108" spans="75:93" x14ac:dyDescent="0.2">
      <c r="BW108" t="s">
        <v>163</v>
      </c>
      <c r="BX108" t="s">
        <v>170</v>
      </c>
      <c r="BY108">
        <v>56</v>
      </c>
      <c r="BZ108">
        <v>45</v>
      </c>
      <c r="CA108">
        <v>55</v>
      </c>
      <c r="CB108">
        <v>50</v>
      </c>
      <c r="CC108">
        <v>50</v>
      </c>
      <c r="CD108">
        <v>55</v>
      </c>
      <c r="CE108">
        <v>1</v>
      </c>
      <c r="CH108" s="2"/>
      <c r="CI108" t="s">
        <v>166</v>
      </c>
      <c r="CJ108">
        <v>70</v>
      </c>
      <c r="CK108">
        <v>60</v>
      </c>
      <c r="CL108">
        <v>52</v>
      </c>
      <c r="CM108">
        <v>55</v>
      </c>
      <c r="CN108">
        <v>55</v>
      </c>
      <c r="CO108">
        <v>30</v>
      </c>
    </row>
    <row r="109" spans="75:93" x14ac:dyDescent="0.2">
      <c r="BW109" t="s">
        <v>164</v>
      </c>
      <c r="BX109" t="s">
        <v>170</v>
      </c>
      <c r="BY109">
        <v>51</v>
      </c>
      <c r="BZ109">
        <v>50</v>
      </c>
      <c r="CA109">
        <v>55</v>
      </c>
      <c r="CB109">
        <v>50</v>
      </c>
      <c r="CC109">
        <v>50</v>
      </c>
      <c r="CD109">
        <v>50</v>
      </c>
      <c r="CE109">
        <v>2</v>
      </c>
      <c r="CH109" s="4" t="s">
        <v>176</v>
      </c>
      <c r="CI109" t="s">
        <v>163</v>
      </c>
      <c r="CJ109">
        <v>90</v>
      </c>
      <c r="CK109">
        <v>55</v>
      </c>
      <c r="CL109">
        <v>45</v>
      </c>
      <c r="CM109">
        <v>50</v>
      </c>
      <c r="CN109">
        <v>50</v>
      </c>
      <c r="CO109">
        <v>14</v>
      </c>
    </row>
    <row r="110" spans="75:93" x14ac:dyDescent="0.2">
      <c r="BW110" t="s">
        <v>165</v>
      </c>
      <c r="BX110" t="s">
        <v>170</v>
      </c>
      <c r="BY110">
        <v>50</v>
      </c>
      <c r="BZ110">
        <v>50</v>
      </c>
      <c r="CA110">
        <v>55</v>
      </c>
      <c r="CB110">
        <v>50</v>
      </c>
      <c r="CC110">
        <v>50</v>
      </c>
      <c r="CD110">
        <v>45</v>
      </c>
      <c r="CE110">
        <v>3</v>
      </c>
      <c r="CH110" s="2"/>
      <c r="CI110" t="s">
        <v>164</v>
      </c>
      <c r="CJ110">
        <v>90</v>
      </c>
      <c r="CK110">
        <v>55</v>
      </c>
      <c r="CL110">
        <v>45</v>
      </c>
      <c r="CM110">
        <v>50</v>
      </c>
      <c r="CN110">
        <v>50</v>
      </c>
      <c r="CO110">
        <v>24</v>
      </c>
    </row>
    <row r="111" spans="75:93" x14ac:dyDescent="0.2">
      <c r="BW111" t="s">
        <v>166</v>
      </c>
      <c r="BX111" t="s">
        <v>170</v>
      </c>
      <c r="BY111">
        <v>51</v>
      </c>
      <c r="BZ111">
        <v>48</v>
      </c>
      <c r="CA111">
        <v>55</v>
      </c>
      <c r="CB111">
        <v>50</v>
      </c>
      <c r="CC111">
        <v>50</v>
      </c>
      <c r="CD111">
        <v>50</v>
      </c>
      <c r="CE111">
        <v>4</v>
      </c>
      <c r="CH111" s="4"/>
      <c r="CI111" t="s">
        <v>165</v>
      </c>
      <c r="CJ111">
        <v>75</v>
      </c>
      <c r="CK111">
        <v>50</v>
      </c>
      <c r="CL111">
        <v>45</v>
      </c>
      <c r="CM111">
        <v>50</v>
      </c>
      <c r="CN111">
        <v>50</v>
      </c>
      <c r="CO111">
        <v>36</v>
      </c>
    </row>
    <row r="112" spans="75:93" x14ac:dyDescent="0.2">
      <c r="BW112" t="s">
        <v>163</v>
      </c>
      <c r="BX112" t="s">
        <v>162</v>
      </c>
      <c r="BY112">
        <v>75</v>
      </c>
      <c r="BZ112">
        <v>58</v>
      </c>
      <c r="CA112">
        <v>80</v>
      </c>
      <c r="CB112">
        <v>90</v>
      </c>
      <c r="CC112">
        <v>70</v>
      </c>
      <c r="CD112">
        <v>75</v>
      </c>
      <c r="CE112">
        <v>1</v>
      </c>
      <c r="CH112" s="2"/>
      <c r="CI112" t="s">
        <v>166</v>
      </c>
      <c r="CJ112">
        <v>75</v>
      </c>
      <c r="CK112">
        <v>45</v>
      </c>
      <c r="CL112">
        <v>50</v>
      </c>
      <c r="CM112">
        <v>55</v>
      </c>
      <c r="CN112">
        <v>50</v>
      </c>
      <c r="CO112">
        <v>42</v>
      </c>
    </row>
    <row r="113" spans="75:93" x14ac:dyDescent="0.2">
      <c r="BW113" t="s">
        <v>164</v>
      </c>
      <c r="BX113" t="s">
        <v>162</v>
      </c>
      <c r="BY113">
        <v>75</v>
      </c>
      <c r="BZ113">
        <v>61</v>
      </c>
      <c r="CA113">
        <v>70</v>
      </c>
      <c r="CB113">
        <v>90</v>
      </c>
      <c r="CC113">
        <v>65</v>
      </c>
      <c r="CD113">
        <v>65</v>
      </c>
      <c r="CE113">
        <v>2</v>
      </c>
      <c r="CH113" s="4" t="s">
        <v>177</v>
      </c>
      <c r="CI113" t="s">
        <v>163</v>
      </c>
      <c r="CJ113">
        <v>70</v>
      </c>
      <c r="CK113">
        <v>60</v>
      </c>
      <c r="CL113">
        <v>50</v>
      </c>
      <c r="CM113">
        <v>55</v>
      </c>
      <c r="CN113">
        <v>50</v>
      </c>
      <c r="CO113">
        <v>22</v>
      </c>
    </row>
    <row r="114" spans="75:93" x14ac:dyDescent="0.2">
      <c r="BW114" t="s">
        <v>165</v>
      </c>
      <c r="BX114" t="s">
        <v>162</v>
      </c>
      <c r="BY114">
        <v>69</v>
      </c>
      <c r="BZ114">
        <v>63</v>
      </c>
      <c r="CA114">
        <v>70</v>
      </c>
      <c r="CB114">
        <v>75</v>
      </c>
      <c r="CC114">
        <v>65</v>
      </c>
      <c r="CD114">
        <v>65</v>
      </c>
      <c r="CE114">
        <v>3</v>
      </c>
      <c r="CH114" s="2"/>
      <c r="CI114" t="s">
        <v>164</v>
      </c>
      <c r="CJ114">
        <v>65</v>
      </c>
      <c r="CK114">
        <v>55</v>
      </c>
      <c r="CL114">
        <v>45</v>
      </c>
      <c r="CM114">
        <v>50</v>
      </c>
      <c r="CN114">
        <v>50</v>
      </c>
      <c r="CO114">
        <v>28</v>
      </c>
    </row>
    <row r="115" spans="75:93" x14ac:dyDescent="0.2">
      <c r="BW115" t="s">
        <v>166</v>
      </c>
      <c r="BX115" t="s">
        <v>162</v>
      </c>
      <c r="BY115">
        <v>69</v>
      </c>
      <c r="BZ115">
        <v>60</v>
      </c>
      <c r="CA115">
        <v>70</v>
      </c>
      <c r="CB115">
        <v>75</v>
      </c>
      <c r="CC115">
        <v>60</v>
      </c>
      <c r="CD115">
        <v>65</v>
      </c>
      <c r="CE115">
        <v>4</v>
      </c>
      <c r="CH115" s="4"/>
      <c r="CI115" t="s">
        <v>165</v>
      </c>
      <c r="CJ115">
        <v>65</v>
      </c>
      <c r="CK115">
        <v>52</v>
      </c>
      <c r="CL115">
        <v>43</v>
      </c>
      <c r="CM115">
        <v>48</v>
      </c>
      <c r="CN115">
        <v>50</v>
      </c>
      <c r="CO115">
        <v>33</v>
      </c>
    </row>
    <row r="116" spans="75:93" x14ac:dyDescent="0.2">
      <c r="BW116" t="s">
        <v>163</v>
      </c>
      <c r="BX116" t="s">
        <v>167</v>
      </c>
      <c r="BY116">
        <v>62</v>
      </c>
      <c r="BZ116">
        <v>50</v>
      </c>
      <c r="CA116">
        <v>70</v>
      </c>
      <c r="CB116">
        <v>55</v>
      </c>
      <c r="CC116">
        <v>60</v>
      </c>
      <c r="CD116">
        <v>60</v>
      </c>
      <c r="CE116">
        <v>1</v>
      </c>
      <c r="CH116" s="2"/>
      <c r="CI116" t="s">
        <v>166</v>
      </c>
      <c r="CJ116">
        <v>60</v>
      </c>
      <c r="CK116">
        <v>50</v>
      </c>
      <c r="CL116">
        <v>40</v>
      </c>
      <c r="CM116">
        <v>45</v>
      </c>
      <c r="CN116">
        <v>50</v>
      </c>
      <c r="CO116">
        <v>35</v>
      </c>
    </row>
    <row r="117" spans="75:93" x14ac:dyDescent="0.2">
      <c r="BW117" t="s">
        <v>164</v>
      </c>
      <c r="BX117" t="s">
        <v>167</v>
      </c>
      <c r="BY117">
        <v>55</v>
      </c>
      <c r="BZ117">
        <v>55</v>
      </c>
      <c r="CA117">
        <v>65</v>
      </c>
      <c r="CB117">
        <v>55</v>
      </c>
      <c r="CC117">
        <v>55</v>
      </c>
      <c r="CD117">
        <v>55</v>
      </c>
      <c r="CE117">
        <v>2</v>
      </c>
      <c r="CH117" s="4" t="s">
        <v>178</v>
      </c>
      <c r="CI117" t="s">
        <v>163</v>
      </c>
      <c r="CJ117">
        <v>75</v>
      </c>
      <c r="CK117">
        <v>60</v>
      </c>
      <c r="CL117">
        <v>50</v>
      </c>
      <c r="CM117">
        <v>55</v>
      </c>
      <c r="CN117">
        <v>55</v>
      </c>
      <c r="CO117">
        <v>30</v>
      </c>
    </row>
    <row r="118" spans="75:93" x14ac:dyDescent="0.2">
      <c r="BW118" t="s">
        <v>165</v>
      </c>
      <c r="BX118" t="s">
        <v>167</v>
      </c>
      <c r="BY118">
        <v>55</v>
      </c>
      <c r="BZ118">
        <v>55</v>
      </c>
      <c r="CA118">
        <v>60</v>
      </c>
      <c r="CB118">
        <v>50</v>
      </c>
      <c r="CC118">
        <v>52</v>
      </c>
      <c r="CD118">
        <v>48</v>
      </c>
      <c r="CE118">
        <v>3</v>
      </c>
      <c r="CH118" s="2"/>
      <c r="CI118" t="s">
        <v>164</v>
      </c>
      <c r="CJ118">
        <v>65</v>
      </c>
      <c r="CK118">
        <v>55</v>
      </c>
      <c r="CL118">
        <v>45</v>
      </c>
      <c r="CM118">
        <v>50</v>
      </c>
      <c r="CN118">
        <v>50</v>
      </c>
      <c r="CO118">
        <v>30</v>
      </c>
    </row>
    <row r="119" spans="75:93" x14ac:dyDescent="0.2">
      <c r="BW119" t="s">
        <v>166</v>
      </c>
      <c r="BX119" t="s">
        <v>167</v>
      </c>
      <c r="BY119">
        <v>55</v>
      </c>
      <c r="BZ119">
        <v>50</v>
      </c>
      <c r="CA119">
        <v>60</v>
      </c>
      <c r="CB119">
        <v>45</v>
      </c>
      <c r="CC119">
        <v>50</v>
      </c>
      <c r="CD119">
        <v>48</v>
      </c>
      <c r="CE119">
        <v>4</v>
      </c>
      <c r="CH119" s="4"/>
      <c r="CI119" t="s">
        <v>165</v>
      </c>
      <c r="CJ119">
        <v>65</v>
      </c>
      <c r="CK119">
        <v>48</v>
      </c>
      <c r="CL119">
        <v>40</v>
      </c>
      <c r="CM119">
        <v>45</v>
      </c>
      <c r="CN119">
        <v>45</v>
      </c>
      <c r="CO119">
        <v>10</v>
      </c>
    </row>
    <row r="120" spans="75:93" x14ac:dyDescent="0.2">
      <c r="CH120" s="7"/>
      <c r="CI120" t="s">
        <v>166</v>
      </c>
      <c r="CJ120">
        <v>65</v>
      </c>
      <c r="CK120">
        <v>48</v>
      </c>
      <c r="CL120">
        <v>45</v>
      </c>
      <c r="CM120">
        <v>50</v>
      </c>
      <c r="CN120">
        <v>50</v>
      </c>
      <c r="CO120">
        <v>20</v>
      </c>
    </row>
    <row r="127" spans="75:93" x14ac:dyDescent="0.2">
      <c r="CK127" s="13"/>
      <c r="CL127" s="13"/>
      <c r="CM127" s="13"/>
      <c r="CN127" s="13"/>
    </row>
    <row r="128" spans="75:93" x14ac:dyDescent="0.2">
      <c r="CH128" s="13" t="s">
        <v>252</v>
      </c>
      <c r="CI128" s="13" t="s">
        <v>141</v>
      </c>
      <c r="CJ128" s="13"/>
      <c r="CK128" s="13"/>
      <c r="CL128" s="13"/>
      <c r="CM128" s="13"/>
      <c r="CN128" s="13"/>
    </row>
    <row r="129" spans="49:93" ht="17" thickBot="1" x14ac:dyDescent="0.25">
      <c r="CH129" s="20"/>
      <c r="CJ129" s="21"/>
      <c r="CK129" s="21"/>
      <c r="CL129" s="21"/>
      <c r="CM129" s="5"/>
      <c r="CN129" s="5"/>
      <c r="CO129" s="5"/>
    </row>
    <row r="130" spans="49:93" ht="18" thickTop="1" thickBot="1" x14ac:dyDescent="0.25">
      <c r="AW130" t="str" cm="1">
        <f t="array" ref="AW130:BE153">QueryW40[]</f>
        <v>Spring</v>
      </c>
      <c r="AX130" t="str">
        <v>Breeding ewes</v>
      </c>
      <c r="AY130">
        <v>54</v>
      </c>
      <c r="AZ130">
        <v>40</v>
      </c>
      <c r="BA130">
        <v>55</v>
      </c>
      <c r="BB130">
        <v>50</v>
      </c>
      <c r="BC130">
        <v>55</v>
      </c>
      <c r="BD130">
        <v>55</v>
      </c>
      <c r="BE130">
        <v>1</v>
      </c>
      <c r="BW130" t="s">
        <v>180</v>
      </c>
      <c r="BX130" t="s">
        <v>161</v>
      </c>
      <c r="BY130" t="s">
        <v>173</v>
      </c>
      <c r="BZ130" t="s">
        <v>174</v>
      </c>
      <c r="CA130" t="s">
        <v>175</v>
      </c>
      <c r="CB130" t="s">
        <v>176</v>
      </c>
      <c r="CC130" t="s">
        <v>177</v>
      </c>
      <c r="CD130" t="s">
        <v>178</v>
      </c>
      <c r="CE130" t="s">
        <v>189</v>
      </c>
      <c r="CH130" s="22" t="s">
        <v>181</v>
      </c>
      <c r="CI130" t="s">
        <v>182</v>
      </c>
      <c r="CJ130" s="23" t="s">
        <v>183</v>
      </c>
      <c r="CK130" s="23" t="s">
        <v>184</v>
      </c>
      <c r="CL130" s="23" t="s">
        <v>185</v>
      </c>
      <c r="CM130" s="6" t="s">
        <v>186</v>
      </c>
      <c r="CN130" s="6" t="s">
        <v>187</v>
      </c>
      <c r="CO130" s="6" t="s">
        <v>188</v>
      </c>
    </row>
    <row r="131" spans="49:93" ht="17" thickTop="1" x14ac:dyDescent="0.2">
      <c r="AW131" t="str">
        <v>Summer</v>
      </c>
      <c r="AX131" t="str">
        <v>Breeding ewes</v>
      </c>
      <c r="AY131">
        <v>49</v>
      </c>
      <c r="AZ131">
        <v>45</v>
      </c>
      <c r="BA131">
        <v>55</v>
      </c>
      <c r="BB131">
        <v>50</v>
      </c>
      <c r="BC131">
        <v>50</v>
      </c>
      <c r="BD131">
        <v>50</v>
      </c>
      <c r="BE131">
        <v>2</v>
      </c>
      <c r="BW131" t="s">
        <v>163</v>
      </c>
      <c r="BX131" t="s">
        <v>169</v>
      </c>
      <c r="BY131">
        <v>57</v>
      </c>
      <c r="BZ131">
        <v>50</v>
      </c>
      <c r="CA131">
        <v>60</v>
      </c>
      <c r="CB131">
        <v>55</v>
      </c>
      <c r="CC131">
        <v>50</v>
      </c>
      <c r="CD131">
        <v>60</v>
      </c>
      <c r="CE131">
        <v>1</v>
      </c>
      <c r="CH131" s="22" t="s">
        <v>179</v>
      </c>
      <c r="CI131" t="s">
        <v>180</v>
      </c>
      <c r="CJ131" s="23" t="s">
        <v>162</v>
      </c>
      <c r="CK131" s="23" t="s">
        <v>167</v>
      </c>
      <c r="CL131" s="23" t="s">
        <v>168</v>
      </c>
      <c r="CM131" s="6" t="s">
        <v>169</v>
      </c>
      <c r="CN131" s="6" t="s">
        <v>170</v>
      </c>
      <c r="CO131" s="6" t="s">
        <v>171</v>
      </c>
    </row>
    <row r="132" spans="49:93" x14ac:dyDescent="0.2">
      <c r="AW132" t="str">
        <v>Autumn</v>
      </c>
      <c r="AX132" t="str">
        <v>Breeding ewes</v>
      </c>
      <c r="AY132">
        <v>50</v>
      </c>
      <c r="AZ132">
        <v>45</v>
      </c>
      <c r="BA132">
        <v>55</v>
      </c>
      <c r="BB132">
        <v>50</v>
      </c>
      <c r="BC132">
        <v>48</v>
      </c>
      <c r="BD132">
        <v>45</v>
      </c>
      <c r="BE132">
        <v>3</v>
      </c>
      <c r="BW132" t="s">
        <v>164</v>
      </c>
      <c r="BX132" t="s">
        <v>169</v>
      </c>
      <c r="BY132">
        <v>57</v>
      </c>
      <c r="BZ132">
        <v>50</v>
      </c>
      <c r="CA132">
        <v>60</v>
      </c>
      <c r="CB132">
        <v>55</v>
      </c>
      <c r="CC132">
        <v>50</v>
      </c>
      <c r="CD132">
        <v>60</v>
      </c>
      <c r="CE132">
        <v>2</v>
      </c>
      <c r="CH132" s="24" t="s">
        <v>173</v>
      </c>
      <c r="CI132" t="s">
        <v>163</v>
      </c>
      <c r="CJ132" s="25" t="s">
        <v>241</v>
      </c>
      <c r="CK132" s="25" t="s">
        <v>242</v>
      </c>
      <c r="CL132" s="25" t="s">
        <v>243</v>
      </c>
      <c r="CM132" s="25" t="s">
        <v>243</v>
      </c>
      <c r="CN132" s="25" t="s">
        <v>243</v>
      </c>
      <c r="CO132" s="25">
        <v>60</v>
      </c>
    </row>
    <row r="133" spans="49:93" x14ac:dyDescent="0.2">
      <c r="AW133" t="str">
        <v>Winter</v>
      </c>
      <c r="AX133" t="str">
        <v>Breeding ewes</v>
      </c>
      <c r="AY133">
        <v>50</v>
      </c>
      <c r="AZ133">
        <v>42</v>
      </c>
      <c r="BA133">
        <v>55</v>
      </c>
      <c r="BB133">
        <v>55</v>
      </c>
      <c r="BC133">
        <v>45</v>
      </c>
      <c r="BD133">
        <v>50</v>
      </c>
      <c r="BE133">
        <v>4</v>
      </c>
      <c r="BW133" t="s">
        <v>165</v>
      </c>
      <c r="BX133" t="s">
        <v>169</v>
      </c>
      <c r="BY133">
        <v>57</v>
      </c>
      <c r="BZ133">
        <v>50</v>
      </c>
      <c r="CA133">
        <v>60</v>
      </c>
      <c r="CB133">
        <v>55</v>
      </c>
      <c r="CC133">
        <v>50</v>
      </c>
      <c r="CD133">
        <v>60</v>
      </c>
      <c r="CE133">
        <v>3</v>
      </c>
      <c r="CH133" s="24" t="s">
        <v>173</v>
      </c>
      <c r="CI133" t="s">
        <v>164</v>
      </c>
      <c r="CJ133" s="25" t="s">
        <v>241</v>
      </c>
      <c r="CK133" s="25" t="s">
        <v>242</v>
      </c>
      <c r="CL133" s="25" t="s">
        <v>243</v>
      </c>
      <c r="CM133" s="25" t="s">
        <v>243</v>
      </c>
      <c r="CN133" s="25" t="s">
        <v>243</v>
      </c>
      <c r="CO133" s="25">
        <v>61</v>
      </c>
    </row>
    <row r="134" spans="49:93" x14ac:dyDescent="0.2">
      <c r="AW134" t="str">
        <v>Spring</v>
      </c>
      <c r="AX134" t="str">
        <v>Lambs and hoggets</v>
      </c>
      <c r="AY134">
        <v>20</v>
      </c>
      <c r="AZ134">
        <v>20</v>
      </c>
      <c r="BA134">
        <v>40</v>
      </c>
      <c r="BB134">
        <v>14</v>
      </c>
      <c r="BC134">
        <v>22</v>
      </c>
      <c r="BD134">
        <v>30</v>
      </c>
      <c r="BE134">
        <v>1</v>
      </c>
      <c r="BW134" t="s">
        <v>166</v>
      </c>
      <c r="BX134" t="s">
        <v>169</v>
      </c>
      <c r="BY134">
        <v>57</v>
      </c>
      <c r="BZ134">
        <v>50</v>
      </c>
      <c r="CA134">
        <v>60</v>
      </c>
      <c r="CB134">
        <v>55</v>
      </c>
      <c r="CC134">
        <v>50</v>
      </c>
      <c r="CD134">
        <v>60</v>
      </c>
      <c r="CE134">
        <v>4</v>
      </c>
      <c r="CH134" s="24" t="s">
        <v>173</v>
      </c>
      <c r="CI134" t="s">
        <v>165</v>
      </c>
      <c r="CJ134" s="25" t="s">
        <v>241</v>
      </c>
      <c r="CK134" s="25" t="s">
        <v>242</v>
      </c>
      <c r="CL134" s="25" t="s">
        <v>243</v>
      </c>
      <c r="CM134" s="25" t="s">
        <v>243</v>
      </c>
      <c r="CN134" s="25" t="s">
        <v>243</v>
      </c>
      <c r="CO134" s="25">
        <v>62</v>
      </c>
    </row>
    <row r="135" spans="49:93" x14ac:dyDescent="0.2">
      <c r="AW135" t="str">
        <v>Summer</v>
      </c>
      <c r="AX135" t="str">
        <v>Lambs and hoggets</v>
      </c>
      <c r="AY135">
        <v>27</v>
      </c>
      <c r="AZ135">
        <v>25</v>
      </c>
      <c r="BA135">
        <v>45</v>
      </c>
      <c r="BB135">
        <v>24</v>
      </c>
      <c r="BC135">
        <v>28</v>
      </c>
      <c r="BD135">
        <v>30</v>
      </c>
      <c r="BE135">
        <v>2</v>
      </c>
      <c r="BW135" t="s">
        <v>163</v>
      </c>
      <c r="BX135" t="s">
        <v>171</v>
      </c>
      <c r="BY135">
        <v>60</v>
      </c>
      <c r="BZ135">
        <v>55</v>
      </c>
      <c r="CA135">
        <v>66</v>
      </c>
      <c r="CB135">
        <v>60</v>
      </c>
      <c r="CC135">
        <v>55</v>
      </c>
      <c r="CD135">
        <v>66</v>
      </c>
      <c r="CE135">
        <v>1</v>
      </c>
      <c r="CH135" s="24" t="s">
        <v>173</v>
      </c>
      <c r="CI135" t="s">
        <v>166</v>
      </c>
      <c r="CJ135" s="25" t="s">
        <v>241</v>
      </c>
      <c r="CK135" s="25" t="s">
        <v>242</v>
      </c>
      <c r="CL135" s="25" t="s">
        <v>243</v>
      </c>
      <c r="CM135" s="25" t="s">
        <v>243</v>
      </c>
      <c r="CN135" s="25" t="s">
        <v>243</v>
      </c>
      <c r="CO135" s="25">
        <v>63</v>
      </c>
    </row>
    <row r="136" spans="49:93" x14ac:dyDescent="0.2">
      <c r="AW136" t="str">
        <v>Autumn</v>
      </c>
      <c r="AX136" t="str">
        <v>Lambs and hoggets</v>
      </c>
      <c r="AY136">
        <v>32</v>
      </c>
      <c r="AZ136">
        <v>20</v>
      </c>
      <c r="BA136">
        <v>20</v>
      </c>
      <c r="BB136">
        <v>36</v>
      </c>
      <c r="BC136">
        <v>33</v>
      </c>
      <c r="BD136">
        <v>10</v>
      </c>
      <c r="BE136">
        <v>3</v>
      </c>
      <c r="BW136" t="s">
        <v>164</v>
      </c>
      <c r="BX136" t="s">
        <v>171</v>
      </c>
      <c r="BY136">
        <v>61</v>
      </c>
      <c r="BZ136">
        <v>56</v>
      </c>
      <c r="CA136">
        <v>67</v>
      </c>
      <c r="CB136">
        <v>61</v>
      </c>
      <c r="CC136">
        <v>56</v>
      </c>
      <c r="CD136">
        <v>67</v>
      </c>
      <c r="CE136">
        <v>2</v>
      </c>
      <c r="CH136" s="26" t="s">
        <v>174</v>
      </c>
      <c r="CI136" t="s">
        <v>163</v>
      </c>
      <c r="CJ136" s="19" t="s">
        <v>244</v>
      </c>
      <c r="CK136" s="19" t="s">
        <v>245</v>
      </c>
      <c r="CL136" s="19" t="s">
        <v>246</v>
      </c>
      <c r="CM136" s="19" t="s">
        <v>246</v>
      </c>
      <c r="CN136" s="19" t="s">
        <v>246</v>
      </c>
      <c r="CO136" s="19">
        <v>55</v>
      </c>
    </row>
    <row r="137" spans="49:93" x14ac:dyDescent="0.2">
      <c r="AW137" t="str">
        <v>Winter</v>
      </c>
      <c r="AX137" t="str">
        <v>Lambs and hoggets</v>
      </c>
      <c r="AY137">
        <v>34</v>
      </c>
      <c r="AZ137">
        <v>25</v>
      </c>
      <c r="BA137">
        <v>30</v>
      </c>
      <c r="BB137">
        <v>42</v>
      </c>
      <c r="BC137">
        <v>35</v>
      </c>
      <c r="BD137">
        <v>20</v>
      </c>
      <c r="BE137">
        <v>4</v>
      </c>
      <c r="BW137" t="s">
        <v>165</v>
      </c>
      <c r="BX137" t="s">
        <v>171</v>
      </c>
      <c r="BY137">
        <v>62</v>
      </c>
      <c r="BZ137">
        <v>57</v>
      </c>
      <c r="CA137">
        <v>68</v>
      </c>
      <c r="CB137">
        <v>62</v>
      </c>
      <c r="CC137">
        <v>57</v>
      </c>
      <c r="CD137">
        <v>68</v>
      </c>
      <c r="CE137">
        <v>3</v>
      </c>
      <c r="CH137" s="26" t="s">
        <v>174</v>
      </c>
      <c r="CI137" t="s">
        <v>164</v>
      </c>
      <c r="CJ137" s="19" t="s">
        <v>244</v>
      </c>
      <c r="CK137" s="19" t="s">
        <v>245</v>
      </c>
      <c r="CL137" s="19" t="s">
        <v>246</v>
      </c>
      <c r="CM137" s="19" t="s">
        <v>246</v>
      </c>
      <c r="CN137" s="19" t="s">
        <v>246</v>
      </c>
      <c r="CO137" s="19">
        <v>56</v>
      </c>
    </row>
    <row r="138" spans="49:93" x14ac:dyDescent="0.2">
      <c r="AW138" t="str">
        <v>Spring</v>
      </c>
      <c r="AX138" t="str">
        <v>Maiden ewes</v>
      </c>
      <c r="AY138">
        <v>44</v>
      </c>
      <c r="AZ138">
        <v>35</v>
      </c>
      <c r="BA138">
        <v>52</v>
      </c>
      <c r="BB138">
        <v>45</v>
      </c>
      <c r="BC138">
        <v>50</v>
      </c>
      <c r="BD138">
        <v>50</v>
      </c>
      <c r="BE138">
        <v>1</v>
      </c>
      <c r="BW138" t="s">
        <v>166</v>
      </c>
      <c r="BX138" t="s">
        <v>171</v>
      </c>
      <c r="BY138">
        <v>63</v>
      </c>
      <c r="BZ138">
        <v>58</v>
      </c>
      <c r="CA138">
        <v>69</v>
      </c>
      <c r="CB138">
        <v>63</v>
      </c>
      <c r="CC138">
        <v>58</v>
      </c>
      <c r="CD138">
        <v>69</v>
      </c>
      <c r="CE138">
        <v>4</v>
      </c>
      <c r="CH138" s="26" t="s">
        <v>174</v>
      </c>
      <c r="CI138" t="s">
        <v>165</v>
      </c>
      <c r="CJ138" s="19" t="s">
        <v>244</v>
      </c>
      <c r="CK138" s="19" t="s">
        <v>245</v>
      </c>
      <c r="CL138" s="19" t="s">
        <v>246</v>
      </c>
      <c r="CM138" s="19" t="s">
        <v>246</v>
      </c>
      <c r="CN138" s="19" t="s">
        <v>246</v>
      </c>
      <c r="CO138" s="19">
        <v>57</v>
      </c>
    </row>
    <row r="139" spans="49:93" x14ac:dyDescent="0.2">
      <c r="AW139" t="str">
        <v>Summer</v>
      </c>
      <c r="AX139" t="str">
        <v>Maiden ewes</v>
      </c>
      <c r="AY139">
        <v>42</v>
      </c>
      <c r="AZ139">
        <v>40</v>
      </c>
      <c r="BA139">
        <v>52</v>
      </c>
      <c r="BB139">
        <v>45</v>
      </c>
      <c r="BC139">
        <v>45</v>
      </c>
      <c r="BD139">
        <v>45</v>
      </c>
      <c r="BE139">
        <v>2</v>
      </c>
      <c r="BW139" t="s">
        <v>163</v>
      </c>
      <c r="BX139" t="s">
        <v>168</v>
      </c>
      <c r="BY139">
        <v>57</v>
      </c>
      <c r="BZ139">
        <v>50</v>
      </c>
      <c r="CA139">
        <v>60</v>
      </c>
      <c r="CB139">
        <v>55</v>
      </c>
      <c r="CC139">
        <v>50</v>
      </c>
      <c r="CD139">
        <v>60</v>
      </c>
      <c r="CE139">
        <v>1</v>
      </c>
      <c r="CH139" s="26" t="s">
        <v>174</v>
      </c>
      <c r="CI139" t="s">
        <v>166</v>
      </c>
      <c r="CJ139" s="19" t="s">
        <v>244</v>
      </c>
      <c r="CK139" s="19" t="s">
        <v>245</v>
      </c>
      <c r="CL139" s="19" t="s">
        <v>246</v>
      </c>
      <c r="CM139" s="19" t="s">
        <v>246</v>
      </c>
      <c r="CN139" s="19" t="s">
        <v>246</v>
      </c>
      <c r="CO139" s="19">
        <v>58</v>
      </c>
    </row>
    <row r="140" spans="49:93" x14ac:dyDescent="0.2">
      <c r="AW140" t="str">
        <v>Autumn</v>
      </c>
      <c r="AX140" t="str">
        <v>Maiden ewes</v>
      </c>
      <c r="AY140">
        <v>43</v>
      </c>
      <c r="AZ140">
        <v>40</v>
      </c>
      <c r="BA140">
        <v>52</v>
      </c>
      <c r="BB140">
        <v>45</v>
      </c>
      <c r="BC140">
        <v>43</v>
      </c>
      <c r="BD140">
        <v>40</v>
      </c>
      <c r="BE140">
        <v>3</v>
      </c>
      <c r="BW140" t="s">
        <v>164</v>
      </c>
      <c r="BX140" t="s">
        <v>168</v>
      </c>
      <c r="BY140">
        <v>57</v>
      </c>
      <c r="BZ140">
        <v>50</v>
      </c>
      <c r="CA140">
        <v>60</v>
      </c>
      <c r="CB140">
        <v>55</v>
      </c>
      <c r="CC140">
        <v>50</v>
      </c>
      <c r="CD140">
        <v>60</v>
      </c>
      <c r="CE140">
        <v>2</v>
      </c>
      <c r="CH140" s="26" t="s">
        <v>175</v>
      </c>
      <c r="CI140" t="s">
        <v>163</v>
      </c>
      <c r="CJ140" s="19" t="s">
        <v>247</v>
      </c>
      <c r="CK140" s="19" t="s">
        <v>248</v>
      </c>
      <c r="CL140" s="19" t="s">
        <v>245</v>
      </c>
      <c r="CM140" s="19" t="s">
        <v>245</v>
      </c>
      <c r="CN140" s="19" t="s">
        <v>245</v>
      </c>
      <c r="CO140" s="19">
        <v>66</v>
      </c>
    </row>
    <row r="141" spans="49:93" x14ac:dyDescent="0.2">
      <c r="AW141" t="str">
        <v>Winter</v>
      </c>
      <c r="AX141" t="str">
        <v>Maiden ewes</v>
      </c>
      <c r="AY141">
        <v>45</v>
      </c>
      <c r="AZ141">
        <v>35</v>
      </c>
      <c r="BA141">
        <v>52</v>
      </c>
      <c r="BB141">
        <v>50</v>
      </c>
      <c r="BC141">
        <v>40</v>
      </c>
      <c r="BD141">
        <v>45</v>
      </c>
      <c r="BE141">
        <v>4</v>
      </c>
      <c r="BW141" t="s">
        <v>165</v>
      </c>
      <c r="BX141" t="s">
        <v>168</v>
      </c>
      <c r="BY141">
        <v>57</v>
      </c>
      <c r="BZ141">
        <v>50</v>
      </c>
      <c r="CA141">
        <v>60</v>
      </c>
      <c r="CB141">
        <v>55</v>
      </c>
      <c r="CC141">
        <v>50</v>
      </c>
      <c r="CD141">
        <v>60</v>
      </c>
      <c r="CE141">
        <v>3</v>
      </c>
      <c r="CH141" s="26" t="s">
        <v>175</v>
      </c>
      <c r="CI141" t="s">
        <v>164</v>
      </c>
      <c r="CJ141" s="19" t="s">
        <v>247</v>
      </c>
      <c r="CK141" s="19" t="s">
        <v>248</v>
      </c>
      <c r="CL141" s="19" t="s">
        <v>245</v>
      </c>
      <c r="CM141" s="19" t="s">
        <v>245</v>
      </c>
      <c r="CN141" s="19" t="s">
        <v>245</v>
      </c>
      <c r="CO141" s="19">
        <v>67</v>
      </c>
    </row>
    <row r="142" spans="49:93" x14ac:dyDescent="0.2">
      <c r="AW142" t="str">
        <v>Spring</v>
      </c>
      <c r="AX142" t="str">
        <v>Other ewes</v>
      </c>
      <c r="AY142">
        <v>56</v>
      </c>
      <c r="AZ142">
        <v>45</v>
      </c>
      <c r="BA142">
        <v>55</v>
      </c>
      <c r="BB142">
        <v>50</v>
      </c>
      <c r="BC142">
        <v>50</v>
      </c>
      <c r="BD142">
        <v>55</v>
      </c>
      <c r="BE142">
        <v>1</v>
      </c>
      <c r="BW142" t="s">
        <v>166</v>
      </c>
      <c r="BX142" t="s">
        <v>168</v>
      </c>
      <c r="BY142">
        <v>57</v>
      </c>
      <c r="BZ142">
        <v>50</v>
      </c>
      <c r="CA142">
        <v>60</v>
      </c>
      <c r="CB142">
        <v>55</v>
      </c>
      <c r="CC142">
        <v>50</v>
      </c>
      <c r="CD142">
        <v>60</v>
      </c>
      <c r="CE142">
        <v>4</v>
      </c>
      <c r="CH142" s="26" t="s">
        <v>175</v>
      </c>
      <c r="CI142" t="s">
        <v>165</v>
      </c>
      <c r="CJ142" s="19" t="s">
        <v>247</v>
      </c>
      <c r="CK142" s="19" t="s">
        <v>248</v>
      </c>
      <c r="CL142" s="19" t="s">
        <v>245</v>
      </c>
      <c r="CM142" s="19" t="s">
        <v>245</v>
      </c>
      <c r="CN142" s="19" t="s">
        <v>245</v>
      </c>
      <c r="CO142" s="19">
        <v>68</v>
      </c>
    </row>
    <row r="143" spans="49:93" x14ac:dyDescent="0.2">
      <c r="AW143" t="str">
        <v>Summer</v>
      </c>
      <c r="AX143" t="str">
        <v>Other ewes</v>
      </c>
      <c r="AY143">
        <v>51</v>
      </c>
      <c r="AZ143">
        <v>50</v>
      </c>
      <c r="BA143">
        <v>55</v>
      </c>
      <c r="BB143">
        <v>50</v>
      </c>
      <c r="BC143">
        <v>50</v>
      </c>
      <c r="BD143">
        <v>50</v>
      </c>
      <c r="BE143">
        <v>2</v>
      </c>
      <c r="BW143" t="s">
        <v>163</v>
      </c>
      <c r="BX143" t="s">
        <v>170</v>
      </c>
      <c r="BY143">
        <v>57</v>
      </c>
      <c r="BZ143">
        <v>50</v>
      </c>
      <c r="CA143">
        <v>60</v>
      </c>
      <c r="CB143">
        <v>55</v>
      </c>
      <c r="CC143">
        <v>50</v>
      </c>
      <c r="CD143">
        <v>60</v>
      </c>
      <c r="CE143">
        <v>1</v>
      </c>
      <c r="CH143" s="26" t="s">
        <v>175</v>
      </c>
      <c r="CI143" t="s">
        <v>166</v>
      </c>
      <c r="CJ143" s="19" t="s">
        <v>247</v>
      </c>
      <c r="CK143" s="19" t="s">
        <v>248</v>
      </c>
      <c r="CL143" s="19" t="s">
        <v>245</v>
      </c>
      <c r="CM143" s="19" t="s">
        <v>245</v>
      </c>
      <c r="CN143" s="19" t="s">
        <v>245</v>
      </c>
      <c r="CO143" s="19">
        <v>69</v>
      </c>
    </row>
    <row r="144" spans="49:93" x14ac:dyDescent="0.2">
      <c r="AW144" t="str">
        <v>Autumn</v>
      </c>
      <c r="AX144" t="str">
        <v>Other ewes</v>
      </c>
      <c r="AY144">
        <v>50</v>
      </c>
      <c r="AZ144">
        <v>50</v>
      </c>
      <c r="BA144">
        <v>55</v>
      </c>
      <c r="BB144">
        <v>50</v>
      </c>
      <c r="BC144">
        <v>50</v>
      </c>
      <c r="BD144">
        <v>45</v>
      </c>
      <c r="BE144">
        <v>3</v>
      </c>
      <c r="BW144" t="s">
        <v>164</v>
      </c>
      <c r="BX144" t="s">
        <v>170</v>
      </c>
      <c r="BY144">
        <v>57</v>
      </c>
      <c r="BZ144">
        <v>50</v>
      </c>
      <c r="CA144">
        <v>60</v>
      </c>
      <c r="CB144">
        <v>55</v>
      </c>
      <c r="CC144">
        <v>50</v>
      </c>
      <c r="CD144">
        <v>60</v>
      </c>
      <c r="CE144">
        <v>2</v>
      </c>
      <c r="CH144" s="26" t="s">
        <v>176</v>
      </c>
      <c r="CI144" t="s">
        <v>163</v>
      </c>
      <c r="CJ144" s="19" t="s">
        <v>249</v>
      </c>
      <c r="CK144" s="19" t="s">
        <v>250</v>
      </c>
      <c r="CL144" s="19" t="s">
        <v>251</v>
      </c>
      <c r="CM144" s="19" t="s">
        <v>251</v>
      </c>
      <c r="CN144" s="19" t="s">
        <v>251</v>
      </c>
      <c r="CO144" s="19">
        <v>60</v>
      </c>
    </row>
    <row r="145" spans="49:93" x14ac:dyDescent="0.2">
      <c r="AW145" t="str">
        <v>Winter</v>
      </c>
      <c r="AX145" t="str">
        <v>Other ewes</v>
      </c>
      <c r="AY145">
        <v>51</v>
      </c>
      <c r="AZ145">
        <v>48</v>
      </c>
      <c r="BA145">
        <v>55</v>
      </c>
      <c r="BB145">
        <v>50</v>
      </c>
      <c r="BC145">
        <v>50</v>
      </c>
      <c r="BD145">
        <v>50</v>
      </c>
      <c r="BE145">
        <v>4</v>
      </c>
      <c r="BW145" t="s">
        <v>165</v>
      </c>
      <c r="BX145" t="s">
        <v>170</v>
      </c>
      <c r="BY145">
        <v>57</v>
      </c>
      <c r="BZ145">
        <v>50</v>
      </c>
      <c r="CA145">
        <v>60</v>
      </c>
      <c r="CB145">
        <v>55</v>
      </c>
      <c r="CC145">
        <v>50</v>
      </c>
      <c r="CD145">
        <v>60</v>
      </c>
      <c r="CE145">
        <v>3</v>
      </c>
      <c r="CH145" s="26" t="s">
        <v>176</v>
      </c>
      <c r="CI145" t="s">
        <v>164</v>
      </c>
      <c r="CJ145" s="19" t="s">
        <v>249</v>
      </c>
      <c r="CK145" s="19" t="s">
        <v>250</v>
      </c>
      <c r="CL145" s="19" t="s">
        <v>251</v>
      </c>
      <c r="CM145" s="19" t="s">
        <v>251</v>
      </c>
      <c r="CN145" s="19" t="s">
        <v>251</v>
      </c>
      <c r="CO145" s="19">
        <v>61</v>
      </c>
    </row>
    <row r="146" spans="49:93" x14ac:dyDescent="0.2">
      <c r="AW146" t="str">
        <v>Spring</v>
      </c>
      <c r="AX146" t="str">
        <v>Rams</v>
      </c>
      <c r="AY146">
        <v>75</v>
      </c>
      <c r="AZ146">
        <v>58</v>
      </c>
      <c r="BA146">
        <v>80</v>
      </c>
      <c r="BB146">
        <v>90</v>
      </c>
      <c r="BC146">
        <v>70</v>
      </c>
      <c r="BD146">
        <v>75</v>
      </c>
      <c r="BE146">
        <v>1</v>
      </c>
      <c r="BW146" t="s">
        <v>166</v>
      </c>
      <c r="BX146" t="s">
        <v>170</v>
      </c>
      <c r="BY146">
        <v>57</v>
      </c>
      <c r="BZ146">
        <v>50</v>
      </c>
      <c r="CA146">
        <v>60</v>
      </c>
      <c r="CB146">
        <v>55</v>
      </c>
      <c r="CC146">
        <v>50</v>
      </c>
      <c r="CD146">
        <v>60</v>
      </c>
      <c r="CE146">
        <v>4</v>
      </c>
      <c r="CH146" s="26" t="s">
        <v>176</v>
      </c>
      <c r="CI146" t="s">
        <v>165</v>
      </c>
      <c r="CJ146" s="19" t="s">
        <v>249</v>
      </c>
      <c r="CK146" s="19" t="s">
        <v>250</v>
      </c>
      <c r="CL146" s="19" t="s">
        <v>251</v>
      </c>
      <c r="CM146" s="19" t="s">
        <v>251</v>
      </c>
      <c r="CN146" s="19" t="s">
        <v>251</v>
      </c>
      <c r="CO146" s="19">
        <v>62</v>
      </c>
    </row>
    <row r="147" spans="49:93" x14ac:dyDescent="0.2">
      <c r="AW147" t="str">
        <v>Summer</v>
      </c>
      <c r="AX147" t="str">
        <v>Rams</v>
      </c>
      <c r="AY147">
        <v>75</v>
      </c>
      <c r="AZ147">
        <v>61</v>
      </c>
      <c r="BA147">
        <v>70</v>
      </c>
      <c r="BB147">
        <v>90</v>
      </c>
      <c r="BC147">
        <v>65</v>
      </c>
      <c r="BD147">
        <v>65</v>
      </c>
      <c r="BE147">
        <v>2</v>
      </c>
      <c r="BW147" t="s">
        <v>163</v>
      </c>
      <c r="BX147" t="s">
        <v>162</v>
      </c>
      <c r="BY147">
        <v>78</v>
      </c>
      <c r="BZ147">
        <v>70</v>
      </c>
      <c r="CA147">
        <v>84</v>
      </c>
      <c r="CB147">
        <v>77</v>
      </c>
      <c r="CC147">
        <v>70</v>
      </c>
      <c r="CD147">
        <v>84</v>
      </c>
      <c r="CE147">
        <v>1</v>
      </c>
      <c r="CH147" s="26" t="s">
        <v>176</v>
      </c>
      <c r="CI147" t="s">
        <v>166</v>
      </c>
      <c r="CJ147" s="19" t="s">
        <v>249</v>
      </c>
      <c r="CK147" s="19" t="s">
        <v>250</v>
      </c>
      <c r="CL147" s="19" t="s">
        <v>251</v>
      </c>
      <c r="CM147" s="19" t="s">
        <v>251</v>
      </c>
      <c r="CN147" s="19" t="s">
        <v>251</v>
      </c>
      <c r="CO147" s="19">
        <v>63</v>
      </c>
    </row>
    <row r="148" spans="49:93" x14ac:dyDescent="0.2">
      <c r="AW148" t="str">
        <v>Autumn</v>
      </c>
      <c r="AX148" t="str">
        <v>Rams</v>
      </c>
      <c r="AY148">
        <v>69</v>
      </c>
      <c r="AZ148">
        <v>63</v>
      </c>
      <c r="BA148">
        <v>70</v>
      </c>
      <c r="BB148">
        <v>75</v>
      </c>
      <c r="BC148">
        <v>65</v>
      </c>
      <c r="BD148">
        <v>65</v>
      </c>
      <c r="BE148">
        <v>3</v>
      </c>
      <c r="BW148" t="s">
        <v>164</v>
      </c>
      <c r="BX148" t="s">
        <v>162</v>
      </c>
      <c r="BY148">
        <v>78</v>
      </c>
      <c r="BZ148">
        <v>70</v>
      </c>
      <c r="CA148">
        <v>84</v>
      </c>
      <c r="CB148">
        <v>77</v>
      </c>
      <c r="CC148">
        <v>70</v>
      </c>
      <c r="CD148">
        <v>84</v>
      </c>
      <c r="CE148">
        <v>2</v>
      </c>
      <c r="CH148" s="14" t="s">
        <v>177</v>
      </c>
      <c r="CI148" t="s">
        <v>163</v>
      </c>
      <c r="CJ148" s="15" t="s">
        <v>244</v>
      </c>
      <c r="CK148" s="15" t="s">
        <v>245</v>
      </c>
      <c r="CL148" s="15" t="s">
        <v>246</v>
      </c>
      <c r="CM148" s="15" t="s">
        <v>246</v>
      </c>
      <c r="CN148" s="15" t="s">
        <v>246</v>
      </c>
      <c r="CO148" s="16">
        <v>55</v>
      </c>
    </row>
    <row r="149" spans="49:93" x14ac:dyDescent="0.2">
      <c r="AW149" t="str">
        <v>Winter</v>
      </c>
      <c r="AX149" t="str">
        <v>Rams</v>
      </c>
      <c r="AY149">
        <v>69</v>
      </c>
      <c r="AZ149">
        <v>60</v>
      </c>
      <c r="BA149">
        <v>70</v>
      </c>
      <c r="BB149">
        <v>75</v>
      </c>
      <c r="BC149">
        <v>60</v>
      </c>
      <c r="BD149">
        <v>65</v>
      </c>
      <c r="BE149">
        <v>4</v>
      </c>
      <c r="BW149" t="s">
        <v>165</v>
      </c>
      <c r="BX149" t="s">
        <v>162</v>
      </c>
      <c r="BY149">
        <v>78</v>
      </c>
      <c r="BZ149">
        <v>70</v>
      </c>
      <c r="CA149">
        <v>84</v>
      </c>
      <c r="CB149">
        <v>77</v>
      </c>
      <c r="CC149">
        <v>70</v>
      </c>
      <c r="CD149">
        <v>84</v>
      </c>
      <c r="CE149">
        <v>3</v>
      </c>
      <c r="CH149" s="14" t="s">
        <v>177</v>
      </c>
      <c r="CI149" t="s">
        <v>164</v>
      </c>
      <c r="CJ149" s="15" t="s">
        <v>244</v>
      </c>
      <c r="CK149" s="15" t="s">
        <v>245</v>
      </c>
      <c r="CL149" s="15" t="s">
        <v>246</v>
      </c>
      <c r="CM149" s="15" t="s">
        <v>246</v>
      </c>
      <c r="CN149" s="15" t="s">
        <v>246</v>
      </c>
      <c r="CO149" s="16">
        <v>56</v>
      </c>
    </row>
    <row r="150" spans="49:93" x14ac:dyDescent="0.2">
      <c r="AW150" t="str">
        <v>Spring</v>
      </c>
      <c r="AX150" t="str">
        <v>Wethers</v>
      </c>
      <c r="AY150">
        <v>62</v>
      </c>
      <c r="AZ150">
        <v>50</v>
      </c>
      <c r="BA150">
        <v>70</v>
      </c>
      <c r="BB150">
        <v>55</v>
      </c>
      <c r="BC150">
        <v>60</v>
      </c>
      <c r="BD150">
        <v>60</v>
      </c>
      <c r="BE150">
        <v>1</v>
      </c>
      <c r="BW150" t="s">
        <v>166</v>
      </c>
      <c r="BX150" t="s">
        <v>162</v>
      </c>
      <c r="BY150">
        <v>78</v>
      </c>
      <c r="BZ150">
        <v>70</v>
      </c>
      <c r="CA150">
        <v>84</v>
      </c>
      <c r="CB150">
        <v>77</v>
      </c>
      <c r="CC150">
        <v>70</v>
      </c>
      <c r="CD150">
        <v>84</v>
      </c>
      <c r="CE150">
        <v>4</v>
      </c>
      <c r="CH150" s="14" t="s">
        <v>177</v>
      </c>
      <c r="CI150" t="s">
        <v>165</v>
      </c>
      <c r="CJ150" s="15" t="s">
        <v>244</v>
      </c>
      <c r="CK150" s="15" t="s">
        <v>245</v>
      </c>
      <c r="CL150" s="15" t="s">
        <v>246</v>
      </c>
      <c r="CM150" s="15" t="s">
        <v>246</v>
      </c>
      <c r="CN150" s="15" t="s">
        <v>246</v>
      </c>
      <c r="CO150" s="16">
        <v>57</v>
      </c>
    </row>
    <row r="151" spans="49:93" x14ac:dyDescent="0.2">
      <c r="AW151" t="str">
        <v>Summer</v>
      </c>
      <c r="AX151" t="str">
        <v>Wethers</v>
      </c>
      <c r="AY151">
        <v>55</v>
      </c>
      <c r="AZ151">
        <v>55</v>
      </c>
      <c r="BA151">
        <v>65</v>
      </c>
      <c r="BB151">
        <v>55</v>
      </c>
      <c r="BC151">
        <v>55</v>
      </c>
      <c r="BD151">
        <v>55</v>
      </c>
      <c r="BE151">
        <v>2</v>
      </c>
      <c r="BW151" t="s">
        <v>163</v>
      </c>
      <c r="BX151" t="s">
        <v>167</v>
      </c>
      <c r="BY151">
        <v>62</v>
      </c>
      <c r="BZ151">
        <v>60</v>
      </c>
      <c r="CA151">
        <v>72</v>
      </c>
      <c r="CB151">
        <v>66</v>
      </c>
      <c r="CC151">
        <v>60</v>
      </c>
      <c r="CD151">
        <v>72</v>
      </c>
      <c r="CE151">
        <v>1</v>
      </c>
      <c r="CH151" s="14" t="s">
        <v>177</v>
      </c>
      <c r="CI151" t="s">
        <v>166</v>
      </c>
      <c r="CJ151" s="15" t="s">
        <v>244</v>
      </c>
      <c r="CK151" s="15" t="s">
        <v>245</v>
      </c>
      <c r="CL151" s="15" t="s">
        <v>246</v>
      </c>
      <c r="CM151" s="15" t="s">
        <v>246</v>
      </c>
      <c r="CN151" s="15" t="s">
        <v>246</v>
      </c>
      <c r="CO151" s="16">
        <v>58</v>
      </c>
    </row>
    <row r="152" spans="49:93" x14ac:dyDescent="0.2">
      <c r="AW152" t="str">
        <v>Autumn</v>
      </c>
      <c r="AX152" t="str">
        <v>Wethers</v>
      </c>
      <c r="AY152">
        <v>55</v>
      </c>
      <c r="AZ152">
        <v>55</v>
      </c>
      <c r="BA152">
        <v>60</v>
      </c>
      <c r="BB152">
        <v>50</v>
      </c>
      <c r="BC152">
        <v>52</v>
      </c>
      <c r="BD152">
        <v>48</v>
      </c>
      <c r="BE152">
        <v>3</v>
      </c>
      <c r="BW152" t="s">
        <v>164</v>
      </c>
      <c r="BX152" t="s">
        <v>167</v>
      </c>
      <c r="BY152">
        <v>62</v>
      </c>
      <c r="BZ152">
        <v>60</v>
      </c>
      <c r="CA152">
        <v>72</v>
      </c>
      <c r="CB152">
        <v>66</v>
      </c>
      <c r="CC152">
        <v>60</v>
      </c>
      <c r="CD152">
        <v>72</v>
      </c>
      <c r="CE152">
        <v>2</v>
      </c>
      <c r="CH152" s="17" t="s">
        <v>178</v>
      </c>
      <c r="CI152" t="s">
        <v>163</v>
      </c>
      <c r="CJ152" s="18" t="s">
        <v>247</v>
      </c>
      <c r="CK152" s="18" t="s">
        <v>248</v>
      </c>
      <c r="CL152" s="18" t="s">
        <v>245</v>
      </c>
      <c r="CM152" s="18" t="s">
        <v>245</v>
      </c>
      <c r="CN152" s="18" t="s">
        <v>245</v>
      </c>
      <c r="CO152" s="19">
        <v>66</v>
      </c>
    </row>
    <row r="153" spans="49:93" x14ac:dyDescent="0.2">
      <c r="AW153" t="str">
        <v>Winter</v>
      </c>
      <c r="AX153" t="str">
        <v>Wethers</v>
      </c>
      <c r="AY153">
        <v>55</v>
      </c>
      <c r="AZ153">
        <v>50</v>
      </c>
      <c r="BA153">
        <v>60</v>
      </c>
      <c r="BB153">
        <v>45</v>
      </c>
      <c r="BC153">
        <v>50</v>
      </c>
      <c r="BD153">
        <v>48</v>
      </c>
      <c r="BE153">
        <v>4</v>
      </c>
      <c r="BW153" t="s">
        <v>165</v>
      </c>
      <c r="BX153" t="s">
        <v>167</v>
      </c>
      <c r="BY153">
        <v>62</v>
      </c>
      <c r="BZ153">
        <v>60</v>
      </c>
      <c r="CA153">
        <v>72</v>
      </c>
      <c r="CB153">
        <v>66</v>
      </c>
      <c r="CC153">
        <v>60</v>
      </c>
      <c r="CD153">
        <v>72</v>
      </c>
      <c r="CE153">
        <v>3</v>
      </c>
      <c r="CH153" s="17" t="s">
        <v>178</v>
      </c>
      <c r="CI153" t="s">
        <v>164</v>
      </c>
      <c r="CJ153" s="18" t="s">
        <v>247</v>
      </c>
      <c r="CK153" s="18" t="s">
        <v>248</v>
      </c>
      <c r="CL153" s="18" t="s">
        <v>245</v>
      </c>
      <c r="CM153" s="18" t="s">
        <v>245</v>
      </c>
      <c r="CN153" s="18" t="s">
        <v>245</v>
      </c>
      <c r="CO153" s="19">
        <v>67</v>
      </c>
    </row>
    <row r="154" spans="49:93" x14ac:dyDescent="0.2">
      <c r="BW154" t="s">
        <v>166</v>
      </c>
      <c r="BX154" t="s">
        <v>167</v>
      </c>
      <c r="BY154">
        <v>62</v>
      </c>
      <c r="BZ154">
        <v>60</v>
      </c>
      <c r="CA154">
        <v>72</v>
      </c>
      <c r="CB154">
        <v>66</v>
      </c>
      <c r="CC154">
        <v>60</v>
      </c>
      <c r="CD154">
        <v>72</v>
      </c>
      <c r="CE154">
        <v>4</v>
      </c>
      <c r="CH154" s="17" t="s">
        <v>178</v>
      </c>
      <c r="CI154" t="s">
        <v>165</v>
      </c>
      <c r="CJ154" s="18" t="s">
        <v>247</v>
      </c>
      <c r="CK154" s="18" t="s">
        <v>248</v>
      </c>
      <c r="CL154" s="18" t="s">
        <v>245</v>
      </c>
      <c r="CM154" s="18" t="s">
        <v>245</v>
      </c>
      <c r="CN154" s="18" t="s">
        <v>245</v>
      </c>
      <c r="CO154" s="19">
        <v>68</v>
      </c>
    </row>
    <row r="155" spans="49:93" x14ac:dyDescent="0.2">
      <c r="CH155" s="17" t="s">
        <v>178</v>
      </c>
      <c r="CI155" t="s">
        <v>166</v>
      </c>
      <c r="CJ155" s="18" t="s">
        <v>247</v>
      </c>
      <c r="CK155" s="18" t="s">
        <v>248</v>
      </c>
      <c r="CL155" s="18" t="s">
        <v>245</v>
      </c>
      <c r="CM155" s="18" t="s">
        <v>245</v>
      </c>
      <c r="CN155" s="18" t="s">
        <v>245</v>
      </c>
      <c r="CO155" s="19">
        <v>69</v>
      </c>
    </row>
    <row r="156" spans="49:93" x14ac:dyDescent="0.2">
      <c r="AW156" t="str" cm="1">
        <f t="array" ref="AW156:BB156">QueryW40[[#Headers],[ACT/NSW]:[Western Australia]]</f>
        <v>ACT/NSW</v>
      </c>
      <c r="AX156" t="str">
        <v>Queensland</v>
      </c>
      <c r="AY156" t="str">
        <v>South Australia</v>
      </c>
      <c r="AZ156" t="str">
        <v>Tasmania</v>
      </c>
      <c r="BA156" t="str">
        <v>Victoria</v>
      </c>
      <c r="BB156" t="str">
        <v>Western Australia</v>
      </c>
    </row>
    <row r="163" spans="49:93" x14ac:dyDescent="0.2">
      <c r="CH163" t="s">
        <v>263</v>
      </c>
    </row>
    <row r="164" spans="49:93" x14ac:dyDescent="0.2">
      <c r="CH164" t="s">
        <v>262</v>
      </c>
    </row>
    <row r="165" spans="49:93" x14ac:dyDescent="0.2">
      <c r="CH165" t="s">
        <v>181</v>
      </c>
      <c r="CI165" t="s">
        <v>182</v>
      </c>
      <c r="CJ165" t="s">
        <v>183</v>
      </c>
      <c r="CK165" t="s">
        <v>184</v>
      </c>
      <c r="CL165" t="s">
        <v>185</v>
      </c>
      <c r="CM165" t="s">
        <v>186</v>
      </c>
      <c r="CN165" t="s">
        <v>187</v>
      </c>
      <c r="CO165" t="s">
        <v>188</v>
      </c>
    </row>
    <row r="166" spans="49:93" x14ac:dyDescent="0.2">
      <c r="BW166" t="s">
        <v>180</v>
      </c>
      <c r="BX166" t="s">
        <v>161</v>
      </c>
      <c r="BY166" t="s">
        <v>173</v>
      </c>
      <c r="BZ166" t="s">
        <v>174</v>
      </c>
      <c r="CA166" t="s">
        <v>175</v>
      </c>
      <c r="CB166" t="s">
        <v>176</v>
      </c>
      <c r="CC166" t="s">
        <v>177</v>
      </c>
      <c r="CD166" t="s">
        <v>178</v>
      </c>
      <c r="CE166" t="s">
        <v>189</v>
      </c>
      <c r="CH166" t="s">
        <v>179</v>
      </c>
      <c r="CI166" t="s">
        <v>180</v>
      </c>
      <c r="CJ166" t="s">
        <v>162</v>
      </c>
      <c r="CK166" t="s">
        <v>167</v>
      </c>
      <c r="CL166" t="s">
        <v>168</v>
      </c>
      <c r="CM166" t="s">
        <v>169</v>
      </c>
      <c r="CN166" t="s">
        <v>170</v>
      </c>
      <c r="CO166" t="s">
        <v>171</v>
      </c>
    </row>
    <row r="167" spans="49:93" x14ac:dyDescent="0.2">
      <c r="BW167" t="s">
        <v>163</v>
      </c>
      <c r="BX167" t="s">
        <v>169</v>
      </c>
      <c r="BY167">
        <v>2.9</v>
      </c>
      <c r="BZ167">
        <v>1.5</v>
      </c>
      <c r="CA167">
        <v>4</v>
      </c>
      <c r="CB167">
        <v>2.5</v>
      </c>
      <c r="CC167">
        <v>3.2</v>
      </c>
      <c r="CD167">
        <v>3.5</v>
      </c>
      <c r="CE167">
        <v>1</v>
      </c>
      <c r="CH167" t="s">
        <v>173</v>
      </c>
      <c r="CI167" t="s">
        <v>163</v>
      </c>
      <c r="CJ167">
        <v>2.9</v>
      </c>
      <c r="CK167">
        <v>2.9</v>
      </c>
      <c r="CL167">
        <v>2.9</v>
      </c>
      <c r="CM167">
        <v>2.9</v>
      </c>
      <c r="CN167">
        <v>2.9</v>
      </c>
      <c r="CO167">
        <v>2.9</v>
      </c>
    </row>
    <row r="168" spans="49:93" x14ac:dyDescent="0.2">
      <c r="BW168" t="s">
        <v>164</v>
      </c>
      <c r="BX168" t="s">
        <v>169</v>
      </c>
      <c r="BY168">
        <v>2.5</v>
      </c>
      <c r="BZ168">
        <v>2</v>
      </c>
      <c r="CA168">
        <v>2.5</v>
      </c>
      <c r="CB168">
        <v>2.5</v>
      </c>
      <c r="CC168">
        <v>3</v>
      </c>
      <c r="CD168">
        <v>1.5</v>
      </c>
      <c r="CE168">
        <v>2</v>
      </c>
      <c r="CI168" t="s">
        <v>164</v>
      </c>
      <c r="CJ168">
        <v>2.5</v>
      </c>
      <c r="CK168">
        <v>2.5</v>
      </c>
      <c r="CL168">
        <v>2.5</v>
      </c>
      <c r="CM168">
        <v>2.5</v>
      </c>
      <c r="CN168">
        <v>2.5</v>
      </c>
      <c r="CO168">
        <v>2.5</v>
      </c>
    </row>
    <row r="169" spans="49:93" x14ac:dyDescent="0.2">
      <c r="BW169" t="s">
        <v>165</v>
      </c>
      <c r="BX169" t="s">
        <v>169</v>
      </c>
      <c r="BY169">
        <v>1.6</v>
      </c>
      <c r="BZ169">
        <v>2.2000000000000002</v>
      </c>
      <c r="CA169">
        <v>0.7</v>
      </c>
      <c r="CB169">
        <v>1.3</v>
      </c>
      <c r="CC169">
        <v>1.8</v>
      </c>
      <c r="CD169">
        <v>0.7</v>
      </c>
      <c r="CE169">
        <v>3</v>
      </c>
      <c r="CI169" t="s">
        <v>165</v>
      </c>
      <c r="CJ169">
        <v>1.6</v>
      </c>
      <c r="CK169">
        <v>1.6</v>
      </c>
      <c r="CL169">
        <v>1.6</v>
      </c>
      <c r="CM169">
        <v>1.6</v>
      </c>
      <c r="CN169">
        <v>1.6</v>
      </c>
      <c r="CO169">
        <v>1.6</v>
      </c>
    </row>
    <row r="170" spans="49:93" x14ac:dyDescent="0.2">
      <c r="BW170" t="s">
        <v>166</v>
      </c>
      <c r="BX170" t="s">
        <v>169</v>
      </c>
      <c r="BY170">
        <v>1.7</v>
      </c>
      <c r="BZ170">
        <v>1.7</v>
      </c>
      <c r="CA170">
        <v>0.9</v>
      </c>
      <c r="CB170">
        <v>0.8</v>
      </c>
      <c r="CC170">
        <v>1</v>
      </c>
      <c r="CD170">
        <v>1.2</v>
      </c>
      <c r="CE170">
        <v>4</v>
      </c>
      <c r="CI170" t="s">
        <v>166</v>
      </c>
      <c r="CJ170">
        <v>1.7</v>
      </c>
      <c r="CK170">
        <v>1.7</v>
      </c>
      <c r="CL170">
        <v>1.7</v>
      </c>
      <c r="CM170">
        <v>1.7</v>
      </c>
      <c r="CN170">
        <v>1.7</v>
      </c>
      <c r="CO170">
        <v>1.7</v>
      </c>
    </row>
    <row r="171" spans="49:93" x14ac:dyDescent="0.2">
      <c r="BW171" t="s">
        <v>163</v>
      </c>
      <c r="BX171" t="s">
        <v>171</v>
      </c>
      <c r="BY171">
        <v>2.9</v>
      </c>
      <c r="BZ171">
        <v>1.5</v>
      </c>
      <c r="CA171">
        <v>4</v>
      </c>
      <c r="CB171">
        <v>2.5</v>
      </c>
      <c r="CC171">
        <v>3.2</v>
      </c>
      <c r="CD171">
        <v>3.5</v>
      </c>
      <c r="CE171">
        <v>1</v>
      </c>
      <c r="CH171" t="s">
        <v>174</v>
      </c>
      <c r="CI171" t="s">
        <v>163</v>
      </c>
      <c r="CJ171">
        <v>1.5</v>
      </c>
      <c r="CK171">
        <v>1.5</v>
      </c>
      <c r="CL171">
        <v>1.5</v>
      </c>
      <c r="CM171">
        <v>1.5</v>
      </c>
      <c r="CN171">
        <v>1.5</v>
      </c>
      <c r="CO171">
        <v>1.5</v>
      </c>
    </row>
    <row r="172" spans="49:93" x14ac:dyDescent="0.2">
      <c r="AW172" t="e" cm="1">
        <f t="array" ref="AW172">#REF!</f>
        <v>#REF!</v>
      </c>
      <c r="BW172" t="s">
        <v>164</v>
      </c>
      <c r="BX172" t="s">
        <v>171</v>
      </c>
      <c r="BY172">
        <v>2.5</v>
      </c>
      <c r="BZ172">
        <v>2</v>
      </c>
      <c r="CA172">
        <v>2.5</v>
      </c>
      <c r="CB172">
        <v>2.5</v>
      </c>
      <c r="CC172">
        <v>3</v>
      </c>
      <c r="CD172">
        <v>1.5</v>
      </c>
      <c r="CE172">
        <v>2</v>
      </c>
      <c r="CI172" t="s">
        <v>164</v>
      </c>
      <c r="CJ172">
        <v>2</v>
      </c>
      <c r="CK172">
        <v>2</v>
      </c>
      <c r="CL172">
        <v>2</v>
      </c>
      <c r="CM172">
        <v>2</v>
      </c>
      <c r="CN172">
        <v>2</v>
      </c>
      <c r="CO172">
        <v>2</v>
      </c>
    </row>
    <row r="173" spans="49:93" x14ac:dyDescent="0.2">
      <c r="AW173" t="str" cm="1">
        <f t="array" ref="AW173:BE173">QueryW40[#Headers]</f>
        <v>Season</v>
      </c>
      <c r="AX173" t="str">
        <v>Class</v>
      </c>
      <c r="AY173" t="str">
        <v>ACT/NSW</v>
      </c>
      <c r="AZ173" t="str">
        <v>Queensland</v>
      </c>
      <c r="BA173" t="str">
        <v>South Australia</v>
      </c>
      <c r="BB173" t="str">
        <v>Tasmania</v>
      </c>
      <c r="BC173" t="str">
        <v>Victoria</v>
      </c>
      <c r="BD173" t="str">
        <v>Western Australia</v>
      </c>
      <c r="BE173" t="str">
        <v>SeasonOrder</v>
      </c>
      <c r="BW173" t="s">
        <v>165</v>
      </c>
      <c r="BX173" t="s">
        <v>171</v>
      </c>
      <c r="BY173">
        <v>1.6</v>
      </c>
      <c r="BZ173">
        <v>2.2000000000000002</v>
      </c>
      <c r="CA173">
        <v>0.7</v>
      </c>
      <c r="CB173">
        <v>1.3</v>
      </c>
      <c r="CC173">
        <v>1.8</v>
      </c>
      <c r="CD173">
        <v>0.7</v>
      </c>
      <c r="CE173">
        <v>3</v>
      </c>
      <c r="CI173" t="s">
        <v>165</v>
      </c>
      <c r="CJ173">
        <v>2.2000000000000002</v>
      </c>
      <c r="CK173">
        <v>2.2000000000000002</v>
      </c>
      <c r="CL173">
        <v>2.2000000000000002</v>
      </c>
      <c r="CM173">
        <v>2.2000000000000002</v>
      </c>
      <c r="CN173">
        <v>2.2000000000000002</v>
      </c>
      <c r="CO173">
        <v>2.2000000000000002</v>
      </c>
    </row>
    <row r="174" spans="49:93" x14ac:dyDescent="0.2">
      <c r="AW174" t="str" cm="1">
        <f t="array" ref="AW174:BB174">QueryW40[[#Headers],[ACT/NSW]:[Western Australia]]</f>
        <v>ACT/NSW</v>
      </c>
      <c r="AX174" t="str">
        <v>Queensland</v>
      </c>
      <c r="AY174" t="str">
        <v>South Australia</v>
      </c>
      <c r="AZ174" t="str">
        <v>Tasmania</v>
      </c>
      <c r="BA174" t="str">
        <v>Victoria</v>
      </c>
      <c r="BB174" t="str">
        <v>Western Australia</v>
      </c>
      <c r="BW174" t="s">
        <v>166</v>
      </c>
      <c r="BX174" t="s">
        <v>171</v>
      </c>
      <c r="BY174">
        <v>1.7</v>
      </c>
      <c r="BZ174">
        <v>1.7</v>
      </c>
      <c r="CA174">
        <v>0.9</v>
      </c>
      <c r="CB174">
        <v>0.8</v>
      </c>
      <c r="CC174">
        <v>1</v>
      </c>
      <c r="CD174">
        <v>1.2</v>
      </c>
      <c r="CE174">
        <v>4</v>
      </c>
      <c r="CI174" t="s">
        <v>166</v>
      </c>
      <c r="CJ174">
        <v>1.7</v>
      </c>
      <c r="CK174">
        <v>1.7</v>
      </c>
      <c r="CL174">
        <v>1.7</v>
      </c>
      <c r="CM174">
        <v>1.7</v>
      </c>
      <c r="CN174">
        <v>1.7</v>
      </c>
      <c r="CO174">
        <v>1.7</v>
      </c>
    </row>
    <row r="175" spans="49:93" x14ac:dyDescent="0.2">
      <c r="BW175" t="s">
        <v>163</v>
      </c>
      <c r="BX175" t="s">
        <v>168</v>
      </c>
      <c r="BY175">
        <v>2.9</v>
      </c>
      <c r="BZ175">
        <v>1.5</v>
      </c>
      <c r="CA175">
        <v>4</v>
      </c>
      <c r="CB175">
        <v>2.5</v>
      </c>
      <c r="CC175">
        <v>3.2</v>
      </c>
      <c r="CD175">
        <v>3.5</v>
      </c>
      <c r="CE175">
        <v>1</v>
      </c>
      <c r="CH175" t="s">
        <v>175</v>
      </c>
      <c r="CI175" t="s">
        <v>163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</row>
    <row r="176" spans="49:93" x14ac:dyDescent="0.2">
      <c r="AW176" t="e" cm="1">
        <f t="array" ref="AW176">#REF!</f>
        <v>#REF!</v>
      </c>
      <c r="BW176" t="s">
        <v>164</v>
      </c>
      <c r="BX176" t="s">
        <v>168</v>
      </c>
      <c r="BY176">
        <v>2.5</v>
      </c>
      <c r="BZ176">
        <v>2</v>
      </c>
      <c r="CA176">
        <v>2.5</v>
      </c>
      <c r="CB176">
        <v>2.5</v>
      </c>
      <c r="CC176">
        <v>3</v>
      </c>
      <c r="CD176">
        <v>1.5</v>
      </c>
      <c r="CE176">
        <v>2</v>
      </c>
      <c r="CI176" t="s">
        <v>164</v>
      </c>
      <c r="CJ176">
        <v>2.5</v>
      </c>
      <c r="CK176">
        <v>2.5</v>
      </c>
      <c r="CL176">
        <v>2.5</v>
      </c>
      <c r="CM176">
        <v>2.5</v>
      </c>
      <c r="CN176">
        <v>2.5</v>
      </c>
      <c r="CO176">
        <v>2.5</v>
      </c>
    </row>
    <row r="177" spans="75:93" x14ac:dyDescent="0.2">
      <c r="BW177" t="s">
        <v>165</v>
      </c>
      <c r="BX177" t="s">
        <v>168</v>
      </c>
      <c r="BY177">
        <v>1.6</v>
      </c>
      <c r="BZ177">
        <v>2.2000000000000002</v>
      </c>
      <c r="CA177">
        <v>0.7</v>
      </c>
      <c r="CB177">
        <v>1.3</v>
      </c>
      <c r="CC177">
        <v>1.8</v>
      </c>
      <c r="CD177">
        <v>0.7</v>
      </c>
      <c r="CE177">
        <v>3</v>
      </c>
      <c r="CI177" t="s">
        <v>165</v>
      </c>
      <c r="CJ177">
        <v>0.7</v>
      </c>
      <c r="CK177">
        <v>0.7</v>
      </c>
      <c r="CL177">
        <v>0.7</v>
      </c>
      <c r="CM177">
        <v>0.7</v>
      </c>
      <c r="CN177">
        <v>0.7</v>
      </c>
      <c r="CO177">
        <v>0.7</v>
      </c>
    </row>
    <row r="178" spans="75:93" x14ac:dyDescent="0.2">
      <c r="BW178" t="s">
        <v>166</v>
      </c>
      <c r="BX178" t="s">
        <v>168</v>
      </c>
      <c r="BY178">
        <v>1.7</v>
      </c>
      <c r="BZ178">
        <v>1.7</v>
      </c>
      <c r="CA178">
        <v>0.9</v>
      </c>
      <c r="CB178">
        <v>0.8</v>
      </c>
      <c r="CC178">
        <v>1</v>
      </c>
      <c r="CD178">
        <v>1.2</v>
      </c>
      <c r="CE178">
        <v>4</v>
      </c>
      <c r="CI178" t="s">
        <v>166</v>
      </c>
      <c r="CJ178">
        <v>0.9</v>
      </c>
      <c r="CK178">
        <v>0.9</v>
      </c>
      <c r="CL178">
        <v>0.9</v>
      </c>
      <c r="CM178">
        <v>0.9</v>
      </c>
      <c r="CN178">
        <v>0.9</v>
      </c>
      <c r="CO178">
        <v>0.9</v>
      </c>
    </row>
    <row r="179" spans="75:93" x14ac:dyDescent="0.2">
      <c r="BW179" t="s">
        <v>163</v>
      </c>
      <c r="BX179" t="s">
        <v>170</v>
      </c>
      <c r="BY179">
        <v>2.9</v>
      </c>
      <c r="BZ179">
        <v>1.5</v>
      </c>
      <c r="CA179">
        <v>4</v>
      </c>
      <c r="CB179">
        <v>2.5</v>
      </c>
      <c r="CC179">
        <v>3.2</v>
      </c>
      <c r="CD179">
        <v>3.5</v>
      </c>
      <c r="CE179">
        <v>1</v>
      </c>
      <c r="CH179" t="s">
        <v>176</v>
      </c>
      <c r="CI179" t="s">
        <v>163</v>
      </c>
      <c r="CJ179">
        <v>2.5</v>
      </c>
      <c r="CK179">
        <v>2.5</v>
      </c>
      <c r="CL179">
        <v>2.5</v>
      </c>
      <c r="CM179">
        <v>2.5</v>
      </c>
      <c r="CN179">
        <v>2.5</v>
      </c>
      <c r="CO179">
        <v>2.5</v>
      </c>
    </row>
    <row r="180" spans="75:93" x14ac:dyDescent="0.2">
      <c r="BW180" t="s">
        <v>164</v>
      </c>
      <c r="BX180" t="s">
        <v>170</v>
      </c>
      <c r="BY180">
        <v>2.5</v>
      </c>
      <c r="BZ180">
        <v>2</v>
      </c>
      <c r="CA180">
        <v>2.5</v>
      </c>
      <c r="CB180">
        <v>2.5</v>
      </c>
      <c r="CC180">
        <v>3</v>
      </c>
      <c r="CD180">
        <v>1.5</v>
      </c>
      <c r="CE180">
        <v>2</v>
      </c>
      <c r="CI180" t="s">
        <v>164</v>
      </c>
      <c r="CJ180">
        <v>2.5</v>
      </c>
      <c r="CK180">
        <v>2.5</v>
      </c>
      <c r="CL180">
        <v>2.5</v>
      </c>
      <c r="CM180">
        <v>2.5</v>
      </c>
      <c r="CN180">
        <v>2.5</v>
      </c>
      <c r="CO180">
        <v>2.5</v>
      </c>
    </row>
    <row r="181" spans="75:93" x14ac:dyDescent="0.2">
      <c r="BW181" t="s">
        <v>165</v>
      </c>
      <c r="BX181" t="s">
        <v>170</v>
      </c>
      <c r="BY181">
        <v>1.6</v>
      </c>
      <c r="BZ181">
        <v>2.2000000000000002</v>
      </c>
      <c r="CA181">
        <v>0.7</v>
      </c>
      <c r="CB181">
        <v>1.3</v>
      </c>
      <c r="CC181">
        <v>1.8</v>
      </c>
      <c r="CD181">
        <v>0.7</v>
      </c>
      <c r="CE181">
        <v>3</v>
      </c>
      <c r="CI181" t="s">
        <v>165</v>
      </c>
      <c r="CJ181">
        <v>1.3</v>
      </c>
      <c r="CK181">
        <v>1.3</v>
      </c>
      <c r="CL181">
        <v>1.3</v>
      </c>
      <c r="CM181">
        <v>1.3</v>
      </c>
      <c r="CN181">
        <v>1.3</v>
      </c>
      <c r="CO181">
        <v>1.3</v>
      </c>
    </row>
    <row r="182" spans="75:93" x14ac:dyDescent="0.2">
      <c r="BW182" t="s">
        <v>166</v>
      </c>
      <c r="BX182" t="s">
        <v>170</v>
      </c>
      <c r="BY182">
        <v>1.7</v>
      </c>
      <c r="BZ182">
        <v>1.7</v>
      </c>
      <c r="CA182">
        <v>0.9</v>
      </c>
      <c r="CB182">
        <v>0.8</v>
      </c>
      <c r="CC182">
        <v>1</v>
      </c>
      <c r="CD182">
        <v>1.2</v>
      </c>
      <c r="CE182">
        <v>4</v>
      </c>
      <c r="CI182" t="s">
        <v>166</v>
      </c>
      <c r="CJ182">
        <v>0.8</v>
      </c>
      <c r="CK182">
        <v>0.8</v>
      </c>
      <c r="CL182">
        <v>0.8</v>
      </c>
      <c r="CM182">
        <v>0.8</v>
      </c>
      <c r="CN182">
        <v>0.8</v>
      </c>
      <c r="CO182">
        <v>0.8</v>
      </c>
    </row>
    <row r="183" spans="75:93" x14ac:dyDescent="0.2">
      <c r="BW183" t="s">
        <v>163</v>
      </c>
      <c r="BX183" t="s">
        <v>162</v>
      </c>
      <c r="BY183">
        <v>2.9</v>
      </c>
      <c r="BZ183">
        <v>1.5</v>
      </c>
      <c r="CA183">
        <v>4</v>
      </c>
      <c r="CB183">
        <v>2.5</v>
      </c>
      <c r="CC183">
        <v>3.2</v>
      </c>
      <c r="CD183">
        <v>3.5</v>
      </c>
      <c r="CE183">
        <v>1</v>
      </c>
      <c r="CH183" t="s">
        <v>177</v>
      </c>
      <c r="CI183" t="s">
        <v>163</v>
      </c>
      <c r="CJ183">
        <v>3.2</v>
      </c>
      <c r="CK183">
        <v>3.2</v>
      </c>
      <c r="CL183">
        <v>3.2</v>
      </c>
      <c r="CM183">
        <v>3.2</v>
      </c>
      <c r="CN183">
        <v>3.2</v>
      </c>
      <c r="CO183">
        <v>3.2</v>
      </c>
    </row>
    <row r="184" spans="75:93" x14ac:dyDescent="0.2">
      <c r="BW184" t="s">
        <v>164</v>
      </c>
      <c r="BX184" t="s">
        <v>162</v>
      </c>
      <c r="BY184">
        <v>2.5</v>
      </c>
      <c r="BZ184">
        <v>2</v>
      </c>
      <c r="CA184">
        <v>2.5</v>
      </c>
      <c r="CB184">
        <v>2.5</v>
      </c>
      <c r="CC184">
        <v>3</v>
      </c>
      <c r="CD184">
        <v>1.5</v>
      </c>
      <c r="CE184">
        <v>2</v>
      </c>
      <c r="CI184" t="s">
        <v>164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3</v>
      </c>
    </row>
    <row r="185" spans="75:93" x14ac:dyDescent="0.2">
      <c r="BW185" t="s">
        <v>165</v>
      </c>
      <c r="BX185" t="s">
        <v>162</v>
      </c>
      <c r="BY185">
        <v>1.6</v>
      </c>
      <c r="BZ185">
        <v>2.2000000000000002</v>
      </c>
      <c r="CA185">
        <v>0.7</v>
      </c>
      <c r="CB185">
        <v>1.3</v>
      </c>
      <c r="CC185">
        <v>1.8</v>
      </c>
      <c r="CD185">
        <v>0.7</v>
      </c>
      <c r="CE185">
        <v>3</v>
      </c>
      <c r="CI185" t="s">
        <v>165</v>
      </c>
      <c r="CJ185">
        <v>1.8</v>
      </c>
      <c r="CK185">
        <v>1.8</v>
      </c>
      <c r="CL185">
        <v>1.8</v>
      </c>
      <c r="CM185">
        <v>1.8</v>
      </c>
      <c r="CN185">
        <v>1.8</v>
      </c>
      <c r="CO185">
        <v>1.8</v>
      </c>
    </row>
    <row r="186" spans="75:93" x14ac:dyDescent="0.2">
      <c r="BW186" t="s">
        <v>166</v>
      </c>
      <c r="BX186" t="s">
        <v>162</v>
      </c>
      <c r="BY186">
        <v>1.7</v>
      </c>
      <c r="BZ186">
        <v>1.7</v>
      </c>
      <c r="CA186">
        <v>0.9</v>
      </c>
      <c r="CB186">
        <v>0.8</v>
      </c>
      <c r="CC186">
        <v>1</v>
      </c>
      <c r="CD186">
        <v>1.2</v>
      </c>
      <c r="CE186">
        <v>4</v>
      </c>
      <c r="CI186" t="s">
        <v>166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</row>
    <row r="187" spans="75:93" x14ac:dyDescent="0.2">
      <c r="BW187" t="s">
        <v>163</v>
      </c>
      <c r="BX187" t="s">
        <v>167</v>
      </c>
      <c r="BY187">
        <v>2.9</v>
      </c>
      <c r="BZ187">
        <v>1.5</v>
      </c>
      <c r="CA187">
        <v>4</v>
      </c>
      <c r="CB187">
        <v>2.5</v>
      </c>
      <c r="CC187">
        <v>3.2</v>
      </c>
      <c r="CD187">
        <v>3.5</v>
      </c>
      <c r="CE187">
        <v>1</v>
      </c>
      <c r="CH187" t="s">
        <v>178</v>
      </c>
      <c r="CI187" t="s">
        <v>163</v>
      </c>
      <c r="CJ187">
        <v>3.5</v>
      </c>
      <c r="CK187">
        <v>3.5</v>
      </c>
      <c r="CL187">
        <v>3.5</v>
      </c>
      <c r="CM187">
        <v>3.5</v>
      </c>
      <c r="CN187">
        <v>3.5</v>
      </c>
      <c r="CO187">
        <v>3.5</v>
      </c>
    </row>
    <row r="188" spans="75:93" x14ac:dyDescent="0.2">
      <c r="BW188" t="s">
        <v>164</v>
      </c>
      <c r="BX188" t="s">
        <v>167</v>
      </c>
      <c r="BY188">
        <v>2.5</v>
      </c>
      <c r="BZ188">
        <v>2</v>
      </c>
      <c r="CA188">
        <v>2.5</v>
      </c>
      <c r="CB188">
        <v>2.5</v>
      </c>
      <c r="CC188">
        <v>3</v>
      </c>
      <c r="CD188">
        <v>1.5</v>
      </c>
      <c r="CE188">
        <v>2</v>
      </c>
      <c r="CI188" t="s">
        <v>164</v>
      </c>
      <c r="CJ188">
        <v>1.5</v>
      </c>
      <c r="CK188">
        <v>1.5</v>
      </c>
      <c r="CL188">
        <v>1.5</v>
      </c>
      <c r="CM188">
        <v>1.5</v>
      </c>
      <c r="CN188">
        <v>1.5</v>
      </c>
      <c r="CO188">
        <v>1.5</v>
      </c>
    </row>
    <row r="189" spans="75:93" x14ac:dyDescent="0.2">
      <c r="BW189" t="s">
        <v>165</v>
      </c>
      <c r="BX189" t="s">
        <v>167</v>
      </c>
      <c r="BY189">
        <v>1.6</v>
      </c>
      <c r="BZ189">
        <v>2.2000000000000002</v>
      </c>
      <c r="CA189">
        <v>0.7</v>
      </c>
      <c r="CB189">
        <v>1.3</v>
      </c>
      <c r="CC189">
        <v>1.8</v>
      </c>
      <c r="CD189">
        <v>0.7</v>
      </c>
      <c r="CE189">
        <v>3</v>
      </c>
      <c r="CI189" t="s">
        <v>165</v>
      </c>
      <c r="CJ189">
        <v>0.7</v>
      </c>
      <c r="CK189">
        <v>0.7</v>
      </c>
      <c r="CL189">
        <v>0.7</v>
      </c>
      <c r="CM189">
        <v>0.7</v>
      </c>
      <c r="CN189">
        <v>0.7</v>
      </c>
      <c r="CO189">
        <v>0.7</v>
      </c>
    </row>
    <row r="190" spans="75:93" x14ac:dyDescent="0.2">
      <c r="BW190" t="s">
        <v>166</v>
      </c>
      <c r="BX190" t="s">
        <v>167</v>
      </c>
      <c r="BY190">
        <v>1.7</v>
      </c>
      <c r="BZ190">
        <v>1.7</v>
      </c>
      <c r="CA190">
        <v>0.9</v>
      </c>
      <c r="CB190">
        <v>0.8</v>
      </c>
      <c r="CC190">
        <v>1</v>
      </c>
      <c r="CD190">
        <v>1.2</v>
      </c>
      <c r="CE190">
        <v>4</v>
      </c>
      <c r="CI190" t="s">
        <v>166</v>
      </c>
      <c r="CJ190">
        <v>1.2</v>
      </c>
      <c r="CK190">
        <v>1.2</v>
      </c>
      <c r="CL190">
        <v>1.2</v>
      </c>
      <c r="CM190">
        <v>1.2</v>
      </c>
      <c r="CN190">
        <v>1.2</v>
      </c>
      <c r="CO190">
        <v>1.2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8ECA6-F998-D345-BD7A-5F4995DA72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4.4.1.1</vt:lpstr>
      <vt:lpstr>Tables</vt:lpstr>
      <vt:lpstr>Backup</vt:lpstr>
      <vt:lpstr>Backup!TableLWG</vt:lpstr>
      <vt:lpstr>TableLWG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2026-05-06T08:28:28Z</dcterms:created>
  <dcterms:modified xsi:type="dcterms:W3CDTF">2026-10-22T06:06:44Z</dcterms:modified>
</cp:coreProperties>
</file>