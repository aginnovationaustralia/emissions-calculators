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62AEC074-9B4D-644C-A7DD-0034BBA3B55E}" xr6:coauthVersionLast="47" xr6:coauthVersionMax="47" xr10:uidLastSave="{00000000-0000-0000-0000-000000000000}"/>
  <bookViews>
    <workbookView xWindow="12140" yWindow="2000" windowWidth="3840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1" i="13" l="1"/>
  <c r="BP231" i="13"/>
  <c r="BI231" i="13"/>
  <c r="BF231" i="13" a="1"/>
  <c r="BF231" i="13" s="1"/>
  <c r="BG231" i="13" s="1"/>
  <c r="BE231" i="13"/>
  <c r="BD231" i="13"/>
  <c r="BC231" i="13"/>
  <c r="BH231" i="13" s="1"/>
  <c r="BJ231" i="13" s="1"/>
  <c r="BK231" i="13" s="1"/>
  <c r="AZ231" i="13"/>
  <c r="AY231" i="13"/>
  <c r="AX231" i="13"/>
  <c r="AV231" i="13"/>
  <c r="AU231" i="13"/>
  <c r="BI214" i="13"/>
  <c r="BG214" i="13"/>
  <c r="BE214" i="13"/>
  <c r="BC214" i="13"/>
  <c r="BA214" i="13"/>
  <c r="BI213" i="13"/>
  <c r="BE213" i="13"/>
  <c r="BD213" i="13"/>
  <c r="BC213" i="13"/>
  <c r="BA213" i="13"/>
  <c r="BI212" i="13"/>
  <c r="BG212" i="13"/>
  <c r="BE212" i="13"/>
  <c r="BC212" i="13"/>
  <c r="BA212" i="13"/>
  <c r="BI211" i="13"/>
  <c r="BG211" i="13"/>
  <c r="BE211" i="13"/>
  <c r="BD211" i="13"/>
  <c r="BD212" i="13" s="1"/>
  <c r="BH212" i="13" s="1"/>
  <c r="BJ212" i="13" s="1"/>
  <c r="BK212" i="13" s="1"/>
  <c r="BC211" i="13"/>
  <c r="BI210" i="13"/>
  <c r="BG210" i="13"/>
  <c r="BE210" i="13"/>
  <c r="BD210" i="13"/>
  <c r="BC210" i="13"/>
  <c r="BH210" i="13" s="1"/>
  <c r="BJ210" i="13" s="1"/>
  <c r="BK210" i="13" s="1"/>
  <c r="BA210" i="13"/>
  <c r="BI209" i="13"/>
  <c r="BE209" i="13"/>
  <c r="BC209" i="13"/>
  <c r="BH209" i="13" s="1"/>
  <c r="BJ209" i="13" s="1"/>
  <c r="BK209" i="13" s="1"/>
  <c r="BA209" i="13"/>
  <c r="BI208" i="13"/>
  <c r="BG208" i="13"/>
  <c r="BE208" i="13"/>
  <c r="BD208" i="13"/>
  <c r="BH208" i="13" s="1"/>
  <c r="BJ208" i="13" s="1"/>
  <c r="BK208" i="13" s="1"/>
  <c r="BC208" i="13"/>
  <c r="BA208" i="13"/>
  <c r="BI207" i="13"/>
  <c r="BG207" i="13"/>
  <c r="BE207" i="13"/>
  <c r="BH207" i="13" s="1"/>
  <c r="BJ207" i="13" s="1"/>
  <c r="BK207" i="13" s="1"/>
  <c r="BD207" i="13"/>
  <c r="BD209" i="13" s="1"/>
  <c r="BC207" i="13"/>
  <c r="BI206" i="13"/>
  <c r="BG206" i="13"/>
  <c r="BE206" i="13"/>
  <c r="BC206" i="13"/>
  <c r="BA206" i="13"/>
  <c r="BI205" i="13"/>
  <c r="BG205" i="13"/>
  <c r="BE205" i="13"/>
  <c r="BC205" i="13"/>
  <c r="BA205" i="13"/>
  <c r="BI204" i="13"/>
  <c r="BG204" i="13"/>
  <c r="BE204" i="13"/>
  <c r="BC204" i="13"/>
  <c r="BA204" i="13"/>
  <c r="BI203" i="13"/>
  <c r="BG203" i="13"/>
  <c r="BE203" i="13"/>
  <c r="BD203" i="13"/>
  <c r="BD205" i="13" s="1"/>
  <c r="BH205" i="13" s="1"/>
  <c r="BJ205" i="13" s="1"/>
  <c r="BK205" i="13" s="1"/>
  <c r="BC203" i="13"/>
  <c r="BH203" i="13" s="1"/>
  <c r="BJ203" i="13" s="1"/>
  <c r="BK203" i="13" s="1"/>
  <c r="BI202" i="13"/>
  <c r="BE202" i="13"/>
  <c r="BD202" i="13"/>
  <c r="BC202" i="13"/>
  <c r="BA202" i="13"/>
  <c r="BI201" i="13"/>
  <c r="BG201" i="13"/>
  <c r="BE201" i="13"/>
  <c r="BC201" i="13"/>
  <c r="BA201" i="13"/>
  <c r="BI200" i="13"/>
  <c r="BG200" i="13"/>
  <c r="BE200" i="13"/>
  <c r="BC200" i="13"/>
  <c r="BA200" i="13"/>
  <c r="BI199" i="13"/>
  <c r="BG199" i="13"/>
  <c r="BE199" i="13"/>
  <c r="BD199" i="13"/>
  <c r="BD201" i="13" s="1"/>
  <c r="BH201" i="13" s="1"/>
  <c r="BJ201" i="13" s="1"/>
  <c r="BK201" i="13" s="1"/>
  <c r="BC199" i="13"/>
  <c r="BH199" i="13" s="1"/>
  <c r="BJ199" i="13" s="1"/>
  <c r="BK199" i="13" s="1"/>
  <c r="BI198" i="13"/>
  <c r="BE198" i="13"/>
  <c r="BC198" i="13"/>
  <c r="BA198" i="13"/>
  <c r="BI197" i="13"/>
  <c r="BG197" i="13"/>
  <c r="BE197" i="13"/>
  <c r="BC197" i="13"/>
  <c r="BA197" i="13"/>
  <c r="BI196" i="13"/>
  <c r="BG196" i="13"/>
  <c r="BE196" i="13"/>
  <c r="BC196" i="13"/>
  <c r="BA196" i="13"/>
  <c r="BI195" i="13"/>
  <c r="BG195" i="13"/>
  <c r="BE195" i="13"/>
  <c r="BD195" i="13"/>
  <c r="BD198" i="13" s="1"/>
  <c r="BC195" i="13"/>
  <c r="BH195" i="13" s="1"/>
  <c r="BJ195" i="13" s="1"/>
  <c r="BK195" i="13" s="1"/>
  <c r="BI194" i="13"/>
  <c r="BG194" i="13"/>
  <c r="BH194" i="13" s="1"/>
  <c r="BJ194" i="13" s="1"/>
  <c r="BK194" i="13" s="1"/>
  <c r="BE194" i="13"/>
  <c r="BC194" i="13"/>
  <c r="BA194" i="13"/>
  <c r="BI193" i="13"/>
  <c r="BH193" i="13"/>
  <c r="BJ193" i="13" s="1"/>
  <c r="BK193" i="13" s="1"/>
  <c r="BG193" i="13"/>
  <c r="BE193" i="13"/>
  <c r="BC193" i="13"/>
  <c r="BA193" i="13"/>
  <c r="BI192" i="13"/>
  <c r="BG192" i="13"/>
  <c r="BE192" i="13"/>
  <c r="BD192" i="13"/>
  <c r="BC192" i="13"/>
  <c r="BH192" i="13" s="1"/>
  <c r="BJ192" i="13" s="1"/>
  <c r="BK192" i="13" s="1"/>
  <c r="BA192" i="13"/>
  <c r="BS191" i="13"/>
  <c r="BP191" i="13"/>
  <c r="BI191" i="13"/>
  <c r="BF191" i="13" a="1"/>
  <c r="BG209" i="13" s="1"/>
  <c r="BE191" i="13"/>
  <c r="BD191" i="13"/>
  <c r="BD194" i="13" s="1"/>
  <c r="BC191" i="13"/>
  <c r="AZ191" i="13"/>
  <c r="AY191" i="13"/>
  <c r="AX191" i="13"/>
  <c r="AV191" i="13"/>
  <c r="AU191" i="13"/>
  <c r="BI184" i="13"/>
  <c r="BG184" i="13"/>
  <c r="BE184" i="13"/>
  <c r="BD184" i="13"/>
  <c r="BC184" i="13"/>
  <c r="BH184" i="13" s="1"/>
  <c r="BJ184" i="13" s="1"/>
  <c r="BK184" i="13" s="1"/>
  <c r="BA184" i="13"/>
  <c r="BI183" i="13"/>
  <c r="BE183" i="13"/>
  <c r="BD183" i="13"/>
  <c r="BC183" i="13"/>
  <c r="BA183" i="13"/>
  <c r="BI182" i="13"/>
  <c r="BG182" i="13"/>
  <c r="BE182" i="13"/>
  <c r="BC182" i="13"/>
  <c r="BA182" i="13"/>
  <c r="BI181" i="13"/>
  <c r="BG181" i="13"/>
  <c r="BH181" i="13" s="1"/>
  <c r="BJ181" i="13" s="1"/>
  <c r="BK181" i="13" s="1"/>
  <c r="BE181" i="13"/>
  <c r="BD181" i="13"/>
  <c r="BD182" i="13" s="1"/>
  <c r="BH182" i="13" s="1"/>
  <c r="BJ182" i="13" s="1"/>
  <c r="BK182" i="13" s="1"/>
  <c r="BC181" i="13"/>
  <c r="BI180" i="13"/>
  <c r="BG180" i="13"/>
  <c r="BE180" i="13"/>
  <c r="BC180" i="13"/>
  <c r="BA180" i="13"/>
  <c r="BI179" i="13"/>
  <c r="BE179" i="13"/>
  <c r="BC179" i="13"/>
  <c r="BA179" i="13"/>
  <c r="BI178" i="13"/>
  <c r="BG178" i="13"/>
  <c r="BE178" i="13"/>
  <c r="BD178" i="13"/>
  <c r="BH178" i="13" s="1"/>
  <c r="BJ178" i="13" s="1"/>
  <c r="BK178" i="13" s="1"/>
  <c r="BC178" i="13"/>
  <c r="BA178" i="13"/>
  <c r="BI177" i="13"/>
  <c r="BG177" i="13"/>
  <c r="BE177" i="13"/>
  <c r="BD177" i="13"/>
  <c r="BD179" i="13" s="1"/>
  <c r="BH179" i="13" s="1"/>
  <c r="BJ179" i="13" s="1"/>
  <c r="BK179" i="13" s="1"/>
  <c r="BC177" i="13"/>
  <c r="BH177" i="13" s="1"/>
  <c r="BJ177" i="13" s="1"/>
  <c r="BK177" i="13" s="1"/>
  <c r="BI176" i="13"/>
  <c r="BE176" i="13"/>
  <c r="BC176" i="13"/>
  <c r="BA176" i="13"/>
  <c r="BI175" i="13"/>
  <c r="BG175" i="13"/>
  <c r="BE175" i="13"/>
  <c r="BC175" i="13"/>
  <c r="BA175" i="13"/>
  <c r="BI174" i="13"/>
  <c r="BG174" i="13"/>
  <c r="BE174" i="13"/>
  <c r="BC174" i="13"/>
  <c r="BA174" i="13"/>
  <c r="BI173" i="13"/>
  <c r="BG173" i="13"/>
  <c r="BE173" i="13"/>
  <c r="BD173" i="13"/>
  <c r="BD175" i="13" s="1"/>
  <c r="BH175" i="13" s="1"/>
  <c r="BJ175" i="13" s="1"/>
  <c r="BK175" i="13" s="1"/>
  <c r="BC173" i="13"/>
  <c r="BI172" i="13"/>
  <c r="BE172" i="13"/>
  <c r="BC172" i="13"/>
  <c r="BA172" i="13"/>
  <c r="BI171" i="13"/>
  <c r="BG171" i="13"/>
  <c r="BE171" i="13"/>
  <c r="BC171" i="13"/>
  <c r="BA171" i="13"/>
  <c r="BI170" i="13"/>
  <c r="BG170" i="13"/>
  <c r="BE170" i="13"/>
  <c r="BC170" i="13"/>
  <c r="BA170" i="13"/>
  <c r="BI169" i="13"/>
  <c r="BG169" i="13"/>
  <c r="BE169" i="13"/>
  <c r="BD169" i="13"/>
  <c r="BD171" i="13" s="1"/>
  <c r="BH171" i="13" s="1"/>
  <c r="BJ171" i="13" s="1"/>
  <c r="BK171" i="13" s="1"/>
  <c r="BC169" i="13"/>
  <c r="BH169" i="13" s="1"/>
  <c r="BJ169" i="13" s="1"/>
  <c r="BK169" i="13" s="1"/>
  <c r="BI168" i="13"/>
  <c r="BE168" i="13"/>
  <c r="BC168" i="13"/>
  <c r="BA168" i="13"/>
  <c r="BI167" i="13"/>
  <c r="BG167" i="13"/>
  <c r="BE167" i="13"/>
  <c r="BD167" i="13"/>
  <c r="BH167" i="13" s="1"/>
  <c r="BJ167" i="13" s="1"/>
  <c r="BK167" i="13" s="1"/>
  <c r="BC167" i="13"/>
  <c r="BA167" i="13"/>
  <c r="BI166" i="13"/>
  <c r="BG166" i="13"/>
  <c r="BE166" i="13"/>
  <c r="BD166" i="13"/>
  <c r="BC166" i="13"/>
  <c r="BH166" i="13" s="1"/>
  <c r="BJ166" i="13" s="1"/>
  <c r="BK166" i="13" s="1"/>
  <c r="BA166" i="13"/>
  <c r="BI165" i="13"/>
  <c r="BG165" i="13"/>
  <c r="BE165" i="13"/>
  <c r="BD165" i="13"/>
  <c r="BD168" i="13" s="1"/>
  <c r="BC165" i="13"/>
  <c r="BH165" i="13" s="1"/>
  <c r="BJ165" i="13" s="1"/>
  <c r="BK165" i="13" s="1"/>
  <c r="BI164" i="13"/>
  <c r="BG164" i="13"/>
  <c r="BH164" i="13" s="1"/>
  <c r="BJ164" i="13" s="1"/>
  <c r="BK164" i="13" s="1"/>
  <c r="BE164" i="13"/>
  <c r="BC164" i="13"/>
  <c r="BA164" i="13"/>
  <c r="BI163" i="13"/>
  <c r="BH163" i="13"/>
  <c r="BJ163" i="13" s="1"/>
  <c r="BK163" i="13" s="1"/>
  <c r="BG163" i="13"/>
  <c r="BE163" i="13"/>
  <c r="BC163" i="13"/>
  <c r="BA163" i="13"/>
  <c r="BI162" i="13"/>
  <c r="BH162" i="13"/>
  <c r="BJ162" i="13" s="1"/>
  <c r="BK162" i="13" s="1"/>
  <c r="BG162" i="13"/>
  <c r="BE162" i="13"/>
  <c r="BD162" i="13"/>
  <c r="BC162" i="13"/>
  <c r="BA162" i="13"/>
  <c r="BS161" i="13"/>
  <c r="BP161" i="13"/>
  <c r="BI161" i="13"/>
  <c r="BF161" i="13" a="1"/>
  <c r="BG179" i="13" s="1"/>
  <c r="BE161" i="13"/>
  <c r="BD161" i="13"/>
  <c r="BD164" i="13" s="1"/>
  <c r="BC161" i="13"/>
  <c r="AZ161" i="13"/>
  <c r="AY161" i="13"/>
  <c r="AX161" i="13"/>
  <c r="AV161" i="13"/>
  <c r="AU161" i="13"/>
  <c r="BI154" i="13"/>
  <c r="BG154" i="13"/>
  <c r="BE154" i="13"/>
  <c r="BC154" i="13"/>
  <c r="BA154" i="13"/>
  <c r="BI153" i="13"/>
  <c r="BE153" i="13"/>
  <c r="BC153" i="13"/>
  <c r="BA153" i="13"/>
  <c r="BI152" i="13"/>
  <c r="BG152" i="13"/>
  <c r="BE152" i="13"/>
  <c r="BC152" i="13"/>
  <c r="BA152" i="13"/>
  <c r="BI151" i="13"/>
  <c r="BG151" i="13"/>
  <c r="BE151" i="13"/>
  <c r="BD151" i="13"/>
  <c r="BD152" i="13" s="1"/>
  <c r="BH152" i="13" s="1"/>
  <c r="BJ152" i="13" s="1"/>
  <c r="BK152" i="13" s="1"/>
  <c r="BC151" i="13"/>
  <c r="BH151" i="13" s="1"/>
  <c r="BJ151" i="13" s="1"/>
  <c r="BK151" i="13" s="1"/>
  <c r="BI150" i="13"/>
  <c r="BG150" i="13"/>
  <c r="BE150" i="13"/>
  <c r="BC150" i="13"/>
  <c r="BA150" i="13"/>
  <c r="BI149" i="13"/>
  <c r="BE149" i="13"/>
  <c r="BC149" i="13"/>
  <c r="BA149" i="13"/>
  <c r="BI148" i="13"/>
  <c r="BG148" i="13"/>
  <c r="BE148" i="13"/>
  <c r="BD148" i="13"/>
  <c r="BH148" i="13" s="1"/>
  <c r="BJ148" i="13" s="1"/>
  <c r="BK148" i="13" s="1"/>
  <c r="BC148" i="13"/>
  <c r="BA148" i="13"/>
  <c r="BI147" i="13"/>
  <c r="BG147" i="13"/>
  <c r="BE147" i="13"/>
  <c r="BD147" i="13"/>
  <c r="BD149" i="13" s="1"/>
  <c r="BC147" i="13"/>
  <c r="BH147" i="13" s="1"/>
  <c r="BJ147" i="13" s="1"/>
  <c r="BK147" i="13" s="1"/>
  <c r="BI146" i="13"/>
  <c r="BG146" i="13"/>
  <c r="BE146" i="13"/>
  <c r="BC146" i="13"/>
  <c r="BA146" i="13"/>
  <c r="BI145" i="13"/>
  <c r="BG145" i="13"/>
  <c r="BE145" i="13"/>
  <c r="BC145" i="13"/>
  <c r="BA145" i="13"/>
  <c r="BI144" i="13"/>
  <c r="BG144" i="13"/>
  <c r="BE144" i="13"/>
  <c r="BD144" i="13"/>
  <c r="BC144" i="13"/>
  <c r="BH144" i="13" s="1"/>
  <c r="BJ144" i="13" s="1"/>
  <c r="BK144" i="13" s="1"/>
  <c r="BA144" i="13"/>
  <c r="BI143" i="13"/>
  <c r="BG143" i="13"/>
  <c r="BE143" i="13"/>
  <c r="BD143" i="13"/>
  <c r="BD145" i="13" s="1"/>
  <c r="BH145" i="13" s="1"/>
  <c r="BJ145" i="13" s="1"/>
  <c r="BK145" i="13" s="1"/>
  <c r="BC143" i="13"/>
  <c r="BH143" i="13" s="1"/>
  <c r="BJ143" i="13" s="1"/>
  <c r="BK143" i="13" s="1"/>
  <c r="BI142" i="13"/>
  <c r="BE142" i="13"/>
  <c r="BC142" i="13"/>
  <c r="BA142" i="13"/>
  <c r="BI141" i="13"/>
  <c r="BG141" i="13"/>
  <c r="BE141" i="13"/>
  <c r="BC141" i="13"/>
  <c r="BA141" i="13"/>
  <c r="BI140" i="13"/>
  <c r="BG140" i="13"/>
  <c r="BE140" i="13"/>
  <c r="BD140" i="13"/>
  <c r="BH140" i="13" s="1"/>
  <c r="BJ140" i="13" s="1"/>
  <c r="BK140" i="13" s="1"/>
  <c r="BC140" i="13"/>
  <c r="BA140" i="13"/>
  <c r="BI139" i="13"/>
  <c r="BG139" i="13"/>
  <c r="BE139" i="13"/>
  <c r="BD139" i="13"/>
  <c r="BD141" i="13" s="1"/>
  <c r="BH141" i="13" s="1"/>
  <c r="BJ141" i="13" s="1"/>
  <c r="BK141" i="13" s="1"/>
  <c r="BC139" i="13"/>
  <c r="BH139" i="13" s="1"/>
  <c r="BJ139" i="13" s="1"/>
  <c r="BK139" i="13" s="1"/>
  <c r="BI138" i="13"/>
  <c r="BE138" i="13"/>
  <c r="BD138" i="13"/>
  <c r="BC138" i="13"/>
  <c r="BA138" i="13"/>
  <c r="BI137" i="13"/>
  <c r="BG137" i="13"/>
  <c r="BE137" i="13"/>
  <c r="BD137" i="13"/>
  <c r="BH137" i="13" s="1"/>
  <c r="BJ137" i="13" s="1"/>
  <c r="BK137" i="13" s="1"/>
  <c r="BC137" i="13"/>
  <c r="BA137" i="13"/>
  <c r="BI136" i="13"/>
  <c r="BG136" i="13"/>
  <c r="BE136" i="13"/>
  <c r="BD136" i="13"/>
  <c r="BC136" i="13"/>
  <c r="BH136" i="13" s="1"/>
  <c r="BJ136" i="13" s="1"/>
  <c r="BK136" i="13" s="1"/>
  <c r="BA136" i="13"/>
  <c r="BI135" i="13"/>
  <c r="BG135" i="13"/>
  <c r="BE135" i="13"/>
  <c r="BD135" i="13"/>
  <c r="BC135" i="13"/>
  <c r="BH135" i="13" s="1"/>
  <c r="BJ135" i="13" s="1"/>
  <c r="BK135" i="13" s="1"/>
  <c r="BI134" i="13"/>
  <c r="BG134" i="13"/>
  <c r="BH134" i="13" s="1"/>
  <c r="BJ134" i="13" s="1"/>
  <c r="BK134" i="13" s="1"/>
  <c r="BE134" i="13"/>
  <c r="BC134" i="13"/>
  <c r="BA134" i="13"/>
  <c r="BI133" i="13"/>
  <c r="BG133" i="13"/>
  <c r="BE133" i="13"/>
  <c r="BD133" i="13"/>
  <c r="BC133" i="13"/>
  <c r="BH133" i="13" s="1"/>
  <c r="BJ133" i="13" s="1"/>
  <c r="BK133" i="13" s="1"/>
  <c r="BA133" i="13"/>
  <c r="BI132" i="13"/>
  <c r="BG132" i="13"/>
  <c r="BE132" i="13"/>
  <c r="BD132" i="13"/>
  <c r="BC132" i="13"/>
  <c r="BH132" i="13" s="1"/>
  <c r="BJ132" i="13" s="1"/>
  <c r="BK132" i="13" s="1"/>
  <c r="BA132" i="13"/>
  <c r="BS131" i="13"/>
  <c r="BP131" i="13"/>
  <c r="BI131" i="13"/>
  <c r="BF131" i="13" a="1"/>
  <c r="BG149" i="13" s="1"/>
  <c r="BE131" i="13"/>
  <c r="BD131" i="13"/>
  <c r="BD134" i="13" s="1"/>
  <c r="BC131" i="13"/>
  <c r="AZ131" i="13"/>
  <c r="AY131" i="13"/>
  <c r="AX131" i="13"/>
  <c r="AV131" i="13"/>
  <c r="AU131" i="13"/>
  <c r="BI124" i="13"/>
  <c r="BG124" i="13"/>
  <c r="BE124" i="13"/>
  <c r="BC124" i="13"/>
  <c r="BA124" i="13"/>
  <c r="BI123" i="13"/>
  <c r="BE123" i="13"/>
  <c r="BD123" i="13"/>
  <c r="BC123" i="13"/>
  <c r="BH123" i="13" s="1"/>
  <c r="BJ123" i="13" s="1"/>
  <c r="BK123" i="13" s="1"/>
  <c r="BA123" i="13"/>
  <c r="BI122" i="13"/>
  <c r="BG122" i="13"/>
  <c r="BE122" i="13"/>
  <c r="BD122" i="13"/>
  <c r="BH122" i="13" s="1"/>
  <c r="BJ122" i="13" s="1"/>
  <c r="BK122" i="13" s="1"/>
  <c r="BC122" i="13"/>
  <c r="BA122" i="13"/>
  <c r="BI121" i="13"/>
  <c r="BG121" i="13"/>
  <c r="BE121" i="13"/>
  <c r="BD121" i="13"/>
  <c r="BD124" i="13" s="1"/>
  <c r="BH124" i="13" s="1"/>
  <c r="BJ124" i="13" s="1"/>
  <c r="BK124" i="13" s="1"/>
  <c r="BC121" i="13"/>
  <c r="BH121" i="13" s="1"/>
  <c r="BJ121" i="13" s="1"/>
  <c r="BK121" i="13" s="1"/>
  <c r="BI120" i="13"/>
  <c r="BG120" i="13"/>
  <c r="BE120" i="13"/>
  <c r="BC120" i="13"/>
  <c r="BA120" i="13"/>
  <c r="BI119" i="13"/>
  <c r="BG119" i="13"/>
  <c r="BE119" i="13"/>
  <c r="BD119" i="13"/>
  <c r="BC119" i="13"/>
  <c r="BH119" i="13" s="1"/>
  <c r="BJ119" i="13" s="1"/>
  <c r="BK119" i="13" s="1"/>
  <c r="BA119" i="13"/>
  <c r="BI118" i="13"/>
  <c r="BG118" i="13"/>
  <c r="BE118" i="13"/>
  <c r="BD118" i="13"/>
  <c r="BC118" i="13"/>
  <c r="BH118" i="13" s="1"/>
  <c r="BJ118" i="13" s="1"/>
  <c r="BK118" i="13" s="1"/>
  <c r="BA118" i="13"/>
  <c r="BI117" i="13"/>
  <c r="BG117" i="13"/>
  <c r="BE117" i="13"/>
  <c r="BD117" i="13"/>
  <c r="BD120" i="13" s="1"/>
  <c r="BH120" i="13" s="1"/>
  <c r="BJ120" i="13" s="1"/>
  <c r="BK120" i="13" s="1"/>
  <c r="BC117" i="13"/>
  <c r="BI116" i="13"/>
  <c r="BG116" i="13"/>
  <c r="BE116" i="13"/>
  <c r="BD116" i="13"/>
  <c r="BC116" i="13"/>
  <c r="BH116" i="13" s="1"/>
  <c r="BJ116" i="13" s="1"/>
  <c r="BK116" i="13" s="1"/>
  <c r="BA116" i="13"/>
  <c r="BI115" i="13"/>
  <c r="BG115" i="13"/>
  <c r="BE115" i="13"/>
  <c r="BC115" i="13"/>
  <c r="BA115" i="13"/>
  <c r="BI114" i="13"/>
  <c r="BG114" i="13"/>
  <c r="BE114" i="13"/>
  <c r="BD114" i="13"/>
  <c r="BC114" i="13"/>
  <c r="BH114" i="13" s="1"/>
  <c r="BJ114" i="13" s="1"/>
  <c r="BK114" i="13" s="1"/>
  <c r="BA114" i="13"/>
  <c r="BI113" i="13"/>
  <c r="BH113" i="13"/>
  <c r="BJ113" i="13" s="1"/>
  <c r="BK113" i="13" s="1"/>
  <c r="BG113" i="13"/>
  <c r="BE113" i="13"/>
  <c r="BD113" i="13"/>
  <c r="BD115" i="13" s="1"/>
  <c r="BH115" i="13" s="1"/>
  <c r="BJ115" i="13" s="1"/>
  <c r="BK115" i="13" s="1"/>
  <c r="BC113" i="13"/>
  <c r="BI112" i="13"/>
  <c r="BE112" i="13"/>
  <c r="BD112" i="13"/>
  <c r="BC112" i="13"/>
  <c r="BA112" i="13"/>
  <c r="BI111" i="13"/>
  <c r="BG111" i="13"/>
  <c r="BE111" i="13"/>
  <c r="BD111" i="13"/>
  <c r="BH111" i="13" s="1"/>
  <c r="BJ111" i="13" s="1"/>
  <c r="BK111" i="13" s="1"/>
  <c r="BC111" i="13"/>
  <c r="BA111" i="13"/>
  <c r="BI110" i="13"/>
  <c r="BG110" i="13"/>
  <c r="BE110" i="13"/>
  <c r="BC110" i="13"/>
  <c r="BH110" i="13" s="1"/>
  <c r="BJ110" i="13" s="1"/>
  <c r="BK110" i="13" s="1"/>
  <c r="BA110" i="13"/>
  <c r="BI109" i="13"/>
  <c r="BG109" i="13"/>
  <c r="BH109" i="13" s="1"/>
  <c r="BJ109" i="13" s="1"/>
  <c r="BK109" i="13" s="1"/>
  <c r="BE109" i="13"/>
  <c r="BD109" i="13"/>
  <c r="BD110" i="13" s="1"/>
  <c r="BC109" i="13"/>
  <c r="BI108" i="13"/>
  <c r="BG108" i="13"/>
  <c r="BE108" i="13"/>
  <c r="BD108" i="13"/>
  <c r="BC108" i="13"/>
  <c r="BH108" i="13" s="1"/>
  <c r="BJ108" i="13" s="1"/>
  <c r="BK108" i="13" s="1"/>
  <c r="BA108" i="13"/>
  <c r="BI107" i="13"/>
  <c r="BG107" i="13"/>
  <c r="BE107" i="13"/>
  <c r="BD107" i="13"/>
  <c r="BC107" i="13"/>
  <c r="BH107" i="13" s="1"/>
  <c r="BJ107" i="13" s="1"/>
  <c r="BK107" i="13" s="1"/>
  <c r="BA107" i="13"/>
  <c r="BI106" i="13"/>
  <c r="BG106" i="13"/>
  <c r="BE106" i="13"/>
  <c r="BD106" i="13"/>
  <c r="BH106" i="13" s="1"/>
  <c r="BJ106" i="13" s="1"/>
  <c r="BK106" i="13" s="1"/>
  <c r="BC106" i="13"/>
  <c r="BA106" i="13"/>
  <c r="BI105" i="13"/>
  <c r="BG105" i="13"/>
  <c r="BE105" i="13"/>
  <c r="BH105" i="13" s="1"/>
  <c r="BJ105" i="13" s="1"/>
  <c r="BK105" i="13" s="1"/>
  <c r="BD105" i="13"/>
  <c r="BC105" i="13"/>
  <c r="BI104" i="13"/>
  <c r="BH104" i="13"/>
  <c r="BJ104" i="13" s="1"/>
  <c r="BK104" i="13" s="1"/>
  <c r="BG104" i="13"/>
  <c r="BE104" i="13"/>
  <c r="BC104" i="13"/>
  <c r="BA104" i="13"/>
  <c r="BI103" i="13"/>
  <c r="BG103" i="13"/>
  <c r="BE103" i="13"/>
  <c r="BC103" i="13"/>
  <c r="BH103" i="13" s="1"/>
  <c r="BJ103" i="13" s="1"/>
  <c r="BK103" i="13" s="1"/>
  <c r="BA103" i="13"/>
  <c r="BI102" i="13"/>
  <c r="BH102" i="13"/>
  <c r="BJ102" i="13" s="1"/>
  <c r="BK102" i="13" s="1"/>
  <c r="BG102" i="13"/>
  <c r="BE102" i="13"/>
  <c r="BC102" i="13"/>
  <c r="BA102" i="13"/>
  <c r="BS101" i="13"/>
  <c r="BP101" i="13"/>
  <c r="BI101" i="13"/>
  <c r="BG101" i="13"/>
  <c r="BF101" i="13"/>
  <c r="BF101" i="13" a="1"/>
  <c r="BG123" i="13" s="1"/>
  <c r="BE101" i="13"/>
  <c r="BD101" i="13"/>
  <c r="BD104" i="13" s="1"/>
  <c r="BC101" i="13"/>
  <c r="BH101" i="13" s="1"/>
  <c r="BJ101" i="13" s="1"/>
  <c r="BK101" i="13" s="1"/>
  <c r="AZ101" i="13"/>
  <c r="AY101" i="13"/>
  <c r="AX101" i="13"/>
  <c r="AV101" i="13"/>
  <c r="AU101" i="13"/>
  <c r="BI94" i="13"/>
  <c r="BG94" i="13"/>
  <c r="BE94" i="13"/>
  <c r="BC94" i="13"/>
  <c r="BA94" i="13"/>
  <c r="BI93" i="13"/>
  <c r="BE93" i="13"/>
  <c r="BC93" i="13"/>
  <c r="BA93" i="13"/>
  <c r="BI92" i="13"/>
  <c r="BG92" i="13"/>
  <c r="BE92" i="13"/>
  <c r="BC92" i="13"/>
  <c r="BA92" i="13"/>
  <c r="BI91" i="13"/>
  <c r="BG91" i="13"/>
  <c r="BE91" i="13"/>
  <c r="BD91" i="13"/>
  <c r="BD92" i="13" s="1"/>
  <c r="BH92" i="13" s="1"/>
  <c r="BJ92" i="13" s="1"/>
  <c r="BK92" i="13" s="1"/>
  <c r="BC91" i="13"/>
  <c r="BI90" i="13"/>
  <c r="BG90" i="13"/>
  <c r="BE90" i="13"/>
  <c r="BD90" i="13"/>
  <c r="BC90" i="13"/>
  <c r="BH90" i="13" s="1"/>
  <c r="BJ90" i="13" s="1"/>
  <c r="BK90" i="13" s="1"/>
  <c r="BA90" i="13"/>
  <c r="BI89" i="13"/>
  <c r="BE89" i="13"/>
  <c r="BC89" i="13"/>
  <c r="BA89" i="13"/>
  <c r="BI88" i="13"/>
  <c r="BG88" i="13"/>
  <c r="BE88" i="13"/>
  <c r="BD88" i="13"/>
  <c r="BH88" i="13" s="1"/>
  <c r="BJ88" i="13" s="1"/>
  <c r="BK88" i="13" s="1"/>
  <c r="BC88" i="13"/>
  <c r="BA88" i="13"/>
  <c r="BI87" i="13"/>
  <c r="BG87" i="13"/>
  <c r="BE87" i="13"/>
  <c r="BD87" i="13"/>
  <c r="BD89" i="13" s="1"/>
  <c r="BC87" i="13"/>
  <c r="BH87" i="13" s="1"/>
  <c r="BJ87" i="13" s="1"/>
  <c r="BK87" i="13" s="1"/>
  <c r="BI86" i="13"/>
  <c r="BG86" i="13"/>
  <c r="BE86" i="13"/>
  <c r="BD86" i="13"/>
  <c r="BC86" i="13"/>
  <c r="BH86" i="13" s="1"/>
  <c r="BJ86" i="13" s="1"/>
  <c r="BK86" i="13" s="1"/>
  <c r="BA86" i="13"/>
  <c r="BI85" i="13"/>
  <c r="BG85" i="13"/>
  <c r="BE85" i="13"/>
  <c r="BC85" i="13"/>
  <c r="BA85" i="13"/>
  <c r="BI84" i="13"/>
  <c r="BG84" i="13"/>
  <c r="BE84" i="13"/>
  <c r="BD84" i="13"/>
  <c r="BC84" i="13"/>
  <c r="BH84" i="13" s="1"/>
  <c r="BJ84" i="13" s="1"/>
  <c r="BK84" i="13" s="1"/>
  <c r="BA84" i="13"/>
  <c r="BI83" i="13"/>
  <c r="BH83" i="13"/>
  <c r="BJ83" i="13" s="1"/>
  <c r="BK83" i="13" s="1"/>
  <c r="BG83" i="13"/>
  <c r="BE83" i="13"/>
  <c r="BD83" i="13"/>
  <c r="BD85" i="13" s="1"/>
  <c r="BH85" i="13" s="1"/>
  <c r="BJ85" i="13" s="1"/>
  <c r="BK85" i="13" s="1"/>
  <c r="BC83" i="13"/>
  <c r="BI82" i="13"/>
  <c r="BE82" i="13"/>
  <c r="BC82" i="13"/>
  <c r="BA82" i="13"/>
  <c r="BI81" i="13"/>
  <c r="BG81" i="13"/>
  <c r="BE81" i="13"/>
  <c r="BC81" i="13"/>
  <c r="BA81" i="13"/>
  <c r="BI80" i="13"/>
  <c r="BG80" i="13"/>
  <c r="BE80" i="13"/>
  <c r="BC80" i="13"/>
  <c r="BA80" i="13"/>
  <c r="BI79" i="13"/>
  <c r="BG79" i="13"/>
  <c r="BE79" i="13"/>
  <c r="BD79" i="13"/>
  <c r="BD81" i="13" s="1"/>
  <c r="BH81" i="13" s="1"/>
  <c r="BJ81" i="13" s="1"/>
  <c r="BK81" i="13" s="1"/>
  <c r="BC79" i="13"/>
  <c r="BI78" i="13"/>
  <c r="BE78" i="13"/>
  <c r="BC78" i="13"/>
  <c r="BA78" i="13"/>
  <c r="BI77" i="13"/>
  <c r="BG77" i="13"/>
  <c r="BE77" i="13"/>
  <c r="BD77" i="13"/>
  <c r="BH77" i="13" s="1"/>
  <c r="BJ77" i="13" s="1"/>
  <c r="BK77" i="13" s="1"/>
  <c r="BC77" i="13"/>
  <c r="BA77" i="13"/>
  <c r="BI76" i="13"/>
  <c r="BG76" i="13"/>
  <c r="BE76" i="13"/>
  <c r="BC76" i="13"/>
  <c r="BA76" i="13"/>
  <c r="BI75" i="13"/>
  <c r="BG75" i="13"/>
  <c r="BE75" i="13"/>
  <c r="BD75" i="13"/>
  <c r="BD78" i="13" s="1"/>
  <c r="BC75" i="13"/>
  <c r="BH75" i="13" s="1"/>
  <c r="BJ75" i="13" s="1"/>
  <c r="BK75" i="13" s="1"/>
  <c r="BI74" i="13"/>
  <c r="BH74" i="13"/>
  <c r="BJ74" i="13" s="1"/>
  <c r="BK74" i="13" s="1"/>
  <c r="BG74" i="13"/>
  <c r="BE74" i="13"/>
  <c r="BC74" i="13"/>
  <c r="BA74" i="13"/>
  <c r="BI73" i="13"/>
  <c r="BG73" i="13"/>
  <c r="BE73" i="13"/>
  <c r="BD73" i="13"/>
  <c r="BC73" i="13"/>
  <c r="BH73" i="13" s="1"/>
  <c r="BJ73" i="13" s="1"/>
  <c r="BK73" i="13" s="1"/>
  <c r="BA73" i="13"/>
  <c r="BI72" i="13"/>
  <c r="BH72" i="13"/>
  <c r="BJ72" i="13" s="1"/>
  <c r="BK72" i="13" s="1"/>
  <c r="BG72" i="13"/>
  <c r="BE72" i="13"/>
  <c r="BC72" i="13"/>
  <c r="BA72" i="13"/>
  <c r="BS71" i="13"/>
  <c r="BP71" i="13"/>
  <c r="BI71" i="13"/>
  <c r="BF71" i="13" a="1"/>
  <c r="BG89" i="13" s="1"/>
  <c r="BE71" i="13"/>
  <c r="BD71" i="13"/>
  <c r="BD74" i="13" s="1"/>
  <c r="BC71" i="13"/>
  <c r="AZ71" i="13"/>
  <c r="AY71" i="13"/>
  <c r="AX71" i="13"/>
  <c r="AV71" i="13"/>
  <c r="AU71" i="13"/>
  <c r="BI64" i="13"/>
  <c r="BG64" i="13"/>
  <c r="BE64" i="13"/>
  <c r="BD64" i="13"/>
  <c r="BH64" i="13" s="1"/>
  <c r="BJ64" i="13" s="1"/>
  <c r="BK64" i="13" s="1"/>
  <c r="BC64" i="13"/>
  <c r="BA64" i="13"/>
  <c r="BI63" i="13"/>
  <c r="BE63" i="13"/>
  <c r="BD63" i="13"/>
  <c r="BC63" i="13"/>
  <c r="BA63" i="13"/>
  <c r="BI62" i="13"/>
  <c r="BG62" i="13"/>
  <c r="BE62" i="13"/>
  <c r="BC62" i="13"/>
  <c r="BA62" i="13"/>
  <c r="BI61" i="13"/>
  <c r="BH61" i="13"/>
  <c r="BJ61" i="13" s="1"/>
  <c r="BK61" i="13" s="1"/>
  <c r="BG61" i="13"/>
  <c r="BE61" i="13"/>
  <c r="BD61" i="13"/>
  <c r="BD62" i="13" s="1"/>
  <c r="BH62" i="13" s="1"/>
  <c r="BJ62" i="13" s="1"/>
  <c r="BK62" i="13" s="1"/>
  <c r="BC61" i="13"/>
  <c r="BI60" i="13"/>
  <c r="BG60" i="13"/>
  <c r="BE60" i="13"/>
  <c r="BD60" i="13"/>
  <c r="BC60" i="13"/>
  <c r="BH60" i="13" s="1"/>
  <c r="BJ60" i="13" s="1"/>
  <c r="BK60" i="13" s="1"/>
  <c r="BA60" i="13"/>
  <c r="BI59" i="13"/>
  <c r="BE59" i="13"/>
  <c r="BC59" i="13"/>
  <c r="BA59" i="13"/>
  <c r="BI58" i="13"/>
  <c r="BG58" i="13"/>
  <c r="BE58" i="13"/>
  <c r="BD58" i="13"/>
  <c r="BH58" i="13" s="1"/>
  <c r="BJ58" i="13" s="1"/>
  <c r="BK58" i="13" s="1"/>
  <c r="BC58" i="13"/>
  <c r="BA58" i="13"/>
  <c r="BI57" i="13"/>
  <c r="BG57" i="13"/>
  <c r="BH57" i="13" s="1"/>
  <c r="BJ57" i="13" s="1"/>
  <c r="BK57" i="13" s="1"/>
  <c r="BE57" i="13"/>
  <c r="BD57" i="13"/>
  <c r="BD59" i="13" s="1"/>
  <c r="BC57" i="13"/>
  <c r="BI56" i="13"/>
  <c r="BE56" i="13"/>
  <c r="BD56" i="13"/>
  <c r="BC56" i="13"/>
  <c r="BA56" i="13"/>
  <c r="BI55" i="13"/>
  <c r="BG55" i="13"/>
  <c r="BE55" i="13"/>
  <c r="BC55" i="13"/>
  <c r="BA55" i="13"/>
  <c r="BI54" i="13"/>
  <c r="BG54" i="13"/>
  <c r="BE54" i="13"/>
  <c r="BC54" i="13"/>
  <c r="BA54" i="13"/>
  <c r="BI53" i="13"/>
  <c r="BG53" i="13"/>
  <c r="BE53" i="13"/>
  <c r="BH53" i="13" s="1"/>
  <c r="BJ53" i="13" s="1"/>
  <c r="BK53" i="13" s="1"/>
  <c r="BD53" i="13"/>
  <c r="BD55" i="13" s="1"/>
  <c r="BH55" i="13" s="1"/>
  <c r="BJ55" i="13" s="1"/>
  <c r="BK55" i="13" s="1"/>
  <c r="BC53" i="13"/>
  <c r="BI52" i="13"/>
  <c r="BE52" i="13"/>
  <c r="BC52" i="13"/>
  <c r="BA52" i="13"/>
  <c r="BI51" i="13"/>
  <c r="BG51" i="13"/>
  <c r="BE51" i="13"/>
  <c r="BC51" i="13"/>
  <c r="BA51" i="13"/>
  <c r="BI50" i="13"/>
  <c r="BG50" i="13"/>
  <c r="BE50" i="13"/>
  <c r="BC50" i="13"/>
  <c r="BA50" i="13"/>
  <c r="BI49" i="13"/>
  <c r="BG49" i="13"/>
  <c r="BE49" i="13"/>
  <c r="BD49" i="13"/>
  <c r="BD51" i="13" s="1"/>
  <c r="BH51" i="13" s="1"/>
  <c r="BJ51" i="13" s="1"/>
  <c r="BK51" i="13" s="1"/>
  <c r="BC49" i="13"/>
  <c r="BI48" i="13"/>
  <c r="BE48" i="13"/>
  <c r="BC48" i="13"/>
  <c r="BA48" i="13"/>
  <c r="BI47" i="13"/>
  <c r="BG47" i="13"/>
  <c r="BE47" i="13"/>
  <c r="BC47" i="13"/>
  <c r="BA47" i="13"/>
  <c r="BI46" i="13"/>
  <c r="BG46" i="13"/>
  <c r="BE46" i="13"/>
  <c r="BC46" i="13"/>
  <c r="BA46" i="13"/>
  <c r="BI45" i="13"/>
  <c r="BG45" i="13"/>
  <c r="BE45" i="13"/>
  <c r="BD45" i="13"/>
  <c r="BD48" i="13" s="1"/>
  <c r="BC45" i="13"/>
  <c r="BH45" i="13" s="1"/>
  <c r="BJ45" i="13" s="1"/>
  <c r="BK45" i="13" s="1"/>
  <c r="BI44" i="13"/>
  <c r="BG44" i="13"/>
  <c r="BH44" i="13" s="1"/>
  <c r="BJ44" i="13" s="1"/>
  <c r="BK44" i="13" s="1"/>
  <c r="BE44" i="13"/>
  <c r="BC44" i="13"/>
  <c r="BA44" i="13"/>
  <c r="BI43" i="13"/>
  <c r="BG43" i="13"/>
  <c r="BE43" i="13"/>
  <c r="BC43" i="13"/>
  <c r="BH43" i="13" s="1"/>
  <c r="BJ43" i="13" s="1"/>
  <c r="BK43" i="13" s="1"/>
  <c r="BA43" i="13"/>
  <c r="BI42" i="13"/>
  <c r="BG42" i="13"/>
  <c r="BE42" i="13"/>
  <c r="BH42" i="13" s="1"/>
  <c r="BJ42" i="13" s="1"/>
  <c r="BK42" i="13" s="1"/>
  <c r="BC42" i="13"/>
  <c r="BA42" i="13"/>
  <c r="BS41" i="13"/>
  <c r="BP41" i="13"/>
  <c r="BI41" i="13"/>
  <c r="BF41" i="13" a="1"/>
  <c r="BG59" i="13" s="1"/>
  <c r="BE41" i="13"/>
  <c r="BD41" i="13"/>
  <c r="BD44" i="13" s="1"/>
  <c r="BC41" i="13"/>
  <c r="AZ41" i="13"/>
  <c r="AY41" i="13"/>
  <c r="AX41" i="13"/>
  <c r="AV41" i="13"/>
  <c r="AU41" i="13"/>
  <c r="BP11" i="13"/>
  <c r="N191" i="13" a="1"/>
  <c r="N191" i="13" s="1"/>
  <c r="N161" i="13" a="1"/>
  <c r="N161" i="13" s="1"/>
  <c r="N131" i="13" a="1"/>
  <c r="N131" i="13" s="1"/>
  <c r="N101" i="13" a="1"/>
  <c r="N101" i="13" s="1"/>
  <c r="N71" i="13" a="1"/>
  <c r="N71" i="13" s="1"/>
  <c r="N41" i="13" a="1"/>
  <c r="N41" i="13" s="1"/>
  <c r="AX11" i="13"/>
  <c r="BR231" i="13" l="1"/>
  <c r="BU231" i="13" s="1"/>
  <c r="BN231" i="13"/>
  <c r="BQ231" i="13" s="1"/>
  <c r="BL231" i="13"/>
  <c r="BH206" i="13"/>
  <c r="BJ206" i="13" s="1"/>
  <c r="BK206" i="13" s="1"/>
  <c r="BH202" i="13"/>
  <c r="BJ202" i="13" s="1"/>
  <c r="BK202" i="13" s="1"/>
  <c r="BD197" i="13"/>
  <c r="BH197" i="13" s="1"/>
  <c r="BJ197" i="13" s="1"/>
  <c r="BK197" i="13" s="1"/>
  <c r="BH191" i="13"/>
  <c r="BJ191" i="13" s="1"/>
  <c r="BK191" i="13" s="1"/>
  <c r="BD193" i="13"/>
  <c r="BD204" i="13"/>
  <c r="BH204" i="13" s="1"/>
  <c r="BJ204" i="13" s="1"/>
  <c r="BK204" i="13" s="1"/>
  <c r="BD200" i="13"/>
  <c r="BH200" i="13" s="1"/>
  <c r="BJ200" i="13" s="1"/>
  <c r="BK200" i="13" s="1"/>
  <c r="BD196" i="13"/>
  <c r="BH196" i="13" s="1"/>
  <c r="BJ196" i="13" s="1"/>
  <c r="BK196" i="13" s="1"/>
  <c r="BH211" i="13"/>
  <c r="BJ211" i="13" s="1"/>
  <c r="BK211" i="13" s="1"/>
  <c r="BD214" i="13"/>
  <c r="BH214" i="13" s="1"/>
  <c r="BJ214" i="13" s="1"/>
  <c r="BK214" i="13" s="1"/>
  <c r="BD206" i="13"/>
  <c r="BG202" i="13"/>
  <c r="BG213" i="13"/>
  <c r="BH213" i="13" s="1"/>
  <c r="BJ213" i="13" s="1"/>
  <c r="BK213" i="13" s="1"/>
  <c r="BF191" i="13"/>
  <c r="BG191" i="13" s="1"/>
  <c r="BG198" i="13"/>
  <c r="BH198" i="13" s="1"/>
  <c r="BJ198" i="13" s="1"/>
  <c r="BK198" i="13" s="1"/>
  <c r="BD163" i="13"/>
  <c r="BD174" i="13"/>
  <c r="BH174" i="13" s="1"/>
  <c r="BJ174" i="13" s="1"/>
  <c r="BK174" i="13" s="1"/>
  <c r="BD170" i="13"/>
  <c r="BH170" i="13" s="1"/>
  <c r="BJ170" i="13" s="1"/>
  <c r="BK170" i="13" s="1"/>
  <c r="BD180" i="13"/>
  <c r="BH180" i="13" s="1"/>
  <c r="BJ180" i="13" s="1"/>
  <c r="BK180" i="13" s="1"/>
  <c r="BD176" i="13"/>
  <c r="BH176" i="13" s="1"/>
  <c r="BJ176" i="13" s="1"/>
  <c r="BK176" i="13" s="1"/>
  <c r="BD172" i="13"/>
  <c r="BH172" i="13" s="1"/>
  <c r="BJ172" i="13" s="1"/>
  <c r="BK172" i="13" s="1"/>
  <c r="BG176" i="13"/>
  <c r="BH173" i="13"/>
  <c r="BJ173" i="13" s="1"/>
  <c r="BK173" i="13" s="1"/>
  <c r="BG172" i="13"/>
  <c r="BG183" i="13"/>
  <c r="BH183" i="13" s="1"/>
  <c r="BJ183" i="13" s="1"/>
  <c r="BK183" i="13" s="1"/>
  <c r="BF161" i="13"/>
  <c r="BG161" i="13" s="1"/>
  <c r="BG168" i="13"/>
  <c r="BH168" i="13" s="1"/>
  <c r="BJ168" i="13" s="1"/>
  <c r="BK168" i="13" s="1"/>
  <c r="BH149" i="13"/>
  <c r="BJ149" i="13" s="1"/>
  <c r="BK149" i="13" s="1"/>
  <c r="BD154" i="13"/>
  <c r="BH154" i="13" s="1"/>
  <c r="BJ154" i="13" s="1"/>
  <c r="BK154" i="13" s="1"/>
  <c r="BD150" i="13"/>
  <c r="BH150" i="13" s="1"/>
  <c r="BJ150" i="13" s="1"/>
  <c r="BK150" i="13" s="1"/>
  <c r="BD146" i="13"/>
  <c r="BH146" i="13" s="1"/>
  <c r="BJ146" i="13" s="1"/>
  <c r="BK146" i="13" s="1"/>
  <c r="BD142" i="13"/>
  <c r="BH142" i="13" s="1"/>
  <c r="BJ142" i="13" s="1"/>
  <c r="BK142" i="13" s="1"/>
  <c r="BD153" i="13"/>
  <c r="BH153" i="13" s="1"/>
  <c r="BJ153" i="13" s="1"/>
  <c r="BK153" i="13" s="1"/>
  <c r="BG142" i="13"/>
  <c r="BG153" i="13"/>
  <c r="BF131" i="13"/>
  <c r="BG138" i="13"/>
  <c r="BH138" i="13" s="1"/>
  <c r="BJ138" i="13" s="1"/>
  <c r="BK138" i="13" s="1"/>
  <c r="BR101" i="13"/>
  <c r="BU101" i="13" s="1"/>
  <c r="BN101" i="13"/>
  <c r="BQ101" i="13" s="1"/>
  <c r="BD103" i="13"/>
  <c r="BD102" i="13"/>
  <c r="BH117" i="13"/>
  <c r="BJ117" i="13" s="1"/>
  <c r="BK117" i="13" s="1"/>
  <c r="BG112" i="13"/>
  <c r="BH112" i="13" s="1"/>
  <c r="BJ112" i="13" s="1"/>
  <c r="BK112" i="13" s="1"/>
  <c r="BL101" i="13" s="1"/>
  <c r="BH82" i="13"/>
  <c r="BJ82" i="13" s="1"/>
  <c r="BK82" i="13" s="1"/>
  <c r="BH89" i="13"/>
  <c r="BJ89" i="13" s="1"/>
  <c r="BK89" i="13" s="1"/>
  <c r="BD80" i="13"/>
  <c r="BH80" i="13" s="1"/>
  <c r="BJ80" i="13" s="1"/>
  <c r="BK80" i="13" s="1"/>
  <c r="BD76" i="13"/>
  <c r="BH76" i="13" s="1"/>
  <c r="BJ76" i="13" s="1"/>
  <c r="BK76" i="13" s="1"/>
  <c r="BD72" i="13"/>
  <c r="BH91" i="13"/>
  <c r="BJ91" i="13" s="1"/>
  <c r="BK91" i="13" s="1"/>
  <c r="BD94" i="13"/>
  <c r="BH94" i="13" s="1"/>
  <c r="BJ94" i="13" s="1"/>
  <c r="BK94" i="13" s="1"/>
  <c r="BH79" i="13"/>
  <c r="BJ79" i="13" s="1"/>
  <c r="BK79" i="13" s="1"/>
  <c r="BD82" i="13"/>
  <c r="BD93" i="13"/>
  <c r="BH93" i="13" s="1"/>
  <c r="BJ93" i="13" s="1"/>
  <c r="BK93" i="13" s="1"/>
  <c r="BG82" i="13"/>
  <c r="BG93" i="13"/>
  <c r="BF71" i="13"/>
  <c r="BG71" i="13" s="1"/>
  <c r="BG78" i="13"/>
  <c r="BH78" i="13" s="1"/>
  <c r="BJ78" i="13" s="1"/>
  <c r="BK78" i="13" s="1"/>
  <c r="BH59" i="13"/>
  <c r="BJ59" i="13" s="1"/>
  <c r="BK59" i="13" s="1"/>
  <c r="BD47" i="13"/>
  <c r="BH47" i="13" s="1"/>
  <c r="BJ47" i="13" s="1"/>
  <c r="BK47" i="13" s="1"/>
  <c r="BD43" i="13"/>
  <c r="BD54" i="13"/>
  <c r="BH54" i="13" s="1"/>
  <c r="BJ54" i="13" s="1"/>
  <c r="BK54" i="13" s="1"/>
  <c r="BD50" i="13"/>
  <c r="BH50" i="13" s="1"/>
  <c r="BJ50" i="13" s="1"/>
  <c r="BK50" i="13" s="1"/>
  <c r="BD46" i="13"/>
  <c r="BH46" i="13" s="1"/>
  <c r="BJ46" i="13" s="1"/>
  <c r="BK46" i="13" s="1"/>
  <c r="BD42" i="13"/>
  <c r="BH49" i="13"/>
  <c r="BJ49" i="13" s="1"/>
  <c r="BK49" i="13" s="1"/>
  <c r="BD52" i="13"/>
  <c r="BG56" i="13"/>
  <c r="BH56" i="13" s="1"/>
  <c r="BJ56" i="13" s="1"/>
  <c r="BK56" i="13" s="1"/>
  <c r="BG52" i="13"/>
  <c r="BH52" i="13" s="1"/>
  <c r="BJ52" i="13" s="1"/>
  <c r="BK52" i="13" s="1"/>
  <c r="BG63" i="13"/>
  <c r="BH63" i="13" s="1"/>
  <c r="BJ63" i="13" s="1"/>
  <c r="BK63" i="13" s="1"/>
  <c r="BF41" i="13"/>
  <c r="BG41" i="13" s="1"/>
  <c r="BG48" i="13"/>
  <c r="BH48" i="13" s="1"/>
  <c r="BJ48" i="13" s="1"/>
  <c r="BK48" i="13" s="1"/>
  <c r="BT231" i="13" l="1"/>
  <c r="BM231" i="13"/>
  <c r="BR191" i="13"/>
  <c r="BU191" i="13" s="1"/>
  <c r="BN191" i="13"/>
  <c r="BQ191" i="13" s="1"/>
  <c r="BL191" i="13"/>
  <c r="BH161" i="13"/>
  <c r="BJ161" i="13" s="1"/>
  <c r="BK161" i="13" s="1"/>
  <c r="BG131" i="13"/>
  <c r="BH131" i="13"/>
  <c r="BJ131" i="13" s="1"/>
  <c r="BK131" i="13" s="1"/>
  <c r="BM101" i="13"/>
  <c r="BT101" i="13"/>
  <c r="BH71" i="13"/>
  <c r="BJ71" i="13" s="1"/>
  <c r="BK71" i="13" s="1"/>
  <c r="BH41" i="13"/>
  <c r="BJ41" i="13" s="1"/>
  <c r="BK41" i="13" s="1"/>
  <c r="BM191" i="13" l="1"/>
  <c r="BT191" i="13"/>
  <c r="BR161" i="13"/>
  <c r="BU161" i="13" s="1"/>
  <c r="BN161" i="13"/>
  <c r="BQ161" i="13" s="1"/>
  <c r="BL161" i="13"/>
  <c r="BR131" i="13"/>
  <c r="BU131" i="13" s="1"/>
  <c r="BN131" i="13"/>
  <c r="BQ131" i="13" s="1"/>
  <c r="BL131" i="13"/>
  <c r="BR71" i="13"/>
  <c r="BU71" i="13" s="1"/>
  <c r="BN71" i="13"/>
  <c r="BQ71" i="13" s="1"/>
  <c r="BL71" i="13"/>
  <c r="BR41" i="13"/>
  <c r="BU41" i="13" s="1"/>
  <c r="BN41" i="13"/>
  <c r="BQ41" i="13" s="1"/>
  <c r="BL41" i="13"/>
  <c r="BM161" i="13" l="1"/>
  <c r="BT161" i="13"/>
  <c r="BT131" i="13"/>
  <c r="BM131" i="13"/>
  <c r="BM71" i="13"/>
  <c r="BT71" i="13"/>
  <c r="BM41" i="13"/>
  <c r="BT41" i="13"/>
  <c r="BD34" i="13" l="1"/>
  <c r="BH34" i="13" s="1"/>
  <c r="BD33" i="13"/>
  <c r="BH33" i="13" s="1"/>
  <c r="BD32" i="13"/>
  <c r="BD30" i="13"/>
  <c r="BD29" i="13"/>
  <c r="BD28" i="13"/>
  <c r="BD26" i="13"/>
  <c r="BH26" i="13" s="1"/>
  <c r="BD25" i="13"/>
  <c r="BD24" i="13"/>
  <c r="BD22" i="13"/>
  <c r="BD21" i="13"/>
  <c r="BD20" i="13"/>
  <c r="BD18" i="13"/>
  <c r="BD17" i="13"/>
  <c r="BD16" i="13"/>
  <c r="BD14" i="13"/>
  <c r="BD13" i="13"/>
  <c r="BD12" i="13"/>
  <c r="BH15" i="13"/>
  <c r="BH13" i="13"/>
  <c r="BH14" i="13"/>
  <c r="BH12" i="13"/>
  <c r="BH16" i="13"/>
  <c r="BH17" i="13"/>
  <c r="BH18" i="13"/>
  <c r="BH19" i="13"/>
  <c r="BH20" i="13"/>
  <c r="BH21" i="13"/>
  <c r="BH22" i="13"/>
  <c r="BH23" i="13"/>
  <c r="BH24" i="13"/>
  <c r="BH25" i="13"/>
  <c r="BH27" i="13"/>
  <c r="BH28" i="13"/>
  <c r="BH29" i="13"/>
  <c r="BH30" i="13"/>
  <c r="BH31" i="13"/>
  <c r="BH32" i="13"/>
  <c r="BH11" i="13"/>
  <c r="BG12" i="13"/>
  <c r="BG13" i="13"/>
  <c r="BG14" i="13"/>
  <c r="BG15" i="13"/>
  <c r="BG16" i="13"/>
  <c r="BG17" i="13"/>
  <c r="BG18" i="13"/>
  <c r="BG19" i="13"/>
  <c r="BG20" i="13"/>
  <c r="BG21" i="13"/>
  <c r="BG22" i="13"/>
  <c r="BG23" i="13"/>
  <c r="BG24" i="13"/>
  <c r="BG25" i="13"/>
  <c r="BG26" i="13"/>
  <c r="BG27" i="13"/>
  <c r="BG28" i="13"/>
  <c r="BG29" i="13"/>
  <c r="BG30" i="13"/>
  <c r="BG31" i="13"/>
  <c r="BG32" i="13"/>
  <c r="BG33" i="13"/>
  <c r="BG34" i="13"/>
  <c r="BG11" i="13"/>
  <c r="BC12" i="13"/>
  <c r="BC13" i="13"/>
  <c r="BC14" i="13"/>
  <c r="BC15" i="13"/>
  <c r="BC16" i="13"/>
  <c r="BC17" i="13"/>
  <c r="BC18" i="13"/>
  <c r="BC19" i="13"/>
  <c r="BC20" i="13"/>
  <c r="BC21" i="13"/>
  <c r="BC22" i="13"/>
  <c r="BC23" i="13"/>
  <c r="BC24" i="13"/>
  <c r="BC25" i="13"/>
  <c r="BC26" i="13"/>
  <c r="BC27" i="13"/>
  <c r="BC28" i="13"/>
  <c r="BC29" i="13"/>
  <c r="BC30" i="13"/>
  <c r="BC31" i="13"/>
  <c r="BC32" i="13"/>
  <c r="BC33" i="13"/>
  <c r="BC34" i="13"/>
  <c r="BC11" i="13"/>
  <c r="BA34" i="13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S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CA7" i="13"/>
  <c r="AY11" i="13" s="1"/>
  <c r="AF278" i="13"/>
  <c r="AG278" i="13" s="1"/>
  <c r="AA278" i="13"/>
  <c r="Y278" i="13"/>
  <c r="T278" i="13"/>
  <c r="R278" i="13"/>
  <c r="AD278" i="13" s="1"/>
  <c r="P278" i="13"/>
  <c r="AF277" i="13"/>
  <c r="AG277" i="13" s="1"/>
  <c r="AA277" i="13"/>
  <c r="Y277" i="13"/>
  <c r="T277" i="13"/>
  <c r="R277" i="13"/>
  <c r="AD277" i="13" s="1"/>
  <c r="P277" i="13"/>
  <c r="AF276" i="13"/>
  <c r="AG276" i="13" s="1"/>
  <c r="AA276" i="13"/>
  <c r="Y276" i="13"/>
  <c r="T276" i="13"/>
  <c r="R276" i="13"/>
  <c r="AD276" i="13" s="1"/>
  <c r="P276" i="13"/>
  <c r="AF275" i="13"/>
  <c r="AG275" i="13" s="1"/>
  <c r="AA275" i="13"/>
  <c r="Y275" i="13"/>
  <c r="T275" i="13"/>
  <c r="R275" i="13"/>
  <c r="AD275" i="13" s="1"/>
  <c r="P275" i="13"/>
  <c r="AF274" i="13"/>
  <c r="AG274" i="13" s="1"/>
  <c r="AA274" i="13"/>
  <c r="Y274" i="13"/>
  <c r="T274" i="13"/>
  <c r="R274" i="13"/>
  <c r="AD274" i="13" s="1"/>
  <c r="P274" i="13"/>
  <c r="AF273" i="13"/>
  <c r="AG273" i="13" s="1"/>
  <c r="AA273" i="13"/>
  <c r="Y273" i="13"/>
  <c r="T273" i="13"/>
  <c r="R273" i="13"/>
  <c r="AD273" i="13" s="1"/>
  <c r="P273" i="13"/>
  <c r="AF272" i="13"/>
  <c r="AG272" i="13" s="1"/>
  <c r="AA272" i="13"/>
  <c r="Y272" i="13"/>
  <c r="T272" i="13"/>
  <c r="R272" i="13"/>
  <c r="AD272" i="13" s="1"/>
  <c r="P272" i="13"/>
  <c r="AF271" i="13"/>
  <c r="AG271" i="13" s="1"/>
  <c r="AA271" i="13"/>
  <c r="Y271" i="13"/>
  <c r="T271" i="13"/>
  <c r="R271" i="13"/>
  <c r="AD271" i="13" s="1"/>
  <c r="P271" i="13"/>
  <c r="AF270" i="13"/>
  <c r="AG270" i="13" s="1"/>
  <c r="AA270" i="13"/>
  <c r="Y270" i="13"/>
  <c r="T270" i="13"/>
  <c r="R270" i="13"/>
  <c r="AD270" i="13" s="1"/>
  <c r="P270" i="13"/>
  <c r="AF269" i="13"/>
  <c r="AG269" i="13" s="1"/>
  <c r="AA269" i="13"/>
  <c r="Y269" i="13"/>
  <c r="T269" i="13"/>
  <c r="R269" i="13"/>
  <c r="AD269" i="13" s="1"/>
  <c r="P269" i="13"/>
  <c r="AF268" i="13"/>
  <c r="AG268" i="13" s="1"/>
  <c r="AA268" i="13"/>
  <c r="Y268" i="13"/>
  <c r="T268" i="13"/>
  <c r="R268" i="13"/>
  <c r="AD268" i="13" s="1"/>
  <c r="P268" i="13"/>
  <c r="AF267" i="13"/>
  <c r="AG267" i="13" s="1"/>
  <c r="AA267" i="13"/>
  <c r="Y267" i="13"/>
  <c r="T267" i="13"/>
  <c r="R267" i="13"/>
  <c r="AD267" i="13" s="1"/>
  <c r="P267" i="13"/>
  <c r="AF266" i="13"/>
  <c r="AG266" i="13" s="1"/>
  <c r="AA266" i="13"/>
  <c r="Y266" i="13"/>
  <c r="T266" i="13"/>
  <c r="R266" i="13"/>
  <c r="AD266" i="13" s="1"/>
  <c r="P266" i="13"/>
  <c r="AF265" i="13"/>
  <c r="AG265" i="13" s="1"/>
  <c r="AA265" i="13"/>
  <c r="Y265" i="13"/>
  <c r="T265" i="13"/>
  <c r="R265" i="13"/>
  <c r="AD265" i="13" s="1"/>
  <c r="P265" i="13"/>
  <c r="AF264" i="13"/>
  <c r="AG264" i="13" s="1"/>
  <c r="AA264" i="13"/>
  <c r="Y264" i="13"/>
  <c r="T264" i="13"/>
  <c r="R264" i="13"/>
  <c r="AD264" i="13" s="1"/>
  <c r="P264" i="13"/>
  <c r="AF263" i="13"/>
  <c r="AG263" i="13" s="1"/>
  <c r="AA263" i="13"/>
  <c r="Y263" i="13"/>
  <c r="T263" i="13"/>
  <c r="R263" i="13"/>
  <c r="AD263" i="13" s="1"/>
  <c r="P263" i="13"/>
  <c r="AF262" i="13"/>
  <c r="AG262" i="13" s="1"/>
  <c r="AA262" i="13"/>
  <c r="Y262" i="13"/>
  <c r="T262" i="13"/>
  <c r="R262" i="13"/>
  <c r="AD262" i="13" s="1"/>
  <c r="P262" i="13"/>
  <c r="AF261" i="13"/>
  <c r="AG261" i="13" s="1"/>
  <c r="AA261" i="13"/>
  <c r="Y261" i="13"/>
  <c r="T261" i="13"/>
  <c r="R261" i="13"/>
  <c r="AD261" i="13" s="1"/>
  <c r="P261" i="13"/>
  <c r="AF260" i="13"/>
  <c r="AG260" i="13" s="1"/>
  <c r="AA260" i="13"/>
  <c r="Y260" i="13"/>
  <c r="T260" i="13"/>
  <c r="R260" i="13"/>
  <c r="AD260" i="13" s="1"/>
  <c r="P260" i="13"/>
  <c r="AF259" i="13"/>
  <c r="AG259" i="13" s="1"/>
  <c r="AA259" i="13"/>
  <c r="Y259" i="13"/>
  <c r="T259" i="13"/>
  <c r="R259" i="13"/>
  <c r="AD259" i="13" s="1"/>
  <c r="P259" i="13"/>
  <c r="AF258" i="13"/>
  <c r="AG258" i="13" s="1"/>
  <c r="AA258" i="13"/>
  <c r="Y258" i="13"/>
  <c r="R258" i="13"/>
  <c r="AD258" i="13" s="1"/>
  <c r="AH258" i="13" s="1"/>
  <c r="P258" i="13"/>
  <c r="AF257" i="13"/>
  <c r="AG257" i="13" s="1"/>
  <c r="AA257" i="13"/>
  <c r="Y257" i="13"/>
  <c r="R257" i="13"/>
  <c r="AD257" i="13" s="1"/>
  <c r="AH257" i="13" s="1"/>
  <c r="P257" i="13"/>
  <c r="AF256" i="13"/>
  <c r="AG256" i="13" s="1"/>
  <c r="AA256" i="13"/>
  <c r="Y256" i="13"/>
  <c r="R256" i="13"/>
  <c r="AD256" i="13" s="1"/>
  <c r="AH256" i="13" s="1"/>
  <c r="P256" i="13"/>
  <c r="AF255" i="13"/>
  <c r="AG255" i="13" s="1"/>
  <c r="AA255" i="13"/>
  <c r="Y255" i="13"/>
  <c r="R255" i="13"/>
  <c r="AD255" i="13" s="1"/>
  <c r="AH255" i="13" s="1"/>
  <c r="P255" i="13"/>
  <c r="AF254" i="13"/>
  <c r="AG254" i="13" s="1"/>
  <c r="AA254" i="13"/>
  <c r="Y254" i="13"/>
  <c r="T254" i="13"/>
  <c r="R254" i="13"/>
  <c r="AD254" i="13" s="1"/>
  <c r="P254" i="13"/>
  <c r="AF253" i="13"/>
  <c r="AG253" i="13" s="1"/>
  <c r="AA253" i="13"/>
  <c r="Y253" i="13"/>
  <c r="T253" i="13"/>
  <c r="R253" i="13"/>
  <c r="AD253" i="13" s="1"/>
  <c r="P253" i="13"/>
  <c r="AF252" i="13"/>
  <c r="AG252" i="13" s="1"/>
  <c r="AA252" i="13"/>
  <c r="Y252" i="13"/>
  <c r="T252" i="13"/>
  <c r="R252" i="13"/>
  <c r="AD252" i="13" s="1"/>
  <c r="P252" i="13"/>
  <c r="AF251" i="13"/>
  <c r="AG251" i="13" s="1"/>
  <c r="AA251" i="13"/>
  <c r="Y251" i="13"/>
  <c r="T251" i="13"/>
  <c r="R251" i="13"/>
  <c r="AD251" i="13" s="1"/>
  <c r="P251" i="13"/>
  <c r="AG250" i="13"/>
  <c r="AA250" i="13"/>
  <c r="Y250" i="13"/>
  <c r="T250" i="13"/>
  <c r="R250" i="13"/>
  <c r="AD250" i="13" s="1"/>
  <c r="P250" i="13"/>
  <c r="AG249" i="13"/>
  <c r="AA249" i="13"/>
  <c r="Y249" i="13"/>
  <c r="T249" i="13"/>
  <c r="R249" i="13"/>
  <c r="AD249" i="13" s="1"/>
  <c r="P249" i="13"/>
  <c r="AG248" i="13"/>
  <c r="AA248" i="13"/>
  <c r="Y248" i="13"/>
  <c r="T248" i="13"/>
  <c r="R248" i="13"/>
  <c r="AD248" i="13" s="1"/>
  <c r="P248" i="13"/>
  <c r="AG247" i="13"/>
  <c r="AA247" i="13"/>
  <c r="Y247" i="13"/>
  <c r="T247" i="13"/>
  <c r="R247" i="13"/>
  <c r="AD247" i="13" s="1"/>
  <c r="P247" i="13"/>
  <c r="AG246" i="13"/>
  <c r="AA246" i="13"/>
  <c r="Y246" i="13"/>
  <c r="T246" i="13"/>
  <c r="R246" i="13"/>
  <c r="AD246" i="13" s="1"/>
  <c r="P246" i="13"/>
  <c r="AG245" i="13"/>
  <c r="AA245" i="13"/>
  <c r="Y245" i="13"/>
  <c r="T245" i="13"/>
  <c r="R245" i="13"/>
  <c r="AD245" i="13" s="1"/>
  <c r="P245" i="13"/>
  <c r="AG244" i="13"/>
  <c r="AA244" i="13"/>
  <c r="Y244" i="13"/>
  <c r="T244" i="13"/>
  <c r="R244" i="13"/>
  <c r="AD244" i="13" s="1"/>
  <c r="P244" i="13"/>
  <c r="AG243" i="13"/>
  <c r="AA243" i="13"/>
  <c r="Y243" i="13"/>
  <c r="T243" i="13"/>
  <c r="R243" i="13"/>
  <c r="AD243" i="13" s="1"/>
  <c r="P243" i="13"/>
  <c r="AF242" i="13"/>
  <c r="AG242" i="13" s="1"/>
  <c r="AD242" i="13"/>
  <c r="AA242" i="13"/>
  <c r="Y242" i="13"/>
  <c r="T242" i="13"/>
  <c r="P242" i="13"/>
  <c r="AF241" i="13"/>
  <c r="AG241" i="13" s="1"/>
  <c r="AD241" i="13"/>
  <c r="AA241" i="13"/>
  <c r="Y241" i="13"/>
  <c r="T241" i="13"/>
  <c r="P241" i="13"/>
  <c r="AF240" i="13"/>
  <c r="AG240" i="13" s="1"/>
  <c r="AD240" i="13"/>
  <c r="AA240" i="13"/>
  <c r="Y240" i="13"/>
  <c r="T240" i="13"/>
  <c r="P240" i="13"/>
  <c r="AF239" i="13"/>
  <c r="AG239" i="13" s="1"/>
  <c r="AD239" i="13"/>
  <c r="AA239" i="13"/>
  <c r="Y239" i="13"/>
  <c r="T239" i="13"/>
  <c r="P239" i="13"/>
  <c r="AF238" i="13"/>
  <c r="AG238" i="13" s="1"/>
  <c r="AD238" i="13"/>
  <c r="AA238" i="13"/>
  <c r="Y238" i="13"/>
  <c r="T238" i="13"/>
  <c r="P238" i="13"/>
  <c r="AF237" i="13"/>
  <c r="AG237" i="13" s="1"/>
  <c r="AD237" i="13"/>
  <c r="AA237" i="13"/>
  <c r="Y237" i="13"/>
  <c r="T237" i="13"/>
  <c r="P237" i="13"/>
  <c r="AF236" i="13"/>
  <c r="AG236" i="13" s="1"/>
  <c r="AD236" i="13"/>
  <c r="AA236" i="13"/>
  <c r="Y236" i="13"/>
  <c r="T236" i="13"/>
  <c r="P236" i="13"/>
  <c r="AF235" i="13"/>
  <c r="AG235" i="13" s="1"/>
  <c r="AD235" i="13"/>
  <c r="AA235" i="13"/>
  <c r="Y235" i="13"/>
  <c r="T235" i="13"/>
  <c r="P235" i="13"/>
  <c r="AF234" i="13"/>
  <c r="AG234" i="13" s="1"/>
  <c r="AD234" i="13"/>
  <c r="AA234" i="13"/>
  <c r="Y234" i="13"/>
  <c r="T234" i="13"/>
  <c r="P234" i="13"/>
  <c r="AF233" i="13"/>
  <c r="AG233" i="13" s="1"/>
  <c r="AD233" i="13"/>
  <c r="AA233" i="13"/>
  <c r="Y233" i="13"/>
  <c r="T233" i="13"/>
  <c r="P233" i="13"/>
  <c r="AF232" i="13"/>
  <c r="AG232" i="13" s="1"/>
  <c r="AD232" i="13"/>
  <c r="AA232" i="13"/>
  <c r="Y232" i="13"/>
  <c r="T232" i="13"/>
  <c r="P232" i="13"/>
  <c r="AF231" i="13"/>
  <c r="AG231" i="13" s="1"/>
  <c r="AA231" i="13"/>
  <c r="Y231" i="13"/>
  <c r="T231" i="13"/>
  <c r="P231" i="13"/>
  <c r="AA214" i="13"/>
  <c r="Y214" i="13"/>
  <c r="AA213" i="13"/>
  <c r="Y213" i="13"/>
  <c r="AA212" i="13"/>
  <c r="Y212" i="13"/>
  <c r="AA211" i="13"/>
  <c r="Y211" i="13"/>
  <c r="AA210" i="13"/>
  <c r="Y210" i="13"/>
  <c r="AA209" i="13"/>
  <c r="Y209" i="13"/>
  <c r="AA208" i="13"/>
  <c r="Y208" i="13"/>
  <c r="AA207" i="13"/>
  <c r="Y207" i="13"/>
  <c r="AA206" i="13"/>
  <c r="Y206" i="13"/>
  <c r="AA205" i="13"/>
  <c r="Y205" i="13"/>
  <c r="AA204" i="13"/>
  <c r="Y204" i="13"/>
  <c r="AA203" i="13"/>
  <c r="Y203" i="13"/>
  <c r="AA202" i="13"/>
  <c r="Y202" i="13"/>
  <c r="AA201" i="13"/>
  <c r="Y201" i="13"/>
  <c r="AA200" i="13"/>
  <c r="Y200" i="13"/>
  <c r="AA199" i="13"/>
  <c r="Y199" i="13"/>
  <c r="AA198" i="13"/>
  <c r="Y198" i="13"/>
  <c r="AA197" i="13"/>
  <c r="Y197" i="13"/>
  <c r="AA196" i="13"/>
  <c r="Y196" i="13"/>
  <c r="AA195" i="13"/>
  <c r="Y195" i="13"/>
  <c r="AA194" i="13"/>
  <c r="Y194" i="13"/>
  <c r="AA193" i="13"/>
  <c r="Y193" i="13"/>
  <c r="AA192" i="13"/>
  <c r="Y192" i="13"/>
  <c r="AF191" i="13" a="1"/>
  <c r="AG214" i="13" s="1"/>
  <c r="AA191" i="13"/>
  <c r="Y191" i="13"/>
  <c r="T191" i="13" a="1"/>
  <c r="T191" i="13" s="1"/>
  <c r="R191" i="13" a="1"/>
  <c r="AD214" i="13" s="1"/>
  <c r="P191" i="13" a="1"/>
  <c r="P191" i="13" s="1"/>
  <c r="AA184" i="13"/>
  <c r="Y184" i="13"/>
  <c r="AA183" i="13"/>
  <c r="Y183" i="13"/>
  <c r="AA182" i="13"/>
  <c r="Y182" i="13"/>
  <c r="AA181" i="13"/>
  <c r="Y181" i="13"/>
  <c r="AA180" i="13"/>
  <c r="Y180" i="13"/>
  <c r="AA179" i="13"/>
  <c r="Y179" i="13"/>
  <c r="AA178" i="13"/>
  <c r="Y178" i="13"/>
  <c r="AA177" i="13"/>
  <c r="Y177" i="13"/>
  <c r="AA176" i="13"/>
  <c r="Y176" i="13"/>
  <c r="AA175" i="13"/>
  <c r="Y175" i="13"/>
  <c r="AA174" i="13"/>
  <c r="Y174" i="13"/>
  <c r="AA173" i="13"/>
  <c r="Y173" i="13"/>
  <c r="AA172" i="13"/>
  <c r="Y172" i="13"/>
  <c r="AA171" i="13"/>
  <c r="Y171" i="13"/>
  <c r="AA170" i="13"/>
  <c r="Y170" i="13"/>
  <c r="AA169" i="13"/>
  <c r="Y169" i="13"/>
  <c r="AA168" i="13"/>
  <c r="Y168" i="13"/>
  <c r="AA167" i="13"/>
  <c r="Y167" i="13"/>
  <c r="AA166" i="13"/>
  <c r="Y166" i="13"/>
  <c r="AA165" i="13"/>
  <c r="Y165" i="13"/>
  <c r="AA164" i="13"/>
  <c r="Y164" i="13"/>
  <c r="AA163" i="13"/>
  <c r="Y163" i="13"/>
  <c r="AA162" i="13"/>
  <c r="Y162" i="13"/>
  <c r="AF161" i="13" a="1"/>
  <c r="AG165" i="13" s="1"/>
  <c r="AA161" i="13"/>
  <c r="Y161" i="13"/>
  <c r="T161" i="13" a="1"/>
  <c r="T161" i="13" s="1"/>
  <c r="R161" i="13" a="1"/>
  <c r="AD167" i="13" s="1"/>
  <c r="P161" i="13" a="1"/>
  <c r="P161" i="13" s="1"/>
  <c r="AA154" i="13"/>
  <c r="Y154" i="13"/>
  <c r="AA153" i="13"/>
  <c r="Y153" i="13"/>
  <c r="AA152" i="13"/>
  <c r="Y152" i="13"/>
  <c r="AA151" i="13"/>
  <c r="Y151" i="13"/>
  <c r="AA150" i="13"/>
  <c r="Y150" i="13"/>
  <c r="AA149" i="13"/>
  <c r="Y149" i="13"/>
  <c r="AA148" i="13"/>
  <c r="Y148" i="13"/>
  <c r="AA147" i="13"/>
  <c r="Y147" i="13"/>
  <c r="AA146" i="13"/>
  <c r="Y146" i="13"/>
  <c r="AA145" i="13"/>
  <c r="Y145" i="13"/>
  <c r="AA144" i="13"/>
  <c r="Y144" i="13"/>
  <c r="AA143" i="13"/>
  <c r="Y143" i="13"/>
  <c r="AA142" i="13"/>
  <c r="Y142" i="13"/>
  <c r="AA141" i="13"/>
  <c r="Y141" i="13"/>
  <c r="AA140" i="13"/>
  <c r="Y140" i="13"/>
  <c r="AA139" i="13"/>
  <c r="Y139" i="13"/>
  <c r="AA138" i="13"/>
  <c r="Y138" i="13"/>
  <c r="AA137" i="13"/>
  <c r="Y137" i="13"/>
  <c r="AA136" i="13"/>
  <c r="Y136" i="13"/>
  <c r="AA135" i="13"/>
  <c r="Y135" i="13"/>
  <c r="AA134" i="13"/>
  <c r="Y134" i="13"/>
  <c r="AA133" i="13"/>
  <c r="Y133" i="13"/>
  <c r="AA132" i="13"/>
  <c r="Y132" i="13"/>
  <c r="AF131" i="13" a="1"/>
  <c r="AA131" i="13"/>
  <c r="Y131" i="13"/>
  <c r="T131" i="13" a="1"/>
  <c r="T131" i="13" s="1"/>
  <c r="R131" i="13" a="1"/>
  <c r="P131" i="13" a="1"/>
  <c r="P131" i="13" s="1"/>
  <c r="AA124" i="13"/>
  <c r="Y124" i="13"/>
  <c r="AA123" i="13"/>
  <c r="Y123" i="13"/>
  <c r="AA122" i="13"/>
  <c r="Y122" i="13"/>
  <c r="AA121" i="13"/>
  <c r="Y121" i="13"/>
  <c r="AA120" i="13"/>
  <c r="Y120" i="13"/>
  <c r="AA119" i="13"/>
  <c r="Y119" i="13"/>
  <c r="AA118" i="13"/>
  <c r="Y118" i="13"/>
  <c r="AA117" i="13"/>
  <c r="Y117" i="13"/>
  <c r="AA116" i="13"/>
  <c r="Y116" i="13"/>
  <c r="AA115" i="13"/>
  <c r="Y115" i="13"/>
  <c r="AA114" i="13"/>
  <c r="Y114" i="13"/>
  <c r="AA113" i="13"/>
  <c r="Y113" i="13"/>
  <c r="AA112" i="13"/>
  <c r="Y112" i="13"/>
  <c r="AA111" i="13"/>
  <c r="Y111" i="13"/>
  <c r="AA110" i="13"/>
  <c r="Y110" i="13"/>
  <c r="AA109" i="13"/>
  <c r="Y109" i="13"/>
  <c r="AA108" i="13"/>
  <c r="Y108" i="13"/>
  <c r="AA107" i="13"/>
  <c r="Y107" i="13"/>
  <c r="AA106" i="13"/>
  <c r="Y106" i="13"/>
  <c r="AA105" i="13"/>
  <c r="Y105" i="13"/>
  <c r="AA104" i="13"/>
  <c r="Y104" i="13"/>
  <c r="AA103" i="13"/>
  <c r="Y103" i="13"/>
  <c r="AA102" i="13"/>
  <c r="Y102" i="13"/>
  <c r="AF101" i="13" a="1"/>
  <c r="AG109" i="13" s="1"/>
  <c r="AA101" i="13"/>
  <c r="Y101" i="13"/>
  <c r="T101" i="13" a="1"/>
  <c r="T101" i="13" s="1"/>
  <c r="R101" i="13" a="1"/>
  <c r="P101" i="13" a="1"/>
  <c r="P101" i="13" s="1"/>
  <c r="AA94" i="13"/>
  <c r="Y94" i="13"/>
  <c r="AA93" i="13"/>
  <c r="Y93" i="13"/>
  <c r="AA92" i="13"/>
  <c r="Y92" i="13"/>
  <c r="AA91" i="13"/>
  <c r="Y91" i="13"/>
  <c r="AA90" i="13"/>
  <c r="Y90" i="13"/>
  <c r="AA89" i="13"/>
  <c r="Y89" i="13"/>
  <c r="AA88" i="13"/>
  <c r="Y88" i="13"/>
  <c r="AA87" i="13"/>
  <c r="Y87" i="13"/>
  <c r="AA86" i="13"/>
  <c r="Y86" i="13"/>
  <c r="AA85" i="13"/>
  <c r="Y85" i="13"/>
  <c r="AA84" i="13"/>
  <c r="Y84" i="13"/>
  <c r="AA83" i="13"/>
  <c r="Y83" i="13"/>
  <c r="AA82" i="13"/>
  <c r="Y82" i="13"/>
  <c r="AA81" i="13"/>
  <c r="Y81" i="13"/>
  <c r="AA80" i="13"/>
  <c r="Y80" i="13"/>
  <c r="AA79" i="13"/>
  <c r="Y79" i="13"/>
  <c r="AA78" i="13"/>
  <c r="Y78" i="13"/>
  <c r="AA77" i="13"/>
  <c r="Y77" i="13"/>
  <c r="AA76" i="13"/>
  <c r="Y76" i="13"/>
  <c r="AA75" i="13"/>
  <c r="Y75" i="13"/>
  <c r="AA74" i="13"/>
  <c r="Y74" i="13"/>
  <c r="AA73" i="13"/>
  <c r="Y73" i="13"/>
  <c r="AA72" i="13"/>
  <c r="Y72" i="13"/>
  <c r="AF71" i="13" a="1"/>
  <c r="AA71" i="13"/>
  <c r="Y71" i="13"/>
  <c r="T71" i="13" a="1"/>
  <c r="T71" i="13" s="1"/>
  <c r="R71" i="13" a="1"/>
  <c r="AD74" i="13" s="1"/>
  <c r="P71" i="13" a="1"/>
  <c r="P71" i="13" s="1"/>
  <c r="AA64" i="13"/>
  <c r="Y64" i="13"/>
  <c r="AA63" i="13"/>
  <c r="Y63" i="13"/>
  <c r="AA62" i="13"/>
  <c r="Y62" i="13"/>
  <c r="AA61" i="13"/>
  <c r="Y61" i="13"/>
  <c r="AA60" i="13"/>
  <c r="Y60" i="13"/>
  <c r="AA59" i="13"/>
  <c r="Y59" i="13"/>
  <c r="AA58" i="13"/>
  <c r="Y58" i="13"/>
  <c r="AA57" i="13"/>
  <c r="Y57" i="13"/>
  <c r="AA56" i="13"/>
  <c r="Y56" i="13"/>
  <c r="AA55" i="13"/>
  <c r="Y55" i="13"/>
  <c r="AA54" i="13"/>
  <c r="Y54" i="13"/>
  <c r="AA53" i="13"/>
  <c r="Y53" i="13"/>
  <c r="AA52" i="13"/>
  <c r="Y52" i="13"/>
  <c r="AA51" i="13"/>
  <c r="Y51" i="13"/>
  <c r="AA50" i="13"/>
  <c r="Y50" i="13"/>
  <c r="AA49" i="13"/>
  <c r="Y49" i="13"/>
  <c r="AA48" i="13"/>
  <c r="Y48" i="13"/>
  <c r="AA47" i="13"/>
  <c r="Y47" i="13"/>
  <c r="AA46" i="13"/>
  <c r="Y46" i="13"/>
  <c r="AA45" i="13"/>
  <c r="Y45" i="13"/>
  <c r="AA44" i="13"/>
  <c r="Y44" i="13"/>
  <c r="AA43" i="13"/>
  <c r="Y43" i="13"/>
  <c r="AA42" i="13"/>
  <c r="Y42" i="13"/>
  <c r="AF41" i="13" a="1"/>
  <c r="AG60" i="13" s="1"/>
  <c r="AA41" i="13"/>
  <c r="Y41" i="13"/>
  <c r="T41" i="13" a="1"/>
  <c r="T41" i="13" s="1"/>
  <c r="R41" i="13" a="1"/>
  <c r="AD60" i="13" s="1"/>
  <c r="P41" i="13" a="1"/>
  <c r="P41" i="13" s="1"/>
  <c r="AA34" i="13"/>
  <c r="Y34" i="13"/>
  <c r="AA33" i="13"/>
  <c r="Y33" i="13"/>
  <c r="AA32" i="13"/>
  <c r="Y32" i="13"/>
  <c r="AA31" i="13"/>
  <c r="Y31" i="13"/>
  <c r="AA30" i="13"/>
  <c r="Y30" i="13"/>
  <c r="AA29" i="13"/>
  <c r="Y29" i="13"/>
  <c r="AA28" i="13"/>
  <c r="Y28" i="13"/>
  <c r="AA27" i="13"/>
  <c r="Y27" i="13"/>
  <c r="AA26" i="13"/>
  <c r="Y26" i="13"/>
  <c r="AA25" i="13"/>
  <c r="Y25" i="13"/>
  <c r="AA24" i="13"/>
  <c r="Y24" i="13"/>
  <c r="AA23" i="13"/>
  <c r="Y23" i="13"/>
  <c r="AA22" i="13"/>
  <c r="Y22" i="13"/>
  <c r="AA21" i="13"/>
  <c r="Y21" i="13"/>
  <c r="AA20" i="13"/>
  <c r="Y20" i="13"/>
  <c r="AA19" i="13"/>
  <c r="Y19" i="13"/>
  <c r="AA18" i="13"/>
  <c r="Y18" i="13"/>
  <c r="AA17" i="13"/>
  <c r="Y17" i="13"/>
  <c r="AA16" i="13"/>
  <c r="Y16" i="13"/>
  <c r="AA15" i="13"/>
  <c r="Y15" i="13"/>
  <c r="AA14" i="13"/>
  <c r="Y14" i="13"/>
  <c r="AA13" i="13"/>
  <c r="Y13" i="13"/>
  <c r="AA12" i="13"/>
  <c r="Y12" i="13"/>
  <c r="AF11" i="13" a="1"/>
  <c r="AG12" i="13" s="1"/>
  <c r="AA11" i="13"/>
  <c r="Y11" i="13"/>
  <c r="T11" i="13" a="1"/>
  <c r="T11" i="13" s="1"/>
  <c r="BI11" i="13" s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E20" i="13" l="1"/>
  <c r="BI33" i="13"/>
  <c r="BE27" i="13"/>
  <c r="BE22" i="13"/>
  <c r="BE21" i="13"/>
  <c r="BE19" i="13"/>
  <c r="BE34" i="13"/>
  <c r="BE18" i="13"/>
  <c r="BE33" i="13"/>
  <c r="BE17" i="13"/>
  <c r="BE32" i="13"/>
  <c r="BE16" i="13"/>
  <c r="BI34" i="13"/>
  <c r="BE31" i="13"/>
  <c r="V178" i="13"/>
  <c r="U178" i="13" s="1"/>
  <c r="BE30" i="13"/>
  <c r="BI23" i="13"/>
  <c r="V167" i="13"/>
  <c r="U167" i="13" s="1"/>
  <c r="BE15" i="13"/>
  <c r="BE29" i="13"/>
  <c r="BI22" i="13"/>
  <c r="V174" i="13"/>
  <c r="U174" i="13" s="1"/>
  <c r="V179" i="13"/>
  <c r="U179" i="13" s="1"/>
  <c r="BE28" i="13"/>
  <c r="BI21" i="13"/>
  <c r="BI32" i="13"/>
  <c r="BI20" i="13"/>
  <c r="BI31" i="13"/>
  <c r="BI19" i="13"/>
  <c r="BI30" i="13"/>
  <c r="BI18" i="13"/>
  <c r="BI29" i="13"/>
  <c r="BI17" i="13"/>
  <c r="BI28" i="13"/>
  <c r="BI16" i="13"/>
  <c r="AH238" i="13"/>
  <c r="BJ27" i="13"/>
  <c r="BE26" i="13"/>
  <c r="BE14" i="13"/>
  <c r="BI27" i="13"/>
  <c r="BI15" i="13"/>
  <c r="BJ17" i="13"/>
  <c r="BE25" i="13"/>
  <c r="BE13" i="13"/>
  <c r="BI26" i="13"/>
  <c r="BI14" i="13"/>
  <c r="BE24" i="13"/>
  <c r="BE12" i="13"/>
  <c r="BI25" i="13"/>
  <c r="BI13" i="13"/>
  <c r="BE23" i="13"/>
  <c r="BJ23" i="13" s="1"/>
  <c r="BI24" i="13"/>
  <c r="BI12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AH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H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AH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K17" i="13" l="1"/>
  <c r="BJ20" i="13"/>
  <c r="BK20" i="13" s="1"/>
  <c r="BJ33" i="13"/>
  <c r="BK33" i="13" s="1"/>
  <c r="BK27" i="13"/>
  <c r="BJ14" i="13"/>
  <c r="BK14" i="13" s="1"/>
  <c r="BJ28" i="13"/>
  <c r="BK28" i="13" s="1"/>
  <c r="AI260" i="13"/>
  <c r="AJ260" i="13" s="1"/>
  <c r="AI246" i="13"/>
  <c r="AL246" i="13" s="1"/>
  <c r="AP246" i="13" s="1"/>
  <c r="AI238" i="13"/>
  <c r="AI251" i="13"/>
  <c r="AL251" i="13" s="1"/>
  <c r="BK23" i="13"/>
  <c r="AI247" i="13"/>
  <c r="AJ247" i="13" s="1"/>
  <c r="AI243" i="13"/>
  <c r="AJ243" i="13" s="1"/>
  <c r="AI60" i="13"/>
  <c r="AJ60" i="13" s="1"/>
  <c r="AI41" i="13"/>
  <c r="A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AI61" i="13"/>
  <c r="AL61" i="13" s="1"/>
  <c r="AI261" i="13"/>
  <c r="AJ261" i="13" s="1"/>
  <c r="AI259" i="13"/>
  <c r="AL259" i="13" s="1"/>
  <c r="AI276" i="13"/>
  <c r="AL276" i="13" s="1"/>
  <c r="AP276" i="13" s="1"/>
  <c r="AI234" i="13"/>
  <c r="AL234" i="13" s="1"/>
  <c r="AI271" i="13"/>
  <c r="AJ271" i="13" s="1"/>
  <c r="AI17" i="13"/>
  <c r="AJ17" i="13" s="1"/>
  <c r="AI232" i="13"/>
  <c r="AL232" i="13" s="1"/>
  <c r="AI241" i="13"/>
  <c r="AJ241" i="13" s="1"/>
  <c r="AI236" i="13"/>
  <c r="AL236" i="13" s="1"/>
  <c r="AI45" i="13"/>
  <c r="AL45" i="13" s="1"/>
  <c r="AO45" i="13" s="1"/>
  <c r="AI233" i="13"/>
  <c r="AL233" i="13" s="1"/>
  <c r="AI27" i="13"/>
  <c r="AJ27" i="13" s="1"/>
  <c r="AI237" i="13"/>
  <c r="AJ237" i="13" s="1"/>
  <c r="AI254" i="13"/>
  <c r="AJ254" i="13" s="1"/>
  <c r="AI55" i="13"/>
  <c r="AL55" i="13" s="1"/>
  <c r="AI49" i="13"/>
  <c r="AL49" i="13" s="1"/>
  <c r="AI51" i="13"/>
  <c r="AL51" i="13" s="1"/>
  <c r="AO51" i="13" s="1"/>
  <c r="AI248" i="13"/>
  <c r="A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AI74" i="13"/>
  <c r="AL74" i="13" s="1"/>
  <c r="AI273" i="13"/>
  <c r="A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AI252" i="13"/>
  <c r="AJ252" i="13" s="1"/>
  <c r="AJ231" i="13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AI266" i="13"/>
  <c r="AL266" i="13" s="1"/>
  <c r="AI270" i="13"/>
  <c r="AL270" i="13" s="1"/>
  <c r="AI12" i="13"/>
  <c r="AJ12" i="13" s="1"/>
  <c r="AI165" i="13"/>
  <c r="AJ165" i="13" s="1"/>
  <c r="AI193" i="13"/>
  <c r="AJ193" i="13" s="1"/>
  <c r="AI32" i="13"/>
  <c r="AL32" i="13" s="1"/>
  <c r="AI56" i="13"/>
  <c r="AL56" i="13" s="1"/>
  <c r="AI44" i="13"/>
  <c r="AJ44" i="13" s="1"/>
  <c r="AI178" i="13"/>
  <c r="AJ178" i="13" s="1"/>
  <c r="AI133" i="13"/>
  <c r="AJ133" i="13" s="1"/>
  <c r="AI85" i="13"/>
  <c r="AJ85" i="13" s="1"/>
  <c r="AI53" i="13"/>
  <c r="AJ53" i="13" s="1"/>
  <c r="AI170" i="13"/>
  <c r="AJ170" i="13" s="1"/>
  <c r="AI203" i="13"/>
  <c r="AJ203" i="13" s="1"/>
  <c r="AI101" i="13"/>
  <c r="AL101" i="13" s="1"/>
  <c r="AI62" i="13"/>
  <c r="AL62" i="13" s="1"/>
  <c r="AI211" i="13"/>
  <c r="AL211" i="13" s="1"/>
  <c r="AI46" i="13"/>
  <c r="AJ46" i="13" s="1"/>
  <c r="AI245" i="13"/>
  <c r="AI198" i="13"/>
  <c r="AL198" i="13" s="1"/>
  <c r="AJ257" i="13"/>
  <c r="AL257" i="13"/>
  <c r="AP257" i="13" s="1"/>
  <c r="AI59" i="13"/>
  <c r="AL59" i="13" s="1"/>
  <c r="AP59" i="13" s="1"/>
  <c r="AL258" i="13"/>
  <c r="AP258" i="13" s="1"/>
  <c r="AJ258" i="13"/>
  <c r="AL238" i="13"/>
  <c r="AP238" i="13" s="1"/>
  <c r="AJ238" i="13"/>
  <c r="AI124" i="13"/>
  <c r="AJ124" i="13" s="1"/>
  <c r="AI148" i="13"/>
  <c r="AJ148" i="13" s="1"/>
  <c r="AI140" i="13"/>
  <c r="A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AI131" i="13"/>
  <c r="AL131" i="13" s="1"/>
  <c r="AI147" i="13"/>
  <c r="AL147" i="13" s="1"/>
  <c r="AI81" i="13"/>
  <c r="AL81" i="13" s="1"/>
  <c r="AI82" i="13"/>
  <c r="AJ82" i="13" s="1"/>
  <c r="AI105" i="13"/>
  <c r="AJ105" i="13" s="1"/>
  <c r="AI277" i="13"/>
  <c r="AI141" i="13"/>
  <c r="AJ141" i="13" s="1"/>
  <c r="AI167" i="13"/>
  <c r="AJ167" i="13" s="1"/>
  <c r="AI181" i="13"/>
  <c r="AL181" i="13" s="1"/>
  <c r="AI144" i="13"/>
  <c r="A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AI88" i="13"/>
  <c r="AL88" i="13" s="1"/>
  <c r="AI103" i="13"/>
  <c r="AL103" i="13" s="1"/>
  <c r="AI112" i="13"/>
  <c r="AJ112" i="13" s="1"/>
  <c r="AI134" i="13"/>
  <c r="AJ134" i="13" s="1"/>
  <c r="AI268" i="13"/>
  <c r="AL268" i="13" s="1"/>
  <c r="AI210" i="13"/>
  <c r="AL210" i="13" s="1"/>
  <c r="AI269" i="13"/>
  <c r="AJ269" i="13" s="1"/>
  <c r="AI173" i="13"/>
  <c r="AL173" i="13" s="1"/>
  <c r="AI73" i="13"/>
  <c r="AL73" i="13" s="1"/>
  <c r="AI34" i="13"/>
  <c r="AL34" i="13" s="1"/>
  <c r="AI151" i="13"/>
  <c r="AJ151" i="13" s="1"/>
  <c r="AI94" i="13"/>
  <c r="AL94" i="13" s="1"/>
  <c r="AI111" i="13"/>
  <c r="AJ111" i="13" s="1"/>
  <c r="AI104" i="13"/>
  <c r="AL104" i="13" s="1"/>
  <c r="AI208" i="13"/>
  <c r="AL208" i="13" s="1"/>
  <c r="AI20" i="13"/>
  <c r="AL20" i="13" s="1"/>
  <c r="AI209" i="13"/>
  <c r="AJ209" i="13" s="1"/>
  <c r="AI206" i="13"/>
  <c r="AJ206" i="13" s="1"/>
  <c r="AI212" i="13"/>
  <c r="AJ212" i="13" s="1"/>
  <c r="AI184" i="13"/>
  <c r="AJ184" i="13" s="1"/>
  <c r="AI172" i="13"/>
  <c r="A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AI235" i="13"/>
  <c r="AL235" i="13" s="1"/>
  <c r="AI139" i="13"/>
  <c r="AJ139" i="13" s="1"/>
  <c r="AI14" i="13"/>
  <c r="AL14" i="13" s="1"/>
  <c r="AI72" i="13"/>
  <c r="AJ72" i="13" s="1"/>
  <c r="AI63" i="13"/>
  <c r="AI161" i="13"/>
  <c r="AJ161" i="13" s="1"/>
  <c r="AI48" i="13"/>
  <c r="AJ48" i="13" s="1"/>
  <c r="AI42" i="13"/>
  <c r="AL42" i="13" s="1"/>
  <c r="AI24" i="13"/>
  <c r="AL24" i="13" s="1"/>
  <c r="AI244" i="13"/>
  <c r="A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BJ11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J31" i="13" l="1"/>
  <c r="BK31" i="13" s="1"/>
  <c r="BJ15" i="13"/>
  <c r="BK15" i="13" s="1"/>
  <c r="BJ19" i="13"/>
  <c r="BK19" i="13" s="1"/>
  <c r="BJ32" i="13"/>
  <c r="BK32" i="13" s="1"/>
  <c r="BJ34" i="13"/>
  <c r="BK34" i="13" s="1"/>
  <c r="BJ29" i="13"/>
  <c r="BK29" i="13" s="1"/>
  <c r="BJ30" i="13"/>
  <c r="BK30" i="13" s="1"/>
  <c r="BJ24" i="13"/>
  <c r="BK24" i="13" s="1"/>
  <c r="BJ25" i="13"/>
  <c r="BK25" i="13" s="1"/>
  <c r="BJ26" i="13"/>
  <c r="BK26" i="13" s="1"/>
  <c r="BJ22" i="13"/>
  <c r="BK22" i="13" s="1"/>
  <c r="BJ21" i="13"/>
  <c r="BK21" i="13" s="1"/>
  <c r="BJ18" i="13"/>
  <c r="BK18" i="13" s="1"/>
  <c r="BJ16" i="13"/>
  <c r="BK16" i="13" s="1"/>
  <c r="BJ12" i="13"/>
  <c r="BK12" i="13" s="1"/>
  <c r="BJ13" i="13"/>
  <c r="BK13" i="13" s="1"/>
  <c r="BK11" i="13"/>
  <c r="AJ205" i="13"/>
  <c r="AJ259" i="13"/>
  <c r="AL243" i="13"/>
  <c r="AL247" i="13"/>
  <c r="AJ74" i="13"/>
  <c r="AL60" i="13"/>
  <c r="AP60" i="13" s="1"/>
  <c r="AL254" i="13"/>
  <c r="AP254" i="13" s="1"/>
  <c r="AL260" i="13"/>
  <c r="AP260" i="13" s="1"/>
  <c r="AL195" i="13"/>
  <c r="AO195" i="13" s="1"/>
  <c r="AJ251" i="13"/>
  <c r="AJ246" i="13"/>
  <c r="AJ263" i="13"/>
  <c r="AJ202" i="13"/>
  <c r="AL237" i="13"/>
  <c r="AO237" i="13" s="1"/>
  <c r="AJ32" i="13"/>
  <c r="AJ45" i="13"/>
  <c r="AJ275" i="13"/>
  <c r="AL43" i="13"/>
  <c r="AP43" i="13" s="1"/>
  <c r="AL41" i="13"/>
  <c r="AO41" i="13" s="1"/>
  <c r="AP45" i="13"/>
  <c r="AQ45" i="13" s="1"/>
  <c r="AR45" i="13" s="1"/>
  <c r="AJ240" i="13"/>
  <c r="AJ278" i="13"/>
  <c r="AL46" i="13"/>
  <c r="AO46" i="13" s="1"/>
  <c r="AJ61" i="13"/>
  <c r="AL111" i="13"/>
  <c r="AO111" i="13" s="1"/>
  <c r="AJ56" i="13"/>
  <c r="AL242" i="13"/>
  <c r="AP242" i="13" s="1"/>
  <c r="AL252" i="13"/>
  <c r="AP252" i="13" s="1"/>
  <c r="AJ171" i="13"/>
  <c r="AL27" i="13"/>
  <c r="AP27" i="13" s="1"/>
  <c r="AJ94" i="13"/>
  <c r="AJ131" i="13"/>
  <c r="AJ233" i="13"/>
  <c r="AL264" i="13"/>
  <c r="AP264" i="13" s="1"/>
  <c r="AL241" i="13"/>
  <c r="AP241" i="13" s="1"/>
  <c r="AO57" i="13"/>
  <c r="AQ57" i="13" s="1"/>
  <c r="AR57" i="13" s="1"/>
  <c r="AL161" i="13"/>
  <c r="AP161" i="13" s="1"/>
  <c r="AJ236" i="13"/>
  <c r="AO58" i="13"/>
  <c r="AQ58" i="13" s="1"/>
  <c r="AR58" i="13" s="1"/>
  <c r="AJ57" i="13"/>
  <c r="AL273" i="13"/>
  <c r="AO273" i="13" s="1"/>
  <c r="AL178" i="13"/>
  <c r="AP178" i="13" s="1"/>
  <c r="AJ55" i="13"/>
  <c r="AJ234" i="13"/>
  <c r="AL17" i="13"/>
  <c r="AO17" i="13" s="1"/>
  <c r="AJ232" i="13"/>
  <c r="AJ49" i="13"/>
  <c r="AJ276" i="13"/>
  <c r="AL132" i="13"/>
  <c r="AP132" i="13" s="1"/>
  <c r="AJ103" i="13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AL262" i="13"/>
  <c r="AO262" i="13" s="1"/>
  <c r="AP51" i="13"/>
  <c r="AQ51" i="13" s="1"/>
  <c r="AR51" i="13" s="1"/>
  <c r="AL134" i="13"/>
  <c r="AO134" i="13" s="1"/>
  <c r="AJ118" i="13"/>
  <c r="AJ104" i="13"/>
  <c r="AL141" i="13"/>
  <c r="AP141" i="13" s="1"/>
  <c r="AJ272" i="13"/>
  <c r="AL53" i="13"/>
  <c r="AP53" i="13" s="1"/>
  <c r="AJ253" i="13"/>
  <c r="AJ265" i="13"/>
  <c r="AJ101" i="13"/>
  <c r="AL19" i="13"/>
  <c r="AO19" i="13" s="1"/>
  <c r="AL21" i="13"/>
  <c r="AP21" i="13" s="1"/>
  <c r="AL248" i="13"/>
  <c r="AP248" i="13" s="1"/>
  <c r="AJ191" i="13"/>
  <c r="AJ199" i="13"/>
  <c r="AL165" i="13"/>
  <c r="AP165" i="13" s="1"/>
  <c r="AJ182" i="13"/>
  <c r="AJ163" i="13"/>
  <c r="AL144" i="13"/>
  <c r="AP144" i="13" s="1"/>
  <c r="AO272" i="13"/>
  <c r="AQ272" i="13" s="1"/>
  <c r="AR272" i="13" s="1"/>
  <c r="AJ51" i="13"/>
  <c r="AL193" i="13"/>
  <c r="AP193" i="13" s="1"/>
  <c r="AJ200" i="13"/>
  <c r="AL12" i="13"/>
  <c r="AP12" i="13" s="1"/>
  <c r="AJ62" i="13"/>
  <c r="AL148" i="13"/>
  <c r="AP148" i="13" s="1"/>
  <c r="AL203" i="13"/>
  <c r="AP203" i="13" s="1"/>
  <c r="AJ64" i="13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AL249" i="13"/>
  <c r="AP249" i="13" s="1"/>
  <c r="AO47" i="13"/>
  <c r="AQ47" i="13" s="1"/>
  <c r="AR47" i="13" s="1"/>
  <c r="AJ214" i="13"/>
  <c r="AL194" i="13"/>
  <c r="AP194" i="13" s="1"/>
  <c r="AJ211" i="13"/>
  <c r="AJ109" i="13"/>
  <c r="AP207" i="13"/>
  <c r="AO207" i="13"/>
  <c r="AQ207" i="13" s="1"/>
  <c r="AR207" i="13" s="1"/>
  <c r="AP50" i="13"/>
  <c r="AO50" i="13"/>
  <c r="AO52" i="13"/>
  <c r="AP52" i="13"/>
  <c r="AJ149" i="13"/>
  <c r="AO214" i="13"/>
  <c r="AQ214" i="13" s="1"/>
  <c r="AR214" i="13" s="1"/>
  <c r="AJ207" i="13"/>
  <c r="AJ250" i="13"/>
  <c r="AL139" i="13"/>
  <c r="AO139" i="13" s="1"/>
  <c r="AJ50" i="13"/>
  <c r="AJ52" i="13"/>
  <c r="AJ81" i="13"/>
  <c r="AJ147" i="13"/>
  <c r="AJ20" i="13"/>
  <c r="AJ47" i="13"/>
  <c r="AJ268" i="13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AL206" i="13"/>
  <c r="AP206" i="13" s="1"/>
  <c r="AJ198" i="13"/>
  <c r="AJ73" i="13"/>
  <c r="AJ58" i="13"/>
  <c r="AL133" i="13"/>
  <c r="AO133" i="13" s="1"/>
  <c r="AJ266" i="13"/>
  <c r="AL184" i="13"/>
  <c r="AP184" i="13" s="1"/>
  <c r="AJ173" i="13"/>
  <c r="AJ180" i="13"/>
  <c r="AO60" i="13"/>
  <c r="AQ60" i="13" s="1"/>
  <c r="AR60" i="13" s="1"/>
  <c r="AJ71" i="13"/>
  <c r="AL44" i="13"/>
  <c r="AL151" i="13"/>
  <c r="AP151" i="13" s="1"/>
  <c r="AJ34" i="13"/>
  <c r="AJ14" i="13"/>
  <c r="AL245" i="13"/>
  <c r="AJ245" i="13"/>
  <c r="AP253" i="13"/>
  <c r="AQ253" i="13" s="1"/>
  <c r="AR253" i="13" s="1"/>
  <c r="AJ30" i="13"/>
  <c r="AJ270" i="13"/>
  <c r="AJ177" i="13"/>
  <c r="AJ24" i="13"/>
  <c r="AL82" i="13"/>
  <c r="AP82" i="13" s="1"/>
  <c r="AJ181" i="13"/>
  <c r="AP195" i="13"/>
  <c r="AQ195" i="13" s="1"/>
  <c r="AR195" i="13" s="1"/>
  <c r="AJ235" i="13"/>
  <c r="AO257" i="13"/>
  <c r="AQ257" i="13" s="1"/>
  <c r="AR257" i="13" s="1"/>
  <c r="AJ162" i="13"/>
  <c r="AL167" i="13"/>
  <c r="AP167" i="13" s="1"/>
  <c r="AJ277" i="13"/>
  <c r="AL277" i="13"/>
  <c r="AP277" i="13" s="1"/>
  <c r="AO246" i="13"/>
  <c r="AQ246" i="13" s="1"/>
  <c r="AR246" i="13" s="1"/>
  <c r="AJ208" i="13"/>
  <c r="AL79" i="13"/>
  <c r="AO79" i="13" s="1"/>
  <c r="AL244" i="13"/>
  <c r="AP244" i="13" s="1"/>
  <c r="AJ210" i="13"/>
  <c r="AL13" i="13"/>
  <c r="AP13" i="13" s="1"/>
  <c r="AJ179" i="13"/>
  <c r="AJ204" i="13"/>
  <c r="AL209" i="13"/>
  <c r="AP209" i="13" s="1"/>
  <c r="AJ89" i="13"/>
  <c r="AJ164" i="13"/>
  <c r="AL63" i="13"/>
  <c r="AJ63" i="13"/>
  <c r="AL269" i="13"/>
  <c r="AO269" i="13" s="1"/>
  <c r="AJ15" i="13"/>
  <c r="AL15" i="13"/>
  <c r="AL212" i="13"/>
  <c r="AP212" i="13" s="1"/>
  <c r="AL172" i="13"/>
  <c r="AP172" i="13" s="1"/>
  <c r="AJ59" i="13"/>
  <c r="AO258" i="13"/>
  <c r="AQ258" i="13" s="1"/>
  <c r="AR258" i="13" s="1"/>
  <c r="AO59" i="13"/>
  <c r="AQ59" i="13" s="1"/>
  <c r="AR59" i="13" s="1"/>
  <c r="AJ42" i="13"/>
  <c r="AL48" i="13"/>
  <c r="AP48" i="13" s="1"/>
  <c r="AJ267" i="13"/>
  <c r="AP61" i="13"/>
  <c r="AO61" i="13"/>
  <c r="AP263" i="13"/>
  <c r="AO263" i="13"/>
  <c r="AL146" i="13"/>
  <c r="AJ146" i="13"/>
  <c r="AP235" i="13"/>
  <c r="AO235" i="13"/>
  <c r="AP30" i="13"/>
  <c r="AO30" i="13"/>
  <c r="AJ23" i="13"/>
  <c r="AL23" i="13"/>
  <c r="AP278" i="13"/>
  <c r="AO278" i="13"/>
  <c r="AP49" i="13"/>
  <c r="AO49" i="13"/>
  <c r="AL113" i="13"/>
  <c r="AJ113" i="13"/>
  <c r="AJ168" i="13"/>
  <c r="AL168" i="13"/>
  <c r="AJ121" i="13"/>
  <c r="AL121" i="13"/>
  <c r="AL31" i="13"/>
  <c r="AJ31" i="13"/>
  <c r="AP191" i="13"/>
  <c r="AO191" i="13"/>
  <c r="AP177" i="13"/>
  <c r="AO177" i="13"/>
  <c r="AP233" i="13"/>
  <c r="AO233" i="13"/>
  <c r="AJ29" i="13"/>
  <c r="AL29" i="13"/>
  <c r="AP270" i="13"/>
  <c r="AO270" i="13"/>
  <c r="AP14" i="13"/>
  <c r="AO14" i="13"/>
  <c r="AP204" i="13"/>
  <c r="AO204" i="13"/>
  <c r="AJ213" i="13"/>
  <c r="AL213" i="13"/>
  <c r="AO255" i="13"/>
  <c r="AP255" i="13"/>
  <c r="AL108" i="13"/>
  <c r="AJ108" i="13"/>
  <c r="AL80" i="13"/>
  <c r="AJ80" i="13"/>
  <c r="AO182" i="13"/>
  <c r="AP182" i="13"/>
  <c r="AP149" i="13"/>
  <c r="AO149" i="13"/>
  <c r="AP42" i="13"/>
  <c r="AO42" i="13"/>
  <c r="AL143" i="13"/>
  <c r="AJ143" i="13"/>
  <c r="AJ114" i="13"/>
  <c r="AL114" i="13"/>
  <c r="AO73" i="13"/>
  <c r="AP73" i="13"/>
  <c r="AP181" i="13"/>
  <c r="AO181" i="13"/>
  <c r="AL152" i="13"/>
  <c r="AJ152" i="13"/>
  <c r="AL135" i="13"/>
  <c r="AJ135" i="13"/>
  <c r="AP147" i="13"/>
  <c r="AO147" i="13"/>
  <c r="AP250" i="13"/>
  <c r="AO250" i="13"/>
  <c r="AP232" i="13"/>
  <c r="AO232" i="13"/>
  <c r="AL87" i="13"/>
  <c r="AJ87" i="13"/>
  <c r="AL26" i="13"/>
  <c r="AJ26" i="13"/>
  <c r="AP247" i="13"/>
  <c r="AO247" i="13"/>
  <c r="AP205" i="13"/>
  <c r="AO205" i="13"/>
  <c r="AP265" i="13"/>
  <c r="AO265" i="13"/>
  <c r="AP131" i="13"/>
  <c r="AO131" i="13"/>
  <c r="AL16" i="13"/>
  <c r="AJ16" i="13"/>
  <c r="AQ231" i="13"/>
  <c r="AR231" i="13" s="1"/>
  <c r="AL123" i="13"/>
  <c r="AJ123" i="13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AO55" i="13"/>
  <c r="AP55" i="13"/>
  <c r="AL93" i="13"/>
  <c r="AJ93" i="13"/>
  <c r="AP236" i="13"/>
  <c r="AO236" i="13"/>
  <c r="AP94" i="13"/>
  <c r="AO94" i="13"/>
  <c r="AL76" i="13"/>
  <c r="AJ76" i="13"/>
  <c r="AO171" i="13"/>
  <c r="AP171" i="13"/>
  <c r="AO164" i="13"/>
  <c r="AP164" i="13"/>
  <c r="AP180" i="13"/>
  <c r="AO180" i="13"/>
  <c r="AL110" i="13"/>
  <c r="AJ110" i="13"/>
  <c r="AL169" i="13"/>
  <c r="AJ169" i="13"/>
  <c r="AL54" i="13"/>
  <c r="AJ54" i="13"/>
  <c r="AP266" i="13"/>
  <c r="AO266" i="13"/>
  <c r="AL153" i="13"/>
  <c r="AJ153" i="13"/>
  <c r="AP88" i="13"/>
  <c r="AO88" i="13"/>
  <c r="AJ33" i="13"/>
  <c r="AL33" i="13"/>
  <c r="AJ176" i="13"/>
  <c r="AL176" i="13"/>
  <c r="AP81" i="13"/>
  <c r="AO81" i="13"/>
  <c r="AO64" i="13"/>
  <c r="AP64" i="13"/>
  <c r="AO32" i="13"/>
  <c r="AP32" i="13"/>
  <c r="AP118" i="13"/>
  <c r="AO118" i="13"/>
  <c r="AJ150" i="13"/>
  <c r="AL150" i="13"/>
  <c r="AO101" i="13"/>
  <c r="AP101" i="13"/>
  <c r="AL86" i="13"/>
  <c r="AJ86" i="13"/>
  <c r="AL83" i="13"/>
  <c r="AJ83" i="13"/>
  <c r="AL92" i="13"/>
  <c r="AJ92" i="13"/>
  <c r="AJ78" i="13"/>
  <c r="AL78" i="13"/>
  <c r="AP179" i="13"/>
  <c r="AO179" i="13"/>
  <c r="AJ11" i="13"/>
  <c r="AL11" i="13"/>
  <c r="AP62" i="13"/>
  <c r="AO62" i="13"/>
  <c r="AJ90" i="13"/>
  <c r="AL90" i="13"/>
  <c r="AP275" i="13"/>
  <c r="AO275" i="13"/>
  <c r="AP173" i="13"/>
  <c r="AO173" i="13"/>
  <c r="AP109" i="13"/>
  <c r="AO109" i="13"/>
  <c r="AO198" i="13"/>
  <c r="AP198" i="13"/>
  <c r="AL75" i="13"/>
  <c r="AJ75" i="13"/>
  <c r="AP136" i="13"/>
  <c r="AO136" i="13"/>
  <c r="AP104" i="13"/>
  <c r="AO104" i="13"/>
  <c r="AJ117" i="13"/>
  <c r="AL117" i="13"/>
  <c r="AP211" i="13"/>
  <c r="AO211" i="13"/>
  <c r="AJ25" i="13"/>
  <c r="AL25" i="13"/>
  <c r="AJ119" i="13"/>
  <c r="AL119" i="13"/>
  <c r="AL102" i="13"/>
  <c r="AJ102" i="13"/>
  <c r="AJ77" i="13"/>
  <c r="AL77" i="13"/>
  <c r="AP56" i="13"/>
  <c r="AO56" i="13"/>
  <c r="AL122" i="13"/>
  <c r="AJ122" i="13"/>
  <c r="AJ106" i="13"/>
  <c r="AL106" i="13"/>
  <c r="AL22" i="13"/>
  <c r="AJ22" i="13"/>
  <c r="AO259" i="13"/>
  <c r="AP259" i="13"/>
  <c r="AJ107" i="13"/>
  <c r="AL107" i="13"/>
  <c r="AL28" i="13"/>
  <c r="AJ28" i="13"/>
  <c r="AJ197" i="13"/>
  <c r="AL197" i="13"/>
  <c r="AL91" i="13"/>
  <c r="AJ91" i="13"/>
  <c r="AP199" i="13"/>
  <c r="AO199" i="13"/>
  <c r="AP268" i="13"/>
  <c r="AO268" i="13"/>
  <c r="AL18" i="13"/>
  <c r="AJ18" i="13"/>
  <c r="AP20" i="13"/>
  <c r="AO20" i="13"/>
  <c r="AJ201" i="13"/>
  <c r="AL201" i="13"/>
  <c r="AP200" i="13"/>
  <c r="AO200" i="13"/>
  <c r="AP163" i="13"/>
  <c r="AO163" i="13"/>
  <c r="AP251" i="13"/>
  <c r="AO251" i="13"/>
  <c r="AL142" i="13"/>
  <c r="AJ142" i="13"/>
  <c r="AP267" i="13"/>
  <c r="AO267" i="13"/>
  <c r="AO210" i="13"/>
  <c r="AP210" i="13"/>
  <c r="AL183" i="13"/>
  <c r="AJ183" i="13"/>
  <c r="AP243" i="13"/>
  <c r="AO243" i="13"/>
  <c r="AJ145" i="13"/>
  <c r="AL145" i="13"/>
  <c r="AJ84" i="13"/>
  <c r="AL84" i="13"/>
  <c r="AL166" i="13"/>
  <c r="AJ166" i="13"/>
  <c r="AP34" i="13"/>
  <c r="AO34" i="13"/>
  <c r="AL120" i="13"/>
  <c r="AJ120" i="13"/>
  <c r="AL174" i="13"/>
  <c r="AJ174" i="13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L11" i="13" l="1"/>
  <c r="BT11" i="13" s="1"/>
  <c r="BN11" i="13"/>
  <c r="BQ11" i="13" s="1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252" i="13"/>
  <c r="AR252" i="13" s="1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BR11" i="13" s="1"/>
  <c r="BU11" i="13" s="1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M11" i="13" l="1"/>
  <c r="AQ44" i="13"/>
  <c r="AR44" i="13" s="1"/>
  <c r="AQ245" i="13"/>
  <c r="AR245" i="13" s="1"/>
  <c r="AQ76" i="13"/>
  <c r="AR76" i="13" s="1"/>
  <c r="AQ63" i="13"/>
  <c r="AR63" i="13" s="1"/>
  <c r="AQ15" i="13"/>
  <c r="AR15" i="13" s="1"/>
  <c r="AQ176" i="13"/>
  <c r="AR176" i="13" s="1"/>
  <c r="AS231" i="13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S41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131" i="13" l="1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<sst xmlns="http://schemas.openxmlformats.org/spreadsheetml/2006/main" count="3640" uniqueCount="332">
  <si>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</si>
  <si>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</si>
  <si>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</si>
  <si>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</si>
  <si>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</si>
  <si>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</si>
  <si>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</si>
  <si>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</si>
  <si>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</si>
  <si>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</si>
  <si>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</si>
  <si>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</si>
  <si>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</si>
  <si>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</si>
  <si>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</si>
  <si>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</si>
  <si>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</si>
  <si>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</si>
  <si>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</si>
  <si>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</si>
  <si>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</si>
  <si>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</si>
  <si>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</si>
  <si>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</si>
  <si>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</si>
  <si>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</si>
  <si>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</si>
  <si>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</si>
  <si>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</si>
  <si>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</si>
  <si>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</si>
  <si>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</si>
  <si>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</si>
  <si>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</si>
  <si>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</si>
  <si>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</si>
  <si>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</si>
  <si>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</si>
  <si>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</si>
  <si>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</si>
  <si>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</si>
  <si>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</si>
  <si>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</si>
  <si>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</si>
  <si>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</si>
  <si>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</si>
  <si>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</si>
  <si>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</si>
  <si>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</si>
  <si>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</si>
  <si>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</si>
  <si>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</si>
  <si>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</si>
  <si>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</si>
  <si>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</si>
  <si>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</si>
  <si>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</si>
  <si>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</si>
  <si>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</si>
  <si>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</si>
  <si>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</si>
  <si>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</si>
  <si>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</si>
  <si>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</si>
  <si>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</si>
  <si>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</si>
  <si>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</si>
  <si>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</si>
  <si>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</si>
  <si>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</si>
  <si>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</si>
  <si>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</si>
  <si>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</si>
  <si>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</si>
  <si>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</si>
  <si>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</si>
  <si>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</si>
  <si>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</si>
  <si>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</si>
  <si>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</si>
  <si>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</si>
  <si>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</si>
  <si>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</si>
  <si>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</si>
  <si>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</si>
  <si>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</si>
  <si>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</si>
  <si>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</si>
  <si>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</si>
  <si>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</si>
  <si>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</si>
  <si>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</si>
  <si>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</si>
  <si>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</si>
  <si>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</si>
  <si>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</si>
  <si>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</si>
  <si>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</si>
  <si>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</si>
  <si>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</si>
  <si>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</si>
  <si>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</si>
  <si>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</si>
  <si>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</si>
  <si>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</si>
  <si>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</si>
  <si>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</si>
  <si>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</si>
  <si>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</si>
  <si>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</si>
  <si>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</si>
  <si>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</si>
  <si>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</si>
  <si>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</si>
  <si>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</si>
  <si>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</si>
  <si>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</si>
  <si>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</si>
  <si>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</si>
  <si>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</si>
  <si>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</si>
  <si>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</si>
  <si>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</si>
  <si>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</si>
  <si>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</si>
  <si>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</si>
  <si>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</si>
  <si>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</si>
  <si>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</si>
  <si>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</si>
  <si>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</si>
  <si>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</si>
  <si>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</si>
  <si>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</si>
  <si>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</si>
  <si>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</si>
  <si>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</si>
  <si>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</si>
  <si>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</si>
  <si>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</si>
  <si>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</si>
  <si>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</si>
  <si>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</si>
  <si>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</si>
  <si>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</si>
  <si>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</si>
  <si>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</si>
  <si>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</si>
  <si>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</si>
  <si>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</si>
  <si>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</si>
  <si>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</si>
  <si>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</si>
  <si>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</si>
  <si>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</si>
  <si>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</si>
  <si>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</si>
  <si>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</si>
  <si>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</si>
  <si>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</si>
  <si>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</si>
  <si>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</si>
  <si>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</si>
  <si>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</si>
  <si>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</si>
  <si>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</si>
  <si>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</si>
  <si>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</si>
  <si>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</si>
  <si>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</si>
  <si>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</si>
  <si>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</si>
  <si>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</si>
  <si>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</si>
  <si>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</si>
  <si>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</si>
  <si>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</si>
  <si>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</si>
  <si>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</si>
  <si>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</si>
  <si>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</si>
  <si>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</si>
  <si>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</si>
  <si>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</si>
  <si>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</si>
  <si>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</si>
  <si>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</si>
  <si>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</si>
  <si>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</si>
  <si>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</si>
  <si>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</si>
  <si>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</si>
  <si>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</si>
  <si>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</si>
  <si>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</si>
  <si>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</si>
  <si>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</si>
  <si>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</si>
  <si>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</si>
  <si>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</si>
  <si>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</si>
  <si>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</si>
  <si>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</si>
  <si>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</si>
  <si>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</si>
  <si>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</si>
  <si>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</si>
  <si>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</si>
  <si>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</si>
  <si>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</si>
  <si>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</si>
  <si>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</si>
  <si>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</si>
  <si>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</si>
  <si>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</si>
  <si>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</si>
  <si>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</si>
  <si>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</si>
  <si>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</si>
  <si>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</si>
  <si>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</si>
  <si>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</si>
  <si>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</si>
  <si>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</si>
  <si>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</si>
  <si>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</si>
  <si>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</si>
  <si>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</si>
  <si>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</si>
  <si>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</si>
  <si>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</si>
  <si>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</si>
  <si>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</si>
  <si>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</si>
  <si>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</si>
  <si>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</si>
  <si>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</si>
  <si>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</si>
  <si>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</si>
  <si>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</si>
  <si>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</si>
  <si>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</si>
  <si>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</si>
  <si>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</si>
  <si>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</si>
  <si>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</si>
  <si>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</si>
  <si>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</si>
  <si>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</si>
  <si>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</si>
  <si>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</si>
  <si>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</si>
  <si>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</si>
  <si>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</si>
  <si>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</si>
  <si>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</si>
  <si>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</si>
  <si>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</si>
  <si>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</si>
  <si>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</si>
  <si>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</si>
  <si>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</si>
  <si>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</si>
  <si>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</si>
  <si>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</si>
  <si>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</si>
  <si>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</si>
  <si>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</si>
  <si>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</si>
  <si>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</si>
  <si>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</si>
  <si>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</si>
  <si>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</si>
  <si>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</si>
  <si>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</si>
  <si>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</si>
  <si>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</si>
  <si>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</si>
  <si>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</si>
  <si>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</si>
  <si>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</si>
  <si>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</si>
  <si>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</si>
  <si>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</si>
  <si>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</si>
  <si>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</si>
  <si>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</si>
  <si>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</si>
  <si>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</si>
  <si>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</si>
  <si>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</si>
  <si>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</si>
  <si>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</si>
  <si>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</si>
  <si>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</si>
  <si>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</si>
  <si>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</si>
  <si>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</si>
  <si>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</si>
  <si>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</si>
  <si>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</si>
  <si>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</si>
  <si>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</si>
  <si>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</si>
  <si>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</si>
  <si>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</si>
  <si>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</si>
  <si>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</si>
  <si>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</si>
  <si>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</si>
  <si>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milk intake for sheep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</si>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</sst>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G278"/>
  <sheetViews>
    <sheetView tabSelected="1" workbookViewId="0">
      <pane xSplit="7" ySplit="10" topLeftCell="AV198" activePane="bottomRight" state="frozenSplit"/>
      <selection pane="topRight" activeCell="AJ1" sqref="AJ1"/>
      <selection pane="bottomLeft" activeCell="U34" sqref="U34"/>
      <selection pane="bottomRight" activeCell="AT231" sqref="AT231:BU231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3" max="65" width="13.1640625" customWidth="1"/>
    <col min="67" max="67" width="18" customWidth="1"/>
    <col min="83" max="83" width="21" customWidth="1"/>
  </cols>
  <sheetData>
    <row r="1" spans="1:82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Y1">
        <v>1084</v>
      </c>
      <c r="BZ1" t="s">
        <v>257</v>
      </c>
      <c r="CA1">
        <v>0.19</v>
      </c>
      <c r="CC1" t="s">
        <v>265</v>
      </c>
      <c r="CD1">
        <v>1.3</v>
      </c>
    </row>
    <row r="2" spans="1:82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6</v>
      </c>
      <c r="BJ2" t="s">
        <v>297</v>
      </c>
      <c r="BK2" t="s">
        <v>10</v>
      </c>
      <c r="BM2" s="28" t="s">
        <v>0</v>
      </c>
      <c r="BN2" t="s">
        <v>1</v>
      </c>
      <c r="BQ2" t="s">
        <v>15</v>
      </c>
      <c r="BR2" t="s">
        <v>0</v>
      </c>
      <c r="BT2" t="s">
        <v>298</v>
      </c>
      <c r="BU2" t="s">
        <v>16</v>
      </c>
      <c r="BY2">
        <v>1087</v>
      </c>
      <c r="BZ2" t="s">
        <v>152</v>
      </c>
      <c r="CA2">
        <v>0.08</v>
      </c>
    </row>
    <row r="3" spans="1:82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40</v>
      </c>
      <c r="BJ3" t="s">
        <v>43</v>
      </c>
      <c r="BK3" t="s">
        <v>44</v>
      </c>
      <c r="BM3" s="28">
        <v>1062</v>
      </c>
      <c r="BN3" t="s">
        <v>31</v>
      </c>
      <c r="BP3" t="s">
        <v>32</v>
      </c>
      <c r="BQ3" t="s">
        <v>56</v>
      </c>
      <c r="BR3" t="s">
        <v>28</v>
      </c>
      <c r="BS3" t="s">
        <v>29</v>
      </c>
      <c r="BT3" t="s">
        <v>55</v>
      </c>
      <c r="BU3" t="s">
        <v>57</v>
      </c>
      <c r="BZ3" t="s">
        <v>125</v>
      </c>
      <c r="CA3">
        <v>91.25</v>
      </c>
    </row>
    <row r="4" spans="1:82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K4" t="s">
        <v>60</v>
      </c>
      <c r="BM4" s="28" t="s">
        <v>60</v>
      </c>
      <c r="BN4" t="s">
        <v>60</v>
      </c>
      <c r="BP4" t="s">
        <v>59</v>
      </c>
      <c r="BQ4" t="s">
        <v>60</v>
      </c>
      <c r="BR4" t="s">
        <v>60</v>
      </c>
      <c r="BS4" t="s">
        <v>59</v>
      </c>
      <c r="BT4" t="s">
        <v>60</v>
      </c>
      <c r="BU4" t="s">
        <v>60</v>
      </c>
      <c r="BY4">
        <v>1094</v>
      </c>
      <c r="BZ4" t="s">
        <v>131</v>
      </c>
      <c r="CA4">
        <v>0.24</v>
      </c>
    </row>
    <row r="5" spans="1:82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K5" t="s">
        <v>61</v>
      </c>
      <c r="BM5" s="28"/>
      <c r="BN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U5" t="s">
        <v>61</v>
      </c>
      <c r="BY5">
        <v>1093</v>
      </c>
      <c r="BZ5" t="s">
        <v>219</v>
      </c>
      <c r="CA5">
        <v>0.21</v>
      </c>
    </row>
    <row r="6" spans="1:82" x14ac:dyDescent="0.2">
      <c r="AX6" s="28"/>
      <c r="AY6" s="28"/>
      <c r="BM6" s="28"/>
      <c r="BY6">
        <v>1095</v>
      </c>
      <c r="BZ6" t="s">
        <v>220</v>
      </c>
      <c r="CA6">
        <v>1.0999999999999999E-2</v>
      </c>
    </row>
    <row r="7" spans="1:82" x14ac:dyDescent="0.2">
      <c r="AX7" s="28"/>
      <c r="AY7" s="28"/>
      <c r="BM7" s="28"/>
      <c r="BY7">
        <v>1088</v>
      </c>
      <c r="BZ7" t="s">
        <v>150</v>
      </c>
      <c r="CA7">
        <f>44/28</f>
        <v>1.5714285714285714</v>
      </c>
    </row>
    <row r="8" spans="1:82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72</v>
      </c>
      <c r="BJ8" t="s">
        <v>73</v>
      </c>
      <c r="BK8" t="s">
        <v>67</v>
      </c>
      <c r="BM8" s="28" t="s">
        <v>67</v>
      </c>
      <c r="BN8" t="s">
        <v>67</v>
      </c>
      <c r="BP8" t="s">
        <v>68</v>
      </c>
      <c r="BQ8" t="s">
        <v>80</v>
      </c>
      <c r="BR8" t="s">
        <v>67</v>
      </c>
      <c r="BS8" t="s">
        <v>68</v>
      </c>
      <c r="BT8" t="s">
        <v>80</v>
      </c>
      <c r="BU8" t="s">
        <v>80</v>
      </c>
    </row>
    <row r="9" spans="1:82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313</v>
      </c>
      <c r="AY9" s="28" t="s">
        <v>314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K9" t="s">
        <v>312</v>
      </c>
      <c r="BM9" s="28" t="s">
        <v>316</v>
      </c>
      <c r="BN9" t="s">
        <v>304</v>
      </c>
      <c r="BP9" t="s">
        <v>305</v>
      </c>
      <c r="BQ9" t="s">
        <v>306</v>
      </c>
      <c r="BR9" t="s">
        <v>316</v>
      </c>
      <c r="BS9" t="s">
        <v>317</v>
      </c>
      <c r="BT9" t="s">
        <v>315</v>
      </c>
      <c r="BU9" t="s">
        <v>121</v>
      </c>
      <c r="CA9" t="s">
        <v>200</v>
      </c>
      <c r="CC9" t="s">
        <v>201</v>
      </c>
    </row>
    <row r="10" spans="1:82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321</v>
      </c>
      <c r="N10" t="s">
        <v>126</v>
      </c>
      <c r="O10" s="1" t="s">
        <v>320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319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318</v>
      </c>
      <c r="BI10" t="s">
        <v>144</v>
      </c>
      <c r="BJ10" t="s">
        <v>147</v>
      </c>
      <c r="BK10" t="s">
        <v>148</v>
      </c>
      <c r="BL10" t="s">
        <v>148</v>
      </c>
      <c r="BM10" s="28" t="s">
        <v>132</v>
      </c>
      <c r="BN10" t="s">
        <v>135</v>
      </c>
      <c r="BO10" t="s">
        <v>221</v>
      </c>
      <c r="BP10" t="s">
        <v>136</v>
      </c>
      <c r="BQ10" s="27" t="s">
        <v>158</v>
      </c>
      <c r="BR10" t="s">
        <v>132</v>
      </c>
      <c r="BS10" t="s">
        <v>133</v>
      </c>
      <c r="BT10" s="27" t="s">
        <v>157</v>
      </c>
      <c r="BU10" s="27" t="s">
        <v>159</v>
      </c>
      <c r="BZ10" t="s">
        <v>202</v>
      </c>
      <c r="CA10">
        <v>4.7000000000000002E-3</v>
      </c>
      <c r="CB10" s="13" t="s">
        <v>193</v>
      </c>
      <c r="CC10" s="13">
        <v>0.72</v>
      </c>
    </row>
    <row r="11" spans="1:82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$CA$3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$BZ$26:$CB$32, 1))</f>
        <v>1</v>
      </c>
      <c r="W11">
        <f t="shared" ref="W11:W34" si="1">VLOOKUP($B$11,$CB$10:$CC$16, 2, FALSE)</f>
        <v>0.72</v>
      </c>
      <c r="X11">
        <f t="shared" ref="X11:X34" si="2">$CA$10</f>
        <v>4.7000000000000002E-3</v>
      </c>
      <c r="Y11">
        <f t="shared" ref="Y11:Y34" si="3">(I11/100)*(MIN(J11,100)/100)</f>
        <v>0.85499999999999998</v>
      </c>
      <c r="Z11">
        <v>0</v>
      </c>
      <c r="AA11">
        <f>1.6 * Z11</f>
        <v>0</v>
      </c>
      <c r="AB11">
        <f>$CD$1</f>
        <v>1.3</v>
      </c>
      <c r="AC11">
        <f t="shared" ref="AC11:AC34" si="4">Y11*AB11+(1-Y11)</f>
        <v>1.2565</v>
      </c>
      <c r="AD11">
        <f t="shared" ref="AD11:AD34" si="5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6">(104.7*AD11+0.307*T11-15)*(T11^0.75)*10^-3</f>
        <v>1.2720847291262878</v>
      </c>
      <c r="AI11">
        <f>AH11*AG11*AC11</f>
        <v>1.5983743829252637</v>
      </c>
      <c r="AJ11">
        <f t="shared" ref="AJ11:AJ34" si="7">(AI11 * P11) + (0.045 * AA11)</f>
        <v>0.31967487658505278</v>
      </c>
      <c r="AK11">
        <f t="shared" ref="AK11:AK34" si="8">$CA$2</f>
        <v>0.08</v>
      </c>
      <c r="AL11">
        <f t="shared" ref="AL11:AL34" si="9">(AI11 * ((1 - R11) + (0.04 * AI11))) * ( 1 - AK11 )</f>
        <v>0.46164277265490583</v>
      </c>
      <c r="AM11">
        <f t="shared" ref="AM11:AM34" si="10">$CA$1</f>
        <v>0.19</v>
      </c>
      <c r="AN11">
        <f t="shared" ref="AN11:AN34" si="11">$CB$20</f>
        <v>0.6784</v>
      </c>
      <c r="AO11">
        <f t="shared" ref="AO11:AO34" si="12">AL11 * AM11 * U11 * W11 * AN11</f>
        <v>0</v>
      </c>
      <c r="AP11">
        <f t="shared" ref="AP11:AP34" si="13">AL11*AM11*V11*X11*AN11</f>
        <v>2.7966836207339569E-4</v>
      </c>
      <c r="AQ11">
        <f>AO11+AP11</f>
        <v>2.7966836207339569E-4</v>
      </c>
      <c r="AR11">
        <f t="shared" ref="AR11:AR34" si="14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$CA$4</f>
        <v>0.24</v>
      </c>
      <c r="AW11" t="s">
        <v>322</v>
      </c>
      <c r="AX11" s="28">
        <f>VLOOKUP(AW11,$CE$37:$CG$46,2, FALSE)</f>
        <v>6.0000000000000001E-3</v>
      </c>
      <c r="AY11" s="28">
        <f>$CA$7</f>
        <v>1.5714285714285714</v>
      </c>
      <c r="AZ11">
        <f>$CA$5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15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 t="shared" ref="BI11:BI34" si="16">1.6 * T11</f>
        <v>86.4</v>
      </c>
      <c r="BJ11">
        <f>(AJ11  / 6.25 ) - BH11</f>
        <v>3.4952692178919137E-2</v>
      </c>
      <c r="BK11">
        <f>H11*BJ11*L11</f>
        <v>318.94331613263711</v>
      </c>
      <c r="BL11">
        <f>SUM(BK11:BK34)</f>
        <v>5092.5593361624324</v>
      </c>
      <c r="BM11" s="28">
        <f>BL11*$AU$11*$AV$11</f>
        <v>1222.2142406789837</v>
      </c>
      <c r="BN11">
        <f>BK11 * AZ11</f>
        <v>66.978096387853796</v>
      </c>
      <c r="BO11" t="s">
        <v>226</v>
      </c>
      <c r="BP11">
        <f>VLOOKUP(BO11, $BZ$37:$CA$49, 2, FALSE)</f>
        <v>1.8E-3</v>
      </c>
      <c r="BQ11">
        <f>BN11 * BP11 * AY11 * 10^-3</f>
        <v>1.8945232978278645E-4</v>
      </c>
      <c r="BR11">
        <f>BK11 * AP11 * AV11</f>
        <v>2.1407605156097246E-2</v>
      </c>
      <c r="BS11">
        <f>$CA$6</f>
        <v>1.0999999999999999E-2</v>
      </c>
      <c r="BT11">
        <f>BL11 * AX11 * AY11 * 10^-3</f>
        <v>4.8015559455245792E-2</v>
      </c>
      <c r="BU11">
        <f>BR11 * BS11 * AY11 * 10^-3</f>
        <v>3.7004574626968098E-7</v>
      </c>
      <c r="CB11" s="13" t="s">
        <v>270</v>
      </c>
      <c r="CC11" s="13">
        <v>0.75</v>
      </c>
    </row>
    <row r="12" spans="1:82" x14ac:dyDescent="0.2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7">1-V12</f>
        <v>0</v>
      </c>
      <c r="V12">
        <f>$V$11</f>
        <v>1</v>
      </c>
      <c r="W12">
        <f t="shared" si="1"/>
        <v>0.72</v>
      </c>
      <c r="X12">
        <f t="shared" si="2"/>
        <v>4.7000000000000002E-3</v>
      </c>
      <c r="Y12">
        <f t="shared" si="3"/>
        <v>0</v>
      </c>
      <c r="Z12">
        <v>0</v>
      </c>
      <c r="AA12">
        <f t="shared" ref="AA12:AA34" si="18">1.6 * Z12</f>
        <v>0</v>
      </c>
      <c r="AB12">
        <f>$AB$11</f>
        <v>1.3</v>
      </c>
      <c r="AC12">
        <f t="shared" si="4"/>
        <v>1</v>
      </c>
      <c r="AD12">
        <f t="shared" si="5"/>
        <v>0.48354999999999998</v>
      </c>
      <c r="AF12">
        <v>2.5</v>
      </c>
      <c r="AG12">
        <f t="shared" ref="AG12:AG34" si="19">1 - EXP(-2*(AF12^2))</f>
        <v>0.99999627334682795</v>
      </c>
      <c r="AH12">
        <f t="shared" si="6"/>
        <v>0.93843421889903578</v>
      </c>
      <c r="AI12">
        <f t="shared" ref="AI12:AI34" si="20">AH12*AG12*AC12</f>
        <v>0.93843072168017716</v>
      </c>
      <c r="AJ12">
        <f t="shared" si="7"/>
        <v>9.3843072168017724E-2</v>
      </c>
      <c r="AK12">
        <f t="shared" si="8"/>
        <v>0.08</v>
      </c>
      <c r="AL12">
        <f t="shared" si="9"/>
        <v>0.3691169446125166</v>
      </c>
      <c r="AM12">
        <f t="shared" si="10"/>
        <v>0.19</v>
      </c>
      <c r="AN12">
        <f t="shared" si="11"/>
        <v>0.6784</v>
      </c>
      <c r="AO12">
        <f t="shared" si="12"/>
        <v>0</v>
      </c>
      <c r="AP12">
        <f t="shared" si="13"/>
        <v>2.2361517915604222E-4</v>
      </c>
      <c r="AQ12">
        <f t="shared" ref="AQ12:AQ34" si="21">AO12+AP12</f>
        <v>2.2361517915604222E-4</v>
      </c>
      <c r="AR12">
        <f t="shared" si="14"/>
        <v>1.4283419568592195</v>
      </c>
      <c r="BA12">
        <f>BA11</f>
        <v>20</v>
      </c>
      <c r="BC12">
        <f t="shared" ref="BC12:BC34" si="22">Y12 * 1.6</f>
        <v>0</v>
      </c>
      <c r="BD12">
        <f>BD11</f>
        <v>4.3835616438356165E-2</v>
      </c>
      <c r="BE12">
        <f t="shared" si="15"/>
        <v>-4.6000000000000006E-2</v>
      </c>
      <c r="BF12">
        <v>57</v>
      </c>
      <c r="BG12">
        <f t="shared" ref="BG12:BG34" si="23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 t="shared" si="16"/>
        <v>78.400000000000006</v>
      </c>
      <c r="BJ12">
        <f t="shared" ref="BJ12:BJ34" si="24">(AJ12  / 6.25 ) - BH12</f>
        <v>9.7174894089300384E-3</v>
      </c>
      <c r="BK12">
        <f t="shared" ref="BK12:BK34" si="25">H12*BJ12*L12</f>
        <v>62.070463599540624</v>
      </c>
      <c r="BM12" s="28"/>
      <c r="CB12" s="13" t="s">
        <v>271</v>
      </c>
      <c r="CC12" s="13">
        <v>0.78</v>
      </c>
    </row>
    <row r="13" spans="1:82" x14ac:dyDescent="0.2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N13">
        <v>0.01</v>
      </c>
      <c r="P13">
        <v>0.12</v>
      </c>
      <c r="R13">
        <v>0.64</v>
      </c>
      <c r="T13">
        <v>50</v>
      </c>
      <c r="U13">
        <f t="shared" si="17"/>
        <v>0</v>
      </c>
      <c r="V13">
        <f t="shared" ref="V13:V34" si="26">$V$11</f>
        <v>1</v>
      </c>
      <c r="W13">
        <f t="shared" si="1"/>
        <v>0.72</v>
      </c>
      <c r="X13">
        <f t="shared" si="2"/>
        <v>4.7000000000000002E-3</v>
      </c>
      <c r="Y13">
        <f t="shared" si="3"/>
        <v>0</v>
      </c>
      <c r="Z13">
        <v>0</v>
      </c>
      <c r="AA13">
        <f t="shared" si="18"/>
        <v>0</v>
      </c>
      <c r="AB13">
        <f t="shared" ref="AB13:AB34" si="27">$AB$11</f>
        <v>1.3</v>
      </c>
      <c r="AC13">
        <f t="shared" si="4"/>
        <v>1</v>
      </c>
      <c r="AD13">
        <f t="shared" si="5"/>
        <v>0.50740000000000007</v>
      </c>
      <c r="AF13">
        <v>1.6</v>
      </c>
      <c r="AG13">
        <f t="shared" si="19"/>
        <v>0.99402397710499402</v>
      </c>
      <c r="AH13">
        <f t="shared" si="6"/>
        <v>1.0054871153505722</v>
      </c>
      <c r="AI13">
        <f t="shared" si="20"/>
        <v>0.99947830132860371</v>
      </c>
      <c r="AJ13">
        <f t="shared" si="7"/>
        <v>0.11993739615943244</v>
      </c>
      <c r="AK13">
        <f t="shared" si="8"/>
        <v>0.08</v>
      </c>
      <c r="AL13">
        <f t="shared" si="9"/>
        <v>0.36778882639365651</v>
      </c>
      <c r="AM13">
        <f t="shared" si="10"/>
        <v>0.19</v>
      </c>
      <c r="AN13">
        <f t="shared" si="11"/>
        <v>0.6784</v>
      </c>
      <c r="AO13">
        <f t="shared" si="12"/>
        <v>0</v>
      </c>
      <c r="AP13">
        <f t="shared" si="13"/>
        <v>2.2281059026413275E-4</v>
      </c>
      <c r="AQ13">
        <f t="shared" si="21"/>
        <v>2.2281059026413275E-4</v>
      </c>
      <c r="AR13">
        <f t="shared" si="14"/>
        <v>1.3215453135041375</v>
      </c>
      <c r="BA13">
        <f>BA11</f>
        <v>20</v>
      </c>
      <c r="BC13">
        <f t="shared" si="22"/>
        <v>0</v>
      </c>
      <c r="BD13">
        <f>BD11</f>
        <v>4.3835616438356165E-2</v>
      </c>
      <c r="BE13">
        <f t="shared" si="15"/>
        <v>9.1999999999999998E-3</v>
      </c>
      <c r="BF13">
        <v>57</v>
      </c>
      <c r="BG13">
        <f t="shared" si="23"/>
        <v>0.8771929824561403</v>
      </c>
      <c r="BH13">
        <f t="shared" ref="BH13:BH14" si="28">((0.045 * BC13) + (BD$11 * 0.84)  + (BE13 * ((212 - 4 * ((BE13 * 1000)/(4* (BF13^0.75)) - 1)) - ((140 - 4 * (((BE13 * 1000)/(4 * BF13 ^0.75)) - 1))/(1 + EXP(-6 * (BG13 - 0.4)))))) * 10^-3) / 6.25</f>
        <v>6.008902955663851E-3</v>
      </c>
      <c r="BI13">
        <f t="shared" si="16"/>
        <v>80</v>
      </c>
      <c r="BJ13">
        <f t="shared" si="24"/>
        <v>1.3181080429845341E-2</v>
      </c>
      <c r="BK13">
        <f t="shared" si="25"/>
        <v>78.180283299520184</v>
      </c>
      <c r="BM13" s="28"/>
      <c r="CB13" s="13" t="s">
        <v>272</v>
      </c>
      <c r="CC13" s="13">
        <v>0.74</v>
      </c>
    </row>
    <row r="14" spans="1:82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N14">
        <v>0</v>
      </c>
      <c r="P14">
        <v>0.18</v>
      </c>
      <c r="R14">
        <v>0.72</v>
      </c>
      <c r="T14">
        <v>50</v>
      </c>
      <c r="U14">
        <f t="shared" si="17"/>
        <v>0</v>
      </c>
      <c r="V14">
        <f t="shared" si="26"/>
        <v>1</v>
      </c>
      <c r="W14">
        <f t="shared" si="1"/>
        <v>0.72</v>
      </c>
      <c r="X14">
        <f t="shared" si="2"/>
        <v>4.7000000000000002E-3</v>
      </c>
      <c r="Y14">
        <f t="shared" si="3"/>
        <v>0</v>
      </c>
      <c r="Z14">
        <v>0</v>
      </c>
      <c r="AA14">
        <f t="shared" si="18"/>
        <v>0</v>
      </c>
      <c r="AB14">
        <f t="shared" si="27"/>
        <v>1.3</v>
      </c>
      <c r="AC14">
        <f t="shared" si="4"/>
        <v>1</v>
      </c>
      <c r="AD14">
        <f t="shared" si="5"/>
        <v>0.57100000000000006</v>
      </c>
      <c r="AF14">
        <v>1.7</v>
      </c>
      <c r="AG14">
        <f t="shared" si="19"/>
        <v>0.99691128459176326</v>
      </c>
      <c r="AH14">
        <f t="shared" si="6"/>
        <v>1.1306948910936463</v>
      </c>
      <c r="AI14">
        <f t="shared" si="20"/>
        <v>1.1272024963615108</v>
      </c>
      <c r="AJ14">
        <f t="shared" si="7"/>
        <v>0.20289644934507195</v>
      </c>
      <c r="AK14">
        <f t="shared" si="8"/>
        <v>0.08</v>
      </c>
      <c r="AL14">
        <f t="shared" si="9"/>
        <v>0.33712490827789848</v>
      </c>
      <c r="AM14">
        <f t="shared" si="10"/>
        <v>0.19</v>
      </c>
      <c r="AN14">
        <f t="shared" si="11"/>
        <v>0.6784</v>
      </c>
      <c r="AO14">
        <f t="shared" si="12"/>
        <v>0</v>
      </c>
      <c r="AP14">
        <f t="shared" si="13"/>
        <v>2.0423404523372364E-4</v>
      </c>
      <c r="AQ14">
        <f t="shared" si="21"/>
        <v>2.0423404523372364E-4</v>
      </c>
      <c r="AR14">
        <f t="shared" si="14"/>
        <v>1.4909085302061826</v>
      </c>
      <c r="BA14">
        <f>BA11</f>
        <v>20</v>
      </c>
      <c r="BC14">
        <f t="shared" si="22"/>
        <v>0</v>
      </c>
      <c r="BD14">
        <f>BD11</f>
        <v>4.3835616438356165E-2</v>
      </c>
      <c r="BE14">
        <f t="shared" si="15"/>
        <v>0</v>
      </c>
      <c r="BF14">
        <v>57</v>
      </c>
      <c r="BG14">
        <f t="shared" si="23"/>
        <v>0.8771929824561403</v>
      </c>
      <c r="BH14">
        <f t="shared" si="28"/>
        <v>5.8915068493150683E-3</v>
      </c>
      <c r="BI14">
        <f t="shared" si="16"/>
        <v>80</v>
      </c>
      <c r="BJ14">
        <f t="shared" si="24"/>
        <v>2.6571925045896443E-2</v>
      </c>
      <c r="BK14">
        <f t="shared" si="25"/>
        <v>193.97505283504404</v>
      </c>
      <c r="BM14" s="28"/>
      <c r="CB14" s="13" t="s">
        <v>273</v>
      </c>
      <c r="CC14" s="13">
        <v>0.69</v>
      </c>
    </row>
    <row r="15" spans="1:82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N15">
        <v>0.16</v>
      </c>
      <c r="P15">
        <v>0.2</v>
      </c>
      <c r="R15">
        <v>0.75</v>
      </c>
      <c r="T15">
        <v>20</v>
      </c>
      <c r="U15">
        <f t="shared" si="17"/>
        <v>0</v>
      </c>
      <c r="V15">
        <f t="shared" si="26"/>
        <v>1</v>
      </c>
      <c r="W15">
        <f t="shared" si="1"/>
        <v>0.72</v>
      </c>
      <c r="X15">
        <f t="shared" si="2"/>
        <v>4.7000000000000002E-3</v>
      </c>
      <c r="Y15">
        <f t="shared" si="3"/>
        <v>0</v>
      </c>
      <c r="Z15">
        <v>1</v>
      </c>
      <c r="AA15">
        <f t="shared" si="18"/>
        <v>1.6</v>
      </c>
      <c r="AB15">
        <f t="shared" si="27"/>
        <v>1.3</v>
      </c>
      <c r="AC15">
        <f t="shared" si="4"/>
        <v>1</v>
      </c>
      <c r="AD15">
        <f t="shared" si="5"/>
        <v>0.5948500000000001</v>
      </c>
      <c r="AF15">
        <v>2.9</v>
      </c>
      <c r="AG15">
        <f t="shared" si="19"/>
        <v>0.9999999504359468</v>
      </c>
      <c r="AH15">
        <f t="shared" si="6"/>
        <v>0.5052226861752882</v>
      </c>
      <c r="AI15">
        <f t="shared" si="20"/>
        <v>0.50522266113440406</v>
      </c>
      <c r="AJ15">
        <f t="shared" si="7"/>
        <v>0.17304453222688082</v>
      </c>
      <c r="AK15">
        <f t="shared" si="8"/>
        <v>0.08</v>
      </c>
      <c r="AL15">
        <f t="shared" si="9"/>
        <v>0.12559440975442615</v>
      </c>
      <c r="AM15">
        <f t="shared" si="10"/>
        <v>0.19</v>
      </c>
      <c r="AN15">
        <f t="shared" si="11"/>
        <v>0.6784</v>
      </c>
      <c r="AO15">
        <f t="shared" si="12"/>
        <v>0</v>
      </c>
      <c r="AP15">
        <f t="shared" si="13"/>
        <v>7.6086500086620609E-5</v>
      </c>
      <c r="AQ15">
        <f t="shared" si="21"/>
        <v>7.6086500086620609E-5</v>
      </c>
      <c r="AR15">
        <f t="shared" si="14"/>
        <v>1.388578626580826</v>
      </c>
      <c r="BA15">
        <v>15</v>
      </c>
      <c r="BB15">
        <v>0.85</v>
      </c>
      <c r="BC15">
        <f t="shared" si="22"/>
        <v>0</v>
      </c>
      <c r="BD15">
        <f t="shared" ref="BD15:BD31" si="29">(BA15 * BB15) / 365</f>
        <v>3.4931506849315071E-2</v>
      </c>
      <c r="BE15">
        <f t="shared" si="15"/>
        <v>0.1472</v>
      </c>
      <c r="BF15">
        <v>60</v>
      </c>
      <c r="BG15">
        <f t="shared" si="23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 t="shared" si="16"/>
        <v>32</v>
      </c>
      <c r="BJ15">
        <f t="shared" si="24"/>
        <v>1.9362421603544667E-2</v>
      </c>
      <c r="BK15">
        <f t="shared" si="25"/>
        <v>353.36419426469018</v>
      </c>
      <c r="BM15" s="28"/>
      <c r="CB15" s="13" t="s">
        <v>274</v>
      </c>
      <c r="CC15" s="13">
        <v>0.73</v>
      </c>
    </row>
    <row r="16" spans="1:82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N16">
        <v>0.08</v>
      </c>
      <c r="P16">
        <v>0.1</v>
      </c>
      <c r="R16">
        <v>0.61</v>
      </c>
      <c r="T16">
        <v>27</v>
      </c>
      <c r="U16">
        <f t="shared" si="17"/>
        <v>0</v>
      </c>
      <c r="V16">
        <f t="shared" si="26"/>
        <v>1</v>
      </c>
      <c r="W16">
        <f t="shared" si="1"/>
        <v>0.72</v>
      </c>
      <c r="X16">
        <f t="shared" si="2"/>
        <v>4.7000000000000002E-3</v>
      </c>
      <c r="Y16">
        <f t="shared" si="3"/>
        <v>0</v>
      </c>
      <c r="Z16">
        <v>0</v>
      </c>
      <c r="AA16">
        <f t="shared" si="18"/>
        <v>0</v>
      </c>
      <c r="AB16">
        <f t="shared" si="27"/>
        <v>1.3</v>
      </c>
      <c r="AC16">
        <f t="shared" si="4"/>
        <v>1</v>
      </c>
      <c r="AD16">
        <f t="shared" si="5"/>
        <v>0.48354999999999998</v>
      </c>
      <c r="AF16">
        <v>2.5</v>
      </c>
      <c r="AG16">
        <f t="shared" si="19"/>
        <v>0.99999627334682795</v>
      </c>
      <c r="AH16">
        <f t="shared" si="6"/>
        <v>0.52017847077168489</v>
      </c>
      <c r="AI16">
        <f t="shared" si="20"/>
        <v>0.52017653224693672</v>
      </c>
      <c r="AJ16">
        <f t="shared" si="7"/>
        <v>5.2017653224693677E-2</v>
      </c>
      <c r="AK16">
        <f t="shared" si="8"/>
        <v>0.08</v>
      </c>
      <c r="AL16">
        <f t="shared" si="9"/>
        <v>0.1965968171591774</v>
      </c>
      <c r="AM16">
        <f t="shared" si="10"/>
        <v>0.19</v>
      </c>
      <c r="AN16">
        <f t="shared" si="11"/>
        <v>0.6784</v>
      </c>
      <c r="AO16">
        <f t="shared" si="12"/>
        <v>0</v>
      </c>
      <c r="AP16">
        <f t="shared" si="13"/>
        <v>1.1910055371938185E-4</v>
      </c>
      <c r="AQ16">
        <f t="shared" si="21"/>
        <v>1.1910055371938185E-4</v>
      </c>
      <c r="AR16">
        <f t="shared" si="14"/>
        <v>2.2822643606476545</v>
      </c>
      <c r="BA16">
        <f>BA15</f>
        <v>15</v>
      </c>
      <c r="BC16">
        <f t="shared" si="22"/>
        <v>0</v>
      </c>
      <c r="BD16">
        <f>BD15</f>
        <v>3.4931506849315071E-2</v>
      </c>
      <c r="BE16">
        <f t="shared" si="15"/>
        <v>7.3599999999999999E-2</v>
      </c>
      <c r="BF16">
        <v>61</v>
      </c>
      <c r="BG16">
        <f t="shared" si="23"/>
        <v>0.44262295081967212</v>
      </c>
      <c r="BH16">
        <f t="shared" ref="BH16:BH34" si="30">((0.045 * BC16) + (BD16 * 0.84)  + (BE16 * ((212 - 4 * ((BE16 * 1000)/(4* (BF16^0.75)) - 1)) - ((140 - 4 * (((BE16 * 1000)/(4 * BF16 ^0.75)) - 1))/(1 + EXP(-6 * (BG16 - 0.4)))))) * 10^-3) / 6.25</f>
        <v>6.2653801002051776E-3</v>
      </c>
      <c r="BI16">
        <f t="shared" si="16"/>
        <v>43.2</v>
      </c>
      <c r="BJ16">
        <f t="shared" si="24"/>
        <v>2.0574444157458105E-3</v>
      </c>
      <c r="BK16">
        <f t="shared" si="25"/>
        <v>39.42577861672909</v>
      </c>
      <c r="BM16" s="28"/>
      <c r="CB16" s="13" t="s">
        <v>275</v>
      </c>
      <c r="CC16" s="13">
        <v>0.76</v>
      </c>
    </row>
    <row r="17" spans="5:81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N17">
        <v>0.05</v>
      </c>
      <c r="P17">
        <v>0.12</v>
      </c>
      <c r="R17">
        <v>0.64</v>
      </c>
      <c r="T17">
        <v>32</v>
      </c>
      <c r="U17">
        <f t="shared" si="17"/>
        <v>0</v>
      </c>
      <c r="V17">
        <f t="shared" si="26"/>
        <v>1</v>
      </c>
      <c r="W17">
        <f t="shared" si="1"/>
        <v>0.72</v>
      </c>
      <c r="X17">
        <f t="shared" si="2"/>
        <v>4.7000000000000002E-3</v>
      </c>
      <c r="Y17">
        <f t="shared" si="3"/>
        <v>0</v>
      </c>
      <c r="Z17">
        <v>0</v>
      </c>
      <c r="AA17">
        <f t="shared" si="18"/>
        <v>0</v>
      </c>
      <c r="AB17">
        <f t="shared" si="27"/>
        <v>1.3</v>
      </c>
      <c r="AC17">
        <f t="shared" si="4"/>
        <v>1</v>
      </c>
      <c r="AD17">
        <f t="shared" si="5"/>
        <v>0.50740000000000007</v>
      </c>
      <c r="AF17">
        <v>1.6</v>
      </c>
      <c r="AG17">
        <f t="shared" si="19"/>
        <v>0.99402397710499402</v>
      </c>
      <c r="AH17">
        <f t="shared" si="6"/>
        <v>0.64511931548462409</v>
      </c>
      <c r="AI17">
        <f t="shared" si="20"/>
        <v>0.64126406768527744</v>
      </c>
      <c r="AJ17">
        <f t="shared" si="7"/>
        <v>7.6951688122233283E-2</v>
      </c>
      <c r="AK17">
        <f t="shared" si="8"/>
        <v>0.08</v>
      </c>
      <c r="AL17">
        <f t="shared" si="9"/>
        <v>0.22751954066312097</v>
      </c>
      <c r="AM17">
        <f t="shared" si="10"/>
        <v>0.19</v>
      </c>
      <c r="AN17">
        <f t="shared" si="11"/>
        <v>0.6784</v>
      </c>
      <c r="AO17">
        <f t="shared" si="12"/>
        <v>0</v>
      </c>
      <c r="AP17">
        <f t="shared" si="13"/>
        <v>1.378338859525741E-4</v>
      </c>
      <c r="AQ17">
        <f t="shared" si="21"/>
        <v>1.378338859525741E-4</v>
      </c>
      <c r="AR17">
        <f t="shared" si="14"/>
        <v>2.1381481558393056</v>
      </c>
      <c r="BA17">
        <f>BA15</f>
        <v>15</v>
      </c>
      <c r="BC17">
        <f t="shared" si="22"/>
        <v>0</v>
      </c>
      <c r="BD17">
        <f>BD15</f>
        <v>3.4931506849315071E-2</v>
      </c>
      <c r="BE17">
        <f t="shared" si="15"/>
        <v>4.6000000000000006E-2</v>
      </c>
      <c r="BF17">
        <v>62</v>
      </c>
      <c r="BG17">
        <f t="shared" si="23"/>
        <v>0.5161290322580645</v>
      </c>
      <c r="BH17">
        <f t="shared" si="30"/>
        <v>5.572045502257067E-3</v>
      </c>
      <c r="BI17">
        <f t="shared" si="16"/>
        <v>51.2</v>
      </c>
      <c r="BJ17">
        <f t="shared" si="24"/>
        <v>6.7402245973002591E-3</v>
      </c>
      <c r="BK17">
        <f t="shared" si="25"/>
        <v>104.55773406562028</v>
      </c>
      <c r="BM17" s="28"/>
    </row>
    <row r="18" spans="5:81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N18">
        <v>0.04</v>
      </c>
      <c r="P18">
        <v>0.18</v>
      </c>
      <c r="R18">
        <v>0.72</v>
      </c>
      <c r="T18">
        <v>34</v>
      </c>
      <c r="U18">
        <f t="shared" si="17"/>
        <v>0</v>
      </c>
      <c r="V18">
        <f t="shared" si="26"/>
        <v>1</v>
      </c>
      <c r="W18">
        <f t="shared" si="1"/>
        <v>0.72</v>
      </c>
      <c r="X18">
        <f t="shared" si="2"/>
        <v>4.7000000000000002E-3</v>
      </c>
      <c r="Y18">
        <f t="shared" si="3"/>
        <v>0</v>
      </c>
      <c r="Z18">
        <v>0</v>
      </c>
      <c r="AA18">
        <f t="shared" si="18"/>
        <v>0</v>
      </c>
      <c r="AB18">
        <f t="shared" si="27"/>
        <v>1.3</v>
      </c>
      <c r="AC18">
        <f t="shared" si="4"/>
        <v>1</v>
      </c>
      <c r="AD18">
        <f t="shared" si="5"/>
        <v>0.57100000000000006</v>
      </c>
      <c r="AF18">
        <v>1.7</v>
      </c>
      <c r="AG18">
        <f t="shared" si="19"/>
        <v>0.99691128459176326</v>
      </c>
      <c r="AH18">
        <f t="shared" si="6"/>
        <v>0.77753323213623582</v>
      </c>
      <c r="AI18">
        <f t="shared" si="20"/>
        <v>0.77513165326172051</v>
      </c>
      <c r="AJ18">
        <f t="shared" si="7"/>
        <v>0.1395236975871097</v>
      </c>
      <c r="AK18">
        <f t="shared" si="8"/>
        <v>0.08</v>
      </c>
      <c r="AL18">
        <f t="shared" si="9"/>
        <v>0.22178442402010679</v>
      </c>
      <c r="AM18">
        <f t="shared" si="10"/>
        <v>0.19</v>
      </c>
      <c r="AN18">
        <f t="shared" si="11"/>
        <v>0.6784</v>
      </c>
      <c r="AO18">
        <f t="shared" si="12"/>
        <v>0</v>
      </c>
      <c r="AP18">
        <f t="shared" si="13"/>
        <v>1.3435948805692974E-4</v>
      </c>
      <c r="AQ18">
        <f t="shared" si="21"/>
        <v>1.3435948805692974E-4</v>
      </c>
      <c r="AR18">
        <f t="shared" si="14"/>
        <v>2.4520606570389676</v>
      </c>
      <c r="BA18">
        <f>BA15</f>
        <v>15</v>
      </c>
      <c r="BC18">
        <f t="shared" si="22"/>
        <v>0</v>
      </c>
      <c r="BD18">
        <f>BD15</f>
        <v>3.4931506849315071E-2</v>
      </c>
      <c r="BE18">
        <f t="shared" si="15"/>
        <v>3.6799999999999999E-2</v>
      </c>
      <c r="BF18">
        <v>63</v>
      </c>
      <c r="BG18">
        <f t="shared" si="23"/>
        <v>0.53968253968253965</v>
      </c>
      <c r="BH18">
        <f t="shared" si="30"/>
        <v>5.3718080165132106E-3</v>
      </c>
      <c r="BI18">
        <f t="shared" si="16"/>
        <v>54.400000000000006</v>
      </c>
      <c r="BJ18">
        <f t="shared" si="24"/>
        <v>1.6951983597424343E-2</v>
      </c>
      <c r="BK18">
        <f t="shared" si="25"/>
        <v>309.37370065299427</v>
      </c>
      <c r="BM18" s="28"/>
      <c r="CA18" t="s">
        <v>149</v>
      </c>
      <c r="CB18" s="13" t="s">
        <v>254</v>
      </c>
      <c r="CC18" s="13">
        <v>6.0000000000000001E-3</v>
      </c>
    </row>
    <row r="19" spans="5:81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7"/>
        <v>0</v>
      </c>
      <c r="V19">
        <f t="shared" si="26"/>
        <v>1</v>
      </c>
      <c r="W19">
        <f t="shared" si="1"/>
        <v>0.72</v>
      </c>
      <c r="X19">
        <f t="shared" si="2"/>
        <v>4.7000000000000002E-3</v>
      </c>
      <c r="Y19">
        <f t="shared" si="3"/>
        <v>0.874</v>
      </c>
      <c r="Z19">
        <v>0</v>
      </c>
      <c r="AA19">
        <f t="shared" si="18"/>
        <v>0</v>
      </c>
      <c r="AB19">
        <f t="shared" si="27"/>
        <v>1.3</v>
      </c>
      <c r="AC19">
        <f t="shared" si="4"/>
        <v>1.2622</v>
      </c>
      <c r="AD19">
        <f t="shared" si="5"/>
        <v>0.5948500000000001</v>
      </c>
      <c r="AF19">
        <v>2.9</v>
      </c>
      <c r="AG19">
        <f t="shared" si="19"/>
        <v>0.9999999504359468</v>
      </c>
      <c r="AH19">
        <f t="shared" si="6"/>
        <v>1.0385156413271623</v>
      </c>
      <c r="AI19">
        <f t="shared" si="20"/>
        <v>1.3108143775138676</v>
      </c>
      <c r="AJ19">
        <f t="shared" si="7"/>
        <v>0.26216287550277356</v>
      </c>
      <c r="AK19">
        <f t="shared" si="8"/>
        <v>0.08</v>
      </c>
      <c r="AL19">
        <f t="shared" si="9"/>
        <v>0.36471833025672168</v>
      </c>
      <c r="AM19">
        <f t="shared" si="10"/>
        <v>0.19</v>
      </c>
      <c r="AN19">
        <f t="shared" si="11"/>
        <v>0.6784</v>
      </c>
      <c r="AO19">
        <f t="shared" si="12"/>
        <v>0</v>
      </c>
      <c r="AP19">
        <f t="shared" si="13"/>
        <v>2.2095044931482087E-4</v>
      </c>
      <c r="AQ19">
        <f t="shared" si="21"/>
        <v>2.2095044931482087E-4</v>
      </c>
      <c r="AR19">
        <f t="shared" si="14"/>
        <v>2.0161728499977403</v>
      </c>
      <c r="BA19">
        <v>18</v>
      </c>
      <c r="BB19">
        <v>0.8</v>
      </c>
      <c r="BC19">
        <f t="shared" si="22"/>
        <v>1.3984000000000001</v>
      </c>
      <c r="BD19">
        <f t="shared" si="29"/>
        <v>3.9452054794520547E-2</v>
      </c>
      <c r="BE19">
        <f t="shared" si="15"/>
        <v>6.4400000000000013E-2</v>
      </c>
      <c r="BF19">
        <v>57</v>
      </c>
      <c r="BG19">
        <f t="shared" si="23"/>
        <v>0.77192982456140347</v>
      </c>
      <c r="BH19">
        <f t="shared" si="30"/>
        <v>1.6253475478570988E-2</v>
      </c>
      <c r="BI19">
        <f t="shared" si="16"/>
        <v>70.400000000000006</v>
      </c>
      <c r="BJ19">
        <f t="shared" si="24"/>
        <v>2.5692584601872782E-2</v>
      </c>
      <c r="BK19">
        <f t="shared" si="25"/>
        <v>234.44483449208911</v>
      </c>
      <c r="BM19" s="28"/>
      <c r="CB19" s="13" t="s">
        <v>255</v>
      </c>
      <c r="CC19" s="13">
        <v>2E-3</v>
      </c>
    </row>
    <row r="20" spans="5:81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N20">
        <v>0</v>
      </c>
      <c r="P20">
        <v>0.1</v>
      </c>
      <c r="R20">
        <v>0.61</v>
      </c>
      <c r="T20">
        <v>42</v>
      </c>
      <c r="U20">
        <f t="shared" si="17"/>
        <v>0</v>
      </c>
      <c r="V20">
        <f t="shared" si="26"/>
        <v>1</v>
      </c>
      <c r="W20">
        <f t="shared" si="1"/>
        <v>0.72</v>
      </c>
      <c r="X20">
        <f t="shared" si="2"/>
        <v>4.7000000000000002E-3</v>
      </c>
      <c r="Y20">
        <f t="shared" si="3"/>
        <v>0</v>
      </c>
      <c r="Z20">
        <v>0</v>
      </c>
      <c r="AA20">
        <f t="shared" si="18"/>
        <v>0</v>
      </c>
      <c r="AB20">
        <f t="shared" si="27"/>
        <v>1.3</v>
      </c>
      <c r="AC20">
        <f t="shared" si="4"/>
        <v>1</v>
      </c>
      <c r="AD20">
        <f t="shared" si="5"/>
        <v>0.48354999999999998</v>
      </c>
      <c r="AF20">
        <v>2.5</v>
      </c>
      <c r="AG20">
        <f t="shared" si="19"/>
        <v>0.99999627334682795</v>
      </c>
      <c r="AH20">
        <f t="shared" si="6"/>
        <v>0.80052120768394575</v>
      </c>
      <c r="AI20">
        <f t="shared" si="20"/>
        <v>0.80051822441904785</v>
      </c>
      <c r="AJ20">
        <f t="shared" si="7"/>
        <v>8.0051822441904785E-2</v>
      </c>
      <c r="AK20">
        <f t="shared" si="8"/>
        <v>0.08</v>
      </c>
      <c r="AL20">
        <f t="shared" si="9"/>
        <v>0.31080846185822891</v>
      </c>
      <c r="AM20">
        <f t="shared" si="10"/>
        <v>0.19</v>
      </c>
      <c r="AN20">
        <f t="shared" si="11"/>
        <v>0.6784</v>
      </c>
      <c r="AO20">
        <f t="shared" si="12"/>
        <v>0</v>
      </c>
      <c r="AP20">
        <f t="shared" si="13"/>
        <v>1.8829124724848792E-4</v>
      </c>
      <c r="AQ20">
        <f t="shared" si="21"/>
        <v>1.8829124724848792E-4</v>
      </c>
      <c r="AR20">
        <f t="shared" si="14"/>
        <v>2.4054206835994334</v>
      </c>
      <c r="BA20">
        <f>BA19</f>
        <v>18</v>
      </c>
      <c r="BC20">
        <f t="shared" si="22"/>
        <v>0</v>
      </c>
      <c r="BD20">
        <f>BD19</f>
        <v>3.9452054794520547E-2</v>
      </c>
      <c r="BE20">
        <f t="shared" si="15"/>
        <v>0</v>
      </c>
      <c r="BF20">
        <v>57</v>
      </c>
      <c r="BG20">
        <f t="shared" si="23"/>
        <v>0.73684210526315785</v>
      </c>
      <c r="BH20">
        <f t="shared" si="30"/>
        <v>5.3023561643835617E-3</v>
      </c>
      <c r="BI20">
        <f t="shared" si="16"/>
        <v>67.2</v>
      </c>
      <c r="BJ20">
        <f t="shared" si="24"/>
        <v>7.5059354263212041E-3</v>
      </c>
      <c r="BK20">
        <f t="shared" si="25"/>
        <v>95.888325071253377</v>
      </c>
      <c r="BM20" s="28"/>
      <c r="CA20" t="s">
        <v>258</v>
      </c>
      <c r="CB20">
        <v>0.6784</v>
      </c>
    </row>
    <row r="21" spans="5:81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N21">
        <v>0</v>
      </c>
      <c r="P21">
        <v>0.12</v>
      </c>
      <c r="R21">
        <v>0.64</v>
      </c>
      <c r="T21">
        <v>43</v>
      </c>
      <c r="U21">
        <f t="shared" si="17"/>
        <v>0</v>
      </c>
      <c r="V21">
        <f t="shared" si="26"/>
        <v>1</v>
      </c>
      <c r="W21">
        <f t="shared" si="1"/>
        <v>0.72</v>
      </c>
      <c r="X21">
        <f t="shared" si="2"/>
        <v>4.7000000000000002E-3</v>
      </c>
      <c r="Y21">
        <f t="shared" si="3"/>
        <v>0</v>
      </c>
      <c r="Z21">
        <v>0</v>
      </c>
      <c r="AA21">
        <f t="shared" si="18"/>
        <v>0</v>
      </c>
      <c r="AB21">
        <f t="shared" si="27"/>
        <v>1.3</v>
      </c>
      <c r="AC21">
        <f t="shared" si="4"/>
        <v>1</v>
      </c>
      <c r="AD21">
        <f t="shared" si="5"/>
        <v>0.50740000000000007</v>
      </c>
      <c r="AF21">
        <v>1.6</v>
      </c>
      <c r="AG21">
        <f t="shared" si="19"/>
        <v>0.99402397710499402</v>
      </c>
      <c r="AH21">
        <f t="shared" si="6"/>
        <v>0.86186034677094148</v>
      </c>
      <c r="AI21">
        <f t="shared" si="20"/>
        <v>0.85670984960634056</v>
      </c>
      <c r="AJ21">
        <f t="shared" si="7"/>
        <v>0.10280518195276087</v>
      </c>
      <c r="AK21">
        <f t="shared" si="8"/>
        <v>0.08</v>
      </c>
      <c r="AL21">
        <f t="shared" si="9"/>
        <v>0.31075172719360067</v>
      </c>
      <c r="AM21">
        <f t="shared" si="10"/>
        <v>0.19</v>
      </c>
      <c r="AN21">
        <f t="shared" si="11"/>
        <v>0.6784</v>
      </c>
      <c r="AO21">
        <f t="shared" si="12"/>
        <v>0</v>
      </c>
      <c r="AP21">
        <f t="shared" si="13"/>
        <v>1.8825687675322786E-4</v>
      </c>
      <c r="AQ21">
        <f t="shared" si="21"/>
        <v>1.8825687675322786E-4</v>
      </c>
      <c r="AR21">
        <f t="shared" si="14"/>
        <v>2.3190894005038256</v>
      </c>
      <c r="BA21">
        <f>BA19</f>
        <v>18</v>
      </c>
      <c r="BC21">
        <f t="shared" si="22"/>
        <v>0</v>
      </c>
      <c r="BD21">
        <f>BD19</f>
        <v>3.9452054794520547E-2</v>
      </c>
      <c r="BE21">
        <f t="shared" si="15"/>
        <v>0</v>
      </c>
      <c r="BF21">
        <v>57</v>
      </c>
      <c r="BG21">
        <f t="shared" si="23"/>
        <v>0.75438596491228072</v>
      </c>
      <c r="BH21">
        <f t="shared" si="30"/>
        <v>5.3023561643835617E-3</v>
      </c>
      <c r="BI21">
        <f t="shared" si="16"/>
        <v>68.8</v>
      </c>
      <c r="BJ21">
        <f t="shared" si="24"/>
        <v>1.1146472948058176E-2</v>
      </c>
      <c r="BK21">
        <f t="shared" si="25"/>
        <v>137.31061362889167</v>
      </c>
      <c r="BM21" s="28"/>
    </row>
    <row r="22" spans="5:81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N22">
        <v>0.02</v>
      </c>
      <c r="P22">
        <v>0.18</v>
      </c>
      <c r="R22">
        <v>0.72</v>
      </c>
      <c r="T22">
        <v>45</v>
      </c>
      <c r="U22">
        <f t="shared" si="17"/>
        <v>0</v>
      </c>
      <c r="V22">
        <f t="shared" si="26"/>
        <v>1</v>
      </c>
      <c r="W22">
        <f t="shared" si="1"/>
        <v>0.72</v>
      </c>
      <c r="X22">
        <f t="shared" si="2"/>
        <v>4.7000000000000002E-3</v>
      </c>
      <c r="Y22">
        <f t="shared" si="3"/>
        <v>0</v>
      </c>
      <c r="Z22">
        <v>0</v>
      </c>
      <c r="AA22">
        <f t="shared" si="18"/>
        <v>0</v>
      </c>
      <c r="AB22">
        <f t="shared" si="27"/>
        <v>1.3</v>
      </c>
      <c r="AC22">
        <f t="shared" si="4"/>
        <v>1</v>
      </c>
      <c r="AD22">
        <f t="shared" si="5"/>
        <v>0.57100000000000006</v>
      </c>
      <c r="AF22">
        <v>1.7</v>
      </c>
      <c r="AG22">
        <f t="shared" si="19"/>
        <v>0.99691128459176326</v>
      </c>
      <c r="AH22">
        <f t="shared" si="6"/>
        <v>1.0181162441707754</v>
      </c>
      <c r="AI22">
        <f t="shared" si="20"/>
        <v>1.014971572840029</v>
      </c>
      <c r="AJ22">
        <f t="shared" si="7"/>
        <v>0.18269488311120521</v>
      </c>
      <c r="AK22">
        <f t="shared" si="8"/>
        <v>0.08</v>
      </c>
      <c r="AL22">
        <f t="shared" si="9"/>
        <v>0.29936683357077126</v>
      </c>
      <c r="AM22">
        <f t="shared" si="10"/>
        <v>0.19</v>
      </c>
      <c r="AN22">
        <f t="shared" si="11"/>
        <v>0.6784</v>
      </c>
      <c r="AO22">
        <f t="shared" si="12"/>
        <v>0</v>
      </c>
      <c r="AP22">
        <f t="shared" si="13"/>
        <v>1.8135978068570922E-4</v>
      </c>
      <c r="AQ22">
        <f t="shared" si="21"/>
        <v>1.8135978068570922E-4</v>
      </c>
      <c r="AR22">
        <f t="shared" si="14"/>
        <v>2.1513803983842257</v>
      </c>
      <c r="BA22">
        <f>BA19</f>
        <v>18</v>
      </c>
      <c r="BC22">
        <f t="shared" si="22"/>
        <v>0</v>
      </c>
      <c r="BD22">
        <f>BD19</f>
        <v>3.9452054794520547E-2</v>
      </c>
      <c r="BE22">
        <f t="shared" si="15"/>
        <v>1.84E-2</v>
      </c>
      <c r="BF22">
        <v>57</v>
      </c>
      <c r="BG22">
        <f t="shared" si="23"/>
        <v>0.78947368421052633</v>
      </c>
      <c r="BH22">
        <f t="shared" si="30"/>
        <v>5.5514501759816046E-3</v>
      </c>
      <c r="BI22">
        <f t="shared" si="16"/>
        <v>72</v>
      </c>
      <c r="BJ22">
        <f t="shared" si="24"/>
        <v>2.367973112181123E-2</v>
      </c>
      <c r="BK22">
        <f t="shared" si="25"/>
        <v>280.90081043248574</v>
      </c>
      <c r="BM22" s="28"/>
    </row>
    <row r="23" spans="5:81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N23">
        <v>0.05</v>
      </c>
      <c r="P23">
        <v>0.2</v>
      </c>
      <c r="R23">
        <v>0.75</v>
      </c>
      <c r="T23">
        <v>56</v>
      </c>
      <c r="U23">
        <f t="shared" si="17"/>
        <v>0</v>
      </c>
      <c r="V23">
        <f t="shared" si="26"/>
        <v>1</v>
      </c>
      <c r="W23">
        <f t="shared" si="1"/>
        <v>0.72</v>
      </c>
      <c r="X23">
        <f t="shared" si="2"/>
        <v>4.7000000000000002E-3</v>
      </c>
      <c r="Y23">
        <f t="shared" si="3"/>
        <v>0</v>
      </c>
      <c r="Z23">
        <v>0</v>
      </c>
      <c r="AA23">
        <f t="shared" si="18"/>
        <v>0</v>
      </c>
      <c r="AB23">
        <f t="shared" si="27"/>
        <v>1.3</v>
      </c>
      <c r="AC23">
        <f t="shared" si="4"/>
        <v>1</v>
      </c>
      <c r="AD23">
        <f t="shared" si="5"/>
        <v>0.5948500000000001</v>
      </c>
      <c r="AF23">
        <v>2.9</v>
      </c>
      <c r="AG23">
        <f t="shared" si="19"/>
        <v>0.9999999504359468</v>
      </c>
      <c r="AH23">
        <f t="shared" si="6"/>
        <v>1.3198285488795851</v>
      </c>
      <c r="AI23">
        <f t="shared" si="20"/>
        <v>1.3198284834635328</v>
      </c>
      <c r="AJ23">
        <f t="shared" si="7"/>
        <v>0.26396569669270659</v>
      </c>
      <c r="AK23">
        <f t="shared" si="8"/>
        <v>0.08</v>
      </c>
      <c r="AL23">
        <f t="shared" si="9"/>
        <v>0.3676642091046412</v>
      </c>
      <c r="AM23">
        <f t="shared" si="10"/>
        <v>0.19</v>
      </c>
      <c r="AN23">
        <f t="shared" si="11"/>
        <v>0.6784</v>
      </c>
      <c r="AO23">
        <f t="shared" si="12"/>
        <v>0</v>
      </c>
      <c r="AP23">
        <f t="shared" si="13"/>
        <v>2.2273509571473364E-4</v>
      </c>
      <c r="AQ23">
        <f t="shared" si="21"/>
        <v>2.2273509571473364E-4</v>
      </c>
      <c r="AR23">
        <f t="shared" si="14"/>
        <v>4.0649154967938896</v>
      </c>
      <c r="BA23">
        <v>20</v>
      </c>
      <c r="BB23">
        <v>0.8</v>
      </c>
      <c r="BC23">
        <f t="shared" si="22"/>
        <v>0</v>
      </c>
      <c r="BD23">
        <f t="shared" si="29"/>
        <v>4.3835616438356165E-2</v>
      </c>
      <c r="BE23">
        <f t="shared" si="15"/>
        <v>4.6000000000000006E-2</v>
      </c>
      <c r="BF23">
        <v>57</v>
      </c>
      <c r="BG23">
        <f t="shared" si="23"/>
        <v>0.98245614035087714</v>
      </c>
      <c r="BH23">
        <f t="shared" si="30"/>
        <v>6.4521713957214491E-3</v>
      </c>
      <c r="BI23">
        <f t="shared" si="16"/>
        <v>89.600000000000009</v>
      </c>
      <c r="BJ23">
        <f t="shared" si="24"/>
        <v>3.5782340075111607E-2</v>
      </c>
      <c r="BK23">
        <f t="shared" si="25"/>
        <v>653.02770637078686</v>
      </c>
      <c r="BM23" s="28"/>
    </row>
    <row r="24" spans="5:81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N24">
        <v>-0.05</v>
      </c>
      <c r="P24">
        <v>0.1</v>
      </c>
      <c r="R24">
        <v>0.61</v>
      </c>
      <c r="T24">
        <v>51</v>
      </c>
      <c r="U24">
        <f t="shared" si="17"/>
        <v>0</v>
      </c>
      <c r="V24">
        <f t="shared" si="26"/>
        <v>1</v>
      </c>
      <c r="W24">
        <f t="shared" si="1"/>
        <v>0.72</v>
      </c>
      <c r="X24">
        <f t="shared" si="2"/>
        <v>4.7000000000000002E-3</v>
      </c>
      <c r="Y24">
        <f t="shared" si="3"/>
        <v>0</v>
      </c>
      <c r="Z24">
        <v>0</v>
      </c>
      <c r="AA24">
        <f t="shared" si="18"/>
        <v>0</v>
      </c>
      <c r="AB24">
        <f t="shared" si="27"/>
        <v>1.3</v>
      </c>
      <c r="AC24">
        <f t="shared" si="4"/>
        <v>1</v>
      </c>
      <c r="AD24">
        <f t="shared" si="5"/>
        <v>0.48354999999999998</v>
      </c>
      <c r="AF24">
        <v>2.5</v>
      </c>
      <c r="AG24">
        <f t="shared" si="19"/>
        <v>0.99999627334682795</v>
      </c>
      <c r="AH24">
        <f t="shared" si="6"/>
        <v>0.97873546256970145</v>
      </c>
      <c r="AI24">
        <f t="shared" si="20"/>
        <v>0.97873181516208529</v>
      </c>
      <c r="AJ24">
        <f t="shared" si="7"/>
        <v>9.7873181516208538E-2</v>
      </c>
      <c r="AK24">
        <f t="shared" si="8"/>
        <v>0.08</v>
      </c>
      <c r="AL24">
        <f t="shared" si="9"/>
        <v>0.38642028282934154</v>
      </c>
      <c r="AM24">
        <f t="shared" si="10"/>
        <v>0.19</v>
      </c>
      <c r="AN24">
        <f t="shared" si="11"/>
        <v>0.6784</v>
      </c>
      <c r="AO24">
        <f t="shared" si="12"/>
        <v>0</v>
      </c>
      <c r="AP24">
        <f t="shared" si="13"/>
        <v>2.3409773524518283E-4</v>
      </c>
      <c r="AQ24">
        <f t="shared" si="21"/>
        <v>2.3409773524518283E-4</v>
      </c>
      <c r="AR24">
        <f t="shared" si="14"/>
        <v>4.4858978516358157</v>
      </c>
      <c r="BA24">
        <f>BA23</f>
        <v>20</v>
      </c>
      <c r="BC24">
        <f t="shared" si="22"/>
        <v>0</v>
      </c>
      <c r="BD24">
        <f>BD23</f>
        <v>4.3835616438356165E-2</v>
      </c>
      <c r="BE24">
        <f t="shared" si="15"/>
        <v>-4.6000000000000006E-2</v>
      </c>
      <c r="BF24">
        <v>57</v>
      </c>
      <c r="BG24">
        <f t="shared" si="23"/>
        <v>0.89473684210526316</v>
      </c>
      <c r="BH24">
        <f t="shared" si="30"/>
        <v>5.3089915920333389E-3</v>
      </c>
      <c r="BI24">
        <f t="shared" si="16"/>
        <v>81.600000000000009</v>
      </c>
      <c r="BJ24">
        <f t="shared" si="24"/>
        <v>1.0350717450560029E-2</v>
      </c>
      <c r="BK24">
        <f t="shared" si="25"/>
        <v>198.34562314635656</v>
      </c>
      <c r="BM24" s="28"/>
    </row>
    <row r="25" spans="5:81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N25">
        <v>-0.01</v>
      </c>
      <c r="P25">
        <v>0.12</v>
      </c>
      <c r="R25">
        <v>0.64</v>
      </c>
      <c r="T25">
        <v>50</v>
      </c>
      <c r="U25">
        <f t="shared" si="17"/>
        <v>0</v>
      </c>
      <c r="V25">
        <f t="shared" si="26"/>
        <v>1</v>
      </c>
      <c r="W25">
        <f t="shared" si="1"/>
        <v>0.72</v>
      </c>
      <c r="X25">
        <f t="shared" si="2"/>
        <v>4.7000000000000002E-3</v>
      </c>
      <c r="Y25">
        <f t="shared" si="3"/>
        <v>0</v>
      </c>
      <c r="Z25">
        <v>0</v>
      </c>
      <c r="AA25">
        <f t="shared" si="18"/>
        <v>0</v>
      </c>
      <c r="AB25">
        <f t="shared" si="27"/>
        <v>1.3</v>
      </c>
      <c r="AC25">
        <f t="shared" si="4"/>
        <v>1</v>
      </c>
      <c r="AD25">
        <f t="shared" si="5"/>
        <v>0.50740000000000007</v>
      </c>
      <c r="AF25">
        <v>1.6</v>
      </c>
      <c r="AG25">
        <f t="shared" si="19"/>
        <v>0.99402397710499402</v>
      </c>
      <c r="AH25">
        <f t="shared" si="6"/>
        <v>1.0054871153505722</v>
      </c>
      <c r="AI25">
        <f t="shared" si="20"/>
        <v>0.99947830132860371</v>
      </c>
      <c r="AJ25">
        <f t="shared" si="7"/>
        <v>0.11993739615943244</v>
      </c>
      <c r="AK25">
        <f t="shared" si="8"/>
        <v>0.08</v>
      </c>
      <c r="AL25">
        <f t="shared" si="9"/>
        <v>0.36778882639365651</v>
      </c>
      <c r="AM25">
        <f t="shared" si="10"/>
        <v>0.19</v>
      </c>
      <c r="AN25">
        <f t="shared" si="11"/>
        <v>0.6784</v>
      </c>
      <c r="AO25">
        <f t="shared" si="12"/>
        <v>0</v>
      </c>
      <c r="AP25">
        <f t="shared" si="13"/>
        <v>2.2281059026413275E-4</v>
      </c>
      <c r="AQ25">
        <f t="shared" si="21"/>
        <v>2.2281059026413275E-4</v>
      </c>
      <c r="AR25">
        <f t="shared" si="14"/>
        <v>3.8629786087044016</v>
      </c>
      <c r="BA25">
        <f>BA23</f>
        <v>20</v>
      </c>
      <c r="BC25">
        <f t="shared" si="22"/>
        <v>0</v>
      </c>
      <c r="BD25">
        <f>BD23</f>
        <v>4.3835616438356165E-2</v>
      </c>
      <c r="BE25">
        <f t="shared" si="15"/>
        <v>-9.1999999999999998E-3</v>
      </c>
      <c r="BF25">
        <v>57</v>
      </c>
      <c r="BG25">
        <f t="shared" si="23"/>
        <v>0.8771929824561403</v>
      </c>
      <c r="BH25">
        <f t="shared" si="30"/>
        <v>5.7740402323365947E-3</v>
      </c>
      <c r="BI25">
        <f t="shared" si="16"/>
        <v>80</v>
      </c>
      <c r="BJ25">
        <f t="shared" si="24"/>
        <v>1.3415943153172596E-2</v>
      </c>
      <c r="BK25">
        <f t="shared" si="25"/>
        <v>232.59891441812988</v>
      </c>
      <c r="BM25" s="28"/>
      <c r="BZ25" t="s">
        <v>211</v>
      </c>
    </row>
    <row r="26" spans="5:81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N26">
        <v>0.01</v>
      </c>
      <c r="P26">
        <v>0.18</v>
      </c>
      <c r="R26">
        <v>0.72</v>
      </c>
      <c r="T26">
        <v>51</v>
      </c>
      <c r="U26">
        <f t="shared" si="17"/>
        <v>0</v>
      </c>
      <c r="V26">
        <f t="shared" si="26"/>
        <v>1</v>
      </c>
      <c r="W26">
        <f t="shared" si="1"/>
        <v>0.72</v>
      </c>
      <c r="X26">
        <f t="shared" si="2"/>
        <v>4.7000000000000002E-3</v>
      </c>
      <c r="Y26">
        <f t="shared" si="3"/>
        <v>0</v>
      </c>
      <c r="Z26">
        <v>0</v>
      </c>
      <c r="AA26">
        <f t="shared" si="18"/>
        <v>0</v>
      </c>
      <c r="AB26">
        <f t="shared" si="27"/>
        <v>1.3</v>
      </c>
      <c r="AC26">
        <f t="shared" si="4"/>
        <v>1</v>
      </c>
      <c r="AD26">
        <f t="shared" si="5"/>
        <v>0.57100000000000006</v>
      </c>
      <c r="AF26">
        <v>1.7</v>
      </c>
      <c r="AG26">
        <f t="shared" si="19"/>
        <v>0.99691128459176326</v>
      </c>
      <c r="AH26">
        <f t="shared" si="6"/>
        <v>1.1534721617679149</v>
      </c>
      <c r="AI26">
        <f t="shared" si="20"/>
        <v>1.1499094145288902</v>
      </c>
      <c r="AJ26">
        <f t="shared" si="7"/>
        <v>0.20698369461520022</v>
      </c>
      <c r="AK26">
        <f t="shared" si="8"/>
        <v>0.08</v>
      </c>
      <c r="AL26">
        <f t="shared" si="9"/>
        <v>0.34487699833033825</v>
      </c>
      <c r="AM26">
        <f t="shared" si="10"/>
        <v>0.19</v>
      </c>
      <c r="AN26">
        <f t="shared" si="11"/>
        <v>0.6784</v>
      </c>
      <c r="AO26">
        <f t="shared" si="12"/>
        <v>0</v>
      </c>
      <c r="AP26">
        <f t="shared" si="13"/>
        <v>2.0893034821090021E-4</v>
      </c>
      <c r="AQ26">
        <f t="shared" si="21"/>
        <v>2.0893034821090021E-4</v>
      </c>
      <c r="AR26">
        <f t="shared" si="14"/>
        <v>3.4316809693640358</v>
      </c>
      <c r="BA26">
        <f>BA23</f>
        <v>20</v>
      </c>
      <c r="BC26">
        <f t="shared" si="22"/>
        <v>0</v>
      </c>
      <c r="BD26">
        <f>BD23</f>
        <v>4.3835616438356165E-2</v>
      </c>
      <c r="BE26">
        <f t="shared" si="15"/>
        <v>9.1999999999999998E-3</v>
      </c>
      <c r="BF26">
        <v>57</v>
      </c>
      <c r="BG26">
        <f t="shared" si="23"/>
        <v>0.89473684210526316</v>
      </c>
      <c r="BH26">
        <f t="shared" si="30"/>
        <v>6.0078184706201763E-3</v>
      </c>
      <c r="BI26">
        <f t="shared" si="16"/>
        <v>81.600000000000009</v>
      </c>
      <c r="BJ26">
        <f t="shared" si="24"/>
        <v>2.7109572667811856E-2</v>
      </c>
      <c r="BK26">
        <f t="shared" si="25"/>
        <v>445.27473106880979</v>
      </c>
      <c r="BM26" s="28"/>
      <c r="BZ26" s="13" t="s">
        <v>193</v>
      </c>
      <c r="CA26" s="13">
        <v>99.25</v>
      </c>
      <c r="CB26" s="13">
        <v>0.75</v>
      </c>
    </row>
    <row r="27" spans="5:81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7"/>
        <v>0</v>
      </c>
      <c r="V27">
        <f t="shared" si="26"/>
        <v>1</v>
      </c>
      <c r="W27">
        <f t="shared" si="1"/>
        <v>0.72</v>
      </c>
      <c r="X27">
        <f t="shared" si="2"/>
        <v>4.7000000000000002E-3</v>
      </c>
      <c r="Y27">
        <f t="shared" si="3"/>
        <v>0</v>
      </c>
      <c r="Z27">
        <v>0</v>
      </c>
      <c r="AA27">
        <f t="shared" si="18"/>
        <v>0</v>
      </c>
      <c r="AB27">
        <f t="shared" si="27"/>
        <v>1.3</v>
      </c>
      <c r="AC27">
        <f t="shared" si="4"/>
        <v>1</v>
      </c>
      <c r="AD27">
        <f t="shared" si="5"/>
        <v>0.5948500000000001</v>
      </c>
      <c r="AF27">
        <v>2.9</v>
      </c>
      <c r="AG27">
        <f t="shared" si="19"/>
        <v>0.9999999504359468</v>
      </c>
      <c r="AH27">
        <f t="shared" si="6"/>
        <v>1.7917898456122741</v>
      </c>
      <c r="AI27">
        <f t="shared" si="20"/>
        <v>1.7917897568039067</v>
      </c>
      <c r="AJ27">
        <f t="shared" si="7"/>
        <v>0.35835795136078136</v>
      </c>
      <c r="AK27">
        <f t="shared" si="8"/>
        <v>0.08</v>
      </c>
      <c r="AL27">
        <f t="shared" si="9"/>
        <v>0.53025843166411502</v>
      </c>
      <c r="AM27">
        <f t="shared" si="10"/>
        <v>0.19</v>
      </c>
      <c r="AN27">
        <f t="shared" si="11"/>
        <v>0.6784</v>
      </c>
      <c r="AO27">
        <f t="shared" si="12"/>
        <v>0</v>
      </c>
      <c r="AP27">
        <f t="shared" si="13"/>
        <v>3.2123649679655553E-4</v>
      </c>
      <c r="AQ27">
        <f t="shared" si="21"/>
        <v>3.2123649679655553E-4</v>
      </c>
      <c r="AR27">
        <f t="shared" si="14"/>
        <v>1.4656415166342844</v>
      </c>
      <c r="BA27">
        <v>15</v>
      </c>
      <c r="BB27">
        <v>0.85</v>
      </c>
      <c r="BC27">
        <f t="shared" si="22"/>
        <v>0</v>
      </c>
      <c r="BD27">
        <f t="shared" si="29"/>
        <v>3.4931506849315071E-2</v>
      </c>
      <c r="BE27">
        <f t="shared" si="15"/>
        <v>6.4400000000000013E-2</v>
      </c>
      <c r="BF27">
        <v>78</v>
      </c>
      <c r="BG27">
        <f t="shared" si="23"/>
        <v>0.96153846153846156</v>
      </c>
      <c r="BH27">
        <f t="shared" si="30"/>
        <v>5.4852081169471656E-3</v>
      </c>
      <c r="BI27">
        <f t="shared" si="16"/>
        <v>120</v>
      </c>
      <c r="BJ27">
        <f t="shared" si="24"/>
        <v>5.1852064100777855E-2</v>
      </c>
      <c r="BK27">
        <f t="shared" si="25"/>
        <v>236.57504245979894</v>
      </c>
      <c r="BM27" s="28"/>
      <c r="BZ27" s="13" t="s">
        <v>270</v>
      </c>
      <c r="CA27" s="13">
        <v>99.55</v>
      </c>
      <c r="CB27" s="13">
        <v>0.45</v>
      </c>
    </row>
    <row r="28" spans="5:81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N28">
        <v>0</v>
      </c>
      <c r="P28">
        <v>0.1</v>
      </c>
      <c r="R28">
        <v>0.61</v>
      </c>
      <c r="T28">
        <v>75</v>
      </c>
      <c r="U28">
        <f t="shared" si="17"/>
        <v>0</v>
      </c>
      <c r="V28">
        <f t="shared" si="26"/>
        <v>1</v>
      </c>
      <c r="W28">
        <f t="shared" si="1"/>
        <v>0.72</v>
      </c>
      <c r="X28">
        <f t="shared" si="2"/>
        <v>4.7000000000000002E-3</v>
      </c>
      <c r="Y28">
        <f t="shared" si="3"/>
        <v>0</v>
      </c>
      <c r="Z28">
        <v>0</v>
      </c>
      <c r="AA28">
        <f t="shared" si="18"/>
        <v>0</v>
      </c>
      <c r="AB28">
        <f t="shared" si="27"/>
        <v>1.3</v>
      </c>
      <c r="AC28">
        <f t="shared" si="4"/>
        <v>1</v>
      </c>
      <c r="AD28">
        <f t="shared" si="5"/>
        <v>0.48354999999999998</v>
      </c>
      <c r="AF28">
        <v>2.5</v>
      </c>
      <c r="AG28">
        <f t="shared" si="19"/>
        <v>0.99999627334682795</v>
      </c>
      <c r="AH28">
        <f t="shared" si="6"/>
        <v>1.4948026034112167</v>
      </c>
      <c r="AI28">
        <f t="shared" si="20"/>
        <v>1.494797032800353</v>
      </c>
      <c r="AJ28">
        <f t="shared" si="7"/>
        <v>0.14947970328003532</v>
      </c>
      <c r="AK28">
        <f t="shared" si="8"/>
        <v>0.08</v>
      </c>
      <c r="AL28">
        <f t="shared" si="9"/>
        <v>0.61855976399785639</v>
      </c>
      <c r="AM28">
        <f t="shared" si="10"/>
        <v>0.19</v>
      </c>
      <c r="AN28">
        <f t="shared" si="11"/>
        <v>0.6784</v>
      </c>
      <c r="AO28">
        <f t="shared" si="12"/>
        <v>0</v>
      </c>
      <c r="AP28">
        <f t="shared" si="13"/>
        <v>3.7473043289925815E-4</v>
      </c>
      <c r="AQ28">
        <f t="shared" si="21"/>
        <v>3.7473043289925815E-4</v>
      </c>
      <c r="AR28">
        <f t="shared" si="14"/>
        <v>1.8806783601131516</v>
      </c>
      <c r="BA28">
        <f>BA27</f>
        <v>15</v>
      </c>
      <c r="BC28">
        <f t="shared" si="22"/>
        <v>0</v>
      </c>
      <c r="BD28">
        <f>BD27</f>
        <v>3.4931506849315071E-2</v>
      </c>
      <c r="BE28">
        <f t="shared" si="15"/>
        <v>0</v>
      </c>
      <c r="BF28">
        <v>78</v>
      </c>
      <c r="BG28">
        <f t="shared" si="23"/>
        <v>0.96153846153846156</v>
      </c>
      <c r="BH28">
        <f t="shared" si="30"/>
        <v>4.6947945205479454E-3</v>
      </c>
      <c r="BI28">
        <f t="shared" si="16"/>
        <v>120</v>
      </c>
      <c r="BJ28">
        <f t="shared" si="24"/>
        <v>1.9221958004257703E-2</v>
      </c>
      <c r="BK28">
        <f t="shared" si="25"/>
        <v>96.470201733868336</v>
      </c>
      <c r="BM28" s="28"/>
      <c r="BZ28" s="13" t="s">
        <v>271</v>
      </c>
      <c r="CA28" s="13">
        <v>99.91</v>
      </c>
      <c r="CB28" s="13">
        <v>0.09</v>
      </c>
    </row>
    <row r="29" spans="5:81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7"/>
        <v>0</v>
      </c>
      <c r="V29">
        <f t="shared" si="26"/>
        <v>1</v>
      </c>
      <c r="W29">
        <f t="shared" si="1"/>
        <v>0.72</v>
      </c>
      <c r="X29">
        <f t="shared" si="2"/>
        <v>4.7000000000000002E-3</v>
      </c>
      <c r="Y29">
        <f t="shared" si="3"/>
        <v>0</v>
      </c>
      <c r="Z29">
        <v>0</v>
      </c>
      <c r="AA29">
        <f t="shared" si="18"/>
        <v>0</v>
      </c>
      <c r="AB29">
        <f t="shared" si="27"/>
        <v>1.3</v>
      </c>
      <c r="AC29">
        <f t="shared" si="4"/>
        <v>1</v>
      </c>
      <c r="AD29">
        <f t="shared" si="5"/>
        <v>0.50740000000000007</v>
      </c>
      <c r="AF29">
        <v>1.6</v>
      </c>
      <c r="AG29">
        <f t="shared" si="19"/>
        <v>0.99402397710499402</v>
      </c>
      <c r="AH29">
        <f t="shared" si="6"/>
        <v>1.4198696820048529</v>
      </c>
      <c r="AI29">
        <f t="shared" si="20"/>
        <v>1.4113845082772669</v>
      </c>
      <c r="AJ29">
        <f t="shared" si="7"/>
        <v>0.16936614099327202</v>
      </c>
      <c r="AK29">
        <f t="shared" si="8"/>
        <v>0.08</v>
      </c>
      <c r="AL29">
        <f t="shared" si="9"/>
        <v>0.54075637841297708</v>
      </c>
      <c r="AM29">
        <f t="shared" si="10"/>
        <v>0.19</v>
      </c>
      <c r="AN29">
        <f t="shared" si="11"/>
        <v>0.6784</v>
      </c>
      <c r="AO29">
        <f t="shared" si="12"/>
        <v>0</v>
      </c>
      <c r="AP29">
        <f t="shared" si="13"/>
        <v>3.2759627051401975E-4</v>
      </c>
      <c r="AQ29">
        <f t="shared" si="21"/>
        <v>3.2759627051401975E-4</v>
      </c>
      <c r="AR29">
        <f t="shared" si="14"/>
        <v>1.7935895810642581</v>
      </c>
      <c r="BA29">
        <f>BA27</f>
        <v>15</v>
      </c>
      <c r="BC29">
        <f t="shared" si="22"/>
        <v>0</v>
      </c>
      <c r="BD29">
        <f>BD27</f>
        <v>3.4931506849315071E-2</v>
      </c>
      <c r="BE29">
        <f t="shared" si="15"/>
        <v>-6.4400000000000013E-2</v>
      </c>
      <c r="BF29">
        <v>78</v>
      </c>
      <c r="BG29">
        <f t="shared" si="23"/>
        <v>0.88461538461538458</v>
      </c>
      <c r="BH29">
        <f t="shared" si="30"/>
        <v>3.8747755996647393E-3</v>
      </c>
      <c r="BI29">
        <f t="shared" si="16"/>
        <v>110.4</v>
      </c>
      <c r="BJ29">
        <f t="shared" si="24"/>
        <v>2.3223806959258783E-2</v>
      </c>
      <c r="BK29">
        <f t="shared" si="25"/>
        <v>127.15034310194183</v>
      </c>
      <c r="BM29" s="28"/>
      <c r="BZ29" s="13" t="s">
        <v>272</v>
      </c>
      <c r="CA29" s="13">
        <v>99.74</v>
      </c>
      <c r="CB29" s="13">
        <v>0.26</v>
      </c>
    </row>
    <row r="30" spans="5:81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N30">
        <v>0</v>
      </c>
      <c r="P30">
        <v>0.18</v>
      </c>
      <c r="R30">
        <v>0.72</v>
      </c>
      <c r="T30">
        <v>69</v>
      </c>
      <c r="U30">
        <f t="shared" si="17"/>
        <v>0</v>
      </c>
      <c r="V30">
        <f t="shared" si="26"/>
        <v>1</v>
      </c>
      <c r="W30">
        <f t="shared" si="1"/>
        <v>0.72</v>
      </c>
      <c r="X30">
        <f t="shared" si="2"/>
        <v>4.7000000000000002E-3</v>
      </c>
      <c r="Y30">
        <f t="shared" si="3"/>
        <v>0</v>
      </c>
      <c r="Z30">
        <v>0</v>
      </c>
      <c r="AA30">
        <f t="shared" si="18"/>
        <v>0</v>
      </c>
      <c r="AB30">
        <f t="shared" si="27"/>
        <v>1.3</v>
      </c>
      <c r="AC30">
        <f t="shared" si="4"/>
        <v>1</v>
      </c>
      <c r="AD30">
        <f t="shared" si="5"/>
        <v>0.57100000000000006</v>
      </c>
      <c r="AF30">
        <v>1.7</v>
      </c>
      <c r="AG30">
        <f t="shared" si="19"/>
        <v>0.99691128459176326</v>
      </c>
      <c r="AH30">
        <f t="shared" si="6"/>
        <v>1.5792888783210146</v>
      </c>
      <c r="AI30">
        <f t="shared" si="20"/>
        <v>1.5744109044284875</v>
      </c>
      <c r="AJ30">
        <f t="shared" si="7"/>
        <v>0.28339396279712775</v>
      </c>
      <c r="AK30">
        <f t="shared" si="8"/>
        <v>0.08</v>
      </c>
      <c r="AL30">
        <f t="shared" si="9"/>
        <v>0.49678697379296494</v>
      </c>
      <c r="AM30">
        <f t="shared" si="10"/>
        <v>0.19</v>
      </c>
      <c r="AN30">
        <f t="shared" si="11"/>
        <v>0.6784</v>
      </c>
      <c r="AO30">
        <f t="shared" si="12"/>
        <v>0</v>
      </c>
      <c r="AP30">
        <f t="shared" si="13"/>
        <v>3.0095911273788462E-4</v>
      </c>
      <c r="AQ30">
        <f t="shared" si="21"/>
        <v>3.0095911273788462E-4</v>
      </c>
      <c r="AR30">
        <f t="shared" si="14"/>
        <v>1.7850637374265781</v>
      </c>
      <c r="BA30">
        <f>BA27</f>
        <v>15</v>
      </c>
      <c r="BC30">
        <f t="shared" si="22"/>
        <v>0</v>
      </c>
      <c r="BD30">
        <f>BD27</f>
        <v>3.4931506849315071E-2</v>
      </c>
      <c r="BE30">
        <f t="shared" si="15"/>
        <v>0</v>
      </c>
      <c r="BF30">
        <v>78</v>
      </c>
      <c r="BG30">
        <f t="shared" si="23"/>
        <v>0.88461538461538458</v>
      </c>
      <c r="BH30">
        <f t="shared" si="30"/>
        <v>4.6947945205479454E-3</v>
      </c>
      <c r="BI30">
        <f t="shared" si="16"/>
        <v>110.4</v>
      </c>
      <c r="BJ30">
        <f t="shared" si="24"/>
        <v>4.0648239526992494E-2</v>
      </c>
      <c r="BK30">
        <f t="shared" si="25"/>
        <v>241.09487069447422</v>
      </c>
      <c r="BM30" s="28"/>
      <c r="BZ30" s="13" t="s">
        <v>273</v>
      </c>
      <c r="CA30" s="13">
        <v>99.5</v>
      </c>
      <c r="CB30" s="13">
        <v>0.5</v>
      </c>
    </row>
    <row r="31" spans="5:81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N31">
        <v>0.08</v>
      </c>
      <c r="P31">
        <v>0.2</v>
      </c>
      <c r="R31">
        <v>0.75</v>
      </c>
      <c r="T31">
        <v>62</v>
      </c>
      <c r="U31">
        <f t="shared" si="17"/>
        <v>0</v>
      </c>
      <c r="V31">
        <f t="shared" si="26"/>
        <v>1</v>
      </c>
      <c r="W31">
        <f t="shared" si="1"/>
        <v>0.72</v>
      </c>
      <c r="X31">
        <f t="shared" si="2"/>
        <v>4.7000000000000002E-3</v>
      </c>
      <c r="Y31">
        <f t="shared" si="3"/>
        <v>0</v>
      </c>
      <c r="Z31">
        <v>0</v>
      </c>
      <c r="AA31">
        <f t="shared" si="18"/>
        <v>0</v>
      </c>
      <c r="AB31">
        <f t="shared" si="27"/>
        <v>1.3</v>
      </c>
      <c r="AC31">
        <f t="shared" si="4"/>
        <v>1</v>
      </c>
      <c r="AD31">
        <f t="shared" si="5"/>
        <v>0.5948500000000001</v>
      </c>
      <c r="AF31">
        <v>2.9</v>
      </c>
      <c r="AG31">
        <f t="shared" si="19"/>
        <v>0.9999999504359468</v>
      </c>
      <c r="AH31">
        <f t="shared" si="6"/>
        <v>1.4652245899459331</v>
      </c>
      <c r="AI31">
        <f t="shared" si="20"/>
        <v>1.4652245173234635</v>
      </c>
      <c r="AJ31">
        <f t="shared" si="7"/>
        <v>0.2930449034646927</v>
      </c>
      <c r="AK31">
        <f t="shared" si="8"/>
        <v>0.08</v>
      </c>
      <c r="AL31">
        <f t="shared" si="9"/>
        <v>0.41600692919529714</v>
      </c>
      <c r="AM31">
        <f t="shared" si="10"/>
        <v>0.19</v>
      </c>
      <c r="AN31">
        <f t="shared" si="11"/>
        <v>0.6784</v>
      </c>
      <c r="AO31">
        <f t="shared" si="12"/>
        <v>0</v>
      </c>
      <c r="AP31">
        <f t="shared" si="13"/>
        <v>2.5202165698411799E-4</v>
      </c>
      <c r="AQ31">
        <f t="shared" si="21"/>
        <v>2.5202165698411799E-4</v>
      </c>
      <c r="AR31">
        <f t="shared" si="14"/>
        <v>1.1498488099900384</v>
      </c>
      <c r="BA31">
        <v>18</v>
      </c>
      <c r="BB31">
        <v>0.8</v>
      </c>
      <c r="BC31">
        <f t="shared" si="22"/>
        <v>0</v>
      </c>
      <c r="BD31">
        <f t="shared" si="29"/>
        <v>3.9452054794520547E-2</v>
      </c>
      <c r="BE31">
        <f t="shared" si="15"/>
        <v>7.3599999999999999E-2</v>
      </c>
      <c r="BF31">
        <v>62</v>
      </c>
      <c r="BG31">
        <f t="shared" si="23"/>
        <v>1</v>
      </c>
      <c r="BH31">
        <f t="shared" si="30"/>
        <v>6.1942865442030813E-3</v>
      </c>
      <c r="BI31">
        <f t="shared" si="16"/>
        <v>99.2</v>
      </c>
      <c r="BJ31">
        <f t="shared" si="24"/>
        <v>4.0692898010147756E-2</v>
      </c>
      <c r="BK31">
        <f t="shared" si="25"/>
        <v>185.66134717129916</v>
      </c>
      <c r="BM31" s="28"/>
      <c r="BZ31" s="13" t="s">
        <v>274</v>
      </c>
      <c r="CA31" s="13">
        <v>99.17</v>
      </c>
      <c r="CB31" s="13">
        <v>0.83</v>
      </c>
    </row>
    <row r="32" spans="5:81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N32">
        <v>-0.08</v>
      </c>
      <c r="P32">
        <v>0.1</v>
      </c>
      <c r="R32">
        <v>0.61</v>
      </c>
      <c r="T32">
        <v>55</v>
      </c>
      <c r="U32">
        <f t="shared" si="17"/>
        <v>0</v>
      </c>
      <c r="V32">
        <f t="shared" si="26"/>
        <v>1</v>
      </c>
      <c r="W32">
        <f t="shared" si="1"/>
        <v>0.72</v>
      </c>
      <c r="X32">
        <f t="shared" si="2"/>
        <v>4.7000000000000002E-3</v>
      </c>
      <c r="Y32">
        <f t="shared" si="3"/>
        <v>0</v>
      </c>
      <c r="Z32">
        <v>0</v>
      </c>
      <c r="AA32">
        <f t="shared" si="18"/>
        <v>0</v>
      </c>
      <c r="AB32">
        <f t="shared" si="27"/>
        <v>1.3</v>
      </c>
      <c r="AC32">
        <f t="shared" si="4"/>
        <v>1</v>
      </c>
      <c r="AD32">
        <f t="shared" si="5"/>
        <v>0.48354999999999998</v>
      </c>
      <c r="AF32">
        <v>2.5</v>
      </c>
      <c r="AG32">
        <f t="shared" si="19"/>
        <v>0.99999627334682795</v>
      </c>
      <c r="AH32">
        <f t="shared" si="6"/>
        <v>1.0605624381175847</v>
      </c>
      <c r="AI32">
        <f t="shared" si="20"/>
        <v>1.0605584857692105</v>
      </c>
      <c r="AJ32">
        <f t="shared" si="7"/>
        <v>0.10605584857692106</v>
      </c>
      <c r="AK32">
        <f t="shared" si="8"/>
        <v>0.08</v>
      </c>
      <c r="AL32">
        <f t="shared" si="9"/>
        <v>0.42192044699791736</v>
      </c>
      <c r="AM32">
        <f t="shared" si="10"/>
        <v>0.19</v>
      </c>
      <c r="AN32">
        <f t="shared" si="11"/>
        <v>0.6784</v>
      </c>
      <c r="AO32">
        <f t="shared" si="12"/>
        <v>0</v>
      </c>
      <c r="AP32">
        <f t="shared" si="13"/>
        <v>2.5560413230034477E-4</v>
      </c>
      <c r="AQ32">
        <f t="shared" si="21"/>
        <v>2.5560413230034477E-4</v>
      </c>
      <c r="AR32">
        <f t="shared" si="14"/>
        <v>2.3323877072406463</v>
      </c>
      <c r="BA32">
        <f>BA31</f>
        <v>18</v>
      </c>
      <c r="BC32">
        <f t="shared" si="22"/>
        <v>0</v>
      </c>
      <c r="BD32">
        <f>BD31</f>
        <v>3.9452054794520547E-2</v>
      </c>
      <c r="BE32">
        <f t="shared" si="15"/>
        <v>-7.3599999999999999E-2</v>
      </c>
      <c r="BF32">
        <v>62</v>
      </c>
      <c r="BG32">
        <f t="shared" si="23"/>
        <v>0.88709677419354838</v>
      </c>
      <c r="BH32">
        <f t="shared" si="30"/>
        <v>4.3659164379425625E-3</v>
      </c>
      <c r="BI32">
        <f t="shared" si="16"/>
        <v>88</v>
      </c>
      <c r="BJ32">
        <f t="shared" si="24"/>
        <v>1.2603019334364807E-2</v>
      </c>
      <c r="BK32">
        <f t="shared" si="25"/>
        <v>115.00255142607887</v>
      </c>
      <c r="BM32" s="28"/>
      <c r="BZ32" s="13" t="s">
        <v>275</v>
      </c>
      <c r="CA32" s="13">
        <v>99.59</v>
      </c>
      <c r="CB32" s="13">
        <v>0.41</v>
      </c>
    </row>
    <row r="33" spans="1:85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N33">
        <v>0</v>
      </c>
      <c r="P33">
        <v>0.12</v>
      </c>
      <c r="R33">
        <v>0.64</v>
      </c>
      <c r="T33">
        <v>55</v>
      </c>
      <c r="U33">
        <f t="shared" si="17"/>
        <v>0</v>
      </c>
      <c r="V33">
        <f t="shared" si="26"/>
        <v>1</v>
      </c>
      <c r="W33">
        <f t="shared" si="1"/>
        <v>0.72</v>
      </c>
      <c r="X33">
        <f t="shared" si="2"/>
        <v>4.7000000000000002E-3</v>
      </c>
      <c r="Y33">
        <f t="shared" si="3"/>
        <v>0</v>
      </c>
      <c r="Z33">
        <v>0</v>
      </c>
      <c r="AA33">
        <f t="shared" si="18"/>
        <v>0</v>
      </c>
      <c r="AB33">
        <f t="shared" si="27"/>
        <v>1.3</v>
      </c>
      <c r="AC33">
        <f t="shared" si="4"/>
        <v>1</v>
      </c>
      <c r="AD33">
        <f t="shared" si="5"/>
        <v>0.50740000000000007</v>
      </c>
      <c r="AF33">
        <v>1.6</v>
      </c>
      <c r="AG33">
        <f t="shared" si="19"/>
        <v>0.99402397710499402</v>
      </c>
      <c r="AH33">
        <f t="shared" si="6"/>
        <v>1.1109945415495692</v>
      </c>
      <c r="AI33">
        <f t="shared" si="20"/>
        <v>1.1043552127330423</v>
      </c>
      <c r="AJ33">
        <f t="shared" si="7"/>
        <v>0.13252262552796507</v>
      </c>
      <c r="AK33">
        <f t="shared" si="8"/>
        <v>0.08</v>
      </c>
      <c r="AL33">
        <f t="shared" si="9"/>
        <v>0.41064374249795926</v>
      </c>
      <c r="AM33">
        <f t="shared" si="10"/>
        <v>0.19</v>
      </c>
      <c r="AN33">
        <f t="shared" si="11"/>
        <v>0.6784</v>
      </c>
      <c r="AO33">
        <f t="shared" si="12"/>
        <v>0</v>
      </c>
      <c r="AP33">
        <f t="shared" si="13"/>
        <v>2.4877257841517971E-4</v>
      </c>
      <c r="AQ33">
        <f t="shared" si="21"/>
        <v>2.4877257841517971E-4</v>
      </c>
      <c r="AR33">
        <f t="shared" si="14"/>
        <v>2.0430448002346635</v>
      </c>
      <c r="BA33">
        <f>BA31</f>
        <v>18</v>
      </c>
      <c r="BC33">
        <f t="shared" si="22"/>
        <v>0</v>
      </c>
      <c r="BD33">
        <f>BD31</f>
        <v>3.9452054794520547E-2</v>
      </c>
      <c r="BE33">
        <f t="shared" si="15"/>
        <v>0</v>
      </c>
      <c r="BF33">
        <v>62</v>
      </c>
      <c r="BG33">
        <f t="shared" si="23"/>
        <v>0.88709677419354838</v>
      </c>
      <c r="BH33">
        <f t="shared" si="30"/>
        <v>5.3023561643835617E-3</v>
      </c>
      <c r="BI33">
        <f t="shared" si="16"/>
        <v>88</v>
      </c>
      <c r="BJ33">
        <f t="shared" si="24"/>
        <v>1.590126392009085E-2</v>
      </c>
      <c r="BK33">
        <f t="shared" si="25"/>
        <v>130.58912994374612</v>
      </c>
      <c r="BM33" s="28"/>
    </row>
    <row r="34" spans="1:85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N34">
        <v>0</v>
      </c>
      <c r="P34">
        <v>0.18</v>
      </c>
      <c r="R34">
        <v>0.72</v>
      </c>
      <c r="T34">
        <v>55</v>
      </c>
      <c r="U34">
        <f t="shared" si="17"/>
        <v>0</v>
      </c>
      <c r="V34">
        <f t="shared" si="26"/>
        <v>1</v>
      </c>
      <c r="W34">
        <f t="shared" si="1"/>
        <v>0.72</v>
      </c>
      <c r="X34">
        <f t="shared" si="2"/>
        <v>4.7000000000000002E-3</v>
      </c>
      <c r="Y34">
        <f t="shared" si="3"/>
        <v>0</v>
      </c>
      <c r="Z34">
        <v>0</v>
      </c>
      <c r="AA34">
        <f t="shared" si="18"/>
        <v>0</v>
      </c>
      <c r="AB34">
        <f t="shared" si="27"/>
        <v>1.3</v>
      </c>
      <c r="AC34">
        <f t="shared" si="4"/>
        <v>1</v>
      </c>
      <c r="AD34">
        <f t="shared" si="5"/>
        <v>0.57100000000000006</v>
      </c>
      <c r="AF34">
        <v>1.7</v>
      </c>
      <c r="AG34">
        <f t="shared" si="19"/>
        <v>0.99691128459176326</v>
      </c>
      <c r="AH34">
        <f t="shared" si="6"/>
        <v>1.2454801507015281</v>
      </c>
      <c r="AI34">
        <f t="shared" si="20"/>
        <v>1.2416332169694033</v>
      </c>
      <c r="AJ34">
        <f t="shared" si="7"/>
        <v>0.22349397905449259</v>
      </c>
      <c r="AK34">
        <f t="shared" si="8"/>
        <v>0.08</v>
      </c>
      <c r="AL34">
        <f t="shared" si="9"/>
        <v>0.37657754876504823</v>
      </c>
      <c r="AM34">
        <f t="shared" si="10"/>
        <v>0.19</v>
      </c>
      <c r="AN34">
        <f t="shared" si="11"/>
        <v>0.6784</v>
      </c>
      <c r="AO34">
        <f t="shared" si="12"/>
        <v>0</v>
      </c>
      <c r="AP34">
        <f t="shared" si="13"/>
        <v>2.2813489671041239E-4</v>
      </c>
      <c r="AQ34">
        <f t="shared" si="21"/>
        <v>2.2813489671041239E-4</v>
      </c>
      <c r="AR34">
        <f t="shared" si="14"/>
        <v>1.6653847459860105</v>
      </c>
      <c r="BA34">
        <f>BA31</f>
        <v>18</v>
      </c>
      <c r="BC34">
        <f t="shared" si="22"/>
        <v>0</v>
      </c>
      <c r="BD34">
        <f>BD31</f>
        <v>3.9452054794520547E-2</v>
      </c>
      <c r="BE34">
        <f t="shared" si="15"/>
        <v>0</v>
      </c>
      <c r="BF34">
        <v>62</v>
      </c>
      <c r="BG34">
        <f t="shared" si="23"/>
        <v>0.88709677419354838</v>
      </c>
      <c r="BH34">
        <f t="shared" si="30"/>
        <v>5.3023561643835617E-3</v>
      </c>
      <c r="BI34">
        <f t="shared" si="16"/>
        <v>88</v>
      </c>
      <c r="BJ34">
        <f t="shared" si="24"/>
        <v>3.0456680484335252E-2</v>
      </c>
      <c r="BK34">
        <f t="shared" si="25"/>
        <v>222.33376753564735</v>
      </c>
      <c r="BM34" s="28"/>
    </row>
    <row r="36" spans="1:85" x14ac:dyDescent="0.2">
      <c r="BZ36" t="s">
        <v>136</v>
      </c>
    </row>
    <row r="37" spans="1:85" x14ac:dyDescent="0.2">
      <c r="BZ37" s="13" t="s">
        <v>224</v>
      </c>
      <c r="CA37" s="13">
        <v>5.8999999999999999E-3</v>
      </c>
      <c r="CE37" t="s">
        <v>323</v>
      </c>
      <c r="CF37">
        <v>6.0000000000000001E-3</v>
      </c>
      <c r="CG37" t="s">
        <v>254</v>
      </c>
    </row>
    <row r="38" spans="1:85" x14ac:dyDescent="0.2">
      <c r="BZ38" s="13" t="s">
        <v>225</v>
      </c>
      <c r="CA38" s="13">
        <v>7.0000000000000001E-3</v>
      </c>
      <c r="CE38" t="s">
        <v>324</v>
      </c>
      <c r="CF38">
        <v>6.0000000000000001E-3</v>
      </c>
      <c r="CG38" t="s">
        <v>254</v>
      </c>
    </row>
    <row r="39" spans="1:85" x14ac:dyDescent="0.2">
      <c r="BZ39" s="13" t="s">
        <v>226</v>
      </c>
      <c r="CA39" s="13">
        <v>1.8E-3</v>
      </c>
      <c r="CE39" t="s">
        <v>325</v>
      </c>
      <c r="CF39">
        <v>6.0000000000000001E-3</v>
      </c>
      <c r="CG39" t="s">
        <v>254</v>
      </c>
    </row>
    <row r="40" spans="1:85" x14ac:dyDescent="0.2">
      <c r="BZ40" s="13" t="s">
        <v>227</v>
      </c>
      <c r="CA40" s="13">
        <v>2.8999999999999998E-3</v>
      </c>
      <c r="CE40" t="s">
        <v>322</v>
      </c>
      <c r="CF40">
        <v>6.0000000000000001E-3</v>
      </c>
      <c r="CG40" t="s">
        <v>254</v>
      </c>
    </row>
    <row r="41" spans="1:85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31">$CA$3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$BZ$26:$CB$32, 2, FALSE)/100)</f>
        <v>0.99549999999999994</v>
      </c>
      <c r="W41">
        <f>VLOOKUP($B41,$CB$10:$CC$16, 2, FALSE)</f>
        <v>0.75</v>
      </c>
      <c r="X41">
        <f t="shared" ref="X41:X64" si="32">$CA$10</f>
        <v>4.7000000000000002E-3</v>
      </c>
      <c r="Y41">
        <f t="shared" ref="Y41:Y64" si="33">(I41/100)*(MIN(J41,100)/100)</f>
        <v>0.85499999999999998</v>
      </c>
      <c r="Z41">
        <v>0</v>
      </c>
      <c r="AA41">
        <f>1.6 * Z41</f>
        <v>0</v>
      </c>
      <c r="AB41">
        <f>$CD$1</f>
        <v>1.3</v>
      </c>
      <c r="AC41">
        <f t="shared" ref="AC41:AC64" si="34">Y41*AB41+(1-Y41)</f>
        <v>1.2565</v>
      </c>
      <c r="AD41">
        <f t="shared" ref="AD41:AD64" si="35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36">(104.7*AD41+0.307*T41-15)*(T41^0.75)*10^-3</f>
        <v>1.2720847291262878</v>
      </c>
      <c r="AI41">
        <f>AH41*AG41*AC41</f>
        <v>1.5983743829252637</v>
      </c>
      <c r="AJ41">
        <f t="shared" ref="AJ41:AJ64" si="37">(AI41 * P41) + (0.045 * AA41)</f>
        <v>0.31967487658505278</v>
      </c>
      <c r="AK41">
        <f t="shared" ref="AK41:AK64" si="38">$CA$2</f>
        <v>0.08</v>
      </c>
      <c r="AL41">
        <f t="shared" ref="AL41:AL64" si="39">(AI41 * ((1 - R41) + (0.04 * AI41))) * ( 1 - AK41 )</f>
        <v>0.46164277265490583</v>
      </c>
      <c r="AM41">
        <f t="shared" ref="AM41:AM64" si="40">$CA$1</f>
        <v>0.19</v>
      </c>
      <c r="AN41">
        <f t="shared" ref="AN41:AN64" si="41">$CB$20</f>
        <v>0.6784</v>
      </c>
      <c r="AO41">
        <f t="shared" ref="AO41:AO64" si="42">AL41 * AM41 * U41 * W41 * AN41</f>
        <v>2.0082568553143039E-4</v>
      </c>
      <c r="AP41">
        <f t="shared" ref="AP41:AP64" si="43">AL41*AM41*V41*X41*AN41</f>
        <v>2.7840985444406538E-4</v>
      </c>
      <c r="AQ41">
        <f>AO41+AP41</f>
        <v>4.792355399754958E-4</v>
      </c>
      <c r="AR41">
        <f t="shared" ref="AR41:AR64" si="44">H41*AQ41*L41</f>
        <v>4.3730243022763986</v>
      </c>
      <c r="AS41">
        <f>SUM(AR41:AR64)*10^-3</f>
        <v>9.2374227055833799E-2</v>
      </c>
      <c r="AT41" t="s">
        <v>213</v>
      </c>
      <c r="AU41">
        <f>IF(AT41="yes", 1,0)</f>
        <v>1</v>
      </c>
      <c r="AV41">
        <f>$CA$4</f>
        <v>0.24</v>
      </c>
      <c r="AW41" t="s">
        <v>328</v>
      </c>
      <c r="AX41" s="28">
        <f>VLOOKUP(AW41,$CE$37:$CG$46,2, FALSE)</f>
        <v>2E-3</v>
      </c>
      <c r="AY41" s="28">
        <f>$CA$7</f>
        <v>1.5714285714285714</v>
      </c>
      <c r="AZ41">
        <f>$CA$5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45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 t="shared" ref="BI41:BI64" si="46">1.6 * T41</f>
        <v>86.4</v>
      </c>
      <c r="BJ41">
        <f>(AJ41  / 6.25 ) - BH41</f>
        <v>3.4952692178919137E-2</v>
      </c>
      <c r="BK41">
        <f>H41*BJ41*L41</f>
        <v>318.94331613263711</v>
      </c>
      <c r="BL41">
        <f>SUM(BK41:BK64)</f>
        <v>5092.5593361624324</v>
      </c>
      <c r="BM41" s="28">
        <f>BL41*$AU$11*$AV$11</f>
        <v>1222.2142406789837</v>
      </c>
      <c r="BN41">
        <f>BK41 * AZ41</f>
        <v>66.978096387853796</v>
      </c>
      <c r="BO41" t="s">
        <v>226</v>
      </c>
      <c r="BP41">
        <f>VLOOKUP(BO41, $BZ$37:$CA$49, 2, FALSE)</f>
        <v>1.8E-3</v>
      </c>
      <c r="BQ41">
        <f>BN41 * BP41 * AY41 * 10^-3</f>
        <v>1.8945232978278645E-4</v>
      </c>
      <c r="BR41">
        <f>BK41 * AP41 * AV41</f>
        <v>2.1311270932894807E-2</v>
      </c>
      <c r="BS41">
        <f>$CA$6</f>
        <v>1.0999999999999999E-2</v>
      </c>
      <c r="BT41">
        <f>BL41 * AX41 * AY41 * 10^-3</f>
        <v>1.6005186485081934E-2</v>
      </c>
      <c r="BU41">
        <f>BR41 * BS41 * AY41 * 10^-3</f>
        <v>3.6838054041146734E-7</v>
      </c>
      <c r="BZ41" s="13" t="s">
        <v>228</v>
      </c>
      <c r="CA41" s="13">
        <v>8.0000000000000002E-3</v>
      </c>
      <c r="CE41" t="s">
        <v>326</v>
      </c>
      <c r="CF41">
        <v>6.0000000000000001E-3</v>
      </c>
      <c r="CG41" t="s">
        <v>254</v>
      </c>
    </row>
    <row r="42" spans="1:85" x14ac:dyDescent="0.2">
      <c r="E42" s="12"/>
      <c r="F42" t="s">
        <v>164</v>
      </c>
      <c r="H42">
        <v>70</v>
      </c>
      <c r="I42">
        <v>0</v>
      </c>
      <c r="J42">
        <v>0</v>
      </c>
      <c r="L42">
        <f t="shared" si="31"/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47">1-V42</f>
        <v>4.5000000000000595E-3</v>
      </c>
      <c r="V42">
        <f>V41</f>
        <v>0.99549999999999994</v>
      </c>
      <c r="W42">
        <f>W41</f>
        <v>0.75</v>
      </c>
      <c r="X42">
        <f t="shared" si="32"/>
        <v>4.7000000000000002E-3</v>
      </c>
      <c r="Y42">
        <f t="shared" si="33"/>
        <v>0</v>
      </c>
      <c r="Z42">
        <v>0</v>
      </c>
      <c r="AA42">
        <f t="shared" ref="AA42:AA64" si="48">1.6 * Z42</f>
        <v>0</v>
      </c>
      <c r="AB42">
        <f>$AB$11</f>
        <v>1.3</v>
      </c>
      <c r="AC42">
        <f t="shared" si="34"/>
        <v>1</v>
      </c>
      <c r="AD42">
        <f t="shared" si="35"/>
        <v>0.48354999999999998</v>
      </c>
      <c r="AF42">
        <v>2.5</v>
      </c>
      <c r="AG42">
        <f t="shared" ref="AG42:AG64" si="49">1 - EXP(-2*(AF42^2))</f>
        <v>0.99999627334682795</v>
      </c>
      <c r="AH42">
        <f t="shared" si="36"/>
        <v>0.93843421889903578</v>
      </c>
      <c r="AI42">
        <f t="shared" ref="AI42:AI64" si="50">AH42*AG42*AC42</f>
        <v>0.93843072168017716</v>
      </c>
      <c r="AJ42">
        <f t="shared" si="37"/>
        <v>9.3843072168017724E-2</v>
      </c>
      <c r="AK42">
        <f t="shared" si="38"/>
        <v>0.08</v>
      </c>
      <c r="AL42">
        <f t="shared" si="39"/>
        <v>0.3691169446125166</v>
      </c>
      <c r="AM42">
        <f t="shared" si="40"/>
        <v>0.19</v>
      </c>
      <c r="AN42">
        <f t="shared" si="41"/>
        <v>0.6784</v>
      </c>
      <c r="AO42">
        <f t="shared" si="42"/>
        <v>1.6057472971311754E-4</v>
      </c>
      <c r="AP42">
        <f t="shared" si="43"/>
        <v>2.2260891084984003E-4</v>
      </c>
      <c r="AQ42">
        <f t="shared" ref="AQ42:AQ64" si="51">AO42+AP42</f>
        <v>3.8318364056295754E-4</v>
      </c>
      <c r="AR42">
        <f t="shared" si="44"/>
        <v>2.4475855040958914</v>
      </c>
      <c r="BA42">
        <f>BA41</f>
        <v>20</v>
      </c>
      <c r="BC42">
        <f t="shared" ref="BC42:BC64" si="52">Y42 * 1.6</f>
        <v>0</v>
      </c>
      <c r="BD42">
        <f>BD41</f>
        <v>4.3835616438356165E-2</v>
      </c>
      <c r="BE42">
        <f t="shared" si="45"/>
        <v>-4.6000000000000006E-2</v>
      </c>
      <c r="BF42">
        <v>57</v>
      </c>
      <c r="BG42">
        <f t="shared" ref="BG42:BG64" si="53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 t="shared" si="46"/>
        <v>78.400000000000006</v>
      </c>
      <c r="BJ42">
        <f t="shared" ref="BJ42:BJ64" si="54">(AJ42  / 6.25 ) - BH42</f>
        <v>9.7174894089300384E-3</v>
      </c>
      <c r="BK42">
        <f t="shared" ref="BK42:BK64" si="55">H42*BJ42*L42</f>
        <v>62.070463599540624</v>
      </c>
      <c r="BM42" s="28"/>
      <c r="BZ42" s="13" t="s">
        <v>229</v>
      </c>
      <c r="CA42" s="13">
        <v>1.9900000000000001E-2</v>
      </c>
      <c r="CE42" t="s">
        <v>327</v>
      </c>
      <c r="CF42">
        <v>6.0000000000000001E-3</v>
      </c>
      <c r="CG42" t="s">
        <v>254</v>
      </c>
    </row>
    <row r="43" spans="1:85" x14ac:dyDescent="0.2">
      <c r="E43" s="11"/>
      <c r="F43" t="s">
        <v>165</v>
      </c>
      <c r="H43">
        <v>65</v>
      </c>
      <c r="I43">
        <v>0</v>
      </c>
      <c r="J43">
        <v>0</v>
      </c>
      <c r="L43">
        <f t="shared" si="31"/>
        <v>91.25</v>
      </c>
      <c r="N43">
        <v>0.01</v>
      </c>
      <c r="P43">
        <v>0.12</v>
      </c>
      <c r="R43">
        <v>0.64</v>
      </c>
      <c r="T43">
        <v>50</v>
      </c>
      <c r="U43">
        <f t="shared" si="47"/>
        <v>4.5000000000000595E-3</v>
      </c>
      <c r="V43">
        <f>V41</f>
        <v>0.99549999999999994</v>
      </c>
      <c r="W43">
        <f>W41</f>
        <v>0.75</v>
      </c>
      <c r="X43">
        <f t="shared" si="32"/>
        <v>4.7000000000000002E-3</v>
      </c>
      <c r="Y43">
        <f t="shared" si="33"/>
        <v>0</v>
      </c>
      <c r="Z43">
        <v>0</v>
      </c>
      <c r="AA43">
        <f t="shared" si="48"/>
        <v>0</v>
      </c>
      <c r="AB43">
        <f t="shared" ref="AB43:AB64" si="56">$AB$11</f>
        <v>1.3</v>
      </c>
      <c r="AC43">
        <f t="shared" si="34"/>
        <v>1</v>
      </c>
      <c r="AD43">
        <f t="shared" si="35"/>
        <v>0.50740000000000007</v>
      </c>
      <c r="AF43">
        <v>1.6</v>
      </c>
      <c r="AG43">
        <f t="shared" si="49"/>
        <v>0.99402397710499402</v>
      </c>
      <c r="AH43">
        <f t="shared" si="36"/>
        <v>1.0054871153505722</v>
      </c>
      <c r="AI43">
        <f t="shared" si="50"/>
        <v>0.99947830132860371</v>
      </c>
      <c r="AJ43">
        <f t="shared" si="37"/>
        <v>0.11993739615943244</v>
      </c>
      <c r="AK43">
        <f t="shared" si="38"/>
        <v>0.08</v>
      </c>
      <c r="AL43">
        <f t="shared" si="39"/>
        <v>0.36778882639365651</v>
      </c>
      <c r="AM43">
        <f t="shared" si="40"/>
        <v>0.19</v>
      </c>
      <c r="AN43">
        <f t="shared" si="41"/>
        <v>0.6784</v>
      </c>
      <c r="AO43">
        <f t="shared" si="42"/>
        <v>1.5999696641307614E-4</v>
      </c>
      <c r="AP43">
        <f t="shared" si="43"/>
        <v>2.2180794260794414E-4</v>
      </c>
      <c r="AQ43">
        <f t="shared" si="51"/>
        <v>3.8180490902102026E-4</v>
      </c>
      <c r="AR43">
        <f t="shared" si="44"/>
        <v>2.2645803666309265</v>
      </c>
      <c r="BA43">
        <f>BA41</f>
        <v>20</v>
      </c>
      <c r="BC43">
        <f t="shared" si="52"/>
        <v>0</v>
      </c>
      <c r="BD43">
        <f>BD41</f>
        <v>4.3835616438356165E-2</v>
      </c>
      <c r="BE43">
        <f t="shared" si="45"/>
        <v>9.1999999999999998E-3</v>
      </c>
      <c r="BF43">
        <v>57</v>
      </c>
      <c r="BG43">
        <f t="shared" si="53"/>
        <v>0.8771929824561403</v>
      </c>
      <c r="BH43">
        <f t="shared" ref="BH43:BH44" si="57">((0.045 * BC43) + (BD$11 * 0.84)  + (BE43 * ((212 - 4 * ((BE43 * 1000)/(4* (BF43^0.75)) - 1)) - ((140 - 4 * (((BE43 * 1000)/(4 * BF43 ^0.75)) - 1))/(1 + EXP(-6 * (BG43 - 0.4)))))) * 10^-3) / 6.25</f>
        <v>6.008902955663851E-3</v>
      </c>
      <c r="BI43">
        <f t="shared" si="46"/>
        <v>80</v>
      </c>
      <c r="BJ43">
        <f t="shared" si="54"/>
        <v>1.3181080429845341E-2</v>
      </c>
      <c r="BK43">
        <f t="shared" si="55"/>
        <v>78.180283299520184</v>
      </c>
      <c r="BM43" s="28"/>
      <c r="BZ43" s="13" t="s">
        <v>230</v>
      </c>
      <c r="CA43" s="13">
        <v>5.3E-3</v>
      </c>
      <c r="CE43" t="s">
        <v>328</v>
      </c>
      <c r="CF43">
        <v>2E-3</v>
      </c>
      <c r="CG43" t="s">
        <v>255</v>
      </c>
    </row>
    <row r="44" spans="1:85" x14ac:dyDescent="0.2">
      <c r="E44" s="12"/>
      <c r="F44" t="s">
        <v>166</v>
      </c>
      <c r="H44">
        <v>80</v>
      </c>
      <c r="I44">
        <v>0</v>
      </c>
      <c r="J44">
        <v>0</v>
      </c>
      <c r="L44">
        <f t="shared" si="31"/>
        <v>91.25</v>
      </c>
      <c r="N44">
        <v>0</v>
      </c>
      <c r="P44">
        <v>0.18</v>
      </c>
      <c r="R44">
        <v>0.72</v>
      </c>
      <c r="T44">
        <v>50</v>
      </c>
      <c r="U44">
        <f t="shared" si="47"/>
        <v>4.5000000000000595E-3</v>
      </c>
      <c r="V44">
        <f>V41</f>
        <v>0.99549999999999994</v>
      </c>
      <c r="W44">
        <f>W41</f>
        <v>0.75</v>
      </c>
      <c r="X44">
        <f t="shared" si="32"/>
        <v>4.7000000000000002E-3</v>
      </c>
      <c r="Y44">
        <f t="shared" si="33"/>
        <v>0</v>
      </c>
      <c r="Z44">
        <v>0</v>
      </c>
      <c r="AA44">
        <f t="shared" si="48"/>
        <v>0</v>
      </c>
      <c r="AB44">
        <f t="shared" si="56"/>
        <v>1.3</v>
      </c>
      <c r="AC44">
        <f t="shared" si="34"/>
        <v>1</v>
      </c>
      <c r="AD44">
        <f t="shared" si="35"/>
        <v>0.57100000000000006</v>
      </c>
      <c r="AF44">
        <v>1.7</v>
      </c>
      <c r="AG44">
        <f t="shared" si="49"/>
        <v>0.99691128459176326</v>
      </c>
      <c r="AH44">
        <f t="shared" si="36"/>
        <v>1.1306948910936463</v>
      </c>
      <c r="AI44">
        <f t="shared" si="50"/>
        <v>1.1272024963615108</v>
      </c>
      <c r="AJ44">
        <f t="shared" si="37"/>
        <v>0.20289644934507195</v>
      </c>
      <c r="AK44">
        <f t="shared" si="38"/>
        <v>0.08</v>
      </c>
      <c r="AL44">
        <f t="shared" si="39"/>
        <v>0.33712490827789848</v>
      </c>
      <c r="AM44">
        <f t="shared" si="40"/>
        <v>0.19</v>
      </c>
      <c r="AN44">
        <f t="shared" si="41"/>
        <v>0.6784</v>
      </c>
      <c r="AO44">
        <f t="shared" si="42"/>
        <v>1.4665742609868643E-4</v>
      </c>
      <c r="AP44">
        <f t="shared" si="43"/>
        <v>2.0331499203017186E-4</v>
      </c>
      <c r="AQ44">
        <f t="shared" si="51"/>
        <v>3.499724181288583E-4</v>
      </c>
      <c r="AR44">
        <f t="shared" si="44"/>
        <v>2.5547986523406658</v>
      </c>
      <c r="BA44">
        <f>BA41</f>
        <v>20</v>
      </c>
      <c r="BC44">
        <f t="shared" si="52"/>
        <v>0</v>
      </c>
      <c r="BD44">
        <f>BD41</f>
        <v>4.3835616438356165E-2</v>
      </c>
      <c r="BE44">
        <f t="shared" si="45"/>
        <v>0</v>
      </c>
      <c r="BF44">
        <v>57</v>
      </c>
      <c r="BG44">
        <f t="shared" si="53"/>
        <v>0.8771929824561403</v>
      </c>
      <c r="BH44">
        <f t="shared" si="57"/>
        <v>5.8915068493150683E-3</v>
      </c>
      <c r="BI44">
        <f t="shared" si="46"/>
        <v>80</v>
      </c>
      <c r="BJ44">
        <f t="shared" si="54"/>
        <v>2.6571925045896443E-2</v>
      </c>
      <c r="BK44">
        <f t="shared" si="55"/>
        <v>193.97505283504404</v>
      </c>
      <c r="BM44" s="28"/>
      <c r="BZ44" s="13" t="s">
        <v>231</v>
      </c>
      <c r="CA44" s="13">
        <v>6.4000000000000003E-3</v>
      </c>
      <c r="CE44" t="s">
        <v>329</v>
      </c>
      <c r="CF44">
        <v>2E-3</v>
      </c>
      <c r="CG44" t="s">
        <v>255</v>
      </c>
    </row>
    <row r="45" spans="1:85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31"/>
        <v>91.25</v>
      </c>
      <c r="N45">
        <v>0.16</v>
      </c>
      <c r="P45">
        <v>0.2</v>
      </c>
      <c r="R45">
        <v>0.75</v>
      </c>
      <c r="T45">
        <v>20</v>
      </c>
      <c r="U45">
        <f t="shared" si="47"/>
        <v>4.5000000000000595E-3</v>
      </c>
      <c r="V45">
        <f>V41</f>
        <v>0.99549999999999994</v>
      </c>
      <c r="W45">
        <f>W41</f>
        <v>0.75</v>
      </c>
      <c r="X45">
        <f t="shared" si="32"/>
        <v>4.7000000000000002E-3</v>
      </c>
      <c r="Y45">
        <f t="shared" si="33"/>
        <v>0</v>
      </c>
      <c r="Z45">
        <v>1</v>
      </c>
      <c r="AA45">
        <f t="shared" si="48"/>
        <v>1.6</v>
      </c>
      <c r="AB45">
        <f t="shared" si="56"/>
        <v>1.3</v>
      </c>
      <c r="AC45">
        <f t="shared" si="34"/>
        <v>1</v>
      </c>
      <c r="AD45">
        <f t="shared" si="35"/>
        <v>0.5948500000000001</v>
      </c>
      <c r="AF45">
        <v>2.9</v>
      </c>
      <c r="AG45">
        <f t="shared" si="49"/>
        <v>0.9999999504359468</v>
      </c>
      <c r="AH45">
        <f t="shared" si="36"/>
        <v>0.5052226861752882</v>
      </c>
      <c r="AI45">
        <f t="shared" si="50"/>
        <v>0.50522266113440406</v>
      </c>
      <c r="AJ45">
        <f t="shared" si="37"/>
        <v>0.17304453222688082</v>
      </c>
      <c r="AK45">
        <f t="shared" si="38"/>
        <v>0.08</v>
      </c>
      <c r="AL45">
        <f t="shared" si="39"/>
        <v>0.12559440975442615</v>
      </c>
      <c r="AM45">
        <f t="shared" si="40"/>
        <v>0.19</v>
      </c>
      <c r="AN45">
        <f t="shared" si="41"/>
        <v>0.6784</v>
      </c>
      <c r="AO45">
        <f t="shared" si="42"/>
        <v>5.4636582509010208E-5</v>
      </c>
      <c r="AP45">
        <f t="shared" si="43"/>
        <v>7.5744110836230803E-5</v>
      </c>
      <c r="AQ45">
        <f t="shared" si="51"/>
        <v>1.3038069334524101E-4</v>
      </c>
      <c r="AR45">
        <f t="shared" si="44"/>
        <v>2.3794476535506481</v>
      </c>
      <c r="BA45">
        <v>15</v>
      </c>
      <c r="BB45">
        <v>0.85</v>
      </c>
      <c r="BC45">
        <f t="shared" si="52"/>
        <v>0</v>
      </c>
      <c r="BD45">
        <f t="shared" ref="BD45:BD61" si="58">(BA45 * BB45) / 365</f>
        <v>3.4931506849315071E-2</v>
      </c>
      <c r="BE45">
        <f t="shared" si="45"/>
        <v>0.1472</v>
      </c>
      <c r="BF45">
        <v>60</v>
      </c>
      <c r="BG45">
        <f t="shared" si="53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 t="shared" si="46"/>
        <v>32</v>
      </c>
      <c r="BJ45">
        <f t="shared" si="54"/>
        <v>1.9362421603544667E-2</v>
      </c>
      <c r="BK45">
        <f t="shared" si="55"/>
        <v>353.36419426469018</v>
      </c>
      <c r="BM45" s="28"/>
      <c r="BZ45" s="13" t="s">
        <v>222</v>
      </c>
      <c r="CA45" s="13">
        <v>2.5999999999999999E-3</v>
      </c>
      <c r="CE45" t="s">
        <v>330</v>
      </c>
      <c r="CF45">
        <v>2E-3</v>
      </c>
      <c r="CG45" t="s">
        <v>255</v>
      </c>
    </row>
    <row r="46" spans="1:85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31"/>
        <v>91.25</v>
      </c>
      <c r="N46">
        <v>0.08</v>
      </c>
      <c r="P46">
        <v>0.1</v>
      </c>
      <c r="R46">
        <v>0.61</v>
      </c>
      <c r="T46">
        <v>27</v>
      </c>
      <c r="U46">
        <f t="shared" si="47"/>
        <v>4.5000000000000595E-3</v>
      </c>
      <c r="V46">
        <f>V41</f>
        <v>0.99549999999999994</v>
      </c>
      <c r="W46">
        <f>W41</f>
        <v>0.75</v>
      </c>
      <c r="X46">
        <f t="shared" si="32"/>
        <v>4.7000000000000002E-3</v>
      </c>
      <c r="Y46">
        <f t="shared" si="33"/>
        <v>0</v>
      </c>
      <c r="Z46">
        <v>0</v>
      </c>
      <c r="AA46">
        <f t="shared" si="48"/>
        <v>0</v>
      </c>
      <c r="AB46">
        <f t="shared" si="56"/>
        <v>1.3</v>
      </c>
      <c r="AC46">
        <f t="shared" si="34"/>
        <v>1</v>
      </c>
      <c r="AD46">
        <f t="shared" si="35"/>
        <v>0.48354999999999998</v>
      </c>
      <c r="AF46">
        <v>2.5</v>
      </c>
      <c r="AG46">
        <f t="shared" si="49"/>
        <v>0.99999627334682795</v>
      </c>
      <c r="AH46">
        <f t="shared" si="36"/>
        <v>0.52017847077168489</v>
      </c>
      <c r="AI46">
        <f t="shared" si="50"/>
        <v>0.52017653224693672</v>
      </c>
      <c r="AJ46">
        <f t="shared" si="37"/>
        <v>5.2017653224693677E-2</v>
      </c>
      <c r="AK46">
        <f t="shared" si="38"/>
        <v>0.08</v>
      </c>
      <c r="AL46">
        <f t="shared" si="39"/>
        <v>0.1965968171591774</v>
      </c>
      <c r="AM46">
        <f t="shared" si="40"/>
        <v>0.19</v>
      </c>
      <c r="AN46">
        <f t="shared" si="41"/>
        <v>0.6784</v>
      </c>
      <c r="AO46">
        <f t="shared" si="42"/>
        <v>8.552433378785512E-5</v>
      </c>
      <c r="AP46">
        <f t="shared" si="43"/>
        <v>1.1856460122764464E-4</v>
      </c>
      <c r="AQ46">
        <f t="shared" si="51"/>
        <v>2.0408893501549976E-4</v>
      </c>
      <c r="AR46">
        <f t="shared" si="44"/>
        <v>3.9108542172345144</v>
      </c>
      <c r="BA46">
        <f>BA45</f>
        <v>15</v>
      </c>
      <c r="BC46">
        <f t="shared" si="52"/>
        <v>0</v>
      </c>
      <c r="BD46">
        <f>BD45</f>
        <v>3.4931506849315071E-2</v>
      </c>
      <c r="BE46">
        <f t="shared" si="45"/>
        <v>7.3599999999999999E-2</v>
      </c>
      <c r="BF46">
        <v>61</v>
      </c>
      <c r="BG46">
        <f t="shared" si="53"/>
        <v>0.44262295081967212</v>
      </c>
      <c r="BH46">
        <f t="shared" ref="BH46:BH64" si="59">((0.045 * BC46) + (BD46 * 0.84)  + (BE46 * ((212 - 4 * ((BE46 * 1000)/(4* (BF46^0.75)) - 1)) - ((140 - 4 * (((BE46 * 1000)/(4 * BF46 ^0.75)) - 1))/(1 + EXP(-6 * (BG46 - 0.4)))))) * 10^-3) / 6.25</f>
        <v>6.2653801002051776E-3</v>
      </c>
      <c r="BI46">
        <f t="shared" si="46"/>
        <v>43.2</v>
      </c>
      <c r="BJ46">
        <f t="shared" si="54"/>
        <v>2.0574444157458105E-3</v>
      </c>
      <c r="BK46">
        <f t="shared" si="55"/>
        <v>39.42577861672909</v>
      </c>
      <c r="BM46" s="28"/>
      <c r="BZ46" s="13" t="s">
        <v>232</v>
      </c>
      <c r="CA46" s="13">
        <v>3.0000000000000001E-3</v>
      </c>
      <c r="CE46" t="s">
        <v>331</v>
      </c>
      <c r="CF46">
        <v>2E-3</v>
      </c>
      <c r="CG46" t="s">
        <v>255</v>
      </c>
    </row>
    <row r="47" spans="1:85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31"/>
        <v>91.25</v>
      </c>
      <c r="N47">
        <v>0.05</v>
      </c>
      <c r="P47">
        <v>0.12</v>
      </c>
      <c r="R47">
        <v>0.64</v>
      </c>
      <c r="T47">
        <v>32</v>
      </c>
      <c r="U47">
        <f t="shared" si="47"/>
        <v>4.5000000000000595E-3</v>
      </c>
      <c r="V47">
        <f>V41</f>
        <v>0.99549999999999994</v>
      </c>
      <c r="W47">
        <f>W41</f>
        <v>0.75</v>
      </c>
      <c r="X47">
        <f t="shared" si="32"/>
        <v>4.7000000000000002E-3</v>
      </c>
      <c r="Y47">
        <f t="shared" si="33"/>
        <v>0</v>
      </c>
      <c r="Z47">
        <v>0</v>
      </c>
      <c r="AA47">
        <f t="shared" si="48"/>
        <v>0</v>
      </c>
      <c r="AB47">
        <f t="shared" si="56"/>
        <v>1.3</v>
      </c>
      <c r="AC47">
        <f t="shared" si="34"/>
        <v>1</v>
      </c>
      <c r="AD47">
        <f t="shared" si="35"/>
        <v>0.50740000000000007</v>
      </c>
      <c r="AF47">
        <v>1.6</v>
      </c>
      <c r="AG47">
        <f t="shared" si="49"/>
        <v>0.99402397710499402</v>
      </c>
      <c r="AH47">
        <f t="shared" si="36"/>
        <v>0.64511931548462409</v>
      </c>
      <c r="AI47">
        <f t="shared" si="50"/>
        <v>0.64126406768527744</v>
      </c>
      <c r="AJ47">
        <f t="shared" si="37"/>
        <v>7.6951688122233283E-2</v>
      </c>
      <c r="AK47">
        <f t="shared" si="38"/>
        <v>0.08</v>
      </c>
      <c r="AL47">
        <f t="shared" si="39"/>
        <v>0.22751954066312097</v>
      </c>
      <c r="AM47">
        <f t="shared" si="40"/>
        <v>0.19</v>
      </c>
      <c r="AN47">
        <f t="shared" si="41"/>
        <v>0.6784</v>
      </c>
      <c r="AO47">
        <f t="shared" si="42"/>
        <v>9.8976460657434855E-5</v>
      </c>
      <c r="AP47">
        <f t="shared" si="43"/>
        <v>1.3721363346578752E-4</v>
      </c>
      <c r="AQ47">
        <f t="shared" si="51"/>
        <v>2.3619009412322237E-4</v>
      </c>
      <c r="AR47">
        <f t="shared" si="44"/>
        <v>3.6638988350864872</v>
      </c>
      <c r="BA47">
        <f>BA45</f>
        <v>15</v>
      </c>
      <c r="BC47">
        <f t="shared" si="52"/>
        <v>0</v>
      </c>
      <c r="BD47">
        <f>BD45</f>
        <v>3.4931506849315071E-2</v>
      </c>
      <c r="BE47">
        <f t="shared" si="45"/>
        <v>4.6000000000000006E-2</v>
      </c>
      <c r="BF47">
        <v>62</v>
      </c>
      <c r="BG47">
        <f t="shared" si="53"/>
        <v>0.5161290322580645</v>
      </c>
      <c r="BH47">
        <f t="shared" si="59"/>
        <v>5.572045502257067E-3</v>
      </c>
      <c r="BI47">
        <f t="shared" si="46"/>
        <v>51.2</v>
      </c>
      <c r="BJ47">
        <f t="shared" si="54"/>
        <v>6.7402245973002591E-3</v>
      </c>
      <c r="BK47">
        <f t="shared" si="55"/>
        <v>104.55773406562028</v>
      </c>
      <c r="BM47" s="28"/>
      <c r="BZ47" s="13" t="s">
        <v>233</v>
      </c>
      <c r="CA47" s="13">
        <v>5.0000000000000001E-3</v>
      </c>
    </row>
    <row r="48" spans="1:85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31"/>
        <v>91.25</v>
      </c>
      <c r="N48">
        <v>0.04</v>
      </c>
      <c r="P48">
        <v>0.18</v>
      </c>
      <c r="R48">
        <v>0.72</v>
      </c>
      <c r="T48">
        <v>34</v>
      </c>
      <c r="U48">
        <f t="shared" si="47"/>
        <v>4.5000000000000595E-3</v>
      </c>
      <c r="V48">
        <f>V41</f>
        <v>0.99549999999999994</v>
      </c>
      <c r="W48">
        <f>W41</f>
        <v>0.75</v>
      </c>
      <c r="X48">
        <f t="shared" si="32"/>
        <v>4.7000000000000002E-3</v>
      </c>
      <c r="Y48">
        <f t="shared" si="33"/>
        <v>0</v>
      </c>
      <c r="Z48">
        <v>0</v>
      </c>
      <c r="AA48">
        <f t="shared" si="48"/>
        <v>0</v>
      </c>
      <c r="AB48">
        <f t="shared" si="56"/>
        <v>1.3</v>
      </c>
      <c r="AC48">
        <f t="shared" si="34"/>
        <v>1</v>
      </c>
      <c r="AD48">
        <f t="shared" si="35"/>
        <v>0.57100000000000006</v>
      </c>
      <c r="AF48">
        <v>1.7</v>
      </c>
      <c r="AG48">
        <f t="shared" si="49"/>
        <v>0.99691128459176326</v>
      </c>
      <c r="AH48">
        <f t="shared" si="36"/>
        <v>0.77753323213623582</v>
      </c>
      <c r="AI48">
        <f t="shared" si="50"/>
        <v>0.77513165326172051</v>
      </c>
      <c r="AJ48">
        <f t="shared" si="37"/>
        <v>0.1395236975871097</v>
      </c>
      <c r="AK48">
        <f t="shared" si="38"/>
        <v>0.08</v>
      </c>
      <c r="AL48">
        <f t="shared" si="39"/>
        <v>0.22178442402010679</v>
      </c>
      <c r="AM48">
        <f t="shared" si="40"/>
        <v>0.19</v>
      </c>
      <c r="AN48">
        <f t="shared" si="41"/>
        <v>0.6784</v>
      </c>
      <c r="AO48">
        <f t="shared" si="42"/>
        <v>9.6481547274924231E-5</v>
      </c>
      <c r="AP48">
        <f t="shared" si="43"/>
        <v>1.3375487036067354E-4</v>
      </c>
      <c r="AQ48">
        <f t="shared" si="51"/>
        <v>2.3023641763559777E-4</v>
      </c>
      <c r="AR48">
        <f t="shared" si="44"/>
        <v>4.2018146218496595</v>
      </c>
      <c r="BA48">
        <f>BA45</f>
        <v>15</v>
      </c>
      <c r="BC48">
        <f t="shared" si="52"/>
        <v>0</v>
      </c>
      <c r="BD48">
        <f>BD45</f>
        <v>3.4931506849315071E-2</v>
      </c>
      <c r="BE48">
        <f t="shared" si="45"/>
        <v>3.6799999999999999E-2</v>
      </c>
      <c r="BF48">
        <v>63</v>
      </c>
      <c r="BG48">
        <f t="shared" si="53"/>
        <v>0.53968253968253965</v>
      </c>
      <c r="BH48">
        <f t="shared" si="59"/>
        <v>5.3718080165132106E-3</v>
      </c>
      <c r="BI48">
        <f t="shared" si="46"/>
        <v>54.400000000000006</v>
      </c>
      <c r="BJ48">
        <f t="shared" si="54"/>
        <v>1.6951983597424343E-2</v>
      </c>
      <c r="BK48">
        <f t="shared" si="55"/>
        <v>309.37370065299427</v>
      </c>
      <c r="BM48" s="28"/>
      <c r="BZ48" s="13" t="s">
        <v>223</v>
      </c>
      <c r="CA48" s="13">
        <v>2.5999999999999999E-3</v>
      </c>
    </row>
    <row r="49" spans="5:79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31"/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47"/>
        <v>4.5000000000000595E-3</v>
      </c>
      <c r="V49">
        <f>V41</f>
        <v>0.99549999999999994</v>
      </c>
      <c r="W49">
        <f>W41</f>
        <v>0.75</v>
      </c>
      <c r="X49">
        <f t="shared" si="32"/>
        <v>4.7000000000000002E-3</v>
      </c>
      <c r="Y49">
        <f t="shared" si="33"/>
        <v>0.874</v>
      </c>
      <c r="Z49">
        <v>0</v>
      </c>
      <c r="AA49">
        <f t="shared" si="48"/>
        <v>0</v>
      </c>
      <c r="AB49">
        <f t="shared" si="56"/>
        <v>1.3</v>
      </c>
      <c r="AC49">
        <f t="shared" si="34"/>
        <v>1.2622</v>
      </c>
      <c r="AD49">
        <f t="shared" si="35"/>
        <v>0.5948500000000001</v>
      </c>
      <c r="AF49">
        <v>2.9</v>
      </c>
      <c r="AG49">
        <f t="shared" si="49"/>
        <v>0.9999999504359468</v>
      </c>
      <c r="AH49">
        <f t="shared" si="36"/>
        <v>1.0385156413271623</v>
      </c>
      <c r="AI49">
        <f t="shared" si="50"/>
        <v>1.3108143775138676</v>
      </c>
      <c r="AJ49">
        <f t="shared" si="37"/>
        <v>0.26216287550277356</v>
      </c>
      <c r="AK49">
        <f t="shared" si="38"/>
        <v>0.08</v>
      </c>
      <c r="AL49">
        <f t="shared" si="39"/>
        <v>0.36471833025672168</v>
      </c>
      <c r="AM49">
        <f t="shared" si="40"/>
        <v>0.19</v>
      </c>
      <c r="AN49">
        <f t="shared" si="41"/>
        <v>0.6784</v>
      </c>
      <c r="AO49">
        <f t="shared" si="42"/>
        <v>1.5866122690160218E-4</v>
      </c>
      <c r="AP49">
        <f t="shared" si="43"/>
        <v>2.1995617229290414E-4</v>
      </c>
      <c r="AQ49">
        <f t="shared" si="51"/>
        <v>3.7861739919450632E-4</v>
      </c>
      <c r="AR49">
        <f t="shared" si="44"/>
        <v>3.45488376764987</v>
      </c>
      <c r="BA49">
        <v>18</v>
      </c>
      <c r="BB49">
        <v>0.8</v>
      </c>
      <c r="BC49">
        <f t="shared" si="52"/>
        <v>1.3984000000000001</v>
      </c>
      <c r="BD49">
        <f t="shared" ref="BD49:BD64" si="60">(BA49 * BB49) / 365</f>
        <v>3.9452054794520547E-2</v>
      </c>
      <c r="BE49">
        <f t="shared" si="45"/>
        <v>6.4400000000000013E-2</v>
      </c>
      <c r="BF49">
        <v>57</v>
      </c>
      <c r="BG49">
        <f t="shared" si="53"/>
        <v>0.77192982456140347</v>
      </c>
      <c r="BH49">
        <f t="shared" si="59"/>
        <v>1.6253475478570988E-2</v>
      </c>
      <c r="BI49">
        <f t="shared" si="46"/>
        <v>70.400000000000006</v>
      </c>
      <c r="BJ49">
        <f t="shared" si="54"/>
        <v>2.5692584601872782E-2</v>
      </c>
      <c r="BK49">
        <f t="shared" si="55"/>
        <v>234.44483449208911</v>
      </c>
      <c r="BM49" s="28"/>
      <c r="BZ49" s="13" t="s">
        <v>234</v>
      </c>
      <c r="CA49" s="13">
        <v>1.8E-3</v>
      </c>
    </row>
    <row r="50" spans="5:79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31"/>
        <v>91.25</v>
      </c>
      <c r="N50">
        <v>0</v>
      </c>
      <c r="P50">
        <v>0.1</v>
      </c>
      <c r="R50">
        <v>0.61</v>
      </c>
      <c r="T50">
        <v>42</v>
      </c>
      <c r="U50">
        <f t="shared" si="47"/>
        <v>4.5000000000000595E-3</v>
      </c>
      <c r="V50">
        <f>V41</f>
        <v>0.99549999999999994</v>
      </c>
      <c r="W50">
        <f>W41</f>
        <v>0.75</v>
      </c>
      <c r="X50">
        <f t="shared" si="32"/>
        <v>4.7000000000000002E-3</v>
      </c>
      <c r="Y50">
        <f t="shared" si="33"/>
        <v>0</v>
      </c>
      <c r="Z50">
        <v>0</v>
      </c>
      <c r="AA50">
        <f t="shared" si="48"/>
        <v>0</v>
      </c>
      <c r="AB50">
        <f t="shared" si="56"/>
        <v>1.3</v>
      </c>
      <c r="AC50">
        <f t="shared" si="34"/>
        <v>1</v>
      </c>
      <c r="AD50">
        <f t="shared" si="35"/>
        <v>0.48354999999999998</v>
      </c>
      <c r="AF50">
        <v>2.5</v>
      </c>
      <c r="AG50">
        <f t="shared" si="49"/>
        <v>0.99999627334682795</v>
      </c>
      <c r="AH50">
        <f t="shared" si="36"/>
        <v>0.80052120768394575</v>
      </c>
      <c r="AI50">
        <f t="shared" si="50"/>
        <v>0.80051822441904785</v>
      </c>
      <c r="AJ50">
        <f t="shared" si="37"/>
        <v>8.0051822441904785E-2</v>
      </c>
      <c r="AK50">
        <f t="shared" si="38"/>
        <v>0.08</v>
      </c>
      <c r="AL50">
        <f t="shared" si="39"/>
        <v>0.31080846185822891</v>
      </c>
      <c r="AM50">
        <f t="shared" si="40"/>
        <v>0.19</v>
      </c>
      <c r="AN50">
        <f t="shared" si="41"/>
        <v>0.6784</v>
      </c>
      <c r="AO50">
        <f t="shared" si="42"/>
        <v>1.3520914031141595E-4</v>
      </c>
      <c r="AP50">
        <f t="shared" si="43"/>
        <v>1.8744393663586969E-4</v>
      </c>
      <c r="AQ50">
        <f t="shared" si="51"/>
        <v>3.2265307694728568E-4</v>
      </c>
      <c r="AR50">
        <f t="shared" si="44"/>
        <v>4.1218930580015742</v>
      </c>
      <c r="BA50">
        <f>BA49</f>
        <v>18</v>
      </c>
      <c r="BC50">
        <f t="shared" si="52"/>
        <v>0</v>
      </c>
      <c r="BD50">
        <f>BD49</f>
        <v>3.9452054794520547E-2</v>
      </c>
      <c r="BE50">
        <f t="shared" si="45"/>
        <v>0</v>
      </c>
      <c r="BF50">
        <v>57</v>
      </c>
      <c r="BG50">
        <f t="shared" si="53"/>
        <v>0.73684210526315785</v>
      </c>
      <c r="BH50">
        <f t="shared" si="59"/>
        <v>5.3023561643835617E-3</v>
      </c>
      <c r="BI50">
        <f t="shared" si="46"/>
        <v>67.2</v>
      </c>
      <c r="BJ50">
        <f t="shared" si="54"/>
        <v>7.5059354263212041E-3</v>
      </c>
      <c r="BK50">
        <f t="shared" si="55"/>
        <v>95.888325071253377</v>
      </c>
      <c r="BM50" s="28"/>
    </row>
    <row r="51" spans="5:79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31"/>
        <v>91.25</v>
      </c>
      <c r="N51">
        <v>0</v>
      </c>
      <c r="P51">
        <v>0.12</v>
      </c>
      <c r="R51">
        <v>0.64</v>
      </c>
      <c r="T51">
        <v>43</v>
      </c>
      <c r="U51">
        <f t="shared" si="47"/>
        <v>4.5000000000000595E-3</v>
      </c>
      <c r="V51">
        <f>V41</f>
        <v>0.99549999999999994</v>
      </c>
      <c r="W51">
        <f>W41</f>
        <v>0.75</v>
      </c>
      <c r="X51">
        <f t="shared" si="32"/>
        <v>4.7000000000000002E-3</v>
      </c>
      <c r="Y51">
        <f t="shared" si="33"/>
        <v>0</v>
      </c>
      <c r="Z51">
        <v>0</v>
      </c>
      <c r="AA51">
        <f t="shared" si="48"/>
        <v>0</v>
      </c>
      <c r="AB51">
        <f t="shared" si="56"/>
        <v>1.3</v>
      </c>
      <c r="AC51">
        <f t="shared" si="34"/>
        <v>1</v>
      </c>
      <c r="AD51">
        <f t="shared" si="35"/>
        <v>0.50740000000000007</v>
      </c>
      <c r="AF51">
        <v>1.6</v>
      </c>
      <c r="AG51">
        <f t="shared" si="49"/>
        <v>0.99402397710499402</v>
      </c>
      <c r="AH51">
        <f t="shared" si="36"/>
        <v>0.86186034677094148</v>
      </c>
      <c r="AI51">
        <f t="shared" si="50"/>
        <v>0.85670984960634056</v>
      </c>
      <c r="AJ51">
        <f t="shared" si="37"/>
        <v>0.10280518195276087</v>
      </c>
      <c r="AK51">
        <f t="shared" si="38"/>
        <v>0.08</v>
      </c>
      <c r="AL51">
        <f t="shared" si="39"/>
        <v>0.31075172719360067</v>
      </c>
      <c r="AM51">
        <f t="shared" si="40"/>
        <v>0.19</v>
      </c>
      <c r="AN51">
        <f t="shared" si="41"/>
        <v>0.6784</v>
      </c>
      <c r="AO51">
        <f t="shared" si="42"/>
        <v>1.3518445937067073E-4</v>
      </c>
      <c r="AP51">
        <f t="shared" si="43"/>
        <v>1.8740972080783831E-4</v>
      </c>
      <c r="AQ51">
        <f t="shared" si="51"/>
        <v>3.2259418017850904E-4</v>
      </c>
      <c r="AR51">
        <f t="shared" si="44"/>
        <v>3.9739570570740086</v>
      </c>
      <c r="BA51">
        <f>BA49</f>
        <v>18</v>
      </c>
      <c r="BC51">
        <f t="shared" si="52"/>
        <v>0</v>
      </c>
      <c r="BD51">
        <f>BD49</f>
        <v>3.9452054794520547E-2</v>
      </c>
      <c r="BE51">
        <f t="shared" si="45"/>
        <v>0</v>
      </c>
      <c r="BF51">
        <v>57</v>
      </c>
      <c r="BG51">
        <f t="shared" si="53"/>
        <v>0.75438596491228072</v>
      </c>
      <c r="BH51">
        <f t="shared" si="59"/>
        <v>5.3023561643835617E-3</v>
      </c>
      <c r="BI51">
        <f t="shared" si="46"/>
        <v>68.8</v>
      </c>
      <c r="BJ51">
        <f t="shared" si="54"/>
        <v>1.1146472948058176E-2</v>
      </c>
      <c r="BK51">
        <f t="shared" si="55"/>
        <v>137.31061362889167</v>
      </c>
      <c r="BM51" s="28"/>
    </row>
    <row r="52" spans="5:79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31"/>
        <v>91.25</v>
      </c>
      <c r="N52">
        <v>0.02</v>
      </c>
      <c r="P52">
        <v>0.18</v>
      </c>
      <c r="R52">
        <v>0.72</v>
      </c>
      <c r="T52">
        <v>45</v>
      </c>
      <c r="U52">
        <f t="shared" si="47"/>
        <v>4.5000000000000595E-3</v>
      </c>
      <c r="V52">
        <f>V41</f>
        <v>0.99549999999999994</v>
      </c>
      <c r="W52">
        <f>W41</f>
        <v>0.75</v>
      </c>
      <c r="X52">
        <f t="shared" si="32"/>
        <v>4.7000000000000002E-3</v>
      </c>
      <c r="Y52">
        <f t="shared" si="33"/>
        <v>0</v>
      </c>
      <c r="Z52">
        <v>0</v>
      </c>
      <c r="AA52">
        <f t="shared" si="48"/>
        <v>0</v>
      </c>
      <c r="AB52">
        <f t="shared" si="56"/>
        <v>1.3</v>
      </c>
      <c r="AC52">
        <f t="shared" si="34"/>
        <v>1</v>
      </c>
      <c r="AD52">
        <f t="shared" si="35"/>
        <v>0.57100000000000006</v>
      </c>
      <c r="AF52">
        <v>1.7</v>
      </c>
      <c r="AG52">
        <f t="shared" si="49"/>
        <v>0.99691128459176326</v>
      </c>
      <c r="AH52">
        <f t="shared" si="36"/>
        <v>1.0181162441707754</v>
      </c>
      <c r="AI52">
        <f t="shared" si="50"/>
        <v>1.014971572840029</v>
      </c>
      <c r="AJ52">
        <f t="shared" si="37"/>
        <v>0.18269488311120521</v>
      </c>
      <c r="AK52">
        <f t="shared" si="38"/>
        <v>0.08</v>
      </c>
      <c r="AL52">
        <f t="shared" si="39"/>
        <v>0.29936683357077126</v>
      </c>
      <c r="AM52">
        <f t="shared" si="40"/>
        <v>0.19</v>
      </c>
      <c r="AN52">
        <f t="shared" si="41"/>
        <v>0.6784</v>
      </c>
      <c r="AO52">
        <f t="shared" si="42"/>
        <v>1.3023175740729291E-4</v>
      </c>
      <c r="AP52">
        <f t="shared" si="43"/>
        <v>1.8054366167262351E-4</v>
      </c>
      <c r="AQ52">
        <f t="shared" si="51"/>
        <v>3.1077541907991639E-4</v>
      </c>
      <c r="AR52">
        <f t="shared" si="44"/>
        <v>3.6865734088355082</v>
      </c>
      <c r="BA52">
        <f>BA49</f>
        <v>18</v>
      </c>
      <c r="BC52">
        <f t="shared" si="52"/>
        <v>0</v>
      </c>
      <c r="BD52">
        <f>BD49</f>
        <v>3.9452054794520547E-2</v>
      </c>
      <c r="BE52">
        <f t="shared" si="45"/>
        <v>1.84E-2</v>
      </c>
      <c r="BF52">
        <v>57</v>
      </c>
      <c r="BG52">
        <f t="shared" si="53"/>
        <v>0.78947368421052633</v>
      </c>
      <c r="BH52">
        <f t="shared" si="59"/>
        <v>5.5514501759816046E-3</v>
      </c>
      <c r="BI52">
        <f t="shared" si="46"/>
        <v>72</v>
      </c>
      <c r="BJ52">
        <f t="shared" si="54"/>
        <v>2.367973112181123E-2</v>
      </c>
      <c r="BK52">
        <f t="shared" si="55"/>
        <v>280.90081043248574</v>
      </c>
      <c r="BM52" s="28"/>
    </row>
    <row r="53" spans="5:79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31"/>
        <v>91.25</v>
      </c>
      <c r="N53">
        <v>0.05</v>
      </c>
      <c r="P53">
        <v>0.2</v>
      </c>
      <c r="R53">
        <v>0.75</v>
      </c>
      <c r="T53">
        <v>56</v>
      </c>
      <c r="U53">
        <f t="shared" si="47"/>
        <v>4.5000000000000595E-3</v>
      </c>
      <c r="V53">
        <f>V41</f>
        <v>0.99549999999999994</v>
      </c>
      <c r="W53">
        <f>W41</f>
        <v>0.75</v>
      </c>
      <c r="X53">
        <f t="shared" si="32"/>
        <v>4.7000000000000002E-3</v>
      </c>
      <c r="Y53">
        <f t="shared" si="33"/>
        <v>0</v>
      </c>
      <c r="Z53">
        <v>0</v>
      </c>
      <c r="AA53">
        <f t="shared" si="48"/>
        <v>0</v>
      </c>
      <c r="AB53">
        <f t="shared" si="56"/>
        <v>1.3</v>
      </c>
      <c r="AC53">
        <f t="shared" si="34"/>
        <v>1</v>
      </c>
      <c r="AD53">
        <f t="shared" si="35"/>
        <v>0.5948500000000001</v>
      </c>
      <c r="AF53">
        <v>2.9</v>
      </c>
      <c r="AG53">
        <f t="shared" si="49"/>
        <v>0.9999999504359468</v>
      </c>
      <c r="AH53">
        <f t="shared" si="36"/>
        <v>1.3198285488795851</v>
      </c>
      <c r="AI53">
        <f t="shared" si="50"/>
        <v>1.3198284834635328</v>
      </c>
      <c r="AJ53">
        <f t="shared" si="37"/>
        <v>0.26396569669270659</v>
      </c>
      <c r="AK53">
        <f t="shared" si="38"/>
        <v>0.08</v>
      </c>
      <c r="AL53">
        <f t="shared" si="39"/>
        <v>0.3676642091046412</v>
      </c>
      <c r="AM53">
        <f t="shared" si="40"/>
        <v>0.19</v>
      </c>
      <c r="AN53">
        <f t="shared" si="41"/>
        <v>0.6784</v>
      </c>
      <c r="AO53">
        <f t="shared" si="42"/>
        <v>1.5994275490153958E-4</v>
      </c>
      <c r="AP53">
        <f t="shared" si="43"/>
        <v>2.2173278778401734E-4</v>
      </c>
      <c r="AQ53">
        <f t="shared" si="51"/>
        <v>3.8167554268555691E-4</v>
      </c>
      <c r="AR53">
        <f t="shared" si="44"/>
        <v>6.9655786540114137</v>
      </c>
      <c r="BA53">
        <v>20</v>
      </c>
      <c r="BB53">
        <v>0.8</v>
      </c>
      <c r="BC53">
        <f t="shared" si="52"/>
        <v>0</v>
      </c>
      <c r="BD53">
        <f t="shared" ref="BD53:BD64" si="61">(BA53 * BB53) / 365</f>
        <v>4.3835616438356165E-2</v>
      </c>
      <c r="BE53">
        <f t="shared" si="45"/>
        <v>4.6000000000000006E-2</v>
      </c>
      <c r="BF53">
        <v>57</v>
      </c>
      <c r="BG53">
        <f t="shared" si="53"/>
        <v>0.98245614035087714</v>
      </c>
      <c r="BH53">
        <f t="shared" si="59"/>
        <v>6.4521713957214491E-3</v>
      </c>
      <c r="BI53">
        <f t="shared" si="46"/>
        <v>89.600000000000009</v>
      </c>
      <c r="BJ53">
        <f t="shared" si="54"/>
        <v>3.5782340075111607E-2</v>
      </c>
      <c r="BK53">
        <f t="shared" si="55"/>
        <v>653.02770637078686</v>
      </c>
      <c r="BM53" s="28"/>
    </row>
    <row r="54" spans="5:79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31"/>
        <v>91.25</v>
      </c>
      <c r="N54">
        <v>-0.05</v>
      </c>
      <c r="P54">
        <v>0.1</v>
      </c>
      <c r="R54">
        <v>0.61</v>
      </c>
      <c r="T54">
        <v>51</v>
      </c>
      <c r="U54">
        <f t="shared" si="47"/>
        <v>4.5000000000000595E-3</v>
      </c>
      <c r="V54">
        <f>V41</f>
        <v>0.99549999999999994</v>
      </c>
      <c r="W54">
        <f>W41</f>
        <v>0.75</v>
      </c>
      <c r="X54">
        <f t="shared" si="32"/>
        <v>4.7000000000000002E-3</v>
      </c>
      <c r="Y54">
        <f t="shared" si="33"/>
        <v>0</v>
      </c>
      <c r="Z54">
        <v>0</v>
      </c>
      <c r="AA54">
        <f t="shared" si="48"/>
        <v>0</v>
      </c>
      <c r="AB54">
        <f t="shared" si="56"/>
        <v>1.3</v>
      </c>
      <c r="AC54">
        <f t="shared" si="34"/>
        <v>1</v>
      </c>
      <c r="AD54">
        <f t="shared" si="35"/>
        <v>0.48354999999999998</v>
      </c>
      <c r="AF54">
        <v>2.5</v>
      </c>
      <c r="AG54">
        <f t="shared" si="49"/>
        <v>0.99999627334682795</v>
      </c>
      <c r="AH54">
        <f t="shared" si="36"/>
        <v>0.97873546256970145</v>
      </c>
      <c r="AI54">
        <f t="shared" si="50"/>
        <v>0.97873181516208529</v>
      </c>
      <c r="AJ54">
        <f t="shared" si="37"/>
        <v>9.7873181516208538E-2</v>
      </c>
      <c r="AK54">
        <f t="shared" si="38"/>
        <v>0.08</v>
      </c>
      <c r="AL54">
        <f t="shared" si="39"/>
        <v>0.38642028282934154</v>
      </c>
      <c r="AM54">
        <f t="shared" si="40"/>
        <v>0.19</v>
      </c>
      <c r="AN54">
        <f t="shared" si="41"/>
        <v>0.6784</v>
      </c>
      <c r="AO54">
        <f t="shared" si="42"/>
        <v>1.6810209711755372E-4</v>
      </c>
      <c r="AP54">
        <f t="shared" si="43"/>
        <v>2.3304429543657951E-4</v>
      </c>
      <c r="AQ54">
        <f t="shared" si="51"/>
        <v>4.011463925541332E-4</v>
      </c>
      <c r="AR54">
        <f t="shared" si="44"/>
        <v>7.6869677473185778</v>
      </c>
      <c r="BA54">
        <f>BA53</f>
        <v>20</v>
      </c>
      <c r="BC54">
        <f t="shared" si="52"/>
        <v>0</v>
      </c>
      <c r="BD54">
        <f>BD53</f>
        <v>4.3835616438356165E-2</v>
      </c>
      <c r="BE54">
        <f t="shared" si="45"/>
        <v>-4.6000000000000006E-2</v>
      </c>
      <c r="BF54">
        <v>57</v>
      </c>
      <c r="BG54">
        <f t="shared" si="53"/>
        <v>0.89473684210526316</v>
      </c>
      <c r="BH54">
        <f t="shared" si="59"/>
        <v>5.3089915920333389E-3</v>
      </c>
      <c r="BI54">
        <f t="shared" si="46"/>
        <v>81.600000000000009</v>
      </c>
      <c r="BJ54">
        <f t="shared" si="54"/>
        <v>1.0350717450560029E-2</v>
      </c>
      <c r="BK54">
        <f t="shared" si="55"/>
        <v>198.34562314635656</v>
      </c>
      <c r="BM54" s="28"/>
    </row>
    <row r="55" spans="5:79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31"/>
        <v>91.25</v>
      </c>
      <c r="N55">
        <v>-0.01</v>
      </c>
      <c r="P55">
        <v>0.12</v>
      </c>
      <c r="R55">
        <v>0.64</v>
      </c>
      <c r="T55">
        <v>50</v>
      </c>
      <c r="U55">
        <f t="shared" si="47"/>
        <v>4.5000000000000595E-3</v>
      </c>
      <c r="V55">
        <f>V41</f>
        <v>0.99549999999999994</v>
      </c>
      <c r="W55">
        <f>W41</f>
        <v>0.75</v>
      </c>
      <c r="X55">
        <f t="shared" si="32"/>
        <v>4.7000000000000002E-3</v>
      </c>
      <c r="Y55">
        <f t="shared" si="33"/>
        <v>0</v>
      </c>
      <c r="Z55">
        <v>0</v>
      </c>
      <c r="AA55">
        <f t="shared" si="48"/>
        <v>0</v>
      </c>
      <c r="AB55">
        <f t="shared" si="56"/>
        <v>1.3</v>
      </c>
      <c r="AC55">
        <f t="shared" si="34"/>
        <v>1</v>
      </c>
      <c r="AD55">
        <f t="shared" si="35"/>
        <v>0.50740000000000007</v>
      </c>
      <c r="AF55">
        <v>1.6</v>
      </c>
      <c r="AG55">
        <f t="shared" si="49"/>
        <v>0.99402397710499402</v>
      </c>
      <c r="AH55">
        <f t="shared" si="36"/>
        <v>1.0054871153505722</v>
      </c>
      <c r="AI55">
        <f t="shared" si="50"/>
        <v>0.99947830132860371</v>
      </c>
      <c r="AJ55">
        <f t="shared" si="37"/>
        <v>0.11993739615943244</v>
      </c>
      <c r="AK55">
        <f t="shared" si="38"/>
        <v>0.08</v>
      </c>
      <c r="AL55">
        <f t="shared" si="39"/>
        <v>0.36778882639365651</v>
      </c>
      <c r="AM55">
        <f t="shared" si="40"/>
        <v>0.19</v>
      </c>
      <c r="AN55">
        <f t="shared" si="41"/>
        <v>0.6784</v>
      </c>
      <c r="AO55">
        <f t="shared" si="42"/>
        <v>1.5999696641307614E-4</v>
      </c>
      <c r="AP55">
        <f t="shared" si="43"/>
        <v>2.2180794260794414E-4</v>
      </c>
      <c r="AQ55">
        <f t="shared" si="51"/>
        <v>3.8180490902102026E-4</v>
      </c>
      <c r="AR55">
        <f t="shared" si="44"/>
        <v>6.6195426101519388</v>
      </c>
      <c r="BA55">
        <f>BA53</f>
        <v>20</v>
      </c>
      <c r="BC55">
        <f t="shared" si="52"/>
        <v>0</v>
      </c>
      <c r="BD55">
        <f>BD53</f>
        <v>4.3835616438356165E-2</v>
      </c>
      <c r="BE55">
        <f t="shared" si="45"/>
        <v>-9.1999999999999998E-3</v>
      </c>
      <c r="BF55">
        <v>57</v>
      </c>
      <c r="BG55">
        <f t="shared" si="53"/>
        <v>0.8771929824561403</v>
      </c>
      <c r="BH55">
        <f t="shared" si="59"/>
        <v>5.7740402323365947E-3</v>
      </c>
      <c r="BI55">
        <f t="shared" si="46"/>
        <v>80</v>
      </c>
      <c r="BJ55">
        <f t="shared" si="54"/>
        <v>1.3415943153172596E-2</v>
      </c>
      <c r="BK55">
        <f t="shared" si="55"/>
        <v>232.59891441812988</v>
      </c>
      <c r="BM55" s="28"/>
    </row>
    <row r="56" spans="5:79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31"/>
        <v>91.25</v>
      </c>
      <c r="N56">
        <v>0.01</v>
      </c>
      <c r="P56">
        <v>0.18</v>
      </c>
      <c r="R56">
        <v>0.72</v>
      </c>
      <c r="T56">
        <v>51</v>
      </c>
      <c r="U56">
        <f t="shared" si="47"/>
        <v>4.5000000000000595E-3</v>
      </c>
      <c r="V56">
        <f>V41</f>
        <v>0.99549999999999994</v>
      </c>
      <c r="W56">
        <f>W41</f>
        <v>0.75</v>
      </c>
      <c r="X56">
        <f t="shared" si="32"/>
        <v>4.7000000000000002E-3</v>
      </c>
      <c r="Y56">
        <f t="shared" si="33"/>
        <v>0</v>
      </c>
      <c r="Z56">
        <v>0</v>
      </c>
      <c r="AA56">
        <f t="shared" si="48"/>
        <v>0</v>
      </c>
      <c r="AB56">
        <f t="shared" si="56"/>
        <v>1.3</v>
      </c>
      <c r="AC56">
        <f t="shared" si="34"/>
        <v>1</v>
      </c>
      <c r="AD56">
        <f t="shared" si="35"/>
        <v>0.57100000000000006</v>
      </c>
      <c r="AF56">
        <v>1.7</v>
      </c>
      <c r="AG56">
        <f t="shared" si="49"/>
        <v>0.99691128459176326</v>
      </c>
      <c r="AH56">
        <f t="shared" si="36"/>
        <v>1.1534721617679149</v>
      </c>
      <c r="AI56">
        <f t="shared" si="50"/>
        <v>1.1499094145288902</v>
      </c>
      <c r="AJ56">
        <f t="shared" si="37"/>
        <v>0.20698369461520022</v>
      </c>
      <c r="AK56">
        <f t="shared" si="38"/>
        <v>0.08</v>
      </c>
      <c r="AL56">
        <f t="shared" si="39"/>
        <v>0.34487699833033825</v>
      </c>
      <c r="AM56">
        <f t="shared" si="40"/>
        <v>0.19</v>
      </c>
      <c r="AN56">
        <f t="shared" si="41"/>
        <v>0.6784</v>
      </c>
      <c r="AO56">
        <f t="shared" si="42"/>
        <v>1.5002977132165903E-4</v>
      </c>
      <c r="AP56">
        <f t="shared" si="43"/>
        <v>2.0799016164395117E-4</v>
      </c>
      <c r="AQ56">
        <f t="shared" si="51"/>
        <v>3.5801993296561021E-4</v>
      </c>
      <c r="AR56">
        <f t="shared" si="44"/>
        <v>5.8804773989601475</v>
      </c>
      <c r="BA56">
        <f>BA53</f>
        <v>20</v>
      </c>
      <c r="BC56">
        <f t="shared" si="52"/>
        <v>0</v>
      </c>
      <c r="BD56">
        <f>BD53</f>
        <v>4.3835616438356165E-2</v>
      </c>
      <c r="BE56">
        <f t="shared" si="45"/>
        <v>9.1999999999999998E-3</v>
      </c>
      <c r="BF56">
        <v>57</v>
      </c>
      <c r="BG56">
        <f t="shared" si="53"/>
        <v>0.89473684210526316</v>
      </c>
      <c r="BH56">
        <f t="shared" si="59"/>
        <v>6.0078184706201763E-3</v>
      </c>
      <c r="BI56">
        <f t="shared" si="46"/>
        <v>81.600000000000009</v>
      </c>
      <c r="BJ56">
        <f t="shared" si="54"/>
        <v>2.7109572667811856E-2</v>
      </c>
      <c r="BK56">
        <f t="shared" si="55"/>
        <v>445.27473106880979</v>
      </c>
      <c r="BM56" s="28"/>
    </row>
    <row r="57" spans="5:79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31"/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47"/>
        <v>4.5000000000000595E-3</v>
      </c>
      <c r="V57">
        <f>V41</f>
        <v>0.99549999999999994</v>
      </c>
      <c r="W57">
        <f>W41</f>
        <v>0.75</v>
      </c>
      <c r="X57">
        <f t="shared" si="32"/>
        <v>4.7000000000000002E-3</v>
      </c>
      <c r="Y57">
        <f t="shared" si="33"/>
        <v>0</v>
      </c>
      <c r="Z57">
        <v>0</v>
      </c>
      <c r="AA57">
        <f t="shared" si="48"/>
        <v>0</v>
      </c>
      <c r="AB57">
        <f t="shared" si="56"/>
        <v>1.3</v>
      </c>
      <c r="AC57">
        <f t="shared" si="34"/>
        <v>1</v>
      </c>
      <c r="AD57">
        <f t="shared" si="35"/>
        <v>0.5948500000000001</v>
      </c>
      <c r="AF57">
        <v>2.9</v>
      </c>
      <c r="AG57">
        <f t="shared" si="49"/>
        <v>0.9999999504359468</v>
      </c>
      <c r="AH57">
        <f t="shared" si="36"/>
        <v>1.7917898456122741</v>
      </c>
      <c r="AI57">
        <f t="shared" si="50"/>
        <v>1.7917897568039067</v>
      </c>
      <c r="AJ57">
        <f t="shared" si="37"/>
        <v>0.35835795136078136</v>
      </c>
      <c r="AK57">
        <f t="shared" si="38"/>
        <v>0.08</v>
      </c>
      <c r="AL57">
        <f t="shared" si="39"/>
        <v>0.53025843166411502</v>
      </c>
      <c r="AM57">
        <f t="shared" si="40"/>
        <v>0.19</v>
      </c>
      <c r="AN57">
        <f t="shared" si="41"/>
        <v>0.6784</v>
      </c>
      <c r="AO57">
        <f t="shared" si="42"/>
        <v>2.3067514397625299E-4</v>
      </c>
      <c r="AP57">
        <f t="shared" si="43"/>
        <v>3.1979093256097102E-4</v>
      </c>
      <c r="AQ57">
        <f t="shared" si="51"/>
        <v>5.5046607653722404E-4</v>
      </c>
      <c r="AR57">
        <f t="shared" si="44"/>
        <v>2.5115014742010846</v>
      </c>
      <c r="BA57">
        <v>15</v>
      </c>
      <c r="BB57">
        <v>0.85</v>
      </c>
      <c r="BC57">
        <f t="shared" si="52"/>
        <v>0</v>
      </c>
      <c r="BD57">
        <f t="shared" ref="BD57:BD64" si="62">(BA57 * BB57) / 365</f>
        <v>3.4931506849315071E-2</v>
      </c>
      <c r="BE57">
        <f t="shared" si="45"/>
        <v>6.4400000000000013E-2</v>
      </c>
      <c r="BF57">
        <v>78</v>
      </c>
      <c r="BG57">
        <f t="shared" si="53"/>
        <v>0.96153846153846156</v>
      </c>
      <c r="BH57">
        <f t="shared" si="59"/>
        <v>5.4852081169471656E-3</v>
      </c>
      <c r="BI57">
        <f t="shared" si="46"/>
        <v>120</v>
      </c>
      <c r="BJ57">
        <f t="shared" si="54"/>
        <v>5.1852064100777855E-2</v>
      </c>
      <c r="BK57">
        <f t="shared" si="55"/>
        <v>236.57504245979894</v>
      </c>
      <c r="BM57" s="28"/>
    </row>
    <row r="58" spans="5:79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31"/>
        <v>91.25</v>
      </c>
      <c r="N58">
        <v>0</v>
      </c>
      <c r="P58">
        <v>0.1</v>
      </c>
      <c r="R58">
        <v>0.61</v>
      </c>
      <c r="T58">
        <v>75</v>
      </c>
      <c r="U58">
        <f t="shared" si="47"/>
        <v>4.5000000000000595E-3</v>
      </c>
      <c r="V58">
        <f>V41</f>
        <v>0.99549999999999994</v>
      </c>
      <c r="W58">
        <f>W41</f>
        <v>0.75</v>
      </c>
      <c r="X58">
        <f t="shared" si="32"/>
        <v>4.7000000000000002E-3</v>
      </c>
      <c r="Y58">
        <f t="shared" si="33"/>
        <v>0</v>
      </c>
      <c r="Z58">
        <v>0</v>
      </c>
      <c r="AA58">
        <f t="shared" si="48"/>
        <v>0</v>
      </c>
      <c r="AB58">
        <f t="shared" si="56"/>
        <v>1.3</v>
      </c>
      <c r="AC58">
        <f t="shared" si="34"/>
        <v>1</v>
      </c>
      <c r="AD58">
        <f t="shared" si="35"/>
        <v>0.48354999999999998</v>
      </c>
      <c r="AF58">
        <v>2.5</v>
      </c>
      <c r="AG58">
        <f t="shared" si="49"/>
        <v>0.99999627334682795</v>
      </c>
      <c r="AH58">
        <f t="shared" si="36"/>
        <v>1.4948026034112167</v>
      </c>
      <c r="AI58">
        <f t="shared" si="50"/>
        <v>1.494797032800353</v>
      </c>
      <c r="AJ58">
        <f t="shared" si="37"/>
        <v>0.14947970328003532</v>
      </c>
      <c r="AK58">
        <f t="shared" si="38"/>
        <v>0.08</v>
      </c>
      <c r="AL58">
        <f t="shared" si="39"/>
        <v>0.61855976399785639</v>
      </c>
      <c r="AM58">
        <f t="shared" si="40"/>
        <v>0.19</v>
      </c>
      <c r="AN58">
        <f t="shared" si="41"/>
        <v>0.6784</v>
      </c>
      <c r="AO58">
        <f t="shared" si="42"/>
        <v>2.69088342773407E-4</v>
      </c>
      <c r="AP58">
        <f t="shared" si="43"/>
        <v>3.7304414595121151E-4</v>
      </c>
      <c r="AQ58">
        <f t="shared" si="51"/>
        <v>6.4213248872461851E-4</v>
      </c>
      <c r="AR58">
        <f t="shared" si="44"/>
        <v>3.2227024277866794</v>
      </c>
      <c r="BA58">
        <f>BA57</f>
        <v>15</v>
      </c>
      <c r="BC58">
        <f t="shared" si="52"/>
        <v>0</v>
      </c>
      <c r="BD58">
        <f>BD57</f>
        <v>3.4931506849315071E-2</v>
      </c>
      <c r="BE58">
        <f t="shared" si="45"/>
        <v>0</v>
      </c>
      <c r="BF58">
        <v>78</v>
      </c>
      <c r="BG58">
        <f t="shared" si="53"/>
        <v>0.96153846153846156</v>
      </c>
      <c r="BH58">
        <f t="shared" si="59"/>
        <v>4.6947945205479454E-3</v>
      </c>
      <c r="BI58">
        <f t="shared" si="46"/>
        <v>120</v>
      </c>
      <c r="BJ58">
        <f t="shared" si="54"/>
        <v>1.9221958004257703E-2</v>
      </c>
      <c r="BK58">
        <f t="shared" si="55"/>
        <v>96.470201733868336</v>
      </c>
      <c r="BM58" s="28"/>
    </row>
    <row r="59" spans="5:79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31"/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47"/>
        <v>4.5000000000000595E-3</v>
      </c>
      <c r="V59">
        <f>V41</f>
        <v>0.99549999999999994</v>
      </c>
      <c r="W59">
        <f>W41</f>
        <v>0.75</v>
      </c>
      <c r="X59">
        <f t="shared" si="32"/>
        <v>4.7000000000000002E-3</v>
      </c>
      <c r="Y59">
        <f t="shared" si="33"/>
        <v>0</v>
      </c>
      <c r="Z59">
        <v>0</v>
      </c>
      <c r="AA59">
        <f t="shared" si="48"/>
        <v>0</v>
      </c>
      <c r="AB59">
        <f t="shared" si="56"/>
        <v>1.3</v>
      </c>
      <c r="AC59">
        <f t="shared" si="34"/>
        <v>1</v>
      </c>
      <c r="AD59">
        <f t="shared" si="35"/>
        <v>0.50740000000000007</v>
      </c>
      <c r="AF59">
        <v>1.6</v>
      </c>
      <c r="AG59">
        <f t="shared" si="49"/>
        <v>0.99402397710499402</v>
      </c>
      <c r="AH59">
        <f t="shared" si="36"/>
        <v>1.4198696820048529</v>
      </c>
      <c r="AI59">
        <f t="shared" si="50"/>
        <v>1.4113845082772669</v>
      </c>
      <c r="AJ59">
        <f t="shared" si="37"/>
        <v>0.16936614099327202</v>
      </c>
      <c r="AK59">
        <f t="shared" si="38"/>
        <v>0.08</v>
      </c>
      <c r="AL59">
        <f t="shared" si="39"/>
        <v>0.54075637841297708</v>
      </c>
      <c r="AM59">
        <f t="shared" si="40"/>
        <v>0.19</v>
      </c>
      <c r="AN59">
        <f t="shared" si="41"/>
        <v>0.6784</v>
      </c>
      <c r="AO59">
        <f t="shared" si="42"/>
        <v>2.3524200276273005E-4</v>
      </c>
      <c r="AP59">
        <f t="shared" si="43"/>
        <v>3.2612208729670668E-4</v>
      </c>
      <c r="AQ59">
        <f t="shared" si="51"/>
        <v>5.6136409005943676E-4</v>
      </c>
      <c r="AR59">
        <f t="shared" si="44"/>
        <v>3.0734683930754159</v>
      </c>
      <c r="BA59">
        <f>BA57</f>
        <v>15</v>
      </c>
      <c r="BC59">
        <f t="shared" si="52"/>
        <v>0</v>
      </c>
      <c r="BD59">
        <f>BD57</f>
        <v>3.4931506849315071E-2</v>
      </c>
      <c r="BE59">
        <f t="shared" si="45"/>
        <v>-6.4400000000000013E-2</v>
      </c>
      <c r="BF59">
        <v>78</v>
      </c>
      <c r="BG59">
        <f t="shared" si="53"/>
        <v>0.88461538461538458</v>
      </c>
      <c r="BH59">
        <f t="shared" si="59"/>
        <v>3.8747755996647393E-3</v>
      </c>
      <c r="BI59">
        <f t="shared" si="46"/>
        <v>110.4</v>
      </c>
      <c r="BJ59">
        <f t="shared" si="54"/>
        <v>2.3223806959258783E-2</v>
      </c>
      <c r="BK59">
        <f t="shared" si="55"/>
        <v>127.15034310194183</v>
      </c>
      <c r="BM59" s="28"/>
    </row>
    <row r="60" spans="5:79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31"/>
        <v>91.25</v>
      </c>
      <c r="N60">
        <v>0</v>
      </c>
      <c r="P60">
        <v>0.18</v>
      </c>
      <c r="R60">
        <v>0.72</v>
      </c>
      <c r="T60">
        <v>69</v>
      </c>
      <c r="U60">
        <f t="shared" si="47"/>
        <v>4.5000000000000595E-3</v>
      </c>
      <c r="V60">
        <f>V41</f>
        <v>0.99549999999999994</v>
      </c>
      <c r="W60">
        <f>W41</f>
        <v>0.75</v>
      </c>
      <c r="X60">
        <f t="shared" si="32"/>
        <v>4.7000000000000002E-3</v>
      </c>
      <c r="Y60">
        <f t="shared" si="33"/>
        <v>0</v>
      </c>
      <c r="Z60">
        <v>0</v>
      </c>
      <c r="AA60">
        <f t="shared" si="48"/>
        <v>0</v>
      </c>
      <c r="AB60">
        <f t="shared" si="56"/>
        <v>1.3</v>
      </c>
      <c r="AC60">
        <f t="shared" si="34"/>
        <v>1</v>
      </c>
      <c r="AD60">
        <f t="shared" si="35"/>
        <v>0.57100000000000006</v>
      </c>
      <c r="AF60">
        <v>1.7</v>
      </c>
      <c r="AG60">
        <f t="shared" si="49"/>
        <v>0.99691128459176326</v>
      </c>
      <c r="AH60">
        <f t="shared" si="36"/>
        <v>1.5792888783210146</v>
      </c>
      <c r="AI60">
        <f t="shared" si="50"/>
        <v>1.5744109044284875</v>
      </c>
      <c r="AJ60">
        <f t="shared" si="37"/>
        <v>0.28339396279712775</v>
      </c>
      <c r="AK60">
        <f t="shared" si="38"/>
        <v>0.08</v>
      </c>
      <c r="AL60">
        <f t="shared" si="39"/>
        <v>0.49678697379296494</v>
      </c>
      <c r="AM60">
        <f t="shared" si="40"/>
        <v>0.19</v>
      </c>
      <c r="AN60">
        <f t="shared" si="41"/>
        <v>0.6784</v>
      </c>
      <c r="AO60">
        <f t="shared" si="42"/>
        <v>2.1611425648731364E-4</v>
      </c>
      <c r="AP60">
        <f t="shared" si="43"/>
        <v>2.9960479673056415E-4</v>
      </c>
      <c r="AQ60">
        <f t="shared" si="51"/>
        <v>5.1571905321787779E-4</v>
      </c>
      <c r="AR60">
        <f t="shared" si="44"/>
        <v>3.058858634398538</v>
      </c>
      <c r="BA60">
        <f>BA57</f>
        <v>15</v>
      </c>
      <c r="BC60">
        <f t="shared" si="52"/>
        <v>0</v>
      </c>
      <c r="BD60">
        <f>BD57</f>
        <v>3.4931506849315071E-2</v>
      </c>
      <c r="BE60">
        <f t="shared" si="45"/>
        <v>0</v>
      </c>
      <c r="BF60">
        <v>78</v>
      </c>
      <c r="BG60">
        <f t="shared" si="53"/>
        <v>0.88461538461538458</v>
      </c>
      <c r="BH60">
        <f t="shared" si="59"/>
        <v>4.6947945205479454E-3</v>
      </c>
      <c r="BI60">
        <f t="shared" si="46"/>
        <v>110.4</v>
      </c>
      <c r="BJ60">
        <f t="shared" si="54"/>
        <v>4.0648239526992494E-2</v>
      </c>
      <c r="BK60">
        <f t="shared" si="55"/>
        <v>241.09487069447422</v>
      </c>
      <c r="BM60" s="28"/>
    </row>
    <row r="61" spans="5:79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31"/>
        <v>91.25</v>
      </c>
      <c r="N61">
        <v>0.08</v>
      </c>
      <c r="P61">
        <v>0.2</v>
      </c>
      <c r="R61">
        <v>0.75</v>
      </c>
      <c r="T61">
        <v>62</v>
      </c>
      <c r="U61">
        <f t="shared" si="47"/>
        <v>4.5000000000000595E-3</v>
      </c>
      <c r="V61">
        <f>V41</f>
        <v>0.99549999999999994</v>
      </c>
      <c r="W61">
        <f>W41</f>
        <v>0.75</v>
      </c>
      <c r="X61">
        <f t="shared" si="32"/>
        <v>4.7000000000000002E-3</v>
      </c>
      <c r="Y61">
        <f t="shared" si="33"/>
        <v>0</v>
      </c>
      <c r="Z61">
        <v>0</v>
      </c>
      <c r="AA61">
        <f t="shared" si="48"/>
        <v>0</v>
      </c>
      <c r="AB61">
        <f t="shared" si="56"/>
        <v>1.3</v>
      </c>
      <c r="AC61">
        <f t="shared" si="34"/>
        <v>1</v>
      </c>
      <c r="AD61">
        <f t="shared" si="35"/>
        <v>0.5948500000000001</v>
      </c>
      <c r="AF61">
        <v>2.9</v>
      </c>
      <c r="AG61">
        <f t="shared" si="49"/>
        <v>0.9999999504359468</v>
      </c>
      <c r="AH61">
        <f t="shared" si="36"/>
        <v>1.4652245899459331</v>
      </c>
      <c r="AI61">
        <f t="shared" si="50"/>
        <v>1.4652245173234635</v>
      </c>
      <c r="AJ61">
        <f t="shared" si="37"/>
        <v>0.2930449034646927</v>
      </c>
      <c r="AK61">
        <f t="shared" si="38"/>
        <v>0.08</v>
      </c>
      <c r="AL61">
        <f t="shared" si="39"/>
        <v>0.41600692919529714</v>
      </c>
      <c r="AM61">
        <f t="shared" si="40"/>
        <v>0.19</v>
      </c>
      <c r="AN61">
        <f t="shared" si="41"/>
        <v>0.6784</v>
      </c>
      <c r="AO61">
        <f t="shared" si="42"/>
        <v>1.8097299836625734E-4</v>
      </c>
      <c r="AP61">
        <f t="shared" si="43"/>
        <v>2.5088755952768947E-4</v>
      </c>
      <c r="AQ61">
        <f t="shared" si="51"/>
        <v>4.3186055789394681E-4</v>
      </c>
      <c r="AR61">
        <f t="shared" si="44"/>
        <v>1.9703637953911324</v>
      </c>
      <c r="BA61">
        <v>18</v>
      </c>
      <c r="BB61">
        <v>0.8</v>
      </c>
      <c r="BC61">
        <f t="shared" si="52"/>
        <v>0</v>
      </c>
      <c r="BD61">
        <f t="shared" ref="BD61:BD64" si="63">(BA61 * BB61) / 365</f>
        <v>3.9452054794520547E-2</v>
      </c>
      <c r="BE61">
        <f t="shared" si="45"/>
        <v>7.3599999999999999E-2</v>
      </c>
      <c r="BF61">
        <v>62</v>
      </c>
      <c r="BG61">
        <f t="shared" si="53"/>
        <v>1</v>
      </c>
      <c r="BH61">
        <f t="shared" si="59"/>
        <v>6.1942865442030813E-3</v>
      </c>
      <c r="BI61">
        <f t="shared" si="46"/>
        <v>99.2</v>
      </c>
      <c r="BJ61">
        <f t="shared" si="54"/>
        <v>4.0692898010147756E-2</v>
      </c>
      <c r="BK61">
        <f t="shared" si="55"/>
        <v>185.66134717129916</v>
      </c>
      <c r="BM61" s="28"/>
    </row>
    <row r="62" spans="5:79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31"/>
        <v>91.25</v>
      </c>
      <c r="N62">
        <v>-0.08</v>
      </c>
      <c r="P62">
        <v>0.1</v>
      </c>
      <c r="R62">
        <v>0.61</v>
      </c>
      <c r="T62">
        <v>55</v>
      </c>
      <c r="U62">
        <f t="shared" si="47"/>
        <v>4.5000000000000595E-3</v>
      </c>
      <c r="V62">
        <f>V41</f>
        <v>0.99549999999999994</v>
      </c>
      <c r="W62">
        <f>W41</f>
        <v>0.75</v>
      </c>
      <c r="X62">
        <f t="shared" si="32"/>
        <v>4.7000000000000002E-3</v>
      </c>
      <c r="Y62">
        <f t="shared" si="33"/>
        <v>0</v>
      </c>
      <c r="Z62">
        <v>0</v>
      </c>
      <c r="AA62">
        <f t="shared" si="48"/>
        <v>0</v>
      </c>
      <c r="AB62">
        <f t="shared" si="56"/>
        <v>1.3</v>
      </c>
      <c r="AC62">
        <f t="shared" si="34"/>
        <v>1</v>
      </c>
      <c r="AD62">
        <f t="shared" si="35"/>
        <v>0.48354999999999998</v>
      </c>
      <c r="AF62">
        <v>2.5</v>
      </c>
      <c r="AG62">
        <f t="shared" si="49"/>
        <v>0.99999627334682795</v>
      </c>
      <c r="AH62">
        <f t="shared" si="36"/>
        <v>1.0605624381175847</v>
      </c>
      <c r="AI62">
        <f t="shared" si="50"/>
        <v>1.0605584857692105</v>
      </c>
      <c r="AJ62">
        <f t="shared" si="37"/>
        <v>0.10605584857692106</v>
      </c>
      <c r="AK62">
        <f t="shared" si="38"/>
        <v>0.08</v>
      </c>
      <c r="AL62">
        <f t="shared" si="39"/>
        <v>0.42192044699791736</v>
      </c>
      <c r="AM62">
        <f t="shared" si="40"/>
        <v>0.19</v>
      </c>
      <c r="AN62">
        <f t="shared" si="41"/>
        <v>0.6784</v>
      </c>
      <c r="AO62">
        <f t="shared" si="42"/>
        <v>1.8354552053482444E-4</v>
      </c>
      <c r="AP62">
        <f t="shared" si="43"/>
        <v>2.544539137049932E-4</v>
      </c>
      <c r="AQ62">
        <f t="shared" si="51"/>
        <v>4.3799943423981761E-4</v>
      </c>
      <c r="AR62">
        <f t="shared" si="44"/>
        <v>3.9967448374383356</v>
      </c>
      <c r="BA62">
        <f>BA61</f>
        <v>18</v>
      </c>
      <c r="BC62">
        <f t="shared" si="52"/>
        <v>0</v>
      </c>
      <c r="BD62">
        <f>BD61</f>
        <v>3.9452054794520547E-2</v>
      </c>
      <c r="BE62">
        <f t="shared" si="45"/>
        <v>-7.3599999999999999E-2</v>
      </c>
      <c r="BF62">
        <v>62</v>
      </c>
      <c r="BG62">
        <f t="shared" si="53"/>
        <v>0.88709677419354838</v>
      </c>
      <c r="BH62">
        <f t="shared" si="59"/>
        <v>4.3659164379425625E-3</v>
      </c>
      <c r="BI62">
        <f t="shared" si="46"/>
        <v>88</v>
      </c>
      <c r="BJ62">
        <f t="shared" si="54"/>
        <v>1.2603019334364807E-2</v>
      </c>
      <c r="BK62">
        <f t="shared" si="55"/>
        <v>115.00255142607887</v>
      </c>
      <c r="BM62" s="28"/>
    </row>
    <row r="63" spans="5:79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31"/>
        <v>91.25</v>
      </c>
      <c r="N63">
        <v>0</v>
      </c>
      <c r="P63">
        <v>0.12</v>
      </c>
      <c r="R63">
        <v>0.64</v>
      </c>
      <c r="T63">
        <v>55</v>
      </c>
      <c r="U63">
        <f t="shared" si="47"/>
        <v>4.5000000000000595E-3</v>
      </c>
      <c r="V63">
        <f>V41</f>
        <v>0.99549999999999994</v>
      </c>
      <c r="W63">
        <f>W41</f>
        <v>0.75</v>
      </c>
      <c r="X63">
        <f t="shared" si="32"/>
        <v>4.7000000000000002E-3</v>
      </c>
      <c r="Y63">
        <f t="shared" si="33"/>
        <v>0</v>
      </c>
      <c r="Z63">
        <v>0</v>
      </c>
      <c r="AA63">
        <f t="shared" si="48"/>
        <v>0</v>
      </c>
      <c r="AB63">
        <f t="shared" si="56"/>
        <v>1.3</v>
      </c>
      <c r="AC63">
        <f t="shared" si="34"/>
        <v>1</v>
      </c>
      <c r="AD63">
        <f t="shared" si="35"/>
        <v>0.50740000000000007</v>
      </c>
      <c r="AF63">
        <v>1.6</v>
      </c>
      <c r="AG63">
        <f t="shared" si="49"/>
        <v>0.99402397710499402</v>
      </c>
      <c r="AH63">
        <f t="shared" si="36"/>
        <v>1.1109945415495692</v>
      </c>
      <c r="AI63">
        <f t="shared" si="50"/>
        <v>1.1043552127330423</v>
      </c>
      <c r="AJ63">
        <f t="shared" si="37"/>
        <v>0.13252262552796507</v>
      </c>
      <c r="AK63">
        <f t="shared" si="38"/>
        <v>0.08</v>
      </c>
      <c r="AL63">
        <f t="shared" si="39"/>
        <v>0.41064374249795926</v>
      </c>
      <c r="AM63">
        <f t="shared" si="40"/>
        <v>0.19</v>
      </c>
      <c r="AN63">
        <f t="shared" si="41"/>
        <v>0.6784</v>
      </c>
      <c r="AO63">
        <f t="shared" si="42"/>
        <v>1.7863988343643457E-4</v>
      </c>
      <c r="AP63">
        <f t="shared" si="43"/>
        <v>2.4765310181231137E-4</v>
      </c>
      <c r="AQ63">
        <f t="shared" si="51"/>
        <v>4.2629298524874597E-4</v>
      </c>
      <c r="AR63">
        <f t="shared" si="44"/>
        <v>3.5009311413553261</v>
      </c>
      <c r="BA63">
        <f>BA61</f>
        <v>18</v>
      </c>
      <c r="BC63">
        <f t="shared" si="52"/>
        <v>0</v>
      </c>
      <c r="BD63">
        <f>BD61</f>
        <v>3.9452054794520547E-2</v>
      </c>
      <c r="BE63">
        <f t="shared" si="45"/>
        <v>0</v>
      </c>
      <c r="BF63">
        <v>62</v>
      </c>
      <c r="BG63">
        <f t="shared" si="53"/>
        <v>0.88709677419354838</v>
      </c>
      <c r="BH63">
        <f t="shared" si="59"/>
        <v>5.3023561643835617E-3</v>
      </c>
      <c r="BI63">
        <f t="shared" si="46"/>
        <v>88</v>
      </c>
      <c r="BJ63">
        <f t="shared" si="54"/>
        <v>1.590126392009085E-2</v>
      </c>
      <c r="BK63">
        <f t="shared" si="55"/>
        <v>130.58912994374612</v>
      </c>
      <c r="BM63" s="28"/>
    </row>
    <row r="64" spans="5:79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31"/>
        <v>91.25</v>
      </c>
      <c r="N64">
        <v>0</v>
      </c>
      <c r="P64">
        <v>0.18</v>
      </c>
      <c r="R64">
        <v>0.72</v>
      </c>
      <c r="T64">
        <v>55</v>
      </c>
      <c r="U64">
        <f t="shared" si="47"/>
        <v>4.5000000000000595E-3</v>
      </c>
      <c r="V64">
        <f>V41</f>
        <v>0.99549999999999994</v>
      </c>
      <c r="W64">
        <f>W41</f>
        <v>0.75</v>
      </c>
      <c r="X64">
        <f t="shared" si="32"/>
        <v>4.7000000000000002E-3</v>
      </c>
      <c r="Y64">
        <f t="shared" si="33"/>
        <v>0</v>
      </c>
      <c r="Z64">
        <v>0</v>
      </c>
      <c r="AA64">
        <f t="shared" si="48"/>
        <v>0</v>
      </c>
      <c r="AB64">
        <f t="shared" si="56"/>
        <v>1.3</v>
      </c>
      <c r="AC64">
        <f t="shared" si="34"/>
        <v>1</v>
      </c>
      <c r="AD64">
        <f t="shared" si="35"/>
        <v>0.57100000000000006</v>
      </c>
      <c r="AF64">
        <v>1.7</v>
      </c>
      <c r="AG64">
        <f t="shared" si="49"/>
        <v>0.99691128459176326</v>
      </c>
      <c r="AH64">
        <f t="shared" si="36"/>
        <v>1.2454801507015281</v>
      </c>
      <c r="AI64">
        <f t="shared" si="50"/>
        <v>1.2416332169694033</v>
      </c>
      <c r="AJ64">
        <f t="shared" si="37"/>
        <v>0.22349397905449259</v>
      </c>
      <c r="AK64">
        <f t="shared" si="38"/>
        <v>0.08</v>
      </c>
      <c r="AL64">
        <f t="shared" si="39"/>
        <v>0.37657754876504823</v>
      </c>
      <c r="AM64">
        <f t="shared" si="40"/>
        <v>0.19</v>
      </c>
      <c r="AN64">
        <f t="shared" si="41"/>
        <v>0.6784</v>
      </c>
      <c r="AO64">
        <f t="shared" si="42"/>
        <v>1.6382027157396851E-4</v>
      </c>
      <c r="AP64">
        <f t="shared" si="43"/>
        <v>2.2710828967521554E-4</v>
      </c>
      <c r="AQ64">
        <f t="shared" si="51"/>
        <v>3.9092856124918409E-4</v>
      </c>
      <c r="AR64">
        <f t="shared" si="44"/>
        <v>2.8537784971190434</v>
      </c>
      <c r="BA64">
        <f>BA61</f>
        <v>18</v>
      </c>
      <c r="BC64">
        <f t="shared" si="52"/>
        <v>0</v>
      </c>
      <c r="BD64">
        <f>BD61</f>
        <v>3.9452054794520547E-2</v>
      </c>
      <c r="BE64">
        <f t="shared" si="45"/>
        <v>0</v>
      </c>
      <c r="BF64">
        <v>62</v>
      </c>
      <c r="BG64">
        <f t="shared" si="53"/>
        <v>0.88709677419354838</v>
      </c>
      <c r="BH64">
        <f t="shared" si="59"/>
        <v>5.3023561643835617E-3</v>
      </c>
      <c r="BI64">
        <f t="shared" si="46"/>
        <v>88</v>
      </c>
      <c r="BJ64">
        <f t="shared" si="54"/>
        <v>3.0456680484335252E-2</v>
      </c>
      <c r="BK64">
        <f t="shared" si="55"/>
        <v>222.33376753564735</v>
      </c>
      <c r="BM64" s="28"/>
    </row>
    <row r="71" spans="1:73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64">$CA$3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$BZ$26:$CB$32, 2)/100)</f>
        <v>1</v>
      </c>
      <c r="W71">
        <f>VLOOKUP($B71,$CB$10:$CC$16, 2, FALSE)</f>
        <v>0.78</v>
      </c>
      <c r="X71">
        <f t="shared" ref="X71:X94" si="65">$CA$10</f>
        <v>4.7000000000000002E-3</v>
      </c>
      <c r="Y71">
        <f t="shared" ref="Y71:Y94" si="66">(I71/100)*(MIN(J71,100)/100)</f>
        <v>0.85499999999999998</v>
      </c>
      <c r="Z71">
        <v>0</v>
      </c>
      <c r="AA71">
        <f>1.6 * Z71</f>
        <v>0</v>
      </c>
      <c r="AB71">
        <f>$CD$1</f>
        <v>1.3</v>
      </c>
      <c r="AC71">
        <f t="shared" ref="AC71:AC94" si="67">Y71*AB71+(1-Y71)</f>
        <v>1.2565</v>
      </c>
      <c r="AD71">
        <f t="shared" ref="AD71:AD94" si="68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69">(104.7*AD71+0.307*T71-15)*(T71^0.75)*10^-3</f>
        <v>0.62960048723980899</v>
      </c>
      <c r="AI71">
        <f>AH71*AG71*AC71</f>
        <v>0.78230476268267568</v>
      </c>
      <c r="AJ71">
        <f t="shared" ref="AJ71:AJ94" si="70">(AI71 * P71) + (0.045 * AA71)</f>
        <v>6.2584381014614054E-2</v>
      </c>
      <c r="AK71">
        <f t="shared" ref="AK71:AK94" si="71">$CA$2</f>
        <v>0.08</v>
      </c>
      <c r="AL71">
        <f t="shared" ref="AL71:AL94" si="72">(AI71 * ((1 - R71) + (0.04 * AI71))) * ( 1 - AK71 )</f>
        <v>0.37518461431249894</v>
      </c>
      <c r="AM71">
        <f t="shared" ref="AM71:AM94" si="73">$CA$1</f>
        <v>0.19</v>
      </c>
      <c r="AN71">
        <f t="shared" ref="AN71:AN94" si="74">$CB$20</f>
        <v>0.6784</v>
      </c>
      <c r="AO71">
        <f t="shared" ref="AO71:AO94" si="75">AL71 * AM71 * U71 * W71 * AN71</f>
        <v>0</v>
      </c>
      <c r="AP71">
        <f t="shared" ref="AP71:AP94" si="76">AL71*AM71*V71*X71*AN71</f>
        <v>2.2729104141819216E-4</v>
      </c>
      <c r="AQ71">
        <f>AO71+AP71</f>
        <v>2.2729104141819216E-4</v>
      </c>
      <c r="AR71">
        <f t="shared" ref="AR71:AR94" si="77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$CA$4</f>
        <v>0.24</v>
      </c>
      <c r="AW71" t="s">
        <v>325</v>
      </c>
      <c r="AX71" s="28">
        <f>VLOOKUP(AW71,$CE$37:$CG$46,2, FALSE)</f>
        <v>6.0000000000000001E-3</v>
      </c>
      <c r="AY71" s="28">
        <f>$CA$7</f>
        <v>1.5714285714285714</v>
      </c>
      <c r="AZ71">
        <f>$CA$5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78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 t="shared" ref="BI71:BI94" si="79">1.6 * T71</f>
        <v>64</v>
      </c>
      <c r="BJ71">
        <f>(AJ71  / 6.25 ) - BH71</f>
        <v>-5.4801383745267298E-3</v>
      </c>
      <c r="BK71">
        <f>H71*BJ71*L71</f>
        <v>-50.006262667556406</v>
      </c>
      <c r="BL71">
        <f>SUM(BK71:BK94)</f>
        <v>1054.9075504457094</v>
      </c>
      <c r="BM71" s="28">
        <f>BL71*$AU$11*$AV$11</f>
        <v>253.17781210697024</v>
      </c>
      <c r="BN71">
        <f>BK71 * AZ71</f>
        <v>-10.501315160186845</v>
      </c>
      <c r="BO71" t="s">
        <v>226</v>
      </c>
      <c r="BP71">
        <f>VLOOKUP(BO71, $BZ$37:$CA$49, 2, FALSE)</f>
        <v>1.8E-3</v>
      </c>
      <c r="BQ71">
        <f>BN71 * BP71 * AY71 * 10^-3</f>
        <v>-2.9703720024528505E-5</v>
      </c>
      <c r="BR71">
        <f>BK71 * AP71 * AV71</f>
        <v>-2.7278341245937339E-3</v>
      </c>
      <c r="BS71">
        <f>$CA$6</f>
        <v>1.0999999999999999E-2</v>
      </c>
      <c r="BT71">
        <f>BL71 * AX71 * AY71 * 10^-3</f>
        <v>9.9462711899166879E-3</v>
      </c>
      <c r="BU71">
        <f>BR71 * BS71 * AY71 * 10^-3</f>
        <v>-4.715256129654883E-8</v>
      </c>
    </row>
    <row r="72" spans="1:73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64"/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80">1-V72</f>
        <v>0</v>
      </c>
      <c r="V72">
        <f>V71</f>
        <v>1</v>
      </c>
      <c r="W72">
        <f>W71</f>
        <v>0.78</v>
      </c>
      <c r="X72">
        <f t="shared" si="65"/>
        <v>4.7000000000000002E-3</v>
      </c>
      <c r="Y72">
        <f t="shared" si="66"/>
        <v>0</v>
      </c>
      <c r="Z72">
        <v>0</v>
      </c>
      <c r="AA72">
        <f t="shared" ref="AA72:AA94" si="81">1.6 * Z72</f>
        <v>0</v>
      </c>
      <c r="AB72">
        <f>$AB$11</f>
        <v>1.3</v>
      </c>
      <c r="AC72">
        <f t="shared" si="67"/>
        <v>1</v>
      </c>
      <c r="AD72">
        <f t="shared" si="68"/>
        <v>0.43585000000000007</v>
      </c>
      <c r="AF72">
        <v>2</v>
      </c>
      <c r="AG72">
        <f t="shared" ref="AG72:AG94" si="82">1 - EXP(-2*(AF72^2))</f>
        <v>0.99966453737209748</v>
      </c>
      <c r="AH72">
        <f t="shared" si="69"/>
        <v>0.77226516609487061</v>
      </c>
      <c r="AI72">
        <f t="shared" ref="AI72:AI94" si="83">AH72*AG72*AC72</f>
        <v>0.77200609999281489</v>
      </c>
      <c r="AJ72">
        <f t="shared" si="70"/>
        <v>7.7200609999281494E-2</v>
      </c>
      <c r="AK72">
        <f t="shared" si="71"/>
        <v>0.08</v>
      </c>
      <c r="AL72">
        <f t="shared" si="72"/>
        <v>0.3415430831951064</v>
      </c>
      <c r="AM72">
        <f t="shared" si="73"/>
        <v>0.19</v>
      </c>
      <c r="AN72">
        <f t="shared" si="74"/>
        <v>0.6784</v>
      </c>
      <c r="AO72">
        <f t="shared" si="75"/>
        <v>0</v>
      </c>
      <c r="AP72">
        <f t="shared" si="76"/>
        <v>2.0691062508212729E-4</v>
      </c>
      <c r="AQ72">
        <f t="shared" ref="AQ72:AQ94" si="84">AO72+AP72</f>
        <v>2.0691062508212729E-4</v>
      </c>
      <c r="AR72">
        <f t="shared" si="77"/>
        <v>1.321641617712088</v>
      </c>
      <c r="BA72">
        <f>BA71</f>
        <v>20</v>
      </c>
      <c r="BC72">
        <f t="shared" ref="BC72:BC94" si="85">Y72 * 1.6</f>
        <v>0</v>
      </c>
      <c r="BD72">
        <f>BD71</f>
        <v>4.3835616438356165E-2</v>
      </c>
      <c r="BE72">
        <f t="shared" si="78"/>
        <v>4.6000000000000006E-2</v>
      </c>
      <c r="BF72">
        <v>50</v>
      </c>
      <c r="BG72">
        <f t="shared" ref="BG72:BG94" si="86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 t="shared" si="79"/>
        <v>72</v>
      </c>
      <c r="BJ72">
        <f t="shared" ref="BJ72:BJ94" si="87">(AJ72  / 6.25 ) - BH72</f>
        <v>5.8812608455148328E-3</v>
      </c>
      <c r="BK72">
        <f t="shared" ref="BK72:BK94" si="88">H72*BJ72*L72</f>
        <v>37.566553650725993</v>
      </c>
      <c r="BM72" s="28"/>
    </row>
    <row r="73" spans="1:73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64"/>
        <v>91.25</v>
      </c>
      <c r="N73">
        <v>0</v>
      </c>
      <c r="P73">
        <v>0.09</v>
      </c>
      <c r="R73">
        <v>0.59</v>
      </c>
      <c r="T73">
        <v>45</v>
      </c>
      <c r="U73">
        <f t="shared" si="80"/>
        <v>0</v>
      </c>
      <c r="V73">
        <f>V71</f>
        <v>1</v>
      </c>
      <c r="W73">
        <f>W71</f>
        <v>0.78</v>
      </c>
      <c r="X73">
        <f t="shared" si="65"/>
        <v>4.7000000000000002E-3</v>
      </c>
      <c r="Y73">
        <f t="shared" si="66"/>
        <v>0</v>
      </c>
      <c r="Z73">
        <v>0</v>
      </c>
      <c r="AA73">
        <f t="shared" si="81"/>
        <v>0</v>
      </c>
      <c r="AB73">
        <f t="shared" ref="AB73:AB94" si="89">$AB$11</f>
        <v>1.3</v>
      </c>
      <c r="AC73">
        <f t="shared" si="67"/>
        <v>1</v>
      </c>
      <c r="AD73">
        <f t="shared" si="68"/>
        <v>0.46765000000000001</v>
      </c>
      <c r="AF73">
        <v>2.2000000000000002</v>
      </c>
      <c r="AG73">
        <f t="shared" si="82"/>
        <v>0.99993747849622516</v>
      </c>
      <c r="AH73">
        <f t="shared" si="69"/>
        <v>0.8301124785833186</v>
      </c>
      <c r="AI73">
        <f t="shared" si="83"/>
        <v>0.83006057870285532</v>
      </c>
      <c r="AJ73">
        <f t="shared" si="70"/>
        <v>7.4705452083256976E-2</v>
      </c>
      <c r="AK73">
        <f t="shared" si="71"/>
        <v>0.08</v>
      </c>
      <c r="AL73">
        <f t="shared" si="72"/>
        <v>0.33845407105356495</v>
      </c>
      <c r="AM73">
        <f t="shared" si="73"/>
        <v>0.19</v>
      </c>
      <c r="AN73">
        <f t="shared" si="74"/>
        <v>0.6784</v>
      </c>
      <c r="AO73">
        <f t="shared" si="75"/>
        <v>0</v>
      </c>
      <c r="AP73">
        <f t="shared" si="76"/>
        <v>2.0503926692984546E-4</v>
      </c>
      <c r="AQ73">
        <f t="shared" si="84"/>
        <v>2.0503926692984546E-4</v>
      </c>
      <c r="AR73">
        <f t="shared" si="77"/>
        <v>1.2161391519776459</v>
      </c>
      <c r="BA73">
        <f>BA71</f>
        <v>20</v>
      </c>
      <c r="BC73">
        <f t="shared" si="85"/>
        <v>0</v>
      </c>
      <c r="BD73">
        <f>BD71</f>
        <v>4.3835616438356165E-2</v>
      </c>
      <c r="BE73">
        <f t="shared" si="78"/>
        <v>0</v>
      </c>
      <c r="BF73">
        <v>50</v>
      </c>
      <c r="BG73">
        <f t="shared" si="86"/>
        <v>0.9</v>
      </c>
      <c r="BH73">
        <f t="shared" ref="BH73:BH74" si="90">((0.045 * BC73) + (BD$11 * 0.84)  + (BE73 * ((212 - 4 * ((BE73 * 1000)/(4* (BF73^0.75)) - 1)) - ((140 - 4 * (((BE73 * 1000)/(4 * BF73 ^0.75)) - 1))/(1 + EXP(-6 * (BG73 - 0.4)))))) * 10^-3) / 6.25</f>
        <v>5.8915068493150683E-3</v>
      </c>
      <c r="BI73">
        <f t="shared" si="79"/>
        <v>72</v>
      </c>
      <c r="BJ73">
        <f t="shared" si="87"/>
        <v>6.0613654840060488E-3</v>
      </c>
      <c r="BK73">
        <f t="shared" si="88"/>
        <v>35.951474027010875</v>
      </c>
      <c r="BM73" s="28"/>
    </row>
    <row r="74" spans="1:73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64"/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80"/>
        <v>0</v>
      </c>
      <c r="V74">
        <f>V71</f>
        <v>1</v>
      </c>
      <c r="W74">
        <f>W71</f>
        <v>0.78</v>
      </c>
      <c r="X74">
        <f t="shared" si="65"/>
        <v>4.7000000000000002E-3</v>
      </c>
      <c r="Y74">
        <f t="shared" si="66"/>
        <v>0</v>
      </c>
      <c r="Z74">
        <v>0</v>
      </c>
      <c r="AA74">
        <f t="shared" si="81"/>
        <v>0</v>
      </c>
      <c r="AB74">
        <f t="shared" si="89"/>
        <v>1.3</v>
      </c>
      <c r="AC74">
        <f t="shared" si="67"/>
        <v>1</v>
      </c>
      <c r="AD74">
        <f t="shared" si="68"/>
        <v>0.4597</v>
      </c>
      <c r="AF74">
        <v>1.7</v>
      </c>
      <c r="AG74">
        <f t="shared" si="82"/>
        <v>0.99691128459176326</v>
      </c>
      <c r="AH74">
        <f t="shared" si="69"/>
        <v>0.7593235966549482</v>
      </c>
      <c r="AI74">
        <f t="shared" si="83"/>
        <v>0.75697826216212227</v>
      </c>
      <c r="AJ74">
        <f t="shared" si="70"/>
        <v>5.2988478351348567E-2</v>
      </c>
      <c r="AK74">
        <f t="shared" si="71"/>
        <v>0.08</v>
      </c>
      <c r="AL74">
        <f t="shared" si="72"/>
        <v>0.31358339258884838</v>
      </c>
      <c r="AM74">
        <f t="shared" si="73"/>
        <v>0.19</v>
      </c>
      <c r="AN74">
        <f t="shared" si="74"/>
        <v>0.6784</v>
      </c>
      <c r="AO74">
        <f t="shared" si="75"/>
        <v>0</v>
      </c>
      <c r="AP74">
        <f t="shared" si="76"/>
        <v>1.8997233136432135E-4</v>
      </c>
      <c r="AQ74">
        <f t="shared" si="84"/>
        <v>1.8997233136432135E-4</v>
      </c>
      <c r="AR74">
        <f t="shared" si="77"/>
        <v>1.3867980189595459</v>
      </c>
      <c r="BA74">
        <f>BA71</f>
        <v>20</v>
      </c>
      <c r="BC74">
        <f t="shared" si="85"/>
        <v>0</v>
      </c>
      <c r="BD74">
        <f>BD71</f>
        <v>4.3835616438356165E-2</v>
      </c>
      <c r="BE74">
        <f t="shared" si="78"/>
        <v>-2.76E-2</v>
      </c>
      <c r="BF74">
        <v>50</v>
      </c>
      <c r="BG74">
        <f t="shared" si="86"/>
        <v>0.84</v>
      </c>
      <c r="BH74">
        <f t="shared" si="90"/>
        <v>5.5307667781667466E-3</v>
      </c>
      <c r="BI74">
        <f t="shared" si="79"/>
        <v>67.2</v>
      </c>
      <c r="BJ74">
        <f t="shared" si="87"/>
        <v>2.9473897580490236E-3</v>
      </c>
      <c r="BK74">
        <f t="shared" si="88"/>
        <v>21.515945233757876</v>
      </c>
      <c r="BM74" s="28"/>
    </row>
    <row r="75" spans="1:73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64"/>
        <v>91.25</v>
      </c>
      <c r="N75">
        <v>0.2</v>
      </c>
      <c r="P75">
        <v>0.08</v>
      </c>
      <c r="R75">
        <v>0.51</v>
      </c>
      <c r="T75">
        <v>20</v>
      </c>
      <c r="U75">
        <f t="shared" si="80"/>
        <v>0</v>
      </c>
      <c r="V75">
        <f>V71</f>
        <v>1</v>
      </c>
      <c r="W75">
        <f>W71</f>
        <v>0.78</v>
      </c>
      <c r="X75">
        <f t="shared" si="65"/>
        <v>4.7000000000000002E-3</v>
      </c>
      <c r="Y75">
        <f t="shared" si="66"/>
        <v>0</v>
      </c>
      <c r="Z75">
        <v>1</v>
      </c>
      <c r="AA75">
        <f t="shared" si="81"/>
        <v>1.6</v>
      </c>
      <c r="AB75">
        <f t="shared" si="89"/>
        <v>1.3</v>
      </c>
      <c r="AC75">
        <f t="shared" si="67"/>
        <v>1</v>
      </c>
      <c r="AD75">
        <f t="shared" si="68"/>
        <v>0.40405000000000002</v>
      </c>
      <c r="AF75">
        <v>1.5</v>
      </c>
      <c r="AG75">
        <f t="shared" si="82"/>
        <v>0.98889100346175773</v>
      </c>
      <c r="AH75">
        <f t="shared" si="69"/>
        <v>0.31629415472458533</v>
      </c>
      <c r="AI75">
        <f t="shared" si="83"/>
        <v>0.31278044405468364</v>
      </c>
      <c r="AJ75">
        <f t="shared" si="70"/>
        <v>9.7022435524374687E-2</v>
      </c>
      <c r="AK75">
        <f t="shared" si="71"/>
        <v>0.08</v>
      </c>
      <c r="AL75">
        <f t="shared" si="72"/>
        <v>0.14460162728738746</v>
      </c>
      <c r="AM75">
        <f t="shared" si="73"/>
        <v>0.19</v>
      </c>
      <c r="AN75">
        <f t="shared" si="74"/>
        <v>0.6784</v>
      </c>
      <c r="AO75">
        <f t="shared" si="75"/>
        <v>0</v>
      </c>
      <c r="AP75">
        <f t="shared" si="76"/>
        <v>8.760128534892494E-5</v>
      </c>
      <c r="AQ75">
        <f t="shared" si="84"/>
        <v>8.760128534892494E-5</v>
      </c>
      <c r="AR75">
        <f t="shared" si="77"/>
        <v>1.5987234576178802</v>
      </c>
      <c r="BA75">
        <v>15</v>
      </c>
      <c r="BB75">
        <v>0.85</v>
      </c>
      <c r="BC75">
        <f t="shared" si="85"/>
        <v>0</v>
      </c>
      <c r="BD75">
        <f t="shared" ref="BD75:BD91" si="91">(BA75 * BB75) / 365</f>
        <v>3.4931506849315071E-2</v>
      </c>
      <c r="BE75">
        <f t="shared" si="78"/>
        <v>0.18400000000000002</v>
      </c>
      <c r="BF75">
        <v>55</v>
      </c>
      <c r="BG75">
        <f t="shared" si="86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 t="shared" si="79"/>
        <v>32</v>
      </c>
      <c r="BJ75">
        <f t="shared" si="87"/>
        <v>6.5077901425577359E-3</v>
      </c>
      <c r="BK75">
        <f t="shared" si="88"/>
        <v>118.76717010167867</v>
      </c>
      <c r="BM75" s="28"/>
    </row>
    <row r="76" spans="1:73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64"/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80"/>
        <v>0</v>
      </c>
      <c r="V76">
        <f>V71</f>
        <v>1</v>
      </c>
      <c r="W76">
        <f>W71</f>
        <v>0.78</v>
      </c>
      <c r="X76">
        <f t="shared" si="65"/>
        <v>4.7000000000000002E-3</v>
      </c>
      <c r="Y76">
        <f t="shared" si="66"/>
        <v>0</v>
      </c>
      <c r="Z76">
        <v>0</v>
      </c>
      <c r="AA76">
        <f t="shared" si="81"/>
        <v>0</v>
      </c>
      <c r="AB76">
        <f t="shared" si="89"/>
        <v>1.3</v>
      </c>
      <c r="AC76">
        <f t="shared" si="67"/>
        <v>1</v>
      </c>
      <c r="AD76">
        <f t="shared" si="68"/>
        <v>0.43585000000000007</v>
      </c>
      <c r="AF76">
        <v>2</v>
      </c>
      <c r="AG76">
        <f t="shared" si="82"/>
        <v>0.99966453737209748</v>
      </c>
      <c r="AH76">
        <f t="shared" si="69"/>
        <v>0.42830199467855401</v>
      </c>
      <c r="AI76">
        <f t="shared" si="83"/>
        <v>0.42815831536588328</v>
      </c>
      <c r="AJ76">
        <f t="shared" si="70"/>
        <v>4.2815831536588328E-2</v>
      </c>
      <c r="AK76">
        <f t="shared" si="71"/>
        <v>0.08</v>
      </c>
      <c r="AL76">
        <f t="shared" si="72"/>
        <v>0.18400370174449945</v>
      </c>
      <c r="AM76">
        <f t="shared" si="73"/>
        <v>0.19</v>
      </c>
      <c r="AN76">
        <f t="shared" si="74"/>
        <v>0.6784</v>
      </c>
      <c r="AO76">
        <f t="shared" si="75"/>
        <v>0</v>
      </c>
      <c r="AP76">
        <f t="shared" si="76"/>
        <v>1.114715033582773E-4</v>
      </c>
      <c r="AQ76">
        <f t="shared" si="84"/>
        <v>1.114715033582773E-4</v>
      </c>
      <c r="AR76">
        <f t="shared" si="77"/>
        <v>2.1360726831029888</v>
      </c>
      <c r="BA76">
        <f>BA75</f>
        <v>15</v>
      </c>
      <c r="BC76">
        <f t="shared" si="85"/>
        <v>0</v>
      </c>
      <c r="BD76">
        <f>BD75</f>
        <v>3.4931506849315071E-2</v>
      </c>
      <c r="BE76">
        <f t="shared" si="78"/>
        <v>4.6000000000000006E-2</v>
      </c>
      <c r="BF76">
        <v>56</v>
      </c>
      <c r="BG76">
        <f t="shared" si="86"/>
        <v>0.44642857142857145</v>
      </c>
      <c r="BH76">
        <f t="shared" ref="BH76:BH94" si="92">((0.045 * BC76) + (BD76 * 0.84)  + (BE76 * ((212 - 4 * ((BE76 * 1000)/(4* (BF76^0.75)) - 1)) - ((140 - 4 * (((BE76 * 1000)/(4 * BF76 ^0.75)) - 1))/(1 + EXP(-6 * (BG76 - 0.4)))))) * 10^-3) / 6.25</f>
        <v>5.6741730504578092E-3</v>
      </c>
      <c r="BI76">
        <f t="shared" si="79"/>
        <v>40</v>
      </c>
      <c r="BJ76">
        <f t="shared" si="87"/>
        <v>1.1763599953963236E-3</v>
      </c>
      <c r="BK76">
        <f t="shared" si="88"/>
        <v>22.541998411782053</v>
      </c>
      <c r="BM76" s="28"/>
    </row>
    <row r="77" spans="1:73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64"/>
        <v>91.25</v>
      </c>
      <c r="N77">
        <v>0.2</v>
      </c>
      <c r="P77">
        <v>0.09</v>
      </c>
      <c r="R77">
        <v>0.59</v>
      </c>
      <c r="T77">
        <v>20</v>
      </c>
      <c r="U77">
        <f t="shared" si="80"/>
        <v>0</v>
      </c>
      <c r="V77">
        <f>V71</f>
        <v>1</v>
      </c>
      <c r="W77">
        <f>W71</f>
        <v>0.78</v>
      </c>
      <c r="X77">
        <f t="shared" si="65"/>
        <v>4.7000000000000002E-3</v>
      </c>
      <c r="Y77">
        <f t="shared" si="66"/>
        <v>0</v>
      </c>
      <c r="Z77">
        <v>0</v>
      </c>
      <c r="AA77">
        <f t="shared" si="81"/>
        <v>0</v>
      </c>
      <c r="AB77">
        <f t="shared" si="89"/>
        <v>1.3</v>
      </c>
      <c r="AC77">
        <f t="shared" si="67"/>
        <v>1</v>
      </c>
      <c r="AD77">
        <f t="shared" si="68"/>
        <v>0.46765000000000001</v>
      </c>
      <c r="AF77">
        <v>2.2000000000000002</v>
      </c>
      <c r="AG77">
        <f t="shared" si="82"/>
        <v>0.99993747849622516</v>
      </c>
      <c r="AH77">
        <f t="shared" si="69"/>
        <v>0.37927033187481962</v>
      </c>
      <c r="AI77">
        <f t="shared" si="83"/>
        <v>0.37924661932333364</v>
      </c>
      <c r="AJ77">
        <f t="shared" si="70"/>
        <v>3.4132195739100028E-2</v>
      </c>
      <c r="AK77">
        <f t="shared" si="71"/>
        <v>0.08</v>
      </c>
      <c r="AL77">
        <f t="shared" si="72"/>
        <v>0.1483446951450304</v>
      </c>
      <c r="AM77">
        <f t="shared" si="73"/>
        <v>0.19</v>
      </c>
      <c r="AN77">
        <f t="shared" si="74"/>
        <v>0.6784</v>
      </c>
      <c r="AO77">
        <f t="shared" si="75"/>
        <v>0</v>
      </c>
      <c r="AP77">
        <f t="shared" si="76"/>
        <v>8.9868877779445051E-5</v>
      </c>
      <c r="AQ77">
        <f t="shared" si="84"/>
        <v>8.9868877779445051E-5</v>
      </c>
      <c r="AR77">
        <f t="shared" si="77"/>
        <v>1.3940909665536414</v>
      </c>
      <c r="BA77">
        <f>BA75</f>
        <v>15</v>
      </c>
      <c r="BC77">
        <f t="shared" si="85"/>
        <v>0</v>
      </c>
      <c r="BD77">
        <f>BD75</f>
        <v>3.4931506849315071E-2</v>
      </c>
      <c r="BE77">
        <f t="shared" si="78"/>
        <v>0.18400000000000002</v>
      </c>
      <c r="BF77">
        <v>57</v>
      </c>
      <c r="BG77">
        <f t="shared" si="86"/>
        <v>0.35087719298245612</v>
      </c>
      <c r="BH77">
        <f t="shared" si="92"/>
        <v>9.0946210082771574E-3</v>
      </c>
      <c r="BI77">
        <f t="shared" si="79"/>
        <v>32</v>
      </c>
      <c r="BJ77">
        <f t="shared" si="87"/>
        <v>-3.6334696900211525E-3</v>
      </c>
      <c r="BK77">
        <f t="shared" si="88"/>
        <v>-56.364198566453126</v>
      </c>
      <c r="BM77" s="28"/>
    </row>
    <row r="78" spans="1:73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64"/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80"/>
        <v>0</v>
      </c>
      <c r="V78">
        <f>V71</f>
        <v>1</v>
      </c>
      <c r="W78">
        <f>W71</f>
        <v>0.78</v>
      </c>
      <c r="X78">
        <f t="shared" si="65"/>
        <v>4.7000000000000002E-3</v>
      </c>
      <c r="Y78">
        <f t="shared" si="66"/>
        <v>0</v>
      </c>
      <c r="Z78">
        <v>0</v>
      </c>
      <c r="AA78">
        <f t="shared" si="81"/>
        <v>0</v>
      </c>
      <c r="AB78">
        <f t="shared" si="89"/>
        <v>1.3</v>
      </c>
      <c r="AC78">
        <f t="shared" si="67"/>
        <v>1</v>
      </c>
      <c r="AD78">
        <f t="shared" si="68"/>
        <v>0.4597</v>
      </c>
      <c r="AF78">
        <v>1.7</v>
      </c>
      <c r="AG78">
        <f t="shared" si="82"/>
        <v>0.99691128459176326</v>
      </c>
      <c r="AH78">
        <f t="shared" si="69"/>
        <v>0.45622036550992806</v>
      </c>
      <c r="AI78">
        <f t="shared" si="83"/>
        <v>0.45481123063742612</v>
      </c>
      <c r="AJ78">
        <f t="shared" si="70"/>
        <v>3.1836786144619829E-2</v>
      </c>
      <c r="AK78">
        <f t="shared" si="71"/>
        <v>0.08</v>
      </c>
      <c r="AL78">
        <f t="shared" si="72"/>
        <v>0.1833512593212141</v>
      </c>
      <c r="AM78">
        <f t="shared" si="73"/>
        <v>0.19</v>
      </c>
      <c r="AN78">
        <f t="shared" si="74"/>
        <v>0.6784</v>
      </c>
      <c r="AO78">
        <f t="shared" si="75"/>
        <v>0</v>
      </c>
      <c r="AP78">
        <f t="shared" si="76"/>
        <v>1.1107624643089592E-4</v>
      </c>
      <c r="AQ78">
        <f t="shared" si="84"/>
        <v>1.1107624643089592E-4</v>
      </c>
      <c r="AR78">
        <f t="shared" si="77"/>
        <v>2.0271414973638504</v>
      </c>
      <c r="BA78">
        <f>BA75</f>
        <v>15</v>
      </c>
      <c r="BC78">
        <f t="shared" si="85"/>
        <v>0</v>
      </c>
      <c r="BD78">
        <f>BD75</f>
        <v>3.4931506849315071E-2</v>
      </c>
      <c r="BE78">
        <f t="shared" si="78"/>
        <v>4.6000000000000006E-2</v>
      </c>
      <c r="BF78">
        <v>58</v>
      </c>
      <c r="BG78">
        <f t="shared" si="86"/>
        <v>0.43103448275862066</v>
      </c>
      <c r="BH78">
        <f t="shared" si="92"/>
        <v>5.6981325135231761E-3</v>
      </c>
      <c r="BI78">
        <f t="shared" si="79"/>
        <v>40</v>
      </c>
      <c r="BJ78">
        <f t="shared" si="87"/>
        <v>-6.042467303840034E-4</v>
      </c>
      <c r="BK78">
        <f t="shared" si="88"/>
        <v>-11.027502829508061</v>
      </c>
      <c r="BM78" s="28"/>
    </row>
    <row r="79" spans="1:73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64"/>
        <v>91.25</v>
      </c>
      <c r="N79">
        <v>0</v>
      </c>
      <c r="P79">
        <v>0.08</v>
      </c>
      <c r="R79">
        <v>0.51</v>
      </c>
      <c r="T79">
        <v>35</v>
      </c>
      <c r="U79">
        <f t="shared" si="80"/>
        <v>0</v>
      </c>
      <c r="V79">
        <f>V71</f>
        <v>1</v>
      </c>
      <c r="W79">
        <f>W71</f>
        <v>0.78</v>
      </c>
      <c r="X79">
        <f t="shared" si="65"/>
        <v>4.7000000000000002E-3</v>
      </c>
      <c r="Y79">
        <f t="shared" si="66"/>
        <v>0.874</v>
      </c>
      <c r="Z79">
        <v>0</v>
      </c>
      <c r="AA79">
        <f t="shared" si="81"/>
        <v>0</v>
      </c>
      <c r="AB79">
        <f t="shared" si="89"/>
        <v>1.3</v>
      </c>
      <c r="AC79">
        <f t="shared" si="67"/>
        <v>1.2622</v>
      </c>
      <c r="AD79">
        <f t="shared" si="68"/>
        <v>0.40405000000000002</v>
      </c>
      <c r="AF79">
        <v>1.5</v>
      </c>
      <c r="AG79">
        <f t="shared" si="82"/>
        <v>0.98889100346175773</v>
      </c>
      <c r="AH79">
        <f t="shared" si="69"/>
        <v>0.5475133082693564</v>
      </c>
      <c r="AI79">
        <f t="shared" si="83"/>
        <v>0.68339418904378058</v>
      </c>
      <c r="AJ79">
        <f t="shared" si="70"/>
        <v>5.4671535123502445E-2</v>
      </c>
      <c r="AK79">
        <f t="shared" si="71"/>
        <v>0.08</v>
      </c>
      <c r="AL79">
        <f t="shared" si="72"/>
        <v>0.3252607167493084</v>
      </c>
      <c r="AM79">
        <f t="shared" si="73"/>
        <v>0.19</v>
      </c>
      <c r="AN79">
        <f t="shared" si="74"/>
        <v>0.6784</v>
      </c>
      <c r="AO79">
        <f t="shared" si="75"/>
        <v>0</v>
      </c>
      <c r="AP79">
        <f t="shared" si="76"/>
        <v>1.9704658512675863E-4</v>
      </c>
      <c r="AQ79">
        <f t="shared" si="84"/>
        <v>1.9704658512675863E-4</v>
      </c>
      <c r="AR79">
        <f t="shared" si="77"/>
        <v>1.7980500892816726</v>
      </c>
      <c r="BA79">
        <v>18</v>
      </c>
      <c r="BB79">
        <v>0.8</v>
      </c>
      <c r="BC79">
        <f t="shared" si="85"/>
        <v>1.3984000000000001</v>
      </c>
      <c r="BD79">
        <f t="shared" ref="BD79:BD94" si="93">(BA79 * BB79) / 365</f>
        <v>3.9452054794520547E-2</v>
      </c>
      <c r="BE79">
        <f t="shared" si="78"/>
        <v>0</v>
      </c>
      <c r="BF79">
        <v>50</v>
      </c>
      <c r="BG79">
        <f t="shared" si="86"/>
        <v>0.7</v>
      </c>
      <c r="BH79">
        <f t="shared" si="92"/>
        <v>1.5370836164383561E-2</v>
      </c>
      <c r="BI79">
        <f t="shared" si="79"/>
        <v>56</v>
      </c>
      <c r="BJ79">
        <f t="shared" si="87"/>
        <v>-6.6233905446231693E-3</v>
      </c>
      <c r="BK79">
        <f t="shared" si="88"/>
        <v>-60.438438719686417</v>
      </c>
      <c r="BM79" s="28"/>
    </row>
    <row r="80" spans="1:73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64"/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80"/>
        <v>0</v>
      </c>
      <c r="V80">
        <f>V71</f>
        <v>1</v>
      </c>
      <c r="W80">
        <f>W71</f>
        <v>0.78</v>
      </c>
      <c r="X80">
        <f t="shared" si="65"/>
        <v>4.7000000000000002E-3</v>
      </c>
      <c r="Y80">
        <f t="shared" si="66"/>
        <v>0</v>
      </c>
      <c r="Z80">
        <v>0</v>
      </c>
      <c r="AA80">
        <f t="shared" si="81"/>
        <v>0</v>
      </c>
      <c r="AB80">
        <f t="shared" si="89"/>
        <v>1.3</v>
      </c>
      <c r="AC80">
        <f t="shared" si="67"/>
        <v>1</v>
      </c>
      <c r="AD80">
        <f t="shared" si="68"/>
        <v>0.43585000000000007</v>
      </c>
      <c r="AF80">
        <v>2</v>
      </c>
      <c r="AG80">
        <f t="shared" si="82"/>
        <v>0.99966453737209748</v>
      </c>
      <c r="AH80">
        <f t="shared" si="69"/>
        <v>0.68255692885182395</v>
      </c>
      <c r="AI80">
        <f t="shared" si="83"/>
        <v>0.68232795651077827</v>
      </c>
      <c r="AJ80">
        <f t="shared" si="70"/>
        <v>6.8232795651077829E-2</v>
      </c>
      <c r="AK80">
        <f t="shared" si="71"/>
        <v>0.08</v>
      </c>
      <c r="AL80">
        <f t="shared" si="72"/>
        <v>0.2996168029961534</v>
      </c>
      <c r="AM80">
        <f t="shared" si="73"/>
        <v>0.19</v>
      </c>
      <c r="AN80">
        <f t="shared" si="74"/>
        <v>0.6784</v>
      </c>
      <c r="AO80">
        <f t="shared" si="75"/>
        <v>0</v>
      </c>
      <c r="AP80">
        <f t="shared" si="76"/>
        <v>1.8151121496326329E-4</v>
      </c>
      <c r="AQ80">
        <f t="shared" si="84"/>
        <v>1.8151121496326329E-4</v>
      </c>
      <c r="AR80">
        <f t="shared" si="77"/>
        <v>2.3188057711556884</v>
      </c>
      <c r="BA80">
        <f>BA79</f>
        <v>18</v>
      </c>
      <c r="BC80">
        <f t="shared" si="85"/>
        <v>0</v>
      </c>
      <c r="BD80">
        <f>BD79</f>
        <v>3.9452054794520547E-2</v>
      </c>
      <c r="BE80">
        <f t="shared" si="78"/>
        <v>4.6000000000000006E-2</v>
      </c>
      <c r="BF80">
        <v>50</v>
      </c>
      <c r="BG80">
        <f t="shared" si="86"/>
        <v>0.8</v>
      </c>
      <c r="BH80">
        <f t="shared" si="92"/>
        <v>5.918928338852927E-3</v>
      </c>
      <c r="BI80">
        <f t="shared" si="79"/>
        <v>64</v>
      </c>
      <c r="BJ80">
        <f t="shared" si="87"/>
        <v>4.9983189653195256E-3</v>
      </c>
      <c r="BK80">
        <f t="shared" si="88"/>
        <v>63.853524781956942</v>
      </c>
      <c r="BM80" s="28"/>
    </row>
    <row r="81" spans="5:65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64"/>
        <v>91.25</v>
      </c>
      <c r="N81">
        <v>0</v>
      </c>
      <c r="P81">
        <v>0.09</v>
      </c>
      <c r="R81">
        <v>0.59</v>
      </c>
      <c r="T81">
        <v>40</v>
      </c>
      <c r="U81">
        <f t="shared" si="80"/>
        <v>0</v>
      </c>
      <c r="V81">
        <f>V71</f>
        <v>1</v>
      </c>
      <c r="W81">
        <f>W71</f>
        <v>0.78</v>
      </c>
      <c r="X81">
        <f t="shared" si="65"/>
        <v>4.7000000000000002E-3</v>
      </c>
      <c r="Y81">
        <f t="shared" si="66"/>
        <v>0</v>
      </c>
      <c r="Z81">
        <v>0</v>
      </c>
      <c r="AA81">
        <f t="shared" si="81"/>
        <v>0</v>
      </c>
      <c r="AB81">
        <f t="shared" si="89"/>
        <v>1.3</v>
      </c>
      <c r="AC81">
        <f t="shared" si="67"/>
        <v>1</v>
      </c>
      <c r="AD81">
        <f t="shared" si="68"/>
        <v>0.46765000000000001</v>
      </c>
      <c r="AF81">
        <v>2.2000000000000002</v>
      </c>
      <c r="AG81">
        <f t="shared" si="82"/>
        <v>0.99993747849622516</v>
      </c>
      <c r="AH81">
        <f t="shared" si="69"/>
        <v>0.73551337046383869</v>
      </c>
      <c r="AI81">
        <f t="shared" si="83"/>
        <v>0.73546738506187082</v>
      </c>
      <c r="AJ81">
        <f t="shared" si="70"/>
        <v>6.6192064655568372E-2</v>
      </c>
      <c r="AK81">
        <f t="shared" si="71"/>
        <v>0.08</v>
      </c>
      <c r="AL81">
        <f t="shared" si="72"/>
        <v>0.29732386934656035</v>
      </c>
      <c r="AM81">
        <f t="shared" si="73"/>
        <v>0.19</v>
      </c>
      <c r="AN81">
        <f t="shared" si="74"/>
        <v>0.6784</v>
      </c>
      <c r="AO81">
        <f t="shared" si="75"/>
        <v>0</v>
      </c>
      <c r="AP81">
        <f t="shared" si="76"/>
        <v>1.8012213007748295E-4</v>
      </c>
      <c r="AQ81">
        <f t="shared" si="84"/>
        <v>1.8012213007748295E-4</v>
      </c>
      <c r="AR81">
        <f t="shared" si="77"/>
        <v>2.218879489891993</v>
      </c>
      <c r="BA81">
        <f>BA79</f>
        <v>18</v>
      </c>
      <c r="BC81">
        <f t="shared" si="85"/>
        <v>0</v>
      </c>
      <c r="BD81">
        <f>BD79</f>
        <v>3.9452054794520547E-2</v>
      </c>
      <c r="BE81">
        <f t="shared" si="78"/>
        <v>0</v>
      </c>
      <c r="BF81">
        <v>50</v>
      </c>
      <c r="BG81">
        <f t="shared" si="86"/>
        <v>0.8</v>
      </c>
      <c r="BH81">
        <f t="shared" si="92"/>
        <v>5.3023561643835617E-3</v>
      </c>
      <c r="BI81">
        <f t="shared" si="79"/>
        <v>64</v>
      </c>
      <c r="BJ81">
        <f t="shared" si="87"/>
        <v>5.2883741805073783E-3</v>
      </c>
      <c r="BK81">
        <f t="shared" si="88"/>
        <v>65.146159436125274</v>
      </c>
      <c r="BM81" s="28"/>
    </row>
    <row r="82" spans="5:65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64"/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80"/>
        <v>0</v>
      </c>
      <c r="V82">
        <f>V71</f>
        <v>1</v>
      </c>
      <c r="W82">
        <f>W71</f>
        <v>0.78</v>
      </c>
      <c r="X82">
        <f t="shared" si="65"/>
        <v>4.7000000000000002E-3</v>
      </c>
      <c r="Y82">
        <f t="shared" si="66"/>
        <v>0</v>
      </c>
      <c r="Z82">
        <v>0</v>
      </c>
      <c r="AA82">
        <f t="shared" si="81"/>
        <v>0</v>
      </c>
      <c r="AB82">
        <f t="shared" si="89"/>
        <v>1.3</v>
      </c>
      <c r="AC82">
        <f t="shared" si="67"/>
        <v>1</v>
      </c>
      <c r="AD82">
        <f t="shared" si="68"/>
        <v>0.4597</v>
      </c>
      <c r="AF82">
        <v>1.7</v>
      </c>
      <c r="AG82">
        <f t="shared" si="82"/>
        <v>0.99691128459176326</v>
      </c>
      <c r="AH82">
        <f t="shared" si="69"/>
        <v>0.63135555036204949</v>
      </c>
      <c r="AI82">
        <f t="shared" si="83"/>
        <v>0.62940547274557046</v>
      </c>
      <c r="AJ82">
        <f t="shared" si="70"/>
        <v>4.4058383092189936E-2</v>
      </c>
      <c r="AK82">
        <f t="shared" si="71"/>
        <v>0.08</v>
      </c>
      <c r="AL82">
        <f t="shared" si="72"/>
        <v>0.25778064063658079</v>
      </c>
      <c r="AM82">
        <f t="shared" si="73"/>
        <v>0.19</v>
      </c>
      <c r="AN82">
        <f t="shared" si="74"/>
        <v>0.6784</v>
      </c>
      <c r="AO82">
        <f t="shared" si="75"/>
        <v>0</v>
      </c>
      <c r="AP82">
        <f t="shared" si="76"/>
        <v>1.5616639924081579E-4</v>
      </c>
      <c r="AQ82">
        <f t="shared" si="84"/>
        <v>1.5616639924081579E-4</v>
      </c>
      <c r="AR82">
        <f t="shared" si="77"/>
        <v>1.8525239109941771</v>
      </c>
      <c r="BA82">
        <f>BA79</f>
        <v>18</v>
      </c>
      <c r="BC82">
        <f t="shared" si="85"/>
        <v>0</v>
      </c>
      <c r="BD82">
        <f>BD79</f>
        <v>3.9452054794520547E-2</v>
      </c>
      <c r="BE82">
        <f t="shared" si="78"/>
        <v>-4.6000000000000006E-2</v>
      </c>
      <c r="BF82">
        <v>50</v>
      </c>
      <c r="BG82">
        <f t="shared" si="86"/>
        <v>0.7</v>
      </c>
      <c r="BH82">
        <f t="shared" si="92"/>
        <v>4.6195426150210253E-3</v>
      </c>
      <c r="BI82">
        <f t="shared" si="79"/>
        <v>56</v>
      </c>
      <c r="BJ82">
        <f t="shared" si="87"/>
        <v>2.4297986797293643E-3</v>
      </c>
      <c r="BK82">
        <f t="shared" si="88"/>
        <v>28.823486838289586</v>
      </c>
      <c r="BM82" s="28"/>
    </row>
    <row r="83" spans="5:65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64"/>
        <v>91.25</v>
      </c>
      <c r="N83">
        <v>-0.03</v>
      </c>
      <c r="P83">
        <v>0.08</v>
      </c>
      <c r="R83">
        <v>0.51</v>
      </c>
      <c r="T83">
        <v>45</v>
      </c>
      <c r="U83">
        <f t="shared" si="80"/>
        <v>0</v>
      </c>
      <c r="V83">
        <f>V71</f>
        <v>1</v>
      </c>
      <c r="W83">
        <f>W71</f>
        <v>0.78</v>
      </c>
      <c r="X83">
        <f t="shared" si="65"/>
        <v>4.7000000000000002E-3</v>
      </c>
      <c r="Y83">
        <f t="shared" si="66"/>
        <v>0</v>
      </c>
      <c r="Z83">
        <v>0</v>
      </c>
      <c r="AA83">
        <f t="shared" si="81"/>
        <v>0</v>
      </c>
      <c r="AB83">
        <f t="shared" si="89"/>
        <v>1.3</v>
      </c>
      <c r="AC83">
        <f t="shared" si="67"/>
        <v>1</v>
      </c>
      <c r="AD83">
        <f t="shared" si="68"/>
        <v>0.40405000000000002</v>
      </c>
      <c r="AF83">
        <v>1.5</v>
      </c>
      <c r="AG83">
        <f t="shared" si="82"/>
        <v>0.98889100346175773</v>
      </c>
      <c r="AH83">
        <f t="shared" si="69"/>
        <v>0.71441785360642229</v>
      </c>
      <c r="AI83">
        <f t="shared" si="83"/>
        <v>0.70648138814385009</v>
      </c>
      <c r="AJ83">
        <f t="shared" si="70"/>
        <v>5.6518511051508007E-2</v>
      </c>
      <c r="AK83">
        <f t="shared" si="71"/>
        <v>0.08</v>
      </c>
      <c r="AL83">
        <f t="shared" si="72"/>
        <v>0.33684927680125443</v>
      </c>
      <c r="AM83">
        <f t="shared" si="73"/>
        <v>0.19</v>
      </c>
      <c r="AN83">
        <f t="shared" si="74"/>
        <v>0.6784</v>
      </c>
      <c r="AO83">
        <f t="shared" si="75"/>
        <v>0</v>
      </c>
      <c r="AP83">
        <f t="shared" si="76"/>
        <v>2.0406706459810014E-4</v>
      </c>
      <c r="AQ83">
        <f t="shared" si="84"/>
        <v>2.0406706459810014E-4</v>
      </c>
      <c r="AR83">
        <f t="shared" si="77"/>
        <v>3.7242239289153276</v>
      </c>
      <c r="BA83">
        <v>20</v>
      </c>
      <c r="BB83">
        <v>0.8</v>
      </c>
      <c r="BC83">
        <f t="shared" si="85"/>
        <v>0</v>
      </c>
      <c r="BD83">
        <f t="shared" ref="BD83:BD94" si="94">(BA83 * BB83) / 365</f>
        <v>4.3835616438356165E-2</v>
      </c>
      <c r="BE83">
        <f t="shared" si="78"/>
        <v>-2.76E-2</v>
      </c>
      <c r="BF83">
        <v>50</v>
      </c>
      <c r="BG83">
        <f t="shared" si="86"/>
        <v>0.9</v>
      </c>
      <c r="BH83">
        <f t="shared" si="92"/>
        <v>5.5430891312035456E-3</v>
      </c>
      <c r="BI83">
        <f t="shared" si="79"/>
        <v>72</v>
      </c>
      <c r="BJ83">
        <f t="shared" si="87"/>
        <v>3.4998726370377362E-3</v>
      </c>
      <c r="BK83">
        <f t="shared" si="88"/>
        <v>63.87267562593869</v>
      </c>
      <c r="BM83" s="28"/>
    </row>
    <row r="84" spans="5:65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64"/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80"/>
        <v>0</v>
      </c>
      <c r="V84">
        <f>V71</f>
        <v>1</v>
      </c>
      <c r="W84">
        <f>W71</f>
        <v>0.78</v>
      </c>
      <c r="X84">
        <f t="shared" si="65"/>
        <v>4.7000000000000002E-3</v>
      </c>
      <c r="Y84">
        <f t="shared" si="66"/>
        <v>0</v>
      </c>
      <c r="Z84">
        <v>0</v>
      </c>
      <c r="AA84">
        <f t="shared" si="81"/>
        <v>0</v>
      </c>
      <c r="AB84">
        <f t="shared" si="89"/>
        <v>1.3</v>
      </c>
      <c r="AC84">
        <f t="shared" si="67"/>
        <v>1</v>
      </c>
      <c r="AD84">
        <f t="shared" si="68"/>
        <v>0.43585000000000007</v>
      </c>
      <c r="AF84">
        <v>2</v>
      </c>
      <c r="AG84">
        <f t="shared" si="82"/>
        <v>0.99966453737209748</v>
      </c>
      <c r="AH84">
        <f t="shared" si="69"/>
        <v>0.8646283676396137</v>
      </c>
      <c r="AI84">
        <f t="shared" si="83"/>
        <v>0.86433831713524623</v>
      </c>
      <c r="AJ84">
        <f t="shared" si="70"/>
        <v>8.6433831713524631E-2</v>
      </c>
      <c r="AK84">
        <f t="shared" si="71"/>
        <v>0.08</v>
      </c>
      <c r="AL84">
        <f t="shared" si="72"/>
        <v>0.38532863402802131</v>
      </c>
      <c r="AM84">
        <f t="shared" si="73"/>
        <v>0.19</v>
      </c>
      <c r="AN84">
        <f t="shared" si="74"/>
        <v>0.6784</v>
      </c>
      <c r="AO84">
        <f t="shared" si="75"/>
        <v>0</v>
      </c>
      <c r="AP84">
        <f t="shared" si="76"/>
        <v>2.3343640217487642E-4</v>
      </c>
      <c r="AQ84">
        <f t="shared" si="84"/>
        <v>2.3343640217487642E-4</v>
      </c>
      <c r="AR84">
        <f t="shared" si="77"/>
        <v>4.4732250566760694</v>
      </c>
      <c r="BA84">
        <f>BA83</f>
        <v>20</v>
      </c>
      <c r="BC84">
        <f t="shared" si="85"/>
        <v>0</v>
      </c>
      <c r="BD84">
        <f>BD83</f>
        <v>4.3835616438356165E-2</v>
      </c>
      <c r="BE84">
        <f t="shared" si="78"/>
        <v>4.6000000000000006E-2</v>
      </c>
      <c r="BF84">
        <v>50</v>
      </c>
      <c r="BG84">
        <f t="shared" si="86"/>
        <v>1</v>
      </c>
      <c r="BH84">
        <f t="shared" si="92"/>
        <v>6.4491365115592345E-3</v>
      </c>
      <c r="BI84">
        <f t="shared" si="79"/>
        <v>80</v>
      </c>
      <c r="BJ84">
        <f t="shared" si="87"/>
        <v>7.3802765626047066E-3</v>
      </c>
      <c r="BK84">
        <f t="shared" si="88"/>
        <v>141.42454963091268</v>
      </c>
      <c r="BM84" s="28"/>
    </row>
    <row r="85" spans="5:65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64"/>
        <v>91.25</v>
      </c>
      <c r="N85">
        <v>0</v>
      </c>
      <c r="P85">
        <v>0.09</v>
      </c>
      <c r="R85">
        <v>0.59</v>
      </c>
      <c r="T85">
        <v>50</v>
      </c>
      <c r="U85">
        <f t="shared" si="80"/>
        <v>0</v>
      </c>
      <c r="V85">
        <f>V71</f>
        <v>1</v>
      </c>
      <c r="W85">
        <f>W71</f>
        <v>0.78</v>
      </c>
      <c r="X85">
        <f t="shared" si="65"/>
        <v>4.7000000000000002E-3</v>
      </c>
      <c r="Y85">
        <f t="shared" si="66"/>
        <v>0</v>
      </c>
      <c r="Z85">
        <v>0</v>
      </c>
      <c r="AA85">
        <f t="shared" si="81"/>
        <v>0</v>
      </c>
      <c r="AB85">
        <f t="shared" si="89"/>
        <v>1.3</v>
      </c>
      <c r="AC85">
        <f t="shared" si="67"/>
        <v>1</v>
      </c>
      <c r="AD85">
        <f t="shared" si="68"/>
        <v>0.46765000000000001</v>
      </c>
      <c r="AF85">
        <v>2.2000000000000002</v>
      </c>
      <c r="AG85">
        <f t="shared" si="82"/>
        <v>0.99993747849622516</v>
      </c>
      <c r="AH85">
        <f t="shared" si="69"/>
        <v>0.92723225551115063</v>
      </c>
      <c r="AI85">
        <f t="shared" si="83"/>
        <v>0.92717428355618758</v>
      </c>
      <c r="AJ85">
        <f t="shared" si="70"/>
        <v>8.3445685520056878E-2</v>
      </c>
      <c r="AK85">
        <f t="shared" si="71"/>
        <v>0.08</v>
      </c>
      <c r="AL85">
        <f t="shared" si="72"/>
        <v>0.3813653389542298</v>
      </c>
      <c r="AM85">
        <f t="shared" si="73"/>
        <v>0.19</v>
      </c>
      <c r="AN85">
        <f t="shared" si="74"/>
        <v>0.6784</v>
      </c>
      <c r="AO85">
        <f t="shared" si="75"/>
        <v>0</v>
      </c>
      <c r="AP85">
        <f t="shared" si="76"/>
        <v>2.3103539363026872E-4</v>
      </c>
      <c r="AQ85">
        <f t="shared" si="84"/>
        <v>2.3103539363026872E-4</v>
      </c>
      <c r="AR85">
        <f t="shared" si="77"/>
        <v>4.005576137064784</v>
      </c>
      <c r="BA85">
        <f>BA83</f>
        <v>20</v>
      </c>
      <c r="BC85">
        <f t="shared" si="85"/>
        <v>0</v>
      </c>
      <c r="BD85">
        <f>BD83</f>
        <v>4.3835616438356165E-2</v>
      </c>
      <c r="BE85">
        <f t="shared" si="78"/>
        <v>0</v>
      </c>
      <c r="BF85">
        <v>50</v>
      </c>
      <c r="BG85">
        <f t="shared" si="86"/>
        <v>1</v>
      </c>
      <c r="BH85">
        <f t="shared" si="92"/>
        <v>5.8915068493150683E-3</v>
      </c>
      <c r="BI85">
        <f t="shared" si="79"/>
        <v>80</v>
      </c>
      <c r="BJ85">
        <f t="shared" si="87"/>
        <v>7.4598028338940326E-3</v>
      </c>
      <c r="BK85">
        <f t="shared" si="88"/>
        <v>129.3343316326378</v>
      </c>
      <c r="BM85" s="28"/>
    </row>
    <row r="86" spans="5:65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64"/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80"/>
        <v>0</v>
      </c>
      <c r="V86">
        <f>V71</f>
        <v>1</v>
      </c>
      <c r="W86">
        <f>W71</f>
        <v>0.78</v>
      </c>
      <c r="X86">
        <f t="shared" si="65"/>
        <v>4.7000000000000002E-3</v>
      </c>
      <c r="Y86">
        <f t="shared" si="66"/>
        <v>0</v>
      </c>
      <c r="Z86">
        <v>0</v>
      </c>
      <c r="AA86">
        <f t="shared" si="81"/>
        <v>0</v>
      </c>
      <c r="AB86">
        <f t="shared" si="89"/>
        <v>1.3</v>
      </c>
      <c r="AC86">
        <f t="shared" si="67"/>
        <v>1</v>
      </c>
      <c r="AD86">
        <f t="shared" si="68"/>
        <v>0.4597</v>
      </c>
      <c r="AF86">
        <v>1.7</v>
      </c>
      <c r="AG86">
        <f t="shared" si="82"/>
        <v>0.99691128459176326</v>
      </c>
      <c r="AH86">
        <f t="shared" si="69"/>
        <v>0.87289783757888828</v>
      </c>
      <c r="AI86">
        <f t="shared" si="83"/>
        <v>0.87020170457814183</v>
      </c>
      <c r="AJ86">
        <f t="shared" si="70"/>
        <v>6.0914119320469931E-2</v>
      </c>
      <c r="AK86">
        <f t="shared" si="71"/>
        <v>0.08</v>
      </c>
      <c r="AL86">
        <f t="shared" si="72"/>
        <v>0.3641127756937399</v>
      </c>
      <c r="AM86">
        <f t="shared" si="73"/>
        <v>0.19</v>
      </c>
      <c r="AN86">
        <f t="shared" si="74"/>
        <v>0.6784</v>
      </c>
      <c r="AO86">
        <f t="shared" si="75"/>
        <v>0</v>
      </c>
      <c r="AP86">
        <f t="shared" si="76"/>
        <v>2.2058359757835542E-4</v>
      </c>
      <c r="AQ86">
        <f t="shared" si="84"/>
        <v>2.2058359757835542E-4</v>
      </c>
      <c r="AR86">
        <f t="shared" si="77"/>
        <v>3.6230855902244881</v>
      </c>
      <c r="BA86">
        <f>BA83</f>
        <v>20</v>
      </c>
      <c r="BC86">
        <f t="shared" si="85"/>
        <v>0</v>
      </c>
      <c r="BD86">
        <f>BD83</f>
        <v>4.3835616438356165E-2</v>
      </c>
      <c r="BE86">
        <f t="shared" si="78"/>
        <v>-1.84E-2</v>
      </c>
      <c r="BF86">
        <v>50</v>
      </c>
      <c r="BG86">
        <f t="shared" si="86"/>
        <v>0.96</v>
      </c>
      <c r="BH86">
        <f t="shared" si="92"/>
        <v>5.6652109375116087E-3</v>
      </c>
      <c r="BI86">
        <f t="shared" si="79"/>
        <v>76.800000000000011</v>
      </c>
      <c r="BJ86">
        <f t="shared" si="87"/>
        <v>4.0810481537635803E-3</v>
      </c>
      <c r="BK86">
        <f t="shared" si="88"/>
        <v>67.031215925566812</v>
      </c>
      <c r="BM86" s="28"/>
    </row>
    <row r="87" spans="5:65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64"/>
        <v>91.25</v>
      </c>
      <c r="N87">
        <v>-0.02</v>
      </c>
      <c r="P87">
        <v>0.08</v>
      </c>
      <c r="R87">
        <v>0.51</v>
      </c>
      <c r="T87">
        <v>58</v>
      </c>
      <c r="U87">
        <f t="shared" si="80"/>
        <v>0</v>
      </c>
      <c r="V87">
        <f>V71</f>
        <v>1</v>
      </c>
      <c r="W87">
        <f>W71</f>
        <v>0.78</v>
      </c>
      <c r="X87">
        <f t="shared" si="65"/>
        <v>4.7000000000000002E-3</v>
      </c>
      <c r="Y87">
        <f t="shared" si="66"/>
        <v>0</v>
      </c>
      <c r="Z87">
        <v>0</v>
      </c>
      <c r="AA87">
        <f t="shared" si="81"/>
        <v>0</v>
      </c>
      <c r="AB87">
        <f t="shared" si="89"/>
        <v>1.3</v>
      </c>
      <c r="AC87">
        <f t="shared" si="67"/>
        <v>1</v>
      </c>
      <c r="AD87">
        <f t="shared" si="68"/>
        <v>0.40405000000000002</v>
      </c>
      <c r="AF87">
        <v>1.5</v>
      </c>
      <c r="AG87">
        <f t="shared" si="82"/>
        <v>0.98889100346175773</v>
      </c>
      <c r="AH87">
        <f t="shared" si="69"/>
        <v>0.94807819706718344</v>
      </c>
      <c r="AI87">
        <f t="shared" si="83"/>
        <v>0.93754599965798113</v>
      </c>
      <c r="AJ87">
        <f t="shared" si="70"/>
        <v>7.5003679972638487E-2</v>
      </c>
      <c r="AK87">
        <f t="shared" si="71"/>
        <v>0.08</v>
      </c>
      <c r="AL87">
        <f t="shared" si="72"/>
        <v>0.45499266070008626</v>
      </c>
      <c r="AM87">
        <f t="shared" si="73"/>
        <v>0.19</v>
      </c>
      <c r="AN87">
        <f t="shared" si="74"/>
        <v>0.6784</v>
      </c>
      <c r="AO87">
        <f t="shared" si="75"/>
        <v>0</v>
      </c>
      <c r="AP87">
        <f t="shared" si="76"/>
        <v>2.7563964976991213E-4</v>
      </c>
      <c r="AQ87">
        <f t="shared" si="84"/>
        <v>2.7563964976991213E-4</v>
      </c>
      <c r="AR87">
        <f t="shared" si="77"/>
        <v>1.2576059020752242</v>
      </c>
      <c r="BA87">
        <v>15</v>
      </c>
      <c r="BB87">
        <v>0.85</v>
      </c>
      <c r="BC87">
        <f t="shared" si="85"/>
        <v>0</v>
      </c>
      <c r="BD87">
        <f t="shared" ref="BD87:BD94" si="95">(BA87 * BB87) / 365</f>
        <v>3.4931506849315071E-2</v>
      </c>
      <c r="BE87">
        <f t="shared" si="78"/>
        <v>-1.84E-2</v>
      </c>
      <c r="BF87">
        <v>70</v>
      </c>
      <c r="BG87">
        <f t="shared" si="86"/>
        <v>0.82857142857142863</v>
      </c>
      <c r="BH87">
        <f t="shared" si="92"/>
        <v>4.45256813203507E-3</v>
      </c>
      <c r="BI87">
        <f t="shared" si="79"/>
        <v>92.800000000000011</v>
      </c>
      <c r="BJ87">
        <f t="shared" si="87"/>
        <v>7.548020663587088E-3</v>
      </c>
      <c r="BK87">
        <f t="shared" si="88"/>
        <v>34.437844277616094</v>
      </c>
      <c r="BM87" s="28"/>
    </row>
    <row r="88" spans="5:65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64"/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80"/>
        <v>0</v>
      </c>
      <c r="V88">
        <f>V71</f>
        <v>1</v>
      </c>
      <c r="W88">
        <f>W71</f>
        <v>0.78</v>
      </c>
      <c r="X88">
        <f t="shared" si="65"/>
        <v>4.7000000000000002E-3</v>
      </c>
      <c r="Y88">
        <f t="shared" si="66"/>
        <v>0</v>
      </c>
      <c r="Z88">
        <v>0</v>
      </c>
      <c r="AA88">
        <f t="shared" si="81"/>
        <v>0</v>
      </c>
      <c r="AB88">
        <f t="shared" si="89"/>
        <v>1.3</v>
      </c>
      <c r="AC88">
        <f t="shared" si="67"/>
        <v>1</v>
      </c>
      <c r="AD88">
        <f t="shared" si="68"/>
        <v>0.43585000000000007</v>
      </c>
      <c r="AF88">
        <v>2</v>
      </c>
      <c r="AG88">
        <f t="shared" si="82"/>
        <v>0.99966453737209748</v>
      </c>
      <c r="AH88">
        <f t="shared" si="69"/>
        <v>1.0773997799878814</v>
      </c>
      <c r="AI88">
        <f t="shared" si="83"/>
        <v>1.0770383526263851</v>
      </c>
      <c r="AJ88">
        <f t="shared" si="70"/>
        <v>0.10770383526263852</v>
      </c>
      <c r="AK88">
        <f t="shared" si="71"/>
        <v>0.08</v>
      </c>
      <c r="AL88">
        <f t="shared" si="72"/>
        <v>0.48858230534675962</v>
      </c>
      <c r="AM88">
        <f t="shared" si="73"/>
        <v>0.19</v>
      </c>
      <c r="AN88">
        <f t="shared" si="74"/>
        <v>0.6784</v>
      </c>
      <c r="AO88">
        <f t="shared" si="75"/>
        <v>0</v>
      </c>
      <c r="AP88">
        <f t="shared" si="76"/>
        <v>2.9598863270088687E-4</v>
      </c>
      <c r="AQ88">
        <f t="shared" si="84"/>
        <v>2.9598863270088687E-4</v>
      </c>
      <c r="AR88">
        <f t="shared" si="77"/>
        <v>1.485492950367576</v>
      </c>
      <c r="BA88">
        <f>BA87</f>
        <v>15</v>
      </c>
      <c r="BC88">
        <f t="shared" si="85"/>
        <v>0</v>
      </c>
      <c r="BD88">
        <f>BD87</f>
        <v>3.4931506849315071E-2</v>
      </c>
      <c r="BE88">
        <f t="shared" si="78"/>
        <v>2.76E-2</v>
      </c>
      <c r="BF88">
        <v>70</v>
      </c>
      <c r="BG88">
        <f t="shared" si="86"/>
        <v>0.87142857142857144</v>
      </c>
      <c r="BH88">
        <f t="shared" si="92"/>
        <v>5.0479486939506747E-3</v>
      </c>
      <c r="BI88">
        <f t="shared" si="79"/>
        <v>97.600000000000009</v>
      </c>
      <c r="BJ88">
        <f t="shared" si="87"/>
        <v>1.2184664948071487E-2</v>
      </c>
      <c r="BK88">
        <f t="shared" si="88"/>
        <v>61.151787208133776</v>
      </c>
      <c r="BM88" s="28"/>
    </row>
    <row r="89" spans="5:65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64"/>
        <v>91.25</v>
      </c>
      <c r="N89">
        <v>0.02</v>
      </c>
      <c r="P89">
        <v>0.09</v>
      </c>
      <c r="R89">
        <v>0.59</v>
      </c>
      <c r="T89">
        <v>63</v>
      </c>
      <c r="U89">
        <f t="shared" si="80"/>
        <v>0</v>
      </c>
      <c r="V89">
        <f>V71</f>
        <v>1</v>
      </c>
      <c r="W89">
        <f>W71</f>
        <v>0.78</v>
      </c>
      <c r="X89">
        <f t="shared" si="65"/>
        <v>4.7000000000000002E-3</v>
      </c>
      <c r="Y89">
        <f t="shared" si="66"/>
        <v>0</v>
      </c>
      <c r="Z89">
        <v>0</v>
      </c>
      <c r="AA89">
        <f t="shared" si="81"/>
        <v>0</v>
      </c>
      <c r="AB89">
        <f t="shared" si="89"/>
        <v>1.3</v>
      </c>
      <c r="AC89">
        <f t="shared" si="67"/>
        <v>1</v>
      </c>
      <c r="AD89">
        <f t="shared" si="68"/>
        <v>0.46765000000000001</v>
      </c>
      <c r="AF89">
        <v>2.2000000000000002</v>
      </c>
      <c r="AG89">
        <f t="shared" si="82"/>
        <v>0.99993747849622516</v>
      </c>
      <c r="AH89">
        <f t="shared" si="69"/>
        <v>1.1919686844423474</v>
      </c>
      <c r="AI89">
        <f t="shared" si="83"/>
        <v>1.1918941607677436</v>
      </c>
      <c r="AJ89">
        <f t="shared" si="70"/>
        <v>0.10727047446909692</v>
      </c>
      <c r="AK89">
        <f t="shared" si="71"/>
        <v>0.08</v>
      </c>
      <c r="AL89">
        <f t="shared" si="72"/>
        <v>0.50186098765097142</v>
      </c>
      <c r="AM89">
        <f t="shared" si="73"/>
        <v>0.19</v>
      </c>
      <c r="AN89">
        <f t="shared" si="74"/>
        <v>0.6784</v>
      </c>
      <c r="AO89">
        <f t="shared" si="75"/>
        <v>0</v>
      </c>
      <c r="AP89">
        <f t="shared" si="76"/>
        <v>3.0403300716202021E-4</v>
      </c>
      <c r="AQ89">
        <f t="shared" si="84"/>
        <v>3.0403300716202021E-4</v>
      </c>
      <c r="AR89">
        <f t="shared" si="77"/>
        <v>1.6645807142120606</v>
      </c>
      <c r="BA89">
        <f>BA87</f>
        <v>15</v>
      </c>
      <c r="BC89">
        <f t="shared" si="85"/>
        <v>0</v>
      </c>
      <c r="BD89">
        <f>BD87</f>
        <v>3.4931506849315071E-2</v>
      </c>
      <c r="BE89">
        <f t="shared" si="78"/>
        <v>1.84E-2</v>
      </c>
      <c r="BF89">
        <v>70</v>
      </c>
      <c r="BG89">
        <f t="shared" si="86"/>
        <v>0.9</v>
      </c>
      <c r="BH89">
        <f t="shared" si="92"/>
        <v>4.9267618988133024E-3</v>
      </c>
      <c r="BI89">
        <f t="shared" si="79"/>
        <v>100.80000000000001</v>
      </c>
      <c r="BJ89">
        <f t="shared" si="87"/>
        <v>1.2236514016242202E-2</v>
      </c>
      <c r="BK89">
        <f t="shared" si="88"/>
        <v>66.994914238926057</v>
      </c>
      <c r="BM89" s="28"/>
    </row>
    <row r="90" spans="5:65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64"/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80"/>
        <v>0</v>
      </c>
      <c r="V90">
        <f>V71</f>
        <v>1</v>
      </c>
      <c r="W90">
        <f>W71</f>
        <v>0.78</v>
      </c>
      <c r="X90">
        <f t="shared" si="65"/>
        <v>4.7000000000000002E-3</v>
      </c>
      <c r="Y90">
        <f t="shared" si="66"/>
        <v>0</v>
      </c>
      <c r="Z90">
        <v>0</v>
      </c>
      <c r="AA90">
        <f t="shared" si="81"/>
        <v>0</v>
      </c>
      <c r="AB90">
        <f t="shared" si="89"/>
        <v>1.3</v>
      </c>
      <c r="AC90">
        <f t="shared" si="67"/>
        <v>1</v>
      </c>
      <c r="AD90">
        <f t="shared" si="68"/>
        <v>0.4597</v>
      </c>
      <c r="AF90">
        <v>1.7</v>
      </c>
      <c r="AG90">
        <f t="shared" si="82"/>
        <v>0.99691128459176326</v>
      </c>
      <c r="AH90">
        <f t="shared" si="69"/>
        <v>1.1113403376673825</v>
      </c>
      <c r="AI90">
        <f t="shared" si="83"/>
        <v>1.1079077236426342</v>
      </c>
      <c r="AJ90">
        <f t="shared" si="70"/>
        <v>7.7553540654984404E-2</v>
      </c>
      <c r="AK90">
        <f t="shared" si="71"/>
        <v>0.08</v>
      </c>
      <c r="AL90">
        <f t="shared" si="72"/>
        <v>0.47326605490265167</v>
      </c>
      <c r="AM90">
        <f t="shared" si="73"/>
        <v>0.19</v>
      </c>
      <c r="AN90">
        <f t="shared" si="74"/>
        <v>0.6784</v>
      </c>
      <c r="AO90">
        <f t="shared" si="75"/>
        <v>0</v>
      </c>
      <c r="AP90">
        <f t="shared" si="76"/>
        <v>2.8670987663984129E-4</v>
      </c>
      <c r="AQ90">
        <f t="shared" si="84"/>
        <v>2.8670987663984129E-4</v>
      </c>
      <c r="AR90">
        <f t="shared" si="77"/>
        <v>1.7005479558200585</v>
      </c>
      <c r="BA90">
        <f>BA87</f>
        <v>15</v>
      </c>
      <c r="BC90">
        <f t="shared" si="85"/>
        <v>0</v>
      </c>
      <c r="BD90">
        <f>BD87</f>
        <v>3.4931506849315071E-2</v>
      </c>
      <c r="BE90">
        <f t="shared" si="78"/>
        <v>-2.76E-2</v>
      </c>
      <c r="BF90">
        <v>70</v>
      </c>
      <c r="BG90">
        <f t="shared" si="86"/>
        <v>0.8571428571428571</v>
      </c>
      <c r="BH90">
        <f t="shared" si="92"/>
        <v>4.3380711924999506E-3</v>
      </c>
      <c r="BI90">
        <f t="shared" si="79"/>
        <v>96</v>
      </c>
      <c r="BJ90">
        <f t="shared" si="87"/>
        <v>8.0704953122975546E-3</v>
      </c>
      <c r="BK90">
        <f t="shared" si="88"/>
        <v>47.868125321064866</v>
      </c>
      <c r="BM90" s="28"/>
    </row>
    <row r="91" spans="5:65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64"/>
        <v>91.25</v>
      </c>
      <c r="N91">
        <v>0</v>
      </c>
      <c r="P91">
        <v>0.08</v>
      </c>
      <c r="R91">
        <v>0.51</v>
      </c>
      <c r="T91">
        <v>50</v>
      </c>
      <c r="U91">
        <f t="shared" si="80"/>
        <v>0</v>
      </c>
      <c r="V91">
        <f>V71</f>
        <v>1</v>
      </c>
      <c r="W91">
        <f>W71</f>
        <v>0.78</v>
      </c>
      <c r="X91">
        <f t="shared" si="65"/>
        <v>4.7000000000000002E-3</v>
      </c>
      <c r="Y91">
        <f t="shared" si="66"/>
        <v>0</v>
      </c>
      <c r="Z91">
        <v>0</v>
      </c>
      <c r="AA91">
        <f t="shared" si="81"/>
        <v>0</v>
      </c>
      <c r="AB91">
        <f t="shared" si="89"/>
        <v>1.3</v>
      </c>
      <c r="AC91">
        <f t="shared" si="67"/>
        <v>1</v>
      </c>
      <c r="AD91">
        <f t="shared" si="68"/>
        <v>0.40405000000000002</v>
      </c>
      <c r="AF91">
        <v>1.5</v>
      </c>
      <c r="AG91">
        <f t="shared" si="82"/>
        <v>0.98889100346175773</v>
      </c>
      <c r="AH91">
        <f t="shared" si="69"/>
        <v>0.80202447976807656</v>
      </c>
      <c r="AI91">
        <f t="shared" si="83"/>
        <v>0.7931147925987474</v>
      </c>
      <c r="AJ91">
        <f t="shared" si="70"/>
        <v>6.344918340789979E-2</v>
      </c>
      <c r="AK91">
        <f t="shared" si="71"/>
        <v>0.08</v>
      </c>
      <c r="AL91">
        <f t="shared" si="72"/>
        <v>0.38068449203550886</v>
      </c>
      <c r="AM91">
        <f t="shared" si="73"/>
        <v>0.19</v>
      </c>
      <c r="AN91">
        <f t="shared" si="74"/>
        <v>0.6784</v>
      </c>
      <c r="AO91">
        <f t="shared" si="75"/>
        <v>0</v>
      </c>
      <c r="AP91">
        <f t="shared" si="76"/>
        <v>2.3062292894142209E-4</v>
      </c>
      <c r="AQ91">
        <f t="shared" si="84"/>
        <v>2.3062292894142209E-4</v>
      </c>
      <c r="AR91">
        <f t="shared" si="77"/>
        <v>1.0522171132952383</v>
      </c>
      <c r="BA91">
        <v>18</v>
      </c>
      <c r="BB91">
        <v>0.8</v>
      </c>
      <c r="BC91">
        <f t="shared" si="85"/>
        <v>0</v>
      </c>
      <c r="BD91">
        <f t="shared" ref="BD91:BD94" si="96">(BA91 * BB91) / 365</f>
        <v>3.9452054794520547E-2</v>
      </c>
      <c r="BE91">
        <f t="shared" si="78"/>
        <v>0</v>
      </c>
      <c r="BF91">
        <v>60</v>
      </c>
      <c r="BG91">
        <f t="shared" si="86"/>
        <v>0.83333333333333337</v>
      </c>
      <c r="BH91">
        <f t="shared" si="92"/>
        <v>5.3023561643835617E-3</v>
      </c>
      <c r="BI91">
        <f t="shared" si="79"/>
        <v>80</v>
      </c>
      <c r="BJ91">
        <f t="shared" si="87"/>
        <v>4.8495131808804041E-3</v>
      </c>
      <c r="BK91">
        <f t="shared" si="88"/>
        <v>22.125903887766846</v>
      </c>
      <c r="BM91" s="28"/>
    </row>
    <row r="92" spans="5:65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64"/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80"/>
        <v>0</v>
      </c>
      <c r="V92">
        <f>V71</f>
        <v>1</v>
      </c>
      <c r="W92">
        <f>W71</f>
        <v>0.78</v>
      </c>
      <c r="X92">
        <f t="shared" si="65"/>
        <v>4.7000000000000002E-3</v>
      </c>
      <c r="Y92">
        <f t="shared" si="66"/>
        <v>0</v>
      </c>
      <c r="Z92">
        <v>0</v>
      </c>
      <c r="AA92">
        <f t="shared" si="81"/>
        <v>0</v>
      </c>
      <c r="AB92">
        <f t="shared" si="89"/>
        <v>1.3</v>
      </c>
      <c r="AC92">
        <f t="shared" si="67"/>
        <v>1</v>
      </c>
      <c r="AD92">
        <f t="shared" si="68"/>
        <v>0.43585000000000007</v>
      </c>
      <c r="AF92">
        <v>2</v>
      </c>
      <c r="AG92">
        <f t="shared" si="82"/>
        <v>0.99966453737209748</v>
      </c>
      <c r="AH92">
        <f t="shared" si="69"/>
        <v>0.95969823125361531</v>
      </c>
      <c r="AI92">
        <f t="shared" si="83"/>
        <v>0.95937628836296562</v>
      </c>
      <c r="AJ92">
        <f t="shared" si="70"/>
        <v>9.5937628836296571E-2</v>
      </c>
      <c r="AK92">
        <f t="shared" si="71"/>
        <v>0.08</v>
      </c>
      <c r="AL92">
        <f t="shared" si="72"/>
        <v>0.43105260872863782</v>
      </c>
      <c r="AM92">
        <f t="shared" si="73"/>
        <v>0.19</v>
      </c>
      <c r="AN92">
        <f t="shared" si="74"/>
        <v>0.6784</v>
      </c>
      <c r="AO92">
        <f t="shared" si="75"/>
        <v>0</v>
      </c>
      <c r="AP92">
        <f t="shared" si="76"/>
        <v>2.6113649815702656E-4</v>
      </c>
      <c r="AQ92">
        <f t="shared" si="84"/>
        <v>2.6113649815702656E-4</v>
      </c>
      <c r="AR92">
        <f t="shared" si="77"/>
        <v>2.3828705456828674</v>
      </c>
      <c r="BA92">
        <f>BA91</f>
        <v>18</v>
      </c>
      <c r="BC92">
        <f t="shared" si="85"/>
        <v>0</v>
      </c>
      <c r="BD92">
        <f>BD91</f>
        <v>3.9452054794520547E-2</v>
      </c>
      <c r="BE92">
        <f t="shared" si="78"/>
        <v>4.6000000000000006E-2</v>
      </c>
      <c r="BF92">
        <v>60</v>
      </c>
      <c r="BG92">
        <f t="shared" si="86"/>
        <v>0.91666666666666663</v>
      </c>
      <c r="BH92">
        <f t="shared" si="92"/>
        <v>5.8772859825456224E-3</v>
      </c>
      <c r="BI92">
        <f t="shared" si="79"/>
        <v>88</v>
      </c>
      <c r="BJ92">
        <f t="shared" si="87"/>
        <v>9.4727346312618293E-3</v>
      </c>
      <c r="BK92">
        <f t="shared" si="88"/>
        <v>86.43870351026419</v>
      </c>
      <c r="BM92" s="28"/>
    </row>
    <row r="93" spans="5:65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64"/>
        <v>91.25</v>
      </c>
      <c r="N93">
        <v>0</v>
      </c>
      <c r="P93">
        <v>0.09</v>
      </c>
      <c r="R93">
        <v>0.59</v>
      </c>
      <c r="T93">
        <v>55</v>
      </c>
      <c r="U93">
        <f t="shared" si="80"/>
        <v>0</v>
      </c>
      <c r="V93">
        <f>V71</f>
        <v>1</v>
      </c>
      <c r="W93">
        <f>W71</f>
        <v>0.78</v>
      </c>
      <c r="X93">
        <f t="shared" si="65"/>
        <v>4.7000000000000002E-3</v>
      </c>
      <c r="Y93">
        <f t="shared" si="66"/>
        <v>0</v>
      </c>
      <c r="Z93">
        <v>0</v>
      </c>
      <c r="AA93">
        <f t="shared" si="81"/>
        <v>0</v>
      </c>
      <c r="AB93">
        <f t="shared" si="89"/>
        <v>1.3</v>
      </c>
      <c r="AC93">
        <f t="shared" si="67"/>
        <v>1</v>
      </c>
      <c r="AD93">
        <f t="shared" si="68"/>
        <v>0.46765000000000001</v>
      </c>
      <c r="AF93">
        <v>2.2000000000000002</v>
      </c>
      <c r="AG93">
        <f t="shared" si="82"/>
        <v>0.99993747849622516</v>
      </c>
      <c r="AH93">
        <f t="shared" si="69"/>
        <v>1.0269410358295947</v>
      </c>
      <c r="AI93">
        <f t="shared" si="83"/>
        <v>1.0268768299317466</v>
      </c>
      <c r="AJ93">
        <f t="shared" si="70"/>
        <v>9.2418914693857185E-2</v>
      </c>
      <c r="AK93">
        <f t="shared" si="71"/>
        <v>0.08</v>
      </c>
      <c r="AL93">
        <f t="shared" si="72"/>
        <v>0.42614265792795969</v>
      </c>
      <c r="AM93">
        <f t="shared" si="73"/>
        <v>0.19</v>
      </c>
      <c r="AN93">
        <f t="shared" si="74"/>
        <v>0.6784</v>
      </c>
      <c r="AO93">
        <f t="shared" si="75"/>
        <v>0</v>
      </c>
      <c r="AP93">
        <f t="shared" si="76"/>
        <v>2.5816199497052678E-4</v>
      </c>
      <c r="AQ93">
        <f t="shared" si="84"/>
        <v>2.5816199497052678E-4</v>
      </c>
      <c r="AR93">
        <f t="shared" si="77"/>
        <v>2.120155383695451</v>
      </c>
      <c r="BA93">
        <f>BA91</f>
        <v>18</v>
      </c>
      <c r="BC93">
        <f t="shared" si="85"/>
        <v>0</v>
      </c>
      <c r="BD93">
        <f>BD91</f>
        <v>3.9452054794520547E-2</v>
      </c>
      <c r="BE93">
        <f t="shared" si="78"/>
        <v>0</v>
      </c>
      <c r="BF93">
        <v>60</v>
      </c>
      <c r="BG93">
        <f t="shared" si="86"/>
        <v>0.91666666666666663</v>
      </c>
      <c r="BH93">
        <f t="shared" si="92"/>
        <v>5.3023561643835617E-3</v>
      </c>
      <c r="BI93">
        <f t="shared" si="79"/>
        <v>88</v>
      </c>
      <c r="BJ93">
        <f t="shared" si="87"/>
        <v>9.4846701866335877E-3</v>
      </c>
      <c r="BK93">
        <f t="shared" si="88"/>
        <v>77.892853907728338</v>
      </c>
      <c r="BM93" s="28"/>
    </row>
    <row r="94" spans="5:65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64"/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80"/>
        <v>0</v>
      </c>
      <c r="V94">
        <f>V71</f>
        <v>1</v>
      </c>
      <c r="W94">
        <f>W71</f>
        <v>0.78</v>
      </c>
      <c r="X94">
        <f t="shared" si="65"/>
        <v>4.7000000000000002E-3</v>
      </c>
      <c r="Y94">
        <f t="shared" si="66"/>
        <v>0</v>
      </c>
      <c r="Z94">
        <v>0</v>
      </c>
      <c r="AA94">
        <f t="shared" si="81"/>
        <v>0</v>
      </c>
      <c r="AB94">
        <f t="shared" si="89"/>
        <v>1.3</v>
      </c>
      <c r="AC94">
        <f t="shared" si="67"/>
        <v>1</v>
      </c>
      <c r="AD94">
        <f t="shared" si="68"/>
        <v>0.4597</v>
      </c>
      <c r="AF94">
        <v>1.7</v>
      </c>
      <c r="AG94">
        <f t="shared" si="82"/>
        <v>0.99691128459176326</v>
      </c>
      <c r="AH94">
        <f t="shared" si="69"/>
        <v>0.91158128354326629</v>
      </c>
      <c r="AI94">
        <f t="shared" si="83"/>
        <v>0.90876566838692596</v>
      </c>
      <c r="AJ94">
        <f t="shared" si="70"/>
        <v>6.3613596787084822E-2</v>
      </c>
      <c r="AK94">
        <f t="shared" si="71"/>
        <v>0.08</v>
      </c>
      <c r="AL94">
        <f t="shared" si="72"/>
        <v>0.38153851973813374</v>
      </c>
      <c r="AM94">
        <f t="shared" si="73"/>
        <v>0.19</v>
      </c>
      <c r="AN94">
        <f t="shared" si="74"/>
        <v>0.6784</v>
      </c>
      <c r="AO94">
        <f t="shared" si="75"/>
        <v>0</v>
      </c>
      <c r="AP94">
        <f t="shared" si="76"/>
        <v>2.3114030848878249E-4</v>
      </c>
      <c r="AQ94">
        <f t="shared" si="84"/>
        <v>2.3114030848878249E-4</v>
      </c>
      <c r="AR94">
        <f t="shared" si="77"/>
        <v>1.6873242519681124</v>
      </c>
      <c r="BA94">
        <f>BA91</f>
        <v>18</v>
      </c>
      <c r="BC94">
        <f t="shared" si="85"/>
        <v>0</v>
      </c>
      <c r="BD94">
        <f>BD91</f>
        <v>3.9452054794520547E-2</v>
      </c>
      <c r="BE94">
        <f t="shared" si="78"/>
        <v>-4.6000000000000006E-2</v>
      </c>
      <c r="BF94">
        <v>60</v>
      </c>
      <c r="BG94">
        <f t="shared" si="86"/>
        <v>0.83333333333333337</v>
      </c>
      <c r="BH94">
        <f t="shared" si="92"/>
        <v>4.6980747214089178E-3</v>
      </c>
      <c r="BI94">
        <f t="shared" si="79"/>
        <v>80</v>
      </c>
      <c r="BJ94">
        <f t="shared" si="87"/>
        <v>5.4801007645246544E-3</v>
      </c>
      <c r="BK94">
        <f t="shared" si="88"/>
        <v>40.004735581029976</v>
      </c>
      <c r="BM94" s="28"/>
    </row>
    <row r="101" spans="1:73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97">$CA$3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$BZ$26:$CB$32, 2)/100)</f>
        <v>0.99739999999999995</v>
      </c>
      <c r="W101">
        <f>VLOOKUP($B101,$CB$10:$CC$16, 2, FALSE)</f>
        <v>0.74</v>
      </c>
      <c r="X101">
        <f t="shared" ref="X101:X124" si="98">$CA$10</f>
        <v>4.7000000000000002E-3</v>
      </c>
      <c r="Y101">
        <f t="shared" ref="Y101:Y124" si="99">(I101/100)*(MIN(J101,100)/100)</f>
        <v>0.85499999999999998</v>
      </c>
      <c r="Z101">
        <v>0</v>
      </c>
      <c r="AA101">
        <f>1.6 * Z101</f>
        <v>0</v>
      </c>
      <c r="AB101">
        <f>$CD$1</f>
        <v>1.3</v>
      </c>
      <c r="AC101">
        <f t="shared" ref="AC101:AC124" si="100">Y101*AB101+(1-Y101)</f>
        <v>1.2565</v>
      </c>
      <c r="AD101">
        <f t="shared" ref="AD101:AD124" si="101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102">(104.7*AD101+0.307*T101-15)*(T101^0.75)*10^-3</f>
        <v>1.2118587484135388</v>
      </c>
      <c r="AI101">
        <f>AH101*AG101*AC101</f>
        <v>1.5227005173815922</v>
      </c>
      <c r="AJ101">
        <f t="shared" ref="AJ101:AJ124" si="103">(AI101 * P101) + (0.045 * AA101)</f>
        <v>0.24363208278105475</v>
      </c>
      <c r="AK101">
        <f t="shared" ref="AK101:AK124" si="104">$CA$2</f>
        <v>0.08</v>
      </c>
      <c r="AL101">
        <f t="shared" ref="AL101:AL124" si="105">(AI101 * ((1 - R101) + (0.04 * AI101))) * ( 1 - AK101 )</f>
        <v>0.50559044345265691</v>
      </c>
      <c r="AM101">
        <f t="shared" ref="AM101:AM124" si="106">$CA$1</f>
        <v>0.19</v>
      </c>
      <c r="AN101">
        <f t="shared" ref="AN101:AN124" si="107">$CB$20</f>
        <v>0.6784</v>
      </c>
      <c r="AO101">
        <f t="shared" ref="AO101:AO124" si="108">AL101 * AM101 * U101 * W101 * AN101</f>
        <v>1.2538435907780477E-4</v>
      </c>
      <c r="AP101">
        <f t="shared" ref="AP101:AP124" si="109">AL101*AM101*V101*X101*AN101</f>
        <v>3.0549599313811914E-4</v>
      </c>
      <c r="AQ101">
        <f>AO101+AP101</f>
        <v>4.3088035221592387E-4</v>
      </c>
      <c r="AR101">
        <f t="shared" ref="AR101:AR124" si="110">H101*AQ101*L101</f>
        <v>3.9317832139703053</v>
      </c>
      <c r="AS101">
        <f>SUM(AR101:AR124)*10^-3</f>
        <v>7.5276513875585233E-2</v>
      </c>
      <c r="AT101" t="s">
        <v>213</v>
      </c>
      <c r="AU101">
        <f>IF(AT101="yes", 1,0)</f>
        <v>1</v>
      </c>
      <c r="AV101">
        <f>$CA$4</f>
        <v>0.24</v>
      </c>
      <c r="AW101" t="s">
        <v>324</v>
      </c>
      <c r="AX101" s="28">
        <f>VLOOKUP(AW101,$CE$37:$CG$46,2, FALSE)</f>
        <v>6.0000000000000001E-3</v>
      </c>
      <c r="AY101" s="28">
        <f>$CA$7</f>
        <v>1.5714285714285714</v>
      </c>
      <c r="AZ101">
        <f>$CA$5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111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 t="shared" ref="BI101:BI124" si="112">1.6 * T101</f>
        <v>88</v>
      </c>
      <c r="BJ101">
        <f>(AJ101  / 6.25 ) - BH101</f>
        <v>2.3240026395653694E-2</v>
      </c>
      <c r="BK101">
        <f>H101*BJ101*L101</f>
        <v>212.06524086033994</v>
      </c>
      <c r="BL101">
        <f>SUM(BK101:BK124)</f>
        <v>3795.9003499683108</v>
      </c>
      <c r="BM101" s="28">
        <f>BL101*$AU$11*$AV$11</f>
        <v>911.01608399239456</v>
      </c>
      <c r="BN101">
        <f>BK101 * AZ101</f>
        <v>44.533700580671386</v>
      </c>
      <c r="BO101" t="s">
        <v>226</v>
      </c>
      <c r="BP101">
        <f>VLOOKUP(BO101, $BZ$37:$CA$49, 2, FALSE)</f>
        <v>1.8E-3</v>
      </c>
      <c r="BQ101">
        <f>BN101 * BP101 * AY101 * 10^-3</f>
        <v>1.2596675307104192E-4</v>
      </c>
      <c r="BR101">
        <f>BK101 * AP101 * AV101</f>
        <v>1.5548419528008959E-2</v>
      </c>
      <c r="BS101">
        <f>$CA$6</f>
        <v>1.0999999999999999E-2</v>
      </c>
      <c r="BT101">
        <f>BL101 * AX101 * AY101 * 10^-3</f>
        <v>3.5789917585415505E-2</v>
      </c>
      <c r="BU101">
        <f>BR101 * BS101 * AY101 * 10^-3</f>
        <v>2.6876553755558342E-7</v>
      </c>
    </row>
    <row r="102" spans="1:73" x14ac:dyDescent="0.2">
      <c r="E102" s="12"/>
      <c r="F102" t="s">
        <v>164</v>
      </c>
      <c r="H102">
        <v>70</v>
      </c>
      <c r="I102">
        <v>0</v>
      </c>
      <c r="J102">
        <v>0</v>
      </c>
      <c r="L102">
        <f t="shared" si="97"/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113">1-V102</f>
        <v>2.6000000000000467E-3</v>
      </c>
      <c r="V102">
        <f>V101</f>
        <v>0.99739999999999995</v>
      </c>
      <c r="W102">
        <f>W101</f>
        <v>0.74</v>
      </c>
      <c r="X102">
        <f t="shared" si="98"/>
        <v>4.7000000000000002E-3</v>
      </c>
      <c r="Y102">
        <f t="shared" si="99"/>
        <v>0</v>
      </c>
      <c r="Z102">
        <v>0</v>
      </c>
      <c r="AA102">
        <f t="shared" ref="AA102:AA124" si="114">1.6 * Z102</f>
        <v>0</v>
      </c>
      <c r="AB102">
        <f>$AB$11</f>
        <v>1.3</v>
      </c>
      <c r="AC102">
        <f t="shared" si="100"/>
        <v>1</v>
      </c>
      <c r="AD102">
        <f t="shared" si="101"/>
        <v>0.43585000000000007</v>
      </c>
      <c r="AF102">
        <v>2.5</v>
      </c>
      <c r="AG102">
        <f t="shared" ref="AG102:AG124" si="115">1 - EXP(-2*(AF102^2))</f>
        <v>0.99999627334682795</v>
      </c>
      <c r="AH102">
        <f t="shared" si="102"/>
        <v>0.95969823125361531</v>
      </c>
      <c r="AI102">
        <f t="shared" ref="AI102:AI124" si="116">AH102*AG102*AC102</f>
        <v>0.95969465479115756</v>
      </c>
      <c r="AJ102">
        <f t="shared" si="103"/>
        <v>6.7178625835381034E-2</v>
      </c>
      <c r="AK102">
        <f t="shared" si="104"/>
        <v>0.08</v>
      </c>
      <c r="AL102">
        <f t="shared" si="105"/>
        <v>0.43120689604353685</v>
      </c>
      <c r="AM102">
        <f t="shared" si="106"/>
        <v>0.19</v>
      </c>
      <c r="AN102">
        <f t="shared" si="107"/>
        <v>0.6784</v>
      </c>
      <c r="AO102">
        <f t="shared" si="108"/>
        <v>1.0693754399535288E-4</v>
      </c>
      <c r="AP102">
        <f t="shared" si="109"/>
        <v>2.6055076922584526E-4</v>
      </c>
      <c r="AQ102">
        <f t="shared" ref="AQ102:AQ124" si="117">AO102+AP102</f>
        <v>3.6748831322119813E-4</v>
      </c>
      <c r="AR102">
        <f t="shared" si="110"/>
        <v>2.3473316007004028</v>
      </c>
      <c r="BA102">
        <f>BA101</f>
        <v>20</v>
      </c>
      <c r="BC102">
        <f t="shared" ref="BC102:BC124" si="118">Y102 * 1.6</f>
        <v>0</v>
      </c>
      <c r="BD102">
        <f>BD101</f>
        <v>4.3835616438356165E-2</v>
      </c>
      <c r="BE102">
        <f t="shared" si="111"/>
        <v>0</v>
      </c>
      <c r="BF102">
        <v>60</v>
      </c>
      <c r="BG102">
        <f t="shared" ref="BG102:BG124" si="119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 t="shared" si="112"/>
        <v>88</v>
      </c>
      <c r="BJ102">
        <f t="shared" ref="BJ102:BJ124" si="120">(AJ102  / 6.25 ) - BH102</f>
        <v>4.8570732843458966E-3</v>
      </c>
      <c r="BK102">
        <f t="shared" ref="BK102:BK124" si="121">H102*BJ102*L102</f>
        <v>31.024555603759413</v>
      </c>
      <c r="BM102" s="28"/>
    </row>
    <row r="103" spans="1:73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97"/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113"/>
        <v>2.6000000000000467E-3</v>
      </c>
      <c r="V103">
        <f>V101</f>
        <v>0.99739999999999995</v>
      </c>
      <c r="W103">
        <f>W101</f>
        <v>0.74</v>
      </c>
      <c r="X103">
        <f t="shared" si="98"/>
        <v>4.7000000000000002E-3</v>
      </c>
      <c r="Y103">
        <f t="shared" si="99"/>
        <v>0</v>
      </c>
      <c r="Z103">
        <v>0</v>
      </c>
      <c r="AA103">
        <f t="shared" si="114"/>
        <v>0</v>
      </c>
      <c r="AB103">
        <f t="shared" ref="AB103:AB124" si="122">$AB$11</f>
        <v>1.3</v>
      </c>
      <c r="AC103">
        <f t="shared" si="100"/>
        <v>1</v>
      </c>
      <c r="AD103">
        <f t="shared" si="101"/>
        <v>0.43585000000000007</v>
      </c>
      <c r="AF103">
        <v>0.7</v>
      </c>
      <c r="AG103">
        <f t="shared" si="115"/>
        <v>0.62468890114860043</v>
      </c>
      <c r="AH103">
        <f t="shared" si="102"/>
        <v>0.95969823125361531</v>
      </c>
      <c r="AI103">
        <f t="shared" si="116"/>
        <v>0.59951283351607632</v>
      </c>
      <c r="AJ103">
        <f t="shared" si="103"/>
        <v>5.3956155016446863E-2</v>
      </c>
      <c r="AK103">
        <f t="shared" si="104"/>
        <v>0.08</v>
      </c>
      <c r="AL103">
        <f t="shared" si="105"/>
        <v>0.26142480853751304</v>
      </c>
      <c r="AM103">
        <f t="shared" si="106"/>
        <v>0.19</v>
      </c>
      <c r="AN103">
        <f t="shared" si="107"/>
        <v>0.6784</v>
      </c>
      <c r="AO103">
        <f t="shared" si="108"/>
        <v>6.4832281721288623E-5</v>
      </c>
      <c r="AP103">
        <f t="shared" si="109"/>
        <v>1.5796230436975934E-4</v>
      </c>
      <c r="AQ103">
        <f t="shared" si="117"/>
        <v>2.2279458609104796E-4</v>
      </c>
      <c r="AR103">
        <f t="shared" si="110"/>
        <v>1.3214503887525282</v>
      </c>
      <c r="BA103">
        <f>BA101</f>
        <v>20</v>
      </c>
      <c r="BC103">
        <f t="shared" si="118"/>
        <v>0</v>
      </c>
      <c r="BD103">
        <f>BD101</f>
        <v>4.3835616438356165E-2</v>
      </c>
      <c r="BE103">
        <f t="shared" si="111"/>
        <v>0</v>
      </c>
      <c r="BF103">
        <v>60</v>
      </c>
      <c r="BG103">
        <f t="shared" si="119"/>
        <v>0.91666666666666663</v>
      </c>
      <c r="BH103">
        <f t="shared" ref="BH103:BH104" si="123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 t="shared" si="112"/>
        <v>88</v>
      </c>
      <c r="BJ103">
        <f t="shared" si="120"/>
        <v>2.7414779533164292E-3</v>
      </c>
      <c r="BK103">
        <f t="shared" si="121"/>
        <v>16.260391110608069</v>
      </c>
      <c r="BM103" s="28"/>
    </row>
    <row r="104" spans="1:7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97"/>
        <v>91.25</v>
      </c>
      <c r="N104">
        <v>0</v>
      </c>
      <c r="P104">
        <v>0.2</v>
      </c>
      <c r="R104">
        <v>0.75</v>
      </c>
      <c r="T104">
        <v>55</v>
      </c>
      <c r="U104">
        <f t="shared" si="113"/>
        <v>2.6000000000000467E-3</v>
      </c>
      <c r="V104">
        <f>V101</f>
        <v>0.99739999999999995</v>
      </c>
      <c r="W104">
        <f>W101</f>
        <v>0.74</v>
      </c>
      <c r="X104">
        <f t="shared" si="98"/>
        <v>4.7000000000000002E-3</v>
      </c>
      <c r="Y104">
        <f t="shared" si="99"/>
        <v>0</v>
      </c>
      <c r="Z104">
        <v>0</v>
      </c>
      <c r="AA104">
        <f t="shared" si="114"/>
        <v>0</v>
      </c>
      <c r="AB104">
        <f t="shared" si="122"/>
        <v>1.3</v>
      </c>
      <c r="AC104">
        <f t="shared" si="100"/>
        <v>1</v>
      </c>
      <c r="AD104">
        <f t="shared" si="101"/>
        <v>0.5948500000000001</v>
      </c>
      <c r="AF104">
        <v>0.9</v>
      </c>
      <c r="AG104">
        <f t="shared" si="115"/>
        <v>0.80210130091638532</v>
      </c>
      <c r="AH104">
        <f t="shared" si="102"/>
        <v>1.2959122541335131</v>
      </c>
      <c r="AI104">
        <f t="shared" si="116"/>
        <v>1.0394529049139762</v>
      </c>
      <c r="AJ104">
        <f t="shared" si="103"/>
        <v>0.20789058098279525</v>
      </c>
      <c r="AK104">
        <f t="shared" si="104"/>
        <v>0.08</v>
      </c>
      <c r="AL104">
        <f t="shared" si="105"/>
        <v>0.27883518229866955</v>
      </c>
      <c r="AM104">
        <f t="shared" si="106"/>
        <v>0.19</v>
      </c>
      <c r="AN104">
        <f t="shared" si="107"/>
        <v>0.6784</v>
      </c>
      <c r="AO104">
        <f t="shared" si="108"/>
        <v>6.9149983101164588E-5</v>
      </c>
      <c r="AP104">
        <f t="shared" si="109"/>
        <v>1.6848228055196026E-4</v>
      </c>
      <c r="AQ104">
        <f t="shared" si="117"/>
        <v>2.3763226365312485E-4</v>
      </c>
      <c r="AR104">
        <f t="shared" si="110"/>
        <v>1.7347155246678114</v>
      </c>
      <c r="BA104">
        <f>BA101</f>
        <v>20</v>
      </c>
      <c r="BC104">
        <f t="shared" si="118"/>
        <v>0</v>
      </c>
      <c r="BD104">
        <f>BD101</f>
        <v>4.3835616438356165E-2</v>
      </c>
      <c r="BE104">
        <f t="shared" si="111"/>
        <v>0</v>
      </c>
      <c r="BF104">
        <v>60</v>
      </c>
      <c r="BG104">
        <f t="shared" si="119"/>
        <v>0.91666666666666663</v>
      </c>
      <c r="BH104">
        <f t="shared" si="123"/>
        <v>5.8915068493150683E-3</v>
      </c>
      <c r="BI104">
        <f t="shared" si="112"/>
        <v>88</v>
      </c>
      <c r="BJ104">
        <f t="shared" si="120"/>
        <v>2.737098610793217E-2</v>
      </c>
      <c r="BK104">
        <f t="shared" si="121"/>
        <v>199.80819858790485</v>
      </c>
      <c r="BM104" s="28"/>
    </row>
    <row r="105" spans="1:7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97"/>
        <v>91.25</v>
      </c>
      <c r="N105">
        <v>0.11</v>
      </c>
      <c r="P105">
        <v>0.16</v>
      </c>
      <c r="R105">
        <v>0.7</v>
      </c>
      <c r="T105">
        <v>40</v>
      </c>
      <c r="U105">
        <f t="shared" si="113"/>
        <v>2.6000000000000467E-3</v>
      </c>
      <c r="V105">
        <f>V101</f>
        <v>0.99739999999999995</v>
      </c>
      <c r="W105">
        <f>W101</f>
        <v>0.74</v>
      </c>
      <c r="X105">
        <f t="shared" si="98"/>
        <v>4.7000000000000002E-3</v>
      </c>
      <c r="Y105">
        <f t="shared" si="99"/>
        <v>0</v>
      </c>
      <c r="Z105">
        <v>1</v>
      </c>
      <c r="AA105">
        <f t="shared" si="114"/>
        <v>1.6</v>
      </c>
      <c r="AB105">
        <f t="shared" si="122"/>
        <v>1.3</v>
      </c>
      <c r="AC105">
        <f t="shared" si="100"/>
        <v>1</v>
      </c>
      <c r="AD105">
        <f t="shared" si="101"/>
        <v>0.55510000000000004</v>
      </c>
      <c r="AF105">
        <v>4</v>
      </c>
      <c r="AG105">
        <f t="shared" si="115"/>
        <v>0.99999999999998734</v>
      </c>
      <c r="AH105">
        <f t="shared" si="102"/>
        <v>0.88114358489687972</v>
      </c>
      <c r="AI105">
        <f t="shared" si="116"/>
        <v>0.88114358489686861</v>
      </c>
      <c r="AJ105">
        <f t="shared" si="103"/>
        <v>0.21298297358349899</v>
      </c>
      <c r="AK105">
        <f t="shared" si="104"/>
        <v>0.08</v>
      </c>
      <c r="AL105">
        <f t="shared" si="105"/>
        <v>0.27176766526467627</v>
      </c>
      <c r="AM105">
        <f t="shared" si="106"/>
        <v>0.19</v>
      </c>
      <c r="AN105">
        <f t="shared" si="107"/>
        <v>0.6784</v>
      </c>
      <c r="AO105">
        <f t="shared" si="108"/>
        <v>6.739726782528401E-5</v>
      </c>
      <c r="AP105">
        <f t="shared" si="109"/>
        <v>1.6421183168711234E-4</v>
      </c>
      <c r="AQ105">
        <f t="shared" si="117"/>
        <v>2.3160909951239634E-4</v>
      </c>
      <c r="AR105">
        <f t="shared" si="110"/>
        <v>4.2268660661012332</v>
      </c>
      <c r="BA105">
        <v>15</v>
      </c>
      <c r="BB105">
        <v>0.85</v>
      </c>
      <c r="BC105">
        <f t="shared" si="118"/>
        <v>0</v>
      </c>
      <c r="BD105">
        <f t="shared" ref="BD105:BD121" si="124">(BA105 * BB105) / 365</f>
        <v>3.4931506849315071E-2</v>
      </c>
      <c r="BE105">
        <f t="shared" si="111"/>
        <v>0.1012</v>
      </c>
      <c r="BF105">
        <v>66</v>
      </c>
      <c r="BG105">
        <f t="shared" si="119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 t="shared" si="112"/>
        <v>64</v>
      </c>
      <c r="BJ105">
        <f t="shared" si="120"/>
        <v>2.7707801428519394E-2</v>
      </c>
      <c r="BK105">
        <f t="shared" si="121"/>
        <v>505.66737607047895</v>
      </c>
      <c r="BM105" s="28"/>
    </row>
    <row r="106" spans="1:7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97"/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113"/>
        <v>2.6000000000000467E-3</v>
      </c>
      <c r="V106">
        <f>V101</f>
        <v>0.99739999999999995</v>
      </c>
      <c r="W106">
        <f>W101</f>
        <v>0.74</v>
      </c>
      <c r="X106">
        <f t="shared" si="98"/>
        <v>4.7000000000000002E-3</v>
      </c>
      <c r="Y106">
        <f t="shared" si="99"/>
        <v>0</v>
      </c>
      <c r="Z106">
        <v>0</v>
      </c>
      <c r="AA106">
        <f t="shared" si="114"/>
        <v>0</v>
      </c>
      <c r="AB106">
        <f t="shared" si="122"/>
        <v>1.3</v>
      </c>
      <c r="AC106">
        <f t="shared" si="100"/>
        <v>1</v>
      </c>
      <c r="AD106">
        <f t="shared" si="101"/>
        <v>0.43585000000000007</v>
      </c>
      <c r="AF106">
        <v>2.5</v>
      </c>
      <c r="AG106">
        <f t="shared" si="115"/>
        <v>0.99999627334682795</v>
      </c>
      <c r="AH106">
        <f t="shared" si="102"/>
        <v>0.77226516609487061</v>
      </c>
      <c r="AI106">
        <f t="shared" si="116"/>
        <v>0.77226228813043973</v>
      </c>
      <c r="AJ106">
        <f t="shared" si="103"/>
        <v>5.4058360169130786E-2</v>
      </c>
      <c r="AK106">
        <f t="shared" si="104"/>
        <v>0.08</v>
      </c>
      <c r="AL106">
        <f t="shared" si="105"/>
        <v>0.34166370401940144</v>
      </c>
      <c r="AM106">
        <f t="shared" si="106"/>
        <v>0.19</v>
      </c>
      <c r="AN106">
        <f t="shared" si="107"/>
        <v>0.6784</v>
      </c>
      <c r="AO106">
        <f t="shared" si="108"/>
        <v>8.4731199142281413E-5</v>
      </c>
      <c r="AP106">
        <f t="shared" si="109"/>
        <v>2.0644554091226448E-4</v>
      </c>
      <c r="AQ106">
        <f t="shared" si="117"/>
        <v>2.9117674005454589E-4</v>
      </c>
      <c r="AR106">
        <f t="shared" si="110"/>
        <v>5.5796742812952358</v>
      </c>
      <c r="BA106">
        <f>BA105</f>
        <v>15</v>
      </c>
      <c r="BC106">
        <f t="shared" si="118"/>
        <v>0</v>
      </c>
      <c r="BD106">
        <f>BD105</f>
        <v>3.4931506849315071E-2</v>
      </c>
      <c r="BE106">
        <f t="shared" si="111"/>
        <v>4.6000000000000006E-2</v>
      </c>
      <c r="BF106">
        <v>67</v>
      </c>
      <c r="BG106">
        <f t="shared" si="119"/>
        <v>0.67164179104477617</v>
      </c>
      <c r="BH106">
        <f t="shared" ref="BH106:BH124" si="125">((0.045 * BC106) + (BD106 * 0.84)  + (BE106 * ((212 - 4 * ((BE106 * 1000)/(4* (BF106^0.75)) - 1)) - ((140 - 4 * (((BE106 * 1000)/(4 * BF106 ^0.75)) - 1))/(1 + EXP(-6 * (BG106 - 0.4)))))) * 10^-3) / 6.25</f>
        <v>5.3960013628706312E-3</v>
      </c>
      <c r="BI106">
        <f t="shared" si="112"/>
        <v>72</v>
      </c>
      <c r="BJ106">
        <f t="shared" si="120"/>
        <v>3.2533362641902945E-3</v>
      </c>
      <c r="BK106">
        <f t="shared" si="121"/>
        <v>62.342056162546513</v>
      </c>
      <c r="BM106" s="28"/>
    </row>
    <row r="107" spans="1:7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97"/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113"/>
        <v>2.6000000000000467E-3</v>
      </c>
      <c r="V107">
        <f>V101</f>
        <v>0.99739999999999995</v>
      </c>
      <c r="W107">
        <f>W101</f>
        <v>0.74</v>
      </c>
      <c r="X107">
        <f t="shared" si="98"/>
        <v>4.7000000000000002E-3</v>
      </c>
      <c r="Y107">
        <f t="shared" si="99"/>
        <v>0</v>
      </c>
      <c r="Z107">
        <v>0</v>
      </c>
      <c r="AA107">
        <f t="shared" si="114"/>
        <v>0</v>
      </c>
      <c r="AB107">
        <f t="shared" si="122"/>
        <v>1.3</v>
      </c>
      <c r="AC107">
        <f t="shared" si="100"/>
        <v>1</v>
      </c>
      <c r="AD107">
        <f t="shared" si="101"/>
        <v>0.43585000000000007</v>
      </c>
      <c r="AF107">
        <v>0.7</v>
      </c>
      <c r="AG107">
        <f t="shared" si="115"/>
        <v>0.62468890114860043</v>
      </c>
      <c r="AH107">
        <f t="shared" si="102"/>
        <v>0.34778224329970253</v>
      </c>
      <c r="AI107">
        <f t="shared" si="116"/>
        <v>0.21725570740588637</v>
      </c>
      <c r="AJ107">
        <f t="shared" si="103"/>
        <v>1.9553013666529773E-2</v>
      </c>
      <c r="AK107">
        <f t="shared" si="104"/>
        <v>0.08</v>
      </c>
      <c r="AL107">
        <f t="shared" si="105"/>
        <v>9.1680824426372848E-2</v>
      </c>
      <c r="AM107">
        <f t="shared" si="106"/>
        <v>0.19</v>
      </c>
      <c r="AN107">
        <f t="shared" si="107"/>
        <v>0.6784</v>
      </c>
      <c r="AO107">
        <f t="shared" si="108"/>
        <v>2.2736468933084021E-5</v>
      </c>
      <c r="AP107">
        <f t="shared" si="109"/>
        <v>5.5396862960047147E-5</v>
      </c>
      <c r="AQ107">
        <f t="shared" si="117"/>
        <v>7.8133331893131175E-5</v>
      </c>
      <c r="AR107">
        <f t="shared" si="110"/>
        <v>1.2120433109921973</v>
      </c>
      <c r="BA107">
        <f>BA105</f>
        <v>15</v>
      </c>
      <c r="BC107">
        <f t="shared" si="118"/>
        <v>0</v>
      </c>
      <c r="BD107">
        <f>BD105</f>
        <v>3.4931506849315071E-2</v>
      </c>
      <c r="BE107">
        <f t="shared" si="111"/>
        <v>0.1472</v>
      </c>
      <c r="BF107">
        <v>68</v>
      </c>
      <c r="BG107">
        <f t="shared" si="119"/>
        <v>0.29411764705882354</v>
      </c>
      <c r="BH107">
        <f t="shared" si="125"/>
        <v>8.5118137484295666E-3</v>
      </c>
      <c r="BI107">
        <f t="shared" si="112"/>
        <v>32</v>
      </c>
      <c r="BJ107">
        <f t="shared" si="120"/>
        <v>-5.3833315617848026E-3</v>
      </c>
      <c r="BK107">
        <f t="shared" si="121"/>
        <v>-83.508930852186751</v>
      </c>
      <c r="BM107" s="28"/>
    </row>
    <row r="108" spans="1:7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97"/>
        <v>91.25</v>
      </c>
      <c r="N108">
        <v>0.16</v>
      </c>
      <c r="P108">
        <v>0.2</v>
      </c>
      <c r="R108">
        <v>0.75</v>
      </c>
      <c r="T108">
        <v>30</v>
      </c>
      <c r="U108">
        <f t="shared" si="113"/>
        <v>2.6000000000000467E-3</v>
      </c>
      <c r="V108">
        <f>V101</f>
        <v>0.99739999999999995</v>
      </c>
      <c r="W108">
        <f>W101</f>
        <v>0.74</v>
      </c>
      <c r="X108">
        <f t="shared" si="98"/>
        <v>4.7000000000000002E-3</v>
      </c>
      <c r="Y108">
        <f t="shared" si="99"/>
        <v>0</v>
      </c>
      <c r="Z108">
        <v>0</v>
      </c>
      <c r="AA108">
        <f t="shared" si="114"/>
        <v>0</v>
      </c>
      <c r="AB108">
        <f t="shared" si="122"/>
        <v>1.3</v>
      </c>
      <c r="AC108">
        <f t="shared" si="100"/>
        <v>1</v>
      </c>
      <c r="AD108">
        <f t="shared" si="101"/>
        <v>0.5948500000000001</v>
      </c>
      <c r="AF108">
        <v>0.9</v>
      </c>
      <c r="AG108">
        <f t="shared" si="115"/>
        <v>0.80210130091638532</v>
      </c>
      <c r="AH108">
        <f t="shared" si="102"/>
        <v>0.72413348053480053</v>
      </c>
      <c r="AI108">
        <f t="shared" si="116"/>
        <v>0.58082840677407355</v>
      </c>
      <c r="AJ108">
        <f t="shared" si="103"/>
        <v>0.11616568135481471</v>
      </c>
      <c r="AK108">
        <f t="shared" si="104"/>
        <v>0.08</v>
      </c>
      <c r="AL108">
        <f t="shared" si="105"/>
        <v>0.146005441840695</v>
      </c>
      <c r="AM108">
        <f t="shared" si="106"/>
        <v>0.19</v>
      </c>
      <c r="AN108">
        <f t="shared" si="107"/>
        <v>0.6784</v>
      </c>
      <c r="AO108">
        <f t="shared" si="108"/>
        <v>3.6208751538203234E-5</v>
      </c>
      <c r="AP108">
        <f t="shared" si="109"/>
        <v>8.8221757425028738E-5</v>
      </c>
      <c r="AQ108">
        <f t="shared" si="117"/>
        <v>1.2443050896323197E-4</v>
      </c>
      <c r="AR108">
        <f t="shared" si="110"/>
        <v>2.2708567885789832</v>
      </c>
      <c r="BA108">
        <f>BA105</f>
        <v>15</v>
      </c>
      <c r="BC108">
        <f t="shared" si="118"/>
        <v>0</v>
      </c>
      <c r="BD108">
        <f>BD105</f>
        <v>3.4931506849315071E-2</v>
      </c>
      <c r="BE108">
        <f t="shared" si="111"/>
        <v>0.1472</v>
      </c>
      <c r="BF108">
        <v>69</v>
      </c>
      <c r="BG108">
        <f t="shared" si="119"/>
        <v>0.43478260869565216</v>
      </c>
      <c r="BH108">
        <f t="shared" si="125"/>
        <v>7.845097730532458E-3</v>
      </c>
      <c r="BI108">
        <f t="shared" si="112"/>
        <v>48</v>
      </c>
      <c r="BJ108">
        <f t="shared" si="120"/>
        <v>1.0741411286237896E-2</v>
      </c>
      <c r="BK108">
        <f t="shared" si="121"/>
        <v>196.03075597384162</v>
      </c>
      <c r="BM108" s="28"/>
    </row>
    <row r="109" spans="1:7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97"/>
        <v>91.25</v>
      </c>
      <c r="N109">
        <v>0</v>
      </c>
      <c r="P109">
        <v>0.16</v>
      </c>
      <c r="R109">
        <v>0.7</v>
      </c>
      <c r="T109">
        <v>52</v>
      </c>
      <c r="U109">
        <f t="shared" si="113"/>
        <v>2.6000000000000467E-3</v>
      </c>
      <c r="V109">
        <f>V101</f>
        <v>0.99739999999999995</v>
      </c>
      <c r="W109">
        <f>W101</f>
        <v>0.74</v>
      </c>
      <c r="X109">
        <f t="shared" si="98"/>
        <v>4.7000000000000002E-3</v>
      </c>
      <c r="Y109">
        <f t="shared" si="99"/>
        <v>0.874</v>
      </c>
      <c r="Z109">
        <v>0</v>
      </c>
      <c r="AA109">
        <f t="shared" si="114"/>
        <v>0</v>
      </c>
      <c r="AB109">
        <f t="shared" si="122"/>
        <v>1.3</v>
      </c>
      <c r="AC109">
        <f t="shared" si="100"/>
        <v>1.2622</v>
      </c>
      <c r="AD109">
        <f t="shared" si="101"/>
        <v>0.55510000000000004</v>
      </c>
      <c r="AF109">
        <v>4</v>
      </c>
      <c r="AG109">
        <f t="shared" si="115"/>
        <v>0.99999999999998734</v>
      </c>
      <c r="AH109">
        <f t="shared" si="102"/>
        <v>1.1441022143482507</v>
      </c>
      <c r="AI109">
        <f t="shared" si="116"/>
        <v>1.4440858149503437</v>
      </c>
      <c r="AJ109">
        <f t="shared" si="103"/>
        <v>0.23105373039205501</v>
      </c>
      <c r="AK109">
        <f t="shared" si="104"/>
        <v>0.08</v>
      </c>
      <c r="AL109">
        <f t="shared" si="105"/>
        <v>0.4753098102729163</v>
      </c>
      <c r="AM109">
        <f t="shared" si="106"/>
        <v>0.19</v>
      </c>
      <c r="AN109">
        <f t="shared" si="107"/>
        <v>0.6784</v>
      </c>
      <c r="AO109">
        <f t="shared" si="108"/>
        <v>1.1787488607870249E-4</v>
      </c>
      <c r="AP109">
        <f t="shared" si="109"/>
        <v>2.8719934171622143E-4</v>
      </c>
      <c r="AQ109">
        <f t="shared" si="117"/>
        <v>4.0507422779492393E-4</v>
      </c>
      <c r="AR109">
        <f t="shared" si="110"/>
        <v>3.6963023286286809</v>
      </c>
      <c r="BA109">
        <v>18</v>
      </c>
      <c r="BB109">
        <v>0.8</v>
      </c>
      <c r="BC109">
        <f t="shared" si="118"/>
        <v>1.3984000000000001</v>
      </c>
      <c r="BD109">
        <f t="shared" ref="BD109:BD124" si="126">(BA109 * BB109) / 365</f>
        <v>3.9452054794520547E-2</v>
      </c>
      <c r="BE109">
        <f t="shared" si="111"/>
        <v>0</v>
      </c>
      <c r="BF109">
        <v>60</v>
      </c>
      <c r="BG109">
        <f t="shared" si="119"/>
        <v>0.8666666666666667</v>
      </c>
      <c r="BH109">
        <f t="shared" si="125"/>
        <v>1.5370836164383561E-2</v>
      </c>
      <c r="BI109">
        <f t="shared" si="112"/>
        <v>83.2</v>
      </c>
      <c r="BJ109">
        <f t="shared" si="120"/>
        <v>2.1597760698345243E-2</v>
      </c>
      <c r="BK109">
        <f t="shared" si="121"/>
        <v>197.07956637240034</v>
      </c>
      <c r="BM109" s="28"/>
    </row>
    <row r="110" spans="1:7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97"/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113"/>
        <v>2.6000000000000467E-3</v>
      </c>
      <c r="V110">
        <f>V101</f>
        <v>0.99739999999999995</v>
      </c>
      <c r="W110">
        <f>W101</f>
        <v>0.74</v>
      </c>
      <c r="X110">
        <f t="shared" si="98"/>
        <v>4.7000000000000002E-3</v>
      </c>
      <c r="Y110">
        <f t="shared" si="99"/>
        <v>0</v>
      </c>
      <c r="Z110">
        <v>0</v>
      </c>
      <c r="AA110">
        <f t="shared" si="114"/>
        <v>0</v>
      </c>
      <c r="AB110">
        <f t="shared" si="122"/>
        <v>1.3</v>
      </c>
      <c r="AC110">
        <f t="shared" si="100"/>
        <v>1</v>
      </c>
      <c r="AD110">
        <f t="shared" si="101"/>
        <v>0.43585000000000007</v>
      </c>
      <c r="AF110">
        <v>2.5</v>
      </c>
      <c r="AG110">
        <f t="shared" si="115"/>
        <v>0.99999627334682795</v>
      </c>
      <c r="AH110">
        <f t="shared" si="102"/>
        <v>0.90232933809152693</v>
      </c>
      <c r="AI110">
        <f t="shared" si="116"/>
        <v>0.90232597542303694</v>
      </c>
      <c r="AJ110">
        <f t="shared" si="103"/>
        <v>6.3162818279612593E-2</v>
      </c>
      <c r="AK110">
        <f t="shared" si="104"/>
        <v>0.08</v>
      </c>
      <c r="AL110">
        <f t="shared" si="105"/>
        <v>0.40352522553110864</v>
      </c>
      <c r="AM110">
        <f t="shared" si="106"/>
        <v>0.19</v>
      </c>
      <c r="AN110">
        <f t="shared" si="107"/>
        <v>0.6784</v>
      </c>
      <c r="AO110">
        <f t="shared" si="108"/>
        <v>1.0007260309239297E-4</v>
      </c>
      <c r="AP110">
        <f t="shared" si="109"/>
        <v>2.4382450484638747E-4</v>
      </c>
      <c r="AQ110">
        <f t="shared" si="117"/>
        <v>3.4389710793878044E-4</v>
      </c>
      <c r="AR110">
        <f t="shared" si="110"/>
        <v>4.3932855539179201</v>
      </c>
      <c r="BA110">
        <f>BA109</f>
        <v>18</v>
      </c>
      <c r="BC110">
        <f t="shared" si="118"/>
        <v>0</v>
      </c>
      <c r="BD110">
        <f>BD109</f>
        <v>3.9452054794520547E-2</v>
      </c>
      <c r="BE110">
        <f t="shared" si="111"/>
        <v>0</v>
      </c>
      <c r="BF110">
        <v>60</v>
      </c>
      <c r="BG110">
        <f t="shared" si="119"/>
        <v>0.8666666666666667</v>
      </c>
      <c r="BH110">
        <f t="shared" si="125"/>
        <v>5.3023561643835617E-3</v>
      </c>
      <c r="BI110">
        <f t="shared" si="112"/>
        <v>83.2</v>
      </c>
      <c r="BJ110">
        <f t="shared" si="120"/>
        <v>4.8036947603544537E-3</v>
      </c>
      <c r="BK110">
        <f t="shared" si="121"/>
        <v>61.367200563528144</v>
      </c>
      <c r="BM110" s="28"/>
    </row>
    <row r="111" spans="1:7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97"/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113"/>
        <v>2.6000000000000467E-3</v>
      </c>
      <c r="V111">
        <f>V101</f>
        <v>0.99739999999999995</v>
      </c>
      <c r="W111">
        <f>W101</f>
        <v>0.74</v>
      </c>
      <c r="X111">
        <f t="shared" si="98"/>
        <v>4.7000000000000002E-3</v>
      </c>
      <c r="Y111">
        <f t="shared" si="99"/>
        <v>0</v>
      </c>
      <c r="Z111">
        <v>0</v>
      </c>
      <c r="AA111">
        <f t="shared" si="114"/>
        <v>0</v>
      </c>
      <c r="AB111">
        <f t="shared" si="122"/>
        <v>1.3</v>
      </c>
      <c r="AC111">
        <f t="shared" si="100"/>
        <v>1</v>
      </c>
      <c r="AD111">
        <f t="shared" si="101"/>
        <v>0.43585000000000007</v>
      </c>
      <c r="AF111">
        <v>0.7</v>
      </c>
      <c r="AG111">
        <f t="shared" si="115"/>
        <v>0.62468890114860043</v>
      </c>
      <c r="AH111">
        <f t="shared" si="102"/>
        <v>0.90232933809152693</v>
      </c>
      <c r="AI111">
        <f t="shared" si="116"/>
        <v>0.56367512268653996</v>
      </c>
      <c r="AJ111">
        <f t="shared" si="103"/>
        <v>5.0730761041788593E-2</v>
      </c>
      <c r="AK111">
        <f t="shared" si="104"/>
        <v>0.08</v>
      </c>
      <c r="AL111">
        <f t="shared" si="105"/>
        <v>0.24505395168906077</v>
      </c>
      <c r="AM111">
        <f t="shared" si="106"/>
        <v>0.19</v>
      </c>
      <c r="AN111">
        <f t="shared" si="107"/>
        <v>0.6784</v>
      </c>
      <c r="AO111">
        <f t="shared" si="108"/>
        <v>6.0772376277902046E-5</v>
      </c>
      <c r="AP111">
        <f t="shared" si="109"/>
        <v>1.4807044182329446E-4</v>
      </c>
      <c r="AQ111">
        <f t="shared" si="117"/>
        <v>2.088428181011965E-4</v>
      </c>
      <c r="AR111">
        <f t="shared" si="110"/>
        <v>2.5726824654841147</v>
      </c>
      <c r="BA111">
        <f>BA109</f>
        <v>18</v>
      </c>
      <c r="BC111">
        <f t="shared" si="118"/>
        <v>0</v>
      </c>
      <c r="BD111">
        <f>BD109</f>
        <v>3.9452054794520547E-2</v>
      </c>
      <c r="BE111">
        <f t="shared" si="111"/>
        <v>0</v>
      </c>
      <c r="BF111">
        <v>60</v>
      </c>
      <c r="BG111">
        <f t="shared" si="119"/>
        <v>0.8666666666666667</v>
      </c>
      <c r="BH111">
        <f t="shared" si="125"/>
        <v>5.3023561643835617E-3</v>
      </c>
      <c r="BI111">
        <f t="shared" si="112"/>
        <v>83.2</v>
      </c>
      <c r="BJ111">
        <f t="shared" si="120"/>
        <v>2.8145656023026138E-3</v>
      </c>
      <c r="BK111">
        <f t="shared" si="121"/>
        <v>34.671930013365319</v>
      </c>
      <c r="BM111" s="28"/>
    </row>
    <row r="112" spans="1:7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97"/>
        <v>91.25</v>
      </c>
      <c r="N112">
        <v>0</v>
      </c>
      <c r="P112">
        <v>0.2</v>
      </c>
      <c r="R112">
        <v>0.75</v>
      </c>
      <c r="T112">
        <v>52</v>
      </c>
      <c r="U112">
        <f t="shared" si="113"/>
        <v>2.6000000000000467E-3</v>
      </c>
      <c r="V112">
        <f>V101</f>
        <v>0.99739999999999995</v>
      </c>
      <c r="W112">
        <f>W101</f>
        <v>0.74</v>
      </c>
      <c r="X112">
        <f t="shared" si="98"/>
        <v>4.7000000000000002E-3</v>
      </c>
      <c r="Y112">
        <f t="shared" si="99"/>
        <v>0</v>
      </c>
      <c r="Z112">
        <v>0</v>
      </c>
      <c r="AA112">
        <f t="shared" si="114"/>
        <v>0</v>
      </c>
      <c r="AB112">
        <f t="shared" si="122"/>
        <v>1.3</v>
      </c>
      <c r="AC112">
        <f t="shared" si="100"/>
        <v>1</v>
      </c>
      <c r="AD112">
        <f t="shared" si="101"/>
        <v>0.5948500000000001</v>
      </c>
      <c r="AF112">
        <v>0.9</v>
      </c>
      <c r="AG112">
        <f t="shared" si="115"/>
        <v>0.80210130091638532</v>
      </c>
      <c r="AH112">
        <f t="shared" si="102"/>
        <v>1.224693173100492</v>
      </c>
      <c r="AI112">
        <f t="shared" si="116"/>
        <v>0.98232798736732052</v>
      </c>
      <c r="AJ112">
        <f t="shared" si="103"/>
        <v>0.19646559747346412</v>
      </c>
      <c r="AK112">
        <f t="shared" si="104"/>
        <v>0.08</v>
      </c>
      <c r="AL112">
        <f t="shared" si="105"/>
        <v>0.26144626960584055</v>
      </c>
      <c r="AM112">
        <f t="shared" si="106"/>
        <v>0.19</v>
      </c>
      <c r="AN112">
        <f t="shared" si="107"/>
        <v>0.6784</v>
      </c>
      <c r="AO112">
        <f t="shared" si="108"/>
        <v>6.4837603978329307E-5</v>
      </c>
      <c r="AP112">
        <f t="shared" si="109"/>
        <v>1.5797527192179165E-4</v>
      </c>
      <c r="AQ112">
        <f t="shared" si="117"/>
        <v>2.2281287590012095E-4</v>
      </c>
      <c r="AR112">
        <f t="shared" si="110"/>
        <v>2.6431177403651849</v>
      </c>
      <c r="BA112">
        <f>BA109</f>
        <v>18</v>
      </c>
      <c r="BC112">
        <f t="shared" si="118"/>
        <v>0</v>
      </c>
      <c r="BD112">
        <f>BD109</f>
        <v>3.9452054794520547E-2</v>
      </c>
      <c r="BE112">
        <f t="shared" si="111"/>
        <v>0</v>
      </c>
      <c r="BF112">
        <v>60</v>
      </c>
      <c r="BG112">
        <f t="shared" si="119"/>
        <v>0.8666666666666667</v>
      </c>
      <c r="BH112">
        <f t="shared" si="125"/>
        <v>5.3023561643835617E-3</v>
      </c>
      <c r="BI112">
        <f t="shared" si="112"/>
        <v>83.2</v>
      </c>
      <c r="BJ112">
        <f t="shared" si="120"/>
        <v>2.6132139431370695E-2</v>
      </c>
      <c r="BK112">
        <f t="shared" si="121"/>
        <v>309.9925040046349</v>
      </c>
      <c r="BM112" s="28"/>
    </row>
    <row r="113" spans="5:65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97"/>
        <v>91.25</v>
      </c>
      <c r="N113">
        <v>0</v>
      </c>
      <c r="P113">
        <v>0.16</v>
      </c>
      <c r="R113">
        <v>0.7</v>
      </c>
      <c r="T113">
        <v>55</v>
      </c>
      <c r="U113">
        <f t="shared" si="113"/>
        <v>2.6000000000000467E-3</v>
      </c>
      <c r="V113">
        <f>V101</f>
        <v>0.99739999999999995</v>
      </c>
      <c r="W113">
        <f>W101</f>
        <v>0.74</v>
      </c>
      <c r="X113">
        <f t="shared" si="98"/>
        <v>4.7000000000000002E-3</v>
      </c>
      <c r="Y113">
        <f t="shared" si="99"/>
        <v>0</v>
      </c>
      <c r="Z113">
        <v>0</v>
      </c>
      <c r="AA113">
        <f t="shared" si="114"/>
        <v>0</v>
      </c>
      <c r="AB113">
        <f t="shared" si="122"/>
        <v>1.3</v>
      </c>
      <c r="AC113">
        <f t="shared" si="100"/>
        <v>1</v>
      </c>
      <c r="AD113">
        <f t="shared" si="101"/>
        <v>0.55510000000000004</v>
      </c>
      <c r="AF113">
        <v>4</v>
      </c>
      <c r="AG113">
        <f t="shared" si="115"/>
        <v>0.99999999999998734</v>
      </c>
      <c r="AH113">
        <f t="shared" si="102"/>
        <v>1.2118587484135388</v>
      </c>
      <c r="AI113">
        <f t="shared" si="116"/>
        <v>1.2118587484135235</v>
      </c>
      <c r="AJ113">
        <f t="shared" si="103"/>
        <v>0.19389739974616377</v>
      </c>
      <c r="AK113">
        <f t="shared" si="104"/>
        <v>0.08</v>
      </c>
      <c r="AL113">
        <f t="shared" si="105"/>
        <v>0.38851755440284774</v>
      </c>
      <c r="AM113">
        <f t="shared" si="106"/>
        <v>0.19</v>
      </c>
      <c r="AN113">
        <f t="shared" si="107"/>
        <v>0.6784</v>
      </c>
      <c r="AO113">
        <f t="shared" si="108"/>
        <v>9.6350762124005137E-5</v>
      </c>
      <c r="AP113">
        <f t="shared" si="109"/>
        <v>2.3475632831063448E-4</v>
      </c>
      <c r="AQ113">
        <f t="shared" si="117"/>
        <v>3.3110709043463962E-4</v>
      </c>
      <c r="AR113">
        <f t="shared" si="110"/>
        <v>6.0427044004321733</v>
      </c>
      <c r="BA113">
        <v>20</v>
      </c>
      <c r="BB113">
        <v>0.8</v>
      </c>
      <c r="BC113">
        <f t="shared" si="118"/>
        <v>0</v>
      </c>
      <c r="BD113">
        <f t="shared" ref="BD113:BD124" si="127">(BA113 * BB113) / 365</f>
        <v>4.3835616438356165E-2</v>
      </c>
      <c r="BE113">
        <f t="shared" si="111"/>
        <v>0</v>
      </c>
      <c r="BF113">
        <v>60</v>
      </c>
      <c r="BG113">
        <f t="shared" si="119"/>
        <v>0.91666666666666663</v>
      </c>
      <c r="BH113">
        <f t="shared" si="125"/>
        <v>5.8915068493150683E-3</v>
      </c>
      <c r="BI113">
        <f t="shared" si="112"/>
        <v>88</v>
      </c>
      <c r="BJ113">
        <f t="shared" si="120"/>
        <v>2.5132077110071135E-2</v>
      </c>
      <c r="BK113">
        <f t="shared" si="121"/>
        <v>458.66040725879822</v>
      </c>
      <c r="BM113" s="28"/>
    </row>
    <row r="114" spans="5:65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97"/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113"/>
        <v>2.6000000000000467E-3</v>
      </c>
      <c r="V114">
        <f>V101</f>
        <v>0.99739999999999995</v>
      </c>
      <c r="W114">
        <f>W101</f>
        <v>0.74</v>
      </c>
      <c r="X114">
        <f t="shared" si="98"/>
        <v>4.7000000000000002E-3</v>
      </c>
      <c r="Y114">
        <f t="shared" si="99"/>
        <v>0</v>
      </c>
      <c r="Z114">
        <v>0</v>
      </c>
      <c r="AA114">
        <f t="shared" si="114"/>
        <v>0</v>
      </c>
      <c r="AB114">
        <f t="shared" si="122"/>
        <v>1.3</v>
      </c>
      <c r="AC114">
        <f t="shared" si="100"/>
        <v>1</v>
      </c>
      <c r="AD114">
        <f t="shared" si="101"/>
        <v>0.43585000000000007</v>
      </c>
      <c r="AF114">
        <v>2.5</v>
      </c>
      <c r="AG114">
        <f t="shared" si="115"/>
        <v>0.99999627334682795</v>
      </c>
      <c r="AH114">
        <f t="shared" si="102"/>
        <v>0.95969823125361531</v>
      </c>
      <c r="AI114">
        <f t="shared" si="116"/>
        <v>0.95969465479115756</v>
      </c>
      <c r="AJ114">
        <f t="shared" si="103"/>
        <v>6.7178625835381034E-2</v>
      </c>
      <c r="AK114">
        <f t="shared" si="104"/>
        <v>0.08</v>
      </c>
      <c r="AL114">
        <f t="shared" si="105"/>
        <v>0.43120689604353685</v>
      </c>
      <c r="AM114">
        <f t="shared" si="106"/>
        <v>0.19</v>
      </c>
      <c r="AN114">
        <f t="shared" si="107"/>
        <v>0.6784</v>
      </c>
      <c r="AO114">
        <f t="shared" si="108"/>
        <v>1.0693754399535288E-4</v>
      </c>
      <c r="AP114">
        <f t="shared" si="109"/>
        <v>2.6055076922584526E-4</v>
      </c>
      <c r="AQ114">
        <f t="shared" si="117"/>
        <v>3.6748831322119813E-4</v>
      </c>
      <c r="AR114">
        <f t="shared" si="110"/>
        <v>7.0419948021012093</v>
      </c>
      <c r="BA114">
        <f>BA113</f>
        <v>20</v>
      </c>
      <c r="BC114">
        <f t="shared" si="118"/>
        <v>0</v>
      </c>
      <c r="BD114">
        <f>BD113</f>
        <v>4.3835616438356165E-2</v>
      </c>
      <c r="BE114">
        <f t="shared" si="111"/>
        <v>0</v>
      </c>
      <c r="BF114">
        <v>60</v>
      </c>
      <c r="BG114">
        <f t="shared" si="119"/>
        <v>0.91666666666666663</v>
      </c>
      <c r="BH114">
        <f t="shared" si="125"/>
        <v>5.8915068493150683E-3</v>
      </c>
      <c r="BI114">
        <f t="shared" si="112"/>
        <v>88</v>
      </c>
      <c r="BJ114">
        <f t="shared" si="120"/>
        <v>4.8570732843458966E-3</v>
      </c>
      <c r="BK114">
        <f t="shared" si="121"/>
        <v>93.073666811278244</v>
      </c>
      <c r="BM114" s="28"/>
    </row>
    <row r="115" spans="5:65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97"/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113"/>
        <v>2.6000000000000467E-3</v>
      </c>
      <c r="V115">
        <f>V101</f>
        <v>0.99739999999999995</v>
      </c>
      <c r="W115">
        <f>W101</f>
        <v>0.74</v>
      </c>
      <c r="X115">
        <f t="shared" si="98"/>
        <v>4.7000000000000002E-3</v>
      </c>
      <c r="Y115">
        <f t="shared" si="99"/>
        <v>0</v>
      </c>
      <c r="Z115">
        <v>0</v>
      </c>
      <c r="AA115">
        <f t="shared" si="114"/>
        <v>0</v>
      </c>
      <c r="AB115">
        <f t="shared" si="122"/>
        <v>1.3</v>
      </c>
      <c r="AC115">
        <f t="shared" si="100"/>
        <v>1</v>
      </c>
      <c r="AD115">
        <f t="shared" si="101"/>
        <v>0.43585000000000007</v>
      </c>
      <c r="AF115">
        <v>0.7</v>
      </c>
      <c r="AG115">
        <f t="shared" si="115"/>
        <v>0.62468890114860043</v>
      </c>
      <c r="AH115">
        <f t="shared" si="102"/>
        <v>0.95969823125361531</v>
      </c>
      <c r="AI115">
        <f t="shared" si="116"/>
        <v>0.59951283351607632</v>
      </c>
      <c r="AJ115">
        <f t="shared" si="103"/>
        <v>5.3956155016446863E-2</v>
      </c>
      <c r="AK115">
        <f t="shared" si="104"/>
        <v>0.08</v>
      </c>
      <c r="AL115">
        <f t="shared" si="105"/>
        <v>0.26142480853751304</v>
      </c>
      <c r="AM115">
        <f t="shared" si="106"/>
        <v>0.19</v>
      </c>
      <c r="AN115">
        <f t="shared" si="107"/>
        <v>0.6784</v>
      </c>
      <c r="AO115">
        <f t="shared" si="108"/>
        <v>6.4832281721288623E-5</v>
      </c>
      <c r="AP115">
        <f t="shared" si="109"/>
        <v>1.5796230436975934E-4</v>
      </c>
      <c r="AQ115">
        <f t="shared" si="117"/>
        <v>2.2279458609104796E-4</v>
      </c>
      <c r="AR115">
        <f t="shared" si="110"/>
        <v>3.8627011363535444</v>
      </c>
      <c r="BA115">
        <f>BA113</f>
        <v>20</v>
      </c>
      <c r="BC115">
        <f t="shared" si="118"/>
        <v>0</v>
      </c>
      <c r="BD115">
        <f>BD113</f>
        <v>4.3835616438356165E-2</v>
      </c>
      <c r="BE115">
        <f t="shared" si="111"/>
        <v>0</v>
      </c>
      <c r="BF115">
        <v>60</v>
      </c>
      <c r="BG115">
        <f t="shared" si="119"/>
        <v>0.91666666666666663</v>
      </c>
      <c r="BH115">
        <f t="shared" si="125"/>
        <v>5.8915068493150683E-3</v>
      </c>
      <c r="BI115">
        <f t="shared" si="112"/>
        <v>88</v>
      </c>
      <c r="BJ115">
        <f t="shared" si="120"/>
        <v>2.7414779533164292E-3</v>
      </c>
      <c r="BK115">
        <f t="shared" si="121"/>
        <v>47.530374015623586</v>
      </c>
      <c r="BM115" s="28"/>
    </row>
    <row r="116" spans="5:65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97"/>
        <v>91.25</v>
      </c>
      <c r="N116">
        <v>0</v>
      </c>
      <c r="P116">
        <v>0.2</v>
      </c>
      <c r="R116">
        <v>0.75</v>
      </c>
      <c r="T116">
        <v>55</v>
      </c>
      <c r="U116">
        <f t="shared" si="113"/>
        <v>2.6000000000000467E-3</v>
      </c>
      <c r="V116">
        <f>V101</f>
        <v>0.99739999999999995</v>
      </c>
      <c r="W116">
        <f>W101</f>
        <v>0.74</v>
      </c>
      <c r="X116">
        <f t="shared" si="98"/>
        <v>4.7000000000000002E-3</v>
      </c>
      <c r="Y116">
        <f t="shared" si="99"/>
        <v>0</v>
      </c>
      <c r="Z116">
        <v>0</v>
      </c>
      <c r="AA116">
        <f t="shared" si="114"/>
        <v>0</v>
      </c>
      <c r="AB116">
        <f t="shared" si="122"/>
        <v>1.3</v>
      </c>
      <c r="AC116">
        <f t="shared" si="100"/>
        <v>1</v>
      </c>
      <c r="AD116">
        <f t="shared" si="101"/>
        <v>0.5948500000000001</v>
      </c>
      <c r="AF116">
        <v>0.9</v>
      </c>
      <c r="AG116">
        <f t="shared" si="115"/>
        <v>0.80210130091638532</v>
      </c>
      <c r="AH116">
        <f t="shared" si="102"/>
        <v>1.2959122541335131</v>
      </c>
      <c r="AI116">
        <f t="shared" si="116"/>
        <v>1.0394529049139762</v>
      </c>
      <c r="AJ116">
        <f t="shared" si="103"/>
        <v>0.20789058098279525</v>
      </c>
      <c r="AK116">
        <f t="shared" si="104"/>
        <v>0.08</v>
      </c>
      <c r="AL116">
        <f t="shared" si="105"/>
        <v>0.27883518229866955</v>
      </c>
      <c r="AM116">
        <f t="shared" si="106"/>
        <v>0.19</v>
      </c>
      <c r="AN116">
        <f t="shared" si="107"/>
        <v>0.6784</v>
      </c>
      <c r="AO116">
        <f t="shared" si="108"/>
        <v>6.9149983101164588E-5</v>
      </c>
      <c r="AP116">
        <f t="shared" si="109"/>
        <v>1.6848228055196026E-4</v>
      </c>
      <c r="AQ116">
        <f t="shared" si="117"/>
        <v>2.3763226365312485E-4</v>
      </c>
      <c r="AR116">
        <f t="shared" si="110"/>
        <v>3.9031099305025756</v>
      </c>
      <c r="BA116">
        <f>BA113</f>
        <v>20</v>
      </c>
      <c r="BC116">
        <f t="shared" si="118"/>
        <v>0</v>
      </c>
      <c r="BD116">
        <f>BD113</f>
        <v>4.3835616438356165E-2</v>
      </c>
      <c r="BE116">
        <f t="shared" si="111"/>
        <v>0</v>
      </c>
      <c r="BF116">
        <v>60</v>
      </c>
      <c r="BG116">
        <f t="shared" si="119"/>
        <v>0.91666666666666663</v>
      </c>
      <c r="BH116">
        <f t="shared" si="125"/>
        <v>5.8915068493150683E-3</v>
      </c>
      <c r="BI116">
        <f t="shared" si="112"/>
        <v>88</v>
      </c>
      <c r="BJ116">
        <f t="shared" si="120"/>
        <v>2.737098610793217E-2</v>
      </c>
      <c r="BK116">
        <f t="shared" si="121"/>
        <v>449.56844682278586</v>
      </c>
      <c r="BM116" s="28"/>
    </row>
    <row r="117" spans="5:65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97"/>
        <v>91.25</v>
      </c>
      <c r="N117">
        <v>0.11</v>
      </c>
      <c r="P117">
        <v>0.16</v>
      </c>
      <c r="R117">
        <v>0.7</v>
      </c>
      <c r="T117">
        <v>80</v>
      </c>
      <c r="U117">
        <f t="shared" si="113"/>
        <v>2.6000000000000467E-3</v>
      </c>
      <c r="V117">
        <f>V101</f>
        <v>0.99739999999999995</v>
      </c>
      <c r="W117">
        <f>W101</f>
        <v>0.74</v>
      </c>
      <c r="X117">
        <f t="shared" si="98"/>
        <v>4.7000000000000002E-3</v>
      </c>
      <c r="Y117">
        <f t="shared" si="99"/>
        <v>0</v>
      </c>
      <c r="Z117">
        <v>0</v>
      </c>
      <c r="AA117">
        <f t="shared" si="114"/>
        <v>0</v>
      </c>
      <c r="AB117">
        <f t="shared" si="122"/>
        <v>1.3</v>
      </c>
      <c r="AC117">
        <f t="shared" si="100"/>
        <v>1</v>
      </c>
      <c r="AD117">
        <f t="shared" si="101"/>
        <v>0.55510000000000004</v>
      </c>
      <c r="AF117">
        <v>4</v>
      </c>
      <c r="AG117">
        <f t="shared" si="115"/>
        <v>0.99999999999998734</v>
      </c>
      <c r="AH117">
        <f t="shared" si="102"/>
        <v>1.8103862015316043</v>
      </c>
      <c r="AI117">
        <f t="shared" si="116"/>
        <v>1.8103862015315815</v>
      </c>
      <c r="AJ117">
        <f t="shared" si="103"/>
        <v>0.28966179224505306</v>
      </c>
      <c r="AK117">
        <f t="shared" si="104"/>
        <v>0.08</v>
      </c>
      <c r="AL117">
        <f t="shared" si="105"/>
        <v>0.62027852533472749</v>
      </c>
      <c r="AM117">
        <f t="shared" si="106"/>
        <v>0.19</v>
      </c>
      <c r="AN117">
        <f t="shared" si="107"/>
        <v>0.6784</v>
      </c>
      <c r="AO117">
        <f t="shared" si="108"/>
        <v>1.5382653362217542E-4</v>
      </c>
      <c r="AP117">
        <f t="shared" si="109"/>
        <v>3.7479467140506676E-4</v>
      </c>
      <c r="AQ117">
        <f t="shared" si="117"/>
        <v>5.2862120502724221E-4</v>
      </c>
      <c r="AR117">
        <f t="shared" si="110"/>
        <v>2.4118342479367927</v>
      </c>
      <c r="BA117">
        <v>15</v>
      </c>
      <c r="BB117">
        <v>0.85</v>
      </c>
      <c r="BC117">
        <f t="shared" si="118"/>
        <v>0</v>
      </c>
      <c r="BD117">
        <f t="shared" ref="BD117:BD124" si="128">(BA117 * BB117) / 365</f>
        <v>3.4931506849315071E-2</v>
      </c>
      <c r="BE117">
        <f t="shared" si="111"/>
        <v>0.1012</v>
      </c>
      <c r="BF117">
        <v>84</v>
      </c>
      <c r="BG117">
        <f t="shared" si="119"/>
        <v>0.95238095238095233</v>
      </c>
      <c r="BH117">
        <f t="shared" si="125"/>
        <v>5.940350883350415E-3</v>
      </c>
      <c r="BI117">
        <f t="shared" si="112"/>
        <v>128</v>
      </c>
      <c r="BJ117">
        <f t="shared" si="120"/>
        <v>4.0405535875858073E-2</v>
      </c>
      <c r="BK117">
        <f t="shared" si="121"/>
        <v>184.35025743360248</v>
      </c>
      <c r="BM117" s="28"/>
    </row>
    <row r="118" spans="5:65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97"/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113"/>
        <v>2.6000000000000467E-3</v>
      </c>
      <c r="V118">
        <f>V101</f>
        <v>0.99739999999999995</v>
      </c>
      <c r="W118">
        <f>W101</f>
        <v>0.74</v>
      </c>
      <c r="X118">
        <f t="shared" si="98"/>
        <v>4.7000000000000002E-3</v>
      </c>
      <c r="Y118">
        <f t="shared" si="99"/>
        <v>0</v>
      </c>
      <c r="Z118">
        <v>0</v>
      </c>
      <c r="AA118">
        <f t="shared" si="114"/>
        <v>0</v>
      </c>
      <c r="AB118">
        <f t="shared" si="122"/>
        <v>1.3</v>
      </c>
      <c r="AC118">
        <f t="shared" si="100"/>
        <v>1</v>
      </c>
      <c r="AD118">
        <f t="shared" si="101"/>
        <v>0.43585000000000007</v>
      </c>
      <c r="AF118">
        <v>2.5</v>
      </c>
      <c r="AG118">
        <f t="shared" si="115"/>
        <v>0.99999627334682795</v>
      </c>
      <c r="AH118">
        <f t="shared" si="102"/>
        <v>1.2614122912776211</v>
      </c>
      <c r="AI118">
        <f t="shared" si="116"/>
        <v>1.2614075904315045</v>
      </c>
      <c r="AJ118">
        <f t="shared" si="103"/>
        <v>8.8298531330205321E-2</v>
      </c>
      <c r="AK118">
        <f t="shared" si="104"/>
        <v>0.08</v>
      </c>
      <c r="AL118">
        <f t="shared" si="105"/>
        <v>0.58077702965713707</v>
      </c>
      <c r="AM118">
        <f t="shared" si="106"/>
        <v>0.19</v>
      </c>
      <c r="AN118">
        <f t="shared" si="107"/>
        <v>0.6784</v>
      </c>
      <c r="AO118">
        <f t="shared" si="108"/>
        <v>1.4403032449225909E-4</v>
      </c>
      <c r="AP118">
        <f t="shared" si="109"/>
        <v>3.5092644207292627E-4</v>
      </c>
      <c r="AQ118">
        <f t="shared" si="117"/>
        <v>4.9495676656518542E-4</v>
      </c>
      <c r="AR118">
        <f t="shared" si="110"/>
        <v>2.4840642721990243</v>
      </c>
      <c r="BA118">
        <f>BA117</f>
        <v>15</v>
      </c>
      <c r="BC118">
        <f t="shared" si="118"/>
        <v>0</v>
      </c>
      <c r="BD118">
        <f>BD117</f>
        <v>3.4931506849315071E-2</v>
      </c>
      <c r="BE118">
        <f t="shared" si="111"/>
        <v>-9.2000000000000012E-2</v>
      </c>
      <c r="BF118">
        <v>84</v>
      </c>
      <c r="BG118">
        <f t="shared" si="119"/>
        <v>0.83333333333333337</v>
      </c>
      <c r="BH118">
        <f t="shared" si="125"/>
        <v>3.4850287232951337E-3</v>
      </c>
      <c r="BI118">
        <f t="shared" si="112"/>
        <v>112</v>
      </c>
      <c r="BJ118">
        <f t="shared" si="120"/>
        <v>1.0642736289537718E-2</v>
      </c>
      <c r="BK118">
        <f t="shared" si="121"/>
        <v>53.413232753117427</v>
      </c>
      <c r="BM118" s="28"/>
    </row>
    <row r="119" spans="5:65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97"/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113"/>
        <v>2.6000000000000467E-3</v>
      </c>
      <c r="V119">
        <f>V101</f>
        <v>0.99739999999999995</v>
      </c>
      <c r="W119">
        <f>W101</f>
        <v>0.74</v>
      </c>
      <c r="X119">
        <f t="shared" si="98"/>
        <v>4.7000000000000002E-3</v>
      </c>
      <c r="Y119">
        <f t="shared" si="99"/>
        <v>0</v>
      </c>
      <c r="Z119">
        <v>0</v>
      </c>
      <c r="AA119">
        <f t="shared" si="114"/>
        <v>0</v>
      </c>
      <c r="AB119">
        <f t="shared" si="122"/>
        <v>1.3</v>
      </c>
      <c r="AC119">
        <f t="shared" si="100"/>
        <v>1</v>
      </c>
      <c r="AD119">
        <f t="shared" si="101"/>
        <v>0.43585000000000007</v>
      </c>
      <c r="AF119">
        <v>0.7</v>
      </c>
      <c r="AG119">
        <f t="shared" si="115"/>
        <v>0.62468890114860043</v>
      </c>
      <c r="AH119">
        <f t="shared" si="102"/>
        <v>1.2614122912776211</v>
      </c>
      <c r="AI119">
        <f t="shared" si="116"/>
        <v>0.78799025813355539</v>
      </c>
      <c r="AJ119">
        <f t="shared" si="103"/>
        <v>7.0919123232019987E-2</v>
      </c>
      <c r="AK119">
        <f t="shared" si="104"/>
        <v>0.08</v>
      </c>
      <c r="AL119">
        <f t="shared" si="105"/>
        <v>0.34907814107370461</v>
      </c>
      <c r="AM119">
        <f t="shared" si="106"/>
        <v>0.19</v>
      </c>
      <c r="AN119">
        <f t="shared" si="107"/>
        <v>0.6784</v>
      </c>
      <c r="AO119">
        <f t="shared" si="108"/>
        <v>8.656994916221446E-5</v>
      </c>
      <c r="AP119">
        <f t="shared" si="109"/>
        <v>2.1092561137403245E-4</v>
      </c>
      <c r="AQ119">
        <f t="shared" si="117"/>
        <v>2.9749556053624692E-4</v>
      </c>
      <c r="AR119">
        <f t="shared" si="110"/>
        <v>1.6287881939359519</v>
      </c>
      <c r="BA119">
        <f>BA117</f>
        <v>15</v>
      </c>
      <c r="BC119">
        <f t="shared" si="118"/>
        <v>0</v>
      </c>
      <c r="BD119">
        <f>BD117</f>
        <v>3.4931506849315071E-2</v>
      </c>
      <c r="BE119">
        <f t="shared" si="111"/>
        <v>0</v>
      </c>
      <c r="BF119">
        <v>84</v>
      </c>
      <c r="BG119">
        <f t="shared" si="119"/>
        <v>0.83333333333333337</v>
      </c>
      <c r="BH119">
        <f t="shared" si="125"/>
        <v>4.6947945205479454E-3</v>
      </c>
      <c r="BI119">
        <f t="shared" si="112"/>
        <v>112</v>
      </c>
      <c r="BJ119">
        <f t="shared" si="120"/>
        <v>6.6522651965752518E-3</v>
      </c>
      <c r="BK119">
        <f t="shared" si="121"/>
        <v>36.421151951249506</v>
      </c>
      <c r="BM119" s="28"/>
    </row>
    <row r="120" spans="5:65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97"/>
        <v>91.25</v>
      </c>
      <c r="N120">
        <v>0</v>
      </c>
      <c r="P120">
        <v>0.2</v>
      </c>
      <c r="R120">
        <v>0.75</v>
      </c>
      <c r="T120">
        <v>70</v>
      </c>
      <c r="U120">
        <f t="shared" si="113"/>
        <v>2.6000000000000467E-3</v>
      </c>
      <c r="V120">
        <f>V101</f>
        <v>0.99739999999999995</v>
      </c>
      <c r="W120">
        <f>W101</f>
        <v>0.74</v>
      </c>
      <c r="X120">
        <f t="shared" si="98"/>
        <v>4.7000000000000002E-3</v>
      </c>
      <c r="Y120">
        <f t="shared" si="99"/>
        <v>0</v>
      </c>
      <c r="Z120">
        <v>0</v>
      </c>
      <c r="AA120">
        <f t="shared" si="114"/>
        <v>0</v>
      </c>
      <c r="AB120">
        <f t="shared" si="122"/>
        <v>1.3</v>
      </c>
      <c r="AC120">
        <f t="shared" si="100"/>
        <v>1</v>
      </c>
      <c r="AD120">
        <f t="shared" si="101"/>
        <v>0.5948500000000001</v>
      </c>
      <c r="AF120">
        <v>0.9</v>
      </c>
      <c r="AG120">
        <f t="shared" si="115"/>
        <v>0.80210130091638532</v>
      </c>
      <c r="AH120">
        <f t="shared" si="102"/>
        <v>1.6642845245495062</v>
      </c>
      <c r="AI120">
        <f t="shared" si="116"/>
        <v>1.3349247822361667</v>
      </c>
      <c r="AJ120">
        <f t="shared" si="103"/>
        <v>0.26698495644723336</v>
      </c>
      <c r="AK120">
        <f t="shared" si="104"/>
        <v>0.08</v>
      </c>
      <c r="AL120">
        <f t="shared" si="105"/>
        <v>0.37261118952591898</v>
      </c>
      <c r="AM120">
        <f t="shared" si="106"/>
        <v>0.19</v>
      </c>
      <c r="AN120">
        <f t="shared" si="107"/>
        <v>0.6784</v>
      </c>
      <c r="AO120">
        <f t="shared" si="108"/>
        <v>9.2406048786997279E-5</v>
      </c>
      <c r="AP120">
        <f t="shared" si="109"/>
        <v>2.2514512857728809E-4</v>
      </c>
      <c r="AQ120">
        <f t="shared" si="117"/>
        <v>3.1755117736428538E-4</v>
      </c>
      <c r="AR120">
        <f t="shared" si="110"/>
        <v>1.8834754207419178</v>
      </c>
      <c r="BA120">
        <f>BA117</f>
        <v>15</v>
      </c>
      <c r="BC120">
        <f t="shared" si="118"/>
        <v>0</v>
      </c>
      <c r="BD120">
        <f>BD117</f>
        <v>3.4931506849315071E-2</v>
      </c>
      <c r="BE120">
        <f t="shared" si="111"/>
        <v>0</v>
      </c>
      <c r="BF120">
        <v>84</v>
      </c>
      <c r="BG120">
        <f t="shared" si="119"/>
        <v>0.83333333333333337</v>
      </c>
      <c r="BH120">
        <f t="shared" si="125"/>
        <v>4.6947945205479454E-3</v>
      </c>
      <c r="BI120">
        <f t="shared" si="112"/>
        <v>112</v>
      </c>
      <c r="BJ120">
        <f t="shared" si="120"/>
        <v>3.8022798511009391E-2</v>
      </c>
      <c r="BK120">
        <f t="shared" si="121"/>
        <v>225.52272366842448</v>
      </c>
      <c r="BM120" s="28"/>
    </row>
    <row r="121" spans="5:65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97"/>
        <v>91.25</v>
      </c>
      <c r="N121">
        <v>0.11</v>
      </c>
      <c r="P121">
        <v>0.16</v>
      </c>
      <c r="R121">
        <v>0.7</v>
      </c>
      <c r="T121">
        <v>70</v>
      </c>
      <c r="U121">
        <f t="shared" si="113"/>
        <v>2.6000000000000467E-3</v>
      </c>
      <c r="V121">
        <f>V101</f>
        <v>0.99739999999999995</v>
      </c>
      <c r="W121">
        <f>W101</f>
        <v>0.74</v>
      </c>
      <c r="X121">
        <f t="shared" si="98"/>
        <v>4.7000000000000002E-3</v>
      </c>
      <c r="Y121">
        <f t="shared" si="99"/>
        <v>0</v>
      </c>
      <c r="Z121">
        <v>0</v>
      </c>
      <c r="AA121">
        <f t="shared" si="114"/>
        <v>0</v>
      </c>
      <c r="AB121">
        <f t="shared" si="122"/>
        <v>1.3</v>
      </c>
      <c r="AC121">
        <f t="shared" si="100"/>
        <v>1</v>
      </c>
      <c r="AD121">
        <f t="shared" si="101"/>
        <v>0.55510000000000004</v>
      </c>
      <c r="AF121">
        <v>4</v>
      </c>
      <c r="AG121">
        <f t="shared" si="115"/>
        <v>0.99999999999998734</v>
      </c>
      <c r="AH121">
        <f t="shared" si="102"/>
        <v>1.5635664662315347</v>
      </c>
      <c r="AI121">
        <f t="shared" si="116"/>
        <v>1.563566466231515</v>
      </c>
      <c r="AJ121">
        <f t="shared" si="103"/>
        <v>0.25017063459704242</v>
      </c>
      <c r="AK121">
        <f t="shared" si="104"/>
        <v>0.08</v>
      </c>
      <c r="AL121">
        <f t="shared" si="105"/>
        <v>0.52151078015101071</v>
      </c>
      <c r="AM121">
        <f t="shared" si="106"/>
        <v>0.19</v>
      </c>
      <c r="AN121">
        <f t="shared" si="107"/>
        <v>0.6784</v>
      </c>
      <c r="AO121">
        <f t="shared" si="108"/>
        <v>1.2933253736929746E-4</v>
      </c>
      <c r="AP121">
        <f t="shared" si="109"/>
        <v>3.151156351502258E-4</v>
      </c>
      <c r="AQ121">
        <f t="shared" si="117"/>
        <v>4.4444817251952326E-4</v>
      </c>
      <c r="AR121">
        <f t="shared" si="110"/>
        <v>2.027794787120325</v>
      </c>
      <c r="BA121">
        <v>18</v>
      </c>
      <c r="BB121">
        <v>0.8</v>
      </c>
      <c r="BC121">
        <f t="shared" si="118"/>
        <v>0</v>
      </c>
      <c r="BD121">
        <f t="shared" ref="BD121:BD124" si="129">(BA121 * BB121) / 365</f>
        <v>3.9452054794520547E-2</v>
      </c>
      <c r="BE121">
        <f t="shared" si="111"/>
        <v>0.1012</v>
      </c>
      <c r="BF121">
        <v>72</v>
      </c>
      <c r="BG121">
        <f t="shared" si="119"/>
        <v>0.97222222222222221</v>
      </c>
      <c r="BH121">
        <f t="shared" si="125"/>
        <v>6.5390172977718266E-3</v>
      </c>
      <c r="BI121">
        <f t="shared" si="112"/>
        <v>112</v>
      </c>
      <c r="BJ121">
        <f t="shared" si="120"/>
        <v>3.3488284237754955E-2</v>
      </c>
      <c r="BK121">
        <f t="shared" si="121"/>
        <v>152.79029683475696</v>
      </c>
      <c r="BM121" s="28"/>
    </row>
    <row r="122" spans="5:65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97"/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113"/>
        <v>2.6000000000000467E-3</v>
      </c>
      <c r="V122">
        <f>V101</f>
        <v>0.99739999999999995</v>
      </c>
      <c r="W122">
        <f>W101</f>
        <v>0.74</v>
      </c>
      <c r="X122">
        <f t="shared" si="98"/>
        <v>4.7000000000000002E-3</v>
      </c>
      <c r="Y122">
        <f t="shared" si="99"/>
        <v>0</v>
      </c>
      <c r="Z122">
        <v>0</v>
      </c>
      <c r="AA122">
        <f t="shared" si="114"/>
        <v>0</v>
      </c>
      <c r="AB122">
        <f t="shared" si="122"/>
        <v>1.3</v>
      </c>
      <c r="AC122">
        <f t="shared" si="100"/>
        <v>1</v>
      </c>
      <c r="AD122">
        <f t="shared" si="101"/>
        <v>0.43585000000000007</v>
      </c>
      <c r="AF122">
        <v>2.5</v>
      </c>
      <c r="AG122">
        <f t="shared" si="115"/>
        <v>0.99999627334682795</v>
      </c>
      <c r="AH122">
        <f t="shared" si="102"/>
        <v>1.1580752413958724</v>
      </c>
      <c r="AI122">
        <f t="shared" si="116"/>
        <v>1.1580709256511006</v>
      </c>
      <c r="AJ122">
        <f t="shared" si="103"/>
        <v>8.1064964795577052E-2</v>
      </c>
      <c r="AK122">
        <f t="shared" si="104"/>
        <v>0.08</v>
      </c>
      <c r="AL122">
        <f t="shared" si="105"/>
        <v>0.52879488351280868</v>
      </c>
      <c r="AM122">
        <f t="shared" si="106"/>
        <v>0.19</v>
      </c>
      <c r="AN122">
        <f t="shared" si="107"/>
        <v>0.6784</v>
      </c>
      <c r="AO122">
        <f t="shared" si="108"/>
        <v>1.3113896516733602E-4</v>
      </c>
      <c r="AP122">
        <f t="shared" si="109"/>
        <v>3.1951695329112447E-4</v>
      </c>
      <c r="AQ122">
        <f t="shared" si="117"/>
        <v>4.5065591845846049E-4</v>
      </c>
      <c r="AR122">
        <f t="shared" si="110"/>
        <v>4.1122352559334523</v>
      </c>
      <c r="BA122">
        <f>BA121</f>
        <v>18</v>
      </c>
      <c r="BC122">
        <f t="shared" si="118"/>
        <v>0</v>
      </c>
      <c r="BD122">
        <f>BD121</f>
        <v>3.9452054794520547E-2</v>
      </c>
      <c r="BE122">
        <f t="shared" si="111"/>
        <v>-9.2000000000000012E-2</v>
      </c>
      <c r="BF122">
        <v>72</v>
      </c>
      <c r="BG122">
        <f t="shared" si="119"/>
        <v>0.90277777777777779</v>
      </c>
      <c r="BH122">
        <f t="shared" si="125"/>
        <v>4.1410150159114749E-3</v>
      </c>
      <c r="BI122">
        <f t="shared" si="112"/>
        <v>104</v>
      </c>
      <c r="BJ122">
        <f t="shared" si="120"/>
        <v>8.8293793513808533E-3</v>
      </c>
      <c r="BK122">
        <f t="shared" si="121"/>
        <v>80.568086581350286</v>
      </c>
      <c r="BM122" s="28"/>
    </row>
    <row r="123" spans="5:65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97"/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113"/>
        <v>2.6000000000000467E-3</v>
      </c>
      <c r="V123">
        <f>V101</f>
        <v>0.99739999999999995</v>
      </c>
      <c r="W123">
        <f>W101</f>
        <v>0.74</v>
      </c>
      <c r="X123">
        <f t="shared" si="98"/>
        <v>4.7000000000000002E-3</v>
      </c>
      <c r="Y123">
        <f t="shared" si="99"/>
        <v>0</v>
      </c>
      <c r="Z123">
        <v>0</v>
      </c>
      <c r="AA123">
        <f t="shared" si="114"/>
        <v>0</v>
      </c>
      <c r="AB123">
        <f t="shared" si="122"/>
        <v>1.3</v>
      </c>
      <c r="AC123">
        <f t="shared" si="100"/>
        <v>1</v>
      </c>
      <c r="AD123">
        <f t="shared" si="101"/>
        <v>0.43585000000000007</v>
      </c>
      <c r="AF123">
        <v>0.7</v>
      </c>
      <c r="AG123">
        <f t="shared" si="115"/>
        <v>0.62468890114860043</v>
      </c>
      <c r="AH123">
        <f t="shared" si="102"/>
        <v>1.0575073475796353</v>
      </c>
      <c r="AI123">
        <f t="shared" si="116"/>
        <v>0.66061310291609343</v>
      </c>
      <c r="AJ123">
        <f t="shared" si="103"/>
        <v>5.9455179262448407E-2</v>
      </c>
      <c r="AK123">
        <f t="shared" si="104"/>
        <v>0.08</v>
      </c>
      <c r="AL123">
        <f t="shared" si="105"/>
        <v>0.28955370052745766</v>
      </c>
      <c r="AM123">
        <f t="shared" si="106"/>
        <v>0.19</v>
      </c>
      <c r="AN123">
        <f t="shared" si="107"/>
        <v>0.6784</v>
      </c>
      <c r="AO123">
        <f t="shared" si="108"/>
        <v>7.1808131718853423E-5</v>
      </c>
      <c r="AP123">
        <f t="shared" si="109"/>
        <v>1.7495879610654924E-4</v>
      </c>
      <c r="AQ123">
        <f t="shared" si="117"/>
        <v>2.4676692782540265E-4</v>
      </c>
      <c r="AR123">
        <f t="shared" si="110"/>
        <v>2.0265733947661193</v>
      </c>
      <c r="BA123">
        <f>BA121</f>
        <v>18</v>
      </c>
      <c r="BC123">
        <f t="shared" si="118"/>
        <v>0</v>
      </c>
      <c r="BD123">
        <f>BD121</f>
        <v>3.9452054794520547E-2</v>
      </c>
      <c r="BE123">
        <f t="shared" si="111"/>
        <v>-9.2000000000000012E-2</v>
      </c>
      <c r="BF123">
        <v>72</v>
      </c>
      <c r="BG123">
        <f t="shared" si="119"/>
        <v>0.83333333333333337</v>
      </c>
      <c r="BH123">
        <f t="shared" si="125"/>
        <v>4.092176787420224E-3</v>
      </c>
      <c r="BI123">
        <f t="shared" si="112"/>
        <v>96</v>
      </c>
      <c r="BJ123">
        <f t="shared" si="120"/>
        <v>5.4206518945715213E-3</v>
      </c>
      <c r="BK123">
        <f t="shared" si="121"/>
        <v>44.517103684168625</v>
      </c>
      <c r="BM123" s="28"/>
    </row>
    <row r="124" spans="5:65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97"/>
        <v>91.25</v>
      </c>
      <c r="N124">
        <v>0</v>
      </c>
      <c r="P124">
        <v>0.2</v>
      </c>
      <c r="R124">
        <v>0.75</v>
      </c>
      <c r="T124">
        <v>60</v>
      </c>
      <c r="U124">
        <f t="shared" si="113"/>
        <v>2.6000000000000467E-3</v>
      </c>
      <c r="V124">
        <f>V101</f>
        <v>0.99739999999999995</v>
      </c>
      <c r="W124">
        <f>W101</f>
        <v>0.74</v>
      </c>
      <c r="X124">
        <f t="shared" si="98"/>
        <v>4.7000000000000002E-3</v>
      </c>
      <c r="Y124">
        <f t="shared" si="99"/>
        <v>0</v>
      </c>
      <c r="Z124">
        <v>0</v>
      </c>
      <c r="AA124">
        <f t="shared" si="114"/>
        <v>0</v>
      </c>
      <c r="AB124">
        <f t="shared" si="122"/>
        <v>1.3</v>
      </c>
      <c r="AC124">
        <f t="shared" si="100"/>
        <v>1</v>
      </c>
      <c r="AD124">
        <f t="shared" si="101"/>
        <v>0.5948500000000001</v>
      </c>
      <c r="AF124">
        <v>0.9</v>
      </c>
      <c r="AG124">
        <f t="shared" si="115"/>
        <v>0.80210130091638532</v>
      </c>
      <c r="AH124">
        <f t="shared" si="102"/>
        <v>1.4163939481646182</v>
      </c>
      <c r="AI124">
        <f t="shared" si="116"/>
        <v>1.1360914284329355</v>
      </c>
      <c r="AJ124">
        <f t="shared" si="103"/>
        <v>0.22721828568658711</v>
      </c>
      <c r="AK124">
        <f t="shared" si="104"/>
        <v>0.08</v>
      </c>
      <c r="AL124">
        <f t="shared" si="105"/>
        <v>0.30879892594189856</v>
      </c>
      <c r="AM124">
        <f t="shared" si="106"/>
        <v>0.19</v>
      </c>
      <c r="AN124">
        <f t="shared" si="107"/>
        <v>0.6784</v>
      </c>
      <c r="AO124">
        <f t="shared" si="108"/>
        <v>7.6580868793191565E-5</v>
      </c>
      <c r="AP124">
        <f t="shared" si="109"/>
        <v>1.865874558790754E-4</v>
      </c>
      <c r="AQ124">
        <f t="shared" si="117"/>
        <v>2.6316832467226698E-4</v>
      </c>
      <c r="AR124">
        <f t="shared" si="110"/>
        <v>1.921128770107549</v>
      </c>
      <c r="BA124">
        <f>BA121</f>
        <v>18</v>
      </c>
      <c r="BC124">
        <f t="shared" si="118"/>
        <v>0</v>
      </c>
      <c r="BD124">
        <f>BD121</f>
        <v>3.9452054794520547E-2</v>
      </c>
      <c r="BE124">
        <f t="shared" si="111"/>
        <v>0</v>
      </c>
      <c r="BF124">
        <v>72</v>
      </c>
      <c r="BG124">
        <f t="shared" si="119"/>
        <v>0.83333333333333337</v>
      </c>
      <c r="BH124">
        <f t="shared" si="125"/>
        <v>5.3023561643835617E-3</v>
      </c>
      <c r="BI124">
        <f t="shared" si="112"/>
        <v>96</v>
      </c>
      <c r="BJ124">
        <f t="shared" si="120"/>
        <v>3.1052569545470372E-2</v>
      </c>
      <c r="BK124">
        <f t="shared" si="121"/>
        <v>226.68375768193371</v>
      </c>
      <c r="BM124" s="28"/>
    </row>
    <row r="131" spans="1:73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130">$CA$3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$BZ$26:$CB$32, 2)/100)</f>
        <v>1</v>
      </c>
      <c r="W131">
        <f>VLOOKUP($B131,$CB$10:$CC$16, 2, FALSE)</f>
        <v>0.69</v>
      </c>
      <c r="X131">
        <f t="shared" ref="X131:X154" si="131">$CA$10</f>
        <v>4.7000000000000002E-3</v>
      </c>
      <c r="Y131">
        <f t="shared" ref="Y131:Y154" si="132">(I131/100)*(MIN(J131,100)/100)</f>
        <v>0.85499999999999998</v>
      </c>
      <c r="Z131">
        <v>0</v>
      </c>
      <c r="AA131">
        <f>1.6 * Z131</f>
        <v>0</v>
      </c>
      <c r="AB131">
        <f>$CD$1</f>
        <v>1.3</v>
      </c>
      <c r="AC131">
        <f t="shared" ref="AC131:AC154" si="133">Y131*AB131+(1-Y131)</f>
        <v>1.2565</v>
      </c>
      <c r="AD131">
        <f t="shared" ref="AD131:AD154" si="134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35">(104.7*AD131+0.307*T131-15)*(T131^0.75)*10^-3</f>
        <v>1.1776478069972991</v>
      </c>
      <c r="AI131">
        <f>AH131*AG131*AC131</f>
        <v>1.4797089551094849</v>
      </c>
      <c r="AJ131">
        <f t="shared" ref="AJ131:AJ154" si="136">(AI131 * P131) + (0.045 * AA131)</f>
        <v>0.29594179102189699</v>
      </c>
      <c r="AK131">
        <f t="shared" ref="AK131:AK154" si="137">$CA$2</f>
        <v>0.08</v>
      </c>
      <c r="AL131">
        <f t="shared" ref="AL131:AL154" si="138">(AI131 * ((1 - R131) + (0.04 * AI131))) * ( 1 - AK131 )</f>
        <v>0.42090807985456985</v>
      </c>
      <c r="AM131">
        <f t="shared" ref="AM131:AM154" si="139">$CA$1</f>
        <v>0.19</v>
      </c>
      <c r="AN131">
        <f t="shared" ref="AN131:AN154" si="140">$CB$20</f>
        <v>0.6784</v>
      </c>
      <c r="AO131">
        <f t="shared" ref="AO131:AO154" si="141">AL131 * AM131 * U131 * W131 * AN131</f>
        <v>0</v>
      </c>
      <c r="AP131">
        <f t="shared" ref="AP131:AP154" si="142">AL131*AM131*V131*X131*AN131</f>
        <v>2.5499082894639278E-4</v>
      </c>
      <c r="AQ131">
        <f>AO131+AP131</f>
        <v>2.5499082894639278E-4</v>
      </c>
      <c r="AR131">
        <f t="shared" ref="AR131:AR154" si="143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$CA$4</f>
        <v>0.24</v>
      </c>
      <c r="AW131" t="s">
        <v>329</v>
      </c>
      <c r="AX131" s="28">
        <f>VLOOKUP(AW131,$CE$37:$CG$46,2, FALSE)</f>
        <v>2E-3</v>
      </c>
      <c r="AY131" s="28">
        <f>$CA$7</f>
        <v>1.5714285714285714</v>
      </c>
      <c r="AZ131">
        <f>$CA$5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44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 t="shared" ref="BI131:BI154" si="145">1.6 * T131</f>
        <v>80</v>
      </c>
      <c r="BJ131">
        <f>(AJ131  / 6.25 ) - BH131</f>
        <v>3.1840754762427884E-2</v>
      </c>
      <c r="BK131">
        <f>H131*BJ131*L131</f>
        <v>290.54688720715444</v>
      </c>
      <c r="BL131">
        <f>SUM(BK131:BK154)</f>
        <v>4055.2845449545648</v>
      </c>
      <c r="BM131" s="28">
        <f>BL131*$AU$11*$AV$11</f>
        <v>973.26829078909554</v>
      </c>
      <c r="BN131">
        <f>BK131 * AZ131</f>
        <v>61.014846313502431</v>
      </c>
      <c r="BO131" t="s">
        <v>226</v>
      </c>
      <c r="BP131">
        <f>VLOOKUP(BO131, $BZ$37:$CA$49, 2, FALSE)</f>
        <v>1.8E-3</v>
      </c>
      <c r="BQ131">
        <f>BN131 * BP131 * AY131 * 10^-3</f>
        <v>1.7258485100104973E-4</v>
      </c>
      <c r="BR131">
        <f>BK131 * AP131 * AV131</f>
        <v>1.7780829988019133E-2</v>
      </c>
      <c r="BS131">
        <f>$CA$6</f>
        <v>1.0999999999999999E-2</v>
      </c>
      <c r="BT131">
        <f>BL131 * AX131 * AY131 * 10^-3</f>
        <v>1.274517999842863E-2</v>
      </c>
      <c r="BU131">
        <f>BR131 * BS131 * AY131 * 10^-3</f>
        <v>3.0735434693575928E-7</v>
      </c>
    </row>
    <row r="132" spans="1:73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130"/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46">1-V132</f>
        <v>0</v>
      </c>
      <c r="V132">
        <f>V131</f>
        <v>1</v>
      </c>
      <c r="W132">
        <f>W131</f>
        <v>0.69</v>
      </c>
      <c r="X132">
        <f t="shared" si="131"/>
        <v>4.7000000000000002E-3</v>
      </c>
      <c r="Y132">
        <f t="shared" si="132"/>
        <v>0</v>
      </c>
      <c r="Z132">
        <v>0</v>
      </c>
      <c r="AA132">
        <f t="shared" ref="AA132:AA154" si="147">1.6 * Z132</f>
        <v>0</v>
      </c>
      <c r="AB132">
        <f>$AB$11</f>
        <v>1.3</v>
      </c>
      <c r="AC132">
        <f t="shared" si="133"/>
        <v>1</v>
      </c>
      <c r="AD132">
        <f t="shared" si="134"/>
        <v>0.43585000000000007</v>
      </c>
      <c r="AF132">
        <v>2.5</v>
      </c>
      <c r="AG132">
        <f t="shared" ref="AG132:AG154" si="148">1 - EXP(-2*(AF132^2))</f>
        <v>0.99999627334682795</v>
      </c>
      <c r="AH132">
        <f t="shared" si="135"/>
        <v>0.8646283676396137</v>
      </c>
      <c r="AI132">
        <f t="shared" ref="AI132:AI154" si="149">AH132*AG132*AC132</f>
        <v>0.86462514546956482</v>
      </c>
      <c r="AJ132">
        <f t="shared" si="136"/>
        <v>6.0523760182869542E-2</v>
      </c>
      <c r="AK132">
        <f t="shared" si="137"/>
        <v>0.08</v>
      </c>
      <c r="AL132">
        <f t="shared" si="138"/>
        <v>0.38546563065656003</v>
      </c>
      <c r="AM132">
        <f t="shared" si="139"/>
        <v>0.19</v>
      </c>
      <c r="AN132">
        <f t="shared" si="140"/>
        <v>0.6784</v>
      </c>
      <c r="AO132">
        <f t="shared" si="141"/>
        <v>0</v>
      </c>
      <c r="AP132">
        <f t="shared" si="142"/>
        <v>2.3351939626680747E-4</v>
      </c>
      <c r="AQ132">
        <f t="shared" ref="AQ132:AQ154" si="150">AO132+AP132</f>
        <v>2.3351939626680747E-4</v>
      </c>
      <c r="AR132">
        <f t="shared" si="143"/>
        <v>1.4916051436542326</v>
      </c>
      <c r="BA132">
        <f>BA131</f>
        <v>20</v>
      </c>
      <c r="BC132">
        <f t="shared" ref="BC132:BC154" si="151">Y132 * 1.6</f>
        <v>0</v>
      </c>
      <c r="BD132">
        <f>BD131</f>
        <v>4.3835616438356165E-2</v>
      </c>
      <c r="BE132">
        <f t="shared" si="144"/>
        <v>0</v>
      </c>
      <c r="BF132">
        <v>55</v>
      </c>
      <c r="BG132">
        <f t="shared" ref="BG132:BG154" si="152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 t="shared" si="145"/>
        <v>80</v>
      </c>
      <c r="BJ132">
        <f t="shared" ref="BJ132:BJ154" si="153">(AJ132  / 6.25 ) - BH132</f>
        <v>3.792294779944058E-3</v>
      </c>
      <c r="BK132">
        <f t="shared" ref="BK132:BK154" si="154">H132*BJ132*L132</f>
        <v>24.22328290689267</v>
      </c>
      <c r="BM132" s="28"/>
    </row>
    <row r="133" spans="1:73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130"/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46"/>
        <v>0</v>
      </c>
      <c r="V133">
        <f>V131</f>
        <v>1</v>
      </c>
      <c r="W133">
        <f>W131</f>
        <v>0.69</v>
      </c>
      <c r="X133">
        <f t="shared" si="131"/>
        <v>4.7000000000000002E-3</v>
      </c>
      <c r="Y133">
        <f t="shared" si="132"/>
        <v>0</v>
      </c>
      <c r="Z133">
        <v>0</v>
      </c>
      <c r="AA133">
        <f t="shared" si="147"/>
        <v>0</v>
      </c>
      <c r="AB133">
        <f t="shared" ref="AB133:AB154" si="155">$AB$11</f>
        <v>1.3</v>
      </c>
      <c r="AC133">
        <f t="shared" si="133"/>
        <v>1</v>
      </c>
      <c r="AD133">
        <f t="shared" si="134"/>
        <v>0.53125000000000011</v>
      </c>
      <c r="AF133">
        <v>1.3</v>
      </c>
      <c r="AG133">
        <f t="shared" si="148"/>
        <v>0.96595254526540064</v>
      </c>
      <c r="AH133">
        <f t="shared" si="135"/>
        <v>1.052440031254225</v>
      </c>
      <c r="AI133">
        <f t="shared" si="149"/>
        <v>1.0166071269292165</v>
      </c>
      <c r="AJ133">
        <f t="shared" si="136"/>
        <v>0.14232499777009033</v>
      </c>
      <c r="AK133">
        <f t="shared" si="137"/>
        <v>0.08</v>
      </c>
      <c r="AL133">
        <f t="shared" si="138"/>
        <v>0.34667435759496673</v>
      </c>
      <c r="AM133">
        <f t="shared" si="139"/>
        <v>0.19</v>
      </c>
      <c r="AN133">
        <f t="shared" si="140"/>
        <v>0.6784</v>
      </c>
      <c r="AO133">
        <f t="shared" si="141"/>
        <v>0</v>
      </c>
      <c r="AP133">
        <f t="shared" si="142"/>
        <v>2.1001920858383592E-4</v>
      </c>
      <c r="AQ133">
        <f t="shared" si="150"/>
        <v>2.1001920858383592E-4</v>
      </c>
      <c r="AR133">
        <f t="shared" si="143"/>
        <v>1.2456764309128769</v>
      </c>
      <c r="BA133">
        <f>BA131</f>
        <v>20</v>
      </c>
      <c r="BC133">
        <f t="shared" si="151"/>
        <v>0</v>
      </c>
      <c r="BD133">
        <f>BD131</f>
        <v>4.3835616438356165E-2</v>
      </c>
      <c r="BE133">
        <f t="shared" si="144"/>
        <v>0</v>
      </c>
      <c r="BF133">
        <v>55</v>
      </c>
      <c r="BG133">
        <f t="shared" si="152"/>
        <v>0.90909090909090906</v>
      </c>
      <c r="BH133">
        <f t="shared" ref="BH133:BH134" si="156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 t="shared" si="145"/>
        <v>80</v>
      </c>
      <c r="BJ133">
        <f t="shared" si="153"/>
        <v>1.6880492793899388E-2</v>
      </c>
      <c r="BK133">
        <f t="shared" si="154"/>
        <v>100.12242288381574</v>
      </c>
      <c r="BM133" s="28"/>
    </row>
    <row r="134" spans="1:73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130"/>
        <v>91.25</v>
      </c>
      <c r="N134">
        <v>0.02</v>
      </c>
      <c r="P134">
        <v>0.16</v>
      </c>
      <c r="R134">
        <v>0.7</v>
      </c>
      <c r="T134">
        <v>55</v>
      </c>
      <c r="U134">
        <f t="shared" si="146"/>
        <v>0</v>
      </c>
      <c r="V134">
        <f>V131</f>
        <v>1</v>
      </c>
      <c r="W134">
        <f>W131</f>
        <v>0.69</v>
      </c>
      <c r="X134">
        <f t="shared" si="131"/>
        <v>4.7000000000000002E-3</v>
      </c>
      <c r="Y134">
        <f t="shared" si="132"/>
        <v>0</v>
      </c>
      <c r="Z134">
        <v>0</v>
      </c>
      <c r="AA134">
        <f t="shared" si="147"/>
        <v>0</v>
      </c>
      <c r="AB134">
        <f t="shared" si="155"/>
        <v>1.3</v>
      </c>
      <c r="AC134">
        <f t="shared" si="133"/>
        <v>1</v>
      </c>
      <c r="AD134">
        <f t="shared" si="134"/>
        <v>0.55510000000000004</v>
      </c>
      <c r="AF134">
        <v>0.8</v>
      </c>
      <c r="AG134">
        <f t="shared" si="148"/>
        <v>0.72196269954680592</v>
      </c>
      <c r="AH134">
        <f t="shared" si="135"/>
        <v>1.2118587484135388</v>
      </c>
      <c r="AI134">
        <f t="shared" si="149"/>
        <v>0.87491681347405192</v>
      </c>
      <c r="AJ134">
        <f t="shared" si="136"/>
        <v>0.1399866901558483</v>
      </c>
      <c r="AK134">
        <f t="shared" si="137"/>
        <v>0.08</v>
      </c>
      <c r="AL134">
        <f t="shared" si="138"/>
        <v>0.26964668356122329</v>
      </c>
      <c r="AM134">
        <f t="shared" si="139"/>
        <v>0.19</v>
      </c>
      <c r="AN134">
        <f t="shared" si="140"/>
        <v>0.6784</v>
      </c>
      <c r="AO134">
        <f t="shared" si="141"/>
        <v>0</v>
      </c>
      <c r="AP134">
        <f t="shared" si="142"/>
        <v>1.6335498094424496E-4</v>
      </c>
      <c r="AQ134">
        <f t="shared" si="150"/>
        <v>1.6335498094424496E-4</v>
      </c>
      <c r="AR134">
        <f t="shared" si="143"/>
        <v>1.1924913608929884</v>
      </c>
      <c r="BA134">
        <f>BA131</f>
        <v>20</v>
      </c>
      <c r="BC134">
        <f t="shared" si="151"/>
        <v>0</v>
      </c>
      <c r="BD134">
        <f>BD131</f>
        <v>4.3835616438356165E-2</v>
      </c>
      <c r="BE134">
        <f t="shared" si="144"/>
        <v>1.84E-2</v>
      </c>
      <c r="BF134">
        <v>55</v>
      </c>
      <c r="BG134">
        <f t="shared" si="152"/>
        <v>1</v>
      </c>
      <c r="BH134">
        <f t="shared" si="156"/>
        <v>6.1146789351675165E-3</v>
      </c>
      <c r="BI134">
        <f t="shared" si="145"/>
        <v>88</v>
      </c>
      <c r="BJ134">
        <f t="shared" si="153"/>
        <v>1.6283191489768215E-2</v>
      </c>
      <c r="BK134">
        <f t="shared" si="154"/>
        <v>118.86729787530797</v>
      </c>
      <c r="BM134" s="28"/>
    </row>
    <row r="135" spans="1:73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130"/>
        <v>91.25</v>
      </c>
      <c r="N135">
        <v>0.15</v>
      </c>
      <c r="P135">
        <v>0.2</v>
      </c>
      <c r="R135">
        <v>0.75</v>
      </c>
      <c r="T135">
        <v>14</v>
      </c>
      <c r="U135">
        <f t="shared" si="146"/>
        <v>0</v>
      </c>
      <c r="V135">
        <f>V131</f>
        <v>1</v>
      </c>
      <c r="W135">
        <f>W131</f>
        <v>0.69</v>
      </c>
      <c r="X135">
        <f t="shared" si="131"/>
        <v>4.7000000000000002E-3</v>
      </c>
      <c r="Y135">
        <f t="shared" si="132"/>
        <v>0</v>
      </c>
      <c r="Z135">
        <v>1</v>
      </c>
      <c r="AA135">
        <f t="shared" si="147"/>
        <v>1.6</v>
      </c>
      <c r="AB135">
        <f t="shared" si="155"/>
        <v>1.3</v>
      </c>
      <c r="AC135">
        <f t="shared" si="133"/>
        <v>1</v>
      </c>
      <c r="AD135">
        <f t="shared" si="134"/>
        <v>0.5948500000000001</v>
      </c>
      <c r="AF135">
        <v>2.5</v>
      </c>
      <c r="AG135">
        <f t="shared" si="148"/>
        <v>0.99999627334682795</v>
      </c>
      <c r="AH135">
        <f t="shared" si="135"/>
        <v>0.3733079325984448</v>
      </c>
      <c r="AI135">
        <f t="shared" si="149"/>
        <v>0.37330654140925362</v>
      </c>
      <c r="AJ135">
        <f t="shared" si="136"/>
        <v>0.14666130828185073</v>
      </c>
      <c r="AK135">
        <f t="shared" si="137"/>
        <v>0.08</v>
      </c>
      <c r="AL135">
        <f t="shared" si="138"/>
        <v>9.0988870602137284E-2</v>
      </c>
      <c r="AM135">
        <f t="shared" si="139"/>
        <v>0.19</v>
      </c>
      <c r="AN135">
        <f t="shared" si="140"/>
        <v>0.6784</v>
      </c>
      <c r="AO135">
        <f t="shared" si="141"/>
        <v>0</v>
      </c>
      <c r="AP135">
        <f t="shared" si="142"/>
        <v>5.5122076886125516E-5</v>
      </c>
      <c r="AQ135">
        <f t="shared" si="150"/>
        <v>5.5122076886125516E-5</v>
      </c>
      <c r="AR135">
        <f t="shared" si="143"/>
        <v>1.0059779031717906</v>
      </c>
      <c r="BA135">
        <v>15</v>
      </c>
      <c r="BB135">
        <v>0.85</v>
      </c>
      <c r="BC135">
        <f t="shared" si="151"/>
        <v>0</v>
      </c>
      <c r="BD135">
        <f t="shared" ref="BD135:BD151" si="157">(BA135 * BB135) / 365</f>
        <v>3.4931506849315071E-2</v>
      </c>
      <c r="BE135">
        <f t="shared" si="144"/>
        <v>0.13800000000000001</v>
      </c>
      <c r="BF135">
        <v>60</v>
      </c>
      <c r="BG135">
        <f t="shared" si="152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 t="shared" si="145"/>
        <v>22.400000000000002</v>
      </c>
      <c r="BJ135">
        <f t="shared" si="153"/>
        <v>1.4960167164259927E-2</v>
      </c>
      <c r="BK135">
        <f t="shared" si="154"/>
        <v>273.0230507477437</v>
      </c>
      <c r="BM135" s="28"/>
    </row>
    <row r="136" spans="1:73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130"/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46"/>
        <v>0</v>
      </c>
      <c r="V136">
        <f>V131</f>
        <v>1</v>
      </c>
      <c r="W136">
        <f>W131</f>
        <v>0.69</v>
      </c>
      <c r="X136">
        <f t="shared" si="131"/>
        <v>4.7000000000000002E-3</v>
      </c>
      <c r="Y136">
        <f t="shared" si="132"/>
        <v>0</v>
      </c>
      <c r="Z136">
        <v>0</v>
      </c>
      <c r="AA136">
        <f t="shared" si="147"/>
        <v>0</v>
      </c>
      <c r="AB136">
        <f t="shared" si="155"/>
        <v>1.3</v>
      </c>
      <c r="AC136">
        <f t="shared" si="133"/>
        <v>1</v>
      </c>
      <c r="AD136">
        <f t="shared" si="134"/>
        <v>0.43585000000000007</v>
      </c>
      <c r="AF136">
        <v>2.5</v>
      </c>
      <c r="AG136">
        <f t="shared" si="148"/>
        <v>0.99999627334682795</v>
      </c>
      <c r="AH136">
        <f t="shared" si="135"/>
        <v>0.41205872426603418</v>
      </c>
      <c r="AI136">
        <f t="shared" si="149"/>
        <v>0.41205718866608232</v>
      </c>
      <c r="AJ136">
        <f t="shared" si="136"/>
        <v>2.8844003206625765E-2</v>
      </c>
      <c r="AK136">
        <f t="shared" si="137"/>
        <v>0.08</v>
      </c>
      <c r="AL136">
        <f t="shared" si="138"/>
        <v>0.1768399895714734</v>
      </c>
      <c r="AM136">
        <f t="shared" si="139"/>
        <v>0.19</v>
      </c>
      <c r="AN136">
        <f t="shared" si="140"/>
        <v>0.6784</v>
      </c>
      <c r="AO136">
        <f t="shared" si="141"/>
        <v>0</v>
      </c>
      <c r="AP136">
        <f t="shared" si="142"/>
        <v>1.0713164629028178E-4</v>
      </c>
      <c r="AQ136">
        <f t="shared" si="150"/>
        <v>1.0713164629028178E-4</v>
      </c>
      <c r="AR136">
        <f t="shared" si="143"/>
        <v>2.0529101720375245</v>
      </c>
      <c r="BA136">
        <f>BA135</f>
        <v>15</v>
      </c>
      <c r="BC136">
        <f t="shared" si="151"/>
        <v>0</v>
      </c>
      <c r="BD136">
        <f>BD135</f>
        <v>3.4931506849315071E-2</v>
      </c>
      <c r="BE136">
        <f t="shared" si="144"/>
        <v>0.1012</v>
      </c>
      <c r="BF136">
        <v>61</v>
      </c>
      <c r="BG136">
        <f t="shared" si="152"/>
        <v>0.39344262295081966</v>
      </c>
      <c r="BH136">
        <f t="shared" ref="BH136:BH154" si="158">((0.045 * BC136) + (BD136 * 0.84)  + (BE136 * ((212 - 4 * ((BE136 * 1000)/(4* (BF136^0.75)) - 1)) - ((140 - 4 * (((BE136 * 1000)/(4 * BF136 ^0.75)) - 1))/(1 + EXP(-6 * (BG136 - 0.4)))))) * 10^-3) / 6.25</f>
        <v>7.0110989897676302E-3</v>
      </c>
      <c r="BI136">
        <f t="shared" si="145"/>
        <v>38.400000000000006</v>
      </c>
      <c r="BJ136">
        <f t="shared" si="153"/>
        <v>-2.3960584767075081E-3</v>
      </c>
      <c r="BK136">
        <f t="shared" si="154"/>
        <v>-45.914470559907627</v>
      </c>
      <c r="BM136" s="28"/>
    </row>
    <row r="137" spans="1:73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130"/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46"/>
        <v>0</v>
      </c>
      <c r="V137">
        <f>V131</f>
        <v>1</v>
      </c>
      <c r="W137">
        <f>W131</f>
        <v>0.69</v>
      </c>
      <c r="X137">
        <f t="shared" si="131"/>
        <v>4.7000000000000002E-3</v>
      </c>
      <c r="Y137">
        <f t="shared" si="132"/>
        <v>0</v>
      </c>
      <c r="Z137">
        <v>0</v>
      </c>
      <c r="AA137">
        <f t="shared" si="147"/>
        <v>0</v>
      </c>
      <c r="AB137">
        <f t="shared" si="155"/>
        <v>1.3</v>
      </c>
      <c r="AC137">
        <f t="shared" si="133"/>
        <v>1</v>
      </c>
      <c r="AD137">
        <f t="shared" si="134"/>
        <v>0.53125000000000011</v>
      </c>
      <c r="AF137">
        <v>1.3</v>
      </c>
      <c r="AG137">
        <f t="shared" si="148"/>
        <v>0.96595254526540064</v>
      </c>
      <c r="AH137">
        <f t="shared" si="135"/>
        <v>0.75944776069416087</v>
      </c>
      <c r="AI137">
        <f t="shared" si="149"/>
        <v>0.73359049743863358</v>
      </c>
      <c r="AJ137">
        <f t="shared" si="136"/>
        <v>0.10270266964140871</v>
      </c>
      <c r="AK137">
        <f t="shared" si="137"/>
        <v>0.08</v>
      </c>
      <c r="AL137">
        <f t="shared" si="138"/>
        <v>0.24252217968227641</v>
      </c>
      <c r="AM137">
        <f t="shared" si="139"/>
        <v>0.19</v>
      </c>
      <c r="AN137">
        <f t="shared" si="140"/>
        <v>0.6784</v>
      </c>
      <c r="AO137">
        <f t="shared" si="141"/>
        <v>0</v>
      </c>
      <c r="AP137">
        <f t="shared" si="142"/>
        <v>1.4692265269993551E-4</v>
      </c>
      <c r="AQ137">
        <f t="shared" si="150"/>
        <v>1.4692265269993551E-4</v>
      </c>
      <c r="AR137">
        <f t="shared" si="143"/>
        <v>2.2791376500077494</v>
      </c>
      <c r="BA137">
        <f>BA135</f>
        <v>15</v>
      </c>
      <c r="BC137">
        <f t="shared" si="151"/>
        <v>0</v>
      </c>
      <c r="BD137">
        <f>BD135</f>
        <v>3.4931506849315071E-2</v>
      </c>
      <c r="BE137">
        <f t="shared" si="144"/>
        <v>0.11960000000000001</v>
      </c>
      <c r="BF137">
        <v>62</v>
      </c>
      <c r="BG137">
        <f t="shared" si="152"/>
        <v>0.58064516129032262</v>
      </c>
      <c r="BH137">
        <f t="shared" si="158"/>
        <v>6.7429438698597358E-3</v>
      </c>
      <c r="BI137">
        <f t="shared" si="145"/>
        <v>57.6</v>
      </c>
      <c r="BJ137">
        <f t="shared" si="153"/>
        <v>9.6894832727656578E-3</v>
      </c>
      <c r="BK137">
        <f t="shared" si="154"/>
        <v>150.30810926877726</v>
      </c>
      <c r="BM137" s="28"/>
    </row>
    <row r="138" spans="1:73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130"/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46"/>
        <v>0</v>
      </c>
      <c r="V138">
        <f>V131</f>
        <v>1</v>
      </c>
      <c r="W138">
        <f>W131</f>
        <v>0.69</v>
      </c>
      <c r="X138">
        <f t="shared" si="131"/>
        <v>4.7000000000000002E-3</v>
      </c>
      <c r="Y138">
        <f t="shared" si="132"/>
        <v>0</v>
      </c>
      <c r="Z138">
        <v>0</v>
      </c>
      <c r="AA138">
        <f t="shared" si="147"/>
        <v>0</v>
      </c>
      <c r="AB138">
        <f t="shared" si="155"/>
        <v>1.3</v>
      </c>
      <c r="AC138">
        <f t="shared" si="133"/>
        <v>1</v>
      </c>
      <c r="AD138">
        <f t="shared" si="134"/>
        <v>0.55510000000000004</v>
      </c>
      <c r="AF138">
        <v>0.8</v>
      </c>
      <c r="AG138">
        <f t="shared" si="148"/>
        <v>0.72196269954680592</v>
      </c>
      <c r="AH138">
        <f t="shared" si="135"/>
        <v>0.92411404077093851</v>
      </c>
      <c r="AI138">
        <f t="shared" si="149"/>
        <v>0.66717586756409386</v>
      </c>
      <c r="AJ138">
        <f t="shared" si="136"/>
        <v>0.10674813881025502</v>
      </c>
      <c r="AK138">
        <f t="shared" si="137"/>
        <v>0.08</v>
      </c>
      <c r="AL138">
        <f t="shared" si="138"/>
        <v>0.2005210893356543</v>
      </c>
      <c r="AM138">
        <f t="shared" si="139"/>
        <v>0.19</v>
      </c>
      <c r="AN138">
        <f t="shared" si="140"/>
        <v>0.6784</v>
      </c>
      <c r="AO138">
        <f t="shared" si="141"/>
        <v>0</v>
      </c>
      <c r="AP138">
        <f t="shared" si="142"/>
        <v>1.2147792175573995E-4</v>
      </c>
      <c r="AQ138">
        <f t="shared" si="150"/>
        <v>1.2147792175573995E-4</v>
      </c>
      <c r="AR138">
        <f t="shared" si="143"/>
        <v>2.2169720720422541</v>
      </c>
      <c r="BA138">
        <f>BA135</f>
        <v>15</v>
      </c>
      <c r="BC138">
        <f t="shared" si="151"/>
        <v>0</v>
      </c>
      <c r="BD138">
        <f>BD135</f>
        <v>3.4931506849315071E-2</v>
      </c>
      <c r="BE138">
        <f t="shared" si="144"/>
        <v>6.4400000000000013E-2</v>
      </c>
      <c r="BF138">
        <v>63</v>
      </c>
      <c r="BG138">
        <f t="shared" si="152"/>
        <v>0.66666666666666663</v>
      </c>
      <c r="BH138">
        <f t="shared" si="158"/>
        <v>5.6809448054659225E-3</v>
      </c>
      <c r="BI138">
        <f t="shared" si="145"/>
        <v>67.2</v>
      </c>
      <c r="BJ138">
        <f t="shared" si="153"/>
        <v>1.139875740417488E-2</v>
      </c>
      <c r="BK138">
        <f t="shared" si="154"/>
        <v>208.02732262619156</v>
      </c>
      <c r="BM138" s="28"/>
    </row>
    <row r="139" spans="1:73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130"/>
        <v>91.25</v>
      </c>
      <c r="N139">
        <v>0.03</v>
      </c>
      <c r="P139">
        <v>0.2</v>
      </c>
      <c r="R139">
        <v>0.75</v>
      </c>
      <c r="T139">
        <v>45</v>
      </c>
      <c r="U139">
        <f t="shared" si="146"/>
        <v>0</v>
      </c>
      <c r="V139">
        <f>V131</f>
        <v>1</v>
      </c>
      <c r="W139">
        <f>W131</f>
        <v>0.69</v>
      </c>
      <c r="X139">
        <f t="shared" si="131"/>
        <v>4.7000000000000002E-3</v>
      </c>
      <c r="Y139">
        <f t="shared" si="132"/>
        <v>0.874</v>
      </c>
      <c r="Z139">
        <v>0</v>
      </c>
      <c r="AA139">
        <f t="shared" si="147"/>
        <v>0</v>
      </c>
      <c r="AB139">
        <f t="shared" si="155"/>
        <v>1.3</v>
      </c>
      <c r="AC139">
        <f t="shared" si="133"/>
        <v>1.2622</v>
      </c>
      <c r="AD139">
        <f t="shared" si="134"/>
        <v>0.5948500000000001</v>
      </c>
      <c r="AF139">
        <v>2.5</v>
      </c>
      <c r="AG139">
        <f t="shared" si="148"/>
        <v>0.99999627334682795</v>
      </c>
      <c r="AH139">
        <f t="shared" si="135"/>
        <v>1.0615017285371116</v>
      </c>
      <c r="AI139">
        <f t="shared" si="149"/>
        <v>1.3398224886872072</v>
      </c>
      <c r="AJ139">
        <f t="shared" si="136"/>
        <v>0.26796449773744146</v>
      </c>
      <c r="AK139">
        <f t="shared" si="137"/>
        <v>0.08</v>
      </c>
      <c r="AL139">
        <f t="shared" si="138"/>
        <v>0.37421974668192259</v>
      </c>
      <c r="AM139">
        <f t="shared" si="139"/>
        <v>0.19</v>
      </c>
      <c r="AN139">
        <f t="shared" si="140"/>
        <v>0.6784</v>
      </c>
      <c r="AO139">
        <f t="shared" si="141"/>
        <v>0</v>
      </c>
      <c r="AP139">
        <f t="shared" si="142"/>
        <v>2.2670651380107159E-4</v>
      </c>
      <c r="AQ139">
        <f t="shared" si="150"/>
        <v>2.2670651380107159E-4</v>
      </c>
      <c r="AR139">
        <f t="shared" si="143"/>
        <v>2.068696938434778</v>
      </c>
      <c r="BA139">
        <v>18</v>
      </c>
      <c r="BB139">
        <v>0.8</v>
      </c>
      <c r="BC139">
        <f t="shared" si="151"/>
        <v>1.3984000000000001</v>
      </c>
      <c r="BD139">
        <f t="shared" ref="BD139:BD154" si="159">(BA139 * BB139) / 365</f>
        <v>3.9452054794520547E-2</v>
      </c>
      <c r="BE139">
        <f t="shared" si="144"/>
        <v>2.76E-2</v>
      </c>
      <c r="BF139">
        <v>55</v>
      </c>
      <c r="BG139">
        <f t="shared" si="152"/>
        <v>0.81818181818181823</v>
      </c>
      <c r="BH139">
        <f t="shared" si="158"/>
        <v>1.5736169017014176E-2</v>
      </c>
      <c r="BI139">
        <f t="shared" si="145"/>
        <v>72</v>
      </c>
      <c r="BJ139">
        <f t="shared" si="153"/>
        <v>2.7138150620976458E-2</v>
      </c>
      <c r="BK139">
        <f t="shared" si="154"/>
        <v>247.63562441641017</v>
      </c>
      <c r="BM139" s="28"/>
    </row>
    <row r="140" spans="1:73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130"/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46"/>
        <v>0</v>
      </c>
      <c r="V140">
        <f>V131</f>
        <v>1</v>
      </c>
      <c r="W140">
        <f>W131</f>
        <v>0.69</v>
      </c>
      <c r="X140">
        <f t="shared" si="131"/>
        <v>4.7000000000000002E-3</v>
      </c>
      <c r="Y140">
        <f t="shared" si="132"/>
        <v>0</v>
      </c>
      <c r="Z140">
        <v>0</v>
      </c>
      <c r="AA140">
        <f t="shared" si="147"/>
        <v>0</v>
      </c>
      <c r="AB140">
        <f t="shared" si="155"/>
        <v>1.3</v>
      </c>
      <c r="AC140">
        <f t="shared" si="133"/>
        <v>1</v>
      </c>
      <c r="AD140">
        <f t="shared" si="134"/>
        <v>0.43585000000000007</v>
      </c>
      <c r="AF140">
        <v>2.5</v>
      </c>
      <c r="AG140">
        <f t="shared" si="148"/>
        <v>0.99999627334682795</v>
      </c>
      <c r="AH140">
        <f t="shared" si="135"/>
        <v>0.77226516609487061</v>
      </c>
      <c r="AI140">
        <f t="shared" si="149"/>
        <v>0.77226228813043973</v>
      </c>
      <c r="AJ140">
        <f t="shared" si="136"/>
        <v>5.4058360169130786E-2</v>
      </c>
      <c r="AK140">
        <f t="shared" si="137"/>
        <v>0.08</v>
      </c>
      <c r="AL140">
        <f t="shared" si="138"/>
        <v>0.34166370401940144</v>
      </c>
      <c r="AM140">
        <f t="shared" si="139"/>
        <v>0.19</v>
      </c>
      <c r="AN140">
        <f t="shared" si="140"/>
        <v>0.6784</v>
      </c>
      <c r="AO140">
        <f t="shared" si="141"/>
        <v>0</v>
      </c>
      <c r="AP140">
        <f t="shared" si="142"/>
        <v>2.069836985284384E-4</v>
      </c>
      <c r="AQ140">
        <f t="shared" si="150"/>
        <v>2.069836985284384E-4</v>
      </c>
      <c r="AR140">
        <f t="shared" si="143"/>
        <v>2.6442167487008006</v>
      </c>
      <c r="BA140">
        <f>BA139</f>
        <v>18</v>
      </c>
      <c r="BC140">
        <f t="shared" si="151"/>
        <v>0</v>
      </c>
      <c r="BD140">
        <f>BD139</f>
        <v>3.9452054794520547E-2</v>
      </c>
      <c r="BE140">
        <f t="shared" si="144"/>
        <v>0</v>
      </c>
      <c r="BF140">
        <v>55</v>
      </c>
      <c r="BG140">
        <f t="shared" si="152"/>
        <v>0.81818181818181823</v>
      </c>
      <c r="BH140">
        <f t="shared" si="158"/>
        <v>5.3023561643835617E-3</v>
      </c>
      <c r="BI140">
        <f t="shared" si="145"/>
        <v>72</v>
      </c>
      <c r="BJ140">
        <f t="shared" si="153"/>
        <v>3.346981462677364E-3</v>
      </c>
      <c r="BK140">
        <f t="shared" si="154"/>
        <v>42.757688185703323</v>
      </c>
      <c r="BM140" s="28"/>
    </row>
    <row r="141" spans="1:73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130"/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46"/>
        <v>0</v>
      </c>
      <c r="V141">
        <f>V131</f>
        <v>1</v>
      </c>
      <c r="W141">
        <f>W131</f>
        <v>0.69</v>
      </c>
      <c r="X141">
        <f t="shared" si="131"/>
        <v>4.7000000000000002E-3</v>
      </c>
      <c r="Y141">
        <f t="shared" si="132"/>
        <v>0</v>
      </c>
      <c r="Z141">
        <v>0</v>
      </c>
      <c r="AA141">
        <f t="shared" si="147"/>
        <v>0</v>
      </c>
      <c r="AB141">
        <f t="shared" si="155"/>
        <v>1.3</v>
      </c>
      <c r="AC141">
        <f t="shared" si="133"/>
        <v>1</v>
      </c>
      <c r="AD141">
        <f t="shared" si="134"/>
        <v>0.53125000000000011</v>
      </c>
      <c r="AF141">
        <v>1.3</v>
      </c>
      <c r="AG141">
        <f t="shared" si="148"/>
        <v>0.96595254526540064</v>
      </c>
      <c r="AH141">
        <f t="shared" si="135"/>
        <v>0.94580710356021536</v>
      </c>
      <c r="AI141">
        <f t="shared" si="149"/>
        <v>0.91360477901408643</v>
      </c>
      <c r="AJ141">
        <f t="shared" si="136"/>
        <v>0.12790466906197212</v>
      </c>
      <c r="AK141">
        <f t="shared" si="137"/>
        <v>0.08</v>
      </c>
      <c r="AL141">
        <f t="shared" si="138"/>
        <v>0.30808640278301214</v>
      </c>
      <c r="AM141">
        <f t="shared" si="139"/>
        <v>0.19</v>
      </c>
      <c r="AN141">
        <f t="shared" si="140"/>
        <v>0.6784</v>
      </c>
      <c r="AO141">
        <f t="shared" si="141"/>
        <v>0</v>
      </c>
      <c r="AP141">
        <f t="shared" si="142"/>
        <v>1.8664219337365993E-4</v>
      </c>
      <c r="AQ141">
        <f t="shared" si="150"/>
        <v>1.8664219337365993E-4</v>
      </c>
      <c r="AR141">
        <f t="shared" si="143"/>
        <v>2.2991985196217732</v>
      </c>
      <c r="BA141">
        <f>BA139</f>
        <v>18</v>
      </c>
      <c r="BC141">
        <f t="shared" si="151"/>
        <v>0</v>
      </c>
      <c r="BD141">
        <f>BD139</f>
        <v>3.9452054794520547E-2</v>
      </c>
      <c r="BE141">
        <f t="shared" si="144"/>
        <v>0</v>
      </c>
      <c r="BF141">
        <v>55</v>
      </c>
      <c r="BG141">
        <f t="shared" si="152"/>
        <v>0.81818181818181823</v>
      </c>
      <c r="BH141">
        <f t="shared" si="158"/>
        <v>5.3023561643835617E-3</v>
      </c>
      <c r="BI141">
        <f t="shared" si="145"/>
        <v>72</v>
      </c>
      <c r="BJ141">
        <f t="shared" si="153"/>
        <v>1.5162390885531977E-2</v>
      </c>
      <c r="BK141">
        <f t="shared" si="154"/>
        <v>186.78170272114704</v>
      </c>
      <c r="BM141" s="28"/>
    </row>
    <row r="142" spans="1:73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130"/>
        <v>91.25</v>
      </c>
      <c r="N142">
        <v>0.5</v>
      </c>
      <c r="P142">
        <v>0.16</v>
      </c>
      <c r="R142">
        <v>0.7</v>
      </c>
      <c r="T142">
        <v>50</v>
      </c>
      <c r="U142">
        <f t="shared" si="146"/>
        <v>0</v>
      </c>
      <c r="V142">
        <f>V131</f>
        <v>1</v>
      </c>
      <c r="W142">
        <f>W131</f>
        <v>0.69</v>
      </c>
      <c r="X142">
        <f t="shared" si="131"/>
        <v>4.7000000000000002E-3</v>
      </c>
      <c r="Y142">
        <f t="shared" si="132"/>
        <v>0</v>
      </c>
      <c r="Z142">
        <v>0</v>
      </c>
      <c r="AA142">
        <f t="shared" si="147"/>
        <v>0</v>
      </c>
      <c r="AB142">
        <f t="shared" si="155"/>
        <v>1.3</v>
      </c>
      <c r="AC142">
        <f t="shared" si="133"/>
        <v>1</v>
      </c>
      <c r="AD142">
        <f t="shared" si="134"/>
        <v>0.55510000000000004</v>
      </c>
      <c r="AF142">
        <v>0.8</v>
      </c>
      <c r="AG142">
        <f t="shared" si="148"/>
        <v>0.72196269954680592</v>
      </c>
      <c r="AH142">
        <f t="shared" si="135"/>
        <v>1.0993929471578776</v>
      </c>
      <c r="AI142">
        <f t="shared" si="149"/>
        <v>0.79372069999282024</v>
      </c>
      <c r="AJ142">
        <f t="shared" si="136"/>
        <v>0.12699531199885125</v>
      </c>
      <c r="AK142">
        <f t="shared" si="137"/>
        <v>0.08</v>
      </c>
      <c r="AL142">
        <f t="shared" si="138"/>
        <v>0.24225063902319144</v>
      </c>
      <c r="AM142">
        <f t="shared" si="139"/>
        <v>0.19</v>
      </c>
      <c r="AN142">
        <f t="shared" si="140"/>
        <v>0.6784</v>
      </c>
      <c r="AO142">
        <f t="shared" si="141"/>
        <v>0</v>
      </c>
      <c r="AP142">
        <f t="shared" si="142"/>
        <v>1.4675815032740645E-4</v>
      </c>
      <c r="AQ142">
        <f t="shared" si="150"/>
        <v>1.4675815032740645E-4</v>
      </c>
      <c r="AR142">
        <f t="shared" si="143"/>
        <v>1.7409185582588591</v>
      </c>
      <c r="BA142">
        <f>BA139</f>
        <v>18</v>
      </c>
      <c r="BC142">
        <f t="shared" si="151"/>
        <v>0</v>
      </c>
      <c r="BD142">
        <f>BD139</f>
        <v>3.9452054794520547E-2</v>
      </c>
      <c r="BE142">
        <f t="shared" si="144"/>
        <v>0.46</v>
      </c>
      <c r="BF142">
        <v>55</v>
      </c>
      <c r="BG142">
        <f t="shared" si="152"/>
        <v>0.90909090909090906</v>
      </c>
      <c r="BH142">
        <f t="shared" si="158"/>
        <v>1.1003241659247723E-2</v>
      </c>
      <c r="BI142">
        <f t="shared" si="145"/>
        <v>80</v>
      </c>
      <c r="BJ142">
        <f t="shared" si="153"/>
        <v>9.3160082605684771E-3</v>
      </c>
      <c r="BK142">
        <f t="shared" si="154"/>
        <v>110.51114799099355</v>
      </c>
      <c r="BM142" s="28"/>
    </row>
    <row r="143" spans="1:73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130"/>
        <v>91.25</v>
      </c>
      <c r="N143">
        <v>0</v>
      </c>
      <c r="P143">
        <v>0.2</v>
      </c>
      <c r="R143">
        <v>0.75</v>
      </c>
      <c r="T143">
        <v>50</v>
      </c>
      <c r="U143">
        <f t="shared" si="146"/>
        <v>0</v>
      </c>
      <c r="V143">
        <f>V131</f>
        <v>1</v>
      </c>
      <c r="W143">
        <f>W131</f>
        <v>0.69</v>
      </c>
      <c r="X143">
        <f t="shared" si="131"/>
        <v>4.7000000000000002E-3</v>
      </c>
      <c r="Y143">
        <f t="shared" si="132"/>
        <v>0</v>
      </c>
      <c r="Z143">
        <v>0</v>
      </c>
      <c r="AA143">
        <f t="shared" si="147"/>
        <v>0</v>
      </c>
      <c r="AB143">
        <f t="shared" si="155"/>
        <v>1.3</v>
      </c>
      <c r="AC143">
        <f t="shared" si="133"/>
        <v>1</v>
      </c>
      <c r="AD143">
        <f t="shared" si="134"/>
        <v>0.5948500000000001</v>
      </c>
      <c r="AF143">
        <v>2.5</v>
      </c>
      <c r="AG143">
        <f t="shared" si="148"/>
        <v>0.99999627334682795</v>
      </c>
      <c r="AH143">
        <f t="shared" si="135"/>
        <v>1.1776478069972991</v>
      </c>
      <c r="AI143">
        <f t="shared" si="149"/>
        <v>1.1776434183123636</v>
      </c>
      <c r="AJ143">
        <f t="shared" si="136"/>
        <v>0.23552868366247273</v>
      </c>
      <c r="AK143">
        <f t="shared" si="137"/>
        <v>0.08</v>
      </c>
      <c r="AL143">
        <f t="shared" si="138"/>
        <v>0.32189384617339861</v>
      </c>
      <c r="AM143">
        <f t="shared" si="139"/>
        <v>0.19</v>
      </c>
      <c r="AN143">
        <f t="shared" si="140"/>
        <v>0.6784</v>
      </c>
      <c r="AO143">
        <f t="shared" si="141"/>
        <v>0</v>
      </c>
      <c r="AP143">
        <f t="shared" si="142"/>
        <v>1.9500689722292205E-4</v>
      </c>
      <c r="AQ143">
        <f t="shared" si="150"/>
        <v>1.9500689722292205E-4</v>
      </c>
      <c r="AR143">
        <f t="shared" si="143"/>
        <v>3.5588758743183275</v>
      </c>
      <c r="BA143">
        <v>20</v>
      </c>
      <c r="BB143">
        <v>0.8</v>
      </c>
      <c r="BC143">
        <f t="shared" si="151"/>
        <v>0</v>
      </c>
      <c r="BD143">
        <f t="shared" ref="BD143:BD154" si="160">(BA143 * BB143) / 365</f>
        <v>4.3835616438356165E-2</v>
      </c>
      <c r="BE143">
        <f t="shared" si="144"/>
        <v>0</v>
      </c>
      <c r="BF143">
        <v>55</v>
      </c>
      <c r="BG143">
        <f t="shared" si="152"/>
        <v>0.90909090909090906</v>
      </c>
      <c r="BH143">
        <f t="shared" si="158"/>
        <v>5.8915068493150683E-3</v>
      </c>
      <c r="BI143">
        <f t="shared" si="145"/>
        <v>80</v>
      </c>
      <c r="BJ143">
        <f t="shared" si="153"/>
        <v>3.1793082536680568E-2</v>
      </c>
      <c r="BK143">
        <f t="shared" si="154"/>
        <v>580.22375629442035</v>
      </c>
      <c r="BM143" s="28"/>
    </row>
    <row r="144" spans="1:73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130"/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46"/>
        <v>0</v>
      </c>
      <c r="V144">
        <f>V131</f>
        <v>1</v>
      </c>
      <c r="W144">
        <f>W131</f>
        <v>0.69</v>
      </c>
      <c r="X144">
        <f t="shared" si="131"/>
        <v>4.7000000000000002E-3</v>
      </c>
      <c r="Y144">
        <f t="shared" si="132"/>
        <v>0</v>
      </c>
      <c r="Z144">
        <v>0</v>
      </c>
      <c r="AA144">
        <f t="shared" si="147"/>
        <v>0</v>
      </c>
      <c r="AB144">
        <f t="shared" si="155"/>
        <v>1.3</v>
      </c>
      <c r="AC144">
        <f t="shared" si="133"/>
        <v>1</v>
      </c>
      <c r="AD144">
        <f t="shared" si="134"/>
        <v>0.43585000000000007</v>
      </c>
      <c r="AF144">
        <v>2.5</v>
      </c>
      <c r="AG144">
        <f t="shared" si="148"/>
        <v>0.99999627334682795</v>
      </c>
      <c r="AH144">
        <f t="shared" si="135"/>
        <v>0.8646283676396137</v>
      </c>
      <c r="AI144">
        <f t="shared" si="149"/>
        <v>0.86462514546956482</v>
      </c>
      <c r="AJ144">
        <f t="shared" si="136"/>
        <v>6.0523760182869542E-2</v>
      </c>
      <c r="AK144">
        <f t="shared" si="137"/>
        <v>0.08</v>
      </c>
      <c r="AL144">
        <f t="shared" si="138"/>
        <v>0.38546563065656003</v>
      </c>
      <c r="AM144">
        <f t="shared" si="139"/>
        <v>0.19</v>
      </c>
      <c r="AN144">
        <f t="shared" si="140"/>
        <v>0.6784</v>
      </c>
      <c r="AO144">
        <f t="shared" si="141"/>
        <v>0</v>
      </c>
      <c r="AP144">
        <f t="shared" si="142"/>
        <v>2.3351939626680747E-4</v>
      </c>
      <c r="AQ144">
        <f t="shared" si="150"/>
        <v>2.3351939626680747E-4</v>
      </c>
      <c r="AR144">
        <f t="shared" si="143"/>
        <v>4.474815430962698</v>
      </c>
      <c r="BA144">
        <f>BA143</f>
        <v>20</v>
      </c>
      <c r="BC144">
        <f t="shared" si="151"/>
        <v>0</v>
      </c>
      <c r="BD144">
        <f>BD143</f>
        <v>4.3835616438356165E-2</v>
      </c>
      <c r="BE144">
        <f t="shared" si="144"/>
        <v>0</v>
      </c>
      <c r="BF144">
        <v>55</v>
      </c>
      <c r="BG144">
        <f t="shared" si="152"/>
        <v>0.90909090909090906</v>
      </c>
      <c r="BH144">
        <f t="shared" si="158"/>
        <v>5.8915068493150683E-3</v>
      </c>
      <c r="BI144">
        <f t="shared" si="145"/>
        <v>80</v>
      </c>
      <c r="BJ144">
        <f t="shared" si="153"/>
        <v>3.792294779944058E-3</v>
      </c>
      <c r="BK144">
        <f t="shared" si="154"/>
        <v>72.669848720678004</v>
      </c>
      <c r="BM144" s="28"/>
    </row>
    <row r="145" spans="5:65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130"/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46"/>
        <v>0</v>
      </c>
      <c r="V145">
        <f>V131</f>
        <v>1</v>
      </c>
      <c r="W145">
        <f>W131</f>
        <v>0.69</v>
      </c>
      <c r="X145">
        <f t="shared" si="131"/>
        <v>4.7000000000000002E-3</v>
      </c>
      <c r="Y145">
        <f t="shared" si="132"/>
        <v>0</v>
      </c>
      <c r="Z145">
        <v>0</v>
      </c>
      <c r="AA145">
        <f t="shared" si="147"/>
        <v>0</v>
      </c>
      <c r="AB145">
        <f t="shared" si="155"/>
        <v>1.3</v>
      </c>
      <c r="AC145">
        <f t="shared" si="133"/>
        <v>1</v>
      </c>
      <c r="AD145">
        <f t="shared" si="134"/>
        <v>0.53125000000000011</v>
      </c>
      <c r="AF145">
        <v>1.3</v>
      </c>
      <c r="AG145">
        <f t="shared" si="148"/>
        <v>0.96595254526540064</v>
      </c>
      <c r="AH145">
        <f t="shared" si="135"/>
        <v>1.052440031254225</v>
      </c>
      <c r="AI145">
        <f t="shared" si="149"/>
        <v>1.0166071269292165</v>
      </c>
      <c r="AJ145">
        <f t="shared" si="136"/>
        <v>0.14232499777009033</v>
      </c>
      <c r="AK145">
        <f t="shared" si="137"/>
        <v>0.08</v>
      </c>
      <c r="AL145">
        <f t="shared" si="138"/>
        <v>0.34667435759496673</v>
      </c>
      <c r="AM145">
        <f t="shared" si="139"/>
        <v>0.19</v>
      </c>
      <c r="AN145">
        <f t="shared" si="140"/>
        <v>0.6784</v>
      </c>
      <c r="AO145">
        <f t="shared" si="141"/>
        <v>0</v>
      </c>
      <c r="AP145">
        <f t="shared" si="142"/>
        <v>2.1001920858383592E-4</v>
      </c>
      <c r="AQ145">
        <f t="shared" si="150"/>
        <v>2.1001920858383592E-4</v>
      </c>
      <c r="AR145">
        <f t="shared" si="143"/>
        <v>3.641208028822255</v>
      </c>
      <c r="BA145">
        <f>BA143</f>
        <v>20</v>
      </c>
      <c r="BC145">
        <f t="shared" si="151"/>
        <v>0</v>
      </c>
      <c r="BD145">
        <f>BD143</f>
        <v>4.3835616438356165E-2</v>
      </c>
      <c r="BE145">
        <f t="shared" si="144"/>
        <v>0</v>
      </c>
      <c r="BF145">
        <v>55</v>
      </c>
      <c r="BG145">
        <f t="shared" si="152"/>
        <v>0.90909090909090906</v>
      </c>
      <c r="BH145">
        <f t="shared" si="158"/>
        <v>5.8915068493150683E-3</v>
      </c>
      <c r="BI145">
        <f t="shared" si="145"/>
        <v>80</v>
      </c>
      <c r="BJ145">
        <f t="shared" si="153"/>
        <v>1.6880492793899388E-2</v>
      </c>
      <c r="BK145">
        <f t="shared" si="154"/>
        <v>292.6655438142306</v>
      </c>
      <c r="BM145" s="28"/>
    </row>
    <row r="146" spans="5:65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130"/>
        <v>91.25</v>
      </c>
      <c r="N146">
        <v>0</v>
      </c>
      <c r="P146">
        <v>0.16</v>
      </c>
      <c r="R146">
        <v>0.7</v>
      </c>
      <c r="T146">
        <v>50</v>
      </c>
      <c r="U146">
        <f t="shared" si="146"/>
        <v>0</v>
      </c>
      <c r="V146">
        <f>V131</f>
        <v>1</v>
      </c>
      <c r="W146">
        <f>W131</f>
        <v>0.69</v>
      </c>
      <c r="X146">
        <f t="shared" si="131"/>
        <v>4.7000000000000002E-3</v>
      </c>
      <c r="Y146">
        <f t="shared" si="132"/>
        <v>0</v>
      </c>
      <c r="Z146">
        <v>0</v>
      </c>
      <c r="AA146">
        <f t="shared" si="147"/>
        <v>0</v>
      </c>
      <c r="AB146">
        <f t="shared" si="155"/>
        <v>1.3</v>
      </c>
      <c r="AC146">
        <f t="shared" si="133"/>
        <v>1</v>
      </c>
      <c r="AD146">
        <f t="shared" si="134"/>
        <v>0.55510000000000004</v>
      </c>
      <c r="AF146">
        <v>0.8</v>
      </c>
      <c r="AG146">
        <f t="shared" si="148"/>
        <v>0.72196269954680592</v>
      </c>
      <c r="AH146">
        <f t="shared" si="135"/>
        <v>1.0993929471578776</v>
      </c>
      <c r="AI146">
        <f t="shared" si="149"/>
        <v>0.79372069999282024</v>
      </c>
      <c r="AJ146">
        <f t="shared" si="136"/>
        <v>0.12699531199885125</v>
      </c>
      <c r="AK146">
        <f t="shared" si="137"/>
        <v>0.08</v>
      </c>
      <c r="AL146">
        <f t="shared" si="138"/>
        <v>0.24225063902319144</v>
      </c>
      <c r="AM146">
        <f t="shared" si="139"/>
        <v>0.19</v>
      </c>
      <c r="AN146">
        <f t="shared" si="140"/>
        <v>0.6784</v>
      </c>
      <c r="AO146">
        <f t="shared" si="141"/>
        <v>0</v>
      </c>
      <c r="AP146">
        <f t="shared" si="142"/>
        <v>1.4675815032740645E-4</v>
      </c>
      <c r="AQ146">
        <f t="shared" si="150"/>
        <v>1.4675815032740645E-4</v>
      </c>
      <c r="AR146">
        <f t="shared" si="143"/>
        <v>2.4105026191276511</v>
      </c>
      <c r="BA146">
        <f>BA143</f>
        <v>20</v>
      </c>
      <c r="BC146">
        <f t="shared" si="151"/>
        <v>0</v>
      </c>
      <c r="BD146">
        <f>BD143</f>
        <v>4.3835616438356165E-2</v>
      </c>
      <c r="BE146">
        <f t="shared" si="144"/>
        <v>0</v>
      </c>
      <c r="BF146">
        <v>55</v>
      </c>
      <c r="BG146">
        <f t="shared" si="152"/>
        <v>0.90909090909090906</v>
      </c>
      <c r="BH146">
        <f t="shared" si="158"/>
        <v>5.8915068493150683E-3</v>
      </c>
      <c r="BI146">
        <f t="shared" si="145"/>
        <v>80</v>
      </c>
      <c r="BJ146">
        <f t="shared" si="153"/>
        <v>1.4427743070501133E-2</v>
      </c>
      <c r="BK146">
        <f t="shared" si="154"/>
        <v>236.97567993298111</v>
      </c>
      <c r="BM146" s="28"/>
    </row>
    <row r="147" spans="5:65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130"/>
        <v>91.25</v>
      </c>
      <c r="N147">
        <v>0.16</v>
      </c>
      <c r="P147">
        <v>0.2</v>
      </c>
      <c r="R147">
        <v>0.75</v>
      </c>
      <c r="T147">
        <v>90</v>
      </c>
      <c r="U147">
        <f t="shared" si="146"/>
        <v>0</v>
      </c>
      <c r="V147">
        <f>V131</f>
        <v>1</v>
      </c>
      <c r="W147">
        <f>W131</f>
        <v>0.69</v>
      </c>
      <c r="X147">
        <f t="shared" si="131"/>
        <v>4.7000000000000002E-3</v>
      </c>
      <c r="Y147">
        <f t="shared" si="132"/>
        <v>0</v>
      </c>
      <c r="Z147">
        <v>0</v>
      </c>
      <c r="AA147">
        <f t="shared" si="147"/>
        <v>0</v>
      </c>
      <c r="AB147">
        <f t="shared" si="155"/>
        <v>1.3</v>
      </c>
      <c r="AC147">
        <f t="shared" si="133"/>
        <v>1</v>
      </c>
      <c r="AD147">
        <f t="shared" si="134"/>
        <v>0.5948500000000001</v>
      </c>
      <c r="AF147">
        <v>2.5</v>
      </c>
      <c r="AG147">
        <f t="shared" si="148"/>
        <v>0.99999627334682795</v>
      </c>
      <c r="AH147">
        <f t="shared" si="135"/>
        <v>2.188901849330922</v>
      </c>
      <c r="AI147">
        <f t="shared" si="149"/>
        <v>2.1888936920529019</v>
      </c>
      <c r="AJ147">
        <f t="shared" si="136"/>
        <v>0.4377787384105804</v>
      </c>
      <c r="AK147">
        <f t="shared" si="137"/>
        <v>0.08</v>
      </c>
      <c r="AL147">
        <f t="shared" si="138"/>
        <v>0.67976375507217801</v>
      </c>
      <c r="AM147">
        <f t="shared" si="139"/>
        <v>0.19</v>
      </c>
      <c r="AN147">
        <f t="shared" si="140"/>
        <v>0.6784</v>
      </c>
      <c r="AO147">
        <f t="shared" si="141"/>
        <v>0</v>
      </c>
      <c r="AP147">
        <f t="shared" si="142"/>
        <v>4.1180849617678233E-4</v>
      </c>
      <c r="AQ147">
        <f t="shared" si="150"/>
        <v>4.1180849617678233E-4</v>
      </c>
      <c r="AR147">
        <f t="shared" si="143"/>
        <v>1.8788762638065695</v>
      </c>
      <c r="BA147">
        <v>15</v>
      </c>
      <c r="BB147">
        <v>0.85</v>
      </c>
      <c r="BC147">
        <f t="shared" si="151"/>
        <v>0</v>
      </c>
      <c r="BD147">
        <f t="shared" ref="BD147:BD154" si="161">(BA147 * BB147) / 365</f>
        <v>3.4931506849315071E-2</v>
      </c>
      <c r="BE147">
        <f t="shared" si="144"/>
        <v>0.1472</v>
      </c>
      <c r="BF147">
        <v>77</v>
      </c>
      <c r="BG147">
        <f t="shared" si="152"/>
        <v>1.1688311688311688</v>
      </c>
      <c r="BH147">
        <f t="shared" si="158"/>
        <v>6.4225483770823221E-3</v>
      </c>
      <c r="BI147">
        <f t="shared" si="145"/>
        <v>144</v>
      </c>
      <c r="BJ147">
        <f t="shared" si="153"/>
        <v>6.3622049768610536E-2</v>
      </c>
      <c r="BK147">
        <f t="shared" si="154"/>
        <v>290.27560206928558</v>
      </c>
      <c r="BM147" s="28"/>
    </row>
    <row r="148" spans="5:65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130"/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46"/>
        <v>0</v>
      </c>
      <c r="V148">
        <f>V131</f>
        <v>1</v>
      </c>
      <c r="W148">
        <f>W131</f>
        <v>0.69</v>
      </c>
      <c r="X148">
        <f t="shared" si="131"/>
        <v>4.7000000000000002E-3</v>
      </c>
      <c r="Y148">
        <f t="shared" si="132"/>
        <v>0</v>
      </c>
      <c r="Z148">
        <v>0</v>
      </c>
      <c r="AA148">
        <f t="shared" si="147"/>
        <v>0</v>
      </c>
      <c r="AB148">
        <f t="shared" si="155"/>
        <v>1.3</v>
      </c>
      <c r="AC148">
        <f t="shared" si="133"/>
        <v>1</v>
      </c>
      <c r="AD148">
        <f t="shared" si="134"/>
        <v>0.43585000000000007</v>
      </c>
      <c r="AF148">
        <v>2.5</v>
      </c>
      <c r="AG148">
        <f t="shared" si="148"/>
        <v>0.99999627334682795</v>
      </c>
      <c r="AH148">
        <f t="shared" si="135"/>
        <v>1.7024658722949466</v>
      </c>
      <c r="AI148">
        <f t="shared" si="149"/>
        <v>1.7024595277951033</v>
      </c>
      <c r="AJ148">
        <f t="shared" si="136"/>
        <v>0.11917216694565724</v>
      </c>
      <c r="AK148">
        <f t="shared" si="137"/>
        <v>0.08</v>
      </c>
      <c r="AL148">
        <f t="shared" si="138"/>
        <v>0.81147820323828879</v>
      </c>
      <c r="AM148">
        <f t="shared" si="139"/>
        <v>0.19</v>
      </c>
      <c r="AN148">
        <f t="shared" si="140"/>
        <v>0.6784</v>
      </c>
      <c r="AO148">
        <f t="shared" si="141"/>
        <v>0</v>
      </c>
      <c r="AP148">
        <f t="shared" si="142"/>
        <v>4.9160258407763158E-4</v>
      </c>
      <c r="AQ148">
        <f t="shared" si="150"/>
        <v>4.9160258407763158E-4</v>
      </c>
      <c r="AR148">
        <f t="shared" si="143"/>
        <v>2.4672304688396136</v>
      </c>
      <c r="BA148">
        <f>BA147</f>
        <v>15</v>
      </c>
      <c r="BC148">
        <f t="shared" si="151"/>
        <v>0</v>
      </c>
      <c r="BD148">
        <f>BD147</f>
        <v>3.4931506849315071E-2</v>
      </c>
      <c r="BE148">
        <f t="shared" si="144"/>
        <v>0</v>
      </c>
      <c r="BF148">
        <v>77</v>
      </c>
      <c r="BG148">
        <f t="shared" si="152"/>
        <v>1.1688311688311688</v>
      </c>
      <c r="BH148">
        <f t="shared" si="158"/>
        <v>4.6947945205479454E-3</v>
      </c>
      <c r="BI148">
        <f t="shared" si="145"/>
        <v>144</v>
      </c>
      <c r="BJ148">
        <f t="shared" si="153"/>
        <v>1.4372752190757213E-2</v>
      </c>
      <c r="BK148">
        <f t="shared" si="154"/>
        <v>72.133250057362758</v>
      </c>
      <c r="BM148" s="28"/>
    </row>
    <row r="149" spans="5:65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130"/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46"/>
        <v>0</v>
      </c>
      <c r="V149">
        <f>V131</f>
        <v>1</v>
      </c>
      <c r="W149">
        <f>W131</f>
        <v>0.69</v>
      </c>
      <c r="X149">
        <f t="shared" si="131"/>
        <v>4.7000000000000002E-3</v>
      </c>
      <c r="Y149">
        <f t="shared" si="132"/>
        <v>0</v>
      </c>
      <c r="Z149">
        <v>0</v>
      </c>
      <c r="AA149">
        <f t="shared" si="147"/>
        <v>0</v>
      </c>
      <c r="AB149">
        <f t="shared" si="155"/>
        <v>1.3</v>
      </c>
      <c r="AC149">
        <f t="shared" si="133"/>
        <v>1</v>
      </c>
      <c r="AD149">
        <f t="shared" si="134"/>
        <v>0.53125000000000011</v>
      </c>
      <c r="AF149">
        <v>1.3</v>
      </c>
      <c r="AG149">
        <f t="shared" si="148"/>
        <v>0.96595254526540064</v>
      </c>
      <c r="AH149">
        <f t="shared" si="135"/>
        <v>1.6220828500688129</v>
      </c>
      <c r="AI149">
        <f t="shared" si="149"/>
        <v>1.5668550576553251</v>
      </c>
      <c r="AJ149">
        <f t="shared" si="136"/>
        <v>0.21935970807174554</v>
      </c>
      <c r="AK149">
        <f t="shared" si="137"/>
        <v>0.08</v>
      </c>
      <c r="AL149">
        <f t="shared" si="138"/>
        <v>0.56604247510271932</v>
      </c>
      <c r="AM149">
        <f t="shared" si="139"/>
        <v>0.19</v>
      </c>
      <c r="AN149">
        <f t="shared" si="140"/>
        <v>0.6784</v>
      </c>
      <c r="AO149">
        <f t="shared" si="141"/>
        <v>0</v>
      </c>
      <c r="AP149">
        <f t="shared" si="142"/>
        <v>3.4291487109294852E-4</v>
      </c>
      <c r="AQ149">
        <f t="shared" si="150"/>
        <v>3.4291487109294852E-4</v>
      </c>
      <c r="AR149">
        <f t="shared" si="143"/>
        <v>1.8774589192338933</v>
      </c>
      <c r="BA149">
        <f>BA147</f>
        <v>15</v>
      </c>
      <c r="BC149">
        <f t="shared" si="151"/>
        <v>0</v>
      </c>
      <c r="BD149">
        <f>BD147</f>
        <v>3.4931506849315071E-2</v>
      </c>
      <c r="BE149">
        <f t="shared" si="144"/>
        <v>-0.18400000000000002</v>
      </c>
      <c r="BF149">
        <v>77</v>
      </c>
      <c r="BG149">
        <f t="shared" si="152"/>
        <v>0.97402597402597402</v>
      </c>
      <c r="BH149">
        <f t="shared" si="158"/>
        <v>2.4374848608923693E-3</v>
      </c>
      <c r="BI149">
        <f t="shared" si="145"/>
        <v>120</v>
      </c>
      <c r="BJ149">
        <f t="shared" si="153"/>
        <v>3.2660068430586921E-2</v>
      </c>
      <c r="BK149">
        <f t="shared" si="154"/>
        <v>178.81387465746337</v>
      </c>
      <c r="BM149" s="28"/>
    </row>
    <row r="150" spans="5:65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130"/>
        <v>91.25</v>
      </c>
      <c r="N150">
        <v>0</v>
      </c>
      <c r="P150">
        <v>0.16</v>
      </c>
      <c r="R150">
        <v>0.7</v>
      </c>
      <c r="T150">
        <v>75</v>
      </c>
      <c r="U150">
        <f t="shared" si="146"/>
        <v>0</v>
      </c>
      <c r="V150">
        <f>V131</f>
        <v>1</v>
      </c>
      <c r="W150">
        <f>W131</f>
        <v>0.69</v>
      </c>
      <c r="X150">
        <f t="shared" si="131"/>
        <v>4.7000000000000002E-3</v>
      </c>
      <c r="Y150">
        <f t="shared" si="132"/>
        <v>0</v>
      </c>
      <c r="Z150">
        <v>0</v>
      </c>
      <c r="AA150">
        <f t="shared" si="147"/>
        <v>0</v>
      </c>
      <c r="AB150">
        <f t="shared" si="155"/>
        <v>1.3</v>
      </c>
      <c r="AC150">
        <f t="shared" si="133"/>
        <v>1</v>
      </c>
      <c r="AD150">
        <f t="shared" si="134"/>
        <v>0.55510000000000004</v>
      </c>
      <c r="AF150">
        <v>0.8</v>
      </c>
      <c r="AG150">
        <f t="shared" si="148"/>
        <v>0.72196269954680592</v>
      </c>
      <c r="AH150">
        <f t="shared" si="135"/>
        <v>1.6857229733976102</v>
      </c>
      <c r="AI150">
        <f t="shared" si="149"/>
        <v>1.2170291085622071</v>
      </c>
      <c r="AJ150">
        <f t="shared" si="136"/>
        <v>0.19472465736995315</v>
      </c>
      <c r="AK150">
        <f t="shared" si="137"/>
        <v>0.08</v>
      </c>
      <c r="AL150">
        <f t="shared" si="138"/>
        <v>0.39040671648319736</v>
      </c>
      <c r="AM150">
        <f t="shared" si="139"/>
        <v>0.19</v>
      </c>
      <c r="AN150">
        <f t="shared" si="140"/>
        <v>0.6784</v>
      </c>
      <c r="AO150">
        <f t="shared" si="141"/>
        <v>0</v>
      </c>
      <c r="AP150">
        <f t="shared" si="142"/>
        <v>2.365127614007456E-4</v>
      </c>
      <c r="AQ150">
        <f t="shared" si="150"/>
        <v>2.365127614007456E-4</v>
      </c>
      <c r="AR150">
        <f t="shared" si="143"/>
        <v>1.4028163160581724</v>
      </c>
      <c r="BA150">
        <f>BA147</f>
        <v>15</v>
      </c>
      <c r="BC150">
        <f t="shared" si="151"/>
        <v>0</v>
      </c>
      <c r="BD150">
        <f>BD147</f>
        <v>3.4931506849315071E-2</v>
      </c>
      <c r="BE150">
        <f t="shared" si="144"/>
        <v>0</v>
      </c>
      <c r="BF150">
        <v>77</v>
      </c>
      <c r="BG150">
        <f t="shared" si="152"/>
        <v>0.97402597402597402</v>
      </c>
      <c r="BH150">
        <f t="shared" si="158"/>
        <v>4.6947945205479454E-3</v>
      </c>
      <c r="BI150">
        <f t="shared" si="145"/>
        <v>120</v>
      </c>
      <c r="BJ150">
        <f t="shared" si="153"/>
        <v>2.6461150658644558E-2</v>
      </c>
      <c r="BK150">
        <f t="shared" si="154"/>
        <v>156.94769984408552</v>
      </c>
      <c r="BM150" s="28"/>
    </row>
    <row r="151" spans="5:65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130"/>
        <v>91.25</v>
      </c>
      <c r="N151">
        <v>0.11</v>
      </c>
      <c r="P151">
        <v>0.2</v>
      </c>
      <c r="R151">
        <v>0.75</v>
      </c>
      <c r="T151">
        <v>55</v>
      </c>
      <c r="U151">
        <f t="shared" si="146"/>
        <v>0</v>
      </c>
      <c r="V151">
        <f>V131</f>
        <v>1</v>
      </c>
      <c r="W151">
        <f>W131</f>
        <v>0.69</v>
      </c>
      <c r="X151">
        <f t="shared" si="131"/>
        <v>4.7000000000000002E-3</v>
      </c>
      <c r="Y151">
        <f t="shared" si="132"/>
        <v>0</v>
      </c>
      <c r="Z151">
        <v>0</v>
      </c>
      <c r="AA151">
        <f t="shared" si="147"/>
        <v>0</v>
      </c>
      <c r="AB151">
        <f t="shared" si="155"/>
        <v>1.3</v>
      </c>
      <c r="AC151">
        <f t="shared" si="133"/>
        <v>1</v>
      </c>
      <c r="AD151">
        <f t="shared" si="134"/>
        <v>0.5948500000000001</v>
      </c>
      <c r="AF151">
        <v>2.5</v>
      </c>
      <c r="AG151">
        <f t="shared" si="148"/>
        <v>0.99999627334682795</v>
      </c>
      <c r="AH151">
        <f t="shared" si="135"/>
        <v>1.2959122541335131</v>
      </c>
      <c r="AI151">
        <f t="shared" si="149"/>
        <v>1.2959074247180005</v>
      </c>
      <c r="AJ151">
        <f t="shared" si="136"/>
        <v>0.2591814849436001</v>
      </c>
      <c r="AK151">
        <f t="shared" si="137"/>
        <v>0.08</v>
      </c>
      <c r="AL151">
        <f t="shared" si="138"/>
        <v>0.35985974645170415</v>
      </c>
      <c r="AM151">
        <f t="shared" si="139"/>
        <v>0.19</v>
      </c>
      <c r="AN151">
        <f t="shared" si="140"/>
        <v>0.6784</v>
      </c>
      <c r="AO151">
        <f t="shared" si="141"/>
        <v>0</v>
      </c>
      <c r="AP151">
        <f t="shared" si="142"/>
        <v>2.1800706482960261E-4</v>
      </c>
      <c r="AQ151">
        <f t="shared" si="150"/>
        <v>2.1800706482960261E-4</v>
      </c>
      <c r="AR151">
        <f t="shared" si="143"/>
        <v>0.99465723328506195</v>
      </c>
      <c r="BA151">
        <v>18</v>
      </c>
      <c r="BB151">
        <v>0.8</v>
      </c>
      <c r="BC151">
        <f t="shared" si="151"/>
        <v>0</v>
      </c>
      <c r="BD151">
        <f t="shared" ref="BD151:BD154" si="162">(BA151 * BB151) / 365</f>
        <v>3.9452054794520547E-2</v>
      </c>
      <c r="BE151">
        <f t="shared" si="144"/>
        <v>0.1012</v>
      </c>
      <c r="BF151">
        <v>66</v>
      </c>
      <c r="BG151">
        <f t="shared" si="152"/>
        <v>0.83333333333333337</v>
      </c>
      <c r="BH151">
        <f t="shared" si="158"/>
        <v>6.6244939923823295E-3</v>
      </c>
      <c r="BI151">
        <f t="shared" si="145"/>
        <v>88</v>
      </c>
      <c r="BJ151">
        <f t="shared" si="153"/>
        <v>3.4844543598593687E-2</v>
      </c>
      <c r="BK151">
        <f t="shared" si="154"/>
        <v>158.97823016858371</v>
      </c>
      <c r="BM151" s="28"/>
    </row>
    <row r="152" spans="5:65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130"/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46"/>
        <v>0</v>
      </c>
      <c r="V152">
        <f>V131</f>
        <v>1</v>
      </c>
      <c r="W152">
        <f>W131</f>
        <v>0.69</v>
      </c>
      <c r="X152">
        <f t="shared" si="131"/>
        <v>4.7000000000000002E-3</v>
      </c>
      <c r="Y152">
        <f t="shared" si="132"/>
        <v>0</v>
      </c>
      <c r="Z152">
        <v>0</v>
      </c>
      <c r="AA152">
        <f t="shared" si="147"/>
        <v>0</v>
      </c>
      <c r="AB152">
        <f t="shared" si="155"/>
        <v>1.3</v>
      </c>
      <c r="AC152">
        <f t="shared" si="133"/>
        <v>1</v>
      </c>
      <c r="AD152">
        <f t="shared" si="134"/>
        <v>0.43585000000000007</v>
      </c>
      <c r="AF152">
        <v>2.5</v>
      </c>
      <c r="AG152">
        <f t="shared" si="148"/>
        <v>0.99999627334682795</v>
      </c>
      <c r="AH152">
        <f t="shared" si="135"/>
        <v>0.95969823125361531</v>
      </c>
      <c r="AI152">
        <f t="shared" si="149"/>
        <v>0.95969465479115756</v>
      </c>
      <c r="AJ152">
        <f t="shared" si="136"/>
        <v>6.7178625835381034E-2</v>
      </c>
      <c r="AK152">
        <f t="shared" si="137"/>
        <v>0.08</v>
      </c>
      <c r="AL152">
        <f t="shared" si="138"/>
        <v>0.43120689604353685</v>
      </c>
      <c r="AM152">
        <f t="shared" si="139"/>
        <v>0.19</v>
      </c>
      <c r="AN152">
        <f t="shared" si="140"/>
        <v>0.6784</v>
      </c>
      <c r="AO152">
        <f t="shared" si="141"/>
        <v>0</v>
      </c>
      <c r="AP152">
        <f t="shared" si="142"/>
        <v>2.6122996714041032E-4</v>
      </c>
      <c r="AQ152">
        <f t="shared" si="150"/>
        <v>2.6122996714041032E-4</v>
      </c>
      <c r="AR152">
        <f t="shared" si="143"/>
        <v>2.3837234501562445</v>
      </c>
      <c r="BA152">
        <f>BA151</f>
        <v>18</v>
      </c>
      <c r="BC152">
        <f t="shared" si="151"/>
        <v>0</v>
      </c>
      <c r="BD152">
        <f>BD151</f>
        <v>3.9452054794520547E-2</v>
      </c>
      <c r="BE152">
        <f t="shared" si="144"/>
        <v>0</v>
      </c>
      <c r="BF152">
        <v>66</v>
      </c>
      <c r="BG152">
        <f t="shared" si="152"/>
        <v>0.83333333333333337</v>
      </c>
      <c r="BH152">
        <f t="shared" si="158"/>
        <v>5.3023561643835617E-3</v>
      </c>
      <c r="BI152">
        <f t="shared" si="145"/>
        <v>88</v>
      </c>
      <c r="BJ152">
        <f t="shared" si="153"/>
        <v>5.4462239692774032E-3</v>
      </c>
      <c r="BK152">
        <f t="shared" si="154"/>
        <v>49.696793719656299</v>
      </c>
      <c r="BM152" s="28"/>
    </row>
    <row r="153" spans="5:65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130"/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46"/>
        <v>0</v>
      </c>
      <c r="V153">
        <f>V131</f>
        <v>1</v>
      </c>
      <c r="W153">
        <f>W131</f>
        <v>0.69</v>
      </c>
      <c r="X153">
        <f t="shared" si="131"/>
        <v>4.7000000000000002E-3</v>
      </c>
      <c r="Y153">
        <f t="shared" si="132"/>
        <v>0</v>
      </c>
      <c r="Z153">
        <v>0</v>
      </c>
      <c r="AA153">
        <f t="shared" si="147"/>
        <v>0</v>
      </c>
      <c r="AB153">
        <f t="shared" si="155"/>
        <v>1.3</v>
      </c>
      <c r="AC153">
        <f t="shared" si="133"/>
        <v>1</v>
      </c>
      <c r="AD153">
        <f t="shared" si="134"/>
        <v>0.53125000000000011</v>
      </c>
      <c r="AF153">
        <v>1.3</v>
      </c>
      <c r="AG153">
        <f t="shared" si="148"/>
        <v>0.96595254526540064</v>
      </c>
      <c r="AH153">
        <f t="shared" si="135"/>
        <v>1.052440031254225</v>
      </c>
      <c r="AI153">
        <f t="shared" si="149"/>
        <v>1.0166071269292165</v>
      </c>
      <c r="AJ153">
        <f t="shared" si="136"/>
        <v>0.14232499777009033</v>
      </c>
      <c r="AK153">
        <f t="shared" si="137"/>
        <v>0.08</v>
      </c>
      <c r="AL153">
        <f t="shared" si="138"/>
        <v>0.34667435759496673</v>
      </c>
      <c r="AM153">
        <f t="shared" si="139"/>
        <v>0.19</v>
      </c>
      <c r="AN153">
        <f t="shared" si="140"/>
        <v>0.6784</v>
      </c>
      <c r="AO153">
        <f t="shared" si="141"/>
        <v>0</v>
      </c>
      <c r="AP153">
        <f t="shared" si="142"/>
        <v>2.1001920858383592E-4</v>
      </c>
      <c r="AQ153">
        <f t="shared" si="150"/>
        <v>2.1001920858383592E-4</v>
      </c>
      <c r="AR153">
        <f t="shared" si="143"/>
        <v>1.7247827504947524</v>
      </c>
      <c r="BA153">
        <f>BA151</f>
        <v>18</v>
      </c>
      <c r="BC153">
        <f t="shared" si="151"/>
        <v>0</v>
      </c>
      <c r="BD153">
        <f>BD151</f>
        <v>3.9452054794520547E-2</v>
      </c>
      <c r="BE153">
        <f t="shared" si="144"/>
        <v>-9.2000000000000012E-2</v>
      </c>
      <c r="BF153">
        <v>66</v>
      </c>
      <c r="BG153">
        <f t="shared" si="152"/>
        <v>0.75757575757575757</v>
      </c>
      <c r="BH153">
        <f t="shared" si="158"/>
        <v>4.0143387888308055E-3</v>
      </c>
      <c r="BI153">
        <f t="shared" si="145"/>
        <v>80</v>
      </c>
      <c r="BJ153">
        <f t="shared" si="153"/>
        <v>1.875766085438365E-2</v>
      </c>
      <c r="BK153">
        <f t="shared" si="154"/>
        <v>154.04728976662571</v>
      </c>
      <c r="BM153" s="28"/>
    </row>
    <row r="154" spans="5:65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130"/>
        <v>91.25</v>
      </c>
      <c r="N154">
        <v>-0.1</v>
      </c>
      <c r="P154">
        <v>0.16</v>
      </c>
      <c r="R154">
        <v>0.7</v>
      </c>
      <c r="T154">
        <v>45</v>
      </c>
      <c r="U154">
        <f t="shared" si="146"/>
        <v>0</v>
      </c>
      <c r="V154">
        <f>V131</f>
        <v>1</v>
      </c>
      <c r="W154">
        <f>W131</f>
        <v>0.69</v>
      </c>
      <c r="X154">
        <f t="shared" si="131"/>
        <v>4.7000000000000002E-3</v>
      </c>
      <c r="Y154">
        <f t="shared" si="132"/>
        <v>0</v>
      </c>
      <c r="Z154">
        <v>0</v>
      </c>
      <c r="AA154">
        <f t="shared" si="147"/>
        <v>0</v>
      </c>
      <c r="AB154">
        <f t="shared" si="155"/>
        <v>1.3</v>
      </c>
      <c r="AC154">
        <f t="shared" si="133"/>
        <v>1</v>
      </c>
      <c r="AD154">
        <f t="shared" si="134"/>
        <v>0.55510000000000004</v>
      </c>
      <c r="AF154">
        <v>0.8</v>
      </c>
      <c r="AG154">
        <f t="shared" si="148"/>
        <v>0.72196269954680592</v>
      </c>
      <c r="AH154">
        <f t="shared" si="135"/>
        <v>0.98919258792655118</v>
      </c>
      <c r="AI154">
        <f t="shared" si="149"/>
        <v>0.71416015115114406</v>
      </c>
      <c r="AJ154">
        <f t="shared" si="136"/>
        <v>0.11426562418418305</v>
      </c>
      <c r="AK154">
        <f t="shared" si="137"/>
        <v>0.08</v>
      </c>
      <c r="AL154">
        <f t="shared" si="138"/>
        <v>0.21587711146862967</v>
      </c>
      <c r="AM154">
        <f t="shared" si="139"/>
        <v>0.19</v>
      </c>
      <c r="AN154">
        <f t="shared" si="140"/>
        <v>0.6784</v>
      </c>
      <c r="AO154">
        <f t="shared" si="141"/>
        <v>0</v>
      </c>
      <c r="AP154">
        <f t="shared" si="142"/>
        <v>1.3078077195134431E-4</v>
      </c>
      <c r="AQ154">
        <f t="shared" si="150"/>
        <v>1.3078077195134431E-4</v>
      </c>
      <c r="AR154">
        <f t="shared" si="143"/>
        <v>0.95469963524481338</v>
      </c>
      <c r="BA154">
        <f>BA151</f>
        <v>18</v>
      </c>
      <c r="BC154">
        <f t="shared" si="151"/>
        <v>0</v>
      </c>
      <c r="BD154">
        <f>BD151</f>
        <v>3.9452054794520547E-2</v>
      </c>
      <c r="BE154">
        <f t="shared" si="144"/>
        <v>-9.2000000000000012E-2</v>
      </c>
      <c r="BF154">
        <v>66</v>
      </c>
      <c r="BG154">
        <f t="shared" si="152"/>
        <v>0.68181818181818177</v>
      </c>
      <c r="BH154">
        <f t="shared" si="158"/>
        <v>3.903471151803224E-3</v>
      </c>
      <c r="BI154">
        <f t="shared" si="145"/>
        <v>72</v>
      </c>
      <c r="BJ154">
        <f t="shared" si="153"/>
        <v>1.4379028717666064E-2</v>
      </c>
      <c r="BK154">
        <f t="shared" si="154"/>
        <v>104.96690963896228</v>
      </c>
      <c r="BM154" s="28"/>
    </row>
    <row r="161" spans="1:73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63">$CA$3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$BZ$26:$CB$32, 2)/100)</f>
        <v>0.99170000000000003</v>
      </c>
      <c r="W161">
        <f>VLOOKUP($B161,$CB$10:$CC$16, 2, FALSE)</f>
        <v>0.73</v>
      </c>
      <c r="X161">
        <f t="shared" ref="X161:X184" si="164">$CA$10</f>
        <v>4.7000000000000002E-3</v>
      </c>
      <c r="Y161">
        <f t="shared" ref="Y161:Y184" si="165">(I161/100)*(MIN(J161,100)/100)</f>
        <v>0.85499999999999998</v>
      </c>
      <c r="Z161">
        <v>0</v>
      </c>
      <c r="AA161">
        <f>1.6 * Z161</f>
        <v>0</v>
      </c>
      <c r="AB161">
        <f>$CD$1</f>
        <v>1.3</v>
      </c>
      <c r="AC161">
        <f t="shared" ref="AC161:AC184" si="166">Y161*AB161+(1-Y161)</f>
        <v>1.2565</v>
      </c>
      <c r="AD161">
        <f t="shared" ref="AD161:AD184" si="167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68">(104.7*AD161+0.307*T161-15)*(T161^0.75)*10^-3</f>
        <v>1.2118587484135388</v>
      </c>
      <c r="AI161">
        <f>AH161*AG161*AC161</f>
        <v>1.5227005154395477</v>
      </c>
      <c r="AJ161">
        <f t="shared" ref="AJ161:AJ184" si="169">(AI161 * P161) + (0.045 * AA161)</f>
        <v>0.24363208247032764</v>
      </c>
      <c r="AK161">
        <f t="shared" ref="AK161:AK184" si="170">$CA$2</f>
        <v>0.08</v>
      </c>
      <c r="AL161">
        <f t="shared" ref="AL161:AL184" si="171">(AI161 * ((1 - R161) + (0.04 * AI161))) * ( 1 - AK161 )</f>
        <v>0.50559044269900633</v>
      </c>
      <c r="AM161">
        <f t="shared" ref="AM161:AM184" si="172">$CA$1</f>
        <v>0.19</v>
      </c>
      <c r="AN161">
        <f t="shared" ref="AN161:AN184" si="173">$CB$20</f>
        <v>0.6784</v>
      </c>
      <c r="AO161">
        <f t="shared" ref="AO161:AO184" si="174">AL161 * AM161 * U161 * W161 * AN161</f>
        <v>3.9485646076921121E-4</v>
      </c>
      <c r="AP161">
        <f t="shared" ref="AP161:AP184" si="175">AL161*AM161*V161*X161*AN161</f>
        <v>3.0375012627177617E-4</v>
      </c>
      <c r="AQ161">
        <f>AO161+AP161</f>
        <v>6.9860658704098738E-4</v>
      </c>
      <c r="AR161">
        <f t="shared" ref="AR161:AR184" si="176">H161*AQ161*L161</f>
        <v>6.3747851067490107</v>
      </c>
      <c r="AS161">
        <f>SUM(AR161:AR184)*10^-3</f>
        <v>0.12146276071325623</v>
      </c>
      <c r="AT161" t="s">
        <v>213</v>
      </c>
      <c r="AU161">
        <f>IF(AT161="yes", 1,0)</f>
        <v>1</v>
      </c>
      <c r="AV161">
        <f>$CA$4</f>
        <v>0.24</v>
      </c>
      <c r="AW161" t="s">
        <v>330</v>
      </c>
      <c r="AX161" s="28">
        <f>VLOOKUP(AW161,$CE$37:$CG$46,2, FALSE)</f>
        <v>2E-3</v>
      </c>
      <c r="AY161" s="28">
        <f>$CA$7</f>
        <v>1.5714285714285714</v>
      </c>
      <c r="AZ161">
        <f>$CA$5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77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 t="shared" ref="BI161:BI184" si="178">1.6 * T161</f>
        <v>88</v>
      </c>
      <c r="BJ161">
        <f>(AJ161  / 6.25 ) - BH161</f>
        <v>2.2041042020179501E-2</v>
      </c>
      <c r="BK161">
        <f>H161*BJ161*L161</f>
        <v>201.12450843413794</v>
      </c>
      <c r="BL161">
        <f>SUM(BK161:BK184)</f>
        <v>2942.8767958032458</v>
      </c>
      <c r="BM161" s="28">
        <f>BL161*$AU$11*$AV$11</f>
        <v>706.29043099277897</v>
      </c>
      <c r="BN161">
        <f>BK161 * AZ161</f>
        <v>42.236146771168968</v>
      </c>
      <c r="BO161" t="s">
        <v>226</v>
      </c>
      <c r="BP161">
        <f>VLOOKUP(BO161, $BZ$37:$CA$49, 2, FALSE)</f>
        <v>1.8E-3</v>
      </c>
      <c r="BQ161">
        <f>BN161 * BP161 * AY161 * 10^-3</f>
        <v>1.1946795800987794E-4</v>
      </c>
      <c r="BR161">
        <f>BK161 * AP161 * AV161</f>
        <v>1.4661982759972393E-2</v>
      </c>
      <c r="BS161">
        <f>$CA$6</f>
        <v>1.0999999999999999E-2</v>
      </c>
      <c r="BT161">
        <f>BL161 * AX161 * AY161 * 10^-3</f>
        <v>9.2490413582387732E-3</v>
      </c>
      <c r="BU161">
        <f>BR161 * BS161 * AY161 * 10^-3</f>
        <v>2.5344284485095134E-7</v>
      </c>
    </row>
    <row r="162" spans="1:73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63"/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79">1-V162</f>
        <v>8.2999999999999741E-3</v>
      </c>
      <c r="V162">
        <f>V161</f>
        <v>0.99170000000000003</v>
      </c>
      <c r="W162">
        <f>W161</f>
        <v>0.73</v>
      </c>
      <c r="X162">
        <f t="shared" si="164"/>
        <v>4.7000000000000002E-3</v>
      </c>
      <c r="Y162">
        <f t="shared" si="165"/>
        <v>0</v>
      </c>
      <c r="Z162">
        <v>0</v>
      </c>
      <c r="AA162">
        <f t="shared" ref="AA162:AA184" si="180">1.6 * Z162</f>
        <v>0</v>
      </c>
      <c r="AB162">
        <f>$AB$11</f>
        <v>1.3</v>
      </c>
      <c r="AC162">
        <f t="shared" si="166"/>
        <v>1</v>
      </c>
      <c r="AD162">
        <f t="shared" si="167"/>
        <v>0.43585000000000007</v>
      </c>
      <c r="AF162">
        <v>3</v>
      </c>
      <c r="AG162">
        <f t="shared" ref="AG162:AG184" si="181">1 - EXP(-2*(AF162^2))</f>
        <v>0.99999998477002028</v>
      </c>
      <c r="AH162">
        <f t="shared" si="168"/>
        <v>0.8646283676396137</v>
      </c>
      <c r="AI162">
        <f t="shared" ref="AI162:AI184" si="182">AH162*AG162*AC162</f>
        <v>0.86462835447134123</v>
      </c>
      <c r="AJ162">
        <f t="shared" si="169"/>
        <v>6.052398481299389E-2</v>
      </c>
      <c r="AK162">
        <f t="shared" si="170"/>
        <v>0.08</v>
      </c>
      <c r="AL162">
        <f t="shared" si="171"/>
        <v>0.38546716339302944</v>
      </c>
      <c r="AM162">
        <f t="shared" si="172"/>
        <v>0.19</v>
      </c>
      <c r="AN162">
        <f t="shared" si="173"/>
        <v>0.6784</v>
      </c>
      <c r="AO162">
        <f t="shared" si="174"/>
        <v>3.0104247831031633E-4</v>
      </c>
      <c r="AP162">
        <f t="shared" si="175"/>
        <v>2.3158210611975671E-4</v>
      </c>
      <c r="AQ162">
        <f t="shared" ref="AQ162:AQ184" si="183">AO162+AP162</f>
        <v>5.3262458443007301E-4</v>
      </c>
      <c r="AR162">
        <f t="shared" si="176"/>
        <v>3.4021395330470914</v>
      </c>
      <c r="BA162">
        <f>BA161</f>
        <v>20</v>
      </c>
      <c r="BC162">
        <f t="shared" ref="BC162:BC184" si="184">Y162 * 1.6</f>
        <v>0</v>
      </c>
      <c r="BD162">
        <f>BD161</f>
        <v>4.3835616438356165E-2</v>
      </c>
      <c r="BE162">
        <f t="shared" si="177"/>
        <v>-4.6000000000000006E-2</v>
      </c>
      <c r="BF162">
        <v>50</v>
      </c>
      <c r="BG162">
        <f t="shared" ref="BG162:BG184" si="185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 t="shared" si="178"/>
        <v>80</v>
      </c>
      <c r="BJ162">
        <f t="shared" ref="BJ162:BJ184" si="186">(AJ162  / 6.25 ) - BH162</f>
        <v>4.3509181738647998E-3</v>
      </c>
      <c r="BK162">
        <f t="shared" ref="BK162:BK184" si="187">H162*BJ162*L162</f>
        <v>27.791489835561411</v>
      </c>
      <c r="BM162" s="28"/>
    </row>
    <row r="163" spans="1:73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63"/>
        <v>91.25</v>
      </c>
      <c r="N163">
        <v>-0.02</v>
      </c>
      <c r="P163">
        <v>0.13</v>
      </c>
      <c r="R163">
        <v>0.65</v>
      </c>
      <c r="T163">
        <v>48</v>
      </c>
      <c r="U163">
        <f t="shared" si="179"/>
        <v>8.2999999999999741E-3</v>
      </c>
      <c r="V163">
        <f>V161</f>
        <v>0.99170000000000003</v>
      </c>
      <c r="W163">
        <f>W161</f>
        <v>0.73</v>
      </c>
      <c r="X163">
        <f t="shared" si="164"/>
        <v>4.7000000000000002E-3</v>
      </c>
      <c r="Y163">
        <f t="shared" si="165"/>
        <v>0</v>
      </c>
      <c r="Z163">
        <v>0</v>
      </c>
      <c r="AA163">
        <f t="shared" si="180"/>
        <v>0</v>
      </c>
      <c r="AB163">
        <f t="shared" ref="AB163:AB184" si="188">$AB$11</f>
        <v>1.3</v>
      </c>
      <c r="AC163">
        <f t="shared" si="166"/>
        <v>1</v>
      </c>
      <c r="AD163">
        <f t="shared" si="167"/>
        <v>0.51535000000000009</v>
      </c>
      <c r="AF163">
        <v>1.8</v>
      </c>
      <c r="AG163">
        <f t="shared" si="181"/>
        <v>0.99846618932067555</v>
      </c>
      <c r="AH163">
        <f t="shared" si="168"/>
        <v>0.97915122350076966</v>
      </c>
      <c r="AI163">
        <f t="shared" si="182"/>
        <v>0.97764939089749059</v>
      </c>
      <c r="AJ163">
        <f t="shared" si="169"/>
        <v>0.12709442081667377</v>
      </c>
      <c r="AK163">
        <f t="shared" si="170"/>
        <v>0.08</v>
      </c>
      <c r="AL163">
        <f t="shared" si="171"/>
        <v>0.3499764824690102</v>
      </c>
      <c r="AM163">
        <f t="shared" si="172"/>
        <v>0.19</v>
      </c>
      <c r="AN163">
        <f t="shared" si="173"/>
        <v>0.6784</v>
      </c>
      <c r="AO163">
        <f t="shared" si="174"/>
        <v>2.7332493565832759E-4</v>
      </c>
      <c r="AP163">
        <f t="shared" si="175"/>
        <v>2.1025990953195452E-4</v>
      </c>
      <c r="AQ163">
        <f t="shared" si="183"/>
        <v>4.8358484519028214E-4</v>
      </c>
      <c r="AR163">
        <f t="shared" si="176"/>
        <v>2.8682626130348607</v>
      </c>
      <c r="BA163">
        <f>BA161</f>
        <v>20</v>
      </c>
      <c r="BC163">
        <f t="shared" si="184"/>
        <v>0</v>
      </c>
      <c r="BD163">
        <f>BD161</f>
        <v>4.3835616438356165E-2</v>
      </c>
      <c r="BE163">
        <f t="shared" si="177"/>
        <v>-1.84E-2</v>
      </c>
      <c r="BF163">
        <v>50</v>
      </c>
      <c r="BG163">
        <f t="shared" si="185"/>
        <v>0.96</v>
      </c>
      <c r="BH163">
        <f t="shared" ref="BH163:BH164" si="189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 t="shared" si="178"/>
        <v>76.800000000000011</v>
      </c>
      <c r="BJ163">
        <f t="shared" si="186"/>
        <v>1.4669896393156195E-2</v>
      </c>
      <c r="BK163">
        <f t="shared" si="187"/>
        <v>87.01082298190768</v>
      </c>
      <c r="BM163" s="28"/>
    </row>
    <row r="164" spans="1:73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63"/>
        <v>91.25</v>
      </c>
      <c r="N164">
        <v>-0.03</v>
      </c>
      <c r="P164">
        <v>0.1</v>
      </c>
      <c r="R164">
        <v>0.6</v>
      </c>
      <c r="T164">
        <v>45</v>
      </c>
      <c r="U164">
        <f t="shared" si="179"/>
        <v>8.2999999999999741E-3</v>
      </c>
      <c r="V164">
        <f>V161</f>
        <v>0.99170000000000003</v>
      </c>
      <c r="W164">
        <f>W161</f>
        <v>0.73</v>
      </c>
      <c r="X164">
        <f t="shared" si="164"/>
        <v>4.7000000000000002E-3</v>
      </c>
      <c r="Y164">
        <f t="shared" si="165"/>
        <v>0</v>
      </c>
      <c r="Z164">
        <v>0</v>
      </c>
      <c r="AA164">
        <f t="shared" si="180"/>
        <v>0</v>
      </c>
      <c r="AB164">
        <f t="shared" si="188"/>
        <v>1.3</v>
      </c>
      <c r="AC164">
        <f t="shared" si="166"/>
        <v>1</v>
      </c>
      <c r="AD164">
        <f t="shared" si="167"/>
        <v>0.47559999999999997</v>
      </c>
      <c r="AF164">
        <v>1</v>
      </c>
      <c r="AG164">
        <f t="shared" si="181"/>
        <v>0.8646647167633873</v>
      </c>
      <c r="AH164">
        <f t="shared" si="168"/>
        <v>0.84457430670543054</v>
      </c>
      <c r="AI164">
        <f t="shared" si="182"/>
        <v>0.73027360369308525</v>
      </c>
      <c r="AJ164">
        <f t="shared" si="169"/>
        <v>7.3027360369308528E-2</v>
      </c>
      <c r="AK164">
        <f t="shared" si="170"/>
        <v>0.08</v>
      </c>
      <c r="AL164">
        <f t="shared" si="171"/>
        <v>0.28836610909308796</v>
      </c>
      <c r="AM164">
        <f t="shared" si="172"/>
        <v>0.19</v>
      </c>
      <c r="AN164">
        <f t="shared" si="173"/>
        <v>0.6784</v>
      </c>
      <c r="AO164">
        <f t="shared" si="174"/>
        <v>2.2520841302783737E-4</v>
      </c>
      <c r="AP164">
        <f t="shared" si="175"/>
        <v>1.7324544661472571E-4</v>
      </c>
      <c r="AQ164">
        <f t="shared" si="183"/>
        <v>3.9845385964256308E-4</v>
      </c>
      <c r="AR164">
        <f t="shared" si="176"/>
        <v>2.9087131753907101</v>
      </c>
      <c r="BA164">
        <f>BA161</f>
        <v>20</v>
      </c>
      <c r="BC164">
        <f t="shared" si="184"/>
        <v>0</v>
      </c>
      <c r="BD164">
        <f>BD161</f>
        <v>4.3835616438356165E-2</v>
      </c>
      <c r="BE164">
        <f t="shared" si="177"/>
        <v>-2.76E-2</v>
      </c>
      <c r="BF164">
        <v>50</v>
      </c>
      <c r="BG164">
        <f t="shared" si="185"/>
        <v>0.9</v>
      </c>
      <c r="BH164">
        <f t="shared" si="189"/>
        <v>5.5430891312035456E-3</v>
      </c>
      <c r="BI164">
        <f t="shared" si="178"/>
        <v>72</v>
      </c>
      <c r="BJ164">
        <f t="shared" si="186"/>
        <v>6.1412885278858183E-3</v>
      </c>
      <c r="BK164">
        <f t="shared" si="187"/>
        <v>44.831406253566477</v>
      </c>
      <c r="BM164" s="28"/>
    </row>
    <row r="165" spans="1:73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63"/>
        <v>91.25</v>
      </c>
      <c r="N165">
        <v>0.15</v>
      </c>
      <c r="P165">
        <v>0.16</v>
      </c>
      <c r="R165">
        <v>0.7</v>
      </c>
      <c r="T165">
        <v>22</v>
      </c>
      <c r="U165">
        <f t="shared" si="179"/>
        <v>8.2999999999999741E-3</v>
      </c>
      <c r="V165">
        <f>V161</f>
        <v>0.99170000000000003</v>
      </c>
      <c r="W165">
        <f>W161</f>
        <v>0.73</v>
      </c>
      <c r="X165">
        <f t="shared" si="164"/>
        <v>4.7000000000000002E-3</v>
      </c>
      <c r="Y165">
        <f t="shared" si="165"/>
        <v>0</v>
      </c>
      <c r="Z165">
        <v>1</v>
      </c>
      <c r="AA165">
        <f t="shared" si="180"/>
        <v>1.6</v>
      </c>
      <c r="AB165">
        <f t="shared" si="188"/>
        <v>1.3</v>
      </c>
      <c r="AC165">
        <f t="shared" si="166"/>
        <v>1</v>
      </c>
      <c r="AD165">
        <f t="shared" si="167"/>
        <v>0.55510000000000004</v>
      </c>
      <c r="AF165">
        <v>3.2</v>
      </c>
      <c r="AG165">
        <f t="shared" si="181"/>
        <v>0.99999999872459233</v>
      </c>
      <c r="AH165">
        <f t="shared" si="168"/>
        <v>0.50661989714547884</v>
      </c>
      <c r="AI165">
        <f t="shared" si="182"/>
        <v>0.50661989649933192</v>
      </c>
      <c r="AJ165">
        <f t="shared" si="169"/>
        <v>0.15305918343989311</v>
      </c>
      <c r="AK165">
        <f t="shared" si="170"/>
        <v>0.08</v>
      </c>
      <c r="AL165">
        <f t="shared" si="171"/>
        <v>0.14927231631248258</v>
      </c>
      <c r="AM165">
        <f t="shared" si="172"/>
        <v>0.19</v>
      </c>
      <c r="AN165">
        <f t="shared" si="173"/>
        <v>0.6784</v>
      </c>
      <c r="AO165">
        <f t="shared" si="174"/>
        <v>1.1657882256500357E-4</v>
      </c>
      <c r="AP165">
        <f t="shared" si="175"/>
        <v>8.9680265091146702E-5</v>
      </c>
      <c r="AQ165">
        <f t="shared" si="183"/>
        <v>2.0625908765615027E-4</v>
      </c>
      <c r="AR165">
        <f t="shared" si="176"/>
        <v>3.7642283497247426</v>
      </c>
      <c r="BA165">
        <v>15</v>
      </c>
      <c r="BB165">
        <v>0.85</v>
      </c>
      <c r="BC165">
        <f t="shared" si="184"/>
        <v>0</v>
      </c>
      <c r="BD165">
        <f t="shared" ref="BD165:BD181" si="190">(BA165 * BB165) / 365</f>
        <v>3.4931506849315071E-2</v>
      </c>
      <c r="BE165">
        <f t="shared" si="177"/>
        <v>0.13800000000000001</v>
      </c>
      <c r="BF165">
        <v>55</v>
      </c>
      <c r="BG165">
        <f t="shared" si="185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 t="shared" si="178"/>
        <v>35.200000000000003</v>
      </c>
      <c r="BJ165">
        <f t="shared" si="186"/>
        <v>1.6690590393999567E-2</v>
      </c>
      <c r="BK165">
        <f t="shared" si="187"/>
        <v>304.60327469049207</v>
      </c>
      <c r="BM165" s="28"/>
    </row>
    <row r="166" spans="1:73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63"/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79"/>
        <v>8.2999999999999741E-3</v>
      </c>
      <c r="V166">
        <f>V161</f>
        <v>0.99170000000000003</v>
      </c>
      <c r="W166">
        <f>W161</f>
        <v>0.73</v>
      </c>
      <c r="X166">
        <f t="shared" si="164"/>
        <v>4.7000000000000002E-3</v>
      </c>
      <c r="Y166">
        <f t="shared" si="165"/>
        <v>0</v>
      </c>
      <c r="Z166">
        <v>0</v>
      </c>
      <c r="AA166">
        <f t="shared" si="180"/>
        <v>0</v>
      </c>
      <c r="AB166">
        <f t="shared" si="188"/>
        <v>1.3</v>
      </c>
      <c r="AC166">
        <f t="shared" si="166"/>
        <v>1</v>
      </c>
      <c r="AD166">
        <f t="shared" si="167"/>
        <v>0.43585000000000007</v>
      </c>
      <c r="AF166">
        <v>3</v>
      </c>
      <c r="AG166">
        <f t="shared" si="181"/>
        <v>0.99999998477002028</v>
      </c>
      <c r="AH166">
        <f t="shared" si="168"/>
        <v>0.47750864762612716</v>
      </c>
      <c r="AI166">
        <f t="shared" si="182"/>
        <v>0.47750864035368012</v>
      </c>
      <c r="AJ166">
        <f t="shared" si="169"/>
        <v>3.3425604824757614E-2</v>
      </c>
      <c r="AK166">
        <f t="shared" si="170"/>
        <v>0.08</v>
      </c>
      <c r="AL166">
        <f t="shared" si="171"/>
        <v>0.20607951076576064</v>
      </c>
      <c r="AM166">
        <f t="shared" si="172"/>
        <v>0.19</v>
      </c>
      <c r="AN166">
        <f t="shared" si="173"/>
        <v>0.6784</v>
      </c>
      <c r="AO166">
        <f t="shared" si="174"/>
        <v>1.6094415437054054E-4</v>
      </c>
      <c r="AP166">
        <f t="shared" si="175"/>
        <v>1.238090599240053E-4</v>
      </c>
      <c r="AQ166">
        <f t="shared" si="183"/>
        <v>2.8475321429454587E-4</v>
      </c>
      <c r="AR166">
        <f t="shared" si="176"/>
        <v>5.4565834689192352</v>
      </c>
      <c r="BA166">
        <f>BA165</f>
        <v>15</v>
      </c>
      <c r="BC166">
        <f t="shared" si="184"/>
        <v>0</v>
      </c>
      <c r="BD166">
        <f>BD165</f>
        <v>3.4931506849315071E-2</v>
      </c>
      <c r="BE166">
        <f t="shared" si="177"/>
        <v>6.4400000000000013E-2</v>
      </c>
      <c r="BF166">
        <v>56</v>
      </c>
      <c r="BG166">
        <f t="shared" si="185"/>
        <v>0.5</v>
      </c>
      <c r="BH166">
        <f t="shared" ref="BH166:BH184" si="191">((0.045 * BC166) + (BD166 * 0.84)  + (BE166 * ((212 - 4 * ((BE166 * 1000)/(4* (BF166^0.75)) - 1)) - ((140 - 4 * (((BE166 * 1000)/(4 * BF166 ^0.75)) - 1))/(1 + EXP(-6 * (BG166 - 0.4)))))) * 10^-3) / 6.25</f>
        <v>5.9509630147455087E-3</v>
      </c>
      <c r="BI166">
        <f t="shared" si="178"/>
        <v>44.800000000000004</v>
      </c>
      <c r="BJ166">
        <f t="shared" si="186"/>
        <v>-6.0286624278429058E-4</v>
      </c>
      <c r="BK166">
        <f t="shared" si="187"/>
        <v>-11.552424377353969</v>
      </c>
      <c r="BM166" s="28"/>
    </row>
    <row r="167" spans="1:73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63"/>
        <v>91.25</v>
      </c>
      <c r="N167">
        <v>0.05</v>
      </c>
      <c r="P167">
        <v>0.13</v>
      </c>
      <c r="R167">
        <v>0.65</v>
      </c>
      <c r="T167">
        <v>33</v>
      </c>
      <c r="U167">
        <f t="shared" si="179"/>
        <v>8.2999999999999741E-3</v>
      </c>
      <c r="V167">
        <f>V161</f>
        <v>0.99170000000000003</v>
      </c>
      <c r="W167">
        <f>W161</f>
        <v>0.73</v>
      </c>
      <c r="X167">
        <f t="shared" si="164"/>
        <v>4.7000000000000002E-3</v>
      </c>
      <c r="Y167">
        <f t="shared" si="165"/>
        <v>0</v>
      </c>
      <c r="Z167">
        <v>0</v>
      </c>
      <c r="AA167">
        <f t="shared" si="180"/>
        <v>0</v>
      </c>
      <c r="AB167">
        <f t="shared" si="188"/>
        <v>1.3</v>
      </c>
      <c r="AC167">
        <f t="shared" si="166"/>
        <v>1</v>
      </c>
      <c r="AD167">
        <f t="shared" si="167"/>
        <v>0.51535000000000009</v>
      </c>
      <c r="AF167">
        <v>1.8</v>
      </c>
      <c r="AG167">
        <f t="shared" si="181"/>
        <v>0.99846618932067555</v>
      </c>
      <c r="AH167">
        <f t="shared" si="168"/>
        <v>0.67586829739226073</v>
      </c>
      <c r="AI167">
        <f t="shared" si="182"/>
        <v>0.67483164337990365</v>
      </c>
      <c r="AJ167">
        <f t="shared" si="169"/>
        <v>8.772811363938747E-2</v>
      </c>
      <c r="AK167">
        <f t="shared" si="170"/>
        <v>0.08</v>
      </c>
      <c r="AL167">
        <f t="shared" si="171"/>
        <v>0.23405442625450001</v>
      </c>
      <c r="AM167">
        <f t="shared" si="172"/>
        <v>0.19</v>
      </c>
      <c r="AN167">
        <f t="shared" si="173"/>
        <v>0.6784</v>
      </c>
      <c r="AO167">
        <f t="shared" si="174"/>
        <v>1.8279202803926314E-4</v>
      </c>
      <c r="AP167">
        <f t="shared" si="175"/>
        <v>1.4061591265402342E-4</v>
      </c>
      <c r="AQ167">
        <f t="shared" si="183"/>
        <v>3.2340794069328656E-4</v>
      </c>
      <c r="AR167">
        <f t="shared" si="176"/>
        <v>5.0168656800046083</v>
      </c>
      <c r="BA167">
        <f>BA165</f>
        <v>15</v>
      </c>
      <c r="BC167">
        <f t="shared" si="184"/>
        <v>0</v>
      </c>
      <c r="BD167">
        <f>BD165</f>
        <v>3.4931506849315071E-2</v>
      </c>
      <c r="BE167">
        <f t="shared" si="177"/>
        <v>4.6000000000000006E-2</v>
      </c>
      <c r="BF167">
        <v>57</v>
      </c>
      <c r="BG167">
        <f t="shared" si="185"/>
        <v>0.57894736842105265</v>
      </c>
      <c r="BH167">
        <f t="shared" si="191"/>
        <v>5.4905021899342024E-3</v>
      </c>
      <c r="BI167">
        <f t="shared" si="178"/>
        <v>52.800000000000004</v>
      </c>
      <c r="BJ167">
        <f t="shared" si="186"/>
        <v>8.5459959923677928E-3</v>
      </c>
      <c r="BK167">
        <f t="shared" si="187"/>
        <v>132.56976283160537</v>
      </c>
      <c r="BM167" s="28"/>
    </row>
    <row r="168" spans="1:73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63"/>
        <v>91.25</v>
      </c>
      <c r="N168">
        <v>0.02</v>
      </c>
      <c r="P168">
        <v>0.1</v>
      </c>
      <c r="R168">
        <v>0.6</v>
      </c>
      <c r="T168">
        <v>35</v>
      </c>
      <c r="U168">
        <f t="shared" si="179"/>
        <v>8.2999999999999741E-3</v>
      </c>
      <c r="V168">
        <f>V161</f>
        <v>0.99170000000000003</v>
      </c>
      <c r="W168">
        <f>W161</f>
        <v>0.73</v>
      </c>
      <c r="X168">
        <f t="shared" si="164"/>
        <v>4.7000000000000002E-3</v>
      </c>
      <c r="Y168">
        <f t="shared" si="165"/>
        <v>0</v>
      </c>
      <c r="Z168">
        <v>0</v>
      </c>
      <c r="AA168">
        <f t="shared" si="180"/>
        <v>0</v>
      </c>
      <c r="AB168">
        <f t="shared" si="188"/>
        <v>1.3</v>
      </c>
      <c r="AC168">
        <f t="shared" si="166"/>
        <v>1</v>
      </c>
      <c r="AD168">
        <f t="shared" si="167"/>
        <v>0.47559999999999997</v>
      </c>
      <c r="AF168">
        <v>1</v>
      </c>
      <c r="AG168">
        <f t="shared" si="181"/>
        <v>0.8646647167633873</v>
      </c>
      <c r="AH168">
        <f t="shared" si="168"/>
        <v>0.65531047667424769</v>
      </c>
      <c r="AI168">
        <f t="shared" si="182"/>
        <v>0.56662384770561869</v>
      </c>
      <c r="AJ168">
        <f t="shared" si="169"/>
        <v>5.6662384770561874E-2</v>
      </c>
      <c r="AK168">
        <f t="shared" si="170"/>
        <v>0.08</v>
      </c>
      <c r="AL168">
        <f t="shared" si="171"/>
        <v>0.2203326790758926</v>
      </c>
      <c r="AM168">
        <f t="shared" si="172"/>
        <v>0.19</v>
      </c>
      <c r="AN168">
        <f t="shared" si="173"/>
        <v>0.6784</v>
      </c>
      <c r="AO168">
        <f t="shared" si="174"/>
        <v>1.720756060721248E-4</v>
      </c>
      <c r="AP168">
        <f t="shared" si="175"/>
        <v>1.3237212067108688E-4</v>
      </c>
      <c r="AQ168">
        <f t="shared" si="183"/>
        <v>3.0444772674321168E-4</v>
      </c>
      <c r="AR168">
        <f t="shared" si="176"/>
        <v>5.5561710130636133</v>
      </c>
      <c r="BA168">
        <f>BA165</f>
        <v>15</v>
      </c>
      <c r="BC168">
        <f t="shared" si="184"/>
        <v>0</v>
      </c>
      <c r="BD168">
        <f>BD165</f>
        <v>3.4931506849315071E-2</v>
      </c>
      <c r="BE168">
        <f t="shared" si="177"/>
        <v>1.84E-2</v>
      </c>
      <c r="BF168">
        <v>58</v>
      </c>
      <c r="BG168">
        <f t="shared" si="185"/>
        <v>0.60344827586206895</v>
      </c>
      <c r="BH168">
        <f t="shared" si="191"/>
        <v>5.0027543712290578E-3</v>
      </c>
      <c r="BI168">
        <f t="shared" si="178"/>
        <v>56</v>
      </c>
      <c r="BJ168">
        <f t="shared" si="186"/>
        <v>4.063227192060842E-3</v>
      </c>
      <c r="BK168">
        <f t="shared" si="187"/>
        <v>74.153896255110368</v>
      </c>
      <c r="BM168" s="28"/>
    </row>
    <row r="169" spans="1:73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63"/>
        <v>91.25</v>
      </c>
      <c r="N169">
        <v>0.16</v>
      </c>
      <c r="P169">
        <v>0.16</v>
      </c>
      <c r="R169">
        <v>0.7</v>
      </c>
      <c r="T169">
        <v>50</v>
      </c>
      <c r="U169">
        <f t="shared" si="179"/>
        <v>8.2999999999999741E-3</v>
      </c>
      <c r="V169">
        <f>V161</f>
        <v>0.99170000000000003</v>
      </c>
      <c r="W169">
        <f>W161</f>
        <v>0.73</v>
      </c>
      <c r="X169">
        <f t="shared" si="164"/>
        <v>4.7000000000000002E-3</v>
      </c>
      <c r="Y169">
        <f t="shared" si="165"/>
        <v>0.874</v>
      </c>
      <c r="Z169">
        <v>0</v>
      </c>
      <c r="AA169">
        <f t="shared" si="180"/>
        <v>0</v>
      </c>
      <c r="AB169">
        <f t="shared" si="188"/>
        <v>1.3</v>
      </c>
      <c r="AC169">
        <f t="shared" si="166"/>
        <v>1.2622</v>
      </c>
      <c r="AD169">
        <f t="shared" si="167"/>
        <v>0.55510000000000004</v>
      </c>
      <c r="AF169">
        <v>3.2</v>
      </c>
      <c r="AG169">
        <f t="shared" si="181"/>
        <v>0.99999999872459233</v>
      </c>
      <c r="AH169">
        <f t="shared" si="168"/>
        <v>1.0993929471578776</v>
      </c>
      <c r="AI169">
        <f t="shared" si="182"/>
        <v>1.3876537761328489</v>
      </c>
      <c r="AJ169">
        <f t="shared" si="169"/>
        <v>0.22202460418125583</v>
      </c>
      <c r="AK169">
        <f t="shared" si="170"/>
        <v>0.08</v>
      </c>
      <c r="AL169">
        <f t="shared" si="171"/>
        <v>0.45385389670156617</v>
      </c>
      <c r="AM169">
        <f t="shared" si="172"/>
        <v>0.19</v>
      </c>
      <c r="AN169">
        <f t="shared" si="173"/>
        <v>0.6784</v>
      </c>
      <c r="AO169">
        <f t="shared" si="174"/>
        <v>3.5445120837575479E-4</v>
      </c>
      <c r="AP169">
        <f t="shared" si="175"/>
        <v>2.7266769066303261E-4</v>
      </c>
      <c r="AQ169">
        <f t="shared" si="183"/>
        <v>6.2711889903878739E-4</v>
      </c>
      <c r="AR169">
        <f t="shared" si="176"/>
        <v>5.7224599537289356</v>
      </c>
      <c r="BA169">
        <v>18</v>
      </c>
      <c r="BB169">
        <v>0.8</v>
      </c>
      <c r="BC169">
        <f t="shared" si="184"/>
        <v>1.3984000000000001</v>
      </c>
      <c r="BD169">
        <f t="shared" ref="BD169:BD184" si="192">(BA169 * BB169) / 365</f>
        <v>3.9452054794520547E-2</v>
      </c>
      <c r="BE169">
        <f t="shared" si="177"/>
        <v>0.1472</v>
      </c>
      <c r="BF169">
        <v>50</v>
      </c>
      <c r="BG169">
        <f t="shared" si="185"/>
        <v>1</v>
      </c>
      <c r="BH169">
        <f t="shared" si="191"/>
        <v>1.7151879659749389E-2</v>
      </c>
      <c r="BI169">
        <f t="shared" si="178"/>
        <v>80</v>
      </c>
      <c r="BJ169">
        <f t="shared" si="186"/>
        <v>1.8372057009251541E-2</v>
      </c>
      <c r="BK169">
        <f t="shared" si="187"/>
        <v>167.64502020942032</v>
      </c>
      <c r="BM169" s="28"/>
    </row>
    <row r="170" spans="1:73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63"/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79"/>
        <v>8.2999999999999741E-3</v>
      </c>
      <c r="V170">
        <f>V161</f>
        <v>0.99170000000000003</v>
      </c>
      <c r="W170">
        <f>W161</f>
        <v>0.73</v>
      </c>
      <c r="X170">
        <f t="shared" si="164"/>
        <v>4.7000000000000002E-3</v>
      </c>
      <c r="Y170">
        <f t="shared" si="165"/>
        <v>0</v>
      </c>
      <c r="Z170">
        <v>0</v>
      </c>
      <c r="AA170">
        <f t="shared" si="180"/>
        <v>0</v>
      </c>
      <c r="AB170">
        <f t="shared" si="188"/>
        <v>1.3</v>
      </c>
      <c r="AC170">
        <f t="shared" si="166"/>
        <v>1</v>
      </c>
      <c r="AD170">
        <f t="shared" si="167"/>
        <v>0.43585000000000007</v>
      </c>
      <c r="AF170">
        <v>3</v>
      </c>
      <c r="AG170">
        <f t="shared" si="181"/>
        <v>0.99999998477002028</v>
      </c>
      <c r="AH170">
        <f t="shared" si="168"/>
        <v>0.77226516609487061</v>
      </c>
      <c r="AI170">
        <f t="shared" si="182"/>
        <v>0.7722651543332878</v>
      </c>
      <c r="AJ170">
        <f t="shared" si="169"/>
        <v>5.4058560803330151E-2</v>
      </c>
      <c r="AK170">
        <f t="shared" si="170"/>
        <v>0.08</v>
      </c>
      <c r="AL170">
        <f t="shared" si="171"/>
        <v>0.34166505353836607</v>
      </c>
      <c r="AM170">
        <f t="shared" si="172"/>
        <v>0.19</v>
      </c>
      <c r="AN170">
        <f t="shared" si="173"/>
        <v>0.6784</v>
      </c>
      <c r="AO170">
        <f t="shared" si="174"/>
        <v>2.6683386871099855E-4</v>
      </c>
      <c r="AP170">
        <f t="shared" si="175"/>
        <v>2.0526654459866004E-4</v>
      </c>
      <c r="AQ170">
        <f t="shared" si="183"/>
        <v>4.7210041330965856E-4</v>
      </c>
      <c r="AR170">
        <f t="shared" si="176"/>
        <v>6.0310827800308875</v>
      </c>
      <c r="BA170">
        <f>BA169</f>
        <v>18</v>
      </c>
      <c r="BC170">
        <f t="shared" si="184"/>
        <v>0</v>
      </c>
      <c r="BD170">
        <f>BD169</f>
        <v>3.9452054794520547E-2</v>
      </c>
      <c r="BE170">
        <f t="shared" si="177"/>
        <v>-4.6000000000000006E-2</v>
      </c>
      <c r="BF170">
        <v>50</v>
      </c>
      <c r="BG170">
        <f t="shared" si="185"/>
        <v>0.9</v>
      </c>
      <c r="BH170">
        <f t="shared" si="191"/>
        <v>4.7213183945816741E-3</v>
      </c>
      <c r="BI170">
        <f t="shared" si="178"/>
        <v>72</v>
      </c>
      <c r="BJ170">
        <f t="shared" si="186"/>
        <v>3.9280513339511507E-3</v>
      </c>
      <c r="BK170">
        <f t="shared" si="187"/>
        <v>50.180855791225952</v>
      </c>
      <c r="BM170" s="28"/>
    </row>
    <row r="171" spans="1:73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63"/>
        <v>91.25</v>
      </c>
      <c r="N171">
        <v>-0.02</v>
      </c>
      <c r="P171">
        <v>0.13</v>
      </c>
      <c r="R171">
        <v>0.65</v>
      </c>
      <c r="T171">
        <v>43</v>
      </c>
      <c r="U171">
        <f t="shared" si="179"/>
        <v>8.2999999999999741E-3</v>
      </c>
      <c r="V171">
        <f>V161</f>
        <v>0.99170000000000003</v>
      </c>
      <c r="W171">
        <f>W161</f>
        <v>0.73</v>
      </c>
      <c r="X171">
        <f t="shared" si="164"/>
        <v>4.7000000000000002E-3</v>
      </c>
      <c r="Y171">
        <f t="shared" si="165"/>
        <v>0</v>
      </c>
      <c r="Z171">
        <v>0</v>
      </c>
      <c r="AA171">
        <f t="shared" si="180"/>
        <v>0</v>
      </c>
      <c r="AB171">
        <f t="shared" si="188"/>
        <v>1.3</v>
      </c>
      <c r="AC171">
        <f t="shared" si="166"/>
        <v>1</v>
      </c>
      <c r="AD171">
        <f t="shared" si="167"/>
        <v>0.51535000000000009</v>
      </c>
      <c r="AF171">
        <v>1.8</v>
      </c>
      <c r="AG171">
        <f t="shared" si="181"/>
        <v>0.99846618932067555</v>
      </c>
      <c r="AH171">
        <f t="shared" si="168"/>
        <v>0.87583738496773078</v>
      </c>
      <c r="AI171">
        <f t="shared" si="182"/>
        <v>0.87449401623331569</v>
      </c>
      <c r="AJ171">
        <f t="shared" si="169"/>
        <v>0.11368422211033104</v>
      </c>
      <c r="AK171">
        <f t="shared" si="170"/>
        <v>0.08</v>
      </c>
      <c r="AL171">
        <f t="shared" si="171"/>
        <v>0.3097294972940734</v>
      </c>
      <c r="AM171">
        <f t="shared" si="172"/>
        <v>0.19</v>
      </c>
      <c r="AN171">
        <f t="shared" si="173"/>
        <v>0.6784</v>
      </c>
      <c r="AO171">
        <f t="shared" si="174"/>
        <v>2.4189281040301033E-4</v>
      </c>
      <c r="AP171">
        <f t="shared" si="175"/>
        <v>1.8608020636414109E-4</v>
      </c>
      <c r="AQ171">
        <f t="shared" si="183"/>
        <v>4.2797301676715142E-4</v>
      </c>
      <c r="AR171">
        <f t="shared" si="176"/>
        <v>5.2720926003003461</v>
      </c>
      <c r="BA171">
        <f>BA169</f>
        <v>18</v>
      </c>
      <c r="BC171">
        <f t="shared" si="184"/>
        <v>0</v>
      </c>
      <c r="BD171">
        <f>BD169</f>
        <v>3.9452054794520547E-2</v>
      </c>
      <c r="BE171">
        <f t="shared" si="177"/>
        <v>-1.84E-2</v>
      </c>
      <c r="BF171">
        <v>50</v>
      </c>
      <c r="BG171">
        <f t="shared" si="185"/>
        <v>0.86</v>
      </c>
      <c r="BH171">
        <f t="shared" si="191"/>
        <v>5.0649821590459708E-3</v>
      </c>
      <c r="BI171">
        <f t="shared" si="178"/>
        <v>68.8</v>
      </c>
      <c r="BJ171">
        <f t="shared" si="186"/>
        <v>1.3124493378606997E-2</v>
      </c>
      <c r="BK171">
        <f t="shared" si="187"/>
        <v>161.67735280771495</v>
      </c>
      <c r="BM171" s="28"/>
    </row>
    <row r="172" spans="1:73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63"/>
        <v>91.25</v>
      </c>
      <c r="N172">
        <v>-0.03</v>
      </c>
      <c r="P172">
        <v>0.1</v>
      </c>
      <c r="R172">
        <v>0.6</v>
      </c>
      <c r="T172">
        <v>40</v>
      </c>
      <c r="U172">
        <f t="shared" si="179"/>
        <v>8.2999999999999741E-3</v>
      </c>
      <c r="V172">
        <f>V161</f>
        <v>0.99170000000000003</v>
      </c>
      <c r="W172">
        <f>W161</f>
        <v>0.73</v>
      </c>
      <c r="X172">
        <f t="shared" si="164"/>
        <v>4.7000000000000002E-3</v>
      </c>
      <c r="Y172">
        <f t="shared" si="165"/>
        <v>0</v>
      </c>
      <c r="Z172">
        <v>0</v>
      </c>
      <c r="AA172">
        <f t="shared" si="180"/>
        <v>0</v>
      </c>
      <c r="AB172">
        <f t="shared" si="188"/>
        <v>1.3</v>
      </c>
      <c r="AC172">
        <f t="shared" si="166"/>
        <v>1</v>
      </c>
      <c r="AD172">
        <f t="shared" si="167"/>
        <v>0.47559999999999997</v>
      </c>
      <c r="AF172">
        <v>1</v>
      </c>
      <c r="AG172">
        <f t="shared" si="181"/>
        <v>0.8646647167633873</v>
      </c>
      <c r="AH172">
        <f t="shared" si="168"/>
        <v>0.74875248086684232</v>
      </c>
      <c r="AI172">
        <f t="shared" si="182"/>
        <v>0.64741985179461181</v>
      </c>
      <c r="AJ172">
        <f t="shared" si="169"/>
        <v>6.4741985179461184E-2</v>
      </c>
      <c r="AK172">
        <f t="shared" si="170"/>
        <v>0.08</v>
      </c>
      <c r="AL172">
        <f t="shared" si="171"/>
        <v>0.25367531615393463</v>
      </c>
      <c r="AM172">
        <f t="shared" si="172"/>
        <v>0.19</v>
      </c>
      <c r="AN172">
        <f t="shared" si="173"/>
        <v>0.6784</v>
      </c>
      <c r="AO172">
        <f t="shared" si="174"/>
        <v>1.981155675853724E-4</v>
      </c>
      <c r="AP172">
        <f t="shared" si="175"/>
        <v>1.5240380910377092E-4</v>
      </c>
      <c r="AQ172">
        <f t="shared" si="183"/>
        <v>3.5051937668914329E-4</v>
      </c>
      <c r="AR172">
        <f t="shared" si="176"/>
        <v>4.1580361059749622</v>
      </c>
      <c r="BA172">
        <f>BA169</f>
        <v>18</v>
      </c>
      <c r="BC172">
        <f t="shared" si="184"/>
        <v>0</v>
      </c>
      <c r="BD172">
        <f>BD169</f>
        <v>3.9452054794520547E-2</v>
      </c>
      <c r="BE172">
        <f t="shared" si="177"/>
        <v>-2.76E-2</v>
      </c>
      <c r="BF172">
        <v>50</v>
      </c>
      <c r="BG172">
        <f t="shared" si="185"/>
        <v>0.8</v>
      </c>
      <c r="BH172">
        <f t="shared" si="191"/>
        <v>4.930975186566499E-3</v>
      </c>
      <c r="BI172">
        <f t="shared" si="178"/>
        <v>64</v>
      </c>
      <c r="BJ172">
        <f t="shared" si="186"/>
        <v>5.4277424421472903E-3</v>
      </c>
      <c r="BK172">
        <f t="shared" si="187"/>
        <v>64.386594719972223</v>
      </c>
      <c r="BM172" s="28"/>
    </row>
    <row r="173" spans="1:73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63"/>
        <v>91.25</v>
      </c>
      <c r="N173">
        <v>0</v>
      </c>
      <c r="P173">
        <v>0.16</v>
      </c>
      <c r="R173">
        <v>0.7</v>
      </c>
      <c r="T173">
        <v>50</v>
      </c>
      <c r="U173">
        <f t="shared" si="179"/>
        <v>8.2999999999999741E-3</v>
      </c>
      <c r="V173">
        <f>V161</f>
        <v>0.99170000000000003</v>
      </c>
      <c r="W173">
        <f>W161</f>
        <v>0.73</v>
      </c>
      <c r="X173">
        <f t="shared" si="164"/>
        <v>4.7000000000000002E-3</v>
      </c>
      <c r="Y173">
        <f t="shared" si="165"/>
        <v>0</v>
      </c>
      <c r="Z173">
        <v>0</v>
      </c>
      <c r="AA173">
        <f t="shared" si="180"/>
        <v>0</v>
      </c>
      <c r="AB173">
        <f t="shared" si="188"/>
        <v>1.3</v>
      </c>
      <c r="AC173">
        <f t="shared" si="166"/>
        <v>1</v>
      </c>
      <c r="AD173">
        <f t="shared" si="167"/>
        <v>0.55510000000000004</v>
      </c>
      <c r="AF173">
        <v>3.2</v>
      </c>
      <c r="AG173">
        <f t="shared" si="181"/>
        <v>0.99999999872459233</v>
      </c>
      <c r="AH173">
        <f t="shared" si="168"/>
        <v>1.0993929471578776</v>
      </c>
      <c r="AI173">
        <f t="shared" si="182"/>
        <v>1.0993929457557035</v>
      </c>
      <c r="AJ173">
        <f t="shared" si="169"/>
        <v>0.17590287132091256</v>
      </c>
      <c r="AK173">
        <f t="shared" si="170"/>
        <v>0.08</v>
      </c>
      <c r="AL173">
        <f t="shared" si="171"/>
        <v>0.34791131947830267</v>
      </c>
      <c r="AM173">
        <f t="shared" si="172"/>
        <v>0.19</v>
      </c>
      <c r="AN173">
        <f t="shared" si="173"/>
        <v>0.6784</v>
      </c>
      <c r="AO173">
        <f t="shared" si="174"/>
        <v>2.7171208288154398E-4</v>
      </c>
      <c r="AP173">
        <f t="shared" si="175"/>
        <v>2.0901919478297603E-4</v>
      </c>
      <c r="AQ173">
        <f t="shared" si="183"/>
        <v>4.8073127766452004E-4</v>
      </c>
      <c r="AR173">
        <f t="shared" si="176"/>
        <v>8.773345817377491</v>
      </c>
      <c r="BA173">
        <v>20</v>
      </c>
      <c r="BB173">
        <v>0.8</v>
      </c>
      <c r="BC173">
        <f t="shared" si="184"/>
        <v>0</v>
      </c>
      <c r="BD173">
        <f t="shared" ref="BD173:BD184" si="193">(BA173 * BB173) / 365</f>
        <v>4.3835616438356165E-2</v>
      </c>
      <c r="BE173">
        <f t="shared" si="177"/>
        <v>0</v>
      </c>
      <c r="BF173">
        <v>50</v>
      </c>
      <c r="BG173">
        <f t="shared" si="185"/>
        <v>1</v>
      </c>
      <c r="BH173">
        <f t="shared" si="191"/>
        <v>5.8915068493150683E-3</v>
      </c>
      <c r="BI173">
        <f t="shared" si="178"/>
        <v>80</v>
      </c>
      <c r="BJ173">
        <f t="shared" si="186"/>
        <v>2.2252952562030942E-2</v>
      </c>
      <c r="BK173">
        <f t="shared" si="187"/>
        <v>406.11638425706474</v>
      </c>
      <c r="BM173" s="28"/>
    </row>
    <row r="174" spans="1:73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63"/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79"/>
        <v>8.2999999999999741E-3</v>
      </c>
      <c r="V174">
        <f>V161</f>
        <v>0.99170000000000003</v>
      </c>
      <c r="W174">
        <f>W161</f>
        <v>0.73</v>
      </c>
      <c r="X174">
        <f t="shared" si="164"/>
        <v>4.7000000000000002E-3</v>
      </c>
      <c r="Y174">
        <f t="shared" si="165"/>
        <v>0</v>
      </c>
      <c r="Z174">
        <v>0</v>
      </c>
      <c r="AA174">
        <f t="shared" si="180"/>
        <v>0</v>
      </c>
      <c r="AB174">
        <f t="shared" si="188"/>
        <v>1.3</v>
      </c>
      <c r="AC174">
        <f t="shared" si="166"/>
        <v>1</v>
      </c>
      <c r="AD174">
        <f t="shared" si="167"/>
        <v>0.43585000000000007</v>
      </c>
      <c r="AF174">
        <v>3</v>
      </c>
      <c r="AG174">
        <f t="shared" si="181"/>
        <v>0.99999998477002028</v>
      </c>
      <c r="AH174">
        <f t="shared" si="168"/>
        <v>0.8646283676396137</v>
      </c>
      <c r="AI174">
        <f t="shared" si="182"/>
        <v>0.86462835447134123</v>
      </c>
      <c r="AJ174">
        <f t="shared" si="169"/>
        <v>6.052398481299389E-2</v>
      </c>
      <c r="AK174">
        <f t="shared" si="170"/>
        <v>0.08</v>
      </c>
      <c r="AL174">
        <f t="shared" si="171"/>
        <v>0.38546716339302944</v>
      </c>
      <c r="AM174">
        <f t="shared" si="172"/>
        <v>0.19</v>
      </c>
      <c r="AN174">
        <f t="shared" si="173"/>
        <v>0.6784</v>
      </c>
      <c r="AO174">
        <f t="shared" si="174"/>
        <v>3.0104247831031633E-4</v>
      </c>
      <c r="AP174">
        <f t="shared" si="175"/>
        <v>2.3158210611975671E-4</v>
      </c>
      <c r="AQ174">
        <f t="shared" si="183"/>
        <v>5.3262458443007301E-4</v>
      </c>
      <c r="AR174">
        <f t="shared" si="176"/>
        <v>10.206418599141273</v>
      </c>
      <c r="BA174">
        <f>BA173</f>
        <v>20</v>
      </c>
      <c r="BC174">
        <f t="shared" si="184"/>
        <v>0</v>
      </c>
      <c r="BD174">
        <f>BD173</f>
        <v>4.3835616438356165E-2</v>
      </c>
      <c r="BE174">
        <f t="shared" si="177"/>
        <v>0</v>
      </c>
      <c r="BF174">
        <v>50</v>
      </c>
      <c r="BG174">
        <f t="shared" si="185"/>
        <v>1</v>
      </c>
      <c r="BH174">
        <f t="shared" si="191"/>
        <v>5.8915068493150683E-3</v>
      </c>
      <c r="BI174">
        <f t="shared" si="178"/>
        <v>80</v>
      </c>
      <c r="BJ174">
        <f t="shared" si="186"/>
        <v>3.7923307207639546E-3</v>
      </c>
      <c r="BK174">
        <f t="shared" si="187"/>
        <v>72.670537436639279</v>
      </c>
      <c r="BM174" s="28"/>
    </row>
    <row r="175" spans="1:73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63"/>
        <v>91.25</v>
      </c>
      <c r="N175">
        <v>0</v>
      </c>
      <c r="P175">
        <v>0.13</v>
      </c>
      <c r="R175">
        <v>0.65</v>
      </c>
      <c r="T175">
        <v>50</v>
      </c>
      <c r="U175">
        <f t="shared" si="179"/>
        <v>8.2999999999999741E-3</v>
      </c>
      <c r="V175">
        <f>V161</f>
        <v>0.99170000000000003</v>
      </c>
      <c r="W175">
        <f>W161</f>
        <v>0.73</v>
      </c>
      <c r="X175">
        <f t="shared" si="164"/>
        <v>4.7000000000000002E-3</v>
      </c>
      <c r="Y175">
        <f t="shared" si="165"/>
        <v>0</v>
      </c>
      <c r="Z175">
        <v>0</v>
      </c>
      <c r="AA175">
        <f t="shared" si="180"/>
        <v>0</v>
      </c>
      <c r="AB175">
        <f t="shared" si="188"/>
        <v>1.3</v>
      </c>
      <c r="AC175">
        <f t="shared" si="166"/>
        <v>1</v>
      </c>
      <c r="AD175">
        <f t="shared" si="167"/>
        <v>0.51535000000000009</v>
      </c>
      <c r="AF175">
        <v>1.8</v>
      </c>
      <c r="AG175">
        <f t="shared" si="181"/>
        <v>0.99846618932067555</v>
      </c>
      <c r="AH175">
        <f t="shared" si="168"/>
        <v>1.0211380873184563</v>
      </c>
      <c r="AI175">
        <f t="shared" si="182"/>
        <v>1.0195718548150623</v>
      </c>
      <c r="AJ175">
        <f t="shared" si="169"/>
        <v>0.13254434112595812</v>
      </c>
      <c r="AK175">
        <f t="shared" si="170"/>
        <v>0.08</v>
      </c>
      <c r="AL175">
        <f t="shared" si="171"/>
        <v>0.36655672228087188</v>
      </c>
      <c r="AM175">
        <f t="shared" si="172"/>
        <v>0.19</v>
      </c>
      <c r="AN175">
        <f t="shared" si="173"/>
        <v>0.6784</v>
      </c>
      <c r="AO175">
        <f t="shared" si="174"/>
        <v>2.8627378567192246E-4</v>
      </c>
      <c r="AP175">
        <f t="shared" si="175"/>
        <v>2.2022103520035946E-4</v>
      </c>
      <c r="AQ175">
        <f t="shared" si="183"/>
        <v>5.0649482087228195E-4</v>
      </c>
      <c r="AR175">
        <f t="shared" si="176"/>
        <v>8.781353956873188</v>
      </c>
      <c r="BA175">
        <f>BA173</f>
        <v>20</v>
      </c>
      <c r="BC175">
        <f t="shared" si="184"/>
        <v>0</v>
      </c>
      <c r="BD175">
        <f>BD173</f>
        <v>4.3835616438356165E-2</v>
      </c>
      <c r="BE175">
        <f t="shared" si="177"/>
        <v>0</v>
      </c>
      <c r="BF175">
        <v>50</v>
      </c>
      <c r="BG175">
        <f t="shared" si="185"/>
        <v>1</v>
      </c>
      <c r="BH175">
        <f t="shared" si="191"/>
        <v>5.8915068493150683E-3</v>
      </c>
      <c r="BI175">
        <f t="shared" si="178"/>
        <v>80</v>
      </c>
      <c r="BJ175">
        <f t="shared" si="186"/>
        <v>1.5315587730838232E-2</v>
      </c>
      <c r="BK175">
        <f t="shared" si="187"/>
        <v>265.53400228340786</v>
      </c>
      <c r="BM175" s="28"/>
    </row>
    <row r="176" spans="1:73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63"/>
        <v>91.25</v>
      </c>
      <c r="N176">
        <v>0</v>
      </c>
      <c r="P176">
        <v>0.1</v>
      </c>
      <c r="R176">
        <v>0.6</v>
      </c>
      <c r="T176">
        <v>50</v>
      </c>
      <c r="U176">
        <f t="shared" si="179"/>
        <v>8.2999999999999741E-3</v>
      </c>
      <c r="V176">
        <f>V161</f>
        <v>0.99170000000000003</v>
      </c>
      <c r="W176">
        <f>W161</f>
        <v>0.73</v>
      </c>
      <c r="X176">
        <f t="shared" si="164"/>
        <v>4.7000000000000002E-3</v>
      </c>
      <c r="Y176">
        <f t="shared" si="165"/>
        <v>0</v>
      </c>
      <c r="Z176">
        <v>0</v>
      </c>
      <c r="AA176">
        <f t="shared" si="180"/>
        <v>0</v>
      </c>
      <c r="AB176">
        <f t="shared" si="188"/>
        <v>1.3</v>
      </c>
      <c r="AC176">
        <f t="shared" si="166"/>
        <v>1</v>
      </c>
      <c r="AD176">
        <f t="shared" si="167"/>
        <v>0.47559999999999997</v>
      </c>
      <c r="AF176">
        <v>1</v>
      </c>
      <c r="AG176">
        <f t="shared" si="181"/>
        <v>0.8646647167633873</v>
      </c>
      <c r="AH176">
        <f t="shared" si="168"/>
        <v>0.94288322747903475</v>
      </c>
      <c r="AI176">
        <f t="shared" si="182"/>
        <v>0.81527785882910808</v>
      </c>
      <c r="AJ176">
        <f t="shared" si="169"/>
        <v>8.1527785882910819E-2</v>
      </c>
      <c r="AK176">
        <f t="shared" si="170"/>
        <v>0.08</v>
      </c>
      <c r="AL176">
        <f t="shared" si="171"/>
        <v>0.32448240197428052</v>
      </c>
      <c r="AM176">
        <f t="shared" si="172"/>
        <v>0.19</v>
      </c>
      <c r="AN176">
        <f t="shared" si="173"/>
        <v>0.6784</v>
      </c>
      <c r="AO176">
        <f t="shared" si="174"/>
        <v>2.5341454664666813E-4</v>
      </c>
      <c r="AP176">
        <f t="shared" si="175"/>
        <v>1.9494350021037423E-4</v>
      </c>
      <c r="AQ176">
        <f t="shared" si="183"/>
        <v>4.4835804685704238E-4</v>
      </c>
      <c r="AR176">
        <f t="shared" si="176"/>
        <v>7.3642809196269212</v>
      </c>
      <c r="BA176">
        <f>BA173</f>
        <v>20</v>
      </c>
      <c r="BC176">
        <f t="shared" si="184"/>
        <v>0</v>
      </c>
      <c r="BD176">
        <f>BD173</f>
        <v>4.3835616438356165E-2</v>
      </c>
      <c r="BE176">
        <f t="shared" si="177"/>
        <v>0</v>
      </c>
      <c r="BF176">
        <v>50</v>
      </c>
      <c r="BG176">
        <f t="shared" si="185"/>
        <v>1</v>
      </c>
      <c r="BH176">
        <f t="shared" si="191"/>
        <v>5.8915068493150683E-3</v>
      </c>
      <c r="BI176">
        <f t="shared" si="178"/>
        <v>80</v>
      </c>
      <c r="BJ176">
        <f t="shared" si="186"/>
        <v>7.1529388919506628E-3</v>
      </c>
      <c r="BK176">
        <f t="shared" si="187"/>
        <v>117.48702130028964</v>
      </c>
      <c r="BM176" s="28"/>
    </row>
    <row r="177" spans="1:73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63"/>
        <v>91.25</v>
      </c>
      <c r="N177">
        <v>0.11</v>
      </c>
      <c r="P177">
        <v>0.16</v>
      </c>
      <c r="R177">
        <v>0.7</v>
      </c>
      <c r="T177">
        <v>70</v>
      </c>
      <c r="U177">
        <f t="shared" si="179"/>
        <v>8.2999999999999741E-3</v>
      </c>
      <c r="V177">
        <f>V161</f>
        <v>0.99170000000000003</v>
      </c>
      <c r="W177">
        <f>W161</f>
        <v>0.73</v>
      </c>
      <c r="X177">
        <f t="shared" si="164"/>
        <v>4.7000000000000002E-3</v>
      </c>
      <c r="Y177">
        <f t="shared" si="165"/>
        <v>0</v>
      </c>
      <c r="Z177">
        <v>0</v>
      </c>
      <c r="AA177">
        <f t="shared" si="180"/>
        <v>0</v>
      </c>
      <c r="AB177">
        <f t="shared" si="188"/>
        <v>1.3</v>
      </c>
      <c r="AC177">
        <f t="shared" si="166"/>
        <v>1</v>
      </c>
      <c r="AD177">
        <f t="shared" si="167"/>
        <v>0.55510000000000004</v>
      </c>
      <c r="AF177">
        <v>3.2</v>
      </c>
      <c r="AG177">
        <f t="shared" si="181"/>
        <v>0.99999999872459233</v>
      </c>
      <c r="AH177">
        <f t="shared" si="168"/>
        <v>1.5635664662315347</v>
      </c>
      <c r="AI177">
        <f t="shared" si="182"/>
        <v>1.5635664642373501</v>
      </c>
      <c r="AJ177">
        <f t="shared" si="169"/>
        <v>0.25017063427797603</v>
      </c>
      <c r="AK177">
        <f t="shared" si="170"/>
        <v>0.08</v>
      </c>
      <c r="AL177">
        <f t="shared" si="171"/>
        <v>0.52151077937113577</v>
      </c>
      <c r="AM177">
        <f t="shared" si="172"/>
        <v>0.19</v>
      </c>
      <c r="AN177">
        <f t="shared" si="173"/>
        <v>0.6784</v>
      </c>
      <c r="AO177">
        <f t="shared" si="174"/>
        <v>4.0728993905858168E-4</v>
      </c>
      <c r="AP177">
        <f t="shared" si="175"/>
        <v>3.133147933739338E-4</v>
      </c>
      <c r="AQ177">
        <f t="shared" si="183"/>
        <v>7.2060473243251548E-4</v>
      </c>
      <c r="AR177">
        <f t="shared" si="176"/>
        <v>3.2877590917233519</v>
      </c>
      <c r="BA177">
        <v>15</v>
      </c>
      <c r="BB177">
        <v>0.85</v>
      </c>
      <c r="BC177">
        <f t="shared" si="184"/>
        <v>0</v>
      </c>
      <c r="BD177">
        <f t="shared" ref="BD177:BD184" si="194">(BA177 * BB177) / 365</f>
        <v>3.4931506849315071E-2</v>
      </c>
      <c r="BE177">
        <f t="shared" si="177"/>
        <v>0.1012</v>
      </c>
      <c r="BF177">
        <v>70</v>
      </c>
      <c r="BG177">
        <f t="shared" si="185"/>
        <v>1</v>
      </c>
      <c r="BH177">
        <f t="shared" si="191"/>
        <v>5.9208324456527239E-3</v>
      </c>
      <c r="BI177">
        <f t="shared" si="178"/>
        <v>112</v>
      </c>
      <c r="BJ177">
        <f t="shared" si="186"/>
        <v>3.4106469038823445E-2</v>
      </c>
      <c r="BK177">
        <f t="shared" si="187"/>
        <v>155.61076498963197</v>
      </c>
      <c r="BM177" s="28"/>
    </row>
    <row r="178" spans="1:73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63"/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79"/>
        <v>8.2999999999999741E-3</v>
      </c>
      <c r="V178">
        <f>V161</f>
        <v>0.99170000000000003</v>
      </c>
      <c r="W178">
        <f>W161</f>
        <v>0.73</v>
      </c>
      <c r="X178">
        <f t="shared" si="164"/>
        <v>4.7000000000000002E-3</v>
      </c>
      <c r="Y178">
        <f t="shared" si="165"/>
        <v>0</v>
      </c>
      <c r="Z178">
        <v>0</v>
      </c>
      <c r="AA178">
        <f t="shared" si="180"/>
        <v>0</v>
      </c>
      <c r="AB178">
        <f t="shared" si="188"/>
        <v>1.3</v>
      </c>
      <c r="AC178">
        <f t="shared" si="166"/>
        <v>1</v>
      </c>
      <c r="AD178">
        <f t="shared" si="167"/>
        <v>0.43585000000000007</v>
      </c>
      <c r="AF178">
        <v>3</v>
      </c>
      <c r="AG178">
        <f t="shared" si="181"/>
        <v>0.99999998477002028</v>
      </c>
      <c r="AH178">
        <f t="shared" si="168"/>
        <v>1.1580752413958724</v>
      </c>
      <c r="AI178">
        <f t="shared" si="182"/>
        <v>1.15807522375841</v>
      </c>
      <c r="AJ178">
        <f t="shared" si="169"/>
        <v>8.1065265663088706E-2</v>
      </c>
      <c r="AK178">
        <f t="shared" si="170"/>
        <v>0.08</v>
      </c>
      <c r="AL178">
        <f t="shared" si="171"/>
        <v>0.52879702927487948</v>
      </c>
      <c r="AM178">
        <f t="shared" si="172"/>
        <v>0.19</v>
      </c>
      <c r="AN178">
        <f t="shared" si="173"/>
        <v>0.6784</v>
      </c>
      <c r="AO178">
        <f t="shared" si="174"/>
        <v>4.1298036080372741E-4</v>
      </c>
      <c r="AP178">
        <f t="shared" si="175"/>
        <v>3.1769224820969987E-4</v>
      </c>
      <c r="AQ178">
        <f t="shared" si="183"/>
        <v>7.3067260901342728E-4</v>
      </c>
      <c r="AR178">
        <f t="shared" si="176"/>
        <v>3.6670631564861385</v>
      </c>
      <c r="BA178">
        <f>BA177</f>
        <v>15</v>
      </c>
      <c r="BC178">
        <f t="shared" si="184"/>
        <v>0</v>
      </c>
      <c r="BD178">
        <f>BD177</f>
        <v>3.4931506849315071E-2</v>
      </c>
      <c r="BE178">
        <f t="shared" si="177"/>
        <v>-4.6000000000000006E-2</v>
      </c>
      <c r="BF178">
        <v>70</v>
      </c>
      <c r="BG178">
        <f t="shared" si="185"/>
        <v>0.9285714285714286</v>
      </c>
      <c r="BH178">
        <f t="shared" si="191"/>
        <v>4.1216473006511047E-3</v>
      </c>
      <c r="BI178">
        <f t="shared" si="178"/>
        <v>104</v>
      </c>
      <c r="BJ178">
        <f t="shared" si="186"/>
        <v>8.8487952054430892E-3</v>
      </c>
      <c r="BK178">
        <f t="shared" si="187"/>
        <v>44.409890937317506</v>
      </c>
      <c r="BM178" s="28"/>
    </row>
    <row r="179" spans="1:73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63"/>
        <v>91.25</v>
      </c>
      <c r="N179">
        <v>0</v>
      </c>
      <c r="P179">
        <v>0.13</v>
      </c>
      <c r="R179">
        <v>0.65</v>
      </c>
      <c r="T179">
        <v>65</v>
      </c>
      <c r="U179">
        <f t="shared" si="179"/>
        <v>8.2999999999999741E-3</v>
      </c>
      <c r="V179">
        <f>V161</f>
        <v>0.99170000000000003</v>
      </c>
      <c r="W179">
        <f>W161</f>
        <v>0.73</v>
      </c>
      <c r="X179">
        <f t="shared" si="164"/>
        <v>4.7000000000000002E-3</v>
      </c>
      <c r="Y179">
        <f t="shared" si="165"/>
        <v>0</v>
      </c>
      <c r="Z179">
        <v>0</v>
      </c>
      <c r="AA179">
        <f t="shared" si="180"/>
        <v>0</v>
      </c>
      <c r="AB179">
        <f t="shared" si="188"/>
        <v>1.3</v>
      </c>
      <c r="AC179">
        <f t="shared" si="166"/>
        <v>1</v>
      </c>
      <c r="AD179">
        <f t="shared" si="167"/>
        <v>0.51535000000000009</v>
      </c>
      <c r="AF179">
        <v>1.8</v>
      </c>
      <c r="AG179">
        <f t="shared" si="181"/>
        <v>0.99846618932067555</v>
      </c>
      <c r="AH179">
        <f t="shared" si="168"/>
        <v>1.3486207988995054</v>
      </c>
      <c r="AI179">
        <f t="shared" si="182"/>
        <v>1.3465522699157941</v>
      </c>
      <c r="AJ179">
        <f t="shared" si="169"/>
        <v>0.17505179508905325</v>
      </c>
      <c r="AK179">
        <f t="shared" si="170"/>
        <v>0.08</v>
      </c>
      <c r="AL179">
        <f t="shared" si="171"/>
        <v>0.50031570188753161</v>
      </c>
      <c r="AM179">
        <f t="shared" si="172"/>
        <v>0.19</v>
      </c>
      <c r="AN179">
        <f t="shared" si="173"/>
        <v>0.6784</v>
      </c>
      <c r="AO179">
        <f t="shared" si="174"/>
        <v>3.9073698913288962E-4</v>
      </c>
      <c r="AP179">
        <f t="shared" si="175"/>
        <v>3.005811518366914E-4</v>
      </c>
      <c r="AQ179">
        <f t="shared" si="183"/>
        <v>6.9131814096958107E-4</v>
      </c>
      <c r="AR179">
        <f t="shared" si="176"/>
        <v>3.7849668218084562</v>
      </c>
      <c r="BA179">
        <f>BA177</f>
        <v>15</v>
      </c>
      <c r="BC179">
        <f t="shared" si="184"/>
        <v>0</v>
      </c>
      <c r="BD179">
        <f>BD177</f>
        <v>3.4931506849315071E-2</v>
      </c>
      <c r="BE179">
        <f t="shared" si="177"/>
        <v>0</v>
      </c>
      <c r="BF179">
        <v>70</v>
      </c>
      <c r="BG179">
        <f t="shared" si="185"/>
        <v>0.9285714285714286</v>
      </c>
      <c r="BH179">
        <f t="shared" si="191"/>
        <v>4.6947945205479454E-3</v>
      </c>
      <c r="BI179">
        <f t="shared" si="178"/>
        <v>104</v>
      </c>
      <c r="BJ179">
        <f t="shared" si="186"/>
        <v>2.3313492693700574E-2</v>
      </c>
      <c r="BK179">
        <f t="shared" si="187"/>
        <v>127.64137249801064</v>
      </c>
      <c r="BM179" s="28"/>
    </row>
    <row r="180" spans="1:73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63"/>
        <v>91.25</v>
      </c>
      <c r="N180">
        <v>-0.05</v>
      </c>
      <c r="P180">
        <v>0.1</v>
      </c>
      <c r="R180">
        <v>0.6</v>
      </c>
      <c r="T180">
        <v>60</v>
      </c>
      <c r="U180">
        <f t="shared" si="179"/>
        <v>8.2999999999999741E-3</v>
      </c>
      <c r="V180">
        <f>V161</f>
        <v>0.99170000000000003</v>
      </c>
      <c r="W180">
        <f>W161</f>
        <v>0.73</v>
      </c>
      <c r="X180">
        <f t="shared" si="164"/>
        <v>4.7000000000000002E-3</v>
      </c>
      <c r="Y180">
        <f t="shared" si="165"/>
        <v>0</v>
      </c>
      <c r="Z180">
        <v>0</v>
      </c>
      <c r="AA180">
        <f t="shared" si="180"/>
        <v>0</v>
      </c>
      <c r="AB180">
        <f t="shared" si="188"/>
        <v>1.3</v>
      </c>
      <c r="AC180">
        <f t="shared" si="166"/>
        <v>1</v>
      </c>
      <c r="AD180">
        <f t="shared" si="167"/>
        <v>0.47559999999999997</v>
      </c>
      <c r="AF180">
        <v>1</v>
      </c>
      <c r="AG180">
        <f t="shared" si="181"/>
        <v>0.8646647167633873</v>
      </c>
      <c r="AH180">
        <f t="shared" si="168"/>
        <v>1.1472289977258807</v>
      </c>
      <c r="AI180">
        <f t="shared" si="182"/>
        <v>0.99196843638139331</v>
      </c>
      <c r="AJ180">
        <f t="shared" si="169"/>
        <v>9.919684363813934E-2</v>
      </c>
      <c r="AK180">
        <f t="shared" si="170"/>
        <v>0.08</v>
      </c>
      <c r="AL180">
        <f t="shared" si="171"/>
        <v>0.40125563532734443</v>
      </c>
      <c r="AM180">
        <f t="shared" si="172"/>
        <v>0.19</v>
      </c>
      <c r="AN180">
        <f t="shared" si="173"/>
        <v>0.6784</v>
      </c>
      <c r="AO180">
        <f t="shared" si="174"/>
        <v>3.1337297276281742E-4</v>
      </c>
      <c r="AP180">
        <f t="shared" si="175"/>
        <v>2.4106755113348225E-4</v>
      </c>
      <c r="AQ180">
        <f t="shared" si="183"/>
        <v>5.5444052389629962E-4</v>
      </c>
      <c r="AR180">
        <f t="shared" si="176"/>
        <v>3.2885253573599269</v>
      </c>
      <c r="BA180">
        <f>BA177</f>
        <v>15</v>
      </c>
      <c r="BC180">
        <f t="shared" si="184"/>
        <v>0</v>
      </c>
      <c r="BD180">
        <f>BD177</f>
        <v>3.4931506849315071E-2</v>
      </c>
      <c r="BE180">
        <f t="shared" si="177"/>
        <v>-4.6000000000000006E-2</v>
      </c>
      <c r="BF180">
        <v>70</v>
      </c>
      <c r="BG180">
        <f t="shared" si="185"/>
        <v>0.8571428571428571</v>
      </c>
      <c r="BH180">
        <f t="shared" si="191"/>
        <v>4.0999171353949902E-3</v>
      </c>
      <c r="BI180">
        <f t="shared" si="178"/>
        <v>96</v>
      </c>
      <c r="BJ180">
        <f t="shared" si="186"/>
        <v>1.1771577846707305E-2</v>
      </c>
      <c r="BK180">
        <f t="shared" si="187"/>
        <v>69.820171103282703</v>
      </c>
      <c r="BM180" s="28"/>
    </row>
    <row r="181" spans="1:73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63"/>
        <v>91.25</v>
      </c>
      <c r="N181">
        <v>0.11</v>
      </c>
      <c r="P181">
        <v>0.16</v>
      </c>
      <c r="R181">
        <v>0.7</v>
      </c>
      <c r="T181">
        <v>60</v>
      </c>
      <c r="U181">
        <f t="shared" si="179"/>
        <v>8.2999999999999741E-3</v>
      </c>
      <c r="V181">
        <f>V161</f>
        <v>0.99170000000000003</v>
      </c>
      <c r="W181">
        <f>W161</f>
        <v>0.73</v>
      </c>
      <c r="X181">
        <f t="shared" si="164"/>
        <v>4.7000000000000002E-3</v>
      </c>
      <c r="Y181">
        <f t="shared" si="165"/>
        <v>0</v>
      </c>
      <c r="Z181">
        <v>0</v>
      </c>
      <c r="AA181">
        <f t="shared" si="180"/>
        <v>0</v>
      </c>
      <c r="AB181">
        <f t="shared" si="188"/>
        <v>1.3</v>
      </c>
      <c r="AC181">
        <f t="shared" si="166"/>
        <v>1</v>
      </c>
      <c r="AD181">
        <f t="shared" si="167"/>
        <v>0.55510000000000004</v>
      </c>
      <c r="AF181">
        <v>3.2</v>
      </c>
      <c r="AG181">
        <f t="shared" si="181"/>
        <v>0.99999999872459233</v>
      </c>
      <c r="AH181">
        <f t="shared" si="168"/>
        <v>1.3266722980183725</v>
      </c>
      <c r="AI181">
        <f t="shared" si="182"/>
        <v>1.3266722963263244</v>
      </c>
      <c r="AJ181">
        <f t="shared" si="169"/>
        <v>0.21226756741221192</v>
      </c>
      <c r="AK181">
        <f t="shared" si="170"/>
        <v>0.08</v>
      </c>
      <c r="AL181">
        <f t="shared" si="171"/>
        <v>0.43093173903776888</v>
      </c>
      <c r="AM181">
        <f t="shared" si="172"/>
        <v>0.19</v>
      </c>
      <c r="AN181">
        <f t="shared" si="173"/>
        <v>0.6784</v>
      </c>
      <c r="AO181">
        <f t="shared" si="174"/>
        <v>3.365494418787382E-4</v>
      </c>
      <c r="AP181">
        <f t="shared" si="175"/>
        <v>2.5889644877081781E-4</v>
      </c>
      <c r="AQ181">
        <f t="shared" si="183"/>
        <v>5.9544589064955606E-4</v>
      </c>
      <c r="AR181">
        <f t="shared" si="176"/>
        <v>2.7167218760885996</v>
      </c>
      <c r="BA181">
        <v>18</v>
      </c>
      <c r="BB181">
        <v>0.8</v>
      </c>
      <c r="BC181">
        <f t="shared" si="184"/>
        <v>0</v>
      </c>
      <c r="BD181">
        <f t="shared" ref="BD181:BD184" si="195">(BA181 * BB181) / 365</f>
        <v>3.9452054794520547E-2</v>
      </c>
      <c r="BE181">
        <f t="shared" si="177"/>
        <v>0.1012</v>
      </c>
      <c r="BF181">
        <v>60</v>
      </c>
      <c r="BG181">
        <f t="shared" si="185"/>
        <v>1</v>
      </c>
      <c r="BH181">
        <f t="shared" si="191"/>
        <v>6.5281733685033849E-3</v>
      </c>
      <c r="BI181">
        <f t="shared" si="178"/>
        <v>96</v>
      </c>
      <c r="BJ181">
        <f t="shared" si="186"/>
        <v>2.7434637417450523E-2</v>
      </c>
      <c r="BK181">
        <f t="shared" si="187"/>
        <v>125.17053321711801</v>
      </c>
      <c r="BM181" s="28"/>
    </row>
    <row r="182" spans="1:73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63"/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79"/>
        <v>8.2999999999999741E-3</v>
      </c>
      <c r="V182">
        <f>V161</f>
        <v>0.99170000000000003</v>
      </c>
      <c r="W182">
        <f>W161</f>
        <v>0.73</v>
      </c>
      <c r="X182">
        <f t="shared" si="164"/>
        <v>4.7000000000000002E-3</v>
      </c>
      <c r="Y182">
        <f t="shared" si="165"/>
        <v>0</v>
      </c>
      <c r="Z182">
        <v>0</v>
      </c>
      <c r="AA182">
        <f t="shared" si="180"/>
        <v>0</v>
      </c>
      <c r="AB182">
        <f t="shared" si="188"/>
        <v>1.3</v>
      </c>
      <c r="AC182">
        <f t="shared" si="166"/>
        <v>1</v>
      </c>
      <c r="AD182">
        <f t="shared" si="167"/>
        <v>0.43585000000000007</v>
      </c>
      <c r="AF182">
        <v>3</v>
      </c>
      <c r="AG182">
        <f t="shared" si="181"/>
        <v>0.99999998477002028</v>
      </c>
      <c r="AH182">
        <f t="shared" si="168"/>
        <v>0.95969823125361531</v>
      </c>
      <c r="AI182">
        <f t="shared" si="182"/>
        <v>0.95969821663743071</v>
      </c>
      <c r="AJ182">
        <f t="shared" si="169"/>
        <v>6.717887516462015E-2</v>
      </c>
      <c r="AK182">
        <f t="shared" si="170"/>
        <v>0.08</v>
      </c>
      <c r="AL182">
        <f t="shared" si="171"/>
        <v>0.43120862223412426</v>
      </c>
      <c r="AM182">
        <f t="shared" si="172"/>
        <v>0.19</v>
      </c>
      <c r="AN182">
        <f t="shared" si="173"/>
        <v>0.6784</v>
      </c>
      <c r="AO182">
        <f t="shared" si="174"/>
        <v>3.3676568235665495E-4</v>
      </c>
      <c r="AP182">
        <f t="shared" si="175"/>
        <v>2.5906279547904771E-4</v>
      </c>
      <c r="AQ182">
        <f t="shared" si="183"/>
        <v>5.9582847783570272E-4</v>
      </c>
      <c r="AR182">
        <f t="shared" si="176"/>
        <v>5.436934860250787</v>
      </c>
      <c r="BA182">
        <f>BA181</f>
        <v>18</v>
      </c>
      <c r="BC182">
        <f t="shared" si="184"/>
        <v>0</v>
      </c>
      <c r="BD182">
        <f>BD181</f>
        <v>3.9452054794520547E-2</v>
      </c>
      <c r="BE182">
        <f t="shared" si="177"/>
        <v>-4.6000000000000006E-2</v>
      </c>
      <c r="BF182">
        <v>60</v>
      </c>
      <c r="BG182">
        <f t="shared" si="185"/>
        <v>0.91666666666666663</v>
      </c>
      <c r="BH182">
        <f t="shared" si="191"/>
        <v>4.7260723963921001E-3</v>
      </c>
      <c r="BI182">
        <f t="shared" si="178"/>
        <v>88</v>
      </c>
      <c r="BJ182">
        <f t="shared" si="186"/>
        <v>6.0225476299471245E-3</v>
      </c>
      <c r="BK182">
        <f t="shared" si="187"/>
        <v>54.955747123267514</v>
      </c>
      <c r="BM182" s="28"/>
    </row>
    <row r="183" spans="1:73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63"/>
        <v>91.25</v>
      </c>
      <c r="N183">
        <v>-0.03</v>
      </c>
      <c r="P183">
        <v>0.13</v>
      </c>
      <c r="R183">
        <v>0.65</v>
      </c>
      <c r="T183">
        <v>52</v>
      </c>
      <c r="U183">
        <f t="shared" si="179"/>
        <v>8.2999999999999741E-3</v>
      </c>
      <c r="V183">
        <f>V161</f>
        <v>0.99170000000000003</v>
      </c>
      <c r="W183">
        <f>W161</f>
        <v>0.73</v>
      </c>
      <c r="X183">
        <f t="shared" si="164"/>
        <v>4.7000000000000002E-3</v>
      </c>
      <c r="Y183">
        <f t="shared" si="165"/>
        <v>0</v>
      </c>
      <c r="Z183">
        <v>0</v>
      </c>
      <c r="AA183">
        <f t="shared" si="180"/>
        <v>0</v>
      </c>
      <c r="AB183">
        <f t="shared" si="188"/>
        <v>1.3</v>
      </c>
      <c r="AC183">
        <f t="shared" si="166"/>
        <v>1</v>
      </c>
      <c r="AD183">
        <f t="shared" si="167"/>
        <v>0.51535000000000009</v>
      </c>
      <c r="AF183">
        <v>1.8</v>
      </c>
      <c r="AG183">
        <f t="shared" si="181"/>
        <v>0.99846618932067555</v>
      </c>
      <c r="AH183">
        <f t="shared" si="168"/>
        <v>1.0635112555960096</v>
      </c>
      <c r="AI183">
        <f t="shared" si="182"/>
        <v>1.0618800306745946</v>
      </c>
      <c r="AJ183">
        <f t="shared" si="169"/>
        <v>0.1380444039876973</v>
      </c>
      <c r="AK183">
        <f t="shared" si="170"/>
        <v>0.08</v>
      </c>
      <c r="AL183">
        <f t="shared" si="171"/>
        <v>0.383420652420493</v>
      </c>
      <c r="AM183">
        <f t="shared" si="172"/>
        <v>0.19</v>
      </c>
      <c r="AN183">
        <f t="shared" si="173"/>
        <v>0.6784</v>
      </c>
      <c r="AO183">
        <f t="shared" si="174"/>
        <v>2.9944419240279937E-4</v>
      </c>
      <c r="AP183">
        <f t="shared" si="175"/>
        <v>2.3035259718559638E-4</v>
      </c>
      <c r="AQ183">
        <f t="shared" si="183"/>
        <v>5.2979678958839577E-4</v>
      </c>
      <c r="AR183">
        <f t="shared" si="176"/>
        <v>4.3509561344947008</v>
      </c>
      <c r="BA183">
        <f>BA181</f>
        <v>18</v>
      </c>
      <c r="BC183">
        <f t="shared" si="184"/>
        <v>0</v>
      </c>
      <c r="BD183">
        <f>BD181</f>
        <v>3.9452054794520547E-2</v>
      </c>
      <c r="BE183">
        <f t="shared" si="177"/>
        <v>-2.76E-2</v>
      </c>
      <c r="BF183">
        <v>60</v>
      </c>
      <c r="BG183">
        <f t="shared" si="185"/>
        <v>0.8666666666666667</v>
      </c>
      <c r="BH183">
        <f t="shared" si="191"/>
        <v>4.9476274039474974E-3</v>
      </c>
      <c r="BI183">
        <f t="shared" si="178"/>
        <v>83.2</v>
      </c>
      <c r="BJ183">
        <f t="shared" si="186"/>
        <v>1.7139477234084072E-2</v>
      </c>
      <c r="BK183">
        <f t="shared" si="187"/>
        <v>140.75795678491542</v>
      </c>
      <c r="BM183" s="28"/>
    </row>
    <row r="184" spans="1:73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63"/>
        <v>91.25</v>
      </c>
      <c r="N184">
        <v>-0.02</v>
      </c>
      <c r="P184">
        <v>0.1</v>
      </c>
      <c r="R184">
        <v>0.6</v>
      </c>
      <c r="T184">
        <v>50</v>
      </c>
      <c r="U184">
        <f t="shared" si="179"/>
        <v>8.2999999999999741E-3</v>
      </c>
      <c r="V184">
        <f>V161</f>
        <v>0.99170000000000003</v>
      </c>
      <c r="W184">
        <f>W161</f>
        <v>0.73</v>
      </c>
      <c r="X184">
        <f t="shared" si="164"/>
        <v>4.7000000000000002E-3</v>
      </c>
      <c r="Y184">
        <f t="shared" si="165"/>
        <v>0</v>
      </c>
      <c r="Z184">
        <v>0</v>
      </c>
      <c r="AA184">
        <f t="shared" si="180"/>
        <v>0</v>
      </c>
      <c r="AB184">
        <f t="shared" si="188"/>
        <v>1.3</v>
      </c>
      <c r="AC184">
        <f t="shared" si="166"/>
        <v>1</v>
      </c>
      <c r="AD184">
        <f t="shared" si="167"/>
        <v>0.47559999999999997</v>
      </c>
      <c r="AF184">
        <v>1</v>
      </c>
      <c r="AG184">
        <f t="shared" si="181"/>
        <v>0.8646647167633873</v>
      </c>
      <c r="AH184">
        <f t="shared" si="168"/>
        <v>0.94288322747903475</v>
      </c>
      <c r="AI184">
        <f t="shared" si="182"/>
        <v>0.81527785882910808</v>
      </c>
      <c r="AJ184">
        <f t="shared" si="169"/>
        <v>8.1527785882910819E-2</v>
      </c>
      <c r="AK184">
        <f t="shared" si="170"/>
        <v>0.08</v>
      </c>
      <c r="AL184">
        <f t="shared" si="171"/>
        <v>0.32448240197428052</v>
      </c>
      <c r="AM184">
        <f t="shared" si="172"/>
        <v>0.19</v>
      </c>
      <c r="AN184">
        <f t="shared" si="173"/>
        <v>0.6784</v>
      </c>
      <c r="AO184">
        <f t="shared" si="174"/>
        <v>2.5341454664666813E-4</v>
      </c>
      <c r="AP184">
        <f t="shared" si="175"/>
        <v>1.9494350021037423E-4</v>
      </c>
      <c r="AQ184">
        <f t="shared" si="183"/>
        <v>4.4835804685704238E-4</v>
      </c>
      <c r="AR184">
        <f t="shared" si="176"/>
        <v>3.2730137420564094</v>
      </c>
      <c r="BA184">
        <f>BA181</f>
        <v>18</v>
      </c>
      <c r="BC184">
        <f t="shared" si="184"/>
        <v>0</v>
      </c>
      <c r="BD184">
        <f>BD181</f>
        <v>3.9452054794520547E-2</v>
      </c>
      <c r="BE184">
        <f t="shared" si="177"/>
        <v>-1.84E-2</v>
      </c>
      <c r="BF184">
        <v>60</v>
      </c>
      <c r="BG184">
        <f t="shared" si="185"/>
        <v>0.83333333333333337</v>
      </c>
      <c r="BH184">
        <f t="shared" si="191"/>
        <v>5.0609041742876127E-3</v>
      </c>
      <c r="BI184">
        <f t="shared" si="178"/>
        <v>80</v>
      </c>
      <c r="BJ184">
        <f t="shared" si="186"/>
        <v>7.9835415669781175E-3</v>
      </c>
      <c r="BK184">
        <f t="shared" si="187"/>
        <v>58.27985343894025</v>
      </c>
      <c r="BM184" s="28"/>
    </row>
    <row r="191" spans="1:73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96">$CA$3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$BZ$26:$CB$32, 2)/100)</f>
        <v>1</v>
      </c>
      <c r="W191">
        <f>VLOOKUP($B191,$CB$10:$CC$16, 2, FALSE)</f>
        <v>0.76</v>
      </c>
      <c r="X191">
        <f t="shared" ref="X191:X214" si="197">$CA$10</f>
        <v>4.7000000000000002E-3</v>
      </c>
      <c r="Y191">
        <f t="shared" ref="Y191:Y214" si="198">(I191/100)*(MIN(J191,100)/100)</f>
        <v>0.85499999999999998</v>
      </c>
      <c r="Z191">
        <v>0</v>
      </c>
      <c r="AA191">
        <f>1.6 * Z191</f>
        <v>0</v>
      </c>
      <c r="AB191">
        <f>$CD$1</f>
        <v>1.3</v>
      </c>
      <c r="AC191">
        <f t="shared" ref="AC191:AC214" si="199">Y191*AB191+(1-Y191)</f>
        <v>1.2565</v>
      </c>
      <c r="AD191">
        <f t="shared" ref="AD191:AD214" si="200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201">(104.7*AD191+0.307*T191-15)*(T191^0.75)*10^-3</f>
        <v>1.2622908518455234</v>
      </c>
      <c r="AI191">
        <f>AH191*AG191*AC191</f>
        <v>1.5860684553075832</v>
      </c>
      <c r="AJ191">
        <f t="shared" ref="AJ191:AJ214" si="202">(AI191 * P191) + (0.045 * AA191)</f>
        <v>0.28549232195536495</v>
      </c>
      <c r="AK191">
        <f t="shared" ref="AK191:AK214" si="203">$CA$2</f>
        <v>0.08</v>
      </c>
      <c r="AL191">
        <f t="shared" ref="AL191:AL214" si="204">(AI191 * ((1 - R191) + (0.04 * AI191))) * ( 1 - AK191 )</f>
        <v>0.4865539680315254</v>
      </c>
      <c r="AM191">
        <f t="shared" ref="AM191:AM214" si="205">$CA$1</f>
        <v>0.19</v>
      </c>
      <c r="AN191">
        <f t="shared" ref="AN191:AN214" si="206">$CB$20</f>
        <v>0.6784</v>
      </c>
      <c r="AO191">
        <f t="shared" ref="AO191:AO214" si="207">AL191 * AM191 * U191 * W191 * AN191</f>
        <v>0</v>
      </c>
      <c r="AP191">
        <f t="shared" ref="AP191:AP214" si="208">AL191*AM191*V191*X191*AN191</f>
        <v>2.9475984323794005E-4</v>
      </c>
      <c r="AQ191">
        <f>AO191+AP191</f>
        <v>2.9475984323794005E-4</v>
      </c>
      <c r="AR191">
        <f t="shared" ref="AR191:AR214" si="209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$CA$4</f>
        <v>0.24</v>
      </c>
      <c r="AW191" t="s">
        <v>322</v>
      </c>
      <c r="AX191" s="28">
        <f>VLOOKUP(AW191,$CE$37:$CG$46,2, FALSE)</f>
        <v>6.0000000000000001E-3</v>
      </c>
      <c r="AY191" s="28">
        <f>$CA$7</f>
        <v>1.5714285714285714</v>
      </c>
      <c r="AZ191">
        <f>$CA$5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210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 t="shared" ref="BI191:BI214" si="211">1.6 * T191</f>
        <v>88</v>
      </c>
      <c r="BJ191">
        <f>(AJ191  / 6.25 ) - BH191</f>
        <v>2.9362734845381266E-2</v>
      </c>
      <c r="BK191">
        <f>H191*BJ191*L191</f>
        <v>267.93495546410406</v>
      </c>
      <c r="BL191">
        <f>SUM(BK191:BK214)</f>
        <v>3870.1916608162624</v>
      </c>
      <c r="BM191" s="28">
        <f>BL191*$AU$11*$AV$11</f>
        <v>928.84599859590298</v>
      </c>
      <c r="BN191">
        <f>BK191 * AZ191</f>
        <v>56.266340647461853</v>
      </c>
      <c r="BO191" t="s">
        <v>226</v>
      </c>
      <c r="BP191">
        <f>VLOOKUP(BO191, $BZ$37:$CA$49, 2, FALSE)</f>
        <v>1.8E-3</v>
      </c>
      <c r="BQ191">
        <f>BN191 * BP191 * AY191 * 10^-3</f>
        <v>1.5915336354567781E-4</v>
      </c>
      <c r="BR191">
        <f>BK191 * AP191 * AV191</f>
        <v>1.8954351712935302E-2</v>
      </c>
      <c r="BS191">
        <f>$CA$6</f>
        <v>1.0999999999999999E-2</v>
      </c>
      <c r="BT191">
        <f>BL191 * AX191 * AY191 * 10^-3</f>
        <v>3.6490378516267623E-2</v>
      </c>
      <c r="BU191">
        <f>BR191 * BS191 * AY191 * 10^-3</f>
        <v>3.2763950818073878E-7</v>
      </c>
    </row>
    <row r="192" spans="1:73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96"/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212">1-V192</f>
        <v>0</v>
      </c>
      <c r="V192">
        <f>V191</f>
        <v>1</v>
      </c>
      <c r="W192">
        <f>W191</f>
        <v>0.76</v>
      </c>
      <c r="X192">
        <f t="shared" si="197"/>
        <v>4.7000000000000002E-3</v>
      </c>
      <c r="Y192">
        <f t="shared" si="198"/>
        <v>0</v>
      </c>
      <c r="Z192">
        <v>0</v>
      </c>
      <c r="AA192">
        <f t="shared" ref="AA192:AA214" si="213">1.6 * Z192</f>
        <v>0</v>
      </c>
      <c r="AB192">
        <f>$AB$11</f>
        <v>1.3</v>
      </c>
      <c r="AC192">
        <f t="shared" si="199"/>
        <v>1</v>
      </c>
      <c r="AD192">
        <f t="shared" si="200"/>
        <v>0.43585000000000007</v>
      </c>
      <c r="AF192">
        <v>1.5</v>
      </c>
      <c r="AG192">
        <f t="shared" ref="AG192:AG214" si="214">1 - EXP(-2*(AF192^2))</f>
        <v>0.98889100346175773</v>
      </c>
      <c r="AH192">
        <f t="shared" si="201"/>
        <v>0.8646283676396137</v>
      </c>
      <c r="AI192">
        <f t="shared" ref="AI192:AI214" si="215">AH192*AG192*AC192</f>
        <v>0.85502321409663917</v>
      </c>
      <c r="AJ192">
        <f t="shared" si="202"/>
        <v>5.1301392845798349E-2</v>
      </c>
      <c r="AK192">
        <f t="shared" si="203"/>
        <v>0.08</v>
      </c>
      <c r="AL192">
        <f t="shared" si="204"/>
        <v>0.38088279147251325</v>
      </c>
      <c r="AM192">
        <f t="shared" si="205"/>
        <v>0.19</v>
      </c>
      <c r="AN192">
        <f t="shared" si="206"/>
        <v>0.6784</v>
      </c>
      <c r="AO192">
        <f t="shared" si="207"/>
        <v>0</v>
      </c>
      <c r="AP192">
        <f t="shared" si="208"/>
        <v>2.3074306096131303E-4</v>
      </c>
      <c r="AQ192">
        <f t="shared" ref="AQ192:AQ214" si="216">AO192+AP192</f>
        <v>2.3074306096131303E-4</v>
      </c>
      <c r="AR192">
        <f t="shared" si="209"/>
        <v>1.4738713018903871</v>
      </c>
      <c r="BA192">
        <f>BA191</f>
        <v>20</v>
      </c>
      <c r="BC192">
        <f t="shared" ref="BC192:BC214" si="217">Y192 * 1.6</f>
        <v>0</v>
      </c>
      <c r="BD192">
        <f>BD191</f>
        <v>4.3835616438356165E-2</v>
      </c>
      <c r="BE192">
        <f t="shared" si="210"/>
        <v>-4.6000000000000006E-2</v>
      </c>
      <c r="BF192">
        <v>60</v>
      </c>
      <c r="BG192">
        <f t="shared" ref="BG192:BG214" si="218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 t="shared" si="211"/>
        <v>80</v>
      </c>
      <c r="BJ192">
        <f t="shared" ref="BJ192:BJ214" si="219">(AJ192  / 6.25 ) - BH192</f>
        <v>2.9209974489873116E-3</v>
      </c>
      <c r="BK192">
        <f t="shared" ref="BK192:BK214" si="220">H192*BJ192*L192</f>
        <v>18.657871205406451</v>
      </c>
      <c r="BM192" s="28"/>
    </row>
    <row r="193" spans="5:65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96"/>
        <v>91.25</v>
      </c>
      <c r="N193">
        <v>-0.05</v>
      </c>
      <c r="P193">
        <v>0.16</v>
      </c>
      <c r="R193">
        <v>0.7</v>
      </c>
      <c r="T193">
        <v>45</v>
      </c>
      <c r="U193">
        <f t="shared" si="212"/>
        <v>0</v>
      </c>
      <c r="V193">
        <f>V191</f>
        <v>1</v>
      </c>
      <c r="W193">
        <f>W191</f>
        <v>0.76</v>
      </c>
      <c r="X193">
        <f t="shared" si="197"/>
        <v>4.7000000000000002E-3</v>
      </c>
      <c r="Y193">
        <f t="shared" si="198"/>
        <v>0</v>
      </c>
      <c r="Z193">
        <v>0</v>
      </c>
      <c r="AA193">
        <f t="shared" si="213"/>
        <v>0</v>
      </c>
      <c r="AB193">
        <f t="shared" ref="AB193:AB214" si="221">$AB$11</f>
        <v>1.3</v>
      </c>
      <c r="AC193">
        <f t="shared" si="199"/>
        <v>1</v>
      </c>
      <c r="AD193">
        <f t="shared" si="200"/>
        <v>0.55510000000000004</v>
      </c>
      <c r="AF193">
        <v>0.7</v>
      </c>
      <c r="AG193">
        <f t="shared" si="214"/>
        <v>0.62468890114860043</v>
      </c>
      <c r="AH193">
        <f t="shared" si="201"/>
        <v>0.98919258792655118</v>
      </c>
      <c r="AI193">
        <f t="shared" si="215"/>
        <v>0.61793763077617758</v>
      </c>
      <c r="AJ193">
        <f t="shared" si="202"/>
        <v>9.8870020924188409E-2</v>
      </c>
      <c r="AK193">
        <f t="shared" si="203"/>
        <v>0.08</v>
      </c>
      <c r="AL193">
        <f t="shared" si="204"/>
        <v>0.18460275258570238</v>
      </c>
      <c r="AM193">
        <f t="shared" si="205"/>
        <v>0.19</v>
      </c>
      <c r="AN193">
        <f t="shared" si="206"/>
        <v>0.6784</v>
      </c>
      <c r="AO193">
        <f t="shared" si="207"/>
        <v>0</v>
      </c>
      <c r="AP193">
        <f t="shared" si="208"/>
        <v>1.1183441506724749E-4</v>
      </c>
      <c r="AQ193">
        <f t="shared" si="216"/>
        <v>1.1183441506724749E-4</v>
      </c>
      <c r="AR193">
        <f t="shared" si="209"/>
        <v>0.66331787436761169</v>
      </c>
      <c r="BA193">
        <f>BA191</f>
        <v>20</v>
      </c>
      <c r="BC193">
        <f t="shared" si="217"/>
        <v>0</v>
      </c>
      <c r="BD193">
        <f>BD191</f>
        <v>4.3835616438356165E-2</v>
      </c>
      <c r="BE193">
        <f t="shared" si="210"/>
        <v>-4.6000000000000006E-2</v>
      </c>
      <c r="BF193">
        <v>60</v>
      </c>
      <c r="BG193">
        <f t="shared" si="218"/>
        <v>0.75</v>
      </c>
      <c r="BH193">
        <f t="shared" ref="BH193:BH194" si="222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 t="shared" si="211"/>
        <v>72</v>
      </c>
      <c r="BJ193">
        <f t="shared" si="219"/>
        <v>1.0574954977041638E-2</v>
      </c>
      <c r="BK193">
        <f t="shared" si="220"/>
        <v>62.722701707578217</v>
      </c>
      <c r="BM193" s="28"/>
    </row>
    <row r="194" spans="5:65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96"/>
        <v>91.25</v>
      </c>
      <c r="N194">
        <v>0.05</v>
      </c>
      <c r="P194">
        <v>0.21</v>
      </c>
      <c r="R194">
        <v>0.76</v>
      </c>
      <c r="T194">
        <v>50</v>
      </c>
      <c r="U194">
        <f t="shared" si="212"/>
        <v>0</v>
      </c>
      <c r="V194">
        <f>V191</f>
        <v>1</v>
      </c>
      <c r="W194">
        <f>W191</f>
        <v>0.76</v>
      </c>
      <c r="X194">
        <f t="shared" si="197"/>
        <v>4.7000000000000002E-3</v>
      </c>
      <c r="Y194">
        <f t="shared" si="198"/>
        <v>0</v>
      </c>
      <c r="Z194">
        <v>0</v>
      </c>
      <c r="AA194">
        <f t="shared" si="213"/>
        <v>0</v>
      </c>
      <c r="AB194">
        <f t="shared" si="221"/>
        <v>1.3</v>
      </c>
      <c r="AC194">
        <f t="shared" si="199"/>
        <v>1</v>
      </c>
      <c r="AD194">
        <f t="shared" si="200"/>
        <v>0.60280000000000011</v>
      </c>
      <c r="AF194">
        <v>1.2</v>
      </c>
      <c r="AG194">
        <f t="shared" si="214"/>
        <v>0.94386523716586623</v>
      </c>
      <c r="AH194">
        <f t="shared" si="201"/>
        <v>1.1932987789651837</v>
      </c>
      <c r="AI194">
        <f t="shared" si="215"/>
        <v>1.1263132350177116</v>
      </c>
      <c r="AJ194">
        <f t="shared" si="202"/>
        <v>0.23652577935371943</v>
      </c>
      <c r="AK194">
        <f t="shared" si="203"/>
        <v>0.08</v>
      </c>
      <c r="AL194">
        <f t="shared" si="204"/>
        <v>0.29537376161614987</v>
      </c>
      <c r="AM194">
        <f t="shared" si="205"/>
        <v>0.19</v>
      </c>
      <c r="AN194">
        <f t="shared" si="206"/>
        <v>0.6784</v>
      </c>
      <c r="AO194">
        <f t="shared" si="207"/>
        <v>0</v>
      </c>
      <c r="AP194">
        <f t="shared" si="208"/>
        <v>1.7894073297319371E-4</v>
      </c>
      <c r="AQ194">
        <f t="shared" si="216"/>
        <v>1.7894073297319371E-4</v>
      </c>
      <c r="AR194">
        <f t="shared" si="209"/>
        <v>1.3062673507043141</v>
      </c>
      <c r="BA194">
        <f>BA191</f>
        <v>20</v>
      </c>
      <c r="BC194">
        <f t="shared" si="217"/>
        <v>0</v>
      </c>
      <c r="BD194">
        <f>BD191</f>
        <v>4.3835616438356165E-2</v>
      </c>
      <c r="BE194">
        <f t="shared" si="210"/>
        <v>4.6000000000000006E-2</v>
      </c>
      <c r="BF194">
        <v>60</v>
      </c>
      <c r="BG194">
        <f t="shared" si="218"/>
        <v>0.83333333333333337</v>
      </c>
      <c r="BH194">
        <f t="shared" si="222"/>
        <v>6.4936167331738097E-3</v>
      </c>
      <c r="BI194">
        <f t="shared" si="211"/>
        <v>80</v>
      </c>
      <c r="BJ194">
        <f t="shared" si="219"/>
        <v>3.1350507963421301E-2</v>
      </c>
      <c r="BK194">
        <f t="shared" si="220"/>
        <v>228.85870813297552</v>
      </c>
      <c r="BM194" s="28"/>
    </row>
    <row r="195" spans="5:65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96"/>
        <v>91.25</v>
      </c>
      <c r="N195">
        <v>0.11</v>
      </c>
      <c r="P195">
        <v>0.18</v>
      </c>
      <c r="R195">
        <v>0.73</v>
      </c>
      <c r="T195">
        <v>30</v>
      </c>
      <c r="U195">
        <f t="shared" si="212"/>
        <v>0</v>
      </c>
      <c r="V195">
        <f>V191</f>
        <v>1</v>
      </c>
      <c r="W195">
        <f>W191</f>
        <v>0.76</v>
      </c>
      <c r="X195">
        <f t="shared" si="197"/>
        <v>4.7000000000000002E-3</v>
      </c>
      <c r="Y195">
        <f t="shared" si="198"/>
        <v>0</v>
      </c>
      <c r="Z195">
        <v>1</v>
      </c>
      <c r="AA195">
        <f t="shared" si="213"/>
        <v>1.6</v>
      </c>
      <c r="AB195">
        <f t="shared" si="221"/>
        <v>1.3</v>
      </c>
      <c r="AC195">
        <f t="shared" si="199"/>
        <v>1</v>
      </c>
      <c r="AD195">
        <f t="shared" si="200"/>
        <v>0.57895000000000008</v>
      </c>
      <c r="AF195">
        <v>3.5</v>
      </c>
      <c r="AG195">
        <f t="shared" si="214"/>
        <v>0.99999999997710265</v>
      </c>
      <c r="AH195">
        <f t="shared" si="201"/>
        <v>0.70279395559006042</v>
      </c>
      <c r="AI195">
        <f t="shared" si="215"/>
        <v>0.70279395557396829</v>
      </c>
      <c r="AJ195">
        <f t="shared" si="202"/>
        <v>0.19850291200331427</v>
      </c>
      <c r="AK195">
        <f t="shared" si="203"/>
        <v>0.08</v>
      </c>
      <c r="AL195">
        <f t="shared" si="204"/>
        <v>0.19275025042345378</v>
      </c>
      <c r="AM195">
        <f t="shared" si="205"/>
        <v>0.19</v>
      </c>
      <c r="AN195">
        <f t="shared" si="206"/>
        <v>0.6784</v>
      </c>
      <c r="AO195">
        <f t="shared" si="207"/>
        <v>0</v>
      </c>
      <c r="AP195">
        <f t="shared" si="208"/>
        <v>1.1677026050933304E-4</v>
      </c>
      <c r="AQ195">
        <f t="shared" si="216"/>
        <v>1.1677026050933304E-4</v>
      </c>
      <c r="AR195">
        <f t="shared" si="209"/>
        <v>2.1310572542953281</v>
      </c>
      <c r="BA195">
        <v>15</v>
      </c>
      <c r="BB195">
        <v>0.85</v>
      </c>
      <c r="BC195">
        <f t="shared" si="217"/>
        <v>0</v>
      </c>
      <c r="BD195">
        <f t="shared" ref="BD195:BD211" si="223">(BA195 * BB195) / 365</f>
        <v>3.4931506849315071E-2</v>
      </c>
      <c r="BE195">
        <f t="shared" si="210"/>
        <v>0.1012</v>
      </c>
      <c r="BF195">
        <v>66</v>
      </c>
      <c r="BG195">
        <f t="shared" si="218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 t="shared" si="211"/>
        <v>48</v>
      </c>
      <c r="BJ195">
        <f t="shared" si="219"/>
        <v>2.4952753968104369E-2</v>
      </c>
      <c r="BK195">
        <f t="shared" si="220"/>
        <v>455.3877599179047</v>
      </c>
      <c r="BM195" s="28"/>
    </row>
    <row r="196" spans="5:65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96"/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212"/>
        <v>0</v>
      </c>
      <c r="V196">
        <f>V191</f>
        <v>1</v>
      </c>
      <c r="W196">
        <f>W191</f>
        <v>0.76</v>
      </c>
      <c r="X196">
        <f t="shared" si="197"/>
        <v>4.7000000000000002E-3</v>
      </c>
      <c r="Y196">
        <f t="shared" si="198"/>
        <v>0</v>
      </c>
      <c r="Z196">
        <v>0</v>
      </c>
      <c r="AA196">
        <f t="shared" si="213"/>
        <v>0</v>
      </c>
      <c r="AB196">
        <f t="shared" si="221"/>
        <v>1.3</v>
      </c>
      <c r="AC196">
        <f t="shared" si="199"/>
        <v>1</v>
      </c>
      <c r="AD196">
        <f t="shared" si="200"/>
        <v>0.43585000000000007</v>
      </c>
      <c r="AF196">
        <v>1.5</v>
      </c>
      <c r="AG196">
        <f t="shared" si="214"/>
        <v>0.98889100346175773</v>
      </c>
      <c r="AH196">
        <f t="shared" si="201"/>
        <v>0.5107382310873998</v>
      </c>
      <c r="AI196">
        <f t="shared" si="215"/>
        <v>0.50506444184630195</v>
      </c>
      <c r="AJ196">
        <f t="shared" si="202"/>
        <v>3.0303866510778116E-2</v>
      </c>
      <c r="AK196">
        <f t="shared" si="203"/>
        <v>0.08</v>
      </c>
      <c r="AL196">
        <f t="shared" si="204"/>
        <v>0.21848399425173362</v>
      </c>
      <c r="AM196">
        <f t="shared" si="205"/>
        <v>0.19</v>
      </c>
      <c r="AN196">
        <f t="shared" si="206"/>
        <v>0.6784</v>
      </c>
      <c r="AO196">
        <f t="shared" si="207"/>
        <v>0</v>
      </c>
      <c r="AP196">
        <f t="shared" si="208"/>
        <v>1.3236005073843587E-4</v>
      </c>
      <c r="AQ196">
        <f t="shared" si="216"/>
        <v>1.3236005073843587E-4</v>
      </c>
      <c r="AR196">
        <f t="shared" si="209"/>
        <v>2.5363494722752775</v>
      </c>
      <c r="BA196">
        <f>BA195</f>
        <v>15</v>
      </c>
      <c r="BC196">
        <f t="shared" si="217"/>
        <v>0</v>
      </c>
      <c r="BD196">
        <f>BD195</f>
        <v>3.4931506849315071E-2</v>
      </c>
      <c r="BE196">
        <f t="shared" si="210"/>
        <v>0</v>
      </c>
      <c r="BF196">
        <v>67</v>
      </c>
      <c r="BG196">
        <f t="shared" si="218"/>
        <v>0.44776119402985076</v>
      </c>
      <c r="BH196">
        <f t="shared" ref="BH196:BH214" si="224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 t="shared" si="211"/>
        <v>48</v>
      </c>
      <c r="BJ196">
        <f t="shared" si="219"/>
        <v>1.5382412117655349E-4</v>
      </c>
      <c r="BK196">
        <f t="shared" si="220"/>
        <v>2.9476547220457059</v>
      </c>
      <c r="BM196" s="28"/>
    </row>
    <row r="197" spans="5:65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96"/>
        <v>91.25</v>
      </c>
      <c r="N197">
        <v>0.11</v>
      </c>
      <c r="P197">
        <v>0.16</v>
      </c>
      <c r="R197">
        <v>0.7</v>
      </c>
      <c r="T197">
        <v>10</v>
      </c>
      <c r="U197">
        <f t="shared" si="212"/>
        <v>0</v>
      </c>
      <c r="V197">
        <f>V191</f>
        <v>1</v>
      </c>
      <c r="W197">
        <f>W191</f>
        <v>0.76</v>
      </c>
      <c r="X197">
        <f t="shared" si="197"/>
        <v>4.7000000000000002E-3</v>
      </c>
      <c r="Y197">
        <f t="shared" si="198"/>
        <v>0</v>
      </c>
      <c r="Z197">
        <v>0</v>
      </c>
      <c r="AA197">
        <f t="shared" si="213"/>
        <v>0</v>
      </c>
      <c r="AB197">
        <f t="shared" si="221"/>
        <v>1.3</v>
      </c>
      <c r="AC197">
        <f t="shared" si="199"/>
        <v>1</v>
      </c>
      <c r="AD197">
        <f t="shared" si="200"/>
        <v>0.55510000000000004</v>
      </c>
      <c r="AF197">
        <v>0.7</v>
      </c>
      <c r="AG197">
        <f t="shared" si="214"/>
        <v>0.62468890114860043</v>
      </c>
      <c r="AH197">
        <f t="shared" si="201"/>
        <v>0.25973966598977283</v>
      </c>
      <c r="AI197">
        <f t="shared" si="215"/>
        <v>0.1622564865318557</v>
      </c>
      <c r="AJ197">
        <f t="shared" si="202"/>
        <v>2.5961037845096912E-2</v>
      </c>
      <c r="AK197">
        <f t="shared" si="203"/>
        <v>0.08</v>
      </c>
      <c r="AL197">
        <f t="shared" si="204"/>
        <v>4.575163004390935E-2</v>
      </c>
      <c r="AM197">
        <f t="shared" si="205"/>
        <v>0.19</v>
      </c>
      <c r="AN197">
        <f t="shared" si="206"/>
        <v>0.6784</v>
      </c>
      <c r="AO197">
        <f t="shared" si="207"/>
        <v>0</v>
      </c>
      <c r="AP197">
        <f t="shared" si="208"/>
        <v>2.7716849898856777E-5</v>
      </c>
      <c r="AQ197">
        <f t="shared" si="216"/>
        <v>2.7716849898856777E-5</v>
      </c>
      <c r="AR197">
        <f t="shared" si="209"/>
        <v>0.42995763405601573</v>
      </c>
      <c r="BA197">
        <f>BA195</f>
        <v>15</v>
      </c>
      <c r="BC197">
        <f t="shared" si="217"/>
        <v>0</v>
      </c>
      <c r="BD197">
        <f>BD195</f>
        <v>3.4931506849315071E-2</v>
      </c>
      <c r="BE197">
        <f t="shared" si="210"/>
        <v>0.1012</v>
      </c>
      <c r="BF197">
        <v>68</v>
      </c>
      <c r="BG197">
        <f t="shared" si="218"/>
        <v>0.14705882352941177</v>
      </c>
      <c r="BH197">
        <f t="shared" si="224"/>
        <v>7.7162605597623094E-3</v>
      </c>
      <c r="BI197">
        <f t="shared" si="211"/>
        <v>16</v>
      </c>
      <c r="BJ197">
        <f t="shared" si="219"/>
        <v>-3.5624945045468039E-3</v>
      </c>
      <c r="BK197">
        <f t="shared" si="220"/>
        <v>-55.263196001782298</v>
      </c>
      <c r="BM197" s="28"/>
    </row>
    <row r="198" spans="5:65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96"/>
        <v>91.25</v>
      </c>
      <c r="N198">
        <v>0.11</v>
      </c>
      <c r="P198">
        <v>0.21</v>
      </c>
      <c r="R198">
        <v>0.76</v>
      </c>
      <c r="T198">
        <v>20</v>
      </c>
      <c r="U198">
        <f t="shared" si="212"/>
        <v>0</v>
      </c>
      <c r="V198">
        <f>V191</f>
        <v>1</v>
      </c>
      <c r="W198">
        <f>W191</f>
        <v>0.76</v>
      </c>
      <c r="X198">
        <f t="shared" si="197"/>
        <v>4.7000000000000002E-3</v>
      </c>
      <c r="Y198">
        <f t="shared" si="198"/>
        <v>0</v>
      </c>
      <c r="Z198">
        <v>0</v>
      </c>
      <c r="AA198">
        <f t="shared" si="213"/>
        <v>0</v>
      </c>
      <c r="AB198">
        <f t="shared" si="221"/>
        <v>1.3</v>
      </c>
      <c r="AC198">
        <f t="shared" si="199"/>
        <v>1</v>
      </c>
      <c r="AD198">
        <f t="shared" si="200"/>
        <v>0.60280000000000011</v>
      </c>
      <c r="AF198">
        <v>1.2</v>
      </c>
      <c r="AG198">
        <f t="shared" si="214"/>
        <v>0.94386523716586623</v>
      </c>
      <c r="AH198">
        <f t="shared" si="201"/>
        <v>0.51309470831906745</v>
      </c>
      <c r="AI198">
        <f t="shared" si="215"/>
        <v>0.48429225855612756</v>
      </c>
      <c r="AJ198">
        <f t="shared" si="202"/>
        <v>0.10170137429678679</v>
      </c>
      <c r="AK198">
        <f t="shared" si="203"/>
        <v>0.08</v>
      </c>
      <c r="AL198">
        <f t="shared" si="204"/>
        <v>0.11556276558365712</v>
      </c>
      <c r="AM198">
        <f t="shared" si="205"/>
        <v>0.19</v>
      </c>
      <c r="AN198">
        <f t="shared" si="206"/>
        <v>0.6784</v>
      </c>
      <c r="AO198">
        <f t="shared" si="207"/>
        <v>0</v>
      </c>
      <c r="AP198">
        <f t="shared" si="208"/>
        <v>7.000921769355402E-5</v>
      </c>
      <c r="AQ198">
        <f t="shared" si="216"/>
        <v>7.000921769355402E-5</v>
      </c>
      <c r="AR198">
        <f t="shared" si="209"/>
        <v>1.2776682229073608</v>
      </c>
      <c r="BA198">
        <f>BA195</f>
        <v>15</v>
      </c>
      <c r="BC198">
        <f t="shared" si="217"/>
        <v>0</v>
      </c>
      <c r="BD198">
        <f>BD195</f>
        <v>3.4931506849315071E-2</v>
      </c>
      <c r="BE198">
        <f t="shared" si="210"/>
        <v>0.1012</v>
      </c>
      <c r="BF198">
        <v>69</v>
      </c>
      <c r="BG198">
        <f t="shared" si="218"/>
        <v>0.28985507246376813</v>
      </c>
      <c r="BH198">
        <f t="shared" si="224"/>
        <v>7.3531003768620663E-3</v>
      </c>
      <c r="BI198">
        <f t="shared" si="211"/>
        <v>32</v>
      </c>
      <c r="BJ198">
        <f t="shared" si="219"/>
        <v>8.9191195106238172E-3</v>
      </c>
      <c r="BK198">
        <f t="shared" si="220"/>
        <v>162.77393106888468</v>
      </c>
      <c r="BM198" s="28"/>
    </row>
    <row r="199" spans="5:65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96"/>
        <v>91.25</v>
      </c>
      <c r="N199">
        <v>0.05</v>
      </c>
      <c r="P199">
        <v>0.18</v>
      </c>
      <c r="R199">
        <v>0.73</v>
      </c>
      <c r="T199">
        <v>50</v>
      </c>
      <c r="U199">
        <f t="shared" si="212"/>
        <v>0</v>
      </c>
      <c r="V199">
        <f>V191</f>
        <v>1</v>
      </c>
      <c r="W199">
        <f>W191</f>
        <v>0.76</v>
      </c>
      <c r="X199">
        <f t="shared" si="197"/>
        <v>4.7000000000000002E-3</v>
      </c>
      <c r="Y199">
        <f t="shared" si="198"/>
        <v>0.874</v>
      </c>
      <c r="Z199">
        <v>0</v>
      </c>
      <c r="AA199">
        <f t="shared" si="213"/>
        <v>0</v>
      </c>
      <c r="AB199">
        <f t="shared" si="221"/>
        <v>1.3</v>
      </c>
      <c r="AC199">
        <f t="shared" si="199"/>
        <v>1.2622</v>
      </c>
      <c r="AD199">
        <f t="shared" si="200"/>
        <v>0.57895000000000008</v>
      </c>
      <c r="AF199">
        <v>3.5</v>
      </c>
      <c r="AG199">
        <f t="shared" si="214"/>
        <v>0.99999999997710265</v>
      </c>
      <c r="AH199">
        <f t="shared" si="201"/>
        <v>1.1463458630615306</v>
      </c>
      <c r="AI199">
        <f t="shared" si="215"/>
        <v>1.4469177483231332</v>
      </c>
      <c r="AJ199">
        <f t="shared" si="202"/>
        <v>0.26044519469816396</v>
      </c>
      <c r="AK199">
        <f t="shared" si="203"/>
        <v>0.08</v>
      </c>
      <c r="AL199">
        <f t="shared" si="204"/>
        <v>0.43645778039464578</v>
      </c>
      <c r="AM199">
        <f t="shared" si="205"/>
        <v>0.19</v>
      </c>
      <c r="AN199">
        <f t="shared" si="206"/>
        <v>0.6784</v>
      </c>
      <c r="AO199">
        <f t="shared" si="207"/>
        <v>0</v>
      </c>
      <c r="AP199">
        <f t="shared" si="208"/>
        <v>2.6441101169021687E-4</v>
      </c>
      <c r="AQ199">
        <f t="shared" si="216"/>
        <v>2.6441101169021687E-4</v>
      </c>
      <c r="AR199">
        <f t="shared" si="209"/>
        <v>2.4127504816732288</v>
      </c>
      <c r="BA199">
        <v>18</v>
      </c>
      <c r="BB199">
        <v>0.8</v>
      </c>
      <c r="BC199">
        <f t="shared" si="217"/>
        <v>1.3984000000000001</v>
      </c>
      <c r="BD199">
        <f t="shared" ref="BD199:BD214" si="225">(BA199 * BB199) / 365</f>
        <v>3.9452054794520547E-2</v>
      </c>
      <c r="BE199">
        <f t="shared" si="210"/>
        <v>4.6000000000000006E-2</v>
      </c>
      <c r="BF199">
        <v>60</v>
      </c>
      <c r="BG199">
        <f t="shared" si="218"/>
        <v>0.83333333333333337</v>
      </c>
      <c r="BH199">
        <f t="shared" si="224"/>
        <v>1.5972946048242301E-2</v>
      </c>
      <c r="BI199">
        <f t="shared" si="211"/>
        <v>80</v>
      </c>
      <c r="BJ199">
        <f t="shared" si="219"/>
        <v>2.5698285103463933E-2</v>
      </c>
      <c r="BK199">
        <f t="shared" si="220"/>
        <v>234.4968515691084</v>
      </c>
      <c r="BM199" s="28"/>
    </row>
    <row r="200" spans="5:65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96"/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212"/>
        <v>0</v>
      </c>
      <c r="V200">
        <f>V191</f>
        <v>1</v>
      </c>
      <c r="W200">
        <f>W191</f>
        <v>0.76</v>
      </c>
      <c r="X200">
        <f t="shared" si="197"/>
        <v>4.7000000000000002E-3</v>
      </c>
      <c r="Y200">
        <f t="shared" si="198"/>
        <v>0</v>
      </c>
      <c r="Z200">
        <v>0</v>
      </c>
      <c r="AA200">
        <f t="shared" si="213"/>
        <v>0</v>
      </c>
      <c r="AB200">
        <f t="shared" si="221"/>
        <v>1.3</v>
      </c>
      <c r="AC200">
        <f t="shared" si="199"/>
        <v>1</v>
      </c>
      <c r="AD200">
        <f t="shared" si="200"/>
        <v>0.43585000000000007</v>
      </c>
      <c r="AF200">
        <v>1.5</v>
      </c>
      <c r="AG200">
        <f t="shared" si="214"/>
        <v>0.98889100346175773</v>
      </c>
      <c r="AH200">
        <f t="shared" si="201"/>
        <v>0.77226516609487061</v>
      </c>
      <c r="AI200">
        <f t="shared" si="215"/>
        <v>0.76368607503811758</v>
      </c>
      <c r="AJ200">
        <f t="shared" si="202"/>
        <v>4.5821164502287057E-2</v>
      </c>
      <c r="AK200">
        <f t="shared" si="203"/>
        <v>0.08</v>
      </c>
      <c r="AL200">
        <f t="shared" si="204"/>
        <v>0.33762839936620287</v>
      </c>
      <c r="AM200">
        <f t="shared" si="205"/>
        <v>0.19</v>
      </c>
      <c r="AN200">
        <f t="shared" si="206"/>
        <v>0.6784</v>
      </c>
      <c r="AO200">
        <f t="shared" si="207"/>
        <v>0</v>
      </c>
      <c r="AP200">
        <f t="shared" si="208"/>
        <v>2.0453906577411863E-4</v>
      </c>
      <c r="AQ200">
        <f t="shared" si="216"/>
        <v>2.0453906577411863E-4</v>
      </c>
      <c r="AR200">
        <f t="shared" si="209"/>
        <v>2.6129865652643653</v>
      </c>
      <c r="BA200">
        <f>BA199</f>
        <v>18</v>
      </c>
      <c r="BC200">
        <f t="shared" si="217"/>
        <v>0</v>
      </c>
      <c r="BD200">
        <f>BD199</f>
        <v>3.9452054794520547E-2</v>
      </c>
      <c r="BE200">
        <f t="shared" si="210"/>
        <v>-4.6000000000000006E-2</v>
      </c>
      <c r="BF200">
        <v>60</v>
      </c>
      <c r="BG200">
        <f t="shared" si="218"/>
        <v>0.75</v>
      </c>
      <c r="BH200">
        <f t="shared" si="224"/>
        <v>4.6550976858970019E-3</v>
      </c>
      <c r="BI200">
        <f t="shared" si="211"/>
        <v>72</v>
      </c>
      <c r="BJ200">
        <f t="shared" si="219"/>
        <v>2.6762886344689268E-3</v>
      </c>
      <c r="BK200">
        <f t="shared" si="220"/>
        <v>34.189587305340538</v>
      </c>
      <c r="BM200" s="28"/>
    </row>
    <row r="201" spans="5:65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96"/>
        <v>91.25</v>
      </c>
      <c r="N201">
        <v>0.11</v>
      </c>
      <c r="P201">
        <v>0.16</v>
      </c>
      <c r="R201">
        <v>0.7</v>
      </c>
      <c r="T201">
        <v>40</v>
      </c>
      <c r="U201">
        <f t="shared" si="212"/>
        <v>0</v>
      </c>
      <c r="V201">
        <f>V191</f>
        <v>1</v>
      </c>
      <c r="W201">
        <f>W191</f>
        <v>0.76</v>
      </c>
      <c r="X201">
        <f t="shared" si="197"/>
        <v>4.7000000000000002E-3</v>
      </c>
      <c r="Y201">
        <f t="shared" si="198"/>
        <v>0</v>
      </c>
      <c r="Z201">
        <v>0</v>
      </c>
      <c r="AA201">
        <f t="shared" si="213"/>
        <v>0</v>
      </c>
      <c r="AB201">
        <f t="shared" si="221"/>
        <v>1.3</v>
      </c>
      <c r="AC201">
        <f t="shared" si="199"/>
        <v>1</v>
      </c>
      <c r="AD201">
        <f t="shared" si="200"/>
        <v>0.55510000000000004</v>
      </c>
      <c r="AF201">
        <v>0.7</v>
      </c>
      <c r="AG201">
        <f t="shared" si="214"/>
        <v>0.62468890114860043</v>
      </c>
      <c r="AH201">
        <f t="shared" si="201"/>
        <v>0.88114358489687972</v>
      </c>
      <c r="AI201">
        <f t="shared" si="215"/>
        <v>0.55044061780337028</v>
      </c>
      <c r="AJ201">
        <f t="shared" si="202"/>
        <v>8.807049884853925E-2</v>
      </c>
      <c r="AK201">
        <f t="shared" si="203"/>
        <v>0.08</v>
      </c>
      <c r="AL201">
        <f t="shared" si="204"/>
        <v>0.16307145386691163</v>
      </c>
      <c r="AM201">
        <f t="shared" si="205"/>
        <v>0.19</v>
      </c>
      <c r="AN201">
        <f t="shared" si="206"/>
        <v>0.6784</v>
      </c>
      <c r="AO201">
        <f t="shared" si="207"/>
        <v>0</v>
      </c>
      <c r="AP201">
        <f t="shared" si="208"/>
        <v>9.8790513152858376E-5</v>
      </c>
      <c r="AQ201">
        <f t="shared" si="216"/>
        <v>9.8790513152858376E-5</v>
      </c>
      <c r="AR201">
        <f t="shared" si="209"/>
        <v>1.2169756339017741</v>
      </c>
      <c r="BA201">
        <f>BA199</f>
        <v>18</v>
      </c>
      <c r="BC201">
        <f t="shared" si="217"/>
        <v>0</v>
      </c>
      <c r="BD201">
        <f>BD199</f>
        <v>3.9452054794520547E-2</v>
      </c>
      <c r="BE201">
        <f t="shared" si="210"/>
        <v>0.1012</v>
      </c>
      <c r="BF201">
        <v>60</v>
      </c>
      <c r="BG201">
        <f t="shared" si="218"/>
        <v>0.66666666666666663</v>
      </c>
      <c r="BH201">
        <f t="shared" si="224"/>
        <v>6.847085971158795E-3</v>
      </c>
      <c r="BI201">
        <f t="shared" si="211"/>
        <v>64</v>
      </c>
      <c r="BJ201">
        <f t="shared" si="219"/>
        <v>7.2441938446074841E-3</v>
      </c>
      <c r="BK201">
        <f t="shared" si="220"/>
        <v>89.239412923258442</v>
      </c>
      <c r="BM201" s="28"/>
    </row>
    <row r="202" spans="5:65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96"/>
        <v>91.25</v>
      </c>
      <c r="N202">
        <v>0.05</v>
      </c>
      <c r="P202">
        <v>0.21</v>
      </c>
      <c r="R202">
        <v>0.76</v>
      </c>
      <c r="T202">
        <v>45</v>
      </c>
      <c r="U202">
        <f t="shared" si="212"/>
        <v>0</v>
      </c>
      <c r="V202">
        <f>V191</f>
        <v>1</v>
      </c>
      <c r="W202">
        <f>W191</f>
        <v>0.76</v>
      </c>
      <c r="X202">
        <f t="shared" si="197"/>
        <v>4.7000000000000002E-3</v>
      </c>
      <c r="Y202">
        <f t="shared" si="198"/>
        <v>0</v>
      </c>
      <c r="Z202">
        <v>0</v>
      </c>
      <c r="AA202">
        <f t="shared" si="213"/>
        <v>0</v>
      </c>
      <c r="AB202">
        <f t="shared" si="221"/>
        <v>1.3</v>
      </c>
      <c r="AC202">
        <f t="shared" si="199"/>
        <v>1</v>
      </c>
      <c r="AD202">
        <f t="shared" si="200"/>
        <v>0.60280000000000011</v>
      </c>
      <c r="AF202">
        <v>1.2</v>
      </c>
      <c r="AG202">
        <f t="shared" si="214"/>
        <v>0.94386523716586623</v>
      </c>
      <c r="AH202">
        <f t="shared" si="201"/>
        <v>1.0759635566592238</v>
      </c>
      <c r="AI202">
        <f t="shared" si="215"/>
        <v>1.0155645975879872</v>
      </c>
      <c r="AJ202">
        <f t="shared" si="202"/>
        <v>0.21326856549347731</v>
      </c>
      <c r="AK202">
        <f t="shared" si="203"/>
        <v>0.08</v>
      </c>
      <c r="AL202">
        <f t="shared" si="204"/>
        <v>0.26219113257639265</v>
      </c>
      <c r="AM202">
        <f t="shared" si="205"/>
        <v>0.19</v>
      </c>
      <c r="AN202">
        <f t="shared" si="206"/>
        <v>0.6784</v>
      </c>
      <c r="AO202">
        <f t="shared" si="207"/>
        <v>0</v>
      </c>
      <c r="AP202">
        <f t="shared" si="208"/>
        <v>1.5883832465546355E-4</v>
      </c>
      <c r="AQ202">
        <f t="shared" si="216"/>
        <v>1.5883832465546355E-4</v>
      </c>
      <c r="AR202">
        <f t="shared" si="209"/>
        <v>1.8842196262254365</v>
      </c>
      <c r="BA202">
        <f>BA199</f>
        <v>18</v>
      </c>
      <c r="BC202">
        <f t="shared" si="217"/>
        <v>0</v>
      </c>
      <c r="BD202">
        <f>BD199</f>
        <v>3.9452054794520547E-2</v>
      </c>
      <c r="BE202">
        <f t="shared" si="210"/>
        <v>4.6000000000000006E-2</v>
      </c>
      <c r="BF202">
        <v>60</v>
      </c>
      <c r="BG202">
        <f t="shared" si="218"/>
        <v>0.75</v>
      </c>
      <c r="BH202">
        <f t="shared" si="224"/>
        <v>5.9461880358489183E-3</v>
      </c>
      <c r="BI202">
        <f t="shared" si="211"/>
        <v>72</v>
      </c>
      <c r="BJ202">
        <f t="shared" si="219"/>
        <v>2.8176782443107451E-2</v>
      </c>
      <c r="BK202">
        <f t="shared" si="220"/>
        <v>334.24708173136213</v>
      </c>
      <c r="BM202" s="28"/>
    </row>
    <row r="203" spans="5:65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96"/>
        <v>91.25</v>
      </c>
      <c r="N203">
        <v>0.05</v>
      </c>
      <c r="P203">
        <v>0.18</v>
      </c>
      <c r="R203">
        <v>0.73</v>
      </c>
      <c r="T203">
        <v>55</v>
      </c>
      <c r="U203">
        <f t="shared" si="212"/>
        <v>0</v>
      </c>
      <c r="V203">
        <f>V191</f>
        <v>1</v>
      </c>
      <c r="W203">
        <f>W191</f>
        <v>0.76</v>
      </c>
      <c r="X203">
        <f t="shared" si="197"/>
        <v>4.7000000000000002E-3</v>
      </c>
      <c r="Y203">
        <f t="shared" si="198"/>
        <v>0</v>
      </c>
      <c r="Z203">
        <v>0</v>
      </c>
      <c r="AA203">
        <f t="shared" si="213"/>
        <v>0</v>
      </c>
      <c r="AB203">
        <f t="shared" si="221"/>
        <v>1.3</v>
      </c>
      <c r="AC203">
        <f t="shared" si="199"/>
        <v>1</v>
      </c>
      <c r="AD203">
        <f t="shared" si="200"/>
        <v>0.57895000000000008</v>
      </c>
      <c r="AF203">
        <v>3.5</v>
      </c>
      <c r="AG203">
        <f t="shared" si="214"/>
        <v>0.99999999997710265</v>
      </c>
      <c r="AH203">
        <f t="shared" si="201"/>
        <v>1.2622908518455234</v>
      </c>
      <c r="AI203">
        <f t="shared" si="215"/>
        <v>1.2622908518166203</v>
      </c>
      <c r="AJ203">
        <f t="shared" si="202"/>
        <v>0.22721235332699163</v>
      </c>
      <c r="AK203">
        <f t="shared" si="203"/>
        <v>0.08</v>
      </c>
      <c r="AL203">
        <f t="shared" si="204"/>
        <v>0.37218936515178991</v>
      </c>
      <c r="AM203">
        <f t="shared" si="205"/>
        <v>0.19</v>
      </c>
      <c r="AN203">
        <f t="shared" si="206"/>
        <v>0.6784</v>
      </c>
      <c r="AO203">
        <f t="shared" si="207"/>
        <v>0</v>
      </c>
      <c r="AP203">
        <f t="shared" si="208"/>
        <v>2.2547648592984403E-4</v>
      </c>
      <c r="AQ203">
        <f t="shared" si="216"/>
        <v>2.2547648592984403E-4</v>
      </c>
      <c r="AR203">
        <f t="shared" si="209"/>
        <v>4.114945868219654</v>
      </c>
      <c r="BA203">
        <v>20</v>
      </c>
      <c r="BB203">
        <v>0.8</v>
      </c>
      <c r="BC203">
        <f t="shared" si="217"/>
        <v>0</v>
      </c>
      <c r="BD203">
        <f t="shared" ref="BD203:BD214" si="226">(BA203 * BB203) / 365</f>
        <v>4.3835616438356165E-2</v>
      </c>
      <c r="BE203">
        <f t="shared" si="210"/>
        <v>4.6000000000000006E-2</v>
      </c>
      <c r="BF203">
        <v>60</v>
      </c>
      <c r="BG203">
        <f t="shared" si="218"/>
        <v>0.91666666666666663</v>
      </c>
      <c r="BH203">
        <f t="shared" si="224"/>
        <v>6.466436667477129E-3</v>
      </c>
      <c r="BI203">
        <f t="shared" si="211"/>
        <v>88</v>
      </c>
      <c r="BJ203">
        <f t="shared" si="219"/>
        <v>2.9887539864841536E-2</v>
      </c>
      <c r="BK203">
        <f t="shared" si="220"/>
        <v>545.44760253335801</v>
      </c>
      <c r="BM203" s="28"/>
    </row>
    <row r="204" spans="5:65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96"/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212"/>
        <v>0</v>
      </c>
      <c r="V204">
        <f>V191</f>
        <v>1</v>
      </c>
      <c r="W204">
        <f>W191</f>
        <v>0.76</v>
      </c>
      <c r="X204">
        <f t="shared" si="197"/>
        <v>4.7000000000000002E-3</v>
      </c>
      <c r="Y204">
        <f t="shared" si="198"/>
        <v>0</v>
      </c>
      <c r="Z204">
        <v>0</v>
      </c>
      <c r="AA204">
        <f t="shared" si="213"/>
        <v>0</v>
      </c>
      <c r="AB204">
        <f t="shared" si="221"/>
        <v>1.3</v>
      </c>
      <c r="AC204">
        <f t="shared" si="199"/>
        <v>1</v>
      </c>
      <c r="AD204">
        <f t="shared" si="200"/>
        <v>0.43585000000000007</v>
      </c>
      <c r="AF204">
        <v>1.5</v>
      </c>
      <c r="AG204">
        <f t="shared" si="214"/>
        <v>0.98889100346175773</v>
      </c>
      <c r="AH204">
        <f t="shared" si="201"/>
        <v>0.8646283676396137</v>
      </c>
      <c r="AI204">
        <f t="shared" si="215"/>
        <v>0.85502321409663917</v>
      </c>
      <c r="AJ204">
        <f t="shared" si="202"/>
        <v>5.1301392845798349E-2</v>
      </c>
      <c r="AK204">
        <f t="shared" si="203"/>
        <v>0.08</v>
      </c>
      <c r="AL204">
        <f t="shared" si="204"/>
        <v>0.38088279147251325</v>
      </c>
      <c r="AM204">
        <f t="shared" si="205"/>
        <v>0.19</v>
      </c>
      <c r="AN204">
        <f t="shared" si="206"/>
        <v>0.6784</v>
      </c>
      <c r="AO204">
        <f t="shared" si="207"/>
        <v>0</v>
      </c>
      <c r="AP204">
        <f t="shared" si="208"/>
        <v>2.3074306096131303E-4</v>
      </c>
      <c r="AQ204">
        <f t="shared" si="216"/>
        <v>2.3074306096131303E-4</v>
      </c>
      <c r="AR204">
        <f t="shared" si="209"/>
        <v>4.421613905671161</v>
      </c>
      <c r="BA204">
        <f>BA203</f>
        <v>20</v>
      </c>
      <c r="BC204">
        <f t="shared" si="217"/>
        <v>0</v>
      </c>
      <c r="BD204">
        <f>BD203</f>
        <v>4.3835616438356165E-2</v>
      </c>
      <c r="BE204">
        <f t="shared" si="210"/>
        <v>-4.6000000000000006E-2</v>
      </c>
      <c r="BF204">
        <v>60</v>
      </c>
      <c r="BG204">
        <f t="shared" si="218"/>
        <v>0.83333333333333337</v>
      </c>
      <c r="BH204">
        <f t="shared" si="224"/>
        <v>5.2872254063404235E-3</v>
      </c>
      <c r="BI204">
        <f t="shared" si="211"/>
        <v>80</v>
      </c>
      <c r="BJ204">
        <f t="shared" si="219"/>
        <v>2.9209974489873116E-3</v>
      </c>
      <c r="BK204">
        <f t="shared" si="220"/>
        <v>55.97361361621936</v>
      </c>
      <c r="BM204" s="28"/>
    </row>
    <row r="205" spans="5:65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96"/>
        <v>91.25</v>
      </c>
      <c r="N205">
        <v>-0.05</v>
      </c>
      <c r="P205">
        <v>0.06</v>
      </c>
      <c r="R205">
        <v>0.5</v>
      </c>
      <c r="T205">
        <v>45</v>
      </c>
      <c r="U205">
        <f t="shared" si="212"/>
        <v>0</v>
      </c>
      <c r="V205">
        <f>V191</f>
        <v>1</v>
      </c>
      <c r="W205">
        <f>W191</f>
        <v>0.76</v>
      </c>
      <c r="X205">
        <f t="shared" si="197"/>
        <v>4.7000000000000002E-3</v>
      </c>
      <c r="Y205">
        <f t="shared" si="198"/>
        <v>0</v>
      </c>
      <c r="Z205">
        <v>0</v>
      </c>
      <c r="AA205">
        <f t="shared" si="213"/>
        <v>0</v>
      </c>
      <c r="AB205">
        <f t="shared" si="221"/>
        <v>1.3</v>
      </c>
      <c r="AC205">
        <f t="shared" si="199"/>
        <v>1</v>
      </c>
      <c r="AD205">
        <f t="shared" si="200"/>
        <v>0.39610000000000001</v>
      </c>
      <c r="AF205">
        <v>0.7</v>
      </c>
      <c r="AG205">
        <f t="shared" si="214"/>
        <v>0.62468890114860043</v>
      </c>
      <c r="AH205">
        <f t="shared" si="201"/>
        <v>0.69995602548431024</v>
      </c>
      <c r="AI205">
        <f t="shared" si="215"/>
        <v>0.43725476041213551</v>
      </c>
      <c r="AJ205">
        <f t="shared" si="202"/>
        <v>2.6235285624728131E-2</v>
      </c>
      <c r="AK205">
        <f t="shared" si="203"/>
        <v>0.08</v>
      </c>
      <c r="AL205">
        <f t="shared" si="204"/>
        <v>0.20817304528809549</v>
      </c>
      <c r="AM205">
        <f t="shared" si="205"/>
        <v>0.19</v>
      </c>
      <c r="AN205">
        <f t="shared" si="206"/>
        <v>0.6784</v>
      </c>
      <c r="AO205">
        <f t="shared" si="207"/>
        <v>0</v>
      </c>
      <c r="AP205">
        <f t="shared" si="208"/>
        <v>1.2611356237363547E-4</v>
      </c>
      <c r="AQ205">
        <f t="shared" si="216"/>
        <v>1.2611356237363547E-4</v>
      </c>
      <c r="AR205">
        <f t="shared" si="209"/>
        <v>2.186493887652905</v>
      </c>
      <c r="BA205">
        <f>BA203</f>
        <v>20</v>
      </c>
      <c r="BC205">
        <f t="shared" si="217"/>
        <v>0</v>
      </c>
      <c r="BD205">
        <f>BD203</f>
        <v>4.3835616438356165E-2</v>
      </c>
      <c r="BE205">
        <f t="shared" si="210"/>
        <v>-4.6000000000000006E-2</v>
      </c>
      <c r="BF205">
        <v>60</v>
      </c>
      <c r="BG205">
        <f t="shared" si="218"/>
        <v>0.75</v>
      </c>
      <c r="BH205">
        <f t="shared" si="224"/>
        <v>5.2442483708285085E-3</v>
      </c>
      <c r="BI205">
        <f t="shared" si="211"/>
        <v>72</v>
      </c>
      <c r="BJ205">
        <f t="shared" si="219"/>
        <v>-1.0466026708720079E-3</v>
      </c>
      <c r="BK205">
        <f t="shared" si="220"/>
        <v>-18.145473806243437</v>
      </c>
      <c r="BM205" s="28"/>
    </row>
    <row r="206" spans="5:65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96"/>
        <v>91.25</v>
      </c>
      <c r="N206">
        <v>0.05</v>
      </c>
      <c r="P206">
        <v>0.21</v>
      </c>
      <c r="R206">
        <v>0.76</v>
      </c>
      <c r="T206">
        <v>50</v>
      </c>
      <c r="U206">
        <f t="shared" si="212"/>
        <v>0</v>
      </c>
      <c r="V206">
        <f>V191</f>
        <v>1</v>
      </c>
      <c r="W206">
        <f>W191</f>
        <v>0.76</v>
      </c>
      <c r="X206">
        <f t="shared" si="197"/>
        <v>4.7000000000000002E-3</v>
      </c>
      <c r="Y206">
        <f t="shared" si="198"/>
        <v>0</v>
      </c>
      <c r="Z206">
        <v>0</v>
      </c>
      <c r="AA206">
        <f t="shared" si="213"/>
        <v>0</v>
      </c>
      <c r="AB206">
        <f t="shared" si="221"/>
        <v>1.3</v>
      </c>
      <c r="AC206">
        <f t="shared" si="199"/>
        <v>1</v>
      </c>
      <c r="AD206">
        <f t="shared" si="200"/>
        <v>0.60280000000000011</v>
      </c>
      <c r="AF206">
        <v>1.2</v>
      </c>
      <c r="AG206">
        <f t="shared" si="214"/>
        <v>0.94386523716586623</v>
      </c>
      <c r="AH206">
        <f t="shared" si="201"/>
        <v>1.1932987789651837</v>
      </c>
      <c r="AI206">
        <f t="shared" si="215"/>
        <v>1.1263132350177116</v>
      </c>
      <c r="AJ206">
        <f t="shared" si="202"/>
        <v>0.23652577935371943</v>
      </c>
      <c r="AK206">
        <f t="shared" si="203"/>
        <v>0.08</v>
      </c>
      <c r="AL206">
        <f t="shared" si="204"/>
        <v>0.29537376161614987</v>
      </c>
      <c r="AM206">
        <f t="shared" si="205"/>
        <v>0.19</v>
      </c>
      <c r="AN206">
        <f t="shared" si="206"/>
        <v>0.6784</v>
      </c>
      <c r="AO206">
        <f t="shared" si="207"/>
        <v>0</v>
      </c>
      <c r="AP206">
        <f t="shared" si="208"/>
        <v>1.7894073297319371E-4</v>
      </c>
      <c r="AQ206">
        <f t="shared" si="216"/>
        <v>1.7894073297319371E-4</v>
      </c>
      <c r="AR206">
        <f t="shared" si="209"/>
        <v>2.9391015390847066</v>
      </c>
      <c r="BA206">
        <f>BA203</f>
        <v>20</v>
      </c>
      <c r="BC206">
        <f t="shared" si="217"/>
        <v>0</v>
      </c>
      <c r="BD206">
        <f>BD203</f>
        <v>4.3835616438356165E-2</v>
      </c>
      <c r="BE206">
        <f t="shared" si="210"/>
        <v>4.6000000000000006E-2</v>
      </c>
      <c r="BF206">
        <v>60</v>
      </c>
      <c r="BG206">
        <f t="shared" si="218"/>
        <v>0.83333333333333337</v>
      </c>
      <c r="BH206">
        <f t="shared" si="224"/>
        <v>6.4936167331738097E-3</v>
      </c>
      <c r="BI206">
        <f t="shared" si="211"/>
        <v>80</v>
      </c>
      <c r="BJ206">
        <f t="shared" si="219"/>
        <v>3.1350507963421301E-2</v>
      </c>
      <c r="BK206">
        <f t="shared" si="220"/>
        <v>514.93209329919489</v>
      </c>
      <c r="BM206" s="28"/>
    </row>
    <row r="207" spans="5:65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96"/>
        <v>91.25</v>
      </c>
      <c r="N207">
        <v>0.11</v>
      </c>
      <c r="P207">
        <v>0.18</v>
      </c>
      <c r="R207">
        <v>0.73</v>
      </c>
      <c r="T207">
        <v>75</v>
      </c>
      <c r="U207">
        <f t="shared" si="212"/>
        <v>0</v>
      </c>
      <c r="V207">
        <f>V191</f>
        <v>1</v>
      </c>
      <c r="W207">
        <f>W191</f>
        <v>0.76</v>
      </c>
      <c r="X207">
        <f t="shared" si="197"/>
        <v>4.7000000000000002E-3</v>
      </c>
      <c r="Y207">
        <f t="shared" si="198"/>
        <v>0</v>
      </c>
      <c r="Z207">
        <v>0</v>
      </c>
      <c r="AA207">
        <f t="shared" si="213"/>
        <v>0</v>
      </c>
      <c r="AB207">
        <f t="shared" si="221"/>
        <v>1.3</v>
      </c>
      <c r="AC207">
        <f t="shared" si="199"/>
        <v>1</v>
      </c>
      <c r="AD207">
        <f t="shared" si="200"/>
        <v>0.57895000000000008</v>
      </c>
      <c r="AF207">
        <v>3.5</v>
      </c>
      <c r="AG207">
        <f t="shared" si="214"/>
        <v>0.99999999997710265</v>
      </c>
      <c r="AH207">
        <f t="shared" si="201"/>
        <v>1.7493630967264082</v>
      </c>
      <c r="AI207">
        <f t="shared" si="215"/>
        <v>1.7493630966863525</v>
      </c>
      <c r="AJ207">
        <f t="shared" si="202"/>
        <v>0.31488535740354345</v>
      </c>
      <c r="AK207">
        <f t="shared" si="203"/>
        <v>0.08</v>
      </c>
      <c r="AL207">
        <f t="shared" si="204"/>
        <v>0.54715977499785873</v>
      </c>
      <c r="AM207">
        <f t="shared" si="205"/>
        <v>0.19</v>
      </c>
      <c r="AN207">
        <f t="shared" si="206"/>
        <v>0.6784</v>
      </c>
      <c r="AO207">
        <f t="shared" si="207"/>
        <v>0</v>
      </c>
      <c r="AP207">
        <f t="shared" si="208"/>
        <v>3.314755198831828E-4</v>
      </c>
      <c r="AQ207">
        <f t="shared" si="216"/>
        <v>3.314755198831828E-4</v>
      </c>
      <c r="AR207">
        <f t="shared" si="209"/>
        <v>1.5123570594670215</v>
      </c>
      <c r="BA207">
        <v>15</v>
      </c>
      <c r="BB207">
        <v>0.85</v>
      </c>
      <c r="BC207">
        <f t="shared" si="217"/>
        <v>0</v>
      </c>
      <c r="BD207">
        <f t="shared" ref="BD207:BD214" si="227">(BA207 * BB207) / 365</f>
        <v>3.4931506849315071E-2</v>
      </c>
      <c r="BE207">
        <f t="shared" si="210"/>
        <v>0.1012</v>
      </c>
      <c r="BF207">
        <v>84</v>
      </c>
      <c r="BG207">
        <f t="shared" si="218"/>
        <v>0.8928571428571429</v>
      </c>
      <c r="BH207">
        <f t="shared" si="224"/>
        <v>5.9728845237048576E-3</v>
      </c>
      <c r="BI207">
        <f t="shared" si="211"/>
        <v>120</v>
      </c>
      <c r="BJ207">
        <f t="shared" si="219"/>
        <v>4.44087726608621E-2</v>
      </c>
      <c r="BK207">
        <f t="shared" si="220"/>
        <v>202.61502526518333</v>
      </c>
      <c r="BM207" s="28"/>
    </row>
    <row r="208" spans="5:65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96"/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212"/>
        <v>0</v>
      </c>
      <c r="V208">
        <f>V191</f>
        <v>1</v>
      </c>
      <c r="W208">
        <f>W191</f>
        <v>0.76</v>
      </c>
      <c r="X208">
        <f t="shared" si="197"/>
        <v>4.7000000000000002E-3</v>
      </c>
      <c r="Y208">
        <f t="shared" si="198"/>
        <v>0</v>
      </c>
      <c r="Z208">
        <v>0</v>
      </c>
      <c r="AA208">
        <f t="shared" si="213"/>
        <v>0</v>
      </c>
      <c r="AB208">
        <f t="shared" si="221"/>
        <v>1.3</v>
      </c>
      <c r="AC208">
        <f t="shared" si="199"/>
        <v>1</v>
      </c>
      <c r="AD208">
        <f t="shared" si="200"/>
        <v>0.43585000000000007</v>
      </c>
      <c r="AF208">
        <v>1.5</v>
      </c>
      <c r="AG208">
        <f t="shared" si="214"/>
        <v>0.98889100346175773</v>
      </c>
      <c r="AH208">
        <f t="shared" si="201"/>
        <v>1.1580752413958724</v>
      </c>
      <c r="AI208">
        <f t="shared" si="215"/>
        <v>1.1452101875481815</v>
      </c>
      <c r="AJ208">
        <f t="shared" si="202"/>
        <v>6.8712611252890882E-2</v>
      </c>
      <c r="AK208">
        <f t="shared" si="203"/>
        <v>0.08</v>
      </c>
      <c r="AL208">
        <f t="shared" si="204"/>
        <v>0.52238045219578755</v>
      </c>
      <c r="AM208">
        <f t="shared" si="205"/>
        <v>0.19</v>
      </c>
      <c r="AN208">
        <f t="shared" si="206"/>
        <v>0.6784</v>
      </c>
      <c r="AO208">
        <f t="shared" si="207"/>
        <v>0</v>
      </c>
      <c r="AP208">
        <f t="shared" si="208"/>
        <v>3.1646392860127271E-4</v>
      </c>
      <c r="AQ208">
        <f t="shared" si="216"/>
        <v>3.1646392860127271E-4</v>
      </c>
      <c r="AR208">
        <f t="shared" si="209"/>
        <v>1.5882533416676372</v>
      </c>
      <c r="BA208">
        <f>BA207</f>
        <v>15</v>
      </c>
      <c r="BC208">
        <f t="shared" si="217"/>
        <v>0</v>
      </c>
      <c r="BD208">
        <f>BD207</f>
        <v>3.4931506849315071E-2</v>
      </c>
      <c r="BE208">
        <f t="shared" si="210"/>
        <v>-0.1012</v>
      </c>
      <c r="BF208">
        <v>84</v>
      </c>
      <c r="BG208">
        <f t="shared" si="218"/>
        <v>0.77380952380952384</v>
      </c>
      <c r="BH208">
        <f t="shared" si="224"/>
        <v>3.299540831764456E-3</v>
      </c>
      <c r="BI208">
        <f t="shared" si="211"/>
        <v>104</v>
      </c>
      <c r="BJ208">
        <f t="shared" si="219"/>
        <v>7.6944769686980857E-3</v>
      </c>
      <c r="BK208">
        <f t="shared" si="220"/>
        <v>38.616656286653516</v>
      </c>
      <c r="BM208" s="28"/>
    </row>
    <row r="209" spans="5:65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96"/>
        <v>91.25</v>
      </c>
      <c r="N209">
        <v>0</v>
      </c>
      <c r="P209">
        <v>0.06</v>
      </c>
      <c r="R209">
        <v>0.5</v>
      </c>
      <c r="T209">
        <v>65</v>
      </c>
      <c r="U209">
        <f t="shared" si="212"/>
        <v>0</v>
      </c>
      <c r="V209">
        <f>V191</f>
        <v>1</v>
      </c>
      <c r="W209">
        <f>W191</f>
        <v>0.76</v>
      </c>
      <c r="X209">
        <f t="shared" si="197"/>
        <v>4.7000000000000002E-3</v>
      </c>
      <c r="Y209">
        <f t="shared" si="198"/>
        <v>0</v>
      </c>
      <c r="Z209">
        <v>0</v>
      </c>
      <c r="AA209">
        <f t="shared" si="213"/>
        <v>0</v>
      </c>
      <c r="AB209">
        <f t="shared" si="221"/>
        <v>1.3</v>
      </c>
      <c r="AC209">
        <f t="shared" si="199"/>
        <v>1</v>
      </c>
      <c r="AD209">
        <f t="shared" si="200"/>
        <v>0.39610000000000001</v>
      </c>
      <c r="AF209">
        <v>0.7</v>
      </c>
      <c r="AG209">
        <f t="shared" si="214"/>
        <v>0.62468890114860043</v>
      </c>
      <c r="AH209">
        <f t="shared" si="201"/>
        <v>1.0628024626440558</v>
      </c>
      <c r="AI209">
        <f t="shared" si="215"/>
        <v>0.66392090252714164</v>
      </c>
      <c r="AJ209">
        <f t="shared" si="202"/>
        <v>3.9835254151628495E-2</v>
      </c>
      <c r="AK209">
        <f t="shared" si="203"/>
        <v>0.08</v>
      </c>
      <c r="AL209">
        <f t="shared" si="204"/>
        <v>0.32162472266758352</v>
      </c>
      <c r="AM209">
        <f t="shared" si="205"/>
        <v>0.19</v>
      </c>
      <c r="AN209">
        <f t="shared" si="206"/>
        <v>0.6784</v>
      </c>
      <c r="AO209">
        <f t="shared" si="207"/>
        <v>0</v>
      </c>
      <c r="AP209">
        <f t="shared" si="208"/>
        <v>1.9484385918891597E-4</v>
      </c>
      <c r="AQ209">
        <f t="shared" si="216"/>
        <v>1.9484385918891597E-4</v>
      </c>
      <c r="AR209">
        <f t="shared" si="209"/>
        <v>1.066770129059315</v>
      </c>
      <c r="BA209">
        <f>BA207</f>
        <v>15</v>
      </c>
      <c r="BC209">
        <f t="shared" si="217"/>
        <v>0</v>
      </c>
      <c r="BD209">
        <f>BD207</f>
        <v>3.4931506849315071E-2</v>
      </c>
      <c r="BE209">
        <f t="shared" si="210"/>
        <v>0</v>
      </c>
      <c r="BF209">
        <v>84</v>
      </c>
      <c r="BG209">
        <f t="shared" si="218"/>
        <v>0.77380952380952384</v>
      </c>
      <c r="BH209">
        <f t="shared" si="224"/>
        <v>4.6947945205479454E-3</v>
      </c>
      <c r="BI209">
        <f t="shared" si="211"/>
        <v>104</v>
      </c>
      <c r="BJ209">
        <f t="shared" si="219"/>
        <v>1.6788461437126142E-3</v>
      </c>
      <c r="BK209">
        <f t="shared" si="220"/>
        <v>9.1916826368265614</v>
      </c>
      <c r="BM209" s="28"/>
    </row>
    <row r="210" spans="5:65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96"/>
        <v>91.25</v>
      </c>
      <c r="N210">
        <v>0</v>
      </c>
      <c r="P210">
        <v>0.21</v>
      </c>
      <c r="R210">
        <v>0.76</v>
      </c>
      <c r="T210">
        <v>65</v>
      </c>
      <c r="U210">
        <f t="shared" si="212"/>
        <v>0</v>
      </c>
      <c r="V210">
        <f>V191</f>
        <v>1</v>
      </c>
      <c r="W210">
        <f>W191</f>
        <v>0.76</v>
      </c>
      <c r="X210">
        <f t="shared" si="197"/>
        <v>4.7000000000000002E-3</v>
      </c>
      <c r="Y210">
        <f t="shared" si="198"/>
        <v>0</v>
      </c>
      <c r="Z210">
        <v>0</v>
      </c>
      <c r="AA210">
        <f t="shared" si="213"/>
        <v>0</v>
      </c>
      <c r="AB210">
        <f t="shared" si="221"/>
        <v>1.3</v>
      </c>
      <c r="AC210">
        <f t="shared" si="199"/>
        <v>1</v>
      </c>
      <c r="AD210">
        <f t="shared" si="200"/>
        <v>0.60280000000000011</v>
      </c>
      <c r="AF210">
        <v>1.2</v>
      </c>
      <c r="AG210">
        <f t="shared" si="214"/>
        <v>0.94386523716586623</v>
      </c>
      <c r="AH210">
        <f t="shared" si="201"/>
        <v>1.5582209121535018</v>
      </c>
      <c r="AI210">
        <f t="shared" si="215"/>
        <v>1.4707505508065775</v>
      </c>
      <c r="AJ210">
        <f t="shared" si="202"/>
        <v>0.30885761566938125</v>
      </c>
      <c r="AK210">
        <f t="shared" si="203"/>
        <v>0.08</v>
      </c>
      <c r="AL210">
        <f t="shared" si="204"/>
        <v>0.40434406594137329</v>
      </c>
      <c r="AM210">
        <f t="shared" si="205"/>
        <v>0.19</v>
      </c>
      <c r="AN210">
        <f t="shared" si="206"/>
        <v>0.6784</v>
      </c>
      <c r="AO210">
        <f t="shared" si="207"/>
        <v>0</v>
      </c>
      <c r="AP210">
        <f t="shared" si="208"/>
        <v>2.4495616380082252E-4</v>
      </c>
      <c r="AQ210">
        <f t="shared" si="216"/>
        <v>2.4495616380082252E-4</v>
      </c>
      <c r="AR210">
        <f t="shared" si="209"/>
        <v>1.4528962465436284</v>
      </c>
      <c r="BA210">
        <f>BA207</f>
        <v>15</v>
      </c>
      <c r="BC210">
        <f t="shared" si="217"/>
        <v>0</v>
      </c>
      <c r="BD210">
        <f>BD207</f>
        <v>3.4931506849315071E-2</v>
      </c>
      <c r="BE210">
        <f t="shared" si="210"/>
        <v>0</v>
      </c>
      <c r="BF210">
        <v>84</v>
      </c>
      <c r="BG210">
        <f t="shared" si="218"/>
        <v>0.77380952380952384</v>
      </c>
      <c r="BH210">
        <f t="shared" si="224"/>
        <v>4.6947945205479454E-3</v>
      </c>
      <c r="BI210">
        <f t="shared" si="211"/>
        <v>104</v>
      </c>
      <c r="BJ210">
        <f t="shared" si="219"/>
        <v>4.4722423986553052E-2</v>
      </c>
      <c r="BK210">
        <f t="shared" si="220"/>
        <v>265.25987727024278</v>
      </c>
      <c r="BM210" s="28"/>
    </row>
    <row r="211" spans="5:65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96"/>
        <v>91.25</v>
      </c>
      <c r="N211">
        <v>0.13</v>
      </c>
      <c r="P211">
        <v>0.18</v>
      </c>
      <c r="R211">
        <v>0.73</v>
      </c>
      <c r="T211">
        <v>60</v>
      </c>
      <c r="U211">
        <f t="shared" si="212"/>
        <v>0</v>
      </c>
      <c r="V211">
        <f>V191</f>
        <v>1</v>
      </c>
      <c r="W211">
        <f>W191</f>
        <v>0.76</v>
      </c>
      <c r="X211">
        <f t="shared" si="197"/>
        <v>4.7000000000000002E-3</v>
      </c>
      <c r="Y211">
        <f t="shared" si="198"/>
        <v>0</v>
      </c>
      <c r="Z211">
        <v>0</v>
      </c>
      <c r="AA211">
        <f t="shared" si="213"/>
        <v>0</v>
      </c>
      <c r="AB211">
        <f t="shared" si="221"/>
        <v>1.3</v>
      </c>
      <c r="AC211">
        <f t="shared" si="199"/>
        <v>1</v>
      </c>
      <c r="AD211">
        <f t="shared" si="200"/>
        <v>0.57895000000000008</v>
      </c>
      <c r="AF211">
        <v>3.5</v>
      </c>
      <c r="AG211">
        <f t="shared" si="214"/>
        <v>0.99999999997710265</v>
      </c>
      <c r="AH211">
        <f t="shared" si="201"/>
        <v>1.3805052881061199</v>
      </c>
      <c r="AI211">
        <f t="shared" si="215"/>
        <v>1.3805052880745101</v>
      </c>
      <c r="AJ211">
        <f t="shared" si="202"/>
        <v>0.2484909518534118</v>
      </c>
      <c r="AK211">
        <f t="shared" si="203"/>
        <v>0.08</v>
      </c>
      <c r="AL211">
        <f t="shared" si="204"/>
        <v>0.41305076405249036</v>
      </c>
      <c r="AM211">
        <f t="shared" si="205"/>
        <v>0.19</v>
      </c>
      <c r="AN211">
        <f t="shared" si="206"/>
        <v>0.6784</v>
      </c>
      <c r="AO211">
        <f t="shared" si="207"/>
        <v>0</v>
      </c>
      <c r="AP211">
        <f t="shared" si="208"/>
        <v>2.5023077903155606E-4</v>
      </c>
      <c r="AQ211">
        <f t="shared" si="216"/>
        <v>2.5023077903155606E-4</v>
      </c>
      <c r="AR211">
        <f t="shared" si="209"/>
        <v>1.1416779293314745</v>
      </c>
      <c r="BA211">
        <v>18</v>
      </c>
      <c r="BB211">
        <v>0.8</v>
      </c>
      <c r="BC211">
        <f t="shared" si="217"/>
        <v>0</v>
      </c>
      <c r="BD211">
        <f t="shared" ref="BD211:BD214" si="228">(BA211 * BB211) / 365</f>
        <v>3.9452054794520547E-2</v>
      </c>
      <c r="BE211">
        <f t="shared" si="210"/>
        <v>0.11960000000000001</v>
      </c>
      <c r="BF211">
        <v>72</v>
      </c>
      <c r="BG211">
        <f t="shared" si="218"/>
        <v>0.83333333333333337</v>
      </c>
      <c r="BH211">
        <f t="shared" si="224"/>
        <v>6.8642630845473437E-3</v>
      </c>
      <c r="BI211">
        <f t="shared" si="211"/>
        <v>96</v>
      </c>
      <c r="BJ211">
        <f t="shared" si="219"/>
        <v>3.2894289211998544E-2</v>
      </c>
      <c r="BK211">
        <f t="shared" si="220"/>
        <v>150.08019452974335</v>
      </c>
      <c r="BM211" s="28"/>
    </row>
    <row r="212" spans="5:65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96"/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212"/>
        <v>0</v>
      </c>
      <c r="V212">
        <f>V191</f>
        <v>1</v>
      </c>
      <c r="W212">
        <f>W191</f>
        <v>0.76</v>
      </c>
      <c r="X212">
        <f t="shared" si="197"/>
        <v>4.7000000000000002E-3</v>
      </c>
      <c r="Y212">
        <f t="shared" si="198"/>
        <v>0</v>
      </c>
      <c r="Z212">
        <v>0</v>
      </c>
      <c r="AA212">
        <f t="shared" si="213"/>
        <v>0</v>
      </c>
      <c r="AB212">
        <f t="shared" si="221"/>
        <v>1.3</v>
      </c>
      <c r="AC212">
        <f t="shared" si="199"/>
        <v>1</v>
      </c>
      <c r="AD212">
        <f t="shared" si="200"/>
        <v>0.43585000000000007</v>
      </c>
      <c r="AF212">
        <v>1.5</v>
      </c>
      <c r="AG212">
        <f t="shared" si="214"/>
        <v>0.98889100346175773</v>
      </c>
      <c r="AH212">
        <f t="shared" si="201"/>
        <v>0.95969823125361531</v>
      </c>
      <c r="AI212">
        <f t="shared" si="215"/>
        <v>0.94903694692486162</v>
      </c>
      <c r="AJ212">
        <f t="shared" si="202"/>
        <v>5.6942216815491692E-2</v>
      </c>
      <c r="AK212">
        <f t="shared" si="203"/>
        <v>0.08</v>
      </c>
      <c r="AL212">
        <f t="shared" si="204"/>
        <v>0.4260459934868201</v>
      </c>
      <c r="AM212">
        <f t="shared" si="205"/>
        <v>0.19</v>
      </c>
      <c r="AN212">
        <f t="shared" si="206"/>
        <v>0.6784</v>
      </c>
      <c r="AO212">
        <f t="shared" si="207"/>
        <v>0</v>
      </c>
      <c r="AP212">
        <f t="shared" si="208"/>
        <v>2.5810343456944269E-4</v>
      </c>
      <c r="AQ212">
        <f t="shared" si="216"/>
        <v>2.5810343456944269E-4</v>
      </c>
      <c r="AR212">
        <f t="shared" si="209"/>
        <v>2.3551938404461645</v>
      </c>
      <c r="BA212">
        <f>BA211</f>
        <v>18</v>
      </c>
      <c r="BC212">
        <f t="shared" si="217"/>
        <v>0</v>
      </c>
      <c r="BD212">
        <f>BD211</f>
        <v>3.9452054794520547E-2</v>
      </c>
      <c r="BE212">
        <f t="shared" si="210"/>
        <v>-4.6000000000000006E-2</v>
      </c>
      <c r="BF212">
        <v>72</v>
      </c>
      <c r="BG212">
        <f t="shared" si="218"/>
        <v>0.76388888888888884</v>
      </c>
      <c r="BH212">
        <f t="shared" si="224"/>
        <v>4.6637328035463001E-3</v>
      </c>
      <c r="BI212">
        <f t="shared" si="211"/>
        <v>88</v>
      </c>
      <c r="BJ212">
        <f t="shared" si="219"/>
        <v>4.4470218869323711E-3</v>
      </c>
      <c r="BK212">
        <f t="shared" si="220"/>
        <v>40.579074718257885</v>
      </c>
      <c r="BM212" s="28"/>
    </row>
    <row r="213" spans="5:65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96"/>
        <v>91.25</v>
      </c>
      <c r="N213">
        <v>-0.08</v>
      </c>
      <c r="P213">
        <v>0.06</v>
      </c>
      <c r="R213">
        <v>0.5</v>
      </c>
      <c r="T213">
        <v>48</v>
      </c>
      <c r="U213">
        <f t="shared" si="212"/>
        <v>0</v>
      </c>
      <c r="V213">
        <f>V191</f>
        <v>1</v>
      </c>
      <c r="W213">
        <f>W191</f>
        <v>0.76</v>
      </c>
      <c r="X213">
        <f t="shared" si="197"/>
        <v>4.7000000000000002E-3</v>
      </c>
      <c r="Y213">
        <f t="shared" si="198"/>
        <v>0</v>
      </c>
      <c r="Z213">
        <v>0</v>
      </c>
      <c r="AA213">
        <f t="shared" si="213"/>
        <v>0</v>
      </c>
      <c r="AB213">
        <f t="shared" si="221"/>
        <v>1.3</v>
      </c>
      <c r="AC213">
        <f t="shared" si="199"/>
        <v>1</v>
      </c>
      <c r="AD213">
        <f t="shared" si="200"/>
        <v>0.39610000000000001</v>
      </c>
      <c r="AF213">
        <v>0.7</v>
      </c>
      <c r="AG213">
        <f t="shared" si="214"/>
        <v>0.62468890114860043</v>
      </c>
      <c r="AH213">
        <f t="shared" si="201"/>
        <v>0.75146539652530986</v>
      </c>
      <c r="AI213">
        <f t="shared" si="215"/>
        <v>0.46943209280659309</v>
      </c>
      <c r="AJ213">
        <f t="shared" si="202"/>
        <v>2.8165925568395585E-2</v>
      </c>
      <c r="AK213">
        <f t="shared" si="203"/>
        <v>0.08</v>
      </c>
      <c r="AL213">
        <f t="shared" si="204"/>
        <v>0.22404824951408225</v>
      </c>
      <c r="AM213">
        <f t="shared" si="205"/>
        <v>0.19</v>
      </c>
      <c r="AN213">
        <f t="shared" si="206"/>
        <v>0.6784</v>
      </c>
      <c r="AO213">
        <f t="shared" si="207"/>
        <v>0</v>
      </c>
      <c r="AP213">
        <f t="shared" si="208"/>
        <v>1.357309388960256E-4</v>
      </c>
      <c r="AQ213">
        <f t="shared" si="216"/>
        <v>1.357309388960256E-4</v>
      </c>
      <c r="AR213">
        <f t="shared" si="209"/>
        <v>1.1146903356836102</v>
      </c>
      <c r="BA213">
        <f>BA211</f>
        <v>18</v>
      </c>
      <c r="BC213">
        <f t="shared" si="217"/>
        <v>0</v>
      </c>
      <c r="BD213">
        <f>BD211</f>
        <v>3.9452054794520547E-2</v>
      </c>
      <c r="BE213">
        <f t="shared" si="210"/>
        <v>-7.3599999999999999E-2</v>
      </c>
      <c r="BF213">
        <v>72</v>
      </c>
      <c r="BG213">
        <f t="shared" si="218"/>
        <v>0.66666666666666663</v>
      </c>
      <c r="BH213">
        <f t="shared" si="224"/>
        <v>4.1637400410452045E-3</v>
      </c>
      <c r="BI213">
        <f t="shared" si="211"/>
        <v>76.800000000000011</v>
      </c>
      <c r="BJ213">
        <f t="shared" si="219"/>
        <v>3.4280804989808913E-4</v>
      </c>
      <c r="BK213">
        <f t="shared" si="220"/>
        <v>2.8153111097880572</v>
      </c>
      <c r="BM213" s="28"/>
    </row>
    <row r="214" spans="5:65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96"/>
        <v>91.25</v>
      </c>
      <c r="N214">
        <v>0</v>
      </c>
      <c r="P214">
        <v>0.21</v>
      </c>
      <c r="R214">
        <v>0.76</v>
      </c>
      <c r="T214">
        <v>48</v>
      </c>
      <c r="U214">
        <f t="shared" si="212"/>
        <v>0</v>
      </c>
      <c r="V214">
        <f>V191</f>
        <v>1</v>
      </c>
      <c r="W214">
        <f>W191</f>
        <v>0.76</v>
      </c>
      <c r="X214">
        <f t="shared" si="197"/>
        <v>4.7000000000000002E-3</v>
      </c>
      <c r="Y214">
        <f t="shared" si="198"/>
        <v>0</v>
      </c>
      <c r="Z214">
        <v>0</v>
      </c>
      <c r="AA214">
        <f t="shared" si="213"/>
        <v>0</v>
      </c>
      <c r="AB214">
        <f t="shared" si="221"/>
        <v>1.3</v>
      </c>
      <c r="AC214">
        <f t="shared" si="199"/>
        <v>1</v>
      </c>
      <c r="AD214">
        <f t="shared" si="200"/>
        <v>0.60280000000000011</v>
      </c>
      <c r="AF214">
        <v>1.2</v>
      </c>
      <c r="AG214">
        <f t="shared" si="214"/>
        <v>0.94386523716586623</v>
      </c>
      <c r="AH214">
        <f t="shared" si="201"/>
        <v>1.1461208299494401</v>
      </c>
      <c r="AI214">
        <f t="shared" si="215"/>
        <v>1.0817836089809678</v>
      </c>
      <c r="AJ214">
        <f t="shared" si="202"/>
        <v>0.22717455788600324</v>
      </c>
      <c r="AK214">
        <f t="shared" si="203"/>
        <v>0.08</v>
      </c>
      <c r="AL214">
        <f t="shared" si="204"/>
        <v>0.2819232334440816</v>
      </c>
      <c r="AM214">
        <f t="shared" si="205"/>
        <v>0.19</v>
      </c>
      <c r="AN214">
        <f t="shared" si="206"/>
        <v>0.6784</v>
      </c>
      <c r="AO214">
        <f t="shared" si="207"/>
        <v>0</v>
      </c>
      <c r="AP214">
        <f t="shared" si="208"/>
        <v>1.7079225236063924E-4</v>
      </c>
      <c r="AQ214">
        <f t="shared" si="216"/>
        <v>1.7079225236063924E-4</v>
      </c>
      <c r="AR214">
        <f t="shared" si="209"/>
        <v>1.2467834422326665</v>
      </c>
      <c r="BA214">
        <f>BA211</f>
        <v>18</v>
      </c>
      <c r="BC214">
        <f t="shared" si="217"/>
        <v>0</v>
      </c>
      <c r="BD214">
        <f>BD211</f>
        <v>3.9452054794520547E-2</v>
      </c>
      <c r="BE214">
        <f t="shared" si="210"/>
        <v>0</v>
      </c>
      <c r="BF214">
        <v>72</v>
      </c>
      <c r="BG214">
        <f t="shared" si="218"/>
        <v>0.66666666666666663</v>
      </c>
      <c r="BH214">
        <f t="shared" si="224"/>
        <v>5.3023561643835617E-3</v>
      </c>
      <c r="BI214">
        <f t="shared" si="211"/>
        <v>76.800000000000011</v>
      </c>
      <c r="BJ214">
        <f t="shared" si="219"/>
        <v>3.1045573097376954E-2</v>
      </c>
      <c r="BK214">
        <f t="shared" si="220"/>
        <v>226.63268361085179</v>
      </c>
      <c r="BM214" s="28"/>
    </row>
    <row r="231" spans="1:73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$BZ$26:$CB$32, 2)/100)</f>
        <v>0.99170000000000003</v>
      </c>
      <c r="W231">
        <f>VLOOKUP($B231,$CB$10:$CC$16, 2, FALSE)</f>
        <v>0.73</v>
      </c>
      <c r="X231">
        <f t="shared" ref="X231:X278" si="229">$CA$10</f>
        <v>4.7000000000000002E-3</v>
      </c>
      <c r="Y231">
        <f t="shared" ref="Y231:Y278" si="230">(I231/100)*(MIN(J231,100)/100)</f>
        <v>0</v>
      </c>
      <c r="Z231">
        <v>0</v>
      </c>
      <c r="AA231">
        <f>1.6 * Z231</f>
        <v>0</v>
      </c>
      <c r="AB231">
        <f>$CD$1</f>
        <v>1.3</v>
      </c>
      <c r="AC231">
        <f t="shared" ref="AC231:AC278" si="231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232">(AI231 * P231) + (0.045 * AA231)</f>
        <v>5.5046144707661768E-2</v>
      </c>
      <c r="AK231">
        <f t="shared" ref="AK231:AK278" si="233">$CA$2</f>
        <v>0.08</v>
      </c>
      <c r="AL231">
        <f t="shared" ref="AL231:AL278" si="234">(AI231 * ((1 - R231) + (0.04 * AI231))) * ( 1 - AK231 )</f>
        <v>0.38448831259649313</v>
      </c>
      <c r="AM231">
        <f t="shared" ref="AM231:AM278" si="235">$CA$1</f>
        <v>0.19</v>
      </c>
      <c r="AN231">
        <f t="shared" ref="AN231:AN278" si="236">$CB$20</f>
        <v>0.6784</v>
      </c>
      <c r="AO231">
        <f t="shared" ref="AO231:AO278" si="237">AL231 * AM231 * U231 * W231 * AN231</f>
        <v>3.0027801456951033E-4</v>
      </c>
      <c r="AP231">
        <f t="shared" ref="AP231:AP278" si="238">AL231*AM231*V231*X231*AN231</f>
        <v>2.3099402923392419E-4</v>
      </c>
      <c r="AQ231">
        <f>AO231+AP231</f>
        <v>5.3127204380343457E-4</v>
      </c>
      <c r="AR231">
        <f t="shared" ref="AR231:AR278" si="239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$CA$4</f>
        <v>0.24</v>
      </c>
      <c r="AW231" t="s">
        <v>322</v>
      </c>
      <c r="AX231" s="28">
        <f>VLOOKUP(AW231,$CE$37:$CG$46,2, FALSE)</f>
        <v>6.0000000000000001E-3</v>
      </c>
      <c r="AY231" s="28">
        <f>$CA$7</f>
        <v>1.5714285714285714</v>
      </c>
      <c r="AZ231">
        <f>$CA$5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240">N231 * 0.92</f>
        <v>0</v>
      </c>
      <c r="BF231" cm="1">
        <f t="array" ref="BF231:BF254">_xlfn.DROP(_xlfn.XLOOKUP($C231,QuerySRW[[#Headers],[ACT/NSW]:[WA]],QuerySRW[[#All],[ACT/NSW]:[WA]]),1)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5.8915068493150683E-3</v>
      </c>
      <c r="BI231">
        <f t="shared" ref="BI231" si="241">1.6 * T231</f>
        <v>80</v>
      </c>
      <c r="BJ231">
        <f>(AJ231  / 6.25 ) - BH231</f>
        <v>2.9158763039108153E-3</v>
      </c>
      <c r="BK231">
        <f>H231*BJ231*L231</f>
        <v>9.039216542123528</v>
      </c>
      <c r="BL231">
        <f>SUM(BK231:BK254)</f>
        <v>9.039216542123528</v>
      </c>
      <c r="BM231" s="28">
        <f>BL231*$AU$11*$AV$11</f>
        <v>2.1694119701096466</v>
      </c>
      <c r="BN231">
        <f>BK231 * AZ231</f>
        <v>1.8982354738459408</v>
      </c>
      <c r="BO231" t="s">
        <v>226</v>
      </c>
      <c r="BP231">
        <f>VLOOKUP(BO231, $BZ$37:$CA$49, 2, FALSE)</f>
        <v>1.8E-3</v>
      </c>
      <c r="BQ231">
        <f>BN231 * BP231 * AY231 * 10^-3</f>
        <v>5.3692946260213751E-6</v>
      </c>
      <c r="BR231">
        <f>BK231 * AP231 * AV231</f>
        <v>5.0112121204393286E-4</v>
      </c>
      <c r="BS231">
        <f>$CA$6</f>
        <v>1.0999999999999999E-2</v>
      </c>
      <c r="BT231">
        <f>BL231 * AX231 * AY231 * 10^-3</f>
        <v>8.522689882573613E-5</v>
      </c>
      <c r="BU231">
        <f>BR231 * BS231 * AY231 * 10^-3</f>
        <v>8.6622380939022676E-9</v>
      </c>
    </row>
    <row r="232" spans="1:73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242">1-V232</f>
        <v>8.2999999999999741E-3</v>
      </c>
      <c r="V232">
        <f>V231</f>
        <v>0.99170000000000003</v>
      </c>
      <c r="W232">
        <f>W231</f>
        <v>0.73</v>
      </c>
      <c r="X232">
        <f t="shared" si="229"/>
        <v>4.7000000000000002E-3</v>
      </c>
      <c r="Y232">
        <f t="shared" si="230"/>
        <v>0</v>
      </c>
      <c r="Z232">
        <v>0</v>
      </c>
      <c r="AA232">
        <f t="shared" ref="AA232:AA278" si="243">1.6 * Z232</f>
        <v>0</v>
      </c>
      <c r="AB232">
        <f>$AB$231</f>
        <v>1.3</v>
      </c>
      <c r="AC232">
        <f t="shared" si="231"/>
        <v>1</v>
      </c>
      <c r="AD232">
        <f t="shared" ref="AD232:AD278" si="244">(0.795*R232)-0.0014</f>
        <v>0.35635</v>
      </c>
      <c r="AF232">
        <f>Tables!CC168</f>
        <v>3</v>
      </c>
      <c r="AG232">
        <f t="shared" ref="AG232:AG278" si="245">1 - EXP(-2*(AF232^2))</f>
        <v>0.99999998477002028</v>
      </c>
      <c r="AH232">
        <f t="shared" ref="AH232:AH278" si="246">(104.7*AD232+0.307*T232-15)*(T232^0.75)*10^-3</f>
        <v>0.70811864796077084</v>
      </c>
      <c r="AI232">
        <f t="shared" ref="AI232:AI278" si="247">AH232*AG232*AC232</f>
        <v>0.70811863717613821</v>
      </c>
      <c r="AJ232">
        <f t="shared" si="232"/>
        <v>4.956830460232968E-2</v>
      </c>
      <c r="AK232">
        <f t="shared" si="233"/>
        <v>0.08</v>
      </c>
      <c r="AL232">
        <f t="shared" si="234"/>
        <v>0.37676072816996181</v>
      </c>
      <c r="AM232">
        <f t="shared" si="235"/>
        <v>0.19</v>
      </c>
      <c r="AN232">
        <f t="shared" si="236"/>
        <v>0.6784</v>
      </c>
      <c r="AO232">
        <f t="shared" si="237"/>
        <v>2.9424291900744497E-4</v>
      </c>
      <c r="AP232">
        <f t="shared" si="238"/>
        <v>2.2635142813410056E-4</v>
      </c>
      <c r="AQ232">
        <f t="shared" ref="AQ232:AQ278" si="248">AO232+AP232</f>
        <v>5.2059434714154553E-4</v>
      </c>
      <c r="AR232">
        <f t="shared" si="239"/>
        <v>1.3847809633965111</v>
      </c>
      <c r="BF232">
        <v>50</v>
      </c>
    </row>
    <row r="233" spans="1:73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242"/>
        <v>8.2999999999999741E-3</v>
      </c>
      <c r="V233">
        <f>V231</f>
        <v>0.99170000000000003</v>
      </c>
      <c r="W233">
        <f>W231</f>
        <v>0.73</v>
      </c>
      <c r="X233">
        <f t="shared" si="229"/>
        <v>4.7000000000000002E-3</v>
      </c>
      <c r="Y233">
        <f t="shared" si="230"/>
        <v>0</v>
      </c>
      <c r="Z233">
        <v>0</v>
      </c>
      <c r="AA233">
        <f t="shared" si="243"/>
        <v>0</v>
      </c>
      <c r="AB233">
        <f t="shared" ref="AB233:AB278" si="249">$AB$231</f>
        <v>1.3</v>
      </c>
      <c r="AC233">
        <f t="shared" si="231"/>
        <v>1</v>
      </c>
      <c r="AD233">
        <f t="shared" si="244"/>
        <v>0.31660000000000005</v>
      </c>
      <c r="AF233">
        <f>Tables!CC169</f>
        <v>1.8</v>
      </c>
      <c r="AG233">
        <f t="shared" si="245"/>
        <v>0.99846618932067555</v>
      </c>
      <c r="AH233">
        <f t="shared" si="246"/>
        <v>0.59967484520833669</v>
      </c>
      <c r="AI233">
        <f t="shared" si="247"/>
        <v>0.59875505752663394</v>
      </c>
      <c r="AJ233">
        <f t="shared" si="232"/>
        <v>7.7838157478462414E-2</v>
      </c>
      <c r="AK233">
        <f t="shared" si="233"/>
        <v>0.08</v>
      </c>
      <c r="AL233">
        <f t="shared" si="234"/>
        <v>0.3437058721307269</v>
      </c>
      <c r="AM233">
        <f t="shared" si="235"/>
        <v>0.19</v>
      </c>
      <c r="AN233">
        <f t="shared" si="236"/>
        <v>0.6784</v>
      </c>
      <c r="AO233">
        <f t="shared" si="237"/>
        <v>2.6842770897852781E-4</v>
      </c>
      <c r="AP233">
        <f t="shared" si="238"/>
        <v>2.0649263364776901E-4</v>
      </c>
      <c r="AQ233">
        <f t="shared" si="248"/>
        <v>4.7492034262629679E-4</v>
      </c>
      <c r="AR233">
        <f t="shared" si="239"/>
        <v>1.325027755927368</v>
      </c>
      <c r="BF233">
        <v>50</v>
      </c>
    </row>
    <row r="234" spans="1:73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242"/>
        <v>8.2999999999999741E-3</v>
      </c>
      <c r="V234">
        <f>V231</f>
        <v>0.99170000000000003</v>
      </c>
      <c r="W234">
        <f>W231</f>
        <v>0.73</v>
      </c>
      <c r="X234">
        <f t="shared" si="229"/>
        <v>4.7000000000000002E-3</v>
      </c>
      <c r="Y234">
        <f t="shared" si="230"/>
        <v>0</v>
      </c>
      <c r="Z234">
        <v>0</v>
      </c>
      <c r="AA234">
        <f t="shared" si="243"/>
        <v>0</v>
      </c>
      <c r="AB234">
        <f t="shared" si="249"/>
        <v>1.3</v>
      </c>
      <c r="AC234">
        <f t="shared" si="231"/>
        <v>1</v>
      </c>
      <c r="AD234">
        <f t="shared" si="244"/>
        <v>0.35635</v>
      </c>
      <c r="AF234">
        <f>Tables!CC169</f>
        <v>1.8</v>
      </c>
      <c r="AG234">
        <f t="shared" si="245"/>
        <v>0.99846618932067555</v>
      </c>
      <c r="AH234">
        <f t="shared" si="246"/>
        <v>0.67557012086682311</v>
      </c>
      <c r="AI234">
        <f t="shared" si="247"/>
        <v>0.67453392420080505</v>
      </c>
      <c r="AJ234">
        <f t="shared" si="232"/>
        <v>8.7689410146104665E-2</v>
      </c>
      <c r="AK234">
        <f t="shared" si="233"/>
        <v>0.08</v>
      </c>
      <c r="AL234">
        <f t="shared" si="234"/>
        <v>0.35805801899384415</v>
      </c>
      <c r="AM234">
        <f t="shared" si="235"/>
        <v>0.19</v>
      </c>
      <c r="AN234">
        <f t="shared" si="236"/>
        <v>0.6784</v>
      </c>
      <c r="AO234">
        <f t="shared" si="237"/>
        <v>2.7963646103593994E-4</v>
      </c>
      <c r="AP234">
        <f t="shared" si="238"/>
        <v>2.1511515902358636E-4</v>
      </c>
      <c r="AQ234">
        <f t="shared" si="248"/>
        <v>4.9475162005952627E-4</v>
      </c>
      <c r="AR234">
        <f t="shared" si="239"/>
        <v>1.9295313182321525</v>
      </c>
      <c r="BF234">
        <v>50</v>
      </c>
    </row>
    <row r="235" spans="1:73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242"/>
        <v>8.2999999999999741E-3</v>
      </c>
      <c r="V235">
        <f>V231</f>
        <v>0.99170000000000003</v>
      </c>
      <c r="W235">
        <f>W231</f>
        <v>0.73</v>
      </c>
      <c r="X235">
        <f t="shared" si="229"/>
        <v>4.7000000000000002E-3</v>
      </c>
      <c r="Y235">
        <f t="shared" si="230"/>
        <v>0</v>
      </c>
      <c r="Z235">
        <v>1</v>
      </c>
      <c r="AA235">
        <f t="shared" si="243"/>
        <v>1.6</v>
      </c>
      <c r="AB235">
        <f t="shared" si="249"/>
        <v>1.3</v>
      </c>
      <c r="AC235">
        <f t="shared" si="231"/>
        <v>1</v>
      </c>
      <c r="AD235">
        <f t="shared" si="244"/>
        <v>0.36430000000000001</v>
      </c>
      <c r="AF235">
        <f>Tables!CC169</f>
        <v>1.8</v>
      </c>
      <c r="AG235">
        <f t="shared" si="245"/>
        <v>0.99846618932067555</v>
      </c>
      <c r="AH235">
        <f t="shared" si="246"/>
        <v>0.69074917599852059</v>
      </c>
      <c r="AI235">
        <f t="shared" si="247"/>
        <v>0.68968969753563947</v>
      </c>
      <c r="AJ235">
        <f t="shared" si="232"/>
        <v>0.16165966067963311</v>
      </c>
      <c r="AK235">
        <f t="shared" si="233"/>
        <v>0.08</v>
      </c>
      <c r="AL235">
        <f t="shared" si="234"/>
        <v>0.36014256687874002</v>
      </c>
      <c r="AM235">
        <f t="shared" si="235"/>
        <v>0.19</v>
      </c>
      <c r="AN235">
        <f t="shared" si="236"/>
        <v>0.6784</v>
      </c>
      <c r="AO235">
        <f t="shared" si="237"/>
        <v>2.8126445304413528E-4</v>
      </c>
      <c r="AP235">
        <f t="shared" si="238"/>
        <v>2.1636751988681109E-4</v>
      </c>
      <c r="AQ235">
        <f t="shared" si="248"/>
        <v>4.9763197293094643E-4</v>
      </c>
      <c r="AR235">
        <f t="shared" si="239"/>
        <v>2.0054568509117141</v>
      </c>
      <c r="BF235">
        <v>55</v>
      </c>
    </row>
    <row r="236" spans="1:73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/>
      <c r="N236" s="1"/>
      <c r="O236" s="1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242"/>
        <v>8.2999999999999741E-3</v>
      </c>
      <c r="V236">
        <f>V231</f>
        <v>0.99170000000000003</v>
      </c>
      <c r="W236">
        <f>W231</f>
        <v>0.73</v>
      </c>
      <c r="X236">
        <f t="shared" si="229"/>
        <v>4.7000000000000002E-3</v>
      </c>
      <c r="Y236">
        <f t="shared" si="230"/>
        <v>0</v>
      </c>
      <c r="Z236">
        <v>0</v>
      </c>
      <c r="AA236">
        <f t="shared" si="243"/>
        <v>0</v>
      </c>
      <c r="AB236">
        <f t="shared" si="249"/>
        <v>1.3</v>
      </c>
      <c r="AC236">
        <f t="shared" si="231"/>
        <v>1</v>
      </c>
      <c r="AD236">
        <f t="shared" si="244"/>
        <v>0.40405000000000002</v>
      </c>
      <c r="AF236">
        <f>Tables!CC170</f>
        <v>1</v>
      </c>
      <c r="AG236">
        <f t="shared" si="245"/>
        <v>0.8646647167633873</v>
      </c>
      <c r="AH236">
        <f t="shared" si="246"/>
        <v>0.71441785360642229</v>
      </c>
      <c r="AI236">
        <f t="shared" si="247"/>
        <v>0.61773191103930425</v>
      </c>
      <c r="AJ236">
        <f t="shared" si="232"/>
        <v>6.1773191103930425E-2</v>
      </c>
      <c r="AK236">
        <f t="shared" si="233"/>
        <v>0.08</v>
      </c>
      <c r="AL236">
        <f t="shared" si="234"/>
        <v>0.29251615736863712</v>
      </c>
      <c r="AM236">
        <f t="shared" si="235"/>
        <v>0.19</v>
      </c>
      <c r="AN236">
        <f t="shared" si="236"/>
        <v>0.6784</v>
      </c>
      <c r="AO236">
        <f t="shared" si="237"/>
        <v>2.2844952131571749E-4</v>
      </c>
      <c r="AP236">
        <f t="shared" si="238"/>
        <v>1.7573872493106937E-4</v>
      </c>
      <c r="AQ236">
        <f t="shared" si="248"/>
        <v>4.0418824624678684E-4</v>
      </c>
      <c r="AR236">
        <f t="shared" si="239"/>
        <v>1.2630882695212089</v>
      </c>
      <c r="BF236">
        <v>56</v>
      </c>
    </row>
    <row r="237" spans="1:73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242"/>
        <v>8.2999999999999741E-3</v>
      </c>
      <c r="V237">
        <f>V231</f>
        <v>0.99170000000000003</v>
      </c>
      <c r="W237">
        <f>W231</f>
        <v>0.73</v>
      </c>
      <c r="X237">
        <f t="shared" si="229"/>
        <v>4.7000000000000002E-3</v>
      </c>
      <c r="Y237">
        <f t="shared" si="230"/>
        <v>0</v>
      </c>
      <c r="Z237">
        <v>0</v>
      </c>
      <c r="AA237">
        <f t="shared" si="243"/>
        <v>0</v>
      </c>
      <c r="AB237">
        <f t="shared" si="249"/>
        <v>1.3</v>
      </c>
      <c r="AC237">
        <f t="shared" si="231"/>
        <v>1</v>
      </c>
      <c r="AD237">
        <f t="shared" si="244"/>
        <v>0.35635</v>
      </c>
      <c r="AF237">
        <f>Tables!CC170</f>
        <v>1</v>
      </c>
      <c r="AG237">
        <f t="shared" si="245"/>
        <v>0.8646647167633873</v>
      </c>
      <c r="AH237">
        <f t="shared" si="246"/>
        <v>0.62764688487374998</v>
      </c>
      <c r="AI237">
        <f t="shared" si="247"/>
        <v>0.54270411593678336</v>
      </c>
      <c r="AJ237">
        <f t="shared" si="232"/>
        <v>5.427041159367834E-2</v>
      </c>
      <c r="AK237">
        <f t="shared" si="233"/>
        <v>0.08</v>
      </c>
      <c r="AL237">
        <f t="shared" si="234"/>
        <v>0.28544690413834639</v>
      </c>
      <c r="AM237">
        <f t="shared" si="235"/>
        <v>0.19</v>
      </c>
      <c r="AN237">
        <f t="shared" si="236"/>
        <v>0.6784</v>
      </c>
      <c r="AO237">
        <f t="shared" si="237"/>
        <v>2.2292856982009026E-4</v>
      </c>
      <c r="AP237">
        <f t="shared" si="238"/>
        <v>1.7149163800061823E-4</v>
      </c>
      <c r="AQ237">
        <f t="shared" si="248"/>
        <v>3.9442020782070849E-4</v>
      </c>
      <c r="AR237">
        <f t="shared" si="239"/>
        <v>1.4672431730930358</v>
      </c>
      <c r="BF237">
        <v>57</v>
      </c>
    </row>
    <row r="238" spans="1:73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242"/>
        <v>8.2999999999999741E-3</v>
      </c>
      <c r="V238">
        <f>V231</f>
        <v>0.99170000000000003</v>
      </c>
      <c r="W238">
        <f>W231</f>
        <v>0.73</v>
      </c>
      <c r="X238">
        <f t="shared" si="229"/>
        <v>4.7000000000000002E-3</v>
      </c>
      <c r="Y238">
        <f t="shared" si="230"/>
        <v>0</v>
      </c>
      <c r="Z238">
        <v>0</v>
      </c>
      <c r="AA238">
        <f t="shared" si="243"/>
        <v>0</v>
      </c>
      <c r="AB238">
        <f t="shared" si="249"/>
        <v>1.3</v>
      </c>
      <c r="AC238">
        <f t="shared" si="231"/>
        <v>1</v>
      </c>
      <c r="AD238">
        <f t="shared" si="244"/>
        <v>0.34839999999999999</v>
      </c>
      <c r="AF238">
        <f>Tables!CC170</f>
        <v>1</v>
      </c>
      <c r="AG238">
        <f t="shared" si="245"/>
        <v>0.8646647167633873</v>
      </c>
      <c r="AH238">
        <f t="shared" si="246"/>
        <v>0.61318505675163781</v>
      </c>
      <c r="AI238">
        <f t="shared" si="247"/>
        <v>0.53019948341969647</v>
      </c>
      <c r="AJ238">
        <f t="shared" si="232"/>
        <v>5.3019948341969651E-2</v>
      </c>
      <c r="AK238">
        <f t="shared" si="233"/>
        <v>0.08</v>
      </c>
      <c r="AL238">
        <f t="shared" si="234"/>
        <v>0.28350367677146893</v>
      </c>
      <c r="AM238">
        <f t="shared" si="235"/>
        <v>0.19</v>
      </c>
      <c r="AN238">
        <f t="shared" si="236"/>
        <v>0.6784</v>
      </c>
      <c r="AO238">
        <f t="shared" si="237"/>
        <v>2.2141094643215781E-4</v>
      </c>
      <c r="AP238">
        <f t="shared" si="238"/>
        <v>1.7032418009751223E-4</v>
      </c>
      <c r="AQ238">
        <f t="shared" si="248"/>
        <v>3.9173512652967003E-4</v>
      </c>
      <c r="AR238">
        <f t="shared" si="239"/>
        <v>1.3965357260782736</v>
      </c>
      <c r="BF238">
        <v>58</v>
      </c>
    </row>
    <row r="239" spans="1:73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/>
      <c r="N239" s="1"/>
      <c r="O239" s="1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242"/>
        <v>8.2999999999999741E-3</v>
      </c>
      <c r="V239">
        <f>V231</f>
        <v>0.99170000000000003</v>
      </c>
      <c r="W239">
        <f>W231</f>
        <v>0.73</v>
      </c>
      <c r="X239">
        <f t="shared" si="229"/>
        <v>4.7000000000000002E-3</v>
      </c>
      <c r="Y239">
        <f t="shared" si="230"/>
        <v>8.9600000000000013E-2</v>
      </c>
      <c r="Z239">
        <v>0</v>
      </c>
      <c r="AA239">
        <f t="shared" si="243"/>
        <v>0</v>
      </c>
      <c r="AB239">
        <f t="shared" si="249"/>
        <v>1.3</v>
      </c>
      <c r="AC239">
        <f t="shared" si="231"/>
        <v>1.02688</v>
      </c>
      <c r="AD239">
        <f t="shared" si="244"/>
        <v>0.51535000000000009</v>
      </c>
      <c r="AF239">
        <f>Tables!CC167</f>
        <v>3.2</v>
      </c>
      <c r="AG239">
        <f t="shared" si="245"/>
        <v>0.99999999872459233</v>
      </c>
      <c r="AH239">
        <f t="shared" si="246"/>
        <v>1.1278052426935643</v>
      </c>
      <c r="AI239">
        <f t="shared" si="247"/>
        <v>1.1581206461400915</v>
      </c>
      <c r="AJ239">
        <f t="shared" si="232"/>
        <v>0.18529930338241463</v>
      </c>
      <c r="AK239">
        <f t="shared" si="233"/>
        <v>0.08</v>
      </c>
      <c r="AL239">
        <f t="shared" si="234"/>
        <v>0.42227260631849611</v>
      </c>
      <c r="AM239">
        <f t="shared" si="235"/>
        <v>0.19</v>
      </c>
      <c r="AN239">
        <f t="shared" si="236"/>
        <v>0.6784</v>
      </c>
      <c r="AO239">
        <f t="shared" si="237"/>
        <v>3.2978682492614995E-4</v>
      </c>
      <c r="AP239">
        <f t="shared" si="238"/>
        <v>2.5369418932374001E-4</v>
      </c>
      <c r="AQ239">
        <f t="shared" si="248"/>
        <v>5.8348101424988996E-4</v>
      </c>
      <c r="AR239">
        <f t="shared" si="239"/>
        <v>1.5403898776197096</v>
      </c>
      <c r="BF239">
        <v>50</v>
      </c>
    </row>
    <row r="240" spans="1:73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242"/>
        <v>8.2999999999999741E-3</v>
      </c>
      <c r="V240">
        <f>V231</f>
        <v>0.99170000000000003</v>
      </c>
      <c r="W240">
        <f>W231</f>
        <v>0.73</v>
      </c>
      <c r="X240">
        <f t="shared" si="229"/>
        <v>4.7000000000000002E-3</v>
      </c>
      <c r="Y240">
        <f t="shared" si="230"/>
        <v>8.4000000000000005E-2</v>
      </c>
      <c r="Z240">
        <v>0</v>
      </c>
      <c r="AA240">
        <f t="shared" si="243"/>
        <v>0</v>
      </c>
      <c r="AB240">
        <f t="shared" si="249"/>
        <v>1.3</v>
      </c>
      <c r="AC240">
        <f t="shared" si="231"/>
        <v>1.0252000000000001</v>
      </c>
      <c r="AD240">
        <f t="shared" si="244"/>
        <v>0.5233000000000001</v>
      </c>
      <c r="AF240">
        <f>Tables!CC167</f>
        <v>3.2</v>
      </c>
      <c r="AG240">
        <f t="shared" si="245"/>
        <v>0.99999999872459233</v>
      </c>
      <c r="AH240">
        <f t="shared" si="246"/>
        <v>1.1446159438375592</v>
      </c>
      <c r="AI240">
        <f t="shared" si="247"/>
        <v>1.1734602641256255</v>
      </c>
      <c r="AJ240">
        <f t="shared" si="232"/>
        <v>0.18775364226010008</v>
      </c>
      <c r="AK240">
        <f t="shared" si="233"/>
        <v>0.08</v>
      </c>
      <c r="AL240">
        <f t="shared" si="234"/>
        <v>0.41773230150502522</v>
      </c>
      <c r="AM240">
        <f t="shared" si="235"/>
        <v>0.19</v>
      </c>
      <c r="AN240">
        <f t="shared" si="236"/>
        <v>0.6784</v>
      </c>
      <c r="AO240">
        <f t="shared" si="237"/>
        <v>3.2624093375010213E-4</v>
      </c>
      <c r="AP240">
        <f t="shared" si="238"/>
        <v>2.5096645152663692E-4</v>
      </c>
      <c r="AQ240">
        <f t="shared" si="248"/>
        <v>5.7720738527673905E-4</v>
      </c>
      <c r="AR240">
        <f t="shared" si="239"/>
        <v>1.8788100390757856</v>
      </c>
      <c r="BF240">
        <v>50</v>
      </c>
    </row>
    <row r="241" spans="5:58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242"/>
        <v>8.2999999999999741E-3</v>
      </c>
      <c r="V241">
        <f>V231</f>
        <v>0.99170000000000003</v>
      </c>
      <c r="W241">
        <f>W231</f>
        <v>0.73</v>
      </c>
      <c r="X241">
        <f t="shared" si="229"/>
        <v>4.7000000000000002E-3</v>
      </c>
      <c r="Y241">
        <f t="shared" si="230"/>
        <v>0.11199999999999999</v>
      </c>
      <c r="Z241">
        <v>0</v>
      </c>
      <c r="AA241">
        <f t="shared" si="243"/>
        <v>0</v>
      </c>
      <c r="AB241">
        <f t="shared" si="249"/>
        <v>1.3</v>
      </c>
      <c r="AC241">
        <f t="shared" si="231"/>
        <v>1.0336000000000001</v>
      </c>
      <c r="AD241">
        <f t="shared" si="244"/>
        <v>0.49149999999999999</v>
      </c>
      <c r="AF241">
        <f>Tables!CC167</f>
        <v>3.2</v>
      </c>
      <c r="AG241">
        <f t="shared" si="245"/>
        <v>0.99999999872459233</v>
      </c>
      <c r="AH241">
        <f t="shared" si="246"/>
        <v>1.0773731392615793</v>
      </c>
      <c r="AI241">
        <f t="shared" si="247"/>
        <v>1.113572875320509</v>
      </c>
      <c r="AJ241">
        <f t="shared" si="232"/>
        <v>0.17817166005128143</v>
      </c>
      <c r="AK241">
        <f t="shared" si="233"/>
        <v>0.08</v>
      </c>
      <c r="AL241">
        <f t="shared" si="234"/>
        <v>0.43493871660235472</v>
      </c>
      <c r="AM241">
        <f t="shared" si="235"/>
        <v>0.19</v>
      </c>
      <c r="AN241">
        <f t="shared" si="236"/>
        <v>0.6784</v>
      </c>
      <c r="AO241">
        <f t="shared" si="237"/>
        <v>3.3967881467915708E-4</v>
      </c>
      <c r="AP241">
        <f t="shared" si="238"/>
        <v>2.6130377264093241E-4</v>
      </c>
      <c r="AQ241">
        <f t="shared" si="248"/>
        <v>6.0098258732008949E-4</v>
      </c>
      <c r="AR241">
        <f t="shared" si="239"/>
        <v>1.893095150058282</v>
      </c>
      <c r="BF241">
        <v>50</v>
      </c>
    </row>
    <row r="242" spans="5:58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242"/>
        <v>8.2999999999999741E-3</v>
      </c>
      <c r="V242">
        <f>V231</f>
        <v>0.99170000000000003</v>
      </c>
      <c r="W242">
        <f>W231</f>
        <v>0.73</v>
      </c>
      <c r="X242">
        <f t="shared" si="229"/>
        <v>4.7000000000000002E-3</v>
      </c>
      <c r="Y242">
        <f t="shared" si="230"/>
        <v>0</v>
      </c>
      <c r="Z242">
        <v>0</v>
      </c>
      <c r="AA242">
        <f t="shared" si="243"/>
        <v>0</v>
      </c>
      <c r="AB242">
        <f t="shared" si="249"/>
        <v>1.3</v>
      </c>
      <c r="AC242">
        <f t="shared" si="231"/>
        <v>1</v>
      </c>
      <c r="AD242">
        <f t="shared" si="244"/>
        <v>0.47559999999999997</v>
      </c>
      <c r="AF242">
        <f>Tables!CC168</f>
        <v>3</v>
      </c>
      <c r="AG242">
        <f t="shared" si="245"/>
        <v>0.99999998477002028</v>
      </c>
      <c r="AH242">
        <f t="shared" si="246"/>
        <v>0.94288322747903475</v>
      </c>
      <c r="AI242">
        <f t="shared" si="247"/>
        <v>0.9428832131189423</v>
      </c>
      <c r="AJ242">
        <f t="shared" si="232"/>
        <v>6.6001824918325971E-2</v>
      </c>
      <c r="AK242">
        <f t="shared" si="233"/>
        <v>0.08</v>
      </c>
      <c r="AL242">
        <f t="shared" si="234"/>
        <v>0.37969728055957003</v>
      </c>
      <c r="AM242">
        <f t="shared" si="235"/>
        <v>0.19</v>
      </c>
      <c r="AN242">
        <f t="shared" si="236"/>
        <v>0.6784</v>
      </c>
      <c r="AO242">
        <f t="shared" si="237"/>
        <v>2.9653631022986249E-4</v>
      </c>
      <c r="AP242">
        <f t="shared" si="238"/>
        <v>2.2811565879159781E-4</v>
      </c>
      <c r="AQ242">
        <f t="shared" si="248"/>
        <v>5.246519690214603E-4</v>
      </c>
      <c r="AR242">
        <f t="shared" si="239"/>
        <v>1.6264211039665268</v>
      </c>
      <c r="BF242">
        <v>50</v>
      </c>
    </row>
    <row r="243" spans="5:58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P243">
        <f>Tables!CC43</f>
        <v>7.0000000000000007E-2</v>
      </c>
      <c r="R243">
        <f>Tables!CC73</f>
        <v>0.55000000000000004</v>
      </c>
      <c r="T243">
        <f>Tables!CC101</f>
        <v>28</v>
      </c>
      <c r="U243">
        <f t="shared" si="242"/>
        <v>8.2999999999999741E-3</v>
      </c>
      <c r="V243">
        <f>V231</f>
        <v>0.99170000000000003</v>
      </c>
      <c r="W243">
        <f>W231</f>
        <v>0.73</v>
      </c>
      <c r="X243">
        <f t="shared" si="229"/>
        <v>4.7000000000000002E-3</v>
      </c>
      <c r="Y243">
        <f t="shared" si="230"/>
        <v>0</v>
      </c>
      <c r="Z243">
        <v>0</v>
      </c>
      <c r="AA243">
        <f t="shared" si="243"/>
        <v>0</v>
      </c>
      <c r="AB243">
        <f t="shared" si="249"/>
        <v>1.3</v>
      </c>
      <c r="AC243">
        <f t="shared" si="231"/>
        <v>1</v>
      </c>
      <c r="AD243">
        <f t="shared" si="244"/>
        <v>0.43585000000000007</v>
      </c>
      <c r="AE243" s="1">
        <v>2.8</v>
      </c>
      <c r="AF243" s="1">
        <v>2.8</v>
      </c>
      <c r="AG243">
        <f t="shared" si="245"/>
        <v>0.99999984502468642</v>
      </c>
      <c r="AH243">
        <f t="shared" si="246"/>
        <v>0.47750864762612716</v>
      </c>
      <c r="AI243">
        <f t="shared" si="247"/>
        <v>0.47750857362407473</v>
      </c>
      <c r="AJ243">
        <f t="shared" si="232"/>
        <v>3.3425600153685231E-2</v>
      </c>
      <c r="AK243">
        <f t="shared" si="233"/>
        <v>0.08</v>
      </c>
      <c r="AL243">
        <f t="shared" si="234"/>
        <v>0.20607948079451649</v>
      </c>
      <c r="AM243">
        <f t="shared" si="235"/>
        <v>0.19</v>
      </c>
      <c r="AN243">
        <f t="shared" si="236"/>
        <v>0.6784</v>
      </c>
      <c r="AO243">
        <f t="shared" si="237"/>
        <v>1.6094413096357239E-4</v>
      </c>
      <c r="AP243">
        <f t="shared" si="238"/>
        <v>1.2380904191779232E-4</v>
      </c>
      <c r="AQ243">
        <f t="shared" si="248"/>
        <v>2.8475317288136472E-4</v>
      </c>
      <c r="AR243">
        <f>H243*AQ243*L243</f>
        <v>0.35309393437289222</v>
      </c>
      <c r="BF243">
        <v>50</v>
      </c>
    </row>
    <row r="244" spans="5:58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P244">
        <f>Tables!CC43</f>
        <v>7.0000000000000007E-2</v>
      </c>
      <c r="R244">
        <f>Tables!CC73</f>
        <v>0.55000000000000004</v>
      </c>
      <c r="T244">
        <f>Tables!CC101</f>
        <v>28</v>
      </c>
      <c r="U244">
        <f t="shared" si="242"/>
        <v>8.2999999999999741E-3</v>
      </c>
      <c r="V244">
        <f>V231</f>
        <v>0.99170000000000003</v>
      </c>
      <c r="W244">
        <f>W231</f>
        <v>0.73</v>
      </c>
      <c r="X244">
        <f t="shared" si="229"/>
        <v>4.7000000000000002E-3</v>
      </c>
      <c r="Y244">
        <f t="shared" si="230"/>
        <v>0</v>
      </c>
      <c r="Z244">
        <v>0</v>
      </c>
      <c r="AA244">
        <f t="shared" si="243"/>
        <v>0</v>
      </c>
      <c r="AB244">
        <f t="shared" si="249"/>
        <v>1.3</v>
      </c>
      <c r="AC244">
        <f t="shared" si="231"/>
        <v>1</v>
      </c>
      <c r="AD244">
        <f t="shared" si="244"/>
        <v>0.43585000000000007</v>
      </c>
      <c r="AE244" s="1">
        <v>2.7</v>
      </c>
      <c r="AF244" s="1">
        <v>2.7</v>
      </c>
      <c r="AG244">
        <f t="shared" si="245"/>
        <v>0.99999953442842837</v>
      </c>
      <c r="AH244">
        <f t="shared" si="246"/>
        <v>0.47750864762612716</v>
      </c>
      <c r="AI244">
        <f t="shared" si="247"/>
        <v>0.47750842531167564</v>
      </c>
      <c r="AJ244">
        <f t="shared" si="232"/>
        <v>3.3425589771817296E-2</v>
      </c>
      <c r="AK244">
        <f t="shared" si="233"/>
        <v>0.08</v>
      </c>
      <c r="AL244">
        <f t="shared" si="234"/>
        <v>0.20607941418079953</v>
      </c>
      <c r="AM244">
        <f t="shared" si="235"/>
        <v>0.19</v>
      </c>
      <c r="AN244">
        <f t="shared" si="236"/>
        <v>0.6784</v>
      </c>
      <c r="AO244">
        <f t="shared" si="237"/>
        <v>1.6094407893953419E-4</v>
      </c>
      <c r="AP244">
        <f t="shared" si="238"/>
        <v>1.238090018974058E-4</v>
      </c>
      <c r="AQ244">
        <f t="shared" si="248"/>
        <v>2.8475308083694001E-4</v>
      </c>
      <c r="AR244">
        <f t="shared" si="239"/>
        <v>0.31892345053737281</v>
      </c>
      <c r="BF244">
        <v>50</v>
      </c>
    </row>
    <row r="245" spans="5:58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P245">
        <f>Tables!CC44</f>
        <v>0.13</v>
      </c>
      <c r="R245">
        <f>Tables!CC74</f>
        <v>0.65</v>
      </c>
      <c r="T245">
        <f>Tables!CC102</f>
        <v>33</v>
      </c>
      <c r="U245">
        <f t="shared" si="242"/>
        <v>8.2999999999999741E-3</v>
      </c>
      <c r="V245">
        <f>V231</f>
        <v>0.99170000000000003</v>
      </c>
      <c r="W245">
        <f>W231</f>
        <v>0.73</v>
      </c>
      <c r="X245">
        <f t="shared" si="229"/>
        <v>4.7000000000000002E-3</v>
      </c>
      <c r="Y245">
        <f t="shared" si="230"/>
        <v>0</v>
      </c>
      <c r="Z245">
        <v>0</v>
      </c>
      <c r="AA245">
        <f t="shared" si="243"/>
        <v>0</v>
      </c>
      <c r="AB245">
        <f t="shared" si="249"/>
        <v>1.3</v>
      </c>
      <c r="AC245">
        <f t="shared" si="231"/>
        <v>1</v>
      </c>
      <c r="AD245">
        <f t="shared" si="244"/>
        <v>0.51535000000000009</v>
      </c>
      <c r="AE245" s="1">
        <v>2.4</v>
      </c>
      <c r="AF245" s="1">
        <v>2.4</v>
      </c>
      <c r="AG245">
        <f t="shared" si="245"/>
        <v>0.99999007049569411</v>
      </c>
      <c r="AH245">
        <f t="shared" si="246"/>
        <v>0.67586829739226073</v>
      </c>
      <c r="AI245">
        <f t="shared" si="247"/>
        <v>0.67586158635509153</v>
      </c>
      <c r="AJ245">
        <f t="shared" si="232"/>
        <v>8.7862006226161901E-2</v>
      </c>
      <c r="AK245">
        <f t="shared" si="233"/>
        <v>0.08</v>
      </c>
      <c r="AL245">
        <f t="shared" si="234"/>
        <v>0.23443726173424295</v>
      </c>
      <c r="AM245">
        <f t="shared" si="235"/>
        <v>0.19</v>
      </c>
      <c r="AN245">
        <f t="shared" si="236"/>
        <v>0.6784</v>
      </c>
      <c r="AO245">
        <f t="shared" si="237"/>
        <v>1.8309101522300263E-4</v>
      </c>
      <c r="AP245">
        <f t="shared" si="238"/>
        <v>1.4084591368943155E-4</v>
      </c>
      <c r="AQ245">
        <f t="shared" si="248"/>
        <v>3.2393692891243421E-4</v>
      </c>
      <c r="AR245">
        <f t="shared" si="239"/>
        <v>0.40168179185141845</v>
      </c>
      <c r="BF245">
        <v>50</v>
      </c>
    </row>
    <row r="246" spans="5:58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P246">
        <f>Tables!CC44</f>
        <v>0.13</v>
      </c>
      <c r="R246">
        <f>Tables!CC74</f>
        <v>0.65</v>
      </c>
      <c r="T246">
        <f>Tables!CC102</f>
        <v>33</v>
      </c>
      <c r="U246">
        <f t="shared" si="242"/>
        <v>8.2999999999999741E-3</v>
      </c>
      <c r="V246">
        <f>V231</f>
        <v>0.99170000000000003</v>
      </c>
      <c r="W246">
        <f>W231</f>
        <v>0.73</v>
      </c>
      <c r="X246">
        <f t="shared" si="229"/>
        <v>4.7000000000000002E-3</v>
      </c>
      <c r="Y246">
        <f t="shared" si="230"/>
        <v>0</v>
      </c>
      <c r="Z246">
        <v>0</v>
      </c>
      <c r="AA246">
        <f t="shared" si="243"/>
        <v>0</v>
      </c>
      <c r="AB246">
        <f t="shared" si="249"/>
        <v>1.3</v>
      </c>
      <c r="AC246">
        <f t="shared" si="231"/>
        <v>1</v>
      </c>
      <c r="AD246">
        <f t="shared" si="244"/>
        <v>0.51535000000000009</v>
      </c>
      <c r="AE246" s="1">
        <v>2.2000000000000002</v>
      </c>
      <c r="AF246" s="1">
        <v>2.2000000000000002</v>
      </c>
      <c r="AG246">
        <f t="shared" si="245"/>
        <v>0.99993747849622516</v>
      </c>
      <c r="AH246">
        <f t="shared" si="246"/>
        <v>0.67586829739226073</v>
      </c>
      <c r="AI246">
        <f t="shared" si="247"/>
        <v>0.67582604108995403</v>
      </c>
      <c r="AJ246">
        <f t="shared" si="232"/>
        <v>8.785738534169403E-2</v>
      </c>
      <c r="AK246">
        <f t="shared" si="233"/>
        <v>0.08</v>
      </c>
      <c r="AL246">
        <f t="shared" si="234"/>
        <v>0.23442404806256897</v>
      </c>
      <c r="AM246">
        <f t="shared" si="235"/>
        <v>0.19</v>
      </c>
      <c r="AN246">
        <f t="shared" si="236"/>
        <v>0.6784</v>
      </c>
      <c r="AO246">
        <f t="shared" si="237"/>
        <v>1.8308069559828209E-4</v>
      </c>
      <c r="AP246">
        <f t="shared" si="238"/>
        <v>1.4083797514055776E-4</v>
      </c>
      <c r="AQ246">
        <f t="shared" si="248"/>
        <v>3.2391867073883987E-4</v>
      </c>
      <c r="AR246">
        <f t="shared" si="239"/>
        <v>0.34011460427578188</v>
      </c>
      <c r="BF246">
        <v>50</v>
      </c>
    </row>
    <row r="247" spans="5:58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P247">
        <f>Tables!CC44</f>
        <v>0.13</v>
      </c>
      <c r="R247">
        <f>Tables!CC74</f>
        <v>0.65</v>
      </c>
      <c r="T247">
        <f>Tables!CC102</f>
        <v>33</v>
      </c>
      <c r="U247">
        <f t="shared" si="242"/>
        <v>8.2999999999999741E-3</v>
      </c>
      <c r="V247">
        <f>V231</f>
        <v>0.99170000000000003</v>
      </c>
      <c r="W247">
        <f>W231</f>
        <v>0.73</v>
      </c>
      <c r="X247">
        <f t="shared" si="229"/>
        <v>4.7000000000000002E-3</v>
      </c>
      <c r="Y247">
        <f t="shared" si="230"/>
        <v>0</v>
      </c>
      <c r="Z247">
        <v>0</v>
      </c>
      <c r="AA247">
        <f t="shared" si="243"/>
        <v>0</v>
      </c>
      <c r="AB247">
        <f t="shared" si="249"/>
        <v>1.3</v>
      </c>
      <c r="AC247">
        <f t="shared" si="231"/>
        <v>1</v>
      </c>
      <c r="AD247">
        <f t="shared" si="244"/>
        <v>0.51535000000000009</v>
      </c>
      <c r="AE247" s="1">
        <v>1.9</v>
      </c>
      <c r="AF247" s="1">
        <v>1.9</v>
      </c>
      <c r="AG247">
        <f t="shared" si="245"/>
        <v>0.99926819758111951</v>
      </c>
      <c r="AH247">
        <f t="shared" si="246"/>
        <v>0.67586829739226073</v>
      </c>
      <c r="AI247">
        <f t="shared" si="247"/>
        <v>0.67537369533738445</v>
      </c>
      <c r="AJ247">
        <f t="shared" si="232"/>
        <v>8.7798580393859987E-2</v>
      </c>
      <c r="AK247">
        <f t="shared" si="233"/>
        <v>0.08</v>
      </c>
      <c r="AL247">
        <f t="shared" si="234"/>
        <v>0.234255900222053</v>
      </c>
      <c r="AM247">
        <f t="shared" si="235"/>
        <v>0.19</v>
      </c>
      <c r="AN247">
        <f t="shared" si="236"/>
        <v>0.6784</v>
      </c>
      <c r="AO247">
        <f t="shared" si="237"/>
        <v>1.8294937535251617E-4</v>
      </c>
      <c r="AP247">
        <f t="shared" si="238"/>
        <v>1.4073695478203119E-4</v>
      </c>
      <c r="AQ247">
        <f t="shared" si="248"/>
        <v>3.2368633013454736E-4</v>
      </c>
      <c r="AR247">
        <f t="shared" si="239"/>
        <v>0.35119966819598386</v>
      </c>
      <c r="BF247">
        <v>70</v>
      </c>
    </row>
    <row r="248" spans="5:58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P248">
        <f>Tables!CC45</f>
        <v>0.1</v>
      </c>
      <c r="R248">
        <f>Tables!CC75</f>
        <v>0.6</v>
      </c>
      <c r="T248">
        <f>Tables!CC103</f>
        <v>35</v>
      </c>
      <c r="U248">
        <f t="shared" si="242"/>
        <v>8.2999999999999741E-3</v>
      </c>
      <c r="V248">
        <f>V231</f>
        <v>0.99170000000000003</v>
      </c>
      <c r="W248">
        <f>W231</f>
        <v>0.73</v>
      </c>
      <c r="X248">
        <f t="shared" si="229"/>
        <v>4.7000000000000002E-3</v>
      </c>
      <c r="Y248">
        <f t="shared" si="230"/>
        <v>0</v>
      </c>
      <c r="Z248">
        <v>0</v>
      </c>
      <c r="AA248">
        <f t="shared" si="243"/>
        <v>0</v>
      </c>
      <c r="AB248">
        <f t="shared" si="249"/>
        <v>1.3</v>
      </c>
      <c r="AC248">
        <f t="shared" si="231"/>
        <v>1</v>
      </c>
      <c r="AD248">
        <f t="shared" si="244"/>
        <v>0.47559999999999997</v>
      </c>
      <c r="AE248" s="1">
        <v>1.4</v>
      </c>
      <c r="AF248" s="1">
        <v>1.4</v>
      </c>
      <c r="AG248">
        <f t="shared" si="245"/>
        <v>0.98015890525562965</v>
      </c>
      <c r="AH248">
        <f t="shared" si="246"/>
        <v>0.65531047667424769</v>
      </c>
      <c r="AI248">
        <f t="shared" si="247"/>
        <v>0.6423083994195754</v>
      </c>
      <c r="AJ248">
        <f t="shared" si="232"/>
        <v>6.4230839941957538E-2</v>
      </c>
      <c r="AK248">
        <f t="shared" si="233"/>
        <v>0.08</v>
      </c>
      <c r="AL248">
        <f t="shared" si="234"/>
        <v>0.25155170192911341</v>
      </c>
      <c r="AM248">
        <f t="shared" si="235"/>
        <v>0.19</v>
      </c>
      <c r="AN248">
        <f t="shared" si="236"/>
        <v>0.6784</v>
      </c>
      <c r="AO248">
        <f t="shared" si="237"/>
        <v>1.9645706551326883E-4</v>
      </c>
      <c r="AP248">
        <f t="shared" si="238"/>
        <v>1.5112797784893445E-4</v>
      </c>
      <c r="AQ248">
        <f t="shared" si="248"/>
        <v>3.4758504336220329E-4</v>
      </c>
      <c r="AR248">
        <f t="shared" si="239"/>
        <v>0.36496429553031345</v>
      </c>
      <c r="BF248">
        <v>70</v>
      </c>
    </row>
    <row r="249" spans="5:58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P249">
        <f>Tables!CC45</f>
        <v>0.1</v>
      </c>
      <c r="R249">
        <f>Tables!CC75</f>
        <v>0.6</v>
      </c>
      <c r="T249">
        <f>Tables!CC103</f>
        <v>35</v>
      </c>
      <c r="U249">
        <f t="shared" si="242"/>
        <v>8.2999999999999741E-3</v>
      </c>
      <c r="V249">
        <f>V231</f>
        <v>0.99170000000000003</v>
      </c>
      <c r="W249">
        <f>W231</f>
        <v>0.73</v>
      </c>
      <c r="X249">
        <f t="shared" si="229"/>
        <v>4.7000000000000002E-3</v>
      </c>
      <c r="Y249">
        <f t="shared" si="230"/>
        <v>0</v>
      </c>
      <c r="Z249">
        <v>0</v>
      </c>
      <c r="AA249">
        <f t="shared" si="243"/>
        <v>0</v>
      </c>
      <c r="AB249">
        <f t="shared" si="249"/>
        <v>1.3</v>
      </c>
      <c r="AC249">
        <f t="shared" si="231"/>
        <v>1</v>
      </c>
      <c r="AD249">
        <f t="shared" si="244"/>
        <v>0.47559999999999997</v>
      </c>
      <c r="AE249" s="1">
        <v>1.3</v>
      </c>
      <c r="AF249" s="1">
        <v>1.3</v>
      </c>
      <c r="AG249">
        <f t="shared" si="245"/>
        <v>0.96595254526540064</v>
      </c>
      <c r="AH249">
        <f t="shared" si="246"/>
        <v>0.65531047667424769</v>
      </c>
      <c r="AI249">
        <f t="shared" si="247"/>
        <v>0.63299882288257248</v>
      </c>
      <c r="AJ249">
        <f t="shared" si="232"/>
        <v>6.3299882288257253E-2</v>
      </c>
      <c r="AK249">
        <f t="shared" si="233"/>
        <v>0.08</v>
      </c>
      <c r="AL249">
        <f t="shared" si="234"/>
        <v>0.2476888671803493</v>
      </c>
      <c r="AM249">
        <f t="shared" si="235"/>
        <v>0.19</v>
      </c>
      <c r="AN249">
        <f t="shared" si="236"/>
        <v>0.6784</v>
      </c>
      <c r="AO249">
        <f t="shared" si="237"/>
        <v>1.9344026549368985E-4</v>
      </c>
      <c r="AP249">
        <f t="shared" si="238"/>
        <v>1.4880725252738674E-4</v>
      </c>
      <c r="AQ249">
        <f t="shared" si="248"/>
        <v>3.4224751802107661E-4</v>
      </c>
      <c r="AR249">
        <f t="shared" si="239"/>
        <v>0.84877384469226991</v>
      </c>
      <c r="BF249">
        <v>70</v>
      </c>
    </row>
    <row r="250" spans="5:58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P250">
        <f>Tables!CC45</f>
        <v>0.1</v>
      </c>
      <c r="R250">
        <f>Tables!CC75</f>
        <v>0.6</v>
      </c>
      <c r="T250">
        <f>Tables!CC103</f>
        <v>35</v>
      </c>
      <c r="U250">
        <f t="shared" si="242"/>
        <v>8.2999999999999741E-3</v>
      </c>
      <c r="V250">
        <f>V231</f>
        <v>0.99170000000000003</v>
      </c>
      <c r="W250">
        <f>W231</f>
        <v>0.73</v>
      </c>
      <c r="X250">
        <f t="shared" si="229"/>
        <v>4.7000000000000002E-3</v>
      </c>
      <c r="Y250">
        <f t="shared" si="230"/>
        <v>0</v>
      </c>
      <c r="Z250">
        <v>0</v>
      </c>
      <c r="AA250">
        <f t="shared" si="243"/>
        <v>0</v>
      </c>
      <c r="AB250">
        <f t="shared" si="249"/>
        <v>1.3</v>
      </c>
      <c r="AC250">
        <f t="shared" si="231"/>
        <v>1</v>
      </c>
      <c r="AD250">
        <f t="shared" si="244"/>
        <v>0.47559999999999997</v>
      </c>
      <c r="AE250" s="1">
        <v>1.1000000000000001</v>
      </c>
      <c r="AF250" s="1">
        <v>1.1000000000000001</v>
      </c>
      <c r="AG250">
        <f t="shared" si="245"/>
        <v>0.91107838254061368</v>
      </c>
      <c r="AH250">
        <f t="shared" si="246"/>
        <v>0.65531047667424769</v>
      </c>
      <c r="AI250">
        <f t="shared" si="247"/>
        <v>0.59703920915029218</v>
      </c>
      <c r="AJ250">
        <f t="shared" si="232"/>
        <v>5.970392091502922E-2</v>
      </c>
      <c r="AK250">
        <f t="shared" si="233"/>
        <v>0.08</v>
      </c>
      <c r="AL250">
        <f t="shared" si="234"/>
        <v>0.23282800304257883</v>
      </c>
      <c r="AM250">
        <f t="shared" si="235"/>
        <v>0.19</v>
      </c>
      <c r="AN250">
        <f t="shared" si="236"/>
        <v>0.6784</v>
      </c>
      <c r="AO250">
        <f t="shared" si="237"/>
        <v>1.8183421497958729E-4</v>
      </c>
      <c r="AP250">
        <f t="shared" si="238"/>
        <v>1.3987909847791867E-4</v>
      </c>
      <c r="AQ250">
        <f t="shared" si="248"/>
        <v>3.2171331345750599E-4</v>
      </c>
      <c r="AR250">
        <f t="shared" si="239"/>
        <v>0.89758014454644175</v>
      </c>
      <c r="BF250">
        <v>70</v>
      </c>
    </row>
    <row r="251" spans="5:58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1"/>
      <c r="N251" s="1"/>
      <c r="O251" s="1"/>
      <c r="P251">
        <f>Tables!CC42</f>
        <v>0.16</v>
      </c>
      <c r="R251">
        <f>Tables!CC72</f>
        <v>0.7</v>
      </c>
      <c r="T251">
        <f>Tables!CC100</f>
        <v>22</v>
      </c>
      <c r="U251">
        <f t="shared" si="242"/>
        <v>8.2999999999999741E-3</v>
      </c>
      <c r="V251">
        <f>V231</f>
        <v>0.99170000000000003</v>
      </c>
      <c r="W251">
        <f>W231</f>
        <v>0.73</v>
      </c>
      <c r="X251">
        <f t="shared" si="229"/>
        <v>4.7000000000000002E-3</v>
      </c>
      <c r="Y251">
        <f t="shared" si="230"/>
        <v>0</v>
      </c>
      <c r="Z251">
        <v>0</v>
      </c>
      <c r="AA251">
        <f t="shared" si="243"/>
        <v>0</v>
      </c>
      <c r="AB251">
        <f t="shared" si="249"/>
        <v>1.3</v>
      </c>
      <c r="AC251">
        <f t="shared" si="231"/>
        <v>1</v>
      </c>
      <c r="AD251">
        <f t="shared" si="244"/>
        <v>0.55510000000000004</v>
      </c>
      <c r="AF251">
        <f>Tables!CC171</f>
        <v>3.2</v>
      </c>
      <c r="AG251">
        <f t="shared" si="245"/>
        <v>0.99999999872459233</v>
      </c>
      <c r="AH251">
        <f t="shared" si="246"/>
        <v>0.50661989714547884</v>
      </c>
      <c r="AI251">
        <f t="shared" si="247"/>
        <v>0.50661989649933192</v>
      </c>
      <c r="AJ251">
        <f t="shared" si="232"/>
        <v>8.1059183439893115E-2</v>
      </c>
      <c r="AK251">
        <f t="shared" si="233"/>
        <v>0.08</v>
      </c>
      <c r="AL251">
        <f t="shared" si="234"/>
        <v>0.14927231631248258</v>
      </c>
      <c r="AM251">
        <f t="shared" si="235"/>
        <v>0.19</v>
      </c>
      <c r="AN251">
        <f t="shared" si="236"/>
        <v>0.6784</v>
      </c>
      <c r="AO251">
        <f t="shared" si="237"/>
        <v>1.1657882256500357E-4</v>
      </c>
      <c r="AP251">
        <f t="shared" si="238"/>
        <v>8.9680265091146702E-5</v>
      </c>
      <c r="AQ251">
        <f t="shared" si="248"/>
        <v>2.0625908765615027E-4</v>
      </c>
      <c r="AR251">
        <f t="shared" si="239"/>
        <v>0.37126635778107048</v>
      </c>
      <c r="BF251">
        <v>60</v>
      </c>
    </row>
    <row r="252" spans="5:58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P252">
        <f>Tables!CC42</f>
        <v>0.16</v>
      </c>
      <c r="R252">
        <f>Tables!CC72</f>
        <v>0.7</v>
      </c>
      <c r="T252">
        <f>Tables!CC100</f>
        <v>22</v>
      </c>
      <c r="U252">
        <f t="shared" si="242"/>
        <v>8.2999999999999741E-3</v>
      </c>
      <c r="V252">
        <f>V231</f>
        <v>0.99170000000000003</v>
      </c>
      <c r="W252">
        <f>W231</f>
        <v>0.73</v>
      </c>
      <c r="X252">
        <f t="shared" si="229"/>
        <v>4.7000000000000002E-3</v>
      </c>
      <c r="Y252">
        <f t="shared" si="230"/>
        <v>0</v>
      </c>
      <c r="Z252">
        <v>0</v>
      </c>
      <c r="AA252">
        <f t="shared" si="243"/>
        <v>0</v>
      </c>
      <c r="AB252">
        <f t="shared" si="249"/>
        <v>1.3</v>
      </c>
      <c r="AC252">
        <f t="shared" si="231"/>
        <v>1</v>
      </c>
      <c r="AD252">
        <f t="shared" si="244"/>
        <v>0.55510000000000004</v>
      </c>
      <c r="AF252">
        <f>Tables!CC171</f>
        <v>3.2</v>
      </c>
      <c r="AG252">
        <f t="shared" si="245"/>
        <v>0.99999999872459233</v>
      </c>
      <c r="AH252">
        <f t="shared" si="246"/>
        <v>0.50661989714547884</v>
      </c>
      <c r="AI252">
        <f t="shared" si="247"/>
        <v>0.50661989649933192</v>
      </c>
      <c r="AJ252">
        <f t="shared" si="232"/>
        <v>8.1059183439893115E-2</v>
      </c>
      <c r="AK252">
        <f t="shared" si="233"/>
        <v>0.08</v>
      </c>
      <c r="AL252">
        <f t="shared" si="234"/>
        <v>0.14927231631248258</v>
      </c>
      <c r="AM252">
        <f t="shared" si="235"/>
        <v>0.19</v>
      </c>
      <c r="AN252">
        <f t="shared" si="236"/>
        <v>0.6784</v>
      </c>
      <c r="AO252">
        <f t="shared" si="237"/>
        <v>1.1657882256500357E-4</v>
      </c>
      <c r="AP252">
        <f t="shared" si="238"/>
        <v>8.9680265091146702E-5</v>
      </c>
      <c r="AQ252">
        <f t="shared" si="248"/>
        <v>2.0625908765615027E-4</v>
      </c>
      <c r="AR252">
        <f t="shared" si="239"/>
        <v>0.60743301314736253</v>
      </c>
      <c r="BF252">
        <v>60</v>
      </c>
    </row>
    <row r="253" spans="5:58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P253">
        <f>Tables!CC42</f>
        <v>0.16</v>
      </c>
      <c r="R253">
        <f>Tables!CC72</f>
        <v>0.7</v>
      </c>
      <c r="T253">
        <f>Tables!CC100</f>
        <v>22</v>
      </c>
      <c r="U253">
        <f t="shared" si="242"/>
        <v>8.2999999999999741E-3</v>
      </c>
      <c r="V253">
        <f>V231</f>
        <v>0.99170000000000003</v>
      </c>
      <c r="W253">
        <f>W231</f>
        <v>0.73</v>
      </c>
      <c r="X253">
        <f t="shared" si="229"/>
        <v>4.7000000000000002E-3</v>
      </c>
      <c r="Y253">
        <f t="shared" si="230"/>
        <v>0</v>
      </c>
      <c r="Z253">
        <v>0</v>
      </c>
      <c r="AA253">
        <f t="shared" si="243"/>
        <v>0</v>
      </c>
      <c r="AB253">
        <f t="shared" si="249"/>
        <v>1.3</v>
      </c>
      <c r="AC253">
        <f t="shared" si="231"/>
        <v>1</v>
      </c>
      <c r="AD253">
        <f t="shared" si="244"/>
        <v>0.55510000000000004</v>
      </c>
      <c r="AF253">
        <f>Tables!CC171</f>
        <v>3.2</v>
      </c>
      <c r="AG253">
        <f t="shared" si="245"/>
        <v>0.99999999872459233</v>
      </c>
      <c r="AH253">
        <f t="shared" si="246"/>
        <v>0.50661989714547884</v>
      </c>
      <c r="AI253">
        <f t="shared" si="247"/>
        <v>0.50661989649933192</v>
      </c>
      <c r="AJ253">
        <f t="shared" si="232"/>
        <v>8.1059183439893115E-2</v>
      </c>
      <c r="AK253">
        <f t="shared" si="233"/>
        <v>0.08</v>
      </c>
      <c r="AL253">
        <f t="shared" si="234"/>
        <v>0.14927231631248258</v>
      </c>
      <c r="AM253">
        <f t="shared" si="235"/>
        <v>0.19</v>
      </c>
      <c r="AN253">
        <f t="shared" si="236"/>
        <v>0.6784</v>
      </c>
      <c r="AO253">
        <f t="shared" si="237"/>
        <v>1.1657882256500357E-4</v>
      </c>
      <c r="AP253">
        <f t="shared" si="238"/>
        <v>8.9680265091146702E-5</v>
      </c>
      <c r="AQ253">
        <f t="shared" si="248"/>
        <v>2.0625908765615027E-4</v>
      </c>
      <c r="AR253">
        <f t="shared" si="239"/>
        <v>0.55689953667160574</v>
      </c>
      <c r="BF253">
        <v>60</v>
      </c>
    </row>
    <row r="254" spans="5:58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P254">
        <f>Tables!CC43</f>
        <v>7.0000000000000007E-2</v>
      </c>
      <c r="R254">
        <f>Tables!CC73</f>
        <v>0.55000000000000004</v>
      </c>
      <c r="T254">
        <f>Tables!CC101</f>
        <v>28</v>
      </c>
      <c r="U254">
        <f t="shared" ref="U254:U278" si="250">$U$231</f>
        <v>8.2999999999999741E-3</v>
      </c>
      <c r="V254">
        <f t="shared" ref="V254:V278" si="251">$V$231</f>
        <v>0.99170000000000003</v>
      </c>
      <c r="W254">
        <f t="shared" ref="W254:W278" si="252">$W$231</f>
        <v>0.73</v>
      </c>
      <c r="X254">
        <f t="shared" si="229"/>
        <v>4.7000000000000002E-3</v>
      </c>
      <c r="Y254">
        <f t="shared" si="230"/>
        <v>0</v>
      </c>
      <c r="Z254">
        <v>0</v>
      </c>
      <c r="AA254">
        <f t="shared" si="243"/>
        <v>0</v>
      </c>
      <c r="AB254">
        <f t="shared" si="249"/>
        <v>1.3</v>
      </c>
      <c r="AC254">
        <f t="shared" si="231"/>
        <v>1</v>
      </c>
      <c r="AD254">
        <f t="shared" si="244"/>
        <v>0.43585000000000007</v>
      </c>
      <c r="AF254">
        <f>Tables!CC172</f>
        <v>3</v>
      </c>
      <c r="AG254">
        <f t="shared" si="245"/>
        <v>0.99999998477002028</v>
      </c>
      <c r="AH254">
        <f t="shared" si="246"/>
        <v>0.47750864762612716</v>
      </c>
      <c r="AI254">
        <f t="shared" si="247"/>
        <v>0.47750864035368012</v>
      </c>
      <c r="AJ254">
        <f t="shared" si="232"/>
        <v>3.3425604824757614E-2</v>
      </c>
      <c r="AK254">
        <f t="shared" si="233"/>
        <v>0.08</v>
      </c>
      <c r="AL254">
        <f t="shared" si="234"/>
        <v>0.20607951076576064</v>
      </c>
      <c r="AM254">
        <f t="shared" si="235"/>
        <v>0.19</v>
      </c>
      <c r="AN254">
        <f t="shared" si="236"/>
        <v>0.6784</v>
      </c>
      <c r="AO254">
        <f t="shared" si="237"/>
        <v>1.6094415437054054E-4</v>
      </c>
      <c r="AP254">
        <f t="shared" si="238"/>
        <v>1.238090599240053E-4</v>
      </c>
      <c r="AQ254">
        <f t="shared" si="248"/>
        <v>2.8475321429454587E-4</v>
      </c>
      <c r="AR254">
        <f t="shared" si="239"/>
        <v>0.5296409785878553</v>
      </c>
      <c r="BF254">
        <v>60</v>
      </c>
    </row>
    <row r="255" spans="5:58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250"/>
        <v>8.2999999999999741E-3</v>
      </c>
      <c r="V255">
        <f t="shared" si="251"/>
        <v>0.99170000000000003</v>
      </c>
      <c r="W255">
        <f t="shared" si="252"/>
        <v>0.73</v>
      </c>
      <c r="X255">
        <f t="shared" si="229"/>
        <v>4.7000000000000002E-3</v>
      </c>
      <c r="Y255">
        <f t="shared" si="230"/>
        <v>0</v>
      </c>
      <c r="Z255">
        <v>0</v>
      </c>
      <c r="AA255">
        <f t="shared" si="243"/>
        <v>0</v>
      </c>
      <c r="AB255">
        <f t="shared" si="249"/>
        <v>1.3</v>
      </c>
      <c r="AC255">
        <f t="shared" si="231"/>
        <v>1</v>
      </c>
      <c r="AD255">
        <f t="shared" si="244"/>
        <v>0.43585000000000007</v>
      </c>
      <c r="AF255">
        <f>Tables!CC184</f>
        <v>3</v>
      </c>
      <c r="AG255">
        <f t="shared" si="245"/>
        <v>0.99999998477002028</v>
      </c>
      <c r="AH255">
        <f t="shared" si="246"/>
        <v>1.1785209149153895</v>
      </c>
      <c r="AI255">
        <f t="shared" si="247"/>
        <v>1.1785208969665397</v>
      </c>
      <c r="AJ255">
        <f t="shared" si="232"/>
        <v>8.2496462787657793E-2</v>
      </c>
      <c r="AK255">
        <f t="shared" si="233"/>
        <v>0.08</v>
      </c>
      <c r="AL255">
        <f t="shared" si="234"/>
        <v>0.53901959471294225</v>
      </c>
      <c r="AM255">
        <f t="shared" si="235"/>
        <v>0.19</v>
      </c>
      <c r="AN255">
        <f t="shared" si="236"/>
        <v>0.6784</v>
      </c>
      <c r="AO255">
        <f t="shared" si="237"/>
        <v>4.2096398879184219E-4</v>
      </c>
      <c r="AP255">
        <f t="shared" si="238"/>
        <v>3.2383379140433978E-4</v>
      </c>
      <c r="AQ255">
        <f t="shared" si="248"/>
        <v>7.4479778019618192E-4</v>
      </c>
      <c r="AR255">
        <f t="shared" si="239"/>
        <v>0.4617746237216328</v>
      </c>
    </row>
    <row r="256" spans="5:58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250"/>
        <v>8.2999999999999741E-3</v>
      </c>
      <c r="V256">
        <f t="shared" si="251"/>
        <v>0.99170000000000003</v>
      </c>
      <c r="W256">
        <f t="shared" si="252"/>
        <v>0.73</v>
      </c>
      <c r="X256">
        <f t="shared" si="229"/>
        <v>4.7000000000000002E-3</v>
      </c>
      <c r="Y256">
        <f t="shared" si="230"/>
        <v>0</v>
      </c>
      <c r="Z256">
        <v>0</v>
      </c>
      <c r="AA256">
        <f t="shared" si="243"/>
        <v>0</v>
      </c>
      <c r="AB256">
        <f t="shared" si="249"/>
        <v>1.3</v>
      </c>
      <c r="AC256">
        <f t="shared" si="231"/>
        <v>1</v>
      </c>
      <c r="AD256">
        <f t="shared" si="244"/>
        <v>0.43585000000000007</v>
      </c>
      <c r="AF256">
        <f>Tables!CC184</f>
        <v>3</v>
      </c>
      <c r="AG256">
        <f t="shared" si="245"/>
        <v>0.99999998477002028</v>
      </c>
      <c r="AH256">
        <f t="shared" si="246"/>
        <v>1.199077422939921</v>
      </c>
      <c r="AI256">
        <f t="shared" si="247"/>
        <v>1.1990774046779962</v>
      </c>
      <c r="AJ256">
        <f t="shared" si="232"/>
        <v>8.3935418327459738E-2</v>
      </c>
      <c r="AK256">
        <f t="shared" si="233"/>
        <v>0.08</v>
      </c>
      <c r="AL256">
        <f t="shared" si="234"/>
        <v>0.54932859324135341</v>
      </c>
      <c r="AM256">
        <f t="shared" si="235"/>
        <v>0.19</v>
      </c>
      <c r="AN256">
        <f t="shared" si="236"/>
        <v>0.6784</v>
      </c>
      <c r="AO256">
        <f t="shared" si="237"/>
        <v>4.2901511936953545E-4</v>
      </c>
      <c r="AP256">
        <f t="shared" si="238"/>
        <v>3.3002726212744962E-4</v>
      </c>
      <c r="AQ256">
        <f t="shared" si="248"/>
        <v>7.5904238149698507E-4</v>
      </c>
      <c r="AR256">
        <f t="shared" si="239"/>
        <v>0.31879780022873372</v>
      </c>
    </row>
    <row r="257" spans="5:44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250"/>
        <v>8.2999999999999741E-3</v>
      </c>
      <c r="V257">
        <f t="shared" si="251"/>
        <v>0.99170000000000003</v>
      </c>
      <c r="W257">
        <f t="shared" si="252"/>
        <v>0.73</v>
      </c>
      <c r="X257">
        <f t="shared" si="229"/>
        <v>4.7000000000000002E-3</v>
      </c>
      <c r="Y257">
        <f t="shared" si="230"/>
        <v>0</v>
      </c>
      <c r="Z257">
        <v>0</v>
      </c>
      <c r="AA257">
        <f t="shared" si="243"/>
        <v>0</v>
      </c>
      <c r="AB257">
        <f t="shared" si="249"/>
        <v>1.3</v>
      </c>
      <c r="AC257">
        <f t="shared" si="231"/>
        <v>1</v>
      </c>
      <c r="AD257">
        <f t="shared" si="244"/>
        <v>0.51535000000000009</v>
      </c>
      <c r="AF257">
        <f>Tables!CC185</f>
        <v>1.8</v>
      </c>
      <c r="AG257">
        <f t="shared" si="245"/>
        <v>0.99846618932067555</v>
      </c>
      <c r="AH257">
        <f t="shared" si="246"/>
        <v>1.4168488294882187</v>
      </c>
      <c r="AI257">
        <f t="shared" si="247"/>
        <v>1.4146756516225614</v>
      </c>
      <c r="AJ257">
        <f t="shared" si="232"/>
        <v>0.18390783471093297</v>
      </c>
      <c r="AK257">
        <f t="shared" si="233"/>
        <v>0.08</v>
      </c>
      <c r="AL257">
        <f t="shared" si="234"/>
        <v>0.52917366475647365</v>
      </c>
      <c r="AM257">
        <f t="shared" si="235"/>
        <v>0.19</v>
      </c>
      <c r="AN257">
        <f t="shared" si="236"/>
        <v>0.6784</v>
      </c>
      <c r="AO257">
        <f t="shared" si="237"/>
        <v>4.132745059075558E-4</v>
      </c>
      <c r="AP257">
        <f t="shared" si="238"/>
        <v>3.1791852439182455E-4</v>
      </c>
      <c r="AQ257">
        <f t="shared" si="248"/>
        <v>7.311930302993804E-4</v>
      </c>
      <c r="AR257">
        <f t="shared" si="239"/>
        <v>0.22666983939280794</v>
      </c>
    </row>
    <row r="258" spans="5:44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250"/>
        <v>8.2999999999999741E-3</v>
      </c>
      <c r="V258">
        <f t="shared" si="251"/>
        <v>0.99170000000000003</v>
      </c>
      <c r="W258">
        <f t="shared" si="252"/>
        <v>0.73</v>
      </c>
      <c r="X258">
        <f t="shared" si="229"/>
        <v>4.7000000000000002E-3</v>
      </c>
      <c r="Y258">
        <f t="shared" si="230"/>
        <v>0</v>
      </c>
      <c r="Z258">
        <v>0</v>
      </c>
      <c r="AA258">
        <f t="shared" si="243"/>
        <v>0</v>
      </c>
      <c r="AB258">
        <f t="shared" si="249"/>
        <v>1.3</v>
      </c>
      <c r="AC258">
        <f t="shared" si="231"/>
        <v>1</v>
      </c>
      <c r="AD258">
        <f t="shared" si="244"/>
        <v>0.51535000000000009</v>
      </c>
      <c r="AF258">
        <f>Tables!CC185</f>
        <v>1.8</v>
      </c>
      <c r="AG258">
        <f t="shared" si="245"/>
        <v>0.99846618932067555</v>
      </c>
      <c r="AH258">
        <f t="shared" si="246"/>
        <v>1.3940034864345587</v>
      </c>
      <c r="AI258">
        <f t="shared" si="247"/>
        <v>1.3918653490000499</v>
      </c>
      <c r="AJ258">
        <f t="shared" si="232"/>
        <v>0.18094249537000648</v>
      </c>
      <c r="AK258">
        <f t="shared" si="233"/>
        <v>0.08</v>
      </c>
      <c r="AL258">
        <f t="shared" si="234"/>
        <v>0.51947288308870676</v>
      </c>
      <c r="AM258">
        <f t="shared" si="235"/>
        <v>0.19</v>
      </c>
      <c r="AN258">
        <f t="shared" si="236"/>
        <v>0.6784</v>
      </c>
      <c r="AO258">
        <f t="shared" si="237"/>
        <v>4.0569838105918791E-4</v>
      </c>
      <c r="AP258">
        <f t="shared" si="238"/>
        <v>3.1209045999885634E-4</v>
      </c>
      <c r="AQ258">
        <f t="shared" si="248"/>
        <v>7.1778884105804419E-4</v>
      </c>
      <c r="AR258">
        <f t="shared" si="239"/>
        <v>0.53834163079353314</v>
      </c>
    </row>
    <row r="259" spans="5:44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P259">
        <f>Tables!CC48</f>
        <v>0.13</v>
      </c>
      <c r="R259">
        <f>Tables!CC78</f>
        <v>0.65</v>
      </c>
      <c r="T259">
        <f>Tables!CC114</f>
        <v>65</v>
      </c>
      <c r="U259">
        <f t="shared" si="250"/>
        <v>8.2999999999999741E-3</v>
      </c>
      <c r="V259">
        <f t="shared" si="251"/>
        <v>0.99170000000000003</v>
      </c>
      <c r="W259">
        <f t="shared" si="252"/>
        <v>0.73</v>
      </c>
      <c r="X259">
        <f t="shared" si="229"/>
        <v>4.7000000000000002E-3</v>
      </c>
      <c r="Y259">
        <f t="shared" si="230"/>
        <v>0</v>
      </c>
      <c r="Z259">
        <v>0</v>
      </c>
      <c r="AA259">
        <f t="shared" si="243"/>
        <v>0</v>
      </c>
      <c r="AB259">
        <f t="shared" si="249"/>
        <v>1.3</v>
      </c>
      <c r="AC259">
        <f t="shared" si="231"/>
        <v>1</v>
      </c>
      <c r="AD259">
        <f t="shared" si="244"/>
        <v>0.51535000000000009</v>
      </c>
      <c r="AF259">
        <f>Tables!CC185</f>
        <v>1.8</v>
      </c>
      <c r="AG259">
        <f t="shared" si="245"/>
        <v>0.99846618932067555</v>
      </c>
      <c r="AH259">
        <f t="shared" si="246"/>
        <v>1.3486207988995054</v>
      </c>
      <c r="AI259">
        <f t="shared" si="247"/>
        <v>1.3465522699157941</v>
      </c>
      <c r="AJ259">
        <f t="shared" si="232"/>
        <v>0.17505179508905325</v>
      </c>
      <c r="AK259">
        <f t="shared" si="233"/>
        <v>0.08</v>
      </c>
      <c r="AL259">
        <f t="shared" si="234"/>
        <v>0.50031570188753161</v>
      </c>
      <c r="AM259">
        <f t="shared" si="235"/>
        <v>0.19</v>
      </c>
      <c r="AN259">
        <f t="shared" si="236"/>
        <v>0.6784</v>
      </c>
      <c r="AO259">
        <f t="shared" si="237"/>
        <v>3.9073698913288962E-4</v>
      </c>
      <c r="AP259">
        <f t="shared" si="238"/>
        <v>3.005811518366914E-4</v>
      </c>
      <c r="AQ259">
        <f t="shared" si="248"/>
        <v>6.9131814096958107E-4</v>
      </c>
      <c r="AR259">
        <f t="shared" si="239"/>
        <v>0.53577155925142539</v>
      </c>
    </row>
    <row r="260" spans="5:44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P260">
        <f>Tables!CC49</f>
        <v>0.1</v>
      </c>
      <c r="R260">
        <f>Tables!CC79</f>
        <v>0.6</v>
      </c>
      <c r="T260">
        <f>Tables!CC115</f>
        <v>60</v>
      </c>
      <c r="U260">
        <f t="shared" si="250"/>
        <v>8.2999999999999741E-3</v>
      </c>
      <c r="V260">
        <f t="shared" si="251"/>
        <v>0.99170000000000003</v>
      </c>
      <c r="W260">
        <f t="shared" si="252"/>
        <v>0.73</v>
      </c>
      <c r="X260">
        <f t="shared" si="229"/>
        <v>4.7000000000000002E-3</v>
      </c>
      <c r="Y260">
        <f t="shared" si="230"/>
        <v>0</v>
      </c>
      <c r="Z260">
        <v>0</v>
      </c>
      <c r="AA260">
        <f t="shared" si="243"/>
        <v>0</v>
      </c>
      <c r="AB260">
        <f t="shared" si="249"/>
        <v>1.3</v>
      </c>
      <c r="AC260">
        <f t="shared" si="231"/>
        <v>1</v>
      </c>
      <c r="AD260">
        <f t="shared" si="244"/>
        <v>0.47559999999999997</v>
      </c>
      <c r="AF260">
        <f>Tables!CC186</f>
        <v>1</v>
      </c>
      <c r="AG260">
        <f t="shared" si="245"/>
        <v>0.8646647167633873</v>
      </c>
      <c r="AH260">
        <f t="shared" si="246"/>
        <v>1.1472289977258807</v>
      </c>
      <c r="AI260">
        <f t="shared" si="247"/>
        <v>0.99196843638139331</v>
      </c>
      <c r="AJ260">
        <f t="shared" si="232"/>
        <v>9.919684363813934E-2</v>
      </c>
      <c r="AK260">
        <f t="shared" si="233"/>
        <v>0.08</v>
      </c>
      <c r="AL260">
        <f t="shared" si="234"/>
        <v>0.40125563532734443</v>
      </c>
      <c r="AM260">
        <f t="shared" si="235"/>
        <v>0.19</v>
      </c>
      <c r="AN260">
        <f t="shared" si="236"/>
        <v>0.6784</v>
      </c>
      <c r="AO260">
        <f t="shared" si="237"/>
        <v>3.1337297276281742E-4</v>
      </c>
      <c r="AP260">
        <f t="shared" si="238"/>
        <v>2.4106755113348225E-4</v>
      </c>
      <c r="AQ260">
        <f t="shared" si="248"/>
        <v>5.5444052389629962E-4</v>
      </c>
      <c r="AR260">
        <f t="shared" si="239"/>
        <v>0.36593074577155776</v>
      </c>
    </row>
    <row r="261" spans="5:44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P261">
        <f>Tables!CC49</f>
        <v>0.1</v>
      </c>
      <c r="R261">
        <f>Tables!CC79</f>
        <v>0.6</v>
      </c>
      <c r="T261">
        <f>Tables!CC115</f>
        <v>60</v>
      </c>
      <c r="U261">
        <f t="shared" si="250"/>
        <v>8.2999999999999741E-3</v>
      </c>
      <c r="V261">
        <f t="shared" si="251"/>
        <v>0.99170000000000003</v>
      </c>
      <c r="W261">
        <f t="shared" si="252"/>
        <v>0.73</v>
      </c>
      <c r="X261">
        <f t="shared" si="229"/>
        <v>4.7000000000000002E-3</v>
      </c>
      <c r="Y261">
        <f t="shared" si="230"/>
        <v>0</v>
      </c>
      <c r="Z261">
        <v>0</v>
      </c>
      <c r="AA261">
        <f t="shared" si="243"/>
        <v>0</v>
      </c>
      <c r="AB261">
        <f t="shared" si="249"/>
        <v>1.3</v>
      </c>
      <c r="AC261">
        <f t="shared" si="231"/>
        <v>1</v>
      </c>
      <c r="AD261">
        <f t="shared" si="244"/>
        <v>0.47559999999999997</v>
      </c>
      <c r="AF261">
        <f>Tables!CC186</f>
        <v>1</v>
      </c>
      <c r="AG261">
        <f t="shared" si="245"/>
        <v>0.8646647167633873</v>
      </c>
      <c r="AH261">
        <f t="shared" si="246"/>
        <v>1.1472289977258807</v>
      </c>
      <c r="AI261">
        <f t="shared" si="247"/>
        <v>0.99196843638139331</v>
      </c>
      <c r="AJ261">
        <f t="shared" si="232"/>
        <v>9.919684363813934E-2</v>
      </c>
      <c r="AK261">
        <f t="shared" si="233"/>
        <v>0.08</v>
      </c>
      <c r="AL261">
        <f t="shared" si="234"/>
        <v>0.40125563532734443</v>
      </c>
      <c r="AM261">
        <f t="shared" si="235"/>
        <v>0.19</v>
      </c>
      <c r="AN261">
        <f t="shared" si="236"/>
        <v>0.6784</v>
      </c>
      <c r="AO261">
        <f t="shared" si="237"/>
        <v>3.1337297276281742E-4</v>
      </c>
      <c r="AP261">
        <f t="shared" si="238"/>
        <v>2.4106755113348225E-4</v>
      </c>
      <c r="AQ261">
        <f t="shared" si="248"/>
        <v>5.5444052389629962E-4</v>
      </c>
      <c r="AR261">
        <f t="shared" si="239"/>
        <v>0.37812843729727635</v>
      </c>
    </row>
    <row r="262" spans="5:44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P262">
        <f>Tables!CC49</f>
        <v>0.1</v>
      </c>
      <c r="R262">
        <f>Tables!CC79</f>
        <v>0.6</v>
      </c>
      <c r="T262">
        <f>Tables!CC115</f>
        <v>60</v>
      </c>
      <c r="U262">
        <f t="shared" si="250"/>
        <v>8.2999999999999741E-3</v>
      </c>
      <c r="V262">
        <f t="shared" si="251"/>
        <v>0.99170000000000003</v>
      </c>
      <c r="W262">
        <f t="shared" si="252"/>
        <v>0.73</v>
      </c>
      <c r="X262">
        <f t="shared" si="229"/>
        <v>4.7000000000000002E-3</v>
      </c>
      <c r="Y262">
        <f t="shared" si="230"/>
        <v>0</v>
      </c>
      <c r="Z262">
        <v>0</v>
      </c>
      <c r="AA262">
        <f t="shared" si="243"/>
        <v>0</v>
      </c>
      <c r="AB262">
        <f t="shared" si="249"/>
        <v>1.3</v>
      </c>
      <c r="AC262">
        <f t="shared" si="231"/>
        <v>1</v>
      </c>
      <c r="AD262">
        <f t="shared" si="244"/>
        <v>0.47559999999999997</v>
      </c>
      <c r="AF262">
        <f>Tables!CC186</f>
        <v>1</v>
      </c>
      <c r="AG262">
        <f t="shared" si="245"/>
        <v>0.8646647167633873</v>
      </c>
      <c r="AH262">
        <f t="shared" si="246"/>
        <v>1.1472289977258807</v>
      </c>
      <c r="AI262">
        <f t="shared" si="247"/>
        <v>0.99196843638139331</v>
      </c>
      <c r="AJ262">
        <f t="shared" si="232"/>
        <v>9.919684363813934E-2</v>
      </c>
      <c r="AK262">
        <f t="shared" si="233"/>
        <v>0.08</v>
      </c>
      <c r="AL262">
        <f t="shared" si="234"/>
        <v>0.40125563532734443</v>
      </c>
      <c r="AM262">
        <f t="shared" si="235"/>
        <v>0.19</v>
      </c>
      <c r="AN262">
        <f t="shared" si="236"/>
        <v>0.6784</v>
      </c>
      <c r="AO262">
        <f t="shared" si="237"/>
        <v>3.1337297276281742E-4</v>
      </c>
      <c r="AP262">
        <f t="shared" si="238"/>
        <v>2.4106755113348225E-4</v>
      </c>
      <c r="AQ262">
        <f t="shared" si="248"/>
        <v>5.5444052389629962E-4</v>
      </c>
      <c r="AR262">
        <f t="shared" si="239"/>
        <v>0.34375312481570575</v>
      </c>
    </row>
    <row r="263" spans="5:44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P263">
        <f>Tables!CC46</f>
        <v>0.16</v>
      </c>
      <c r="R263">
        <f>Tables!CC76</f>
        <v>0.7</v>
      </c>
      <c r="T263">
        <f>Tables!CC112</f>
        <v>70</v>
      </c>
      <c r="U263">
        <f t="shared" si="250"/>
        <v>8.2999999999999741E-3</v>
      </c>
      <c r="V263">
        <f t="shared" si="251"/>
        <v>0.99170000000000003</v>
      </c>
      <c r="W263">
        <f t="shared" si="252"/>
        <v>0.73</v>
      </c>
      <c r="X263">
        <f t="shared" si="229"/>
        <v>4.7000000000000002E-3</v>
      </c>
      <c r="Y263">
        <f t="shared" si="230"/>
        <v>0</v>
      </c>
      <c r="Z263">
        <v>0</v>
      </c>
      <c r="AA263">
        <f t="shared" si="243"/>
        <v>0</v>
      </c>
      <c r="AB263">
        <f t="shared" si="249"/>
        <v>1.3</v>
      </c>
      <c r="AC263">
        <f t="shared" si="231"/>
        <v>1</v>
      </c>
      <c r="AD263">
        <f t="shared" si="244"/>
        <v>0.55510000000000004</v>
      </c>
      <c r="AF263">
        <f>Tables!CC183</f>
        <v>3.2</v>
      </c>
      <c r="AG263">
        <f t="shared" si="245"/>
        <v>0.99999999872459233</v>
      </c>
      <c r="AH263">
        <f t="shared" si="246"/>
        <v>1.5635664662315347</v>
      </c>
      <c r="AI263">
        <f t="shared" si="247"/>
        <v>1.5635664642373501</v>
      </c>
      <c r="AJ263">
        <f t="shared" si="232"/>
        <v>0.25017063427797603</v>
      </c>
      <c r="AK263">
        <f t="shared" si="233"/>
        <v>0.08</v>
      </c>
      <c r="AL263">
        <f t="shared" si="234"/>
        <v>0.52151077937113577</v>
      </c>
      <c r="AM263">
        <f t="shared" si="235"/>
        <v>0.19</v>
      </c>
      <c r="AN263">
        <f t="shared" si="236"/>
        <v>0.6784</v>
      </c>
      <c r="AO263">
        <f t="shared" si="237"/>
        <v>4.0728993905858168E-4</v>
      </c>
      <c r="AP263">
        <f t="shared" si="238"/>
        <v>3.133147933739338E-4</v>
      </c>
      <c r="AQ263">
        <f t="shared" si="248"/>
        <v>7.2060473243251548E-4</v>
      </c>
      <c r="AR263">
        <f t="shared" si="239"/>
        <v>0.38912655551355835</v>
      </c>
    </row>
    <row r="264" spans="5:44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P264">
        <f>Tables!CC46</f>
        <v>0.16</v>
      </c>
      <c r="R264">
        <f>Tables!CC76</f>
        <v>0.7</v>
      </c>
      <c r="T264">
        <f>Tables!CC112</f>
        <v>70</v>
      </c>
      <c r="U264">
        <f t="shared" si="250"/>
        <v>8.2999999999999741E-3</v>
      </c>
      <c r="V264">
        <f t="shared" si="251"/>
        <v>0.99170000000000003</v>
      </c>
      <c r="W264">
        <f t="shared" si="252"/>
        <v>0.73</v>
      </c>
      <c r="X264">
        <f t="shared" si="229"/>
        <v>4.7000000000000002E-3</v>
      </c>
      <c r="Y264">
        <f t="shared" si="230"/>
        <v>0</v>
      </c>
      <c r="Z264">
        <v>0</v>
      </c>
      <c r="AA264">
        <f t="shared" si="243"/>
        <v>0</v>
      </c>
      <c r="AB264">
        <f t="shared" si="249"/>
        <v>1.3</v>
      </c>
      <c r="AC264">
        <f t="shared" si="231"/>
        <v>1</v>
      </c>
      <c r="AD264">
        <f t="shared" si="244"/>
        <v>0.55510000000000004</v>
      </c>
      <c r="AF264">
        <f>Tables!CC183</f>
        <v>3.2</v>
      </c>
      <c r="AG264">
        <f t="shared" si="245"/>
        <v>0.99999999872459233</v>
      </c>
      <c r="AH264">
        <f t="shared" si="246"/>
        <v>1.5635664662315347</v>
      </c>
      <c r="AI264">
        <f t="shared" si="247"/>
        <v>1.5635664642373501</v>
      </c>
      <c r="AJ264">
        <f t="shared" si="232"/>
        <v>0.25017063427797603</v>
      </c>
      <c r="AK264">
        <f t="shared" si="233"/>
        <v>0.08</v>
      </c>
      <c r="AL264">
        <f t="shared" si="234"/>
        <v>0.52151077937113577</v>
      </c>
      <c r="AM264">
        <f t="shared" si="235"/>
        <v>0.19</v>
      </c>
      <c r="AN264">
        <f t="shared" si="236"/>
        <v>0.6784</v>
      </c>
      <c r="AO264">
        <f t="shared" si="237"/>
        <v>4.0728993905858168E-4</v>
      </c>
      <c r="AP264">
        <f t="shared" si="238"/>
        <v>3.133147933739338E-4</v>
      </c>
      <c r="AQ264">
        <f t="shared" si="248"/>
        <v>7.2060473243251548E-4</v>
      </c>
      <c r="AR264">
        <f t="shared" si="239"/>
        <v>0.40209744069734366</v>
      </c>
    </row>
    <row r="265" spans="5:44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P265">
        <f>Tables!CC46</f>
        <v>0.16</v>
      </c>
      <c r="R265">
        <f>Tables!CC76</f>
        <v>0.7</v>
      </c>
      <c r="T265">
        <f>Tables!CC112</f>
        <v>70</v>
      </c>
      <c r="U265">
        <f t="shared" si="250"/>
        <v>8.2999999999999741E-3</v>
      </c>
      <c r="V265">
        <f t="shared" si="251"/>
        <v>0.99170000000000003</v>
      </c>
      <c r="W265">
        <f t="shared" si="252"/>
        <v>0.73</v>
      </c>
      <c r="X265">
        <f t="shared" si="229"/>
        <v>4.7000000000000002E-3</v>
      </c>
      <c r="Y265">
        <f t="shared" si="230"/>
        <v>0</v>
      </c>
      <c r="Z265">
        <v>0</v>
      </c>
      <c r="AA265">
        <f t="shared" si="243"/>
        <v>0</v>
      </c>
      <c r="AB265">
        <f t="shared" si="249"/>
        <v>1.3</v>
      </c>
      <c r="AC265">
        <f t="shared" si="231"/>
        <v>1</v>
      </c>
      <c r="AD265">
        <f t="shared" si="244"/>
        <v>0.55510000000000004</v>
      </c>
      <c r="AF265">
        <f>Tables!CC183</f>
        <v>3.2</v>
      </c>
      <c r="AG265">
        <f t="shared" si="245"/>
        <v>0.99999999872459233</v>
      </c>
      <c r="AH265">
        <f t="shared" si="246"/>
        <v>1.5635664662315347</v>
      </c>
      <c r="AI265">
        <f t="shared" si="247"/>
        <v>1.5635664642373501</v>
      </c>
      <c r="AJ265">
        <f t="shared" si="232"/>
        <v>0.25017063427797603</v>
      </c>
      <c r="AK265">
        <f t="shared" si="233"/>
        <v>0.08</v>
      </c>
      <c r="AL265">
        <f t="shared" si="234"/>
        <v>0.52151077937113577</v>
      </c>
      <c r="AM265">
        <f t="shared" si="235"/>
        <v>0.19</v>
      </c>
      <c r="AN265">
        <f t="shared" si="236"/>
        <v>0.6784</v>
      </c>
      <c r="AO265">
        <f t="shared" si="237"/>
        <v>4.0728993905858168E-4</v>
      </c>
      <c r="AP265">
        <f t="shared" si="238"/>
        <v>3.133147933739338E-4</v>
      </c>
      <c r="AQ265">
        <f t="shared" si="248"/>
        <v>7.2060473243251548E-4</v>
      </c>
      <c r="AR265">
        <f t="shared" si="239"/>
        <v>0.41074469748653381</v>
      </c>
    </row>
    <row r="266" spans="5:44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250"/>
        <v>8.2999999999999741E-3</v>
      </c>
      <c r="V266">
        <f t="shared" si="251"/>
        <v>0.99170000000000003</v>
      </c>
      <c r="W266">
        <f t="shared" si="252"/>
        <v>0.73</v>
      </c>
      <c r="X266">
        <f t="shared" si="229"/>
        <v>4.7000000000000002E-3</v>
      </c>
      <c r="Y266">
        <f t="shared" si="230"/>
        <v>0</v>
      </c>
      <c r="Z266">
        <v>0</v>
      </c>
      <c r="AA266">
        <f t="shared" si="243"/>
        <v>0</v>
      </c>
      <c r="AB266">
        <f t="shared" si="249"/>
        <v>1.3</v>
      </c>
      <c r="AC266">
        <f t="shared" si="231"/>
        <v>1</v>
      </c>
      <c r="AD266">
        <f t="shared" si="244"/>
        <v>0.43585000000000007</v>
      </c>
      <c r="AF266">
        <f>Tables!CC184</f>
        <v>3</v>
      </c>
      <c r="AG266">
        <f t="shared" si="245"/>
        <v>0.99999998477002028</v>
      </c>
      <c r="AH266">
        <f t="shared" si="246"/>
        <v>1.1580752413958724</v>
      </c>
      <c r="AI266">
        <f t="shared" si="247"/>
        <v>1.15807522375841</v>
      </c>
      <c r="AJ266">
        <f t="shared" si="232"/>
        <v>8.1065265663088706E-2</v>
      </c>
      <c r="AK266">
        <f t="shared" si="233"/>
        <v>0.08</v>
      </c>
      <c r="AL266">
        <f t="shared" si="234"/>
        <v>0.52879702927487948</v>
      </c>
      <c r="AM266">
        <f t="shared" si="235"/>
        <v>0.19</v>
      </c>
      <c r="AN266">
        <f t="shared" si="236"/>
        <v>0.6784</v>
      </c>
      <c r="AO266">
        <f t="shared" si="237"/>
        <v>4.1298036080372741E-4</v>
      </c>
      <c r="AP266">
        <f t="shared" si="238"/>
        <v>3.1769224820969987E-4</v>
      </c>
      <c r="AQ266">
        <f t="shared" si="248"/>
        <v>7.3067260901342728E-4</v>
      </c>
      <c r="AR266">
        <f t="shared" si="239"/>
        <v>0.45301701758832491</v>
      </c>
    </row>
    <row r="267" spans="5:44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250"/>
        <v>8.2999999999999741E-3</v>
      </c>
      <c r="V267">
        <f t="shared" si="251"/>
        <v>0.99170000000000003</v>
      </c>
      <c r="W267">
        <f t="shared" si="252"/>
        <v>0.73</v>
      </c>
      <c r="X267">
        <f t="shared" si="229"/>
        <v>4.7000000000000002E-3</v>
      </c>
      <c r="Y267">
        <f t="shared" si="230"/>
        <v>0</v>
      </c>
      <c r="Z267">
        <v>0</v>
      </c>
      <c r="AA267">
        <f t="shared" si="243"/>
        <v>0</v>
      </c>
      <c r="AB267">
        <f t="shared" si="249"/>
        <v>1.3</v>
      </c>
      <c r="AC267">
        <f t="shared" si="231"/>
        <v>1</v>
      </c>
      <c r="AD267">
        <f t="shared" si="244"/>
        <v>0.43585000000000007</v>
      </c>
      <c r="AF267">
        <f>Tables!CC188</f>
        <v>3</v>
      </c>
      <c r="AG267">
        <f t="shared" si="245"/>
        <v>0.99999998477002028</v>
      </c>
      <c r="AH267">
        <f t="shared" si="246"/>
        <v>0.95969823125361531</v>
      </c>
      <c r="AI267">
        <f t="shared" si="247"/>
        <v>0.95969821663743071</v>
      </c>
      <c r="AJ267">
        <f t="shared" si="232"/>
        <v>6.717887516462015E-2</v>
      </c>
      <c r="AK267">
        <f t="shared" si="233"/>
        <v>0.08</v>
      </c>
      <c r="AL267">
        <f t="shared" si="234"/>
        <v>0.43120862223412426</v>
      </c>
      <c r="AM267">
        <f t="shared" si="235"/>
        <v>0.19</v>
      </c>
      <c r="AN267">
        <f t="shared" si="236"/>
        <v>0.6784</v>
      </c>
      <c r="AO267">
        <f t="shared" si="237"/>
        <v>3.3676568235665495E-4</v>
      </c>
      <c r="AP267">
        <f t="shared" si="238"/>
        <v>2.5906279547904771E-4</v>
      </c>
      <c r="AQ267">
        <f t="shared" si="248"/>
        <v>5.9582847783570272E-4</v>
      </c>
      <c r="AR267">
        <f t="shared" si="239"/>
        <v>1.4776546250325429</v>
      </c>
    </row>
    <row r="268" spans="5:44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250"/>
        <v>8.2999999999999741E-3</v>
      </c>
      <c r="V268">
        <f t="shared" si="251"/>
        <v>0.99170000000000003</v>
      </c>
      <c r="W268">
        <f t="shared" si="252"/>
        <v>0.73</v>
      </c>
      <c r="X268">
        <f t="shared" si="229"/>
        <v>4.7000000000000002E-3</v>
      </c>
      <c r="Y268">
        <f t="shared" si="230"/>
        <v>0</v>
      </c>
      <c r="Z268">
        <v>0</v>
      </c>
      <c r="AA268">
        <f t="shared" si="243"/>
        <v>0</v>
      </c>
      <c r="AB268">
        <f t="shared" si="249"/>
        <v>1.3</v>
      </c>
      <c r="AC268">
        <f t="shared" si="231"/>
        <v>1</v>
      </c>
      <c r="AD268">
        <f t="shared" si="244"/>
        <v>0.43585000000000007</v>
      </c>
      <c r="AF268">
        <f>Tables!CC188</f>
        <v>3</v>
      </c>
      <c r="AG268">
        <f t="shared" si="245"/>
        <v>0.99999998477002028</v>
      </c>
      <c r="AH268">
        <f t="shared" si="246"/>
        <v>0.95969823125361531</v>
      </c>
      <c r="AI268">
        <f t="shared" si="247"/>
        <v>0.95969821663743071</v>
      </c>
      <c r="AJ268">
        <f t="shared" si="232"/>
        <v>6.717887516462015E-2</v>
      </c>
      <c r="AK268">
        <f t="shared" si="233"/>
        <v>0.08</v>
      </c>
      <c r="AL268">
        <f t="shared" si="234"/>
        <v>0.43120862223412426</v>
      </c>
      <c r="AM268">
        <f t="shared" si="235"/>
        <v>0.19</v>
      </c>
      <c r="AN268">
        <f t="shared" si="236"/>
        <v>0.6784</v>
      </c>
      <c r="AO268">
        <f t="shared" si="237"/>
        <v>3.3676568235665495E-4</v>
      </c>
      <c r="AP268">
        <f t="shared" si="238"/>
        <v>2.5906279547904771E-4</v>
      </c>
      <c r="AQ268">
        <f t="shared" si="248"/>
        <v>5.9582847783570272E-4</v>
      </c>
      <c r="AR268">
        <f t="shared" si="239"/>
        <v>1.3346557903519742</v>
      </c>
    </row>
    <row r="269" spans="5:44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P269">
        <f>Tables!CC60</f>
        <v>0.13</v>
      </c>
      <c r="R269">
        <f>Tables!CC90</f>
        <v>0.65</v>
      </c>
      <c r="T269">
        <f>Tables!CC118</f>
        <v>52</v>
      </c>
      <c r="U269">
        <f t="shared" si="250"/>
        <v>8.2999999999999741E-3</v>
      </c>
      <c r="V269">
        <f t="shared" si="251"/>
        <v>0.99170000000000003</v>
      </c>
      <c r="W269">
        <f t="shared" si="252"/>
        <v>0.73</v>
      </c>
      <c r="X269">
        <f t="shared" si="229"/>
        <v>4.7000000000000002E-3</v>
      </c>
      <c r="Y269">
        <f t="shared" si="230"/>
        <v>0</v>
      </c>
      <c r="Z269">
        <v>0</v>
      </c>
      <c r="AA269">
        <f t="shared" si="243"/>
        <v>0</v>
      </c>
      <c r="AB269">
        <f t="shared" si="249"/>
        <v>1.3</v>
      </c>
      <c r="AC269">
        <f t="shared" si="231"/>
        <v>1</v>
      </c>
      <c r="AD269">
        <f t="shared" si="244"/>
        <v>0.51535000000000009</v>
      </c>
      <c r="AF269">
        <f>Tables!CC189</f>
        <v>1.8</v>
      </c>
      <c r="AG269">
        <f t="shared" si="245"/>
        <v>0.99846618932067555</v>
      </c>
      <c r="AH269">
        <f t="shared" si="246"/>
        <v>1.0635112555960096</v>
      </c>
      <c r="AI269">
        <f t="shared" si="247"/>
        <v>1.0618800306745946</v>
      </c>
      <c r="AJ269">
        <f t="shared" si="232"/>
        <v>0.1380444039876973</v>
      </c>
      <c r="AK269">
        <f t="shared" si="233"/>
        <v>0.08</v>
      </c>
      <c r="AL269">
        <f t="shared" si="234"/>
        <v>0.383420652420493</v>
      </c>
      <c r="AM269">
        <f t="shared" si="235"/>
        <v>0.19</v>
      </c>
      <c r="AN269">
        <f t="shared" si="236"/>
        <v>0.6784</v>
      </c>
      <c r="AO269">
        <f t="shared" si="237"/>
        <v>2.9944419240279937E-4</v>
      </c>
      <c r="AP269">
        <f t="shared" si="238"/>
        <v>2.3035259718559638E-4</v>
      </c>
      <c r="AQ269">
        <f t="shared" si="248"/>
        <v>5.2979678958839577E-4</v>
      </c>
      <c r="AR269">
        <f t="shared" si="239"/>
        <v>1.2810486372247409</v>
      </c>
    </row>
    <row r="270" spans="5:44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P270">
        <f>Tables!CC60</f>
        <v>0.13</v>
      </c>
      <c r="R270">
        <f>Tables!CC90</f>
        <v>0.65</v>
      </c>
      <c r="T270">
        <f>Tables!CC118</f>
        <v>52</v>
      </c>
      <c r="U270">
        <f t="shared" si="250"/>
        <v>8.2999999999999741E-3</v>
      </c>
      <c r="V270">
        <f t="shared" si="251"/>
        <v>0.99170000000000003</v>
      </c>
      <c r="W270">
        <f t="shared" si="252"/>
        <v>0.73</v>
      </c>
      <c r="X270">
        <f t="shared" si="229"/>
        <v>4.7000000000000002E-3</v>
      </c>
      <c r="Y270">
        <f t="shared" si="230"/>
        <v>0</v>
      </c>
      <c r="Z270">
        <v>0</v>
      </c>
      <c r="AA270">
        <f t="shared" si="243"/>
        <v>0</v>
      </c>
      <c r="AB270">
        <f t="shared" si="249"/>
        <v>1.3</v>
      </c>
      <c r="AC270">
        <f t="shared" si="231"/>
        <v>1</v>
      </c>
      <c r="AD270">
        <f t="shared" si="244"/>
        <v>0.51535000000000009</v>
      </c>
      <c r="AF270">
        <f>Tables!CC189</f>
        <v>1.8</v>
      </c>
      <c r="AG270">
        <f t="shared" si="245"/>
        <v>0.99846618932067555</v>
      </c>
      <c r="AH270">
        <f t="shared" si="246"/>
        <v>1.0635112555960096</v>
      </c>
      <c r="AI270">
        <f t="shared" si="247"/>
        <v>1.0618800306745946</v>
      </c>
      <c r="AJ270">
        <f t="shared" si="232"/>
        <v>0.1380444039876973</v>
      </c>
      <c r="AK270">
        <f t="shared" si="233"/>
        <v>0.08</v>
      </c>
      <c r="AL270">
        <f t="shared" si="234"/>
        <v>0.383420652420493</v>
      </c>
      <c r="AM270">
        <f t="shared" si="235"/>
        <v>0.19</v>
      </c>
      <c r="AN270">
        <f t="shared" si="236"/>
        <v>0.6784</v>
      </c>
      <c r="AO270">
        <f t="shared" si="237"/>
        <v>2.9944419240279937E-4</v>
      </c>
      <c r="AP270">
        <f t="shared" si="238"/>
        <v>2.3035259718559638E-4</v>
      </c>
      <c r="AQ270">
        <f t="shared" si="248"/>
        <v>5.2979678958839577E-4</v>
      </c>
      <c r="AR270">
        <f t="shared" si="239"/>
        <v>1.2397244876368461</v>
      </c>
    </row>
    <row r="271" spans="5:44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P271">
        <f>Tables!CC60</f>
        <v>0.13</v>
      </c>
      <c r="R271">
        <f>Tables!CC90</f>
        <v>0.65</v>
      </c>
      <c r="T271">
        <f>Tables!CC118</f>
        <v>52</v>
      </c>
      <c r="U271">
        <f t="shared" si="250"/>
        <v>8.2999999999999741E-3</v>
      </c>
      <c r="V271">
        <f t="shared" si="251"/>
        <v>0.99170000000000003</v>
      </c>
      <c r="W271">
        <f t="shared" si="252"/>
        <v>0.73</v>
      </c>
      <c r="X271">
        <f t="shared" si="229"/>
        <v>4.7000000000000002E-3</v>
      </c>
      <c r="Y271">
        <f t="shared" si="230"/>
        <v>0</v>
      </c>
      <c r="Z271">
        <v>0</v>
      </c>
      <c r="AA271">
        <f t="shared" si="243"/>
        <v>0</v>
      </c>
      <c r="AB271">
        <f t="shared" si="249"/>
        <v>1.3</v>
      </c>
      <c r="AC271">
        <f t="shared" si="231"/>
        <v>1</v>
      </c>
      <c r="AD271">
        <f t="shared" si="244"/>
        <v>0.51535000000000009</v>
      </c>
      <c r="AF271">
        <f>Tables!CC189</f>
        <v>1.8</v>
      </c>
      <c r="AG271">
        <f t="shared" si="245"/>
        <v>0.99846618932067555</v>
      </c>
      <c r="AH271">
        <f t="shared" si="246"/>
        <v>1.0635112555960096</v>
      </c>
      <c r="AI271">
        <f t="shared" si="247"/>
        <v>1.0618800306745946</v>
      </c>
      <c r="AJ271">
        <f t="shared" si="232"/>
        <v>0.1380444039876973</v>
      </c>
      <c r="AK271">
        <f t="shared" si="233"/>
        <v>0.08</v>
      </c>
      <c r="AL271">
        <f t="shared" si="234"/>
        <v>0.383420652420493</v>
      </c>
      <c r="AM271">
        <f t="shared" si="235"/>
        <v>0.19</v>
      </c>
      <c r="AN271">
        <f t="shared" si="236"/>
        <v>0.6784</v>
      </c>
      <c r="AO271">
        <f t="shared" si="237"/>
        <v>2.9944419240279937E-4</v>
      </c>
      <c r="AP271">
        <f t="shared" si="238"/>
        <v>2.3035259718559638E-4</v>
      </c>
      <c r="AQ271">
        <f t="shared" si="248"/>
        <v>5.2979678958839577E-4</v>
      </c>
      <c r="AR271">
        <f t="shared" si="239"/>
        <v>1.2482012362702606</v>
      </c>
    </row>
    <row r="272" spans="5:44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P272">
        <f>Tables!CC61</f>
        <v>0.1</v>
      </c>
      <c r="R272">
        <f>Tables!CC91</f>
        <v>0.6</v>
      </c>
      <c r="T272">
        <f>Tables!CC119</f>
        <v>50</v>
      </c>
      <c r="U272">
        <f t="shared" si="250"/>
        <v>8.2999999999999741E-3</v>
      </c>
      <c r="V272">
        <f t="shared" si="251"/>
        <v>0.99170000000000003</v>
      </c>
      <c r="W272">
        <f t="shared" si="252"/>
        <v>0.73</v>
      </c>
      <c r="X272">
        <f t="shared" si="229"/>
        <v>4.7000000000000002E-3</v>
      </c>
      <c r="Y272">
        <f t="shared" si="230"/>
        <v>0</v>
      </c>
      <c r="Z272">
        <v>0</v>
      </c>
      <c r="AA272">
        <f t="shared" si="243"/>
        <v>0</v>
      </c>
      <c r="AB272">
        <f t="shared" si="249"/>
        <v>1.3</v>
      </c>
      <c r="AC272">
        <f t="shared" si="231"/>
        <v>1</v>
      </c>
      <c r="AD272">
        <f t="shared" si="244"/>
        <v>0.47559999999999997</v>
      </c>
      <c r="AF272">
        <f>Tables!CC190</f>
        <v>1</v>
      </c>
      <c r="AG272">
        <f t="shared" si="245"/>
        <v>0.8646647167633873</v>
      </c>
      <c r="AH272">
        <f t="shared" si="246"/>
        <v>0.94288322747903475</v>
      </c>
      <c r="AI272">
        <f t="shared" si="247"/>
        <v>0.81527785882910808</v>
      </c>
      <c r="AJ272">
        <f t="shared" si="232"/>
        <v>8.1527785882910819E-2</v>
      </c>
      <c r="AK272">
        <f t="shared" si="233"/>
        <v>0.08</v>
      </c>
      <c r="AL272">
        <f t="shared" si="234"/>
        <v>0.32448240197428052</v>
      </c>
      <c r="AM272">
        <f t="shared" si="235"/>
        <v>0.19</v>
      </c>
      <c r="AN272">
        <f t="shared" si="236"/>
        <v>0.6784</v>
      </c>
      <c r="AO272">
        <f t="shared" si="237"/>
        <v>2.5341454664666813E-4</v>
      </c>
      <c r="AP272">
        <f t="shared" si="238"/>
        <v>1.9494350021037423E-4</v>
      </c>
      <c r="AQ272">
        <f t="shared" si="248"/>
        <v>4.4835804685704238E-4</v>
      </c>
      <c r="AR272">
        <f t="shared" si="239"/>
        <v>1.2105667265140145</v>
      </c>
    </row>
    <row r="273" spans="6:44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P273">
        <f>Tables!CC61</f>
        <v>0.1</v>
      </c>
      <c r="R273">
        <f>Tables!CC91</f>
        <v>0.6</v>
      </c>
      <c r="T273">
        <f>Tables!CC119</f>
        <v>50</v>
      </c>
      <c r="U273">
        <f t="shared" si="250"/>
        <v>8.2999999999999741E-3</v>
      </c>
      <c r="V273">
        <f t="shared" si="251"/>
        <v>0.99170000000000003</v>
      </c>
      <c r="W273">
        <f t="shared" si="252"/>
        <v>0.73</v>
      </c>
      <c r="X273">
        <f t="shared" si="229"/>
        <v>4.7000000000000002E-3</v>
      </c>
      <c r="Y273">
        <f t="shared" si="230"/>
        <v>0</v>
      </c>
      <c r="Z273">
        <v>0</v>
      </c>
      <c r="AA273">
        <f t="shared" si="243"/>
        <v>0</v>
      </c>
      <c r="AB273">
        <f t="shared" si="249"/>
        <v>1.3</v>
      </c>
      <c r="AC273">
        <f t="shared" si="231"/>
        <v>1</v>
      </c>
      <c r="AD273">
        <f t="shared" si="244"/>
        <v>0.47559999999999997</v>
      </c>
      <c r="AF273">
        <f>Tables!CC190</f>
        <v>1</v>
      </c>
      <c r="AG273">
        <f t="shared" si="245"/>
        <v>0.8646647167633873</v>
      </c>
      <c r="AH273">
        <f t="shared" si="246"/>
        <v>0.94288322747903475</v>
      </c>
      <c r="AI273">
        <f t="shared" si="247"/>
        <v>0.81527785882910808</v>
      </c>
      <c r="AJ273">
        <f t="shared" si="232"/>
        <v>8.1527785882910819E-2</v>
      </c>
      <c r="AK273">
        <f t="shared" si="233"/>
        <v>0.08</v>
      </c>
      <c r="AL273">
        <f t="shared" si="234"/>
        <v>0.32448240197428052</v>
      </c>
      <c r="AM273">
        <f t="shared" si="235"/>
        <v>0.19</v>
      </c>
      <c r="AN273">
        <f t="shared" si="236"/>
        <v>0.6784</v>
      </c>
      <c r="AO273">
        <f t="shared" si="237"/>
        <v>2.5341454664666813E-4</v>
      </c>
      <c r="AP273">
        <f t="shared" si="238"/>
        <v>1.9494350021037423E-4</v>
      </c>
      <c r="AQ273">
        <f t="shared" si="248"/>
        <v>4.4835804685704238E-4</v>
      </c>
      <c r="AR273">
        <f t="shared" si="239"/>
        <v>1.2509189507311482</v>
      </c>
    </row>
    <row r="274" spans="6:44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P274">
        <f>Tables!CC61</f>
        <v>0.1</v>
      </c>
      <c r="R274">
        <f>Tables!CC91</f>
        <v>0.6</v>
      </c>
      <c r="T274">
        <f>Tables!CC119</f>
        <v>50</v>
      </c>
      <c r="U274">
        <f t="shared" si="250"/>
        <v>8.2999999999999741E-3</v>
      </c>
      <c r="V274">
        <f t="shared" si="251"/>
        <v>0.99170000000000003</v>
      </c>
      <c r="W274">
        <f t="shared" si="252"/>
        <v>0.73</v>
      </c>
      <c r="X274">
        <f t="shared" si="229"/>
        <v>4.7000000000000002E-3</v>
      </c>
      <c r="Y274">
        <f t="shared" si="230"/>
        <v>0</v>
      </c>
      <c r="Z274">
        <v>0</v>
      </c>
      <c r="AA274">
        <f t="shared" si="243"/>
        <v>0</v>
      </c>
      <c r="AB274">
        <f t="shared" si="249"/>
        <v>1.3</v>
      </c>
      <c r="AC274">
        <f t="shared" si="231"/>
        <v>1</v>
      </c>
      <c r="AD274">
        <f t="shared" si="244"/>
        <v>0.47559999999999997</v>
      </c>
      <c r="AF274">
        <f>Tables!CC190</f>
        <v>1</v>
      </c>
      <c r="AG274">
        <f t="shared" si="245"/>
        <v>0.8646647167633873</v>
      </c>
      <c r="AH274">
        <f t="shared" si="246"/>
        <v>0.94288322747903475</v>
      </c>
      <c r="AI274">
        <f t="shared" si="247"/>
        <v>0.81527785882910808</v>
      </c>
      <c r="AJ274">
        <f t="shared" si="232"/>
        <v>8.1527785882910819E-2</v>
      </c>
      <c r="AK274">
        <f t="shared" si="233"/>
        <v>0.08</v>
      </c>
      <c r="AL274">
        <f t="shared" si="234"/>
        <v>0.32448240197428052</v>
      </c>
      <c r="AM274">
        <f t="shared" si="235"/>
        <v>0.19</v>
      </c>
      <c r="AN274">
        <f t="shared" si="236"/>
        <v>0.6784</v>
      </c>
      <c r="AO274">
        <f t="shared" si="237"/>
        <v>2.5341454664666813E-4</v>
      </c>
      <c r="AP274">
        <f t="shared" si="238"/>
        <v>1.9494350021037423E-4</v>
      </c>
      <c r="AQ274">
        <f t="shared" si="248"/>
        <v>4.4835804685704238E-4</v>
      </c>
      <c r="AR274">
        <f t="shared" si="239"/>
        <v>1.1814234534683066</v>
      </c>
    </row>
    <row r="275" spans="6:44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1"/>
      <c r="N275" s="1"/>
      <c r="O275" s="1"/>
      <c r="P275">
        <f>Tables!CC58</f>
        <v>0.16</v>
      </c>
      <c r="R275">
        <f>Tables!CC88</f>
        <v>0.7</v>
      </c>
      <c r="T275">
        <f>Tables!CC116</f>
        <v>60</v>
      </c>
      <c r="U275">
        <f t="shared" si="250"/>
        <v>8.2999999999999741E-3</v>
      </c>
      <c r="V275">
        <f t="shared" si="251"/>
        <v>0.99170000000000003</v>
      </c>
      <c r="W275">
        <f t="shared" si="252"/>
        <v>0.73</v>
      </c>
      <c r="X275">
        <f t="shared" si="229"/>
        <v>4.7000000000000002E-3</v>
      </c>
      <c r="Y275">
        <f t="shared" si="230"/>
        <v>0</v>
      </c>
      <c r="Z275">
        <v>0</v>
      </c>
      <c r="AA275">
        <f t="shared" si="243"/>
        <v>0</v>
      </c>
      <c r="AB275">
        <f t="shared" si="249"/>
        <v>1.3</v>
      </c>
      <c r="AC275">
        <f t="shared" si="231"/>
        <v>1</v>
      </c>
      <c r="AD275">
        <f t="shared" si="244"/>
        <v>0.55510000000000004</v>
      </c>
      <c r="AF275">
        <f>Tables!CC187</f>
        <v>3.2</v>
      </c>
      <c r="AG275">
        <f t="shared" si="245"/>
        <v>0.99999999872459233</v>
      </c>
      <c r="AH275">
        <f t="shared" si="246"/>
        <v>1.3266722980183725</v>
      </c>
      <c r="AI275">
        <f t="shared" si="247"/>
        <v>1.3266722963263244</v>
      </c>
      <c r="AJ275">
        <f t="shared" si="232"/>
        <v>0.21226756741221192</v>
      </c>
      <c r="AK275">
        <f t="shared" si="233"/>
        <v>0.08</v>
      </c>
      <c r="AL275">
        <f t="shared" si="234"/>
        <v>0.43093173903776888</v>
      </c>
      <c r="AM275">
        <f t="shared" si="235"/>
        <v>0.19</v>
      </c>
      <c r="AN275">
        <f t="shared" si="236"/>
        <v>0.6784</v>
      </c>
      <c r="AO275">
        <f t="shared" si="237"/>
        <v>3.365494418787382E-4</v>
      </c>
      <c r="AP275">
        <f t="shared" si="238"/>
        <v>2.5889644877081781E-4</v>
      </c>
      <c r="AQ275">
        <f t="shared" si="248"/>
        <v>5.9544589064955606E-4</v>
      </c>
      <c r="AR275">
        <f t="shared" si="239"/>
        <v>0.91103221269382084</v>
      </c>
    </row>
    <row r="276" spans="6:44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1"/>
      <c r="N276" s="1"/>
      <c r="O276" s="1"/>
      <c r="P276">
        <f>Tables!CC58</f>
        <v>0.16</v>
      </c>
      <c r="R276">
        <f>Tables!CC88</f>
        <v>0.7</v>
      </c>
      <c r="T276">
        <f>Tables!CC116</f>
        <v>60</v>
      </c>
      <c r="U276">
        <f t="shared" si="250"/>
        <v>8.2999999999999741E-3</v>
      </c>
      <c r="V276">
        <f t="shared" si="251"/>
        <v>0.99170000000000003</v>
      </c>
      <c r="W276">
        <f t="shared" si="252"/>
        <v>0.73</v>
      </c>
      <c r="X276">
        <f t="shared" si="229"/>
        <v>4.7000000000000002E-3</v>
      </c>
      <c r="Y276">
        <f t="shared" si="230"/>
        <v>0</v>
      </c>
      <c r="Z276">
        <v>0</v>
      </c>
      <c r="AA276">
        <f t="shared" si="243"/>
        <v>0</v>
      </c>
      <c r="AB276">
        <f t="shared" si="249"/>
        <v>1.3</v>
      </c>
      <c r="AC276">
        <f t="shared" si="231"/>
        <v>1</v>
      </c>
      <c r="AD276">
        <f t="shared" si="244"/>
        <v>0.55510000000000004</v>
      </c>
      <c r="AF276">
        <f>Tables!CC187</f>
        <v>3.2</v>
      </c>
      <c r="AG276">
        <f t="shared" si="245"/>
        <v>0.99999999872459233</v>
      </c>
      <c r="AH276">
        <f t="shared" si="246"/>
        <v>1.3266722980183725</v>
      </c>
      <c r="AI276">
        <f t="shared" si="247"/>
        <v>1.3266722963263244</v>
      </c>
      <c r="AJ276">
        <f t="shared" si="232"/>
        <v>0.21226756741221192</v>
      </c>
      <c r="AK276">
        <f t="shared" si="233"/>
        <v>0.08</v>
      </c>
      <c r="AL276">
        <f t="shared" si="234"/>
        <v>0.43093173903776888</v>
      </c>
      <c r="AM276">
        <f t="shared" si="235"/>
        <v>0.19</v>
      </c>
      <c r="AN276">
        <f t="shared" si="236"/>
        <v>0.6784</v>
      </c>
      <c r="AO276">
        <f t="shared" si="237"/>
        <v>3.365494418787382E-4</v>
      </c>
      <c r="AP276">
        <f t="shared" si="238"/>
        <v>2.5889644877081781E-4</v>
      </c>
      <c r="AQ276">
        <f t="shared" si="248"/>
        <v>5.9544589064955606E-4</v>
      </c>
      <c r="AR276">
        <f t="shared" si="239"/>
        <v>0.89316883597433405</v>
      </c>
    </row>
    <row r="277" spans="6:44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1"/>
      <c r="N277" s="1"/>
      <c r="O277" s="1"/>
      <c r="P277">
        <f>Tables!CC58</f>
        <v>0.16</v>
      </c>
      <c r="R277">
        <f>Tables!CC88</f>
        <v>0.7</v>
      </c>
      <c r="T277">
        <f>Tables!CC116</f>
        <v>60</v>
      </c>
      <c r="U277">
        <f t="shared" si="250"/>
        <v>8.2999999999999741E-3</v>
      </c>
      <c r="V277">
        <f t="shared" si="251"/>
        <v>0.99170000000000003</v>
      </c>
      <c r="W277">
        <f t="shared" si="252"/>
        <v>0.73</v>
      </c>
      <c r="X277">
        <f t="shared" si="229"/>
        <v>4.7000000000000002E-3</v>
      </c>
      <c r="Y277">
        <f t="shared" si="230"/>
        <v>0</v>
      </c>
      <c r="Z277">
        <v>0</v>
      </c>
      <c r="AA277">
        <f t="shared" si="243"/>
        <v>0</v>
      </c>
      <c r="AB277">
        <f t="shared" si="249"/>
        <v>1.3</v>
      </c>
      <c r="AC277">
        <f t="shared" si="231"/>
        <v>1</v>
      </c>
      <c r="AD277">
        <f t="shared" si="244"/>
        <v>0.55510000000000004</v>
      </c>
      <c r="AF277">
        <f>Tables!CC187</f>
        <v>3.2</v>
      </c>
      <c r="AG277">
        <f t="shared" si="245"/>
        <v>0.99999999872459233</v>
      </c>
      <c r="AH277">
        <f t="shared" si="246"/>
        <v>1.3266722980183725</v>
      </c>
      <c r="AI277">
        <f t="shared" si="247"/>
        <v>1.3266722963263244</v>
      </c>
      <c r="AJ277">
        <f t="shared" si="232"/>
        <v>0.21226756741221192</v>
      </c>
      <c r="AK277">
        <f t="shared" si="233"/>
        <v>0.08</v>
      </c>
      <c r="AL277">
        <f t="shared" si="234"/>
        <v>0.43093173903776888</v>
      </c>
      <c r="AM277">
        <f t="shared" si="235"/>
        <v>0.19</v>
      </c>
      <c r="AN277">
        <f t="shared" si="236"/>
        <v>0.6784</v>
      </c>
      <c r="AO277">
        <f t="shared" si="237"/>
        <v>3.365494418787382E-4</v>
      </c>
      <c r="AP277">
        <f t="shared" si="238"/>
        <v>2.5889644877081781E-4</v>
      </c>
      <c r="AQ277">
        <f t="shared" si="248"/>
        <v>5.9544589064955606E-4</v>
      </c>
      <c r="AR277">
        <f t="shared" si="239"/>
        <v>0.89316883597433405</v>
      </c>
    </row>
    <row r="278" spans="6:44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250"/>
        <v>8.2999999999999741E-3</v>
      </c>
      <c r="V278">
        <f t="shared" si="251"/>
        <v>0.99170000000000003</v>
      </c>
      <c r="W278">
        <f t="shared" si="252"/>
        <v>0.73</v>
      </c>
      <c r="X278">
        <f t="shared" si="229"/>
        <v>4.7000000000000002E-3</v>
      </c>
      <c r="Y278">
        <f t="shared" si="230"/>
        <v>0</v>
      </c>
      <c r="Z278">
        <v>0</v>
      </c>
      <c r="AA278">
        <f t="shared" si="243"/>
        <v>0</v>
      </c>
      <c r="AB278">
        <f t="shared" si="249"/>
        <v>1.3</v>
      </c>
      <c r="AC278">
        <f t="shared" si="231"/>
        <v>1</v>
      </c>
      <c r="AD278">
        <f t="shared" si="244"/>
        <v>0.43585000000000007</v>
      </c>
      <c r="AF278">
        <f>Tables!CC188</f>
        <v>3</v>
      </c>
      <c r="AG278">
        <f t="shared" si="245"/>
        <v>0.99999998477002028</v>
      </c>
      <c r="AH278">
        <f t="shared" si="246"/>
        <v>0.95969823125361531</v>
      </c>
      <c r="AI278">
        <f t="shared" si="247"/>
        <v>0.95969821663743071</v>
      </c>
      <c r="AJ278">
        <f t="shared" si="232"/>
        <v>6.717887516462015E-2</v>
      </c>
      <c r="AK278">
        <f t="shared" si="233"/>
        <v>0.08</v>
      </c>
      <c r="AL278">
        <f t="shared" si="234"/>
        <v>0.43120862223412426</v>
      </c>
      <c r="AM278">
        <f t="shared" si="235"/>
        <v>0.19</v>
      </c>
      <c r="AN278">
        <f t="shared" si="236"/>
        <v>0.6784</v>
      </c>
      <c r="AO278">
        <f t="shared" si="237"/>
        <v>3.3676568235665495E-4</v>
      </c>
      <c r="AP278">
        <f t="shared" si="238"/>
        <v>2.5906279547904771E-4</v>
      </c>
      <c r="AQ278">
        <f t="shared" si="248"/>
        <v>5.9582847783570272E-4</v>
      </c>
      <c r="AR278">
        <f t="shared" si="239"/>
        <v>1.4776546250325429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M1" workbookViewId="0">
      <selection activeCell="CN11" sqref="CN1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2026-06-04T01:32:56Z</dcterms:modified>
</cp:coreProperties>
</file>