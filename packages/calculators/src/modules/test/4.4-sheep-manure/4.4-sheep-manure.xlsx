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20001_{7CB10A0F-5FDB-3E4F-AE58-F4BD01A1514B}" xr6:coauthVersionLast="47" xr6:coauthVersionMax="47" xr10:uidLastSave="{00000000-0000-0000-0000-000000000000}"/>
  <bookViews>
    <workbookView xWindow="-9220" yWindow="22260" windowWidth="30240" windowHeight="18980" xr2:uid="{00000000-000D-0000-FFFF-FFFF00000000}"/>
  </bookViews>
  <sheets>
    <sheet name="4.4.1.1" sheetId="11" r:id="rId1"/>
    <sheet name="Tables" sheetId="1" r:id="rId2"/>
    <sheet name="Backup" sheetId="12" r:id="rId3"/>
  </sheets>
  <definedNames>
    <definedName name="ExternalData_1" localSheetId="2" hidden="1">Backup!$BW$6:$CE$30</definedName>
    <definedName name="ExternalData_1" localSheetId="1" hidden="1">Tables!$BW$6:$CE$30</definedName>
    <definedName name="ExternalData_2" localSheetId="2" hidden="1">Backup!$BW$37:$CE$61</definedName>
    <definedName name="ExternalData_2" localSheetId="1" hidden="1">Tables!$BW$37:$CE$61</definedName>
    <definedName name="ExternalData_4" localSheetId="2" hidden="1">Backup!$BW$95:$CE$119</definedName>
    <definedName name="ExternalData_4" localSheetId="1" hidden="1">Tables!$BW$95:$CE$119</definedName>
    <definedName name="ExternalData_5" localSheetId="2" hidden="1">Backup!$BW$130:$CE$154</definedName>
    <definedName name="ExternalData_5" localSheetId="1" hidden="1">Tables!$BW$130:$CE$154</definedName>
    <definedName name="ExternalData_7" localSheetId="2" hidden="1">Backup!$BW$166:$CE$190</definedName>
    <definedName name="ExternalData_7" localSheetId="1" hidden="1">Tables!$BW$166:$CE$190</definedName>
    <definedName name="ExternalData_8" localSheetId="2" hidden="1">Backup!$BW$67:$CE$91</definedName>
    <definedName name="ExternalData_8" localSheetId="1" hidden="1">Tables!$BW$67:$CE$91</definedName>
    <definedName name="TableLWG" localSheetId="0">#REF!</definedName>
    <definedName name="TableLWG" localSheetId="2">TableLWG235[]</definedName>
    <definedName name="TableLWG">TableLWG2[]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11" l="1"/>
  <c r="O13" i="11"/>
  <c r="O14" i="11"/>
  <c r="O15" i="11"/>
  <c r="O16" i="11"/>
  <c r="N16" i="11" s="1"/>
  <c r="O17" i="11"/>
  <c r="O18" i="11"/>
  <c r="N18" i="11" s="1"/>
  <c r="O19" i="11"/>
  <c r="N19" i="11" s="1"/>
  <c r="O20" i="11"/>
  <c r="O21" i="11"/>
  <c r="N21" i="11" s="1"/>
  <c r="O22" i="11"/>
  <c r="N22" i="11" s="1"/>
  <c r="O23" i="11"/>
  <c r="O24" i="11"/>
  <c r="O25" i="11"/>
  <c r="O26" i="11"/>
  <c r="O27" i="11"/>
  <c r="O28" i="11"/>
  <c r="N28" i="11" s="1"/>
  <c r="O29" i="11"/>
  <c r="O30" i="11"/>
  <c r="N30" i="11" s="1"/>
  <c r="O31" i="11"/>
  <c r="N31" i="11" s="1"/>
  <c r="O32" i="11"/>
  <c r="O33" i="11"/>
  <c r="N33" i="11" s="1"/>
  <c r="O34" i="11"/>
  <c r="N34" i="11" s="1"/>
  <c r="O11" i="11"/>
  <c r="X11" i="11" a="1"/>
  <c r="X11" i="11" s="1"/>
  <c r="M11" i="11" a="1"/>
  <c r="M11" i="11" s="1"/>
  <c r="L11" i="11" a="1"/>
  <c r="L11" i="11" s="1"/>
  <c r="W11" i="11" s="1"/>
  <c r="K11" i="11" a="1"/>
  <c r="K11" i="11" s="1"/>
  <c r="AW176" i="12" a="1"/>
  <c r="AW176" i="12" s="1"/>
  <c r="AW174" i="12"/>
  <c r="AW174" i="12" a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Q31" i="12"/>
  <c r="AT31" i="12" s="1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T30" i="12" s="1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S29" i="12"/>
  <c r="AQ29" i="12"/>
  <c r="AT29" i="12" s="1"/>
  <c r="AU29" i="12" s="1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F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Q24" i="12"/>
  <c r="AT24" i="12" s="1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T23" i="12" s="1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T22" i="12" s="1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S21" i="12"/>
  <c r="AQ21" i="12"/>
  <c r="AT21" i="12" s="1"/>
  <c r="AU21" i="12" s="1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F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Q16" i="12"/>
  <c r="AT16" i="12" s="1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T15" i="12" s="1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T14" i="12" s="1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S13" i="12"/>
  <c r="AQ13" i="12"/>
  <c r="AT13" i="12" s="1"/>
  <c r="AU13" i="12" s="1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Q12" i="12"/>
  <c r="AO12" i="12"/>
  <c r="AM12" i="12"/>
  <c r="AJ12" i="12"/>
  <c r="AF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/>
  <c r="AS11" i="12" s="1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AH16" i="12" s="1"/>
  <c r="R11" i="12" a="1"/>
  <c r="R11" i="12" s="1"/>
  <c r="AQ11" i="12" s="1"/>
  <c r="Q11" i="12"/>
  <c r="Q11" i="12" a="1"/>
  <c r="P11" i="12" a="1"/>
  <c r="AF33" i="12" s="1"/>
  <c r="O11" i="12"/>
  <c r="BS7" i="12"/>
  <c r="AN29" i="12" s="1"/>
  <c r="AC176" i="11" a="1"/>
  <c r="AC176" i="11" s="1"/>
  <c r="AC174" i="11" a="1"/>
  <c r="AC174" i="11" s="1"/>
  <c r="AC173" i="11" a="1"/>
  <c r="AC173" i="11" s="1"/>
  <c r="AC172" i="11" a="1"/>
  <c r="AC172" i="11" s="1"/>
  <c r="AF34" i="11"/>
  <c r="AE34" i="11"/>
  <c r="AC34" i="11"/>
  <c r="U34" i="11"/>
  <c r="T34" i="11"/>
  <c r="R34" i="11"/>
  <c r="Q34" i="11"/>
  <c r="P34" i="11"/>
  <c r="J34" i="11"/>
  <c r="AF33" i="11"/>
  <c r="AE33" i="11"/>
  <c r="AC33" i="11"/>
  <c r="U33" i="11"/>
  <c r="T33" i="11"/>
  <c r="R33" i="11"/>
  <c r="Q33" i="11"/>
  <c r="P33" i="11"/>
  <c r="J33" i="11"/>
  <c r="AF32" i="11"/>
  <c r="AE32" i="11"/>
  <c r="AC32" i="11"/>
  <c r="U32" i="11"/>
  <c r="T32" i="11"/>
  <c r="R32" i="11"/>
  <c r="Q32" i="11"/>
  <c r="P32" i="11"/>
  <c r="N32" i="11"/>
  <c r="J32" i="11"/>
  <c r="AF31" i="11"/>
  <c r="AE31" i="11"/>
  <c r="AC31" i="11"/>
  <c r="U31" i="11"/>
  <c r="T31" i="11"/>
  <c r="R31" i="11"/>
  <c r="Q31" i="11"/>
  <c r="P31" i="11"/>
  <c r="J31" i="11"/>
  <c r="AF30" i="11"/>
  <c r="AE30" i="11"/>
  <c r="AC30" i="11"/>
  <c r="U30" i="11"/>
  <c r="T30" i="11"/>
  <c r="R30" i="11"/>
  <c r="Q30" i="11"/>
  <c r="P30" i="11"/>
  <c r="J30" i="11"/>
  <c r="AF29" i="11"/>
  <c r="AE29" i="11"/>
  <c r="AC29" i="11"/>
  <c r="U29" i="11"/>
  <c r="T29" i="11"/>
  <c r="R29" i="11"/>
  <c r="Q29" i="11"/>
  <c r="P29" i="11"/>
  <c r="N29" i="11"/>
  <c r="J29" i="11"/>
  <c r="AF28" i="11"/>
  <c r="AE28" i="11"/>
  <c r="AC28" i="11"/>
  <c r="U28" i="11"/>
  <c r="T28" i="11"/>
  <c r="R28" i="11"/>
  <c r="Q28" i="11"/>
  <c r="P28" i="11"/>
  <c r="J28" i="11"/>
  <c r="AF27" i="11"/>
  <c r="AE27" i="11"/>
  <c r="AC27" i="11"/>
  <c r="U27" i="11"/>
  <c r="T27" i="11"/>
  <c r="R27" i="11"/>
  <c r="Q27" i="11"/>
  <c r="P27" i="11"/>
  <c r="N27" i="11"/>
  <c r="J27" i="11"/>
  <c r="AF26" i="11"/>
  <c r="AE26" i="11"/>
  <c r="AC26" i="11"/>
  <c r="U26" i="11"/>
  <c r="T26" i="11"/>
  <c r="R26" i="11"/>
  <c r="Q26" i="11"/>
  <c r="P26" i="11"/>
  <c r="N26" i="11"/>
  <c r="J26" i="11"/>
  <c r="AF25" i="11"/>
  <c r="AE25" i="11"/>
  <c r="AC25" i="11"/>
  <c r="U25" i="11"/>
  <c r="T25" i="11"/>
  <c r="R25" i="11"/>
  <c r="Q25" i="11"/>
  <c r="P25" i="11"/>
  <c r="N25" i="11"/>
  <c r="J25" i="11"/>
  <c r="AF24" i="11"/>
  <c r="AE24" i="11"/>
  <c r="AC24" i="11"/>
  <c r="U24" i="11"/>
  <c r="T24" i="11"/>
  <c r="R24" i="11"/>
  <c r="Q24" i="11"/>
  <c r="P24" i="11"/>
  <c r="N24" i="11"/>
  <c r="J24" i="11"/>
  <c r="AF23" i="11"/>
  <c r="AE23" i="11"/>
  <c r="AC23" i="11"/>
  <c r="U23" i="11"/>
  <c r="T23" i="11"/>
  <c r="R23" i="11"/>
  <c r="Q23" i="11"/>
  <c r="P23" i="11"/>
  <c r="N23" i="11"/>
  <c r="J23" i="11"/>
  <c r="AF22" i="11"/>
  <c r="AE22" i="11"/>
  <c r="AC22" i="11"/>
  <c r="U22" i="11"/>
  <c r="T22" i="11"/>
  <c r="R22" i="11"/>
  <c r="Q22" i="11"/>
  <c r="P22" i="11"/>
  <c r="J22" i="11"/>
  <c r="AF21" i="11"/>
  <c r="AE21" i="11"/>
  <c r="AC21" i="11"/>
  <c r="U21" i="11"/>
  <c r="T21" i="11"/>
  <c r="R21" i="11"/>
  <c r="Q21" i="11"/>
  <c r="P21" i="11"/>
  <c r="J21" i="11"/>
  <c r="AF20" i="11"/>
  <c r="AE20" i="11"/>
  <c r="AC20" i="11"/>
  <c r="U20" i="11"/>
  <c r="T20" i="11"/>
  <c r="R20" i="11"/>
  <c r="Q20" i="11"/>
  <c r="P20" i="11"/>
  <c r="N20" i="11"/>
  <c r="J20" i="11"/>
  <c r="AF19" i="11"/>
  <c r="AE19" i="11"/>
  <c r="AC19" i="11"/>
  <c r="U19" i="11"/>
  <c r="T19" i="11"/>
  <c r="R19" i="11"/>
  <c r="Q19" i="11"/>
  <c r="P19" i="11"/>
  <c r="J19" i="11"/>
  <c r="AF18" i="11"/>
  <c r="AE18" i="11"/>
  <c r="AC18" i="11"/>
  <c r="U18" i="11"/>
  <c r="T18" i="11"/>
  <c r="R18" i="11"/>
  <c r="Q18" i="11"/>
  <c r="P18" i="11"/>
  <c r="J18" i="11"/>
  <c r="AF17" i="11"/>
  <c r="AE17" i="11"/>
  <c r="AC17" i="11"/>
  <c r="U17" i="11"/>
  <c r="T17" i="11"/>
  <c r="R17" i="11"/>
  <c r="Q17" i="11"/>
  <c r="P17" i="11"/>
  <c r="N17" i="11"/>
  <c r="J17" i="11"/>
  <c r="AF16" i="11"/>
  <c r="AE16" i="11"/>
  <c r="AC16" i="11"/>
  <c r="U16" i="11"/>
  <c r="T16" i="11"/>
  <c r="R16" i="11"/>
  <c r="Q16" i="11"/>
  <c r="P16" i="11"/>
  <c r="J16" i="11"/>
  <c r="AF15" i="11"/>
  <c r="AE15" i="11"/>
  <c r="AC15" i="11"/>
  <c r="U15" i="11"/>
  <c r="T15" i="11"/>
  <c r="R15" i="11"/>
  <c r="Q15" i="11"/>
  <c r="P15" i="11"/>
  <c r="N15" i="11"/>
  <c r="J15" i="11"/>
  <c r="AF14" i="11"/>
  <c r="AE14" i="11"/>
  <c r="AC14" i="11"/>
  <c r="U14" i="11"/>
  <c r="T14" i="11"/>
  <c r="R14" i="11"/>
  <c r="Q14" i="11"/>
  <c r="P14" i="11"/>
  <c r="N14" i="11"/>
  <c r="J14" i="11"/>
  <c r="AF13" i="11"/>
  <c r="AE13" i="11"/>
  <c r="AC13" i="11"/>
  <c r="U13" i="11"/>
  <c r="T13" i="11"/>
  <c r="R13" i="11"/>
  <c r="Q13" i="11"/>
  <c r="P13" i="11"/>
  <c r="N13" i="11"/>
  <c r="J13" i="11"/>
  <c r="AF12" i="11"/>
  <c r="AE12" i="11"/>
  <c r="AC12" i="11"/>
  <c r="U12" i="11"/>
  <c r="T12" i="11"/>
  <c r="R12" i="11"/>
  <c r="Q12" i="11"/>
  <c r="P12" i="11"/>
  <c r="N12" i="11"/>
  <c r="J12" i="11"/>
  <c r="AF11" i="11"/>
  <c r="AE11" i="11"/>
  <c r="AC11" i="11"/>
  <c r="Y34" i="11"/>
  <c r="U11" i="11"/>
  <c r="T11" i="11"/>
  <c r="R11" i="11"/>
  <c r="Q11" i="11"/>
  <c r="P11" i="11"/>
  <c r="N11" i="11"/>
  <c r="J11" i="11"/>
  <c r="AQ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U22" i="12" l="1"/>
  <c r="J26" i="12"/>
  <c r="AE26" i="12" s="1"/>
  <c r="AK26" i="12" s="1"/>
  <c r="AE25" i="12"/>
  <c r="AT11" i="12"/>
  <c r="AU11" i="12" s="1"/>
  <c r="AK15" i="12"/>
  <c r="AX13" i="12"/>
  <c r="AV13" i="12"/>
  <c r="AX29" i="12"/>
  <c r="AV29" i="12"/>
  <c r="AK27" i="12"/>
  <c r="AK19" i="12"/>
  <c r="AX21" i="12"/>
  <c r="AV21" i="12"/>
  <c r="AU30" i="12"/>
  <c r="J34" i="12"/>
  <c r="AE34" i="12" s="1"/>
  <c r="AK34" i="12" s="1"/>
  <c r="AE33" i="12"/>
  <c r="AK33" i="12" s="1"/>
  <c r="AK32" i="12"/>
  <c r="AU14" i="12"/>
  <c r="J18" i="12"/>
  <c r="AE18" i="12" s="1"/>
  <c r="AK18" i="12" s="1"/>
  <c r="AE17" i="12"/>
  <c r="AH17" i="12"/>
  <c r="AH25" i="12"/>
  <c r="AQ28" i="12"/>
  <c r="AT28" i="12" s="1"/>
  <c r="AH33" i="12"/>
  <c r="S11" i="12"/>
  <c r="AH11" i="12" s="1"/>
  <c r="AD12" i="12"/>
  <c r="AK12" i="12" s="1"/>
  <c r="AS12" i="12"/>
  <c r="AN14" i="12"/>
  <c r="AN15" i="12"/>
  <c r="AF18" i="12"/>
  <c r="AF19" i="12"/>
  <c r="AD20" i="12"/>
  <c r="AS20" i="12"/>
  <c r="AN22" i="12"/>
  <c r="AN23" i="12"/>
  <c r="AF26" i="12"/>
  <c r="AF27" i="12"/>
  <c r="AD28" i="12"/>
  <c r="AK28" i="12" s="1"/>
  <c r="AS28" i="12"/>
  <c r="AN30" i="12"/>
  <c r="AN31" i="12"/>
  <c r="AF34" i="12"/>
  <c r="AT12" i="12"/>
  <c r="AH18" i="12"/>
  <c r="AH19" i="12"/>
  <c r="AT20" i="12"/>
  <c r="AU20" i="12" s="1"/>
  <c r="AH26" i="12"/>
  <c r="AH27" i="12"/>
  <c r="AH34" i="12"/>
  <c r="AH12" i="12"/>
  <c r="AE13" i="12"/>
  <c r="AK13" i="12" s="1"/>
  <c r="AH20" i="12"/>
  <c r="AE21" i="12"/>
  <c r="AK21" i="12" s="1"/>
  <c r="AH28" i="12"/>
  <c r="AE29" i="12"/>
  <c r="AF13" i="12"/>
  <c r="AS14" i="12"/>
  <c r="AS15" i="12"/>
  <c r="AU15" i="12" s="1"/>
  <c r="AN17" i="12"/>
  <c r="AF21" i="12"/>
  <c r="AS22" i="12"/>
  <c r="AS23" i="12"/>
  <c r="AU23" i="12" s="1"/>
  <c r="AP24" i="12"/>
  <c r="AU24" i="12" s="1"/>
  <c r="AN25" i="12"/>
  <c r="AF29" i="12"/>
  <c r="AK29" i="12" s="1"/>
  <c r="AS30" i="12"/>
  <c r="AS31" i="12"/>
  <c r="AU31" i="12" s="1"/>
  <c r="AP32" i="12"/>
  <c r="AN33" i="12"/>
  <c r="AH13" i="12"/>
  <c r="AH21" i="12"/>
  <c r="AH29" i="12"/>
  <c r="AQ32" i="12"/>
  <c r="AT32" i="12" s="1"/>
  <c r="AN19" i="12"/>
  <c r="AF23" i="12"/>
  <c r="AK23" i="12" s="1"/>
  <c r="AF30" i="12"/>
  <c r="AK30" i="12" s="1"/>
  <c r="P11" i="12"/>
  <c r="AF11" i="12" s="1"/>
  <c r="AK11" i="12" s="1"/>
  <c r="AF14" i="12"/>
  <c r="AF15" i="12"/>
  <c r="AS16" i="12"/>
  <c r="AU16" i="12" s="1"/>
  <c r="AN18" i="12"/>
  <c r="AF22" i="12"/>
  <c r="AK22" i="12" s="1"/>
  <c r="AS24" i="12"/>
  <c r="AN26" i="12"/>
  <c r="AN27" i="12"/>
  <c r="AF31" i="12"/>
  <c r="AK31" i="12" s="1"/>
  <c r="AS32" i="12"/>
  <c r="AN34" i="12"/>
  <c r="AH14" i="12"/>
  <c r="AK14" i="12" s="1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K24" i="12" s="1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V12" i="11"/>
  <c r="V11" i="11"/>
  <c r="W33" i="11"/>
  <c r="V28" i="11"/>
  <c r="W31" i="11"/>
  <c r="Z31" i="11" s="1"/>
  <c r="W32" i="11"/>
  <c r="Z32" i="11" s="1"/>
  <c r="W30" i="11"/>
  <c r="Z30" i="11" s="1"/>
  <c r="W29" i="11"/>
  <c r="Z29" i="11" s="1"/>
  <c r="W28" i="11"/>
  <c r="W23" i="11"/>
  <c r="Z23" i="11" s="1"/>
  <c r="V19" i="11"/>
  <c r="W22" i="11"/>
  <c r="Z22" i="11" s="1"/>
  <c r="W24" i="11"/>
  <c r="Z24" i="11" s="1"/>
  <c r="W25" i="11"/>
  <c r="Z25" i="11" s="1"/>
  <c r="V26" i="11"/>
  <c r="W20" i="11"/>
  <c r="Z20" i="11" s="1"/>
  <c r="W21" i="11"/>
  <c r="Z21" i="11" s="1"/>
  <c r="Z33" i="11"/>
  <c r="V20" i="11"/>
  <c r="W12" i="11"/>
  <c r="Z12" i="11" s="1"/>
  <c r="W15" i="11"/>
  <c r="Z15" i="11" s="1"/>
  <c r="V18" i="11"/>
  <c r="W13" i="11"/>
  <c r="Z13" i="11" s="1"/>
  <c r="W14" i="11"/>
  <c r="Z14" i="11" s="1"/>
  <c r="W16" i="11"/>
  <c r="Z16" i="11" s="1"/>
  <c r="W17" i="11"/>
  <c r="Z17" i="11" s="1"/>
  <c r="Z11" i="11"/>
  <c r="Y12" i="11"/>
  <c r="V13" i="11"/>
  <c r="Y20" i="11"/>
  <c r="V21" i="11"/>
  <c r="Y28" i="11"/>
  <c r="V29" i="11"/>
  <c r="Y11" i="11"/>
  <c r="Y13" i="11"/>
  <c r="V14" i="11"/>
  <c r="V15" i="11"/>
  <c r="Y21" i="11"/>
  <c r="V22" i="11"/>
  <c r="V23" i="11"/>
  <c r="Y29" i="11"/>
  <c r="V30" i="11"/>
  <c r="V31" i="11"/>
  <c r="Z28" i="11"/>
  <c r="Y14" i="11"/>
  <c r="Y15" i="11"/>
  <c r="V16" i="11"/>
  <c r="Y22" i="11"/>
  <c r="Y23" i="11"/>
  <c r="V24" i="11"/>
  <c r="Y30" i="11"/>
  <c r="Y31" i="11"/>
  <c r="V32" i="11"/>
  <c r="Y16" i="11"/>
  <c r="V17" i="11"/>
  <c r="Y24" i="11"/>
  <c r="V25" i="11"/>
  <c r="Y32" i="11"/>
  <c r="V33" i="11"/>
  <c r="Y17" i="11"/>
  <c r="Y25" i="11"/>
  <c r="V27" i="11"/>
  <c r="Y33" i="11"/>
  <c r="V34" i="11"/>
  <c r="W18" i="11"/>
  <c r="Z18" i="11" s="1"/>
  <c r="W19" i="11"/>
  <c r="Z19" i="11" s="1"/>
  <c r="W26" i="11"/>
  <c r="Z26" i="11" s="1"/>
  <c r="W27" i="11"/>
  <c r="Z27" i="11" s="1"/>
  <c r="W34" i="11"/>
  <c r="Z34" i="11" s="1"/>
  <c r="AA34" i="11" s="1"/>
  <c r="Y18" i="11"/>
  <c r="Y19" i="11"/>
  <c r="Y26" i="11"/>
  <c r="Y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V16" i="12" l="1"/>
  <c r="AL16" i="12" s="1"/>
  <c r="BF16" i="12" s="1"/>
  <c r="AX16" i="12"/>
  <c r="AX31" i="12"/>
  <c r="AV31" i="12"/>
  <c r="AL31" i="12" s="1"/>
  <c r="BF31" i="12" s="1"/>
  <c r="AX15" i="12"/>
  <c r="AV15" i="12"/>
  <c r="AL15" i="12" s="1"/>
  <c r="BF15" i="12" s="1"/>
  <c r="AX23" i="12"/>
  <c r="AV23" i="12"/>
  <c r="AL23" i="12" s="1"/>
  <c r="BF23" i="12" s="1"/>
  <c r="AV24" i="12"/>
  <c r="AL24" i="12" s="1"/>
  <c r="BF24" i="12" s="1"/>
  <c r="AX24" i="12"/>
  <c r="AX26" i="12"/>
  <c r="AV26" i="12"/>
  <c r="AL26" i="12" s="1"/>
  <c r="BF26" i="12" s="1"/>
  <c r="AX14" i="12"/>
  <c r="AV14" i="12"/>
  <c r="AL14" i="12" s="1"/>
  <c r="BF14" i="12" s="1"/>
  <c r="BA13" i="12"/>
  <c r="BB13" i="12"/>
  <c r="AL21" i="12"/>
  <c r="BF21" i="12" s="1"/>
  <c r="AX11" i="12"/>
  <c r="AV11" i="12"/>
  <c r="AL11" i="12" s="1"/>
  <c r="BF11" i="12" s="1"/>
  <c r="AU32" i="12"/>
  <c r="AX30" i="12"/>
  <c r="AV30" i="12"/>
  <c r="AL30" i="12" s="1"/>
  <c r="BF30" i="12" s="1"/>
  <c r="AU25" i="12"/>
  <c r="AK25" i="12"/>
  <c r="BA21" i="12"/>
  <c r="BC21" i="12" s="1"/>
  <c r="BD21" i="12" s="1"/>
  <c r="BB21" i="12"/>
  <c r="AU28" i="12"/>
  <c r="AX18" i="12"/>
  <c r="AV18" i="12"/>
  <c r="AL18" i="12" s="1"/>
  <c r="BF18" i="12" s="1"/>
  <c r="AX20" i="12"/>
  <c r="AV20" i="12"/>
  <c r="AL29" i="12"/>
  <c r="BF29" i="12" s="1"/>
  <c r="AX34" i="12"/>
  <c r="AV34" i="12"/>
  <c r="AL34" i="12" s="1"/>
  <c r="BF34" i="12" s="1"/>
  <c r="AX17" i="12"/>
  <c r="AV17" i="12"/>
  <c r="AL17" i="12" s="1"/>
  <c r="BF17" i="12" s="1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L13" i="12"/>
  <c r="BF13" i="12" s="1"/>
  <c r="AA16" i="11"/>
  <c r="AD16" i="11" s="1"/>
  <c r="AA11" i="11"/>
  <c r="AD11" i="11" s="1"/>
  <c r="AA17" i="11"/>
  <c r="AA13" i="11"/>
  <c r="AB13" i="11" s="1"/>
  <c r="AA25" i="11"/>
  <c r="AD25" i="11" s="1"/>
  <c r="AA21" i="11"/>
  <c r="AD21" i="11" s="1"/>
  <c r="AA33" i="11"/>
  <c r="AB33" i="11" s="1"/>
  <c r="AA31" i="11"/>
  <c r="AB31" i="11" s="1"/>
  <c r="AA30" i="11"/>
  <c r="AB30" i="11" s="1"/>
  <c r="AA32" i="11"/>
  <c r="AB32" i="11" s="1"/>
  <c r="AA15" i="11"/>
  <c r="AD15" i="11" s="1"/>
  <c r="AA23" i="11"/>
  <c r="AB23" i="11" s="1"/>
  <c r="AA22" i="11"/>
  <c r="AB22" i="11" s="1"/>
  <c r="AA14" i="11"/>
  <c r="AD14" i="11" s="1"/>
  <c r="AA29" i="11"/>
  <c r="AD29" i="11" s="1"/>
  <c r="AA20" i="11"/>
  <c r="AB20" i="11" s="1"/>
  <c r="AD17" i="11"/>
  <c r="AB17" i="11"/>
  <c r="AD13" i="11"/>
  <c r="AA26" i="11"/>
  <c r="AD34" i="11"/>
  <c r="AB34" i="11"/>
  <c r="AB16" i="11"/>
  <c r="AA12" i="11"/>
  <c r="AA19" i="11"/>
  <c r="AA18" i="11"/>
  <c r="AA28" i="11"/>
  <c r="AA27" i="11"/>
  <c r="AA24" i="11"/>
  <c r="BB30" i="12" l="1"/>
  <c r="BA30" i="12"/>
  <c r="BC30" i="12" s="1"/>
  <c r="BD30" i="12" s="1"/>
  <c r="AL20" i="12"/>
  <c r="BF20" i="12" s="1"/>
  <c r="BJ11" i="12"/>
  <c r="BI11" i="12"/>
  <c r="BL11" i="12" s="1"/>
  <c r="BH11" i="12"/>
  <c r="BK11" i="12" s="1"/>
  <c r="BB23" i="12"/>
  <c r="BA23" i="12"/>
  <c r="BC23" i="12" s="1"/>
  <c r="BD23" i="12" s="1"/>
  <c r="BB22" i="12"/>
  <c r="BA22" i="12"/>
  <c r="BC22" i="12" s="1"/>
  <c r="BD22" i="12" s="1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C15" i="12" s="1"/>
  <c r="BD15" i="12" s="1"/>
  <c r="BB26" i="12"/>
  <c r="BA26" i="12"/>
  <c r="BC26" i="12" s="1"/>
  <c r="BD26" i="12" s="1"/>
  <c r="BB34" i="12"/>
  <c r="BA34" i="12"/>
  <c r="BC34" i="12" s="1"/>
  <c r="BD34" i="12" s="1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C31" i="12" s="1"/>
  <c r="BD31" i="12" s="1"/>
  <c r="BB17" i="12"/>
  <c r="BA17" i="12"/>
  <c r="BC17" i="12" s="1"/>
  <c r="BD17" i="12" s="1"/>
  <c r="AV32" i="12"/>
  <c r="AL32" i="12" s="1"/>
  <c r="BF32" i="12" s="1"/>
  <c r="AX32" i="12"/>
  <c r="BB20" i="12"/>
  <c r="BA20" i="12"/>
  <c r="BC20" i="12" s="1"/>
  <c r="BD20" i="12" s="1"/>
  <c r="BB18" i="12"/>
  <c r="BA18" i="12"/>
  <c r="BC18" i="12" s="1"/>
  <c r="BD18" i="12" s="1"/>
  <c r="BC29" i="12"/>
  <c r="BD29" i="12" s="1"/>
  <c r="BA16" i="12"/>
  <c r="BB16" i="12"/>
  <c r="AX25" i="12"/>
  <c r="AV25" i="12"/>
  <c r="AL25" i="12" s="1"/>
  <c r="BF25" i="12" s="1"/>
  <c r="BG11" i="12" s="1"/>
  <c r="BB14" i="12"/>
  <c r="BA14" i="12"/>
  <c r="AB11" i="11"/>
  <c r="AB21" i="11"/>
  <c r="AB25" i="11"/>
  <c r="AD33" i="11"/>
  <c r="AH33" i="11" s="1"/>
  <c r="AD32" i="11"/>
  <c r="AH32" i="11" s="1"/>
  <c r="AD31" i="11"/>
  <c r="AH31" i="11" s="1"/>
  <c r="AB29" i="11"/>
  <c r="AB14" i="11"/>
  <c r="AD30" i="11"/>
  <c r="AH30" i="11" s="1"/>
  <c r="AD20" i="11"/>
  <c r="AH20" i="11" s="1"/>
  <c r="AB15" i="11"/>
  <c r="AD23" i="11"/>
  <c r="AH23" i="11" s="1"/>
  <c r="AD22" i="11"/>
  <c r="AG22" i="11" s="1"/>
  <c r="AH25" i="11"/>
  <c r="AG25" i="11"/>
  <c r="AD12" i="11"/>
  <c r="AB12" i="11"/>
  <c r="AG29" i="11"/>
  <c r="AH29" i="11"/>
  <c r="AH14" i="11"/>
  <c r="AG14" i="11"/>
  <c r="AB24" i="11"/>
  <c r="AD24" i="11"/>
  <c r="AH17" i="11"/>
  <c r="AG17" i="11"/>
  <c r="AB19" i="11"/>
  <c r="AD19" i="11"/>
  <c r="AH11" i="11"/>
  <c r="AG11" i="11"/>
  <c r="AI11" i="11" s="1"/>
  <c r="AJ11" i="11" s="1"/>
  <c r="AB26" i="11"/>
  <c r="AD26" i="11"/>
  <c r="AH16" i="11"/>
  <c r="AG16" i="11"/>
  <c r="AG13" i="11"/>
  <c r="AH13" i="11"/>
  <c r="AB27" i="11"/>
  <c r="AD27" i="11"/>
  <c r="AH15" i="11"/>
  <c r="AG15" i="11"/>
  <c r="AI15" i="11" s="1"/>
  <c r="AJ15" i="11" s="1"/>
  <c r="AD28" i="11"/>
  <c r="AB28" i="11"/>
  <c r="AB18" i="11"/>
  <c r="AD18" i="11"/>
  <c r="AH34" i="11"/>
  <c r="AG34" i="11"/>
  <c r="AI34" i="11" s="1"/>
  <c r="AJ34" i="11" s="1"/>
  <c r="AG21" i="11"/>
  <c r="AH21" i="11"/>
  <c r="AZ11" i="1"/>
  <c r="AY11" i="1"/>
  <c r="AW11" i="1"/>
  <c r="BS7" i="1"/>
  <c r="BB12" i="12" l="1"/>
  <c r="BA12" i="12"/>
  <c r="BC12" i="12" s="1"/>
  <c r="BD12" i="12" s="1"/>
  <c r="BB27" i="12"/>
  <c r="BA27" i="12"/>
  <c r="BC27" i="12" s="1"/>
  <c r="BD27" i="12" s="1"/>
  <c r="BB25" i="12"/>
  <c r="BA25" i="12"/>
  <c r="BC25" i="12" s="1"/>
  <c r="BD25" i="12" s="1"/>
  <c r="BB28" i="12"/>
  <c r="BA28" i="12"/>
  <c r="BC28" i="12" s="1"/>
  <c r="BD28" i="12" s="1"/>
  <c r="BA32" i="12"/>
  <c r="BB32" i="12"/>
  <c r="BC16" i="12"/>
  <c r="BD16" i="12" s="1"/>
  <c r="BC24" i="12"/>
  <c r="BD24" i="12" s="1"/>
  <c r="BC14" i="12"/>
  <c r="BD14" i="12" s="1"/>
  <c r="AG20" i="11"/>
  <c r="AI20" i="11" s="1"/>
  <c r="AJ20" i="11" s="1"/>
  <c r="AG32" i="11"/>
  <c r="AI32" i="11" s="1"/>
  <c r="AJ32" i="11" s="1"/>
  <c r="AG30" i="11"/>
  <c r="AG31" i="11"/>
  <c r="AI31" i="11" s="1"/>
  <c r="AJ31" i="11" s="1"/>
  <c r="AG33" i="11"/>
  <c r="AI33" i="11" s="1"/>
  <c r="AJ33" i="11" s="1"/>
  <c r="AI30" i="11"/>
  <c r="AJ30" i="11" s="1"/>
  <c r="AG23" i="11"/>
  <c r="AI23" i="11" s="1"/>
  <c r="AJ23" i="11" s="1"/>
  <c r="AI25" i="11"/>
  <c r="AJ25" i="11" s="1"/>
  <c r="AH22" i="11"/>
  <c r="AI22" i="11" s="1"/>
  <c r="AJ22" i="11" s="1"/>
  <c r="AI17" i="11"/>
  <c r="AJ17" i="11" s="1"/>
  <c r="AH28" i="11"/>
  <c r="AG28" i="11"/>
  <c r="AH27" i="11"/>
  <c r="AG27" i="11"/>
  <c r="AI21" i="11"/>
  <c r="AJ21" i="11" s="1"/>
  <c r="AH26" i="11"/>
  <c r="AG26" i="11"/>
  <c r="AH12" i="11"/>
  <c r="AG12" i="11"/>
  <c r="AI29" i="11"/>
  <c r="AJ29" i="11" s="1"/>
  <c r="AH24" i="11"/>
  <c r="AG24" i="11"/>
  <c r="AH19" i="11"/>
  <c r="AG19" i="11"/>
  <c r="AI13" i="11"/>
  <c r="AJ13" i="11" s="1"/>
  <c r="AH18" i="11"/>
  <c r="AG18" i="11"/>
  <c r="AI16" i="11"/>
  <c r="AJ16" i="11" s="1"/>
  <c r="AI14" i="11"/>
  <c r="AJ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32" i="12" l="1"/>
  <c r="BD32" i="12" s="1"/>
  <c r="BE11" i="12" s="1"/>
  <c r="AI28" i="11"/>
  <c r="AJ28" i="11" s="1"/>
  <c r="AI27" i="11"/>
  <c r="AJ27" i="11" s="1"/>
  <c r="AI18" i="11"/>
  <c r="AJ18" i="11" s="1"/>
  <c r="AI26" i="11"/>
  <c r="AJ26" i="11" s="1"/>
  <c r="AI12" i="11"/>
  <c r="AJ12" i="11" s="1"/>
  <c r="AI19" i="11"/>
  <c r="AJ19" i="11" s="1"/>
  <c r="AI24" i="11"/>
  <c r="AJ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AK11" i="11" l="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<sst xmlns="http://schemas.openxmlformats.org/spreadsheetml/2006/main" count="2564" uniqueCount="270">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</sst>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ont="1" applyFill="1" applyBorder="1"/>
    <xf numFmtId="0" fontId="0" fillId="4" borderId="2" xfId="0" applyFont="1" applyFill="1" applyBorder="1"/>
    <xf numFmtId="0" fontId="0" fillId="5" borderId="1" xfId="0" applyFont="1" applyFill="1" applyBorder="1"/>
    <xf numFmtId="0" fontId="1" fillId="3" borderId="7" xfId="0" applyFont="1" applyFill="1" applyBorder="1"/>
    <xf numFmtId="0" fontId="0" fillId="4" borderId="9" xfId="0" applyFont="1" applyFill="1" applyBorder="1"/>
    <xf numFmtId="0" fontId="0" fillId="4" borderId="4" xfId="0" applyFont="1" applyFill="1" applyBorder="1"/>
    <xf numFmtId="0" fontId="0" fillId="0" borderId="0" xfId="0" applyNumberFormat="1"/>
    <xf numFmtId="0" fontId="0" fillId="4" borderId="12" xfId="0" applyFont="1" applyFill="1" applyBorder="1"/>
    <xf numFmtId="0" fontId="0" fillId="4" borderId="13" xfId="0" applyFont="1" applyFill="1" applyBorder="1"/>
    <xf numFmtId="0" fontId="0" fillId="4" borderId="14" xfId="0" applyFont="1" applyFill="1" applyBorder="1"/>
    <xf numFmtId="0" fontId="0" fillId="6" borderId="11" xfId="0" applyNumberFormat="1" applyFont="1" applyFill="1" applyBorder="1"/>
    <xf numFmtId="0" fontId="0" fillId="0" borderId="11" xfId="0" applyNumberFormat="1" applyFont="1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 applyBorder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rgb="FFFFFFFF"/>
        </bottom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rgb="FFFFFFFF"/>
        </bottom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rgb="FFFFFFFF"/>
        </bottom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6" headerRowBorderDxfId="78" tableBorderDxfId="79">
  <autoFilter ref="CH37:CO62" xr:uid="{D533F341-1B01-7A4F-852B-C0E119D551C8}"/>
  <tableColumns count="8">
    <tableColumn id="1" xr3:uid="{1FEB6CC1-207A-A743-80DB-25243339D6F4}" name="Column1" dataDxfId="77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ueensland" queryTableFieldId="4"/>
    <tableColumn id="5" xr3:uid="{7CD35FFE-EDD3-9649-B44E-BD0ACDF4D503}" uniqueName="5" name="South Australia" queryTableFieldId="5"/>
    <tableColumn id="6" xr3:uid="{31C3CFF4-91D9-AE42-BC98-BC256E23BFDF}" uniqueName="6" name="Tasmania" queryTableFieldId="6"/>
    <tableColumn id="7" xr3:uid="{8C135761-2F80-F548-9A1B-999F08AAD7F9}" uniqueName="7" name="Victoria" queryTableFieldId="7"/>
    <tableColumn id="8" xr3:uid="{6DA6D816-2437-5E4D-B6F9-E93F9EA7B54D}" uniqueName="8" name="Western Australi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49"/>
    <tableColumn id="2" xr3:uid="{1400D452-8FE2-1342-8398-EFA100A8DE74}" uniqueName="2" name="Class" queryTableFieldId="2" dataDxfId="48"/>
    <tableColumn id="3" xr3:uid="{EFB769F4-A1D4-0242-AB79-1240AC1A0E32}" uniqueName="3" name="ACT/NSW" queryTableFieldId="3"/>
    <tableColumn id="4" xr3:uid="{D41938A1-408C-C844-AC19-38FCCF82B36D}" uniqueName="4" name="Queensland" queryTableFieldId="4"/>
    <tableColumn id="5" xr3:uid="{FB233205-08BF-6248-8E18-6E8AFAA84A94}" uniqueName="5" name="South Australia" queryTableFieldId="5"/>
    <tableColumn id="6" xr3:uid="{25F603F8-2D01-474A-B30D-E934C5EF46BB}" uniqueName="6" name="Tasmania" queryTableFieldId="6"/>
    <tableColumn id="7" xr3:uid="{A93966B1-C725-D849-9575-A7D4BD8D2284}" uniqueName="7" name="Victoria" queryTableFieldId="7"/>
    <tableColumn id="8" xr3:uid="{708FC418-1620-4F4A-B012-7687E4AAC5AB}" uniqueName="8" name="Western Australi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63" dataDxfId="64" headerRowBorderDxfId="72" tableBorderDxfId="73">
  <autoFilter ref="CH66:CO91" xr:uid="{97B3A928-C6CF-B742-B14D-3CDAC560FB37}"/>
  <tableColumns count="8">
    <tableColumn id="1" xr3:uid="{7BFDE0EA-91D9-3A48-8CE4-C4786F33EB9C}" name="Column1" dataDxfId="71"/>
    <tableColumn id="2" xr3:uid="{41693370-4D1A-6B48-B4CC-BFE3EBA3D81C}" name="Column2" dataDxfId="70"/>
    <tableColumn id="3" xr3:uid="{FFA57556-DA1E-7B46-A5B5-C30A515D43A1}" name="Column3" dataDxfId="69"/>
    <tableColumn id="4" xr3:uid="{911CC816-FFF8-5E4B-BEA8-879C55BFF4F3}" name="Column4" dataDxfId="68"/>
    <tableColumn id="5" xr3:uid="{6A0D6ABA-4E88-8942-BFDE-3A029BCECB39}" name="Column5" dataDxfId="67"/>
    <tableColumn id="6" xr3:uid="{E1BCB6C7-FD4C-0D45-92C5-BDB1E010306B}" name="Column6" dataDxfId="66"/>
    <tableColumn id="7" xr3:uid="{80D88B41-F39B-9F46-A91F-F342F4A4E2B3}" name="Column7" dataDxfId="65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59" headerRowBorderDxfId="61" tableBorderDxfId="62">
  <autoFilter ref="CH95:CO120" xr:uid="{BCD284C2-2879-C346-B956-5F9441CCE343}"/>
  <tableColumns count="8">
    <tableColumn id="1" xr3:uid="{7CAD892F-5666-F44E-9B46-125A1ED25FBB}" name="Column1" dataDxfId="60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47"/>
    <tableColumn id="2" xr3:uid="{65863F21-4FDD-3B43-89FE-70E9A86666A9}" uniqueName="2" name="Class" queryTableFieldId="2" dataDxfId="46"/>
    <tableColumn id="3" xr3:uid="{AED4F1F8-FD31-E243-9D37-0CC1FB62FB14}" uniqueName="3" name="ACT/NSW" queryTableFieldId="3"/>
    <tableColumn id="4" xr3:uid="{100C4784-419A-D949-B5C8-37DE8AD8F2DB}" uniqueName="4" name="Queensland" queryTableFieldId="4"/>
    <tableColumn id="5" xr3:uid="{CD6D7424-545D-034D-BED0-3FEA068E15A8}" uniqueName="5" name="South Australia" queryTableFieldId="5"/>
    <tableColumn id="6" xr3:uid="{C4B33E68-FE69-FB44-B0E6-0BD087C40277}" uniqueName="6" name="Tasmania" queryTableFieldId="6"/>
    <tableColumn id="7" xr3:uid="{7B67CE95-0362-F44A-86EC-5734DB3BE9BD}" uniqueName="7" name="Victoria" queryTableFieldId="7"/>
    <tableColumn id="8" xr3:uid="{67E3E0FA-D862-7B44-A23F-54EA4811F5B9}" uniqueName="8" name="Western Australi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0" dataDxfId="51">
  <autoFilter ref="CH130:CO155" xr:uid="{C4BA6C27-EED2-C74B-BDAA-FB48819EAF9E}"/>
  <tableColumns count="8">
    <tableColumn id="1" xr3:uid="{D03C8AE9-F5CC-054A-BA92-B03D057BEE50}" name="Column1" dataDxfId="58"/>
    <tableColumn id="2" xr3:uid="{26FCF033-B44B-2E4C-A7B9-A916F0225F83}" name="Column2"/>
    <tableColumn id="3" xr3:uid="{FDA23572-7395-4E4D-BFD8-9C3680ED75C3}" name="Column3" dataDxfId="57"/>
    <tableColumn id="4" xr3:uid="{FF394B01-DA56-E542-815E-7D933B1B45D6}" name="Column4" dataDxfId="56"/>
    <tableColumn id="5" xr3:uid="{EE581D06-B0C8-6747-933E-8837FA5DFC3D}" name="Column5" dataDxfId="55"/>
    <tableColumn id="6" xr3:uid="{51530F93-51A2-5A42-A85E-AF201951403B}" name="Column6" dataDxfId="54"/>
    <tableColumn id="7" xr3:uid="{89A909D1-08CA-6D4A-B279-2D4CEF292EBF}" name="Column7" dataDxfId="53"/>
    <tableColumn id="8" xr3:uid="{B9FD3358-EF93-FC4D-812C-38BFFFCF87DD}" name="Column8" dataDxfId="5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ueensland" queryTableFieldId="4"/>
    <tableColumn id="5" xr3:uid="{D7151F0F-0912-274C-AF6B-8B83B8AF554F}" uniqueName="5" name="South Australia" queryTableFieldId="5"/>
    <tableColumn id="6" xr3:uid="{0B706D24-7DC2-6648-89E7-F925A1900AA2}" uniqueName="6" name="Tasmania" queryTableFieldId="6"/>
    <tableColumn id="7" xr3:uid="{F4951BD9-8B6C-6048-90F0-6C14CCDF3C24}" uniqueName="7" name="Victoria" queryTableFieldId="7"/>
    <tableColumn id="8" xr3:uid="{EB59DA3B-F511-484D-BDA2-316B4E2B2A83}" uniqueName="8" name="Western Australi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ueensland" queryTableFieldId="4"/>
    <tableColumn id="5" xr3:uid="{57AC892E-82C5-074C-B7BA-29FED55B762A}" uniqueName="5" name="South Australia" queryTableFieldId="5"/>
    <tableColumn id="6" xr3:uid="{A1DACD50-0897-C549-94DC-88A075CDF818}" uniqueName="6" name="Tasmania" queryTableFieldId="6"/>
    <tableColumn id="7" xr3:uid="{14C1BC69-5582-E541-9996-1955EBA3BD7B}" uniqueName="7" name="Victoria" queryTableFieldId="7"/>
    <tableColumn id="8" xr3:uid="{F58B257C-980E-9B4D-B706-76ABB1B36556}" uniqueName="8" name="Western Australi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ueensland" queryTableFieldId="4"/>
    <tableColumn id="5" xr3:uid="{BBB39C0F-72F3-6740-B113-A6132BBC3306}" uniqueName="5" name="South Australia" queryTableFieldId="5"/>
    <tableColumn id="6" xr3:uid="{B4FFB7E6-8DBC-8B42-AB7D-323BABA5E829}" uniqueName="6" name="Tasmania" queryTableFieldId="6"/>
    <tableColumn id="7" xr3:uid="{D524D201-D226-F545-9FD0-B17CB0F08499}" uniqueName="7" name="Victoria" queryTableFieldId="7"/>
    <tableColumn id="8" xr3:uid="{18F66886-1956-9E46-8EBF-DDED33DF0B35}" uniqueName="8" name="Western Australi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7" tableBorderDxfId="38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30" headerRowBorderDxfId="28" tableBorderDxfId="29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8" tableBorderDxfId="19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M190"/>
  <sheetViews>
    <sheetView tabSelected="1" topLeftCell="AB1" workbookViewId="0">
      <selection activeCell="AQ2" sqref="AQ2"/>
    </sheetView>
  </sheetViews>
  <sheetFormatPr baseColWidth="10" defaultRowHeight="16" x14ac:dyDescent="0.2"/>
  <cols>
    <col min="4" max="4" width="16.83203125" customWidth="1"/>
    <col min="5" max="5" width="13.5" customWidth="1"/>
    <col min="28" max="28" width="16.83203125" customWidth="1"/>
    <col min="41" max="41" width="11" customWidth="1"/>
    <col min="42" max="42" width="35.83203125" bestFit="1" customWidth="1"/>
    <col min="43" max="46" width="11" customWidth="1"/>
    <col min="47" max="47" width="9.6640625" bestFit="1" customWidth="1"/>
    <col min="48" max="48" width="16.5" bestFit="1" customWidth="1"/>
    <col min="49" max="49" width="11.6640625" bestFit="1" customWidth="1"/>
    <col min="50" max="50" width="13.5" bestFit="1" customWidth="1"/>
    <col min="51" max="51" width="16.1640625" bestFit="1" customWidth="1"/>
    <col min="52" max="52" width="11.6640625" bestFit="1" customWidth="1"/>
    <col min="53" max="53" width="10.1640625" bestFit="1" customWidth="1"/>
    <col min="54" max="54" width="18.5" bestFit="1" customWidth="1"/>
    <col min="55" max="55" width="14.33203125" bestFit="1" customWidth="1"/>
    <col min="58" max="62" width="12" customWidth="1"/>
    <col min="63" max="65" width="11" customWidth="1"/>
  </cols>
  <sheetData>
    <row r="1" spans="1:65" x14ac:dyDescent="0.2">
      <c r="H1" t="s">
        <v>238</v>
      </c>
      <c r="I1" t="s">
        <v>238</v>
      </c>
      <c r="R1" t="s">
        <v>239</v>
      </c>
      <c r="V1" t="s">
        <v>238</v>
      </c>
      <c r="Y1" t="s">
        <v>238</v>
      </c>
      <c r="Z1" t="s">
        <v>238</v>
      </c>
      <c r="AA1" t="s">
        <v>256</v>
      </c>
      <c r="AO1">
        <v>1084</v>
      </c>
      <c r="AP1" t="s">
        <v>257</v>
      </c>
      <c r="AQ1">
        <v>0.19</v>
      </c>
      <c r="AS1" t="s">
        <v>265</v>
      </c>
      <c r="AT1">
        <v>1.3</v>
      </c>
    </row>
    <row r="2" spans="1:65" x14ac:dyDescent="0.2">
      <c r="T2" t="s">
        <v>6</v>
      </c>
      <c r="AB2" t="s">
        <v>7</v>
      </c>
      <c r="AD2" t="s">
        <v>11</v>
      </c>
      <c r="AG2" t="s">
        <v>12</v>
      </c>
      <c r="AI2" t="s">
        <v>12</v>
      </c>
      <c r="AJ2" t="s">
        <v>13</v>
      </c>
      <c r="AO2">
        <v>1087</v>
      </c>
      <c r="AP2" t="s">
        <v>152</v>
      </c>
      <c r="AQ2">
        <v>0.08</v>
      </c>
    </row>
    <row r="3" spans="1:65" x14ac:dyDescent="0.2">
      <c r="G3" t="s">
        <v>19</v>
      </c>
      <c r="H3">
        <v>342</v>
      </c>
      <c r="I3">
        <v>323</v>
      </c>
      <c r="J3" t="s">
        <v>20</v>
      </c>
      <c r="K3" t="s">
        <v>22</v>
      </c>
      <c r="L3" t="s">
        <v>23</v>
      </c>
      <c r="M3" t="s">
        <v>24</v>
      </c>
      <c r="O3" t="s">
        <v>51</v>
      </c>
      <c r="Q3" t="s">
        <v>25</v>
      </c>
      <c r="R3" t="s">
        <v>33</v>
      </c>
      <c r="S3" t="s">
        <v>39</v>
      </c>
      <c r="T3" t="s">
        <v>40</v>
      </c>
      <c r="U3">
        <v>351</v>
      </c>
      <c r="V3">
        <v>314</v>
      </c>
      <c r="W3">
        <v>302</v>
      </c>
      <c r="X3">
        <v>349</v>
      </c>
      <c r="Y3">
        <v>308</v>
      </c>
      <c r="Z3">
        <v>296</v>
      </c>
      <c r="AA3" t="s">
        <v>47</v>
      </c>
      <c r="AB3" t="s">
        <v>41</v>
      </c>
      <c r="AC3" t="s">
        <v>48</v>
      </c>
      <c r="AD3" t="s">
        <v>49</v>
      </c>
      <c r="AE3" t="s">
        <v>50</v>
      </c>
      <c r="AF3" t="s">
        <v>52</v>
      </c>
      <c r="AG3" t="s">
        <v>53</v>
      </c>
      <c r="AI3" t="s">
        <v>53</v>
      </c>
      <c r="AJ3" t="s">
        <v>54</v>
      </c>
      <c r="AP3" t="s">
        <v>125</v>
      </c>
      <c r="AQ3">
        <v>91.25</v>
      </c>
    </row>
    <row r="4" spans="1:65" x14ac:dyDescent="0.2">
      <c r="G4" t="s">
        <v>58</v>
      </c>
      <c r="J4" t="s">
        <v>59</v>
      </c>
      <c r="K4" t="s">
        <v>59</v>
      </c>
      <c r="L4" t="s">
        <v>59</v>
      </c>
      <c r="M4" t="s">
        <v>59</v>
      </c>
      <c r="O4" t="s">
        <v>59</v>
      </c>
      <c r="Q4" t="s">
        <v>59</v>
      </c>
      <c r="R4" t="s">
        <v>59</v>
      </c>
      <c r="S4" t="s">
        <v>60</v>
      </c>
      <c r="T4" t="s">
        <v>60</v>
      </c>
      <c r="U4" t="s">
        <v>59</v>
      </c>
      <c r="V4" t="s">
        <v>60</v>
      </c>
      <c r="W4" t="s">
        <v>60</v>
      </c>
      <c r="X4" t="s">
        <v>59</v>
      </c>
      <c r="Y4" t="s">
        <v>60</v>
      </c>
      <c r="Z4" t="s">
        <v>60</v>
      </c>
      <c r="AA4" t="s">
        <v>60</v>
      </c>
      <c r="AB4" t="s">
        <v>60</v>
      </c>
      <c r="AC4" t="s">
        <v>59</v>
      </c>
      <c r="AD4" t="s">
        <v>60</v>
      </c>
      <c r="AE4" t="s">
        <v>59</v>
      </c>
      <c r="AF4" t="s">
        <v>59</v>
      </c>
      <c r="AG4" t="s">
        <v>60</v>
      </c>
      <c r="AI4" t="s">
        <v>60</v>
      </c>
      <c r="AJ4" t="s">
        <v>60</v>
      </c>
      <c r="AO4">
        <v>1094</v>
      </c>
      <c r="AP4" t="s">
        <v>131</v>
      </c>
      <c r="AQ4">
        <v>0.24</v>
      </c>
    </row>
    <row r="5" spans="1:65" x14ac:dyDescent="0.2">
      <c r="G5" t="s">
        <v>61</v>
      </c>
      <c r="J5" t="s">
        <v>58</v>
      </c>
      <c r="K5" t="s">
        <v>58</v>
      </c>
      <c r="L5" t="s">
        <v>58</v>
      </c>
      <c r="M5" t="s">
        <v>58</v>
      </c>
      <c r="O5" t="s">
        <v>61</v>
      </c>
      <c r="Q5" t="s">
        <v>58</v>
      </c>
      <c r="R5" t="s">
        <v>61</v>
      </c>
      <c r="S5" t="s">
        <v>61</v>
      </c>
      <c r="T5" t="s">
        <v>61</v>
      </c>
      <c r="X5" t="s">
        <v>58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I5" t="s">
        <v>61</v>
      </c>
      <c r="AJ5" t="s">
        <v>61</v>
      </c>
      <c r="AO5">
        <v>1093</v>
      </c>
      <c r="AP5" t="s">
        <v>219</v>
      </c>
      <c r="AQ5">
        <v>0.21</v>
      </c>
    </row>
    <row r="6" spans="1:65" ht="17" thickBot="1" x14ac:dyDescent="0.25">
      <c r="AO6">
        <v>1095</v>
      </c>
      <c r="AP6" t="s">
        <v>220</v>
      </c>
      <c r="AQ6">
        <v>1.0999999999999999E-2</v>
      </c>
    </row>
    <row r="7" spans="1:65" ht="17" thickTop="1" x14ac:dyDescent="0.2">
      <c r="AO7">
        <v>1088</v>
      </c>
      <c r="AP7" t="s">
        <v>150</v>
      </c>
      <c r="AQ7">
        <f>44/28</f>
        <v>1.5714285714285714</v>
      </c>
      <c r="AU7" s="8"/>
      <c r="AV7" s="8"/>
      <c r="BM7" s="6"/>
    </row>
    <row r="8" spans="1:65" x14ac:dyDescent="0.2">
      <c r="G8" t="s">
        <v>64</v>
      </c>
      <c r="J8" t="s">
        <v>65</v>
      </c>
      <c r="K8" t="s">
        <v>63</v>
      </c>
      <c r="L8" t="s">
        <v>63</v>
      </c>
      <c r="M8" t="s">
        <v>66</v>
      </c>
      <c r="O8" t="s">
        <v>63</v>
      </c>
      <c r="Q8" t="s">
        <v>63</v>
      </c>
      <c r="R8" t="s">
        <v>63</v>
      </c>
      <c r="S8" t="s">
        <v>63</v>
      </c>
      <c r="T8" t="s">
        <v>72</v>
      </c>
      <c r="AA8" t="s">
        <v>75</v>
      </c>
      <c r="AB8" t="s">
        <v>71</v>
      </c>
      <c r="AC8" t="s">
        <v>63</v>
      </c>
      <c r="AD8" t="s">
        <v>71</v>
      </c>
      <c r="AE8" t="s">
        <v>76</v>
      </c>
      <c r="AF8" t="s">
        <v>77</v>
      </c>
      <c r="AG8" t="s">
        <v>78</v>
      </c>
      <c r="AI8" t="s">
        <v>78</v>
      </c>
      <c r="AJ8" t="s">
        <v>79</v>
      </c>
      <c r="AU8" s="8"/>
      <c r="AV8" s="8"/>
    </row>
    <row r="9" spans="1:65" x14ac:dyDescent="0.2">
      <c r="G9" t="s">
        <v>83</v>
      </c>
      <c r="H9" t="s">
        <v>236</v>
      </c>
      <c r="I9" t="s">
        <v>237</v>
      </c>
      <c r="J9" t="s">
        <v>84</v>
      </c>
      <c r="K9" t="s">
        <v>86</v>
      </c>
      <c r="L9" t="s">
        <v>87</v>
      </c>
      <c r="M9" t="s">
        <v>88</v>
      </c>
      <c r="O9" t="s">
        <v>115</v>
      </c>
      <c r="Q9" t="s">
        <v>89</v>
      </c>
      <c r="R9" t="s">
        <v>97</v>
      </c>
      <c r="S9" t="s">
        <v>103</v>
      </c>
      <c r="T9" t="s">
        <v>104</v>
      </c>
      <c r="AA9" t="s">
        <v>111</v>
      </c>
      <c r="AB9" t="s">
        <v>105</v>
      </c>
      <c r="AC9" t="s">
        <v>112</v>
      </c>
      <c r="AD9" t="s">
        <v>113</v>
      </c>
      <c r="AE9" t="s">
        <v>114</v>
      </c>
      <c r="AF9" t="s">
        <v>116</v>
      </c>
      <c r="AG9" t="s">
        <v>117</v>
      </c>
      <c r="AI9" t="s">
        <v>117</v>
      </c>
      <c r="AJ9" t="s">
        <v>118</v>
      </c>
      <c r="AQ9" t="s">
        <v>200</v>
      </c>
      <c r="AS9" t="s">
        <v>201</v>
      </c>
      <c r="AU9" s="8"/>
      <c r="AV9" s="8"/>
    </row>
    <row r="10" spans="1:65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s="1" t="s">
        <v>124</v>
      </c>
      <c r="H10" s="1" t="s">
        <v>235</v>
      </c>
      <c r="I10" s="1" t="s">
        <v>240</v>
      </c>
      <c r="J10" t="s">
        <v>125</v>
      </c>
      <c r="K10" t="s">
        <v>127</v>
      </c>
      <c r="L10" t="s">
        <v>128</v>
      </c>
      <c r="M10" t="s">
        <v>129</v>
      </c>
      <c r="N10" t="s">
        <v>215</v>
      </c>
      <c r="O10" t="s">
        <v>214</v>
      </c>
      <c r="P10" t="s">
        <v>217</v>
      </c>
      <c r="Q10" t="s">
        <v>216</v>
      </c>
      <c r="R10" t="s">
        <v>137</v>
      </c>
      <c r="S10" t="s">
        <v>143</v>
      </c>
      <c r="T10" t="s">
        <v>144</v>
      </c>
      <c r="U10" t="s">
        <v>265</v>
      </c>
      <c r="V10" t="s">
        <v>261</v>
      </c>
      <c r="W10" t="s">
        <v>264</v>
      </c>
      <c r="X10" t="s">
        <v>262</v>
      </c>
      <c r="Y10" t="s">
        <v>260</v>
      </c>
      <c r="Z10" t="s">
        <v>259</v>
      </c>
      <c r="AA10" t="s">
        <v>151</v>
      </c>
      <c r="AB10" t="s">
        <v>145</v>
      </c>
      <c r="AC10" t="s">
        <v>152</v>
      </c>
      <c r="AD10" t="s">
        <v>153</v>
      </c>
      <c r="AE10" t="s">
        <v>154</v>
      </c>
      <c r="AF10" t="s">
        <v>155</v>
      </c>
      <c r="AG10" t="s">
        <v>266</v>
      </c>
      <c r="AH10" t="s">
        <v>267</v>
      </c>
      <c r="AI10" t="s">
        <v>268</v>
      </c>
      <c r="AJ10" t="s">
        <v>156</v>
      </c>
      <c r="AK10" s="28" t="s">
        <v>156</v>
      </c>
      <c r="AP10" t="s">
        <v>202</v>
      </c>
      <c r="AQ10">
        <v>4.7000000000000002E-3</v>
      </c>
      <c r="AR10" s="14" t="s">
        <v>193</v>
      </c>
      <c r="AS10" s="14">
        <v>0.72</v>
      </c>
      <c r="AU10" s="8"/>
      <c r="AV10" s="8"/>
    </row>
    <row r="11" spans="1:65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2" t="s">
        <v>169</v>
      </c>
      <c r="F11" t="s">
        <v>163</v>
      </c>
      <c r="G11">
        <v>100</v>
      </c>
      <c r="H11">
        <v>95</v>
      </c>
      <c r="I11">
        <v>90</v>
      </c>
      <c r="J11">
        <f>$AQ$3</f>
        <v>91.25</v>
      </c>
      <c r="K11" cm="1">
        <f t="array" ref="K11:K34">_xlfn.DROP(_xlfn.XLOOKUP($C11,QueryCP[[#Headers],[ACT/NSW]:[Western Australia]],QueryCP[[#All],[ACT/NSW]:[Western Australia]]),1)</f>
        <v>0.2</v>
      </c>
      <c r="L11" cm="1">
        <f t="array" ref="L11:L34">_xlfn.DROP(_xlfn.XLOOKUP($C11,QueryDMD[[#Headers],[ACT/NSW]:[Western Australia]],QueryDMD[[#All],[ACT/NSW]:[Western Australia]]),1)</f>
        <v>0.75</v>
      </c>
      <c r="M11" cm="1">
        <f t="array" ref="M11:M34">_xlfn.DROP(_xlfn.XLOOKUP($C11,QueryW[[#Headers],[ACT/NSW]:[Western Australia]],QueryW[[#All],[ACT/NSW]:[Western Australia]]),1)</f>
        <v>54</v>
      </c>
      <c r="N11">
        <f>1-O11</f>
        <v>0</v>
      </c>
      <c r="O11">
        <f>IF($D$11="yes", 1, VLOOKUP($B$11, $AP$26:$AR$32, 1))</f>
        <v>1</v>
      </c>
      <c r="P11">
        <f>VLOOKUP($B$11,$AR$10:$AS$16, 2, FALSE)</f>
        <v>0.72</v>
      </c>
      <c r="Q11">
        <f>$AQ$10</f>
        <v>4.7000000000000002E-3</v>
      </c>
      <c r="R11">
        <f>(H11/100)*(MIN(I11,100)/100)</f>
        <v>0.85499999999999998</v>
      </c>
      <c r="S11">
        <v>0</v>
      </c>
      <c r="T11">
        <f>1.6 * S11</f>
        <v>0</v>
      </c>
      <c r="U11">
        <f>$AT$1</f>
        <v>1.3</v>
      </c>
      <c r="V11">
        <f>R11*U11+(1-R11)</f>
        <v>1.2565</v>
      </c>
      <c r="W11">
        <f>(0.795*L11)-0.0014</f>
        <v>0.5948500000000001</v>
      </c>
      <c r="X11" cm="1">
        <f t="array" ref="X11:X34">_xlfn.DROP(_xlfn.XLOOKUP($C11,QueryDMA[[#Headers],[ACT/NSW]:[Western Australia]],QueryDMA[[#All],[ACT/NSW]:[Western Australia]]),1)</f>
        <v>2.9</v>
      </c>
      <c r="Y11">
        <f>1 - EXP(-2*(X11^2))</f>
        <v>0.9999999504359468</v>
      </c>
      <c r="Z11">
        <f>(104.7*W11+0.307*M11-15)*(M11^0.75)*10^-3</f>
        <v>1.2720847291262878</v>
      </c>
      <c r="AA11">
        <f>Z11*Y11*V11</f>
        <v>1.5983743829252637</v>
      </c>
      <c r="AB11">
        <f>(AA11 * K11) + (0.045 * T11)</f>
        <v>0.31967487658505278</v>
      </c>
      <c r="AC11">
        <f>$AQ$2</f>
        <v>0.08</v>
      </c>
      <c r="AD11">
        <f>(AA11 * ((1 - L11) + (0.04 * AA11))) * ( 1 - AC11 )</f>
        <v>0.46164277265490583</v>
      </c>
      <c r="AE11">
        <f>$AQ$1</f>
        <v>0.19</v>
      </c>
      <c r="AF11">
        <f>$AR$20</f>
        <v>0.6784</v>
      </c>
      <c r="AG11">
        <f>AD11 * AE11 * N11 * P11 * AF11</f>
        <v>0</v>
      </c>
      <c r="AH11">
        <f>AD11*AE11*O11*Q11*AF11</f>
        <v>2.7966836207339569E-4</v>
      </c>
      <c r="AI11">
        <f>AG11+AH11</f>
        <v>2.7966836207339569E-4</v>
      </c>
      <c r="AJ11">
        <f>G11*AI11*J11</f>
        <v>2.5519738039197355</v>
      </c>
      <c r="AK11">
        <f>SUM(AJ11:AJ34)*10^-3</f>
        <v>5.3906996922269038E-2</v>
      </c>
      <c r="AR11" s="14" t="s">
        <v>194</v>
      </c>
      <c r="AS11" s="14">
        <v>0.75</v>
      </c>
      <c r="AU11" s="8"/>
      <c r="AV11" s="6"/>
    </row>
    <row r="12" spans="1:65" ht="18" thickTop="1" thickBot="1" x14ac:dyDescent="0.25">
      <c r="E12" s="13"/>
      <c r="F12" t="s">
        <v>164</v>
      </c>
      <c r="G12">
        <v>70</v>
      </c>
      <c r="H12">
        <v>0</v>
      </c>
      <c r="I12">
        <v>0</v>
      </c>
      <c r="J12">
        <f>$AQ$3</f>
        <v>91.25</v>
      </c>
      <c r="K12">
        <v>0.1</v>
      </c>
      <c r="L12">
        <v>0.61</v>
      </c>
      <c r="M12">
        <v>49</v>
      </c>
      <c r="N12">
        <f t="shared" ref="N12:N34" si="0">1-O12</f>
        <v>0</v>
      </c>
      <c r="O12">
        <f t="shared" ref="O12:O34" si="1">IF($D$11="yes", 1, VLOOKUP($B$11, $AP$26:$AR$32, 1))</f>
        <v>1</v>
      </c>
      <c r="P12">
        <f>VLOOKUP($B$11,$AR$10:$AS$16, 2, FALSE)</f>
        <v>0.72</v>
      </c>
      <c r="Q12">
        <f>$AQ$10</f>
        <v>4.7000000000000002E-3</v>
      </c>
      <c r="R12">
        <f>(H12/100)*(MIN(I12,100)/100)</f>
        <v>0</v>
      </c>
      <c r="S12">
        <v>0</v>
      </c>
      <c r="T12">
        <f t="shared" ref="T12:T34" si="2">1.6 * S12</f>
        <v>0</v>
      </c>
      <c r="U12">
        <f>$AT$1</f>
        <v>1.3</v>
      </c>
      <c r="V12">
        <f>R12*U12+(1-R12)</f>
        <v>1</v>
      </c>
      <c r="W12">
        <f>(0.795*L12)-0.0014</f>
        <v>0.48354999999999998</v>
      </c>
      <c r="X12">
        <v>2.5</v>
      </c>
      <c r="Y12">
        <f t="shared" ref="Y12:Y34" si="3">1 - EXP(-2*(X12^2))</f>
        <v>0.99999627334682795</v>
      </c>
      <c r="Z12">
        <f>(104.7*W12+0.307*M12-15)*(M12^0.75)*10^-3</f>
        <v>0.93843421889903578</v>
      </c>
      <c r="AA12">
        <f t="shared" ref="AA12:AA34" si="4">Z12*Y12*V12</f>
        <v>0.93843072168017716</v>
      </c>
      <c r="AB12">
        <f>(AA12 * K12) + (0.045 * T12)</f>
        <v>9.3843072168017724E-2</v>
      </c>
      <c r="AC12">
        <f>$AQ$2</f>
        <v>0.08</v>
      </c>
      <c r="AD12">
        <f>(AA12 * ((1 - L12) + (0.04 * AA12))) * ( 1 - AC12 )</f>
        <v>0.3691169446125166</v>
      </c>
      <c r="AE12">
        <f>$AQ$1</f>
        <v>0.19</v>
      </c>
      <c r="AF12">
        <f>$AR$20</f>
        <v>0.6784</v>
      </c>
      <c r="AG12">
        <f>AD12 * AE12 * N12 * P12 * AF12</f>
        <v>0</v>
      </c>
      <c r="AH12">
        <f>AD12*AE12*O12*Q12*AF12</f>
        <v>2.2361517915604222E-4</v>
      </c>
      <c r="AI12">
        <f t="shared" ref="AI12:AI34" si="5">AG12+AH12</f>
        <v>2.2361517915604222E-4</v>
      </c>
      <c r="AJ12">
        <f>G12*AI12*J12</f>
        <v>1.4283419568592195</v>
      </c>
      <c r="AR12" s="14" t="s">
        <v>195</v>
      </c>
      <c r="AS12" s="14">
        <v>0.78</v>
      </c>
      <c r="AU12" s="8"/>
      <c r="AV12" s="6"/>
    </row>
    <row r="13" spans="1:65" ht="18" thickTop="1" thickBot="1" x14ac:dyDescent="0.25">
      <c r="E13" s="12"/>
      <c r="F13" t="s">
        <v>165</v>
      </c>
      <c r="G13">
        <v>65</v>
      </c>
      <c r="H13">
        <v>0</v>
      </c>
      <c r="I13">
        <v>0</v>
      </c>
      <c r="J13">
        <f>$AQ$3</f>
        <v>91.25</v>
      </c>
      <c r="K13">
        <v>0.12</v>
      </c>
      <c r="L13">
        <v>0.64</v>
      </c>
      <c r="M13">
        <v>50</v>
      </c>
      <c r="N13">
        <f t="shared" si="0"/>
        <v>0</v>
      </c>
      <c r="O13">
        <f t="shared" si="1"/>
        <v>1</v>
      </c>
      <c r="P13">
        <f>VLOOKUP($B$11,$AR$10:$AS$16, 2, FALSE)</f>
        <v>0.72</v>
      </c>
      <c r="Q13">
        <f>$AQ$10</f>
        <v>4.7000000000000002E-3</v>
      </c>
      <c r="R13">
        <f>(H13/100)*(MIN(I13,100)/100)</f>
        <v>0</v>
      </c>
      <c r="S13">
        <v>0</v>
      </c>
      <c r="T13">
        <f t="shared" si="2"/>
        <v>0</v>
      </c>
      <c r="U13">
        <f>$AT$1</f>
        <v>1.3</v>
      </c>
      <c r="V13">
        <f>R13*U13+(1-R13)</f>
        <v>1</v>
      </c>
      <c r="W13">
        <f>(0.795*L13)-0.0014</f>
        <v>0.50740000000000007</v>
      </c>
      <c r="X13">
        <v>1.6</v>
      </c>
      <c r="Y13">
        <f t="shared" si="3"/>
        <v>0.99402397710499402</v>
      </c>
      <c r="Z13">
        <f>(104.7*W13+0.307*M13-15)*(M13^0.75)*10^-3</f>
        <v>1.0054871153505722</v>
      </c>
      <c r="AA13">
        <f t="shared" si="4"/>
        <v>0.99947830132860371</v>
      </c>
      <c r="AB13">
        <f>(AA13 * K13) + (0.045 * T13)</f>
        <v>0.11993739615943244</v>
      </c>
      <c r="AC13">
        <f>$AQ$2</f>
        <v>0.08</v>
      </c>
      <c r="AD13">
        <f>(AA13 * ((1 - L13) + (0.04 * AA13))) * ( 1 - AC13 )</f>
        <v>0.36778882639365651</v>
      </c>
      <c r="AE13">
        <f>$AQ$1</f>
        <v>0.19</v>
      </c>
      <c r="AF13">
        <f>$AR$20</f>
        <v>0.6784</v>
      </c>
      <c r="AG13">
        <f>AD13 * AE13 * N13 * P13 * AF13</f>
        <v>0</v>
      </c>
      <c r="AH13">
        <f>AD13*AE13*O13*Q13*AF13</f>
        <v>2.2281059026413275E-4</v>
      </c>
      <c r="AI13">
        <f t="shared" si="5"/>
        <v>2.2281059026413275E-4</v>
      </c>
      <c r="AJ13">
        <f>G13*AI13*J13</f>
        <v>1.3215453135041375</v>
      </c>
      <c r="AR13" s="14" t="s">
        <v>196</v>
      </c>
      <c r="AS13" s="14">
        <v>0.74</v>
      </c>
      <c r="AU13" s="8"/>
      <c r="AV13" s="6"/>
    </row>
    <row r="14" spans="1:65" ht="17" thickTop="1" x14ac:dyDescent="0.2">
      <c r="E14" s="13"/>
      <c r="F14" t="s">
        <v>166</v>
      </c>
      <c r="G14">
        <v>80</v>
      </c>
      <c r="H14">
        <v>0</v>
      </c>
      <c r="I14">
        <v>0</v>
      </c>
      <c r="J14">
        <f>$AQ$3</f>
        <v>91.25</v>
      </c>
      <c r="K14">
        <v>0.18</v>
      </c>
      <c r="L14">
        <v>0.72</v>
      </c>
      <c r="M14">
        <v>50</v>
      </c>
      <c r="N14">
        <f t="shared" si="0"/>
        <v>0</v>
      </c>
      <c r="O14">
        <f t="shared" si="1"/>
        <v>1</v>
      </c>
      <c r="P14">
        <f>VLOOKUP($B$11,$AR$10:$AS$16, 2, FALSE)</f>
        <v>0.72</v>
      </c>
      <c r="Q14">
        <f>$AQ$10</f>
        <v>4.7000000000000002E-3</v>
      </c>
      <c r="R14">
        <f>(H14/100)*(MIN(I14,100)/100)</f>
        <v>0</v>
      </c>
      <c r="S14">
        <v>0</v>
      </c>
      <c r="T14">
        <f t="shared" si="2"/>
        <v>0</v>
      </c>
      <c r="U14">
        <f>$AT$1</f>
        <v>1.3</v>
      </c>
      <c r="V14">
        <f>R14*U14+(1-R14)</f>
        <v>1</v>
      </c>
      <c r="W14">
        <f>(0.795*L14)-0.0014</f>
        <v>0.57100000000000006</v>
      </c>
      <c r="X14">
        <v>1.7</v>
      </c>
      <c r="Y14">
        <f t="shared" si="3"/>
        <v>0.99691128459176326</v>
      </c>
      <c r="Z14">
        <f>(104.7*W14+0.307*M14-15)*(M14^0.75)*10^-3</f>
        <v>1.1306948910936463</v>
      </c>
      <c r="AA14">
        <f t="shared" si="4"/>
        <v>1.1272024963615108</v>
      </c>
      <c r="AB14">
        <f>(AA14 * K14) + (0.045 * T14)</f>
        <v>0.20289644934507195</v>
      </c>
      <c r="AC14">
        <f>$AQ$2</f>
        <v>0.08</v>
      </c>
      <c r="AD14">
        <f>(AA14 * ((1 - L14) + (0.04 * AA14))) * ( 1 - AC14 )</f>
        <v>0.33712490827789848</v>
      </c>
      <c r="AE14">
        <f>$AQ$1</f>
        <v>0.19</v>
      </c>
      <c r="AF14">
        <f>$AR$20</f>
        <v>0.6784</v>
      </c>
      <c r="AG14">
        <f>AD14 * AE14 * N14 * P14 * AF14</f>
        <v>0</v>
      </c>
      <c r="AH14">
        <f>AD14*AE14*O14*Q14*AF14</f>
        <v>2.0423404523372364E-4</v>
      </c>
      <c r="AI14">
        <f t="shared" si="5"/>
        <v>2.0423404523372364E-4</v>
      </c>
      <c r="AJ14">
        <f>G14*AI14*J14</f>
        <v>1.4909085302061826</v>
      </c>
      <c r="AR14" s="14" t="s">
        <v>197</v>
      </c>
      <c r="AS14" s="14">
        <v>0.69</v>
      </c>
      <c r="AU14" s="8"/>
      <c r="AV14" s="6"/>
    </row>
    <row r="15" spans="1:65" x14ac:dyDescent="0.2">
      <c r="E15" s="12" t="s">
        <v>171</v>
      </c>
      <c r="F15" t="s">
        <v>163</v>
      </c>
      <c r="G15">
        <v>200</v>
      </c>
      <c r="H15">
        <v>0</v>
      </c>
      <c r="I15">
        <v>0</v>
      </c>
      <c r="J15">
        <f>$AQ$3</f>
        <v>91.25</v>
      </c>
      <c r="K15">
        <v>0.2</v>
      </c>
      <c r="L15">
        <v>0.75</v>
      </c>
      <c r="M15">
        <v>20</v>
      </c>
      <c r="N15">
        <f t="shared" si="0"/>
        <v>0</v>
      </c>
      <c r="O15">
        <f t="shared" si="1"/>
        <v>1</v>
      </c>
      <c r="P15">
        <f>VLOOKUP($B$11,$AR$10:$AS$16, 2, FALSE)</f>
        <v>0.72</v>
      </c>
      <c r="Q15">
        <f>$AQ$10</f>
        <v>4.7000000000000002E-3</v>
      </c>
      <c r="R15">
        <f>(H15/100)*(MIN(I15,100)/100)</f>
        <v>0</v>
      </c>
      <c r="S15">
        <v>1</v>
      </c>
      <c r="T15">
        <f t="shared" si="2"/>
        <v>1.6</v>
      </c>
      <c r="U15">
        <f>$AT$1</f>
        <v>1.3</v>
      </c>
      <c r="V15">
        <f>R15*U15+(1-R15)</f>
        <v>1</v>
      </c>
      <c r="W15">
        <f>(0.795*L15)-0.0014</f>
        <v>0.5948500000000001</v>
      </c>
      <c r="X15">
        <v>2.9</v>
      </c>
      <c r="Y15">
        <f t="shared" si="3"/>
        <v>0.9999999504359468</v>
      </c>
      <c r="Z15">
        <f>(104.7*W15+0.307*M15-15)*(M15^0.75)*10^-3</f>
        <v>0.5052226861752882</v>
      </c>
      <c r="AA15">
        <f t="shared" si="4"/>
        <v>0.50522266113440406</v>
      </c>
      <c r="AB15">
        <f>(AA15 * K15) + (0.045 * T15)</f>
        <v>0.17304453222688082</v>
      </c>
      <c r="AC15">
        <f>$AQ$2</f>
        <v>0.08</v>
      </c>
      <c r="AD15">
        <f>(AA15 * ((1 - L15) + (0.04 * AA15))) * ( 1 - AC15 )</f>
        <v>0.12559440975442615</v>
      </c>
      <c r="AE15">
        <f>$AQ$1</f>
        <v>0.19</v>
      </c>
      <c r="AF15">
        <f>$AR$20</f>
        <v>0.6784</v>
      </c>
      <c r="AG15">
        <f>AD15 * AE15 * N15 * P15 * AF15</f>
        <v>0</v>
      </c>
      <c r="AH15">
        <f>AD15*AE15*O15*Q15*AF15</f>
        <v>7.6086500086620609E-5</v>
      </c>
      <c r="AI15">
        <f t="shared" si="5"/>
        <v>7.6086500086620609E-5</v>
      </c>
      <c r="AJ15">
        <f>G15*AI15*J15</f>
        <v>1.388578626580826</v>
      </c>
      <c r="AR15" s="14" t="s">
        <v>198</v>
      </c>
      <c r="AS15" s="14">
        <v>0.73</v>
      </c>
      <c r="AU15" s="8"/>
      <c r="AV15" s="8"/>
    </row>
    <row r="16" spans="1:65" x14ac:dyDescent="0.2">
      <c r="E16" s="13"/>
      <c r="F16" t="s">
        <v>164</v>
      </c>
      <c r="G16">
        <v>210</v>
      </c>
      <c r="H16">
        <v>0</v>
      </c>
      <c r="I16">
        <v>0</v>
      </c>
      <c r="J16">
        <f>$AQ$3</f>
        <v>91.25</v>
      </c>
      <c r="K16">
        <v>0.1</v>
      </c>
      <c r="L16">
        <v>0.61</v>
      </c>
      <c r="M16">
        <v>27</v>
      </c>
      <c r="N16">
        <f t="shared" si="0"/>
        <v>0</v>
      </c>
      <c r="O16">
        <f t="shared" si="1"/>
        <v>1</v>
      </c>
      <c r="P16">
        <f>VLOOKUP($B$11,$AR$10:$AS$16, 2, FALSE)</f>
        <v>0.72</v>
      </c>
      <c r="Q16">
        <f>$AQ$10</f>
        <v>4.7000000000000002E-3</v>
      </c>
      <c r="R16">
        <f>(H16/100)*(MIN(I16,100)/100)</f>
        <v>0</v>
      </c>
      <c r="S16">
        <v>0</v>
      </c>
      <c r="T16">
        <f t="shared" si="2"/>
        <v>0</v>
      </c>
      <c r="U16">
        <f>$AT$1</f>
        <v>1.3</v>
      </c>
      <c r="V16">
        <f>R16*U16+(1-R16)</f>
        <v>1</v>
      </c>
      <c r="W16">
        <f>(0.795*L16)-0.0014</f>
        <v>0.48354999999999998</v>
      </c>
      <c r="X16">
        <v>2.5</v>
      </c>
      <c r="Y16">
        <f t="shared" si="3"/>
        <v>0.99999627334682795</v>
      </c>
      <c r="Z16">
        <f>(104.7*W16+0.307*M16-15)*(M16^0.75)*10^-3</f>
        <v>0.52017847077168489</v>
      </c>
      <c r="AA16">
        <f t="shared" si="4"/>
        <v>0.52017653224693672</v>
      </c>
      <c r="AB16">
        <f>(AA16 * K16) + (0.045 * T16)</f>
        <v>5.2017653224693677E-2</v>
      </c>
      <c r="AC16">
        <f>$AQ$2</f>
        <v>0.08</v>
      </c>
      <c r="AD16">
        <f>(AA16 * ((1 - L16) + (0.04 * AA16))) * ( 1 - AC16 )</f>
        <v>0.1965968171591774</v>
      </c>
      <c r="AE16">
        <f>$AQ$1</f>
        <v>0.19</v>
      </c>
      <c r="AF16">
        <f>$AR$20</f>
        <v>0.6784</v>
      </c>
      <c r="AG16">
        <f>AD16 * AE16 * N16 * P16 * AF16</f>
        <v>0</v>
      </c>
      <c r="AH16">
        <f>AD16*AE16*O16*Q16*AF16</f>
        <v>1.1910055371938185E-4</v>
      </c>
      <c r="AI16">
        <f t="shared" si="5"/>
        <v>1.1910055371938185E-4</v>
      </c>
      <c r="AJ16">
        <f>G16*AI16*J16</f>
        <v>2.2822643606476545</v>
      </c>
      <c r="AR16" s="14" t="s">
        <v>199</v>
      </c>
      <c r="AS16" s="14">
        <v>0.76</v>
      </c>
      <c r="AU16" s="8"/>
      <c r="AV16" s="8"/>
    </row>
    <row r="17" spans="5:48" x14ac:dyDescent="0.2">
      <c r="E17" s="12"/>
      <c r="F17" t="s">
        <v>165</v>
      </c>
      <c r="G17">
        <v>170</v>
      </c>
      <c r="H17">
        <v>0</v>
      </c>
      <c r="I17">
        <v>0</v>
      </c>
      <c r="J17">
        <f>$AQ$3</f>
        <v>91.25</v>
      </c>
      <c r="K17">
        <v>0.12</v>
      </c>
      <c r="L17">
        <v>0.64</v>
      </c>
      <c r="M17">
        <v>32</v>
      </c>
      <c r="N17">
        <f t="shared" si="0"/>
        <v>0</v>
      </c>
      <c r="O17">
        <f t="shared" si="1"/>
        <v>1</v>
      </c>
      <c r="P17">
        <f>VLOOKUP($B$11,$AR$10:$AS$16, 2, FALSE)</f>
        <v>0.72</v>
      </c>
      <c r="Q17">
        <f>$AQ$10</f>
        <v>4.7000000000000002E-3</v>
      </c>
      <c r="R17">
        <f>(H17/100)*(MIN(I17,100)/100)</f>
        <v>0</v>
      </c>
      <c r="S17">
        <v>0</v>
      </c>
      <c r="T17">
        <f t="shared" si="2"/>
        <v>0</v>
      </c>
      <c r="U17">
        <f>$AT$1</f>
        <v>1.3</v>
      </c>
      <c r="V17">
        <f>R17*U17+(1-R17)</f>
        <v>1</v>
      </c>
      <c r="W17">
        <f>(0.795*L17)-0.0014</f>
        <v>0.50740000000000007</v>
      </c>
      <c r="X17">
        <v>1.6</v>
      </c>
      <c r="Y17">
        <f t="shared" si="3"/>
        <v>0.99402397710499402</v>
      </c>
      <c r="Z17">
        <f>(104.7*W17+0.307*M17-15)*(M17^0.75)*10^-3</f>
        <v>0.64511931548462409</v>
      </c>
      <c r="AA17">
        <f t="shared" si="4"/>
        <v>0.64126406768527744</v>
      </c>
      <c r="AB17">
        <f>(AA17 * K17) + (0.045 * T17)</f>
        <v>7.6951688122233283E-2</v>
      </c>
      <c r="AC17">
        <f>$AQ$2</f>
        <v>0.08</v>
      </c>
      <c r="AD17">
        <f>(AA17 * ((1 - L17) + (0.04 * AA17))) * ( 1 - AC17 )</f>
        <v>0.22751954066312097</v>
      </c>
      <c r="AE17">
        <f>$AQ$1</f>
        <v>0.19</v>
      </c>
      <c r="AF17">
        <f>$AR$20</f>
        <v>0.6784</v>
      </c>
      <c r="AG17">
        <f>AD17 * AE17 * N17 * P17 * AF17</f>
        <v>0</v>
      </c>
      <c r="AH17">
        <f>AD17*AE17*O17*Q17*AF17</f>
        <v>1.378338859525741E-4</v>
      </c>
      <c r="AI17">
        <f t="shared" si="5"/>
        <v>1.378338859525741E-4</v>
      </c>
      <c r="AJ17">
        <f>G17*AI17*J17</f>
        <v>2.1381481558393056</v>
      </c>
      <c r="AU17" s="8"/>
      <c r="AV17" s="8"/>
    </row>
    <row r="18" spans="5:48" x14ac:dyDescent="0.2">
      <c r="E18" s="13"/>
      <c r="F18" t="s">
        <v>166</v>
      </c>
      <c r="G18">
        <v>200</v>
      </c>
      <c r="H18">
        <v>0</v>
      </c>
      <c r="I18">
        <v>0</v>
      </c>
      <c r="J18">
        <f>$AQ$3</f>
        <v>91.25</v>
      </c>
      <c r="K18">
        <v>0.18</v>
      </c>
      <c r="L18">
        <v>0.72</v>
      </c>
      <c r="M18">
        <v>34</v>
      </c>
      <c r="N18">
        <f t="shared" si="0"/>
        <v>0</v>
      </c>
      <c r="O18">
        <f t="shared" si="1"/>
        <v>1</v>
      </c>
      <c r="P18">
        <f>VLOOKUP($B$11,$AR$10:$AS$16, 2, FALSE)</f>
        <v>0.72</v>
      </c>
      <c r="Q18">
        <f>$AQ$10</f>
        <v>4.7000000000000002E-3</v>
      </c>
      <c r="R18">
        <f>(H18/100)*(MIN(I18,100)/100)</f>
        <v>0</v>
      </c>
      <c r="S18">
        <v>0</v>
      </c>
      <c r="T18">
        <f t="shared" si="2"/>
        <v>0</v>
      </c>
      <c r="U18">
        <f>$AT$1</f>
        <v>1.3</v>
      </c>
      <c r="V18">
        <f>R18*U18+(1-R18)</f>
        <v>1</v>
      </c>
      <c r="W18">
        <f>(0.795*L18)-0.0014</f>
        <v>0.57100000000000006</v>
      </c>
      <c r="X18">
        <v>1.7</v>
      </c>
      <c r="Y18">
        <f t="shared" si="3"/>
        <v>0.99691128459176326</v>
      </c>
      <c r="Z18">
        <f>(104.7*W18+0.307*M18-15)*(M18^0.75)*10^-3</f>
        <v>0.77753323213623582</v>
      </c>
      <c r="AA18">
        <f t="shared" si="4"/>
        <v>0.77513165326172051</v>
      </c>
      <c r="AB18">
        <f>(AA18 * K18) + (0.045 * T18)</f>
        <v>0.1395236975871097</v>
      </c>
      <c r="AC18">
        <f>$AQ$2</f>
        <v>0.08</v>
      </c>
      <c r="AD18">
        <f>(AA18 * ((1 - L18) + (0.04 * AA18))) * ( 1 - AC18 )</f>
        <v>0.22178442402010679</v>
      </c>
      <c r="AE18">
        <f>$AQ$1</f>
        <v>0.19</v>
      </c>
      <c r="AF18">
        <f>$AR$20</f>
        <v>0.6784</v>
      </c>
      <c r="AG18">
        <f>AD18 * AE18 * N18 * P18 * AF18</f>
        <v>0</v>
      </c>
      <c r="AH18">
        <f>AD18*AE18*O18*Q18*AF18</f>
        <v>1.3435948805692974E-4</v>
      </c>
      <c r="AI18">
        <f t="shared" si="5"/>
        <v>1.3435948805692974E-4</v>
      </c>
      <c r="AJ18">
        <f>G18*AI18*J18</f>
        <v>2.4520606570389676</v>
      </c>
      <c r="AQ18" t="s">
        <v>149</v>
      </c>
      <c r="AR18" s="14" t="s">
        <v>254</v>
      </c>
      <c r="AS18" s="14">
        <v>6.0000000000000001E-3</v>
      </c>
      <c r="AU18" s="8"/>
      <c r="AV18" s="8"/>
    </row>
    <row r="19" spans="5:48" x14ac:dyDescent="0.2">
      <c r="E19" s="12" t="s">
        <v>168</v>
      </c>
      <c r="F19" t="s">
        <v>163</v>
      </c>
      <c r="G19">
        <v>100</v>
      </c>
      <c r="H19">
        <v>95</v>
      </c>
      <c r="I19">
        <v>92</v>
      </c>
      <c r="J19">
        <f>$AQ$3</f>
        <v>91.25</v>
      </c>
      <c r="K19">
        <v>0.2</v>
      </c>
      <c r="L19">
        <v>0.75</v>
      </c>
      <c r="M19">
        <v>44</v>
      </c>
      <c r="N19">
        <f t="shared" si="0"/>
        <v>0</v>
      </c>
      <c r="O19">
        <f t="shared" si="1"/>
        <v>1</v>
      </c>
      <c r="P19">
        <f>VLOOKUP($B$11,$AR$10:$AS$16, 2, FALSE)</f>
        <v>0.72</v>
      </c>
      <c r="Q19">
        <f>$AQ$10</f>
        <v>4.7000000000000002E-3</v>
      </c>
      <c r="R19">
        <f>(H19/100)*(MIN(I19,100)/100)</f>
        <v>0.874</v>
      </c>
      <c r="S19">
        <v>0</v>
      </c>
      <c r="T19">
        <f t="shared" si="2"/>
        <v>0</v>
      </c>
      <c r="U19">
        <f>$AT$1</f>
        <v>1.3</v>
      </c>
      <c r="V19">
        <f>R19*U19+(1-R19)</f>
        <v>1.2622</v>
      </c>
      <c r="W19">
        <f>(0.795*L19)-0.0014</f>
        <v>0.5948500000000001</v>
      </c>
      <c r="X19">
        <v>2.9</v>
      </c>
      <c r="Y19">
        <f t="shared" si="3"/>
        <v>0.9999999504359468</v>
      </c>
      <c r="Z19">
        <f>(104.7*W19+0.307*M19-15)*(M19^0.75)*10^-3</f>
        <v>1.0385156413271623</v>
      </c>
      <c r="AA19">
        <f t="shared" si="4"/>
        <v>1.3108143775138676</v>
      </c>
      <c r="AB19">
        <f>(AA19 * K19) + (0.045 * T19)</f>
        <v>0.26216287550277356</v>
      </c>
      <c r="AC19">
        <f>$AQ$2</f>
        <v>0.08</v>
      </c>
      <c r="AD19">
        <f>(AA19 * ((1 - L19) + (0.04 * AA19))) * ( 1 - AC19 )</f>
        <v>0.36471833025672168</v>
      </c>
      <c r="AE19">
        <f>$AQ$1</f>
        <v>0.19</v>
      </c>
      <c r="AF19">
        <f>$AR$20</f>
        <v>0.6784</v>
      </c>
      <c r="AG19">
        <f>AD19 * AE19 * N19 * P19 * AF19</f>
        <v>0</v>
      </c>
      <c r="AH19">
        <f>AD19*AE19*O19*Q19*AF19</f>
        <v>2.2095044931482087E-4</v>
      </c>
      <c r="AI19">
        <f t="shared" si="5"/>
        <v>2.2095044931482087E-4</v>
      </c>
      <c r="AJ19">
        <f>G19*AI19*J19</f>
        <v>2.0161728499977403</v>
      </c>
      <c r="AR19" s="14" t="s">
        <v>255</v>
      </c>
      <c r="AS19" s="14">
        <v>2E-3</v>
      </c>
      <c r="AU19" s="8"/>
      <c r="AV19" s="8"/>
    </row>
    <row r="20" spans="5:48" x14ac:dyDescent="0.2">
      <c r="E20" s="13"/>
      <c r="F20" t="s">
        <v>164</v>
      </c>
      <c r="G20">
        <v>140</v>
      </c>
      <c r="H20">
        <v>0</v>
      </c>
      <c r="I20">
        <v>0</v>
      </c>
      <c r="J20">
        <f>$AQ$3</f>
        <v>91.25</v>
      </c>
      <c r="K20">
        <v>0.1</v>
      </c>
      <c r="L20">
        <v>0.61</v>
      </c>
      <c r="M20">
        <v>42</v>
      </c>
      <c r="N20">
        <f t="shared" si="0"/>
        <v>0</v>
      </c>
      <c r="O20">
        <f t="shared" si="1"/>
        <v>1</v>
      </c>
      <c r="P20">
        <f>VLOOKUP($B$11,$AR$10:$AS$16, 2, FALSE)</f>
        <v>0.72</v>
      </c>
      <c r="Q20">
        <f>$AQ$10</f>
        <v>4.7000000000000002E-3</v>
      </c>
      <c r="R20">
        <f>(H20/100)*(MIN(I20,100)/100)</f>
        <v>0</v>
      </c>
      <c r="S20">
        <v>0</v>
      </c>
      <c r="T20">
        <f t="shared" si="2"/>
        <v>0</v>
      </c>
      <c r="U20">
        <f>$AT$1</f>
        <v>1.3</v>
      </c>
      <c r="V20">
        <f>R20*U20+(1-R20)</f>
        <v>1</v>
      </c>
      <c r="W20">
        <f>(0.795*L20)-0.0014</f>
        <v>0.48354999999999998</v>
      </c>
      <c r="X20">
        <v>2.5</v>
      </c>
      <c r="Y20">
        <f t="shared" si="3"/>
        <v>0.99999627334682795</v>
      </c>
      <c r="Z20">
        <f>(104.7*W20+0.307*M20-15)*(M20^0.75)*10^-3</f>
        <v>0.80052120768394575</v>
      </c>
      <c r="AA20">
        <f t="shared" si="4"/>
        <v>0.80051822441904785</v>
      </c>
      <c r="AB20">
        <f>(AA20 * K20) + (0.045 * T20)</f>
        <v>8.0051822441904785E-2</v>
      </c>
      <c r="AC20">
        <f>$AQ$2</f>
        <v>0.08</v>
      </c>
      <c r="AD20">
        <f>(AA20 * ((1 - L20) + (0.04 * AA20))) * ( 1 - AC20 )</f>
        <v>0.31080846185822891</v>
      </c>
      <c r="AE20">
        <f>$AQ$1</f>
        <v>0.19</v>
      </c>
      <c r="AF20">
        <f>$AR$20</f>
        <v>0.6784</v>
      </c>
      <c r="AG20">
        <f>AD20 * AE20 * N20 * P20 * AF20</f>
        <v>0</v>
      </c>
      <c r="AH20">
        <f>AD20*AE20*O20*Q20*AF20</f>
        <v>1.8829124724848792E-4</v>
      </c>
      <c r="AI20">
        <f t="shared" si="5"/>
        <v>1.8829124724848792E-4</v>
      </c>
      <c r="AJ20">
        <f>G20*AI20*J20</f>
        <v>2.4054206835994334</v>
      </c>
      <c r="AQ20" t="s">
        <v>258</v>
      </c>
      <c r="AR20">
        <v>0.6784</v>
      </c>
      <c r="AU20" s="8"/>
      <c r="AV20" s="8"/>
    </row>
    <row r="21" spans="5:48" x14ac:dyDescent="0.2">
      <c r="E21" s="12"/>
      <c r="F21" t="s">
        <v>165</v>
      </c>
      <c r="G21">
        <v>135</v>
      </c>
      <c r="H21">
        <v>0</v>
      </c>
      <c r="I21">
        <v>0</v>
      </c>
      <c r="J21">
        <f>$AQ$3</f>
        <v>91.25</v>
      </c>
      <c r="K21">
        <v>0.12</v>
      </c>
      <c r="L21">
        <v>0.64</v>
      </c>
      <c r="M21">
        <v>43</v>
      </c>
      <c r="N21">
        <f t="shared" si="0"/>
        <v>0</v>
      </c>
      <c r="O21">
        <f t="shared" si="1"/>
        <v>1</v>
      </c>
      <c r="P21">
        <f>VLOOKUP($B$11,$AR$10:$AS$16, 2, FALSE)</f>
        <v>0.72</v>
      </c>
      <c r="Q21">
        <f>$AQ$10</f>
        <v>4.7000000000000002E-3</v>
      </c>
      <c r="R21">
        <f>(H21/100)*(MIN(I21,100)/100)</f>
        <v>0</v>
      </c>
      <c r="S21">
        <v>0</v>
      </c>
      <c r="T21">
        <f t="shared" si="2"/>
        <v>0</v>
      </c>
      <c r="U21">
        <f>$AT$1</f>
        <v>1.3</v>
      </c>
      <c r="V21">
        <f>R21*U21+(1-R21)</f>
        <v>1</v>
      </c>
      <c r="W21">
        <f>(0.795*L21)-0.0014</f>
        <v>0.50740000000000007</v>
      </c>
      <c r="X21">
        <v>1.6</v>
      </c>
      <c r="Y21">
        <f t="shared" si="3"/>
        <v>0.99402397710499402</v>
      </c>
      <c r="Z21">
        <f>(104.7*W21+0.307*M21-15)*(M21^0.75)*10^-3</f>
        <v>0.86186034677094148</v>
      </c>
      <c r="AA21">
        <f t="shared" si="4"/>
        <v>0.85670984960634056</v>
      </c>
      <c r="AB21">
        <f>(AA21 * K21) + (0.045 * T21)</f>
        <v>0.10280518195276087</v>
      </c>
      <c r="AC21">
        <f>$AQ$2</f>
        <v>0.08</v>
      </c>
      <c r="AD21">
        <f>(AA21 * ((1 - L21) + (0.04 * AA21))) * ( 1 - AC21 )</f>
        <v>0.31075172719360067</v>
      </c>
      <c r="AE21">
        <f>$AQ$1</f>
        <v>0.19</v>
      </c>
      <c r="AF21">
        <f>$AR$20</f>
        <v>0.6784</v>
      </c>
      <c r="AG21">
        <f>AD21 * AE21 * N21 * P21 * AF21</f>
        <v>0</v>
      </c>
      <c r="AH21">
        <f>AD21*AE21*O21*Q21*AF21</f>
        <v>1.8825687675322786E-4</v>
      </c>
      <c r="AI21">
        <f t="shared" si="5"/>
        <v>1.8825687675322786E-4</v>
      </c>
      <c r="AJ21">
        <f>G21*AI21*J21</f>
        <v>2.3190894005038256</v>
      </c>
      <c r="AU21" s="8"/>
      <c r="AV21" s="8"/>
    </row>
    <row r="22" spans="5:48" x14ac:dyDescent="0.2">
      <c r="E22" s="13"/>
      <c r="F22" t="s">
        <v>166</v>
      </c>
      <c r="G22">
        <v>130</v>
      </c>
      <c r="H22">
        <v>0</v>
      </c>
      <c r="I22">
        <v>0</v>
      </c>
      <c r="J22">
        <f>$AQ$3</f>
        <v>91.25</v>
      </c>
      <c r="K22">
        <v>0.18</v>
      </c>
      <c r="L22">
        <v>0.72</v>
      </c>
      <c r="M22">
        <v>45</v>
      </c>
      <c r="N22">
        <f t="shared" si="0"/>
        <v>0</v>
      </c>
      <c r="O22">
        <f t="shared" si="1"/>
        <v>1</v>
      </c>
      <c r="P22">
        <f>VLOOKUP($B$11,$AR$10:$AS$16, 2, FALSE)</f>
        <v>0.72</v>
      </c>
      <c r="Q22">
        <f>$AQ$10</f>
        <v>4.7000000000000002E-3</v>
      </c>
      <c r="R22">
        <f>(H22/100)*(MIN(I22,100)/100)</f>
        <v>0</v>
      </c>
      <c r="S22">
        <v>0</v>
      </c>
      <c r="T22">
        <f t="shared" si="2"/>
        <v>0</v>
      </c>
      <c r="U22">
        <f>$AT$1</f>
        <v>1.3</v>
      </c>
      <c r="V22">
        <f>R22*U22+(1-R22)</f>
        <v>1</v>
      </c>
      <c r="W22">
        <f>(0.795*L22)-0.0014</f>
        <v>0.57100000000000006</v>
      </c>
      <c r="X22">
        <v>1.7</v>
      </c>
      <c r="Y22">
        <f t="shared" si="3"/>
        <v>0.99691128459176326</v>
      </c>
      <c r="Z22">
        <f>(104.7*W22+0.307*M22-15)*(M22^0.75)*10^-3</f>
        <v>1.0181162441707754</v>
      </c>
      <c r="AA22">
        <f t="shared" si="4"/>
        <v>1.014971572840029</v>
      </c>
      <c r="AB22">
        <f>(AA22 * K22) + (0.045 * T22)</f>
        <v>0.18269488311120521</v>
      </c>
      <c r="AC22">
        <f>$AQ$2</f>
        <v>0.08</v>
      </c>
      <c r="AD22">
        <f>(AA22 * ((1 - L22) + (0.04 * AA22))) * ( 1 - AC22 )</f>
        <v>0.29936683357077126</v>
      </c>
      <c r="AE22">
        <f>$AQ$1</f>
        <v>0.19</v>
      </c>
      <c r="AF22">
        <f>$AR$20</f>
        <v>0.6784</v>
      </c>
      <c r="AG22">
        <f>AD22 * AE22 * N22 * P22 * AF22</f>
        <v>0</v>
      </c>
      <c r="AH22">
        <f>AD22*AE22*O22*Q22*AF22</f>
        <v>1.8135978068570922E-4</v>
      </c>
      <c r="AI22">
        <f t="shared" si="5"/>
        <v>1.8135978068570922E-4</v>
      </c>
      <c r="AJ22">
        <f>G22*AI22*J22</f>
        <v>2.1513803983842257</v>
      </c>
      <c r="AU22" s="8"/>
      <c r="AV22" s="8"/>
    </row>
    <row r="23" spans="5:48" x14ac:dyDescent="0.2">
      <c r="E23" s="12" t="s">
        <v>170</v>
      </c>
      <c r="F23" t="s">
        <v>163</v>
      </c>
      <c r="G23">
        <v>200</v>
      </c>
      <c r="H23">
        <v>0</v>
      </c>
      <c r="I23">
        <v>0</v>
      </c>
      <c r="J23">
        <f>$AQ$3</f>
        <v>91.25</v>
      </c>
      <c r="K23">
        <v>0.2</v>
      </c>
      <c r="L23">
        <v>0.75</v>
      </c>
      <c r="M23">
        <v>56</v>
      </c>
      <c r="N23">
        <f t="shared" si="0"/>
        <v>0</v>
      </c>
      <c r="O23">
        <f t="shared" si="1"/>
        <v>1</v>
      </c>
      <c r="P23">
        <f>VLOOKUP($B$11,$AR$10:$AS$16, 2, FALSE)</f>
        <v>0.72</v>
      </c>
      <c r="Q23">
        <f>$AQ$10</f>
        <v>4.7000000000000002E-3</v>
      </c>
      <c r="R23">
        <f>(H23/100)*(MIN(I23,100)/100)</f>
        <v>0</v>
      </c>
      <c r="S23">
        <v>0</v>
      </c>
      <c r="T23">
        <f t="shared" si="2"/>
        <v>0</v>
      </c>
      <c r="U23">
        <f>$AT$1</f>
        <v>1.3</v>
      </c>
      <c r="V23">
        <f>R23*U23+(1-R23)</f>
        <v>1</v>
      </c>
      <c r="W23">
        <f>(0.795*L23)-0.0014</f>
        <v>0.5948500000000001</v>
      </c>
      <c r="X23">
        <v>2.9</v>
      </c>
      <c r="Y23">
        <f t="shared" si="3"/>
        <v>0.9999999504359468</v>
      </c>
      <c r="Z23">
        <f>(104.7*W23+0.307*M23-15)*(M23^0.75)*10^-3</f>
        <v>1.3198285488795851</v>
      </c>
      <c r="AA23">
        <f t="shared" si="4"/>
        <v>1.3198284834635328</v>
      </c>
      <c r="AB23">
        <f>(AA23 * K23) + (0.045 * T23)</f>
        <v>0.26396569669270659</v>
      </c>
      <c r="AC23">
        <f>$AQ$2</f>
        <v>0.08</v>
      </c>
      <c r="AD23">
        <f>(AA23 * ((1 - L23) + (0.04 * AA23))) * ( 1 - AC23 )</f>
        <v>0.3676642091046412</v>
      </c>
      <c r="AE23">
        <f>$AQ$1</f>
        <v>0.19</v>
      </c>
      <c r="AF23">
        <f>$AR$20</f>
        <v>0.6784</v>
      </c>
      <c r="AG23">
        <f>AD23 * AE23 * N23 * P23 * AF23</f>
        <v>0</v>
      </c>
      <c r="AH23">
        <f>AD23*AE23*O23*Q23*AF23</f>
        <v>2.2273509571473364E-4</v>
      </c>
      <c r="AI23">
        <f t="shared" si="5"/>
        <v>2.2273509571473364E-4</v>
      </c>
      <c r="AJ23">
        <f>G23*AI23*J23</f>
        <v>4.0649154967938896</v>
      </c>
      <c r="AU23" s="8"/>
      <c r="AV23" s="8"/>
    </row>
    <row r="24" spans="5:48" x14ac:dyDescent="0.2">
      <c r="E24" s="13"/>
      <c r="F24" t="s">
        <v>164</v>
      </c>
      <c r="G24">
        <v>210</v>
      </c>
      <c r="H24">
        <v>0</v>
      </c>
      <c r="I24">
        <v>0</v>
      </c>
      <c r="J24">
        <f>$AQ$3</f>
        <v>91.25</v>
      </c>
      <c r="K24">
        <v>0.1</v>
      </c>
      <c r="L24">
        <v>0.61</v>
      </c>
      <c r="M24">
        <v>51</v>
      </c>
      <c r="N24">
        <f t="shared" si="0"/>
        <v>0</v>
      </c>
      <c r="O24">
        <f t="shared" si="1"/>
        <v>1</v>
      </c>
      <c r="P24">
        <f>VLOOKUP($B$11,$AR$10:$AS$16, 2, FALSE)</f>
        <v>0.72</v>
      </c>
      <c r="Q24">
        <f>$AQ$10</f>
        <v>4.7000000000000002E-3</v>
      </c>
      <c r="R24">
        <f>(H24/100)*(MIN(I24,100)/100)</f>
        <v>0</v>
      </c>
      <c r="S24">
        <v>0</v>
      </c>
      <c r="T24">
        <f t="shared" si="2"/>
        <v>0</v>
      </c>
      <c r="U24">
        <f>$AT$1</f>
        <v>1.3</v>
      </c>
      <c r="V24">
        <f>R24*U24+(1-R24)</f>
        <v>1</v>
      </c>
      <c r="W24">
        <f>(0.795*L24)-0.0014</f>
        <v>0.48354999999999998</v>
      </c>
      <c r="X24">
        <v>2.5</v>
      </c>
      <c r="Y24">
        <f t="shared" si="3"/>
        <v>0.99999627334682795</v>
      </c>
      <c r="Z24">
        <f>(104.7*W24+0.307*M24-15)*(M24^0.75)*10^-3</f>
        <v>0.97873546256970145</v>
      </c>
      <c r="AA24">
        <f t="shared" si="4"/>
        <v>0.97873181516208529</v>
      </c>
      <c r="AB24">
        <f>(AA24 * K24) + (0.045 * T24)</f>
        <v>9.7873181516208538E-2</v>
      </c>
      <c r="AC24">
        <f>$AQ$2</f>
        <v>0.08</v>
      </c>
      <c r="AD24">
        <f>(AA24 * ((1 - L24) + (0.04 * AA24))) * ( 1 - AC24 )</f>
        <v>0.38642028282934154</v>
      </c>
      <c r="AE24">
        <f>$AQ$1</f>
        <v>0.19</v>
      </c>
      <c r="AF24">
        <f>$AR$20</f>
        <v>0.6784</v>
      </c>
      <c r="AG24">
        <f>AD24 * AE24 * N24 * P24 * AF24</f>
        <v>0</v>
      </c>
      <c r="AH24">
        <f>AD24*AE24*O24*Q24*AF24</f>
        <v>2.3409773524518283E-4</v>
      </c>
      <c r="AI24">
        <f t="shared" si="5"/>
        <v>2.3409773524518283E-4</v>
      </c>
      <c r="AJ24">
        <f>G24*AI24*J24</f>
        <v>4.4858978516358157</v>
      </c>
      <c r="AU24" s="8"/>
      <c r="AV24" s="8"/>
    </row>
    <row r="25" spans="5:48" x14ac:dyDescent="0.2">
      <c r="E25" s="12"/>
      <c r="F25" t="s">
        <v>165</v>
      </c>
      <c r="G25">
        <v>190</v>
      </c>
      <c r="H25">
        <v>0</v>
      </c>
      <c r="I25">
        <v>0</v>
      </c>
      <c r="J25">
        <f>$AQ$3</f>
        <v>91.25</v>
      </c>
      <c r="K25">
        <v>0.12</v>
      </c>
      <c r="L25">
        <v>0.64</v>
      </c>
      <c r="M25">
        <v>50</v>
      </c>
      <c r="N25">
        <f t="shared" si="0"/>
        <v>0</v>
      </c>
      <c r="O25">
        <f t="shared" si="1"/>
        <v>1</v>
      </c>
      <c r="P25">
        <f>VLOOKUP($B$11,$AR$10:$AS$16, 2, FALSE)</f>
        <v>0.72</v>
      </c>
      <c r="Q25">
        <f>$AQ$10</f>
        <v>4.7000000000000002E-3</v>
      </c>
      <c r="R25">
        <f>(H25/100)*(MIN(I25,100)/100)</f>
        <v>0</v>
      </c>
      <c r="S25">
        <v>0</v>
      </c>
      <c r="T25">
        <f t="shared" si="2"/>
        <v>0</v>
      </c>
      <c r="U25">
        <f>$AT$1</f>
        <v>1.3</v>
      </c>
      <c r="V25">
        <f>R25*U25+(1-R25)</f>
        <v>1</v>
      </c>
      <c r="W25">
        <f>(0.795*L25)-0.0014</f>
        <v>0.50740000000000007</v>
      </c>
      <c r="X25">
        <v>1.6</v>
      </c>
      <c r="Y25">
        <f t="shared" si="3"/>
        <v>0.99402397710499402</v>
      </c>
      <c r="Z25">
        <f>(104.7*W25+0.307*M25-15)*(M25^0.75)*10^-3</f>
        <v>1.0054871153505722</v>
      </c>
      <c r="AA25">
        <f t="shared" si="4"/>
        <v>0.99947830132860371</v>
      </c>
      <c r="AB25">
        <f>(AA25 * K25) + (0.045 * T25)</f>
        <v>0.11993739615943244</v>
      </c>
      <c r="AC25">
        <f>$AQ$2</f>
        <v>0.08</v>
      </c>
      <c r="AD25">
        <f>(AA25 * ((1 - L25) + (0.04 * AA25))) * ( 1 - AC25 )</f>
        <v>0.36778882639365651</v>
      </c>
      <c r="AE25">
        <f>$AQ$1</f>
        <v>0.19</v>
      </c>
      <c r="AF25">
        <f>$AR$20</f>
        <v>0.6784</v>
      </c>
      <c r="AG25">
        <f>AD25 * AE25 * N25 * P25 * AF25</f>
        <v>0</v>
      </c>
      <c r="AH25">
        <f>AD25*AE25*O25*Q25*AF25</f>
        <v>2.2281059026413275E-4</v>
      </c>
      <c r="AI25">
        <f t="shared" si="5"/>
        <v>2.2281059026413275E-4</v>
      </c>
      <c r="AJ25">
        <f>G25*AI25*J25</f>
        <v>3.8629786087044016</v>
      </c>
      <c r="AP25" t="s">
        <v>211</v>
      </c>
      <c r="AU25" s="8"/>
      <c r="AV25" s="8"/>
    </row>
    <row r="26" spans="5:48" x14ac:dyDescent="0.2">
      <c r="E26" s="13"/>
      <c r="F26" t="s">
        <v>166</v>
      </c>
      <c r="G26">
        <v>180</v>
      </c>
      <c r="H26">
        <v>0</v>
      </c>
      <c r="I26">
        <v>0</v>
      </c>
      <c r="J26">
        <f>$AQ$3</f>
        <v>91.25</v>
      </c>
      <c r="K26">
        <v>0.18</v>
      </c>
      <c r="L26">
        <v>0.72</v>
      </c>
      <c r="M26">
        <v>51</v>
      </c>
      <c r="N26">
        <f t="shared" si="0"/>
        <v>0</v>
      </c>
      <c r="O26">
        <f t="shared" si="1"/>
        <v>1</v>
      </c>
      <c r="P26">
        <f>VLOOKUP($B$11,$AR$10:$AS$16, 2, FALSE)</f>
        <v>0.72</v>
      </c>
      <c r="Q26">
        <f>$AQ$10</f>
        <v>4.7000000000000002E-3</v>
      </c>
      <c r="R26">
        <f>(H26/100)*(MIN(I26,100)/100)</f>
        <v>0</v>
      </c>
      <c r="S26">
        <v>0</v>
      </c>
      <c r="T26">
        <f t="shared" si="2"/>
        <v>0</v>
      </c>
      <c r="U26">
        <f>$AT$1</f>
        <v>1.3</v>
      </c>
      <c r="V26">
        <f>R26*U26+(1-R26)</f>
        <v>1</v>
      </c>
      <c r="W26">
        <f>(0.795*L26)-0.0014</f>
        <v>0.57100000000000006</v>
      </c>
      <c r="X26">
        <v>1.7</v>
      </c>
      <c r="Y26">
        <f t="shared" si="3"/>
        <v>0.99691128459176326</v>
      </c>
      <c r="Z26">
        <f>(104.7*W26+0.307*M26-15)*(M26^0.75)*10^-3</f>
        <v>1.1534721617679149</v>
      </c>
      <c r="AA26">
        <f t="shared" si="4"/>
        <v>1.1499094145288902</v>
      </c>
      <c r="AB26">
        <f>(AA26 * K26) + (0.045 * T26)</f>
        <v>0.20698369461520022</v>
      </c>
      <c r="AC26">
        <f>$AQ$2</f>
        <v>0.08</v>
      </c>
      <c r="AD26">
        <f>(AA26 * ((1 - L26) + (0.04 * AA26))) * ( 1 - AC26 )</f>
        <v>0.34487699833033825</v>
      </c>
      <c r="AE26">
        <f>$AQ$1</f>
        <v>0.19</v>
      </c>
      <c r="AF26">
        <f>$AR$20</f>
        <v>0.6784</v>
      </c>
      <c r="AG26">
        <f>AD26 * AE26 * N26 * P26 * AF26</f>
        <v>0</v>
      </c>
      <c r="AH26">
        <f>AD26*AE26*O26*Q26*AF26</f>
        <v>2.0893034821090021E-4</v>
      </c>
      <c r="AI26">
        <f t="shared" si="5"/>
        <v>2.0893034821090021E-4</v>
      </c>
      <c r="AJ26">
        <f>G26*AI26*J26</f>
        <v>3.4316809693640358</v>
      </c>
      <c r="AP26" s="14" t="s">
        <v>203</v>
      </c>
      <c r="AQ26" s="14" t="s">
        <v>204</v>
      </c>
      <c r="AR26" s="14">
        <v>0.75</v>
      </c>
      <c r="AU26" s="8"/>
      <c r="AV26" s="8"/>
    </row>
    <row r="27" spans="5:48" x14ac:dyDescent="0.2">
      <c r="E27" s="12" t="s">
        <v>162</v>
      </c>
      <c r="F27" t="s">
        <v>163</v>
      </c>
      <c r="G27">
        <v>50</v>
      </c>
      <c r="H27">
        <v>0</v>
      </c>
      <c r="I27">
        <v>0</v>
      </c>
      <c r="J27">
        <f>$AQ$3</f>
        <v>91.25</v>
      </c>
      <c r="K27">
        <v>0.2</v>
      </c>
      <c r="L27">
        <v>0.75</v>
      </c>
      <c r="M27">
        <v>75</v>
      </c>
      <c r="N27">
        <f t="shared" si="0"/>
        <v>0</v>
      </c>
      <c r="O27">
        <f t="shared" si="1"/>
        <v>1</v>
      </c>
      <c r="P27">
        <f>VLOOKUP($B$11,$AR$10:$AS$16, 2, FALSE)</f>
        <v>0.72</v>
      </c>
      <c r="Q27">
        <f>$AQ$10</f>
        <v>4.7000000000000002E-3</v>
      </c>
      <c r="R27">
        <f>(H27/100)*(MIN(I27,100)/100)</f>
        <v>0</v>
      </c>
      <c r="S27">
        <v>0</v>
      </c>
      <c r="T27">
        <f t="shared" si="2"/>
        <v>0</v>
      </c>
      <c r="U27">
        <f>$AT$1</f>
        <v>1.3</v>
      </c>
      <c r="V27">
        <f>R27*U27+(1-R27)</f>
        <v>1</v>
      </c>
      <c r="W27">
        <f>(0.795*L27)-0.0014</f>
        <v>0.5948500000000001</v>
      </c>
      <c r="X27">
        <v>2.9</v>
      </c>
      <c r="Y27">
        <f t="shared" si="3"/>
        <v>0.9999999504359468</v>
      </c>
      <c r="Z27">
        <f>(104.7*W27+0.307*M27-15)*(M27^0.75)*10^-3</f>
        <v>1.7917898456122741</v>
      </c>
      <c r="AA27">
        <f t="shared" si="4"/>
        <v>1.7917897568039067</v>
      </c>
      <c r="AB27">
        <f>(AA27 * K27) + (0.045 * T27)</f>
        <v>0.35835795136078136</v>
      </c>
      <c r="AC27">
        <f>$AQ$2</f>
        <v>0.08</v>
      </c>
      <c r="AD27">
        <f>(AA27 * ((1 - L27) + (0.04 * AA27))) * ( 1 - AC27 )</f>
        <v>0.53025843166411502</v>
      </c>
      <c r="AE27">
        <f>$AQ$1</f>
        <v>0.19</v>
      </c>
      <c r="AF27">
        <f>$AR$20</f>
        <v>0.6784</v>
      </c>
      <c r="AG27">
        <f>AD27 * AE27 * N27 * P27 * AF27</f>
        <v>0</v>
      </c>
      <c r="AH27">
        <f>AD27*AE27*O27*Q27*AF27</f>
        <v>3.2123649679655553E-4</v>
      </c>
      <c r="AI27">
        <f t="shared" si="5"/>
        <v>3.2123649679655553E-4</v>
      </c>
      <c r="AJ27">
        <f>G27*AI27*J27</f>
        <v>1.4656415166342844</v>
      </c>
      <c r="AP27" s="14" t="s">
        <v>194</v>
      </c>
      <c r="AQ27" s="14" t="s">
        <v>205</v>
      </c>
      <c r="AR27" s="14">
        <v>0.45</v>
      </c>
      <c r="AU27" s="8"/>
      <c r="AV27" s="8"/>
    </row>
    <row r="28" spans="5:48" x14ac:dyDescent="0.2">
      <c r="E28" s="13"/>
      <c r="F28" t="s">
        <v>164</v>
      </c>
      <c r="G28">
        <v>55</v>
      </c>
      <c r="H28">
        <v>0</v>
      </c>
      <c r="I28">
        <v>0</v>
      </c>
      <c r="J28">
        <f>$AQ$3</f>
        <v>91.25</v>
      </c>
      <c r="K28">
        <v>0.1</v>
      </c>
      <c r="L28">
        <v>0.61</v>
      </c>
      <c r="M28">
        <v>75</v>
      </c>
      <c r="N28">
        <f t="shared" si="0"/>
        <v>0</v>
      </c>
      <c r="O28">
        <f t="shared" si="1"/>
        <v>1</v>
      </c>
      <c r="P28">
        <f>VLOOKUP($B$11,$AR$10:$AS$16, 2, FALSE)</f>
        <v>0.72</v>
      </c>
      <c r="Q28">
        <f>$AQ$10</f>
        <v>4.7000000000000002E-3</v>
      </c>
      <c r="R28">
        <f>(H28/100)*(MIN(I28,100)/100)</f>
        <v>0</v>
      </c>
      <c r="S28">
        <v>0</v>
      </c>
      <c r="T28">
        <f t="shared" si="2"/>
        <v>0</v>
      </c>
      <c r="U28">
        <f>$AT$1</f>
        <v>1.3</v>
      </c>
      <c r="V28">
        <f>R28*U28+(1-R28)</f>
        <v>1</v>
      </c>
      <c r="W28">
        <f>(0.795*L28)-0.0014</f>
        <v>0.48354999999999998</v>
      </c>
      <c r="X28">
        <v>2.5</v>
      </c>
      <c r="Y28">
        <f t="shared" si="3"/>
        <v>0.99999627334682795</v>
      </c>
      <c r="Z28">
        <f>(104.7*W28+0.307*M28-15)*(M28^0.75)*10^-3</f>
        <v>1.4948026034112167</v>
      </c>
      <c r="AA28">
        <f t="shared" si="4"/>
        <v>1.494797032800353</v>
      </c>
      <c r="AB28">
        <f>(AA28 * K28) + (0.045 * T28)</f>
        <v>0.14947970328003532</v>
      </c>
      <c r="AC28">
        <f>$AQ$2</f>
        <v>0.08</v>
      </c>
      <c r="AD28">
        <f>(AA28 * ((1 - L28) + (0.04 * AA28))) * ( 1 - AC28 )</f>
        <v>0.61855976399785639</v>
      </c>
      <c r="AE28">
        <f>$AQ$1</f>
        <v>0.19</v>
      </c>
      <c r="AF28">
        <f>$AR$20</f>
        <v>0.6784</v>
      </c>
      <c r="AG28">
        <f>AD28 * AE28 * N28 * P28 * AF28</f>
        <v>0</v>
      </c>
      <c r="AH28">
        <f>AD28*AE28*O28*Q28*AF28</f>
        <v>3.7473043289925815E-4</v>
      </c>
      <c r="AI28">
        <f t="shared" si="5"/>
        <v>3.7473043289925815E-4</v>
      </c>
      <c r="AJ28">
        <f>G28*AI28*J28</f>
        <v>1.8806783601131516</v>
      </c>
      <c r="AP28" s="14" t="s">
        <v>195</v>
      </c>
      <c r="AQ28" s="14" t="s">
        <v>206</v>
      </c>
      <c r="AR28" s="14">
        <v>0.09</v>
      </c>
      <c r="AU28" s="8"/>
      <c r="AV28" s="8"/>
    </row>
    <row r="29" spans="5:48" x14ac:dyDescent="0.2">
      <c r="E29" s="12"/>
      <c r="F29" t="s">
        <v>165</v>
      </c>
      <c r="G29">
        <v>60</v>
      </c>
      <c r="H29">
        <v>0</v>
      </c>
      <c r="I29">
        <v>0</v>
      </c>
      <c r="J29">
        <f>$AQ$3</f>
        <v>91.25</v>
      </c>
      <c r="K29">
        <v>0.12</v>
      </c>
      <c r="L29">
        <v>0.64</v>
      </c>
      <c r="M29">
        <v>69</v>
      </c>
      <c r="N29">
        <f t="shared" si="0"/>
        <v>0</v>
      </c>
      <c r="O29">
        <f t="shared" si="1"/>
        <v>1</v>
      </c>
      <c r="P29">
        <f>VLOOKUP($B$11,$AR$10:$AS$16, 2, FALSE)</f>
        <v>0.72</v>
      </c>
      <c r="Q29">
        <f>$AQ$10</f>
        <v>4.7000000000000002E-3</v>
      </c>
      <c r="R29">
        <f>(H29/100)*(MIN(I29,100)/100)</f>
        <v>0</v>
      </c>
      <c r="S29">
        <v>0</v>
      </c>
      <c r="T29">
        <f t="shared" si="2"/>
        <v>0</v>
      </c>
      <c r="U29">
        <f>$AT$1</f>
        <v>1.3</v>
      </c>
      <c r="V29">
        <f>R29*U29+(1-R29)</f>
        <v>1</v>
      </c>
      <c r="W29">
        <f>(0.795*L29)-0.0014</f>
        <v>0.50740000000000007</v>
      </c>
      <c r="X29">
        <v>1.6</v>
      </c>
      <c r="Y29">
        <f t="shared" si="3"/>
        <v>0.99402397710499402</v>
      </c>
      <c r="Z29">
        <f>(104.7*W29+0.307*M29-15)*(M29^0.75)*10^-3</f>
        <v>1.4198696820048529</v>
      </c>
      <c r="AA29">
        <f t="shared" si="4"/>
        <v>1.4113845082772669</v>
      </c>
      <c r="AB29">
        <f>(AA29 * K29) + (0.045 * T29)</f>
        <v>0.16936614099327202</v>
      </c>
      <c r="AC29">
        <f>$AQ$2</f>
        <v>0.08</v>
      </c>
      <c r="AD29">
        <f>(AA29 * ((1 - L29) + (0.04 * AA29))) * ( 1 - AC29 )</f>
        <v>0.54075637841297708</v>
      </c>
      <c r="AE29">
        <f>$AQ$1</f>
        <v>0.19</v>
      </c>
      <c r="AF29">
        <f>$AR$20</f>
        <v>0.6784</v>
      </c>
      <c r="AG29">
        <f>AD29 * AE29 * N29 * P29 * AF29</f>
        <v>0</v>
      </c>
      <c r="AH29">
        <f>AD29*AE29*O29*Q29*AF29</f>
        <v>3.2759627051401975E-4</v>
      </c>
      <c r="AI29">
        <f t="shared" si="5"/>
        <v>3.2759627051401975E-4</v>
      </c>
      <c r="AJ29">
        <f>G29*AI29*J29</f>
        <v>1.7935895810642581</v>
      </c>
      <c r="AP29" s="14" t="s">
        <v>196</v>
      </c>
      <c r="AQ29" s="14" t="s">
        <v>207</v>
      </c>
      <c r="AR29" s="14">
        <v>0.26</v>
      </c>
      <c r="AU29" s="8"/>
      <c r="AV29" s="8"/>
    </row>
    <row r="30" spans="5:48" x14ac:dyDescent="0.2">
      <c r="E30" s="13"/>
      <c r="F30" t="s">
        <v>166</v>
      </c>
      <c r="G30">
        <v>65</v>
      </c>
      <c r="H30">
        <v>0</v>
      </c>
      <c r="I30">
        <v>0</v>
      </c>
      <c r="J30">
        <f>$AQ$3</f>
        <v>91.25</v>
      </c>
      <c r="K30">
        <v>0.18</v>
      </c>
      <c r="L30">
        <v>0.72</v>
      </c>
      <c r="M30">
        <v>69</v>
      </c>
      <c r="N30">
        <f t="shared" si="0"/>
        <v>0</v>
      </c>
      <c r="O30">
        <f t="shared" si="1"/>
        <v>1</v>
      </c>
      <c r="P30">
        <f>VLOOKUP($B$11,$AR$10:$AS$16, 2, FALSE)</f>
        <v>0.72</v>
      </c>
      <c r="Q30">
        <f>$AQ$10</f>
        <v>4.7000000000000002E-3</v>
      </c>
      <c r="R30">
        <f>(H30/100)*(MIN(I30,100)/100)</f>
        <v>0</v>
      </c>
      <c r="S30">
        <v>0</v>
      </c>
      <c r="T30">
        <f t="shared" si="2"/>
        <v>0</v>
      </c>
      <c r="U30">
        <f>$AT$1</f>
        <v>1.3</v>
      </c>
      <c r="V30">
        <f>R30*U30+(1-R30)</f>
        <v>1</v>
      </c>
      <c r="W30">
        <f>(0.795*L30)-0.0014</f>
        <v>0.57100000000000006</v>
      </c>
      <c r="X30">
        <v>1.7</v>
      </c>
      <c r="Y30">
        <f t="shared" si="3"/>
        <v>0.99691128459176326</v>
      </c>
      <c r="Z30">
        <f>(104.7*W30+0.307*M30-15)*(M30^0.75)*10^-3</f>
        <v>1.5792888783210146</v>
      </c>
      <c r="AA30">
        <f t="shared" si="4"/>
        <v>1.5744109044284875</v>
      </c>
      <c r="AB30">
        <f>(AA30 * K30) + (0.045 * T30)</f>
        <v>0.28339396279712775</v>
      </c>
      <c r="AC30">
        <f>$AQ$2</f>
        <v>0.08</v>
      </c>
      <c r="AD30">
        <f>(AA30 * ((1 - L30) + (0.04 * AA30))) * ( 1 - AC30 )</f>
        <v>0.49678697379296494</v>
      </c>
      <c r="AE30">
        <f>$AQ$1</f>
        <v>0.19</v>
      </c>
      <c r="AF30">
        <f>$AR$20</f>
        <v>0.6784</v>
      </c>
      <c r="AG30">
        <f>AD30 * AE30 * N30 * P30 * AF30</f>
        <v>0</v>
      </c>
      <c r="AH30">
        <f>AD30*AE30*O30*Q30*AF30</f>
        <v>3.0095911273788462E-4</v>
      </c>
      <c r="AI30">
        <f t="shared" si="5"/>
        <v>3.0095911273788462E-4</v>
      </c>
      <c r="AJ30">
        <f>G30*AI30*J30</f>
        <v>1.7850637374265781</v>
      </c>
      <c r="AP30" s="14" t="s">
        <v>197</v>
      </c>
      <c r="AQ30" s="14" t="s">
        <v>208</v>
      </c>
      <c r="AR30" s="14">
        <v>0.5</v>
      </c>
      <c r="AU30" s="8"/>
      <c r="AV30" s="8"/>
    </row>
    <row r="31" spans="5:48" x14ac:dyDescent="0.2">
      <c r="E31" s="12" t="s">
        <v>167</v>
      </c>
      <c r="F31" t="s">
        <v>163</v>
      </c>
      <c r="G31">
        <v>50</v>
      </c>
      <c r="H31">
        <v>0</v>
      </c>
      <c r="I31">
        <v>0</v>
      </c>
      <c r="J31">
        <f>$AQ$3</f>
        <v>91.25</v>
      </c>
      <c r="K31">
        <v>0.2</v>
      </c>
      <c r="L31">
        <v>0.75</v>
      </c>
      <c r="M31">
        <v>62</v>
      </c>
      <c r="N31">
        <f t="shared" si="0"/>
        <v>0</v>
      </c>
      <c r="O31">
        <f t="shared" si="1"/>
        <v>1</v>
      </c>
      <c r="P31">
        <f>VLOOKUP($B$11,$AR$10:$AS$16, 2, FALSE)</f>
        <v>0.72</v>
      </c>
      <c r="Q31">
        <f>$AQ$10</f>
        <v>4.7000000000000002E-3</v>
      </c>
      <c r="R31">
        <f>(H31/100)*(MIN(I31,100)/100)</f>
        <v>0</v>
      </c>
      <c r="S31">
        <v>0</v>
      </c>
      <c r="T31">
        <f t="shared" si="2"/>
        <v>0</v>
      </c>
      <c r="U31">
        <f>$AT$1</f>
        <v>1.3</v>
      </c>
      <c r="V31">
        <f>R31*U31+(1-R31)</f>
        <v>1</v>
      </c>
      <c r="W31">
        <f>(0.795*L31)-0.0014</f>
        <v>0.5948500000000001</v>
      </c>
      <c r="X31">
        <v>2.9</v>
      </c>
      <c r="Y31">
        <f t="shared" si="3"/>
        <v>0.9999999504359468</v>
      </c>
      <c r="Z31">
        <f>(104.7*W31+0.307*M31-15)*(M31^0.75)*10^-3</f>
        <v>1.4652245899459331</v>
      </c>
      <c r="AA31">
        <f t="shared" si="4"/>
        <v>1.4652245173234635</v>
      </c>
      <c r="AB31">
        <f>(AA31 * K31) + (0.045 * T31)</f>
        <v>0.2930449034646927</v>
      </c>
      <c r="AC31">
        <f>$AQ$2</f>
        <v>0.08</v>
      </c>
      <c r="AD31">
        <f>(AA31 * ((1 - L31) + (0.04 * AA31))) * ( 1 - AC31 )</f>
        <v>0.41600692919529714</v>
      </c>
      <c r="AE31">
        <f>$AQ$1</f>
        <v>0.19</v>
      </c>
      <c r="AF31">
        <f>$AR$20</f>
        <v>0.6784</v>
      </c>
      <c r="AG31">
        <f>AD31 * AE31 * N31 * P31 * AF31</f>
        <v>0</v>
      </c>
      <c r="AH31">
        <f>AD31*AE31*O31*Q31*AF31</f>
        <v>2.5202165698411799E-4</v>
      </c>
      <c r="AI31">
        <f t="shared" si="5"/>
        <v>2.5202165698411799E-4</v>
      </c>
      <c r="AJ31">
        <f>G31*AI31*J31</f>
        <v>1.1498488099900384</v>
      </c>
      <c r="AP31" s="14" t="s">
        <v>198</v>
      </c>
      <c r="AQ31" s="14" t="s">
        <v>209</v>
      </c>
      <c r="AR31" s="14">
        <v>0.83</v>
      </c>
    </row>
    <row r="32" spans="5:48" x14ac:dyDescent="0.2">
      <c r="E32" s="13"/>
      <c r="F32" t="s">
        <v>164</v>
      </c>
      <c r="G32">
        <v>100</v>
      </c>
      <c r="H32">
        <v>0</v>
      </c>
      <c r="I32">
        <v>0</v>
      </c>
      <c r="J32">
        <f>$AQ$3</f>
        <v>91.25</v>
      </c>
      <c r="K32">
        <v>0.1</v>
      </c>
      <c r="L32">
        <v>0.61</v>
      </c>
      <c r="M32">
        <v>55</v>
      </c>
      <c r="N32">
        <f t="shared" si="0"/>
        <v>0</v>
      </c>
      <c r="O32">
        <f t="shared" si="1"/>
        <v>1</v>
      </c>
      <c r="P32">
        <f>VLOOKUP($B$11,$AR$10:$AS$16, 2, FALSE)</f>
        <v>0.72</v>
      </c>
      <c r="Q32">
        <f>$AQ$10</f>
        <v>4.7000000000000002E-3</v>
      </c>
      <c r="R32">
        <f>(H32/100)*(MIN(I32,100)/100)</f>
        <v>0</v>
      </c>
      <c r="S32">
        <v>0</v>
      </c>
      <c r="T32">
        <f t="shared" si="2"/>
        <v>0</v>
      </c>
      <c r="U32">
        <f>$AT$1</f>
        <v>1.3</v>
      </c>
      <c r="V32">
        <f>R32*U32+(1-R32)</f>
        <v>1</v>
      </c>
      <c r="W32">
        <f>(0.795*L32)-0.0014</f>
        <v>0.48354999999999998</v>
      </c>
      <c r="X32">
        <v>2.5</v>
      </c>
      <c r="Y32">
        <f t="shared" si="3"/>
        <v>0.99999627334682795</v>
      </c>
      <c r="Z32">
        <f>(104.7*W32+0.307*M32-15)*(M32^0.75)*10^-3</f>
        <v>1.0605624381175847</v>
      </c>
      <c r="AA32">
        <f t="shared" si="4"/>
        <v>1.0605584857692105</v>
      </c>
      <c r="AB32">
        <f>(AA32 * K32) + (0.045 * T32)</f>
        <v>0.10605584857692106</v>
      </c>
      <c r="AC32">
        <f>$AQ$2</f>
        <v>0.08</v>
      </c>
      <c r="AD32">
        <f>(AA32 * ((1 - L32) + (0.04 * AA32))) * ( 1 - AC32 )</f>
        <v>0.42192044699791736</v>
      </c>
      <c r="AE32">
        <f>$AQ$1</f>
        <v>0.19</v>
      </c>
      <c r="AF32">
        <f>$AR$20</f>
        <v>0.6784</v>
      </c>
      <c r="AG32">
        <f>AD32 * AE32 * N32 * P32 * AF32</f>
        <v>0</v>
      </c>
      <c r="AH32">
        <f>AD32*AE32*O32*Q32*AF32</f>
        <v>2.5560413230034477E-4</v>
      </c>
      <c r="AI32">
        <f t="shared" si="5"/>
        <v>2.5560413230034477E-4</v>
      </c>
      <c r="AJ32">
        <f>G32*AI32*J32</f>
        <v>2.3323877072406463</v>
      </c>
      <c r="AP32" s="14" t="s">
        <v>199</v>
      </c>
      <c r="AQ32" s="14" t="s">
        <v>210</v>
      </c>
      <c r="AR32" s="14">
        <v>0.41</v>
      </c>
    </row>
    <row r="33" spans="5:65" x14ac:dyDescent="0.2">
      <c r="E33" s="12"/>
      <c r="F33" t="s">
        <v>165</v>
      </c>
      <c r="G33">
        <v>90</v>
      </c>
      <c r="H33">
        <v>0</v>
      </c>
      <c r="I33">
        <v>0</v>
      </c>
      <c r="J33">
        <f>$AQ$3</f>
        <v>91.25</v>
      </c>
      <c r="K33">
        <v>0.12</v>
      </c>
      <c r="L33">
        <v>0.64</v>
      </c>
      <c r="M33">
        <v>55</v>
      </c>
      <c r="N33">
        <f t="shared" si="0"/>
        <v>0</v>
      </c>
      <c r="O33">
        <f t="shared" si="1"/>
        <v>1</v>
      </c>
      <c r="P33">
        <f>VLOOKUP($B$11,$AR$10:$AS$16, 2, FALSE)</f>
        <v>0.72</v>
      </c>
      <c r="Q33">
        <f>$AQ$10</f>
        <v>4.7000000000000002E-3</v>
      </c>
      <c r="R33">
        <f>(H33/100)*(MIN(I33,100)/100)</f>
        <v>0</v>
      </c>
      <c r="S33">
        <v>0</v>
      </c>
      <c r="T33">
        <f t="shared" si="2"/>
        <v>0</v>
      </c>
      <c r="U33">
        <f>$AT$1</f>
        <v>1.3</v>
      </c>
      <c r="V33">
        <f>R33*U33+(1-R33)</f>
        <v>1</v>
      </c>
      <c r="W33">
        <f>(0.795*L33)-0.0014</f>
        <v>0.50740000000000007</v>
      </c>
      <c r="X33">
        <v>1.6</v>
      </c>
      <c r="Y33">
        <f t="shared" si="3"/>
        <v>0.99402397710499402</v>
      </c>
      <c r="Z33">
        <f>(104.7*W33+0.307*M33-15)*(M33^0.75)*10^-3</f>
        <v>1.1109945415495692</v>
      </c>
      <c r="AA33">
        <f t="shared" si="4"/>
        <v>1.1043552127330423</v>
      </c>
      <c r="AB33">
        <f>(AA33 * K33) + (0.045 * T33)</f>
        <v>0.13252262552796507</v>
      </c>
      <c r="AC33">
        <f>$AQ$2</f>
        <v>0.08</v>
      </c>
      <c r="AD33">
        <f>(AA33 * ((1 - L33) + (0.04 * AA33))) * ( 1 - AC33 )</f>
        <v>0.41064374249795926</v>
      </c>
      <c r="AE33">
        <f>$AQ$1</f>
        <v>0.19</v>
      </c>
      <c r="AF33">
        <f>$AR$20</f>
        <v>0.6784</v>
      </c>
      <c r="AG33">
        <f>AD33 * AE33 * N33 * P33 * AF33</f>
        <v>0</v>
      </c>
      <c r="AH33">
        <f>AD33*AE33*O33*Q33*AF33</f>
        <v>2.4877257841517971E-4</v>
      </c>
      <c r="AI33">
        <f t="shared" si="5"/>
        <v>2.4877257841517971E-4</v>
      </c>
      <c r="AJ33">
        <f>G33*AI33*J33</f>
        <v>2.0430448002346635</v>
      </c>
    </row>
    <row r="34" spans="5:65" x14ac:dyDescent="0.2">
      <c r="E34" s="13"/>
      <c r="F34" t="s">
        <v>166</v>
      </c>
      <c r="G34">
        <v>80</v>
      </c>
      <c r="H34">
        <v>0</v>
      </c>
      <c r="I34">
        <v>0</v>
      </c>
      <c r="J34">
        <f>$AQ$3</f>
        <v>91.25</v>
      </c>
      <c r="K34">
        <v>0.18</v>
      </c>
      <c r="L34">
        <v>0.72</v>
      </c>
      <c r="M34">
        <v>55</v>
      </c>
      <c r="N34">
        <f t="shared" si="0"/>
        <v>0</v>
      </c>
      <c r="O34">
        <f t="shared" si="1"/>
        <v>1</v>
      </c>
      <c r="P34">
        <f>VLOOKUP($B$11,$AR$10:$AS$16, 2, FALSE)</f>
        <v>0.72</v>
      </c>
      <c r="Q34">
        <f>$AQ$10</f>
        <v>4.7000000000000002E-3</v>
      </c>
      <c r="R34">
        <f>(H34/100)*(MIN(I34,100)/100)</f>
        <v>0</v>
      </c>
      <c r="S34">
        <v>0</v>
      </c>
      <c r="T34">
        <f t="shared" si="2"/>
        <v>0</v>
      </c>
      <c r="U34">
        <f>$AT$1</f>
        <v>1.3</v>
      </c>
      <c r="V34">
        <f>R34*U34+(1-R34)</f>
        <v>1</v>
      </c>
      <c r="W34">
        <f>(0.795*L34)-0.0014</f>
        <v>0.57100000000000006</v>
      </c>
      <c r="X34">
        <v>1.7</v>
      </c>
      <c r="Y34">
        <f t="shared" si="3"/>
        <v>0.99691128459176326</v>
      </c>
      <c r="Z34">
        <f>(104.7*W34+0.307*M34-15)*(M34^0.75)*10^-3</f>
        <v>1.2454801507015281</v>
      </c>
      <c r="AA34">
        <f t="shared" si="4"/>
        <v>1.2416332169694033</v>
      </c>
      <c r="AB34">
        <f>(AA34 * K34) + (0.045 * T34)</f>
        <v>0.22349397905449259</v>
      </c>
      <c r="AC34">
        <f>$AQ$2</f>
        <v>0.08</v>
      </c>
      <c r="AD34">
        <f>(AA34 * ((1 - L34) + (0.04 * AA34))) * ( 1 - AC34 )</f>
        <v>0.37657754876504823</v>
      </c>
      <c r="AE34">
        <f>$AQ$1</f>
        <v>0.19</v>
      </c>
      <c r="AF34">
        <f>$AR$20</f>
        <v>0.6784</v>
      </c>
      <c r="AG34">
        <f>AD34 * AE34 * N34 * P34 * AF34</f>
        <v>0</v>
      </c>
      <c r="AH34">
        <f>AD34*AE34*O34*Q34*AF34</f>
        <v>2.2813489671041239E-4</v>
      </c>
      <c r="AI34">
        <f t="shared" si="5"/>
        <v>2.2813489671041239E-4</v>
      </c>
      <c r="AJ34">
        <f>G34*AI34*J34</f>
        <v>1.6653847459860105</v>
      </c>
    </row>
    <row r="36" spans="5:65" x14ac:dyDescent="0.2">
      <c r="AP36" t="s">
        <v>136</v>
      </c>
    </row>
    <row r="37" spans="5:65" ht="17" thickBot="1" x14ac:dyDescent="0.25">
      <c r="AP37" s="14" t="s">
        <v>224</v>
      </c>
      <c r="AQ37" s="14">
        <v>5.8999999999999999E-3</v>
      </c>
      <c r="BF37" s="9"/>
      <c r="BG37" s="10"/>
      <c r="BH37" s="10"/>
      <c r="BI37" s="10"/>
      <c r="BJ37" s="10"/>
      <c r="BK37" s="10"/>
      <c r="BL37" s="10"/>
      <c r="BM37" s="11"/>
    </row>
    <row r="38" spans="5:65" ht="17" thickTop="1" x14ac:dyDescent="0.2">
      <c r="AP38" s="14" t="s">
        <v>225</v>
      </c>
      <c r="AQ38" s="14">
        <v>7.0000000000000001E-3</v>
      </c>
      <c r="AU38" s="8"/>
      <c r="AV38" s="8"/>
      <c r="BF38" s="2"/>
      <c r="BG38" s="3"/>
      <c r="BH38" s="3"/>
      <c r="BI38" s="3"/>
      <c r="BJ38" s="3"/>
      <c r="BK38" s="3"/>
      <c r="BL38" s="3"/>
      <c r="BM38" s="6"/>
    </row>
    <row r="39" spans="5:65" x14ac:dyDescent="0.2">
      <c r="AP39" s="14" t="s">
        <v>226</v>
      </c>
      <c r="AQ39" s="14">
        <v>1.8E-3</v>
      </c>
      <c r="AU39" s="8"/>
      <c r="AV39" s="8"/>
      <c r="BF39" s="4"/>
    </row>
    <row r="40" spans="5:65" x14ac:dyDescent="0.2">
      <c r="AP40" s="14" t="s">
        <v>227</v>
      </c>
      <c r="AQ40" s="14">
        <v>2.8999999999999998E-3</v>
      </c>
      <c r="AU40" s="8"/>
      <c r="AV40" s="8"/>
      <c r="BF40" s="2"/>
    </row>
    <row r="41" spans="5:65" ht="17" thickBot="1" x14ac:dyDescent="0.25">
      <c r="AP41" s="14" t="s">
        <v>228</v>
      </c>
      <c r="AQ41" s="14">
        <v>8.0000000000000002E-3</v>
      </c>
      <c r="AU41" s="8"/>
      <c r="AV41" s="8"/>
      <c r="BF41" s="4"/>
    </row>
    <row r="42" spans="5:65" ht="18" thickTop="1" thickBot="1" x14ac:dyDescent="0.25">
      <c r="AP42" s="14" t="s">
        <v>229</v>
      </c>
      <c r="AQ42" s="14">
        <v>1.9900000000000001E-2</v>
      </c>
      <c r="AU42" s="8"/>
      <c r="AV42" s="6"/>
      <c r="BF42" s="2"/>
    </row>
    <row r="43" spans="5:65" ht="18" thickTop="1" thickBot="1" x14ac:dyDescent="0.25">
      <c r="AP43" s="14" t="s">
        <v>230</v>
      </c>
      <c r="AQ43" s="14">
        <v>5.3E-3</v>
      </c>
      <c r="AU43" s="8"/>
      <c r="AV43" s="6"/>
      <c r="BF43" s="4"/>
    </row>
    <row r="44" spans="5:65" ht="18" thickTop="1" thickBot="1" x14ac:dyDescent="0.25">
      <c r="AP44" s="14" t="s">
        <v>231</v>
      </c>
      <c r="AQ44" s="14">
        <v>6.4000000000000003E-3</v>
      </c>
      <c r="AU44" s="8"/>
      <c r="AV44" s="6"/>
      <c r="BF44" s="2"/>
    </row>
    <row r="45" spans="5:65" ht="17" thickTop="1" x14ac:dyDescent="0.2">
      <c r="AP45" s="14" t="s">
        <v>222</v>
      </c>
      <c r="AQ45" s="14">
        <v>2.5999999999999999E-3</v>
      </c>
      <c r="AU45" s="8"/>
      <c r="AV45" s="6"/>
      <c r="BF45" s="4"/>
    </row>
    <row r="46" spans="5:65" x14ac:dyDescent="0.2">
      <c r="AP46" s="14" t="s">
        <v>232</v>
      </c>
      <c r="AQ46" s="14">
        <v>3.0000000000000001E-3</v>
      </c>
      <c r="AU46" s="8"/>
      <c r="AV46" s="8"/>
      <c r="BF46" s="2"/>
    </row>
    <row r="47" spans="5:65" x14ac:dyDescent="0.2">
      <c r="AP47" s="14" t="s">
        <v>233</v>
      </c>
      <c r="AQ47" s="14">
        <v>5.0000000000000001E-3</v>
      </c>
      <c r="AU47" s="8"/>
      <c r="AV47" s="8"/>
      <c r="BF47" s="4"/>
    </row>
    <row r="48" spans="5:65" x14ac:dyDescent="0.2">
      <c r="AP48" s="14" t="s">
        <v>223</v>
      </c>
      <c r="AQ48" s="14">
        <v>2.5999999999999999E-3</v>
      </c>
      <c r="AU48" s="8"/>
      <c r="AV48" s="8"/>
      <c r="BF48" s="2"/>
    </row>
    <row r="49" spans="42:58" x14ac:dyDescent="0.2">
      <c r="AP49" s="14" t="s">
        <v>234</v>
      </c>
      <c r="AQ49" s="14">
        <v>1.8E-3</v>
      </c>
      <c r="AU49" s="8"/>
      <c r="AV49" s="8"/>
      <c r="BF49" s="4"/>
    </row>
    <row r="50" spans="42:58" x14ac:dyDescent="0.2">
      <c r="AU50" s="8"/>
      <c r="AV50" s="8"/>
      <c r="BF50" s="2"/>
    </row>
    <row r="51" spans="42:58" x14ac:dyDescent="0.2">
      <c r="AU51" s="8"/>
      <c r="AV51" s="8"/>
      <c r="BF51" s="4"/>
    </row>
    <row r="52" spans="42:58" x14ac:dyDescent="0.2">
      <c r="AU52" s="8"/>
      <c r="AV52" s="8"/>
      <c r="BF52" s="2"/>
    </row>
    <row r="53" spans="42:58" x14ac:dyDescent="0.2">
      <c r="AU53" s="8"/>
      <c r="AV53" s="8"/>
      <c r="BF53" s="4"/>
    </row>
    <row r="54" spans="42:58" x14ac:dyDescent="0.2">
      <c r="AU54" s="8"/>
      <c r="AV54" s="8"/>
      <c r="BF54" s="2"/>
    </row>
    <row r="55" spans="42:58" x14ac:dyDescent="0.2">
      <c r="AU55" s="8"/>
      <c r="AV55" s="8"/>
      <c r="BF55" s="4"/>
    </row>
    <row r="56" spans="42:58" x14ac:dyDescent="0.2">
      <c r="AU56" s="8"/>
      <c r="AV56" s="8"/>
      <c r="BF56" s="2"/>
    </row>
    <row r="57" spans="42:58" x14ac:dyDescent="0.2">
      <c r="AU57" s="8"/>
      <c r="AV57" s="8"/>
      <c r="BF57" s="4"/>
    </row>
    <row r="58" spans="42:58" x14ac:dyDescent="0.2">
      <c r="AU58" s="8"/>
      <c r="AV58" s="8"/>
      <c r="BF58" s="2"/>
    </row>
    <row r="59" spans="42:58" x14ac:dyDescent="0.2">
      <c r="AU59" s="8"/>
      <c r="AV59" s="8"/>
      <c r="BF59" s="4"/>
    </row>
    <row r="60" spans="42:58" x14ac:dyDescent="0.2">
      <c r="AU60" s="8"/>
      <c r="AV60" s="8"/>
      <c r="BF60" s="2"/>
    </row>
    <row r="61" spans="42:58" x14ac:dyDescent="0.2">
      <c r="AU61" s="8"/>
      <c r="AV61" s="8"/>
      <c r="BF61" s="4"/>
    </row>
    <row r="62" spans="42:58" x14ac:dyDescent="0.2">
      <c r="BF62" s="7"/>
    </row>
    <row r="66" spans="47:65" ht="17" thickBot="1" x14ac:dyDescent="0.25">
      <c r="BF66" s="9"/>
      <c r="BG66" s="10"/>
      <c r="BH66" s="10"/>
      <c r="BI66" s="10"/>
      <c r="BJ66" s="10"/>
      <c r="BK66" s="10"/>
      <c r="BL66" s="10"/>
      <c r="BM66" s="11"/>
    </row>
    <row r="67" spans="47:65" ht="17" thickTop="1" x14ac:dyDescent="0.2">
      <c r="BF67" s="2"/>
      <c r="BG67" s="3"/>
      <c r="BH67" s="3"/>
      <c r="BI67" s="3"/>
      <c r="BJ67" s="3"/>
      <c r="BK67" s="3"/>
      <c r="BL67" s="3"/>
      <c r="BM67" s="6"/>
    </row>
    <row r="68" spans="47:65" x14ac:dyDescent="0.2">
      <c r="AU68" s="8"/>
      <c r="AV68" s="8"/>
      <c r="BF68" s="4"/>
      <c r="BG68" s="14"/>
      <c r="BH68" s="14"/>
      <c r="BI68" s="14"/>
      <c r="BJ68" s="14"/>
      <c r="BK68" s="14"/>
      <c r="BL68" s="14"/>
      <c r="BM68" s="14"/>
    </row>
    <row r="69" spans="47:65" x14ac:dyDescent="0.2">
      <c r="AU69" s="8"/>
      <c r="AV69" s="8"/>
      <c r="BF69" s="2"/>
      <c r="BG69" s="14"/>
      <c r="BH69" s="14"/>
      <c r="BI69" s="14"/>
      <c r="BJ69" s="14"/>
      <c r="BK69" s="14"/>
      <c r="BL69" s="14"/>
    </row>
    <row r="70" spans="47:65" x14ac:dyDescent="0.2">
      <c r="AU70" s="8"/>
      <c r="AV70" s="8"/>
      <c r="BF70" s="4"/>
      <c r="BG70" s="14"/>
      <c r="BH70" s="14"/>
      <c r="BI70" s="14"/>
      <c r="BJ70" s="14"/>
      <c r="BK70" s="14"/>
      <c r="BL70" s="14"/>
    </row>
    <row r="71" spans="47:65" x14ac:dyDescent="0.2">
      <c r="AU71" s="8"/>
      <c r="AV71" s="8"/>
      <c r="BF71" s="2"/>
      <c r="BG71" s="14"/>
      <c r="BH71" s="14"/>
      <c r="BI71" s="14"/>
      <c r="BJ71" s="14"/>
      <c r="BK71" s="14"/>
      <c r="BL71" s="14"/>
    </row>
    <row r="72" spans="47:65" x14ac:dyDescent="0.2">
      <c r="AU72" s="8"/>
      <c r="AV72" s="8"/>
      <c r="BF72" s="4"/>
      <c r="BG72" s="14"/>
      <c r="BH72" s="14"/>
      <c r="BI72" s="14"/>
      <c r="BJ72" s="14"/>
      <c r="BK72" s="14"/>
      <c r="BL72" s="14"/>
      <c r="BM72" s="14"/>
    </row>
    <row r="73" spans="47:65" x14ac:dyDescent="0.2">
      <c r="AU73" s="8"/>
      <c r="AV73" s="8"/>
      <c r="BF73" s="2"/>
      <c r="BG73" s="14"/>
      <c r="BH73" s="14"/>
      <c r="BI73" s="14"/>
      <c r="BJ73" s="14"/>
      <c r="BK73" s="14"/>
      <c r="BL73" s="14"/>
    </row>
    <row r="74" spans="47:65" x14ac:dyDescent="0.2">
      <c r="AU74" s="8"/>
      <c r="AV74" s="8"/>
      <c r="BF74" s="4"/>
      <c r="BG74" s="14"/>
      <c r="BH74" s="14"/>
      <c r="BI74" s="14"/>
      <c r="BJ74" s="14"/>
      <c r="BK74" s="14"/>
      <c r="BL74" s="14"/>
    </row>
    <row r="75" spans="47:65" x14ac:dyDescent="0.2">
      <c r="AU75" s="8"/>
      <c r="AV75" s="8"/>
      <c r="BF75" s="2"/>
      <c r="BG75" s="14"/>
      <c r="BH75" s="14"/>
      <c r="BI75" s="14"/>
      <c r="BJ75" s="14"/>
      <c r="BK75" s="14"/>
      <c r="BL75" s="14"/>
    </row>
    <row r="76" spans="47:65" x14ac:dyDescent="0.2">
      <c r="AU76" s="8"/>
      <c r="AV76" s="8"/>
      <c r="BF76" s="4"/>
      <c r="BG76" s="14"/>
      <c r="BH76" s="14"/>
      <c r="BI76" s="14"/>
      <c r="BJ76" s="14"/>
      <c r="BK76" s="14"/>
      <c r="BL76" s="14"/>
      <c r="BM76" s="14"/>
    </row>
    <row r="77" spans="47:65" x14ac:dyDescent="0.2">
      <c r="AU77" s="8"/>
      <c r="AV77" s="8"/>
      <c r="BF77" s="2"/>
      <c r="BG77" s="14"/>
      <c r="BH77" s="14"/>
      <c r="BI77" s="14"/>
      <c r="BJ77" s="14"/>
      <c r="BK77" s="14"/>
      <c r="BL77" s="14"/>
    </row>
    <row r="78" spans="47:65" x14ac:dyDescent="0.2">
      <c r="AU78" s="8"/>
      <c r="AV78" s="8"/>
      <c r="BF78" s="4"/>
      <c r="BG78" s="14"/>
      <c r="BH78" s="14"/>
      <c r="BI78" s="14"/>
      <c r="BJ78" s="14"/>
      <c r="BK78" s="14"/>
      <c r="BL78" s="14"/>
    </row>
    <row r="79" spans="47:65" x14ac:dyDescent="0.2">
      <c r="AU79" s="8"/>
      <c r="AV79" s="8"/>
      <c r="BF79" s="2"/>
      <c r="BG79" s="14"/>
      <c r="BH79" s="14"/>
      <c r="BI79" s="14"/>
      <c r="BJ79" s="14"/>
      <c r="BK79" s="14"/>
      <c r="BL79" s="14"/>
    </row>
    <row r="80" spans="47:65" x14ac:dyDescent="0.2">
      <c r="AU80" s="8"/>
      <c r="AV80" s="8"/>
      <c r="BF80" s="4"/>
      <c r="BG80" s="14"/>
      <c r="BH80" s="14"/>
      <c r="BI80" s="14"/>
      <c r="BJ80" s="14"/>
      <c r="BK80" s="14"/>
      <c r="BL80" s="14"/>
      <c r="BM80" s="14"/>
    </row>
    <row r="81" spans="47:65" x14ac:dyDescent="0.2">
      <c r="AU81" s="8"/>
      <c r="AV81" s="8"/>
      <c r="BF81" s="2"/>
      <c r="BG81" s="14"/>
      <c r="BH81" s="14"/>
      <c r="BI81" s="14"/>
      <c r="BJ81" s="14"/>
      <c r="BK81" s="14"/>
      <c r="BL81" s="14"/>
    </row>
    <row r="82" spans="47:65" x14ac:dyDescent="0.2">
      <c r="AU82" s="8"/>
      <c r="AV82" s="8"/>
      <c r="BF82" s="4"/>
      <c r="BG82" s="14"/>
      <c r="BH82" s="14"/>
      <c r="BI82" s="14"/>
      <c r="BJ82" s="14"/>
      <c r="BK82" s="14"/>
      <c r="BL82" s="14"/>
    </row>
    <row r="83" spans="47:65" x14ac:dyDescent="0.2">
      <c r="AU83" s="8"/>
      <c r="AV83" s="8"/>
      <c r="BF83" s="2"/>
      <c r="BG83" s="14"/>
      <c r="BH83" s="14"/>
      <c r="BI83" s="14"/>
      <c r="BJ83" s="14"/>
      <c r="BK83" s="14"/>
      <c r="BL83" s="14"/>
    </row>
    <row r="84" spans="47:65" x14ac:dyDescent="0.2">
      <c r="AU84" s="8"/>
      <c r="AV84" s="8"/>
      <c r="BF84" s="4"/>
      <c r="BG84" s="14"/>
      <c r="BH84" s="14"/>
      <c r="BI84" s="14"/>
      <c r="BJ84" s="14"/>
      <c r="BK84" s="14"/>
      <c r="BL84" s="14"/>
      <c r="BM84" s="14"/>
    </row>
    <row r="85" spans="47:65" x14ac:dyDescent="0.2">
      <c r="AU85" s="8"/>
      <c r="AV85" s="8"/>
      <c r="BF85" s="2"/>
      <c r="BG85" s="14"/>
      <c r="BH85" s="14"/>
      <c r="BI85" s="14"/>
      <c r="BJ85" s="14"/>
      <c r="BK85" s="14"/>
      <c r="BL85" s="14"/>
    </row>
    <row r="86" spans="47:65" x14ac:dyDescent="0.2">
      <c r="AU86" s="8"/>
      <c r="AV86" s="8"/>
      <c r="BF86" s="4"/>
      <c r="BG86" s="14"/>
      <c r="BH86" s="14"/>
      <c r="BI86" s="14"/>
      <c r="BJ86" s="14"/>
      <c r="BK86" s="14"/>
      <c r="BL86" s="14"/>
    </row>
    <row r="87" spans="47:65" x14ac:dyDescent="0.2">
      <c r="AU87" s="8"/>
      <c r="AV87" s="8"/>
      <c r="BF87" s="2"/>
      <c r="BG87" s="14"/>
      <c r="BH87" s="14"/>
      <c r="BI87" s="14"/>
      <c r="BJ87" s="14"/>
      <c r="BK87" s="14"/>
      <c r="BL87" s="14"/>
    </row>
    <row r="88" spans="47:65" x14ac:dyDescent="0.2">
      <c r="AU88" s="8"/>
      <c r="AV88" s="8"/>
      <c r="BF88" s="4"/>
      <c r="BG88" s="14"/>
      <c r="BH88" s="14"/>
      <c r="BI88" s="14"/>
      <c r="BJ88" s="14"/>
      <c r="BK88" s="14"/>
      <c r="BL88" s="14"/>
      <c r="BM88" s="14"/>
    </row>
    <row r="89" spans="47:65" x14ac:dyDescent="0.2">
      <c r="AU89" s="8"/>
      <c r="AV89" s="8"/>
      <c r="BF89" s="2"/>
      <c r="BG89" s="14"/>
      <c r="BH89" s="14"/>
      <c r="BI89" s="14"/>
      <c r="BJ89" s="14"/>
      <c r="BK89" s="14"/>
      <c r="BL89" s="14"/>
    </row>
    <row r="90" spans="47:65" x14ac:dyDescent="0.2">
      <c r="AU90" s="8"/>
      <c r="AV90" s="8"/>
      <c r="BF90" s="4"/>
      <c r="BG90" s="14"/>
      <c r="BH90" s="14"/>
      <c r="BI90" s="14"/>
      <c r="BJ90" s="14"/>
      <c r="BK90" s="14"/>
      <c r="BL90" s="14"/>
    </row>
    <row r="91" spans="47:65" x14ac:dyDescent="0.2">
      <c r="AU91" s="8"/>
      <c r="AV91" s="8"/>
      <c r="BF91" s="7"/>
      <c r="BG91" s="14"/>
      <c r="BH91" s="14"/>
      <c r="BI91" s="14"/>
      <c r="BJ91" s="14"/>
      <c r="BK91" s="14"/>
      <c r="BL91" s="14"/>
    </row>
    <row r="95" spans="47:65" ht="17" thickBot="1" x14ac:dyDescent="0.25">
      <c r="BF95" s="9"/>
      <c r="BG95" s="10"/>
      <c r="BH95" s="10"/>
      <c r="BI95" s="10"/>
      <c r="BJ95" s="10"/>
      <c r="BK95" s="10"/>
      <c r="BL95" s="10"/>
      <c r="BM95" s="11"/>
    </row>
    <row r="96" spans="47:65" ht="17" thickTop="1" x14ac:dyDescent="0.2">
      <c r="AU96" s="8"/>
      <c r="AV96" s="8"/>
      <c r="BF96" s="2"/>
      <c r="BG96" s="3"/>
      <c r="BH96" s="3"/>
      <c r="BI96" s="3"/>
      <c r="BJ96" s="3"/>
      <c r="BK96" s="3"/>
      <c r="BL96" s="3"/>
      <c r="BM96" s="6"/>
    </row>
    <row r="97" spans="47:58" x14ac:dyDescent="0.2">
      <c r="AU97" s="8"/>
      <c r="AV97" s="8"/>
      <c r="BF97" s="4"/>
    </row>
    <row r="98" spans="47:58" x14ac:dyDescent="0.2">
      <c r="AU98" s="8"/>
      <c r="AV98" s="8"/>
      <c r="BF98" s="2"/>
    </row>
    <row r="99" spans="47:58" ht="17" thickBot="1" x14ac:dyDescent="0.25">
      <c r="AU99" s="8"/>
      <c r="AV99" s="8"/>
      <c r="BF99" s="4"/>
    </row>
    <row r="100" spans="47:58" ht="18" thickTop="1" thickBot="1" x14ac:dyDescent="0.25">
      <c r="AU100" s="8"/>
      <c r="AV100" s="6"/>
      <c r="BF100" s="2"/>
    </row>
    <row r="101" spans="47:58" ht="18" thickTop="1" thickBot="1" x14ac:dyDescent="0.25">
      <c r="AU101" s="8"/>
      <c r="AV101" s="6"/>
      <c r="BF101" s="4"/>
    </row>
    <row r="102" spans="47:58" ht="18" thickTop="1" thickBot="1" x14ac:dyDescent="0.25">
      <c r="AU102" s="8"/>
      <c r="AV102" s="6"/>
      <c r="BF102" s="2"/>
    </row>
    <row r="103" spans="47:58" ht="17" thickTop="1" x14ac:dyDescent="0.2">
      <c r="AU103" s="8"/>
      <c r="AV103" s="6"/>
      <c r="BF103" s="4"/>
    </row>
    <row r="104" spans="47:58" x14ac:dyDescent="0.2">
      <c r="AU104" s="8"/>
      <c r="AV104" s="8"/>
      <c r="BF104" s="2"/>
    </row>
    <row r="105" spans="47:58" x14ac:dyDescent="0.2">
      <c r="AU105" s="8"/>
      <c r="AV105" s="8"/>
      <c r="BF105" s="4"/>
    </row>
    <row r="106" spans="47:58" x14ac:dyDescent="0.2">
      <c r="AU106" s="8"/>
      <c r="AV106" s="8"/>
      <c r="BF106" s="2"/>
    </row>
    <row r="107" spans="47:58" x14ac:dyDescent="0.2">
      <c r="AU107" s="8"/>
      <c r="AV107" s="8"/>
      <c r="BF107" s="4"/>
    </row>
    <row r="108" spans="47:58" x14ac:dyDescent="0.2">
      <c r="AU108" s="8"/>
      <c r="AV108" s="8"/>
      <c r="BF108" s="2"/>
    </row>
    <row r="109" spans="47:58" x14ac:dyDescent="0.2">
      <c r="AU109" s="8"/>
      <c r="AV109" s="8"/>
      <c r="BF109" s="4"/>
    </row>
    <row r="110" spans="47:58" x14ac:dyDescent="0.2">
      <c r="AU110" s="8"/>
      <c r="AV110" s="8"/>
      <c r="BF110" s="2"/>
    </row>
    <row r="111" spans="47:58" x14ac:dyDescent="0.2">
      <c r="AU111" s="8"/>
      <c r="AV111" s="8"/>
      <c r="BF111" s="4"/>
    </row>
    <row r="112" spans="47:58" x14ac:dyDescent="0.2">
      <c r="AU112" s="8"/>
      <c r="AV112" s="8"/>
      <c r="BF112" s="2"/>
    </row>
    <row r="113" spans="47:64" x14ac:dyDescent="0.2">
      <c r="AU113" s="8"/>
      <c r="AV113" s="8"/>
      <c r="BF113" s="4"/>
    </row>
    <row r="114" spans="47:64" x14ac:dyDescent="0.2">
      <c r="AU114" s="8"/>
      <c r="AV114" s="8"/>
      <c r="BF114" s="2"/>
    </row>
    <row r="115" spans="47:64" x14ac:dyDescent="0.2">
      <c r="AU115" s="8"/>
      <c r="AV115" s="8"/>
      <c r="BF115" s="4"/>
    </row>
    <row r="116" spans="47:64" x14ac:dyDescent="0.2">
      <c r="AU116" s="8"/>
      <c r="AV116" s="8"/>
      <c r="BF116" s="2"/>
    </row>
    <row r="117" spans="47:64" x14ac:dyDescent="0.2">
      <c r="AU117" s="8"/>
      <c r="AV117" s="8"/>
      <c r="BF117" s="4"/>
    </row>
    <row r="118" spans="47:64" x14ac:dyDescent="0.2">
      <c r="AU118" s="8"/>
      <c r="AV118" s="8"/>
      <c r="BF118" s="2"/>
    </row>
    <row r="119" spans="47:64" x14ac:dyDescent="0.2">
      <c r="AU119" s="8"/>
      <c r="AV119" s="8"/>
      <c r="BF119" s="4"/>
    </row>
    <row r="120" spans="47:64" x14ac:dyDescent="0.2">
      <c r="BF120" s="7"/>
    </row>
    <row r="127" spans="47:64" x14ac:dyDescent="0.2">
      <c r="BI127" s="14"/>
      <c r="BJ127" s="14"/>
      <c r="BK127" s="14"/>
      <c r="BL127" s="14"/>
    </row>
    <row r="128" spans="47:64" x14ac:dyDescent="0.2">
      <c r="BF128" s="14"/>
      <c r="BG128" s="14"/>
      <c r="BH128" s="14"/>
      <c r="BI128" s="14"/>
      <c r="BJ128" s="14"/>
      <c r="BK128" s="14"/>
      <c r="BL128" s="14"/>
    </row>
    <row r="129" spans="47:65" ht="17" thickBot="1" x14ac:dyDescent="0.25">
      <c r="BF129" s="21"/>
      <c r="BH129" s="22"/>
      <c r="BI129" s="22"/>
      <c r="BJ129" s="22"/>
      <c r="BK129" s="5"/>
      <c r="BL129" s="5"/>
      <c r="BM129" s="5"/>
    </row>
    <row r="130" spans="47:65" ht="18" thickTop="1" thickBot="1" x14ac:dyDescent="0.25">
      <c r="BF130" s="23"/>
      <c r="BH130" s="24"/>
      <c r="BI130" s="24"/>
      <c r="BJ130" s="24"/>
      <c r="BK130" s="6"/>
      <c r="BL130" s="6"/>
      <c r="BM130" s="6"/>
    </row>
    <row r="131" spans="47:65" ht="17" thickTop="1" x14ac:dyDescent="0.2">
      <c r="AU131" s="8"/>
      <c r="AV131" s="8"/>
      <c r="BF131" s="23"/>
      <c r="BH131" s="24"/>
      <c r="BI131" s="24"/>
      <c r="BJ131" s="24"/>
      <c r="BK131" s="6"/>
      <c r="BL131" s="6"/>
      <c r="BM131" s="6"/>
    </row>
    <row r="132" spans="47:65" x14ac:dyDescent="0.2">
      <c r="AU132" s="8"/>
      <c r="AV132" s="8"/>
      <c r="BF132" s="25"/>
      <c r="BH132" s="26"/>
      <c r="BI132" s="26"/>
      <c r="BJ132" s="26"/>
      <c r="BK132" s="26"/>
      <c r="BL132" s="26"/>
      <c r="BM132" s="26"/>
    </row>
    <row r="133" spans="47:65" x14ac:dyDescent="0.2">
      <c r="AU133" s="8"/>
      <c r="AV133" s="8"/>
      <c r="BF133" s="25"/>
      <c r="BH133" s="26"/>
      <c r="BI133" s="26"/>
      <c r="BJ133" s="26"/>
      <c r="BK133" s="26"/>
      <c r="BL133" s="26"/>
      <c r="BM133" s="26"/>
    </row>
    <row r="134" spans="47:65" x14ac:dyDescent="0.2">
      <c r="AU134" s="8"/>
      <c r="AV134" s="8"/>
      <c r="BF134" s="25"/>
      <c r="BH134" s="26"/>
      <c r="BI134" s="26"/>
      <c r="BJ134" s="26"/>
      <c r="BK134" s="26"/>
      <c r="BL134" s="26"/>
      <c r="BM134" s="26"/>
    </row>
    <row r="135" spans="47:65" x14ac:dyDescent="0.2">
      <c r="AU135" s="8"/>
      <c r="AV135" s="8"/>
      <c r="BF135" s="25"/>
      <c r="BH135" s="26"/>
      <c r="BI135" s="26"/>
      <c r="BJ135" s="26"/>
      <c r="BK135" s="26"/>
      <c r="BL135" s="26"/>
      <c r="BM135" s="26"/>
    </row>
    <row r="136" spans="47:65" x14ac:dyDescent="0.2">
      <c r="AU136" s="8"/>
      <c r="AV136" s="8"/>
      <c r="BF136" s="27"/>
      <c r="BH136" s="20"/>
      <c r="BI136" s="20"/>
      <c r="BJ136" s="20"/>
      <c r="BK136" s="20"/>
      <c r="BL136" s="20"/>
      <c r="BM136" s="20"/>
    </row>
    <row r="137" spans="47:65" x14ac:dyDescent="0.2">
      <c r="AU137" s="8"/>
      <c r="AV137" s="8"/>
      <c r="BF137" s="27"/>
      <c r="BH137" s="20"/>
      <c r="BI137" s="20"/>
      <c r="BJ137" s="20"/>
      <c r="BK137" s="20"/>
      <c r="BL137" s="20"/>
      <c r="BM137" s="20"/>
    </row>
    <row r="138" spans="47:65" x14ac:dyDescent="0.2">
      <c r="AU138" s="8"/>
      <c r="AV138" s="8"/>
      <c r="BF138" s="27"/>
      <c r="BH138" s="20"/>
      <c r="BI138" s="20"/>
      <c r="BJ138" s="20"/>
      <c r="BK138" s="20"/>
      <c r="BL138" s="20"/>
      <c r="BM138" s="20"/>
    </row>
    <row r="139" spans="47:65" x14ac:dyDescent="0.2">
      <c r="AU139" s="8"/>
      <c r="AV139" s="8"/>
      <c r="BF139" s="27"/>
      <c r="BH139" s="20"/>
      <c r="BI139" s="20"/>
      <c r="BJ139" s="20"/>
      <c r="BK139" s="20"/>
      <c r="BL139" s="20"/>
      <c r="BM139" s="20"/>
    </row>
    <row r="140" spans="47:65" x14ac:dyDescent="0.2">
      <c r="AU140" s="8"/>
      <c r="AV140" s="8"/>
      <c r="BF140" s="27"/>
      <c r="BH140" s="20"/>
      <c r="BI140" s="20"/>
      <c r="BJ140" s="20"/>
      <c r="BK140" s="20"/>
      <c r="BL140" s="20"/>
      <c r="BM140" s="20"/>
    </row>
    <row r="141" spans="47:65" x14ac:dyDescent="0.2">
      <c r="AU141" s="8"/>
      <c r="AV141" s="8"/>
      <c r="BF141" s="27"/>
      <c r="BH141" s="20"/>
      <c r="BI141" s="20"/>
      <c r="BJ141" s="20"/>
      <c r="BK141" s="20"/>
      <c r="BL141" s="20"/>
      <c r="BM141" s="20"/>
    </row>
    <row r="142" spans="47:65" x14ac:dyDescent="0.2">
      <c r="AU142" s="8"/>
      <c r="AV142" s="8"/>
      <c r="BF142" s="27"/>
      <c r="BH142" s="20"/>
      <c r="BI142" s="20"/>
      <c r="BJ142" s="20"/>
      <c r="BK142" s="20"/>
      <c r="BL142" s="20"/>
      <c r="BM142" s="20"/>
    </row>
    <row r="143" spans="47:65" x14ac:dyDescent="0.2">
      <c r="AU143" s="8"/>
      <c r="AV143" s="8"/>
      <c r="BF143" s="27"/>
      <c r="BH143" s="20"/>
      <c r="BI143" s="20"/>
      <c r="BJ143" s="20"/>
      <c r="BK143" s="20"/>
      <c r="BL143" s="20"/>
      <c r="BM143" s="20"/>
    </row>
    <row r="144" spans="47:65" x14ac:dyDescent="0.2">
      <c r="AU144" s="8"/>
      <c r="AV144" s="8"/>
      <c r="BF144" s="27"/>
      <c r="BH144" s="20"/>
      <c r="BI144" s="20"/>
      <c r="BJ144" s="20"/>
      <c r="BK144" s="20"/>
      <c r="BL144" s="20"/>
      <c r="BM144" s="20"/>
    </row>
    <row r="145" spans="47:65" x14ac:dyDescent="0.2">
      <c r="AU145" s="8"/>
      <c r="AV145" s="8"/>
      <c r="BF145" s="27"/>
      <c r="BH145" s="20"/>
      <c r="BI145" s="20"/>
      <c r="BJ145" s="20"/>
      <c r="BK145" s="20"/>
      <c r="BL145" s="20"/>
      <c r="BM145" s="20"/>
    </row>
    <row r="146" spans="47:65" x14ac:dyDescent="0.2">
      <c r="AU146" s="8"/>
      <c r="AV146" s="8"/>
      <c r="BF146" s="27"/>
      <c r="BH146" s="20"/>
      <c r="BI146" s="20"/>
      <c r="BJ146" s="20"/>
      <c r="BK146" s="20"/>
      <c r="BL146" s="20"/>
      <c r="BM146" s="20"/>
    </row>
    <row r="147" spans="47:65" x14ac:dyDescent="0.2">
      <c r="AU147" s="8"/>
      <c r="AV147" s="8"/>
      <c r="BF147" s="27"/>
      <c r="BH147" s="20"/>
      <c r="BI147" s="20"/>
      <c r="BJ147" s="20"/>
      <c r="BK147" s="20"/>
      <c r="BL147" s="20"/>
      <c r="BM147" s="20"/>
    </row>
    <row r="148" spans="47:65" x14ac:dyDescent="0.2">
      <c r="AU148" s="8"/>
      <c r="AV148" s="8"/>
      <c r="BF148" s="15"/>
      <c r="BH148" s="16"/>
      <c r="BI148" s="16"/>
      <c r="BJ148" s="16"/>
      <c r="BK148" s="16"/>
      <c r="BL148" s="16"/>
      <c r="BM148" s="17"/>
    </row>
    <row r="149" spans="47:65" x14ac:dyDescent="0.2">
      <c r="AU149" s="8"/>
      <c r="AV149" s="8"/>
      <c r="BF149" s="15"/>
      <c r="BH149" s="16"/>
      <c r="BI149" s="16"/>
      <c r="BJ149" s="16"/>
      <c r="BK149" s="16"/>
      <c r="BL149" s="16"/>
      <c r="BM149" s="17"/>
    </row>
    <row r="150" spans="47:65" x14ac:dyDescent="0.2">
      <c r="AU150" s="8"/>
      <c r="AV150" s="8"/>
      <c r="BF150" s="15"/>
      <c r="BH150" s="16"/>
      <c r="BI150" s="16"/>
      <c r="BJ150" s="16"/>
      <c r="BK150" s="16"/>
      <c r="BL150" s="16"/>
      <c r="BM150" s="17"/>
    </row>
    <row r="151" spans="47:65" x14ac:dyDescent="0.2">
      <c r="AU151" s="8"/>
      <c r="AV151" s="8"/>
      <c r="BF151" s="15"/>
      <c r="BH151" s="16"/>
      <c r="BI151" s="16"/>
      <c r="BJ151" s="16"/>
      <c r="BK151" s="16"/>
      <c r="BL151" s="16"/>
      <c r="BM151" s="17"/>
    </row>
    <row r="152" spans="47:65" x14ac:dyDescent="0.2">
      <c r="AU152" s="8"/>
      <c r="AV152" s="8"/>
      <c r="BF152" s="18"/>
      <c r="BH152" s="19"/>
      <c r="BI152" s="19"/>
      <c r="BJ152" s="19"/>
      <c r="BK152" s="19"/>
      <c r="BL152" s="19"/>
      <c r="BM152" s="20"/>
    </row>
    <row r="153" spans="47:65" x14ac:dyDescent="0.2">
      <c r="AU153" s="8"/>
      <c r="AV153" s="8"/>
      <c r="BF153" s="18"/>
      <c r="BH153" s="19"/>
      <c r="BI153" s="19"/>
      <c r="BJ153" s="19"/>
      <c r="BK153" s="19"/>
      <c r="BL153" s="19"/>
      <c r="BM153" s="20"/>
    </row>
    <row r="154" spans="47:65" x14ac:dyDescent="0.2">
      <c r="AU154" s="8"/>
      <c r="AV154" s="8"/>
      <c r="BF154" s="18"/>
      <c r="BH154" s="19"/>
      <c r="BI154" s="19"/>
      <c r="BJ154" s="19"/>
      <c r="BK154" s="19"/>
      <c r="BL154" s="19"/>
      <c r="BM154" s="20"/>
    </row>
    <row r="155" spans="47:65" x14ac:dyDescent="0.2">
      <c r="AU155" s="8"/>
      <c r="AV155" s="8"/>
      <c r="BF155" s="18"/>
      <c r="BH155" s="19"/>
      <c r="BI155" s="19"/>
      <c r="BJ155" s="19"/>
      <c r="BK155" s="19"/>
      <c r="BL155" s="19"/>
      <c r="BM155" s="20"/>
    </row>
    <row r="167" spans="29:48" x14ac:dyDescent="0.2">
      <c r="AU167" s="8"/>
      <c r="AV167" s="8"/>
    </row>
    <row r="168" spans="29:48" x14ac:dyDescent="0.2">
      <c r="AU168" s="8"/>
      <c r="AV168" s="8"/>
    </row>
    <row r="169" spans="29:48" x14ac:dyDescent="0.2">
      <c r="AU169" s="8"/>
      <c r="AV169" s="8"/>
    </row>
    <row r="170" spans="29:48" x14ac:dyDescent="0.2">
      <c r="AU170" s="8"/>
      <c r="AV170" s="8"/>
    </row>
    <row r="171" spans="29:48" x14ac:dyDescent="0.2">
      <c r="AU171" s="8"/>
      <c r="AV171" s="8"/>
    </row>
    <row r="172" spans="29:48" x14ac:dyDescent="0.2">
      <c r="AC172" t="e" cm="1">
        <f t="array" ref="AC172">#REF!</f>
        <v>#REF!</v>
      </c>
      <c r="AU172" s="8"/>
      <c r="AV172" s="8"/>
    </row>
    <row r="173" spans="29:48" x14ac:dyDescent="0.2">
      <c r="AC173" t="e" cm="1">
        <f t="array" ref="AC173">#REF!</f>
        <v>#REF!</v>
      </c>
      <c r="AU173" s="8"/>
      <c r="AV173" s="8"/>
    </row>
    <row r="174" spans="29:48" x14ac:dyDescent="0.2">
      <c r="AC174" t="e" cm="1">
        <f t="array" ref="AC174">#REF!</f>
        <v>#REF!</v>
      </c>
      <c r="AU174" s="8"/>
      <c r="AV174" s="8"/>
    </row>
    <row r="175" spans="29:48" x14ac:dyDescent="0.2">
      <c r="AU175" s="8"/>
      <c r="AV175" s="8"/>
    </row>
    <row r="176" spans="29:48" x14ac:dyDescent="0.2">
      <c r="AC176" t="e" cm="1">
        <f t="array" ref="AC176">#REF!</f>
        <v>#REF!</v>
      </c>
      <c r="AU176" s="8"/>
      <c r="AV176" s="8"/>
    </row>
    <row r="177" spans="47:48" x14ac:dyDescent="0.2">
      <c r="AU177" s="8"/>
      <c r="AV177" s="8"/>
    </row>
    <row r="178" spans="47:48" x14ac:dyDescent="0.2">
      <c r="AU178" s="8"/>
      <c r="AV178" s="8"/>
    </row>
    <row r="179" spans="47:48" x14ac:dyDescent="0.2">
      <c r="AU179" s="8"/>
      <c r="AV179" s="8"/>
    </row>
    <row r="180" spans="47:48" x14ac:dyDescent="0.2">
      <c r="AU180" s="8"/>
      <c r="AV180" s="8"/>
    </row>
    <row r="181" spans="47:48" x14ac:dyDescent="0.2">
      <c r="AU181" s="8"/>
      <c r="AV181" s="8"/>
    </row>
    <row r="182" spans="47:48" x14ac:dyDescent="0.2">
      <c r="AU182" s="8"/>
      <c r="AV182" s="8"/>
    </row>
    <row r="183" spans="47:48" x14ac:dyDescent="0.2">
      <c r="AU183" s="8"/>
      <c r="AV183" s="8"/>
    </row>
    <row r="184" spans="47:48" x14ac:dyDescent="0.2">
      <c r="AU184" s="8"/>
      <c r="AV184" s="8"/>
    </row>
    <row r="185" spans="47:48" x14ac:dyDescent="0.2">
      <c r="AU185" s="8"/>
      <c r="AV185" s="8"/>
    </row>
    <row r="186" spans="47:48" x14ac:dyDescent="0.2">
      <c r="AU186" s="8"/>
      <c r="AV186" s="8"/>
    </row>
    <row r="187" spans="47:48" x14ac:dyDescent="0.2">
      <c r="AU187" s="8"/>
      <c r="AV187" s="8"/>
    </row>
    <row r="188" spans="47:48" x14ac:dyDescent="0.2">
      <c r="AU188" s="8"/>
      <c r="AV188" s="8"/>
    </row>
    <row r="189" spans="47:48" x14ac:dyDescent="0.2">
      <c r="AU189" s="8"/>
      <c r="AV189" s="8"/>
    </row>
    <row r="190" spans="47:48" x14ac:dyDescent="0.2">
      <c r="AU190" s="8"/>
      <c r="AV190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workbookViewId="0">
      <selection activeCell="BZ98" sqref="BZ98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s="8" t="s">
        <v>163</v>
      </c>
      <c r="BX7" s="8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s="8" t="s">
        <v>164</v>
      </c>
      <c r="BX8" s="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s="8" t="s">
        <v>165</v>
      </c>
      <c r="BX9" s="8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8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8" t="s">
        <v>157</v>
      </c>
      <c r="BK10" s="28" t="s">
        <v>158</v>
      </c>
      <c r="BL10" s="28" t="s">
        <v>159</v>
      </c>
      <c r="BR10" t="s">
        <v>202</v>
      </c>
      <c r="BS10">
        <v>4.7000000000000002E-3</v>
      </c>
      <c r="BT10" s="14" t="s">
        <v>193</v>
      </c>
      <c r="BU10" s="14">
        <v>0.72</v>
      </c>
      <c r="BW10" s="8" t="s">
        <v>166</v>
      </c>
      <c r="BX10" s="8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4" t="s">
        <v>224</v>
      </c>
      <c r="G11" s="14" t="s">
        <v>254</v>
      </c>
      <c r="H11" s="12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>$BS$3</f>
        <v>91.25</v>
      </c>
      <c r="P11" cm="1">
        <f t="array" ref="P11:P34">_xlfn.DROP(_xlfn.XLOOKUP($C11,TableLWG2_1[[#Headers],[ACT/NSW]:[Western Australia]],TableLWG2_1[[#All],[ACT/NSW]:[Western Australia]]),1)</f>
        <v>0.04</v>
      </c>
      <c r="Q11" cm="1">
        <f t="array" ref="Q11:Q34">_xlfn.DROP(_xlfn.XLOOKUP($C11,QueryCP[[#Headers],[ACT/NSW]:[Western Australia]],QueryCP[[#All],[ACT/NSW]:[Western Australia]]),1)</f>
        <v>0.2</v>
      </c>
      <c r="R11" cm="1">
        <f t="array" ref="R11:R34">_xlfn.DROP(_xlfn.XLOOKUP($C11,QueryDMD[[#Headers],[ACT/NSW]:[Western Australia]],QueryDMD[[#All],[ACT/NSW]:[Western Australia]]),1)</f>
        <v>0.75</v>
      </c>
      <c r="S11" cm="1">
        <f t="array" ref="S11:S34">_xlfn.DROP(_xlfn.XLOOKUP($C11,QueryW[[#Headers],[ACT/NSW]:[Western Australia]],QueryW[[#All],[ACT/NSW]:[Western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>$BS$10</f>
        <v>4.7000000000000002E-3</v>
      </c>
      <c r="X11">
        <f>IF(E11="yes",1,0)</f>
        <v>1</v>
      </c>
      <c r="Y11">
        <f>$BS$4</f>
        <v>0.24</v>
      </c>
      <c r="Z11">
        <f>$BS$6</f>
        <v>1.0999999999999999E-2</v>
      </c>
      <c r="AA11">
        <f>$BS$5</f>
        <v>0.21</v>
      </c>
      <c r="AB11">
        <f>VLOOKUP($F$11,$BR$37:$BS$49,2,FALSE)</f>
        <v>5.8999999999999999E-3</v>
      </c>
      <c r="AC11">
        <f>(M11/100)*(MIN(N11,100)/100)</f>
        <v>0.85499999999999998</v>
      </c>
      <c r="AD11">
        <f>AC11 * 1.6</f>
        <v>1.3680000000000001</v>
      </c>
      <c r="AE11">
        <f>J11 * K11 / 365</f>
        <v>7.1232876712328773E-3</v>
      </c>
      <c r="AF11">
        <f>P11 * 0.92</f>
        <v>3.6799999999999999E-2</v>
      </c>
      <c r="AG11" cm="1">
        <f t="array" ref="AG11:AG34">_xlfn.DROP(_xlfn.XLOOKUP($C11,QuerySRW[[#Headers],[ACT/NSW]:[Western Australia]],QuerySRW[[#All],[ACT/NSW]:[Western Australia]]),1)</f>
        <v>57</v>
      </c>
      <c r="AH11">
        <f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>(AV11 / 6.25 ) - AK11</f>
        <v>3.9886829165220503E-2</v>
      </c>
      <c r="AM11">
        <f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>(0.795*R11)-0.0014</f>
        <v>0.5948500000000001</v>
      </c>
      <c r="AR11" cm="1">
        <f t="array" ref="AR11:AR34">_xlfn.DROP(_xlfn.XLOOKUP($C11,QueryDMA[[#Headers],[ACT/NSW]:[Western Australia]],QueryDMA[[#All],[ACT/NSW]:[Western Australia]]),1)</f>
        <v>2.9</v>
      </c>
      <c r="AS11">
        <f>1 - EXP(-2*(AR11^2))</f>
        <v>0.9999999504359468</v>
      </c>
      <c r="AT11">
        <f>(104.7*AQ11+0.307*S11-15)*(S11^0.75)*10^-3</f>
        <v>1.2720847291262878</v>
      </c>
      <c r="AU11">
        <f>AT11*AS11*AP11</f>
        <v>1.5983743829252637</v>
      </c>
      <c r="AV11">
        <f>(AU11 * Q11) + (0.045 * AJ11)</f>
        <v>0.31967487658505278</v>
      </c>
      <c r="AW11">
        <f>$BS$2</f>
        <v>0.08</v>
      </c>
      <c r="AX11">
        <f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4" t="s">
        <v>194</v>
      </c>
      <c r="BU11" s="14">
        <v>0.75</v>
      </c>
      <c r="BW11" s="8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3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>$BS$3</f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0">1-U12</f>
        <v>0</v>
      </c>
      <c r="U12">
        <f t="shared" ref="U12:U34" si="1">IF($D$11="yes", 1, VLOOKUP(B12, $BR$26:$BT$32, 1))</f>
        <v>1</v>
      </c>
      <c r="V12">
        <f t="shared" ref="V12:V34" si="2">VLOOKUP($B$11,$BT$10:$BU$16, 2, FALSE)</f>
        <v>0.72</v>
      </c>
      <c r="W12">
        <f>$BS$10</f>
        <v>4.7000000000000002E-3</v>
      </c>
      <c r="X12">
        <f t="shared" ref="X12:X34" si="3">IF(E12="yes",1,0)</f>
        <v>0</v>
      </c>
      <c r="Y12">
        <f>$BS$4</f>
        <v>0.24</v>
      </c>
      <c r="Z12">
        <f>$BS$6</f>
        <v>1.0999999999999999E-2</v>
      </c>
      <c r="AA12">
        <f>$BS$5</f>
        <v>0.21</v>
      </c>
      <c r="AB12">
        <f t="shared" ref="AB12:AB34" si="4">VLOOKUP($F$11,$BR$37:$BS$49,2,FALSE)</f>
        <v>5.8999999999999999E-3</v>
      </c>
      <c r="AC12">
        <f>(M12/100)*(MIN(N12,100)/100)</f>
        <v>0</v>
      </c>
      <c r="AD12">
        <f t="shared" ref="AD12:AD34" si="5">AC12 * 1.6</f>
        <v>0</v>
      </c>
      <c r="AE12">
        <f>J12 * K12 / 365</f>
        <v>7.1232876712328773E-3</v>
      </c>
      <c r="AF12">
        <f>P12 * 0.92</f>
        <v>-4.6000000000000006E-2</v>
      </c>
      <c r="AG12">
        <v>57</v>
      </c>
      <c r="AH12">
        <f>S12 / AG12</f>
        <v>0.85964912280701755</v>
      </c>
      <c r="AI12">
        <v>0</v>
      </c>
      <c r="AJ12">
        <f t="shared" ref="AJ12:AJ34" si="6">1.6 * AI12</f>
        <v>0</v>
      </c>
      <c r="AK12">
        <f t="shared" ref="AK12:AK34" si="7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>(AV12 / 6.25 ) - AK12</f>
        <v>1.4651626395231406E-2</v>
      </c>
      <c r="AM12">
        <f>IF($G$11="wet",$BU$18,$BU$19)</f>
        <v>6.0000000000000001E-3</v>
      </c>
      <c r="AN12">
        <f t="shared" ref="AN12:AN34" si="8">$BS$7</f>
        <v>1.5714285714285714</v>
      </c>
      <c r="AO12">
        <f t="shared" ref="AO12:AO34" si="9">$BV$1</f>
        <v>1.3</v>
      </c>
      <c r="AP12">
        <f t="shared" ref="AP12:AP34" si="10">AC12*AO12+(1-AC12)</f>
        <v>1</v>
      </c>
      <c r="AQ12">
        <f>(0.795*R12)-0.0014</f>
        <v>0.48354999999999998</v>
      </c>
      <c r="AR12">
        <v>2.5</v>
      </c>
      <c r="AS12">
        <f t="shared" ref="AS12:AS34" si="11">1 - EXP(-2*(AR12^2))</f>
        <v>0.99999627334682795</v>
      </c>
      <c r="AT12">
        <f>(104.7*AQ12+0.307*S12-15)*(S12^0.75)*10^-3</f>
        <v>0.93843421889903578</v>
      </c>
      <c r="AU12">
        <f t="shared" ref="AU12:AU34" si="12">AT12*AS12*AP12</f>
        <v>0.93843072168017716</v>
      </c>
      <c r="AV12">
        <f>(AU12 * Q12) + (0.045 * AJ12)</f>
        <v>9.3843072168017724E-2</v>
      </c>
      <c r="AW12">
        <f t="shared" ref="AW12:AW34" si="13">$BS$2</f>
        <v>0.08</v>
      </c>
      <c r="AX12">
        <f>(AU12 * ((1 - R12) + (0.04 * AU12))) * ( 1 - AW12 )</f>
        <v>0.3691169446125166</v>
      </c>
      <c r="AY12">
        <f t="shared" ref="AY12:AY34" si="14">$BS$1</f>
        <v>0.24</v>
      </c>
      <c r="AZ12">
        <f t="shared" ref="AZ12:AZ34" si="15">$BT$20</f>
        <v>0.6784</v>
      </c>
      <c r="BA12">
        <f>AX12 * AY12 * T12 * V12 * AZ12</f>
        <v>0</v>
      </c>
      <c r="BB12">
        <f t="shared" ref="BB12:BB34" si="16">AX12*AY12*U12*W12*AZ12</f>
        <v>2.8246127893394806E-4</v>
      </c>
      <c r="BC12">
        <f t="shared" ref="BC12:BC34" si="17">BA12+BB12</f>
        <v>2.8246127893394806E-4</v>
      </c>
      <c r="BD12">
        <f t="shared" ref="BD12:BD34" si="18">L12*BC12*O12</f>
        <v>1.8042214191905934</v>
      </c>
      <c r="BF12">
        <f>L12*AL12*O12</f>
        <v>93.587263599540606</v>
      </c>
      <c r="BT12" s="14" t="s">
        <v>195</v>
      </c>
      <c r="BU12" s="14">
        <v>0.78</v>
      </c>
      <c r="BW12" s="8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2"/>
      <c r="I13" t="s">
        <v>165</v>
      </c>
      <c r="J13">
        <f t="shared" ref="J13:J14" si="19">J12</f>
        <v>4</v>
      </c>
      <c r="K13">
        <f>K11</f>
        <v>0.65</v>
      </c>
      <c r="L13">
        <v>65</v>
      </c>
      <c r="M13">
        <v>0</v>
      </c>
      <c r="N13">
        <v>0</v>
      </c>
      <c r="O13">
        <f>$BS$3</f>
        <v>91.25</v>
      </c>
      <c r="P13">
        <v>0.01</v>
      </c>
      <c r="Q13">
        <v>0.12</v>
      </c>
      <c r="R13">
        <v>0.64</v>
      </c>
      <c r="S13">
        <v>50</v>
      </c>
      <c r="T13">
        <f t="shared" si="0"/>
        <v>0</v>
      </c>
      <c r="U13">
        <f t="shared" si="1"/>
        <v>1</v>
      </c>
      <c r="V13">
        <f t="shared" si="2"/>
        <v>0.72</v>
      </c>
      <c r="W13">
        <f>$BS$10</f>
        <v>4.7000000000000002E-3</v>
      </c>
      <c r="X13">
        <f t="shared" si="3"/>
        <v>0</v>
      </c>
      <c r="Y13">
        <f>$BS$4</f>
        <v>0.24</v>
      </c>
      <c r="Z13">
        <f>$BS$6</f>
        <v>1.0999999999999999E-2</v>
      </c>
      <c r="AA13">
        <f>$BS$5</f>
        <v>0.21</v>
      </c>
      <c r="AB13">
        <f t="shared" si="4"/>
        <v>5.8999999999999999E-3</v>
      </c>
      <c r="AC13">
        <f>(M13/100)*(MIN(N13,100)/100)</f>
        <v>0</v>
      </c>
      <c r="AD13">
        <f t="shared" si="5"/>
        <v>0</v>
      </c>
      <c r="AE13">
        <f>J13 * K13 / 365</f>
        <v>7.1232876712328773E-3</v>
      </c>
      <c r="AF13">
        <f>P13 * 0.92</f>
        <v>9.1999999999999998E-3</v>
      </c>
      <c r="AG13">
        <v>57</v>
      </c>
      <c r="AH13">
        <f>S13 / AG13</f>
        <v>0.8771929824561403</v>
      </c>
      <c r="AI13">
        <v>0</v>
      </c>
      <c r="AJ13">
        <f t="shared" si="6"/>
        <v>0</v>
      </c>
      <c r="AK13">
        <f t="shared" si="7"/>
        <v>1.0747659693624819E-3</v>
      </c>
      <c r="AL13">
        <f>(AV13 / 6.25 ) - AK13</f>
        <v>1.811521741614671E-2</v>
      </c>
      <c r="AM13">
        <f>IF($G$11="wet",$BU$18,$BU$19)</f>
        <v>6.0000000000000001E-3</v>
      </c>
      <c r="AN13">
        <f t="shared" si="8"/>
        <v>1.5714285714285714</v>
      </c>
      <c r="AO13">
        <f t="shared" si="9"/>
        <v>1.3</v>
      </c>
      <c r="AP13">
        <f t="shared" si="10"/>
        <v>1</v>
      </c>
      <c r="AQ13">
        <f>(0.795*R13)-0.0014</f>
        <v>0.50740000000000007</v>
      </c>
      <c r="AR13">
        <v>1.6</v>
      </c>
      <c r="AS13">
        <f t="shared" si="11"/>
        <v>0.99402397710499402</v>
      </c>
      <c r="AT13">
        <f>(104.7*AQ13+0.307*S13-15)*(S13^0.75)*10^-3</f>
        <v>1.0054871153505722</v>
      </c>
      <c r="AU13">
        <f t="shared" si="12"/>
        <v>0.99947830132860371</v>
      </c>
      <c r="AV13">
        <f>(AU13 * Q13) + (0.045 * AJ13)</f>
        <v>0.11993739615943244</v>
      </c>
      <c r="AW13">
        <f t="shared" si="13"/>
        <v>0.08</v>
      </c>
      <c r="AX13">
        <f>(AU13 * ((1 - R13) + (0.04 * AU13))) * ( 1 - AW13 )</f>
        <v>0.36778882639365651</v>
      </c>
      <c r="AY13">
        <f t="shared" si="14"/>
        <v>0.24</v>
      </c>
      <c r="AZ13">
        <f t="shared" si="15"/>
        <v>0.6784</v>
      </c>
      <c r="BA13">
        <f t="shared" ref="BA13:BA34" si="20">AX13 * AY13 * T13 * V13 * AZ13</f>
        <v>0</v>
      </c>
      <c r="BB13">
        <f t="shared" si="16"/>
        <v>2.8144495612311498E-4</v>
      </c>
      <c r="BC13">
        <f t="shared" si="17"/>
        <v>2.8144495612311498E-4</v>
      </c>
      <c r="BD13">
        <f t="shared" si="18"/>
        <v>1.6693203960052256</v>
      </c>
      <c r="BF13">
        <f>L13*AL13*O13</f>
        <v>107.44588329952018</v>
      </c>
      <c r="BT13" s="14" t="s">
        <v>196</v>
      </c>
      <c r="BU13" s="14">
        <v>0.74</v>
      </c>
      <c r="BW13" s="8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3"/>
      <c r="I14" t="s">
        <v>166</v>
      </c>
      <c r="J14">
        <f t="shared" si="19"/>
        <v>4</v>
      </c>
      <c r="K14">
        <f>K11</f>
        <v>0.65</v>
      </c>
      <c r="L14">
        <v>80</v>
      </c>
      <c r="M14">
        <v>0</v>
      </c>
      <c r="N14">
        <v>0</v>
      </c>
      <c r="O14">
        <f>$BS$3</f>
        <v>91.25</v>
      </c>
      <c r="P14">
        <v>0</v>
      </c>
      <c r="Q14">
        <v>0.18</v>
      </c>
      <c r="R14">
        <v>0.72</v>
      </c>
      <c r="S14">
        <v>50</v>
      </c>
      <c r="T14">
        <f t="shared" si="0"/>
        <v>0</v>
      </c>
      <c r="U14">
        <f t="shared" si="1"/>
        <v>1</v>
      </c>
      <c r="V14">
        <f t="shared" si="2"/>
        <v>0.72</v>
      </c>
      <c r="W14">
        <f>$BS$10</f>
        <v>4.7000000000000002E-3</v>
      </c>
      <c r="X14">
        <f t="shared" si="3"/>
        <v>0</v>
      </c>
      <c r="Y14">
        <f>$BS$4</f>
        <v>0.24</v>
      </c>
      <c r="Z14">
        <f>$BS$6</f>
        <v>1.0999999999999999E-2</v>
      </c>
      <c r="AA14">
        <f>$BS$5</f>
        <v>0.21</v>
      </c>
      <c r="AB14">
        <f t="shared" si="4"/>
        <v>5.8999999999999999E-3</v>
      </c>
      <c r="AC14">
        <f>(M14/100)*(MIN(N14,100)/100)</f>
        <v>0</v>
      </c>
      <c r="AD14">
        <f t="shared" si="5"/>
        <v>0</v>
      </c>
      <c r="AE14">
        <f>J14 * K14 / 365</f>
        <v>7.1232876712328773E-3</v>
      </c>
      <c r="AF14">
        <f>P14 * 0.92</f>
        <v>0</v>
      </c>
      <c r="AG14">
        <v>57</v>
      </c>
      <c r="AH14">
        <f>S14 / AG14</f>
        <v>0.8771929824561403</v>
      </c>
      <c r="AI14">
        <v>0</v>
      </c>
      <c r="AJ14">
        <f t="shared" si="6"/>
        <v>0</v>
      </c>
      <c r="AK14">
        <f t="shared" si="7"/>
        <v>9.5736986301369871E-4</v>
      </c>
      <c r="AL14">
        <f>(AV14 / 6.25 ) - AK14</f>
        <v>3.1506062032197808E-2</v>
      </c>
      <c r="AM14">
        <f>IF($G$11="wet",$BU$18,$BU$19)</f>
        <v>6.0000000000000001E-3</v>
      </c>
      <c r="AN14">
        <f t="shared" si="8"/>
        <v>1.5714285714285714</v>
      </c>
      <c r="AO14">
        <f t="shared" si="9"/>
        <v>1.3</v>
      </c>
      <c r="AP14">
        <f t="shared" si="10"/>
        <v>1</v>
      </c>
      <c r="AQ14">
        <f>(0.795*R14)-0.0014</f>
        <v>0.57100000000000006</v>
      </c>
      <c r="AR14">
        <v>1.7</v>
      </c>
      <c r="AS14">
        <f t="shared" si="11"/>
        <v>0.99691128459176326</v>
      </c>
      <c r="AT14">
        <f>(104.7*AQ14+0.307*S14-15)*(S14^0.75)*10^-3</f>
        <v>1.1306948910936463</v>
      </c>
      <c r="AU14">
        <f t="shared" si="12"/>
        <v>1.1272024963615108</v>
      </c>
      <c r="AV14">
        <f>(AU14 * Q14) + (0.045 * AJ14)</f>
        <v>0.20289644934507195</v>
      </c>
      <c r="AW14">
        <f t="shared" si="13"/>
        <v>0.08</v>
      </c>
      <c r="AX14">
        <f>(AU14 * ((1 - R14) + (0.04 * AU14))) * ( 1 - AW14 )</f>
        <v>0.33712490827789848</v>
      </c>
      <c r="AY14">
        <f t="shared" si="14"/>
        <v>0.24</v>
      </c>
      <c r="AZ14">
        <f t="shared" si="15"/>
        <v>0.6784</v>
      </c>
      <c r="BA14">
        <f t="shared" si="20"/>
        <v>0</v>
      </c>
      <c r="BB14">
        <f t="shared" si="16"/>
        <v>2.5797984661101933E-4</v>
      </c>
      <c r="BC14">
        <f t="shared" si="17"/>
        <v>2.5797984661101933E-4</v>
      </c>
      <c r="BD14">
        <f t="shared" si="18"/>
        <v>1.8832528802604411</v>
      </c>
      <c r="BF14">
        <f>L14*AL14*O14</f>
        <v>229.99425283504399</v>
      </c>
      <c r="BT14" s="14" t="s">
        <v>197</v>
      </c>
      <c r="BU14" s="14">
        <v>0.69</v>
      </c>
      <c r="BW14" s="8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2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>$BS$3</f>
        <v>91.25</v>
      </c>
      <c r="P15">
        <v>0.16</v>
      </c>
      <c r="Q15">
        <v>0.2</v>
      </c>
      <c r="R15">
        <v>0.75</v>
      </c>
      <c r="S15">
        <v>20</v>
      </c>
      <c r="T15">
        <f t="shared" si="0"/>
        <v>0</v>
      </c>
      <c r="U15">
        <f t="shared" si="1"/>
        <v>1</v>
      </c>
      <c r="V15">
        <f t="shared" si="2"/>
        <v>0.72</v>
      </c>
      <c r="W15">
        <f>$BS$10</f>
        <v>4.7000000000000002E-3</v>
      </c>
      <c r="X15">
        <f t="shared" si="3"/>
        <v>0</v>
      </c>
      <c r="Y15">
        <f>$BS$4</f>
        <v>0.24</v>
      </c>
      <c r="Z15">
        <f>$BS$6</f>
        <v>1.0999999999999999E-2</v>
      </c>
      <c r="AA15">
        <f>$BS$5</f>
        <v>0.21</v>
      </c>
      <c r="AB15">
        <f t="shared" si="4"/>
        <v>5.8999999999999999E-3</v>
      </c>
      <c r="AC15">
        <f>(M15/100)*(MIN(N15,100)/100)</f>
        <v>0</v>
      </c>
      <c r="AD15">
        <f t="shared" si="5"/>
        <v>0</v>
      </c>
      <c r="AE15">
        <f>J15 * K15 / 365</f>
        <v>4.9315068493150684E-3</v>
      </c>
      <c r="AF15">
        <f>P15 * 0.92</f>
        <v>0.1472</v>
      </c>
      <c r="AG15">
        <v>60</v>
      </c>
      <c r="AH15">
        <f>S15 / AG15</f>
        <v>0.33333333333333331</v>
      </c>
      <c r="AI15">
        <v>1</v>
      </c>
      <c r="AJ15">
        <f t="shared" si="6"/>
        <v>1.6</v>
      </c>
      <c r="AK15">
        <f t="shared" si="7"/>
        <v>4.2927035527562628E-3</v>
      </c>
      <c r="AL15">
        <f>(AV15 / 6.25 ) - AK15</f>
        <v>2.3394421603544668E-2</v>
      </c>
      <c r="AM15">
        <f>IF($G$11="wet",$BU$18,$BU$19)</f>
        <v>6.0000000000000001E-3</v>
      </c>
      <c r="AN15">
        <f t="shared" si="8"/>
        <v>1.5714285714285714</v>
      </c>
      <c r="AO15">
        <f t="shared" si="9"/>
        <v>1.3</v>
      </c>
      <c r="AP15">
        <f t="shared" si="10"/>
        <v>1</v>
      </c>
      <c r="AQ15">
        <f>(0.795*R15)-0.0014</f>
        <v>0.5948500000000001</v>
      </c>
      <c r="AR15">
        <v>2.9</v>
      </c>
      <c r="AS15">
        <f t="shared" si="11"/>
        <v>0.9999999504359468</v>
      </c>
      <c r="AT15">
        <f>(104.7*AQ15+0.307*S15-15)*(S15^0.75)*10^-3</f>
        <v>0.5052226861752882</v>
      </c>
      <c r="AU15">
        <f t="shared" si="12"/>
        <v>0.50522266113440406</v>
      </c>
      <c r="AV15">
        <f>(AU15 * Q15) + (0.045 * AJ15)</f>
        <v>0.17304453222688082</v>
      </c>
      <c r="AW15">
        <f t="shared" si="13"/>
        <v>0.08</v>
      </c>
      <c r="AX15">
        <f>(AU15 * ((1 - R15) + (0.04 * AU15))) * ( 1 - AW15 )</f>
        <v>0.12559440975442615</v>
      </c>
      <c r="AY15">
        <f t="shared" si="14"/>
        <v>0.24</v>
      </c>
      <c r="AZ15">
        <f t="shared" si="15"/>
        <v>0.6784</v>
      </c>
      <c r="BA15">
        <f t="shared" si="20"/>
        <v>0</v>
      </c>
      <c r="BB15">
        <f t="shared" si="16"/>
        <v>9.6109263267310253E-5</v>
      </c>
      <c r="BC15">
        <f t="shared" si="17"/>
        <v>9.6109263267310253E-5</v>
      </c>
      <c r="BD15">
        <f t="shared" si="18"/>
        <v>1.7539940546284121</v>
      </c>
      <c r="BF15">
        <f>L15*AL15*O15</f>
        <v>426.94819426469013</v>
      </c>
      <c r="BT15" s="14" t="s">
        <v>198</v>
      </c>
      <c r="BU15" s="14">
        <v>0.73</v>
      </c>
      <c r="BW15" s="8" t="s">
        <v>163</v>
      </c>
      <c r="BX15" s="8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3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>$BS$3</f>
        <v>91.25</v>
      </c>
      <c r="P16">
        <v>0.08</v>
      </c>
      <c r="Q16">
        <v>0.1</v>
      </c>
      <c r="R16">
        <v>0.61</v>
      </c>
      <c r="S16">
        <v>27</v>
      </c>
      <c r="T16">
        <f t="shared" si="0"/>
        <v>0</v>
      </c>
      <c r="U16">
        <f t="shared" si="1"/>
        <v>1</v>
      </c>
      <c r="V16">
        <f t="shared" si="2"/>
        <v>0.72</v>
      </c>
      <c r="W16">
        <f>$BS$10</f>
        <v>4.7000000000000002E-3</v>
      </c>
      <c r="X16">
        <f t="shared" si="3"/>
        <v>0</v>
      </c>
      <c r="Y16">
        <f>$BS$4</f>
        <v>0.24</v>
      </c>
      <c r="Z16">
        <f>$BS$6</f>
        <v>1.0999999999999999E-2</v>
      </c>
      <c r="AA16">
        <f>$BS$5</f>
        <v>0.21</v>
      </c>
      <c r="AB16">
        <f t="shared" si="4"/>
        <v>5.8999999999999999E-3</v>
      </c>
      <c r="AC16">
        <f>(M16/100)*(MIN(N16,100)/100)</f>
        <v>0</v>
      </c>
      <c r="AD16">
        <f t="shared" si="5"/>
        <v>0</v>
      </c>
      <c r="AE16">
        <f>J16 * K16 / 365</f>
        <v>4.9315068493150684E-3</v>
      </c>
      <c r="AF16">
        <f>P16 * 0.92</f>
        <v>7.3599999999999999E-2</v>
      </c>
      <c r="AG16">
        <v>61</v>
      </c>
      <c r="AH16">
        <f>S16 / AG16</f>
        <v>0.44262295081967212</v>
      </c>
      <c r="AI16">
        <v>0</v>
      </c>
      <c r="AJ16">
        <f t="shared" si="6"/>
        <v>0</v>
      </c>
      <c r="AK16">
        <f t="shared" si="7"/>
        <v>2.233380100205178E-3</v>
      </c>
      <c r="AL16">
        <f>(AV16 / 6.25 ) - AK16</f>
        <v>6.0894444157458105E-3</v>
      </c>
      <c r="AM16">
        <f>IF($G$11="wet",$BU$18,$BU$19)</f>
        <v>6.0000000000000001E-3</v>
      </c>
      <c r="AN16">
        <f t="shared" si="8"/>
        <v>1.5714285714285714</v>
      </c>
      <c r="AO16">
        <f t="shared" si="9"/>
        <v>1.3</v>
      </c>
      <c r="AP16">
        <f t="shared" si="10"/>
        <v>1</v>
      </c>
      <c r="AQ16">
        <f>(0.795*R16)-0.0014</f>
        <v>0.48354999999999998</v>
      </c>
      <c r="AR16">
        <v>2.5</v>
      </c>
      <c r="AS16">
        <f t="shared" si="11"/>
        <v>0.99999627334682795</v>
      </c>
      <c r="AT16">
        <f>(104.7*AQ16+0.307*S16-15)*(S16^0.75)*10^-3</f>
        <v>0.52017847077168489</v>
      </c>
      <c r="AU16">
        <f t="shared" si="12"/>
        <v>0.52017653224693672</v>
      </c>
      <c r="AV16">
        <f>(AU16 * Q16) + (0.045 * AJ16)</f>
        <v>5.2017653224693677E-2</v>
      </c>
      <c r="AW16">
        <f t="shared" si="13"/>
        <v>0.08</v>
      </c>
      <c r="AX16">
        <f>(AU16 * ((1 - R16) + (0.04 * AU16))) * ( 1 - AW16 )</f>
        <v>0.1965968171591774</v>
      </c>
      <c r="AY16">
        <f t="shared" si="14"/>
        <v>0.24</v>
      </c>
      <c r="AZ16">
        <f t="shared" si="15"/>
        <v>0.6784</v>
      </c>
      <c r="BA16">
        <f t="shared" si="20"/>
        <v>0</v>
      </c>
      <c r="BB16">
        <f t="shared" si="16"/>
        <v>1.5044280469816656E-4</v>
      </c>
      <c r="BC16">
        <f t="shared" si="17"/>
        <v>1.5044280469816656E-4</v>
      </c>
      <c r="BD16">
        <f t="shared" si="18"/>
        <v>2.8828602450286169</v>
      </c>
      <c r="BF16">
        <f>L16*AL16*O16</f>
        <v>116.6889786167291</v>
      </c>
      <c r="BT16" s="14" t="s">
        <v>199</v>
      </c>
      <c r="BU16" s="14">
        <v>0.76</v>
      </c>
      <c r="BW16" s="8" t="s">
        <v>164</v>
      </c>
      <c r="BX16" s="8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2"/>
      <c r="I17" t="s">
        <v>165</v>
      </c>
      <c r="J17">
        <f t="shared" ref="J17:J18" si="21">J16</f>
        <v>3</v>
      </c>
      <c r="K17">
        <f t="shared" ref="K17:K18" si="22">K16</f>
        <v>0.6</v>
      </c>
      <c r="L17">
        <v>170</v>
      </c>
      <c r="M17">
        <v>0</v>
      </c>
      <c r="N17">
        <v>0</v>
      </c>
      <c r="O17">
        <f>$BS$3</f>
        <v>91.25</v>
      </c>
      <c r="P17">
        <v>0.05</v>
      </c>
      <c r="Q17">
        <v>0.12</v>
      </c>
      <c r="R17">
        <v>0.64</v>
      </c>
      <c r="S17">
        <v>32</v>
      </c>
      <c r="T17">
        <f t="shared" si="0"/>
        <v>0</v>
      </c>
      <c r="U17">
        <f t="shared" si="1"/>
        <v>1</v>
      </c>
      <c r="V17">
        <f t="shared" si="2"/>
        <v>0.72</v>
      </c>
      <c r="W17">
        <f>$BS$10</f>
        <v>4.7000000000000002E-3</v>
      </c>
      <c r="X17">
        <f t="shared" si="3"/>
        <v>0</v>
      </c>
      <c r="Y17">
        <f>$BS$4</f>
        <v>0.24</v>
      </c>
      <c r="Z17">
        <f>$BS$6</f>
        <v>1.0999999999999999E-2</v>
      </c>
      <c r="AA17">
        <f>$BS$5</f>
        <v>0.21</v>
      </c>
      <c r="AB17">
        <f t="shared" si="4"/>
        <v>5.8999999999999999E-3</v>
      </c>
      <c r="AC17">
        <f>(M17/100)*(MIN(N17,100)/100)</f>
        <v>0</v>
      </c>
      <c r="AD17">
        <f t="shared" si="5"/>
        <v>0</v>
      </c>
      <c r="AE17">
        <f>J17 * K17 / 365</f>
        <v>4.9315068493150684E-3</v>
      </c>
      <c r="AF17">
        <f>P17 * 0.92</f>
        <v>4.6000000000000006E-2</v>
      </c>
      <c r="AG17">
        <v>62</v>
      </c>
      <c r="AH17">
        <f>S17 / AG17</f>
        <v>0.5161290322580645</v>
      </c>
      <c r="AI17">
        <v>0</v>
      </c>
      <c r="AJ17">
        <f t="shared" si="6"/>
        <v>0</v>
      </c>
      <c r="AK17">
        <f t="shared" si="7"/>
        <v>1.5400455022570668E-3</v>
      </c>
      <c r="AL17">
        <f>(AV17 / 6.25 ) - AK17</f>
        <v>1.077222459730026E-2</v>
      </c>
      <c r="AM17">
        <f>IF($G$11="wet",$BU$18,$BU$19)</f>
        <v>6.0000000000000001E-3</v>
      </c>
      <c r="AN17">
        <f t="shared" si="8"/>
        <v>1.5714285714285714</v>
      </c>
      <c r="AO17">
        <f t="shared" si="9"/>
        <v>1.3</v>
      </c>
      <c r="AP17">
        <f t="shared" si="10"/>
        <v>1</v>
      </c>
      <c r="AQ17">
        <f>(0.795*R17)-0.0014</f>
        <v>0.50740000000000007</v>
      </c>
      <c r="AR17">
        <v>1.6</v>
      </c>
      <c r="AS17">
        <f t="shared" si="11"/>
        <v>0.99402397710499402</v>
      </c>
      <c r="AT17">
        <f>(104.7*AQ17+0.307*S17-15)*(S17^0.75)*10^-3</f>
        <v>0.64511931548462409</v>
      </c>
      <c r="AU17">
        <f t="shared" si="12"/>
        <v>0.64126406768527744</v>
      </c>
      <c r="AV17">
        <f>(AU17 * Q17) + (0.045 * AJ17)</f>
        <v>7.6951688122233283E-2</v>
      </c>
      <c r="AW17">
        <f t="shared" si="13"/>
        <v>0.08</v>
      </c>
      <c r="AX17">
        <f>(AU17 * ((1 - R17) + (0.04 * AU17))) * ( 1 - AW17 )</f>
        <v>0.22751954066312097</v>
      </c>
      <c r="AY17">
        <f t="shared" si="14"/>
        <v>0.24</v>
      </c>
      <c r="AZ17">
        <f t="shared" si="15"/>
        <v>0.6784</v>
      </c>
      <c r="BA17">
        <f t="shared" si="20"/>
        <v>0</v>
      </c>
      <c r="BB17">
        <f t="shared" si="16"/>
        <v>1.7410596120325152E-4</v>
      </c>
      <c r="BC17">
        <f t="shared" si="17"/>
        <v>1.7410596120325152E-4</v>
      </c>
      <c r="BD17">
        <f t="shared" si="18"/>
        <v>2.700818723165439</v>
      </c>
      <c r="BF17">
        <f>L17*AL17*O17</f>
        <v>167.10413406562029</v>
      </c>
      <c r="BW17" s="8" t="s">
        <v>165</v>
      </c>
      <c r="BX17" s="8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3"/>
      <c r="I18" t="s">
        <v>166</v>
      </c>
      <c r="J18">
        <f t="shared" si="21"/>
        <v>3</v>
      </c>
      <c r="K18">
        <f t="shared" si="22"/>
        <v>0.6</v>
      </c>
      <c r="L18">
        <v>200</v>
      </c>
      <c r="M18">
        <v>0</v>
      </c>
      <c r="N18">
        <v>0</v>
      </c>
      <c r="O18">
        <f>$BS$3</f>
        <v>91.25</v>
      </c>
      <c r="P18">
        <v>0.04</v>
      </c>
      <c r="Q18">
        <v>0.18</v>
      </c>
      <c r="R18">
        <v>0.72</v>
      </c>
      <c r="S18">
        <v>34</v>
      </c>
      <c r="T18">
        <f t="shared" si="0"/>
        <v>0</v>
      </c>
      <c r="U18">
        <f t="shared" si="1"/>
        <v>1</v>
      </c>
      <c r="V18">
        <f t="shared" si="2"/>
        <v>0.72</v>
      </c>
      <c r="W18">
        <f>$BS$10</f>
        <v>4.7000000000000002E-3</v>
      </c>
      <c r="X18">
        <f t="shared" si="3"/>
        <v>0</v>
      </c>
      <c r="Y18">
        <f>$BS$4</f>
        <v>0.24</v>
      </c>
      <c r="Z18">
        <f>$BS$6</f>
        <v>1.0999999999999999E-2</v>
      </c>
      <c r="AA18">
        <f>$BS$5</f>
        <v>0.21</v>
      </c>
      <c r="AB18">
        <f t="shared" si="4"/>
        <v>5.8999999999999999E-3</v>
      </c>
      <c r="AC18">
        <f>(M18/100)*(MIN(N18,100)/100)</f>
        <v>0</v>
      </c>
      <c r="AD18">
        <f t="shared" si="5"/>
        <v>0</v>
      </c>
      <c r="AE18">
        <f>J18 * K18 / 365</f>
        <v>4.9315068493150684E-3</v>
      </c>
      <c r="AF18">
        <f>P18 * 0.92</f>
        <v>3.6799999999999999E-2</v>
      </c>
      <c r="AG18">
        <v>63</v>
      </c>
      <c r="AH18">
        <f>S18 / AG18</f>
        <v>0.53968253968253965</v>
      </c>
      <c r="AI18">
        <v>0</v>
      </c>
      <c r="AJ18">
        <f t="shared" si="6"/>
        <v>0</v>
      </c>
      <c r="AK18">
        <f t="shared" si="7"/>
        <v>1.3398080165132112E-3</v>
      </c>
      <c r="AL18">
        <f>(AV18 / 6.25 ) - AK18</f>
        <v>2.098398359742434E-2</v>
      </c>
      <c r="AM18">
        <f>IF($G$11="wet",$BU$18,$BU$19)</f>
        <v>6.0000000000000001E-3</v>
      </c>
      <c r="AN18">
        <f t="shared" si="8"/>
        <v>1.5714285714285714</v>
      </c>
      <c r="AO18">
        <f t="shared" si="9"/>
        <v>1.3</v>
      </c>
      <c r="AP18">
        <f t="shared" si="10"/>
        <v>1</v>
      </c>
      <c r="AQ18">
        <f>(0.795*R18)-0.0014</f>
        <v>0.57100000000000006</v>
      </c>
      <c r="AR18">
        <v>1.7</v>
      </c>
      <c r="AS18">
        <f t="shared" si="11"/>
        <v>0.99691128459176326</v>
      </c>
      <c r="AT18">
        <f>(104.7*AQ18+0.307*S18-15)*(S18^0.75)*10^-3</f>
        <v>0.77753323213623582</v>
      </c>
      <c r="AU18">
        <f t="shared" si="12"/>
        <v>0.77513165326172051</v>
      </c>
      <c r="AV18">
        <f>(AU18 * Q18) + (0.045 * AJ18)</f>
        <v>0.1395236975871097</v>
      </c>
      <c r="AW18">
        <f t="shared" si="13"/>
        <v>0.08</v>
      </c>
      <c r="AX18">
        <f>(AU18 * ((1 - R18) + (0.04 * AU18))) * ( 1 - AW18 )</f>
        <v>0.22178442402010679</v>
      </c>
      <c r="AY18">
        <f t="shared" si="14"/>
        <v>0.24</v>
      </c>
      <c r="AZ18">
        <f t="shared" si="15"/>
        <v>0.6784</v>
      </c>
      <c r="BA18">
        <f t="shared" si="20"/>
        <v>0</v>
      </c>
      <c r="BB18">
        <f t="shared" si="16"/>
        <v>1.6971724807191121E-4</v>
      </c>
      <c r="BC18">
        <f t="shared" si="17"/>
        <v>1.6971724807191121E-4</v>
      </c>
      <c r="BD18">
        <f t="shared" si="18"/>
        <v>3.0973397773123792</v>
      </c>
      <c r="BF18">
        <f>L18*AL18*O18</f>
        <v>382.95770065299422</v>
      </c>
      <c r="BS18" t="s">
        <v>149</v>
      </c>
      <c r="BT18" s="14" t="s">
        <v>254</v>
      </c>
      <c r="BU18" s="14">
        <v>6.0000000000000001E-3</v>
      </c>
      <c r="BW18" s="8" t="s">
        <v>166</v>
      </c>
      <c r="BX18" s="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2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>$BS$3</f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0"/>
        <v>0</v>
      </c>
      <c r="U19">
        <f t="shared" si="1"/>
        <v>1</v>
      </c>
      <c r="V19">
        <f t="shared" si="2"/>
        <v>0.72</v>
      </c>
      <c r="W19">
        <f>$BS$10</f>
        <v>4.7000000000000002E-3</v>
      </c>
      <c r="X19">
        <f t="shared" si="3"/>
        <v>0</v>
      </c>
      <c r="Y19">
        <f>$BS$4</f>
        <v>0.24</v>
      </c>
      <c r="Z19">
        <f>$BS$6</f>
        <v>1.0999999999999999E-2</v>
      </c>
      <c r="AA19">
        <f>$BS$5</f>
        <v>0.21</v>
      </c>
      <c r="AB19">
        <f t="shared" si="4"/>
        <v>5.8999999999999999E-3</v>
      </c>
      <c r="AC19">
        <f>(M19/100)*(MIN(N19,100)/100)</f>
        <v>0.95</v>
      </c>
      <c r="AD19">
        <f t="shared" si="5"/>
        <v>1.52</v>
      </c>
      <c r="AE19">
        <f>J19 * K19 / 365</f>
        <v>3.5616438356164386E-3</v>
      </c>
      <c r="AF19">
        <f>P19 * 0.92</f>
        <v>6.4400000000000013E-2</v>
      </c>
      <c r="AG19">
        <v>57</v>
      </c>
      <c r="AH19">
        <f>S19 / AG19</f>
        <v>0.77192982456140347</v>
      </c>
      <c r="AI19">
        <v>0</v>
      </c>
      <c r="AJ19">
        <f t="shared" si="6"/>
        <v>0</v>
      </c>
      <c r="AK19">
        <f t="shared" si="7"/>
        <v>1.2305324245694275E-2</v>
      </c>
      <c r="AL19">
        <f>(AV19 / 6.25 ) - AK19</f>
        <v>3.0398436809107053E-2</v>
      </c>
      <c r="AM19">
        <f>IF($G$11="wet",$BU$18,$BU$19)</f>
        <v>6.0000000000000001E-3</v>
      </c>
      <c r="AN19">
        <f t="shared" si="8"/>
        <v>1.5714285714285714</v>
      </c>
      <c r="AO19">
        <f t="shared" si="9"/>
        <v>1.3</v>
      </c>
      <c r="AP19">
        <f t="shared" si="10"/>
        <v>1.2849999999999999</v>
      </c>
      <c r="AQ19">
        <f>(0.795*R19)-0.0014</f>
        <v>0.5948500000000001</v>
      </c>
      <c r="AR19">
        <v>2.9</v>
      </c>
      <c r="AS19">
        <f t="shared" si="11"/>
        <v>0.9999999504359468</v>
      </c>
      <c r="AT19">
        <f>(104.7*AQ19+0.307*S19-15)*(S19^0.75)*10^-3</f>
        <v>1.0385156413271623</v>
      </c>
      <c r="AU19">
        <f t="shared" si="12"/>
        <v>1.3344925329625414</v>
      </c>
      <c r="AV19">
        <f>(AU19 * Q19) + (0.045 * AJ19)</f>
        <v>0.2668985065925083</v>
      </c>
      <c r="AW19">
        <f t="shared" si="13"/>
        <v>0.08</v>
      </c>
      <c r="AX19">
        <f>(AU19 * ((1 - R19) + (0.04 * AU19))) * ( 1 - AW19 )</f>
        <v>0.37246931037699088</v>
      </c>
      <c r="AY19">
        <f t="shared" si="14"/>
        <v>0.24</v>
      </c>
      <c r="AZ19">
        <f t="shared" si="15"/>
        <v>0.6784</v>
      </c>
      <c r="BA19">
        <f t="shared" si="20"/>
        <v>0</v>
      </c>
      <c r="BB19">
        <f t="shared" si="16"/>
        <v>2.850266272201987E-4</v>
      </c>
      <c r="BC19">
        <f t="shared" si="17"/>
        <v>2.850266272201987E-4</v>
      </c>
      <c r="BD19">
        <f t="shared" si="18"/>
        <v>2.6008679733843132</v>
      </c>
      <c r="BF19">
        <f>L19*AL19*O19</f>
        <v>277.38573588310186</v>
      </c>
      <c r="BT19" s="14" t="s">
        <v>255</v>
      </c>
      <c r="BU19" s="14">
        <v>2E-3</v>
      </c>
      <c r="BW19" s="8" t="s">
        <v>163</v>
      </c>
      <c r="BX19" s="8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3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>$BS$3</f>
        <v>91.25</v>
      </c>
      <c r="P20">
        <v>0</v>
      </c>
      <c r="Q20">
        <v>0.1</v>
      </c>
      <c r="R20">
        <v>0.61</v>
      </c>
      <c r="S20">
        <v>42</v>
      </c>
      <c r="T20">
        <f t="shared" si="0"/>
        <v>0</v>
      </c>
      <c r="U20">
        <f t="shared" si="1"/>
        <v>1</v>
      </c>
      <c r="V20">
        <f t="shared" si="2"/>
        <v>0.72</v>
      </c>
      <c r="W20">
        <f>$BS$10</f>
        <v>4.7000000000000002E-3</v>
      </c>
      <c r="X20">
        <f t="shared" si="3"/>
        <v>0</v>
      </c>
      <c r="Y20">
        <f>$BS$4</f>
        <v>0.24</v>
      </c>
      <c r="Z20">
        <f>$BS$6</f>
        <v>1.0999999999999999E-2</v>
      </c>
      <c r="AA20">
        <f>$BS$5</f>
        <v>0.21</v>
      </c>
      <c r="AB20">
        <f t="shared" si="4"/>
        <v>5.8999999999999999E-3</v>
      </c>
      <c r="AC20">
        <f>(M20/100)*(MIN(N20,100)/100)</f>
        <v>0</v>
      </c>
      <c r="AD20">
        <f t="shared" si="5"/>
        <v>0</v>
      </c>
      <c r="AE20">
        <f>J20 * K20 / 365</f>
        <v>3.5616438356164386E-3</v>
      </c>
      <c r="AF20">
        <f>P20 * 0.92</f>
        <v>0</v>
      </c>
      <c r="AG20">
        <v>57</v>
      </c>
      <c r="AH20">
        <f>S20 / AG20</f>
        <v>0.73684210526315785</v>
      </c>
      <c r="AI20">
        <v>0</v>
      </c>
      <c r="AJ20">
        <f t="shared" si="6"/>
        <v>0</v>
      </c>
      <c r="AK20">
        <f t="shared" si="7"/>
        <v>4.7868493150684936E-4</v>
      </c>
      <c r="AL20">
        <f>(AV20 / 6.25 ) - AK20</f>
        <v>1.2329606659197917E-2</v>
      </c>
      <c r="AM20">
        <f>IF($G$11="wet",$BU$18,$BU$19)</f>
        <v>6.0000000000000001E-3</v>
      </c>
      <c r="AN20">
        <f t="shared" si="8"/>
        <v>1.5714285714285714</v>
      </c>
      <c r="AO20">
        <f t="shared" si="9"/>
        <v>1.3</v>
      </c>
      <c r="AP20">
        <f t="shared" si="10"/>
        <v>1</v>
      </c>
      <c r="AQ20">
        <f>(0.795*R20)-0.0014</f>
        <v>0.48354999999999998</v>
      </c>
      <c r="AR20">
        <v>2.5</v>
      </c>
      <c r="AS20">
        <f t="shared" si="11"/>
        <v>0.99999627334682795</v>
      </c>
      <c r="AT20">
        <f>(104.7*AQ20+0.307*S20-15)*(S20^0.75)*10^-3</f>
        <v>0.80052120768394575</v>
      </c>
      <c r="AU20">
        <f t="shared" si="12"/>
        <v>0.80051822441904785</v>
      </c>
      <c r="AV20">
        <f>(AU20 * Q20) + (0.045 * AJ20)</f>
        <v>8.0051822441904785E-2</v>
      </c>
      <c r="AW20">
        <f t="shared" si="13"/>
        <v>0.08</v>
      </c>
      <c r="AX20">
        <f>(AU20 * ((1 - R20) + (0.04 * AU20))) * ( 1 - AW20 )</f>
        <v>0.31080846185822891</v>
      </c>
      <c r="AY20">
        <f t="shared" si="14"/>
        <v>0.24</v>
      </c>
      <c r="AZ20">
        <f t="shared" si="15"/>
        <v>0.6784</v>
      </c>
      <c r="BA20">
        <f t="shared" si="20"/>
        <v>0</v>
      </c>
      <c r="BB20">
        <f t="shared" si="16"/>
        <v>2.3784157547177418E-4</v>
      </c>
      <c r="BC20">
        <f t="shared" si="17"/>
        <v>2.3784157547177418E-4</v>
      </c>
      <c r="BD20">
        <f t="shared" si="18"/>
        <v>3.0384261266519155</v>
      </c>
      <c r="BF20">
        <f>L20*AL20*O20</f>
        <v>157.51072507125338</v>
      </c>
      <c r="BS20" t="s">
        <v>258</v>
      </c>
      <c r="BT20">
        <v>0.6784</v>
      </c>
      <c r="BW20" s="8" t="s">
        <v>164</v>
      </c>
      <c r="BX20" s="8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2"/>
      <c r="I21" t="s">
        <v>165</v>
      </c>
      <c r="J21">
        <f t="shared" ref="J21:J22" si="23">J20</f>
        <v>2</v>
      </c>
      <c r="K21">
        <f t="shared" ref="K21:K22" si="24">K20</f>
        <v>0.65</v>
      </c>
      <c r="L21">
        <v>135</v>
      </c>
      <c r="M21">
        <v>0</v>
      </c>
      <c r="N21">
        <v>0</v>
      </c>
      <c r="O21">
        <f>$BS$3</f>
        <v>91.25</v>
      </c>
      <c r="P21">
        <v>0</v>
      </c>
      <c r="Q21">
        <v>0.12</v>
      </c>
      <c r="R21">
        <v>0.64</v>
      </c>
      <c r="S21">
        <v>43</v>
      </c>
      <c r="T21">
        <f t="shared" si="0"/>
        <v>0</v>
      </c>
      <c r="U21">
        <f t="shared" si="1"/>
        <v>1</v>
      </c>
      <c r="V21">
        <f t="shared" si="2"/>
        <v>0.72</v>
      </c>
      <c r="W21">
        <f>$BS$10</f>
        <v>4.7000000000000002E-3</v>
      </c>
      <c r="X21">
        <f t="shared" si="3"/>
        <v>0</v>
      </c>
      <c r="Y21">
        <f>$BS$4</f>
        <v>0.24</v>
      </c>
      <c r="Z21">
        <f>$BS$6</f>
        <v>1.0999999999999999E-2</v>
      </c>
      <c r="AA21">
        <f>$BS$5</f>
        <v>0.21</v>
      </c>
      <c r="AB21">
        <f t="shared" si="4"/>
        <v>5.8999999999999999E-3</v>
      </c>
      <c r="AC21">
        <f>(M21/100)*(MIN(N21,100)/100)</f>
        <v>0</v>
      </c>
      <c r="AD21">
        <f t="shared" si="5"/>
        <v>0</v>
      </c>
      <c r="AE21">
        <f>J21 * K21 / 365</f>
        <v>3.5616438356164386E-3</v>
      </c>
      <c r="AF21">
        <f>P21 * 0.92</f>
        <v>0</v>
      </c>
      <c r="AG21">
        <v>57</v>
      </c>
      <c r="AH21">
        <f>S21 / AG21</f>
        <v>0.75438596491228072</v>
      </c>
      <c r="AI21">
        <v>0</v>
      </c>
      <c r="AJ21">
        <f t="shared" si="6"/>
        <v>0</v>
      </c>
      <c r="AK21">
        <f t="shared" si="7"/>
        <v>4.7868493150684936E-4</v>
      </c>
      <c r="AL21">
        <f>(AV21 / 6.25 ) - AK21</f>
        <v>1.5970144180934887E-2</v>
      </c>
      <c r="AM21">
        <f>IF($G$11="wet",$BU$18,$BU$19)</f>
        <v>6.0000000000000001E-3</v>
      </c>
      <c r="AN21">
        <f t="shared" si="8"/>
        <v>1.5714285714285714</v>
      </c>
      <c r="AO21">
        <f t="shared" si="9"/>
        <v>1.3</v>
      </c>
      <c r="AP21">
        <f t="shared" si="10"/>
        <v>1</v>
      </c>
      <c r="AQ21">
        <f>(0.795*R21)-0.0014</f>
        <v>0.50740000000000007</v>
      </c>
      <c r="AR21">
        <v>1.6</v>
      </c>
      <c r="AS21">
        <f t="shared" si="11"/>
        <v>0.99402397710499402</v>
      </c>
      <c r="AT21">
        <f>(104.7*AQ21+0.307*S21-15)*(S21^0.75)*10^-3</f>
        <v>0.86186034677094148</v>
      </c>
      <c r="AU21">
        <f t="shared" si="12"/>
        <v>0.85670984960634056</v>
      </c>
      <c r="AV21">
        <f>(AU21 * Q21) + (0.045 * AJ21)</f>
        <v>0.10280518195276087</v>
      </c>
      <c r="AW21">
        <f t="shared" si="13"/>
        <v>0.08</v>
      </c>
      <c r="AX21">
        <f>(AU21 * ((1 - R21) + (0.04 * AU21))) * ( 1 - AW21 )</f>
        <v>0.31075172719360067</v>
      </c>
      <c r="AY21">
        <f t="shared" si="14"/>
        <v>0.24</v>
      </c>
      <c r="AZ21">
        <f t="shared" si="15"/>
        <v>0.6784</v>
      </c>
      <c r="BA21">
        <f t="shared" si="20"/>
        <v>0</v>
      </c>
      <c r="BB21">
        <f t="shared" si="16"/>
        <v>2.3779816010934047E-4</v>
      </c>
      <c r="BC21">
        <f t="shared" si="17"/>
        <v>2.3779816010934047E-4</v>
      </c>
      <c r="BD21">
        <f t="shared" si="18"/>
        <v>2.9293760848469379</v>
      </c>
      <c r="BF21">
        <f>L21*AL21*O21</f>
        <v>196.73221362889163</v>
      </c>
      <c r="BW21" s="8" t="s">
        <v>165</v>
      </c>
      <c r="BX21" s="8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3"/>
      <c r="I22" t="s">
        <v>166</v>
      </c>
      <c r="J22">
        <f t="shared" si="23"/>
        <v>2</v>
      </c>
      <c r="K22">
        <f t="shared" si="24"/>
        <v>0.65</v>
      </c>
      <c r="L22">
        <v>130</v>
      </c>
      <c r="M22">
        <v>0</v>
      </c>
      <c r="N22">
        <v>0</v>
      </c>
      <c r="O22">
        <f>$BS$3</f>
        <v>91.25</v>
      </c>
      <c r="P22">
        <v>0.02</v>
      </c>
      <c r="Q22">
        <v>0.18</v>
      </c>
      <c r="R22">
        <v>0.72</v>
      </c>
      <c r="S22">
        <v>45</v>
      </c>
      <c r="T22">
        <f t="shared" si="0"/>
        <v>0</v>
      </c>
      <c r="U22">
        <f t="shared" si="1"/>
        <v>1</v>
      </c>
      <c r="V22">
        <f t="shared" si="2"/>
        <v>0.72</v>
      </c>
      <c r="W22">
        <f>$BS$10</f>
        <v>4.7000000000000002E-3</v>
      </c>
      <c r="X22">
        <f t="shared" si="3"/>
        <v>0</v>
      </c>
      <c r="Y22">
        <f>$BS$4</f>
        <v>0.24</v>
      </c>
      <c r="Z22">
        <f>$BS$6</f>
        <v>1.0999999999999999E-2</v>
      </c>
      <c r="AA22">
        <f>$BS$5</f>
        <v>0.21</v>
      </c>
      <c r="AB22">
        <f t="shared" si="4"/>
        <v>5.8999999999999999E-3</v>
      </c>
      <c r="AC22">
        <f>(M22/100)*(MIN(N22,100)/100)</f>
        <v>0</v>
      </c>
      <c r="AD22">
        <f t="shared" si="5"/>
        <v>0</v>
      </c>
      <c r="AE22">
        <f>J22 * K22 / 365</f>
        <v>3.5616438356164386E-3</v>
      </c>
      <c r="AF22">
        <f>P22 * 0.92</f>
        <v>1.84E-2</v>
      </c>
      <c r="AG22">
        <v>57</v>
      </c>
      <c r="AH22">
        <f>S22 / AG22</f>
        <v>0.78947368421052633</v>
      </c>
      <c r="AI22">
        <v>0</v>
      </c>
      <c r="AJ22">
        <f t="shared" si="6"/>
        <v>0</v>
      </c>
      <c r="AK22">
        <f t="shared" si="7"/>
        <v>7.2777894310489225E-4</v>
      </c>
      <c r="AL22">
        <f>(AV22 / 6.25 ) - AK22</f>
        <v>2.8503402354687943E-2</v>
      </c>
      <c r="AM22">
        <f>IF($G$11="wet",$BU$18,$BU$19)</f>
        <v>6.0000000000000001E-3</v>
      </c>
      <c r="AN22">
        <f t="shared" si="8"/>
        <v>1.5714285714285714</v>
      </c>
      <c r="AO22">
        <f t="shared" si="9"/>
        <v>1.3</v>
      </c>
      <c r="AP22">
        <f t="shared" si="10"/>
        <v>1</v>
      </c>
      <c r="AQ22">
        <f>(0.795*R22)-0.0014</f>
        <v>0.57100000000000006</v>
      </c>
      <c r="AR22">
        <v>1.7</v>
      </c>
      <c r="AS22">
        <f t="shared" si="11"/>
        <v>0.99691128459176326</v>
      </c>
      <c r="AT22">
        <f>(104.7*AQ22+0.307*S22-15)*(S22^0.75)*10^-3</f>
        <v>1.0181162441707754</v>
      </c>
      <c r="AU22">
        <f t="shared" si="12"/>
        <v>1.014971572840029</v>
      </c>
      <c r="AV22">
        <f>(AU22 * Q22) + (0.045 * AJ22)</f>
        <v>0.18269488311120521</v>
      </c>
      <c r="AW22">
        <f t="shared" si="13"/>
        <v>0.08</v>
      </c>
      <c r="AX22">
        <f>(AU22 * ((1 - R22) + (0.04 * AU22))) * ( 1 - AW22 )</f>
        <v>0.29936683357077126</v>
      </c>
      <c r="AY22">
        <f t="shared" si="14"/>
        <v>0.24</v>
      </c>
      <c r="AZ22">
        <f t="shared" si="15"/>
        <v>0.6784</v>
      </c>
      <c r="BA22">
        <f t="shared" si="20"/>
        <v>0</v>
      </c>
      <c r="BB22">
        <f t="shared" si="16"/>
        <v>2.2908603876089584E-4</v>
      </c>
      <c r="BC22">
        <f t="shared" si="17"/>
        <v>2.2908603876089584E-4</v>
      </c>
      <c r="BD22">
        <f t="shared" si="18"/>
        <v>2.7175331348011267</v>
      </c>
      <c r="BF22">
        <f>L22*AL22*O22</f>
        <v>338.12161043248574</v>
      </c>
      <c r="BW22" s="8" t="s">
        <v>166</v>
      </c>
      <c r="BX22" s="8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2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>$BS$3</f>
        <v>91.25</v>
      </c>
      <c r="P23">
        <v>0.05</v>
      </c>
      <c r="Q23">
        <v>0.2</v>
      </c>
      <c r="R23">
        <v>0.75</v>
      </c>
      <c r="S23">
        <v>56</v>
      </c>
      <c r="T23">
        <f t="shared" si="0"/>
        <v>0</v>
      </c>
      <c r="U23">
        <f t="shared" si="1"/>
        <v>1</v>
      </c>
      <c r="V23">
        <f t="shared" si="2"/>
        <v>0.72</v>
      </c>
      <c r="W23">
        <f>$BS$10</f>
        <v>4.7000000000000002E-3</v>
      </c>
      <c r="X23">
        <f t="shared" si="3"/>
        <v>0</v>
      </c>
      <c r="Y23">
        <f>$BS$4</f>
        <v>0.24</v>
      </c>
      <c r="Z23">
        <f>$BS$6</f>
        <v>1.0999999999999999E-2</v>
      </c>
      <c r="AA23">
        <f>$BS$5</f>
        <v>0.21</v>
      </c>
      <c r="AB23">
        <f t="shared" si="4"/>
        <v>5.8999999999999999E-3</v>
      </c>
      <c r="AC23">
        <f>(M23/100)*(MIN(N23,100)/100)</f>
        <v>0</v>
      </c>
      <c r="AD23">
        <f t="shared" si="5"/>
        <v>0</v>
      </c>
      <c r="AE23">
        <f>J23 * K23 / 365</f>
        <v>3.8356164383561643E-3</v>
      </c>
      <c r="AF23">
        <f>P23 * 0.92</f>
        <v>4.6000000000000006E-2</v>
      </c>
      <c r="AG23">
        <v>57</v>
      </c>
      <c r="AH23">
        <f>S23 / AG23</f>
        <v>0.98245614035087714</v>
      </c>
      <c r="AI23">
        <v>0</v>
      </c>
      <c r="AJ23">
        <f t="shared" si="6"/>
        <v>0</v>
      </c>
      <c r="AK23">
        <f t="shared" si="7"/>
        <v>1.0761713957214488E-3</v>
      </c>
      <c r="AL23">
        <f>(AV23 / 6.25 ) - AK23</f>
        <v>4.1158340075111606E-2</v>
      </c>
      <c r="AM23">
        <f>IF($G$11="wet",$BU$18,$BU$19)</f>
        <v>6.0000000000000001E-3</v>
      </c>
      <c r="AN23">
        <f t="shared" si="8"/>
        <v>1.5714285714285714</v>
      </c>
      <c r="AO23">
        <f t="shared" si="9"/>
        <v>1.3</v>
      </c>
      <c r="AP23">
        <f t="shared" si="10"/>
        <v>1</v>
      </c>
      <c r="AQ23">
        <f>(0.795*R23)-0.0014</f>
        <v>0.5948500000000001</v>
      </c>
      <c r="AR23">
        <v>2.9</v>
      </c>
      <c r="AS23">
        <f t="shared" si="11"/>
        <v>0.9999999504359468</v>
      </c>
      <c r="AT23">
        <f>(104.7*AQ23+0.307*S23-15)*(S23^0.75)*10^-3</f>
        <v>1.3198285488795851</v>
      </c>
      <c r="AU23">
        <f t="shared" si="12"/>
        <v>1.3198284834635328</v>
      </c>
      <c r="AV23">
        <f>(AU23 * Q23) + (0.045 * AJ23)</f>
        <v>0.26396569669270659</v>
      </c>
      <c r="AW23">
        <f t="shared" si="13"/>
        <v>0.08</v>
      </c>
      <c r="AX23">
        <f>(AU23 * ((1 - R23) + (0.04 * AU23))) * ( 1 - AW23 )</f>
        <v>0.3676642091046412</v>
      </c>
      <c r="AY23">
        <f t="shared" si="14"/>
        <v>0.24</v>
      </c>
      <c r="AZ23">
        <f t="shared" si="15"/>
        <v>0.6784</v>
      </c>
      <c r="BA23">
        <f t="shared" si="20"/>
        <v>0</v>
      </c>
      <c r="BB23">
        <f t="shared" si="16"/>
        <v>2.8134959458703197E-4</v>
      </c>
      <c r="BC23">
        <f t="shared" si="17"/>
        <v>2.8134959458703197E-4</v>
      </c>
      <c r="BD23">
        <f t="shared" si="18"/>
        <v>5.1346301012133333</v>
      </c>
      <c r="BF23">
        <f>L23*AL23*O23</f>
        <v>751.13970637078694</v>
      </c>
      <c r="BW23" s="8" t="s">
        <v>163</v>
      </c>
      <c r="BX23" s="8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3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>$BS$3</f>
        <v>91.25</v>
      </c>
      <c r="P24">
        <v>-0.05</v>
      </c>
      <c r="Q24">
        <v>0.1</v>
      </c>
      <c r="R24">
        <v>0.61</v>
      </c>
      <c r="S24">
        <v>51</v>
      </c>
      <c r="T24">
        <f t="shared" si="0"/>
        <v>0</v>
      </c>
      <c r="U24">
        <f t="shared" si="1"/>
        <v>1</v>
      </c>
      <c r="V24">
        <f t="shared" si="2"/>
        <v>0.72</v>
      </c>
      <c r="W24">
        <f>$BS$10</f>
        <v>4.7000000000000002E-3</v>
      </c>
      <c r="X24">
        <f t="shared" si="3"/>
        <v>0</v>
      </c>
      <c r="Y24">
        <f>$BS$4</f>
        <v>0.24</v>
      </c>
      <c r="Z24">
        <f>$BS$6</f>
        <v>1.0999999999999999E-2</v>
      </c>
      <c r="AA24">
        <f>$BS$5</f>
        <v>0.21</v>
      </c>
      <c r="AB24">
        <f t="shared" si="4"/>
        <v>5.8999999999999999E-3</v>
      </c>
      <c r="AC24">
        <f>(M24/100)*(MIN(N24,100)/100)</f>
        <v>0</v>
      </c>
      <c r="AD24">
        <f t="shared" si="5"/>
        <v>0</v>
      </c>
      <c r="AE24">
        <f>J24 * K24 / 365</f>
        <v>3.8356164383561643E-3</v>
      </c>
      <c r="AF24">
        <f>P24 * 0.92</f>
        <v>-4.6000000000000006E-2</v>
      </c>
      <c r="AG24">
        <v>57</v>
      </c>
      <c r="AH24">
        <f>S24 / AG24</f>
        <v>0.89473684210526316</v>
      </c>
      <c r="AI24">
        <v>0</v>
      </c>
      <c r="AJ24">
        <f t="shared" si="6"/>
        <v>0</v>
      </c>
      <c r="AK24">
        <f t="shared" si="7"/>
        <v>-6.7008407966660379E-5</v>
      </c>
      <c r="AL24">
        <f>(AV24 / 6.25 ) - AK24</f>
        <v>1.5726717450560028E-2</v>
      </c>
      <c r="AM24">
        <f>IF($G$11="wet",$BU$18,$BU$19)</f>
        <v>6.0000000000000001E-3</v>
      </c>
      <c r="AN24">
        <f t="shared" si="8"/>
        <v>1.5714285714285714</v>
      </c>
      <c r="AO24">
        <f t="shared" si="9"/>
        <v>1.3</v>
      </c>
      <c r="AP24">
        <f t="shared" si="10"/>
        <v>1</v>
      </c>
      <c r="AQ24">
        <f>(0.795*R24)-0.0014</f>
        <v>0.48354999999999998</v>
      </c>
      <c r="AR24">
        <v>2.5</v>
      </c>
      <c r="AS24">
        <f t="shared" si="11"/>
        <v>0.99999627334682795</v>
      </c>
      <c r="AT24">
        <f>(104.7*AQ24+0.307*S24-15)*(S24^0.75)*10^-3</f>
        <v>0.97873546256970145</v>
      </c>
      <c r="AU24">
        <f t="shared" si="12"/>
        <v>0.97873181516208529</v>
      </c>
      <c r="AV24">
        <f>(AU24 * Q24) + (0.045 * AJ24)</f>
        <v>9.7873181516208538E-2</v>
      </c>
      <c r="AW24">
        <f t="shared" si="13"/>
        <v>0.08</v>
      </c>
      <c r="AX24">
        <f>(AU24 * ((1 - R24) + (0.04 * AU24))) * ( 1 - AW24 )</f>
        <v>0.38642028282934154</v>
      </c>
      <c r="AY24">
        <f t="shared" si="14"/>
        <v>0.24</v>
      </c>
      <c r="AZ24">
        <f t="shared" si="15"/>
        <v>0.6784</v>
      </c>
      <c r="BA24">
        <f t="shared" si="20"/>
        <v>0</v>
      </c>
      <c r="BB24">
        <f t="shared" si="16"/>
        <v>2.9570240241496779E-4</v>
      </c>
      <c r="BC24">
        <f t="shared" si="17"/>
        <v>2.9570240241496779E-4</v>
      </c>
      <c r="BD24">
        <f t="shared" si="18"/>
        <v>5.6663972862768199</v>
      </c>
      <c r="BF24">
        <f>L24*AL24*O24</f>
        <v>301.36322314635652</v>
      </c>
      <c r="BW24" s="8" t="s">
        <v>164</v>
      </c>
      <c r="BX24" s="8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2"/>
      <c r="I25" t="s">
        <v>165</v>
      </c>
      <c r="J25">
        <f t="shared" ref="J25:J26" si="25">J24</f>
        <v>2</v>
      </c>
      <c r="K25">
        <f t="shared" ref="K25:K26" si="26">K24</f>
        <v>0.7</v>
      </c>
      <c r="L25">
        <v>190</v>
      </c>
      <c r="M25">
        <v>0</v>
      </c>
      <c r="N25">
        <v>0</v>
      </c>
      <c r="O25">
        <f>$BS$3</f>
        <v>91.25</v>
      </c>
      <c r="P25">
        <v>-0.01</v>
      </c>
      <c r="Q25">
        <v>0.12</v>
      </c>
      <c r="R25">
        <v>0.64</v>
      </c>
      <c r="S25">
        <v>50</v>
      </c>
      <c r="T25">
        <f t="shared" si="0"/>
        <v>0</v>
      </c>
      <c r="U25">
        <f t="shared" si="1"/>
        <v>1</v>
      </c>
      <c r="V25">
        <f t="shared" si="2"/>
        <v>0.72</v>
      </c>
      <c r="W25">
        <f>$BS$10</f>
        <v>4.7000000000000002E-3</v>
      </c>
      <c r="X25">
        <f t="shared" si="3"/>
        <v>0</v>
      </c>
      <c r="Y25">
        <f>$BS$4</f>
        <v>0.24</v>
      </c>
      <c r="Z25">
        <f>$BS$6</f>
        <v>1.0999999999999999E-2</v>
      </c>
      <c r="AA25">
        <f>$BS$5</f>
        <v>0.21</v>
      </c>
      <c r="AB25">
        <f t="shared" si="4"/>
        <v>5.8999999999999999E-3</v>
      </c>
      <c r="AC25">
        <f>(M25/100)*(MIN(N25,100)/100)</f>
        <v>0</v>
      </c>
      <c r="AD25">
        <f t="shared" si="5"/>
        <v>0</v>
      </c>
      <c r="AE25">
        <f>J25 * K25 / 365</f>
        <v>3.8356164383561643E-3</v>
      </c>
      <c r="AF25">
        <f>P25 * 0.92</f>
        <v>-9.1999999999999998E-3</v>
      </c>
      <c r="AG25">
        <v>57</v>
      </c>
      <c r="AH25">
        <f>S25 / AG25</f>
        <v>0.8771929824561403</v>
      </c>
      <c r="AI25">
        <v>0</v>
      </c>
      <c r="AJ25">
        <f t="shared" si="6"/>
        <v>0</v>
      </c>
      <c r="AK25">
        <f t="shared" si="7"/>
        <v>3.9804023233659479E-4</v>
      </c>
      <c r="AL25">
        <f>(AV25 / 6.25 ) - AK25</f>
        <v>1.8791943153172598E-2</v>
      </c>
      <c r="AM25">
        <f>IF($G$11="wet",$BU$18,$BU$19)</f>
        <v>6.0000000000000001E-3</v>
      </c>
      <c r="AN25">
        <f t="shared" si="8"/>
        <v>1.5714285714285714</v>
      </c>
      <c r="AO25">
        <f t="shared" si="9"/>
        <v>1.3</v>
      </c>
      <c r="AP25">
        <f t="shared" si="10"/>
        <v>1</v>
      </c>
      <c r="AQ25">
        <f>(0.795*R25)-0.0014</f>
        <v>0.50740000000000007</v>
      </c>
      <c r="AR25">
        <v>1.6</v>
      </c>
      <c r="AS25">
        <f t="shared" si="11"/>
        <v>0.99402397710499402</v>
      </c>
      <c r="AT25">
        <f>(104.7*AQ25+0.307*S25-15)*(S25^0.75)*10^-3</f>
        <v>1.0054871153505722</v>
      </c>
      <c r="AU25">
        <f t="shared" si="12"/>
        <v>0.99947830132860371</v>
      </c>
      <c r="AV25">
        <f>(AU25 * Q25) + (0.045 * AJ25)</f>
        <v>0.11993739615943244</v>
      </c>
      <c r="AW25">
        <f t="shared" si="13"/>
        <v>0.08</v>
      </c>
      <c r="AX25">
        <f>(AU25 * ((1 - R25) + (0.04 * AU25))) * ( 1 - AW25 )</f>
        <v>0.36778882639365651</v>
      </c>
      <c r="AY25">
        <f t="shared" si="14"/>
        <v>0.24</v>
      </c>
      <c r="AZ25">
        <f t="shared" si="15"/>
        <v>0.6784</v>
      </c>
      <c r="BA25">
        <f t="shared" si="20"/>
        <v>0</v>
      </c>
      <c r="BB25">
        <f t="shared" si="16"/>
        <v>2.8144495612311498E-4</v>
      </c>
      <c r="BC25">
        <f t="shared" si="17"/>
        <v>2.8144495612311498E-4</v>
      </c>
      <c r="BD25">
        <f t="shared" si="18"/>
        <v>4.8795519267845062</v>
      </c>
      <c r="BF25">
        <f>L25*AL25*O25</f>
        <v>325.80531441812991</v>
      </c>
      <c r="BR25" t="s">
        <v>211</v>
      </c>
      <c r="BW25" s="8" t="s">
        <v>165</v>
      </c>
      <c r="BX25" s="8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3"/>
      <c r="I26" t="s">
        <v>166</v>
      </c>
      <c r="J26">
        <f t="shared" si="25"/>
        <v>2</v>
      </c>
      <c r="K26">
        <f t="shared" si="26"/>
        <v>0.7</v>
      </c>
      <c r="L26">
        <v>180</v>
      </c>
      <c r="M26">
        <v>0</v>
      </c>
      <c r="N26">
        <v>0</v>
      </c>
      <c r="O26">
        <f>$BS$3</f>
        <v>91.25</v>
      </c>
      <c r="P26">
        <v>0.01</v>
      </c>
      <c r="Q26">
        <v>0.18</v>
      </c>
      <c r="R26">
        <v>0.72</v>
      </c>
      <c r="S26">
        <v>51</v>
      </c>
      <c r="T26">
        <f t="shared" si="0"/>
        <v>0</v>
      </c>
      <c r="U26">
        <f t="shared" si="1"/>
        <v>1</v>
      </c>
      <c r="V26">
        <f t="shared" si="2"/>
        <v>0.72</v>
      </c>
      <c r="W26">
        <f>$BS$10</f>
        <v>4.7000000000000002E-3</v>
      </c>
      <c r="X26">
        <f t="shared" si="3"/>
        <v>0</v>
      </c>
      <c r="Y26">
        <f>$BS$4</f>
        <v>0.24</v>
      </c>
      <c r="Z26">
        <f>$BS$6</f>
        <v>1.0999999999999999E-2</v>
      </c>
      <c r="AA26">
        <f>$BS$5</f>
        <v>0.21</v>
      </c>
      <c r="AB26">
        <f t="shared" si="4"/>
        <v>5.8999999999999999E-3</v>
      </c>
      <c r="AC26">
        <f>(M26/100)*(MIN(N26,100)/100)</f>
        <v>0</v>
      </c>
      <c r="AD26">
        <f t="shared" si="5"/>
        <v>0</v>
      </c>
      <c r="AE26">
        <f>J26 * K26 / 365</f>
        <v>3.8356164383561643E-3</v>
      </c>
      <c r="AF26">
        <f>P26 * 0.92</f>
        <v>9.1999999999999998E-3</v>
      </c>
      <c r="AG26">
        <v>57</v>
      </c>
      <c r="AH26">
        <f>S26 / AG26</f>
        <v>0.89473684210526316</v>
      </c>
      <c r="AI26">
        <v>0</v>
      </c>
      <c r="AJ26">
        <f t="shared" si="6"/>
        <v>0</v>
      </c>
      <c r="AK26">
        <f t="shared" si="7"/>
        <v>6.3181847062017697E-4</v>
      </c>
      <c r="AL26">
        <f>(AV26 / 6.25 ) - AK26</f>
        <v>3.2485572667811859E-2</v>
      </c>
      <c r="AM26">
        <f>IF($G$11="wet",$BU$18,$BU$19)</f>
        <v>6.0000000000000001E-3</v>
      </c>
      <c r="AN26">
        <f t="shared" si="8"/>
        <v>1.5714285714285714</v>
      </c>
      <c r="AO26">
        <f t="shared" si="9"/>
        <v>1.3</v>
      </c>
      <c r="AP26">
        <f t="shared" si="10"/>
        <v>1</v>
      </c>
      <c r="AQ26">
        <f>(0.795*R26)-0.0014</f>
        <v>0.57100000000000006</v>
      </c>
      <c r="AR26">
        <v>1.7</v>
      </c>
      <c r="AS26">
        <f t="shared" si="11"/>
        <v>0.99691128459176326</v>
      </c>
      <c r="AT26">
        <f>(104.7*AQ26+0.307*S26-15)*(S26^0.75)*10^-3</f>
        <v>1.1534721617679149</v>
      </c>
      <c r="AU26">
        <f t="shared" si="12"/>
        <v>1.1499094145288902</v>
      </c>
      <c r="AV26">
        <f>(AU26 * Q26) + (0.045 * AJ26)</f>
        <v>0.20698369461520022</v>
      </c>
      <c r="AW26">
        <f t="shared" si="13"/>
        <v>0.08</v>
      </c>
      <c r="AX26">
        <f>(AU26 * ((1 - R26) + (0.04 * AU26))) * ( 1 - AW26 )</f>
        <v>0.34487699833033825</v>
      </c>
      <c r="AY26">
        <f t="shared" si="14"/>
        <v>0.24</v>
      </c>
      <c r="AZ26">
        <f t="shared" si="15"/>
        <v>0.6784</v>
      </c>
      <c r="BA26">
        <f t="shared" si="20"/>
        <v>0</v>
      </c>
      <c r="BB26">
        <f t="shared" si="16"/>
        <v>2.6391201879271607E-4</v>
      </c>
      <c r="BC26">
        <f t="shared" si="17"/>
        <v>2.6391201879271607E-4</v>
      </c>
      <c r="BD26">
        <f t="shared" si="18"/>
        <v>4.3347549086703614</v>
      </c>
      <c r="BF26">
        <f>L26*AL26*O26</f>
        <v>533.57553106880982</v>
      </c>
      <c r="BR26" s="14" t="s">
        <v>203</v>
      </c>
      <c r="BS26" s="14" t="s">
        <v>204</v>
      </c>
      <c r="BT26" s="14">
        <v>0.75</v>
      </c>
      <c r="BW26" s="8" t="s">
        <v>166</v>
      </c>
      <c r="BX26" s="8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2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>$BS$3</f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0"/>
        <v>0</v>
      </c>
      <c r="U27">
        <f t="shared" si="1"/>
        <v>1</v>
      </c>
      <c r="V27">
        <f t="shared" si="2"/>
        <v>0.72</v>
      </c>
      <c r="W27">
        <f>$BS$10</f>
        <v>4.7000000000000002E-3</v>
      </c>
      <c r="X27">
        <f t="shared" si="3"/>
        <v>0</v>
      </c>
      <c r="Y27">
        <f>$BS$4</f>
        <v>0.24</v>
      </c>
      <c r="Z27">
        <f>$BS$6</f>
        <v>1.0999999999999999E-2</v>
      </c>
      <c r="AA27">
        <f>$BS$5</f>
        <v>0.21</v>
      </c>
      <c r="AB27">
        <f t="shared" si="4"/>
        <v>5.8999999999999999E-3</v>
      </c>
      <c r="AC27">
        <f>(M27/100)*(MIN(N27,100)/100)</f>
        <v>0</v>
      </c>
      <c r="AD27">
        <f t="shared" si="5"/>
        <v>0</v>
      </c>
      <c r="AE27">
        <f>J27 * K27 / 365</f>
        <v>1.7808219178082193E-3</v>
      </c>
      <c r="AF27">
        <f>P27 * 0.92</f>
        <v>6.4400000000000013E-2</v>
      </c>
      <c r="AG27">
        <v>78</v>
      </c>
      <c r="AH27">
        <f>S27 / AG27</f>
        <v>0.96153846153846156</v>
      </c>
      <c r="AI27">
        <v>0</v>
      </c>
      <c r="AJ27">
        <f t="shared" si="6"/>
        <v>0</v>
      </c>
      <c r="AK27">
        <f t="shared" si="7"/>
        <v>1.0297560621526452E-3</v>
      </c>
      <c r="AL27">
        <f>(AV27 / 6.25 ) - AK27</f>
        <v>5.6307516155572376E-2</v>
      </c>
      <c r="AM27">
        <f>IF($G$11="wet",$BU$18,$BU$19)</f>
        <v>6.0000000000000001E-3</v>
      </c>
      <c r="AN27">
        <f t="shared" si="8"/>
        <v>1.5714285714285714</v>
      </c>
      <c r="AO27">
        <f t="shared" si="9"/>
        <v>1.3</v>
      </c>
      <c r="AP27">
        <f t="shared" si="10"/>
        <v>1</v>
      </c>
      <c r="AQ27">
        <f>(0.795*R27)-0.0014</f>
        <v>0.5948500000000001</v>
      </c>
      <c r="AR27">
        <v>2.9</v>
      </c>
      <c r="AS27">
        <f t="shared" si="11"/>
        <v>0.9999999504359468</v>
      </c>
      <c r="AT27">
        <f>(104.7*AQ27+0.307*S27-15)*(S27^0.75)*10^-3</f>
        <v>1.7917898456122741</v>
      </c>
      <c r="AU27">
        <f t="shared" si="12"/>
        <v>1.7917897568039067</v>
      </c>
      <c r="AV27">
        <f>(AU27 * Q27) + (0.045 * AJ27)</f>
        <v>0.35835795136078136</v>
      </c>
      <c r="AW27">
        <f t="shared" si="13"/>
        <v>0.08</v>
      </c>
      <c r="AX27">
        <f>(AU27 * ((1 - R27) + (0.04 * AU27))) * ( 1 - AW27 )</f>
        <v>0.53025843166411502</v>
      </c>
      <c r="AY27">
        <f t="shared" si="14"/>
        <v>0.24</v>
      </c>
      <c r="AZ27">
        <f t="shared" si="15"/>
        <v>0.6784</v>
      </c>
      <c r="BA27">
        <f t="shared" si="20"/>
        <v>0</v>
      </c>
      <c r="BB27">
        <f t="shared" si="16"/>
        <v>4.057724170061754E-4</v>
      </c>
      <c r="BC27">
        <f t="shared" si="17"/>
        <v>4.057724170061754E-4</v>
      </c>
      <c r="BD27">
        <f t="shared" si="18"/>
        <v>1.8513366525906754</v>
      </c>
      <c r="BF27">
        <f>L27*AL27*O27</f>
        <v>256.90304245979894</v>
      </c>
      <c r="BR27" s="14" t="s">
        <v>194</v>
      </c>
      <c r="BS27" s="14" t="s">
        <v>205</v>
      </c>
      <c r="BT27" s="14">
        <v>0.45</v>
      </c>
      <c r="BW27" s="8" t="s">
        <v>163</v>
      </c>
      <c r="BX27" s="8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3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>$BS$3</f>
        <v>91.25</v>
      </c>
      <c r="P28">
        <v>0</v>
      </c>
      <c r="Q28">
        <v>0.1</v>
      </c>
      <c r="R28">
        <v>0.61</v>
      </c>
      <c r="S28">
        <v>75</v>
      </c>
      <c r="T28">
        <f t="shared" si="0"/>
        <v>0</v>
      </c>
      <c r="U28">
        <f t="shared" si="1"/>
        <v>1</v>
      </c>
      <c r="V28">
        <f t="shared" si="2"/>
        <v>0.72</v>
      </c>
      <c r="W28">
        <f>$BS$10</f>
        <v>4.7000000000000002E-3</v>
      </c>
      <c r="X28">
        <f t="shared" si="3"/>
        <v>0</v>
      </c>
      <c r="Y28">
        <f>$BS$4</f>
        <v>0.24</v>
      </c>
      <c r="Z28">
        <f>$BS$6</f>
        <v>1.0999999999999999E-2</v>
      </c>
      <c r="AA28">
        <f>$BS$5</f>
        <v>0.21</v>
      </c>
      <c r="AB28">
        <f t="shared" si="4"/>
        <v>5.8999999999999999E-3</v>
      </c>
      <c r="AC28">
        <f>(M28/100)*(MIN(N28,100)/100)</f>
        <v>0</v>
      </c>
      <c r="AD28">
        <f t="shared" si="5"/>
        <v>0</v>
      </c>
      <c r="AE28">
        <f>J28 * K28 / 365</f>
        <v>1.7808219178082193E-3</v>
      </c>
      <c r="AF28">
        <f>P28 * 0.92</f>
        <v>0</v>
      </c>
      <c r="AG28">
        <v>78</v>
      </c>
      <c r="AH28">
        <f>S28 / AG28</f>
        <v>0.96153846153846156</v>
      </c>
      <c r="AI28">
        <v>0</v>
      </c>
      <c r="AJ28">
        <f t="shared" si="6"/>
        <v>0</v>
      </c>
      <c r="AK28">
        <f t="shared" si="7"/>
        <v>2.3934246575342468E-4</v>
      </c>
      <c r="AL28">
        <f>(AV28 / 6.25 ) - AK28</f>
        <v>2.3677410059052224E-2</v>
      </c>
      <c r="AM28">
        <f>IF($G$11="wet",$BU$18,$BU$19)</f>
        <v>6.0000000000000001E-3</v>
      </c>
      <c r="AN28">
        <f t="shared" si="8"/>
        <v>1.5714285714285714</v>
      </c>
      <c r="AO28">
        <f t="shared" si="9"/>
        <v>1.3</v>
      </c>
      <c r="AP28">
        <f t="shared" si="10"/>
        <v>1</v>
      </c>
      <c r="AQ28">
        <f>(0.795*R28)-0.0014</f>
        <v>0.48354999999999998</v>
      </c>
      <c r="AR28">
        <v>2.5</v>
      </c>
      <c r="AS28">
        <f t="shared" si="11"/>
        <v>0.99999627334682795</v>
      </c>
      <c r="AT28">
        <f>(104.7*AQ28+0.307*S28-15)*(S28^0.75)*10^-3</f>
        <v>1.4948026034112167</v>
      </c>
      <c r="AU28">
        <f t="shared" si="12"/>
        <v>1.494797032800353</v>
      </c>
      <c r="AV28">
        <f>(AU28 * Q28) + (0.045 * AJ28)</f>
        <v>0.14947970328003532</v>
      </c>
      <c r="AW28">
        <f t="shared" si="13"/>
        <v>0.08</v>
      </c>
      <c r="AX28">
        <f>(AU28 * ((1 - R28) + (0.04 * AU28))) * ( 1 - AW28 )</f>
        <v>0.61855976399785639</v>
      </c>
      <c r="AY28">
        <f t="shared" si="14"/>
        <v>0.24</v>
      </c>
      <c r="AZ28">
        <f t="shared" si="15"/>
        <v>0.6784</v>
      </c>
      <c r="BA28">
        <f t="shared" si="20"/>
        <v>0</v>
      </c>
      <c r="BB28">
        <f t="shared" si="16"/>
        <v>4.7334370471485243E-4</v>
      </c>
      <c r="BC28">
        <f t="shared" si="17"/>
        <v>4.7334370471485243E-4</v>
      </c>
      <c r="BD28">
        <f t="shared" si="18"/>
        <v>2.3755937180376656</v>
      </c>
      <c r="BF28">
        <f>L28*AL28*O28</f>
        <v>118.83100173386836</v>
      </c>
      <c r="BR28" s="14" t="s">
        <v>195</v>
      </c>
      <c r="BS28" s="14" t="s">
        <v>206</v>
      </c>
      <c r="BT28" s="14">
        <v>0.09</v>
      </c>
      <c r="BW28" s="8" t="s">
        <v>164</v>
      </c>
      <c r="BX28" s="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2"/>
      <c r="I29" t="s">
        <v>165</v>
      </c>
      <c r="J29">
        <f t="shared" ref="J29:J30" si="27">J28</f>
        <v>1</v>
      </c>
      <c r="K29">
        <f t="shared" ref="K29:K30" si="28">K28</f>
        <v>0.65</v>
      </c>
      <c r="L29">
        <v>60</v>
      </c>
      <c r="M29">
        <v>0</v>
      </c>
      <c r="N29">
        <v>0</v>
      </c>
      <c r="O29">
        <f>$BS$3</f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0"/>
        <v>0</v>
      </c>
      <c r="U29">
        <f t="shared" si="1"/>
        <v>1</v>
      </c>
      <c r="V29">
        <f t="shared" si="2"/>
        <v>0.72</v>
      </c>
      <c r="W29">
        <f>$BS$10</f>
        <v>4.7000000000000002E-3</v>
      </c>
      <c r="X29">
        <f t="shared" si="3"/>
        <v>0</v>
      </c>
      <c r="Y29">
        <f>$BS$4</f>
        <v>0.24</v>
      </c>
      <c r="Z29">
        <f>$BS$6</f>
        <v>1.0999999999999999E-2</v>
      </c>
      <c r="AA29">
        <f>$BS$5</f>
        <v>0.21</v>
      </c>
      <c r="AB29">
        <f t="shared" si="4"/>
        <v>5.8999999999999999E-3</v>
      </c>
      <c r="AC29">
        <f>(M29/100)*(MIN(N29,100)/100)</f>
        <v>0</v>
      </c>
      <c r="AD29">
        <f t="shared" si="5"/>
        <v>0</v>
      </c>
      <c r="AE29">
        <f>J29 * K29 / 365</f>
        <v>1.7808219178082193E-3</v>
      </c>
      <c r="AF29">
        <f>P29 * 0.92</f>
        <v>-6.4400000000000013E-2</v>
      </c>
      <c r="AG29">
        <v>78</v>
      </c>
      <c r="AH29">
        <f>S29 / AG29</f>
        <v>0.88461538461538458</v>
      </c>
      <c r="AI29">
        <v>0</v>
      </c>
      <c r="AJ29">
        <f t="shared" si="6"/>
        <v>0</v>
      </c>
      <c r="AK29">
        <f t="shared" si="7"/>
        <v>-5.8067645512978143E-4</v>
      </c>
      <c r="AL29">
        <f>(AV29 / 6.25 ) - AK29</f>
        <v>2.7679259014053301E-2</v>
      </c>
      <c r="AM29">
        <f>IF($G$11="wet",$BU$18,$BU$19)</f>
        <v>6.0000000000000001E-3</v>
      </c>
      <c r="AN29">
        <f t="shared" si="8"/>
        <v>1.5714285714285714</v>
      </c>
      <c r="AO29">
        <f t="shared" si="9"/>
        <v>1.3</v>
      </c>
      <c r="AP29">
        <f t="shared" si="10"/>
        <v>1</v>
      </c>
      <c r="AQ29">
        <f>(0.795*R29)-0.0014</f>
        <v>0.50740000000000007</v>
      </c>
      <c r="AR29">
        <v>1.6</v>
      </c>
      <c r="AS29">
        <f t="shared" si="11"/>
        <v>0.99402397710499402</v>
      </c>
      <c r="AT29">
        <f>(104.7*AQ29+0.307*S29-15)*(S29^0.75)*10^-3</f>
        <v>1.4198696820048529</v>
      </c>
      <c r="AU29">
        <f t="shared" si="12"/>
        <v>1.4113845082772669</v>
      </c>
      <c r="AV29">
        <f>(AU29 * Q29) + (0.045 * AJ29)</f>
        <v>0.16936614099327202</v>
      </c>
      <c r="AW29">
        <f t="shared" si="13"/>
        <v>0.08</v>
      </c>
      <c r="AX29">
        <f>(AU29 * ((1 - R29) + (0.04 * AU29))) * ( 1 - AW29 )</f>
        <v>0.54075637841297708</v>
      </c>
      <c r="AY29">
        <f t="shared" si="14"/>
        <v>0.24</v>
      </c>
      <c r="AZ29">
        <f t="shared" si="15"/>
        <v>0.6784</v>
      </c>
      <c r="BA29">
        <f t="shared" si="20"/>
        <v>0</v>
      </c>
      <c r="BB29">
        <f t="shared" si="16"/>
        <v>4.138058153861302E-4</v>
      </c>
      <c r="BC29">
        <f t="shared" si="17"/>
        <v>4.138058153861302E-4</v>
      </c>
      <c r="BD29">
        <f t="shared" si="18"/>
        <v>2.265586839239063</v>
      </c>
      <c r="BF29">
        <f>L29*AL29*O29</f>
        <v>151.54394310194181</v>
      </c>
      <c r="BR29" s="14" t="s">
        <v>196</v>
      </c>
      <c r="BS29" s="14" t="s">
        <v>207</v>
      </c>
      <c r="BT29" s="14">
        <v>0.26</v>
      </c>
      <c r="BW29" s="8" t="s">
        <v>165</v>
      </c>
      <c r="BX29" s="8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3"/>
      <c r="I30" t="s">
        <v>166</v>
      </c>
      <c r="J30">
        <f t="shared" si="27"/>
        <v>1</v>
      </c>
      <c r="K30">
        <f t="shared" si="28"/>
        <v>0.65</v>
      </c>
      <c r="L30">
        <v>65</v>
      </c>
      <c r="M30">
        <v>0</v>
      </c>
      <c r="N30">
        <v>0</v>
      </c>
      <c r="O30">
        <f>$BS$3</f>
        <v>91.25</v>
      </c>
      <c r="P30">
        <v>0</v>
      </c>
      <c r="Q30">
        <v>0.18</v>
      </c>
      <c r="R30">
        <v>0.72</v>
      </c>
      <c r="S30">
        <v>69</v>
      </c>
      <c r="T30">
        <f t="shared" si="0"/>
        <v>0</v>
      </c>
      <c r="U30">
        <f t="shared" si="1"/>
        <v>1</v>
      </c>
      <c r="V30">
        <f t="shared" si="2"/>
        <v>0.72</v>
      </c>
      <c r="W30">
        <f>$BS$10</f>
        <v>4.7000000000000002E-3</v>
      </c>
      <c r="X30">
        <f t="shared" si="3"/>
        <v>0</v>
      </c>
      <c r="Y30">
        <f>$BS$4</f>
        <v>0.24</v>
      </c>
      <c r="Z30">
        <f>$BS$6</f>
        <v>1.0999999999999999E-2</v>
      </c>
      <c r="AA30">
        <f>$BS$5</f>
        <v>0.21</v>
      </c>
      <c r="AB30">
        <f t="shared" si="4"/>
        <v>5.8999999999999999E-3</v>
      </c>
      <c r="AC30">
        <f>(M30/100)*(MIN(N30,100)/100)</f>
        <v>0</v>
      </c>
      <c r="AD30">
        <f t="shared" si="5"/>
        <v>0</v>
      </c>
      <c r="AE30">
        <f>J30 * K30 / 365</f>
        <v>1.7808219178082193E-3</v>
      </c>
      <c r="AF30">
        <f>P30 * 0.92</f>
        <v>0</v>
      </c>
      <c r="AG30">
        <v>78</v>
      </c>
      <c r="AH30">
        <f>S30 / AG30</f>
        <v>0.88461538461538458</v>
      </c>
      <c r="AI30">
        <v>0</v>
      </c>
      <c r="AJ30">
        <f t="shared" si="6"/>
        <v>0</v>
      </c>
      <c r="AK30">
        <f t="shared" si="7"/>
        <v>2.3934246575342468E-4</v>
      </c>
      <c r="AL30">
        <f>(AV30 / 6.25 ) - AK30</f>
        <v>4.5103691581787016E-2</v>
      </c>
      <c r="AM30">
        <f>IF($G$11="wet",$BU$18,$BU$19)</f>
        <v>6.0000000000000001E-3</v>
      </c>
      <c r="AN30">
        <f t="shared" si="8"/>
        <v>1.5714285714285714</v>
      </c>
      <c r="AO30">
        <f t="shared" si="9"/>
        <v>1.3</v>
      </c>
      <c r="AP30">
        <f t="shared" si="10"/>
        <v>1</v>
      </c>
      <c r="AQ30">
        <f>(0.795*R30)-0.0014</f>
        <v>0.57100000000000006</v>
      </c>
      <c r="AR30">
        <v>1.7</v>
      </c>
      <c r="AS30">
        <f t="shared" si="11"/>
        <v>0.99691128459176326</v>
      </c>
      <c r="AT30">
        <f>(104.7*AQ30+0.307*S30-15)*(S30^0.75)*10^-3</f>
        <v>1.5792888783210146</v>
      </c>
      <c r="AU30">
        <f t="shared" si="12"/>
        <v>1.5744109044284875</v>
      </c>
      <c r="AV30">
        <f>(AU30 * Q30) + (0.045 * AJ30)</f>
        <v>0.28339396279712775</v>
      </c>
      <c r="AW30">
        <f t="shared" si="13"/>
        <v>0.08</v>
      </c>
      <c r="AX30">
        <f>(AU30 * ((1 - R30) + (0.04 * AU30))) * ( 1 - AW30 )</f>
        <v>0.49678697379296494</v>
      </c>
      <c r="AY30">
        <f t="shared" si="14"/>
        <v>0.24</v>
      </c>
      <c r="AZ30">
        <f t="shared" si="15"/>
        <v>0.6784</v>
      </c>
      <c r="BA30">
        <f t="shared" si="20"/>
        <v>0</v>
      </c>
      <c r="BB30">
        <f t="shared" si="16"/>
        <v>3.8015887924785428E-4</v>
      </c>
      <c r="BC30">
        <f t="shared" si="17"/>
        <v>3.8015887924785428E-4</v>
      </c>
      <c r="BD30">
        <f t="shared" si="18"/>
        <v>2.2548173525388355</v>
      </c>
      <c r="BF30">
        <f>L30*AL30*O30</f>
        <v>267.52127069447425</v>
      </c>
      <c r="BR30" s="14" t="s">
        <v>197</v>
      </c>
      <c r="BS30" s="14" t="s">
        <v>208</v>
      </c>
      <c r="BT30" s="14">
        <v>0.5</v>
      </c>
      <c r="BW30" s="8" t="s">
        <v>166</v>
      </c>
      <c r="BX30" s="8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2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>$BS$3</f>
        <v>91.25</v>
      </c>
      <c r="P31">
        <v>0.08</v>
      </c>
      <c r="Q31">
        <v>0.2</v>
      </c>
      <c r="R31">
        <v>0.75</v>
      </c>
      <c r="S31">
        <v>62</v>
      </c>
      <c r="T31">
        <f t="shared" si="0"/>
        <v>0</v>
      </c>
      <c r="U31">
        <f t="shared" si="1"/>
        <v>1</v>
      </c>
      <c r="V31">
        <f t="shared" si="2"/>
        <v>0.72</v>
      </c>
      <c r="W31">
        <f>$BS$10</f>
        <v>4.7000000000000002E-3</v>
      </c>
      <c r="X31">
        <f t="shared" si="3"/>
        <v>0</v>
      </c>
      <c r="Y31">
        <f>$BS$4</f>
        <v>0.24</v>
      </c>
      <c r="Z31">
        <f>$BS$6</f>
        <v>1.0999999999999999E-2</v>
      </c>
      <c r="AA31">
        <f>$BS$5</f>
        <v>0.21</v>
      </c>
      <c r="AB31">
        <f t="shared" si="4"/>
        <v>5.8999999999999999E-3</v>
      </c>
      <c r="AC31">
        <f>(M31/100)*(MIN(N31,100)/100)</f>
        <v>0</v>
      </c>
      <c r="AD31">
        <f t="shared" si="5"/>
        <v>0</v>
      </c>
      <c r="AE31">
        <f>J31 * K31 / 365</f>
        <v>8.9041095890410966E-4</v>
      </c>
      <c r="AF31">
        <f>P31 * 0.92</f>
        <v>7.3599999999999999E-2</v>
      </c>
      <c r="AG31">
        <v>62</v>
      </c>
      <c r="AH31">
        <f>S31 / AG31</f>
        <v>1</v>
      </c>
      <c r="AI31">
        <v>0</v>
      </c>
      <c r="AJ31">
        <f t="shared" si="6"/>
        <v>0</v>
      </c>
      <c r="AK31">
        <f t="shared" si="7"/>
        <v>1.0116016126962319E-3</v>
      </c>
      <c r="AL31">
        <f>(AV31 / 6.25 ) - AK31</f>
        <v>4.58755829416546E-2</v>
      </c>
      <c r="AM31">
        <f>IF($G$11="wet",$BU$18,$BU$19)</f>
        <v>6.0000000000000001E-3</v>
      </c>
      <c r="AN31">
        <f t="shared" si="8"/>
        <v>1.5714285714285714</v>
      </c>
      <c r="AO31">
        <f t="shared" si="9"/>
        <v>1.3</v>
      </c>
      <c r="AP31">
        <f t="shared" si="10"/>
        <v>1</v>
      </c>
      <c r="AQ31">
        <f>(0.795*R31)-0.0014</f>
        <v>0.5948500000000001</v>
      </c>
      <c r="AR31">
        <v>2.9</v>
      </c>
      <c r="AS31">
        <f t="shared" si="11"/>
        <v>0.9999999504359468</v>
      </c>
      <c r="AT31">
        <f>(104.7*AQ31+0.307*S31-15)*(S31^0.75)*10^-3</f>
        <v>1.4652245899459331</v>
      </c>
      <c r="AU31">
        <f t="shared" si="12"/>
        <v>1.4652245173234635</v>
      </c>
      <c r="AV31">
        <f>(AU31 * Q31) + (0.045 * AJ31)</f>
        <v>0.2930449034646927</v>
      </c>
      <c r="AW31">
        <f t="shared" si="13"/>
        <v>0.08</v>
      </c>
      <c r="AX31">
        <f>(AU31 * ((1 - R31) + (0.04 * AU31))) * ( 1 - AW31 )</f>
        <v>0.41600692919529714</v>
      </c>
      <c r="AY31">
        <f t="shared" si="14"/>
        <v>0.24</v>
      </c>
      <c r="AZ31">
        <f t="shared" si="15"/>
        <v>0.6784</v>
      </c>
      <c r="BA31">
        <f t="shared" si="20"/>
        <v>0</v>
      </c>
      <c r="BB31">
        <f t="shared" si="16"/>
        <v>3.1834314566414905E-4</v>
      </c>
      <c r="BC31">
        <f t="shared" si="17"/>
        <v>3.1834314566414905E-4</v>
      </c>
      <c r="BD31">
        <f t="shared" si="18"/>
        <v>1.4524406020926799</v>
      </c>
      <c r="BF31">
        <f>L31*AL31*O31</f>
        <v>209.30734717129909</v>
      </c>
      <c r="BR31" s="14" t="s">
        <v>198</v>
      </c>
      <c r="BS31" s="14" t="s">
        <v>209</v>
      </c>
      <c r="BT31" s="14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3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>$BS$3</f>
        <v>91.25</v>
      </c>
      <c r="P32">
        <v>-0.08</v>
      </c>
      <c r="Q32">
        <v>0.1</v>
      </c>
      <c r="R32">
        <v>0.61</v>
      </c>
      <c r="S32">
        <v>55</v>
      </c>
      <c r="T32">
        <f t="shared" si="0"/>
        <v>0</v>
      </c>
      <c r="U32">
        <f t="shared" si="1"/>
        <v>1</v>
      </c>
      <c r="V32">
        <f t="shared" si="2"/>
        <v>0.72</v>
      </c>
      <c r="W32">
        <f>$BS$10</f>
        <v>4.7000000000000002E-3</v>
      </c>
      <c r="X32">
        <f t="shared" si="3"/>
        <v>0</v>
      </c>
      <c r="Y32">
        <f>$BS$4</f>
        <v>0.24</v>
      </c>
      <c r="Z32">
        <f>$BS$6</f>
        <v>1.0999999999999999E-2</v>
      </c>
      <c r="AA32">
        <f>$BS$5</f>
        <v>0.21</v>
      </c>
      <c r="AB32">
        <f t="shared" si="4"/>
        <v>5.8999999999999999E-3</v>
      </c>
      <c r="AC32">
        <f>(M32/100)*(MIN(N32,100)/100)</f>
        <v>0</v>
      </c>
      <c r="AD32">
        <f t="shared" si="5"/>
        <v>0</v>
      </c>
      <c r="AE32">
        <f>J32 * K32 / 365</f>
        <v>8.9041095890410966E-4</v>
      </c>
      <c r="AF32">
        <f>P32 * 0.92</f>
        <v>-7.3599999999999999E-2</v>
      </c>
      <c r="AG32">
        <v>62</v>
      </c>
      <c r="AH32">
        <f>S32 / AG32</f>
        <v>0.88709677419354838</v>
      </c>
      <c r="AI32">
        <v>0</v>
      </c>
      <c r="AJ32">
        <f t="shared" si="6"/>
        <v>0</v>
      </c>
      <c r="AK32">
        <f t="shared" si="7"/>
        <v>-8.1676849356428693E-4</v>
      </c>
      <c r="AL32">
        <f>(AV32 / 6.25 ) - AK32</f>
        <v>1.7785704265871654E-2</v>
      </c>
      <c r="AM32">
        <f>IF($G$11="wet",$BU$18,$BU$19)</f>
        <v>6.0000000000000001E-3</v>
      </c>
      <c r="AN32">
        <f t="shared" si="8"/>
        <v>1.5714285714285714</v>
      </c>
      <c r="AO32">
        <f t="shared" si="9"/>
        <v>1.3</v>
      </c>
      <c r="AP32">
        <f t="shared" si="10"/>
        <v>1</v>
      </c>
      <c r="AQ32">
        <f>(0.795*R32)-0.0014</f>
        <v>0.48354999999999998</v>
      </c>
      <c r="AR32">
        <v>2.5</v>
      </c>
      <c r="AS32">
        <f t="shared" si="11"/>
        <v>0.99999627334682795</v>
      </c>
      <c r="AT32">
        <f>(104.7*AQ32+0.307*S32-15)*(S32^0.75)*10^-3</f>
        <v>1.0605624381175847</v>
      </c>
      <c r="AU32">
        <f t="shared" si="12"/>
        <v>1.0605584857692105</v>
      </c>
      <c r="AV32">
        <f>(AU32 * Q32) + (0.045 * AJ32)</f>
        <v>0.10605584857692106</v>
      </c>
      <c r="AW32">
        <f t="shared" si="13"/>
        <v>0.08</v>
      </c>
      <c r="AX32">
        <f>(AU32 * ((1 - R32) + (0.04 * AU32))) * ( 1 - AW32 )</f>
        <v>0.42192044699791736</v>
      </c>
      <c r="AY32">
        <f t="shared" si="14"/>
        <v>0.24</v>
      </c>
      <c r="AZ32">
        <f t="shared" si="15"/>
        <v>0.6784</v>
      </c>
      <c r="BA32">
        <f t="shared" si="20"/>
        <v>0</v>
      </c>
      <c r="BB32">
        <f t="shared" si="16"/>
        <v>3.2286837764254069E-4</v>
      </c>
      <c r="BC32">
        <f t="shared" si="17"/>
        <v>3.2286837764254069E-4</v>
      </c>
      <c r="BD32">
        <f t="shared" si="18"/>
        <v>2.9461739459881837</v>
      </c>
      <c r="BF32">
        <f>L32*AL32*O32</f>
        <v>162.29455142607884</v>
      </c>
      <c r="BR32" s="14" t="s">
        <v>199</v>
      </c>
      <c r="BS32" s="14" t="s">
        <v>210</v>
      </c>
      <c r="BT32" s="14">
        <v>0.41</v>
      </c>
    </row>
    <row r="33" spans="8:93" x14ac:dyDescent="0.2">
      <c r="H33" s="12"/>
      <c r="I33" t="s">
        <v>165</v>
      </c>
      <c r="J33">
        <f t="shared" ref="J33:J34" si="29">J32</f>
        <v>0.5</v>
      </c>
      <c r="K33">
        <f t="shared" ref="K33:K34" si="30">K32</f>
        <v>0.65</v>
      </c>
      <c r="L33">
        <v>90</v>
      </c>
      <c r="M33">
        <v>0</v>
      </c>
      <c r="N33">
        <v>0</v>
      </c>
      <c r="O33">
        <f>$BS$3</f>
        <v>91.25</v>
      </c>
      <c r="P33">
        <v>0</v>
      </c>
      <c r="Q33">
        <v>0.12</v>
      </c>
      <c r="R33">
        <v>0.64</v>
      </c>
      <c r="S33">
        <v>55</v>
      </c>
      <c r="T33">
        <f t="shared" si="0"/>
        <v>0</v>
      </c>
      <c r="U33">
        <f t="shared" si="1"/>
        <v>1</v>
      </c>
      <c r="V33">
        <f t="shared" si="2"/>
        <v>0.72</v>
      </c>
      <c r="W33">
        <f>$BS$10</f>
        <v>4.7000000000000002E-3</v>
      </c>
      <c r="X33">
        <f t="shared" si="3"/>
        <v>0</v>
      </c>
      <c r="Y33">
        <f>$BS$4</f>
        <v>0.24</v>
      </c>
      <c r="Z33">
        <f>$BS$6</f>
        <v>1.0999999999999999E-2</v>
      </c>
      <c r="AA33">
        <f>$BS$5</f>
        <v>0.21</v>
      </c>
      <c r="AB33">
        <f t="shared" si="4"/>
        <v>5.8999999999999999E-3</v>
      </c>
      <c r="AC33">
        <f>(M33/100)*(MIN(N33,100)/100)</f>
        <v>0</v>
      </c>
      <c r="AD33">
        <f t="shared" si="5"/>
        <v>0</v>
      </c>
      <c r="AE33">
        <f>J33 * K33 / 365</f>
        <v>8.9041095890410966E-4</v>
      </c>
      <c r="AF33">
        <f>P33 * 0.92</f>
        <v>0</v>
      </c>
      <c r="AG33">
        <v>62</v>
      </c>
      <c r="AH33">
        <f>S33 / AG33</f>
        <v>0.88709677419354838</v>
      </c>
      <c r="AI33">
        <v>0</v>
      </c>
      <c r="AJ33">
        <f t="shared" si="6"/>
        <v>0</v>
      </c>
      <c r="AK33">
        <f t="shared" si="7"/>
        <v>1.1967123287671234E-4</v>
      </c>
      <c r="AL33">
        <f>(AV33 / 6.25 ) - AK33</f>
        <v>2.1083948851597697E-2</v>
      </c>
      <c r="AM33">
        <f>IF($G$11="wet",$BU$18,$BU$19)</f>
        <v>6.0000000000000001E-3</v>
      </c>
      <c r="AN33">
        <f t="shared" si="8"/>
        <v>1.5714285714285714</v>
      </c>
      <c r="AO33">
        <f t="shared" si="9"/>
        <v>1.3</v>
      </c>
      <c r="AP33">
        <f t="shared" si="10"/>
        <v>1</v>
      </c>
      <c r="AQ33">
        <f>(0.795*R33)-0.0014</f>
        <v>0.50740000000000007</v>
      </c>
      <c r="AR33">
        <v>1.6</v>
      </c>
      <c r="AS33">
        <f t="shared" si="11"/>
        <v>0.99402397710499402</v>
      </c>
      <c r="AT33">
        <f>(104.7*AQ33+0.307*S33-15)*(S33^0.75)*10^-3</f>
        <v>1.1109945415495692</v>
      </c>
      <c r="AU33">
        <f t="shared" si="12"/>
        <v>1.1043552127330423</v>
      </c>
      <c r="AV33">
        <f>(AU33 * Q33) + (0.045 * AJ33)</f>
        <v>0.13252262552796507</v>
      </c>
      <c r="AW33">
        <f t="shared" si="13"/>
        <v>0.08</v>
      </c>
      <c r="AX33">
        <f>(AU33 * ((1 - R33) + (0.04 * AU33))) * ( 1 - AW33 )</f>
        <v>0.41064374249795926</v>
      </c>
      <c r="AY33">
        <f t="shared" si="14"/>
        <v>0.24</v>
      </c>
      <c r="AZ33">
        <f t="shared" si="15"/>
        <v>0.6784</v>
      </c>
      <c r="BA33">
        <f t="shared" si="20"/>
        <v>0</v>
      </c>
      <c r="BB33">
        <f t="shared" si="16"/>
        <v>3.1423904641917434E-4</v>
      </c>
      <c r="BC33">
        <f t="shared" si="17"/>
        <v>3.1423904641917434E-4</v>
      </c>
      <c r="BD33">
        <f t="shared" si="18"/>
        <v>2.5806881687174696</v>
      </c>
      <c r="BF33">
        <f>L33*AL33*O33</f>
        <v>173.1519299437461</v>
      </c>
    </row>
    <row r="34" spans="8:93" x14ac:dyDescent="0.2">
      <c r="H34" s="13"/>
      <c r="I34" t="s">
        <v>166</v>
      </c>
      <c r="J34">
        <f t="shared" si="29"/>
        <v>0.5</v>
      </c>
      <c r="K34">
        <f t="shared" si="30"/>
        <v>0.65</v>
      </c>
      <c r="L34">
        <v>80</v>
      </c>
      <c r="M34">
        <v>0</v>
      </c>
      <c r="N34">
        <v>0</v>
      </c>
      <c r="O34">
        <f>$BS$3</f>
        <v>91.25</v>
      </c>
      <c r="P34">
        <v>0</v>
      </c>
      <c r="Q34">
        <v>0.18</v>
      </c>
      <c r="R34">
        <v>0.72</v>
      </c>
      <c r="S34">
        <v>55</v>
      </c>
      <c r="T34">
        <f t="shared" si="0"/>
        <v>0</v>
      </c>
      <c r="U34">
        <f t="shared" si="1"/>
        <v>1</v>
      </c>
      <c r="V34">
        <f t="shared" si="2"/>
        <v>0.72</v>
      </c>
      <c r="W34">
        <f>$BS$10</f>
        <v>4.7000000000000002E-3</v>
      </c>
      <c r="X34">
        <f t="shared" si="3"/>
        <v>0</v>
      </c>
      <c r="Y34">
        <f>$BS$4</f>
        <v>0.24</v>
      </c>
      <c r="Z34">
        <f>$BS$6</f>
        <v>1.0999999999999999E-2</v>
      </c>
      <c r="AA34">
        <f>$BS$5</f>
        <v>0.21</v>
      </c>
      <c r="AB34">
        <f t="shared" si="4"/>
        <v>5.8999999999999999E-3</v>
      </c>
      <c r="AC34">
        <f>(M34/100)*(MIN(N34,100)/100)</f>
        <v>0</v>
      </c>
      <c r="AD34">
        <f t="shared" si="5"/>
        <v>0</v>
      </c>
      <c r="AE34">
        <f>J34 * K34 / 365</f>
        <v>8.9041095890410966E-4</v>
      </c>
      <c r="AF34">
        <f>P34 * 0.92</f>
        <v>0</v>
      </c>
      <c r="AG34">
        <v>62</v>
      </c>
      <c r="AH34">
        <f>S34 / AG34</f>
        <v>0.88709677419354838</v>
      </c>
      <c r="AI34">
        <v>0</v>
      </c>
      <c r="AJ34">
        <f t="shared" si="6"/>
        <v>0</v>
      </c>
      <c r="AK34">
        <f t="shared" si="7"/>
        <v>1.1967123287671234E-4</v>
      </c>
      <c r="AL34">
        <f>(AV34 / 6.25 ) - AK34</f>
        <v>3.5639365415842103E-2</v>
      </c>
      <c r="AM34">
        <f>IF($G$11="wet",$BU$18,$BU$19)</f>
        <v>6.0000000000000001E-3</v>
      </c>
      <c r="AN34">
        <f t="shared" si="8"/>
        <v>1.5714285714285714</v>
      </c>
      <c r="AO34">
        <f t="shared" si="9"/>
        <v>1.3</v>
      </c>
      <c r="AP34">
        <f t="shared" si="10"/>
        <v>1</v>
      </c>
      <c r="AQ34">
        <f>(0.795*R34)-0.0014</f>
        <v>0.57100000000000006</v>
      </c>
      <c r="AR34">
        <v>1.7</v>
      </c>
      <c r="AS34">
        <f t="shared" si="11"/>
        <v>0.99691128459176326</v>
      </c>
      <c r="AT34">
        <f>(104.7*AQ34+0.307*S34-15)*(S34^0.75)*10^-3</f>
        <v>1.2454801507015281</v>
      </c>
      <c r="AU34">
        <f t="shared" si="12"/>
        <v>1.2416332169694033</v>
      </c>
      <c r="AV34">
        <f>(AU34 * Q34) + (0.045 * AJ34)</f>
        <v>0.22349397905449259</v>
      </c>
      <c r="AW34">
        <f t="shared" si="13"/>
        <v>0.08</v>
      </c>
      <c r="AX34">
        <f>(AU34 * ((1 - R34) + (0.04 * AU34))) * ( 1 - AW34 )</f>
        <v>0.37657754876504823</v>
      </c>
      <c r="AY34">
        <f t="shared" si="14"/>
        <v>0.24</v>
      </c>
      <c r="AZ34">
        <f t="shared" si="15"/>
        <v>0.6784</v>
      </c>
      <c r="BA34">
        <f t="shared" si="20"/>
        <v>0</v>
      </c>
      <c r="BB34">
        <f t="shared" si="16"/>
        <v>2.8817039584473142E-4</v>
      </c>
      <c r="BC34">
        <f t="shared" si="17"/>
        <v>2.8817039584473142E-4</v>
      </c>
      <c r="BD34">
        <f t="shared" si="18"/>
        <v>2.1036438896665395</v>
      </c>
      <c r="BF34">
        <f>L34*AL34*O34</f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4" t="s">
        <v>224</v>
      </c>
      <c r="BS37" s="14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9" t="s">
        <v>181</v>
      </c>
      <c r="CI37" s="10" t="s">
        <v>182</v>
      </c>
      <c r="CJ37" s="10" t="s">
        <v>183</v>
      </c>
      <c r="CK37" s="10" t="s">
        <v>184</v>
      </c>
      <c r="CL37" s="10" t="s">
        <v>185</v>
      </c>
      <c r="CM37" s="10" t="s">
        <v>186</v>
      </c>
      <c r="CN37" s="10" t="s">
        <v>187</v>
      </c>
      <c r="CO37" s="11" t="s">
        <v>188</v>
      </c>
    </row>
    <row r="38" spans="8:93" ht="17" thickTop="1" x14ac:dyDescent="0.2">
      <c r="BR38" s="14" t="s">
        <v>225</v>
      </c>
      <c r="BS38" s="14">
        <v>7.0000000000000001E-3</v>
      </c>
      <c r="BW38" s="8" t="s">
        <v>163</v>
      </c>
      <c r="BX38" s="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4" t="s">
        <v>226</v>
      </c>
      <c r="BS39" s="14">
        <v>1.8E-3</v>
      </c>
      <c r="BW39" s="8" t="s">
        <v>164</v>
      </c>
      <c r="BX39" s="8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4" t="s">
        <v>227</v>
      </c>
      <c r="BS40" s="14">
        <v>2.8999999999999998E-3</v>
      </c>
      <c r="BW40" s="8" t="s">
        <v>165</v>
      </c>
      <c r="BX40" s="8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4" t="s">
        <v>228</v>
      </c>
      <c r="BS41" s="14">
        <v>8.0000000000000002E-3</v>
      </c>
      <c r="BW41" s="8" t="s">
        <v>166</v>
      </c>
      <c r="BX41" s="8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4" t="s">
        <v>229</v>
      </c>
      <c r="BS42" s="14">
        <v>1.9900000000000001E-2</v>
      </c>
      <c r="BW42" s="8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4" t="s">
        <v>230</v>
      </c>
      <c r="BS43" s="14">
        <v>5.3E-3</v>
      </c>
      <c r="BW43" s="8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4" t="s">
        <v>231</v>
      </c>
      <c r="BS44" s="14">
        <v>6.4000000000000003E-3</v>
      </c>
      <c r="BW44" s="8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4" t="s">
        <v>222</v>
      </c>
      <c r="BS45" s="14">
        <v>2.5999999999999999E-3</v>
      </c>
      <c r="BW45" s="8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4" t="s">
        <v>232</v>
      </c>
      <c r="BS46" s="14">
        <v>3.0000000000000001E-3</v>
      </c>
      <c r="BW46" s="8" t="s">
        <v>163</v>
      </c>
      <c r="BX46" s="8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4" t="s">
        <v>233</v>
      </c>
      <c r="BS47" s="14">
        <v>5.0000000000000001E-3</v>
      </c>
      <c r="BW47" s="8" t="s">
        <v>164</v>
      </c>
      <c r="BX47" s="8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4" t="s">
        <v>223</v>
      </c>
      <c r="BS48" s="14">
        <v>2.5999999999999999E-3</v>
      </c>
      <c r="BW48" s="8" t="s">
        <v>165</v>
      </c>
      <c r="BX48" s="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4" t="s">
        <v>234</v>
      </c>
      <c r="BS49" s="14">
        <v>1.8E-3</v>
      </c>
      <c r="BW49" s="8" t="s">
        <v>166</v>
      </c>
      <c r="BX49" s="8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s="8" t="s">
        <v>163</v>
      </c>
      <c r="BX50" s="8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s="8" t="s">
        <v>164</v>
      </c>
      <c r="BX51" s="8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s="8" t="s">
        <v>165</v>
      </c>
      <c r="BX52" s="8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s="8" t="s">
        <v>166</v>
      </c>
      <c r="BX53" s="8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s="8" t="s">
        <v>163</v>
      </c>
      <c r="BX54" s="8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s="8" t="s">
        <v>164</v>
      </c>
      <c r="BX55" s="8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s="8" t="s">
        <v>165</v>
      </c>
      <c r="BX56" s="8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s="8" t="s">
        <v>166</v>
      </c>
      <c r="BX57" s="8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s="8" t="s">
        <v>163</v>
      </c>
      <c r="BX58" s="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s="8" t="s">
        <v>164</v>
      </c>
      <c r="BX59" s="8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s="8" t="s">
        <v>165</v>
      </c>
      <c r="BX60" s="8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s="8" t="s">
        <v>166</v>
      </c>
      <c r="BX61" s="8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2:93" ht="17" thickBot="1" x14ac:dyDescent="0.25">
      <c r="BW66" t="s">
        <v>191</v>
      </c>
      <c r="BX66" t="s">
        <v>128</v>
      </c>
      <c r="CH66" s="9" t="s">
        <v>181</v>
      </c>
      <c r="CI66" s="10" t="s">
        <v>182</v>
      </c>
      <c r="CJ66" s="10" t="s">
        <v>183</v>
      </c>
      <c r="CK66" s="10" t="s">
        <v>184</v>
      </c>
      <c r="CL66" s="10" t="s">
        <v>185</v>
      </c>
      <c r="CM66" s="10" t="s">
        <v>186</v>
      </c>
      <c r="CN66" s="10" t="s">
        <v>187</v>
      </c>
      <c r="CO66" s="11" t="s">
        <v>188</v>
      </c>
    </row>
    <row r="67" spans="62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2:93" x14ac:dyDescent="0.2">
      <c r="BJ68" s="8"/>
      <c r="BK68" s="8"/>
      <c r="BW68" s="8" t="s">
        <v>163</v>
      </c>
      <c r="BX68" s="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4" t="s">
        <v>163</v>
      </c>
      <c r="CJ68" s="14">
        <v>0.75</v>
      </c>
      <c r="CK68" s="14">
        <v>0.75</v>
      </c>
      <c r="CL68" s="14">
        <v>0.75</v>
      </c>
      <c r="CM68" s="14">
        <v>0.75</v>
      </c>
      <c r="CN68" s="14">
        <v>0.75</v>
      </c>
      <c r="CO68" s="14">
        <v>0.75</v>
      </c>
    </row>
    <row r="69" spans="62:93" x14ac:dyDescent="0.2">
      <c r="BJ69" s="8"/>
      <c r="BK69" s="8"/>
      <c r="BW69" s="8" t="s">
        <v>164</v>
      </c>
      <c r="BX69" s="8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4" t="s">
        <v>164</v>
      </c>
      <c r="CJ69" s="14">
        <v>0.61</v>
      </c>
      <c r="CK69" s="14">
        <v>0.61</v>
      </c>
      <c r="CL69" s="14">
        <v>0.61</v>
      </c>
      <c r="CM69" s="14">
        <v>0.61</v>
      </c>
      <c r="CN69" s="14">
        <v>0.61</v>
      </c>
      <c r="CO69">
        <v>0.61</v>
      </c>
    </row>
    <row r="70" spans="62:93" x14ac:dyDescent="0.2">
      <c r="BJ70" s="8"/>
      <c r="BK70" s="8"/>
      <c r="BW70" s="8" t="s">
        <v>165</v>
      </c>
      <c r="BX70" s="8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4" t="s">
        <v>165</v>
      </c>
      <c r="CJ70" s="14">
        <v>0.64</v>
      </c>
      <c r="CK70" s="14">
        <v>0.64</v>
      </c>
      <c r="CL70" s="14">
        <v>0.64</v>
      </c>
      <c r="CM70" s="14">
        <v>0.64</v>
      </c>
      <c r="CN70" s="14">
        <v>0.64</v>
      </c>
      <c r="CO70">
        <v>0.64</v>
      </c>
    </row>
    <row r="71" spans="62:93" ht="17" thickBot="1" x14ac:dyDescent="0.25">
      <c r="BJ71" s="8"/>
      <c r="BK71" s="8"/>
      <c r="BW71" s="8" t="s">
        <v>166</v>
      </c>
      <c r="BX71" s="8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4" t="s">
        <v>166</v>
      </c>
      <c r="CJ71" s="14">
        <v>0.72</v>
      </c>
      <c r="CK71" s="14">
        <v>0.72</v>
      </c>
      <c r="CL71" s="14">
        <v>0.72</v>
      </c>
      <c r="CM71" s="14">
        <v>0.72</v>
      </c>
      <c r="CN71" s="14">
        <v>0.72</v>
      </c>
      <c r="CO71">
        <v>0.72</v>
      </c>
    </row>
    <row r="72" spans="62:93" ht="18" thickTop="1" thickBot="1" x14ac:dyDescent="0.25">
      <c r="BJ72" s="8"/>
      <c r="BK72" s="6"/>
      <c r="BW72" s="8" t="s">
        <v>163</v>
      </c>
      <c r="BX72" s="8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4" t="s">
        <v>163</v>
      </c>
      <c r="CJ72" s="14">
        <v>0.51</v>
      </c>
      <c r="CK72" s="14">
        <v>0.51</v>
      </c>
      <c r="CL72" s="14">
        <v>0.51</v>
      </c>
      <c r="CM72" s="14">
        <v>0.51</v>
      </c>
      <c r="CN72" s="14">
        <v>0.51</v>
      </c>
      <c r="CO72" s="14">
        <v>0.51</v>
      </c>
    </row>
    <row r="73" spans="62:93" ht="18" thickTop="1" thickBot="1" x14ac:dyDescent="0.25">
      <c r="BJ73" s="8"/>
      <c r="BK73" s="6"/>
      <c r="BW73" s="8" t="s">
        <v>164</v>
      </c>
      <c r="BX73" s="8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4" t="s">
        <v>164</v>
      </c>
      <c r="CJ73" s="14">
        <v>0.55000000000000004</v>
      </c>
      <c r="CK73" s="14">
        <v>0.55000000000000004</v>
      </c>
      <c r="CL73" s="14">
        <v>0.55000000000000004</v>
      </c>
      <c r="CM73" s="14">
        <v>0.55000000000000004</v>
      </c>
      <c r="CN73" s="14">
        <v>0.55000000000000004</v>
      </c>
      <c r="CO73">
        <v>0.55000000000000004</v>
      </c>
    </row>
    <row r="74" spans="62:93" ht="18" thickTop="1" thickBot="1" x14ac:dyDescent="0.25">
      <c r="BJ74" s="8"/>
      <c r="BK74" s="6"/>
      <c r="BW74" s="8" t="s">
        <v>165</v>
      </c>
      <c r="BX74" s="8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4" t="s">
        <v>165</v>
      </c>
      <c r="CJ74" s="14">
        <v>0.59</v>
      </c>
      <c r="CK74" s="14">
        <v>0.59</v>
      </c>
      <c r="CL74" s="14">
        <v>0.59</v>
      </c>
      <c r="CM74" s="14">
        <v>0.59</v>
      </c>
      <c r="CN74" s="14">
        <v>0.59</v>
      </c>
      <c r="CO74">
        <v>0.59</v>
      </c>
    </row>
    <row r="75" spans="62:93" ht="17" thickTop="1" x14ac:dyDescent="0.2">
      <c r="BJ75" s="8"/>
      <c r="BK75" s="6"/>
      <c r="BW75" s="8" t="s">
        <v>166</v>
      </c>
      <c r="BX75" s="8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4" t="s">
        <v>166</v>
      </c>
      <c r="CJ75" s="14">
        <v>0.57999999999999996</v>
      </c>
      <c r="CK75" s="14">
        <v>0.57999999999999996</v>
      </c>
      <c r="CL75" s="14">
        <v>0.57999999999999996</v>
      </c>
      <c r="CM75" s="14">
        <v>0.57999999999999996</v>
      </c>
      <c r="CN75" s="14">
        <v>0.57999999999999996</v>
      </c>
      <c r="CO75">
        <v>0.57999999999999996</v>
      </c>
    </row>
    <row r="76" spans="62:93" x14ac:dyDescent="0.2">
      <c r="BJ76" s="8"/>
      <c r="BK76" s="8"/>
      <c r="BW76" s="8" t="s">
        <v>163</v>
      </c>
      <c r="BX76" s="8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4" t="s">
        <v>163</v>
      </c>
      <c r="CJ76" s="14">
        <v>0.7</v>
      </c>
      <c r="CK76" s="14">
        <v>0.7</v>
      </c>
      <c r="CL76" s="14">
        <v>0.7</v>
      </c>
      <c r="CM76" s="14">
        <v>0.7</v>
      </c>
      <c r="CN76" s="14">
        <v>0.7</v>
      </c>
      <c r="CO76" s="14">
        <v>0.7</v>
      </c>
    </row>
    <row r="77" spans="62:93" x14ac:dyDescent="0.2">
      <c r="BJ77" s="8"/>
      <c r="BK77" s="8"/>
      <c r="BW77" s="8" t="s">
        <v>164</v>
      </c>
      <c r="BX77" s="8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4" t="s">
        <v>164</v>
      </c>
      <c r="CJ77" s="14">
        <v>0.55000000000000004</v>
      </c>
      <c r="CK77" s="14">
        <v>0.55000000000000004</v>
      </c>
      <c r="CL77" s="14">
        <v>0.55000000000000004</v>
      </c>
      <c r="CM77" s="14">
        <v>0.55000000000000004</v>
      </c>
      <c r="CN77" s="14">
        <v>0.55000000000000004</v>
      </c>
      <c r="CO77">
        <v>0.55000000000000004</v>
      </c>
    </row>
    <row r="78" spans="62:93" x14ac:dyDescent="0.2">
      <c r="BJ78" s="8"/>
      <c r="BK78" s="8"/>
      <c r="BW78" s="8" t="s">
        <v>165</v>
      </c>
      <c r="BX78" s="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4" t="s">
        <v>165</v>
      </c>
      <c r="CJ78" s="14">
        <v>0.55000000000000004</v>
      </c>
      <c r="CK78" s="14">
        <v>0.55000000000000004</v>
      </c>
      <c r="CL78" s="14">
        <v>0.55000000000000004</v>
      </c>
      <c r="CM78" s="14">
        <v>0.55000000000000004</v>
      </c>
      <c r="CN78" s="14">
        <v>0.55000000000000004</v>
      </c>
      <c r="CO78">
        <v>0.55000000000000004</v>
      </c>
    </row>
    <row r="79" spans="62:93" x14ac:dyDescent="0.2">
      <c r="BJ79" s="8"/>
      <c r="BK79" s="8"/>
      <c r="BW79" s="8" t="s">
        <v>166</v>
      </c>
      <c r="BX79" s="8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4" t="s">
        <v>166</v>
      </c>
      <c r="CJ79" s="14">
        <v>0.75</v>
      </c>
      <c r="CK79" s="14">
        <v>0.75</v>
      </c>
      <c r="CL79" s="14">
        <v>0.75</v>
      </c>
      <c r="CM79" s="14">
        <v>0.75</v>
      </c>
      <c r="CN79" s="14">
        <v>0.75</v>
      </c>
      <c r="CO79">
        <v>0.75</v>
      </c>
    </row>
    <row r="80" spans="62:93" x14ac:dyDescent="0.2">
      <c r="BJ80" s="8"/>
      <c r="BK80" s="8"/>
      <c r="BW80" s="8" t="s">
        <v>163</v>
      </c>
      <c r="BX80" s="8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4" t="s">
        <v>163</v>
      </c>
      <c r="CJ80" s="14">
        <v>0.75</v>
      </c>
      <c r="CK80" s="14">
        <v>0.75</v>
      </c>
      <c r="CL80" s="14">
        <v>0.75</v>
      </c>
      <c r="CM80" s="14">
        <v>0.75</v>
      </c>
      <c r="CN80" s="14">
        <v>0.75</v>
      </c>
      <c r="CO80" s="14">
        <v>0.75</v>
      </c>
    </row>
    <row r="81" spans="62:93" x14ac:dyDescent="0.2">
      <c r="BJ81" s="8"/>
      <c r="BK81" s="8"/>
      <c r="BW81" s="8" t="s">
        <v>164</v>
      </c>
      <c r="BX81" s="8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4" t="s">
        <v>164</v>
      </c>
      <c r="CJ81" s="14">
        <v>0.55000000000000004</v>
      </c>
      <c r="CK81" s="14">
        <v>0.55000000000000004</v>
      </c>
      <c r="CL81" s="14">
        <v>0.55000000000000004</v>
      </c>
      <c r="CM81" s="14">
        <v>0.55000000000000004</v>
      </c>
      <c r="CN81" s="14">
        <v>0.55000000000000004</v>
      </c>
      <c r="CO81">
        <v>0.55000000000000004</v>
      </c>
    </row>
    <row r="82" spans="62:93" x14ac:dyDescent="0.2">
      <c r="BJ82" s="8"/>
      <c r="BK82" s="8"/>
      <c r="BW82" s="8" t="s">
        <v>165</v>
      </c>
      <c r="BX82" s="8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4" t="s">
        <v>165</v>
      </c>
      <c r="CJ82" s="14">
        <v>0.67</v>
      </c>
      <c r="CK82" s="14">
        <v>0.67</v>
      </c>
      <c r="CL82" s="14">
        <v>0.67</v>
      </c>
      <c r="CM82" s="14">
        <v>0.67</v>
      </c>
      <c r="CN82" s="14">
        <v>0.67</v>
      </c>
      <c r="CO82">
        <v>0.67</v>
      </c>
    </row>
    <row r="83" spans="62:93" x14ac:dyDescent="0.2">
      <c r="BJ83" s="8"/>
      <c r="BK83" s="8"/>
      <c r="BW83" s="8" t="s">
        <v>166</v>
      </c>
      <c r="BX83" s="8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4" t="s">
        <v>166</v>
      </c>
      <c r="CJ83" s="14">
        <v>0.7</v>
      </c>
      <c r="CK83" s="14">
        <v>0.7</v>
      </c>
      <c r="CL83" s="14">
        <v>0.7</v>
      </c>
      <c r="CM83" s="14">
        <v>0.7</v>
      </c>
      <c r="CN83" s="14">
        <v>0.7</v>
      </c>
      <c r="CO83">
        <v>0.7</v>
      </c>
    </row>
    <row r="84" spans="62:93" x14ac:dyDescent="0.2">
      <c r="BJ84" s="8"/>
      <c r="BK84" s="8"/>
      <c r="BW84" s="8" t="s">
        <v>163</v>
      </c>
      <c r="BX84" s="8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4" t="s">
        <v>163</v>
      </c>
      <c r="CJ84" s="14">
        <v>0.7</v>
      </c>
      <c r="CK84" s="14">
        <v>0.7</v>
      </c>
      <c r="CL84" s="14">
        <v>0.7</v>
      </c>
      <c r="CM84" s="14">
        <v>0.7</v>
      </c>
      <c r="CN84" s="14">
        <v>0.7</v>
      </c>
      <c r="CO84" s="14">
        <v>0.7</v>
      </c>
    </row>
    <row r="85" spans="62:93" x14ac:dyDescent="0.2">
      <c r="BJ85" s="8"/>
      <c r="BK85" s="8"/>
      <c r="BW85" s="8" t="s">
        <v>164</v>
      </c>
      <c r="BX85" s="8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4" t="s">
        <v>164</v>
      </c>
      <c r="CJ85" s="14">
        <v>0.55000000000000004</v>
      </c>
      <c r="CK85" s="14">
        <v>0.55000000000000004</v>
      </c>
      <c r="CL85" s="14">
        <v>0.55000000000000004</v>
      </c>
      <c r="CM85" s="14">
        <v>0.55000000000000004</v>
      </c>
      <c r="CN85" s="14">
        <v>0.55000000000000004</v>
      </c>
      <c r="CO85">
        <v>0.55000000000000004</v>
      </c>
    </row>
    <row r="86" spans="62:93" x14ac:dyDescent="0.2">
      <c r="BJ86" s="8"/>
      <c r="BK86" s="8"/>
      <c r="BW86" s="8" t="s">
        <v>165</v>
      </c>
      <c r="BX86" s="8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4" t="s">
        <v>165</v>
      </c>
      <c r="CJ86" s="14">
        <v>0.65</v>
      </c>
      <c r="CK86" s="14">
        <v>0.65</v>
      </c>
      <c r="CL86" s="14">
        <v>0.65</v>
      </c>
      <c r="CM86" s="14">
        <v>0.65</v>
      </c>
      <c r="CN86" s="14">
        <v>0.65</v>
      </c>
      <c r="CO86">
        <v>0.65</v>
      </c>
    </row>
    <row r="87" spans="62:93" x14ac:dyDescent="0.2">
      <c r="BJ87" s="8"/>
      <c r="BK87" s="8"/>
      <c r="BW87" s="8" t="s">
        <v>166</v>
      </c>
      <c r="BX87" s="8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4" t="s">
        <v>166</v>
      </c>
      <c r="CJ87" s="14">
        <v>0.6</v>
      </c>
      <c r="CK87" s="14">
        <v>0.6</v>
      </c>
      <c r="CL87" s="14">
        <v>0.6</v>
      </c>
      <c r="CM87" s="14">
        <v>0.6</v>
      </c>
      <c r="CN87" s="14">
        <v>0.6</v>
      </c>
      <c r="CO87">
        <v>0.6</v>
      </c>
    </row>
    <row r="88" spans="62:93" x14ac:dyDescent="0.2">
      <c r="BJ88" s="8"/>
      <c r="BK88" s="8"/>
      <c r="BW88" s="8" t="s">
        <v>163</v>
      </c>
      <c r="BX88" s="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4" t="s">
        <v>163</v>
      </c>
      <c r="CJ88" s="14">
        <v>0.73</v>
      </c>
      <c r="CK88" s="14">
        <v>0.73</v>
      </c>
      <c r="CL88" s="14">
        <v>0.73</v>
      </c>
      <c r="CM88" s="14">
        <v>0.73</v>
      </c>
      <c r="CN88" s="14">
        <v>0.73</v>
      </c>
      <c r="CO88" s="14">
        <v>0.73</v>
      </c>
    </row>
    <row r="89" spans="62:93" x14ac:dyDescent="0.2">
      <c r="BJ89" s="8"/>
      <c r="BK89" s="8"/>
      <c r="BW89" s="8" t="s">
        <v>164</v>
      </c>
      <c r="BX89" s="8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4" t="s">
        <v>164</v>
      </c>
      <c r="CJ89" s="14">
        <v>0.55000000000000004</v>
      </c>
      <c r="CK89" s="14">
        <v>0.55000000000000004</v>
      </c>
      <c r="CL89" s="14">
        <v>0.55000000000000004</v>
      </c>
      <c r="CM89" s="14">
        <v>0.55000000000000004</v>
      </c>
      <c r="CN89" s="14">
        <v>0.55000000000000004</v>
      </c>
      <c r="CO89">
        <v>0.55000000000000004</v>
      </c>
    </row>
    <row r="90" spans="62:93" x14ac:dyDescent="0.2">
      <c r="BJ90" s="8"/>
      <c r="BK90" s="8"/>
      <c r="BW90" s="8" t="s">
        <v>165</v>
      </c>
      <c r="BX90" s="8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4" t="s">
        <v>165</v>
      </c>
      <c r="CJ90" s="14">
        <v>0.5</v>
      </c>
      <c r="CK90" s="14">
        <v>0.5</v>
      </c>
      <c r="CL90" s="14">
        <v>0.7</v>
      </c>
      <c r="CM90" s="14">
        <v>0.7</v>
      </c>
      <c r="CN90" s="14">
        <v>0.5</v>
      </c>
      <c r="CO90">
        <v>0.7</v>
      </c>
    </row>
    <row r="91" spans="62:93" x14ac:dyDescent="0.2">
      <c r="BJ91" s="8"/>
      <c r="BK91" s="8"/>
      <c r="BW91" s="8" t="s">
        <v>166</v>
      </c>
      <c r="BX91" s="8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4" t="s">
        <v>166</v>
      </c>
      <c r="CJ91" s="14">
        <v>0.76</v>
      </c>
      <c r="CK91" s="14">
        <v>0.76</v>
      </c>
      <c r="CL91" s="14">
        <v>0.76</v>
      </c>
      <c r="CM91" s="14">
        <v>0.76</v>
      </c>
      <c r="CN91" s="14">
        <v>0.76</v>
      </c>
      <c r="CO91">
        <v>0.76</v>
      </c>
    </row>
    <row r="94" spans="62:93" x14ac:dyDescent="0.2">
      <c r="BW94" t="s">
        <v>192</v>
      </c>
      <c r="BX94" t="s">
        <v>129</v>
      </c>
    </row>
    <row r="95" spans="62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9" t="s">
        <v>181</v>
      </c>
      <c r="CI95" s="10" t="s">
        <v>182</v>
      </c>
      <c r="CJ95" s="10" t="s">
        <v>183</v>
      </c>
      <c r="CK95" s="10" t="s">
        <v>184</v>
      </c>
      <c r="CL95" s="10" t="s">
        <v>185</v>
      </c>
      <c r="CM95" s="10" t="s">
        <v>186</v>
      </c>
      <c r="CN95" s="10" t="s">
        <v>187</v>
      </c>
      <c r="CO95" s="11" t="s">
        <v>188</v>
      </c>
    </row>
    <row r="96" spans="62:93" ht="17" thickTop="1" x14ac:dyDescent="0.2">
      <c r="BW96" s="8" t="s">
        <v>163</v>
      </c>
      <c r="BX96" s="8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s="8" t="s">
        <v>164</v>
      </c>
      <c r="BX97" s="8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s="8" t="s">
        <v>165</v>
      </c>
      <c r="BX98" s="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s="8" t="s">
        <v>166</v>
      </c>
      <c r="BX99" s="8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s="8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s="8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s="8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s="8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s="8" t="s">
        <v>163</v>
      </c>
      <c r="BX104" s="8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s="8" t="s">
        <v>164</v>
      </c>
      <c r="BX105" s="8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s="8" t="s">
        <v>165</v>
      </c>
      <c r="BX106" s="8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s="8" t="s">
        <v>166</v>
      </c>
      <c r="BX107" s="8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s="8" t="s">
        <v>163</v>
      </c>
      <c r="BX108" s="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s="8" t="s">
        <v>164</v>
      </c>
      <c r="BX109" s="8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s="8" t="s">
        <v>165</v>
      </c>
      <c r="BX110" s="8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s="8" t="s">
        <v>166</v>
      </c>
      <c r="BX111" s="8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s="8" t="s">
        <v>163</v>
      </c>
      <c r="BX112" s="8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s="8" t="s">
        <v>164</v>
      </c>
      <c r="BX113" s="8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s="8" t="s">
        <v>165</v>
      </c>
      <c r="BX114" s="8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s="8" t="s">
        <v>166</v>
      </c>
      <c r="BX115" s="8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s="8" t="s">
        <v>163</v>
      </c>
      <c r="BX116" s="8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s="8" t="s">
        <v>164</v>
      </c>
      <c r="BX117" s="8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s="8" t="s">
        <v>165</v>
      </c>
      <c r="BX118" s="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s="8" t="s">
        <v>166</v>
      </c>
      <c r="BX119" s="8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4"/>
      <c r="CL127" s="14"/>
      <c r="CM127" s="14"/>
      <c r="CN127" s="14"/>
    </row>
    <row r="128" spans="75:93" x14ac:dyDescent="0.2">
      <c r="CH128" s="14" t="s">
        <v>252</v>
      </c>
      <c r="CI128" s="14" t="s">
        <v>141</v>
      </c>
      <c r="CJ128" s="14"/>
      <c r="CK128" s="14"/>
      <c r="CL128" s="14"/>
      <c r="CM128" s="14"/>
      <c r="CN128" s="14"/>
    </row>
    <row r="129" spans="49:93" ht="17" thickBot="1" x14ac:dyDescent="0.25">
      <c r="CH129" s="21"/>
      <c r="CJ129" s="22"/>
      <c r="CK129" s="22"/>
      <c r="CL129" s="22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3" t="s">
        <v>181</v>
      </c>
      <c r="CI130" t="s">
        <v>182</v>
      </c>
      <c r="CJ130" s="24" t="s">
        <v>183</v>
      </c>
      <c r="CK130" s="24" t="s">
        <v>184</v>
      </c>
      <c r="CL130" s="24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s="8" t="s">
        <v>163</v>
      </c>
      <c r="BX131" s="8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3" t="s">
        <v>179</v>
      </c>
      <c r="CI131" t="s">
        <v>180</v>
      </c>
      <c r="CJ131" s="24" t="s">
        <v>162</v>
      </c>
      <c r="CK131" s="24" t="s">
        <v>167</v>
      </c>
      <c r="CL131" s="24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s="8" t="s">
        <v>164</v>
      </c>
      <c r="BX132" s="8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5" t="s">
        <v>173</v>
      </c>
      <c r="CI132" t="s">
        <v>163</v>
      </c>
      <c r="CJ132" s="26" t="s">
        <v>241</v>
      </c>
      <c r="CK132" s="26" t="s">
        <v>242</v>
      </c>
      <c r="CL132" s="26" t="s">
        <v>243</v>
      </c>
      <c r="CM132" s="26" t="s">
        <v>243</v>
      </c>
      <c r="CN132" s="26" t="s">
        <v>243</v>
      </c>
      <c r="CO132" s="26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s="8" t="s">
        <v>165</v>
      </c>
      <c r="BX133" s="8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5" t="s">
        <v>173</v>
      </c>
      <c r="CI133" t="s">
        <v>164</v>
      </c>
      <c r="CJ133" s="26" t="s">
        <v>241</v>
      </c>
      <c r="CK133" s="26" t="s">
        <v>242</v>
      </c>
      <c r="CL133" s="26" t="s">
        <v>243</v>
      </c>
      <c r="CM133" s="26" t="s">
        <v>243</v>
      </c>
      <c r="CN133" s="26" t="s">
        <v>243</v>
      </c>
      <c r="CO133" s="26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s="8" t="s">
        <v>166</v>
      </c>
      <c r="BX134" s="8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5" t="s">
        <v>173</v>
      </c>
      <c r="CI134" t="s">
        <v>165</v>
      </c>
      <c r="CJ134" s="26" t="s">
        <v>241</v>
      </c>
      <c r="CK134" s="26" t="s">
        <v>242</v>
      </c>
      <c r="CL134" s="26" t="s">
        <v>243</v>
      </c>
      <c r="CM134" s="26" t="s">
        <v>243</v>
      </c>
      <c r="CN134" s="26" t="s">
        <v>243</v>
      </c>
      <c r="CO134" s="26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s="8" t="s">
        <v>163</v>
      </c>
      <c r="BX135" s="8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5" t="s">
        <v>173</v>
      </c>
      <c r="CI135" t="s">
        <v>166</v>
      </c>
      <c r="CJ135" s="26" t="s">
        <v>241</v>
      </c>
      <c r="CK135" s="26" t="s">
        <v>242</v>
      </c>
      <c r="CL135" s="26" t="s">
        <v>243</v>
      </c>
      <c r="CM135" s="26" t="s">
        <v>243</v>
      </c>
      <c r="CN135" s="26" t="s">
        <v>243</v>
      </c>
      <c r="CO135" s="26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s="8" t="s">
        <v>164</v>
      </c>
      <c r="BX136" s="8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7" t="s">
        <v>174</v>
      </c>
      <c r="CI136" t="s">
        <v>163</v>
      </c>
      <c r="CJ136" s="20" t="s">
        <v>244</v>
      </c>
      <c r="CK136" s="20" t="s">
        <v>245</v>
      </c>
      <c r="CL136" s="20" t="s">
        <v>246</v>
      </c>
      <c r="CM136" s="20" t="s">
        <v>246</v>
      </c>
      <c r="CN136" s="20" t="s">
        <v>246</v>
      </c>
      <c r="CO136" s="20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s="8" t="s">
        <v>165</v>
      </c>
      <c r="BX137" s="8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7" t="s">
        <v>174</v>
      </c>
      <c r="CI137" t="s">
        <v>164</v>
      </c>
      <c r="CJ137" s="20" t="s">
        <v>244</v>
      </c>
      <c r="CK137" s="20" t="s">
        <v>245</v>
      </c>
      <c r="CL137" s="20" t="s">
        <v>246</v>
      </c>
      <c r="CM137" s="20" t="s">
        <v>246</v>
      </c>
      <c r="CN137" s="20" t="s">
        <v>246</v>
      </c>
      <c r="CO137" s="20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s="8" t="s">
        <v>166</v>
      </c>
      <c r="BX138" s="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7" t="s">
        <v>174</v>
      </c>
      <c r="CI138" t="s">
        <v>165</v>
      </c>
      <c r="CJ138" s="20" t="s">
        <v>244</v>
      </c>
      <c r="CK138" s="20" t="s">
        <v>245</v>
      </c>
      <c r="CL138" s="20" t="s">
        <v>246</v>
      </c>
      <c r="CM138" s="20" t="s">
        <v>246</v>
      </c>
      <c r="CN138" s="20" t="s">
        <v>246</v>
      </c>
      <c r="CO138" s="20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s="8" t="s">
        <v>163</v>
      </c>
      <c r="BX139" s="8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7" t="s">
        <v>174</v>
      </c>
      <c r="CI139" t="s">
        <v>166</v>
      </c>
      <c r="CJ139" s="20" t="s">
        <v>244</v>
      </c>
      <c r="CK139" s="20" t="s">
        <v>245</v>
      </c>
      <c r="CL139" s="20" t="s">
        <v>246</v>
      </c>
      <c r="CM139" s="20" t="s">
        <v>246</v>
      </c>
      <c r="CN139" s="20" t="s">
        <v>246</v>
      </c>
      <c r="CO139" s="20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s="8" t="s">
        <v>164</v>
      </c>
      <c r="BX140" s="8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7" t="s">
        <v>175</v>
      </c>
      <c r="CI140" t="s">
        <v>163</v>
      </c>
      <c r="CJ140" s="20" t="s">
        <v>247</v>
      </c>
      <c r="CK140" s="20" t="s">
        <v>248</v>
      </c>
      <c r="CL140" s="20" t="s">
        <v>245</v>
      </c>
      <c r="CM140" s="20" t="s">
        <v>245</v>
      </c>
      <c r="CN140" s="20" t="s">
        <v>245</v>
      </c>
      <c r="CO140" s="20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s="8" t="s">
        <v>165</v>
      </c>
      <c r="BX141" s="8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7" t="s">
        <v>175</v>
      </c>
      <c r="CI141" t="s">
        <v>164</v>
      </c>
      <c r="CJ141" s="20" t="s">
        <v>247</v>
      </c>
      <c r="CK141" s="20" t="s">
        <v>248</v>
      </c>
      <c r="CL141" s="20" t="s">
        <v>245</v>
      </c>
      <c r="CM141" s="20" t="s">
        <v>245</v>
      </c>
      <c r="CN141" s="20" t="s">
        <v>245</v>
      </c>
      <c r="CO141" s="20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s="8" t="s">
        <v>166</v>
      </c>
      <c r="BX142" s="8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7" t="s">
        <v>175</v>
      </c>
      <c r="CI142" t="s">
        <v>165</v>
      </c>
      <c r="CJ142" s="20" t="s">
        <v>247</v>
      </c>
      <c r="CK142" s="20" t="s">
        <v>248</v>
      </c>
      <c r="CL142" s="20" t="s">
        <v>245</v>
      </c>
      <c r="CM142" s="20" t="s">
        <v>245</v>
      </c>
      <c r="CN142" s="20" t="s">
        <v>245</v>
      </c>
      <c r="CO142" s="20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s="8" t="s">
        <v>163</v>
      </c>
      <c r="BX143" s="8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7" t="s">
        <v>175</v>
      </c>
      <c r="CI143" t="s">
        <v>166</v>
      </c>
      <c r="CJ143" s="20" t="s">
        <v>247</v>
      </c>
      <c r="CK143" s="20" t="s">
        <v>248</v>
      </c>
      <c r="CL143" s="20" t="s">
        <v>245</v>
      </c>
      <c r="CM143" s="20" t="s">
        <v>245</v>
      </c>
      <c r="CN143" s="20" t="s">
        <v>245</v>
      </c>
      <c r="CO143" s="20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s="8" t="s">
        <v>164</v>
      </c>
      <c r="BX144" s="8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7" t="s">
        <v>176</v>
      </c>
      <c r="CI144" t="s">
        <v>163</v>
      </c>
      <c r="CJ144" s="20" t="s">
        <v>249</v>
      </c>
      <c r="CK144" s="20" t="s">
        <v>250</v>
      </c>
      <c r="CL144" s="20" t="s">
        <v>251</v>
      </c>
      <c r="CM144" s="20" t="s">
        <v>251</v>
      </c>
      <c r="CN144" s="20" t="s">
        <v>251</v>
      </c>
      <c r="CO144" s="20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s="8" t="s">
        <v>165</v>
      </c>
      <c r="BX145" s="8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7" t="s">
        <v>176</v>
      </c>
      <c r="CI145" t="s">
        <v>164</v>
      </c>
      <c r="CJ145" s="20" t="s">
        <v>249</v>
      </c>
      <c r="CK145" s="20" t="s">
        <v>250</v>
      </c>
      <c r="CL145" s="20" t="s">
        <v>251</v>
      </c>
      <c r="CM145" s="20" t="s">
        <v>251</v>
      </c>
      <c r="CN145" s="20" t="s">
        <v>251</v>
      </c>
      <c r="CO145" s="20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s="8" t="s">
        <v>166</v>
      </c>
      <c r="BX146" s="8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7" t="s">
        <v>176</v>
      </c>
      <c r="CI146" t="s">
        <v>165</v>
      </c>
      <c r="CJ146" s="20" t="s">
        <v>249</v>
      </c>
      <c r="CK146" s="20" t="s">
        <v>250</v>
      </c>
      <c r="CL146" s="20" t="s">
        <v>251</v>
      </c>
      <c r="CM146" s="20" t="s">
        <v>251</v>
      </c>
      <c r="CN146" s="20" t="s">
        <v>251</v>
      </c>
      <c r="CO146" s="20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s="8" t="s">
        <v>163</v>
      </c>
      <c r="BX147" s="8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7" t="s">
        <v>176</v>
      </c>
      <c r="CI147" t="s">
        <v>166</v>
      </c>
      <c r="CJ147" s="20" t="s">
        <v>249</v>
      </c>
      <c r="CK147" s="20" t="s">
        <v>250</v>
      </c>
      <c r="CL147" s="20" t="s">
        <v>251</v>
      </c>
      <c r="CM147" s="20" t="s">
        <v>251</v>
      </c>
      <c r="CN147" s="20" t="s">
        <v>251</v>
      </c>
      <c r="CO147" s="20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s="8" t="s">
        <v>164</v>
      </c>
      <c r="BX148" s="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5" t="s">
        <v>177</v>
      </c>
      <c r="CI148" t="s">
        <v>163</v>
      </c>
      <c r="CJ148" s="16" t="s">
        <v>244</v>
      </c>
      <c r="CK148" s="16" t="s">
        <v>245</v>
      </c>
      <c r="CL148" s="16" t="s">
        <v>246</v>
      </c>
      <c r="CM148" s="16" t="s">
        <v>246</v>
      </c>
      <c r="CN148" s="16" t="s">
        <v>246</v>
      </c>
      <c r="CO148" s="17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s="8" t="s">
        <v>165</v>
      </c>
      <c r="BX149" s="8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5" t="s">
        <v>177</v>
      </c>
      <c r="CI149" t="s">
        <v>164</v>
      </c>
      <c r="CJ149" s="16" t="s">
        <v>244</v>
      </c>
      <c r="CK149" s="16" t="s">
        <v>245</v>
      </c>
      <c r="CL149" s="16" t="s">
        <v>246</v>
      </c>
      <c r="CM149" s="16" t="s">
        <v>246</v>
      </c>
      <c r="CN149" s="16" t="s">
        <v>246</v>
      </c>
      <c r="CO149" s="17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s="8" t="s">
        <v>166</v>
      </c>
      <c r="BX150" s="8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5" t="s">
        <v>177</v>
      </c>
      <c r="CI150" t="s">
        <v>165</v>
      </c>
      <c r="CJ150" s="16" t="s">
        <v>244</v>
      </c>
      <c r="CK150" s="16" t="s">
        <v>245</v>
      </c>
      <c r="CL150" s="16" t="s">
        <v>246</v>
      </c>
      <c r="CM150" s="16" t="s">
        <v>246</v>
      </c>
      <c r="CN150" s="16" t="s">
        <v>246</v>
      </c>
      <c r="CO150" s="17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s="8" t="s">
        <v>163</v>
      </c>
      <c r="BX151" s="8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5" t="s">
        <v>177</v>
      </c>
      <c r="CI151" t="s">
        <v>166</v>
      </c>
      <c r="CJ151" s="16" t="s">
        <v>244</v>
      </c>
      <c r="CK151" s="16" t="s">
        <v>245</v>
      </c>
      <c r="CL151" s="16" t="s">
        <v>246</v>
      </c>
      <c r="CM151" s="16" t="s">
        <v>246</v>
      </c>
      <c r="CN151" s="16" t="s">
        <v>246</v>
      </c>
      <c r="CO151" s="17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s="8" t="s">
        <v>164</v>
      </c>
      <c r="BX152" s="8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8" t="s">
        <v>178</v>
      </c>
      <c r="CI152" t="s">
        <v>163</v>
      </c>
      <c r="CJ152" s="19" t="s">
        <v>247</v>
      </c>
      <c r="CK152" s="19" t="s">
        <v>248</v>
      </c>
      <c r="CL152" s="19" t="s">
        <v>245</v>
      </c>
      <c r="CM152" s="19" t="s">
        <v>245</v>
      </c>
      <c r="CN152" s="19" t="s">
        <v>245</v>
      </c>
      <c r="CO152" s="20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s="8" t="s">
        <v>165</v>
      </c>
      <c r="BX153" s="8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8" t="s">
        <v>178</v>
      </c>
      <c r="CI153" t="s">
        <v>164</v>
      </c>
      <c r="CJ153" s="19" t="s">
        <v>247</v>
      </c>
      <c r="CK153" s="19" t="s">
        <v>248</v>
      </c>
      <c r="CL153" s="19" t="s">
        <v>245</v>
      </c>
      <c r="CM153" s="19" t="s">
        <v>245</v>
      </c>
      <c r="CN153" s="19" t="s">
        <v>245</v>
      </c>
      <c r="CO153" s="20">
        <v>67</v>
      </c>
    </row>
    <row r="154" spans="49:93" x14ac:dyDescent="0.2">
      <c r="BW154" s="8" t="s">
        <v>166</v>
      </c>
      <c r="BX154" s="8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8" t="s">
        <v>178</v>
      </c>
      <c r="CI154" t="s">
        <v>165</v>
      </c>
      <c r="CJ154" s="19" t="s">
        <v>247</v>
      </c>
      <c r="CK154" s="19" t="s">
        <v>248</v>
      </c>
      <c r="CL154" s="19" t="s">
        <v>245</v>
      </c>
      <c r="CM154" s="19" t="s">
        <v>245</v>
      </c>
      <c r="CN154" s="19" t="s">
        <v>245</v>
      </c>
      <c r="CO154" s="20">
        <v>68</v>
      </c>
    </row>
    <row r="155" spans="49:93" x14ac:dyDescent="0.2">
      <c r="BW155" s="8"/>
      <c r="BX155" s="8"/>
      <c r="CH155" s="18" t="s">
        <v>178</v>
      </c>
      <c r="CI155" t="s">
        <v>166</v>
      </c>
      <c r="CJ155" s="19" t="s">
        <v>247</v>
      </c>
      <c r="CK155" s="19" t="s">
        <v>248</v>
      </c>
      <c r="CL155" s="19" t="s">
        <v>245</v>
      </c>
      <c r="CM155" s="19" t="s">
        <v>245</v>
      </c>
      <c r="CN155" s="19" t="s">
        <v>245</v>
      </c>
      <c r="CO155" s="20">
        <v>69</v>
      </c>
    </row>
    <row r="156" spans="49:93" x14ac:dyDescent="0.2">
      <c r="AW156" t="str" cm="1">
        <f t="array" ref="AW156:BB156">QueryW[[#Headers],[ACT/NSW]:[Western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s="8" t="s">
        <v>163</v>
      </c>
      <c r="BX167" s="8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s="8" t="s">
        <v>164</v>
      </c>
      <c r="BX168" s="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s="8" t="s">
        <v>165</v>
      </c>
      <c r="BX169" s="8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s="8" t="s">
        <v>166</v>
      </c>
      <c r="BX170" s="8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s="8" t="s">
        <v>163</v>
      </c>
      <c r="BX171" s="8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s="8" t="s">
        <v>164</v>
      </c>
      <c r="BX172" s="8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s="8" t="s">
        <v>165</v>
      </c>
      <c r="BX173" s="8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s="8" t="s">
        <v>166</v>
      </c>
      <c r="BX174" s="8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s="8" t="s">
        <v>163</v>
      </c>
      <c r="BX175" s="8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s="8" t="s">
        <v>164</v>
      </c>
      <c r="BX176" s="8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s="8" t="s">
        <v>165</v>
      </c>
      <c r="BX177" s="8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s="8" t="s">
        <v>166</v>
      </c>
      <c r="BX178" s="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s="8" t="s">
        <v>163</v>
      </c>
      <c r="BX179" s="8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s="8" t="s">
        <v>164</v>
      </c>
      <c r="BX180" s="8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s="8" t="s">
        <v>165</v>
      </c>
      <c r="BX181" s="8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s="8" t="s">
        <v>166</v>
      </c>
      <c r="BX182" s="8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s="8" t="s">
        <v>163</v>
      </c>
      <c r="BX183" s="8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s="8" t="s">
        <v>164</v>
      </c>
      <c r="BX184" s="8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s="8" t="s">
        <v>165</v>
      </c>
      <c r="BX185" s="8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s="8" t="s">
        <v>166</v>
      </c>
      <c r="BX186" s="8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s="8" t="s">
        <v>163</v>
      </c>
      <c r="BX187" s="8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s="8" t="s">
        <v>164</v>
      </c>
      <c r="BX188" s="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s="8" t="s">
        <v>165</v>
      </c>
      <c r="BX189" s="8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s="8" t="s">
        <v>166</v>
      </c>
      <c r="BX190" s="8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AY1" workbookViewId="0">
      <selection activeCell="A12" sqref="A12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s="8" t="s">
        <v>163</v>
      </c>
      <c r="BX7" s="8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s="8" t="s">
        <v>164</v>
      </c>
      <c r="BX8" s="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s="8" t="s">
        <v>165</v>
      </c>
      <c r="BX9" s="8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8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8" t="s">
        <v>157</v>
      </c>
      <c r="BK10" s="28" t="s">
        <v>158</v>
      </c>
      <c r="BL10" s="28" t="s">
        <v>159</v>
      </c>
      <c r="BR10" t="s">
        <v>202</v>
      </c>
      <c r="BS10">
        <v>4.7000000000000002E-3</v>
      </c>
      <c r="BT10" s="14" t="s">
        <v>193</v>
      </c>
      <c r="BU10" s="14">
        <v>0.72</v>
      </c>
      <c r="BW10" s="8" t="s">
        <v>166</v>
      </c>
      <c r="BX10" s="8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4" t="s">
        <v>224</v>
      </c>
      <c r="G11" s="14" t="s">
        <v>254</v>
      </c>
      <c r="H11" s="12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>$BS$10</f>
        <v>4.7000000000000002E-3</v>
      </c>
      <c r="X11">
        <f>IF(E11="yes",1,0)</f>
        <v>1</v>
      </c>
      <c r="Y11">
        <f>$BS$4</f>
        <v>0.24</v>
      </c>
      <c r="Z11">
        <f>$BS$6</f>
        <v>1.0999999999999999E-2</v>
      </c>
      <c r="AA11">
        <f>$BS$5</f>
        <v>0.21</v>
      </c>
      <c r="AB11">
        <f>VLOOKUP($F$11,$BR$37:$BS$49,2,FALSE)</f>
        <v>5.8999999999999999E-3</v>
      </c>
      <c r="AC11">
        <f>(M11/100)*(MIN(N11,100)/100)</f>
        <v>0.85499999999999998</v>
      </c>
      <c r="AD11">
        <f>AC11 * 1.6</f>
        <v>1.3680000000000001</v>
      </c>
      <c r="AE11">
        <f>J11 * K11 / 365</f>
        <v>7.1232876712328773E-3</v>
      </c>
      <c r="AF11">
        <f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>(AV11 / 6.25 ) - AK11</f>
        <v>3.9886829165220503E-2</v>
      </c>
      <c r="AM11">
        <f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>(104.7*AQ11+0.307*S11-15)*(S11^0.75)*10^-3</f>
        <v>1.2720847291262878</v>
      </c>
      <c r="AU11">
        <f>AT11*AS11*AP11</f>
        <v>1.5983743829252637</v>
      </c>
      <c r="AV11">
        <f>(AU11 * Q11) + (0.045 * AJ11)</f>
        <v>0.31967487658505278</v>
      </c>
      <c r="AW11">
        <f>$BS$2</f>
        <v>0.08</v>
      </c>
      <c r="AX11">
        <f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4" t="s">
        <v>194</v>
      </c>
      <c r="BU11" s="14">
        <v>0.75</v>
      </c>
      <c r="BW11" s="8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3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>$BS$3</f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0">1-U12</f>
        <v>0</v>
      </c>
      <c r="U12">
        <f t="shared" ref="U12:U34" si="1">IF($D$11="yes", 1, VLOOKUP(B12, $BR$26:$BT$32, 1))</f>
        <v>1</v>
      </c>
      <c r="V12">
        <f t="shared" ref="V12:V34" si="2">VLOOKUP($B$11,$BT$10:$BU$16, 2, FALSE)</f>
        <v>0.72</v>
      </c>
      <c r="W12">
        <f>$BS$10</f>
        <v>4.7000000000000002E-3</v>
      </c>
      <c r="X12">
        <f t="shared" ref="X12:X34" si="3">IF(E12="yes",1,0)</f>
        <v>0</v>
      </c>
      <c r="Y12">
        <f>$BS$4</f>
        <v>0.24</v>
      </c>
      <c r="Z12">
        <f>$BS$6</f>
        <v>1.0999999999999999E-2</v>
      </c>
      <c r="AA12">
        <f>$BS$5</f>
        <v>0.21</v>
      </c>
      <c r="AB12">
        <f t="shared" ref="AB12:AB34" si="4">VLOOKUP($F$11,$BR$37:$BS$49,2,FALSE)</f>
        <v>5.8999999999999999E-3</v>
      </c>
      <c r="AC12">
        <f>(M12/100)*(MIN(N12,100)/100)</f>
        <v>0</v>
      </c>
      <c r="AD12">
        <f t="shared" ref="AD12:AD34" si="5">AC12 * 1.6</f>
        <v>0</v>
      </c>
      <c r="AE12">
        <f>J12 * K12 / 365</f>
        <v>7.1232876712328773E-3</v>
      </c>
      <c r="AF12">
        <f>P12 * 0.92</f>
        <v>-4.6000000000000006E-2</v>
      </c>
      <c r="AG12">
        <v>57</v>
      </c>
      <c r="AH12">
        <f>S12 / AG12</f>
        <v>0.85964912280701755</v>
      </c>
      <c r="AI12">
        <v>0</v>
      </c>
      <c r="AJ12">
        <f t="shared" ref="AJ12:AJ34" si="6">1.6 * AI12</f>
        <v>0</v>
      </c>
      <c r="AK12">
        <f t="shared" ref="AK12:AK34" si="7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>(AV12 / 6.25 ) - AK12</f>
        <v>1.4651626395231406E-2</v>
      </c>
      <c r="AM12">
        <f>IF($G$11="wet",$BU$18,$BU$19)</f>
        <v>6.0000000000000001E-3</v>
      </c>
      <c r="AN12">
        <f t="shared" ref="AN12:AN34" si="8">$BS$7</f>
        <v>1.5714285714285714</v>
      </c>
      <c r="AO12">
        <f t="shared" ref="AO12:AO34" si="9">$BV$1</f>
        <v>1.3</v>
      </c>
      <c r="AP12">
        <f t="shared" ref="AP12:AP34" si="10">AC12*AO12+(1-AC12)</f>
        <v>1</v>
      </c>
      <c r="AQ12">
        <f>(0.795*R12)-0.0014</f>
        <v>0.48354999999999998</v>
      </c>
      <c r="AR12">
        <v>2.5</v>
      </c>
      <c r="AS12">
        <f t="shared" ref="AS12:AS34" si="11">1 - EXP(-2*(AR12^2))</f>
        <v>0.99999627334682795</v>
      </c>
      <c r="AT12">
        <f>(104.7*AQ12+0.307*S12-15)*(S12^0.75)*10^-3</f>
        <v>0.93843421889903578</v>
      </c>
      <c r="AU12">
        <f t="shared" ref="AU12:AU34" si="12">AT12*AS12*AP12</f>
        <v>0.93843072168017716</v>
      </c>
      <c r="AV12">
        <f>(AU12 * Q12) + (0.045 * AJ12)</f>
        <v>9.3843072168017724E-2</v>
      </c>
      <c r="AW12">
        <f t="shared" ref="AW12:AW34" si="13">$BS$2</f>
        <v>0.08</v>
      </c>
      <c r="AX12">
        <f>(AU12 * ((1 - R12) + (0.04 * AU12))) * ( 1 - AW12 )</f>
        <v>0.3691169446125166</v>
      </c>
      <c r="AY12">
        <f t="shared" ref="AY12:AY34" si="14">$BS$1</f>
        <v>0.24</v>
      </c>
      <c r="AZ12">
        <f t="shared" ref="AZ12:AZ34" si="15">$BT$20</f>
        <v>0.6784</v>
      </c>
      <c r="BA12">
        <f>AX12 * AY12 * T12 * V12 * AZ12</f>
        <v>0</v>
      </c>
      <c r="BB12">
        <f t="shared" ref="BB12:BB34" si="16">AX12*AY12*U12*W12*AZ12</f>
        <v>2.8246127893394806E-4</v>
      </c>
      <c r="BC12">
        <f t="shared" ref="BC12:BC34" si="17">BA12+BB12</f>
        <v>2.8246127893394806E-4</v>
      </c>
      <c r="BD12">
        <f t="shared" ref="BD12:BD34" si="18">L12*BC12*O12</f>
        <v>1.8042214191905934</v>
      </c>
      <c r="BF12">
        <f>L12*AL12*O12</f>
        <v>93.587263599540606</v>
      </c>
      <c r="BT12" s="14" t="s">
        <v>195</v>
      </c>
      <c r="BU12" s="14">
        <v>0.78</v>
      </c>
      <c r="BW12" s="8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2"/>
      <c r="I13" t="s">
        <v>165</v>
      </c>
      <c r="J13">
        <f t="shared" ref="J13:J14" si="19">J12</f>
        <v>4</v>
      </c>
      <c r="K13">
        <f>K11</f>
        <v>0.65</v>
      </c>
      <c r="L13">
        <v>65</v>
      </c>
      <c r="M13">
        <v>0</v>
      </c>
      <c r="N13">
        <v>0</v>
      </c>
      <c r="O13">
        <f>$BS$3</f>
        <v>91.25</v>
      </c>
      <c r="P13">
        <v>0.01</v>
      </c>
      <c r="Q13">
        <v>0.12</v>
      </c>
      <c r="R13">
        <v>0.64</v>
      </c>
      <c r="S13">
        <v>50</v>
      </c>
      <c r="T13">
        <f t="shared" si="0"/>
        <v>0</v>
      </c>
      <c r="U13">
        <f t="shared" si="1"/>
        <v>1</v>
      </c>
      <c r="V13">
        <f t="shared" si="2"/>
        <v>0.72</v>
      </c>
      <c r="W13">
        <f>$BS$10</f>
        <v>4.7000000000000002E-3</v>
      </c>
      <c r="X13">
        <f t="shared" si="3"/>
        <v>0</v>
      </c>
      <c r="Y13">
        <f>$BS$4</f>
        <v>0.24</v>
      </c>
      <c r="Z13">
        <f>$BS$6</f>
        <v>1.0999999999999999E-2</v>
      </c>
      <c r="AA13">
        <f>$BS$5</f>
        <v>0.21</v>
      </c>
      <c r="AB13">
        <f t="shared" si="4"/>
        <v>5.8999999999999999E-3</v>
      </c>
      <c r="AC13">
        <f>(M13/100)*(MIN(N13,100)/100)</f>
        <v>0</v>
      </c>
      <c r="AD13">
        <f t="shared" si="5"/>
        <v>0</v>
      </c>
      <c r="AE13">
        <f>J13 * K13 / 365</f>
        <v>7.1232876712328773E-3</v>
      </c>
      <c r="AF13">
        <f>P13 * 0.92</f>
        <v>9.1999999999999998E-3</v>
      </c>
      <c r="AG13">
        <v>57</v>
      </c>
      <c r="AH13">
        <f>S13 / AG13</f>
        <v>0.8771929824561403</v>
      </c>
      <c r="AI13">
        <v>0</v>
      </c>
      <c r="AJ13">
        <f t="shared" si="6"/>
        <v>0</v>
      </c>
      <c r="AK13">
        <f t="shared" si="7"/>
        <v>1.0747659693624819E-3</v>
      </c>
      <c r="AL13">
        <f>(AV13 / 6.25 ) - AK13</f>
        <v>1.811521741614671E-2</v>
      </c>
      <c r="AM13">
        <f>IF($G$11="wet",$BU$18,$BU$19)</f>
        <v>6.0000000000000001E-3</v>
      </c>
      <c r="AN13">
        <f t="shared" si="8"/>
        <v>1.5714285714285714</v>
      </c>
      <c r="AO13">
        <f t="shared" si="9"/>
        <v>1.3</v>
      </c>
      <c r="AP13">
        <f t="shared" si="10"/>
        <v>1</v>
      </c>
      <c r="AQ13">
        <f>(0.795*R13)-0.0014</f>
        <v>0.50740000000000007</v>
      </c>
      <c r="AR13">
        <v>1.6</v>
      </c>
      <c r="AS13">
        <f t="shared" si="11"/>
        <v>0.99402397710499402</v>
      </c>
      <c r="AT13">
        <f>(104.7*AQ13+0.307*S13-15)*(S13^0.75)*10^-3</f>
        <v>1.0054871153505722</v>
      </c>
      <c r="AU13">
        <f t="shared" si="12"/>
        <v>0.99947830132860371</v>
      </c>
      <c r="AV13">
        <f>(AU13 * Q13) + (0.045 * AJ13)</f>
        <v>0.11993739615943244</v>
      </c>
      <c r="AW13">
        <f t="shared" si="13"/>
        <v>0.08</v>
      </c>
      <c r="AX13">
        <f>(AU13 * ((1 - R13) + (0.04 * AU13))) * ( 1 - AW13 )</f>
        <v>0.36778882639365651</v>
      </c>
      <c r="AY13">
        <f t="shared" si="14"/>
        <v>0.24</v>
      </c>
      <c r="AZ13">
        <f t="shared" si="15"/>
        <v>0.6784</v>
      </c>
      <c r="BA13">
        <f t="shared" ref="BA13:BA34" si="20">AX13 * AY13 * T13 * V13 * AZ13</f>
        <v>0</v>
      </c>
      <c r="BB13">
        <f t="shared" si="16"/>
        <v>2.8144495612311498E-4</v>
      </c>
      <c r="BC13">
        <f t="shared" si="17"/>
        <v>2.8144495612311498E-4</v>
      </c>
      <c r="BD13">
        <f t="shared" si="18"/>
        <v>1.6693203960052256</v>
      </c>
      <c r="BF13">
        <f>L13*AL13*O13</f>
        <v>107.44588329952018</v>
      </c>
      <c r="BT13" s="14" t="s">
        <v>196</v>
      </c>
      <c r="BU13" s="14">
        <v>0.74</v>
      </c>
      <c r="BW13" s="8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3"/>
      <c r="I14" t="s">
        <v>166</v>
      </c>
      <c r="J14">
        <f t="shared" si="19"/>
        <v>4</v>
      </c>
      <c r="K14">
        <f>K11</f>
        <v>0.65</v>
      </c>
      <c r="L14">
        <v>80</v>
      </c>
      <c r="M14">
        <v>0</v>
      </c>
      <c r="N14">
        <v>0</v>
      </c>
      <c r="O14">
        <f>$BS$3</f>
        <v>91.25</v>
      </c>
      <c r="P14">
        <v>0</v>
      </c>
      <c r="Q14">
        <v>0.18</v>
      </c>
      <c r="R14">
        <v>0.72</v>
      </c>
      <c r="S14">
        <v>50</v>
      </c>
      <c r="T14">
        <f t="shared" si="0"/>
        <v>0</v>
      </c>
      <c r="U14">
        <f t="shared" si="1"/>
        <v>1</v>
      </c>
      <c r="V14">
        <f t="shared" si="2"/>
        <v>0.72</v>
      </c>
      <c r="W14">
        <f>$BS$10</f>
        <v>4.7000000000000002E-3</v>
      </c>
      <c r="X14">
        <f t="shared" si="3"/>
        <v>0</v>
      </c>
      <c r="Y14">
        <f>$BS$4</f>
        <v>0.24</v>
      </c>
      <c r="Z14">
        <f>$BS$6</f>
        <v>1.0999999999999999E-2</v>
      </c>
      <c r="AA14">
        <f>$BS$5</f>
        <v>0.21</v>
      </c>
      <c r="AB14">
        <f t="shared" si="4"/>
        <v>5.8999999999999999E-3</v>
      </c>
      <c r="AC14">
        <f>(M14/100)*(MIN(N14,100)/100)</f>
        <v>0</v>
      </c>
      <c r="AD14">
        <f t="shared" si="5"/>
        <v>0</v>
      </c>
      <c r="AE14">
        <f>J14 * K14 / 365</f>
        <v>7.1232876712328773E-3</v>
      </c>
      <c r="AF14">
        <f>P14 * 0.92</f>
        <v>0</v>
      </c>
      <c r="AG14">
        <v>57</v>
      </c>
      <c r="AH14">
        <f>S14 / AG14</f>
        <v>0.8771929824561403</v>
      </c>
      <c r="AI14">
        <v>0</v>
      </c>
      <c r="AJ14">
        <f t="shared" si="6"/>
        <v>0</v>
      </c>
      <c r="AK14">
        <f t="shared" si="7"/>
        <v>9.5736986301369871E-4</v>
      </c>
      <c r="AL14">
        <f>(AV14 / 6.25 ) - AK14</f>
        <v>3.1506062032197808E-2</v>
      </c>
      <c r="AM14">
        <f>IF($G$11="wet",$BU$18,$BU$19)</f>
        <v>6.0000000000000001E-3</v>
      </c>
      <c r="AN14">
        <f t="shared" si="8"/>
        <v>1.5714285714285714</v>
      </c>
      <c r="AO14">
        <f t="shared" si="9"/>
        <v>1.3</v>
      </c>
      <c r="AP14">
        <f t="shared" si="10"/>
        <v>1</v>
      </c>
      <c r="AQ14">
        <f>(0.795*R14)-0.0014</f>
        <v>0.57100000000000006</v>
      </c>
      <c r="AR14">
        <v>1.7</v>
      </c>
      <c r="AS14">
        <f t="shared" si="11"/>
        <v>0.99691128459176326</v>
      </c>
      <c r="AT14">
        <f>(104.7*AQ14+0.307*S14-15)*(S14^0.75)*10^-3</f>
        <v>1.1306948910936463</v>
      </c>
      <c r="AU14">
        <f t="shared" si="12"/>
        <v>1.1272024963615108</v>
      </c>
      <c r="AV14">
        <f>(AU14 * Q14) + (0.045 * AJ14)</f>
        <v>0.20289644934507195</v>
      </c>
      <c r="AW14">
        <f t="shared" si="13"/>
        <v>0.08</v>
      </c>
      <c r="AX14">
        <f>(AU14 * ((1 - R14) + (0.04 * AU14))) * ( 1 - AW14 )</f>
        <v>0.33712490827789848</v>
      </c>
      <c r="AY14">
        <f t="shared" si="14"/>
        <v>0.24</v>
      </c>
      <c r="AZ14">
        <f t="shared" si="15"/>
        <v>0.6784</v>
      </c>
      <c r="BA14">
        <f t="shared" si="20"/>
        <v>0</v>
      </c>
      <c r="BB14">
        <f t="shared" si="16"/>
        <v>2.5797984661101933E-4</v>
      </c>
      <c r="BC14">
        <f t="shared" si="17"/>
        <v>2.5797984661101933E-4</v>
      </c>
      <c r="BD14">
        <f t="shared" si="18"/>
        <v>1.8832528802604411</v>
      </c>
      <c r="BF14">
        <f>L14*AL14*O14</f>
        <v>229.99425283504399</v>
      </c>
      <c r="BT14" s="14" t="s">
        <v>197</v>
      </c>
      <c r="BU14" s="14">
        <v>0.69</v>
      </c>
      <c r="BW14" s="8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2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>$BS$3</f>
        <v>91.25</v>
      </c>
      <c r="P15">
        <v>0.16</v>
      </c>
      <c r="Q15">
        <v>0.2</v>
      </c>
      <c r="R15">
        <v>0.75</v>
      </c>
      <c r="S15">
        <v>20</v>
      </c>
      <c r="T15">
        <f t="shared" si="0"/>
        <v>0</v>
      </c>
      <c r="U15">
        <f t="shared" si="1"/>
        <v>1</v>
      </c>
      <c r="V15">
        <f t="shared" si="2"/>
        <v>0.72</v>
      </c>
      <c r="W15">
        <f>$BS$10</f>
        <v>4.7000000000000002E-3</v>
      </c>
      <c r="X15">
        <f t="shared" si="3"/>
        <v>0</v>
      </c>
      <c r="Y15">
        <f>$BS$4</f>
        <v>0.24</v>
      </c>
      <c r="Z15">
        <f>$BS$6</f>
        <v>1.0999999999999999E-2</v>
      </c>
      <c r="AA15">
        <f>$BS$5</f>
        <v>0.21</v>
      </c>
      <c r="AB15">
        <f t="shared" si="4"/>
        <v>5.8999999999999999E-3</v>
      </c>
      <c r="AC15">
        <f>(M15/100)*(MIN(N15,100)/100)</f>
        <v>0</v>
      </c>
      <c r="AD15">
        <f t="shared" si="5"/>
        <v>0</v>
      </c>
      <c r="AE15">
        <f>J15 * K15 / 365</f>
        <v>4.9315068493150684E-3</v>
      </c>
      <c r="AF15">
        <f>P15 * 0.92</f>
        <v>0.1472</v>
      </c>
      <c r="AG15">
        <v>60</v>
      </c>
      <c r="AH15">
        <f>S15 / AG15</f>
        <v>0.33333333333333331</v>
      </c>
      <c r="AI15">
        <v>1</v>
      </c>
      <c r="AJ15">
        <f t="shared" si="6"/>
        <v>1.6</v>
      </c>
      <c r="AK15">
        <f t="shared" si="7"/>
        <v>4.2927035527562628E-3</v>
      </c>
      <c r="AL15">
        <f>(AV15 / 6.25 ) - AK15</f>
        <v>2.3394421603544668E-2</v>
      </c>
      <c r="AM15">
        <f>IF($G$11="wet",$BU$18,$BU$19)</f>
        <v>6.0000000000000001E-3</v>
      </c>
      <c r="AN15">
        <f t="shared" si="8"/>
        <v>1.5714285714285714</v>
      </c>
      <c r="AO15">
        <f t="shared" si="9"/>
        <v>1.3</v>
      </c>
      <c r="AP15">
        <f t="shared" si="10"/>
        <v>1</v>
      </c>
      <c r="AQ15">
        <f>(0.795*R15)-0.0014</f>
        <v>0.5948500000000001</v>
      </c>
      <c r="AR15">
        <v>2.9</v>
      </c>
      <c r="AS15">
        <f t="shared" si="11"/>
        <v>0.9999999504359468</v>
      </c>
      <c r="AT15">
        <f>(104.7*AQ15+0.307*S15-15)*(S15^0.75)*10^-3</f>
        <v>0.5052226861752882</v>
      </c>
      <c r="AU15">
        <f t="shared" si="12"/>
        <v>0.50522266113440406</v>
      </c>
      <c r="AV15">
        <f>(AU15 * Q15) + (0.045 * AJ15)</f>
        <v>0.17304453222688082</v>
      </c>
      <c r="AW15">
        <f t="shared" si="13"/>
        <v>0.08</v>
      </c>
      <c r="AX15">
        <f>(AU15 * ((1 - R15) + (0.04 * AU15))) * ( 1 - AW15 )</f>
        <v>0.12559440975442615</v>
      </c>
      <c r="AY15">
        <f t="shared" si="14"/>
        <v>0.24</v>
      </c>
      <c r="AZ15">
        <f t="shared" si="15"/>
        <v>0.6784</v>
      </c>
      <c r="BA15">
        <f t="shared" si="20"/>
        <v>0</v>
      </c>
      <c r="BB15">
        <f t="shared" si="16"/>
        <v>9.6109263267310253E-5</v>
      </c>
      <c r="BC15">
        <f t="shared" si="17"/>
        <v>9.6109263267310253E-5</v>
      </c>
      <c r="BD15">
        <f t="shared" si="18"/>
        <v>1.7539940546284121</v>
      </c>
      <c r="BF15">
        <f>L15*AL15*O15</f>
        <v>426.94819426469013</v>
      </c>
      <c r="BT15" s="14" t="s">
        <v>198</v>
      </c>
      <c r="BU15" s="14">
        <v>0.73</v>
      </c>
      <c r="BW15" s="8" t="s">
        <v>163</v>
      </c>
      <c r="BX15" s="8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3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>$BS$3</f>
        <v>91.25</v>
      </c>
      <c r="P16">
        <v>0.08</v>
      </c>
      <c r="Q16">
        <v>0.1</v>
      </c>
      <c r="R16">
        <v>0.61</v>
      </c>
      <c r="S16">
        <v>27</v>
      </c>
      <c r="T16">
        <f t="shared" si="0"/>
        <v>0</v>
      </c>
      <c r="U16">
        <f t="shared" si="1"/>
        <v>1</v>
      </c>
      <c r="V16">
        <f t="shared" si="2"/>
        <v>0.72</v>
      </c>
      <c r="W16">
        <f>$BS$10</f>
        <v>4.7000000000000002E-3</v>
      </c>
      <c r="X16">
        <f t="shared" si="3"/>
        <v>0</v>
      </c>
      <c r="Y16">
        <f>$BS$4</f>
        <v>0.24</v>
      </c>
      <c r="Z16">
        <f>$BS$6</f>
        <v>1.0999999999999999E-2</v>
      </c>
      <c r="AA16">
        <f>$BS$5</f>
        <v>0.21</v>
      </c>
      <c r="AB16">
        <f t="shared" si="4"/>
        <v>5.8999999999999999E-3</v>
      </c>
      <c r="AC16">
        <f>(M16/100)*(MIN(N16,100)/100)</f>
        <v>0</v>
      </c>
      <c r="AD16">
        <f t="shared" si="5"/>
        <v>0</v>
      </c>
      <c r="AE16">
        <f>J16 * K16 / 365</f>
        <v>4.9315068493150684E-3</v>
      </c>
      <c r="AF16">
        <f>P16 * 0.92</f>
        <v>7.3599999999999999E-2</v>
      </c>
      <c r="AG16">
        <v>61</v>
      </c>
      <c r="AH16">
        <f>S16 / AG16</f>
        <v>0.44262295081967212</v>
      </c>
      <c r="AI16">
        <v>0</v>
      </c>
      <c r="AJ16">
        <f t="shared" si="6"/>
        <v>0</v>
      </c>
      <c r="AK16">
        <f t="shared" si="7"/>
        <v>2.233380100205178E-3</v>
      </c>
      <c r="AL16">
        <f>(AV16 / 6.25 ) - AK16</f>
        <v>6.0894444157458105E-3</v>
      </c>
      <c r="AM16">
        <f>IF($G$11="wet",$BU$18,$BU$19)</f>
        <v>6.0000000000000001E-3</v>
      </c>
      <c r="AN16">
        <f t="shared" si="8"/>
        <v>1.5714285714285714</v>
      </c>
      <c r="AO16">
        <f t="shared" si="9"/>
        <v>1.3</v>
      </c>
      <c r="AP16">
        <f t="shared" si="10"/>
        <v>1</v>
      </c>
      <c r="AQ16">
        <f>(0.795*R16)-0.0014</f>
        <v>0.48354999999999998</v>
      </c>
      <c r="AR16">
        <v>2.5</v>
      </c>
      <c r="AS16">
        <f t="shared" si="11"/>
        <v>0.99999627334682795</v>
      </c>
      <c r="AT16">
        <f>(104.7*AQ16+0.307*S16-15)*(S16^0.75)*10^-3</f>
        <v>0.52017847077168489</v>
      </c>
      <c r="AU16">
        <f t="shared" si="12"/>
        <v>0.52017653224693672</v>
      </c>
      <c r="AV16">
        <f>(AU16 * Q16) + (0.045 * AJ16)</f>
        <v>5.2017653224693677E-2</v>
      </c>
      <c r="AW16">
        <f t="shared" si="13"/>
        <v>0.08</v>
      </c>
      <c r="AX16">
        <f>(AU16 * ((1 - R16) + (0.04 * AU16))) * ( 1 - AW16 )</f>
        <v>0.1965968171591774</v>
      </c>
      <c r="AY16">
        <f t="shared" si="14"/>
        <v>0.24</v>
      </c>
      <c r="AZ16">
        <f t="shared" si="15"/>
        <v>0.6784</v>
      </c>
      <c r="BA16">
        <f t="shared" si="20"/>
        <v>0</v>
      </c>
      <c r="BB16">
        <f t="shared" si="16"/>
        <v>1.5044280469816656E-4</v>
      </c>
      <c r="BC16">
        <f t="shared" si="17"/>
        <v>1.5044280469816656E-4</v>
      </c>
      <c r="BD16">
        <f t="shared" si="18"/>
        <v>2.8828602450286169</v>
      </c>
      <c r="BF16">
        <f>L16*AL16*O16</f>
        <v>116.6889786167291</v>
      </c>
      <c r="BT16" s="14" t="s">
        <v>199</v>
      </c>
      <c r="BU16" s="14">
        <v>0.76</v>
      </c>
      <c r="BW16" s="8" t="s">
        <v>164</v>
      </c>
      <c r="BX16" s="8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2"/>
      <c r="I17" t="s">
        <v>165</v>
      </c>
      <c r="J17">
        <f t="shared" ref="J17:K18" si="21">J16</f>
        <v>3</v>
      </c>
      <c r="K17">
        <f t="shared" si="21"/>
        <v>0.6</v>
      </c>
      <c r="L17">
        <v>170</v>
      </c>
      <c r="M17">
        <v>0</v>
      </c>
      <c r="N17">
        <v>0</v>
      </c>
      <c r="O17">
        <f>$BS$3</f>
        <v>91.25</v>
      </c>
      <c r="P17">
        <v>0.05</v>
      </c>
      <c r="Q17">
        <v>0.12</v>
      </c>
      <c r="R17">
        <v>0.64</v>
      </c>
      <c r="S17">
        <v>32</v>
      </c>
      <c r="T17">
        <f t="shared" si="0"/>
        <v>0</v>
      </c>
      <c r="U17">
        <f t="shared" si="1"/>
        <v>1</v>
      </c>
      <c r="V17">
        <f t="shared" si="2"/>
        <v>0.72</v>
      </c>
      <c r="W17">
        <f>$BS$10</f>
        <v>4.7000000000000002E-3</v>
      </c>
      <c r="X17">
        <f t="shared" si="3"/>
        <v>0</v>
      </c>
      <c r="Y17">
        <f>$BS$4</f>
        <v>0.24</v>
      </c>
      <c r="Z17">
        <f>$BS$6</f>
        <v>1.0999999999999999E-2</v>
      </c>
      <c r="AA17">
        <f>$BS$5</f>
        <v>0.21</v>
      </c>
      <c r="AB17">
        <f t="shared" si="4"/>
        <v>5.8999999999999999E-3</v>
      </c>
      <c r="AC17">
        <f>(M17/100)*(MIN(N17,100)/100)</f>
        <v>0</v>
      </c>
      <c r="AD17">
        <f t="shared" si="5"/>
        <v>0</v>
      </c>
      <c r="AE17">
        <f>J17 * K17 / 365</f>
        <v>4.9315068493150684E-3</v>
      </c>
      <c r="AF17">
        <f>P17 * 0.92</f>
        <v>4.6000000000000006E-2</v>
      </c>
      <c r="AG17">
        <v>62</v>
      </c>
      <c r="AH17">
        <f>S17 / AG17</f>
        <v>0.5161290322580645</v>
      </c>
      <c r="AI17">
        <v>0</v>
      </c>
      <c r="AJ17">
        <f t="shared" si="6"/>
        <v>0</v>
      </c>
      <c r="AK17">
        <f t="shared" si="7"/>
        <v>1.5400455022570668E-3</v>
      </c>
      <c r="AL17">
        <f>(AV17 / 6.25 ) - AK17</f>
        <v>1.077222459730026E-2</v>
      </c>
      <c r="AM17">
        <f>IF($G$11="wet",$BU$18,$BU$19)</f>
        <v>6.0000000000000001E-3</v>
      </c>
      <c r="AN17">
        <f t="shared" si="8"/>
        <v>1.5714285714285714</v>
      </c>
      <c r="AO17">
        <f t="shared" si="9"/>
        <v>1.3</v>
      </c>
      <c r="AP17">
        <f t="shared" si="10"/>
        <v>1</v>
      </c>
      <c r="AQ17">
        <f>(0.795*R17)-0.0014</f>
        <v>0.50740000000000007</v>
      </c>
      <c r="AR17">
        <v>1.6</v>
      </c>
      <c r="AS17">
        <f t="shared" si="11"/>
        <v>0.99402397710499402</v>
      </c>
      <c r="AT17">
        <f>(104.7*AQ17+0.307*S17-15)*(S17^0.75)*10^-3</f>
        <v>0.64511931548462409</v>
      </c>
      <c r="AU17">
        <f t="shared" si="12"/>
        <v>0.64126406768527744</v>
      </c>
      <c r="AV17">
        <f>(AU17 * Q17) + (0.045 * AJ17)</f>
        <v>7.6951688122233283E-2</v>
      </c>
      <c r="AW17">
        <f t="shared" si="13"/>
        <v>0.08</v>
      </c>
      <c r="AX17">
        <f>(AU17 * ((1 - R17) + (0.04 * AU17))) * ( 1 - AW17 )</f>
        <v>0.22751954066312097</v>
      </c>
      <c r="AY17">
        <f t="shared" si="14"/>
        <v>0.24</v>
      </c>
      <c r="AZ17">
        <f t="shared" si="15"/>
        <v>0.6784</v>
      </c>
      <c r="BA17">
        <f t="shared" si="20"/>
        <v>0</v>
      </c>
      <c r="BB17">
        <f t="shared" si="16"/>
        <v>1.7410596120325152E-4</v>
      </c>
      <c r="BC17">
        <f t="shared" si="17"/>
        <v>1.7410596120325152E-4</v>
      </c>
      <c r="BD17">
        <f t="shared" si="18"/>
        <v>2.700818723165439</v>
      </c>
      <c r="BF17">
        <f>L17*AL17*O17</f>
        <v>167.10413406562029</v>
      </c>
      <c r="BW17" s="8" t="s">
        <v>165</v>
      </c>
      <c r="BX17" s="8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3"/>
      <c r="I18" t="s">
        <v>166</v>
      </c>
      <c r="J18">
        <f t="shared" si="21"/>
        <v>3</v>
      </c>
      <c r="K18">
        <f t="shared" si="21"/>
        <v>0.6</v>
      </c>
      <c r="L18">
        <v>200</v>
      </c>
      <c r="M18">
        <v>0</v>
      </c>
      <c r="N18">
        <v>0</v>
      </c>
      <c r="O18">
        <f>$BS$3</f>
        <v>91.25</v>
      </c>
      <c r="P18">
        <v>0.04</v>
      </c>
      <c r="Q18">
        <v>0.18</v>
      </c>
      <c r="R18">
        <v>0.72</v>
      </c>
      <c r="S18">
        <v>34</v>
      </c>
      <c r="T18">
        <f t="shared" si="0"/>
        <v>0</v>
      </c>
      <c r="U18">
        <f t="shared" si="1"/>
        <v>1</v>
      </c>
      <c r="V18">
        <f t="shared" si="2"/>
        <v>0.72</v>
      </c>
      <c r="W18">
        <f>$BS$10</f>
        <v>4.7000000000000002E-3</v>
      </c>
      <c r="X18">
        <f t="shared" si="3"/>
        <v>0</v>
      </c>
      <c r="Y18">
        <f>$BS$4</f>
        <v>0.24</v>
      </c>
      <c r="Z18">
        <f>$BS$6</f>
        <v>1.0999999999999999E-2</v>
      </c>
      <c r="AA18">
        <f>$BS$5</f>
        <v>0.21</v>
      </c>
      <c r="AB18">
        <f t="shared" si="4"/>
        <v>5.8999999999999999E-3</v>
      </c>
      <c r="AC18">
        <f>(M18/100)*(MIN(N18,100)/100)</f>
        <v>0</v>
      </c>
      <c r="AD18">
        <f t="shared" si="5"/>
        <v>0</v>
      </c>
      <c r="AE18">
        <f>J18 * K18 / 365</f>
        <v>4.9315068493150684E-3</v>
      </c>
      <c r="AF18">
        <f>P18 * 0.92</f>
        <v>3.6799999999999999E-2</v>
      </c>
      <c r="AG18">
        <v>63</v>
      </c>
      <c r="AH18">
        <f>S18 / AG18</f>
        <v>0.53968253968253965</v>
      </c>
      <c r="AI18">
        <v>0</v>
      </c>
      <c r="AJ18">
        <f t="shared" si="6"/>
        <v>0</v>
      </c>
      <c r="AK18">
        <f t="shared" si="7"/>
        <v>1.3398080165132112E-3</v>
      </c>
      <c r="AL18">
        <f>(AV18 / 6.25 ) - AK18</f>
        <v>2.098398359742434E-2</v>
      </c>
      <c r="AM18">
        <f>IF($G$11="wet",$BU$18,$BU$19)</f>
        <v>6.0000000000000001E-3</v>
      </c>
      <c r="AN18">
        <f t="shared" si="8"/>
        <v>1.5714285714285714</v>
      </c>
      <c r="AO18">
        <f t="shared" si="9"/>
        <v>1.3</v>
      </c>
      <c r="AP18">
        <f t="shared" si="10"/>
        <v>1</v>
      </c>
      <c r="AQ18">
        <f>(0.795*R18)-0.0014</f>
        <v>0.57100000000000006</v>
      </c>
      <c r="AR18">
        <v>1.7</v>
      </c>
      <c r="AS18">
        <f t="shared" si="11"/>
        <v>0.99691128459176326</v>
      </c>
      <c r="AT18">
        <f>(104.7*AQ18+0.307*S18-15)*(S18^0.75)*10^-3</f>
        <v>0.77753323213623582</v>
      </c>
      <c r="AU18">
        <f t="shared" si="12"/>
        <v>0.77513165326172051</v>
      </c>
      <c r="AV18">
        <f>(AU18 * Q18) + (0.045 * AJ18)</f>
        <v>0.1395236975871097</v>
      </c>
      <c r="AW18">
        <f t="shared" si="13"/>
        <v>0.08</v>
      </c>
      <c r="AX18">
        <f>(AU18 * ((1 - R18) + (0.04 * AU18))) * ( 1 - AW18 )</f>
        <v>0.22178442402010679</v>
      </c>
      <c r="AY18">
        <f t="shared" si="14"/>
        <v>0.24</v>
      </c>
      <c r="AZ18">
        <f t="shared" si="15"/>
        <v>0.6784</v>
      </c>
      <c r="BA18">
        <f t="shared" si="20"/>
        <v>0</v>
      </c>
      <c r="BB18">
        <f t="shared" si="16"/>
        <v>1.6971724807191121E-4</v>
      </c>
      <c r="BC18">
        <f t="shared" si="17"/>
        <v>1.6971724807191121E-4</v>
      </c>
      <c r="BD18">
        <f t="shared" si="18"/>
        <v>3.0973397773123792</v>
      </c>
      <c r="BF18">
        <f>L18*AL18*O18</f>
        <v>382.95770065299422</v>
      </c>
      <c r="BS18" t="s">
        <v>149</v>
      </c>
      <c r="BT18" s="14" t="s">
        <v>254</v>
      </c>
      <c r="BU18" s="14">
        <v>6.0000000000000001E-3</v>
      </c>
      <c r="BW18" s="8" t="s">
        <v>166</v>
      </c>
      <c r="BX18" s="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2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>$BS$3</f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0"/>
        <v>0</v>
      </c>
      <c r="U19">
        <f t="shared" si="1"/>
        <v>1</v>
      </c>
      <c r="V19">
        <f t="shared" si="2"/>
        <v>0.72</v>
      </c>
      <c r="W19">
        <f>$BS$10</f>
        <v>4.7000000000000002E-3</v>
      </c>
      <c r="X19">
        <f t="shared" si="3"/>
        <v>0</v>
      </c>
      <c r="Y19">
        <f>$BS$4</f>
        <v>0.24</v>
      </c>
      <c r="Z19">
        <f>$BS$6</f>
        <v>1.0999999999999999E-2</v>
      </c>
      <c r="AA19">
        <f>$BS$5</f>
        <v>0.21</v>
      </c>
      <c r="AB19">
        <f t="shared" si="4"/>
        <v>5.8999999999999999E-3</v>
      </c>
      <c r="AC19">
        <f>(M19/100)*(MIN(N19,100)/100)</f>
        <v>0.95</v>
      </c>
      <c r="AD19">
        <f t="shared" si="5"/>
        <v>1.52</v>
      </c>
      <c r="AE19">
        <f>J19 * K19 / 365</f>
        <v>3.5616438356164386E-3</v>
      </c>
      <c r="AF19">
        <f>P19 * 0.92</f>
        <v>6.4400000000000013E-2</v>
      </c>
      <c r="AG19">
        <v>57</v>
      </c>
      <c r="AH19">
        <f>S19 / AG19</f>
        <v>0.77192982456140347</v>
      </c>
      <c r="AI19">
        <v>0</v>
      </c>
      <c r="AJ19">
        <f t="shared" si="6"/>
        <v>0</v>
      </c>
      <c r="AK19">
        <f t="shared" si="7"/>
        <v>1.2305324245694275E-2</v>
      </c>
      <c r="AL19">
        <f>(AV19 / 6.25 ) - AK19</f>
        <v>3.0398436809107053E-2</v>
      </c>
      <c r="AM19">
        <f>IF($G$11="wet",$BU$18,$BU$19)</f>
        <v>6.0000000000000001E-3</v>
      </c>
      <c r="AN19">
        <f t="shared" si="8"/>
        <v>1.5714285714285714</v>
      </c>
      <c r="AO19">
        <f t="shared" si="9"/>
        <v>1.3</v>
      </c>
      <c r="AP19">
        <f t="shared" si="10"/>
        <v>1.2849999999999999</v>
      </c>
      <c r="AQ19">
        <f>(0.795*R19)-0.0014</f>
        <v>0.5948500000000001</v>
      </c>
      <c r="AR19">
        <v>2.9</v>
      </c>
      <c r="AS19">
        <f t="shared" si="11"/>
        <v>0.9999999504359468</v>
      </c>
      <c r="AT19">
        <f>(104.7*AQ19+0.307*S19-15)*(S19^0.75)*10^-3</f>
        <v>1.0385156413271623</v>
      </c>
      <c r="AU19">
        <f t="shared" si="12"/>
        <v>1.3344925329625414</v>
      </c>
      <c r="AV19">
        <f>(AU19 * Q19) + (0.045 * AJ19)</f>
        <v>0.2668985065925083</v>
      </c>
      <c r="AW19">
        <f t="shared" si="13"/>
        <v>0.08</v>
      </c>
      <c r="AX19">
        <f>(AU19 * ((1 - R19) + (0.04 * AU19))) * ( 1 - AW19 )</f>
        <v>0.37246931037699088</v>
      </c>
      <c r="AY19">
        <f t="shared" si="14"/>
        <v>0.24</v>
      </c>
      <c r="AZ19">
        <f t="shared" si="15"/>
        <v>0.6784</v>
      </c>
      <c r="BA19">
        <f t="shared" si="20"/>
        <v>0</v>
      </c>
      <c r="BB19">
        <f t="shared" si="16"/>
        <v>2.850266272201987E-4</v>
      </c>
      <c r="BC19">
        <f t="shared" si="17"/>
        <v>2.850266272201987E-4</v>
      </c>
      <c r="BD19">
        <f t="shared" si="18"/>
        <v>2.6008679733843132</v>
      </c>
      <c r="BF19">
        <f>L19*AL19*O19</f>
        <v>277.38573588310186</v>
      </c>
      <c r="BT19" s="14" t="s">
        <v>255</v>
      </c>
      <c r="BU19" s="14">
        <v>2E-3</v>
      </c>
      <c r="BW19" s="8" t="s">
        <v>163</v>
      </c>
      <c r="BX19" s="8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3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>$BS$3</f>
        <v>91.25</v>
      </c>
      <c r="P20">
        <v>0</v>
      </c>
      <c r="Q20">
        <v>0.1</v>
      </c>
      <c r="R20">
        <v>0.61</v>
      </c>
      <c r="S20">
        <v>42</v>
      </c>
      <c r="T20">
        <f t="shared" si="0"/>
        <v>0</v>
      </c>
      <c r="U20">
        <f t="shared" si="1"/>
        <v>1</v>
      </c>
      <c r="V20">
        <f t="shared" si="2"/>
        <v>0.72</v>
      </c>
      <c r="W20">
        <f>$BS$10</f>
        <v>4.7000000000000002E-3</v>
      </c>
      <c r="X20">
        <f t="shared" si="3"/>
        <v>0</v>
      </c>
      <c r="Y20">
        <f>$BS$4</f>
        <v>0.24</v>
      </c>
      <c r="Z20">
        <f>$BS$6</f>
        <v>1.0999999999999999E-2</v>
      </c>
      <c r="AA20">
        <f>$BS$5</f>
        <v>0.21</v>
      </c>
      <c r="AB20">
        <f t="shared" si="4"/>
        <v>5.8999999999999999E-3</v>
      </c>
      <c r="AC20">
        <f>(M20/100)*(MIN(N20,100)/100)</f>
        <v>0</v>
      </c>
      <c r="AD20">
        <f t="shared" si="5"/>
        <v>0</v>
      </c>
      <c r="AE20">
        <f>J20 * K20 / 365</f>
        <v>3.5616438356164386E-3</v>
      </c>
      <c r="AF20">
        <f>P20 * 0.92</f>
        <v>0</v>
      </c>
      <c r="AG20">
        <v>57</v>
      </c>
      <c r="AH20">
        <f>S20 / AG20</f>
        <v>0.73684210526315785</v>
      </c>
      <c r="AI20">
        <v>0</v>
      </c>
      <c r="AJ20">
        <f t="shared" si="6"/>
        <v>0</v>
      </c>
      <c r="AK20">
        <f t="shared" si="7"/>
        <v>4.7868493150684936E-4</v>
      </c>
      <c r="AL20">
        <f>(AV20 / 6.25 ) - AK20</f>
        <v>1.2329606659197917E-2</v>
      </c>
      <c r="AM20">
        <f>IF($G$11="wet",$BU$18,$BU$19)</f>
        <v>6.0000000000000001E-3</v>
      </c>
      <c r="AN20">
        <f t="shared" si="8"/>
        <v>1.5714285714285714</v>
      </c>
      <c r="AO20">
        <f t="shared" si="9"/>
        <v>1.3</v>
      </c>
      <c r="AP20">
        <f t="shared" si="10"/>
        <v>1</v>
      </c>
      <c r="AQ20">
        <f>(0.795*R20)-0.0014</f>
        <v>0.48354999999999998</v>
      </c>
      <c r="AR20">
        <v>2.5</v>
      </c>
      <c r="AS20">
        <f t="shared" si="11"/>
        <v>0.99999627334682795</v>
      </c>
      <c r="AT20">
        <f>(104.7*AQ20+0.307*S20-15)*(S20^0.75)*10^-3</f>
        <v>0.80052120768394575</v>
      </c>
      <c r="AU20">
        <f t="shared" si="12"/>
        <v>0.80051822441904785</v>
      </c>
      <c r="AV20">
        <f>(AU20 * Q20) + (0.045 * AJ20)</f>
        <v>8.0051822441904785E-2</v>
      </c>
      <c r="AW20">
        <f t="shared" si="13"/>
        <v>0.08</v>
      </c>
      <c r="AX20">
        <f>(AU20 * ((1 - R20) + (0.04 * AU20))) * ( 1 - AW20 )</f>
        <v>0.31080846185822891</v>
      </c>
      <c r="AY20">
        <f t="shared" si="14"/>
        <v>0.24</v>
      </c>
      <c r="AZ20">
        <f t="shared" si="15"/>
        <v>0.6784</v>
      </c>
      <c r="BA20">
        <f t="shared" si="20"/>
        <v>0</v>
      </c>
      <c r="BB20">
        <f t="shared" si="16"/>
        <v>2.3784157547177418E-4</v>
      </c>
      <c r="BC20">
        <f t="shared" si="17"/>
        <v>2.3784157547177418E-4</v>
      </c>
      <c r="BD20">
        <f t="shared" si="18"/>
        <v>3.0384261266519155</v>
      </c>
      <c r="BF20">
        <f>L20*AL20*O20</f>
        <v>157.51072507125338</v>
      </c>
      <c r="BS20" t="s">
        <v>258</v>
      </c>
      <c r="BT20">
        <v>0.6784</v>
      </c>
      <c r="BW20" s="8" t="s">
        <v>164</v>
      </c>
      <c r="BX20" s="8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2"/>
      <c r="I21" t="s">
        <v>165</v>
      </c>
      <c r="J21">
        <f t="shared" ref="J21:K22" si="22">J20</f>
        <v>2</v>
      </c>
      <c r="K21">
        <f t="shared" si="22"/>
        <v>0.65</v>
      </c>
      <c r="L21">
        <v>135</v>
      </c>
      <c r="M21">
        <v>0</v>
      </c>
      <c r="N21">
        <v>0</v>
      </c>
      <c r="O21">
        <f>$BS$3</f>
        <v>91.25</v>
      </c>
      <c r="P21">
        <v>0</v>
      </c>
      <c r="Q21">
        <v>0.12</v>
      </c>
      <c r="R21">
        <v>0.64</v>
      </c>
      <c r="S21">
        <v>43</v>
      </c>
      <c r="T21">
        <f t="shared" si="0"/>
        <v>0</v>
      </c>
      <c r="U21">
        <f t="shared" si="1"/>
        <v>1</v>
      </c>
      <c r="V21">
        <f t="shared" si="2"/>
        <v>0.72</v>
      </c>
      <c r="W21">
        <f>$BS$10</f>
        <v>4.7000000000000002E-3</v>
      </c>
      <c r="X21">
        <f t="shared" si="3"/>
        <v>0</v>
      </c>
      <c r="Y21">
        <f>$BS$4</f>
        <v>0.24</v>
      </c>
      <c r="Z21">
        <f>$BS$6</f>
        <v>1.0999999999999999E-2</v>
      </c>
      <c r="AA21">
        <f>$BS$5</f>
        <v>0.21</v>
      </c>
      <c r="AB21">
        <f t="shared" si="4"/>
        <v>5.8999999999999999E-3</v>
      </c>
      <c r="AC21">
        <f>(M21/100)*(MIN(N21,100)/100)</f>
        <v>0</v>
      </c>
      <c r="AD21">
        <f t="shared" si="5"/>
        <v>0</v>
      </c>
      <c r="AE21">
        <f>J21 * K21 / 365</f>
        <v>3.5616438356164386E-3</v>
      </c>
      <c r="AF21">
        <f>P21 * 0.92</f>
        <v>0</v>
      </c>
      <c r="AG21">
        <v>57</v>
      </c>
      <c r="AH21">
        <f>S21 / AG21</f>
        <v>0.75438596491228072</v>
      </c>
      <c r="AI21">
        <v>0</v>
      </c>
      <c r="AJ21">
        <f t="shared" si="6"/>
        <v>0</v>
      </c>
      <c r="AK21">
        <f t="shared" si="7"/>
        <v>4.7868493150684936E-4</v>
      </c>
      <c r="AL21">
        <f>(AV21 / 6.25 ) - AK21</f>
        <v>1.5970144180934887E-2</v>
      </c>
      <c r="AM21">
        <f>IF($G$11="wet",$BU$18,$BU$19)</f>
        <v>6.0000000000000001E-3</v>
      </c>
      <c r="AN21">
        <f t="shared" si="8"/>
        <v>1.5714285714285714</v>
      </c>
      <c r="AO21">
        <f t="shared" si="9"/>
        <v>1.3</v>
      </c>
      <c r="AP21">
        <f t="shared" si="10"/>
        <v>1</v>
      </c>
      <c r="AQ21">
        <f>(0.795*R21)-0.0014</f>
        <v>0.50740000000000007</v>
      </c>
      <c r="AR21">
        <v>1.6</v>
      </c>
      <c r="AS21">
        <f t="shared" si="11"/>
        <v>0.99402397710499402</v>
      </c>
      <c r="AT21">
        <f>(104.7*AQ21+0.307*S21-15)*(S21^0.75)*10^-3</f>
        <v>0.86186034677094148</v>
      </c>
      <c r="AU21">
        <f t="shared" si="12"/>
        <v>0.85670984960634056</v>
      </c>
      <c r="AV21">
        <f>(AU21 * Q21) + (0.045 * AJ21)</f>
        <v>0.10280518195276087</v>
      </c>
      <c r="AW21">
        <f t="shared" si="13"/>
        <v>0.08</v>
      </c>
      <c r="AX21">
        <f>(AU21 * ((1 - R21) + (0.04 * AU21))) * ( 1 - AW21 )</f>
        <v>0.31075172719360067</v>
      </c>
      <c r="AY21">
        <f t="shared" si="14"/>
        <v>0.24</v>
      </c>
      <c r="AZ21">
        <f t="shared" si="15"/>
        <v>0.6784</v>
      </c>
      <c r="BA21">
        <f t="shared" si="20"/>
        <v>0</v>
      </c>
      <c r="BB21">
        <f t="shared" si="16"/>
        <v>2.3779816010934047E-4</v>
      </c>
      <c r="BC21">
        <f t="shared" si="17"/>
        <v>2.3779816010934047E-4</v>
      </c>
      <c r="BD21">
        <f t="shared" si="18"/>
        <v>2.9293760848469379</v>
      </c>
      <c r="BF21">
        <f>L21*AL21*O21</f>
        <v>196.73221362889163</v>
      </c>
      <c r="BW21" s="8" t="s">
        <v>165</v>
      </c>
      <c r="BX21" s="8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3"/>
      <c r="I22" t="s">
        <v>166</v>
      </c>
      <c r="J22">
        <f t="shared" si="22"/>
        <v>2</v>
      </c>
      <c r="K22">
        <f t="shared" si="22"/>
        <v>0.65</v>
      </c>
      <c r="L22">
        <v>130</v>
      </c>
      <c r="M22">
        <v>0</v>
      </c>
      <c r="N22">
        <v>0</v>
      </c>
      <c r="O22">
        <f>$BS$3</f>
        <v>91.25</v>
      </c>
      <c r="P22">
        <v>0.02</v>
      </c>
      <c r="Q22">
        <v>0.18</v>
      </c>
      <c r="R22">
        <v>0.72</v>
      </c>
      <c r="S22">
        <v>45</v>
      </c>
      <c r="T22">
        <f t="shared" si="0"/>
        <v>0</v>
      </c>
      <c r="U22">
        <f t="shared" si="1"/>
        <v>1</v>
      </c>
      <c r="V22">
        <f t="shared" si="2"/>
        <v>0.72</v>
      </c>
      <c r="W22">
        <f>$BS$10</f>
        <v>4.7000000000000002E-3</v>
      </c>
      <c r="X22">
        <f t="shared" si="3"/>
        <v>0</v>
      </c>
      <c r="Y22">
        <f>$BS$4</f>
        <v>0.24</v>
      </c>
      <c r="Z22">
        <f>$BS$6</f>
        <v>1.0999999999999999E-2</v>
      </c>
      <c r="AA22">
        <f>$BS$5</f>
        <v>0.21</v>
      </c>
      <c r="AB22">
        <f t="shared" si="4"/>
        <v>5.8999999999999999E-3</v>
      </c>
      <c r="AC22">
        <f>(M22/100)*(MIN(N22,100)/100)</f>
        <v>0</v>
      </c>
      <c r="AD22">
        <f t="shared" si="5"/>
        <v>0</v>
      </c>
      <c r="AE22">
        <f>J22 * K22 / 365</f>
        <v>3.5616438356164386E-3</v>
      </c>
      <c r="AF22">
        <f>P22 * 0.92</f>
        <v>1.84E-2</v>
      </c>
      <c r="AG22">
        <v>57</v>
      </c>
      <c r="AH22">
        <f>S22 / AG22</f>
        <v>0.78947368421052633</v>
      </c>
      <c r="AI22">
        <v>0</v>
      </c>
      <c r="AJ22">
        <f t="shared" si="6"/>
        <v>0</v>
      </c>
      <c r="AK22">
        <f t="shared" si="7"/>
        <v>7.2777894310489225E-4</v>
      </c>
      <c r="AL22">
        <f>(AV22 / 6.25 ) - AK22</f>
        <v>2.8503402354687943E-2</v>
      </c>
      <c r="AM22">
        <f>IF($G$11="wet",$BU$18,$BU$19)</f>
        <v>6.0000000000000001E-3</v>
      </c>
      <c r="AN22">
        <f t="shared" si="8"/>
        <v>1.5714285714285714</v>
      </c>
      <c r="AO22">
        <f t="shared" si="9"/>
        <v>1.3</v>
      </c>
      <c r="AP22">
        <f t="shared" si="10"/>
        <v>1</v>
      </c>
      <c r="AQ22">
        <f>(0.795*R22)-0.0014</f>
        <v>0.57100000000000006</v>
      </c>
      <c r="AR22">
        <v>1.7</v>
      </c>
      <c r="AS22">
        <f t="shared" si="11"/>
        <v>0.99691128459176326</v>
      </c>
      <c r="AT22">
        <f>(104.7*AQ22+0.307*S22-15)*(S22^0.75)*10^-3</f>
        <v>1.0181162441707754</v>
      </c>
      <c r="AU22">
        <f t="shared" si="12"/>
        <v>1.014971572840029</v>
      </c>
      <c r="AV22">
        <f>(AU22 * Q22) + (0.045 * AJ22)</f>
        <v>0.18269488311120521</v>
      </c>
      <c r="AW22">
        <f t="shared" si="13"/>
        <v>0.08</v>
      </c>
      <c r="AX22">
        <f>(AU22 * ((1 - R22) + (0.04 * AU22))) * ( 1 - AW22 )</f>
        <v>0.29936683357077126</v>
      </c>
      <c r="AY22">
        <f t="shared" si="14"/>
        <v>0.24</v>
      </c>
      <c r="AZ22">
        <f t="shared" si="15"/>
        <v>0.6784</v>
      </c>
      <c r="BA22">
        <f t="shared" si="20"/>
        <v>0</v>
      </c>
      <c r="BB22">
        <f t="shared" si="16"/>
        <v>2.2908603876089584E-4</v>
      </c>
      <c r="BC22">
        <f t="shared" si="17"/>
        <v>2.2908603876089584E-4</v>
      </c>
      <c r="BD22">
        <f t="shared" si="18"/>
        <v>2.7175331348011267</v>
      </c>
      <c r="BF22">
        <f>L22*AL22*O22</f>
        <v>338.12161043248574</v>
      </c>
      <c r="BW22" s="8" t="s">
        <v>166</v>
      </c>
      <c r="BX22" s="8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2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>$BS$3</f>
        <v>91.25</v>
      </c>
      <c r="P23">
        <v>0.05</v>
      </c>
      <c r="Q23">
        <v>0.2</v>
      </c>
      <c r="R23">
        <v>0.75</v>
      </c>
      <c r="S23">
        <v>56</v>
      </c>
      <c r="T23">
        <f t="shared" si="0"/>
        <v>0</v>
      </c>
      <c r="U23">
        <f t="shared" si="1"/>
        <v>1</v>
      </c>
      <c r="V23">
        <f t="shared" si="2"/>
        <v>0.72</v>
      </c>
      <c r="W23">
        <f>$BS$10</f>
        <v>4.7000000000000002E-3</v>
      </c>
      <c r="X23">
        <f t="shared" si="3"/>
        <v>0</v>
      </c>
      <c r="Y23">
        <f>$BS$4</f>
        <v>0.24</v>
      </c>
      <c r="Z23">
        <f>$BS$6</f>
        <v>1.0999999999999999E-2</v>
      </c>
      <c r="AA23">
        <f>$BS$5</f>
        <v>0.21</v>
      </c>
      <c r="AB23">
        <f t="shared" si="4"/>
        <v>5.8999999999999999E-3</v>
      </c>
      <c r="AC23">
        <f>(M23/100)*(MIN(N23,100)/100)</f>
        <v>0</v>
      </c>
      <c r="AD23">
        <f t="shared" si="5"/>
        <v>0</v>
      </c>
      <c r="AE23">
        <f>J23 * K23 / 365</f>
        <v>3.8356164383561643E-3</v>
      </c>
      <c r="AF23">
        <f>P23 * 0.92</f>
        <v>4.6000000000000006E-2</v>
      </c>
      <c r="AG23">
        <v>57</v>
      </c>
      <c r="AH23">
        <f>S23 / AG23</f>
        <v>0.98245614035087714</v>
      </c>
      <c r="AI23">
        <v>0</v>
      </c>
      <c r="AJ23">
        <f t="shared" si="6"/>
        <v>0</v>
      </c>
      <c r="AK23">
        <f t="shared" si="7"/>
        <v>1.0761713957214488E-3</v>
      </c>
      <c r="AL23">
        <f>(AV23 / 6.25 ) - AK23</f>
        <v>4.1158340075111606E-2</v>
      </c>
      <c r="AM23">
        <f>IF($G$11="wet",$BU$18,$BU$19)</f>
        <v>6.0000000000000001E-3</v>
      </c>
      <c r="AN23">
        <f t="shared" si="8"/>
        <v>1.5714285714285714</v>
      </c>
      <c r="AO23">
        <f t="shared" si="9"/>
        <v>1.3</v>
      </c>
      <c r="AP23">
        <f t="shared" si="10"/>
        <v>1</v>
      </c>
      <c r="AQ23">
        <f>(0.795*R23)-0.0014</f>
        <v>0.5948500000000001</v>
      </c>
      <c r="AR23">
        <v>2.9</v>
      </c>
      <c r="AS23">
        <f t="shared" si="11"/>
        <v>0.9999999504359468</v>
      </c>
      <c r="AT23">
        <f>(104.7*AQ23+0.307*S23-15)*(S23^0.75)*10^-3</f>
        <v>1.3198285488795851</v>
      </c>
      <c r="AU23">
        <f t="shared" si="12"/>
        <v>1.3198284834635328</v>
      </c>
      <c r="AV23">
        <f>(AU23 * Q23) + (0.045 * AJ23)</f>
        <v>0.26396569669270659</v>
      </c>
      <c r="AW23">
        <f t="shared" si="13"/>
        <v>0.08</v>
      </c>
      <c r="AX23">
        <f>(AU23 * ((1 - R23) + (0.04 * AU23))) * ( 1 - AW23 )</f>
        <v>0.3676642091046412</v>
      </c>
      <c r="AY23">
        <f t="shared" si="14"/>
        <v>0.24</v>
      </c>
      <c r="AZ23">
        <f t="shared" si="15"/>
        <v>0.6784</v>
      </c>
      <c r="BA23">
        <f t="shared" si="20"/>
        <v>0</v>
      </c>
      <c r="BB23">
        <f t="shared" si="16"/>
        <v>2.8134959458703197E-4</v>
      </c>
      <c r="BC23">
        <f t="shared" si="17"/>
        <v>2.8134959458703197E-4</v>
      </c>
      <c r="BD23">
        <f t="shared" si="18"/>
        <v>5.1346301012133333</v>
      </c>
      <c r="BF23">
        <f>L23*AL23*O23</f>
        <v>751.13970637078694</v>
      </c>
      <c r="BW23" s="8" t="s">
        <v>163</v>
      </c>
      <c r="BX23" s="8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3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>$BS$3</f>
        <v>91.25</v>
      </c>
      <c r="P24">
        <v>-0.05</v>
      </c>
      <c r="Q24">
        <v>0.1</v>
      </c>
      <c r="R24">
        <v>0.61</v>
      </c>
      <c r="S24">
        <v>51</v>
      </c>
      <c r="T24">
        <f t="shared" si="0"/>
        <v>0</v>
      </c>
      <c r="U24">
        <f t="shared" si="1"/>
        <v>1</v>
      </c>
      <c r="V24">
        <f t="shared" si="2"/>
        <v>0.72</v>
      </c>
      <c r="W24">
        <f>$BS$10</f>
        <v>4.7000000000000002E-3</v>
      </c>
      <c r="X24">
        <f t="shared" si="3"/>
        <v>0</v>
      </c>
      <c r="Y24">
        <f>$BS$4</f>
        <v>0.24</v>
      </c>
      <c r="Z24">
        <f>$BS$6</f>
        <v>1.0999999999999999E-2</v>
      </c>
      <c r="AA24">
        <f>$BS$5</f>
        <v>0.21</v>
      </c>
      <c r="AB24">
        <f t="shared" si="4"/>
        <v>5.8999999999999999E-3</v>
      </c>
      <c r="AC24">
        <f>(M24/100)*(MIN(N24,100)/100)</f>
        <v>0</v>
      </c>
      <c r="AD24">
        <f t="shared" si="5"/>
        <v>0</v>
      </c>
      <c r="AE24">
        <f>J24 * K24 / 365</f>
        <v>3.8356164383561643E-3</v>
      </c>
      <c r="AF24">
        <f>P24 * 0.92</f>
        <v>-4.6000000000000006E-2</v>
      </c>
      <c r="AG24">
        <v>57</v>
      </c>
      <c r="AH24">
        <f>S24 / AG24</f>
        <v>0.89473684210526316</v>
      </c>
      <c r="AI24">
        <v>0</v>
      </c>
      <c r="AJ24">
        <f t="shared" si="6"/>
        <v>0</v>
      </c>
      <c r="AK24">
        <f t="shared" si="7"/>
        <v>-6.7008407966660379E-5</v>
      </c>
      <c r="AL24">
        <f>(AV24 / 6.25 ) - AK24</f>
        <v>1.5726717450560028E-2</v>
      </c>
      <c r="AM24">
        <f>IF($G$11="wet",$BU$18,$BU$19)</f>
        <v>6.0000000000000001E-3</v>
      </c>
      <c r="AN24">
        <f t="shared" si="8"/>
        <v>1.5714285714285714</v>
      </c>
      <c r="AO24">
        <f t="shared" si="9"/>
        <v>1.3</v>
      </c>
      <c r="AP24">
        <f t="shared" si="10"/>
        <v>1</v>
      </c>
      <c r="AQ24">
        <f>(0.795*R24)-0.0014</f>
        <v>0.48354999999999998</v>
      </c>
      <c r="AR24">
        <v>2.5</v>
      </c>
      <c r="AS24">
        <f t="shared" si="11"/>
        <v>0.99999627334682795</v>
      </c>
      <c r="AT24">
        <f>(104.7*AQ24+0.307*S24-15)*(S24^0.75)*10^-3</f>
        <v>0.97873546256970145</v>
      </c>
      <c r="AU24">
        <f t="shared" si="12"/>
        <v>0.97873181516208529</v>
      </c>
      <c r="AV24">
        <f>(AU24 * Q24) + (0.045 * AJ24)</f>
        <v>9.7873181516208538E-2</v>
      </c>
      <c r="AW24">
        <f t="shared" si="13"/>
        <v>0.08</v>
      </c>
      <c r="AX24">
        <f>(AU24 * ((1 - R24) + (0.04 * AU24))) * ( 1 - AW24 )</f>
        <v>0.38642028282934154</v>
      </c>
      <c r="AY24">
        <f t="shared" si="14"/>
        <v>0.24</v>
      </c>
      <c r="AZ24">
        <f t="shared" si="15"/>
        <v>0.6784</v>
      </c>
      <c r="BA24">
        <f t="shared" si="20"/>
        <v>0</v>
      </c>
      <c r="BB24">
        <f t="shared" si="16"/>
        <v>2.9570240241496779E-4</v>
      </c>
      <c r="BC24">
        <f t="shared" si="17"/>
        <v>2.9570240241496779E-4</v>
      </c>
      <c r="BD24">
        <f t="shared" si="18"/>
        <v>5.6663972862768199</v>
      </c>
      <c r="BF24">
        <f>L24*AL24*O24</f>
        <v>301.36322314635652</v>
      </c>
      <c r="BW24" s="8" t="s">
        <v>164</v>
      </c>
      <c r="BX24" s="8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2"/>
      <c r="I25" t="s">
        <v>165</v>
      </c>
      <c r="J25">
        <f t="shared" ref="J25:K26" si="23">J24</f>
        <v>2</v>
      </c>
      <c r="K25">
        <f t="shared" si="23"/>
        <v>0.7</v>
      </c>
      <c r="L25">
        <v>190</v>
      </c>
      <c r="M25">
        <v>0</v>
      </c>
      <c r="N25">
        <v>0</v>
      </c>
      <c r="O25">
        <f>$BS$3</f>
        <v>91.25</v>
      </c>
      <c r="P25">
        <v>-0.01</v>
      </c>
      <c r="Q25">
        <v>0.12</v>
      </c>
      <c r="R25">
        <v>0.64</v>
      </c>
      <c r="S25">
        <v>50</v>
      </c>
      <c r="T25">
        <f t="shared" si="0"/>
        <v>0</v>
      </c>
      <c r="U25">
        <f t="shared" si="1"/>
        <v>1</v>
      </c>
      <c r="V25">
        <f t="shared" si="2"/>
        <v>0.72</v>
      </c>
      <c r="W25">
        <f>$BS$10</f>
        <v>4.7000000000000002E-3</v>
      </c>
      <c r="X25">
        <f t="shared" si="3"/>
        <v>0</v>
      </c>
      <c r="Y25">
        <f>$BS$4</f>
        <v>0.24</v>
      </c>
      <c r="Z25">
        <f>$BS$6</f>
        <v>1.0999999999999999E-2</v>
      </c>
      <c r="AA25">
        <f>$BS$5</f>
        <v>0.21</v>
      </c>
      <c r="AB25">
        <f t="shared" si="4"/>
        <v>5.8999999999999999E-3</v>
      </c>
      <c r="AC25">
        <f>(M25/100)*(MIN(N25,100)/100)</f>
        <v>0</v>
      </c>
      <c r="AD25">
        <f t="shared" si="5"/>
        <v>0</v>
      </c>
      <c r="AE25">
        <f>J25 * K25 / 365</f>
        <v>3.8356164383561643E-3</v>
      </c>
      <c r="AF25">
        <f>P25 * 0.92</f>
        <v>-9.1999999999999998E-3</v>
      </c>
      <c r="AG25">
        <v>57</v>
      </c>
      <c r="AH25">
        <f>S25 / AG25</f>
        <v>0.8771929824561403</v>
      </c>
      <c r="AI25">
        <v>0</v>
      </c>
      <c r="AJ25">
        <f t="shared" si="6"/>
        <v>0</v>
      </c>
      <c r="AK25">
        <f t="shared" si="7"/>
        <v>3.9804023233659479E-4</v>
      </c>
      <c r="AL25">
        <f>(AV25 / 6.25 ) - AK25</f>
        <v>1.8791943153172598E-2</v>
      </c>
      <c r="AM25">
        <f>IF($G$11="wet",$BU$18,$BU$19)</f>
        <v>6.0000000000000001E-3</v>
      </c>
      <c r="AN25">
        <f t="shared" si="8"/>
        <v>1.5714285714285714</v>
      </c>
      <c r="AO25">
        <f t="shared" si="9"/>
        <v>1.3</v>
      </c>
      <c r="AP25">
        <f t="shared" si="10"/>
        <v>1</v>
      </c>
      <c r="AQ25">
        <f>(0.795*R25)-0.0014</f>
        <v>0.50740000000000007</v>
      </c>
      <c r="AR25">
        <v>1.6</v>
      </c>
      <c r="AS25">
        <f t="shared" si="11"/>
        <v>0.99402397710499402</v>
      </c>
      <c r="AT25">
        <f>(104.7*AQ25+0.307*S25-15)*(S25^0.75)*10^-3</f>
        <v>1.0054871153505722</v>
      </c>
      <c r="AU25">
        <f t="shared" si="12"/>
        <v>0.99947830132860371</v>
      </c>
      <c r="AV25">
        <f>(AU25 * Q25) + (0.045 * AJ25)</f>
        <v>0.11993739615943244</v>
      </c>
      <c r="AW25">
        <f t="shared" si="13"/>
        <v>0.08</v>
      </c>
      <c r="AX25">
        <f>(AU25 * ((1 - R25) + (0.04 * AU25))) * ( 1 - AW25 )</f>
        <v>0.36778882639365651</v>
      </c>
      <c r="AY25">
        <f t="shared" si="14"/>
        <v>0.24</v>
      </c>
      <c r="AZ25">
        <f t="shared" si="15"/>
        <v>0.6784</v>
      </c>
      <c r="BA25">
        <f t="shared" si="20"/>
        <v>0</v>
      </c>
      <c r="BB25">
        <f t="shared" si="16"/>
        <v>2.8144495612311498E-4</v>
      </c>
      <c r="BC25">
        <f t="shared" si="17"/>
        <v>2.8144495612311498E-4</v>
      </c>
      <c r="BD25">
        <f t="shared" si="18"/>
        <v>4.8795519267845062</v>
      </c>
      <c r="BF25">
        <f>L25*AL25*O25</f>
        <v>325.80531441812991</v>
      </c>
      <c r="BR25" t="s">
        <v>211</v>
      </c>
      <c r="BW25" s="8" t="s">
        <v>165</v>
      </c>
      <c r="BX25" s="8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3"/>
      <c r="I26" t="s">
        <v>166</v>
      </c>
      <c r="J26">
        <f t="shared" si="23"/>
        <v>2</v>
      </c>
      <c r="K26">
        <f t="shared" si="23"/>
        <v>0.7</v>
      </c>
      <c r="L26">
        <v>180</v>
      </c>
      <c r="M26">
        <v>0</v>
      </c>
      <c r="N26">
        <v>0</v>
      </c>
      <c r="O26">
        <f>$BS$3</f>
        <v>91.25</v>
      </c>
      <c r="P26">
        <v>0.01</v>
      </c>
      <c r="Q26">
        <v>0.18</v>
      </c>
      <c r="R26">
        <v>0.72</v>
      </c>
      <c r="S26">
        <v>51</v>
      </c>
      <c r="T26">
        <f t="shared" si="0"/>
        <v>0</v>
      </c>
      <c r="U26">
        <f t="shared" si="1"/>
        <v>1</v>
      </c>
      <c r="V26">
        <f t="shared" si="2"/>
        <v>0.72</v>
      </c>
      <c r="W26">
        <f>$BS$10</f>
        <v>4.7000000000000002E-3</v>
      </c>
      <c r="X26">
        <f t="shared" si="3"/>
        <v>0</v>
      </c>
      <c r="Y26">
        <f>$BS$4</f>
        <v>0.24</v>
      </c>
      <c r="Z26">
        <f>$BS$6</f>
        <v>1.0999999999999999E-2</v>
      </c>
      <c r="AA26">
        <f>$BS$5</f>
        <v>0.21</v>
      </c>
      <c r="AB26">
        <f t="shared" si="4"/>
        <v>5.8999999999999999E-3</v>
      </c>
      <c r="AC26">
        <f>(M26/100)*(MIN(N26,100)/100)</f>
        <v>0</v>
      </c>
      <c r="AD26">
        <f t="shared" si="5"/>
        <v>0</v>
      </c>
      <c r="AE26">
        <f>J26 * K26 / 365</f>
        <v>3.8356164383561643E-3</v>
      </c>
      <c r="AF26">
        <f>P26 * 0.92</f>
        <v>9.1999999999999998E-3</v>
      </c>
      <c r="AG26">
        <v>57</v>
      </c>
      <c r="AH26">
        <f>S26 / AG26</f>
        <v>0.89473684210526316</v>
      </c>
      <c r="AI26">
        <v>0</v>
      </c>
      <c r="AJ26">
        <f t="shared" si="6"/>
        <v>0</v>
      </c>
      <c r="AK26">
        <f t="shared" si="7"/>
        <v>6.3181847062017697E-4</v>
      </c>
      <c r="AL26">
        <f>(AV26 / 6.25 ) - AK26</f>
        <v>3.2485572667811859E-2</v>
      </c>
      <c r="AM26">
        <f>IF($G$11="wet",$BU$18,$BU$19)</f>
        <v>6.0000000000000001E-3</v>
      </c>
      <c r="AN26">
        <f t="shared" si="8"/>
        <v>1.5714285714285714</v>
      </c>
      <c r="AO26">
        <f t="shared" si="9"/>
        <v>1.3</v>
      </c>
      <c r="AP26">
        <f t="shared" si="10"/>
        <v>1</v>
      </c>
      <c r="AQ26">
        <f>(0.795*R26)-0.0014</f>
        <v>0.57100000000000006</v>
      </c>
      <c r="AR26">
        <v>1.7</v>
      </c>
      <c r="AS26">
        <f t="shared" si="11"/>
        <v>0.99691128459176326</v>
      </c>
      <c r="AT26">
        <f>(104.7*AQ26+0.307*S26-15)*(S26^0.75)*10^-3</f>
        <v>1.1534721617679149</v>
      </c>
      <c r="AU26">
        <f t="shared" si="12"/>
        <v>1.1499094145288902</v>
      </c>
      <c r="AV26">
        <f>(AU26 * Q26) + (0.045 * AJ26)</f>
        <v>0.20698369461520022</v>
      </c>
      <c r="AW26">
        <f t="shared" si="13"/>
        <v>0.08</v>
      </c>
      <c r="AX26">
        <f>(AU26 * ((1 - R26) + (0.04 * AU26))) * ( 1 - AW26 )</f>
        <v>0.34487699833033825</v>
      </c>
      <c r="AY26">
        <f t="shared" si="14"/>
        <v>0.24</v>
      </c>
      <c r="AZ26">
        <f t="shared" si="15"/>
        <v>0.6784</v>
      </c>
      <c r="BA26">
        <f t="shared" si="20"/>
        <v>0</v>
      </c>
      <c r="BB26">
        <f t="shared" si="16"/>
        <v>2.6391201879271607E-4</v>
      </c>
      <c r="BC26">
        <f t="shared" si="17"/>
        <v>2.6391201879271607E-4</v>
      </c>
      <c r="BD26">
        <f t="shared" si="18"/>
        <v>4.3347549086703614</v>
      </c>
      <c r="BF26">
        <f>L26*AL26*O26</f>
        <v>533.57553106880982</v>
      </c>
      <c r="BR26" s="14" t="s">
        <v>203</v>
      </c>
      <c r="BS26" s="14" t="s">
        <v>204</v>
      </c>
      <c r="BT26" s="14">
        <v>0.75</v>
      </c>
      <c r="BW26" s="8" t="s">
        <v>166</v>
      </c>
      <c r="BX26" s="8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2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>$BS$3</f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0"/>
        <v>0</v>
      </c>
      <c r="U27">
        <f t="shared" si="1"/>
        <v>1</v>
      </c>
      <c r="V27">
        <f t="shared" si="2"/>
        <v>0.72</v>
      </c>
      <c r="W27">
        <f>$BS$10</f>
        <v>4.7000000000000002E-3</v>
      </c>
      <c r="X27">
        <f t="shared" si="3"/>
        <v>0</v>
      </c>
      <c r="Y27">
        <f>$BS$4</f>
        <v>0.24</v>
      </c>
      <c r="Z27">
        <f>$BS$6</f>
        <v>1.0999999999999999E-2</v>
      </c>
      <c r="AA27">
        <f>$BS$5</f>
        <v>0.21</v>
      </c>
      <c r="AB27">
        <f t="shared" si="4"/>
        <v>5.8999999999999999E-3</v>
      </c>
      <c r="AC27">
        <f>(M27/100)*(MIN(N27,100)/100)</f>
        <v>0</v>
      </c>
      <c r="AD27">
        <f t="shared" si="5"/>
        <v>0</v>
      </c>
      <c r="AE27">
        <f>J27 * K27 / 365</f>
        <v>1.7808219178082193E-3</v>
      </c>
      <c r="AF27">
        <f>P27 * 0.92</f>
        <v>6.4400000000000013E-2</v>
      </c>
      <c r="AG27">
        <v>78</v>
      </c>
      <c r="AH27">
        <f>S27 / AG27</f>
        <v>0.96153846153846156</v>
      </c>
      <c r="AI27">
        <v>0</v>
      </c>
      <c r="AJ27">
        <f t="shared" si="6"/>
        <v>0</v>
      </c>
      <c r="AK27">
        <f t="shared" si="7"/>
        <v>1.0297560621526452E-3</v>
      </c>
      <c r="AL27">
        <f>(AV27 / 6.25 ) - AK27</f>
        <v>5.6307516155572376E-2</v>
      </c>
      <c r="AM27">
        <f>IF($G$11="wet",$BU$18,$BU$19)</f>
        <v>6.0000000000000001E-3</v>
      </c>
      <c r="AN27">
        <f t="shared" si="8"/>
        <v>1.5714285714285714</v>
      </c>
      <c r="AO27">
        <f t="shared" si="9"/>
        <v>1.3</v>
      </c>
      <c r="AP27">
        <f t="shared" si="10"/>
        <v>1</v>
      </c>
      <c r="AQ27">
        <f>(0.795*R27)-0.0014</f>
        <v>0.5948500000000001</v>
      </c>
      <c r="AR27">
        <v>2.9</v>
      </c>
      <c r="AS27">
        <f t="shared" si="11"/>
        <v>0.9999999504359468</v>
      </c>
      <c r="AT27">
        <f>(104.7*AQ27+0.307*S27-15)*(S27^0.75)*10^-3</f>
        <v>1.7917898456122741</v>
      </c>
      <c r="AU27">
        <f t="shared" si="12"/>
        <v>1.7917897568039067</v>
      </c>
      <c r="AV27">
        <f>(AU27 * Q27) + (0.045 * AJ27)</f>
        <v>0.35835795136078136</v>
      </c>
      <c r="AW27">
        <f t="shared" si="13"/>
        <v>0.08</v>
      </c>
      <c r="AX27">
        <f>(AU27 * ((1 - R27) + (0.04 * AU27))) * ( 1 - AW27 )</f>
        <v>0.53025843166411502</v>
      </c>
      <c r="AY27">
        <f t="shared" si="14"/>
        <v>0.24</v>
      </c>
      <c r="AZ27">
        <f t="shared" si="15"/>
        <v>0.6784</v>
      </c>
      <c r="BA27">
        <f t="shared" si="20"/>
        <v>0</v>
      </c>
      <c r="BB27">
        <f t="shared" si="16"/>
        <v>4.057724170061754E-4</v>
      </c>
      <c r="BC27">
        <f t="shared" si="17"/>
        <v>4.057724170061754E-4</v>
      </c>
      <c r="BD27">
        <f t="shared" si="18"/>
        <v>1.8513366525906754</v>
      </c>
      <c r="BF27">
        <f>L27*AL27*O27</f>
        <v>256.90304245979894</v>
      </c>
      <c r="BR27" s="14" t="s">
        <v>194</v>
      </c>
      <c r="BS27" s="14" t="s">
        <v>205</v>
      </c>
      <c r="BT27" s="14">
        <v>0.45</v>
      </c>
      <c r="BW27" s="8" t="s">
        <v>163</v>
      </c>
      <c r="BX27" s="8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3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>$BS$3</f>
        <v>91.25</v>
      </c>
      <c r="P28">
        <v>0</v>
      </c>
      <c r="Q28">
        <v>0.1</v>
      </c>
      <c r="R28">
        <v>0.61</v>
      </c>
      <c r="S28">
        <v>75</v>
      </c>
      <c r="T28">
        <f t="shared" si="0"/>
        <v>0</v>
      </c>
      <c r="U28">
        <f t="shared" si="1"/>
        <v>1</v>
      </c>
      <c r="V28">
        <f t="shared" si="2"/>
        <v>0.72</v>
      </c>
      <c r="W28">
        <f>$BS$10</f>
        <v>4.7000000000000002E-3</v>
      </c>
      <c r="X28">
        <f t="shared" si="3"/>
        <v>0</v>
      </c>
      <c r="Y28">
        <f>$BS$4</f>
        <v>0.24</v>
      </c>
      <c r="Z28">
        <f>$BS$6</f>
        <v>1.0999999999999999E-2</v>
      </c>
      <c r="AA28">
        <f>$BS$5</f>
        <v>0.21</v>
      </c>
      <c r="AB28">
        <f t="shared" si="4"/>
        <v>5.8999999999999999E-3</v>
      </c>
      <c r="AC28">
        <f>(M28/100)*(MIN(N28,100)/100)</f>
        <v>0</v>
      </c>
      <c r="AD28">
        <f t="shared" si="5"/>
        <v>0</v>
      </c>
      <c r="AE28">
        <f>J28 * K28 / 365</f>
        <v>1.7808219178082193E-3</v>
      </c>
      <c r="AF28">
        <f>P28 * 0.92</f>
        <v>0</v>
      </c>
      <c r="AG28">
        <v>78</v>
      </c>
      <c r="AH28">
        <f>S28 / AG28</f>
        <v>0.96153846153846156</v>
      </c>
      <c r="AI28">
        <v>0</v>
      </c>
      <c r="AJ28">
        <f t="shared" si="6"/>
        <v>0</v>
      </c>
      <c r="AK28">
        <f t="shared" si="7"/>
        <v>2.3934246575342468E-4</v>
      </c>
      <c r="AL28">
        <f>(AV28 / 6.25 ) - AK28</f>
        <v>2.3677410059052224E-2</v>
      </c>
      <c r="AM28">
        <f>IF($G$11="wet",$BU$18,$BU$19)</f>
        <v>6.0000000000000001E-3</v>
      </c>
      <c r="AN28">
        <f t="shared" si="8"/>
        <v>1.5714285714285714</v>
      </c>
      <c r="AO28">
        <f t="shared" si="9"/>
        <v>1.3</v>
      </c>
      <c r="AP28">
        <f t="shared" si="10"/>
        <v>1</v>
      </c>
      <c r="AQ28">
        <f>(0.795*R28)-0.0014</f>
        <v>0.48354999999999998</v>
      </c>
      <c r="AR28">
        <v>2.5</v>
      </c>
      <c r="AS28">
        <f t="shared" si="11"/>
        <v>0.99999627334682795</v>
      </c>
      <c r="AT28">
        <f>(104.7*AQ28+0.307*S28-15)*(S28^0.75)*10^-3</f>
        <v>1.4948026034112167</v>
      </c>
      <c r="AU28">
        <f t="shared" si="12"/>
        <v>1.494797032800353</v>
      </c>
      <c r="AV28">
        <f>(AU28 * Q28) + (0.045 * AJ28)</f>
        <v>0.14947970328003532</v>
      </c>
      <c r="AW28">
        <f t="shared" si="13"/>
        <v>0.08</v>
      </c>
      <c r="AX28">
        <f>(AU28 * ((1 - R28) + (0.04 * AU28))) * ( 1 - AW28 )</f>
        <v>0.61855976399785639</v>
      </c>
      <c r="AY28">
        <f t="shared" si="14"/>
        <v>0.24</v>
      </c>
      <c r="AZ28">
        <f t="shared" si="15"/>
        <v>0.6784</v>
      </c>
      <c r="BA28">
        <f t="shared" si="20"/>
        <v>0</v>
      </c>
      <c r="BB28">
        <f t="shared" si="16"/>
        <v>4.7334370471485243E-4</v>
      </c>
      <c r="BC28">
        <f t="shared" si="17"/>
        <v>4.7334370471485243E-4</v>
      </c>
      <c r="BD28">
        <f t="shared" si="18"/>
        <v>2.3755937180376656</v>
      </c>
      <c r="BF28">
        <f>L28*AL28*O28</f>
        <v>118.83100173386836</v>
      </c>
      <c r="BR28" s="14" t="s">
        <v>195</v>
      </c>
      <c r="BS28" s="14" t="s">
        <v>206</v>
      </c>
      <c r="BT28" s="14">
        <v>0.09</v>
      </c>
      <c r="BW28" s="8" t="s">
        <v>164</v>
      </c>
      <c r="BX28" s="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2"/>
      <c r="I29" t="s">
        <v>165</v>
      </c>
      <c r="J29">
        <f t="shared" ref="J29:K30" si="24">J28</f>
        <v>1</v>
      </c>
      <c r="K29">
        <f t="shared" si="24"/>
        <v>0.65</v>
      </c>
      <c r="L29">
        <v>60</v>
      </c>
      <c r="M29">
        <v>0</v>
      </c>
      <c r="N29">
        <v>0</v>
      </c>
      <c r="O29">
        <f>$BS$3</f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0"/>
        <v>0</v>
      </c>
      <c r="U29">
        <f t="shared" si="1"/>
        <v>1</v>
      </c>
      <c r="V29">
        <f t="shared" si="2"/>
        <v>0.72</v>
      </c>
      <c r="W29">
        <f>$BS$10</f>
        <v>4.7000000000000002E-3</v>
      </c>
      <c r="X29">
        <f t="shared" si="3"/>
        <v>0</v>
      </c>
      <c r="Y29">
        <f>$BS$4</f>
        <v>0.24</v>
      </c>
      <c r="Z29">
        <f>$BS$6</f>
        <v>1.0999999999999999E-2</v>
      </c>
      <c r="AA29">
        <f>$BS$5</f>
        <v>0.21</v>
      </c>
      <c r="AB29">
        <f t="shared" si="4"/>
        <v>5.8999999999999999E-3</v>
      </c>
      <c r="AC29">
        <f>(M29/100)*(MIN(N29,100)/100)</f>
        <v>0</v>
      </c>
      <c r="AD29">
        <f t="shared" si="5"/>
        <v>0</v>
      </c>
      <c r="AE29">
        <f>J29 * K29 / 365</f>
        <v>1.7808219178082193E-3</v>
      </c>
      <c r="AF29">
        <f>P29 * 0.92</f>
        <v>-6.4400000000000013E-2</v>
      </c>
      <c r="AG29">
        <v>78</v>
      </c>
      <c r="AH29">
        <f>S29 / AG29</f>
        <v>0.88461538461538458</v>
      </c>
      <c r="AI29">
        <v>0</v>
      </c>
      <c r="AJ29">
        <f t="shared" si="6"/>
        <v>0</v>
      </c>
      <c r="AK29">
        <f t="shared" si="7"/>
        <v>-5.8067645512978143E-4</v>
      </c>
      <c r="AL29">
        <f>(AV29 / 6.25 ) - AK29</f>
        <v>2.7679259014053301E-2</v>
      </c>
      <c r="AM29">
        <f>IF($G$11="wet",$BU$18,$BU$19)</f>
        <v>6.0000000000000001E-3</v>
      </c>
      <c r="AN29">
        <f t="shared" si="8"/>
        <v>1.5714285714285714</v>
      </c>
      <c r="AO29">
        <f t="shared" si="9"/>
        <v>1.3</v>
      </c>
      <c r="AP29">
        <f t="shared" si="10"/>
        <v>1</v>
      </c>
      <c r="AQ29">
        <f>(0.795*R29)-0.0014</f>
        <v>0.50740000000000007</v>
      </c>
      <c r="AR29">
        <v>1.6</v>
      </c>
      <c r="AS29">
        <f t="shared" si="11"/>
        <v>0.99402397710499402</v>
      </c>
      <c r="AT29">
        <f>(104.7*AQ29+0.307*S29-15)*(S29^0.75)*10^-3</f>
        <v>1.4198696820048529</v>
      </c>
      <c r="AU29">
        <f t="shared" si="12"/>
        <v>1.4113845082772669</v>
      </c>
      <c r="AV29">
        <f>(AU29 * Q29) + (0.045 * AJ29)</f>
        <v>0.16936614099327202</v>
      </c>
      <c r="AW29">
        <f t="shared" si="13"/>
        <v>0.08</v>
      </c>
      <c r="AX29">
        <f>(AU29 * ((1 - R29) + (0.04 * AU29))) * ( 1 - AW29 )</f>
        <v>0.54075637841297708</v>
      </c>
      <c r="AY29">
        <f t="shared" si="14"/>
        <v>0.24</v>
      </c>
      <c r="AZ29">
        <f t="shared" si="15"/>
        <v>0.6784</v>
      </c>
      <c r="BA29">
        <f t="shared" si="20"/>
        <v>0</v>
      </c>
      <c r="BB29">
        <f t="shared" si="16"/>
        <v>4.138058153861302E-4</v>
      </c>
      <c r="BC29">
        <f t="shared" si="17"/>
        <v>4.138058153861302E-4</v>
      </c>
      <c r="BD29">
        <f t="shared" si="18"/>
        <v>2.265586839239063</v>
      </c>
      <c r="BF29">
        <f>L29*AL29*O29</f>
        <v>151.54394310194181</v>
      </c>
      <c r="BR29" s="14" t="s">
        <v>196</v>
      </c>
      <c r="BS29" s="14" t="s">
        <v>207</v>
      </c>
      <c r="BT29" s="14">
        <v>0.26</v>
      </c>
      <c r="BW29" s="8" t="s">
        <v>165</v>
      </c>
      <c r="BX29" s="8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3"/>
      <c r="I30" t="s">
        <v>166</v>
      </c>
      <c r="J30">
        <f t="shared" si="24"/>
        <v>1</v>
      </c>
      <c r="K30">
        <f t="shared" si="24"/>
        <v>0.65</v>
      </c>
      <c r="L30">
        <v>65</v>
      </c>
      <c r="M30">
        <v>0</v>
      </c>
      <c r="N30">
        <v>0</v>
      </c>
      <c r="O30">
        <f>$BS$3</f>
        <v>91.25</v>
      </c>
      <c r="P30">
        <v>0</v>
      </c>
      <c r="Q30">
        <v>0.18</v>
      </c>
      <c r="R30">
        <v>0.72</v>
      </c>
      <c r="S30">
        <v>69</v>
      </c>
      <c r="T30">
        <f t="shared" si="0"/>
        <v>0</v>
      </c>
      <c r="U30">
        <f t="shared" si="1"/>
        <v>1</v>
      </c>
      <c r="V30">
        <f t="shared" si="2"/>
        <v>0.72</v>
      </c>
      <c r="W30">
        <f>$BS$10</f>
        <v>4.7000000000000002E-3</v>
      </c>
      <c r="X30">
        <f t="shared" si="3"/>
        <v>0</v>
      </c>
      <c r="Y30">
        <f>$BS$4</f>
        <v>0.24</v>
      </c>
      <c r="Z30">
        <f>$BS$6</f>
        <v>1.0999999999999999E-2</v>
      </c>
      <c r="AA30">
        <f>$BS$5</f>
        <v>0.21</v>
      </c>
      <c r="AB30">
        <f t="shared" si="4"/>
        <v>5.8999999999999999E-3</v>
      </c>
      <c r="AC30">
        <f>(M30/100)*(MIN(N30,100)/100)</f>
        <v>0</v>
      </c>
      <c r="AD30">
        <f t="shared" si="5"/>
        <v>0</v>
      </c>
      <c r="AE30">
        <f>J30 * K30 / 365</f>
        <v>1.7808219178082193E-3</v>
      </c>
      <c r="AF30">
        <f>P30 * 0.92</f>
        <v>0</v>
      </c>
      <c r="AG30">
        <v>78</v>
      </c>
      <c r="AH30">
        <f>S30 / AG30</f>
        <v>0.88461538461538458</v>
      </c>
      <c r="AI30">
        <v>0</v>
      </c>
      <c r="AJ30">
        <f t="shared" si="6"/>
        <v>0</v>
      </c>
      <c r="AK30">
        <f t="shared" si="7"/>
        <v>2.3934246575342468E-4</v>
      </c>
      <c r="AL30">
        <f>(AV30 / 6.25 ) - AK30</f>
        <v>4.5103691581787016E-2</v>
      </c>
      <c r="AM30">
        <f>IF($G$11="wet",$BU$18,$BU$19)</f>
        <v>6.0000000000000001E-3</v>
      </c>
      <c r="AN30">
        <f t="shared" si="8"/>
        <v>1.5714285714285714</v>
      </c>
      <c r="AO30">
        <f t="shared" si="9"/>
        <v>1.3</v>
      </c>
      <c r="AP30">
        <f t="shared" si="10"/>
        <v>1</v>
      </c>
      <c r="AQ30">
        <f>(0.795*R30)-0.0014</f>
        <v>0.57100000000000006</v>
      </c>
      <c r="AR30">
        <v>1.7</v>
      </c>
      <c r="AS30">
        <f t="shared" si="11"/>
        <v>0.99691128459176326</v>
      </c>
      <c r="AT30">
        <f>(104.7*AQ30+0.307*S30-15)*(S30^0.75)*10^-3</f>
        <v>1.5792888783210146</v>
      </c>
      <c r="AU30">
        <f t="shared" si="12"/>
        <v>1.5744109044284875</v>
      </c>
      <c r="AV30">
        <f>(AU30 * Q30) + (0.045 * AJ30)</f>
        <v>0.28339396279712775</v>
      </c>
      <c r="AW30">
        <f t="shared" si="13"/>
        <v>0.08</v>
      </c>
      <c r="AX30">
        <f>(AU30 * ((1 - R30) + (0.04 * AU30))) * ( 1 - AW30 )</f>
        <v>0.49678697379296494</v>
      </c>
      <c r="AY30">
        <f t="shared" si="14"/>
        <v>0.24</v>
      </c>
      <c r="AZ30">
        <f t="shared" si="15"/>
        <v>0.6784</v>
      </c>
      <c r="BA30">
        <f t="shared" si="20"/>
        <v>0</v>
      </c>
      <c r="BB30">
        <f t="shared" si="16"/>
        <v>3.8015887924785428E-4</v>
      </c>
      <c r="BC30">
        <f t="shared" si="17"/>
        <v>3.8015887924785428E-4</v>
      </c>
      <c r="BD30">
        <f t="shared" si="18"/>
        <v>2.2548173525388355</v>
      </c>
      <c r="BF30">
        <f>L30*AL30*O30</f>
        <v>267.52127069447425</v>
      </c>
      <c r="BR30" s="14" t="s">
        <v>197</v>
      </c>
      <c r="BS30" s="14" t="s">
        <v>208</v>
      </c>
      <c r="BT30" s="14">
        <v>0.5</v>
      </c>
      <c r="BW30" s="8" t="s">
        <v>166</v>
      </c>
      <c r="BX30" s="8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2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>$BS$3</f>
        <v>91.25</v>
      </c>
      <c r="P31">
        <v>0.08</v>
      </c>
      <c r="Q31">
        <v>0.2</v>
      </c>
      <c r="R31">
        <v>0.75</v>
      </c>
      <c r="S31">
        <v>62</v>
      </c>
      <c r="T31">
        <f t="shared" si="0"/>
        <v>0</v>
      </c>
      <c r="U31">
        <f t="shared" si="1"/>
        <v>1</v>
      </c>
      <c r="V31">
        <f t="shared" si="2"/>
        <v>0.72</v>
      </c>
      <c r="W31">
        <f>$BS$10</f>
        <v>4.7000000000000002E-3</v>
      </c>
      <c r="X31">
        <f t="shared" si="3"/>
        <v>0</v>
      </c>
      <c r="Y31">
        <f>$BS$4</f>
        <v>0.24</v>
      </c>
      <c r="Z31">
        <f>$BS$6</f>
        <v>1.0999999999999999E-2</v>
      </c>
      <c r="AA31">
        <f>$BS$5</f>
        <v>0.21</v>
      </c>
      <c r="AB31">
        <f t="shared" si="4"/>
        <v>5.8999999999999999E-3</v>
      </c>
      <c r="AC31">
        <f>(M31/100)*(MIN(N31,100)/100)</f>
        <v>0</v>
      </c>
      <c r="AD31">
        <f t="shared" si="5"/>
        <v>0</v>
      </c>
      <c r="AE31">
        <f>J31 * K31 / 365</f>
        <v>8.9041095890410966E-4</v>
      </c>
      <c r="AF31">
        <f>P31 * 0.92</f>
        <v>7.3599999999999999E-2</v>
      </c>
      <c r="AG31">
        <v>62</v>
      </c>
      <c r="AH31">
        <f>S31 / AG31</f>
        <v>1</v>
      </c>
      <c r="AI31">
        <v>0</v>
      </c>
      <c r="AJ31">
        <f t="shared" si="6"/>
        <v>0</v>
      </c>
      <c r="AK31">
        <f t="shared" si="7"/>
        <v>1.0116016126962319E-3</v>
      </c>
      <c r="AL31">
        <f>(AV31 / 6.25 ) - AK31</f>
        <v>4.58755829416546E-2</v>
      </c>
      <c r="AM31">
        <f>IF($G$11="wet",$BU$18,$BU$19)</f>
        <v>6.0000000000000001E-3</v>
      </c>
      <c r="AN31">
        <f t="shared" si="8"/>
        <v>1.5714285714285714</v>
      </c>
      <c r="AO31">
        <f t="shared" si="9"/>
        <v>1.3</v>
      </c>
      <c r="AP31">
        <f t="shared" si="10"/>
        <v>1</v>
      </c>
      <c r="AQ31">
        <f>(0.795*R31)-0.0014</f>
        <v>0.5948500000000001</v>
      </c>
      <c r="AR31">
        <v>2.9</v>
      </c>
      <c r="AS31">
        <f t="shared" si="11"/>
        <v>0.9999999504359468</v>
      </c>
      <c r="AT31">
        <f>(104.7*AQ31+0.307*S31-15)*(S31^0.75)*10^-3</f>
        <v>1.4652245899459331</v>
      </c>
      <c r="AU31">
        <f t="shared" si="12"/>
        <v>1.4652245173234635</v>
      </c>
      <c r="AV31">
        <f>(AU31 * Q31) + (0.045 * AJ31)</f>
        <v>0.2930449034646927</v>
      </c>
      <c r="AW31">
        <f t="shared" si="13"/>
        <v>0.08</v>
      </c>
      <c r="AX31">
        <f>(AU31 * ((1 - R31) + (0.04 * AU31))) * ( 1 - AW31 )</f>
        <v>0.41600692919529714</v>
      </c>
      <c r="AY31">
        <f t="shared" si="14"/>
        <v>0.24</v>
      </c>
      <c r="AZ31">
        <f t="shared" si="15"/>
        <v>0.6784</v>
      </c>
      <c r="BA31">
        <f t="shared" si="20"/>
        <v>0</v>
      </c>
      <c r="BB31">
        <f t="shared" si="16"/>
        <v>3.1834314566414905E-4</v>
      </c>
      <c r="BC31">
        <f t="shared" si="17"/>
        <v>3.1834314566414905E-4</v>
      </c>
      <c r="BD31">
        <f t="shared" si="18"/>
        <v>1.4524406020926799</v>
      </c>
      <c r="BF31">
        <f>L31*AL31*O31</f>
        <v>209.30734717129909</v>
      </c>
      <c r="BR31" s="14" t="s">
        <v>198</v>
      </c>
      <c r="BS31" s="14" t="s">
        <v>209</v>
      </c>
      <c r="BT31" s="14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3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>$BS$3</f>
        <v>91.25</v>
      </c>
      <c r="P32">
        <v>-0.08</v>
      </c>
      <c r="Q32">
        <v>0.1</v>
      </c>
      <c r="R32">
        <v>0.61</v>
      </c>
      <c r="S32">
        <v>55</v>
      </c>
      <c r="T32">
        <f t="shared" si="0"/>
        <v>0</v>
      </c>
      <c r="U32">
        <f t="shared" si="1"/>
        <v>1</v>
      </c>
      <c r="V32">
        <f t="shared" si="2"/>
        <v>0.72</v>
      </c>
      <c r="W32">
        <f>$BS$10</f>
        <v>4.7000000000000002E-3</v>
      </c>
      <c r="X32">
        <f t="shared" si="3"/>
        <v>0</v>
      </c>
      <c r="Y32">
        <f>$BS$4</f>
        <v>0.24</v>
      </c>
      <c r="Z32">
        <f>$BS$6</f>
        <v>1.0999999999999999E-2</v>
      </c>
      <c r="AA32">
        <f>$BS$5</f>
        <v>0.21</v>
      </c>
      <c r="AB32">
        <f t="shared" si="4"/>
        <v>5.8999999999999999E-3</v>
      </c>
      <c r="AC32">
        <f>(M32/100)*(MIN(N32,100)/100)</f>
        <v>0</v>
      </c>
      <c r="AD32">
        <f t="shared" si="5"/>
        <v>0</v>
      </c>
      <c r="AE32">
        <f>J32 * K32 / 365</f>
        <v>8.9041095890410966E-4</v>
      </c>
      <c r="AF32">
        <f>P32 * 0.92</f>
        <v>-7.3599999999999999E-2</v>
      </c>
      <c r="AG32">
        <v>62</v>
      </c>
      <c r="AH32">
        <f>S32 / AG32</f>
        <v>0.88709677419354838</v>
      </c>
      <c r="AI32">
        <v>0</v>
      </c>
      <c r="AJ32">
        <f t="shared" si="6"/>
        <v>0</v>
      </c>
      <c r="AK32">
        <f t="shared" si="7"/>
        <v>-8.1676849356428693E-4</v>
      </c>
      <c r="AL32">
        <f>(AV32 / 6.25 ) - AK32</f>
        <v>1.7785704265871654E-2</v>
      </c>
      <c r="AM32">
        <f>IF($G$11="wet",$BU$18,$BU$19)</f>
        <v>6.0000000000000001E-3</v>
      </c>
      <c r="AN32">
        <f t="shared" si="8"/>
        <v>1.5714285714285714</v>
      </c>
      <c r="AO32">
        <f t="shared" si="9"/>
        <v>1.3</v>
      </c>
      <c r="AP32">
        <f t="shared" si="10"/>
        <v>1</v>
      </c>
      <c r="AQ32">
        <f>(0.795*R32)-0.0014</f>
        <v>0.48354999999999998</v>
      </c>
      <c r="AR32">
        <v>2.5</v>
      </c>
      <c r="AS32">
        <f t="shared" si="11"/>
        <v>0.99999627334682795</v>
      </c>
      <c r="AT32">
        <f>(104.7*AQ32+0.307*S32-15)*(S32^0.75)*10^-3</f>
        <v>1.0605624381175847</v>
      </c>
      <c r="AU32">
        <f t="shared" si="12"/>
        <v>1.0605584857692105</v>
      </c>
      <c r="AV32">
        <f>(AU32 * Q32) + (0.045 * AJ32)</f>
        <v>0.10605584857692106</v>
      </c>
      <c r="AW32">
        <f t="shared" si="13"/>
        <v>0.08</v>
      </c>
      <c r="AX32">
        <f>(AU32 * ((1 - R32) + (0.04 * AU32))) * ( 1 - AW32 )</f>
        <v>0.42192044699791736</v>
      </c>
      <c r="AY32">
        <f t="shared" si="14"/>
        <v>0.24</v>
      </c>
      <c r="AZ32">
        <f t="shared" si="15"/>
        <v>0.6784</v>
      </c>
      <c r="BA32">
        <f t="shared" si="20"/>
        <v>0</v>
      </c>
      <c r="BB32">
        <f t="shared" si="16"/>
        <v>3.2286837764254069E-4</v>
      </c>
      <c r="BC32">
        <f t="shared" si="17"/>
        <v>3.2286837764254069E-4</v>
      </c>
      <c r="BD32">
        <f t="shared" si="18"/>
        <v>2.9461739459881837</v>
      </c>
      <c r="BF32">
        <f>L32*AL32*O32</f>
        <v>162.29455142607884</v>
      </c>
      <c r="BR32" s="14" t="s">
        <v>199</v>
      </c>
      <c r="BS32" s="14" t="s">
        <v>210</v>
      </c>
      <c r="BT32" s="14">
        <v>0.41</v>
      </c>
    </row>
    <row r="33" spans="8:93" x14ac:dyDescent="0.2">
      <c r="H33" s="12"/>
      <c r="I33" t="s">
        <v>165</v>
      </c>
      <c r="J33">
        <f t="shared" ref="J33:K34" si="25">J32</f>
        <v>0.5</v>
      </c>
      <c r="K33">
        <f t="shared" si="25"/>
        <v>0.65</v>
      </c>
      <c r="L33">
        <v>90</v>
      </c>
      <c r="M33">
        <v>0</v>
      </c>
      <c r="N33">
        <v>0</v>
      </c>
      <c r="O33">
        <f>$BS$3</f>
        <v>91.25</v>
      </c>
      <c r="P33">
        <v>0</v>
      </c>
      <c r="Q33">
        <v>0.12</v>
      </c>
      <c r="R33">
        <v>0.64</v>
      </c>
      <c r="S33">
        <v>55</v>
      </c>
      <c r="T33">
        <f t="shared" si="0"/>
        <v>0</v>
      </c>
      <c r="U33">
        <f t="shared" si="1"/>
        <v>1</v>
      </c>
      <c r="V33">
        <f t="shared" si="2"/>
        <v>0.72</v>
      </c>
      <c r="W33">
        <f>$BS$10</f>
        <v>4.7000000000000002E-3</v>
      </c>
      <c r="X33">
        <f t="shared" si="3"/>
        <v>0</v>
      </c>
      <c r="Y33">
        <f>$BS$4</f>
        <v>0.24</v>
      </c>
      <c r="Z33">
        <f>$BS$6</f>
        <v>1.0999999999999999E-2</v>
      </c>
      <c r="AA33">
        <f>$BS$5</f>
        <v>0.21</v>
      </c>
      <c r="AB33">
        <f t="shared" si="4"/>
        <v>5.8999999999999999E-3</v>
      </c>
      <c r="AC33">
        <f>(M33/100)*(MIN(N33,100)/100)</f>
        <v>0</v>
      </c>
      <c r="AD33">
        <f t="shared" si="5"/>
        <v>0</v>
      </c>
      <c r="AE33">
        <f>J33 * K33 / 365</f>
        <v>8.9041095890410966E-4</v>
      </c>
      <c r="AF33">
        <f>P33 * 0.92</f>
        <v>0</v>
      </c>
      <c r="AG33">
        <v>62</v>
      </c>
      <c r="AH33">
        <f>S33 / AG33</f>
        <v>0.88709677419354838</v>
      </c>
      <c r="AI33">
        <v>0</v>
      </c>
      <c r="AJ33">
        <f t="shared" si="6"/>
        <v>0</v>
      </c>
      <c r="AK33">
        <f t="shared" si="7"/>
        <v>1.1967123287671234E-4</v>
      </c>
      <c r="AL33">
        <f>(AV33 / 6.25 ) - AK33</f>
        <v>2.1083948851597697E-2</v>
      </c>
      <c r="AM33">
        <f>IF($G$11="wet",$BU$18,$BU$19)</f>
        <v>6.0000000000000001E-3</v>
      </c>
      <c r="AN33">
        <f t="shared" si="8"/>
        <v>1.5714285714285714</v>
      </c>
      <c r="AO33">
        <f t="shared" si="9"/>
        <v>1.3</v>
      </c>
      <c r="AP33">
        <f t="shared" si="10"/>
        <v>1</v>
      </c>
      <c r="AQ33">
        <f>(0.795*R33)-0.0014</f>
        <v>0.50740000000000007</v>
      </c>
      <c r="AR33">
        <v>1.6</v>
      </c>
      <c r="AS33">
        <f t="shared" si="11"/>
        <v>0.99402397710499402</v>
      </c>
      <c r="AT33">
        <f>(104.7*AQ33+0.307*S33-15)*(S33^0.75)*10^-3</f>
        <v>1.1109945415495692</v>
      </c>
      <c r="AU33">
        <f t="shared" si="12"/>
        <v>1.1043552127330423</v>
      </c>
      <c r="AV33">
        <f>(AU33 * Q33) + (0.045 * AJ33)</f>
        <v>0.13252262552796507</v>
      </c>
      <c r="AW33">
        <f t="shared" si="13"/>
        <v>0.08</v>
      </c>
      <c r="AX33">
        <f>(AU33 * ((1 - R33) + (0.04 * AU33))) * ( 1 - AW33 )</f>
        <v>0.41064374249795926</v>
      </c>
      <c r="AY33">
        <f t="shared" si="14"/>
        <v>0.24</v>
      </c>
      <c r="AZ33">
        <f t="shared" si="15"/>
        <v>0.6784</v>
      </c>
      <c r="BA33">
        <f t="shared" si="20"/>
        <v>0</v>
      </c>
      <c r="BB33">
        <f t="shared" si="16"/>
        <v>3.1423904641917434E-4</v>
      </c>
      <c r="BC33">
        <f t="shared" si="17"/>
        <v>3.1423904641917434E-4</v>
      </c>
      <c r="BD33">
        <f t="shared" si="18"/>
        <v>2.5806881687174696</v>
      </c>
      <c r="BF33">
        <f>L33*AL33*O33</f>
        <v>173.1519299437461</v>
      </c>
    </row>
    <row r="34" spans="8:93" x14ac:dyDescent="0.2">
      <c r="H34" s="13"/>
      <c r="I34" t="s">
        <v>166</v>
      </c>
      <c r="J34">
        <f t="shared" si="25"/>
        <v>0.5</v>
      </c>
      <c r="K34">
        <f t="shared" si="25"/>
        <v>0.65</v>
      </c>
      <c r="L34">
        <v>80</v>
      </c>
      <c r="M34">
        <v>0</v>
      </c>
      <c r="N34">
        <v>0</v>
      </c>
      <c r="O34">
        <f>$BS$3</f>
        <v>91.25</v>
      </c>
      <c r="P34">
        <v>0</v>
      </c>
      <c r="Q34">
        <v>0.18</v>
      </c>
      <c r="R34">
        <v>0.72</v>
      </c>
      <c r="S34">
        <v>55</v>
      </c>
      <c r="T34">
        <f t="shared" si="0"/>
        <v>0</v>
      </c>
      <c r="U34">
        <f t="shared" si="1"/>
        <v>1</v>
      </c>
      <c r="V34">
        <f t="shared" si="2"/>
        <v>0.72</v>
      </c>
      <c r="W34">
        <f>$BS$10</f>
        <v>4.7000000000000002E-3</v>
      </c>
      <c r="X34">
        <f t="shared" si="3"/>
        <v>0</v>
      </c>
      <c r="Y34">
        <f>$BS$4</f>
        <v>0.24</v>
      </c>
      <c r="Z34">
        <f>$BS$6</f>
        <v>1.0999999999999999E-2</v>
      </c>
      <c r="AA34">
        <f>$BS$5</f>
        <v>0.21</v>
      </c>
      <c r="AB34">
        <f t="shared" si="4"/>
        <v>5.8999999999999999E-3</v>
      </c>
      <c r="AC34">
        <f>(M34/100)*(MIN(N34,100)/100)</f>
        <v>0</v>
      </c>
      <c r="AD34">
        <f t="shared" si="5"/>
        <v>0</v>
      </c>
      <c r="AE34">
        <f>J34 * K34 / 365</f>
        <v>8.9041095890410966E-4</v>
      </c>
      <c r="AF34">
        <f>P34 * 0.92</f>
        <v>0</v>
      </c>
      <c r="AG34">
        <v>62</v>
      </c>
      <c r="AH34">
        <f>S34 / AG34</f>
        <v>0.88709677419354838</v>
      </c>
      <c r="AI34">
        <v>0</v>
      </c>
      <c r="AJ34">
        <f t="shared" si="6"/>
        <v>0</v>
      </c>
      <c r="AK34">
        <f t="shared" si="7"/>
        <v>1.1967123287671234E-4</v>
      </c>
      <c r="AL34">
        <f>(AV34 / 6.25 ) - AK34</f>
        <v>3.5639365415842103E-2</v>
      </c>
      <c r="AM34">
        <f>IF($G$11="wet",$BU$18,$BU$19)</f>
        <v>6.0000000000000001E-3</v>
      </c>
      <c r="AN34">
        <f t="shared" si="8"/>
        <v>1.5714285714285714</v>
      </c>
      <c r="AO34">
        <f t="shared" si="9"/>
        <v>1.3</v>
      </c>
      <c r="AP34">
        <f t="shared" si="10"/>
        <v>1</v>
      </c>
      <c r="AQ34">
        <f>(0.795*R34)-0.0014</f>
        <v>0.57100000000000006</v>
      </c>
      <c r="AR34">
        <v>1.7</v>
      </c>
      <c r="AS34">
        <f t="shared" si="11"/>
        <v>0.99691128459176326</v>
      </c>
      <c r="AT34">
        <f>(104.7*AQ34+0.307*S34-15)*(S34^0.75)*10^-3</f>
        <v>1.2454801507015281</v>
      </c>
      <c r="AU34">
        <f t="shared" si="12"/>
        <v>1.2416332169694033</v>
      </c>
      <c r="AV34">
        <f>(AU34 * Q34) + (0.045 * AJ34)</f>
        <v>0.22349397905449259</v>
      </c>
      <c r="AW34">
        <f t="shared" si="13"/>
        <v>0.08</v>
      </c>
      <c r="AX34">
        <f>(AU34 * ((1 - R34) + (0.04 * AU34))) * ( 1 - AW34 )</f>
        <v>0.37657754876504823</v>
      </c>
      <c r="AY34">
        <f t="shared" si="14"/>
        <v>0.24</v>
      </c>
      <c r="AZ34">
        <f t="shared" si="15"/>
        <v>0.6784</v>
      </c>
      <c r="BA34">
        <f t="shared" si="20"/>
        <v>0</v>
      </c>
      <c r="BB34">
        <f t="shared" si="16"/>
        <v>2.8817039584473142E-4</v>
      </c>
      <c r="BC34">
        <f t="shared" si="17"/>
        <v>2.8817039584473142E-4</v>
      </c>
      <c r="BD34">
        <f t="shared" si="18"/>
        <v>2.1036438896665395</v>
      </c>
      <c r="BF34">
        <f>L34*AL34*O34</f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4" t="s">
        <v>224</v>
      </c>
      <c r="BS37" s="14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9" t="s">
        <v>181</v>
      </c>
      <c r="CI37" s="10" t="s">
        <v>182</v>
      </c>
      <c r="CJ37" s="10" t="s">
        <v>183</v>
      </c>
      <c r="CK37" s="10" t="s">
        <v>184</v>
      </c>
      <c r="CL37" s="10" t="s">
        <v>185</v>
      </c>
      <c r="CM37" s="10" t="s">
        <v>186</v>
      </c>
      <c r="CN37" s="10" t="s">
        <v>187</v>
      </c>
      <c r="CO37" s="11" t="s">
        <v>188</v>
      </c>
    </row>
    <row r="38" spans="8:93" ht="17" thickTop="1" x14ac:dyDescent="0.2">
      <c r="BR38" s="14" t="s">
        <v>225</v>
      </c>
      <c r="BS38" s="14">
        <v>7.0000000000000001E-3</v>
      </c>
      <c r="BW38" s="8" t="s">
        <v>163</v>
      </c>
      <c r="BX38" s="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4" t="s">
        <v>226</v>
      </c>
      <c r="BS39" s="14">
        <v>1.8E-3</v>
      </c>
      <c r="BW39" s="8" t="s">
        <v>164</v>
      </c>
      <c r="BX39" s="8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4" t="s">
        <v>227</v>
      </c>
      <c r="BS40" s="14">
        <v>2.8999999999999998E-3</v>
      </c>
      <c r="BW40" s="8" t="s">
        <v>165</v>
      </c>
      <c r="BX40" s="8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4" t="s">
        <v>228</v>
      </c>
      <c r="BS41" s="14">
        <v>8.0000000000000002E-3</v>
      </c>
      <c r="BW41" s="8" t="s">
        <v>166</v>
      </c>
      <c r="BX41" s="8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4" t="s">
        <v>229</v>
      </c>
      <c r="BS42" s="14">
        <v>1.9900000000000001E-2</v>
      </c>
      <c r="BW42" s="8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4" t="s">
        <v>230</v>
      </c>
      <c r="BS43" s="14">
        <v>5.3E-3</v>
      </c>
      <c r="BW43" s="8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4" t="s">
        <v>231</v>
      </c>
      <c r="BS44" s="14">
        <v>6.4000000000000003E-3</v>
      </c>
      <c r="BW44" s="8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4" t="s">
        <v>222</v>
      </c>
      <c r="BS45" s="14">
        <v>2.5999999999999999E-3</v>
      </c>
      <c r="BW45" s="8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4" t="s">
        <v>232</v>
      </c>
      <c r="BS46" s="14">
        <v>3.0000000000000001E-3</v>
      </c>
      <c r="BW46" s="8" t="s">
        <v>163</v>
      </c>
      <c r="BX46" s="8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4" t="s">
        <v>233</v>
      </c>
      <c r="BS47" s="14">
        <v>5.0000000000000001E-3</v>
      </c>
      <c r="BW47" s="8" t="s">
        <v>164</v>
      </c>
      <c r="BX47" s="8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4" t="s">
        <v>223</v>
      </c>
      <c r="BS48" s="14">
        <v>2.5999999999999999E-3</v>
      </c>
      <c r="BW48" s="8" t="s">
        <v>165</v>
      </c>
      <c r="BX48" s="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4" t="s">
        <v>234</v>
      </c>
      <c r="BS49" s="14">
        <v>1.8E-3</v>
      </c>
      <c r="BW49" s="8" t="s">
        <v>166</v>
      </c>
      <c r="BX49" s="8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s="8" t="s">
        <v>163</v>
      </c>
      <c r="BX50" s="8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s="8" t="s">
        <v>164</v>
      </c>
      <c r="BX51" s="8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s="8" t="s">
        <v>165</v>
      </c>
      <c r="BX52" s="8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s="8" t="s">
        <v>166</v>
      </c>
      <c r="BX53" s="8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s="8" t="s">
        <v>163</v>
      </c>
      <c r="BX54" s="8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s="8" t="s">
        <v>164</v>
      </c>
      <c r="BX55" s="8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s="8" t="s">
        <v>165</v>
      </c>
      <c r="BX56" s="8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s="8" t="s">
        <v>166</v>
      </c>
      <c r="BX57" s="8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s="8" t="s">
        <v>163</v>
      </c>
      <c r="BX58" s="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s="8" t="s">
        <v>164</v>
      </c>
      <c r="BX59" s="8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s="8" t="s">
        <v>165</v>
      </c>
      <c r="BX60" s="8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s="8" t="s">
        <v>166</v>
      </c>
      <c r="BX61" s="8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2:93" ht="17" thickBot="1" x14ac:dyDescent="0.25">
      <c r="BW66" t="s">
        <v>191</v>
      </c>
      <c r="BX66" t="s">
        <v>128</v>
      </c>
      <c r="CH66" s="9" t="s">
        <v>181</v>
      </c>
      <c r="CI66" s="10" t="s">
        <v>182</v>
      </c>
      <c r="CJ66" s="10" t="s">
        <v>183</v>
      </c>
      <c r="CK66" s="10" t="s">
        <v>184</v>
      </c>
      <c r="CL66" s="10" t="s">
        <v>185</v>
      </c>
      <c r="CM66" s="10" t="s">
        <v>186</v>
      </c>
      <c r="CN66" s="10" t="s">
        <v>187</v>
      </c>
      <c r="CO66" s="11" t="s">
        <v>188</v>
      </c>
    </row>
    <row r="67" spans="62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2:93" x14ac:dyDescent="0.2">
      <c r="BJ68" s="8"/>
      <c r="BK68" s="8"/>
      <c r="BW68" s="8" t="s">
        <v>163</v>
      </c>
      <c r="BX68" s="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4" t="s">
        <v>163</v>
      </c>
      <c r="CJ68" s="14">
        <v>0.75</v>
      </c>
      <c r="CK68" s="14">
        <v>0.75</v>
      </c>
      <c r="CL68" s="14">
        <v>0.75</v>
      </c>
      <c r="CM68" s="14">
        <v>0.75</v>
      </c>
      <c r="CN68" s="14">
        <v>0.75</v>
      </c>
      <c r="CO68" s="14">
        <v>0.75</v>
      </c>
    </row>
    <row r="69" spans="62:93" x14ac:dyDescent="0.2">
      <c r="BJ69" s="8"/>
      <c r="BK69" s="8"/>
      <c r="BW69" s="8" t="s">
        <v>164</v>
      </c>
      <c r="BX69" s="8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4" t="s">
        <v>164</v>
      </c>
      <c r="CJ69" s="14">
        <v>0.61</v>
      </c>
      <c r="CK69" s="14">
        <v>0.61</v>
      </c>
      <c r="CL69" s="14">
        <v>0.61</v>
      </c>
      <c r="CM69" s="14">
        <v>0.61</v>
      </c>
      <c r="CN69" s="14">
        <v>0.61</v>
      </c>
      <c r="CO69">
        <v>0.61</v>
      </c>
    </row>
    <row r="70" spans="62:93" x14ac:dyDescent="0.2">
      <c r="BJ70" s="8"/>
      <c r="BK70" s="8"/>
      <c r="BW70" s="8" t="s">
        <v>165</v>
      </c>
      <c r="BX70" s="8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4" t="s">
        <v>165</v>
      </c>
      <c r="CJ70" s="14">
        <v>0.64</v>
      </c>
      <c r="CK70" s="14">
        <v>0.64</v>
      </c>
      <c r="CL70" s="14">
        <v>0.64</v>
      </c>
      <c r="CM70" s="14">
        <v>0.64</v>
      </c>
      <c r="CN70" s="14">
        <v>0.64</v>
      </c>
      <c r="CO70">
        <v>0.64</v>
      </c>
    </row>
    <row r="71" spans="62:93" ht="17" thickBot="1" x14ac:dyDescent="0.25">
      <c r="BJ71" s="8"/>
      <c r="BK71" s="8"/>
      <c r="BW71" s="8" t="s">
        <v>166</v>
      </c>
      <c r="BX71" s="8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4" t="s">
        <v>166</v>
      </c>
      <c r="CJ71" s="14">
        <v>0.72</v>
      </c>
      <c r="CK71" s="14">
        <v>0.72</v>
      </c>
      <c r="CL71" s="14">
        <v>0.72</v>
      </c>
      <c r="CM71" s="14">
        <v>0.72</v>
      </c>
      <c r="CN71" s="14">
        <v>0.72</v>
      </c>
      <c r="CO71">
        <v>0.72</v>
      </c>
    </row>
    <row r="72" spans="62:93" ht="18" thickTop="1" thickBot="1" x14ac:dyDescent="0.25">
      <c r="BJ72" s="8"/>
      <c r="BK72" s="6"/>
      <c r="BW72" s="8" t="s">
        <v>163</v>
      </c>
      <c r="BX72" s="8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4" t="s">
        <v>163</v>
      </c>
      <c r="CJ72" s="14">
        <v>0.51</v>
      </c>
      <c r="CK72" s="14">
        <v>0.51</v>
      </c>
      <c r="CL72" s="14">
        <v>0.51</v>
      </c>
      <c r="CM72" s="14">
        <v>0.51</v>
      </c>
      <c r="CN72" s="14">
        <v>0.51</v>
      </c>
      <c r="CO72" s="14">
        <v>0.51</v>
      </c>
    </row>
    <row r="73" spans="62:93" ht="18" thickTop="1" thickBot="1" x14ac:dyDescent="0.25">
      <c r="BJ73" s="8"/>
      <c r="BK73" s="6"/>
      <c r="BW73" s="8" t="s">
        <v>164</v>
      </c>
      <c r="BX73" s="8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4" t="s">
        <v>164</v>
      </c>
      <c r="CJ73" s="14">
        <v>0.55000000000000004</v>
      </c>
      <c r="CK73" s="14">
        <v>0.55000000000000004</v>
      </c>
      <c r="CL73" s="14">
        <v>0.55000000000000004</v>
      </c>
      <c r="CM73" s="14">
        <v>0.55000000000000004</v>
      </c>
      <c r="CN73" s="14">
        <v>0.55000000000000004</v>
      </c>
      <c r="CO73">
        <v>0.55000000000000004</v>
      </c>
    </row>
    <row r="74" spans="62:93" ht="18" thickTop="1" thickBot="1" x14ac:dyDescent="0.25">
      <c r="BJ74" s="8"/>
      <c r="BK74" s="6"/>
      <c r="BW74" s="8" t="s">
        <v>165</v>
      </c>
      <c r="BX74" s="8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4" t="s">
        <v>165</v>
      </c>
      <c r="CJ74" s="14">
        <v>0.59</v>
      </c>
      <c r="CK74" s="14">
        <v>0.59</v>
      </c>
      <c r="CL74" s="14">
        <v>0.59</v>
      </c>
      <c r="CM74" s="14">
        <v>0.59</v>
      </c>
      <c r="CN74" s="14">
        <v>0.59</v>
      </c>
      <c r="CO74">
        <v>0.59</v>
      </c>
    </row>
    <row r="75" spans="62:93" ht="17" thickTop="1" x14ac:dyDescent="0.2">
      <c r="BJ75" s="8"/>
      <c r="BK75" s="6"/>
      <c r="BW75" s="8" t="s">
        <v>166</v>
      </c>
      <c r="BX75" s="8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4" t="s">
        <v>166</v>
      </c>
      <c r="CJ75" s="14">
        <v>0.57999999999999996</v>
      </c>
      <c r="CK75" s="14">
        <v>0.57999999999999996</v>
      </c>
      <c r="CL75" s="14">
        <v>0.57999999999999996</v>
      </c>
      <c r="CM75" s="14">
        <v>0.57999999999999996</v>
      </c>
      <c r="CN75" s="14">
        <v>0.57999999999999996</v>
      </c>
      <c r="CO75">
        <v>0.57999999999999996</v>
      </c>
    </row>
    <row r="76" spans="62:93" x14ac:dyDescent="0.2">
      <c r="BJ76" s="8"/>
      <c r="BK76" s="8"/>
      <c r="BW76" s="8" t="s">
        <v>163</v>
      </c>
      <c r="BX76" s="8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4" t="s">
        <v>163</v>
      </c>
      <c r="CJ76" s="14">
        <v>0.7</v>
      </c>
      <c r="CK76" s="14">
        <v>0.7</v>
      </c>
      <c r="CL76" s="14">
        <v>0.7</v>
      </c>
      <c r="CM76" s="14">
        <v>0.7</v>
      </c>
      <c r="CN76" s="14">
        <v>0.7</v>
      </c>
      <c r="CO76" s="14">
        <v>0.7</v>
      </c>
    </row>
    <row r="77" spans="62:93" x14ac:dyDescent="0.2">
      <c r="BJ77" s="8"/>
      <c r="BK77" s="8"/>
      <c r="BW77" s="8" t="s">
        <v>164</v>
      </c>
      <c r="BX77" s="8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4" t="s">
        <v>164</v>
      </c>
      <c r="CJ77" s="14">
        <v>0.55000000000000004</v>
      </c>
      <c r="CK77" s="14">
        <v>0.55000000000000004</v>
      </c>
      <c r="CL77" s="14">
        <v>0.55000000000000004</v>
      </c>
      <c r="CM77" s="14">
        <v>0.55000000000000004</v>
      </c>
      <c r="CN77" s="14">
        <v>0.55000000000000004</v>
      </c>
      <c r="CO77">
        <v>0.55000000000000004</v>
      </c>
    </row>
    <row r="78" spans="62:93" x14ac:dyDescent="0.2">
      <c r="BJ78" s="8"/>
      <c r="BK78" s="8"/>
      <c r="BW78" s="8" t="s">
        <v>165</v>
      </c>
      <c r="BX78" s="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4" t="s">
        <v>165</v>
      </c>
      <c r="CJ78" s="14">
        <v>0.55000000000000004</v>
      </c>
      <c r="CK78" s="14">
        <v>0.55000000000000004</v>
      </c>
      <c r="CL78" s="14">
        <v>0.55000000000000004</v>
      </c>
      <c r="CM78" s="14">
        <v>0.55000000000000004</v>
      </c>
      <c r="CN78" s="14">
        <v>0.55000000000000004</v>
      </c>
      <c r="CO78">
        <v>0.55000000000000004</v>
      </c>
    </row>
    <row r="79" spans="62:93" x14ac:dyDescent="0.2">
      <c r="BJ79" s="8"/>
      <c r="BK79" s="8"/>
      <c r="BW79" s="8" t="s">
        <v>166</v>
      </c>
      <c r="BX79" s="8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4" t="s">
        <v>166</v>
      </c>
      <c r="CJ79" s="14">
        <v>0.75</v>
      </c>
      <c r="CK79" s="14">
        <v>0.75</v>
      </c>
      <c r="CL79" s="14">
        <v>0.75</v>
      </c>
      <c r="CM79" s="14">
        <v>0.75</v>
      </c>
      <c r="CN79" s="14">
        <v>0.75</v>
      </c>
      <c r="CO79">
        <v>0.75</v>
      </c>
    </row>
    <row r="80" spans="62:93" x14ac:dyDescent="0.2">
      <c r="BJ80" s="8"/>
      <c r="BK80" s="8"/>
      <c r="BW80" s="8" t="s">
        <v>163</v>
      </c>
      <c r="BX80" s="8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4" t="s">
        <v>163</v>
      </c>
      <c r="CJ80" s="14">
        <v>0.75</v>
      </c>
      <c r="CK80" s="14">
        <v>0.75</v>
      </c>
      <c r="CL80" s="14">
        <v>0.75</v>
      </c>
      <c r="CM80" s="14">
        <v>0.75</v>
      </c>
      <c r="CN80" s="14">
        <v>0.75</v>
      </c>
      <c r="CO80" s="14">
        <v>0.75</v>
      </c>
    </row>
    <row r="81" spans="62:93" x14ac:dyDescent="0.2">
      <c r="BJ81" s="8"/>
      <c r="BK81" s="8"/>
      <c r="BW81" s="8" t="s">
        <v>164</v>
      </c>
      <c r="BX81" s="8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4" t="s">
        <v>164</v>
      </c>
      <c r="CJ81" s="14">
        <v>0.55000000000000004</v>
      </c>
      <c r="CK81" s="14">
        <v>0.55000000000000004</v>
      </c>
      <c r="CL81" s="14">
        <v>0.55000000000000004</v>
      </c>
      <c r="CM81" s="14">
        <v>0.55000000000000004</v>
      </c>
      <c r="CN81" s="14">
        <v>0.55000000000000004</v>
      </c>
      <c r="CO81">
        <v>0.55000000000000004</v>
      </c>
    </row>
    <row r="82" spans="62:93" x14ac:dyDescent="0.2">
      <c r="BJ82" s="8"/>
      <c r="BK82" s="8"/>
      <c r="BW82" s="8" t="s">
        <v>165</v>
      </c>
      <c r="BX82" s="8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4" t="s">
        <v>165</v>
      </c>
      <c r="CJ82" s="14">
        <v>0.67</v>
      </c>
      <c r="CK82" s="14">
        <v>0.67</v>
      </c>
      <c r="CL82" s="14">
        <v>0.67</v>
      </c>
      <c r="CM82" s="14">
        <v>0.67</v>
      </c>
      <c r="CN82" s="14">
        <v>0.67</v>
      </c>
      <c r="CO82">
        <v>0.67</v>
      </c>
    </row>
    <row r="83" spans="62:93" x14ac:dyDescent="0.2">
      <c r="BJ83" s="8"/>
      <c r="BK83" s="8"/>
      <c r="BW83" s="8" t="s">
        <v>166</v>
      </c>
      <c r="BX83" s="8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4" t="s">
        <v>166</v>
      </c>
      <c r="CJ83" s="14">
        <v>0.7</v>
      </c>
      <c r="CK83" s="14">
        <v>0.7</v>
      </c>
      <c r="CL83" s="14">
        <v>0.7</v>
      </c>
      <c r="CM83" s="14">
        <v>0.7</v>
      </c>
      <c r="CN83" s="14">
        <v>0.7</v>
      </c>
      <c r="CO83">
        <v>0.7</v>
      </c>
    </row>
    <row r="84" spans="62:93" x14ac:dyDescent="0.2">
      <c r="BJ84" s="8"/>
      <c r="BK84" s="8"/>
      <c r="BW84" s="8" t="s">
        <v>163</v>
      </c>
      <c r="BX84" s="8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4" t="s">
        <v>163</v>
      </c>
      <c r="CJ84" s="14">
        <v>0.7</v>
      </c>
      <c r="CK84" s="14">
        <v>0.7</v>
      </c>
      <c r="CL84" s="14">
        <v>0.7</v>
      </c>
      <c r="CM84" s="14">
        <v>0.7</v>
      </c>
      <c r="CN84" s="14">
        <v>0.7</v>
      </c>
      <c r="CO84" s="14">
        <v>0.7</v>
      </c>
    </row>
    <row r="85" spans="62:93" x14ac:dyDescent="0.2">
      <c r="BJ85" s="8"/>
      <c r="BK85" s="8"/>
      <c r="BW85" s="8" t="s">
        <v>164</v>
      </c>
      <c r="BX85" s="8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4" t="s">
        <v>164</v>
      </c>
      <c r="CJ85" s="14">
        <v>0.55000000000000004</v>
      </c>
      <c r="CK85" s="14">
        <v>0.55000000000000004</v>
      </c>
      <c r="CL85" s="14">
        <v>0.55000000000000004</v>
      </c>
      <c r="CM85" s="14">
        <v>0.55000000000000004</v>
      </c>
      <c r="CN85" s="14">
        <v>0.55000000000000004</v>
      </c>
      <c r="CO85">
        <v>0.55000000000000004</v>
      </c>
    </row>
    <row r="86" spans="62:93" x14ac:dyDescent="0.2">
      <c r="BJ86" s="8"/>
      <c r="BK86" s="8"/>
      <c r="BW86" s="8" t="s">
        <v>165</v>
      </c>
      <c r="BX86" s="8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4" t="s">
        <v>165</v>
      </c>
      <c r="CJ86" s="14">
        <v>0.65</v>
      </c>
      <c r="CK86" s="14">
        <v>0.65</v>
      </c>
      <c r="CL86" s="14">
        <v>0.65</v>
      </c>
      <c r="CM86" s="14">
        <v>0.65</v>
      </c>
      <c r="CN86" s="14">
        <v>0.65</v>
      </c>
      <c r="CO86">
        <v>0.65</v>
      </c>
    </row>
    <row r="87" spans="62:93" x14ac:dyDescent="0.2">
      <c r="BJ87" s="8"/>
      <c r="BK87" s="8"/>
      <c r="BW87" s="8" t="s">
        <v>166</v>
      </c>
      <c r="BX87" s="8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4" t="s">
        <v>166</v>
      </c>
      <c r="CJ87" s="14">
        <v>0.6</v>
      </c>
      <c r="CK87" s="14">
        <v>0.6</v>
      </c>
      <c r="CL87" s="14">
        <v>0.6</v>
      </c>
      <c r="CM87" s="14">
        <v>0.6</v>
      </c>
      <c r="CN87" s="14">
        <v>0.6</v>
      </c>
      <c r="CO87">
        <v>0.6</v>
      </c>
    </row>
    <row r="88" spans="62:93" x14ac:dyDescent="0.2">
      <c r="BJ88" s="8"/>
      <c r="BK88" s="8"/>
      <c r="BW88" s="8" t="s">
        <v>163</v>
      </c>
      <c r="BX88" s="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4" t="s">
        <v>163</v>
      </c>
      <c r="CJ88" s="14">
        <v>0.73</v>
      </c>
      <c r="CK88" s="14">
        <v>0.73</v>
      </c>
      <c r="CL88" s="14">
        <v>0.73</v>
      </c>
      <c r="CM88" s="14">
        <v>0.73</v>
      </c>
      <c r="CN88" s="14">
        <v>0.73</v>
      </c>
      <c r="CO88" s="14">
        <v>0.73</v>
      </c>
    </row>
    <row r="89" spans="62:93" x14ac:dyDescent="0.2">
      <c r="BJ89" s="8"/>
      <c r="BK89" s="8"/>
      <c r="BW89" s="8" t="s">
        <v>164</v>
      </c>
      <c r="BX89" s="8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4" t="s">
        <v>164</v>
      </c>
      <c r="CJ89" s="14">
        <v>0.55000000000000004</v>
      </c>
      <c r="CK89" s="14">
        <v>0.55000000000000004</v>
      </c>
      <c r="CL89" s="14">
        <v>0.55000000000000004</v>
      </c>
      <c r="CM89" s="14">
        <v>0.55000000000000004</v>
      </c>
      <c r="CN89" s="14">
        <v>0.55000000000000004</v>
      </c>
      <c r="CO89">
        <v>0.55000000000000004</v>
      </c>
    </row>
    <row r="90" spans="62:93" x14ac:dyDescent="0.2">
      <c r="BJ90" s="8"/>
      <c r="BK90" s="8"/>
      <c r="BW90" s="8" t="s">
        <v>165</v>
      </c>
      <c r="BX90" s="8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4" t="s">
        <v>165</v>
      </c>
      <c r="CJ90" s="14">
        <v>0.5</v>
      </c>
      <c r="CK90" s="14">
        <v>0.5</v>
      </c>
      <c r="CL90" s="14">
        <v>0.7</v>
      </c>
      <c r="CM90" s="14">
        <v>0.7</v>
      </c>
      <c r="CN90" s="14">
        <v>0.5</v>
      </c>
      <c r="CO90">
        <v>0.7</v>
      </c>
    </row>
    <row r="91" spans="62:93" x14ac:dyDescent="0.2">
      <c r="BJ91" s="8"/>
      <c r="BK91" s="8"/>
      <c r="BW91" s="8" t="s">
        <v>166</v>
      </c>
      <c r="BX91" s="8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4" t="s">
        <v>166</v>
      </c>
      <c r="CJ91" s="14">
        <v>0.76</v>
      </c>
      <c r="CK91" s="14">
        <v>0.76</v>
      </c>
      <c r="CL91" s="14">
        <v>0.76</v>
      </c>
      <c r="CM91" s="14">
        <v>0.76</v>
      </c>
      <c r="CN91" s="14">
        <v>0.76</v>
      </c>
      <c r="CO91">
        <v>0.76</v>
      </c>
    </row>
    <row r="94" spans="62:93" x14ac:dyDescent="0.2">
      <c r="BW94" t="s">
        <v>192</v>
      </c>
      <c r="BX94" t="s">
        <v>129</v>
      </c>
    </row>
    <row r="95" spans="62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9" t="s">
        <v>181</v>
      </c>
      <c r="CI95" s="10" t="s">
        <v>182</v>
      </c>
      <c r="CJ95" s="10" t="s">
        <v>183</v>
      </c>
      <c r="CK95" s="10" t="s">
        <v>184</v>
      </c>
      <c r="CL95" s="10" t="s">
        <v>185</v>
      </c>
      <c r="CM95" s="10" t="s">
        <v>186</v>
      </c>
      <c r="CN95" s="10" t="s">
        <v>187</v>
      </c>
      <c r="CO95" s="11" t="s">
        <v>188</v>
      </c>
    </row>
    <row r="96" spans="62:93" ht="17" thickTop="1" x14ac:dyDescent="0.2">
      <c r="BW96" s="8" t="s">
        <v>163</v>
      </c>
      <c r="BX96" s="8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s="8" t="s">
        <v>164</v>
      </c>
      <c r="BX97" s="8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s="8" t="s">
        <v>165</v>
      </c>
      <c r="BX98" s="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s="8" t="s">
        <v>166</v>
      </c>
      <c r="BX99" s="8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s="8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s="8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s="8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s="8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s="8" t="s">
        <v>163</v>
      </c>
      <c r="BX104" s="8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s="8" t="s">
        <v>164</v>
      </c>
      <c r="BX105" s="8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s="8" t="s">
        <v>165</v>
      </c>
      <c r="BX106" s="8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s="8" t="s">
        <v>166</v>
      </c>
      <c r="BX107" s="8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s="8" t="s">
        <v>163</v>
      </c>
      <c r="BX108" s="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s="8" t="s">
        <v>164</v>
      </c>
      <c r="BX109" s="8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s="8" t="s">
        <v>165</v>
      </c>
      <c r="BX110" s="8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s="8" t="s">
        <v>166</v>
      </c>
      <c r="BX111" s="8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s="8" t="s">
        <v>163</v>
      </c>
      <c r="BX112" s="8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s="8" t="s">
        <v>164</v>
      </c>
      <c r="BX113" s="8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s="8" t="s">
        <v>165</v>
      </c>
      <c r="BX114" s="8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s="8" t="s">
        <v>166</v>
      </c>
      <c r="BX115" s="8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s="8" t="s">
        <v>163</v>
      </c>
      <c r="BX116" s="8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s="8" t="s">
        <v>164</v>
      </c>
      <c r="BX117" s="8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s="8" t="s">
        <v>165</v>
      </c>
      <c r="BX118" s="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s="8" t="s">
        <v>166</v>
      </c>
      <c r="BX119" s="8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4"/>
      <c r="CL127" s="14"/>
      <c r="CM127" s="14"/>
      <c r="CN127" s="14"/>
    </row>
    <row r="128" spans="75:93" x14ac:dyDescent="0.2">
      <c r="CH128" s="14" t="s">
        <v>252</v>
      </c>
      <c r="CI128" s="14" t="s">
        <v>141</v>
      </c>
      <c r="CJ128" s="14"/>
      <c r="CK128" s="14"/>
      <c r="CL128" s="14"/>
      <c r="CM128" s="14"/>
      <c r="CN128" s="14"/>
    </row>
    <row r="129" spans="49:93" ht="17" thickBot="1" x14ac:dyDescent="0.25">
      <c r="CH129" s="21"/>
      <c r="CJ129" s="22"/>
      <c r="CK129" s="22"/>
      <c r="CL129" s="22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3" t="s">
        <v>181</v>
      </c>
      <c r="CI130" t="s">
        <v>182</v>
      </c>
      <c r="CJ130" s="24" t="s">
        <v>183</v>
      </c>
      <c r="CK130" s="24" t="s">
        <v>184</v>
      </c>
      <c r="CL130" s="24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s="8" t="s">
        <v>163</v>
      </c>
      <c r="BX131" s="8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3" t="s">
        <v>179</v>
      </c>
      <c r="CI131" t="s">
        <v>180</v>
      </c>
      <c r="CJ131" s="24" t="s">
        <v>162</v>
      </c>
      <c r="CK131" s="24" t="s">
        <v>167</v>
      </c>
      <c r="CL131" s="24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s="8" t="s">
        <v>164</v>
      </c>
      <c r="BX132" s="8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5" t="s">
        <v>173</v>
      </c>
      <c r="CI132" t="s">
        <v>163</v>
      </c>
      <c r="CJ132" s="26" t="s">
        <v>241</v>
      </c>
      <c r="CK132" s="26" t="s">
        <v>242</v>
      </c>
      <c r="CL132" s="26" t="s">
        <v>243</v>
      </c>
      <c r="CM132" s="26" t="s">
        <v>243</v>
      </c>
      <c r="CN132" s="26" t="s">
        <v>243</v>
      </c>
      <c r="CO132" s="26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s="8" t="s">
        <v>165</v>
      </c>
      <c r="BX133" s="8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5" t="s">
        <v>173</v>
      </c>
      <c r="CI133" t="s">
        <v>164</v>
      </c>
      <c r="CJ133" s="26" t="s">
        <v>241</v>
      </c>
      <c r="CK133" s="26" t="s">
        <v>242</v>
      </c>
      <c r="CL133" s="26" t="s">
        <v>243</v>
      </c>
      <c r="CM133" s="26" t="s">
        <v>243</v>
      </c>
      <c r="CN133" s="26" t="s">
        <v>243</v>
      </c>
      <c r="CO133" s="26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s="8" t="s">
        <v>166</v>
      </c>
      <c r="BX134" s="8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5" t="s">
        <v>173</v>
      </c>
      <c r="CI134" t="s">
        <v>165</v>
      </c>
      <c r="CJ134" s="26" t="s">
        <v>241</v>
      </c>
      <c r="CK134" s="26" t="s">
        <v>242</v>
      </c>
      <c r="CL134" s="26" t="s">
        <v>243</v>
      </c>
      <c r="CM134" s="26" t="s">
        <v>243</v>
      </c>
      <c r="CN134" s="26" t="s">
        <v>243</v>
      </c>
      <c r="CO134" s="26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s="8" t="s">
        <v>163</v>
      </c>
      <c r="BX135" s="8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5" t="s">
        <v>173</v>
      </c>
      <c r="CI135" t="s">
        <v>166</v>
      </c>
      <c r="CJ135" s="26" t="s">
        <v>241</v>
      </c>
      <c r="CK135" s="26" t="s">
        <v>242</v>
      </c>
      <c r="CL135" s="26" t="s">
        <v>243</v>
      </c>
      <c r="CM135" s="26" t="s">
        <v>243</v>
      </c>
      <c r="CN135" s="26" t="s">
        <v>243</v>
      </c>
      <c r="CO135" s="26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s="8" t="s">
        <v>164</v>
      </c>
      <c r="BX136" s="8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7" t="s">
        <v>174</v>
      </c>
      <c r="CI136" t="s">
        <v>163</v>
      </c>
      <c r="CJ136" s="20" t="s">
        <v>244</v>
      </c>
      <c r="CK136" s="20" t="s">
        <v>245</v>
      </c>
      <c r="CL136" s="20" t="s">
        <v>246</v>
      </c>
      <c r="CM136" s="20" t="s">
        <v>246</v>
      </c>
      <c r="CN136" s="20" t="s">
        <v>246</v>
      </c>
      <c r="CO136" s="20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s="8" t="s">
        <v>165</v>
      </c>
      <c r="BX137" s="8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7" t="s">
        <v>174</v>
      </c>
      <c r="CI137" t="s">
        <v>164</v>
      </c>
      <c r="CJ137" s="20" t="s">
        <v>244</v>
      </c>
      <c r="CK137" s="20" t="s">
        <v>245</v>
      </c>
      <c r="CL137" s="20" t="s">
        <v>246</v>
      </c>
      <c r="CM137" s="20" t="s">
        <v>246</v>
      </c>
      <c r="CN137" s="20" t="s">
        <v>246</v>
      </c>
      <c r="CO137" s="20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s="8" t="s">
        <v>166</v>
      </c>
      <c r="BX138" s="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7" t="s">
        <v>174</v>
      </c>
      <c r="CI138" t="s">
        <v>165</v>
      </c>
      <c r="CJ138" s="20" t="s">
        <v>244</v>
      </c>
      <c r="CK138" s="20" t="s">
        <v>245</v>
      </c>
      <c r="CL138" s="20" t="s">
        <v>246</v>
      </c>
      <c r="CM138" s="20" t="s">
        <v>246</v>
      </c>
      <c r="CN138" s="20" t="s">
        <v>246</v>
      </c>
      <c r="CO138" s="20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s="8" t="s">
        <v>163</v>
      </c>
      <c r="BX139" s="8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7" t="s">
        <v>174</v>
      </c>
      <c r="CI139" t="s">
        <v>166</v>
      </c>
      <c r="CJ139" s="20" t="s">
        <v>244</v>
      </c>
      <c r="CK139" s="20" t="s">
        <v>245</v>
      </c>
      <c r="CL139" s="20" t="s">
        <v>246</v>
      </c>
      <c r="CM139" s="20" t="s">
        <v>246</v>
      </c>
      <c r="CN139" s="20" t="s">
        <v>246</v>
      </c>
      <c r="CO139" s="20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s="8" t="s">
        <v>164</v>
      </c>
      <c r="BX140" s="8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7" t="s">
        <v>175</v>
      </c>
      <c r="CI140" t="s">
        <v>163</v>
      </c>
      <c r="CJ140" s="20" t="s">
        <v>247</v>
      </c>
      <c r="CK140" s="20" t="s">
        <v>248</v>
      </c>
      <c r="CL140" s="20" t="s">
        <v>245</v>
      </c>
      <c r="CM140" s="20" t="s">
        <v>245</v>
      </c>
      <c r="CN140" s="20" t="s">
        <v>245</v>
      </c>
      <c r="CO140" s="20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s="8" t="s">
        <v>165</v>
      </c>
      <c r="BX141" s="8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7" t="s">
        <v>175</v>
      </c>
      <c r="CI141" t="s">
        <v>164</v>
      </c>
      <c r="CJ141" s="20" t="s">
        <v>247</v>
      </c>
      <c r="CK141" s="20" t="s">
        <v>248</v>
      </c>
      <c r="CL141" s="20" t="s">
        <v>245</v>
      </c>
      <c r="CM141" s="20" t="s">
        <v>245</v>
      </c>
      <c r="CN141" s="20" t="s">
        <v>245</v>
      </c>
      <c r="CO141" s="20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s="8" t="s">
        <v>166</v>
      </c>
      <c r="BX142" s="8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7" t="s">
        <v>175</v>
      </c>
      <c r="CI142" t="s">
        <v>165</v>
      </c>
      <c r="CJ142" s="20" t="s">
        <v>247</v>
      </c>
      <c r="CK142" s="20" t="s">
        <v>248</v>
      </c>
      <c r="CL142" s="20" t="s">
        <v>245</v>
      </c>
      <c r="CM142" s="20" t="s">
        <v>245</v>
      </c>
      <c r="CN142" s="20" t="s">
        <v>245</v>
      </c>
      <c r="CO142" s="20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s="8" t="s">
        <v>163</v>
      </c>
      <c r="BX143" s="8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7" t="s">
        <v>175</v>
      </c>
      <c r="CI143" t="s">
        <v>166</v>
      </c>
      <c r="CJ143" s="20" t="s">
        <v>247</v>
      </c>
      <c r="CK143" s="20" t="s">
        <v>248</v>
      </c>
      <c r="CL143" s="20" t="s">
        <v>245</v>
      </c>
      <c r="CM143" s="20" t="s">
        <v>245</v>
      </c>
      <c r="CN143" s="20" t="s">
        <v>245</v>
      </c>
      <c r="CO143" s="20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s="8" t="s">
        <v>164</v>
      </c>
      <c r="BX144" s="8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7" t="s">
        <v>176</v>
      </c>
      <c r="CI144" t="s">
        <v>163</v>
      </c>
      <c r="CJ144" s="20" t="s">
        <v>249</v>
      </c>
      <c r="CK144" s="20" t="s">
        <v>250</v>
      </c>
      <c r="CL144" s="20" t="s">
        <v>251</v>
      </c>
      <c r="CM144" s="20" t="s">
        <v>251</v>
      </c>
      <c r="CN144" s="20" t="s">
        <v>251</v>
      </c>
      <c r="CO144" s="20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s="8" t="s">
        <v>165</v>
      </c>
      <c r="BX145" s="8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7" t="s">
        <v>176</v>
      </c>
      <c r="CI145" t="s">
        <v>164</v>
      </c>
      <c r="CJ145" s="20" t="s">
        <v>249</v>
      </c>
      <c r="CK145" s="20" t="s">
        <v>250</v>
      </c>
      <c r="CL145" s="20" t="s">
        <v>251</v>
      </c>
      <c r="CM145" s="20" t="s">
        <v>251</v>
      </c>
      <c r="CN145" s="20" t="s">
        <v>251</v>
      </c>
      <c r="CO145" s="20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s="8" t="s">
        <v>166</v>
      </c>
      <c r="BX146" s="8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7" t="s">
        <v>176</v>
      </c>
      <c r="CI146" t="s">
        <v>165</v>
      </c>
      <c r="CJ146" s="20" t="s">
        <v>249</v>
      </c>
      <c r="CK146" s="20" t="s">
        <v>250</v>
      </c>
      <c r="CL146" s="20" t="s">
        <v>251</v>
      </c>
      <c r="CM146" s="20" t="s">
        <v>251</v>
      </c>
      <c r="CN146" s="20" t="s">
        <v>251</v>
      </c>
      <c r="CO146" s="20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s="8" t="s">
        <v>163</v>
      </c>
      <c r="BX147" s="8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7" t="s">
        <v>176</v>
      </c>
      <c r="CI147" t="s">
        <v>166</v>
      </c>
      <c r="CJ147" s="20" t="s">
        <v>249</v>
      </c>
      <c r="CK147" s="20" t="s">
        <v>250</v>
      </c>
      <c r="CL147" s="20" t="s">
        <v>251</v>
      </c>
      <c r="CM147" s="20" t="s">
        <v>251</v>
      </c>
      <c r="CN147" s="20" t="s">
        <v>251</v>
      </c>
      <c r="CO147" s="20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s="8" t="s">
        <v>164</v>
      </c>
      <c r="BX148" s="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5" t="s">
        <v>177</v>
      </c>
      <c r="CI148" t="s">
        <v>163</v>
      </c>
      <c r="CJ148" s="16" t="s">
        <v>244</v>
      </c>
      <c r="CK148" s="16" t="s">
        <v>245</v>
      </c>
      <c r="CL148" s="16" t="s">
        <v>246</v>
      </c>
      <c r="CM148" s="16" t="s">
        <v>246</v>
      </c>
      <c r="CN148" s="16" t="s">
        <v>246</v>
      </c>
      <c r="CO148" s="17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s="8" t="s">
        <v>165</v>
      </c>
      <c r="BX149" s="8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5" t="s">
        <v>177</v>
      </c>
      <c r="CI149" t="s">
        <v>164</v>
      </c>
      <c r="CJ149" s="16" t="s">
        <v>244</v>
      </c>
      <c r="CK149" s="16" t="s">
        <v>245</v>
      </c>
      <c r="CL149" s="16" t="s">
        <v>246</v>
      </c>
      <c r="CM149" s="16" t="s">
        <v>246</v>
      </c>
      <c r="CN149" s="16" t="s">
        <v>246</v>
      </c>
      <c r="CO149" s="17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s="8" t="s">
        <v>166</v>
      </c>
      <c r="BX150" s="8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5" t="s">
        <v>177</v>
      </c>
      <c r="CI150" t="s">
        <v>165</v>
      </c>
      <c r="CJ150" s="16" t="s">
        <v>244</v>
      </c>
      <c r="CK150" s="16" t="s">
        <v>245</v>
      </c>
      <c r="CL150" s="16" t="s">
        <v>246</v>
      </c>
      <c r="CM150" s="16" t="s">
        <v>246</v>
      </c>
      <c r="CN150" s="16" t="s">
        <v>246</v>
      </c>
      <c r="CO150" s="17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s="8" t="s">
        <v>163</v>
      </c>
      <c r="BX151" s="8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5" t="s">
        <v>177</v>
      </c>
      <c r="CI151" t="s">
        <v>166</v>
      </c>
      <c r="CJ151" s="16" t="s">
        <v>244</v>
      </c>
      <c r="CK151" s="16" t="s">
        <v>245</v>
      </c>
      <c r="CL151" s="16" t="s">
        <v>246</v>
      </c>
      <c r="CM151" s="16" t="s">
        <v>246</v>
      </c>
      <c r="CN151" s="16" t="s">
        <v>246</v>
      </c>
      <c r="CO151" s="17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s="8" t="s">
        <v>164</v>
      </c>
      <c r="BX152" s="8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8" t="s">
        <v>178</v>
      </c>
      <c r="CI152" t="s">
        <v>163</v>
      </c>
      <c r="CJ152" s="19" t="s">
        <v>247</v>
      </c>
      <c r="CK152" s="19" t="s">
        <v>248</v>
      </c>
      <c r="CL152" s="19" t="s">
        <v>245</v>
      </c>
      <c r="CM152" s="19" t="s">
        <v>245</v>
      </c>
      <c r="CN152" s="19" t="s">
        <v>245</v>
      </c>
      <c r="CO152" s="20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s="8" t="s">
        <v>165</v>
      </c>
      <c r="BX153" s="8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8" t="s">
        <v>178</v>
      </c>
      <c r="CI153" t="s">
        <v>164</v>
      </c>
      <c r="CJ153" s="19" t="s">
        <v>247</v>
      </c>
      <c r="CK153" s="19" t="s">
        <v>248</v>
      </c>
      <c r="CL153" s="19" t="s">
        <v>245</v>
      </c>
      <c r="CM153" s="19" t="s">
        <v>245</v>
      </c>
      <c r="CN153" s="19" t="s">
        <v>245</v>
      </c>
      <c r="CO153" s="20">
        <v>67</v>
      </c>
    </row>
    <row r="154" spans="49:93" x14ac:dyDescent="0.2">
      <c r="BW154" s="8" t="s">
        <v>166</v>
      </c>
      <c r="BX154" s="8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8" t="s">
        <v>178</v>
      </c>
      <c r="CI154" t="s">
        <v>165</v>
      </c>
      <c r="CJ154" s="19" t="s">
        <v>247</v>
      </c>
      <c r="CK154" s="19" t="s">
        <v>248</v>
      </c>
      <c r="CL154" s="19" t="s">
        <v>245</v>
      </c>
      <c r="CM154" s="19" t="s">
        <v>245</v>
      </c>
      <c r="CN154" s="19" t="s">
        <v>245</v>
      </c>
      <c r="CO154" s="20">
        <v>68</v>
      </c>
    </row>
    <row r="155" spans="49:93" x14ac:dyDescent="0.2">
      <c r="BW155" s="8"/>
      <c r="BX155" s="8"/>
      <c r="CH155" s="18" t="s">
        <v>178</v>
      </c>
      <c r="CI155" t="s">
        <v>166</v>
      </c>
      <c r="CJ155" s="19" t="s">
        <v>247</v>
      </c>
      <c r="CK155" s="19" t="s">
        <v>248</v>
      </c>
      <c r="CL155" s="19" t="s">
        <v>245</v>
      </c>
      <c r="CM155" s="19" t="s">
        <v>245</v>
      </c>
      <c r="CN155" s="19" t="s">
        <v>245</v>
      </c>
      <c r="CO155" s="20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s="8" t="s">
        <v>163</v>
      </c>
      <c r="BX167" s="8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s="8" t="s">
        <v>164</v>
      </c>
      <c r="BX168" s="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s="8" t="s">
        <v>165</v>
      </c>
      <c r="BX169" s="8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s="8" t="s">
        <v>166</v>
      </c>
      <c r="BX170" s="8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s="8" t="s">
        <v>163</v>
      </c>
      <c r="BX171" s="8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s="8" t="s">
        <v>164</v>
      </c>
      <c r="BX172" s="8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s="8" t="s">
        <v>165</v>
      </c>
      <c r="BX173" s="8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s="8" t="s">
        <v>166</v>
      </c>
      <c r="BX174" s="8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s="8" t="s">
        <v>163</v>
      </c>
      <c r="BX175" s="8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s="8" t="s">
        <v>164</v>
      </c>
      <c r="BX176" s="8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s="8" t="s">
        <v>165</v>
      </c>
      <c r="BX177" s="8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s="8" t="s">
        <v>166</v>
      </c>
      <c r="BX178" s="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s="8" t="s">
        <v>163</v>
      </c>
      <c r="BX179" s="8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s="8" t="s">
        <v>164</v>
      </c>
      <c r="BX180" s="8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s="8" t="s">
        <v>165</v>
      </c>
      <c r="BX181" s="8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s="8" t="s">
        <v>166</v>
      </c>
      <c r="BX182" s="8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s="8" t="s">
        <v>163</v>
      </c>
      <c r="BX183" s="8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s="8" t="s">
        <v>164</v>
      </c>
      <c r="BX184" s="8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s="8" t="s">
        <v>165</v>
      </c>
      <c r="BX185" s="8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s="8" t="s">
        <v>166</v>
      </c>
      <c r="BX186" s="8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s="8" t="s">
        <v>163</v>
      </c>
      <c r="BX187" s="8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s="8" t="s">
        <v>164</v>
      </c>
      <c r="BX188" s="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s="8" t="s">
        <v>165</v>
      </c>
      <c r="BX189" s="8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s="8" t="s">
        <v>166</v>
      </c>
      <c r="BX190" s="8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2026-05-08T06:22:26Z</dcterms:modified>
</cp:coreProperties>
</file>