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20001_{86F8F3CA-2F87-1A4B-AFDC-DDB89AB6875C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4.4.1.1" sheetId="1" r:id="rId1"/>
  </sheets>
  <definedNames>
    <definedName name="ExternalData_1" localSheetId="0" hidden="1">'4.4.1.1'!$BW$6:$CE$30</definedName>
    <definedName name="ExternalData_2" localSheetId="0" hidden="1">'4.4.1.1'!$BW$37:$CE$61</definedName>
    <definedName name="ExternalData_4" localSheetId="0" hidden="1">'4.4.1.1'!$BW$95:$CE$119</definedName>
    <definedName name="ExternalData_5" localSheetId="0" hidden="1">'4.4.1.1'!$BW$130:$CE$154</definedName>
    <definedName name="ExternalData_7" localSheetId="0" hidden="1">'4.4.1.1'!$BW$166:$CE$190</definedName>
    <definedName name="ExternalData_8" localSheetId="0" hidden="1">'4.4.1.1'!$BW$67:$CE$91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1" i="1" l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T34" i="1" l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Z11" i="1" l="1"/>
  <c r="AY11" i="1"/>
  <c r="AW11" i="1"/>
  <c r="BS7" i="1"/>
  <c r="AN11" i="1" l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AD31" i="1" l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A25" i="1" l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3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4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5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6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7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<sst xmlns="http://schemas.openxmlformats.org/spreadsheetml/2006/main" count="1162" uniqueCount="269">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</sst>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4" borderId="2" xfId="0" applyFont="1" applyFill="1" applyBorder="1"/>
    <xf numFmtId="0" fontId="0" fillId="5" borderId="1" xfId="0" applyFont="1" applyFill="1" applyBorder="1"/>
    <xf numFmtId="0" fontId="1" fillId="3" borderId="7" xfId="0" applyFont="1" applyFill="1" applyBorder="1"/>
    <xf numFmtId="0" fontId="0" fillId="4" borderId="9" xfId="0" applyFont="1" applyFill="1" applyBorder="1"/>
    <xf numFmtId="0" fontId="0" fillId="4" borderId="4" xfId="0" applyFont="1" applyFill="1" applyBorder="1"/>
    <xf numFmtId="0" fontId="0" fillId="0" borderId="0" xfId="0" applyNumberFormat="1"/>
    <xf numFmtId="0" fontId="0" fillId="4" borderId="12" xfId="0" applyFont="1" applyFill="1" applyBorder="1"/>
    <xf numFmtId="0" fontId="0" fillId="4" borderId="13" xfId="0" applyFont="1" applyFill="1" applyBorder="1"/>
    <xf numFmtId="0" fontId="0" fillId="4" borderId="14" xfId="0" applyFont="1" applyFill="1" applyBorder="1"/>
    <xf numFmtId="0" fontId="0" fillId="6" borderId="11" xfId="0" applyNumberFormat="1" applyFont="1" applyFill="1" applyBorder="1"/>
    <xf numFmtId="0" fontId="0" fillId="0" borderId="11" xfId="0" applyNumberFormat="1" applyFont="1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 applyBorder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</cellXfs>
  <cellStyles count="1">
    <cellStyle name="Normal" xfId="0" builtinId="0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36" headerRowBorderDxfId="38" tableBorderDxfId="39">
  <autoFilter ref="CH37:CO62" xr:uid="{D533F341-1B01-7A4F-852B-C0E119D551C8}"/>
  <tableColumns count="8">
    <tableColumn id="1" xr3:uid="{1FEB6CC1-207A-A743-80DB-25243339D6F4}" name="Column1" dataDxfId="37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35"/>
    <tableColumn id="2" xr3:uid="{09C709A8-ACEC-6646-B2ED-531B45CB8931}" uniqueName="2" name="Class" queryTableFieldId="2" dataDxfId="34"/>
    <tableColumn id="3" xr3:uid="{D7750154-72BB-984B-85F0-595144F744BF}" uniqueName="3" name="ACT/NSW" queryTableFieldId="3"/>
    <tableColumn id="4" xr3:uid="{D9406875-040A-2D46-9186-FB7DF7BC2286}" uniqueName="4" name="Queensland" queryTableFieldId="4"/>
    <tableColumn id="5" xr3:uid="{7CD35FFE-EDD3-9649-B44E-BD0ACDF4D503}" uniqueName="5" name="South Australia" queryTableFieldId="5"/>
    <tableColumn id="6" xr3:uid="{31C3CFF4-91D9-AE42-BC98-BC256E23BFDF}" uniqueName="6" name="Tasmania" queryTableFieldId="6"/>
    <tableColumn id="7" xr3:uid="{8C135761-2F80-F548-9A1B-999F08AAD7F9}" uniqueName="7" name="Victoria" queryTableFieldId="7"/>
    <tableColumn id="8" xr3:uid="{6DA6D816-2437-5E4D-B6F9-E93F9EA7B54D}" uniqueName="8" name="Western Australi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9"/>
    <tableColumn id="2" xr3:uid="{1400D452-8FE2-1342-8398-EFA100A8DE74}" uniqueName="2" name="Class" queryTableFieldId="2" dataDxfId="8"/>
    <tableColumn id="3" xr3:uid="{EFB769F4-A1D4-0242-AB79-1240AC1A0E32}" uniqueName="3" name="ACT/NSW" queryTableFieldId="3"/>
    <tableColumn id="4" xr3:uid="{D41938A1-408C-C844-AC19-38FCCF82B36D}" uniqueName="4" name="Queensland" queryTableFieldId="4"/>
    <tableColumn id="5" xr3:uid="{FB233205-08BF-6248-8E18-6E8AFAA84A94}" uniqueName="5" name="South Australia" queryTableFieldId="5"/>
    <tableColumn id="6" xr3:uid="{25F603F8-2D01-474A-B30D-E934C5EF46BB}" uniqueName="6" name="Tasmania" queryTableFieldId="6"/>
    <tableColumn id="7" xr3:uid="{A93966B1-C725-D849-9575-A7D4BD8D2284}" uniqueName="7" name="Victoria" queryTableFieldId="7"/>
    <tableColumn id="8" xr3:uid="{708FC418-1620-4F4A-B012-7687E4AAC5AB}" uniqueName="8" name="Western Australi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23" dataDxfId="24" headerRowBorderDxfId="32" tableBorderDxfId="33">
  <autoFilter ref="CH66:CO91" xr:uid="{97B3A928-C6CF-B742-B14D-3CDAC560FB37}"/>
  <tableColumns count="8">
    <tableColumn id="1" xr3:uid="{7BFDE0EA-91D9-3A48-8CE4-C4786F33EB9C}" name="Column1" dataDxfId="31"/>
    <tableColumn id="2" xr3:uid="{41693370-4D1A-6B48-B4CC-BFE3EBA3D81C}" name="Column2" dataDxfId="30"/>
    <tableColumn id="3" xr3:uid="{FFA57556-DA1E-7B46-A5B5-C30A515D43A1}" name="Column3" dataDxfId="29"/>
    <tableColumn id="4" xr3:uid="{911CC816-FFF8-5E4B-BEA8-879C55BFF4F3}" name="Column4" dataDxfId="28"/>
    <tableColumn id="5" xr3:uid="{6A0D6ABA-4E88-8942-BFDE-3A029BCECB39}" name="Column5" dataDxfId="27"/>
    <tableColumn id="6" xr3:uid="{E1BCB6C7-FD4C-0D45-92C5-BDB1E010306B}" name="Column6" dataDxfId="26"/>
    <tableColumn id="7" xr3:uid="{80D88B41-F39B-9F46-A91F-F342F4A4E2B3}" name="Column7" dataDxfId="25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19" headerRowBorderDxfId="21" tableBorderDxfId="22">
  <autoFilter ref="CH95:CO120" xr:uid="{BCD284C2-2879-C346-B956-5F9441CCE343}"/>
  <tableColumns count="8">
    <tableColumn id="1" xr3:uid="{7CAD892F-5666-F44E-9B46-125A1ED25FBB}" name="Column1" dataDxfId="20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7"/>
    <tableColumn id="2" xr3:uid="{65863F21-4FDD-3B43-89FE-70E9A86666A9}" uniqueName="2" name="Class" queryTableFieldId="2" dataDxfId="6"/>
    <tableColumn id="3" xr3:uid="{AED4F1F8-FD31-E243-9D37-0CC1FB62FB14}" uniqueName="3" name="ACT/NSW" queryTableFieldId="3"/>
    <tableColumn id="4" xr3:uid="{100C4784-419A-D949-B5C8-37DE8AD8F2DB}" uniqueName="4" name="Queensland" queryTableFieldId="4"/>
    <tableColumn id="5" xr3:uid="{CD6D7424-545D-034D-BED0-3FEA068E15A8}" uniqueName="5" name="South Australia" queryTableFieldId="5"/>
    <tableColumn id="6" xr3:uid="{C4B33E68-FE69-FB44-B0E6-0BD087C40277}" uniqueName="6" name="Tasmania" queryTableFieldId="6"/>
    <tableColumn id="7" xr3:uid="{7B67CE95-0362-F44A-86EC-5734DB3BE9BD}" uniqueName="7" name="Victoria" queryTableFieldId="7"/>
    <tableColumn id="8" xr3:uid="{67E3E0FA-D862-7B44-A23F-54EA4811F5B9}" uniqueName="8" name="Western Australi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10" dataDxfId="11">
  <autoFilter ref="CH130:CO155" xr:uid="{C4BA6C27-EED2-C74B-BDAA-FB48819EAF9E}"/>
  <tableColumns count="8">
    <tableColumn id="1" xr3:uid="{D03C8AE9-F5CC-054A-BA92-B03D057BEE50}" name="Column1" dataDxfId="18"/>
    <tableColumn id="2" xr3:uid="{26FCF033-B44B-2E4C-A7B9-A916F0225F83}" name="Column2"/>
    <tableColumn id="3" xr3:uid="{FDA23572-7395-4E4D-BFD8-9C3680ED75C3}" name="Column3" dataDxfId="17"/>
    <tableColumn id="4" xr3:uid="{FF394B01-DA56-E542-815E-7D933B1B45D6}" name="Column4" dataDxfId="16"/>
    <tableColumn id="5" xr3:uid="{EE581D06-B0C8-6747-933E-8837FA5DFC3D}" name="Column5" dataDxfId="15"/>
    <tableColumn id="6" xr3:uid="{51530F93-51A2-5A42-A85E-AF201951403B}" name="Column6" dataDxfId="14"/>
    <tableColumn id="7" xr3:uid="{89A909D1-08CA-6D4A-B279-2D4CEF292EBF}" name="Column7" dataDxfId="13"/>
    <tableColumn id="8" xr3:uid="{B9FD3358-EF93-FC4D-812C-38BFFFCF87DD}" name="Column8" dataDxfId="1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5"/>
    <tableColumn id="2" xr3:uid="{FAB2AEAB-06FA-1344-A7B9-0D5CA2B366D1}" uniqueName="2" name="Class" queryTableFieldId="2" dataDxfId="4"/>
    <tableColumn id="3" xr3:uid="{0D54DFDA-52A3-304B-83A9-408B2B008692}" uniqueName="3" name="ACT/NSW" queryTableFieldId="3"/>
    <tableColumn id="4" xr3:uid="{741E8FF0-75D6-0040-86E1-B75EFE837DA5}" uniqueName="4" name="Queensland" queryTableFieldId="4"/>
    <tableColumn id="5" xr3:uid="{D7151F0F-0912-274C-AF6B-8B83B8AF554F}" uniqueName="5" name="South Australia" queryTableFieldId="5"/>
    <tableColumn id="6" xr3:uid="{0B706D24-7DC2-6648-89E7-F925A1900AA2}" uniqueName="6" name="Tasmania" queryTableFieldId="6"/>
    <tableColumn id="7" xr3:uid="{F4951BD9-8B6C-6048-90F0-6C14CCDF3C24}" uniqueName="7" name="Victoria" queryTableFieldId="7"/>
    <tableColumn id="8" xr3:uid="{EB59DA3B-F511-484D-BDA2-316B4E2B2A83}" uniqueName="8" name="Western Australi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3"/>
    <tableColumn id="2" xr3:uid="{AA79D163-D32B-2F4C-9E4E-FCFA9F98DF7F}" uniqueName="2" name="Class" queryTableFieldId="2" dataDxfId="2"/>
    <tableColumn id="3" xr3:uid="{F06D86DF-7153-2B4B-84D5-58A5463CF34A}" uniqueName="3" name="ACT/NSW" queryTableFieldId="3"/>
    <tableColumn id="4" xr3:uid="{7F608781-C8C9-C340-89DE-679705A938CF}" uniqueName="4" name="Queensland" queryTableFieldId="4"/>
    <tableColumn id="5" xr3:uid="{57AC892E-82C5-074C-B7BA-29FED55B762A}" uniqueName="5" name="South Australia" queryTableFieldId="5"/>
    <tableColumn id="6" xr3:uid="{A1DACD50-0897-C549-94DC-88A075CDF818}" uniqueName="6" name="Tasmania" queryTableFieldId="6"/>
    <tableColumn id="7" xr3:uid="{14C1BC69-5582-E541-9996-1955EBA3BD7B}" uniqueName="7" name="Victoria" queryTableFieldId="7"/>
    <tableColumn id="8" xr3:uid="{F58B257C-980E-9B4D-B706-76ABB1B36556}" uniqueName="8" name="Western Australi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1"/>
    <tableColumn id="2" xr3:uid="{68E5B125-631A-314A-A5F8-59E28AFEC189}" uniqueName="2" name="Class" queryTableFieldId="2" dataDxfId="0"/>
    <tableColumn id="3" xr3:uid="{1E93A43A-3026-1B4D-B0B2-0F67DD92888C}" uniqueName="3" name="ACT/NSW" queryTableFieldId="3"/>
    <tableColumn id="4" xr3:uid="{E2310827-A291-044E-A1C6-8137EEE27CBE}" uniqueName="4" name="Queensland" queryTableFieldId="4"/>
    <tableColumn id="5" xr3:uid="{BBB39C0F-72F3-6740-B113-A6132BBC3306}" uniqueName="5" name="South Australia" queryTableFieldId="5"/>
    <tableColumn id="6" xr3:uid="{B4FFB7E6-8DBC-8B42-AB7D-323BABA5E829}" uniqueName="6" name="Tasmania" queryTableFieldId="6"/>
    <tableColumn id="7" xr3:uid="{D524D201-D226-F545-9FD0-B17CB0F08499}" uniqueName="7" name="Victoria" queryTableFieldId="7"/>
    <tableColumn id="8" xr3:uid="{18F66886-1956-9E46-8EBF-DDED33DF0B35}" uniqueName="8" name="Western Australi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abSelected="1" topLeftCell="AQ1" workbookViewId="0">
      <selection activeCell="BW130" sqref="BW130:CE154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s="8" t="s">
        <v>163</v>
      </c>
      <c r="BX7" s="8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s="8" t="s">
        <v>164</v>
      </c>
      <c r="BX8" s="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s="8" t="s">
        <v>165</v>
      </c>
      <c r="BX9" s="8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8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8" t="s">
        <v>157</v>
      </c>
      <c r="BK10" s="28" t="s">
        <v>158</v>
      </c>
      <c r="BL10" s="28" t="s">
        <v>159</v>
      </c>
      <c r="BR10" t="s">
        <v>202</v>
      </c>
      <c r="BS10">
        <v>4.7000000000000002E-3</v>
      </c>
      <c r="BT10" s="14" t="s">
        <v>193</v>
      </c>
      <c r="BU10" s="14">
        <v>0.72</v>
      </c>
      <c r="BW10" s="8" t="s">
        <v>166</v>
      </c>
      <c r="BX10" s="8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B11" t="s">
        <v>193</v>
      </c>
      <c r="C11" t="s">
        <v>173</v>
      </c>
      <c r="D11" t="s">
        <v>213</v>
      </c>
      <c r="E11" t="s">
        <v>213</v>
      </c>
      <c r="F11" s="14" t="s">
        <v>224</v>
      </c>
      <c r="G11" s="14" t="s">
        <v>254</v>
      </c>
      <c r="H11" s="12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>$BS$3</f>
        <v>91.25</v>
      </c>
      <c r="P11" cm="1">
        <f t="array" ref="P11:P34">_xlfn.DROP(_xlfn.XLOOKUP($C11,TableLWG2_1[[#Headers],[ACT/NSW]:[Western Australia]],TableLWG2_1[[#All],[ACT/NSW]:[Western Australia]]),1)</f>
        <v>0.04</v>
      </c>
      <c r="Q11" cm="1">
        <f t="array" ref="Q11:Q34">_xlfn.DROP(_xlfn.XLOOKUP($C11,QueryCP[[#Headers],[ACT/NSW]:[Western Australia]],QueryCP[[#All],[ACT/NSW]:[Western Australia]]),1)</f>
        <v>0.2</v>
      </c>
      <c r="R11" cm="1">
        <f t="array" ref="R11:R34">_xlfn.DROP(_xlfn.XLOOKUP($C11,QueryDMD[[#Headers],[ACT/NSW]:[Western Australia]],QueryDMD[[#All],[ACT/NSW]:[Western Australia]]),1)</f>
        <v>0.75</v>
      </c>
      <c r="S11" cm="1">
        <f t="array" ref="S11:S34">_xlfn.DROP(_xlfn.XLOOKUP($C11,QueryW[[#Headers],[ACT/NSW]:[Western Australia]],QueryW[[#All],[ACT/NSW]:[Western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>$BS$10</f>
        <v>4.7000000000000002E-3</v>
      </c>
      <c r="X11">
        <f>IF(E11="yes",1,0)</f>
        <v>1</v>
      </c>
      <c r="Y11">
        <f>$BS$4</f>
        <v>0.24</v>
      </c>
      <c r="Z11">
        <f>$BS$6</f>
        <v>1.0999999999999999E-2</v>
      </c>
      <c r="AA11">
        <f>$BS$5</f>
        <v>0.21</v>
      </c>
      <c r="AB11">
        <f>VLOOKUP($F$11,$BR$37:$BS$49,2,FALSE)</f>
        <v>5.8999999999999999E-3</v>
      </c>
      <c r="AC11">
        <f>(M11/100)*(MIN(N11,100)/100)</f>
        <v>0.85499999999999998</v>
      </c>
      <c r="AD11">
        <f>AC11 * 1.6</f>
        <v>1.3680000000000001</v>
      </c>
      <c r="AE11">
        <f>J11 * K11 / 365</f>
        <v>7.1232876712328773E-3</v>
      </c>
      <c r="AF11">
        <f>P11 * 0.92</f>
        <v>3.6799999999999999E-2</v>
      </c>
      <c r="AG11" cm="1">
        <f t="array" ref="AG11:AG34">_xlfn.DROP(_xlfn.XLOOKUP($C11,QuerySRW[[#Headers],[ACT/NSW]:[Western Australia]],QuerySRW[[#All],[ACT/NSW]:[Western Australia]]),1)</f>
        <v>57</v>
      </c>
      <c r="AH11">
        <f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>(AV11 / 6.25 ) - AK11</f>
        <v>3.9886829165220503E-2</v>
      </c>
      <c r="AM11">
        <f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>(0.795*R11)-0.0014</f>
        <v>0.5948500000000001</v>
      </c>
      <c r="AR11" cm="1">
        <f t="array" ref="AR11:AR34">_xlfn.DROP(_xlfn.XLOOKUP($C11,QueryDMA[[#Headers],[ACT/NSW]:[Western Australia]],QueryDMA[[#All],[ACT/NSW]:[Western Australia]]),1)</f>
        <v>2.9</v>
      </c>
      <c r="AS11">
        <f>1 - EXP(-2*(AR11^2))</f>
        <v>0.9999999504359468</v>
      </c>
      <c r="AT11">
        <f>(104.7*AQ11+0.307*S11-15)*(S11^0.75)*10^-3</f>
        <v>1.2720847291262878</v>
      </c>
      <c r="AU11">
        <f>AT11*AS11*AP11</f>
        <v>1.5983743829252637</v>
      </c>
      <c r="AV11">
        <f>(AU11 * Q11) + (0.045 * AJ11)</f>
        <v>0.31967487658505278</v>
      </c>
      <c r="AW11">
        <f>$BS$2</f>
        <v>0.08</v>
      </c>
      <c r="AX11">
        <f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4" t="s">
        <v>194</v>
      </c>
      <c r="BU11" s="14">
        <v>0.75</v>
      </c>
      <c r="BW11" s="8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3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>$BS$3</f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0">1-U12</f>
        <v>0</v>
      </c>
      <c r="U12">
        <f t="shared" ref="U12:U34" si="1">IF($D$11="yes", 1, VLOOKUP(B12, $BR$26:$BT$32, 1))</f>
        <v>1</v>
      </c>
      <c r="V12">
        <f t="shared" ref="V12:V34" si="2">VLOOKUP($B$11,$BT$10:$BU$16, 2, FALSE)</f>
        <v>0.72</v>
      </c>
      <c r="W12">
        <f>$BS$10</f>
        <v>4.7000000000000002E-3</v>
      </c>
      <c r="X12">
        <f t="shared" ref="X12:X34" si="3">IF(E12="yes",1,0)</f>
        <v>0</v>
      </c>
      <c r="Y12">
        <f>$BS$4</f>
        <v>0.24</v>
      </c>
      <c r="Z12">
        <f>$BS$6</f>
        <v>1.0999999999999999E-2</v>
      </c>
      <c r="AA12">
        <f>$BS$5</f>
        <v>0.21</v>
      </c>
      <c r="AB12">
        <f t="shared" ref="AB12:AB34" si="4">VLOOKUP($F$11,$BR$37:$BS$49,2,FALSE)</f>
        <v>5.8999999999999999E-3</v>
      </c>
      <c r="AC12">
        <f>(M12/100)*(MIN(N12,100)/100)</f>
        <v>0</v>
      </c>
      <c r="AD12">
        <f t="shared" ref="AD12:AD34" si="5">AC12 * 1.6</f>
        <v>0</v>
      </c>
      <c r="AE12">
        <f>J12 * K12 / 365</f>
        <v>7.1232876712328773E-3</v>
      </c>
      <c r="AF12">
        <f>P12 * 0.92</f>
        <v>-4.6000000000000006E-2</v>
      </c>
      <c r="AG12">
        <v>57</v>
      </c>
      <c r="AH12">
        <f>S12 / AG12</f>
        <v>0.85964912280701755</v>
      </c>
      <c r="AI12">
        <v>0</v>
      </c>
      <c r="AJ12">
        <f t="shared" ref="AJ12:AJ34" si="6">1.6 * AI12</f>
        <v>0</v>
      </c>
      <c r="AK12">
        <f t="shared" ref="AK12:AK34" si="7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>(AV12 / 6.25 ) - AK12</f>
        <v>1.4651626395231406E-2</v>
      </c>
      <c r="AM12">
        <f>IF($G$11="wet",$BU$18,$BU$19)</f>
        <v>6.0000000000000001E-3</v>
      </c>
      <c r="AN12">
        <f t="shared" ref="AN12:AN34" si="8">$BS$7</f>
        <v>1.5714285714285714</v>
      </c>
      <c r="AO12">
        <f t="shared" ref="AO12:AO34" si="9">$BV$1</f>
        <v>1.3</v>
      </c>
      <c r="AP12">
        <f t="shared" ref="AP12:AP34" si="10">AC12*AO12+(1-AC12)</f>
        <v>1</v>
      </c>
      <c r="AQ12">
        <f>(0.795*R12)-0.0014</f>
        <v>0.48354999999999998</v>
      </c>
      <c r="AR12">
        <v>2.5</v>
      </c>
      <c r="AS12">
        <f t="shared" ref="AS12:AS34" si="11">1 - EXP(-2*(AR12^2))</f>
        <v>0.99999627334682795</v>
      </c>
      <c r="AT12">
        <f>(104.7*AQ12+0.307*S12-15)*(S12^0.75)*10^-3</f>
        <v>0.93843421889903578</v>
      </c>
      <c r="AU12">
        <f t="shared" ref="AU12:AU34" si="12">AT12*AS12*AP12</f>
        <v>0.93843072168017716</v>
      </c>
      <c r="AV12">
        <f>(AU12 * Q12) + (0.045 * AJ12)</f>
        <v>9.3843072168017724E-2</v>
      </c>
      <c r="AW12">
        <f t="shared" ref="AW12:AW34" si="13">$BS$2</f>
        <v>0.08</v>
      </c>
      <c r="AX12">
        <f>(AU12 * ((1 - R12) + (0.04 * AU12))) * ( 1 - AW12 )</f>
        <v>0.3691169446125166</v>
      </c>
      <c r="AY12">
        <f t="shared" ref="AY12:AY34" si="14">$BS$1</f>
        <v>0.24</v>
      </c>
      <c r="AZ12">
        <f t="shared" ref="AZ12:AZ34" si="15">$BT$20</f>
        <v>0.6784</v>
      </c>
      <c r="BA12">
        <f>AX12 * AY12 * T12 * V12 * AZ12</f>
        <v>0</v>
      </c>
      <c r="BB12">
        <f t="shared" ref="BB12:BB34" si="16">AX12*AY12*U12*W12*AZ12</f>
        <v>2.8246127893394806E-4</v>
      </c>
      <c r="BC12">
        <f t="shared" ref="BC12:BC34" si="17">BA12+BB12</f>
        <v>2.8246127893394806E-4</v>
      </c>
      <c r="BD12">
        <f t="shared" ref="BD12:BD34" si="18">L12*BC12*O12</f>
        <v>1.8042214191905934</v>
      </c>
      <c r="BF12">
        <f>L12*AL12*O12</f>
        <v>93.587263599540606</v>
      </c>
      <c r="BT12" s="14" t="s">
        <v>195</v>
      </c>
      <c r="BU12" s="14">
        <v>0.78</v>
      </c>
      <c r="BW12" s="8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2"/>
      <c r="I13" t="s">
        <v>165</v>
      </c>
      <c r="J13">
        <f t="shared" ref="J13:J14" si="19">J12</f>
        <v>4</v>
      </c>
      <c r="K13">
        <f>K11</f>
        <v>0.65</v>
      </c>
      <c r="L13">
        <v>65</v>
      </c>
      <c r="M13">
        <v>0</v>
      </c>
      <c r="N13">
        <v>0</v>
      </c>
      <c r="O13">
        <f>$BS$3</f>
        <v>91.25</v>
      </c>
      <c r="P13">
        <v>0.01</v>
      </c>
      <c r="Q13">
        <v>0.12</v>
      </c>
      <c r="R13">
        <v>0.64</v>
      </c>
      <c r="S13">
        <v>50</v>
      </c>
      <c r="T13">
        <f t="shared" si="0"/>
        <v>0</v>
      </c>
      <c r="U13">
        <f t="shared" si="1"/>
        <v>1</v>
      </c>
      <c r="V13">
        <f t="shared" si="2"/>
        <v>0.72</v>
      </c>
      <c r="W13">
        <f>$BS$10</f>
        <v>4.7000000000000002E-3</v>
      </c>
      <c r="X13">
        <f t="shared" si="3"/>
        <v>0</v>
      </c>
      <c r="Y13">
        <f>$BS$4</f>
        <v>0.24</v>
      </c>
      <c r="Z13">
        <f>$BS$6</f>
        <v>1.0999999999999999E-2</v>
      </c>
      <c r="AA13">
        <f>$BS$5</f>
        <v>0.21</v>
      </c>
      <c r="AB13">
        <f t="shared" si="4"/>
        <v>5.8999999999999999E-3</v>
      </c>
      <c r="AC13">
        <f>(M13/100)*(MIN(N13,100)/100)</f>
        <v>0</v>
      </c>
      <c r="AD13">
        <f t="shared" si="5"/>
        <v>0</v>
      </c>
      <c r="AE13">
        <f>J13 * K13 / 365</f>
        <v>7.1232876712328773E-3</v>
      </c>
      <c r="AF13">
        <f>P13 * 0.92</f>
        <v>9.1999999999999998E-3</v>
      </c>
      <c r="AG13">
        <v>57</v>
      </c>
      <c r="AH13">
        <f>S13 / AG13</f>
        <v>0.8771929824561403</v>
      </c>
      <c r="AI13">
        <v>0</v>
      </c>
      <c r="AJ13">
        <f t="shared" si="6"/>
        <v>0</v>
      </c>
      <c r="AK13">
        <f t="shared" si="7"/>
        <v>1.0747659693624819E-3</v>
      </c>
      <c r="AL13">
        <f>(AV13 / 6.25 ) - AK13</f>
        <v>1.811521741614671E-2</v>
      </c>
      <c r="AM13">
        <f>IF($G$11="wet",$BU$18,$BU$19)</f>
        <v>6.0000000000000001E-3</v>
      </c>
      <c r="AN13">
        <f t="shared" si="8"/>
        <v>1.5714285714285714</v>
      </c>
      <c r="AO13">
        <f t="shared" si="9"/>
        <v>1.3</v>
      </c>
      <c r="AP13">
        <f t="shared" si="10"/>
        <v>1</v>
      </c>
      <c r="AQ13">
        <f>(0.795*R13)-0.0014</f>
        <v>0.50740000000000007</v>
      </c>
      <c r="AR13">
        <v>1.6</v>
      </c>
      <c r="AS13">
        <f t="shared" si="11"/>
        <v>0.99402397710499402</v>
      </c>
      <c r="AT13">
        <f>(104.7*AQ13+0.307*S13-15)*(S13^0.75)*10^-3</f>
        <v>1.0054871153505722</v>
      </c>
      <c r="AU13">
        <f t="shared" si="12"/>
        <v>0.99947830132860371</v>
      </c>
      <c r="AV13">
        <f>(AU13 * Q13) + (0.045 * AJ13)</f>
        <v>0.11993739615943244</v>
      </c>
      <c r="AW13">
        <f t="shared" si="13"/>
        <v>0.08</v>
      </c>
      <c r="AX13">
        <f>(AU13 * ((1 - R13) + (0.04 * AU13))) * ( 1 - AW13 )</f>
        <v>0.36778882639365651</v>
      </c>
      <c r="AY13">
        <f t="shared" si="14"/>
        <v>0.24</v>
      </c>
      <c r="AZ13">
        <f t="shared" si="15"/>
        <v>0.6784</v>
      </c>
      <c r="BA13">
        <f t="shared" ref="BA13:BA34" si="20">AX13 * AY13 * T13 * V13 * AZ13</f>
        <v>0</v>
      </c>
      <c r="BB13">
        <f t="shared" si="16"/>
        <v>2.8144495612311498E-4</v>
      </c>
      <c r="BC13">
        <f t="shared" si="17"/>
        <v>2.8144495612311498E-4</v>
      </c>
      <c r="BD13">
        <f t="shared" si="18"/>
        <v>1.6693203960052256</v>
      </c>
      <c r="BF13">
        <f>L13*AL13*O13</f>
        <v>107.44588329952018</v>
      </c>
      <c r="BT13" s="14" t="s">
        <v>196</v>
      </c>
      <c r="BU13" s="14">
        <v>0.74</v>
      </c>
      <c r="BW13" s="8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3"/>
      <c r="I14" t="s">
        <v>166</v>
      </c>
      <c r="J14">
        <f t="shared" si="19"/>
        <v>4</v>
      </c>
      <c r="K14">
        <f>K11</f>
        <v>0.65</v>
      </c>
      <c r="L14">
        <v>80</v>
      </c>
      <c r="M14">
        <v>0</v>
      </c>
      <c r="N14">
        <v>0</v>
      </c>
      <c r="O14">
        <f>$BS$3</f>
        <v>91.25</v>
      </c>
      <c r="P14">
        <v>0</v>
      </c>
      <c r="Q14">
        <v>0.18</v>
      </c>
      <c r="R14">
        <v>0.72</v>
      </c>
      <c r="S14">
        <v>50</v>
      </c>
      <c r="T14">
        <f t="shared" si="0"/>
        <v>0</v>
      </c>
      <c r="U14">
        <f t="shared" si="1"/>
        <v>1</v>
      </c>
      <c r="V14">
        <f t="shared" si="2"/>
        <v>0.72</v>
      </c>
      <c r="W14">
        <f>$BS$10</f>
        <v>4.7000000000000002E-3</v>
      </c>
      <c r="X14">
        <f t="shared" si="3"/>
        <v>0</v>
      </c>
      <c r="Y14">
        <f>$BS$4</f>
        <v>0.24</v>
      </c>
      <c r="Z14">
        <f>$BS$6</f>
        <v>1.0999999999999999E-2</v>
      </c>
      <c r="AA14">
        <f>$BS$5</f>
        <v>0.21</v>
      </c>
      <c r="AB14">
        <f t="shared" si="4"/>
        <v>5.8999999999999999E-3</v>
      </c>
      <c r="AC14">
        <f>(M14/100)*(MIN(N14,100)/100)</f>
        <v>0</v>
      </c>
      <c r="AD14">
        <f t="shared" si="5"/>
        <v>0</v>
      </c>
      <c r="AE14">
        <f>J14 * K14 / 365</f>
        <v>7.1232876712328773E-3</v>
      </c>
      <c r="AF14">
        <f>P14 * 0.92</f>
        <v>0</v>
      </c>
      <c r="AG14">
        <v>57</v>
      </c>
      <c r="AH14">
        <f>S14 / AG14</f>
        <v>0.8771929824561403</v>
      </c>
      <c r="AI14">
        <v>0</v>
      </c>
      <c r="AJ14">
        <f t="shared" si="6"/>
        <v>0</v>
      </c>
      <c r="AK14">
        <f t="shared" si="7"/>
        <v>9.5736986301369871E-4</v>
      </c>
      <c r="AL14">
        <f>(AV14 / 6.25 ) - AK14</f>
        <v>3.1506062032197808E-2</v>
      </c>
      <c r="AM14">
        <f>IF($G$11="wet",$BU$18,$BU$19)</f>
        <v>6.0000000000000001E-3</v>
      </c>
      <c r="AN14">
        <f t="shared" si="8"/>
        <v>1.5714285714285714</v>
      </c>
      <c r="AO14">
        <f t="shared" si="9"/>
        <v>1.3</v>
      </c>
      <c r="AP14">
        <f t="shared" si="10"/>
        <v>1</v>
      </c>
      <c r="AQ14">
        <f>(0.795*R14)-0.0014</f>
        <v>0.57100000000000006</v>
      </c>
      <c r="AR14">
        <v>1.7</v>
      </c>
      <c r="AS14">
        <f t="shared" si="11"/>
        <v>0.99691128459176326</v>
      </c>
      <c r="AT14">
        <f>(104.7*AQ14+0.307*S14-15)*(S14^0.75)*10^-3</f>
        <v>1.1306948910936463</v>
      </c>
      <c r="AU14">
        <f t="shared" si="12"/>
        <v>1.1272024963615108</v>
      </c>
      <c r="AV14">
        <f>(AU14 * Q14) + (0.045 * AJ14)</f>
        <v>0.20289644934507195</v>
      </c>
      <c r="AW14">
        <f t="shared" si="13"/>
        <v>0.08</v>
      </c>
      <c r="AX14">
        <f>(AU14 * ((1 - R14) + (0.04 * AU14))) * ( 1 - AW14 )</f>
        <v>0.33712490827789848</v>
      </c>
      <c r="AY14">
        <f t="shared" si="14"/>
        <v>0.24</v>
      </c>
      <c r="AZ14">
        <f t="shared" si="15"/>
        <v>0.6784</v>
      </c>
      <c r="BA14">
        <f t="shared" si="20"/>
        <v>0</v>
      </c>
      <c r="BB14">
        <f t="shared" si="16"/>
        <v>2.5797984661101933E-4</v>
      </c>
      <c r="BC14">
        <f t="shared" si="17"/>
        <v>2.5797984661101933E-4</v>
      </c>
      <c r="BD14">
        <f t="shared" si="18"/>
        <v>1.8832528802604411</v>
      </c>
      <c r="BF14">
        <f>L14*AL14*O14</f>
        <v>229.99425283504399</v>
      </c>
      <c r="BT14" s="14" t="s">
        <v>197</v>
      </c>
      <c r="BU14" s="14">
        <v>0.69</v>
      </c>
      <c r="BW14" s="8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2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>$BS$3</f>
        <v>91.25</v>
      </c>
      <c r="P15">
        <v>0.16</v>
      </c>
      <c r="Q15">
        <v>0.2</v>
      </c>
      <c r="R15">
        <v>0.75</v>
      </c>
      <c r="S15">
        <v>20</v>
      </c>
      <c r="T15">
        <f t="shared" si="0"/>
        <v>0</v>
      </c>
      <c r="U15">
        <f t="shared" si="1"/>
        <v>1</v>
      </c>
      <c r="V15">
        <f t="shared" si="2"/>
        <v>0.72</v>
      </c>
      <c r="W15">
        <f>$BS$10</f>
        <v>4.7000000000000002E-3</v>
      </c>
      <c r="X15">
        <f t="shared" si="3"/>
        <v>0</v>
      </c>
      <c r="Y15">
        <f>$BS$4</f>
        <v>0.24</v>
      </c>
      <c r="Z15">
        <f>$BS$6</f>
        <v>1.0999999999999999E-2</v>
      </c>
      <c r="AA15">
        <f>$BS$5</f>
        <v>0.21</v>
      </c>
      <c r="AB15">
        <f t="shared" si="4"/>
        <v>5.8999999999999999E-3</v>
      </c>
      <c r="AC15">
        <f>(M15/100)*(MIN(N15,100)/100)</f>
        <v>0</v>
      </c>
      <c r="AD15">
        <f t="shared" si="5"/>
        <v>0</v>
      </c>
      <c r="AE15">
        <f>J15 * K15 / 365</f>
        <v>4.9315068493150684E-3</v>
      </c>
      <c r="AF15">
        <f>P15 * 0.92</f>
        <v>0.1472</v>
      </c>
      <c r="AG15">
        <v>60</v>
      </c>
      <c r="AH15">
        <f>S15 / AG15</f>
        <v>0.33333333333333331</v>
      </c>
      <c r="AI15">
        <v>1</v>
      </c>
      <c r="AJ15">
        <f t="shared" si="6"/>
        <v>1.6</v>
      </c>
      <c r="AK15">
        <f t="shared" si="7"/>
        <v>4.2927035527562628E-3</v>
      </c>
      <c r="AL15">
        <f>(AV15 / 6.25 ) - AK15</f>
        <v>2.3394421603544668E-2</v>
      </c>
      <c r="AM15">
        <f>IF($G$11="wet",$BU$18,$BU$19)</f>
        <v>6.0000000000000001E-3</v>
      </c>
      <c r="AN15">
        <f t="shared" si="8"/>
        <v>1.5714285714285714</v>
      </c>
      <c r="AO15">
        <f t="shared" si="9"/>
        <v>1.3</v>
      </c>
      <c r="AP15">
        <f t="shared" si="10"/>
        <v>1</v>
      </c>
      <c r="AQ15">
        <f>(0.795*R15)-0.0014</f>
        <v>0.5948500000000001</v>
      </c>
      <c r="AR15">
        <v>2.9</v>
      </c>
      <c r="AS15">
        <f t="shared" si="11"/>
        <v>0.9999999504359468</v>
      </c>
      <c r="AT15">
        <f>(104.7*AQ15+0.307*S15-15)*(S15^0.75)*10^-3</f>
        <v>0.5052226861752882</v>
      </c>
      <c r="AU15">
        <f t="shared" si="12"/>
        <v>0.50522266113440406</v>
      </c>
      <c r="AV15">
        <f>(AU15 * Q15) + (0.045 * AJ15)</f>
        <v>0.17304453222688082</v>
      </c>
      <c r="AW15">
        <f t="shared" si="13"/>
        <v>0.08</v>
      </c>
      <c r="AX15">
        <f>(AU15 * ((1 - R15) + (0.04 * AU15))) * ( 1 - AW15 )</f>
        <v>0.12559440975442615</v>
      </c>
      <c r="AY15">
        <f t="shared" si="14"/>
        <v>0.24</v>
      </c>
      <c r="AZ15">
        <f t="shared" si="15"/>
        <v>0.6784</v>
      </c>
      <c r="BA15">
        <f t="shared" si="20"/>
        <v>0</v>
      </c>
      <c r="BB15">
        <f t="shared" si="16"/>
        <v>9.6109263267310253E-5</v>
      </c>
      <c r="BC15">
        <f t="shared" si="17"/>
        <v>9.6109263267310253E-5</v>
      </c>
      <c r="BD15">
        <f t="shared" si="18"/>
        <v>1.7539940546284121</v>
      </c>
      <c r="BF15">
        <f>L15*AL15*O15</f>
        <v>426.94819426469013</v>
      </c>
      <c r="BT15" s="14" t="s">
        <v>198</v>
      </c>
      <c r="BU15" s="14">
        <v>0.73</v>
      </c>
      <c r="BW15" s="8" t="s">
        <v>163</v>
      </c>
      <c r="BX15" s="8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3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>$BS$3</f>
        <v>91.25</v>
      </c>
      <c r="P16">
        <v>0.08</v>
      </c>
      <c r="Q16">
        <v>0.1</v>
      </c>
      <c r="R16">
        <v>0.61</v>
      </c>
      <c r="S16">
        <v>27</v>
      </c>
      <c r="T16">
        <f t="shared" si="0"/>
        <v>0</v>
      </c>
      <c r="U16">
        <f t="shared" si="1"/>
        <v>1</v>
      </c>
      <c r="V16">
        <f t="shared" si="2"/>
        <v>0.72</v>
      </c>
      <c r="W16">
        <f>$BS$10</f>
        <v>4.7000000000000002E-3</v>
      </c>
      <c r="X16">
        <f t="shared" si="3"/>
        <v>0</v>
      </c>
      <c r="Y16">
        <f>$BS$4</f>
        <v>0.24</v>
      </c>
      <c r="Z16">
        <f>$BS$6</f>
        <v>1.0999999999999999E-2</v>
      </c>
      <c r="AA16">
        <f>$BS$5</f>
        <v>0.21</v>
      </c>
      <c r="AB16">
        <f t="shared" si="4"/>
        <v>5.8999999999999999E-3</v>
      </c>
      <c r="AC16">
        <f>(M16/100)*(MIN(N16,100)/100)</f>
        <v>0</v>
      </c>
      <c r="AD16">
        <f t="shared" si="5"/>
        <v>0</v>
      </c>
      <c r="AE16">
        <f>J16 * K16 / 365</f>
        <v>4.9315068493150684E-3</v>
      </c>
      <c r="AF16">
        <f>P16 * 0.92</f>
        <v>7.3599999999999999E-2</v>
      </c>
      <c r="AG16">
        <v>61</v>
      </c>
      <c r="AH16">
        <f>S16 / AG16</f>
        <v>0.44262295081967212</v>
      </c>
      <c r="AI16">
        <v>0</v>
      </c>
      <c r="AJ16">
        <f t="shared" si="6"/>
        <v>0</v>
      </c>
      <c r="AK16">
        <f t="shared" si="7"/>
        <v>2.233380100205178E-3</v>
      </c>
      <c r="AL16">
        <f>(AV16 / 6.25 ) - AK16</f>
        <v>6.0894444157458105E-3</v>
      </c>
      <c r="AM16">
        <f>IF($G$11="wet",$BU$18,$BU$19)</f>
        <v>6.0000000000000001E-3</v>
      </c>
      <c r="AN16">
        <f t="shared" si="8"/>
        <v>1.5714285714285714</v>
      </c>
      <c r="AO16">
        <f t="shared" si="9"/>
        <v>1.3</v>
      </c>
      <c r="AP16">
        <f t="shared" si="10"/>
        <v>1</v>
      </c>
      <c r="AQ16">
        <f>(0.795*R16)-0.0014</f>
        <v>0.48354999999999998</v>
      </c>
      <c r="AR16">
        <v>2.5</v>
      </c>
      <c r="AS16">
        <f t="shared" si="11"/>
        <v>0.99999627334682795</v>
      </c>
      <c r="AT16">
        <f>(104.7*AQ16+0.307*S16-15)*(S16^0.75)*10^-3</f>
        <v>0.52017847077168489</v>
      </c>
      <c r="AU16">
        <f t="shared" si="12"/>
        <v>0.52017653224693672</v>
      </c>
      <c r="AV16">
        <f>(AU16 * Q16) + (0.045 * AJ16)</f>
        <v>5.2017653224693677E-2</v>
      </c>
      <c r="AW16">
        <f t="shared" si="13"/>
        <v>0.08</v>
      </c>
      <c r="AX16">
        <f>(AU16 * ((1 - R16) + (0.04 * AU16))) * ( 1 - AW16 )</f>
        <v>0.1965968171591774</v>
      </c>
      <c r="AY16">
        <f t="shared" si="14"/>
        <v>0.24</v>
      </c>
      <c r="AZ16">
        <f t="shared" si="15"/>
        <v>0.6784</v>
      </c>
      <c r="BA16">
        <f t="shared" si="20"/>
        <v>0</v>
      </c>
      <c r="BB16">
        <f t="shared" si="16"/>
        <v>1.5044280469816656E-4</v>
      </c>
      <c r="BC16">
        <f t="shared" si="17"/>
        <v>1.5044280469816656E-4</v>
      </c>
      <c r="BD16">
        <f t="shared" si="18"/>
        <v>2.8828602450286169</v>
      </c>
      <c r="BF16">
        <f>L16*AL16*O16</f>
        <v>116.6889786167291</v>
      </c>
      <c r="BT16" s="14" t="s">
        <v>199</v>
      </c>
      <c r="BU16" s="14">
        <v>0.76</v>
      </c>
      <c r="BW16" s="8" t="s">
        <v>164</v>
      </c>
      <c r="BX16" s="8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2"/>
      <c r="I17" t="s">
        <v>165</v>
      </c>
      <c r="J17">
        <f t="shared" ref="J17:J18" si="21">J16</f>
        <v>3</v>
      </c>
      <c r="K17">
        <f t="shared" ref="K17:K18" si="22">K16</f>
        <v>0.6</v>
      </c>
      <c r="L17">
        <v>170</v>
      </c>
      <c r="M17">
        <v>0</v>
      </c>
      <c r="N17">
        <v>0</v>
      </c>
      <c r="O17">
        <f>$BS$3</f>
        <v>91.25</v>
      </c>
      <c r="P17">
        <v>0.05</v>
      </c>
      <c r="Q17">
        <v>0.12</v>
      </c>
      <c r="R17">
        <v>0.64</v>
      </c>
      <c r="S17">
        <v>32</v>
      </c>
      <c r="T17">
        <f t="shared" si="0"/>
        <v>0</v>
      </c>
      <c r="U17">
        <f t="shared" si="1"/>
        <v>1</v>
      </c>
      <c r="V17">
        <f t="shared" si="2"/>
        <v>0.72</v>
      </c>
      <c r="W17">
        <f>$BS$10</f>
        <v>4.7000000000000002E-3</v>
      </c>
      <c r="X17">
        <f t="shared" si="3"/>
        <v>0</v>
      </c>
      <c r="Y17">
        <f>$BS$4</f>
        <v>0.24</v>
      </c>
      <c r="Z17">
        <f>$BS$6</f>
        <v>1.0999999999999999E-2</v>
      </c>
      <c r="AA17">
        <f>$BS$5</f>
        <v>0.21</v>
      </c>
      <c r="AB17">
        <f t="shared" si="4"/>
        <v>5.8999999999999999E-3</v>
      </c>
      <c r="AC17">
        <f>(M17/100)*(MIN(N17,100)/100)</f>
        <v>0</v>
      </c>
      <c r="AD17">
        <f t="shared" si="5"/>
        <v>0</v>
      </c>
      <c r="AE17">
        <f>J17 * K17 / 365</f>
        <v>4.9315068493150684E-3</v>
      </c>
      <c r="AF17">
        <f>P17 * 0.92</f>
        <v>4.6000000000000006E-2</v>
      </c>
      <c r="AG17">
        <v>62</v>
      </c>
      <c r="AH17">
        <f>S17 / AG17</f>
        <v>0.5161290322580645</v>
      </c>
      <c r="AI17">
        <v>0</v>
      </c>
      <c r="AJ17">
        <f t="shared" si="6"/>
        <v>0</v>
      </c>
      <c r="AK17">
        <f t="shared" si="7"/>
        <v>1.5400455022570668E-3</v>
      </c>
      <c r="AL17">
        <f>(AV17 / 6.25 ) - AK17</f>
        <v>1.077222459730026E-2</v>
      </c>
      <c r="AM17">
        <f>IF($G$11="wet",$BU$18,$BU$19)</f>
        <v>6.0000000000000001E-3</v>
      </c>
      <c r="AN17">
        <f t="shared" si="8"/>
        <v>1.5714285714285714</v>
      </c>
      <c r="AO17">
        <f t="shared" si="9"/>
        <v>1.3</v>
      </c>
      <c r="AP17">
        <f t="shared" si="10"/>
        <v>1</v>
      </c>
      <c r="AQ17">
        <f>(0.795*R17)-0.0014</f>
        <v>0.50740000000000007</v>
      </c>
      <c r="AR17">
        <v>1.6</v>
      </c>
      <c r="AS17">
        <f t="shared" si="11"/>
        <v>0.99402397710499402</v>
      </c>
      <c r="AT17">
        <f>(104.7*AQ17+0.307*S17-15)*(S17^0.75)*10^-3</f>
        <v>0.64511931548462409</v>
      </c>
      <c r="AU17">
        <f t="shared" si="12"/>
        <v>0.64126406768527744</v>
      </c>
      <c r="AV17">
        <f>(AU17 * Q17) + (0.045 * AJ17)</f>
        <v>7.6951688122233283E-2</v>
      </c>
      <c r="AW17">
        <f t="shared" si="13"/>
        <v>0.08</v>
      </c>
      <c r="AX17">
        <f>(AU17 * ((1 - R17) + (0.04 * AU17))) * ( 1 - AW17 )</f>
        <v>0.22751954066312097</v>
      </c>
      <c r="AY17">
        <f t="shared" si="14"/>
        <v>0.24</v>
      </c>
      <c r="AZ17">
        <f t="shared" si="15"/>
        <v>0.6784</v>
      </c>
      <c r="BA17">
        <f t="shared" si="20"/>
        <v>0</v>
      </c>
      <c r="BB17">
        <f t="shared" si="16"/>
        <v>1.7410596120325152E-4</v>
      </c>
      <c r="BC17">
        <f t="shared" si="17"/>
        <v>1.7410596120325152E-4</v>
      </c>
      <c r="BD17">
        <f t="shared" si="18"/>
        <v>2.700818723165439</v>
      </c>
      <c r="BF17">
        <f>L17*AL17*O17</f>
        <v>167.10413406562029</v>
      </c>
      <c r="BW17" s="8" t="s">
        <v>165</v>
      </c>
      <c r="BX17" s="8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3"/>
      <c r="I18" t="s">
        <v>166</v>
      </c>
      <c r="J18">
        <f t="shared" si="21"/>
        <v>3</v>
      </c>
      <c r="K18">
        <f t="shared" si="22"/>
        <v>0.6</v>
      </c>
      <c r="L18">
        <v>200</v>
      </c>
      <c r="M18">
        <v>0</v>
      </c>
      <c r="N18">
        <v>0</v>
      </c>
      <c r="O18">
        <f>$BS$3</f>
        <v>91.25</v>
      </c>
      <c r="P18">
        <v>0.04</v>
      </c>
      <c r="Q18">
        <v>0.18</v>
      </c>
      <c r="R18">
        <v>0.72</v>
      </c>
      <c r="S18">
        <v>34</v>
      </c>
      <c r="T18">
        <f t="shared" si="0"/>
        <v>0</v>
      </c>
      <c r="U18">
        <f t="shared" si="1"/>
        <v>1</v>
      </c>
      <c r="V18">
        <f t="shared" si="2"/>
        <v>0.72</v>
      </c>
      <c r="W18">
        <f>$BS$10</f>
        <v>4.7000000000000002E-3</v>
      </c>
      <c r="X18">
        <f t="shared" si="3"/>
        <v>0</v>
      </c>
      <c r="Y18">
        <f>$BS$4</f>
        <v>0.24</v>
      </c>
      <c r="Z18">
        <f>$BS$6</f>
        <v>1.0999999999999999E-2</v>
      </c>
      <c r="AA18">
        <f>$BS$5</f>
        <v>0.21</v>
      </c>
      <c r="AB18">
        <f t="shared" si="4"/>
        <v>5.8999999999999999E-3</v>
      </c>
      <c r="AC18">
        <f>(M18/100)*(MIN(N18,100)/100)</f>
        <v>0</v>
      </c>
      <c r="AD18">
        <f t="shared" si="5"/>
        <v>0</v>
      </c>
      <c r="AE18">
        <f>J18 * K18 / 365</f>
        <v>4.9315068493150684E-3</v>
      </c>
      <c r="AF18">
        <f>P18 * 0.92</f>
        <v>3.6799999999999999E-2</v>
      </c>
      <c r="AG18">
        <v>63</v>
      </c>
      <c r="AH18">
        <f>S18 / AG18</f>
        <v>0.53968253968253965</v>
      </c>
      <c r="AI18">
        <v>0</v>
      </c>
      <c r="AJ18">
        <f t="shared" si="6"/>
        <v>0</v>
      </c>
      <c r="AK18">
        <f t="shared" si="7"/>
        <v>1.3398080165132112E-3</v>
      </c>
      <c r="AL18">
        <f>(AV18 / 6.25 ) - AK18</f>
        <v>2.098398359742434E-2</v>
      </c>
      <c r="AM18">
        <f>IF($G$11="wet",$BU$18,$BU$19)</f>
        <v>6.0000000000000001E-3</v>
      </c>
      <c r="AN18">
        <f t="shared" si="8"/>
        <v>1.5714285714285714</v>
      </c>
      <c r="AO18">
        <f t="shared" si="9"/>
        <v>1.3</v>
      </c>
      <c r="AP18">
        <f t="shared" si="10"/>
        <v>1</v>
      </c>
      <c r="AQ18">
        <f>(0.795*R18)-0.0014</f>
        <v>0.57100000000000006</v>
      </c>
      <c r="AR18">
        <v>1.7</v>
      </c>
      <c r="AS18">
        <f t="shared" si="11"/>
        <v>0.99691128459176326</v>
      </c>
      <c r="AT18">
        <f>(104.7*AQ18+0.307*S18-15)*(S18^0.75)*10^-3</f>
        <v>0.77753323213623582</v>
      </c>
      <c r="AU18">
        <f t="shared" si="12"/>
        <v>0.77513165326172051</v>
      </c>
      <c r="AV18">
        <f>(AU18 * Q18) + (0.045 * AJ18)</f>
        <v>0.1395236975871097</v>
      </c>
      <c r="AW18">
        <f t="shared" si="13"/>
        <v>0.08</v>
      </c>
      <c r="AX18">
        <f>(AU18 * ((1 - R18) + (0.04 * AU18))) * ( 1 - AW18 )</f>
        <v>0.22178442402010679</v>
      </c>
      <c r="AY18">
        <f t="shared" si="14"/>
        <v>0.24</v>
      </c>
      <c r="AZ18">
        <f t="shared" si="15"/>
        <v>0.6784</v>
      </c>
      <c r="BA18">
        <f t="shared" si="20"/>
        <v>0</v>
      </c>
      <c r="BB18">
        <f t="shared" si="16"/>
        <v>1.6971724807191121E-4</v>
      </c>
      <c r="BC18">
        <f t="shared" si="17"/>
        <v>1.6971724807191121E-4</v>
      </c>
      <c r="BD18">
        <f t="shared" si="18"/>
        <v>3.0973397773123792</v>
      </c>
      <c r="BF18">
        <f>L18*AL18*O18</f>
        <v>382.95770065299422</v>
      </c>
      <c r="BS18" t="s">
        <v>149</v>
      </c>
      <c r="BT18" s="14" t="s">
        <v>254</v>
      </c>
      <c r="BU18" s="14">
        <v>6.0000000000000001E-3</v>
      </c>
      <c r="BW18" s="8" t="s">
        <v>166</v>
      </c>
      <c r="BX18" s="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2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>$BS$3</f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0"/>
        <v>0</v>
      </c>
      <c r="U19">
        <f t="shared" si="1"/>
        <v>1</v>
      </c>
      <c r="V19">
        <f t="shared" si="2"/>
        <v>0.72</v>
      </c>
      <c r="W19">
        <f>$BS$10</f>
        <v>4.7000000000000002E-3</v>
      </c>
      <c r="X19">
        <f t="shared" si="3"/>
        <v>0</v>
      </c>
      <c r="Y19">
        <f>$BS$4</f>
        <v>0.24</v>
      </c>
      <c r="Z19">
        <f>$BS$6</f>
        <v>1.0999999999999999E-2</v>
      </c>
      <c r="AA19">
        <f>$BS$5</f>
        <v>0.21</v>
      </c>
      <c r="AB19">
        <f t="shared" si="4"/>
        <v>5.8999999999999999E-3</v>
      </c>
      <c r="AC19">
        <f>(M19/100)*(MIN(N19,100)/100)</f>
        <v>0.95</v>
      </c>
      <c r="AD19">
        <f t="shared" si="5"/>
        <v>1.52</v>
      </c>
      <c r="AE19">
        <f>J19 * K19 / 365</f>
        <v>3.5616438356164386E-3</v>
      </c>
      <c r="AF19">
        <f>P19 * 0.92</f>
        <v>6.4400000000000013E-2</v>
      </c>
      <c r="AG19">
        <v>57</v>
      </c>
      <c r="AH19">
        <f>S19 / AG19</f>
        <v>0.77192982456140347</v>
      </c>
      <c r="AI19">
        <v>0</v>
      </c>
      <c r="AJ19">
        <f t="shared" si="6"/>
        <v>0</v>
      </c>
      <c r="AK19">
        <f t="shared" si="7"/>
        <v>1.2305324245694275E-2</v>
      </c>
      <c r="AL19">
        <f>(AV19 / 6.25 ) - AK19</f>
        <v>3.0398436809107053E-2</v>
      </c>
      <c r="AM19">
        <f>IF($G$11="wet",$BU$18,$BU$19)</f>
        <v>6.0000000000000001E-3</v>
      </c>
      <c r="AN19">
        <f t="shared" si="8"/>
        <v>1.5714285714285714</v>
      </c>
      <c r="AO19">
        <f t="shared" si="9"/>
        <v>1.3</v>
      </c>
      <c r="AP19">
        <f t="shared" si="10"/>
        <v>1.2849999999999999</v>
      </c>
      <c r="AQ19">
        <f>(0.795*R19)-0.0014</f>
        <v>0.5948500000000001</v>
      </c>
      <c r="AR19">
        <v>2.9</v>
      </c>
      <c r="AS19">
        <f t="shared" si="11"/>
        <v>0.9999999504359468</v>
      </c>
      <c r="AT19">
        <f>(104.7*AQ19+0.307*S19-15)*(S19^0.75)*10^-3</f>
        <v>1.0385156413271623</v>
      </c>
      <c r="AU19">
        <f t="shared" si="12"/>
        <v>1.3344925329625414</v>
      </c>
      <c r="AV19">
        <f>(AU19 * Q19) + (0.045 * AJ19)</f>
        <v>0.2668985065925083</v>
      </c>
      <c r="AW19">
        <f t="shared" si="13"/>
        <v>0.08</v>
      </c>
      <c r="AX19">
        <f>(AU19 * ((1 - R19) + (0.04 * AU19))) * ( 1 - AW19 )</f>
        <v>0.37246931037699088</v>
      </c>
      <c r="AY19">
        <f t="shared" si="14"/>
        <v>0.24</v>
      </c>
      <c r="AZ19">
        <f t="shared" si="15"/>
        <v>0.6784</v>
      </c>
      <c r="BA19">
        <f t="shared" si="20"/>
        <v>0</v>
      </c>
      <c r="BB19">
        <f t="shared" si="16"/>
        <v>2.850266272201987E-4</v>
      </c>
      <c r="BC19">
        <f t="shared" si="17"/>
        <v>2.850266272201987E-4</v>
      </c>
      <c r="BD19">
        <f t="shared" si="18"/>
        <v>2.6008679733843132</v>
      </c>
      <c r="BF19">
        <f>L19*AL19*O19</f>
        <v>277.38573588310186</v>
      </c>
      <c r="BT19" s="14" t="s">
        <v>255</v>
      </c>
      <c r="BU19" s="14">
        <v>2E-3</v>
      </c>
      <c r="BW19" s="8" t="s">
        <v>163</v>
      </c>
      <c r="BX19" s="8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3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>$BS$3</f>
        <v>91.25</v>
      </c>
      <c r="P20">
        <v>0</v>
      </c>
      <c r="Q20">
        <v>0.1</v>
      </c>
      <c r="R20">
        <v>0.61</v>
      </c>
      <c r="S20">
        <v>42</v>
      </c>
      <c r="T20">
        <f t="shared" si="0"/>
        <v>0</v>
      </c>
      <c r="U20">
        <f t="shared" si="1"/>
        <v>1</v>
      </c>
      <c r="V20">
        <f t="shared" si="2"/>
        <v>0.72</v>
      </c>
      <c r="W20">
        <f>$BS$10</f>
        <v>4.7000000000000002E-3</v>
      </c>
      <c r="X20">
        <f t="shared" si="3"/>
        <v>0</v>
      </c>
      <c r="Y20">
        <f>$BS$4</f>
        <v>0.24</v>
      </c>
      <c r="Z20">
        <f>$BS$6</f>
        <v>1.0999999999999999E-2</v>
      </c>
      <c r="AA20">
        <f>$BS$5</f>
        <v>0.21</v>
      </c>
      <c r="AB20">
        <f t="shared" si="4"/>
        <v>5.8999999999999999E-3</v>
      </c>
      <c r="AC20">
        <f>(M20/100)*(MIN(N20,100)/100)</f>
        <v>0</v>
      </c>
      <c r="AD20">
        <f t="shared" si="5"/>
        <v>0</v>
      </c>
      <c r="AE20">
        <f>J20 * K20 / 365</f>
        <v>3.5616438356164386E-3</v>
      </c>
      <c r="AF20">
        <f>P20 * 0.92</f>
        <v>0</v>
      </c>
      <c r="AG20">
        <v>57</v>
      </c>
      <c r="AH20">
        <f>S20 / AG20</f>
        <v>0.73684210526315785</v>
      </c>
      <c r="AI20">
        <v>0</v>
      </c>
      <c r="AJ20">
        <f t="shared" si="6"/>
        <v>0</v>
      </c>
      <c r="AK20">
        <f t="shared" si="7"/>
        <v>4.7868493150684936E-4</v>
      </c>
      <c r="AL20">
        <f>(AV20 / 6.25 ) - AK20</f>
        <v>1.2329606659197917E-2</v>
      </c>
      <c r="AM20">
        <f>IF($G$11="wet",$BU$18,$BU$19)</f>
        <v>6.0000000000000001E-3</v>
      </c>
      <c r="AN20">
        <f t="shared" si="8"/>
        <v>1.5714285714285714</v>
      </c>
      <c r="AO20">
        <f t="shared" si="9"/>
        <v>1.3</v>
      </c>
      <c r="AP20">
        <f t="shared" si="10"/>
        <v>1</v>
      </c>
      <c r="AQ20">
        <f>(0.795*R20)-0.0014</f>
        <v>0.48354999999999998</v>
      </c>
      <c r="AR20">
        <v>2.5</v>
      </c>
      <c r="AS20">
        <f t="shared" si="11"/>
        <v>0.99999627334682795</v>
      </c>
      <c r="AT20">
        <f>(104.7*AQ20+0.307*S20-15)*(S20^0.75)*10^-3</f>
        <v>0.80052120768394575</v>
      </c>
      <c r="AU20">
        <f t="shared" si="12"/>
        <v>0.80051822441904785</v>
      </c>
      <c r="AV20">
        <f>(AU20 * Q20) + (0.045 * AJ20)</f>
        <v>8.0051822441904785E-2</v>
      </c>
      <c r="AW20">
        <f t="shared" si="13"/>
        <v>0.08</v>
      </c>
      <c r="AX20">
        <f>(AU20 * ((1 - R20) + (0.04 * AU20))) * ( 1 - AW20 )</f>
        <v>0.31080846185822891</v>
      </c>
      <c r="AY20">
        <f t="shared" si="14"/>
        <v>0.24</v>
      </c>
      <c r="AZ20">
        <f t="shared" si="15"/>
        <v>0.6784</v>
      </c>
      <c r="BA20">
        <f t="shared" si="20"/>
        <v>0</v>
      </c>
      <c r="BB20">
        <f t="shared" si="16"/>
        <v>2.3784157547177418E-4</v>
      </c>
      <c r="BC20">
        <f t="shared" si="17"/>
        <v>2.3784157547177418E-4</v>
      </c>
      <c r="BD20">
        <f t="shared" si="18"/>
        <v>3.0384261266519155</v>
      </c>
      <c r="BF20">
        <f>L20*AL20*O20</f>
        <v>157.51072507125338</v>
      </c>
      <c r="BS20" t="s">
        <v>258</v>
      </c>
      <c r="BT20">
        <v>0.6784</v>
      </c>
      <c r="BW20" s="8" t="s">
        <v>164</v>
      </c>
      <c r="BX20" s="8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2"/>
      <c r="I21" t="s">
        <v>165</v>
      </c>
      <c r="J21">
        <f t="shared" ref="J21:J22" si="23">J20</f>
        <v>2</v>
      </c>
      <c r="K21">
        <f t="shared" ref="K21:K22" si="24">K20</f>
        <v>0.65</v>
      </c>
      <c r="L21">
        <v>135</v>
      </c>
      <c r="M21">
        <v>0</v>
      </c>
      <c r="N21">
        <v>0</v>
      </c>
      <c r="O21">
        <f>$BS$3</f>
        <v>91.25</v>
      </c>
      <c r="P21">
        <v>0</v>
      </c>
      <c r="Q21">
        <v>0.12</v>
      </c>
      <c r="R21">
        <v>0.64</v>
      </c>
      <c r="S21">
        <v>43</v>
      </c>
      <c r="T21">
        <f t="shared" si="0"/>
        <v>0</v>
      </c>
      <c r="U21">
        <f t="shared" si="1"/>
        <v>1</v>
      </c>
      <c r="V21">
        <f t="shared" si="2"/>
        <v>0.72</v>
      </c>
      <c r="W21">
        <f>$BS$10</f>
        <v>4.7000000000000002E-3</v>
      </c>
      <c r="X21">
        <f t="shared" si="3"/>
        <v>0</v>
      </c>
      <c r="Y21">
        <f>$BS$4</f>
        <v>0.24</v>
      </c>
      <c r="Z21">
        <f>$BS$6</f>
        <v>1.0999999999999999E-2</v>
      </c>
      <c r="AA21">
        <f>$BS$5</f>
        <v>0.21</v>
      </c>
      <c r="AB21">
        <f t="shared" si="4"/>
        <v>5.8999999999999999E-3</v>
      </c>
      <c r="AC21">
        <f>(M21/100)*(MIN(N21,100)/100)</f>
        <v>0</v>
      </c>
      <c r="AD21">
        <f t="shared" si="5"/>
        <v>0</v>
      </c>
      <c r="AE21">
        <f>J21 * K21 / 365</f>
        <v>3.5616438356164386E-3</v>
      </c>
      <c r="AF21">
        <f>P21 * 0.92</f>
        <v>0</v>
      </c>
      <c r="AG21">
        <v>57</v>
      </c>
      <c r="AH21">
        <f>S21 / AG21</f>
        <v>0.75438596491228072</v>
      </c>
      <c r="AI21">
        <v>0</v>
      </c>
      <c r="AJ21">
        <f t="shared" si="6"/>
        <v>0</v>
      </c>
      <c r="AK21">
        <f t="shared" si="7"/>
        <v>4.7868493150684936E-4</v>
      </c>
      <c r="AL21">
        <f>(AV21 / 6.25 ) - AK21</f>
        <v>1.5970144180934887E-2</v>
      </c>
      <c r="AM21">
        <f>IF($G$11="wet",$BU$18,$BU$19)</f>
        <v>6.0000000000000001E-3</v>
      </c>
      <c r="AN21">
        <f t="shared" si="8"/>
        <v>1.5714285714285714</v>
      </c>
      <c r="AO21">
        <f t="shared" si="9"/>
        <v>1.3</v>
      </c>
      <c r="AP21">
        <f t="shared" si="10"/>
        <v>1</v>
      </c>
      <c r="AQ21">
        <f>(0.795*R21)-0.0014</f>
        <v>0.50740000000000007</v>
      </c>
      <c r="AR21">
        <v>1.6</v>
      </c>
      <c r="AS21">
        <f t="shared" si="11"/>
        <v>0.99402397710499402</v>
      </c>
      <c r="AT21">
        <f>(104.7*AQ21+0.307*S21-15)*(S21^0.75)*10^-3</f>
        <v>0.86186034677094148</v>
      </c>
      <c r="AU21">
        <f t="shared" si="12"/>
        <v>0.85670984960634056</v>
      </c>
      <c r="AV21">
        <f>(AU21 * Q21) + (0.045 * AJ21)</f>
        <v>0.10280518195276087</v>
      </c>
      <c r="AW21">
        <f t="shared" si="13"/>
        <v>0.08</v>
      </c>
      <c r="AX21">
        <f>(AU21 * ((1 - R21) + (0.04 * AU21))) * ( 1 - AW21 )</f>
        <v>0.31075172719360067</v>
      </c>
      <c r="AY21">
        <f t="shared" si="14"/>
        <v>0.24</v>
      </c>
      <c r="AZ21">
        <f t="shared" si="15"/>
        <v>0.6784</v>
      </c>
      <c r="BA21">
        <f t="shared" si="20"/>
        <v>0</v>
      </c>
      <c r="BB21">
        <f t="shared" si="16"/>
        <v>2.3779816010934047E-4</v>
      </c>
      <c r="BC21">
        <f t="shared" si="17"/>
        <v>2.3779816010934047E-4</v>
      </c>
      <c r="BD21">
        <f t="shared" si="18"/>
        <v>2.9293760848469379</v>
      </c>
      <c r="BF21">
        <f>L21*AL21*O21</f>
        <v>196.73221362889163</v>
      </c>
      <c r="BW21" s="8" t="s">
        <v>165</v>
      </c>
      <c r="BX21" s="8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3"/>
      <c r="I22" t="s">
        <v>166</v>
      </c>
      <c r="J22">
        <f t="shared" si="23"/>
        <v>2</v>
      </c>
      <c r="K22">
        <f t="shared" si="24"/>
        <v>0.65</v>
      </c>
      <c r="L22">
        <v>130</v>
      </c>
      <c r="M22">
        <v>0</v>
      </c>
      <c r="N22">
        <v>0</v>
      </c>
      <c r="O22">
        <f>$BS$3</f>
        <v>91.25</v>
      </c>
      <c r="P22">
        <v>0.02</v>
      </c>
      <c r="Q22">
        <v>0.18</v>
      </c>
      <c r="R22">
        <v>0.72</v>
      </c>
      <c r="S22">
        <v>45</v>
      </c>
      <c r="T22">
        <f t="shared" si="0"/>
        <v>0</v>
      </c>
      <c r="U22">
        <f t="shared" si="1"/>
        <v>1</v>
      </c>
      <c r="V22">
        <f t="shared" si="2"/>
        <v>0.72</v>
      </c>
      <c r="W22">
        <f>$BS$10</f>
        <v>4.7000000000000002E-3</v>
      </c>
      <c r="X22">
        <f t="shared" si="3"/>
        <v>0</v>
      </c>
      <c r="Y22">
        <f>$BS$4</f>
        <v>0.24</v>
      </c>
      <c r="Z22">
        <f>$BS$6</f>
        <v>1.0999999999999999E-2</v>
      </c>
      <c r="AA22">
        <f>$BS$5</f>
        <v>0.21</v>
      </c>
      <c r="AB22">
        <f t="shared" si="4"/>
        <v>5.8999999999999999E-3</v>
      </c>
      <c r="AC22">
        <f>(M22/100)*(MIN(N22,100)/100)</f>
        <v>0</v>
      </c>
      <c r="AD22">
        <f t="shared" si="5"/>
        <v>0</v>
      </c>
      <c r="AE22">
        <f>J22 * K22 / 365</f>
        <v>3.5616438356164386E-3</v>
      </c>
      <c r="AF22">
        <f>P22 * 0.92</f>
        <v>1.84E-2</v>
      </c>
      <c r="AG22">
        <v>57</v>
      </c>
      <c r="AH22">
        <f>S22 / AG22</f>
        <v>0.78947368421052633</v>
      </c>
      <c r="AI22">
        <v>0</v>
      </c>
      <c r="AJ22">
        <f t="shared" si="6"/>
        <v>0</v>
      </c>
      <c r="AK22">
        <f t="shared" si="7"/>
        <v>7.2777894310489225E-4</v>
      </c>
      <c r="AL22">
        <f>(AV22 / 6.25 ) - AK22</f>
        <v>2.8503402354687943E-2</v>
      </c>
      <c r="AM22">
        <f>IF($G$11="wet",$BU$18,$BU$19)</f>
        <v>6.0000000000000001E-3</v>
      </c>
      <c r="AN22">
        <f t="shared" si="8"/>
        <v>1.5714285714285714</v>
      </c>
      <c r="AO22">
        <f t="shared" si="9"/>
        <v>1.3</v>
      </c>
      <c r="AP22">
        <f t="shared" si="10"/>
        <v>1</v>
      </c>
      <c r="AQ22">
        <f>(0.795*R22)-0.0014</f>
        <v>0.57100000000000006</v>
      </c>
      <c r="AR22">
        <v>1.7</v>
      </c>
      <c r="AS22">
        <f t="shared" si="11"/>
        <v>0.99691128459176326</v>
      </c>
      <c r="AT22">
        <f>(104.7*AQ22+0.307*S22-15)*(S22^0.75)*10^-3</f>
        <v>1.0181162441707754</v>
      </c>
      <c r="AU22">
        <f t="shared" si="12"/>
        <v>1.014971572840029</v>
      </c>
      <c r="AV22">
        <f>(AU22 * Q22) + (0.045 * AJ22)</f>
        <v>0.18269488311120521</v>
      </c>
      <c r="AW22">
        <f t="shared" si="13"/>
        <v>0.08</v>
      </c>
      <c r="AX22">
        <f>(AU22 * ((1 - R22) + (0.04 * AU22))) * ( 1 - AW22 )</f>
        <v>0.29936683357077126</v>
      </c>
      <c r="AY22">
        <f t="shared" si="14"/>
        <v>0.24</v>
      </c>
      <c r="AZ22">
        <f t="shared" si="15"/>
        <v>0.6784</v>
      </c>
      <c r="BA22">
        <f t="shared" si="20"/>
        <v>0</v>
      </c>
      <c r="BB22">
        <f t="shared" si="16"/>
        <v>2.2908603876089584E-4</v>
      </c>
      <c r="BC22">
        <f t="shared" si="17"/>
        <v>2.2908603876089584E-4</v>
      </c>
      <c r="BD22">
        <f t="shared" si="18"/>
        <v>2.7175331348011267</v>
      </c>
      <c r="BF22">
        <f>L22*AL22*O22</f>
        <v>338.12161043248574</v>
      </c>
      <c r="BW22" s="8" t="s">
        <v>166</v>
      </c>
      <c r="BX22" s="8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2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>$BS$3</f>
        <v>91.25</v>
      </c>
      <c r="P23">
        <v>0.05</v>
      </c>
      <c r="Q23">
        <v>0.2</v>
      </c>
      <c r="R23">
        <v>0.75</v>
      </c>
      <c r="S23">
        <v>56</v>
      </c>
      <c r="T23">
        <f t="shared" si="0"/>
        <v>0</v>
      </c>
      <c r="U23">
        <f t="shared" si="1"/>
        <v>1</v>
      </c>
      <c r="V23">
        <f t="shared" si="2"/>
        <v>0.72</v>
      </c>
      <c r="W23">
        <f>$BS$10</f>
        <v>4.7000000000000002E-3</v>
      </c>
      <c r="X23">
        <f t="shared" si="3"/>
        <v>0</v>
      </c>
      <c r="Y23">
        <f>$BS$4</f>
        <v>0.24</v>
      </c>
      <c r="Z23">
        <f>$BS$6</f>
        <v>1.0999999999999999E-2</v>
      </c>
      <c r="AA23">
        <f>$BS$5</f>
        <v>0.21</v>
      </c>
      <c r="AB23">
        <f t="shared" si="4"/>
        <v>5.8999999999999999E-3</v>
      </c>
      <c r="AC23">
        <f>(M23/100)*(MIN(N23,100)/100)</f>
        <v>0</v>
      </c>
      <c r="AD23">
        <f t="shared" si="5"/>
        <v>0</v>
      </c>
      <c r="AE23">
        <f>J23 * K23 / 365</f>
        <v>3.8356164383561643E-3</v>
      </c>
      <c r="AF23">
        <f>P23 * 0.92</f>
        <v>4.6000000000000006E-2</v>
      </c>
      <c r="AG23">
        <v>57</v>
      </c>
      <c r="AH23">
        <f>S23 / AG23</f>
        <v>0.98245614035087714</v>
      </c>
      <c r="AI23">
        <v>0</v>
      </c>
      <c r="AJ23">
        <f t="shared" si="6"/>
        <v>0</v>
      </c>
      <c r="AK23">
        <f t="shared" si="7"/>
        <v>1.0761713957214488E-3</v>
      </c>
      <c r="AL23">
        <f>(AV23 / 6.25 ) - AK23</f>
        <v>4.1158340075111606E-2</v>
      </c>
      <c r="AM23">
        <f>IF($G$11="wet",$BU$18,$BU$19)</f>
        <v>6.0000000000000001E-3</v>
      </c>
      <c r="AN23">
        <f t="shared" si="8"/>
        <v>1.5714285714285714</v>
      </c>
      <c r="AO23">
        <f t="shared" si="9"/>
        <v>1.3</v>
      </c>
      <c r="AP23">
        <f t="shared" si="10"/>
        <v>1</v>
      </c>
      <c r="AQ23">
        <f>(0.795*R23)-0.0014</f>
        <v>0.5948500000000001</v>
      </c>
      <c r="AR23">
        <v>2.9</v>
      </c>
      <c r="AS23">
        <f t="shared" si="11"/>
        <v>0.9999999504359468</v>
      </c>
      <c r="AT23">
        <f>(104.7*AQ23+0.307*S23-15)*(S23^0.75)*10^-3</f>
        <v>1.3198285488795851</v>
      </c>
      <c r="AU23">
        <f t="shared" si="12"/>
        <v>1.3198284834635328</v>
      </c>
      <c r="AV23">
        <f>(AU23 * Q23) + (0.045 * AJ23)</f>
        <v>0.26396569669270659</v>
      </c>
      <c r="AW23">
        <f t="shared" si="13"/>
        <v>0.08</v>
      </c>
      <c r="AX23">
        <f>(AU23 * ((1 - R23) + (0.04 * AU23))) * ( 1 - AW23 )</f>
        <v>0.3676642091046412</v>
      </c>
      <c r="AY23">
        <f t="shared" si="14"/>
        <v>0.24</v>
      </c>
      <c r="AZ23">
        <f t="shared" si="15"/>
        <v>0.6784</v>
      </c>
      <c r="BA23">
        <f t="shared" si="20"/>
        <v>0</v>
      </c>
      <c r="BB23">
        <f t="shared" si="16"/>
        <v>2.8134959458703197E-4</v>
      </c>
      <c r="BC23">
        <f t="shared" si="17"/>
        <v>2.8134959458703197E-4</v>
      </c>
      <c r="BD23">
        <f t="shared" si="18"/>
        <v>5.1346301012133333</v>
      </c>
      <c r="BF23">
        <f>L23*AL23*O23</f>
        <v>751.13970637078694</v>
      </c>
      <c r="BW23" s="8" t="s">
        <v>163</v>
      </c>
      <c r="BX23" s="8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3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>$BS$3</f>
        <v>91.25</v>
      </c>
      <c r="P24">
        <v>-0.05</v>
      </c>
      <c r="Q24">
        <v>0.1</v>
      </c>
      <c r="R24">
        <v>0.61</v>
      </c>
      <c r="S24">
        <v>51</v>
      </c>
      <c r="T24">
        <f t="shared" si="0"/>
        <v>0</v>
      </c>
      <c r="U24">
        <f t="shared" si="1"/>
        <v>1</v>
      </c>
      <c r="V24">
        <f t="shared" si="2"/>
        <v>0.72</v>
      </c>
      <c r="W24">
        <f>$BS$10</f>
        <v>4.7000000000000002E-3</v>
      </c>
      <c r="X24">
        <f t="shared" si="3"/>
        <v>0</v>
      </c>
      <c r="Y24">
        <f>$BS$4</f>
        <v>0.24</v>
      </c>
      <c r="Z24">
        <f>$BS$6</f>
        <v>1.0999999999999999E-2</v>
      </c>
      <c r="AA24">
        <f>$BS$5</f>
        <v>0.21</v>
      </c>
      <c r="AB24">
        <f t="shared" si="4"/>
        <v>5.8999999999999999E-3</v>
      </c>
      <c r="AC24">
        <f>(M24/100)*(MIN(N24,100)/100)</f>
        <v>0</v>
      </c>
      <c r="AD24">
        <f t="shared" si="5"/>
        <v>0</v>
      </c>
      <c r="AE24">
        <f>J24 * K24 / 365</f>
        <v>3.8356164383561643E-3</v>
      </c>
      <c r="AF24">
        <f>P24 * 0.92</f>
        <v>-4.6000000000000006E-2</v>
      </c>
      <c r="AG24">
        <v>57</v>
      </c>
      <c r="AH24">
        <f>S24 / AG24</f>
        <v>0.89473684210526316</v>
      </c>
      <c r="AI24">
        <v>0</v>
      </c>
      <c r="AJ24">
        <f t="shared" si="6"/>
        <v>0</v>
      </c>
      <c r="AK24">
        <f t="shared" si="7"/>
        <v>-6.7008407966660379E-5</v>
      </c>
      <c r="AL24">
        <f>(AV24 / 6.25 ) - AK24</f>
        <v>1.5726717450560028E-2</v>
      </c>
      <c r="AM24">
        <f>IF($G$11="wet",$BU$18,$BU$19)</f>
        <v>6.0000000000000001E-3</v>
      </c>
      <c r="AN24">
        <f t="shared" si="8"/>
        <v>1.5714285714285714</v>
      </c>
      <c r="AO24">
        <f t="shared" si="9"/>
        <v>1.3</v>
      </c>
      <c r="AP24">
        <f t="shared" si="10"/>
        <v>1</v>
      </c>
      <c r="AQ24">
        <f>(0.795*R24)-0.0014</f>
        <v>0.48354999999999998</v>
      </c>
      <c r="AR24">
        <v>2.5</v>
      </c>
      <c r="AS24">
        <f t="shared" si="11"/>
        <v>0.99999627334682795</v>
      </c>
      <c r="AT24">
        <f>(104.7*AQ24+0.307*S24-15)*(S24^0.75)*10^-3</f>
        <v>0.97873546256970145</v>
      </c>
      <c r="AU24">
        <f t="shared" si="12"/>
        <v>0.97873181516208529</v>
      </c>
      <c r="AV24">
        <f>(AU24 * Q24) + (0.045 * AJ24)</f>
        <v>9.7873181516208538E-2</v>
      </c>
      <c r="AW24">
        <f t="shared" si="13"/>
        <v>0.08</v>
      </c>
      <c r="AX24">
        <f>(AU24 * ((1 - R24) + (0.04 * AU24))) * ( 1 - AW24 )</f>
        <v>0.38642028282934154</v>
      </c>
      <c r="AY24">
        <f t="shared" si="14"/>
        <v>0.24</v>
      </c>
      <c r="AZ24">
        <f t="shared" si="15"/>
        <v>0.6784</v>
      </c>
      <c r="BA24">
        <f t="shared" si="20"/>
        <v>0</v>
      </c>
      <c r="BB24">
        <f t="shared" si="16"/>
        <v>2.9570240241496779E-4</v>
      </c>
      <c r="BC24">
        <f t="shared" si="17"/>
        <v>2.9570240241496779E-4</v>
      </c>
      <c r="BD24">
        <f t="shared" si="18"/>
        <v>5.6663972862768199</v>
      </c>
      <c r="BF24">
        <f>L24*AL24*O24</f>
        <v>301.36322314635652</v>
      </c>
      <c r="BW24" s="8" t="s">
        <v>164</v>
      </c>
      <c r="BX24" s="8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2"/>
      <c r="I25" t="s">
        <v>165</v>
      </c>
      <c r="J25">
        <f t="shared" ref="J25:J26" si="25">J24</f>
        <v>2</v>
      </c>
      <c r="K25">
        <f t="shared" ref="K25:K26" si="26">K24</f>
        <v>0.7</v>
      </c>
      <c r="L25">
        <v>190</v>
      </c>
      <c r="M25">
        <v>0</v>
      </c>
      <c r="N25">
        <v>0</v>
      </c>
      <c r="O25">
        <f>$BS$3</f>
        <v>91.25</v>
      </c>
      <c r="P25">
        <v>-0.01</v>
      </c>
      <c r="Q25">
        <v>0.12</v>
      </c>
      <c r="R25">
        <v>0.64</v>
      </c>
      <c r="S25">
        <v>50</v>
      </c>
      <c r="T25">
        <f t="shared" si="0"/>
        <v>0</v>
      </c>
      <c r="U25">
        <f t="shared" si="1"/>
        <v>1</v>
      </c>
      <c r="V25">
        <f t="shared" si="2"/>
        <v>0.72</v>
      </c>
      <c r="W25">
        <f>$BS$10</f>
        <v>4.7000000000000002E-3</v>
      </c>
      <c r="X25">
        <f t="shared" si="3"/>
        <v>0</v>
      </c>
      <c r="Y25">
        <f>$BS$4</f>
        <v>0.24</v>
      </c>
      <c r="Z25">
        <f>$BS$6</f>
        <v>1.0999999999999999E-2</v>
      </c>
      <c r="AA25">
        <f>$BS$5</f>
        <v>0.21</v>
      </c>
      <c r="AB25">
        <f t="shared" si="4"/>
        <v>5.8999999999999999E-3</v>
      </c>
      <c r="AC25">
        <f>(M25/100)*(MIN(N25,100)/100)</f>
        <v>0</v>
      </c>
      <c r="AD25">
        <f t="shared" si="5"/>
        <v>0</v>
      </c>
      <c r="AE25">
        <f>J25 * K25 / 365</f>
        <v>3.8356164383561643E-3</v>
      </c>
      <c r="AF25">
        <f>P25 * 0.92</f>
        <v>-9.1999999999999998E-3</v>
      </c>
      <c r="AG25">
        <v>57</v>
      </c>
      <c r="AH25">
        <f>S25 / AG25</f>
        <v>0.8771929824561403</v>
      </c>
      <c r="AI25">
        <v>0</v>
      </c>
      <c r="AJ25">
        <f t="shared" si="6"/>
        <v>0</v>
      </c>
      <c r="AK25">
        <f t="shared" si="7"/>
        <v>3.9804023233659479E-4</v>
      </c>
      <c r="AL25">
        <f>(AV25 / 6.25 ) - AK25</f>
        <v>1.8791943153172598E-2</v>
      </c>
      <c r="AM25">
        <f>IF($G$11="wet",$BU$18,$BU$19)</f>
        <v>6.0000000000000001E-3</v>
      </c>
      <c r="AN25">
        <f t="shared" si="8"/>
        <v>1.5714285714285714</v>
      </c>
      <c r="AO25">
        <f t="shared" si="9"/>
        <v>1.3</v>
      </c>
      <c r="AP25">
        <f t="shared" si="10"/>
        <v>1</v>
      </c>
      <c r="AQ25">
        <f>(0.795*R25)-0.0014</f>
        <v>0.50740000000000007</v>
      </c>
      <c r="AR25">
        <v>1.6</v>
      </c>
      <c r="AS25">
        <f t="shared" si="11"/>
        <v>0.99402397710499402</v>
      </c>
      <c r="AT25">
        <f>(104.7*AQ25+0.307*S25-15)*(S25^0.75)*10^-3</f>
        <v>1.0054871153505722</v>
      </c>
      <c r="AU25">
        <f t="shared" si="12"/>
        <v>0.99947830132860371</v>
      </c>
      <c r="AV25">
        <f>(AU25 * Q25) + (0.045 * AJ25)</f>
        <v>0.11993739615943244</v>
      </c>
      <c r="AW25">
        <f t="shared" si="13"/>
        <v>0.08</v>
      </c>
      <c r="AX25">
        <f>(AU25 * ((1 - R25) + (0.04 * AU25))) * ( 1 - AW25 )</f>
        <v>0.36778882639365651</v>
      </c>
      <c r="AY25">
        <f t="shared" si="14"/>
        <v>0.24</v>
      </c>
      <c r="AZ25">
        <f t="shared" si="15"/>
        <v>0.6784</v>
      </c>
      <c r="BA25">
        <f t="shared" si="20"/>
        <v>0</v>
      </c>
      <c r="BB25">
        <f t="shared" si="16"/>
        <v>2.8144495612311498E-4</v>
      </c>
      <c r="BC25">
        <f t="shared" si="17"/>
        <v>2.8144495612311498E-4</v>
      </c>
      <c r="BD25">
        <f t="shared" si="18"/>
        <v>4.8795519267845062</v>
      </c>
      <c r="BF25">
        <f>L25*AL25*O25</f>
        <v>325.80531441812991</v>
      </c>
      <c r="BR25" t="s">
        <v>211</v>
      </c>
      <c r="BW25" s="8" t="s">
        <v>165</v>
      </c>
      <c r="BX25" s="8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3"/>
      <c r="I26" t="s">
        <v>166</v>
      </c>
      <c r="J26">
        <f t="shared" si="25"/>
        <v>2</v>
      </c>
      <c r="K26">
        <f t="shared" si="26"/>
        <v>0.7</v>
      </c>
      <c r="L26">
        <v>180</v>
      </c>
      <c r="M26">
        <v>0</v>
      </c>
      <c r="N26">
        <v>0</v>
      </c>
      <c r="O26">
        <f>$BS$3</f>
        <v>91.25</v>
      </c>
      <c r="P26">
        <v>0.01</v>
      </c>
      <c r="Q26">
        <v>0.18</v>
      </c>
      <c r="R26">
        <v>0.72</v>
      </c>
      <c r="S26">
        <v>51</v>
      </c>
      <c r="T26">
        <f t="shared" si="0"/>
        <v>0</v>
      </c>
      <c r="U26">
        <f t="shared" si="1"/>
        <v>1</v>
      </c>
      <c r="V26">
        <f t="shared" si="2"/>
        <v>0.72</v>
      </c>
      <c r="W26">
        <f>$BS$10</f>
        <v>4.7000000000000002E-3</v>
      </c>
      <c r="X26">
        <f t="shared" si="3"/>
        <v>0</v>
      </c>
      <c r="Y26">
        <f>$BS$4</f>
        <v>0.24</v>
      </c>
      <c r="Z26">
        <f>$BS$6</f>
        <v>1.0999999999999999E-2</v>
      </c>
      <c r="AA26">
        <f>$BS$5</f>
        <v>0.21</v>
      </c>
      <c r="AB26">
        <f t="shared" si="4"/>
        <v>5.8999999999999999E-3</v>
      </c>
      <c r="AC26">
        <f>(M26/100)*(MIN(N26,100)/100)</f>
        <v>0</v>
      </c>
      <c r="AD26">
        <f t="shared" si="5"/>
        <v>0</v>
      </c>
      <c r="AE26">
        <f>J26 * K26 / 365</f>
        <v>3.8356164383561643E-3</v>
      </c>
      <c r="AF26">
        <f>P26 * 0.92</f>
        <v>9.1999999999999998E-3</v>
      </c>
      <c r="AG26">
        <v>57</v>
      </c>
      <c r="AH26">
        <f>S26 / AG26</f>
        <v>0.89473684210526316</v>
      </c>
      <c r="AI26">
        <v>0</v>
      </c>
      <c r="AJ26">
        <f t="shared" si="6"/>
        <v>0</v>
      </c>
      <c r="AK26">
        <f t="shared" si="7"/>
        <v>6.3181847062017697E-4</v>
      </c>
      <c r="AL26">
        <f>(AV26 / 6.25 ) - AK26</f>
        <v>3.2485572667811859E-2</v>
      </c>
      <c r="AM26">
        <f>IF($G$11="wet",$BU$18,$BU$19)</f>
        <v>6.0000000000000001E-3</v>
      </c>
      <c r="AN26">
        <f t="shared" si="8"/>
        <v>1.5714285714285714</v>
      </c>
      <c r="AO26">
        <f t="shared" si="9"/>
        <v>1.3</v>
      </c>
      <c r="AP26">
        <f t="shared" si="10"/>
        <v>1</v>
      </c>
      <c r="AQ26">
        <f>(0.795*R26)-0.0014</f>
        <v>0.57100000000000006</v>
      </c>
      <c r="AR26">
        <v>1.7</v>
      </c>
      <c r="AS26">
        <f t="shared" si="11"/>
        <v>0.99691128459176326</v>
      </c>
      <c r="AT26">
        <f>(104.7*AQ26+0.307*S26-15)*(S26^0.75)*10^-3</f>
        <v>1.1534721617679149</v>
      </c>
      <c r="AU26">
        <f t="shared" si="12"/>
        <v>1.1499094145288902</v>
      </c>
      <c r="AV26">
        <f>(AU26 * Q26) + (0.045 * AJ26)</f>
        <v>0.20698369461520022</v>
      </c>
      <c r="AW26">
        <f t="shared" si="13"/>
        <v>0.08</v>
      </c>
      <c r="AX26">
        <f>(AU26 * ((1 - R26) + (0.04 * AU26))) * ( 1 - AW26 )</f>
        <v>0.34487699833033825</v>
      </c>
      <c r="AY26">
        <f t="shared" si="14"/>
        <v>0.24</v>
      </c>
      <c r="AZ26">
        <f t="shared" si="15"/>
        <v>0.6784</v>
      </c>
      <c r="BA26">
        <f t="shared" si="20"/>
        <v>0</v>
      </c>
      <c r="BB26">
        <f t="shared" si="16"/>
        <v>2.6391201879271607E-4</v>
      </c>
      <c r="BC26">
        <f t="shared" si="17"/>
        <v>2.6391201879271607E-4</v>
      </c>
      <c r="BD26">
        <f t="shared" si="18"/>
        <v>4.3347549086703614</v>
      </c>
      <c r="BF26">
        <f>L26*AL26*O26</f>
        <v>533.57553106880982</v>
      </c>
      <c r="BR26" s="14" t="s">
        <v>203</v>
      </c>
      <c r="BS26" s="14" t="s">
        <v>204</v>
      </c>
      <c r="BT26" s="14">
        <v>0.75</v>
      </c>
      <c r="BW26" s="8" t="s">
        <v>166</v>
      </c>
      <c r="BX26" s="8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2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>$BS$3</f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0"/>
        <v>0</v>
      </c>
      <c r="U27">
        <f t="shared" si="1"/>
        <v>1</v>
      </c>
      <c r="V27">
        <f t="shared" si="2"/>
        <v>0.72</v>
      </c>
      <c r="W27">
        <f>$BS$10</f>
        <v>4.7000000000000002E-3</v>
      </c>
      <c r="X27">
        <f t="shared" si="3"/>
        <v>0</v>
      </c>
      <c r="Y27">
        <f>$BS$4</f>
        <v>0.24</v>
      </c>
      <c r="Z27">
        <f>$BS$6</f>
        <v>1.0999999999999999E-2</v>
      </c>
      <c r="AA27">
        <f>$BS$5</f>
        <v>0.21</v>
      </c>
      <c r="AB27">
        <f t="shared" si="4"/>
        <v>5.8999999999999999E-3</v>
      </c>
      <c r="AC27">
        <f>(M27/100)*(MIN(N27,100)/100)</f>
        <v>0</v>
      </c>
      <c r="AD27">
        <f t="shared" si="5"/>
        <v>0</v>
      </c>
      <c r="AE27">
        <f>J27 * K27 / 365</f>
        <v>1.7808219178082193E-3</v>
      </c>
      <c r="AF27">
        <f>P27 * 0.92</f>
        <v>6.4400000000000013E-2</v>
      </c>
      <c r="AG27">
        <v>78</v>
      </c>
      <c r="AH27">
        <f>S27 / AG27</f>
        <v>0.96153846153846156</v>
      </c>
      <c r="AI27">
        <v>0</v>
      </c>
      <c r="AJ27">
        <f t="shared" si="6"/>
        <v>0</v>
      </c>
      <c r="AK27">
        <f t="shared" si="7"/>
        <v>1.0297560621526452E-3</v>
      </c>
      <c r="AL27">
        <f>(AV27 / 6.25 ) - AK27</f>
        <v>5.6307516155572376E-2</v>
      </c>
      <c r="AM27">
        <f>IF($G$11="wet",$BU$18,$BU$19)</f>
        <v>6.0000000000000001E-3</v>
      </c>
      <c r="AN27">
        <f t="shared" si="8"/>
        <v>1.5714285714285714</v>
      </c>
      <c r="AO27">
        <f t="shared" si="9"/>
        <v>1.3</v>
      </c>
      <c r="AP27">
        <f t="shared" si="10"/>
        <v>1</v>
      </c>
      <c r="AQ27">
        <f>(0.795*R27)-0.0014</f>
        <v>0.5948500000000001</v>
      </c>
      <c r="AR27">
        <v>2.9</v>
      </c>
      <c r="AS27">
        <f t="shared" si="11"/>
        <v>0.9999999504359468</v>
      </c>
      <c r="AT27">
        <f>(104.7*AQ27+0.307*S27-15)*(S27^0.75)*10^-3</f>
        <v>1.7917898456122741</v>
      </c>
      <c r="AU27">
        <f t="shared" si="12"/>
        <v>1.7917897568039067</v>
      </c>
      <c r="AV27">
        <f>(AU27 * Q27) + (0.045 * AJ27)</f>
        <v>0.35835795136078136</v>
      </c>
      <c r="AW27">
        <f t="shared" si="13"/>
        <v>0.08</v>
      </c>
      <c r="AX27">
        <f>(AU27 * ((1 - R27) + (0.04 * AU27))) * ( 1 - AW27 )</f>
        <v>0.53025843166411502</v>
      </c>
      <c r="AY27">
        <f t="shared" si="14"/>
        <v>0.24</v>
      </c>
      <c r="AZ27">
        <f t="shared" si="15"/>
        <v>0.6784</v>
      </c>
      <c r="BA27">
        <f t="shared" si="20"/>
        <v>0</v>
      </c>
      <c r="BB27">
        <f t="shared" si="16"/>
        <v>4.057724170061754E-4</v>
      </c>
      <c r="BC27">
        <f t="shared" si="17"/>
        <v>4.057724170061754E-4</v>
      </c>
      <c r="BD27">
        <f t="shared" si="18"/>
        <v>1.8513366525906754</v>
      </c>
      <c r="BF27">
        <f>L27*AL27*O27</f>
        <v>256.90304245979894</v>
      </c>
      <c r="BR27" s="14" t="s">
        <v>194</v>
      </c>
      <c r="BS27" s="14" t="s">
        <v>205</v>
      </c>
      <c r="BT27" s="14">
        <v>0.45</v>
      </c>
      <c r="BW27" s="8" t="s">
        <v>163</v>
      </c>
      <c r="BX27" s="8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3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>$BS$3</f>
        <v>91.25</v>
      </c>
      <c r="P28">
        <v>0</v>
      </c>
      <c r="Q28">
        <v>0.1</v>
      </c>
      <c r="R28">
        <v>0.61</v>
      </c>
      <c r="S28">
        <v>75</v>
      </c>
      <c r="T28">
        <f t="shared" si="0"/>
        <v>0</v>
      </c>
      <c r="U28">
        <f t="shared" si="1"/>
        <v>1</v>
      </c>
      <c r="V28">
        <f t="shared" si="2"/>
        <v>0.72</v>
      </c>
      <c r="W28">
        <f>$BS$10</f>
        <v>4.7000000000000002E-3</v>
      </c>
      <c r="X28">
        <f t="shared" si="3"/>
        <v>0</v>
      </c>
      <c r="Y28">
        <f>$BS$4</f>
        <v>0.24</v>
      </c>
      <c r="Z28">
        <f>$BS$6</f>
        <v>1.0999999999999999E-2</v>
      </c>
      <c r="AA28">
        <f>$BS$5</f>
        <v>0.21</v>
      </c>
      <c r="AB28">
        <f t="shared" si="4"/>
        <v>5.8999999999999999E-3</v>
      </c>
      <c r="AC28">
        <f>(M28/100)*(MIN(N28,100)/100)</f>
        <v>0</v>
      </c>
      <c r="AD28">
        <f t="shared" si="5"/>
        <v>0</v>
      </c>
      <c r="AE28">
        <f>J28 * K28 / 365</f>
        <v>1.7808219178082193E-3</v>
      </c>
      <c r="AF28">
        <f>P28 * 0.92</f>
        <v>0</v>
      </c>
      <c r="AG28">
        <v>78</v>
      </c>
      <c r="AH28">
        <f>S28 / AG28</f>
        <v>0.96153846153846156</v>
      </c>
      <c r="AI28">
        <v>0</v>
      </c>
      <c r="AJ28">
        <f t="shared" si="6"/>
        <v>0</v>
      </c>
      <c r="AK28">
        <f t="shared" si="7"/>
        <v>2.3934246575342468E-4</v>
      </c>
      <c r="AL28">
        <f>(AV28 / 6.25 ) - AK28</f>
        <v>2.3677410059052224E-2</v>
      </c>
      <c r="AM28">
        <f>IF($G$11="wet",$BU$18,$BU$19)</f>
        <v>6.0000000000000001E-3</v>
      </c>
      <c r="AN28">
        <f t="shared" si="8"/>
        <v>1.5714285714285714</v>
      </c>
      <c r="AO28">
        <f t="shared" si="9"/>
        <v>1.3</v>
      </c>
      <c r="AP28">
        <f t="shared" si="10"/>
        <v>1</v>
      </c>
      <c r="AQ28">
        <f>(0.795*R28)-0.0014</f>
        <v>0.48354999999999998</v>
      </c>
      <c r="AR28">
        <v>2.5</v>
      </c>
      <c r="AS28">
        <f t="shared" si="11"/>
        <v>0.99999627334682795</v>
      </c>
      <c r="AT28">
        <f>(104.7*AQ28+0.307*S28-15)*(S28^0.75)*10^-3</f>
        <v>1.4948026034112167</v>
      </c>
      <c r="AU28">
        <f t="shared" si="12"/>
        <v>1.494797032800353</v>
      </c>
      <c r="AV28">
        <f>(AU28 * Q28) + (0.045 * AJ28)</f>
        <v>0.14947970328003532</v>
      </c>
      <c r="AW28">
        <f t="shared" si="13"/>
        <v>0.08</v>
      </c>
      <c r="AX28">
        <f>(AU28 * ((1 - R28) + (0.04 * AU28))) * ( 1 - AW28 )</f>
        <v>0.61855976399785639</v>
      </c>
      <c r="AY28">
        <f t="shared" si="14"/>
        <v>0.24</v>
      </c>
      <c r="AZ28">
        <f t="shared" si="15"/>
        <v>0.6784</v>
      </c>
      <c r="BA28">
        <f t="shared" si="20"/>
        <v>0</v>
      </c>
      <c r="BB28">
        <f t="shared" si="16"/>
        <v>4.7334370471485243E-4</v>
      </c>
      <c r="BC28">
        <f t="shared" si="17"/>
        <v>4.7334370471485243E-4</v>
      </c>
      <c r="BD28">
        <f t="shared" si="18"/>
        <v>2.3755937180376656</v>
      </c>
      <c r="BF28">
        <f>L28*AL28*O28</f>
        <v>118.83100173386836</v>
      </c>
      <c r="BR28" s="14" t="s">
        <v>195</v>
      </c>
      <c r="BS28" s="14" t="s">
        <v>206</v>
      </c>
      <c r="BT28" s="14">
        <v>0.09</v>
      </c>
      <c r="BW28" s="8" t="s">
        <v>164</v>
      </c>
      <c r="BX28" s="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2"/>
      <c r="I29" t="s">
        <v>165</v>
      </c>
      <c r="J29">
        <f t="shared" ref="J29:J30" si="27">J28</f>
        <v>1</v>
      </c>
      <c r="K29">
        <f t="shared" ref="K29:K30" si="28">K28</f>
        <v>0.65</v>
      </c>
      <c r="L29">
        <v>60</v>
      </c>
      <c r="M29">
        <v>0</v>
      </c>
      <c r="N29">
        <v>0</v>
      </c>
      <c r="O29">
        <f>$BS$3</f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0"/>
        <v>0</v>
      </c>
      <c r="U29">
        <f t="shared" si="1"/>
        <v>1</v>
      </c>
      <c r="V29">
        <f t="shared" si="2"/>
        <v>0.72</v>
      </c>
      <c r="W29">
        <f>$BS$10</f>
        <v>4.7000000000000002E-3</v>
      </c>
      <c r="X29">
        <f t="shared" si="3"/>
        <v>0</v>
      </c>
      <c r="Y29">
        <f>$BS$4</f>
        <v>0.24</v>
      </c>
      <c r="Z29">
        <f>$BS$6</f>
        <v>1.0999999999999999E-2</v>
      </c>
      <c r="AA29">
        <f>$BS$5</f>
        <v>0.21</v>
      </c>
      <c r="AB29">
        <f t="shared" si="4"/>
        <v>5.8999999999999999E-3</v>
      </c>
      <c r="AC29">
        <f>(M29/100)*(MIN(N29,100)/100)</f>
        <v>0</v>
      </c>
      <c r="AD29">
        <f t="shared" si="5"/>
        <v>0</v>
      </c>
      <c r="AE29">
        <f>J29 * K29 / 365</f>
        <v>1.7808219178082193E-3</v>
      </c>
      <c r="AF29">
        <f>P29 * 0.92</f>
        <v>-6.4400000000000013E-2</v>
      </c>
      <c r="AG29">
        <v>78</v>
      </c>
      <c r="AH29">
        <f>S29 / AG29</f>
        <v>0.88461538461538458</v>
      </c>
      <c r="AI29">
        <v>0</v>
      </c>
      <c r="AJ29">
        <f t="shared" si="6"/>
        <v>0</v>
      </c>
      <c r="AK29">
        <f t="shared" si="7"/>
        <v>-5.8067645512978143E-4</v>
      </c>
      <c r="AL29">
        <f>(AV29 / 6.25 ) - AK29</f>
        <v>2.7679259014053301E-2</v>
      </c>
      <c r="AM29">
        <f>IF($G$11="wet",$BU$18,$BU$19)</f>
        <v>6.0000000000000001E-3</v>
      </c>
      <c r="AN29">
        <f t="shared" si="8"/>
        <v>1.5714285714285714</v>
      </c>
      <c r="AO29">
        <f t="shared" si="9"/>
        <v>1.3</v>
      </c>
      <c r="AP29">
        <f t="shared" si="10"/>
        <v>1</v>
      </c>
      <c r="AQ29">
        <f>(0.795*R29)-0.0014</f>
        <v>0.50740000000000007</v>
      </c>
      <c r="AR29">
        <v>1.6</v>
      </c>
      <c r="AS29">
        <f t="shared" si="11"/>
        <v>0.99402397710499402</v>
      </c>
      <c r="AT29">
        <f>(104.7*AQ29+0.307*S29-15)*(S29^0.75)*10^-3</f>
        <v>1.4198696820048529</v>
      </c>
      <c r="AU29">
        <f t="shared" si="12"/>
        <v>1.4113845082772669</v>
      </c>
      <c r="AV29">
        <f>(AU29 * Q29) + (0.045 * AJ29)</f>
        <v>0.16936614099327202</v>
      </c>
      <c r="AW29">
        <f t="shared" si="13"/>
        <v>0.08</v>
      </c>
      <c r="AX29">
        <f>(AU29 * ((1 - R29) + (0.04 * AU29))) * ( 1 - AW29 )</f>
        <v>0.54075637841297708</v>
      </c>
      <c r="AY29">
        <f t="shared" si="14"/>
        <v>0.24</v>
      </c>
      <c r="AZ29">
        <f t="shared" si="15"/>
        <v>0.6784</v>
      </c>
      <c r="BA29">
        <f t="shared" si="20"/>
        <v>0</v>
      </c>
      <c r="BB29">
        <f t="shared" si="16"/>
        <v>4.138058153861302E-4</v>
      </c>
      <c r="BC29">
        <f t="shared" si="17"/>
        <v>4.138058153861302E-4</v>
      </c>
      <c r="BD29">
        <f t="shared" si="18"/>
        <v>2.265586839239063</v>
      </c>
      <c r="BF29">
        <f>L29*AL29*O29</f>
        <v>151.54394310194181</v>
      </c>
      <c r="BR29" s="14" t="s">
        <v>196</v>
      </c>
      <c r="BS29" s="14" t="s">
        <v>207</v>
      </c>
      <c r="BT29" s="14">
        <v>0.26</v>
      </c>
      <c r="BW29" s="8" t="s">
        <v>165</v>
      </c>
      <c r="BX29" s="8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3"/>
      <c r="I30" t="s">
        <v>166</v>
      </c>
      <c r="J30">
        <f t="shared" si="27"/>
        <v>1</v>
      </c>
      <c r="K30">
        <f t="shared" si="28"/>
        <v>0.65</v>
      </c>
      <c r="L30">
        <v>65</v>
      </c>
      <c r="M30">
        <v>0</v>
      </c>
      <c r="N30">
        <v>0</v>
      </c>
      <c r="O30">
        <f>$BS$3</f>
        <v>91.25</v>
      </c>
      <c r="P30">
        <v>0</v>
      </c>
      <c r="Q30">
        <v>0.18</v>
      </c>
      <c r="R30">
        <v>0.72</v>
      </c>
      <c r="S30">
        <v>69</v>
      </c>
      <c r="T30">
        <f t="shared" si="0"/>
        <v>0</v>
      </c>
      <c r="U30">
        <f t="shared" si="1"/>
        <v>1</v>
      </c>
      <c r="V30">
        <f t="shared" si="2"/>
        <v>0.72</v>
      </c>
      <c r="W30">
        <f>$BS$10</f>
        <v>4.7000000000000002E-3</v>
      </c>
      <c r="X30">
        <f t="shared" si="3"/>
        <v>0</v>
      </c>
      <c r="Y30">
        <f>$BS$4</f>
        <v>0.24</v>
      </c>
      <c r="Z30">
        <f>$BS$6</f>
        <v>1.0999999999999999E-2</v>
      </c>
      <c r="AA30">
        <f>$BS$5</f>
        <v>0.21</v>
      </c>
      <c r="AB30">
        <f t="shared" si="4"/>
        <v>5.8999999999999999E-3</v>
      </c>
      <c r="AC30">
        <f>(M30/100)*(MIN(N30,100)/100)</f>
        <v>0</v>
      </c>
      <c r="AD30">
        <f t="shared" si="5"/>
        <v>0</v>
      </c>
      <c r="AE30">
        <f>J30 * K30 / 365</f>
        <v>1.7808219178082193E-3</v>
      </c>
      <c r="AF30">
        <f>P30 * 0.92</f>
        <v>0</v>
      </c>
      <c r="AG30">
        <v>78</v>
      </c>
      <c r="AH30">
        <f>S30 / AG30</f>
        <v>0.88461538461538458</v>
      </c>
      <c r="AI30">
        <v>0</v>
      </c>
      <c r="AJ30">
        <f t="shared" si="6"/>
        <v>0</v>
      </c>
      <c r="AK30">
        <f t="shared" si="7"/>
        <v>2.3934246575342468E-4</v>
      </c>
      <c r="AL30">
        <f>(AV30 / 6.25 ) - AK30</f>
        <v>4.5103691581787016E-2</v>
      </c>
      <c r="AM30">
        <f>IF($G$11="wet",$BU$18,$BU$19)</f>
        <v>6.0000000000000001E-3</v>
      </c>
      <c r="AN30">
        <f t="shared" si="8"/>
        <v>1.5714285714285714</v>
      </c>
      <c r="AO30">
        <f t="shared" si="9"/>
        <v>1.3</v>
      </c>
      <c r="AP30">
        <f t="shared" si="10"/>
        <v>1</v>
      </c>
      <c r="AQ30">
        <f>(0.795*R30)-0.0014</f>
        <v>0.57100000000000006</v>
      </c>
      <c r="AR30">
        <v>1.7</v>
      </c>
      <c r="AS30">
        <f t="shared" si="11"/>
        <v>0.99691128459176326</v>
      </c>
      <c r="AT30">
        <f>(104.7*AQ30+0.307*S30-15)*(S30^0.75)*10^-3</f>
        <v>1.5792888783210146</v>
      </c>
      <c r="AU30">
        <f t="shared" si="12"/>
        <v>1.5744109044284875</v>
      </c>
      <c r="AV30">
        <f>(AU30 * Q30) + (0.045 * AJ30)</f>
        <v>0.28339396279712775</v>
      </c>
      <c r="AW30">
        <f t="shared" si="13"/>
        <v>0.08</v>
      </c>
      <c r="AX30">
        <f>(AU30 * ((1 - R30) + (0.04 * AU30))) * ( 1 - AW30 )</f>
        <v>0.49678697379296494</v>
      </c>
      <c r="AY30">
        <f t="shared" si="14"/>
        <v>0.24</v>
      </c>
      <c r="AZ30">
        <f t="shared" si="15"/>
        <v>0.6784</v>
      </c>
      <c r="BA30">
        <f t="shared" si="20"/>
        <v>0</v>
      </c>
      <c r="BB30">
        <f t="shared" si="16"/>
        <v>3.8015887924785428E-4</v>
      </c>
      <c r="BC30">
        <f t="shared" si="17"/>
        <v>3.8015887924785428E-4</v>
      </c>
      <c r="BD30">
        <f t="shared" si="18"/>
        <v>2.2548173525388355</v>
      </c>
      <c r="BF30">
        <f>L30*AL30*O30</f>
        <v>267.52127069447425</v>
      </c>
      <c r="BR30" s="14" t="s">
        <v>197</v>
      </c>
      <c r="BS30" s="14" t="s">
        <v>208</v>
      </c>
      <c r="BT30" s="14">
        <v>0.5</v>
      </c>
      <c r="BW30" s="8" t="s">
        <v>166</v>
      </c>
      <c r="BX30" s="8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2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>$BS$3</f>
        <v>91.25</v>
      </c>
      <c r="P31">
        <v>0.08</v>
      </c>
      <c r="Q31">
        <v>0.2</v>
      </c>
      <c r="R31">
        <v>0.75</v>
      </c>
      <c r="S31">
        <v>62</v>
      </c>
      <c r="T31">
        <f t="shared" si="0"/>
        <v>0</v>
      </c>
      <c r="U31">
        <f t="shared" si="1"/>
        <v>1</v>
      </c>
      <c r="V31">
        <f t="shared" si="2"/>
        <v>0.72</v>
      </c>
      <c r="W31">
        <f>$BS$10</f>
        <v>4.7000000000000002E-3</v>
      </c>
      <c r="X31">
        <f t="shared" si="3"/>
        <v>0</v>
      </c>
      <c r="Y31">
        <f>$BS$4</f>
        <v>0.24</v>
      </c>
      <c r="Z31">
        <f>$BS$6</f>
        <v>1.0999999999999999E-2</v>
      </c>
      <c r="AA31">
        <f>$BS$5</f>
        <v>0.21</v>
      </c>
      <c r="AB31">
        <f t="shared" si="4"/>
        <v>5.8999999999999999E-3</v>
      </c>
      <c r="AC31">
        <f>(M31/100)*(MIN(N31,100)/100)</f>
        <v>0</v>
      </c>
      <c r="AD31">
        <f t="shared" si="5"/>
        <v>0</v>
      </c>
      <c r="AE31">
        <f>J31 * K31 / 365</f>
        <v>8.9041095890410966E-4</v>
      </c>
      <c r="AF31">
        <f>P31 * 0.92</f>
        <v>7.3599999999999999E-2</v>
      </c>
      <c r="AG31">
        <v>62</v>
      </c>
      <c r="AH31">
        <f>S31 / AG31</f>
        <v>1</v>
      </c>
      <c r="AI31">
        <v>0</v>
      </c>
      <c r="AJ31">
        <f t="shared" si="6"/>
        <v>0</v>
      </c>
      <c r="AK31">
        <f t="shared" si="7"/>
        <v>1.0116016126962319E-3</v>
      </c>
      <c r="AL31">
        <f>(AV31 / 6.25 ) - AK31</f>
        <v>4.58755829416546E-2</v>
      </c>
      <c r="AM31">
        <f>IF($G$11="wet",$BU$18,$BU$19)</f>
        <v>6.0000000000000001E-3</v>
      </c>
      <c r="AN31">
        <f t="shared" si="8"/>
        <v>1.5714285714285714</v>
      </c>
      <c r="AO31">
        <f t="shared" si="9"/>
        <v>1.3</v>
      </c>
      <c r="AP31">
        <f t="shared" si="10"/>
        <v>1</v>
      </c>
      <c r="AQ31">
        <f>(0.795*R31)-0.0014</f>
        <v>0.5948500000000001</v>
      </c>
      <c r="AR31">
        <v>2.9</v>
      </c>
      <c r="AS31">
        <f t="shared" si="11"/>
        <v>0.9999999504359468</v>
      </c>
      <c r="AT31">
        <f>(104.7*AQ31+0.307*S31-15)*(S31^0.75)*10^-3</f>
        <v>1.4652245899459331</v>
      </c>
      <c r="AU31">
        <f t="shared" si="12"/>
        <v>1.4652245173234635</v>
      </c>
      <c r="AV31">
        <f>(AU31 * Q31) + (0.045 * AJ31)</f>
        <v>0.2930449034646927</v>
      </c>
      <c r="AW31">
        <f t="shared" si="13"/>
        <v>0.08</v>
      </c>
      <c r="AX31">
        <f>(AU31 * ((1 - R31) + (0.04 * AU31))) * ( 1 - AW31 )</f>
        <v>0.41600692919529714</v>
      </c>
      <c r="AY31">
        <f t="shared" si="14"/>
        <v>0.24</v>
      </c>
      <c r="AZ31">
        <f t="shared" si="15"/>
        <v>0.6784</v>
      </c>
      <c r="BA31">
        <f t="shared" si="20"/>
        <v>0</v>
      </c>
      <c r="BB31">
        <f t="shared" si="16"/>
        <v>3.1834314566414905E-4</v>
      </c>
      <c r="BC31">
        <f t="shared" si="17"/>
        <v>3.1834314566414905E-4</v>
      </c>
      <c r="BD31">
        <f t="shared" si="18"/>
        <v>1.4524406020926799</v>
      </c>
      <c r="BF31">
        <f>L31*AL31*O31</f>
        <v>209.30734717129909</v>
      </c>
      <c r="BR31" s="14" t="s">
        <v>198</v>
      </c>
      <c r="BS31" s="14" t="s">
        <v>209</v>
      </c>
      <c r="BT31" s="14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3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>$BS$3</f>
        <v>91.25</v>
      </c>
      <c r="P32">
        <v>-0.08</v>
      </c>
      <c r="Q32">
        <v>0.1</v>
      </c>
      <c r="R32">
        <v>0.61</v>
      </c>
      <c r="S32">
        <v>55</v>
      </c>
      <c r="T32">
        <f t="shared" si="0"/>
        <v>0</v>
      </c>
      <c r="U32">
        <f t="shared" si="1"/>
        <v>1</v>
      </c>
      <c r="V32">
        <f t="shared" si="2"/>
        <v>0.72</v>
      </c>
      <c r="W32">
        <f>$BS$10</f>
        <v>4.7000000000000002E-3</v>
      </c>
      <c r="X32">
        <f t="shared" si="3"/>
        <v>0</v>
      </c>
      <c r="Y32">
        <f>$BS$4</f>
        <v>0.24</v>
      </c>
      <c r="Z32">
        <f>$BS$6</f>
        <v>1.0999999999999999E-2</v>
      </c>
      <c r="AA32">
        <f>$BS$5</f>
        <v>0.21</v>
      </c>
      <c r="AB32">
        <f t="shared" si="4"/>
        <v>5.8999999999999999E-3</v>
      </c>
      <c r="AC32">
        <f>(M32/100)*(MIN(N32,100)/100)</f>
        <v>0</v>
      </c>
      <c r="AD32">
        <f t="shared" si="5"/>
        <v>0</v>
      </c>
      <c r="AE32">
        <f>J32 * K32 / 365</f>
        <v>8.9041095890410966E-4</v>
      </c>
      <c r="AF32">
        <f>P32 * 0.92</f>
        <v>-7.3599999999999999E-2</v>
      </c>
      <c r="AG32">
        <v>62</v>
      </c>
      <c r="AH32">
        <f>S32 / AG32</f>
        <v>0.88709677419354838</v>
      </c>
      <c r="AI32">
        <v>0</v>
      </c>
      <c r="AJ32">
        <f t="shared" si="6"/>
        <v>0</v>
      </c>
      <c r="AK32">
        <f t="shared" si="7"/>
        <v>-8.1676849356428693E-4</v>
      </c>
      <c r="AL32">
        <f>(AV32 / 6.25 ) - AK32</f>
        <v>1.7785704265871654E-2</v>
      </c>
      <c r="AM32">
        <f>IF($G$11="wet",$BU$18,$BU$19)</f>
        <v>6.0000000000000001E-3</v>
      </c>
      <c r="AN32">
        <f t="shared" si="8"/>
        <v>1.5714285714285714</v>
      </c>
      <c r="AO32">
        <f t="shared" si="9"/>
        <v>1.3</v>
      </c>
      <c r="AP32">
        <f t="shared" si="10"/>
        <v>1</v>
      </c>
      <c r="AQ32">
        <f>(0.795*R32)-0.0014</f>
        <v>0.48354999999999998</v>
      </c>
      <c r="AR32">
        <v>2.5</v>
      </c>
      <c r="AS32">
        <f t="shared" si="11"/>
        <v>0.99999627334682795</v>
      </c>
      <c r="AT32">
        <f>(104.7*AQ32+0.307*S32-15)*(S32^0.75)*10^-3</f>
        <v>1.0605624381175847</v>
      </c>
      <c r="AU32">
        <f t="shared" si="12"/>
        <v>1.0605584857692105</v>
      </c>
      <c r="AV32">
        <f>(AU32 * Q32) + (0.045 * AJ32)</f>
        <v>0.10605584857692106</v>
      </c>
      <c r="AW32">
        <f t="shared" si="13"/>
        <v>0.08</v>
      </c>
      <c r="AX32">
        <f>(AU32 * ((1 - R32) + (0.04 * AU32))) * ( 1 - AW32 )</f>
        <v>0.42192044699791736</v>
      </c>
      <c r="AY32">
        <f t="shared" si="14"/>
        <v>0.24</v>
      </c>
      <c r="AZ32">
        <f t="shared" si="15"/>
        <v>0.6784</v>
      </c>
      <c r="BA32">
        <f t="shared" si="20"/>
        <v>0</v>
      </c>
      <c r="BB32">
        <f t="shared" si="16"/>
        <v>3.2286837764254069E-4</v>
      </c>
      <c r="BC32">
        <f t="shared" si="17"/>
        <v>3.2286837764254069E-4</v>
      </c>
      <c r="BD32">
        <f t="shared" si="18"/>
        <v>2.9461739459881837</v>
      </c>
      <c r="BF32">
        <f>L32*AL32*O32</f>
        <v>162.29455142607884</v>
      </c>
      <c r="BR32" s="14" t="s">
        <v>199</v>
      </c>
      <c r="BS32" s="14" t="s">
        <v>210</v>
      </c>
      <c r="BT32" s="14">
        <v>0.41</v>
      </c>
    </row>
    <row r="33" spans="8:93" x14ac:dyDescent="0.2">
      <c r="H33" s="12"/>
      <c r="I33" t="s">
        <v>165</v>
      </c>
      <c r="J33">
        <f t="shared" ref="J33:J34" si="29">J32</f>
        <v>0.5</v>
      </c>
      <c r="K33">
        <f t="shared" ref="K33:K34" si="30">K32</f>
        <v>0.65</v>
      </c>
      <c r="L33">
        <v>90</v>
      </c>
      <c r="M33">
        <v>0</v>
      </c>
      <c r="N33">
        <v>0</v>
      </c>
      <c r="O33">
        <f>$BS$3</f>
        <v>91.25</v>
      </c>
      <c r="P33">
        <v>0</v>
      </c>
      <c r="Q33">
        <v>0.12</v>
      </c>
      <c r="R33">
        <v>0.64</v>
      </c>
      <c r="S33">
        <v>55</v>
      </c>
      <c r="T33">
        <f t="shared" si="0"/>
        <v>0</v>
      </c>
      <c r="U33">
        <f t="shared" si="1"/>
        <v>1</v>
      </c>
      <c r="V33">
        <f t="shared" si="2"/>
        <v>0.72</v>
      </c>
      <c r="W33">
        <f>$BS$10</f>
        <v>4.7000000000000002E-3</v>
      </c>
      <c r="X33">
        <f t="shared" si="3"/>
        <v>0</v>
      </c>
      <c r="Y33">
        <f>$BS$4</f>
        <v>0.24</v>
      </c>
      <c r="Z33">
        <f>$BS$6</f>
        <v>1.0999999999999999E-2</v>
      </c>
      <c r="AA33">
        <f>$BS$5</f>
        <v>0.21</v>
      </c>
      <c r="AB33">
        <f t="shared" si="4"/>
        <v>5.8999999999999999E-3</v>
      </c>
      <c r="AC33">
        <f>(M33/100)*(MIN(N33,100)/100)</f>
        <v>0</v>
      </c>
      <c r="AD33">
        <f t="shared" si="5"/>
        <v>0</v>
      </c>
      <c r="AE33">
        <f>J33 * K33 / 365</f>
        <v>8.9041095890410966E-4</v>
      </c>
      <c r="AF33">
        <f>P33 * 0.92</f>
        <v>0</v>
      </c>
      <c r="AG33">
        <v>62</v>
      </c>
      <c r="AH33">
        <f>S33 / AG33</f>
        <v>0.88709677419354838</v>
      </c>
      <c r="AI33">
        <v>0</v>
      </c>
      <c r="AJ33">
        <f t="shared" si="6"/>
        <v>0</v>
      </c>
      <c r="AK33">
        <f t="shared" si="7"/>
        <v>1.1967123287671234E-4</v>
      </c>
      <c r="AL33">
        <f>(AV33 / 6.25 ) - AK33</f>
        <v>2.1083948851597697E-2</v>
      </c>
      <c r="AM33">
        <f>IF($G$11="wet",$BU$18,$BU$19)</f>
        <v>6.0000000000000001E-3</v>
      </c>
      <c r="AN33">
        <f t="shared" si="8"/>
        <v>1.5714285714285714</v>
      </c>
      <c r="AO33">
        <f t="shared" si="9"/>
        <v>1.3</v>
      </c>
      <c r="AP33">
        <f t="shared" si="10"/>
        <v>1</v>
      </c>
      <c r="AQ33">
        <f>(0.795*R33)-0.0014</f>
        <v>0.50740000000000007</v>
      </c>
      <c r="AR33">
        <v>1.6</v>
      </c>
      <c r="AS33">
        <f t="shared" si="11"/>
        <v>0.99402397710499402</v>
      </c>
      <c r="AT33">
        <f>(104.7*AQ33+0.307*S33-15)*(S33^0.75)*10^-3</f>
        <v>1.1109945415495692</v>
      </c>
      <c r="AU33">
        <f t="shared" si="12"/>
        <v>1.1043552127330423</v>
      </c>
      <c r="AV33">
        <f>(AU33 * Q33) + (0.045 * AJ33)</f>
        <v>0.13252262552796507</v>
      </c>
      <c r="AW33">
        <f t="shared" si="13"/>
        <v>0.08</v>
      </c>
      <c r="AX33">
        <f>(AU33 * ((1 - R33) + (0.04 * AU33))) * ( 1 - AW33 )</f>
        <v>0.41064374249795926</v>
      </c>
      <c r="AY33">
        <f t="shared" si="14"/>
        <v>0.24</v>
      </c>
      <c r="AZ33">
        <f t="shared" si="15"/>
        <v>0.6784</v>
      </c>
      <c r="BA33">
        <f t="shared" si="20"/>
        <v>0</v>
      </c>
      <c r="BB33">
        <f t="shared" si="16"/>
        <v>3.1423904641917434E-4</v>
      </c>
      <c r="BC33">
        <f t="shared" si="17"/>
        <v>3.1423904641917434E-4</v>
      </c>
      <c r="BD33">
        <f t="shared" si="18"/>
        <v>2.5806881687174696</v>
      </c>
      <c r="BF33">
        <f>L33*AL33*O33</f>
        <v>173.1519299437461</v>
      </c>
    </row>
    <row r="34" spans="8:93" x14ac:dyDescent="0.2">
      <c r="H34" s="13"/>
      <c r="I34" t="s">
        <v>166</v>
      </c>
      <c r="J34">
        <f t="shared" si="29"/>
        <v>0.5</v>
      </c>
      <c r="K34">
        <f t="shared" si="30"/>
        <v>0.65</v>
      </c>
      <c r="L34">
        <v>80</v>
      </c>
      <c r="M34">
        <v>0</v>
      </c>
      <c r="N34">
        <v>0</v>
      </c>
      <c r="O34">
        <f>$BS$3</f>
        <v>91.25</v>
      </c>
      <c r="P34">
        <v>0</v>
      </c>
      <c r="Q34">
        <v>0.18</v>
      </c>
      <c r="R34">
        <v>0.72</v>
      </c>
      <c r="S34">
        <v>55</v>
      </c>
      <c r="T34">
        <f t="shared" si="0"/>
        <v>0</v>
      </c>
      <c r="U34">
        <f t="shared" si="1"/>
        <v>1</v>
      </c>
      <c r="V34">
        <f t="shared" si="2"/>
        <v>0.72</v>
      </c>
      <c r="W34">
        <f>$BS$10</f>
        <v>4.7000000000000002E-3</v>
      </c>
      <c r="X34">
        <f t="shared" si="3"/>
        <v>0</v>
      </c>
      <c r="Y34">
        <f>$BS$4</f>
        <v>0.24</v>
      </c>
      <c r="Z34">
        <f>$BS$6</f>
        <v>1.0999999999999999E-2</v>
      </c>
      <c r="AA34">
        <f>$BS$5</f>
        <v>0.21</v>
      </c>
      <c r="AB34">
        <f t="shared" si="4"/>
        <v>5.8999999999999999E-3</v>
      </c>
      <c r="AC34">
        <f>(M34/100)*(MIN(N34,100)/100)</f>
        <v>0</v>
      </c>
      <c r="AD34">
        <f t="shared" si="5"/>
        <v>0</v>
      </c>
      <c r="AE34">
        <f>J34 * K34 / 365</f>
        <v>8.9041095890410966E-4</v>
      </c>
      <c r="AF34">
        <f>P34 * 0.92</f>
        <v>0</v>
      </c>
      <c r="AG34">
        <v>62</v>
      </c>
      <c r="AH34">
        <f>S34 / AG34</f>
        <v>0.88709677419354838</v>
      </c>
      <c r="AI34">
        <v>0</v>
      </c>
      <c r="AJ34">
        <f t="shared" si="6"/>
        <v>0</v>
      </c>
      <c r="AK34">
        <f t="shared" si="7"/>
        <v>1.1967123287671234E-4</v>
      </c>
      <c r="AL34">
        <f>(AV34 / 6.25 ) - AK34</f>
        <v>3.5639365415842103E-2</v>
      </c>
      <c r="AM34">
        <f>IF($G$11="wet",$BU$18,$BU$19)</f>
        <v>6.0000000000000001E-3</v>
      </c>
      <c r="AN34">
        <f t="shared" si="8"/>
        <v>1.5714285714285714</v>
      </c>
      <c r="AO34">
        <f t="shared" si="9"/>
        <v>1.3</v>
      </c>
      <c r="AP34">
        <f t="shared" si="10"/>
        <v>1</v>
      </c>
      <c r="AQ34">
        <f>(0.795*R34)-0.0014</f>
        <v>0.57100000000000006</v>
      </c>
      <c r="AR34">
        <v>1.7</v>
      </c>
      <c r="AS34">
        <f t="shared" si="11"/>
        <v>0.99691128459176326</v>
      </c>
      <c r="AT34">
        <f>(104.7*AQ34+0.307*S34-15)*(S34^0.75)*10^-3</f>
        <v>1.2454801507015281</v>
      </c>
      <c r="AU34">
        <f t="shared" si="12"/>
        <v>1.2416332169694033</v>
      </c>
      <c r="AV34">
        <f>(AU34 * Q34) + (0.045 * AJ34)</f>
        <v>0.22349397905449259</v>
      </c>
      <c r="AW34">
        <f t="shared" si="13"/>
        <v>0.08</v>
      </c>
      <c r="AX34">
        <f>(AU34 * ((1 - R34) + (0.04 * AU34))) * ( 1 - AW34 )</f>
        <v>0.37657754876504823</v>
      </c>
      <c r="AY34">
        <f t="shared" si="14"/>
        <v>0.24</v>
      </c>
      <c r="AZ34">
        <f t="shared" si="15"/>
        <v>0.6784</v>
      </c>
      <c r="BA34">
        <f t="shared" si="20"/>
        <v>0</v>
      </c>
      <c r="BB34">
        <f t="shared" si="16"/>
        <v>2.8817039584473142E-4</v>
      </c>
      <c r="BC34">
        <f t="shared" si="17"/>
        <v>2.8817039584473142E-4</v>
      </c>
      <c r="BD34">
        <f t="shared" si="18"/>
        <v>2.1036438896665395</v>
      </c>
      <c r="BF34">
        <f>L34*AL34*O34</f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4" t="s">
        <v>224</v>
      </c>
      <c r="BS37" s="14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9" t="s">
        <v>181</v>
      </c>
      <c r="CI37" s="10" t="s">
        <v>182</v>
      </c>
      <c r="CJ37" s="10" t="s">
        <v>183</v>
      </c>
      <c r="CK37" s="10" t="s">
        <v>184</v>
      </c>
      <c r="CL37" s="10" t="s">
        <v>185</v>
      </c>
      <c r="CM37" s="10" t="s">
        <v>186</v>
      </c>
      <c r="CN37" s="10" t="s">
        <v>187</v>
      </c>
      <c r="CO37" s="11" t="s">
        <v>188</v>
      </c>
    </row>
    <row r="38" spans="8:93" ht="17" thickTop="1" x14ac:dyDescent="0.2">
      <c r="BR38" s="14" t="s">
        <v>225</v>
      </c>
      <c r="BS38" s="14">
        <v>7.0000000000000001E-3</v>
      </c>
      <c r="BW38" s="8" t="s">
        <v>163</v>
      </c>
      <c r="BX38" s="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4" t="s">
        <v>226</v>
      </c>
      <c r="BS39" s="14">
        <v>1.8E-3</v>
      </c>
      <c r="BW39" s="8" t="s">
        <v>164</v>
      </c>
      <c r="BX39" s="8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4" t="s">
        <v>227</v>
      </c>
      <c r="BS40" s="14">
        <v>2.8999999999999998E-3</v>
      </c>
      <c r="BW40" s="8" t="s">
        <v>165</v>
      </c>
      <c r="BX40" s="8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4" t="s">
        <v>228</v>
      </c>
      <c r="BS41" s="14">
        <v>8.0000000000000002E-3</v>
      </c>
      <c r="BW41" s="8" t="s">
        <v>166</v>
      </c>
      <c r="BX41" s="8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4" t="s">
        <v>229</v>
      </c>
      <c r="BS42" s="14">
        <v>1.9900000000000001E-2</v>
      </c>
      <c r="BW42" s="8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4" t="s">
        <v>230</v>
      </c>
      <c r="BS43" s="14">
        <v>5.3E-3</v>
      </c>
      <c r="BW43" s="8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4" t="s">
        <v>231</v>
      </c>
      <c r="BS44" s="14">
        <v>6.4000000000000003E-3</v>
      </c>
      <c r="BW44" s="8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4" t="s">
        <v>222</v>
      </c>
      <c r="BS45" s="14">
        <v>2.5999999999999999E-3</v>
      </c>
      <c r="BW45" s="8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4" t="s">
        <v>232</v>
      </c>
      <c r="BS46" s="14">
        <v>3.0000000000000001E-3</v>
      </c>
      <c r="BW46" s="8" t="s">
        <v>163</v>
      </c>
      <c r="BX46" s="8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4" t="s">
        <v>233</v>
      </c>
      <c r="BS47" s="14">
        <v>5.0000000000000001E-3</v>
      </c>
      <c r="BW47" s="8" t="s">
        <v>164</v>
      </c>
      <c r="BX47" s="8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4" t="s">
        <v>223</v>
      </c>
      <c r="BS48" s="14">
        <v>2.5999999999999999E-3</v>
      </c>
      <c r="BW48" s="8" t="s">
        <v>165</v>
      </c>
      <c r="BX48" s="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4" t="s">
        <v>234</v>
      </c>
      <c r="BS49" s="14">
        <v>1.8E-3</v>
      </c>
      <c r="BW49" s="8" t="s">
        <v>166</v>
      </c>
      <c r="BX49" s="8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s="8" t="s">
        <v>163</v>
      </c>
      <c r="BX50" s="8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s="8" t="s">
        <v>164</v>
      </c>
      <c r="BX51" s="8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s="8" t="s">
        <v>165</v>
      </c>
      <c r="BX52" s="8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s="8" t="s">
        <v>166</v>
      </c>
      <c r="BX53" s="8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s="8" t="s">
        <v>163</v>
      </c>
      <c r="BX54" s="8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s="8" t="s">
        <v>164</v>
      </c>
      <c r="BX55" s="8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s="8" t="s">
        <v>165</v>
      </c>
      <c r="BX56" s="8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s="8" t="s">
        <v>166</v>
      </c>
      <c r="BX57" s="8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s="8" t="s">
        <v>163</v>
      </c>
      <c r="BX58" s="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s="8" t="s">
        <v>164</v>
      </c>
      <c r="BX59" s="8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s="8" t="s">
        <v>165</v>
      </c>
      <c r="BX60" s="8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s="8" t="s">
        <v>166</v>
      </c>
      <c r="BX61" s="8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2:93" ht="17" thickBot="1" x14ac:dyDescent="0.25">
      <c r="BW66" t="s">
        <v>191</v>
      </c>
      <c r="BX66" t="s">
        <v>128</v>
      </c>
      <c r="CH66" s="9" t="s">
        <v>181</v>
      </c>
      <c r="CI66" s="10" t="s">
        <v>182</v>
      </c>
      <c r="CJ66" s="10" t="s">
        <v>183</v>
      </c>
      <c r="CK66" s="10" t="s">
        <v>184</v>
      </c>
      <c r="CL66" s="10" t="s">
        <v>185</v>
      </c>
      <c r="CM66" s="10" t="s">
        <v>186</v>
      </c>
      <c r="CN66" s="10" t="s">
        <v>187</v>
      </c>
      <c r="CO66" s="11" t="s">
        <v>188</v>
      </c>
    </row>
    <row r="67" spans="62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2:93" x14ac:dyDescent="0.2">
      <c r="BJ68" s="8"/>
      <c r="BK68" s="8"/>
      <c r="BW68" s="8" t="s">
        <v>163</v>
      </c>
      <c r="BX68" s="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4" t="s">
        <v>163</v>
      </c>
      <c r="CJ68" s="14">
        <v>0.75</v>
      </c>
      <c r="CK68" s="14">
        <v>0.75</v>
      </c>
      <c r="CL68" s="14">
        <v>0.75</v>
      </c>
      <c r="CM68" s="14">
        <v>0.75</v>
      </c>
      <c r="CN68" s="14">
        <v>0.75</v>
      </c>
      <c r="CO68" s="14">
        <v>0.75</v>
      </c>
    </row>
    <row r="69" spans="62:93" x14ac:dyDescent="0.2">
      <c r="BJ69" s="8"/>
      <c r="BK69" s="8"/>
      <c r="BW69" s="8" t="s">
        <v>164</v>
      </c>
      <c r="BX69" s="8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4" t="s">
        <v>164</v>
      </c>
      <c r="CJ69" s="14">
        <v>0.61</v>
      </c>
      <c r="CK69" s="14">
        <v>0.61</v>
      </c>
      <c r="CL69" s="14">
        <v>0.61</v>
      </c>
      <c r="CM69" s="14">
        <v>0.61</v>
      </c>
      <c r="CN69" s="14">
        <v>0.61</v>
      </c>
      <c r="CO69">
        <v>0.61</v>
      </c>
    </row>
    <row r="70" spans="62:93" x14ac:dyDescent="0.2">
      <c r="BJ70" s="8"/>
      <c r="BK70" s="8"/>
      <c r="BW70" s="8" t="s">
        <v>165</v>
      </c>
      <c r="BX70" s="8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4" t="s">
        <v>165</v>
      </c>
      <c r="CJ70" s="14">
        <v>0.64</v>
      </c>
      <c r="CK70" s="14">
        <v>0.64</v>
      </c>
      <c r="CL70" s="14">
        <v>0.64</v>
      </c>
      <c r="CM70" s="14">
        <v>0.64</v>
      </c>
      <c r="CN70" s="14">
        <v>0.64</v>
      </c>
      <c r="CO70">
        <v>0.64</v>
      </c>
    </row>
    <row r="71" spans="62:93" ht="17" thickBot="1" x14ac:dyDescent="0.25">
      <c r="BJ71" s="8"/>
      <c r="BK71" s="8"/>
      <c r="BW71" s="8" t="s">
        <v>166</v>
      </c>
      <c r="BX71" s="8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4" t="s">
        <v>166</v>
      </c>
      <c r="CJ71" s="14">
        <v>0.72</v>
      </c>
      <c r="CK71" s="14">
        <v>0.72</v>
      </c>
      <c r="CL71" s="14">
        <v>0.72</v>
      </c>
      <c r="CM71" s="14">
        <v>0.72</v>
      </c>
      <c r="CN71" s="14">
        <v>0.72</v>
      </c>
      <c r="CO71">
        <v>0.72</v>
      </c>
    </row>
    <row r="72" spans="62:93" ht="18" thickTop="1" thickBot="1" x14ac:dyDescent="0.25">
      <c r="BJ72" s="8"/>
      <c r="BK72" s="6"/>
      <c r="BW72" s="8" t="s">
        <v>163</v>
      </c>
      <c r="BX72" s="8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4" t="s">
        <v>163</v>
      </c>
      <c r="CJ72" s="14">
        <v>0.51</v>
      </c>
      <c r="CK72" s="14">
        <v>0.51</v>
      </c>
      <c r="CL72" s="14">
        <v>0.51</v>
      </c>
      <c r="CM72" s="14">
        <v>0.51</v>
      </c>
      <c r="CN72" s="14">
        <v>0.51</v>
      </c>
      <c r="CO72" s="14">
        <v>0.51</v>
      </c>
    </row>
    <row r="73" spans="62:93" ht="18" thickTop="1" thickBot="1" x14ac:dyDescent="0.25">
      <c r="BJ73" s="8"/>
      <c r="BK73" s="6"/>
      <c r="BW73" s="8" t="s">
        <v>164</v>
      </c>
      <c r="BX73" s="8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4" t="s">
        <v>164</v>
      </c>
      <c r="CJ73" s="14">
        <v>0.55000000000000004</v>
      </c>
      <c r="CK73" s="14">
        <v>0.55000000000000004</v>
      </c>
      <c r="CL73" s="14">
        <v>0.55000000000000004</v>
      </c>
      <c r="CM73" s="14">
        <v>0.55000000000000004</v>
      </c>
      <c r="CN73" s="14">
        <v>0.55000000000000004</v>
      </c>
      <c r="CO73">
        <v>0.55000000000000004</v>
      </c>
    </row>
    <row r="74" spans="62:93" ht="18" thickTop="1" thickBot="1" x14ac:dyDescent="0.25">
      <c r="BJ74" s="8"/>
      <c r="BK74" s="6"/>
      <c r="BW74" s="8" t="s">
        <v>165</v>
      </c>
      <c r="BX74" s="8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4" t="s">
        <v>165</v>
      </c>
      <c r="CJ74" s="14">
        <v>0.59</v>
      </c>
      <c r="CK74" s="14">
        <v>0.59</v>
      </c>
      <c r="CL74" s="14">
        <v>0.59</v>
      </c>
      <c r="CM74" s="14">
        <v>0.59</v>
      </c>
      <c r="CN74" s="14">
        <v>0.59</v>
      </c>
      <c r="CO74">
        <v>0.59</v>
      </c>
    </row>
    <row r="75" spans="62:93" ht="17" thickTop="1" x14ac:dyDescent="0.2">
      <c r="BJ75" s="8"/>
      <c r="BK75" s="6"/>
      <c r="BW75" s="8" t="s">
        <v>166</v>
      </c>
      <c r="BX75" s="8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4" t="s">
        <v>166</v>
      </c>
      <c r="CJ75" s="14">
        <v>0.57999999999999996</v>
      </c>
      <c r="CK75" s="14">
        <v>0.57999999999999996</v>
      </c>
      <c r="CL75" s="14">
        <v>0.57999999999999996</v>
      </c>
      <c r="CM75" s="14">
        <v>0.57999999999999996</v>
      </c>
      <c r="CN75" s="14">
        <v>0.57999999999999996</v>
      </c>
      <c r="CO75">
        <v>0.57999999999999996</v>
      </c>
    </row>
    <row r="76" spans="62:93" x14ac:dyDescent="0.2">
      <c r="BJ76" s="8"/>
      <c r="BK76" s="8"/>
      <c r="BW76" s="8" t="s">
        <v>163</v>
      </c>
      <c r="BX76" s="8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4" t="s">
        <v>163</v>
      </c>
      <c r="CJ76" s="14">
        <v>0.7</v>
      </c>
      <c r="CK76" s="14">
        <v>0.7</v>
      </c>
      <c r="CL76" s="14">
        <v>0.7</v>
      </c>
      <c r="CM76" s="14">
        <v>0.7</v>
      </c>
      <c r="CN76" s="14">
        <v>0.7</v>
      </c>
      <c r="CO76" s="14">
        <v>0.7</v>
      </c>
    </row>
    <row r="77" spans="62:93" x14ac:dyDescent="0.2">
      <c r="BJ77" s="8"/>
      <c r="BK77" s="8"/>
      <c r="BW77" s="8" t="s">
        <v>164</v>
      </c>
      <c r="BX77" s="8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4" t="s">
        <v>164</v>
      </c>
      <c r="CJ77" s="14">
        <v>0.55000000000000004</v>
      </c>
      <c r="CK77" s="14">
        <v>0.55000000000000004</v>
      </c>
      <c r="CL77" s="14">
        <v>0.55000000000000004</v>
      </c>
      <c r="CM77" s="14">
        <v>0.55000000000000004</v>
      </c>
      <c r="CN77" s="14">
        <v>0.55000000000000004</v>
      </c>
      <c r="CO77">
        <v>0.55000000000000004</v>
      </c>
    </row>
    <row r="78" spans="62:93" x14ac:dyDescent="0.2">
      <c r="BJ78" s="8"/>
      <c r="BK78" s="8"/>
      <c r="BW78" s="8" t="s">
        <v>165</v>
      </c>
      <c r="BX78" s="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4" t="s">
        <v>165</v>
      </c>
      <c r="CJ78" s="14">
        <v>0.55000000000000004</v>
      </c>
      <c r="CK78" s="14">
        <v>0.55000000000000004</v>
      </c>
      <c r="CL78" s="14">
        <v>0.55000000000000004</v>
      </c>
      <c r="CM78" s="14">
        <v>0.55000000000000004</v>
      </c>
      <c r="CN78" s="14">
        <v>0.55000000000000004</v>
      </c>
      <c r="CO78">
        <v>0.55000000000000004</v>
      </c>
    </row>
    <row r="79" spans="62:93" x14ac:dyDescent="0.2">
      <c r="BJ79" s="8"/>
      <c r="BK79" s="8"/>
      <c r="BW79" s="8" t="s">
        <v>166</v>
      </c>
      <c r="BX79" s="8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4" t="s">
        <v>166</v>
      </c>
      <c r="CJ79" s="14">
        <v>0.75</v>
      </c>
      <c r="CK79" s="14">
        <v>0.75</v>
      </c>
      <c r="CL79" s="14">
        <v>0.75</v>
      </c>
      <c r="CM79" s="14">
        <v>0.75</v>
      </c>
      <c r="CN79" s="14">
        <v>0.75</v>
      </c>
      <c r="CO79">
        <v>0.75</v>
      </c>
    </row>
    <row r="80" spans="62:93" x14ac:dyDescent="0.2">
      <c r="BJ80" s="8"/>
      <c r="BK80" s="8"/>
      <c r="BW80" s="8" t="s">
        <v>163</v>
      </c>
      <c r="BX80" s="8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4" t="s">
        <v>163</v>
      </c>
      <c r="CJ80" s="14">
        <v>0.75</v>
      </c>
      <c r="CK80" s="14">
        <v>0.75</v>
      </c>
      <c r="CL80" s="14">
        <v>0.75</v>
      </c>
      <c r="CM80" s="14">
        <v>0.75</v>
      </c>
      <c r="CN80" s="14">
        <v>0.75</v>
      </c>
      <c r="CO80" s="14">
        <v>0.75</v>
      </c>
    </row>
    <row r="81" spans="62:93" x14ac:dyDescent="0.2">
      <c r="BJ81" s="8"/>
      <c r="BK81" s="8"/>
      <c r="BW81" s="8" t="s">
        <v>164</v>
      </c>
      <c r="BX81" s="8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4" t="s">
        <v>164</v>
      </c>
      <c r="CJ81" s="14">
        <v>0.55000000000000004</v>
      </c>
      <c r="CK81" s="14">
        <v>0.55000000000000004</v>
      </c>
      <c r="CL81" s="14">
        <v>0.55000000000000004</v>
      </c>
      <c r="CM81" s="14">
        <v>0.55000000000000004</v>
      </c>
      <c r="CN81" s="14">
        <v>0.55000000000000004</v>
      </c>
      <c r="CO81">
        <v>0.55000000000000004</v>
      </c>
    </row>
    <row r="82" spans="62:93" x14ac:dyDescent="0.2">
      <c r="BJ82" s="8"/>
      <c r="BK82" s="8"/>
      <c r="BW82" s="8" t="s">
        <v>165</v>
      </c>
      <c r="BX82" s="8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4" t="s">
        <v>165</v>
      </c>
      <c r="CJ82" s="14">
        <v>0.67</v>
      </c>
      <c r="CK82" s="14">
        <v>0.67</v>
      </c>
      <c r="CL82" s="14">
        <v>0.67</v>
      </c>
      <c r="CM82" s="14">
        <v>0.67</v>
      </c>
      <c r="CN82" s="14">
        <v>0.67</v>
      </c>
      <c r="CO82">
        <v>0.67</v>
      </c>
    </row>
    <row r="83" spans="62:93" x14ac:dyDescent="0.2">
      <c r="BJ83" s="8"/>
      <c r="BK83" s="8"/>
      <c r="BW83" s="8" t="s">
        <v>166</v>
      </c>
      <c r="BX83" s="8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4" t="s">
        <v>166</v>
      </c>
      <c r="CJ83" s="14">
        <v>0.7</v>
      </c>
      <c r="CK83" s="14">
        <v>0.7</v>
      </c>
      <c r="CL83" s="14">
        <v>0.7</v>
      </c>
      <c r="CM83" s="14">
        <v>0.7</v>
      </c>
      <c r="CN83" s="14">
        <v>0.7</v>
      </c>
      <c r="CO83">
        <v>0.7</v>
      </c>
    </row>
    <row r="84" spans="62:93" x14ac:dyDescent="0.2">
      <c r="BJ84" s="8"/>
      <c r="BK84" s="8"/>
      <c r="BW84" s="8" t="s">
        <v>163</v>
      </c>
      <c r="BX84" s="8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4" t="s">
        <v>163</v>
      </c>
      <c r="CJ84" s="14">
        <v>0.7</v>
      </c>
      <c r="CK84" s="14">
        <v>0.7</v>
      </c>
      <c r="CL84" s="14">
        <v>0.7</v>
      </c>
      <c r="CM84" s="14">
        <v>0.7</v>
      </c>
      <c r="CN84" s="14">
        <v>0.7</v>
      </c>
      <c r="CO84" s="14">
        <v>0.7</v>
      </c>
    </row>
    <row r="85" spans="62:93" x14ac:dyDescent="0.2">
      <c r="BJ85" s="8"/>
      <c r="BK85" s="8"/>
      <c r="BW85" s="8" t="s">
        <v>164</v>
      </c>
      <c r="BX85" s="8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4" t="s">
        <v>164</v>
      </c>
      <c r="CJ85" s="14">
        <v>0.55000000000000004</v>
      </c>
      <c r="CK85" s="14">
        <v>0.55000000000000004</v>
      </c>
      <c r="CL85" s="14">
        <v>0.55000000000000004</v>
      </c>
      <c r="CM85" s="14">
        <v>0.55000000000000004</v>
      </c>
      <c r="CN85" s="14">
        <v>0.55000000000000004</v>
      </c>
      <c r="CO85">
        <v>0.55000000000000004</v>
      </c>
    </row>
    <row r="86" spans="62:93" x14ac:dyDescent="0.2">
      <c r="BJ86" s="8"/>
      <c r="BK86" s="8"/>
      <c r="BW86" s="8" t="s">
        <v>165</v>
      </c>
      <c r="BX86" s="8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4" t="s">
        <v>165</v>
      </c>
      <c r="CJ86" s="14">
        <v>0.65</v>
      </c>
      <c r="CK86" s="14">
        <v>0.65</v>
      </c>
      <c r="CL86" s="14">
        <v>0.65</v>
      </c>
      <c r="CM86" s="14">
        <v>0.65</v>
      </c>
      <c r="CN86" s="14">
        <v>0.65</v>
      </c>
      <c r="CO86">
        <v>0.65</v>
      </c>
    </row>
    <row r="87" spans="62:93" x14ac:dyDescent="0.2">
      <c r="BJ87" s="8"/>
      <c r="BK87" s="8"/>
      <c r="BW87" s="8" t="s">
        <v>166</v>
      </c>
      <c r="BX87" s="8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4" t="s">
        <v>166</v>
      </c>
      <c r="CJ87" s="14">
        <v>0.6</v>
      </c>
      <c r="CK87" s="14">
        <v>0.6</v>
      </c>
      <c r="CL87" s="14">
        <v>0.6</v>
      </c>
      <c r="CM87" s="14">
        <v>0.6</v>
      </c>
      <c r="CN87" s="14">
        <v>0.6</v>
      </c>
      <c r="CO87">
        <v>0.6</v>
      </c>
    </row>
    <row r="88" spans="62:93" x14ac:dyDescent="0.2">
      <c r="BJ88" s="8"/>
      <c r="BK88" s="8"/>
      <c r="BW88" s="8" t="s">
        <v>163</v>
      </c>
      <c r="BX88" s="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4" t="s">
        <v>163</v>
      </c>
      <c r="CJ88" s="14">
        <v>0.73</v>
      </c>
      <c r="CK88" s="14">
        <v>0.73</v>
      </c>
      <c r="CL88" s="14">
        <v>0.73</v>
      </c>
      <c r="CM88" s="14">
        <v>0.73</v>
      </c>
      <c r="CN88" s="14">
        <v>0.73</v>
      </c>
      <c r="CO88" s="14">
        <v>0.73</v>
      </c>
    </row>
    <row r="89" spans="62:93" x14ac:dyDescent="0.2">
      <c r="BJ89" s="8"/>
      <c r="BK89" s="8"/>
      <c r="BW89" s="8" t="s">
        <v>164</v>
      </c>
      <c r="BX89" s="8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4" t="s">
        <v>164</v>
      </c>
      <c r="CJ89" s="14">
        <v>0.55000000000000004</v>
      </c>
      <c r="CK89" s="14">
        <v>0.55000000000000004</v>
      </c>
      <c r="CL89" s="14">
        <v>0.55000000000000004</v>
      </c>
      <c r="CM89" s="14">
        <v>0.55000000000000004</v>
      </c>
      <c r="CN89" s="14">
        <v>0.55000000000000004</v>
      </c>
      <c r="CO89">
        <v>0.55000000000000004</v>
      </c>
    </row>
    <row r="90" spans="62:93" x14ac:dyDescent="0.2">
      <c r="BJ90" s="8"/>
      <c r="BK90" s="8"/>
      <c r="BW90" s="8" t="s">
        <v>165</v>
      </c>
      <c r="BX90" s="8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4" t="s">
        <v>165</v>
      </c>
      <c r="CJ90" s="14">
        <v>0.5</v>
      </c>
      <c r="CK90" s="14">
        <v>0.5</v>
      </c>
      <c r="CL90" s="14">
        <v>0.7</v>
      </c>
      <c r="CM90" s="14">
        <v>0.7</v>
      </c>
      <c r="CN90" s="14">
        <v>0.5</v>
      </c>
      <c r="CO90">
        <v>0.7</v>
      </c>
    </row>
    <row r="91" spans="62:93" x14ac:dyDescent="0.2">
      <c r="BJ91" s="8"/>
      <c r="BK91" s="8"/>
      <c r="BW91" s="8" t="s">
        <v>166</v>
      </c>
      <c r="BX91" s="8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4" t="s">
        <v>166</v>
      </c>
      <c r="CJ91" s="14">
        <v>0.76</v>
      </c>
      <c r="CK91" s="14">
        <v>0.76</v>
      </c>
      <c r="CL91" s="14">
        <v>0.76</v>
      </c>
      <c r="CM91" s="14">
        <v>0.76</v>
      </c>
      <c r="CN91" s="14">
        <v>0.76</v>
      </c>
      <c r="CO91">
        <v>0.76</v>
      </c>
    </row>
    <row r="94" spans="62:93" x14ac:dyDescent="0.2">
      <c r="BW94" t="s">
        <v>192</v>
      </c>
      <c r="BX94" t="s">
        <v>129</v>
      </c>
    </row>
    <row r="95" spans="62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9" t="s">
        <v>181</v>
      </c>
      <c r="CI95" s="10" t="s">
        <v>182</v>
      </c>
      <c r="CJ95" s="10" t="s">
        <v>183</v>
      </c>
      <c r="CK95" s="10" t="s">
        <v>184</v>
      </c>
      <c r="CL95" s="10" t="s">
        <v>185</v>
      </c>
      <c r="CM95" s="10" t="s">
        <v>186</v>
      </c>
      <c r="CN95" s="10" t="s">
        <v>187</v>
      </c>
      <c r="CO95" s="11" t="s">
        <v>188</v>
      </c>
    </row>
    <row r="96" spans="62:93" ht="17" thickTop="1" x14ac:dyDescent="0.2">
      <c r="BW96" s="8" t="s">
        <v>163</v>
      </c>
      <c r="BX96" s="8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s="8" t="s">
        <v>164</v>
      </c>
      <c r="BX97" s="8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s="8" t="s">
        <v>165</v>
      </c>
      <c r="BX98" s="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s="8" t="s">
        <v>166</v>
      </c>
      <c r="BX99" s="8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s="8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s="8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s="8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s="8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s="8" t="s">
        <v>163</v>
      </c>
      <c r="BX104" s="8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s="8" t="s">
        <v>164</v>
      </c>
      <c r="BX105" s="8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s="8" t="s">
        <v>165</v>
      </c>
      <c r="BX106" s="8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s="8" t="s">
        <v>166</v>
      </c>
      <c r="BX107" s="8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s="8" t="s">
        <v>163</v>
      </c>
      <c r="BX108" s="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s="8" t="s">
        <v>164</v>
      </c>
      <c r="BX109" s="8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s="8" t="s">
        <v>165</v>
      </c>
      <c r="BX110" s="8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s="8" t="s">
        <v>166</v>
      </c>
      <c r="BX111" s="8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s="8" t="s">
        <v>163</v>
      </c>
      <c r="BX112" s="8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s="8" t="s">
        <v>164</v>
      </c>
      <c r="BX113" s="8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s="8" t="s">
        <v>165</v>
      </c>
      <c r="BX114" s="8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s="8" t="s">
        <v>166</v>
      </c>
      <c r="BX115" s="8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s="8" t="s">
        <v>163</v>
      </c>
      <c r="BX116" s="8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s="8" t="s">
        <v>164</v>
      </c>
      <c r="BX117" s="8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s="8" t="s">
        <v>165</v>
      </c>
      <c r="BX118" s="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s="8" t="s">
        <v>166</v>
      </c>
      <c r="BX119" s="8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4"/>
      <c r="CL127" s="14"/>
      <c r="CM127" s="14"/>
      <c r="CN127" s="14"/>
    </row>
    <row r="128" spans="75:93" x14ac:dyDescent="0.2">
      <c r="CH128" s="14" t="s">
        <v>252</v>
      </c>
      <c r="CI128" s="14" t="s">
        <v>141</v>
      </c>
      <c r="CJ128" s="14"/>
      <c r="CK128" s="14"/>
      <c r="CL128" s="14"/>
      <c r="CM128" s="14"/>
      <c r="CN128" s="14"/>
    </row>
    <row r="129" spans="49:93" ht="17" thickBot="1" x14ac:dyDescent="0.25">
      <c r="CH129" s="21"/>
      <c r="CJ129" s="22"/>
      <c r="CK129" s="22"/>
      <c r="CL129" s="22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3" t="s">
        <v>181</v>
      </c>
      <c r="CI130" t="s">
        <v>182</v>
      </c>
      <c r="CJ130" s="24" t="s">
        <v>183</v>
      </c>
      <c r="CK130" s="24" t="s">
        <v>184</v>
      </c>
      <c r="CL130" s="24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s="8" t="s">
        <v>163</v>
      </c>
      <c r="BX131" s="8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3" t="s">
        <v>179</v>
      </c>
      <c r="CI131" t="s">
        <v>180</v>
      </c>
      <c r="CJ131" s="24" t="s">
        <v>162</v>
      </c>
      <c r="CK131" s="24" t="s">
        <v>167</v>
      </c>
      <c r="CL131" s="24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s="8" t="s">
        <v>164</v>
      </c>
      <c r="BX132" s="8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5" t="s">
        <v>173</v>
      </c>
      <c r="CI132" t="s">
        <v>163</v>
      </c>
      <c r="CJ132" s="26" t="s">
        <v>241</v>
      </c>
      <c r="CK132" s="26" t="s">
        <v>242</v>
      </c>
      <c r="CL132" s="26" t="s">
        <v>243</v>
      </c>
      <c r="CM132" s="26" t="s">
        <v>243</v>
      </c>
      <c r="CN132" s="26" t="s">
        <v>243</v>
      </c>
      <c r="CO132" s="26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s="8" t="s">
        <v>165</v>
      </c>
      <c r="BX133" s="8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5" t="s">
        <v>173</v>
      </c>
      <c r="CI133" t="s">
        <v>164</v>
      </c>
      <c r="CJ133" s="26" t="s">
        <v>241</v>
      </c>
      <c r="CK133" s="26" t="s">
        <v>242</v>
      </c>
      <c r="CL133" s="26" t="s">
        <v>243</v>
      </c>
      <c r="CM133" s="26" t="s">
        <v>243</v>
      </c>
      <c r="CN133" s="26" t="s">
        <v>243</v>
      </c>
      <c r="CO133" s="26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s="8" t="s">
        <v>166</v>
      </c>
      <c r="BX134" s="8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5" t="s">
        <v>173</v>
      </c>
      <c r="CI134" t="s">
        <v>165</v>
      </c>
      <c r="CJ134" s="26" t="s">
        <v>241</v>
      </c>
      <c r="CK134" s="26" t="s">
        <v>242</v>
      </c>
      <c r="CL134" s="26" t="s">
        <v>243</v>
      </c>
      <c r="CM134" s="26" t="s">
        <v>243</v>
      </c>
      <c r="CN134" s="26" t="s">
        <v>243</v>
      </c>
      <c r="CO134" s="26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s="8" t="s">
        <v>163</v>
      </c>
      <c r="BX135" s="8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5" t="s">
        <v>173</v>
      </c>
      <c r="CI135" t="s">
        <v>166</v>
      </c>
      <c r="CJ135" s="26" t="s">
        <v>241</v>
      </c>
      <c r="CK135" s="26" t="s">
        <v>242</v>
      </c>
      <c r="CL135" s="26" t="s">
        <v>243</v>
      </c>
      <c r="CM135" s="26" t="s">
        <v>243</v>
      </c>
      <c r="CN135" s="26" t="s">
        <v>243</v>
      </c>
      <c r="CO135" s="26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s="8" t="s">
        <v>164</v>
      </c>
      <c r="BX136" s="8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7" t="s">
        <v>174</v>
      </c>
      <c r="CI136" t="s">
        <v>163</v>
      </c>
      <c r="CJ136" s="20" t="s">
        <v>244</v>
      </c>
      <c r="CK136" s="20" t="s">
        <v>245</v>
      </c>
      <c r="CL136" s="20" t="s">
        <v>246</v>
      </c>
      <c r="CM136" s="20" t="s">
        <v>246</v>
      </c>
      <c r="CN136" s="20" t="s">
        <v>246</v>
      </c>
      <c r="CO136" s="20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s="8" t="s">
        <v>165</v>
      </c>
      <c r="BX137" s="8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7" t="s">
        <v>174</v>
      </c>
      <c r="CI137" t="s">
        <v>164</v>
      </c>
      <c r="CJ137" s="20" t="s">
        <v>244</v>
      </c>
      <c r="CK137" s="20" t="s">
        <v>245</v>
      </c>
      <c r="CL137" s="20" t="s">
        <v>246</v>
      </c>
      <c r="CM137" s="20" t="s">
        <v>246</v>
      </c>
      <c r="CN137" s="20" t="s">
        <v>246</v>
      </c>
      <c r="CO137" s="20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s="8" t="s">
        <v>166</v>
      </c>
      <c r="BX138" s="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7" t="s">
        <v>174</v>
      </c>
      <c r="CI138" t="s">
        <v>165</v>
      </c>
      <c r="CJ138" s="20" t="s">
        <v>244</v>
      </c>
      <c r="CK138" s="20" t="s">
        <v>245</v>
      </c>
      <c r="CL138" s="20" t="s">
        <v>246</v>
      </c>
      <c r="CM138" s="20" t="s">
        <v>246</v>
      </c>
      <c r="CN138" s="20" t="s">
        <v>246</v>
      </c>
      <c r="CO138" s="20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s="8" t="s">
        <v>163</v>
      </c>
      <c r="BX139" s="8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7" t="s">
        <v>174</v>
      </c>
      <c r="CI139" t="s">
        <v>166</v>
      </c>
      <c r="CJ139" s="20" t="s">
        <v>244</v>
      </c>
      <c r="CK139" s="20" t="s">
        <v>245</v>
      </c>
      <c r="CL139" s="20" t="s">
        <v>246</v>
      </c>
      <c r="CM139" s="20" t="s">
        <v>246</v>
      </c>
      <c r="CN139" s="20" t="s">
        <v>246</v>
      </c>
      <c r="CO139" s="20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s="8" t="s">
        <v>164</v>
      </c>
      <c r="BX140" s="8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7" t="s">
        <v>175</v>
      </c>
      <c r="CI140" t="s">
        <v>163</v>
      </c>
      <c r="CJ140" s="20" t="s">
        <v>247</v>
      </c>
      <c r="CK140" s="20" t="s">
        <v>248</v>
      </c>
      <c r="CL140" s="20" t="s">
        <v>245</v>
      </c>
      <c r="CM140" s="20" t="s">
        <v>245</v>
      </c>
      <c r="CN140" s="20" t="s">
        <v>245</v>
      </c>
      <c r="CO140" s="20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s="8" t="s">
        <v>165</v>
      </c>
      <c r="BX141" s="8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7" t="s">
        <v>175</v>
      </c>
      <c r="CI141" t="s">
        <v>164</v>
      </c>
      <c r="CJ141" s="20" t="s">
        <v>247</v>
      </c>
      <c r="CK141" s="20" t="s">
        <v>248</v>
      </c>
      <c r="CL141" s="20" t="s">
        <v>245</v>
      </c>
      <c r="CM141" s="20" t="s">
        <v>245</v>
      </c>
      <c r="CN141" s="20" t="s">
        <v>245</v>
      </c>
      <c r="CO141" s="20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s="8" t="s">
        <v>166</v>
      </c>
      <c r="BX142" s="8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7" t="s">
        <v>175</v>
      </c>
      <c r="CI142" t="s">
        <v>165</v>
      </c>
      <c r="CJ142" s="20" t="s">
        <v>247</v>
      </c>
      <c r="CK142" s="20" t="s">
        <v>248</v>
      </c>
      <c r="CL142" s="20" t="s">
        <v>245</v>
      </c>
      <c r="CM142" s="20" t="s">
        <v>245</v>
      </c>
      <c r="CN142" s="20" t="s">
        <v>245</v>
      </c>
      <c r="CO142" s="20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s="8" t="s">
        <v>163</v>
      </c>
      <c r="BX143" s="8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7" t="s">
        <v>175</v>
      </c>
      <c r="CI143" t="s">
        <v>166</v>
      </c>
      <c r="CJ143" s="20" t="s">
        <v>247</v>
      </c>
      <c r="CK143" s="20" t="s">
        <v>248</v>
      </c>
      <c r="CL143" s="20" t="s">
        <v>245</v>
      </c>
      <c r="CM143" s="20" t="s">
        <v>245</v>
      </c>
      <c r="CN143" s="20" t="s">
        <v>245</v>
      </c>
      <c r="CO143" s="20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s="8" t="s">
        <v>164</v>
      </c>
      <c r="BX144" s="8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7" t="s">
        <v>176</v>
      </c>
      <c r="CI144" t="s">
        <v>163</v>
      </c>
      <c r="CJ144" s="20" t="s">
        <v>249</v>
      </c>
      <c r="CK144" s="20" t="s">
        <v>250</v>
      </c>
      <c r="CL144" s="20" t="s">
        <v>251</v>
      </c>
      <c r="CM144" s="20" t="s">
        <v>251</v>
      </c>
      <c r="CN144" s="20" t="s">
        <v>251</v>
      </c>
      <c r="CO144" s="20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s="8" t="s">
        <v>165</v>
      </c>
      <c r="BX145" s="8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7" t="s">
        <v>176</v>
      </c>
      <c r="CI145" t="s">
        <v>164</v>
      </c>
      <c r="CJ145" s="20" t="s">
        <v>249</v>
      </c>
      <c r="CK145" s="20" t="s">
        <v>250</v>
      </c>
      <c r="CL145" s="20" t="s">
        <v>251</v>
      </c>
      <c r="CM145" s="20" t="s">
        <v>251</v>
      </c>
      <c r="CN145" s="20" t="s">
        <v>251</v>
      </c>
      <c r="CO145" s="20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s="8" t="s">
        <v>166</v>
      </c>
      <c r="BX146" s="8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7" t="s">
        <v>176</v>
      </c>
      <c r="CI146" t="s">
        <v>165</v>
      </c>
      <c r="CJ146" s="20" t="s">
        <v>249</v>
      </c>
      <c r="CK146" s="20" t="s">
        <v>250</v>
      </c>
      <c r="CL146" s="20" t="s">
        <v>251</v>
      </c>
      <c r="CM146" s="20" t="s">
        <v>251</v>
      </c>
      <c r="CN146" s="20" t="s">
        <v>251</v>
      </c>
      <c r="CO146" s="20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s="8" t="s">
        <v>163</v>
      </c>
      <c r="BX147" s="8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7" t="s">
        <v>176</v>
      </c>
      <c r="CI147" t="s">
        <v>166</v>
      </c>
      <c r="CJ147" s="20" t="s">
        <v>249</v>
      </c>
      <c r="CK147" s="20" t="s">
        <v>250</v>
      </c>
      <c r="CL147" s="20" t="s">
        <v>251</v>
      </c>
      <c r="CM147" s="20" t="s">
        <v>251</v>
      </c>
      <c r="CN147" s="20" t="s">
        <v>251</v>
      </c>
      <c r="CO147" s="20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s="8" t="s">
        <v>164</v>
      </c>
      <c r="BX148" s="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5" t="s">
        <v>177</v>
      </c>
      <c r="CI148" t="s">
        <v>163</v>
      </c>
      <c r="CJ148" s="16" t="s">
        <v>244</v>
      </c>
      <c r="CK148" s="16" t="s">
        <v>245</v>
      </c>
      <c r="CL148" s="16" t="s">
        <v>246</v>
      </c>
      <c r="CM148" s="16" t="s">
        <v>246</v>
      </c>
      <c r="CN148" s="16" t="s">
        <v>246</v>
      </c>
      <c r="CO148" s="17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s="8" t="s">
        <v>165</v>
      </c>
      <c r="BX149" s="8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5" t="s">
        <v>177</v>
      </c>
      <c r="CI149" t="s">
        <v>164</v>
      </c>
      <c r="CJ149" s="16" t="s">
        <v>244</v>
      </c>
      <c r="CK149" s="16" t="s">
        <v>245</v>
      </c>
      <c r="CL149" s="16" t="s">
        <v>246</v>
      </c>
      <c r="CM149" s="16" t="s">
        <v>246</v>
      </c>
      <c r="CN149" s="16" t="s">
        <v>246</v>
      </c>
      <c r="CO149" s="17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s="8" t="s">
        <v>166</v>
      </c>
      <c r="BX150" s="8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5" t="s">
        <v>177</v>
      </c>
      <c r="CI150" t="s">
        <v>165</v>
      </c>
      <c r="CJ150" s="16" t="s">
        <v>244</v>
      </c>
      <c r="CK150" s="16" t="s">
        <v>245</v>
      </c>
      <c r="CL150" s="16" t="s">
        <v>246</v>
      </c>
      <c r="CM150" s="16" t="s">
        <v>246</v>
      </c>
      <c r="CN150" s="16" t="s">
        <v>246</v>
      </c>
      <c r="CO150" s="17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s="8" t="s">
        <v>163</v>
      </c>
      <c r="BX151" s="8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5" t="s">
        <v>177</v>
      </c>
      <c r="CI151" t="s">
        <v>166</v>
      </c>
      <c r="CJ151" s="16" t="s">
        <v>244</v>
      </c>
      <c r="CK151" s="16" t="s">
        <v>245</v>
      </c>
      <c r="CL151" s="16" t="s">
        <v>246</v>
      </c>
      <c r="CM151" s="16" t="s">
        <v>246</v>
      </c>
      <c r="CN151" s="16" t="s">
        <v>246</v>
      </c>
      <c r="CO151" s="17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s="8" t="s">
        <v>164</v>
      </c>
      <c r="BX152" s="8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8" t="s">
        <v>178</v>
      </c>
      <c r="CI152" t="s">
        <v>163</v>
      </c>
      <c r="CJ152" s="19" t="s">
        <v>247</v>
      </c>
      <c r="CK152" s="19" t="s">
        <v>248</v>
      </c>
      <c r="CL152" s="19" t="s">
        <v>245</v>
      </c>
      <c r="CM152" s="19" t="s">
        <v>245</v>
      </c>
      <c r="CN152" s="19" t="s">
        <v>245</v>
      </c>
      <c r="CO152" s="20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s="8" t="s">
        <v>165</v>
      </c>
      <c r="BX153" s="8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8" t="s">
        <v>178</v>
      </c>
      <c r="CI153" t="s">
        <v>164</v>
      </c>
      <c r="CJ153" s="19" t="s">
        <v>247</v>
      </c>
      <c r="CK153" s="19" t="s">
        <v>248</v>
      </c>
      <c r="CL153" s="19" t="s">
        <v>245</v>
      </c>
      <c r="CM153" s="19" t="s">
        <v>245</v>
      </c>
      <c r="CN153" s="19" t="s">
        <v>245</v>
      </c>
      <c r="CO153" s="20">
        <v>67</v>
      </c>
    </row>
    <row r="154" spans="49:93" x14ac:dyDescent="0.2">
      <c r="BW154" s="8" t="s">
        <v>166</v>
      </c>
      <c r="BX154" s="8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8" t="s">
        <v>178</v>
      </c>
      <c r="CI154" t="s">
        <v>165</v>
      </c>
      <c r="CJ154" s="19" t="s">
        <v>247</v>
      </c>
      <c r="CK154" s="19" t="s">
        <v>248</v>
      </c>
      <c r="CL154" s="19" t="s">
        <v>245</v>
      </c>
      <c r="CM154" s="19" t="s">
        <v>245</v>
      </c>
      <c r="CN154" s="19" t="s">
        <v>245</v>
      </c>
      <c r="CO154" s="20">
        <v>68</v>
      </c>
    </row>
    <row r="155" spans="49:93" x14ac:dyDescent="0.2">
      <c r="BW155" s="8"/>
      <c r="BX155" s="8"/>
      <c r="CH155" s="18" t="s">
        <v>178</v>
      </c>
      <c r="CI155" t="s">
        <v>166</v>
      </c>
      <c r="CJ155" s="19" t="s">
        <v>247</v>
      </c>
      <c r="CK155" s="19" t="s">
        <v>248</v>
      </c>
      <c r="CL155" s="19" t="s">
        <v>245</v>
      </c>
      <c r="CM155" s="19" t="s">
        <v>245</v>
      </c>
      <c r="CN155" s="19" t="s">
        <v>245</v>
      </c>
      <c r="CO155" s="20">
        <v>69</v>
      </c>
    </row>
    <row r="156" spans="49:93" x14ac:dyDescent="0.2">
      <c r="AW156" t="str" cm="1">
        <f t="array" ref="AW156:BB156">QueryW[[#Headers],[ACT/NSW]:[Western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s="8" t="s">
        <v>163</v>
      </c>
      <c r="BX167" s="8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s="8" t="s">
        <v>164</v>
      </c>
      <c r="BX168" s="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s="8" t="s">
        <v>165</v>
      </c>
      <c r="BX169" s="8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s="8" t="s">
        <v>166</v>
      </c>
      <c r="BX170" s="8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s="8" t="s">
        <v>163</v>
      </c>
      <c r="BX171" s="8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s="8" t="s">
        <v>164</v>
      </c>
      <c r="BX172" s="8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s="8" t="s">
        <v>165</v>
      </c>
      <c r="BX173" s="8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s="8" t="s">
        <v>166</v>
      </c>
      <c r="BX174" s="8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s="8" t="s">
        <v>163</v>
      </c>
      <c r="BX175" s="8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s="8" t="s">
        <v>164</v>
      </c>
      <c r="BX176" s="8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s="8" t="s">
        <v>165</v>
      </c>
      <c r="BX177" s="8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s="8" t="s">
        <v>166</v>
      </c>
      <c r="BX178" s="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s="8" t="s">
        <v>163</v>
      </c>
      <c r="BX179" s="8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s="8" t="s">
        <v>164</v>
      </c>
      <c r="BX180" s="8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s="8" t="s">
        <v>165</v>
      </c>
      <c r="BX181" s="8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s="8" t="s">
        <v>166</v>
      </c>
      <c r="BX182" s="8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s="8" t="s">
        <v>163</v>
      </c>
      <c r="BX183" s="8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s="8" t="s">
        <v>164</v>
      </c>
      <c r="BX184" s="8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s="8" t="s">
        <v>165</v>
      </c>
      <c r="BX185" s="8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s="8" t="s">
        <v>166</v>
      </c>
      <c r="BX186" s="8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s="8" t="s">
        <v>163</v>
      </c>
      <c r="BX187" s="8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s="8" t="s">
        <v>164</v>
      </c>
      <c r="BX188" s="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s="8" t="s">
        <v>165</v>
      </c>
      <c r="BX189" s="8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s="8" t="s">
        <v>166</v>
      </c>
      <c r="BX190" s="8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4.4.1.1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2026-05-08T00:47:41Z</dcterms:modified>
</cp:coreProperties>
</file>