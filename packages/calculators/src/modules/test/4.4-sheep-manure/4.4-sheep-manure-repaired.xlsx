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/packages/calculators/src/modules/test/4.4-sheep-manure/"/>
    </mc:Choice>
  </mc:AlternateContent>
  <xr:revisionPtr revIDLastSave="0" documentId="8_{09E7B8C3-8EB2-734A-A5E0-2C95FEA5DD14}" xr6:coauthVersionLast="47" xr6:coauthVersionMax="47" xr10:uidLastSave="{00000000-0000-0000-0000-000000000000}"/>
  <bookViews>
    <workbookView xWindow="0" yWindow="600" windowWidth="51200" windowHeight="28200" activeTab="2" xr2:uid="{00000000-000D-0000-FFFF-FFFF00000000}"/>
  </bookViews>
  <sheets>
    <sheet name="4.4.1.1 (original)" sheetId="1" r:id="rId1"/>
    <sheet name="4.4.1.1" sheetId="2" r:id="rId2"/>
    <sheet name="Tables" sheetId="3" r:id="rId3"/>
    <sheet name="Backup" sheetId="4" r:id="rId4"/>
  </sheets>
  <definedNames>
    <definedName name="ExternalData_1" localSheetId="3" hidden="1">Backup!$BW$6:$CE$30</definedName>
    <definedName name="ExternalData_1" localSheetId="2" hidden="1">Tables!$BW$6:$CE$30</definedName>
    <definedName name="ExternalData_2" localSheetId="3" hidden="1">Backup!$BW$37:$CE$61</definedName>
    <definedName name="ExternalData_2" localSheetId="2" hidden="1">Tables!$BW$37:$CE$61</definedName>
    <definedName name="ExternalData_4" localSheetId="3" hidden="1">Backup!$BW$95:$CE$119</definedName>
    <definedName name="ExternalData_4" localSheetId="2" hidden="1">Tables!$BW$95:$CE$119</definedName>
    <definedName name="ExternalData_5" localSheetId="3" hidden="1">Backup!$BW$130:$CE$154</definedName>
    <definedName name="ExternalData_5" localSheetId="2" hidden="1">Tables!$BW$130:$CE$154</definedName>
    <definedName name="ExternalData_7" localSheetId="3" hidden="1">Backup!$BW$166:$CE$190</definedName>
    <definedName name="ExternalData_7" localSheetId="2" hidden="1">Tables!$BW$166:$CE$190</definedName>
    <definedName name="ExternalData_8" localSheetId="3" hidden="1">Backup!$BW$67:$CE$91</definedName>
    <definedName name="ExternalData_8" localSheetId="2" hidden="1">Tables!$BW$67:$CE$91</definedName>
    <definedName name="TableLWG" localSheetId="0">#REF!</definedName>
    <definedName name="TableLWG" localSheetId="3">#REF!</definedName>
    <definedName name="TableLWG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78" i="2" l="1"/>
  <c r="AJ278" i="2"/>
  <c r="AH278" i="2"/>
  <c r="AE278" i="2"/>
  <c r="AD278" i="2"/>
  <c r="AC278" i="2"/>
  <c r="Y278" i="2"/>
  <c r="Z278" i="2" s="1"/>
  <c r="X278" i="2"/>
  <c r="V278" i="2"/>
  <c r="U278" i="2"/>
  <c r="Q278" i="2"/>
  <c r="O278" i="2"/>
  <c r="AA278" i="2" s="1"/>
  <c r="M278" i="2"/>
  <c r="AK277" i="2"/>
  <c r="AJ277" i="2"/>
  <c r="AH277" i="2"/>
  <c r="AC277" i="2"/>
  <c r="AD277" i="2" s="1"/>
  <c r="AA277" i="2"/>
  <c r="AE277" i="2" s="1"/>
  <c r="Y277" i="2"/>
  <c r="X277" i="2"/>
  <c r="V277" i="2"/>
  <c r="Z277" i="2" s="1"/>
  <c r="U277" i="2"/>
  <c r="Q277" i="2"/>
  <c r="O277" i="2"/>
  <c r="M277" i="2"/>
  <c r="AK276" i="2"/>
  <c r="AJ276" i="2"/>
  <c r="AH276" i="2"/>
  <c r="AC276" i="2"/>
  <c r="AD276" i="2" s="1"/>
  <c r="AA276" i="2"/>
  <c r="AE276" i="2" s="1"/>
  <c r="Y276" i="2"/>
  <c r="X276" i="2"/>
  <c r="V276" i="2"/>
  <c r="Z276" i="2" s="1"/>
  <c r="U276" i="2"/>
  <c r="Q276" i="2"/>
  <c r="O276" i="2"/>
  <c r="M276" i="2"/>
  <c r="AK275" i="2"/>
  <c r="AJ275" i="2"/>
  <c r="AH275" i="2"/>
  <c r="AD275" i="2"/>
  <c r="AC275" i="2"/>
  <c r="Y275" i="2"/>
  <c r="X275" i="2"/>
  <c r="V275" i="2"/>
  <c r="Z275" i="2" s="1"/>
  <c r="U275" i="2"/>
  <c r="Q275" i="2"/>
  <c r="O275" i="2"/>
  <c r="AA275" i="2" s="1"/>
  <c r="AE275" i="2" s="1"/>
  <c r="AF275" i="2" s="1"/>
  <c r="M275" i="2"/>
  <c r="AK274" i="2"/>
  <c r="AJ274" i="2"/>
  <c r="AH274" i="2"/>
  <c r="AE274" i="2"/>
  <c r="AD274" i="2"/>
  <c r="AC274" i="2"/>
  <c r="AA274" i="2"/>
  <c r="Z274" i="2"/>
  <c r="Y274" i="2"/>
  <c r="X274" i="2"/>
  <c r="V274" i="2"/>
  <c r="U274" i="2"/>
  <c r="Q274" i="2"/>
  <c r="O274" i="2"/>
  <c r="M274" i="2"/>
  <c r="AK273" i="2"/>
  <c r="AJ273" i="2"/>
  <c r="AH273" i="2"/>
  <c r="AE273" i="2"/>
  <c r="AF273" i="2" s="1"/>
  <c r="AC273" i="2"/>
  <c r="AD273" i="2" s="1"/>
  <c r="AA273" i="2"/>
  <c r="Y273" i="2"/>
  <c r="Z273" i="2" s="1"/>
  <c r="X273" i="2"/>
  <c r="V273" i="2"/>
  <c r="U273" i="2"/>
  <c r="Q273" i="2"/>
  <c r="O273" i="2"/>
  <c r="M273" i="2"/>
  <c r="AK272" i="2"/>
  <c r="AJ272" i="2"/>
  <c r="AH272" i="2"/>
  <c r="AC272" i="2"/>
  <c r="AD272" i="2" s="1"/>
  <c r="AA272" i="2"/>
  <c r="AE272" i="2" s="1"/>
  <c r="Y272" i="2"/>
  <c r="Z272" i="2" s="1"/>
  <c r="X272" i="2"/>
  <c r="V272" i="2"/>
  <c r="U272" i="2"/>
  <c r="Q272" i="2"/>
  <c r="O272" i="2"/>
  <c r="M272" i="2"/>
  <c r="AK271" i="2"/>
  <c r="AJ271" i="2"/>
  <c r="AH271" i="2"/>
  <c r="AE271" i="2"/>
  <c r="AD271" i="2"/>
  <c r="AC271" i="2"/>
  <c r="Y271" i="2"/>
  <c r="Z271" i="2" s="1"/>
  <c r="X271" i="2"/>
  <c r="V271" i="2"/>
  <c r="U271" i="2"/>
  <c r="Q271" i="2"/>
  <c r="O271" i="2"/>
  <c r="AA271" i="2" s="1"/>
  <c r="M271" i="2"/>
  <c r="AK270" i="2"/>
  <c r="AJ270" i="2"/>
  <c r="AH270" i="2"/>
  <c r="AD270" i="2"/>
  <c r="AC270" i="2"/>
  <c r="Y270" i="2"/>
  <c r="Z270" i="2" s="1"/>
  <c r="X270" i="2"/>
  <c r="V270" i="2"/>
  <c r="U270" i="2"/>
  <c r="Q270" i="2"/>
  <c r="AE270" i="2" s="1"/>
  <c r="AF270" i="2" s="1"/>
  <c r="O270" i="2"/>
  <c r="AA270" i="2" s="1"/>
  <c r="M270" i="2"/>
  <c r="AK269" i="2"/>
  <c r="AJ269" i="2"/>
  <c r="AH269" i="2"/>
  <c r="AC269" i="2"/>
  <c r="AD269" i="2" s="1"/>
  <c r="AA269" i="2"/>
  <c r="AE269" i="2" s="1"/>
  <c r="Y269" i="2"/>
  <c r="X269" i="2"/>
  <c r="V269" i="2"/>
  <c r="Z269" i="2" s="1"/>
  <c r="U269" i="2"/>
  <c r="Q269" i="2"/>
  <c r="O269" i="2"/>
  <c r="M269" i="2"/>
  <c r="AK268" i="2"/>
  <c r="AJ268" i="2"/>
  <c r="AH268" i="2"/>
  <c r="AC268" i="2"/>
  <c r="AD268" i="2" s="1"/>
  <c r="AA268" i="2"/>
  <c r="AE268" i="2" s="1"/>
  <c r="Y268" i="2"/>
  <c r="X268" i="2"/>
  <c r="V268" i="2"/>
  <c r="Z268" i="2" s="1"/>
  <c r="U268" i="2"/>
  <c r="Q268" i="2"/>
  <c r="O268" i="2"/>
  <c r="M268" i="2"/>
  <c r="AK267" i="2"/>
  <c r="AJ267" i="2"/>
  <c r="AH267" i="2"/>
  <c r="AE267" i="2"/>
  <c r="AF267" i="2" s="1"/>
  <c r="AD267" i="2"/>
  <c r="AC267" i="2"/>
  <c r="Y267" i="2"/>
  <c r="X267" i="2"/>
  <c r="V267" i="2"/>
  <c r="Z267" i="2" s="1"/>
  <c r="U267" i="2"/>
  <c r="Q267" i="2"/>
  <c r="O267" i="2"/>
  <c r="AA267" i="2" s="1"/>
  <c r="M267" i="2"/>
  <c r="AK266" i="2"/>
  <c r="AJ266" i="2"/>
  <c r="AH266" i="2"/>
  <c r="AD266" i="2"/>
  <c r="AC266" i="2"/>
  <c r="Y266" i="2"/>
  <c r="Z266" i="2" s="1"/>
  <c r="X266" i="2"/>
  <c r="V266" i="2"/>
  <c r="U266" i="2"/>
  <c r="Q266" i="2"/>
  <c r="O266" i="2"/>
  <c r="AA266" i="2" s="1"/>
  <c r="AE266" i="2" s="1"/>
  <c r="AF266" i="2" s="1"/>
  <c r="M266" i="2"/>
  <c r="AK265" i="2"/>
  <c r="AJ265" i="2"/>
  <c r="AH265" i="2"/>
  <c r="AE265" i="2"/>
  <c r="AC265" i="2"/>
  <c r="AD265" i="2" s="1"/>
  <c r="AA265" i="2"/>
  <c r="Y265" i="2"/>
  <c r="X265" i="2"/>
  <c r="V265" i="2"/>
  <c r="Z265" i="2" s="1"/>
  <c r="U265" i="2"/>
  <c r="Q265" i="2"/>
  <c r="O265" i="2"/>
  <c r="M265" i="2"/>
  <c r="AK264" i="2"/>
  <c r="AJ264" i="2"/>
  <c r="AH264" i="2"/>
  <c r="AC264" i="2"/>
  <c r="AD264" i="2" s="1"/>
  <c r="AA264" i="2"/>
  <c r="AE264" i="2" s="1"/>
  <c r="Y264" i="2"/>
  <c r="X264" i="2"/>
  <c r="V264" i="2"/>
  <c r="U264" i="2"/>
  <c r="Q264" i="2"/>
  <c r="O264" i="2"/>
  <c r="M264" i="2"/>
  <c r="AK263" i="2"/>
  <c r="AJ263" i="2"/>
  <c r="AH263" i="2"/>
  <c r="AC263" i="2"/>
  <c r="AD263" i="2" s="1"/>
  <c r="Y263" i="2"/>
  <c r="X263" i="2"/>
  <c r="V263" i="2"/>
  <c r="Z263" i="2" s="1"/>
  <c r="U263" i="2"/>
  <c r="Q263" i="2"/>
  <c r="O263" i="2"/>
  <c r="AA263" i="2" s="1"/>
  <c r="AE263" i="2" s="1"/>
  <c r="M263" i="2"/>
  <c r="AK262" i="2"/>
  <c r="AJ262" i="2"/>
  <c r="AH262" i="2"/>
  <c r="AD262" i="2"/>
  <c r="AC262" i="2"/>
  <c r="Y262" i="2"/>
  <c r="Z262" i="2" s="1"/>
  <c r="X262" i="2"/>
  <c r="V262" i="2"/>
  <c r="U262" i="2"/>
  <c r="Q262" i="2"/>
  <c r="O262" i="2"/>
  <c r="AA262" i="2" s="1"/>
  <c r="AE262" i="2" s="1"/>
  <c r="M262" i="2"/>
  <c r="AK261" i="2"/>
  <c r="AJ261" i="2"/>
  <c r="AH261" i="2"/>
  <c r="AE261" i="2"/>
  <c r="AC261" i="2"/>
  <c r="AD261" i="2" s="1"/>
  <c r="AA261" i="2"/>
  <c r="Y261" i="2"/>
  <c r="X261" i="2"/>
  <c r="V261" i="2"/>
  <c r="U261" i="2"/>
  <c r="Q261" i="2"/>
  <c r="O261" i="2"/>
  <c r="M261" i="2"/>
  <c r="AK260" i="2"/>
  <c r="AJ260" i="2"/>
  <c r="AH260" i="2"/>
  <c r="AG260" i="2"/>
  <c r="AC260" i="2"/>
  <c r="AD260" i="2" s="1"/>
  <c r="AA260" i="2"/>
  <c r="AE260" i="2" s="1"/>
  <c r="AF260" i="2" s="1"/>
  <c r="AI260" i="2" s="1"/>
  <c r="Z260" i="2"/>
  <c r="Y260" i="2"/>
  <c r="X260" i="2"/>
  <c r="V260" i="2"/>
  <c r="U260" i="2"/>
  <c r="Q260" i="2"/>
  <c r="O260" i="2"/>
  <c r="M260" i="2"/>
  <c r="AK259" i="2"/>
  <c r="AJ259" i="2"/>
  <c r="AH259" i="2"/>
  <c r="AD259" i="2"/>
  <c r="AC259" i="2"/>
  <c r="Y259" i="2"/>
  <c r="Z259" i="2" s="1"/>
  <c r="X259" i="2"/>
  <c r="V259" i="2"/>
  <c r="U259" i="2"/>
  <c r="Q259" i="2"/>
  <c r="O259" i="2"/>
  <c r="AA259" i="2" s="1"/>
  <c r="AE259" i="2" s="1"/>
  <c r="AF259" i="2" s="1"/>
  <c r="M259" i="2"/>
  <c r="AK258" i="2"/>
  <c r="AJ258" i="2"/>
  <c r="AH258" i="2"/>
  <c r="AD258" i="2"/>
  <c r="AC258" i="2"/>
  <c r="Z258" i="2"/>
  <c r="Y258" i="2"/>
  <c r="X258" i="2"/>
  <c r="V258" i="2"/>
  <c r="U258" i="2"/>
  <c r="O258" i="2"/>
  <c r="AA258" i="2" s="1"/>
  <c r="AE258" i="2" s="1"/>
  <c r="AF258" i="2" s="1"/>
  <c r="M258" i="2"/>
  <c r="AK257" i="2"/>
  <c r="AJ257" i="2"/>
  <c r="AH257" i="2"/>
  <c r="AC257" i="2"/>
  <c r="AD257" i="2" s="1"/>
  <c r="AA257" i="2"/>
  <c r="AE257" i="2" s="1"/>
  <c r="Y257" i="2"/>
  <c r="Z257" i="2" s="1"/>
  <c r="X257" i="2"/>
  <c r="V257" i="2"/>
  <c r="U257" i="2"/>
  <c r="O257" i="2"/>
  <c r="M257" i="2"/>
  <c r="AK256" i="2"/>
  <c r="AJ256" i="2"/>
  <c r="AH256" i="2"/>
  <c r="AE256" i="2"/>
  <c r="AF256" i="2" s="1"/>
  <c r="AC256" i="2"/>
  <c r="AD256" i="2" s="1"/>
  <c r="Y256" i="2"/>
  <c r="Z256" i="2" s="1"/>
  <c r="X256" i="2"/>
  <c r="V256" i="2"/>
  <c r="U256" i="2"/>
  <c r="O256" i="2"/>
  <c r="AA256" i="2" s="1"/>
  <c r="M256" i="2"/>
  <c r="AK255" i="2"/>
  <c r="AJ255" i="2"/>
  <c r="AH255" i="2"/>
  <c r="AE255" i="2"/>
  <c r="AD255" i="2"/>
  <c r="AC255" i="2"/>
  <c r="Y255" i="2"/>
  <c r="Z255" i="2" s="1"/>
  <c r="X255" i="2"/>
  <c r="V255" i="2"/>
  <c r="U255" i="2"/>
  <c r="O255" i="2"/>
  <c r="AA255" i="2" s="1"/>
  <c r="M255" i="2"/>
  <c r="AK254" i="2"/>
  <c r="AJ254" i="2"/>
  <c r="AH254" i="2"/>
  <c r="AC254" i="2"/>
  <c r="AD254" i="2" s="1"/>
  <c r="AA254" i="2"/>
  <c r="Z254" i="2"/>
  <c r="Y254" i="2"/>
  <c r="X254" i="2"/>
  <c r="V254" i="2"/>
  <c r="U254" i="2"/>
  <c r="Q254" i="2"/>
  <c r="O254" i="2"/>
  <c r="M254" i="2"/>
  <c r="AK253" i="2"/>
  <c r="AJ253" i="2"/>
  <c r="AH253" i="2"/>
  <c r="AD253" i="2"/>
  <c r="AC253" i="2"/>
  <c r="Z253" i="2"/>
  <c r="Y253" i="2"/>
  <c r="X253" i="2"/>
  <c r="V253" i="2"/>
  <c r="U253" i="2"/>
  <c r="Q253" i="2"/>
  <c r="O253" i="2"/>
  <c r="AA253" i="2" s="1"/>
  <c r="AE253" i="2" s="1"/>
  <c r="AF253" i="2" s="1"/>
  <c r="M253" i="2"/>
  <c r="AK252" i="2"/>
  <c r="AJ252" i="2"/>
  <c r="AH252" i="2"/>
  <c r="AC252" i="2"/>
  <c r="AD252" i="2" s="1"/>
  <c r="AA252" i="2"/>
  <c r="Y252" i="2"/>
  <c r="X252" i="2"/>
  <c r="V252" i="2"/>
  <c r="Z252" i="2" s="1"/>
  <c r="U252" i="2"/>
  <c r="Q252" i="2"/>
  <c r="O252" i="2"/>
  <c r="M252" i="2"/>
  <c r="AK251" i="2"/>
  <c r="AJ251" i="2"/>
  <c r="AH251" i="2"/>
  <c r="AC251" i="2"/>
  <c r="AD251" i="2" s="1"/>
  <c r="Y251" i="2"/>
  <c r="X251" i="2"/>
  <c r="V251" i="2"/>
  <c r="U251" i="2"/>
  <c r="Q251" i="2"/>
  <c r="AE251" i="2" s="1"/>
  <c r="O251" i="2"/>
  <c r="AA251" i="2" s="1"/>
  <c r="M251" i="2"/>
  <c r="AK250" i="2"/>
  <c r="AJ250" i="2"/>
  <c r="AH250" i="2"/>
  <c r="AE250" i="2"/>
  <c r="AF250" i="2" s="1"/>
  <c r="AD250" i="2"/>
  <c r="Y250" i="2"/>
  <c r="X250" i="2"/>
  <c r="V250" i="2"/>
  <c r="Z250" i="2" s="1"/>
  <c r="U250" i="2"/>
  <c r="Q250" i="2"/>
  <c r="O250" i="2"/>
  <c r="AA250" i="2" s="1"/>
  <c r="M250" i="2"/>
  <c r="AK249" i="2"/>
  <c r="AJ249" i="2"/>
  <c r="AH249" i="2"/>
  <c r="AE249" i="2"/>
  <c r="AD249" i="2"/>
  <c r="Y249" i="2"/>
  <c r="X249" i="2"/>
  <c r="V249" i="2"/>
  <c r="Z249" i="2" s="1"/>
  <c r="U249" i="2"/>
  <c r="Q249" i="2"/>
  <c r="O249" i="2"/>
  <c r="AA249" i="2" s="1"/>
  <c r="M249" i="2"/>
  <c r="AK248" i="2"/>
  <c r="AJ248" i="2"/>
  <c r="AH248" i="2"/>
  <c r="AE248" i="2"/>
  <c r="AD248" i="2"/>
  <c r="Y248" i="2"/>
  <c r="X248" i="2"/>
  <c r="V248" i="2"/>
  <c r="Z248" i="2" s="1"/>
  <c r="U248" i="2"/>
  <c r="Q248" i="2"/>
  <c r="O248" i="2"/>
  <c r="AA248" i="2" s="1"/>
  <c r="M248" i="2"/>
  <c r="AK247" i="2"/>
  <c r="AJ247" i="2"/>
  <c r="AH247" i="2"/>
  <c r="AE247" i="2"/>
  <c r="AF247" i="2" s="1"/>
  <c r="AI247" i="2" s="1"/>
  <c r="AD247" i="2"/>
  <c r="Y247" i="2"/>
  <c r="X247" i="2"/>
  <c r="V247" i="2"/>
  <c r="Z247" i="2" s="1"/>
  <c r="U247" i="2"/>
  <c r="Q247" i="2"/>
  <c r="O247" i="2"/>
  <c r="AA247" i="2" s="1"/>
  <c r="M247" i="2"/>
  <c r="AK246" i="2"/>
  <c r="AJ246" i="2"/>
  <c r="AH246" i="2"/>
  <c r="AD246" i="2"/>
  <c r="Y246" i="2"/>
  <c r="X246" i="2"/>
  <c r="V246" i="2"/>
  <c r="Z246" i="2" s="1"/>
  <c r="U246" i="2"/>
  <c r="Q246" i="2"/>
  <c r="O246" i="2"/>
  <c r="AA246" i="2" s="1"/>
  <c r="AE246" i="2" s="1"/>
  <c r="AF246" i="2" s="1"/>
  <c r="M246" i="2"/>
  <c r="AK245" i="2"/>
  <c r="AJ245" i="2"/>
  <c r="AH245" i="2"/>
  <c r="AE245" i="2"/>
  <c r="AD245" i="2"/>
  <c r="Y245" i="2"/>
  <c r="X245" i="2"/>
  <c r="V245" i="2"/>
  <c r="Z245" i="2" s="1"/>
  <c r="U245" i="2"/>
  <c r="Q245" i="2"/>
  <c r="O245" i="2"/>
  <c r="AA245" i="2" s="1"/>
  <c r="M245" i="2"/>
  <c r="AK244" i="2"/>
  <c r="AJ244" i="2"/>
  <c r="AH244" i="2"/>
  <c r="AD244" i="2"/>
  <c r="Y244" i="2"/>
  <c r="X244" i="2"/>
  <c r="V244" i="2"/>
  <c r="Z244" i="2" s="1"/>
  <c r="U244" i="2"/>
  <c r="Q244" i="2"/>
  <c r="AE244" i="2" s="1"/>
  <c r="O244" i="2"/>
  <c r="AA244" i="2" s="1"/>
  <c r="M244" i="2"/>
  <c r="AK243" i="2"/>
  <c r="AJ243" i="2"/>
  <c r="AI243" i="2"/>
  <c r="AH243" i="2"/>
  <c r="AD243" i="2"/>
  <c r="Y243" i="2"/>
  <c r="X243" i="2"/>
  <c r="V243" i="2"/>
  <c r="Z243" i="2" s="1"/>
  <c r="U243" i="2"/>
  <c r="Q243" i="2"/>
  <c r="O243" i="2"/>
  <c r="AA243" i="2" s="1"/>
  <c r="AE243" i="2" s="1"/>
  <c r="AF243" i="2" s="1"/>
  <c r="M243" i="2"/>
  <c r="AK242" i="2"/>
  <c r="AJ242" i="2"/>
  <c r="AH242" i="2"/>
  <c r="AE242" i="2"/>
  <c r="AD242" i="2"/>
  <c r="AC242" i="2"/>
  <c r="AA242" i="2"/>
  <c r="Y242" i="2"/>
  <c r="X242" i="2"/>
  <c r="V242" i="2"/>
  <c r="Z242" i="2" s="1"/>
  <c r="U242" i="2"/>
  <c r="Q242" i="2"/>
  <c r="M242" i="2"/>
  <c r="AK241" i="2"/>
  <c r="AJ241" i="2"/>
  <c r="AI241" i="2"/>
  <c r="AH241" i="2"/>
  <c r="AF241" i="2"/>
  <c r="AG241" i="2" s="1"/>
  <c r="AD241" i="2"/>
  <c r="AC241" i="2"/>
  <c r="AA241" i="2"/>
  <c r="Y241" i="2"/>
  <c r="X241" i="2"/>
  <c r="V241" i="2"/>
  <c r="Z241" i="2" s="1"/>
  <c r="U241" i="2"/>
  <c r="Q241" i="2"/>
  <c r="AE241" i="2" s="1"/>
  <c r="M241" i="2"/>
  <c r="AK240" i="2"/>
  <c r="AJ240" i="2"/>
  <c r="AH240" i="2"/>
  <c r="AD240" i="2"/>
  <c r="AC240" i="2"/>
  <c r="AA240" i="2"/>
  <c r="Z240" i="2"/>
  <c r="Y240" i="2"/>
  <c r="X240" i="2"/>
  <c r="V240" i="2"/>
  <c r="U240" i="2"/>
  <c r="Q240" i="2"/>
  <c r="AE240" i="2" s="1"/>
  <c r="AF240" i="2" s="1"/>
  <c r="M240" i="2"/>
  <c r="AK239" i="2"/>
  <c r="AJ239" i="2"/>
  <c r="AI239" i="2"/>
  <c r="AH239" i="2"/>
  <c r="AD239" i="2"/>
  <c r="AC239" i="2"/>
  <c r="AA239" i="2"/>
  <c r="Y239" i="2"/>
  <c r="X239" i="2"/>
  <c r="V239" i="2"/>
  <c r="Z239" i="2" s="1"/>
  <c r="U239" i="2"/>
  <c r="Q239" i="2"/>
  <c r="AE239" i="2" s="1"/>
  <c r="AF239" i="2" s="1"/>
  <c r="AG239" i="2" s="1"/>
  <c r="M239" i="2"/>
  <c r="AK238" i="2"/>
  <c r="AJ238" i="2"/>
  <c r="AH238" i="2"/>
  <c r="AD238" i="2"/>
  <c r="AC238" i="2"/>
  <c r="AA238" i="2"/>
  <c r="Z238" i="2"/>
  <c r="Y238" i="2"/>
  <c r="X238" i="2"/>
  <c r="V238" i="2"/>
  <c r="U238" i="2"/>
  <c r="Q238" i="2"/>
  <c r="AE238" i="2" s="1"/>
  <c r="M238" i="2"/>
  <c r="AK237" i="2"/>
  <c r="AJ237" i="2"/>
  <c r="AH237" i="2"/>
  <c r="AG237" i="2"/>
  <c r="AD237" i="2"/>
  <c r="AC237" i="2"/>
  <c r="AA237" i="2"/>
  <c r="Y237" i="2"/>
  <c r="X237" i="2"/>
  <c r="V237" i="2"/>
  <c r="Z237" i="2" s="1"/>
  <c r="U237" i="2"/>
  <c r="Q237" i="2"/>
  <c r="AE237" i="2" s="1"/>
  <c r="AF237" i="2" s="1"/>
  <c r="AI237" i="2" s="1"/>
  <c r="M237" i="2"/>
  <c r="AK236" i="2"/>
  <c r="AJ236" i="2"/>
  <c r="AH236" i="2"/>
  <c r="AE236" i="2"/>
  <c r="AF236" i="2" s="1"/>
  <c r="AD236" i="2"/>
  <c r="AC236" i="2"/>
  <c r="AA236" i="2"/>
  <c r="Z236" i="2"/>
  <c r="Y236" i="2"/>
  <c r="X236" i="2"/>
  <c r="V236" i="2"/>
  <c r="U236" i="2"/>
  <c r="Q236" i="2"/>
  <c r="M236" i="2"/>
  <c r="AK235" i="2"/>
  <c r="AJ235" i="2"/>
  <c r="AH235" i="2"/>
  <c r="AD235" i="2"/>
  <c r="AC235" i="2"/>
  <c r="AA235" i="2"/>
  <c r="Y235" i="2"/>
  <c r="X235" i="2"/>
  <c r="V235" i="2"/>
  <c r="Z235" i="2" s="1"/>
  <c r="U235" i="2"/>
  <c r="Q235" i="2"/>
  <c r="AE235" i="2" s="1"/>
  <c r="M235" i="2"/>
  <c r="AK234" i="2"/>
  <c r="AJ234" i="2"/>
  <c r="AH234" i="2"/>
  <c r="AE234" i="2"/>
  <c r="AD234" i="2"/>
  <c r="AC234" i="2"/>
  <c r="AA234" i="2"/>
  <c r="Y234" i="2"/>
  <c r="X234" i="2"/>
  <c r="V234" i="2"/>
  <c r="U234" i="2"/>
  <c r="Q234" i="2"/>
  <c r="M234" i="2"/>
  <c r="AK233" i="2"/>
  <c r="AJ233" i="2"/>
  <c r="AH233" i="2"/>
  <c r="AD233" i="2"/>
  <c r="AC233" i="2"/>
  <c r="AA233" i="2"/>
  <c r="Y233" i="2"/>
  <c r="X233" i="2"/>
  <c r="V233" i="2"/>
  <c r="Z233" i="2" s="1"/>
  <c r="U233" i="2"/>
  <c r="Q233" i="2"/>
  <c r="AE233" i="2" s="1"/>
  <c r="AF233" i="2" s="1"/>
  <c r="M233" i="2"/>
  <c r="AK232" i="2"/>
  <c r="AJ232" i="2"/>
  <c r="AH232" i="2"/>
  <c r="AE232" i="2"/>
  <c r="AD232" i="2"/>
  <c r="AC232" i="2"/>
  <c r="AA232" i="2"/>
  <c r="Z232" i="2"/>
  <c r="Y232" i="2"/>
  <c r="X232" i="2"/>
  <c r="V232" i="2"/>
  <c r="U232" i="2"/>
  <c r="Q232" i="2"/>
  <c r="M232" i="2"/>
  <c r="AK231" i="2"/>
  <c r="AJ231" i="2"/>
  <c r="AH231" i="2"/>
  <c r="AD231" i="2"/>
  <c r="AC231" i="2"/>
  <c r="AA231" i="2"/>
  <c r="AE231" i="2" s="1"/>
  <c r="AF231" i="2" s="1"/>
  <c r="Z231" i="2"/>
  <c r="Y231" i="2"/>
  <c r="X231" i="2"/>
  <c r="V231" i="2"/>
  <c r="U231" i="2"/>
  <c r="T231" i="2"/>
  <c r="S231" i="2"/>
  <c r="S235" i="2" s="1"/>
  <c r="R235" i="2" s="1"/>
  <c r="Q231" i="2"/>
  <c r="M231" i="2"/>
  <c r="AK214" i="2"/>
  <c r="AJ214" i="2"/>
  <c r="AH214" i="2"/>
  <c r="AG214" i="2"/>
  <c r="AE214" i="2"/>
  <c r="AF214" i="2" s="1"/>
  <c r="AI214" i="2" s="1"/>
  <c r="AD214" i="2"/>
  <c r="AA214" i="2"/>
  <c r="Y214" i="2"/>
  <c r="X214" i="2"/>
  <c r="V214" i="2"/>
  <c r="Z214" i="2" s="1"/>
  <c r="U214" i="2"/>
  <c r="S214" i="2"/>
  <c r="R214" i="2"/>
  <c r="L214" i="2"/>
  <c r="AK213" i="2"/>
  <c r="AJ213" i="2"/>
  <c r="AH213" i="2"/>
  <c r="AD213" i="2"/>
  <c r="AA213" i="2"/>
  <c r="AE213" i="2" s="1"/>
  <c r="AF213" i="2" s="1"/>
  <c r="Y213" i="2"/>
  <c r="X213" i="2"/>
  <c r="V213" i="2"/>
  <c r="Z213" i="2" s="1"/>
  <c r="U213" i="2"/>
  <c r="S213" i="2"/>
  <c r="R213" i="2"/>
  <c r="L213" i="2"/>
  <c r="AK212" i="2"/>
  <c r="AJ212" i="2"/>
  <c r="AH212" i="2"/>
  <c r="AF212" i="2"/>
  <c r="AI212" i="2" s="1"/>
  <c r="AE212" i="2"/>
  <c r="AD212" i="2"/>
  <c r="AA212" i="2"/>
  <c r="Z212" i="2"/>
  <c r="Y212" i="2"/>
  <c r="X212" i="2"/>
  <c r="V212" i="2"/>
  <c r="U212" i="2"/>
  <c r="S212" i="2"/>
  <c r="R212" i="2"/>
  <c r="L212" i="2"/>
  <c r="AK211" i="2"/>
  <c r="AJ211" i="2"/>
  <c r="AH211" i="2"/>
  <c r="AD211" i="2"/>
  <c r="AA211" i="2"/>
  <c r="AE211" i="2" s="1"/>
  <c r="Y211" i="2"/>
  <c r="Z211" i="2" s="1"/>
  <c r="X211" i="2"/>
  <c r="V211" i="2"/>
  <c r="U211" i="2"/>
  <c r="S211" i="2"/>
  <c r="R211" i="2"/>
  <c r="L211" i="2"/>
  <c r="AK210" i="2"/>
  <c r="AJ210" i="2"/>
  <c r="AH210" i="2"/>
  <c r="AD210" i="2"/>
  <c r="AA210" i="2"/>
  <c r="AE210" i="2" s="1"/>
  <c r="Z210" i="2"/>
  <c r="Y210" i="2"/>
  <c r="X210" i="2"/>
  <c r="V210" i="2"/>
  <c r="U210" i="2"/>
  <c r="L210" i="2"/>
  <c r="AK209" i="2"/>
  <c r="AJ209" i="2"/>
  <c r="AH209" i="2"/>
  <c r="AD209" i="2"/>
  <c r="AA209" i="2"/>
  <c r="AE209" i="2" s="1"/>
  <c r="Y209" i="2"/>
  <c r="Z209" i="2" s="1"/>
  <c r="X209" i="2"/>
  <c r="V209" i="2"/>
  <c r="U209" i="2"/>
  <c r="S209" i="2"/>
  <c r="R209" i="2"/>
  <c r="L209" i="2"/>
  <c r="AK208" i="2"/>
  <c r="AJ208" i="2"/>
  <c r="AH208" i="2"/>
  <c r="AE208" i="2"/>
  <c r="AD208" i="2"/>
  <c r="AA208" i="2"/>
  <c r="Y208" i="2"/>
  <c r="X208" i="2"/>
  <c r="V208" i="2"/>
  <c r="Z208" i="2" s="1"/>
  <c r="U208" i="2"/>
  <c r="S208" i="2"/>
  <c r="R208" i="2"/>
  <c r="L208" i="2"/>
  <c r="AK207" i="2"/>
  <c r="AJ207" i="2"/>
  <c r="AH207" i="2"/>
  <c r="AD207" i="2"/>
  <c r="AA207" i="2"/>
  <c r="AE207" i="2" s="1"/>
  <c r="AF207" i="2" s="1"/>
  <c r="Y207" i="2"/>
  <c r="X207" i="2"/>
  <c r="V207" i="2"/>
  <c r="Z207" i="2" s="1"/>
  <c r="U207" i="2"/>
  <c r="S207" i="2"/>
  <c r="R207" i="2"/>
  <c r="L207" i="2"/>
  <c r="AK206" i="2"/>
  <c r="AJ206" i="2"/>
  <c r="AH206" i="2"/>
  <c r="AD206" i="2"/>
  <c r="AA206" i="2"/>
  <c r="AE206" i="2" s="1"/>
  <c r="Z206" i="2"/>
  <c r="Y206" i="2"/>
  <c r="X206" i="2"/>
  <c r="V206" i="2"/>
  <c r="U206" i="2"/>
  <c r="S206" i="2"/>
  <c r="R206" i="2"/>
  <c r="L206" i="2"/>
  <c r="AK205" i="2"/>
  <c r="AJ205" i="2"/>
  <c r="AH205" i="2"/>
  <c r="AE205" i="2"/>
  <c r="AD205" i="2"/>
  <c r="AA205" i="2"/>
  <c r="Y205" i="2"/>
  <c r="X205" i="2"/>
  <c r="V205" i="2"/>
  <c r="U205" i="2"/>
  <c r="S205" i="2"/>
  <c r="R205" i="2"/>
  <c r="L205" i="2"/>
  <c r="AK204" i="2"/>
  <c r="AJ204" i="2"/>
  <c r="AH204" i="2"/>
  <c r="AD204" i="2"/>
  <c r="AA204" i="2"/>
  <c r="AE204" i="2" s="1"/>
  <c r="Y204" i="2"/>
  <c r="X204" i="2"/>
  <c r="V204" i="2"/>
  <c r="Z204" i="2" s="1"/>
  <c r="U204" i="2"/>
  <c r="L204" i="2"/>
  <c r="AK203" i="2"/>
  <c r="AJ203" i="2"/>
  <c r="AI203" i="2"/>
  <c r="AH203" i="2"/>
  <c r="AD203" i="2"/>
  <c r="AA203" i="2"/>
  <c r="AE203" i="2" s="1"/>
  <c r="AF203" i="2" s="1"/>
  <c r="AG203" i="2" s="1"/>
  <c r="Z203" i="2"/>
  <c r="Y203" i="2"/>
  <c r="X203" i="2"/>
  <c r="V203" i="2"/>
  <c r="U203" i="2"/>
  <c r="S203" i="2"/>
  <c r="R203" i="2"/>
  <c r="L203" i="2"/>
  <c r="AK202" i="2"/>
  <c r="AJ202" i="2"/>
  <c r="AH202" i="2"/>
  <c r="AE202" i="2"/>
  <c r="AF202" i="2" s="1"/>
  <c r="AD202" i="2"/>
  <c r="AA202" i="2"/>
  <c r="Y202" i="2"/>
  <c r="X202" i="2"/>
  <c r="V202" i="2"/>
  <c r="Z202" i="2" s="1"/>
  <c r="U202" i="2"/>
  <c r="S202" i="2"/>
  <c r="R202" i="2"/>
  <c r="L202" i="2"/>
  <c r="AK201" i="2"/>
  <c r="AJ201" i="2"/>
  <c r="AH201" i="2"/>
  <c r="AD201" i="2"/>
  <c r="AA201" i="2"/>
  <c r="AE201" i="2" s="1"/>
  <c r="Y201" i="2"/>
  <c r="X201" i="2"/>
  <c r="V201" i="2"/>
  <c r="Z201" i="2" s="1"/>
  <c r="AF201" i="2" s="1"/>
  <c r="U201" i="2"/>
  <c r="S201" i="2"/>
  <c r="R201" i="2" s="1"/>
  <c r="L201" i="2"/>
  <c r="AK200" i="2"/>
  <c r="AJ200" i="2"/>
  <c r="AH200" i="2"/>
  <c r="AD200" i="2"/>
  <c r="AA200" i="2"/>
  <c r="AE200" i="2" s="1"/>
  <c r="AF200" i="2" s="1"/>
  <c r="Z200" i="2"/>
  <c r="Y200" i="2"/>
  <c r="X200" i="2"/>
  <c r="V200" i="2"/>
  <c r="U200" i="2"/>
  <c r="S200" i="2"/>
  <c r="R200" i="2"/>
  <c r="L200" i="2"/>
  <c r="AK199" i="2"/>
  <c r="AJ199" i="2"/>
  <c r="AH199" i="2"/>
  <c r="AD199" i="2"/>
  <c r="AA199" i="2"/>
  <c r="AE199" i="2" s="1"/>
  <c r="Y199" i="2"/>
  <c r="X199" i="2"/>
  <c r="V199" i="2"/>
  <c r="Z199" i="2" s="1"/>
  <c r="U199" i="2"/>
  <c r="S199" i="2"/>
  <c r="R199" i="2"/>
  <c r="L199" i="2"/>
  <c r="AK198" i="2"/>
  <c r="AJ198" i="2"/>
  <c r="AH198" i="2"/>
  <c r="AD198" i="2"/>
  <c r="AA198" i="2"/>
  <c r="AE198" i="2" s="1"/>
  <c r="Y198" i="2"/>
  <c r="Z198" i="2" s="1"/>
  <c r="X198" i="2"/>
  <c r="V198" i="2"/>
  <c r="U198" i="2"/>
  <c r="L198" i="2"/>
  <c r="AK197" i="2"/>
  <c r="AJ197" i="2"/>
  <c r="AH197" i="2"/>
  <c r="AD197" i="2"/>
  <c r="AA197" i="2"/>
  <c r="AE197" i="2" s="1"/>
  <c r="Z197" i="2"/>
  <c r="Y197" i="2"/>
  <c r="X197" i="2"/>
  <c r="V197" i="2"/>
  <c r="U197" i="2"/>
  <c r="S197" i="2"/>
  <c r="R197" i="2" s="1"/>
  <c r="L197" i="2"/>
  <c r="AK196" i="2"/>
  <c r="AJ196" i="2"/>
  <c r="AH196" i="2"/>
  <c r="AF196" i="2"/>
  <c r="AE196" i="2"/>
  <c r="AD196" i="2"/>
  <c r="AA196" i="2"/>
  <c r="Z196" i="2"/>
  <c r="Y196" i="2"/>
  <c r="X196" i="2"/>
  <c r="V196" i="2"/>
  <c r="U196" i="2"/>
  <c r="S196" i="2"/>
  <c r="R196" i="2"/>
  <c r="L196" i="2"/>
  <c r="AK195" i="2"/>
  <c r="AJ195" i="2"/>
  <c r="AH195" i="2"/>
  <c r="AD195" i="2"/>
  <c r="AA195" i="2"/>
  <c r="AE195" i="2" s="1"/>
  <c r="AF195" i="2" s="1"/>
  <c r="Y195" i="2"/>
  <c r="X195" i="2"/>
  <c r="V195" i="2"/>
  <c r="Z195" i="2" s="1"/>
  <c r="U195" i="2"/>
  <c r="S195" i="2"/>
  <c r="R195" i="2"/>
  <c r="L195" i="2"/>
  <c r="AK194" i="2"/>
  <c r="AJ194" i="2"/>
  <c r="AH194" i="2"/>
  <c r="AE194" i="2"/>
  <c r="AF194" i="2" s="1"/>
  <c r="AD194" i="2"/>
  <c r="AA194" i="2"/>
  <c r="Y194" i="2"/>
  <c r="Z194" i="2" s="1"/>
  <c r="X194" i="2"/>
  <c r="V194" i="2"/>
  <c r="U194" i="2"/>
  <c r="S194" i="2"/>
  <c r="R194" i="2" s="1"/>
  <c r="L194" i="2"/>
  <c r="AK193" i="2"/>
  <c r="AJ193" i="2"/>
  <c r="AH193" i="2"/>
  <c r="AE193" i="2"/>
  <c r="AD193" i="2"/>
  <c r="AA193" i="2"/>
  <c r="Y193" i="2"/>
  <c r="Z193" i="2" s="1"/>
  <c r="X193" i="2"/>
  <c r="V193" i="2"/>
  <c r="U193" i="2"/>
  <c r="S193" i="2"/>
  <c r="R193" i="2" s="1"/>
  <c r="L193" i="2"/>
  <c r="AK192" i="2"/>
  <c r="AJ192" i="2"/>
  <c r="AH192" i="2"/>
  <c r="AE192" i="2"/>
  <c r="AD192" i="2"/>
  <c r="AA192" i="2"/>
  <c r="Y192" i="2"/>
  <c r="X192" i="2"/>
  <c r="V192" i="2"/>
  <c r="U192" i="2"/>
  <c r="S192" i="2"/>
  <c r="R192" i="2" s="1"/>
  <c r="L192" i="2"/>
  <c r="AK191" i="2"/>
  <c r="AJ191" i="2"/>
  <c r="AH191" i="2"/>
  <c r="AC191" i="2" a="1"/>
  <c r="AC191" i="2" s="1"/>
  <c r="AD191" i="2" s="1"/>
  <c r="Z191" i="2"/>
  <c r="Y191" i="2"/>
  <c r="X191" i="2"/>
  <c r="V191" i="2"/>
  <c r="U191" i="2"/>
  <c r="T191" i="2"/>
  <c r="T213" i="2" s="1"/>
  <c r="S191" i="2"/>
  <c r="S210" i="2" s="1"/>
  <c r="R210" i="2" s="1"/>
  <c r="R191" i="2"/>
  <c r="Q191" i="2" a="1"/>
  <c r="Q191" i="2" s="1"/>
  <c r="O191" i="2" a="1"/>
  <c r="O191" i="2" s="1"/>
  <c r="AA191" i="2" s="1"/>
  <c r="AE191" i="2" s="1"/>
  <c r="AF191" i="2" s="1"/>
  <c r="AG191" i="2" s="1"/>
  <c r="M191" i="2"/>
  <c r="M191" i="2" a="1"/>
  <c r="L191" i="2"/>
  <c r="AK184" i="2"/>
  <c r="AJ184" i="2"/>
  <c r="AH184" i="2"/>
  <c r="AD184" i="2"/>
  <c r="AA184" i="2"/>
  <c r="AE184" i="2" s="1"/>
  <c r="Y184" i="2"/>
  <c r="X184" i="2"/>
  <c r="V184" i="2"/>
  <c r="Z184" i="2" s="1"/>
  <c r="U184" i="2"/>
  <c r="S184" i="2"/>
  <c r="R184" i="2" s="1"/>
  <c r="L184" i="2"/>
  <c r="AK183" i="2"/>
  <c r="AJ183" i="2"/>
  <c r="AH183" i="2"/>
  <c r="AD183" i="2"/>
  <c r="AA183" i="2"/>
  <c r="AE183" i="2" s="1"/>
  <c r="Z183" i="2"/>
  <c r="Y183" i="2"/>
  <c r="X183" i="2"/>
  <c r="V183" i="2"/>
  <c r="U183" i="2"/>
  <c r="L183" i="2"/>
  <c r="AK182" i="2"/>
  <c r="AJ182" i="2"/>
  <c r="AH182" i="2"/>
  <c r="AD182" i="2"/>
  <c r="AA182" i="2"/>
  <c r="AE182" i="2" s="1"/>
  <c r="Y182" i="2"/>
  <c r="X182" i="2"/>
  <c r="V182" i="2"/>
  <c r="Z182" i="2" s="1"/>
  <c r="U182" i="2"/>
  <c r="T182" i="2"/>
  <c r="S182" i="2"/>
  <c r="R182" i="2" s="1"/>
  <c r="L182" i="2"/>
  <c r="AK181" i="2"/>
  <c r="AJ181" i="2"/>
  <c r="AH181" i="2"/>
  <c r="AE181" i="2"/>
  <c r="AD181" i="2"/>
  <c r="AA181" i="2"/>
  <c r="Y181" i="2"/>
  <c r="X181" i="2"/>
  <c r="V181" i="2"/>
  <c r="Z181" i="2" s="1"/>
  <c r="AF181" i="2" s="1"/>
  <c r="U181" i="2"/>
  <c r="L181" i="2"/>
  <c r="AK180" i="2"/>
  <c r="AJ180" i="2"/>
  <c r="AH180" i="2"/>
  <c r="AG180" i="2"/>
  <c r="AE180" i="2"/>
  <c r="AF180" i="2" s="1"/>
  <c r="AI180" i="2" s="1"/>
  <c r="AD180" i="2"/>
  <c r="AA180" i="2"/>
  <c r="Z180" i="2"/>
  <c r="Y180" i="2"/>
  <c r="X180" i="2"/>
  <c r="V180" i="2"/>
  <c r="U180" i="2"/>
  <c r="T180" i="2"/>
  <c r="S180" i="2"/>
  <c r="R180" i="2"/>
  <c r="L180" i="2"/>
  <c r="AK179" i="2"/>
  <c r="AJ179" i="2"/>
  <c r="AH179" i="2"/>
  <c r="AE179" i="2"/>
  <c r="AF179" i="2" s="1"/>
  <c r="AD179" i="2"/>
  <c r="AA179" i="2"/>
  <c r="Z179" i="2"/>
  <c r="Y179" i="2"/>
  <c r="X179" i="2"/>
  <c r="V179" i="2"/>
  <c r="U179" i="2"/>
  <c r="L179" i="2"/>
  <c r="AK178" i="2"/>
  <c r="AJ178" i="2"/>
  <c r="AH178" i="2"/>
  <c r="AD178" i="2"/>
  <c r="AA178" i="2"/>
  <c r="AE178" i="2" s="1"/>
  <c r="Z178" i="2"/>
  <c r="Y178" i="2"/>
  <c r="X178" i="2"/>
  <c r="V178" i="2"/>
  <c r="U178" i="2"/>
  <c r="S178" i="2"/>
  <c r="R178" i="2" s="1"/>
  <c r="L178" i="2"/>
  <c r="AK177" i="2"/>
  <c r="AJ177" i="2"/>
  <c r="AH177" i="2"/>
  <c r="AD177" i="2"/>
  <c r="AA177" i="2"/>
  <c r="AE177" i="2" s="1"/>
  <c r="AF177" i="2" s="1"/>
  <c r="Y177" i="2"/>
  <c r="X177" i="2"/>
  <c r="V177" i="2"/>
  <c r="Z177" i="2" s="1"/>
  <c r="U177" i="2"/>
  <c r="L177" i="2"/>
  <c r="AK176" i="2"/>
  <c r="AJ176" i="2"/>
  <c r="AH176" i="2"/>
  <c r="AD176" i="2"/>
  <c r="AA176" i="2"/>
  <c r="AE176" i="2" s="1"/>
  <c r="Y176" i="2"/>
  <c r="X176" i="2"/>
  <c r="V176" i="2"/>
  <c r="Z176" i="2" s="1"/>
  <c r="U176" i="2"/>
  <c r="S176" i="2"/>
  <c r="R176" i="2" s="1"/>
  <c r="L176" i="2"/>
  <c r="AK175" i="2"/>
  <c r="AJ175" i="2"/>
  <c r="AH175" i="2"/>
  <c r="AE175" i="2"/>
  <c r="AD175" i="2"/>
  <c r="AA175" i="2"/>
  <c r="Y175" i="2"/>
  <c r="X175" i="2"/>
  <c r="V175" i="2"/>
  <c r="Z175" i="2" s="1"/>
  <c r="U175" i="2"/>
  <c r="T175" i="2"/>
  <c r="L175" i="2"/>
  <c r="AK174" i="2"/>
  <c r="AJ174" i="2"/>
  <c r="AH174" i="2"/>
  <c r="AE174" i="2"/>
  <c r="AF174" i="2" s="1"/>
  <c r="AG174" i="2" s="1"/>
  <c r="AD174" i="2"/>
  <c r="AA174" i="2"/>
  <c r="Z174" i="2"/>
  <c r="Y174" i="2"/>
  <c r="X174" i="2"/>
  <c r="V174" i="2"/>
  <c r="U174" i="2"/>
  <c r="T174" i="2"/>
  <c r="S174" i="2"/>
  <c r="R174" i="2" s="1"/>
  <c r="L174" i="2"/>
  <c r="AK173" i="2"/>
  <c r="AJ173" i="2"/>
  <c r="AH173" i="2"/>
  <c r="AD173" i="2"/>
  <c r="AA173" i="2"/>
  <c r="AE173" i="2" s="1"/>
  <c r="Y173" i="2"/>
  <c r="Z173" i="2" s="1"/>
  <c r="X173" i="2"/>
  <c r="V173" i="2"/>
  <c r="U173" i="2"/>
  <c r="L173" i="2"/>
  <c r="AK172" i="2"/>
  <c r="AJ172" i="2"/>
  <c r="AH172" i="2"/>
  <c r="AE172" i="2"/>
  <c r="AF172" i="2" s="1"/>
  <c r="AI172" i="2" s="1"/>
  <c r="AD172" i="2"/>
  <c r="AA172" i="2"/>
  <c r="Y172" i="2"/>
  <c r="Z172" i="2" s="1"/>
  <c r="X172" i="2"/>
  <c r="V172" i="2"/>
  <c r="U172" i="2"/>
  <c r="S172" i="2"/>
  <c r="R172" i="2"/>
  <c r="L172" i="2"/>
  <c r="AK171" i="2"/>
  <c r="AJ171" i="2"/>
  <c r="AH171" i="2"/>
  <c r="AD171" i="2"/>
  <c r="AA171" i="2"/>
  <c r="AE171" i="2" s="1"/>
  <c r="Y171" i="2"/>
  <c r="X171" i="2"/>
  <c r="V171" i="2"/>
  <c r="U171" i="2"/>
  <c r="L171" i="2"/>
  <c r="AK170" i="2"/>
  <c r="AJ170" i="2"/>
  <c r="AH170" i="2"/>
  <c r="AI170" i="2" s="1"/>
  <c r="AG170" i="2"/>
  <c r="AF170" i="2"/>
  <c r="AD170" i="2"/>
  <c r="AA170" i="2"/>
  <c r="AE170" i="2" s="1"/>
  <c r="Y170" i="2"/>
  <c r="X170" i="2"/>
  <c r="V170" i="2"/>
  <c r="Z170" i="2" s="1"/>
  <c r="U170" i="2"/>
  <c r="S170" i="2"/>
  <c r="R170" i="2"/>
  <c r="L170" i="2"/>
  <c r="AK169" i="2"/>
  <c r="AJ169" i="2"/>
  <c r="AH169" i="2"/>
  <c r="AD169" i="2"/>
  <c r="AA169" i="2"/>
  <c r="AE169" i="2" s="1"/>
  <c r="Z169" i="2"/>
  <c r="Y169" i="2"/>
  <c r="X169" i="2"/>
  <c r="V169" i="2"/>
  <c r="U169" i="2"/>
  <c r="L169" i="2"/>
  <c r="AK168" i="2"/>
  <c r="AJ168" i="2"/>
  <c r="AH168" i="2"/>
  <c r="AD168" i="2"/>
  <c r="AA168" i="2"/>
  <c r="AE168" i="2" s="1"/>
  <c r="AF168" i="2" s="1"/>
  <c r="Z168" i="2"/>
  <c r="Y168" i="2"/>
  <c r="X168" i="2"/>
  <c r="V168" i="2"/>
  <c r="U168" i="2"/>
  <c r="T168" i="2"/>
  <c r="S168" i="2"/>
  <c r="R168" i="2" s="1"/>
  <c r="L168" i="2"/>
  <c r="AK167" i="2"/>
  <c r="AJ167" i="2"/>
  <c r="AH167" i="2"/>
  <c r="AF167" i="2"/>
  <c r="AI167" i="2" s="1"/>
  <c r="AE167" i="2"/>
  <c r="AD167" i="2"/>
  <c r="AA167" i="2"/>
  <c r="Y167" i="2"/>
  <c r="X167" i="2"/>
  <c r="V167" i="2"/>
  <c r="Z167" i="2" s="1"/>
  <c r="U167" i="2"/>
  <c r="L167" i="2"/>
  <c r="AK166" i="2"/>
  <c r="AJ166" i="2"/>
  <c r="AH166" i="2"/>
  <c r="AE166" i="2"/>
  <c r="AD166" i="2"/>
  <c r="AA166" i="2"/>
  <c r="Y166" i="2"/>
  <c r="X166" i="2"/>
  <c r="V166" i="2"/>
  <c r="U166" i="2"/>
  <c r="T166" i="2"/>
  <c r="L166" i="2"/>
  <c r="AK165" i="2"/>
  <c r="AJ165" i="2"/>
  <c r="AI165" i="2"/>
  <c r="AH165" i="2"/>
  <c r="AD165" i="2"/>
  <c r="AA165" i="2"/>
  <c r="AE165" i="2" s="1"/>
  <c r="Y165" i="2"/>
  <c r="X165" i="2"/>
  <c r="V165" i="2"/>
  <c r="Z165" i="2" s="1"/>
  <c r="AF165" i="2" s="1"/>
  <c r="AG165" i="2" s="1"/>
  <c r="U165" i="2"/>
  <c r="S165" i="2"/>
  <c r="R165" i="2"/>
  <c r="L165" i="2"/>
  <c r="AK164" i="2"/>
  <c r="AJ164" i="2"/>
  <c r="AH164" i="2"/>
  <c r="AE164" i="2"/>
  <c r="AD164" i="2"/>
  <c r="AA164" i="2"/>
  <c r="Y164" i="2"/>
  <c r="X164" i="2"/>
  <c r="V164" i="2"/>
  <c r="U164" i="2"/>
  <c r="L164" i="2"/>
  <c r="AK163" i="2"/>
  <c r="AJ163" i="2"/>
  <c r="AH163" i="2"/>
  <c r="AD163" i="2"/>
  <c r="AA163" i="2"/>
  <c r="AE163" i="2" s="1"/>
  <c r="AF163" i="2" s="1"/>
  <c r="AG163" i="2" s="1"/>
  <c r="Y163" i="2"/>
  <c r="X163" i="2"/>
  <c r="V163" i="2"/>
  <c r="Z163" i="2" s="1"/>
  <c r="U163" i="2"/>
  <c r="T163" i="2"/>
  <c r="L163" i="2"/>
  <c r="AK162" i="2"/>
  <c r="AJ162" i="2"/>
  <c r="AH162" i="2"/>
  <c r="AD162" i="2"/>
  <c r="AA162" i="2"/>
  <c r="AE162" i="2" s="1"/>
  <c r="AF162" i="2" s="1"/>
  <c r="Z162" i="2"/>
  <c r="Y162" i="2"/>
  <c r="X162" i="2"/>
  <c r="V162" i="2"/>
  <c r="U162" i="2"/>
  <c r="L162" i="2"/>
  <c r="AK161" i="2"/>
  <c r="AJ161" i="2"/>
  <c r="AH161" i="2"/>
  <c r="AD161" i="2"/>
  <c r="AC161" i="2"/>
  <c r="AC161" i="2" a="1"/>
  <c r="Z161" i="2"/>
  <c r="Y161" i="2"/>
  <c r="X161" i="2"/>
  <c r="V161" i="2"/>
  <c r="U161" i="2"/>
  <c r="T161" i="2"/>
  <c r="T162" i="2" s="1"/>
  <c r="S161" i="2"/>
  <c r="S162" i="2" s="1"/>
  <c r="R162" i="2" s="1"/>
  <c r="Q161" i="2" a="1"/>
  <c r="Q161" i="2" s="1"/>
  <c r="O161" i="2"/>
  <c r="AA161" i="2" s="1"/>
  <c r="AE161" i="2" s="1"/>
  <c r="O161" i="2" a="1"/>
  <c r="M161" i="2" a="1"/>
  <c r="M161" i="2" s="1"/>
  <c r="L161" i="2"/>
  <c r="AK154" i="2"/>
  <c r="AJ154" i="2"/>
  <c r="AH154" i="2"/>
  <c r="AF154" i="2"/>
  <c r="AI154" i="2" s="1"/>
  <c r="AE154" i="2"/>
  <c r="AD154" i="2"/>
  <c r="AA154" i="2"/>
  <c r="Z154" i="2"/>
  <c r="Y154" i="2"/>
  <c r="X154" i="2"/>
  <c r="V154" i="2"/>
  <c r="U154" i="2"/>
  <c r="T154" i="2"/>
  <c r="S154" i="2"/>
  <c r="R154" i="2"/>
  <c r="L154" i="2"/>
  <c r="AK153" i="2"/>
  <c r="AJ153" i="2"/>
  <c r="AH153" i="2"/>
  <c r="AD153" i="2"/>
  <c r="AA153" i="2"/>
  <c r="AE153" i="2" s="1"/>
  <c r="AF153" i="2" s="1"/>
  <c r="Y153" i="2"/>
  <c r="X153" i="2"/>
  <c r="V153" i="2"/>
  <c r="Z153" i="2" s="1"/>
  <c r="U153" i="2"/>
  <c r="S153" i="2"/>
  <c r="R153" i="2" s="1"/>
  <c r="L153" i="2"/>
  <c r="AK152" i="2"/>
  <c r="AJ152" i="2"/>
  <c r="AH152" i="2"/>
  <c r="AE152" i="2"/>
  <c r="AF152" i="2" s="1"/>
  <c r="AD152" i="2"/>
  <c r="AA152" i="2"/>
  <c r="Y152" i="2"/>
  <c r="Z152" i="2" s="1"/>
  <c r="X152" i="2"/>
  <c r="V152" i="2"/>
  <c r="U152" i="2"/>
  <c r="T152" i="2"/>
  <c r="S152" i="2"/>
  <c r="R152" i="2" s="1"/>
  <c r="L152" i="2"/>
  <c r="AK151" i="2"/>
  <c r="AJ151" i="2"/>
  <c r="AH151" i="2"/>
  <c r="AD151" i="2"/>
  <c r="AA151" i="2"/>
  <c r="AE151" i="2" s="1"/>
  <c r="Y151" i="2"/>
  <c r="Z151" i="2" s="1"/>
  <c r="X151" i="2"/>
  <c r="V151" i="2"/>
  <c r="U151" i="2"/>
  <c r="S151" i="2"/>
  <c r="R151" i="2"/>
  <c r="L151" i="2"/>
  <c r="AK150" i="2"/>
  <c r="AJ150" i="2"/>
  <c r="AI150" i="2"/>
  <c r="AM150" i="2" s="1"/>
  <c r="AH150" i="2"/>
  <c r="AE150" i="2"/>
  <c r="AD150" i="2"/>
  <c r="AA150" i="2"/>
  <c r="Y150" i="2"/>
  <c r="X150" i="2"/>
  <c r="V150" i="2"/>
  <c r="Z150" i="2" s="1"/>
  <c r="AF150" i="2" s="1"/>
  <c r="AG150" i="2" s="1"/>
  <c r="U150" i="2"/>
  <c r="T150" i="2"/>
  <c r="L150" i="2"/>
  <c r="AK149" i="2"/>
  <c r="AJ149" i="2"/>
  <c r="AH149" i="2"/>
  <c r="AD149" i="2"/>
  <c r="AA149" i="2"/>
  <c r="AE149" i="2" s="1"/>
  <c r="AF149" i="2" s="1"/>
  <c r="Z149" i="2"/>
  <c r="Y149" i="2"/>
  <c r="X149" i="2"/>
  <c r="V149" i="2"/>
  <c r="U149" i="2"/>
  <c r="T149" i="2"/>
  <c r="S149" i="2"/>
  <c r="R149" i="2"/>
  <c r="L149" i="2"/>
  <c r="AK148" i="2"/>
  <c r="AJ148" i="2"/>
  <c r="AH148" i="2"/>
  <c r="AE148" i="2"/>
  <c r="AF148" i="2" s="1"/>
  <c r="AD148" i="2"/>
  <c r="AA148" i="2"/>
  <c r="Y148" i="2"/>
  <c r="Z148" i="2" s="1"/>
  <c r="X148" i="2"/>
  <c r="V148" i="2"/>
  <c r="U148" i="2"/>
  <c r="T148" i="2"/>
  <c r="S148" i="2"/>
  <c r="R148" i="2" s="1"/>
  <c r="L148" i="2"/>
  <c r="AK147" i="2"/>
  <c r="AJ147" i="2"/>
  <c r="AH147" i="2"/>
  <c r="AE147" i="2"/>
  <c r="AD147" i="2"/>
  <c r="AA147" i="2"/>
  <c r="Y147" i="2"/>
  <c r="X147" i="2"/>
  <c r="V147" i="2"/>
  <c r="Z147" i="2" s="1"/>
  <c r="U147" i="2"/>
  <c r="S147" i="2"/>
  <c r="R147" i="2" s="1"/>
  <c r="L147" i="2"/>
  <c r="AK146" i="2"/>
  <c r="AJ146" i="2"/>
  <c r="AH146" i="2"/>
  <c r="AE146" i="2"/>
  <c r="AF146" i="2" s="1"/>
  <c r="AD146" i="2"/>
  <c r="AA146" i="2"/>
  <c r="Z146" i="2"/>
  <c r="Y146" i="2"/>
  <c r="X146" i="2"/>
  <c r="V146" i="2"/>
  <c r="U146" i="2"/>
  <c r="T146" i="2"/>
  <c r="S146" i="2"/>
  <c r="R146" i="2" s="1"/>
  <c r="L146" i="2"/>
  <c r="AK145" i="2"/>
  <c r="AJ145" i="2"/>
  <c r="AH145" i="2"/>
  <c r="AG145" i="2"/>
  <c r="AF145" i="2"/>
  <c r="AD145" i="2"/>
  <c r="AA145" i="2"/>
  <c r="AE145" i="2" s="1"/>
  <c r="Y145" i="2"/>
  <c r="X145" i="2"/>
  <c r="V145" i="2"/>
  <c r="Z145" i="2" s="1"/>
  <c r="U145" i="2"/>
  <c r="S145" i="2"/>
  <c r="R145" i="2"/>
  <c r="L145" i="2"/>
  <c r="AK144" i="2"/>
  <c r="AJ144" i="2"/>
  <c r="AH144" i="2"/>
  <c r="AE144" i="2"/>
  <c r="AD144" i="2"/>
  <c r="AA144" i="2"/>
  <c r="Y144" i="2"/>
  <c r="Z144" i="2" s="1"/>
  <c r="X144" i="2"/>
  <c r="V144" i="2"/>
  <c r="U144" i="2"/>
  <c r="T144" i="2"/>
  <c r="L144" i="2"/>
  <c r="AK143" i="2"/>
  <c r="AJ143" i="2"/>
  <c r="AH143" i="2"/>
  <c r="AD143" i="2"/>
  <c r="AA143" i="2"/>
  <c r="AE143" i="2" s="1"/>
  <c r="Y143" i="2"/>
  <c r="X143" i="2"/>
  <c r="V143" i="2"/>
  <c r="Z143" i="2" s="1"/>
  <c r="U143" i="2"/>
  <c r="T143" i="2"/>
  <c r="S143" i="2"/>
  <c r="R143" i="2"/>
  <c r="L143" i="2"/>
  <c r="AK142" i="2"/>
  <c r="AJ142" i="2"/>
  <c r="AH142" i="2"/>
  <c r="AE142" i="2"/>
  <c r="AF142" i="2" s="1"/>
  <c r="AD142" i="2"/>
  <c r="AA142" i="2"/>
  <c r="Z142" i="2"/>
  <c r="Y142" i="2"/>
  <c r="X142" i="2"/>
  <c r="V142" i="2"/>
  <c r="U142" i="2"/>
  <c r="T142" i="2"/>
  <c r="S142" i="2"/>
  <c r="R142" i="2" s="1"/>
  <c r="L142" i="2"/>
  <c r="AK141" i="2"/>
  <c r="AJ141" i="2"/>
  <c r="AH141" i="2"/>
  <c r="AD141" i="2"/>
  <c r="AA141" i="2"/>
  <c r="AE141" i="2" s="1"/>
  <c r="AF141" i="2" s="1"/>
  <c r="Y141" i="2"/>
  <c r="X141" i="2"/>
  <c r="V141" i="2"/>
  <c r="Z141" i="2" s="1"/>
  <c r="U141" i="2"/>
  <c r="S141" i="2"/>
  <c r="R141" i="2"/>
  <c r="L141" i="2"/>
  <c r="AK140" i="2"/>
  <c r="AJ140" i="2"/>
  <c r="AH140" i="2"/>
  <c r="AD140" i="2"/>
  <c r="AA140" i="2"/>
  <c r="AE140" i="2" s="1"/>
  <c r="Z140" i="2"/>
  <c r="Y140" i="2"/>
  <c r="X140" i="2"/>
  <c r="V140" i="2"/>
  <c r="U140" i="2"/>
  <c r="T140" i="2"/>
  <c r="S140" i="2"/>
  <c r="R140" i="2" s="1"/>
  <c r="L140" i="2"/>
  <c r="AK139" i="2"/>
  <c r="AJ139" i="2"/>
  <c r="AH139" i="2"/>
  <c r="AD139" i="2"/>
  <c r="AA139" i="2"/>
  <c r="AE139" i="2" s="1"/>
  <c r="Z139" i="2"/>
  <c r="AF139" i="2" s="1"/>
  <c r="Y139" i="2"/>
  <c r="X139" i="2"/>
  <c r="V139" i="2"/>
  <c r="U139" i="2"/>
  <c r="S139" i="2"/>
  <c r="R139" i="2" s="1"/>
  <c r="L139" i="2"/>
  <c r="AK138" i="2"/>
  <c r="AJ138" i="2"/>
  <c r="AH138" i="2"/>
  <c r="AE138" i="2"/>
  <c r="AF138" i="2" s="1"/>
  <c r="AD138" i="2"/>
  <c r="AA138" i="2"/>
  <c r="Y138" i="2"/>
  <c r="X138" i="2"/>
  <c r="V138" i="2"/>
  <c r="Z138" i="2" s="1"/>
  <c r="U138" i="2"/>
  <c r="T138" i="2"/>
  <c r="L138" i="2"/>
  <c r="AK137" i="2"/>
  <c r="AJ137" i="2"/>
  <c r="AH137" i="2"/>
  <c r="AD137" i="2"/>
  <c r="AA137" i="2"/>
  <c r="AE137" i="2" s="1"/>
  <c r="Z137" i="2"/>
  <c r="Y137" i="2"/>
  <c r="X137" i="2"/>
  <c r="V137" i="2"/>
  <c r="U137" i="2"/>
  <c r="T137" i="2"/>
  <c r="S137" i="2"/>
  <c r="R137" i="2" s="1"/>
  <c r="L137" i="2"/>
  <c r="AK136" i="2"/>
  <c r="AJ136" i="2"/>
  <c r="AH136" i="2"/>
  <c r="AF136" i="2"/>
  <c r="AG136" i="2" s="1"/>
  <c r="AE136" i="2"/>
  <c r="AD136" i="2"/>
  <c r="AA136" i="2"/>
  <c r="Z136" i="2"/>
  <c r="Y136" i="2"/>
  <c r="X136" i="2"/>
  <c r="V136" i="2"/>
  <c r="U136" i="2"/>
  <c r="T136" i="2"/>
  <c r="S136" i="2"/>
  <c r="R136" i="2"/>
  <c r="L136" i="2"/>
  <c r="AK135" i="2"/>
  <c r="AJ135" i="2"/>
  <c r="AH135" i="2"/>
  <c r="AD135" i="2"/>
  <c r="AA135" i="2"/>
  <c r="AE135" i="2" s="1"/>
  <c r="AF135" i="2" s="1"/>
  <c r="Y135" i="2"/>
  <c r="X135" i="2"/>
  <c r="V135" i="2"/>
  <c r="Z135" i="2" s="1"/>
  <c r="U135" i="2"/>
  <c r="S135" i="2"/>
  <c r="R135" i="2"/>
  <c r="L135" i="2"/>
  <c r="AK134" i="2"/>
  <c r="AJ134" i="2"/>
  <c r="AH134" i="2"/>
  <c r="AD134" i="2"/>
  <c r="AA134" i="2"/>
  <c r="AE134" i="2" s="1"/>
  <c r="Y134" i="2"/>
  <c r="Z134" i="2" s="1"/>
  <c r="X134" i="2"/>
  <c r="V134" i="2"/>
  <c r="U134" i="2"/>
  <c r="T134" i="2"/>
  <c r="S134" i="2"/>
  <c r="R134" i="2" s="1"/>
  <c r="L134" i="2"/>
  <c r="AK133" i="2"/>
  <c r="AJ133" i="2"/>
  <c r="AH133" i="2"/>
  <c r="AE133" i="2"/>
  <c r="AD133" i="2"/>
  <c r="AA133" i="2"/>
  <c r="Y133" i="2"/>
  <c r="Z133" i="2" s="1"/>
  <c r="AF133" i="2" s="1"/>
  <c r="X133" i="2"/>
  <c r="V133" i="2"/>
  <c r="U133" i="2"/>
  <c r="S133" i="2"/>
  <c r="R133" i="2"/>
  <c r="L133" i="2"/>
  <c r="AK132" i="2"/>
  <c r="AJ132" i="2"/>
  <c r="AH132" i="2"/>
  <c r="AD132" i="2"/>
  <c r="AA132" i="2"/>
  <c r="AE132" i="2" s="1"/>
  <c r="Z132" i="2"/>
  <c r="Y132" i="2"/>
  <c r="X132" i="2"/>
  <c r="V132" i="2"/>
  <c r="U132" i="2"/>
  <c r="T132" i="2"/>
  <c r="L132" i="2"/>
  <c r="AK131" i="2"/>
  <c r="AJ131" i="2"/>
  <c r="AH131" i="2"/>
  <c r="AC131" i="2"/>
  <c r="AD131" i="2" s="1"/>
  <c r="AC131" i="2" a="1"/>
  <c r="AA131" i="2"/>
  <c r="AE131" i="2" s="1"/>
  <c r="Y131" i="2"/>
  <c r="Z131" i="2" s="1"/>
  <c r="X131" i="2"/>
  <c r="V131" i="2"/>
  <c r="U131" i="2"/>
  <c r="T131" i="2"/>
  <c r="T151" i="2" s="1"/>
  <c r="S131" i="2"/>
  <c r="S150" i="2" s="1"/>
  <c r="R150" i="2" s="1"/>
  <c r="R131" i="2"/>
  <c r="Q131" i="2" a="1"/>
  <c r="Q131" i="2" s="1"/>
  <c r="O131" i="2" a="1"/>
  <c r="O131" i="2" s="1"/>
  <c r="M131" i="2" a="1"/>
  <c r="M131" i="2" s="1"/>
  <c r="L131" i="2"/>
  <c r="AK124" i="2"/>
  <c r="AJ124" i="2"/>
  <c r="AH124" i="2"/>
  <c r="AD124" i="2"/>
  <c r="AA124" i="2"/>
  <c r="AE124" i="2" s="1"/>
  <c r="Y124" i="2"/>
  <c r="Z124" i="2" s="1"/>
  <c r="X124" i="2"/>
  <c r="V124" i="2"/>
  <c r="U124" i="2"/>
  <c r="T124" i="2"/>
  <c r="S124" i="2"/>
  <c r="R124" i="2" s="1"/>
  <c r="L124" i="2"/>
  <c r="AK123" i="2"/>
  <c r="AJ123" i="2"/>
  <c r="AH123" i="2"/>
  <c r="AD123" i="2"/>
  <c r="AA123" i="2"/>
  <c r="AE123" i="2" s="1"/>
  <c r="AF123" i="2" s="1"/>
  <c r="Y123" i="2"/>
  <c r="X123" i="2"/>
  <c r="V123" i="2"/>
  <c r="Z123" i="2" s="1"/>
  <c r="U123" i="2"/>
  <c r="L123" i="2"/>
  <c r="AK122" i="2"/>
  <c r="AJ122" i="2"/>
  <c r="AH122" i="2"/>
  <c r="AE122" i="2"/>
  <c r="AD122" i="2"/>
  <c r="AA122" i="2"/>
  <c r="Y122" i="2"/>
  <c r="Z122" i="2" s="1"/>
  <c r="X122" i="2"/>
  <c r="V122" i="2"/>
  <c r="U122" i="2"/>
  <c r="T122" i="2"/>
  <c r="L122" i="2"/>
  <c r="AK121" i="2"/>
  <c r="AJ121" i="2"/>
  <c r="AH121" i="2"/>
  <c r="AE121" i="2"/>
  <c r="AD121" i="2"/>
  <c r="AA121" i="2"/>
  <c r="Y121" i="2"/>
  <c r="Z121" i="2" s="1"/>
  <c r="X121" i="2"/>
  <c r="V121" i="2"/>
  <c r="U121" i="2"/>
  <c r="T121" i="2"/>
  <c r="S121" i="2"/>
  <c r="R121" i="2"/>
  <c r="L121" i="2"/>
  <c r="AK120" i="2"/>
  <c r="AJ120" i="2"/>
  <c r="AH120" i="2"/>
  <c r="AD120" i="2"/>
  <c r="AA120" i="2"/>
  <c r="AE120" i="2" s="1"/>
  <c r="AF120" i="2" s="1"/>
  <c r="Y120" i="2"/>
  <c r="X120" i="2"/>
  <c r="V120" i="2"/>
  <c r="Z120" i="2" s="1"/>
  <c r="U120" i="2"/>
  <c r="T120" i="2"/>
  <c r="S120" i="2"/>
  <c r="R120" i="2"/>
  <c r="L120" i="2"/>
  <c r="AK119" i="2"/>
  <c r="AJ119" i="2"/>
  <c r="AH119" i="2"/>
  <c r="AE119" i="2"/>
  <c r="AF119" i="2" s="1"/>
  <c r="AI119" i="2" s="1"/>
  <c r="AD119" i="2"/>
  <c r="AA119" i="2"/>
  <c r="Y119" i="2"/>
  <c r="X119" i="2"/>
  <c r="V119" i="2"/>
  <c r="Z119" i="2" s="1"/>
  <c r="U119" i="2"/>
  <c r="L119" i="2"/>
  <c r="AK118" i="2"/>
  <c r="AJ118" i="2"/>
  <c r="AH118" i="2"/>
  <c r="AD118" i="2"/>
  <c r="AA118" i="2"/>
  <c r="AE118" i="2" s="1"/>
  <c r="Y118" i="2"/>
  <c r="X118" i="2"/>
  <c r="V118" i="2"/>
  <c r="U118" i="2"/>
  <c r="T118" i="2"/>
  <c r="S118" i="2"/>
  <c r="R118" i="2" s="1"/>
  <c r="L118" i="2"/>
  <c r="AK117" i="2"/>
  <c r="AJ117" i="2"/>
  <c r="AH117" i="2"/>
  <c r="AD117" i="2"/>
  <c r="AA117" i="2"/>
  <c r="AE117" i="2" s="1"/>
  <c r="Y117" i="2"/>
  <c r="Z117" i="2" s="1"/>
  <c r="X117" i="2"/>
  <c r="V117" i="2"/>
  <c r="U117" i="2"/>
  <c r="T117" i="2"/>
  <c r="S117" i="2"/>
  <c r="R117" i="2"/>
  <c r="L117" i="2"/>
  <c r="AK116" i="2"/>
  <c r="AJ116" i="2"/>
  <c r="AH116" i="2"/>
  <c r="AE116" i="2"/>
  <c r="AD116" i="2"/>
  <c r="AF116" i="2" s="1"/>
  <c r="AI116" i="2" s="1"/>
  <c r="AA116" i="2"/>
  <c r="Y116" i="2"/>
  <c r="X116" i="2"/>
  <c r="V116" i="2"/>
  <c r="Z116" i="2" s="1"/>
  <c r="U116" i="2"/>
  <c r="T116" i="2"/>
  <c r="L116" i="2"/>
  <c r="AK115" i="2"/>
  <c r="AJ115" i="2"/>
  <c r="AH115" i="2"/>
  <c r="AD115" i="2"/>
  <c r="AA115" i="2"/>
  <c r="AE115" i="2" s="1"/>
  <c r="Y115" i="2"/>
  <c r="Z115" i="2" s="1"/>
  <c r="X115" i="2"/>
  <c r="V115" i="2"/>
  <c r="U115" i="2"/>
  <c r="T115" i="2"/>
  <c r="S115" i="2"/>
  <c r="R115" i="2"/>
  <c r="L115" i="2"/>
  <c r="AK114" i="2"/>
  <c r="AJ114" i="2"/>
  <c r="AH114" i="2"/>
  <c r="AD114" i="2"/>
  <c r="AA114" i="2"/>
  <c r="AE114" i="2" s="1"/>
  <c r="Y114" i="2"/>
  <c r="X114" i="2"/>
  <c r="V114" i="2"/>
  <c r="Z114" i="2" s="1"/>
  <c r="U114" i="2"/>
  <c r="L114" i="2"/>
  <c r="AK113" i="2"/>
  <c r="AJ113" i="2"/>
  <c r="AH113" i="2"/>
  <c r="AD113" i="2"/>
  <c r="AA113" i="2"/>
  <c r="AE113" i="2" s="1"/>
  <c r="Y113" i="2"/>
  <c r="X113" i="2"/>
  <c r="V113" i="2"/>
  <c r="Z113" i="2" s="1"/>
  <c r="U113" i="2"/>
  <c r="T113" i="2"/>
  <c r="S113" i="2"/>
  <c r="R113" i="2"/>
  <c r="L113" i="2"/>
  <c r="AK112" i="2"/>
  <c r="AJ112" i="2"/>
  <c r="AH112" i="2"/>
  <c r="AD112" i="2"/>
  <c r="AA112" i="2"/>
  <c r="AE112" i="2" s="1"/>
  <c r="AF112" i="2" s="1"/>
  <c r="Y112" i="2"/>
  <c r="X112" i="2"/>
  <c r="V112" i="2"/>
  <c r="Z112" i="2" s="1"/>
  <c r="U112" i="2"/>
  <c r="T112" i="2"/>
  <c r="S112" i="2"/>
  <c r="R112" i="2"/>
  <c r="L112" i="2"/>
  <c r="AK111" i="2"/>
  <c r="AJ111" i="2"/>
  <c r="AH111" i="2"/>
  <c r="AE111" i="2"/>
  <c r="AF111" i="2" s="1"/>
  <c r="AD111" i="2"/>
  <c r="AA111" i="2"/>
  <c r="Z111" i="2"/>
  <c r="Y111" i="2"/>
  <c r="X111" i="2"/>
  <c r="V111" i="2"/>
  <c r="U111" i="2"/>
  <c r="T111" i="2"/>
  <c r="S111" i="2"/>
  <c r="R111" i="2" s="1"/>
  <c r="L111" i="2"/>
  <c r="AK110" i="2"/>
  <c r="AJ110" i="2"/>
  <c r="AH110" i="2"/>
  <c r="AD110" i="2"/>
  <c r="AA110" i="2"/>
  <c r="AE110" i="2" s="1"/>
  <c r="Z110" i="2"/>
  <c r="AF110" i="2" s="1"/>
  <c r="Y110" i="2"/>
  <c r="X110" i="2"/>
  <c r="V110" i="2"/>
  <c r="U110" i="2"/>
  <c r="L110" i="2"/>
  <c r="AK109" i="2"/>
  <c r="AJ109" i="2"/>
  <c r="AH109" i="2"/>
  <c r="AD109" i="2"/>
  <c r="AA109" i="2"/>
  <c r="AE109" i="2" s="1"/>
  <c r="Y109" i="2"/>
  <c r="X109" i="2"/>
  <c r="V109" i="2"/>
  <c r="Z109" i="2" s="1"/>
  <c r="U109" i="2"/>
  <c r="T109" i="2"/>
  <c r="S109" i="2"/>
  <c r="R109" i="2" s="1"/>
  <c r="L109" i="2"/>
  <c r="AK108" i="2"/>
  <c r="AJ108" i="2"/>
  <c r="AH108" i="2"/>
  <c r="AE108" i="2"/>
  <c r="AF108" i="2" s="1"/>
  <c r="AD108" i="2"/>
  <c r="AA108" i="2"/>
  <c r="Y108" i="2"/>
  <c r="Z108" i="2" s="1"/>
  <c r="X108" i="2"/>
  <c r="V108" i="2"/>
  <c r="U108" i="2"/>
  <c r="T108" i="2"/>
  <c r="S108" i="2"/>
  <c r="R108" i="2"/>
  <c r="L108" i="2"/>
  <c r="AK107" i="2"/>
  <c r="AJ107" i="2"/>
  <c r="AH107" i="2"/>
  <c r="AE107" i="2"/>
  <c r="AD107" i="2"/>
  <c r="AA107" i="2"/>
  <c r="Y107" i="2"/>
  <c r="X107" i="2"/>
  <c r="V107" i="2"/>
  <c r="U107" i="2"/>
  <c r="T107" i="2"/>
  <c r="S107" i="2"/>
  <c r="R107" i="2" s="1"/>
  <c r="L107" i="2"/>
  <c r="AK106" i="2"/>
  <c r="AJ106" i="2"/>
  <c r="AH106" i="2"/>
  <c r="AD106" i="2"/>
  <c r="AA106" i="2"/>
  <c r="AE106" i="2" s="1"/>
  <c r="AF106" i="2" s="1"/>
  <c r="Y106" i="2"/>
  <c r="X106" i="2"/>
  <c r="V106" i="2"/>
  <c r="Z106" i="2" s="1"/>
  <c r="U106" i="2"/>
  <c r="L106" i="2"/>
  <c r="AK105" i="2"/>
  <c r="AJ105" i="2"/>
  <c r="AH105" i="2"/>
  <c r="AD105" i="2"/>
  <c r="AA105" i="2"/>
  <c r="AE105" i="2" s="1"/>
  <c r="Y105" i="2"/>
  <c r="X105" i="2"/>
  <c r="V105" i="2"/>
  <c r="U105" i="2"/>
  <c r="T105" i="2"/>
  <c r="S105" i="2"/>
  <c r="R105" i="2" s="1"/>
  <c r="L105" i="2"/>
  <c r="AK104" i="2"/>
  <c r="AJ104" i="2"/>
  <c r="AH104" i="2"/>
  <c r="AD104" i="2"/>
  <c r="AA104" i="2"/>
  <c r="AE104" i="2" s="1"/>
  <c r="Y104" i="2"/>
  <c r="X104" i="2"/>
  <c r="V104" i="2"/>
  <c r="Z104" i="2" s="1"/>
  <c r="U104" i="2"/>
  <c r="T104" i="2"/>
  <c r="L104" i="2"/>
  <c r="AK103" i="2"/>
  <c r="AJ103" i="2"/>
  <c r="AH103" i="2"/>
  <c r="AE103" i="2"/>
  <c r="AD103" i="2"/>
  <c r="AA103" i="2"/>
  <c r="Z103" i="2"/>
  <c r="Y103" i="2"/>
  <c r="X103" i="2"/>
  <c r="V103" i="2"/>
  <c r="U103" i="2"/>
  <c r="T103" i="2"/>
  <c r="L103" i="2"/>
  <c r="AK102" i="2"/>
  <c r="AJ102" i="2"/>
  <c r="AH102" i="2"/>
  <c r="AE102" i="2"/>
  <c r="AD102" i="2"/>
  <c r="AA102" i="2"/>
  <c r="Y102" i="2"/>
  <c r="Z102" i="2" s="1"/>
  <c r="X102" i="2"/>
  <c r="V102" i="2"/>
  <c r="U102" i="2"/>
  <c r="T102" i="2"/>
  <c r="S102" i="2"/>
  <c r="R102" i="2"/>
  <c r="L102" i="2"/>
  <c r="AK101" i="2"/>
  <c r="AJ101" i="2"/>
  <c r="AH101" i="2"/>
  <c r="AC101" i="2" a="1"/>
  <c r="AC101" i="2" s="1"/>
  <c r="AD101" i="2" s="1"/>
  <c r="AA101" i="2"/>
  <c r="AE101" i="2" s="1"/>
  <c r="AF101" i="2" s="1"/>
  <c r="Y101" i="2"/>
  <c r="Z101" i="2" s="1"/>
  <c r="X101" i="2"/>
  <c r="V101" i="2"/>
  <c r="U101" i="2"/>
  <c r="T101" i="2"/>
  <c r="T114" i="2" s="1"/>
  <c r="S101" i="2"/>
  <c r="S103" i="2" s="1"/>
  <c r="R103" i="2" s="1"/>
  <c r="R101" i="2"/>
  <c r="Q101" i="2"/>
  <c r="Q101" i="2" a="1"/>
  <c r="O101" i="2" a="1"/>
  <c r="O101" i="2" s="1"/>
  <c r="M101" i="2"/>
  <c r="M101" i="2" a="1"/>
  <c r="L101" i="2"/>
  <c r="AK94" i="2"/>
  <c r="AJ94" i="2"/>
  <c r="AH94" i="2"/>
  <c r="AF94" i="2"/>
  <c r="AI94" i="2" s="1"/>
  <c r="AD94" i="2"/>
  <c r="AA94" i="2"/>
  <c r="AE94" i="2" s="1"/>
  <c r="Y94" i="2"/>
  <c r="X94" i="2"/>
  <c r="V94" i="2"/>
  <c r="Z94" i="2" s="1"/>
  <c r="U94" i="2"/>
  <c r="L94" i="2"/>
  <c r="AK93" i="2"/>
  <c r="AJ93" i="2"/>
  <c r="AH93" i="2"/>
  <c r="AD93" i="2"/>
  <c r="AA93" i="2"/>
  <c r="AE93" i="2" s="1"/>
  <c r="Y93" i="2"/>
  <c r="Z93" i="2" s="1"/>
  <c r="X93" i="2"/>
  <c r="V93" i="2"/>
  <c r="U93" i="2"/>
  <c r="T93" i="2"/>
  <c r="S93" i="2"/>
  <c r="R93" i="2" s="1"/>
  <c r="L93" i="2"/>
  <c r="AK92" i="2"/>
  <c r="AJ92" i="2"/>
  <c r="AH92" i="2"/>
  <c r="AD92" i="2"/>
  <c r="AA92" i="2"/>
  <c r="AE92" i="2" s="1"/>
  <c r="Y92" i="2"/>
  <c r="X92" i="2"/>
  <c r="V92" i="2"/>
  <c r="Z92" i="2" s="1"/>
  <c r="U92" i="2"/>
  <c r="L92" i="2"/>
  <c r="AK91" i="2"/>
  <c r="AJ91" i="2"/>
  <c r="AH91" i="2"/>
  <c r="AE91" i="2"/>
  <c r="AD91" i="2"/>
  <c r="AA91" i="2"/>
  <c r="Z91" i="2"/>
  <c r="Y91" i="2"/>
  <c r="X91" i="2"/>
  <c r="V91" i="2"/>
  <c r="U91" i="2"/>
  <c r="T91" i="2"/>
  <c r="L91" i="2"/>
  <c r="AK90" i="2"/>
  <c r="AJ90" i="2"/>
  <c r="AH90" i="2"/>
  <c r="AD90" i="2"/>
  <c r="AA90" i="2"/>
  <c r="AE90" i="2" s="1"/>
  <c r="Z90" i="2"/>
  <c r="Y90" i="2"/>
  <c r="X90" i="2"/>
  <c r="V90" i="2"/>
  <c r="U90" i="2"/>
  <c r="T90" i="2"/>
  <c r="S90" i="2"/>
  <c r="R90" i="2"/>
  <c r="L90" i="2"/>
  <c r="AK89" i="2"/>
  <c r="AJ89" i="2"/>
  <c r="AH89" i="2"/>
  <c r="AE89" i="2"/>
  <c r="AD89" i="2"/>
  <c r="AA89" i="2"/>
  <c r="Y89" i="2"/>
  <c r="Z89" i="2" s="1"/>
  <c r="X89" i="2"/>
  <c r="V89" i="2"/>
  <c r="U89" i="2"/>
  <c r="T89" i="2"/>
  <c r="L89" i="2"/>
  <c r="AK88" i="2"/>
  <c r="AJ88" i="2"/>
  <c r="AH88" i="2"/>
  <c r="AD88" i="2"/>
  <c r="AA88" i="2"/>
  <c r="AE88" i="2" s="1"/>
  <c r="AF88" i="2" s="1"/>
  <c r="Y88" i="2"/>
  <c r="X88" i="2"/>
  <c r="V88" i="2"/>
  <c r="Z88" i="2" s="1"/>
  <c r="U88" i="2"/>
  <c r="L88" i="2"/>
  <c r="AK87" i="2"/>
  <c r="AJ87" i="2"/>
  <c r="AH87" i="2"/>
  <c r="AD87" i="2"/>
  <c r="AA87" i="2"/>
  <c r="AE87" i="2" s="1"/>
  <c r="Z87" i="2"/>
  <c r="Y87" i="2"/>
  <c r="X87" i="2"/>
  <c r="V87" i="2"/>
  <c r="U87" i="2"/>
  <c r="T87" i="2"/>
  <c r="S87" i="2"/>
  <c r="R87" i="2" s="1"/>
  <c r="L87" i="2"/>
  <c r="AK86" i="2"/>
  <c r="AJ86" i="2"/>
  <c r="AH86" i="2"/>
  <c r="AD86" i="2"/>
  <c r="AA86" i="2"/>
  <c r="AE86" i="2" s="1"/>
  <c r="Y86" i="2"/>
  <c r="X86" i="2"/>
  <c r="V86" i="2"/>
  <c r="Z86" i="2" s="1"/>
  <c r="U86" i="2"/>
  <c r="L86" i="2"/>
  <c r="AK85" i="2"/>
  <c r="AJ85" i="2"/>
  <c r="AH85" i="2"/>
  <c r="AE85" i="2"/>
  <c r="AD85" i="2"/>
  <c r="AA85" i="2"/>
  <c r="Y85" i="2"/>
  <c r="Z85" i="2" s="1"/>
  <c r="X85" i="2"/>
  <c r="V85" i="2"/>
  <c r="U85" i="2"/>
  <c r="L85" i="2"/>
  <c r="AK84" i="2"/>
  <c r="AJ84" i="2"/>
  <c r="AH84" i="2"/>
  <c r="AD84" i="2"/>
  <c r="AA84" i="2"/>
  <c r="AE84" i="2" s="1"/>
  <c r="Z84" i="2"/>
  <c r="Y84" i="2"/>
  <c r="X84" i="2"/>
  <c r="V84" i="2"/>
  <c r="U84" i="2"/>
  <c r="T84" i="2"/>
  <c r="L84" i="2"/>
  <c r="AK83" i="2"/>
  <c r="AJ83" i="2"/>
  <c r="AH83" i="2"/>
  <c r="AE83" i="2"/>
  <c r="AD83" i="2"/>
  <c r="AA83" i="2"/>
  <c r="Y83" i="2"/>
  <c r="Z83" i="2" s="1"/>
  <c r="X83" i="2"/>
  <c r="V83" i="2"/>
  <c r="U83" i="2"/>
  <c r="T83" i="2"/>
  <c r="S83" i="2"/>
  <c r="R83" i="2"/>
  <c r="L83" i="2"/>
  <c r="AK82" i="2"/>
  <c r="AJ82" i="2"/>
  <c r="AH82" i="2"/>
  <c r="AF82" i="2"/>
  <c r="AI82" i="2" s="1"/>
  <c r="AD82" i="2"/>
  <c r="AA82" i="2"/>
  <c r="AE82" i="2" s="1"/>
  <c r="Y82" i="2"/>
  <c r="X82" i="2"/>
  <c r="V82" i="2"/>
  <c r="Z82" i="2" s="1"/>
  <c r="U82" i="2"/>
  <c r="S82" i="2"/>
  <c r="R82" i="2"/>
  <c r="L82" i="2"/>
  <c r="AK81" i="2"/>
  <c r="AJ81" i="2"/>
  <c r="AH81" i="2"/>
  <c r="AD81" i="2"/>
  <c r="AA81" i="2"/>
  <c r="AE81" i="2" s="1"/>
  <c r="Y81" i="2"/>
  <c r="Z81" i="2" s="1"/>
  <c r="X81" i="2"/>
  <c r="V81" i="2"/>
  <c r="U81" i="2"/>
  <c r="L81" i="2"/>
  <c r="AK80" i="2"/>
  <c r="AJ80" i="2"/>
  <c r="AH80" i="2"/>
  <c r="AD80" i="2"/>
  <c r="AA80" i="2"/>
  <c r="AE80" i="2" s="1"/>
  <c r="Y80" i="2"/>
  <c r="X80" i="2"/>
  <c r="V80" i="2"/>
  <c r="Z80" i="2" s="1"/>
  <c r="U80" i="2"/>
  <c r="L80" i="2"/>
  <c r="AK79" i="2"/>
  <c r="AJ79" i="2"/>
  <c r="AH79" i="2"/>
  <c r="AE79" i="2"/>
  <c r="AD79" i="2"/>
  <c r="AA79" i="2"/>
  <c r="Y79" i="2"/>
  <c r="Z79" i="2" s="1"/>
  <c r="X79" i="2"/>
  <c r="V79" i="2"/>
  <c r="U79" i="2"/>
  <c r="T79" i="2"/>
  <c r="L79" i="2"/>
  <c r="AK78" i="2"/>
  <c r="AJ78" i="2"/>
  <c r="AH78" i="2"/>
  <c r="AD78" i="2"/>
  <c r="AA78" i="2"/>
  <c r="AE78" i="2" s="1"/>
  <c r="Z78" i="2"/>
  <c r="Y78" i="2"/>
  <c r="X78" i="2"/>
  <c r="V78" i="2"/>
  <c r="U78" i="2"/>
  <c r="T78" i="2"/>
  <c r="L78" i="2"/>
  <c r="AK77" i="2"/>
  <c r="AJ77" i="2"/>
  <c r="AH77" i="2"/>
  <c r="AE77" i="2"/>
  <c r="AF77" i="2" s="1"/>
  <c r="AD77" i="2"/>
  <c r="AA77" i="2"/>
  <c r="Z77" i="2"/>
  <c r="Y77" i="2"/>
  <c r="X77" i="2"/>
  <c r="V77" i="2"/>
  <c r="U77" i="2"/>
  <c r="L77" i="2"/>
  <c r="AK76" i="2"/>
  <c r="AJ76" i="2"/>
  <c r="AH76" i="2"/>
  <c r="AE76" i="2"/>
  <c r="AF76" i="2" s="1"/>
  <c r="AD76" i="2"/>
  <c r="AA76" i="2"/>
  <c r="Y76" i="2"/>
  <c r="X76" i="2"/>
  <c r="V76" i="2"/>
  <c r="Z76" i="2" s="1"/>
  <c r="U76" i="2"/>
  <c r="S76" i="2"/>
  <c r="R76" i="2"/>
  <c r="L76" i="2"/>
  <c r="AK75" i="2"/>
  <c r="AJ75" i="2"/>
  <c r="AH75" i="2"/>
  <c r="AD75" i="2"/>
  <c r="AA75" i="2"/>
  <c r="AE75" i="2" s="1"/>
  <c r="AF75" i="2" s="1"/>
  <c r="Z75" i="2"/>
  <c r="Y75" i="2"/>
  <c r="X75" i="2"/>
  <c r="V75" i="2"/>
  <c r="U75" i="2"/>
  <c r="L75" i="2"/>
  <c r="AK74" i="2"/>
  <c r="AJ74" i="2"/>
  <c r="AH74" i="2"/>
  <c r="AD74" i="2"/>
  <c r="AA74" i="2"/>
  <c r="AE74" i="2" s="1"/>
  <c r="Y74" i="2"/>
  <c r="X74" i="2"/>
  <c r="V74" i="2"/>
  <c r="Z74" i="2" s="1"/>
  <c r="AF74" i="2" s="1"/>
  <c r="U74" i="2"/>
  <c r="L74" i="2"/>
  <c r="AK73" i="2"/>
  <c r="AJ73" i="2"/>
  <c r="AH73" i="2"/>
  <c r="AE73" i="2"/>
  <c r="AD73" i="2"/>
  <c r="AA73" i="2"/>
  <c r="Y73" i="2"/>
  <c r="Z73" i="2" s="1"/>
  <c r="AF73" i="2" s="1"/>
  <c r="X73" i="2"/>
  <c r="V73" i="2"/>
  <c r="U73" i="2"/>
  <c r="T73" i="2"/>
  <c r="L73" i="2"/>
  <c r="AK72" i="2"/>
  <c r="AJ72" i="2"/>
  <c r="AH72" i="2"/>
  <c r="AD72" i="2"/>
  <c r="AA72" i="2"/>
  <c r="AE72" i="2" s="1"/>
  <c r="Z72" i="2"/>
  <c r="Y72" i="2"/>
  <c r="X72" i="2"/>
  <c r="V72" i="2"/>
  <c r="U72" i="2"/>
  <c r="L72" i="2"/>
  <c r="AK71" i="2"/>
  <c r="AJ71" i="2"/>
  <c r="AH71" i="2"/>
  <c r="AC71" i="2" a="1"/>
  <c r="AC71" i="2" s="1"/>
  <c r="AD71" i="2" s="1"/>
  <c r="Y71" i="2"/>
  <c r="X71" i="2"/>
  <c r="V71" i="2"/>
  <c r="U71" i="2"/>
  <c r="T71" i="2"/>
  <c r="S71" i="2"/>
  <c r="Q71" i="2" a="1"/>
  <c r="Q71" i="2" s="1"/>
  <c r="O71" i="2"/>
  <c r="AA71" i="2" s="1"/>
  <c r="AE71" i="2" s="1"/>
  <c r="O71" i="2" a="1"/>
  <c r="M71" i="2" a="1"/>
  <c r="M71" i="2" s="1"/>
  <c r="L71" i="2"/>
  <c r="AK64" i="2"/>
  <c r="AJ64" i="2"/>
  <c r="AH64" i="2"/>
  <c r="AD64" i="2"/>
  <c r="AA64" i="2"/>
  <c r="AE64" i="2" s="1"/>
  <c r="Y64" i="2"/>
  <c r="Z64" i="2" s="1"/>
  <c r="X64" i="2"/>
  <c r="V64" i="2"/>
  <c r="U64" i="2"/>
  <c r="T64" i="2"/>
  <c r="S64" i="2"/>
  <c r="R64" i="2"/>
  <c r="L64" i="2"/>
  <c r="AK63" i="2"/>
  <c r="AJ63" i="2"/>
  <c r="AH63" i="2"/>
  <c r="AD63" i="2"/>
  <c r="AA63" i="2"/>
  <c r="AE63" i="2" s="1"/>
  <c r="AF63" i="2" s="1"/>
  <c r="Y63" i="2"/>
  <c r="X63" i="2"/>
  <c r="V63" i="2"/>
  <c r="Z63" i="2" s="1"/>
  <c r="U63" i="2"/>
  <c r="L63" i="2"/>
  <c r="AK62" i="2"/>
  <c r="AJ62" i="2"/>
  <c r="AH62" i="2"/>
  <c r="AE62" i="2"/>
  <c r="AD62" i="2"/>
  <c r="AA62" i="2"/>
  <c r="Y62" i="2"/>
  <c r="X62" i="2"/>
  <c r="V62" i="2"/>
  <c r="Z62" i="2" s="1"/>
  <c r="U62" i="2"/>
  <c r="T62" i="2"/>
  <c r="S62" i="2"/>
  <c r="R62" i="2" s="1"/>
  <c r="L62" i="2"/>
  <c r="AK61" i="2"/>
  <c r="AJ61" i="2"/>
  <c r="AH61" i="2"/>
  <c r="AD61" i="2"/>
  <c r="AA61" i="2"/>
  <c r="AE61" i="2" s="1"/>
  <c r="AF61" i="2" s="1"/>
  <c r="Z61" i="2"/>
  <c r="Y61" i="2"/>
  <c r="X61" i="2"/>
  <c r="V61" i="2"/>
  <c r="U61" i="2"/>
  <c r="T61" i="2"/>
  <c r="L61" i="2"/>
  <c r="AK60" i="2"/>
  <c r="AJ60" i="2"/>
  <c r="AH60" i="2"/>
  <c r="AE60" i="2"/>
  <c r="AF60" i="2" s="1"/>
  <c r="AD60" i="2"/>
  <c r="AA60" i="2"/>
  <c r="Y60" i="2"/>
  <c r="X60" i="2"/>
  <c r="V60" i="2"/>
  <c r="Z60" i="2" s="1"/>
  <c r="U60" i="2"/>
  <c r="T60" i="2"/>
  <c r="L60" i="2"/>
  <c r="AK59" i="2"/>
  <c r="AJ59" i="2"/>
  <c r="AH59" i="2"/>
  <c r="AE59" i="2"/>
  <c r="AF59" i="2" s="1"/>
  <c r="AD59" i="2"/>
  <c r="AA59" i="2"/>
  <c r="Z59" i="2"/>
  <c r="Y59" i="2"/>
  <c r="X59" i="2"/>
  <c r="V59" i="2"/>
  <c r="U59" i="2"/>
  <c r="T59" i="2"/>
  <c r="L59" i="2"/>
  <c r="AK58" i="2"/>
  <c r="AJ58" i="2"/>
  <c r="AH58" i="2"/>
  <c r="AD58" i="2"/>
  <c r="AA58" i="2"/>
  <c r="AE58" i="2" s="1"/>
  <c r="Y58" i="2"/>
  <c r="Z58" i="2" s="1"/>
  <c r="X58" i="2"/>
  <c r="V58" i="2"/>
  <c r="U58" i="2"/>
  <c r="T58" i="2"/>
  <c r="S58" i="2"/>
  <c r="R58" i="2" s="1"/>
  <c r="L58" i="2"/>
  <c r="AK57" i="2"/>
  <c r="AJ57" i="2"/>
  <c r="AH57" i="2"/>
  <c r="AE57" i="2"/>
  <c r="AD57" i="2"/>
  <c r="AA57" i="2"/>
  <c r="Y57" i="2"/>
  <c r="X57" i="2"/>
  <c r="V57" i="2"/>
  <c r="Z57" i="2" s="1"/>
  <c r="AF57" i="2" s="1"/>
  <c r="U57" i="2"/>
  <c r="L57" i="2"/>
  <c r="AK56" i="2"/>
  <c r="AJ56" i="2"/>
  <c r="AH56" i="2"/>
  <c r="AD56" i="2"/>
  <c r="AA56" i="2"/>
  <c r="AE56" i="2" s="1"/>
  <c r="AF56" i="2" s="1"/>
  <c r="Y56" i="2"/>
  <c r="X56" i="2"/>
  <c r="V56" i="2"/>
  <c r="Z56" i="2" s="1"/>
  <c r="U56" i="2"/>
  <c r="T56" i="2"/>
  <c r="L56" i="2"/>
  <c r="AK55" i="2"/>
  <c r="AJ55" i="2"/>
  <c r="AH55" i="2"/>
  <c r="AD55" i="2"/>
  <c r="AA55" i="2"/>
  <c r="AE55" i="2" s="1"/>
  <c r="Y55" i="2"/>
  <c r="X55" i="2"/>
  <c r="V55" i="2"/>
  <c r="Z55" i="2" s="1"/>
  <c r="AF55" i="2" s="1"/>
  <c r="U55" i="2"/>
  <c r="T55" i="2"/>
  <c r="L55" i="2"/>
  <c r="AK54" i="2"/>
  <c r="AJ54" i="2"/>
  <c r="AH54" i="2"/>
  <c r="AE54" i="2"/>
  <c r="AF54" i="2" s="1"/>
  <c r="AD54" i="2"/>
  <c r="AA54" i="2"/>
  <c r="Y54" i="2"/>
  <c r="X54" i="2"/>
  <c r="V54" i="2"/>
  <c r="Z54" i="2" s="1"/>
  <c r="U54" i="2"/>
  <c r="T54" i="2"/>
  <c r="S54" i="2"/>
  <c r="R54" i="2"/>
  <c r="L54" i="2"/>
  <c r="AK53" i="2"/>
  <c r="AJ53" i="2"/>
  <c r="AI53" i="2"/>
  <c r="AH53" i="2"/>
  <c r="AG53" i="2"/>
  <c r="AD53" i="2"/>
  <c r="AA53" i="2"/>
  <c r="AE53" i="2" s="1"/>
  <c r="AF53" i="2" s="1"/>
  <c r="Z53" i="2"/>
  <c r="Y53" i="2"/>
  <c r="X53" i="2"/>
  <c r="V53" i="2"/>
  <c r="U53" i="2"/>
  <c r="T53" i="2"/>
  <c r="L53" i="2"/>
  <c r="AK52" i="2"/>
  <c r="AJ52" i="2"/>
  <c r="AH52" i="2"/>
  <c r="AD52" i="2"/>
  <c r="AA52" i="2"/>
  <c r="AE52" i="2" s="1"/>
  <c r="AF52" i="2" s="1"/>
  <c r="Y52" i="2"/>
  <c r="Z52" i="2" s="1"/>
  <c r="X52" i="2"/>
  <c r="V52" i="2"/>
  <c r="U52" i="2"/>
  <c r="T52" i="2"/>
  <c r="S52" i="2"/>
  <c r="R52" i="2" s="1"/>
  <c r="L52" i="2"/>
  <c r="AK51" i="2"/>
  <c r="AJ51" i="2"/>
  <c r="AH51" i="2"/>
  <c r="AE51" i="2"/>
  <c r="AF51" i="2" s="1"/>
  <c r="AD51" i="2"/>
  <c r="AA51" i="2"/>
  <c r="Z51" i="2"/>
  <c r="Y51" i="2"/>
  <c r="X51" i="2"/>
  <c r="V51" i="2"/>
  <c r="U51" i="2"/>
  <c r="L51" i="2"/>
  <c r="AK50" i="2"/>
  <c r="AJ50" i="2"/>
  <c r="AH50" i="2"/>
  <c r="AE50" i="2"/>
  <c r="AD50" i="2"/>
  <c r="AA50" i="2"/>
  <c r="Y50" i="2"/>
  <c r="X50" i="2"/>
  <c r="V50" i="2"/>
  <c r="Z50" i="2" s="1"/>
  <c r="U50" i="2"/>
  <c r="T50" i="2"/>
  <c r="L50" i="2"/>
  <c r="AK49" i="2"/>
  <c r="AJ49" i="2"/>
  <c r="AH49" i="2"/>
  <c r="AD49" i="2"/>
  <c r="AA49" i="2"/>
  <c r="AE49" i="2" s="1"/>
  <c r="Y49" i="2"/>
  <c r="X49" i="2"/>
  <c r="V49" i="2"/>
  <c r="U49" i="2"/>
  <c r="T49" i="2"/>
  <c r="S49" i="2"/>
  <c r="R49" i="2" s="1"/>
  <c r="L49" i="2"/>
  <c r="AK48" i="2"/>
  <c r="AJ48" i="2"/>
  <c r="AH48" i="2"/>
  <c r="AE48" i="2"/>
  <c r="AD48" i="2"/>
  <c r="AA48" i="2"/>
  <c r="Y48" i="2"/>
  <c r="X48" i="2"/>
  <c r="V48" i="2"/>
  <c r="Z48" i="2" s="1"/>
  <c r="U48" i="2"/>
  <c r="S48" i="2"/>
  <c r="R48" i="2"/>
  <c r="L48" i="2"/>
  <c r="AK47" i="2"/>
  <c r="AJ47" i="2"/>
  <c r="AH47" i="2"/>
  <c r="AD47" i="2"/>
  <c r="AA47" i="2"/>
  <c r="AE47" i="2" s="1"/>
  <c r="Y47" i="2"/>
  <c r="X47" i="2"/>
  <c r="V47" i="2"/>
  <c r="Z47" i="2" s="1"/>
  <c r="U47" i="2"/>
  <c r="T47" i="2"/>
  <c r="L47" i="2"/>
  <c r="AK46" i="2"/>
  <c r="AJ46" i="2"/>
  <c r="AH46" i="2"/>
  <c r="AD46" i="2"/>
  <c r="AA46" i="2"/>
  <c r="AE46" i="2" s="1"/>
  <c r="AF46" i="2" s="1"/>
  <c r="Z46" i="2"/>
  <c r="Y46" i="2"/>
  <c r="X46" i="2"/>
  <c r="V46" i="2"/>
  <c r="U46" i="2"/>
  <c r="L46" i="2"/>
  <c r="AK45" i="2"/>
  <c r="AJ45" i="2"/>
  <c r="AH45" i="2"/>
  <c r="AD45" i="2"/>
  <c r="AA45" i="2"/>
  <c r="AE45" i="2" s="1"/>
  <c r="Z45" i="2"/>
  <c r="Y45" i="2"/>
  <c r="X45" i="2"/>
  <c r="V45" i="2"/>
  <c r="U45" i="2"/>
  <c r="L45" i="2"/>
  <c r="AK44" i="2"/>
  <c r="AJ44" i="2"/>
  <c r="AH44" i="2"/>
  <c r="AE44" i="2"/>
  <c r="AD44" i="2"/>
  <c r="AA44" i="2"/>
  <c r="Y44" i="2"/>
  <c r="X44" i="2"/>
  <c r="V44" i="2"/>
  <c r="Z44" i="2" s="1"/>
  <c r="U44" i="2"/>
  <c r="T44" i="2"/>
  <c r="S44" i="2"/>
  <c r="R44" i="2" s="1"/>
  <c r="L44" i="2"/>
  <c r="AK43" i="2"/>
  <c r="AJ43" i="2"/>
  <c r="AH43" i="2"/>
  <c r="AD43" i="2"/>
  <c r="AA43" i="2"/>
  <c r="AE43" i="2" s="1"/>
  <c r="Y43" i="2"/>
  <c r="X43" i="2"/>
  <c r="V43" i="2"/>
  <c r="Z43" i="2" s="1"/>
  <c r="U43" i="2"/>
  <c r="S43" i="2"/>
  <c r="R43" i="2"/>
  <c r="L43" i="2"/>
  <c r="AK42" i="2"/>
  <c r="AJ42" i="2"/>
  <c r="AH42" i="2"/>
  <c r="AE42" i="2"/>
  <c r="AD42" i="2"/>
  <c r="AA42" i="2"/>
  <c r="Y42" i="2"/>
  <c r="X42" i="2"/>
  <c r="V42" i="2"/>
  <c r="U42" i="2"/>
  <c r="T42" i="2"/>
  <c r="S42" i="2"/>
  <c r="R42" i="2"/>
  <c r="L42" i="2"/>
  <c r="AK41" i="2"/>
  <c r="AJ41" i="2"/>
  <c r="AH41" i="2"/>
  <c r="AC41" i="2"/>
  <c r="AD41" i="2" s="1"/>
  <c r="AC41" i="2" a="1"/>
  <c r="Z41" i="2"/>
  <c r="Y41" i="2"/>
  <c r="X41" i="2"/>
  <c r="V41" i="2"/>
  <c r="U41" i="2"/>
  <c r="T41" i="2"/>
  <c r="S41" i="2"/>
  <c r="R41" i="2"/>
  <c r="Q41" i="2" a="1"/>
  <c r="Q41" i="2" s="1"/>
  <c r="O41" i="2" a="1"/>
  <c r="O41" i="2" s="1"/>
  <c r="AA41" i="2" s="1"/>
  <c r="AE41" i="2" s="1"/>
  <c r="M41" i="2"/>
  <c r="M41" i="2" a="1"/>
  <c r="L41" i="2"/>
  <c r="AK34" i="2"/>
  <c r="AJ34" i="2"/>
  <c r="AH34" i="2"/>
  <c r="AE34" i="2"/>
  <c r="AD34" i="2"/>
  <c r="AA34" i="2"/>
  <c r="Y34" i="2"/>
  <c r="X34" i="2"/>
  <c r="V34" i="2"/>
  <c r="U34" i="2"/>
  <c r="T34" i="2"/>
  <c r="S34" i="2"/>
  <c r="R34" i="2"/>
  <c r="L34" i="2"/>
  <c r="AK33" i="2"/>
  <c r="AJ33" i="2"/>
  <c r="AH33" i="2"/>
  <c r="AD33" i="2"/>
  <c r="AA33" i="2"/>
  <c r="AE33" i="2" s="1"/>
  <c r="Y33" i="2"/>
  <c r="X33" i="2"/>
  <c r="V33" i="2"/>
  <c r="Z33" i="2" s="1"/>
  <c r="U33" i="2"/>
  <c r="T33" i="2"/>
  <c r="S33" i="2"/>
  <c r="R33" i="2"/>
  <c r="L33" i="2"/>
  <c r="AK32" i="2"/>
  <c r="AJ32" i="2"/>
  <c r="AH32" i="2"/>
  <c r="AE32" i="2"/>
  <c r="AD32" i="2"/>
  <c r="AA32" i="2"/>
  <c r="Y32" i="2"/>
  <c r="Z32" i="2" s="1"/>
  <c r="X32" i="2"/>
  <c r="V32" i="2"/>
  <c r="U32" i="2"/>
  <c r="T32" i="2"/>
  <c r="S32" i="2"/>
  <c r="R32" i="2" s="1"/>
  <c r="L32" i="2"/>
  <c r="AK31" i="2"/>
  <c r="AJ31" i="2"/>
  <c r="AH31" i="2"/>
  <c r="AD31" i="2"/>
  <c r="AA31" i="2"/>
  <c r="AE31" i="2" s="1"/>
  <c r="AF31" i="2" s="1"/>
  <c r="Y31" i="2"/>
  <c r="X31" i="2"/>
  <c r="V31" i="2"/>
  <c r="Z31" i="2" s="1"/>
  <c r="U31" i="2"/>
  <c r="T31" i="2"/>
  <c r="S31" i="2"/>
  <c r="R31" i="2"/>
  <c r="L31" i="2"/>
  <c r="AK30" i="2"/>
  <c r="AJ30" i="2"/>
  <c r="AH30" i="2"/>
  <c r="AE30" i="2"/>
  <c r="AF30" i="2" s="1"/>
  <c r="AD30" i="2"/>
  <c r="AA30" i="2"/>
  <c r="Y30" i="2"/>
  <c r="Z30" i="2" s="1"/>
  <c r="X30" i="2"/>
  <c r="V30" i="2"/>
  <c r="U30" i="2"/>
  <c r="T30" i="2"/>
  <c r="S30" i="2"/>
  <c r="R30" i="2" s="1"/>
  <c r="L30" i="2"/>
  <c r="AK29" i="2"/>
  <c r="AJ29" i="2"/>
  <c r="AH29" i="2"/>
  <c r="AD29" i="2"/>
  <c r="AA29" i="2"/>
  <c r="AE29" i="2" s="1"/>
  <c r="Z29" i="2"/>
  <c r="AF29" i="2" s="1"/>
  <c r="Y29" i="2"/>
  <c r="X29" i="2"/>
  <c r="V29" i="2"/>
  <c r="U29" i="2"/>
  <c r="T29" i="2"/>
  <c r="S29" i="2"/>
  <c r="R29" i="2"/>
  <c r="L29" i="2"/>
  <c r="AK28" i="2"/>
  <c r="AJ28" i="2"/>
  <c r="AH28" i="2"/>
  <c r="AE28" i="2"/>
  <c r="AD28" i="2"/>
  <c r="AA28" i="2"/>
  <c r="Z28" i="2"/>
  <c r="Y28" i="2"/>
  <c r="X28" i="2"/>
  <c r="V28" i="2"/>
  <c r="U28" i="2"/>
  <c r="T28" i="2"/>
  <c r="S28" i="2"/>
  <c r="R28" i="2"/>
  <c r="L28" i="2"/>
  <c r="AK27" i="2"/>
  <c r="AJ27" i="2"/>
  <c r="AH27" i="2"/>
  <c r="AD27" i="2"/>
  <c r="AA27" i="2"/>
  <c r="AE27" i="2" s="1"/>
  <c r="AF27" i="2" s="1"/>
  <c r="AI27" i="2" s="1"/>
  <c r="AM27" i="2" s="1"/>
  <c r="Y27" i="2"/>
  <c r="X27" i="2"/>
  <c r="V27" i="2"/>
  <c r="Z27" i="2" s="1"/>
  <c r="U27" i="2"/>
  <c r="T27" i="2"/>
  <c r="S27" i="2"/>
  <c r="R27" i="2" s="1"/>
  <c r="L27" i="2"/>
  <c r="AK26" i="2"/>
  <c r="AJ26" i="2"/>
  <c r="AH26" i="2"/>
  <c r="AE26" i="2"/>
  <c r="AD26" i="2"/>
  <c r="AA26" i="2"/>
  <c r="Y26" i="2"/>
  <c r="Z26" i="2" s="1"/>
  <c r="X26" i="2"/>
  <c r="V26" i="2"/>
  <c r="U26" i="2"/>
  <c r="T26" i="2"/>
  <c r="S26" i="2"/>
  <c r="R26" i="2" s="1"/>
  <c r="L26" i="2"/>
  <c r="AK25" i="2"/>
  <c r="AJ25" i="2"/>
  <c r="AH25" i="2"/>
  <c r="AD25" i="2"/>
  <c r="AA25" i="2"/>
  <c r="AE25" i="2" s="1"/>
  <c r="Y25" i="2"/>
  <c r="X25" i="2"/>
  <c r="V25" i="2"/>
  <c r="Z25" i="2" s="1"/>
  <c r="U25" i="2"/>
  <c r="T25" i="2"/>
  <c r="S25" i="2"/>
  <c r="R25" i="2"/>
  <c r="L25" i="2"/>
  <c r="AK24" i="2"/>
  <c r="AJ24" i="2"/>
  <c r="AH24" i="2"/>
  <c r="AD24" i="2"/>
  <c r="AA24" i="2"/>
  <c r="AE24" i="2" s="1"/>
  <c r="AF24" i="2" s="1"/>
  <c r="AG24" i="2" s="1"/>
  <c r="Z24" i="2"/>
  <c r="Y24" i="2"/>
  <c r="X24" i="2"/>
  <c r="V24" i="2"/>
  <c r="U24" i="2"/>
  <c r="T24" i="2"/>
  <c r="S24" i="2"/>
  <c r="R24" i="2" s="1"/>
  <c r="L24" i="2"/>
  <c r="AK23" i="2"/>
  <c r="AJ23" i="2"/>
  <c r="AH23" i="2"/>
  <c r="AD23" i="2"/>
  <c r="AA23" i="2"/>
  <c r="AE23" i="2" s="1"/>
  <c r="Y23" i="2"/>
  <c r="X23" i="2"/>
  <c r="V23" i="2"/>
  <c r="Z23" i="2" s="1"/>
  <c r="U23" i="2"/>
  <c r="T23" i="2"/>
  <c r="S23" i="2"/>
  <c r="R23" i="2"/>
  <c r="L23" i="2"/>
  <c r="AK22" i="2"/>
  <c r="AJ22" i="2"/>
  <c r="AH22" i="2"/>
  <c r="AE22" i="2"/>
  <c r="AD22" i="2"/>
  <c r="AA22" i="2"/>
  <c r="Y22" i="2"/>
  <c r="X22" i="2"/>
  <c r="V22" i="2"/>
  <c r="Z22" i="2" s="1"/>
  <c r="U22" i="2"/>
  <c r="T22" i="2"/>
  <c r="S22" i="2"/>
  <c r="R22" i="2"/>
  <c r="L22" i="2"/>
  <c r="AK21" i="2"/>
  <c r="AJ21" i="2"/>
  <c r="AH21" i="2"/>
  <c r="AD21" i="2"/>
  <c r="AA21" i="2"/>
  <c r="AE21" i="2" s="1"/>
  <c r="Z21" i="2"/>
  <c r="Y21" i="2"/>
  <c r="X21" i="2"/>
  <c r="V21" i="2"/>
  <c r="U21" i="2"/>
  <c r="T21" i="2"/>
  <c r="S21" i="2"/>
  <c r="R21" i="2" s="1"/>
  <c r="L21" i="2"/>
  <c r="AK20" i="2"/>
  <c r="AJ20" i="2"/>
  <c r="AH20" i="2"/>
  <c r="AE20" i="2"/>
  <c r="AF20" i="2" s="1"/>
  <c r="AD20" i="2"/>
  <c r="AA20" i="2"/>
  <c r="Z20" i="2"/>
  <c r="Y20" i="2"/>
  <c r="X20" i="2"/>
  <c r="V20" i="2"/>
  <c r="U20" i="2"/>
  <c r="T20" i="2"/>
  <c r="S20" i="2"/>
  <c r="R20" i="2"/>
  <c r="L20" i="2"/>
  <c r="AK19" i="2"/>
  <c r="AJ19" i="2"/>
  <c r="AH19" i="2"/>
  <c r="AE19" i="2"/>
  <c r="AF19" i="2" s="1"/>
  <c r="AD19" i="2"/>
  <c r="AA19" i="2"/>
  <c r="Y19" i="2"/>
  <c r="X19" i="2"/>
  <c r="V19" i="2"/>
  <c r="Z19" i="2" s="1"/>
  <c r="U19" i="2"/>
  <c r="T19" i="2"/>
  <c r="S19" i="2"/>
  <c r="R19" i="2" s="1"/>
  <c r="L19" i="2"/>
  <c r="AK18" i="2"/>
  <c r="AJ18" i="2"/>
  <c r="AH18" i="2"/>
  <c r="AE18" i="2"/>
  <c r="AF18" i="2" s="1"/>
  <c r="AD18" i="2"/>
  <c r="AA18" i="2"/>
  <c r="Y18" i="2"/>
  <c r="Z18" i="2" s="1"/>
  <c r="X18" i="2"/>
  <c r="V18" i="2"/>
  <c r="U18" i="2"/>
  <c r="T18" i="2"/>
  <c r="S18" i="2"/>
  <c r="R18" i="2" s="1"/>
  <c r="L18" i="2"/>
  <c r="AK17" i="2"/>
  <c r="AJ17" i="2"/>
  <c r="AH17" i="2"/>
  <c r="AD17" i="2"/>
  <c r="AA17" i="2"/>
  <c r="AE17" i="2" s="1"/>
  <c r="Y17" i="2"/>
  <c r="X17" i="2"/>
  <c r="V17" i="2"/>
  <c r="Z17" i="2" s="1"/>
  <c r="U17" i="2"/>
  <c r="T17" i="2"/>
  <c r="S17" i="2"/>
  <c r="R17" i="2"/>
  <c r="L17" i="2"/>
  <c r="AK16" i="2"/>
  <c r="AJ16" i="2"/>
  <c r="AH16" i="2"/>
  <c r="AE16" i="2"/>
  <c r="AD16" i="2"/>
  <c r="AA16" i="2"/>
  <c r="Y16" i="2"/>
  <c r="X16" i="2"/>
  <c r="V16" i="2"/>
  <c r="Z16" i="2" s="1"/>
  <c r="U16" i="2"/>
  <c r="T16" i="2"/>
  <c r="S16" i="2"/>
  <c r="R16" i="2"/>
  <c r="L16" i="2"/>
  <c r="AK15" i="2"/>
  <c r="AJ15" i="2"/>
  <c r="AH15" i="2"/>
  <c r="AD15" i="2"/>
  <c r="AA15" i="2"/>
  <c r="AE15" i="2" s="1"/>
  <c r="Y15" i="2"/>
  <c r="X15" i="2"/>
  <c r="V15" i="2"/>
  <c r="Z15" i="2" s="1"/>
  <c r="U15" i="2"/>
  <c r="T15" i="2"/>
  <c r="S15" i="2"/>
  <c r="R15" i="2"/>
  <c r="L15" i="2"/>
  <c r="AK14" i="2"/>
  <c r="AJ14" i="2"/>
  <c r="AH14" i="2"/>
  <c r="AE14" i="2"/>
  <c r="AD14" i="2"/>
  <c r="AA14" i="2"/>
  <c r="Y14" i="2"/>
  <c r="Z14" i="2" s="1"/>
  <c r="AF14" i="2" s="1"/>
  <c r="X14" i="2"/>
  <c r="V14" i="2"/>
  <c r="U14" i="2"/>
  <c r="T14" i="2"/>
  <c r="S14" i="2"/>
  <c r="R14" i="2"/>
  <c r="L14" i="2"/>
  <c r="AK13" i="2"/>
  <c r="AJ13" i="2"/>
  <c r="AH13" i="2"/>
  <c r="AF13" i="2"/>
  <c r="AI13" i="2" s="1"/>
  <c r="AD13" i="2"/>
  <c r="AA13" i="2"/>
  <c r="AE13" i="2" s="1"/>
  <c r="Y13" i="2"/>
  <c r="X13" i="2"/>
  <c r="V13" i="2"/>
  <c r="Z13" i="2" s="1"/>
  <c r="U13" i="2"/>
  <c r="T13" i="2"/>
  <c r="S13" i="2"/>
  <c r="R13" i="2"/>
  <c r="L13" i="2"/>
  <c r="AK12" i="2"/>
  <c r="AJ12" i="2"/>
  <c r="AH12" i="2"/>
  <c r="AD12" i="2"/>
  <c r="AA12" i="2"/>
  <c r="AE12" i="2" s="1"/>
  <c r="Y12" i="2"/>
  <c r="Z12" i="2" s="1"/>
  <c r="X12" i="2"/>
  <c r="V12" i="2"/>
  <c r="U12" i="2"/>
  <c r="T12" i="2"/>
  <c r="S12" i="2"/>
  <c r="R12" i="2" s="1"/>
  <c r="L12" i="2"/>
  <c r="AK11" i="2"/>
  <c r="AJ11" i="2"/>
  <c r="AH11" i="2"/>
  <c r="AC11" i="2"/>
  <c r="AD11" i="2" s="1"/>
  <c r="AC11" i="2" a="1"/>
  <c r="Z11" i="2"/>
  <c r="Y11" i="2"/>
  <c r="X11" i="2"/>
  <c r="V11" i="2"/>
  <c r="U11" i="2"/>
  <c r="T11" i="2"/>
  <c r="S11" i="2"/>
  <c r="R11" i="2"/>
  <c r="Q11" i="2" a="1"/>
  <c r="Q11" i="2" s="1"/>
  <c r="O11" i="2"/>
  <c r="BA11" i="2" s="1"/>
  <c r="O11" i="2" a="1"/>
  <c r="M11" i="2"/>
  <c r="M11" i="2" a="1"/>
  <c r="L11" i="2"/>
  <c r="AW176" i="4" a="1"/>
  <c r="AW176" i="4" s="1"/>
  <c r="AW174" i="4" a="1"/>
  <c r="AW174" i="4" s="1"/>
  <c r="AW173" i="4" a="1"/>
  <c r="AW173" i="4" s="1"/>
  <c r="AW172" i="4" a="1"/>
  <c r="AW172" i="4" s="1"/>
  <c r="AW156" i="4" a="1"/>
  <c r="AW156" i="4" s="1"/>
  <c r="AW130" i="4" a="1"/>
  <c r="AW130" i="4" s="1"/>
  <c r="AZ34" i="4"/>
  <c r="AY34" i="4"/>
  <c r="AW34" i="4"/>
  <c r="AO34" i="4"/>
  <c r="AM34" i="4"/>
  <c r="AJ34" i="4"/>
  <c r="AC34" i="4"/>
  <c r="AP34" i="4" s="1"/>
  <c r="AB34" i="4"/>
  <c r="AA34" i="4"/>
  <c r="Z34" i="4"/>
  <c r="Y34" i="4"/>
  <c r="X34" i="4"/>
  <c r="W34" i="4"/>
  <c r="V34" i="4"/>
  <c r="U34" i="4"/>
  <c r="T34" i="4" s="1"/>
  <c r="O34" i="4"/>
  <c r="AZ33" i="4"/>
  <c r="AY33" i="4"/>
  <c r="AW33" i="4"/>
  <c r="AO33" i="4"/>
  <c r="AM33" i="4"/>
  <c r="AJ33" i="4"/>
  <c r="AC33" i="4"/>
  <c r="AB33" i="4"/>
  <c r="AA33" i="4"/>
  <c r="Z33" i="4"/>
  <c r="Y33" i="4"/>
  <c r="X33" i="4"/>
  <c r="W33" i="4"/>
  <c r="V33" i="4"/>
  <c r="U33" i="4"/>
  <c r="T33" i="4"/>
  <c r="O33" i="4"/>
  <c r="J33" i="4"/>
  <c r="AZ32" i="4"/>
  <c r="AY32" i="4"/>
  <c r="AW32" i="4"/>
  <c r="AO32" i="4"/>
  <c r="AM32" i="4"/>
  <c r="AJ32" i="4"/>
  <c r="AD32" i="4"/>
  <c r="AC32" i="4"/>
  <c r="AP32" i="4" s="1"/>
  <c r="AB32" i="4"/>
  <c r="AA32" i="4"/>
  <c r="Z32" i="4"/>
  <c r="Y32" i="4"/>
  <c r="X32" i="4"/>
  <c r="W32" i="4"/>
  <c r="V32" i="4"/>
  <c r="U32" i="4"/>
  <c r="T32" i="4" s="1"/>
  <c r="O32" i="4"/>
  <c r="K32" i="4"/>
  <c r="K33" i="4" s="1"/>
  <c r="K34" i="4" s="1"/>
  <c r="J32" i="4"/>
  <c r="AE32" i="4" s="1"/>
  <c r="AZ31" i="4"/>
  <c r="AY31" i="4"/>
  <c r="AW31" i="4"/>
  <c r="AO31" i="4"/>
  <c r="AM31" i="4"/>
  <c r="AJ31" i="4"/>
  <c r="AE31" i="4"/>
  <c r="AD31" i="4"/>
  <c r="AC31" i="4"/>
  <c r="AP31" i="4" s="1"/>
  <c r="AB31" i="4"/>
  <c r="AA31" i="4"/>
  <c r="Z31" i="4"/>
  <c r="Y31" i="4"/>
  <c r="X31" i="4"/>
  <c r="W31" i="4"/>
  <c r="V31" i="4"/>
  <c r="U31" i="4"/>
  <c r="T31" i="4"/>
  <c r="O31" i="4"/>
  <c r="AZ30" i="4"/>
  <c r="AY30" i="4"/>
  <c r="AW30" i="4"/>
  <c r="AO30" i="4"/>
  <c r="AM30" i="4"/>
  <c r="AJ30" i="4"/>
  <c r="AD30" i="4"/>
  <c r="AC30" i="4"/>
  <c r="AP30" i="4" s="1"/>
  <c r="AB30" i="4"/>
  <c r="AA30" i="4"/>
  <c r="Z30" i="4"/>
  <c r="Y30" i="4"/>
  <c r="X30" i="4"/>
  <c r="W30" i="4"/>
  <c r="V30" i="4"/>
  <c r="U30" i="4"/>
  <c r="T30" i="4" s="1"/>
  <c r="O30" i="4"/>
  <c r="K30" i="4"/>
  <c r="AZ29" i="4"/>
  <c r="AY29" i="4"/>
  <c r="AW29" i="4"/>
  <c r="AO29" i="4"/>
  <c r="AM29" i="4"/>
  <c r="AJ29" i="4"/>
  <c r="AD29" i="4"/>
  <c r="AC29" i="4"/>
  <c r="AP29" i="4" s="1"/>
  <c r="AB29" i="4"/>
  <c r="AA29" i="4"/>
  <c r="Z29" i="4"/>
  <c r="Y29" i="4"/>
  <c r="X29" i="4"/>
  <c r="W29" i="4"/>
  <c r="V29" i="4"/>
  <c r="U29" i="4"/>
  <c r="T29" i="4"/>
  <c r="O29" i="4"/>
  <c r="K29" i="4"/>
  <c r="AZ28" i="4"/>
  <c r="AY28" i="4"/>
  <c r="AW28" i="4"/>
  <c r="AO28" i="4"/>
  <c r="AN28" i="4"/>
  <c r="AM28" i="4"/>
  <c r="AJ28" i="4"/>
  <c r="AF28" i="4"/>
  <c r="AC28" i="4"/>
  <c r="AD28" i="4" s="1"/>
  <c r="AB28" i="4"/>
  <c r="AA28" i="4"/>
  <c r="Z28" i="4"/>
  <c r="Y28" i="4"/>
  <c r="X28" i="4"/>
  <c r="W28" i="4"/>
  <c r="V28" i="4"/>
  <c r="U28" i="4"/>
  <c r="T28" i="4"/>
  <c r="O28" i="4"/>
  <c r="K28" i="4"/>
  <c r="J28" i="4"/>
  <c r="AE28" i="4" s="1"/>
  <c r="AZ27" i="4"/>
  <c r="AY27" i="4"/>
  <c r="AW27" i="4"/>
  <c r="AO27" i="4"/>
  <c r="AP27" i="4" s="1"/>
  <c r="AM27" i="4"/>
  <c r="AJ27" i="4"/>
  <c r="AH27" i="4"/>
  <c r="AE27" i="4"/>
  <c r="AD27" i="4"/>
  <c r="AC27" i="4"/>
  <c r="AB27" i="4"/>
  <c r="AA27" i="4"/>
  <c r="Z27" i="4"/>
  <c r="Y27" i="4"/>
  <c r="X27" i="4"/>
  <c r="W27" i="4"/>
  <c r="V27" i="4"/>
  <c r="U27" i="4"/>
  <c r="T27" i="4" s="1"/>
  <c r="O27" i="4"/>
  <c r="AZ26" i="4"/>
  <c r="AY26" i="4"/>
  <c r="AW26" i="4"/>
  <c r="AO26" i="4"/>
  <c r="AN26" i="4"/>
  <c r="AM26" i="4"/>
  <c r="AJ26" i="4"/>
  <c r="AF26" i="4"/>
  <c r="AC26" i="4"/>
  <c r="AD26" i="4" s="1"/>
  <c r="AB26" i="4"/>
  <c r="AA26" i="4"/>
  <c r="Z26" i="4"/>
  <c r="Y26" i="4"/>
  <c r="X26" i="4"/>
  <c r="W26" i="4"/>
  <c r="V26" i="4"/>
  <c r="U26" i="4"/>
  <c r="T26" i="4"/>
  <c r="O26" i="4"/>
  <c r="AZ25" i="4"/>
  <c r="AY25" i="4"/>
  <c r="AW25" i="4"/>
  <c r="AO25" i="4"/>
  <c r="AM25" i="4"/>
  <c r="AJ25" i="4"/>
  <c r="AH25" i="4"/>
  <c r="AD25" i="4"/>
  <c r="AC25" i="4"/>
  <c r="AP25" i="4" s="1"/>
  <c r="AB25" i="4"/>
  <c r="AA25" i="4"/>
  <c r="Z25" i="4"/>
  <c r="Y25" i="4"/>
  <c r="X25" i="4"/>
  <c r="W25" i="4"/>
  <c r="V25" i="4"/>
  <c r="U25" i="4"/>
  <c r="T25" i="4" s="1"/>
  <c r="O25" i="4"/>
  <c r="J25" i="4"/>
  <c r="AE25" i="4" s="1"/>
  <c r="AZ24" i="4"/>
  <c r="AY24" i="4"/>
  <c r="AW24" i="4"/>
  <c r="AP24" i="4"/>
  <c r="AO24" i="4"/>
  <c r="AN24" i="4"/>
  <c r="AM24" i="4"/>
  <c r="AJ24" i="4"/>
  <c r="AD24" i="4"/>
  <c r="AC24" i="4"/>
  <c r="AB24" i="4"/>
  <c r="AA24" i="4"/>
  <c r="Z24" i="4"/>
  <c r="Y24" i="4"/>
  <c r="X24" i="4"/>
  <c r="W24" i="4"/>
  <c r="V24" i="4"/>
  <c r="U24" i="4"/>
  <c r="T24" i="4" s="1"/>
  <c r="O24" i="4"/>
  <c r="K24" i="4"/>
  <c r="K25" i="4" s="1"/>
  <c r="K26" i="4" s="1"/>
  <c r="J24" i="4"/>
  <c r="AZ23" i="4"/>
  <c r="AY23" i="4"/>
  <c r="AW23" i="4"/>
  <c r="AO23" i="4"/>
  <c r="AM23" i="4"/>
  <c r="AJ23" i="4"/>
  <c r="AE23" i="4"/>
  <c r="AC23" i="4"/>
  <c r="AD23" i="4" s="1"/>
  <c r="AB23" i="4"/>
  <c r="AA23" i="4"/>
  <c r="Z23" i="4"/>
  <c r="Y23" i="4"/>
  <c r="X23" i="4"/>
  <c r="W23" i="4"/>
  <c r="V23" i="4"/>
  <c r="U23" i="4"/>
  <c r="T23" i="4"/>
  <c r="O23" i="4"/>
  <c r="AZ22" i="4"/>
  <c r="AY22" i="4"/>
  <c r="AW22" i="4"/>
  <c r="AP22" i="4"/>
  <c r="AO22" i="4"/>
  <c r="AN22" i="4"/>
  <c r="AM22" i="4"/>
  <c r="AJ22" i="4"/>
  <c r="AD22" i="4"/>
  <c r="AC22" i="4"/>
  <c r="AB22" i="4"/>
  <c r="AA22" i="4"/>
  <c r="Z22" i="4"/>
  <c r="Y22" i="4"/>
  <c r="X22" i="4"/>
  <c r="W22" i="4"/>
  <c r="V22" i="4"/>
  <c r="U22" i="4"/>
  <c r="T22" i="4" s="1"/>
  <c r="O22" i="4"/>
  <c r="AZ21" i="4"/>
  <c r="AY21" i="4"/>
  <c r="AW21" i="4"/>
  <c r="AO21" i="4"/>
  <c r="AM21" i="4"/>
  <c r="AJ21" i="4"/>
  <c r="AC21" i="4"/>
  <c r="AD21" i="4" s="1"/>
  <c r="AB21" i="4"/>
  <c r="AA21" i="4"/>
  <c r="Z21" i="4"/>
  <c r="Y21" i="4"/>
  <c r="X21" i="4"/>
  <c r="W21" i="4"/>
  <c r="V21" i="4"/>
  <c r="U21" i="4"/>
  <c r="T21" i="4"/>
  <c r="O21" i="4"/>
  <c r="AZ20" i="4"/>
  <c r="AY20" i="4"/>
  <c r="AW20" i="4"/>
  <c r="AO20" i="4"/>
  <c r="AN20" i="4"/>
  <c r="AM20" i="4"/>
  <c r="AJ20" i="4"/>
  <c r="AC20" i="4"/>
  <c r="AD20" i="4" s="1"/>
  <c r="AB20" i="4"/>
  <c r="AA20" i="4"/>
  <c r="Z20" i="4"/>
  <c r="Y20" i="4"/>
  <c r="X20" i="4"/>
  <c r="W20" i="4"/>
  <c r="V20" i="4"/>
  <c r="U20" i="4"/>
  <c r="T20" i="4" s="1"/>
  <c r="O20" i="4"/>
  <c r="K20" i="4"/>
  <c r="K21" i="4" s="1"/>
  <c r="K22" i="4" s="1"/>
  <c r="J20" i="4"/>
  <c r="AZ19" i="4"/>
  <c r="AY19" i="4"/>
  <c r="AW19" i="4"/>
  <c r="AO19" i="4"/>
  <c r="AP19" i="4" s="1"/>
  <c r="AN19" i="4"/>
  <c r="AM19" i="4"/>
  <c r="AJ19" i="4"/>
  <c r="AE19" i="4"/>
  <c r="AD19" i="4"/>
  <c r="AC19" i="4"/>
  <c r="AB19" i="4"/>
  <c r="AA19" i="4"/>
  <c r="Z19" i="4"/>
  <c r="Y19" i="4"/>
  <c r="X19" i="4"/>
  <c r="W19" i="4"/>
  <c r="V19" i="4"/>
  <c r="U19" i="4"/>
  <c r="T19" i="4" s="1"/>
  <c r="O19" i="4"/>
  <c r="AZ18" i="4"/>
  <c r="AY18" i="4"/>
  <c r="AW18" i="4"/>
  <c r="AO18" i="4"/>
  <c r="AN18" i="4"/>
  <c r="AM18" i="4"/>
  <c r="AJ18" i="4"/>
  <c r="AC18" i="4"/>
  <c r="AB18" i="4"/>
  <c r="AA18" i="4"/>
  <c r="Z18" i="4"/>
  <c r="Y18" i="4"/>
  <c r="X18" i="4"/>
  <c r="W18" i="4"/>
  <c r="V18" i="4"/>
  <c r="U18" i="4"/>
  <c r="T18" i="4" s="1"/>
  <c r="O18" i="4"/>
  <c r="J18" i="4"/>
  <c r="AE18" i="4" s="1"/>
  <c r="AZ17" i="4"/>
  <c r="AY17" i="4"/>
  <c r="AW17" i="4"/>
  <c r="AO17" i="4"/>
  <c r="AN17" i="4"/>
  <c r="AM17" i="4"/>
  <c r="AJ17" i="4"/>
  <c r="AD17" i="4"/>
  <c r="AC17" i="4"/>
  <c r="AP17" i="4" s="1"/>
  <c r="AB17" i="4"/>
  <c r="AA17" i="4"/>
  <c r="Z17" i="4"/>
  <c r="Y17" i="4"/>
  <c r="X17" i="4"/>
  <c r="W17" i="4"/>
  <c r="V17" i="4"/>
  <c r="U17" i="4"/>
  <c r="T17" i="4" s="1"/>
  <c r="O17" i="4"/>
  <c r="K17" i="4"/>
  <c r="K18" i="4" s="1"/>
  <c r="AZ16" i="4"/>
  <c r="AY16" i="4"/>
  <c r="AW16" i="4"/>
  <c r="AO16" i="4"/>
  <c r="AN16" i="4"/>
  <c r="AM16" i="4"/>
  <c r="AJ16" i="4"/>
  <c r="AE16" i="4"/>
  <c r="AC16" i="4"/>
  <c r="AB16" i="4"/>
  <c r="AA16" i="4"/>
  <c r="Z16" i="4"/>
  <c r="Y16" i="4"/>
  <c r="X16" i="4"/>
  <c r="W16" i="4"/>
  <c r="V16" i="4"/>
  <c r="U16" i="4"/>
  <c r="T16" i="4"/>
  <c r="O16" i="4"/>
  <c r="K16" i="4"/>
  <c r="J16" i="4"/>
  <c r="J17" i="4" s="1"/>
  <c r="AZ15" i="4"/>
  <c r="AY15" i="4"/>
  <c r="AW15" i="4"/>
  <c r="AP15" i="4"/>
  <c r="AO15" i="4"/>
  <c r="AM15" i="4"/>
  <c r="AJ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O15" i="4"/>
  <c r="AZ14" i="4"/>
  <c r="AY14" i="4"/>
  <c r="AW14" i="4"/>
  <c r="AO14" i="4"/>
  <c r="AN14" i="4"/>
  <c r="AM14" i="4"/>
  <c r="AJ14" i="4"/>
  <c r="AC14" i="4"/>
  <c r="AB14" i="4"/>
  <c r="AA14" i="4"/>
  <c r="Z14" i="4"/>
  <c r="Y14" i="4"/>
  <c r="X14" i="4"/>
  <c r="W14" i="4"/>
  <c r="V14" i="4"/>
  <c r="U14" i="4"/>
  <c r="T14" i="4"/>
  <c r="O14" i="4"/>
  <c r="K14" i="4"/>
  <c r="AZ13" i="4"/>
  <c r="AY13" i="4"/>
  <c r="AW13" i="4"/>
  <c r="AP13" i="4"/>
  <c r="AO13" i="4"/>
  <c r="AM13" i="4"/>
  <c r="AJ13" i="4"/>
  <c r="AF13" i="4"/>
  <c r="AD13" i="4"/>
  <c r="AC13" i="4"/>
  <c r="AB13" i="4"/>
  <c r="AA13" i="4"/>
  <c r="Z13" i="4"/>
  <c r="Y13" i="4"/>
  <c r="X13" i="4"/>
  <c r="W13" i="4"/>
  <c r="V13" i="4"/>
  <c r="U13" i="4"/>
  <c r="T13" i="4"/>
  <c r="O13" i="4"/>
  <c r="K13" i="4"/>
  <c r="AZ12" i="4"/>
  <c r="AY12" i="4"/>
  <c r="AW12" i="4"/>
  <c r="AQ12" i="4"/>
  <c r="AT12" i="4" s="1"/>
  <c r="AO12" i="4"/>
  <c r="AN12" i="4"/>
  <c r="AM12" i="4"/>
  <c r="AJ12" i="4"/>
  <c r="AF12" i="4"/>
  <c r="AC12" i="4"/>
  <c r="AB12" i="4"/>
  <c r="AA12" i="4"/>
  <c r="Z12" i="4"/>
  <c r="Y12" i="4"/>
  <c r="X12" i="4"/>
  <c r="W12" i="4"/>
  <c r="V12" i="4"/>
  <c r="U12" i="4"/>
  <c r="T12" i="4"/>
  <c r="O12" i="4"/>
  <c r="K12" i="4"/>
  <c r="J12" i="4"/>
  <c r="AZ11" i="4"/>
  <c r="AY11" i="4"/>
  <c r="AW11" i="4"/>
  <c r="AR11" i="4" a="1"/>
  <c r="AP11" i="4"/>
  <c r="AO11" i="4"/>
  <c r="AM11" i="4"/>
  <c r="AJ11" i="4"/>
  <c r="AG11" i="4" a="1"/>
  <c r="AG11" i="4" s="1"/>
  <c r="AE11" i="4"/>
  <c r="AD11" i="4"/>
  <c r="AC11" i="4"/>
  <c r="AB11" i="4"/>
  <c r="AA11" i="4"/>
  <c r="Z11" i="4"/>
  <c r="Y11" i="4"/>
  <c r="X11" i="4"/>
  <c r="W11" i="4"/>
  <c r="V11" i="4"/>
  <c r="U11" i="4"/>
  <c r="T11" i="4" s="1"/>
  <c r="S11" i="4" a="1"/>
  <c r="S11" i="4" s="1"/>
  <c r="R11" i="4" a="1"/>
  <c r="Q11" i="4" a="1"/>
  <c r="Q11" i="4" s="1"/>
  <c r="P11" i="4" a="1"/>
  <c r="O11" i="4"/>
  <c r="BS7" i="4"/>
  <c r="AN15" i="4" s="1"/>
  <c r="AW176" i="3" a="1"/>
  <c r="AW176" i="3" s="1"/>
  <c r="AW174" i="3" a="1"/>
  <c r="AW174" i="3" s="1"/>
  <c r="AW173" i="3" a="1"/>
  <c r="AW173" i="3" s="1"/>
  <c r="AW172" i="3" a="1"/>
  <c r="AW172" i="3" s="1"/>
  <c r="AW156" i="3" a="1"/>
  <c r="AW156" i="3" s="1"/>
  <c r="AW130" i="3" a="1"/>
  <c r="AW130" i="3" s="1"/>
  <c r="AZ34" i="3"/>
  <c r="AY34" i="3"/>
  <c r="AW34" i="3"/>
  <c r="AO34" i="3"/>
  <c r="AM34" i="3"/>
  <c r="AJ34" i="3"/>
  <c r="AC34" i="3"/>
  <c r="AB34" i="3"/>
  <c r="AA34" i="3"/>
  <c r="Z34" i="3"/>
  <c r="Y34" i="3"/>
  <c r="X34" i="3"/>
  <c r="W34" i="3"/>
  <c r="V34" i="3"/>
  <c r="U34" i="3"/>
  <c r="T34" i="3"/>
  <c r="O34" i="3"/>
  <c r="J34" i="3"/>
  <c r="AZ33" i="3"/>
  <c r="AY33" i="3"/>
  <c r="AW33" i="3"/>
  <c r="AP33" i="3"/>
  <c r="AO33" i="3"/>
  <c r="AM33" i="3"/>
  <c r="AJ33" i="3"/>
  <c r="AD33" i="3"/>
  <c r="AC33" i="3"/>
  <c r="AB33" i="3"/>
  <c r="AA33" i="3"/>
  <c r="Z33" i="3"/>
  <c r="Y33" i="3"/>
  <c r="X33" i="3"/>
  <c r="W33" i="3"/>
  <c r="V33" i="3"/>
  <c r="U33" i="3"/>
  <c r="T33" i="3"/>
  <c r="O33" i="3"/>
  <c r="K33" i="3"/>
  <c r="K34" i="3" s="1"/>
  <c r="AZ32" i="3"/>
  <c r="AY32" i="3"/>
  <c r="AW32" i="3"/>
  <c r="AP32" i="3"/>
  <c r="AO32" i="3"/>
  <c r="AM32" i="3"/>
  <c r="AJ32" i="3"/>
  <c r="AC32" i="3"/>
  <c r="AD32" i="3" s="1"/>
  <c r="AB32" i="3"/>
  <c r="AA32" i="3"/>
  <c r="Z32" i="3"/>
  <c r="Y32" i="3"/>
  <c r="X32" i="3"/>
  <c r="W32" i="3"/>
  <c r="V32" i="3"/>
  <c r="U32" i="3"/>
  <c r="T32" i="3" s="1"/>
  <c r="O32" i="3"/>
  <c r="K32" i="3"/>
  <c r="J32" i="3"/>
  <c r="J33" i="3" s="1"/>
  <c r="AZ31" i="3"/>
  <c r="AY31" i="3"/>
  <c r="AW31" i="3"/>
  <c r="AQ31" i="3"/>
  <c r="AT31" i="3" s="1"/>
  <c r="AO31" i="3"/>
  <c r="AM31" i="3"/>
  <c r="AJ31" i="3"/>
  <c r="AE31" i="3"/>
  <c r="AD31" i="3"/>
  <c r="AC31" i="3"/>
  <c r="AP31" i="3" s="1"/>
  <c r="AB31" i="3"/>
  <c r="AA31" i="3"/>
  <c r="Z31" i="3"/>
  <c r="Y31" i="3"/>
  <c r="X31" i="3"/>
  <c r="W31" i="3"/>
  <c r="V31" i="3"/>
  <c r="U31" i="3"/>
  <c r="T31" i="3"/>
  <c r="O31" i="3"/>
  <c r="AZ30" i="3"/>
  <c r="AY30" i="3"/>
  <c r="AW30" i="3"/>
  <c r="AO30" i="3"/>
  <c r="AM30" i="3"/>
  <c r="AJ30" i="3"/>
  <c r="AC30" i="3"/>
  <c r="AB30" i="3"/>
  <c r="AA30" i="3"/>
  <c r="Z30" i="3"/>
  <c r="Y30" i="3"/>
  <c r="X30" i="3"/>
  <c r="W30" i="3"/>
  <c r="V30" i="3"/>
  <c r="U30" i="3"/>
  <c r="T30" i="3" s="1"/>
  <c r="O30" i="3"/>
  <c r="AZ29" i="3"/>
  <c r="AY29" i="3"/>
  <c r="AW29" i="3"/>
  <c r="AO29" i="3"/>
  <c r="AM29" i="3"/>
  <c r="AJ29" i="3"/>
  <c r="AC29" i="3"/>
  <c r="AP29" i="3" s="1"/>
  <c r="AB29" i="3"/>
  <c r="AA29" i="3"/>
  <c r="Z29" i="3"/>
  <c r="Y29" i="3"/>
  <c r="X29" i="3"/>
  <c r="W29" i="3"/>
  <c r="V29" i="3"/>
  <c r="U29" i="3"/>
  <c r="T29" i="3"/>
  <c r="O29" i="3"/>
  <c r="J29" i="3"/>
  <c r="AZ28" i="3"/>
  <c r="AY28" i="3"/>
  <c r="AW28" i="3"/>
  <c r="AO28" i="3"/>
  <c r="AM28" i="3"/>
  <c r="AJ28" i="3"/>
  <c r="AD28" i="3"/>
  <c r="AC28" i="3"/>
  <c r="AP28" i="3" s="1"/>
  <c r="AB28" i="3"/>
  <c r="AA28" i="3"/>
  <c r="Z28" i="3"/>
  <c r="Y28" i="3"/>
  <c r="X28" i="3"/>
  <c r="W28" i="3"/>
  <c r="V28" i="3"/>
  <c r="U28" i="3"/>
  <c r="T28" i="3" s="1"/>
  <c r="O28" i="3"/>
  <c r="K28" i="3"/>
  <c r="K29" i="3" s="1"/>
  <c r="K30" i="3" s="1"/>
  <c r="J28" i="3"/>
  <c r="AE28" i="3" s="1"/>
  <c r="AZ27" i="3"/>
  <c r="AY27" i="3"/>
  <c r="AW27" i="3"/>
  <c r="AO27" i="3"/>
  <c r="AP27" i="3" s="1"/>
  <c r="AM27" i="3"/>
  <c r="AJ27" i="3"/>
  <c r="AE27" i="3"/>
  <c r="AD27" i="3"/>
  <c r="AC27" i="3"/>
  <c r="AB27" i="3"/>
  <c r="AA27" i="3"/>
  <c r="Z27" i="3"/>
  <c r="Y27" i="3"/>
  <c r="X27" i="3"/>
  <c r="W27" i="3"/>
  <c r="V27" i="3"/>
  <c r="U27" i="3"/>
  <c r="T27" i="3"/>
  <c r="O27" i="3"/>
  <c r="AZ26" i="3"/>
  <c r="AY26" i="3"/>
  <c r="AW26" i="3"/>
  <c r="AO26" i="3"/>
  <c r="AM26" i="3"/>
  <c r="AJ26" i="3"/>
  <c r="AD26" i="3"/>
  <c r="AC26" i="3"/>
  <c r="AP26" i="3" s="1"/>
  <c r="AB26" i="3"/>
  <c r="AA26" i="3"/>
  <c r="Z26" i="3"/>
  <c r="Y26" i="3"/>
  <c r="X26" i="3"/>
  <c r="W26" i="3"/>
  <c r="V26" i="3"/>
  <c r="U26" i="3"/>
  <c r="T26" i="3" s="1"/>
  <c r="O26" i="3"/>
  <c r="J26" i="3"/>
  <c r="AE26" i="3" s="1"/>
  <c r="AZ25" i="3"/>
  <c r="AY25" i="3"/>
  <c r="AW25" i="3"/>
  <c r="AO25" i="3"/>
  <c r="AP25" i="3" s="1"/>
  <c r="AM25" i="3"/>
  <c r="AJ25" i="3"/>
  <c r="AD25" i="3"/>
  <c r="AC25" i="3"/>
  <c r="AB25" i="3"/>
  <c r="AA25" i="3"/>
  <c r="Z25" i="3"/>
  <c r="Y25" i="3"/>
  <c r="X25" i="3"/>
  <c r="W25" i="3"/>
  <c r="V25" i="3"/>
  <c r="U25" i="3"/>
  <c r="T25" i="3"/>
  <c r="O25" i="3"/>
  <c r="K25" i="3"/>
  <c r="K26" i="3" s="1"/>
  <c r="AZ24" i="3"/>
  <c r="AY24" i="3"/>
  <c r="AW24" i="3"/>
  <c r="AO24" i="3"/>
  <c r="AM24" i="3"/>
  <c r="AJ24" i="3"/>
  <c r="AC24" i="3"/>
  <c r="AD24" i="3" s="1"/>
  <c r="AB24" i="3"/>
  <c r="AA24" i="3"/>
  <c r="Z24" i="3"/>
  <c r="Y24" i="3"/>
  <c r="X24" i="3"/>
  <c r="W24" i="3"/>
  <c r="V24" i="3"/>
  <c r="U24" i="3"/>
  <c r="T24" i="3" s="1"/>
  <c r="O24" i="3"/>
  <c r="K24" i="3"/>
  <c r="J24" i="3"/>
  <c r="J25" i="3" s="1"/>
  <c r="AE25" i="3" s="1"/>
  <c r="AZ23" i="3"/>
  <c r="AY23" i="3"/>
  <c r="AW23" i="3"/>
  <c r="AO23" i="3"/>
  <c r="AP23" i="3" s="1"/>
  <c r="AM23" i="3"/>
  <c r="AJ23" i="3"/>
  <c r="AE23" i="3"/>
  <c r="AD23" i="3"/>
  <c r="AC23" i="3"/>
  <c r="AB23" i="3"/>
  <c r="AA23" i="3"/>
  <c r="Z23" i="3"/>
  <c r="Y23" i="3"/>
  <c r="X23" i="3"/>
  <c r="W23" i="3"/>
  <c r="V23" i="3"/>
  <c r="U23" i="3"/>
  <c r="T23" i="3" s="1"/>
  <c r="O23" i="3"/>
  <c r="AZ22" i="3"/>
  <c r="AY22" i="3"/>
  <c r="AW22" i="3"/>
  <c r="AQ22" i="3"/>
  <c r="AO22" i="3"/>
  <c r="AM22" i="3"/>
  <c r="AJ22" i="3"/>
  <c r="AC22" i="3"/>
  <c r="AB22" i="3"/>
  <c r="AA22" i="3"/>
  <c r="Z22" i="3"/>
  <c r="Y22" i="3"/>
  <c r="X22" i="3"/>
  <c r="W22" i="3"/>
  <c r="V22" i="3"/>
  <c r="U22" i="3"/>
  <c r="T22" i="3"/>
  <c r="O22" i="3"/>
  <c r="AZ21" i="3"/>
  <c r="AY21" i="3"/>
  <c r="AW21" i="3"/>
  <c r="AO21" i="3"/>
  <c r="AM21" i="3"/>
  <c r="AJ21" i="3"/>
  <c r="AC21" i="3"/>
  <c r="AB21" i="3"/>
  <c r="AA21" i="3"/>
  <c r="Z21" i="3"/>
  <c r="Y21" i="3"/>
  <c r="X21" i="3"/>
  <c r="W21" i="3"/>
  <c r="V21" i="3"/>
  <c r="U21" i="3"/>
  <c r="T21" i="3"/>
  <c r="O21" i="3"/>
  <c r="AZ20" i="3"/>
  <c r="AY20" i="3"/>
  <c r="AW20" i="3"/>
  <c r="AQ20" i="3"/>
  <c r="AT20" i="3" s="1"/>
  <c r="AO20" i="3"/>
  <c r="AM20" i="3"/>
  <c r="AJ20" i="3"/>
  <c r="AE20" i="3"/>
  <c r="AC20" i="3"/>
  <c r="AP20" i="3" s="1"/>
  <c r="AB20" i="3"/>
  <c r="AA20" i="3"/>
  <c r="Z20" i="3"/>
  <c r="Y20" i="3"/>
  <c r="X20" i="3"/>
  <c r="W20" i="3"/>
  <c r="V20" i="3"/>
  <c r="U20" i="3"/>
  <c r="T20" i="3" s="1"/>
  <c r="O20" i="3"/>
  <c r="K20" i="3"/>
  <c r="K21" i="3" s="1"/>
  <c r="K22" i="3" s="1"/>
  <c r="J20" i="3"/>
  <c r="J21" i="3" s="1"/>
  <c r="AZ19" i="3"/>
  <c r="AY19" i="3"/>
  <c r="AW19" i="3"/>
  <c r="AQ19" i="3"/>
  <c r="AT19" i="3" s="1"/>
  <c r="AO19" i="3"/>
  <c r="AM19" i="3"/>
  <c r="AJ19" i="3"/>
  <c r="AE19" i="3"/>
  <c r="AC19" i="3"/>
  <c r="AB19" i="3"/>
  <c r="AA19" i="3"/>
  <c r="Z19" i="3"/>
  <c r="Y19" i="3"/>
  <c r="X19" i="3"/>
  <c r="W19" i="3"/>
  <c r="V19" i="3"/>
  <c r="U19" i="3"/>
  <c r="T19" i="3"/>
  <c r="O19" i="3"/>
  <c r="AZ18" i="3"/>
  <c r="AY18" i="3"/>
  <c r="AW18" i="3"/>
  <c r="AO18" i="3"/>
  <c r="AM18" i="3"/>
  <c r="AJ18" i="3"/>
  <c r="AD18" i="3"/>
  <c r="AC18" i="3"/>
  <c r="AP18" i="3" s="1"/>
  <c r="AB18" i="3"/>
  <c r="AA18" i="3"/>
  <c r="Z18" i="3"/>
  <c r="Y18" i="3"/>
  <c r="X18" i="3"/>
  <c r="W18" i="3"/>
  <c r="V18" i="3"/>
  <c r="U18" i="3"/>
  <c r="T18" i="3" s="1"/>
  <c r="O18" i="3"/>
  <c r="AZ17" i="3"/>
  <c r="AY17" i="3"/>
  <c r="AW17" i="3"/>
  <c r="AQ17" i="3"/>
  <c r="AT17" i="3" s="1"/>
  <c r="AO17" i="3"/>
  <c r="AM17" i="3"/>
  <c r="AJ17" i="3"/>
  <c r="AC17" i="3"/>
  <c r="AP17" i="3" s="1"/>
  <c r="AB17" i="3"/>
  <c r="AA17" i="3"/>
  <c r="Z17" i="3"/>
  <c r="Y17" i="3"/>
  <c r="X17" i="3"/>
  <c r="W17" i="3"/>
  <c r="V17" i="3"/>
  <c r="U17" i="3"/>
  <c r="T17" i="3"/>
  <c r="O17" i="3"/>
  <c r="K17" i="3"/>
  <c r="K18" i="3" s="1"/>
  <c r="J17" i="3"/>
  <c r="J18" i="3" s="1"/>
  <c r="AE18" i="3" s="1"/>
  <c r="AZ16" i="3"/>
  <c r="AY16" i="3"/>
  <c r="AW16" i="3"/>
  <c r="AS16" i="3"/>
  <c r="AP16" i="3"/>
  <c r="AO16" i="3"/>
  <c r="AM16" i="3"/>
  <c r="AJ16" i="3"/>
  <c r="AE16" i="3"/>
  <c r="AC16" i="3"/>
  <c r="AD16" i="3" s="1"/>
  <c r="AB16" i="3"/>
  <c r="AA16" i="3"/>
  <c r="Z16" i="3"/>
  <c r="Y16" i="3"/>
  <c r="X16" i="3"/>
  <c r="W16" i="3"/>
  <c r="V16" i="3"/>
  <c r="U16" i="3"/>
  <c r="T16" i="3"/>
  <c r="O16" i="3"/>
  <c r="K16" i="3"/>
  <c r="J16" i="3"/>
  <c r="AZ15" i="3"/>
  <c r="AY15" i="3"/>
  <c r="AW15" i="3"/>
  <c r="AO15" i="3"/>
  <c r="AM15" i="3"/>
  <c r="AJ15" i="3"/>
  <c r="AE15" i="3"/>
  <c r="AD15" i="3"/>
  <c r="AC15" i="3"/>
  <c r="AP15" i="3" s="1"/>
  <c r="AB15" i="3"/>
  <c r="AA15" i="3"/>
  <c r="Z15" i="3"/>
  <c r="Y15" i="3"/>
  <c r="X15" i="3"/>
  <c r="W15" i="3"/>
  <c r="V15" i="3"/>
  <c r="U15" i="3"/>
  <c r="T15" i="3" s="1"/>
  <c r="O15" i="3"/>
  <c r="AZ14" i="3"/>
  <c r="AY14" i="3"/>
  <c r="AW14" i="3"/>
  <c r="AP14" i="3"/>
  <c r="AO14" i="3"/>
  <c r="AM14" i="3"/>
  <c r="AJ14" i="3"/>
  <c r="AE14" i="3"/>
  <c r="AC14" i="3"/>
  <c r="AD14" i="3" s="1"/>
  <c r="AB14" i="3"/>
  <c r="AA14" i="3"/>
  <c r="Z14" i="3"/>
  <c r="Y14" i="3"/>
  <c r="X14" i="3"/>
  <c r="W14" i="3"/>
  <c r="V14" i="3"/>
  <c r="U14" i="3"/>
  <c r="T14" i="3"/>
  <c r="O14" i="3"/>
  <c r="K14" i="3"/>
  <c r="J14" i="3"/>
  <c r="AZ13" i="3"/>
  <c r="AY13" i="3"/>
  <c r="AW13" i="3"/>
  <c r="AQ13" i="3"/>
  <c r="AT13" i="3" s="1"/>
  <c r="AO13" i="3"/>
  <c r="AM13" i="3"/>
  <c r="AJ13" i="3"/>
  <c r="AE13" i="3"/>
  <c r="AD13" i="3"/>
  <c r="AC13" i="3"/>
  <c r="AB13" i="3"/>
  <c r="AA13" i="3"/>
  <c r="Z13" i="3"/>
  <c r="Y13" i="3"/>
  <c r="X13" i="3"/>
  <c r="W13" i="3"/>
  <c r="V13" i="3"/>
  <c r="U13" i="3"/>
  <c r="T13" i="3" s="1"/>
  <c r="O13" i="3"/>
  <c r="K13" i="3"/>
  <c r="AZ12" i="3"/>
  <c r="AY12" i="3"/>
  <c r="AW12" i="3"/>
  <c r="AP12" i="3"/>
  <c r="AO12" i="3"/>
  <c r="AM12" i="3"/>
  <c r="AJ12" i="3"/>
  <c r="AD12" i="3"/>
  <c r="AC12" i="3"/>
  <c r="AB12" i="3"/>
  <c r="AA12" i="3"/>
  <c r="Z12" i="3"/>
  <c r="Y12" i="3"/>
  <c r="X12" i="3"/>
  <c r="W12" i="3"/>
  <c r="V12" i="3"/>
  <c r="U12" i="3"/>
  <c r="T12" i="3"/>
  <c r="O12" i="3"/>
  <c r="K12" i="3"/>
  <c r="J12" i="3"/>
  <c r="J13" i="3" s="1"/>
  <c r="AZ11" i="3"/>
  <c r="AY11" i="3"/>
  <c r="AW11" i="3"/>
  <c r="AR11" i="3" a="1"/>
  <c r="AO11" i="3"/>
  <c r="AM11" i="3"/>
  <c r="AJ11" i="3"/>
  <c r="AG11" i="3" a="1"/>
  <c r="AG11" i="3" s="1"/>
  <c r="AE11" i="3"/>
  <c r="AC11" i="3"/>
  <c r="AB11" i="3"/>
  <c r="AA11" i="3"/>
  <c r="Z11" i="3"/>
  <c r="Y11" i="3"/>
  <c r="X11" i="3"/>
  <c r="W11" i="3"/>
  <c r="V11" i="3"/>
  <c r="U11" i="3"/>
  <c r="T11" i="3" s="1"/>
  <c r="S11" i="3" a="1"/>
  <c r="R11" i="3" a="1"/>
  <c r="R11" i="3" s="1"/>
  <c r="AQ11" i="3" s="1"/>
  <c r="Q11" i="3" a="1"/>
  <c r="Q11" i="3" s="1"/>
  <c r="P11" i="3" a="1"/>
  <c r="O11" i="3"/>
  <c r="BS7" i="3"/>
  <c r="BL11" i="2"/>
  <c r="BG11" i="2"/>
  <c r="BE11" i="2"/>
  <c r="BC11" i="2"/>
  <c r="BB11" i="2"/>
  <c r="AU11" i="2"/>
  <c r="AW11" i="2" s="1"/>
  <c r="AK278" i="1"/>
  <c r="AJ278" i="1"/>
  <c r="AI278" i="1"/>
  <c r="AH278" i="1"/>
  <c r="AC278" i="1"/>
  <c r="AD278" i="1" s="1"/>
  <c r="Y278" i="1"/>
  <c r="X278" i="1"/>
  <c r="V278" i="1"/>
  <c r="Z278" i="1" s="1"/>
  <c r="U278" i="1"/>
  <c r="T278" i="1"/>
  <c r="Q278" i="1"/>
  <c r="O278" i="1"/>
  <c r="AA278" i="1" s="1"/>
  <c r="AE278" i="1" s="1"/>
  <c r="AF278" i="1" s="1"/>
  <c r="AG278" i="1" s="1"/>
  <c r="M278" i="1"/>
  <c r="AK277" i="1"/>
  <c r="AJ277" i="1"/>
  <c r="AH277" i="1"/>
  <c r="AE277" i="1"/>
  <c r="AF277" i="1" s="1"/>
  <c r="AD277" i="1"/>
  <c r="AC277" i="1"/>
  <c r="Y277" i="1"/>
  <c r="X277" i="1"/>
  <c r="V277" i="1"/>
  <c r="Z277" i="1" s="1"/>
  <c r="U277" i="1"/>
  <c r="T277" i="1"/>
  <c r="Q277" i="1"/>
  <c r="O277" i="1"/>
  <c r="AA277" i="1" s="1"/>
  <c r="M277" i="1"/>
  <c r="AK276" i="1"/>
  <c r="AJ276" i="1"/>
  <c r="AH276" i="1"/>
  <c r="AE276" i="1"/>
  <c r="AF276" i="1" s="1"/>
  <c r="AD276" i="1"/>
  <c r="AC276" i="1"/>
  <c r="Y276" i="1"/>
  <c r="X276" i="1"/>
  <c r="V276" i="1"/>
  <c r="Z276" i="1" s="1"/>
  <c r="U276" i="1"/>
  <c r="Q276" i="1"/>
  <c r="O276" i="1"/>
  <c r="AA276" i="1" s="1"/>
  <c r="M276" i="1"/>
  <c r="AK275" i="1"/>
  <c r="AJ275" i="1"/>
  <c r="AH275" i="1"/>
  <c r="AD275" i="1"/>
  <c r="AC275" i="1"/>
  <c r="Y275" i="1"/>
  <c r="X275" i="1"/>
  <c r="V275" i="1"/>
  <c r="Z275" i="1" s="1"/>
  <c r="U275" i="1"/>
  <c r="T275" i="1"/>
  <c r="Q275" i="1"/>
  <c r="AE275" i="1" s="1"/>
  <c r="AF275" i="1" s="1"/>
  <c r="O275" i="1"/>
  <c r="AA275" i="1" s="1"/>
  <c r="M275" i="1"/>
  <c r="AK274" i="1"/>
  <c r="AJ274" i="1"/>
  <c r="AH274" i="1"/>
  <c r="AE274" i="1"/>
  <c r="AF274" i="1" s="1"/>
  <c r="AD274" i="1"/>
  <c r="AC274" i="1"/>
  <c r="Y274" i="1"/>
  <c r="Z274" i="1" s="1"/>
  <c r="X274" i="1"/>
  <c r="V274" i="1"/>
  <c r="U274" i="1"/>
  <c r="T274" i="1"/>
  <c r="Q274" i="1"/>
  <c r="O274" i="1"/>
  <c r="AA274" i="1" s="1"/>
  <c r="M274" i="1"/>
  <c r="AK273" i="1"/>
  <c r="AJ273" i="1"/>
  <c r="AH273" i="1"/>
  <c r="AE273" i="1"/>
  <c r="AC273" i="1"/>
  <c r="AD273" i="1" s="1"/>
  <c r="AA273" i="1"/>
  <c r="Y273" i="1"/>
  <c r="X273" i="1"/>
  <c r="V273" i="1"/>
  <c r="Z273" i="1" s="1"/>
  <c r="AF273" i="1" s="1"/>
  <c r="U273" i="1"/>
  <c r="T273" i="1"/>
  <c r="Q273" i="1"/>
  <c r="O273" i="1"/>
  <c r="M273" i="1"/>
  <c r="AK272" i="1"/>
  <c r="AJ272" i="1"/>
  <c r="AH272" i="1"/>
  <c r="AG272" i="1"/>
  <c r="AC272" i="1"/>
  <c r="AD272" i="1" s="1"/>
  <c r="AA272" i="1"/>
  <c r="Y272" i="1"/>
  <c r="X272" i="1"/>
  <c r="V272" i="1"/>
  <c r="Z272" i="1" s="1"/>
  <c r="U272" i="1"/>
  <c r="T272" i="1"/>
  <c r="Q272" i="1"/>
  <c r="AE272" i="1" s="1"/>
  <c r="AF272" i="1" s="1"/>
  <c r="AI272" i="1" s="1"/>
  <c r="O272" i="1"/>
  <c r="M272" i="1"/>
  <c r="AK271" i="1"/>
  <c r="AJ271" i="1"/>
  <c r="AH271" i="1"/>
  <c r="AC271" i="1"/>
  <c r="AD271" i="1" s="1"/>
  <c r="Y271" i="1"/>
  <c r="X271" i="1"/>
  <c r="V271" i="1"/>
  <c r="Z271" i="1" s="1"/>
  <c r="U271" i="1"/>
  <c r="T271" i="1"/>
  <c r="Q271" i="1"/>
  <c r="O271" i="1"/>
  <c r="AA271" i="1" s="1"/>
  <c r="AE271" i="1" s="1"/>
  <c r="AF271" i="1" s="1"/>
  <c r="M271" i="1"/>
  <c r="AK270" i="1"/>
  <c r="AJ270" i="1"/>
  <c r="AI270" i="1"/>
  <c r="AH270" i="1"/>
  <c r="AE270" i="1"/>
  <c r="AF270" i="1" s="1"/>
  <c r="AG270" i="1" s="1"/>
  <c r="AD270" i="1"/>
  <c r="AC270" i="1"/>
  <c r="Y270" i="1"/>
  <c r="X270" i="1"/>
  <c r="V270" i="1"/>
  <c r="Z270" i="1" s="1"/>
  <c r="U270" i="1"/>
  <c r="T270" i="1"/>
  <c r="S270" i="1"/>
  <c r="R270" i="1"/>
  <c r="Q270" i="1"/>
  <c r="O270" i="1"/>
  <c r="AA270" i="1" s="1"/>
  <c r="M270" i="1"/>
  <c r="AK269" i="1"/>
  <c r="AJ269" i="1"/>
  <c r="AH269" i="1"/>
  <c r="AE269" i="1"/>
  <c r="AD269" i="1"/>
  <c r="AC269" i="1"/>
  <c r="Y269" i="1"/>
  <c r="X269" i="1"/>
  <c r="V269" i="1"/>
  <c r="Z269" i="1" s="1"/>
  <c r="U269" i="1"/>
  <c r="T269" i="1"/>
  <c r="Q269" i="1"/>
  <c r="O269" i="1"/>
  <c r="AA269" i="1" s="1"/>
  <c r="M269" i="1"/>
  <c r="AK268" i="1"/>
  <c r="AJ268" i="1"/>
  <c r="AH268" i="1"/>
  <c r="AC268" i="1"/>
  <c r="AD268" i="1" s="1"/>
  <c r="AA268" i="1"/>
  <c r="Y268" i="1"/>
  <c r="X268" i="1"/>
  <c r="V268" i="1"/>
  <c r="Z268" i="1" s="1"/>
  <c r="U268" i="1"/>
  <c r="T268" i="1"/>
  <c r="Q268" i="1"/>
  <c r="AE268" i="1" s="1"/>
  <c r="O268" i="1"/>
  <c r="M268" i="1"/>
  <c r="AK267" i="1"/>
  <c r="AJ267" i="1"/>
  <c r="AH267" i="1"/>
  <c r="AD267" i="1"/>
  <c r="AF267" i="1" s="1"/>
  <c r="AC267" i="1"/>
  <c r="Y267" i="1"/>
  <c r="X267" i="1"/>
  <c r="V267" i="1"/>
  <c r="Z267" i="1" s="1"/>
  <c r="U267" i="1"/>
  <c r="T267" i="1"/>
  <c r="S267" i="1"/>
  <c r="Q267" i="1"/>
  <c r="O267" i="1"/>
  <c r="AA267" i="1" s="1"/>
  <c r="AE267" i="1" s="1"/>
  <c r="M267" i="1"/>
  <c r="AK266" i="1"/>
  <c r="AJ266" i="1"/>
  <c r="AH266" i="1"/>
  <c r="AC266" i="1"/>
  <c r="AD266" i="1" s="1"/>
  <c r="Y266" i="1"/>
  <c r="X266" i="1"/>
  <c r="V266" i="1"/>
  <c r="Z266" i="1" s="1"/>
  <c r="U266" i="1"/>
  <c r="T266" i="1"/>
  <c r="Q266" i="1"/>
  <c r="O266" i="1"/>
  <c r="AA266" i="1" s="1"/>
  <c r="AE266" i="1" s="1"/>
  <c r="M266" i="1"/>
  <c r="AK265" i="1"/>
  <c r="AJ265" i="1"/>
  <c r="AH265" i="1"/>
  <c r="AD265" i="1"/>
  <c r="AC265" i="1"/>
  <c r="Y265" i="1"/>
  <c r="X265" i="1"/>
  <c r="V265" i="1"/>
  <c r="Z265" i="1" s="1"/>
  <c r="U265" i="1"/>
  <c r="T265" i="1"/>
  <c r="Q265" i="1"/>
  <c r="O265" i="1"/>
  <c r="AA265" i="1" s="1"/>
  <c r="AE265" i="1" s="1"/>
  <c r="AF265" i="1" s="1"/>
  <c r="M265" i="1"/>
  <c r="AK264" i="1"/>
  <c r="AJ264" i="1"/>
  <c r="AH264" i="1"/>
  <c r="AE264" i="1"/>
  <c r="AF264" i="1" s="1"/>
  <c r="AD264" i="1"/>
  <c r="AC264" i="1"/>
  <c r="AA264" i="1"/>
  <c r="Y264" i="1"/>
  <c r="X264" i="1"/>
  <c r="V264" i="1"/>
  <c r="Z264" i="1" s="1"/>
  <c r="U264" i="1"/>
  <c r="Q264" i="1"/>
  <c r="O264" i="1"/>
  <c r="M264" i="1"/>
  <c r="AK263" i="1"/>
  <c r="AJ263" i="1"/>
  <c r="AH263" i="1"/>
  <c r="AC263" i="1"/>
  <c r="AD263" i="1" s="1"/>
  <c r="AA263" i="1"/>
  <c r="AE263" i="1" s="1"/>
  <c r="Z263" i="1"/>
  <c r="Y263" i="1"/>
  <c r="X263" i="1"/>
  <c r="V263" i="1"/>
  <c r="U263" i="1"/>
  <c r="S263" i="1"/>
  <c r="Q263" i="1"/>
  <c r="O263" i="1"/>
  <c r="M263" i="1"/>
  <c r="AK262" i="1"/>
  <c r="AJ262" i="1"/>
  <c r="AH262" i="1"/>
  <c r="AG262" i="1"/>
  <c r="AC262" i="1"/>
  <c r="AD262" i="1" s="1"/>
  <c r="Y262" i="1"/>
  <c r="Z262" i="1" s="1"/>
  <c r="X262" i="1"/>
  <c r="V262" i="1"/>
  <c r="U262" i="1"/>
  <c r="T262" i="1"/>
  <c r="R262" i="1"/>
  <c r="Q262" i="1"/>
  <c r="O262" i="1"/>
  <c r="AA262" i="1" s="1"/>
  <c r="AE262" i="1" s="1"/>
  <c r="AF262" i="1" s="1"/>
  <c r="AI262" i="1" s="1"/>
  <c r="M262" i="1"/>
  <c r="AK261" i="1"/>
  <c r="AJ261" i="1"/>
  <c r="AH261" i="1"/>
  <c r="AC261" i="1"/>
  <c r="AD261" i="1" s="1"/>
  <c r="AF261" i="1" s="1"/>
  <c r="Y261" i="1"/>
  <c r="X261" i="1"/>
  <c r="V261" i="1"/>
  <c r="Z261" i="1" s="1"/>
  <c r="U261" i="1"/>
  <c r="T261" i="1"/>
  <c r="Q261" i="1"/>
  <c r="O261" i="1"/>
  <c r="AA261" i="1" s="1"/>
  <c r="AE261" i="1" s="1"/>
  <c r="M261" i="1"/>
  <c r="AK260" i="1"/>
  <c r="AJ260" i="1"/>
  <c r="AH260" i="1"/>
  <c r="AC260" i="1"/>
  <c r="AD260" i="1" s="1"/>
  <c r="Y260" i="1"/>
  <c r="X260" i="1"/>
  <c r="V260" i="1"/>
  <c r="Z260" i="1" s="1"/>
  <c r="U260" i="1"/>
  <c r="T260" i="1"/>
  <c r="S260" i="1"/>
  <c r="Q260" i="1"/>
  <c r="O260" i="1"/>
  <c r="AA260" i="1" s="1"/>
  <c r="AE260" i="1" s="1"/>
  <c r="M260" i="1"/>
  <c r="AK259" i="1"/>
  <c r="AJ259" i="1"/>
  <c r="AH259" i="1"/>
  <c r="AD259" i="1"/>
  <c r="AC259" i="1"/>
  <c r="Y259" i="1"/>
  <c r="X259" i="1"/>
  <c r="V259" i="1"/>
  <c r="Z259" i="1" s="1"/>
  <c r="U259" i="1"/>
  <c r="T259" i="1"/>
  <c r="S259" i="1"/>
  <c r="R259" i="1"/>
  <c r="Q259" i="1"/>
  <c r="O259" i="1"/>
  <c r="AA259" i="1" s="1"/>
  <c r="AE259" i="1" s="1"/>
  <c r="AF259" i="1" s="1"/>
  <c r="M259" i="1"/>
  <c r="AK258" i="1"/>
  <c r="AJ258" i="1"/>
  <c r="AH258" i="1"/>
  <c r="AE258" i="1"/>
  <c r="AC258" i="1"/>
  <c r="AD258" i="1" s="1"/>
  <c r="Z258" i="1"/>
  <c r="Y258" i="1"/>
  <c r="X258" i="1"/>
  <c r="V258" i="1"/>
  <c r="U258" i="1"/>
  <c r="T258" i="1"/>
  <c r="O258" i="1"/>
  <c r="AA258" i="1" s="1"/>
  <c r="M258" i="1"/>
  <c r="AK257" i="1"/>
  <c r="AJ257" i="1"/>
  <c r="AH257" i="1"/>
  <c r="AD257" i="1"/>
  <c r="AC257" i="1"/>
  <c r="Y257" i="1"/>
  <c r="Z257" i="1" s="1"/>
  <c r="X257" i="1"/>
  <c r="V257" i="1"/>
  <c r="U257" i="1"/>
  <c r="O257" i="1"/>
  <c r="AA257" i="1" s="1"/>
  <c r="AE257" i="1" s="1"/>
  <c r="M257" i="1"/>
  <c r="AK256" i="1"/>
  <c r="AJ256" i="1"/>
  <c r="AH256" i="1"/>
  <c r="AE256" i="1"/>
  <c r="AC256" i="1"/>
  <c r="AD256" i="1" s="1"/>
  <c r="Y256" i="1"/>
  <c r="X256" i="1"/>
  <c r="V256" i="1"/>
  <c r="U256" i="1"/>
  <c r="O256" i="1"/>
  <c r="AA256" i="1" s="1"/>
  <c r="M256" i="1"/>
  <c r="AK255" i="1"/>
  <c r="AJ255" i="1"/>
  <c r="AH255" i="1"/>
  <c r="AC255" i="1"/>
  <c r="AD255" i="1" s="1"/>
  <c r="Z255" i="1"/>
  <c r="Y255" i="1"/>
  <c r="X255" i="1"/>
  <c r="V255" i="1"/>
  <c r="U255" i="1"/>
  <c r="T255" i="1"/>
  <c r="S255" i="1"/>
  <c r="O255" i="1"/>
  <c r="AA255" i="1" s="1"/>
  <c r="AE255" i="1" s="1"/>
  <c r="M255" i="1"/>
  <c r="AK254" i="1"/>
  <c r="AJ254" i="1"/>
  <c r="AI254" i="1"/>
  <c r="AH254" i="1"/>
  <c r="AD254" i="1"/>
  <c r="AC254" i="1"/>
  <c r="Y254" i="1"/>
  <c r="X254" i="1"/>
  <c r="V254" i="1"/>
  <c r="Z254" i="1" s="1"/>
  <c r="AF254" i="1" s="1"/>
  <c r="U254" i="1"/>
  <c r="T254" i="1"/>
  <c r="S254" i="1"/>
  <c r="R254" i="1"/>
  <c r="Q254" i="1"/>
  <c r="O254" i="1"/>
  <c r="AA254" i="1" s="1"/>
  <c r="AE254" i="1" s="1"/>
  <c r="M254" i="1"/>
  <c r="AK253" i="1"/>
  <c r="AJ253" i="1"/>
  <c r="AH253" i="1"/>
  <c r="AE253" i="1"/>
  <c r="AF253" i="1" s="1"/>
  <c r="AI253" i="1" s="1"/>
  <c r="AD253" i="1"/>
  <c r="AC253" i="1"/>
  <c r="AA253" i="1"/>
  <c r="Y253" i="1"/>
  <c r="X253" i="1"/>
  <c r="V253" i="1"/>
  <c r="Z253" i="1" s="1"/>
  <c r="U253" i="1"/>
  <c r="T253" i="1"/>
  <c r="S253" i="1"/>
  <c r="R253" i="1"/>
  <c r="Q253" i="1"/>
  <c r="O253" i="1"/>
  <c r="M253" i="1"/>
  <c r="AK252" i="1"/>
  <c r="AJ252" i="1"/>
  <c r="AH252" i="1"/>
  <c r="AF252" i="1"/>
  <c r="AC252" i="1"/>
  <c r="AD252" i="1" s="1"/>
  <c r="AA252" i="1"/>
  <c r="AE252" i="1" s="1"/>
  <c r="Y252" i="1"/>
  <c r="X252" i="1"/>
  <c r="V252" i="1"/>
  <c r="Z252" i="1" s="1"/>
  <c r="U252" i="1"/>
  <c r="T252" i="1"/>
  <c r="Q252" i="1"/>
  <c r="O252" i="1"/>
  <c r="M252" i="1"/>
  <c r="AK251" i="1"/>
  <c r="AJ251" i="1"/>
  <c r="AH251" i="1"/>
  <c r="AC251" i="1"/>
  <c r="AD251" i="1" s="1"/>
  <c r="AA251" i="1"/>
  <c r="AE251" i="1" s="1"/>
  <c r="Y251" i="1"/>
  <c r="X251" i="1"/>
  <c r="V251" i="1"/>
  <c r="Z251" i="1" s="1"/>
  <c r="U251" i="1"/>
  <c r="T251" i="1"/>
  <c r="Q251" i="1"/>
  <c r="O251" i="1"/>
  <c r="M251" i="1"/>
  <c r="AK250" i="1"/>
  <c r="AJ250" i="1"/>
  <c r="AH250" i="1"/>
  <c r="AE250" i="1"/>
  <c r="AD250" i="1"/>
  <c r="Y250" i="1"/>
  <c r="X250" i="1"/>
  <c r="V250" i="1"/>
  <c r="Z250" i="1" s="1"/>
  <c r="U250" i="1"/>
  <c r="T250" i="1"/>
  <c r="Q250" i="1"/>
  <c r="O250" i="1"/>
  <c r="AA250" i="1" s="1"/>
  <c r="M250" i="1"/>
  <c r="AK249" i="1"/>
  <c r="AJ249" i="1"/>
  <c r="AH249" i="1"/>
  <c r="AG249" i="1"/>
  <c r="AD249" i="1"/>
  <c r="Y249" i="1"/>
  <c r="X249" i="1"/>
  <c r="V249" i="1"/>
  <c r="Z249" i="1" s="1"/>
  <c r="U249" i="1"/>
  <c r="T249" i="1"/>
  <c r="S249" i="1"/>
  <c r="R249" i="1" s="1"/>
  <c r="Q249" i="1"/>
  <c r="O249" i="1"/>
  <c r="AA249" i="1" s="1"/>
  <c r="AE249" i="1" s="1"/>
  <c r="AF249" i="1" s="1"/>
  <c r="AI249" i="1" s="1"/>
  <c r="M249" i="1"/>
  <c r="AK248" i="1"/>
  <c r="AJ248" i="1"/>
  <c r="AH248" i="1"/>
  <c r="AE248" i="1"/>
  <c r="AD248" i="1"/>
  <c r="AA248" i="1"/>
  <c r="Y248" i="1"/>
  <c r="X248" i="1"/>
  <c r="V248" i="1"/>
  <c r="Z248" i="1" s="1"/>
  <c r="U248" i="1"/>
  <c r="T248" i="1"/>
  <c r="Q248" i="1"/>
  <c r="O248" i="1"/>
  <c r="M248" i="1"/>
  <c r="AK247" i="1"/>
  <c r="AJ247" i="1"/>
  <c r="AH247" i="1"/>
  <c r="AD247" i="1"/>
  <c r="AA247" i="1"/>
  <c r="AE247" i="1" s="1"/>
  <c r="AF247" i="1" s="1"/>
  <c r="AI247" i="1" s="1"/>
  <c r="Z247" i="1"/>
  <c r="Y247" i="1"/>
  <c r="X247" i="1"/>
  <c r="V247" i="1"/>
  <c r="U247" i="1"/>
  <c r="T247" i="1"/>
  <c r="S247" i="1"/>
  <c r="R247" i="1" s="1"/>
  <c r="Q247" i="1"/>
  <c r="O247" i="1"/>
  <c r="M247" i="1"/>
  <c r="AK246" i="1"/>
  <c r="AJ246" i="1"/>
  <c r="AH246" i="1"/>
  <c r="AD246" i="1"/>
  <c r="AA246" i="1"/>
  <c r="AE246" i="1" s="1"/>
  <c r="AF246" i="1" s="1"/>
  <c r="Y246" i="1"/>
  <c r="Z246" i="1" s="1"/>
  <c r="X246" i="1"/>
  <c r="V246" i="1"/>
  <c r="U246" i="1"/>
  <c r="S246" i="1"/>
  <c r="R246" i="1"/>
  <c r="Q246" i="1"/>
  <c r="O246" i="1"/>
  <c r="M246" i="1"/>
  <c r="AK245" i="1"/>
  <c r="AJ245" i="1"/>
  <c r="AH245" i="1"/>
  <c r="AD245" i="1"/>
  <c r="AA245" i="1"/>
  <c r="AE245" i="1" s="1"/>
  <c r="AF245" i="1" s="1"/>
  <c r="Y245" i="1"/>
  <c r="Z245" i="1" s="1"/>
  <c r="X245" i="1"/>
  <c r="V245" i="1"/>
  <c r="U245" i="1"/>
  <c r="Q245" i="1"/>
  <c r="O245" i="1"/>
  <c r="M245" i="1"/>
  <c r="AK244" i="1"/>
  <c r="AJ244" i="1"/>
  <c r="AH244" i="1"/>
  <c r="AD244" i="1"/>
  <c r="Y244" i="1"/>
  <c r="X244" i="1"/>
  <c r="V244" i="1"/>
  <c r="Z244" i="1" s="1"/>
  <c r="U244" i="1"/>
  <c r="Q244" i="1"/>
  <c r="O244" i="1"/>
  <c r="AA244" i="1" s="1"/>
  <c r="AE244" i="1" s="1"/>
  <c r="M244" i="1"/>
  <c r="AK243" i="1"/>
  <c r="AJ243" i="1"/>
  <c r="AH243" i="1"/>
  <c r="AD243" i="1"/>
  <c r="AA243" i="1"/>
  <c r="AE243" i="1" s="1"/>
  <c r="Y243" i="1"/>
  <c r="Z243" i="1" s="1"/>
  <c r="X243" i="1"/>
  <c r="V243" i="1"/>
  <c r="U243" i="1"/>
  <c r="Q243" i="1"/>
  <c r="O243" i="1"/>
  <c r="M243" i="1"/>
  <c r="AK242" i="1"/>
  <c r="AJ242" i="1"/>
  <c r="AH242" i="1"/>
  <c r="AC242" i="1"/>
  <c r="AD242" i="1" s="1"/>
  <c r="AA242" i="1"/>
  <c r="AE242" i="1" s="1"/>
  <c r="Y242" i="1"/>
  <c r="X242" i="1"/>
  <c r="V242" i="1"/>
  <c r="Z242" i="1" s="1"/>
  <c r="U242" i="1"/>
  <c r="Q242" i="1"/>
  <c r="M242" i="1"/>
  <c r="AK241" i="1"/>
  <c r="AJ241" i="1"/>
  <c r="AH241" i="1"/>
  <c r="AD241" i="1"/>
  <c r="AC241" i="1"/>
  <c r="AA241" i="1"/>
  <c r="AE241" i="1" s="1"/>
  <c r="Y241" i="1"/>
  <c r="Z241" i="1" s="1"/>
  <c r="X241" i="1"/>
  <c r="V241" i="1"/>
  <c r="U241" i="1"/>
  <c r="T241" i="1"/>
  <c r="Q241" i="1"/>
  <c r="M241" i="1"/>
  <c r="AK240" i="1"/>
  <c r="AJ240" i="1"/>
  <c r="AH240" i="1"/>
  <c r="AE240" i="1"/>
  <c r="AC240" i="1"/>
  <c r="AD240" i="1" s="1"/>
  <c r="AA240" i="1"/>
  <c r="Y240" i="1"/>
  <c r="X240" i="1"/>
  <c r="V240" i="1"/>
  <c r="Z240" i="1" s="1"/>
  <c r="U240" i="1"/>
  <c r="T240" i="1"/>
  <c r="S240" i="1"/>
  <c r="R240" i="1" s="1"/>
  <c r="Q240" i="1"/>
  <c r="M240" i="1"/>
  <c r="AK239" i="1"/>
  <c r="AJ239" i="1"/>
  <c r="AH239" i="1"/>
  <c r="AE239" i="1"/>
  <c r="AF239" i="1" s="1"/>
  <c r="AD239" i="1"/>
  <c r="AC239" i="1"/>
  <c r="AA239" i="1"/>
  <c r="Y239" i="1"/>
  <c r="X239" i="1"/>
  <c r="V239" i="1"/>
  <c r="Z239" i="1" s="1"/>
  <c r="U239" i="1"/>
  <c r="T239" i="1"/>
  <c r="Q239" i="1"/>
  <c r="M239" i="1"/>
  <c r="AK238" i="1"/>
  <c r="AJ238" i="1"/>
  <c r="AH238" i="1"/>
  <c r="AD238" i="1"/>
  <c r="AC238" i="1"/>
  <c r="AA238" i="1"/>
  <c r="AE238" i="1" s="1"/>
  <c r="Z238" i="1"/>
  <c r="Y238" i="1"/>
  <c r="X238" i="1"/>
  <c r="V238" i="1"/>
  <c r="U238" i="1"/>
  <c r="T238" i="1"/>
  <c r="S238" i="1"/>
  <c r="R238" i="1" s="1"/>
  <c r="Q238" i="1"/>
  <c r="M238" i="1"/>
  <c r="AK237" i="1"/>
  <c r="AJ237" i="1"/>
  <c r="AH237" i="1"/>
  <c r="AE237" i="1"/>
  <c r="AD237" i="1"/>
  <c r="AC237" i="1"/>
  <c r="AA237" i="1"/>
  <c r="Z237" i="1"/>
  <c r="Y237" i="1"/>
  <c r="X237" i="1"/>
  <c r="V237" i="1"/>
  <c r="U237" i="1"/>
  <c r="Q237" i="1"/>
  <c r="M237" i="1"/>
  <c r="AK236" i="1"/>
  <c r="AJ236" i="1"/>
  <c r="AH236" i="1"/>
  <c r="AD236" i="1"/>
  <c r="AC236" i="1"/>
  <c r="AA236" i="1"/>
  <c r="AE236" i="1" s="1"/>
  <c r="Z236" i="1"/>
  <c r="Y236" i="1"/>
  <c r="X236" i="1"/>
  <c r="V236" i="1"/>
  <c r="U236" i="1"/>
  <c r="Q236" i="1"/>
  <c r="M236" i="1"/>
  <c r="AK235" i="1"/>
  <c r="AJ235" i="1"/>
  <c r="AH235" i="1"/>
  <c r="AC235" i="1"/>
  <c r="AD235" i="1" s="1"/>
  <c r="AA235" i="1"/>
  <c r="AE235" i="1" s="1"/>
  <c r="AF235" i="1" s="1"/>
  <c r="Y235" i="1"/>
  <c r="Z235" i="1" s="1"/>
  <c r="X235" i="1"/>
  <c r="V235" i="1"/>
  <c r="U235" i="1"/>
  <c r="Q235" i="1"/>
  <c r="M235" i="1"/>
  <c r="AK234" i="1"/>
  <c r="AJ234" i="1"/>
  <c r="AH234" i="1"/>
  <c r="AE234" i="1"/>
  <c r="AF234" i="1" s="1"/>
  <c r="AD234" i="1"/>
  <c r="AC234" i="1"/>
  <c r="AA234" i="1"/>
  <c r="Z234" i="1"/>
  <c r="Y234" i="1"/>
  <c r="X234" i="1"/>
  <c r="V234" i="1"/>
  <c r="U234" i="1"/>
  <c r="Q234" i="1"/>
  <c r="M234" i="1"/>
  <c r="AK233" i="1"/>
  <c r="AJ233" i="1"/>
  <c r="AH233" i="1"/>
  <c r="AD233" i="1"/>
  <c r="AC233" i="1"/>
  <c r="AA233" i="1"/>
  <c r="AE233" i="1" s="1"/>
  <c r="Y233" i="1"/>
  <c r="Z233" i="1" s="1"/>
  <c r="X233" i="1"/>
  <c r="V233" i="1"/>
  <c r="U233" i="1"/>
  <c r="Q233" i="1"/>
  <c r="M233" i="1"/>
  <c r="AK232" i="1"/>
  <c r="AJ232" i="1"/>
  <c r="AH232" i="1"/>
  <c r="AE232" i="1"/>
  <c r="AC232" i="1"/>
  <c r="AD232" i="1" s="1"/>
  <c r="AA232" i="1"/>
  <c r="Y232" i="1"/>
  <c r="Z232" i="1" s="1"/>
  <c r="X232" i="1"/>
  <c r="V232" i="1"/>
  <c r="U232" i="1"/>
  <c r="Q232" i="1"/>
  <c r="M232" i="1"/>
  <c r="AK231" i="1"/>
  <c r="AJ231" i="1"/>
  <c r="AH231" i="1"/>
  <c r="AC231" i="1"/>
  <c r="AD231" i="1" s="1"/>
  <c r="AA231" i="1"/>
  <c r="AE231" i="1" s="1"/>
  <c r="Y231" i="1"/>
  <c r="Z231" i="1" s="1"/>
  <c r="X231" i="1"/>
  <c r="V231" i="1"/>
  <c r="U231" i="1"/>
  <c r="T231" i="1"/>
  <c r="T263" i="1" s="1"/>
  <c r="S231" i="1"/>
  <c r="R231" i="1"/>
  <c r="R272" i="1" s="1"/>
  <c r="Q231" i="1"/>
  <c r="M231" i="1"/>
  <c r="AK214" i="1"/>
  <c r="AJ214" i="1"/>
  <c r="AH214" i="1"/>
  <c r="AE214" i="1"/>
  <c r="AA214" i="1"/>
  <c r="Z214" i="1"/>
  <c r="Y214" i="1"/>
  <c r="X214" i="1"/>
  <c r="V214" i="1"/>
  <c r="U214" i="1"/>
  <c r="L214" i="1"/>
  <c r="AK213" i="1"/>
  <c r="AJ213" i="1"/>
  <c r="AH213" i="1"/>
  <c r="AA213" i="1"/>
  <c r="Y213" i="1"/>
  <c r="X213" i="1"/>
  <c r="V213" i="1"/>
  <c r="Z213" i="1" s="1"/>
  <c r="U213" i="1"/>
  <c r="L213" i="1"/>
  <c r="AK212" i="1"/>
  <c r="AJ212" i="1"/>
  <c r="AH212" i="1"/>
  <c r="AA212" i="1"/>
  <c r="Y212" i="1"/>
  <c r="Z212" i="1" s="1"/>
  <c r="X212" i="1"/>
  <c r="V212" i="1"/>
  <c r="U212" i="1"/>
  <c r="L212" i="1"/>
  <c r="AK211" i="1"/>
  <c r="AJ211" i="1"/>
  <c r="AH211" i="1"/>
  <c r="Y211" i="1"/>
  <c r="X211" i="1"/>
  <c r="V211" i="1"/>
  <c r="U211" i="1"/>
  <c r="T211" i="1"/>
  <c r="S211" i="1"/>
  <c r="R211" i="1" s="1"/>
  <c r="L211" i="1"/>
  <c r="AK210" i="1"/>
  <c r="AJ210" i="1"/>
  <c r="AH210" i="1"/>
  <c r="Y210" i="1"/>
  <c r="X210" i="1"/>
  <c r="V210" i="1"/>
  <c r="Z210" i="1" s="1"/>
  <c r="U210" i="1"/>
  <c r="T210" i="1"/>
  <c r="S210" i="1"/>
  <c r="R210" i="1" s="1"/>
  <c r="L210" i="1"/>
  <c r="AK209" i="1"/>
  <c r="AJ209" i="1"/>
  <c r="AH209" i="1"/>
  <c r="AE209" i="1"/>
  <c r="AD209" i="1"/>
  <c r="AA209" i="1"/>
  <c r="Z209" i="1"/>
  <c r="Y209" i="1"/>
  <c r="X209" i="1"/>
  <c r="V209" i="1"/>
  <c r="U209" i="1"/>
  <c r="T209" i="1"/>
  <c r="S209" i="1"/>
  <c r="R209" i="1" s="1"/>
  <c r="L209" i="1"/>
  <c r="AK208" i="1"/>
  <c r="AJ208" i="1"/>
  <c r="AH208" i="1"/>
  <c r="AE208" i="1"/>
  <c r="AA208" i="1"/>
  <c r="Y208" i="1"/>
  <c r="Z208" i="1" s="1"/>
  <c r="X208" i="1"/>
  <c r="V208" i="1"/>
  <c r="U208" i="1"/>
  <c r="L208" i="1"/>
  <c r="AK207" i="1"/>
  <c r="AJ207" i="1"/>
  <c r="AH207" i="1"/>
  <c r="AA207" i="1"/>
  <c r="Y207" i="1"/>
  <c r="X207" i="1"/>
  <c r="V207" i="1"/>
  <c r="Z207" i="1" s="1"/>
  <c r="U207" i="1"/>
  <c r="L207" i="1"/>
  <c r="AK206" i="1"/>
  <c r="AJ206" i="1"/>
  <c r="AH206" i="1"/>
  <c r="AA206" i="1"/>
  <c r="Y206" i="1"/>
  <c r="X206" i="1"/>
  <c r="V206" i="1"/>
  <c r="Z206" i="1" s="1"/>
  <c r="U206" i="1"/>
  <c r="T206" i="1"/>
  <c r="L206" i="1"/>
  <c r="AK205" i="1"/>
  <c r="AJ205" i="1"/>
  <c r="AH205" i="1"/>
  <c r="Y205" i="1"/>
  <c r="X205" i="1"/>
  <c r="V205" i="1"/>
  <c r="U205" i="1"/>
  <c r="T205" i="1"/>
  <c r="L205" i="1"/>
  <c r="AK204" i="1"/>
  <c r="AJ204" i="1"/>
  <c r="AH204" i="1"/>
  <c r="Y204" i="1"/>
  <c r="X204" i="1"/>
  <c r="V204" i="1"/>
  <c r="Z204" i="1" s="1"/>
  <c r="U204" i="1"/>
  <c r="T204" i="1"/>
  <c r="S204" i="1"/>
  <c r="R204" i="1" s="1"/>
  <c r="L204" i="1"/>
  <c r="AK203" i="1"/>
  <c r="AJ203" i="1"/>
  <c r="AH203" i="1"/>
  <c r="AD203" i="1"/>
  <c r="AA203" i="1"/>
  <c r="Z203" i="1"/>
  <c r="Y203" i="1"/>
  <c r="X203" i="1"/>
  <c r="V203" i="1"/>
  <c r="U203" i="1"/>
  <c r="T203" i="1"/>
  <c r="L203" i="1"/>
  <c r="AK202" i="1"/>
  <c r="AJ202" i="1"/>
  <c r="AH202" i="1"/>
  <c r="AA202" i="1"/>
  <c r="Y202" i="1"/>
  <c r="Z202" i="1" s="1"/>
  <c r="X202" i="1"/>
  <c r="V202" i="1"/>
  <c r="U202" i="1"/>
  <c r="L202" i="1"/>
  <c r="AK201" i="1"/>
  <c r="AJ201" i="1"/>
  <c r="AH201" i="1"/>
  <c r="AA201" i="1"/>
  <c r="AE201" i="1" s="1"/>
  <c r="Z201" i="1"/>
  <c r="Y201" i="1"/>
  <c r="X201" i="1"/>
  <c r="V201" i="1"/>
  <c r="U201" i="1"/>
  <c r="L201" i="1"/>
  <c r="AK200" i="1"/>
  <c r="AJ200" i="1"/>
  <c r="AH200" i="1"/>
  <c r="AA200" i="1"/>
  <c r="Y200" i="1"/>
  <c r="X200" i="1"/>
  <c r="V200" i="1"/>
  <c r="Z200" i="1" s="1"/>
  <c r="U200" i="1"/>
  <c r="T200" i="1"/>
  <c r="S200" i="1"/>
  <c r="R200" i="1" s="1"/>
  <c r="L200" i="1"/>
  <c r="AK199" i="1"/>
  <c r="AJ199" i="1"/>
  <c r="AH199" i="1"/>
  <c r="AA199" i="1"/>
  <c r="Y199" i="1"/>
  <c r="X199" i="1"/>
  <c r="V199" i="1"/>
  <c r="Z199" i="1" s="1"/>
  <c r="U199" i="1"/>
  <c r="T199" i="1"/>
  <c r="S199" i="1"/>
  <c r="R199" i="1" s="1"/>
  <c r="L199" i="1"/>
  <c r="AK198" i="1"/>
  <c r="AJ198" i="1"/>
  <c r="AH198" i="1"/>
  <c r="AD198" i="1"/>
  <c r="Y198" i="1"/>
  <c r="X198" i="1"/>
  <c r="V198" i="1"/>
  <c r="U198" i="1"/>
  <c r="S198" i="1"/>
  <c r="R198" i="1" s="1"/>
  <c r="L198" i="1"/>
  <c r="AK197" i="1"/>
  <c r="AJ197" i="1"/>
  <c r="AH197" i="1"/>
  <c r="AA197" i="1"/>
  <c r="Z197" i="1"/>
  <c r="Y197" i="1"/>
  <c r="X197" i="1"/>
  <c r="V197" i="1"/>
  <c r="U197" i="1"/>
  <c r="T197" i="1"/>
  <c r="S197" i="1"/>
  <c r="R197" i="1" s="1"/>
  <c r="L197" i="1"/>
  <c r="AK196" i="1"/>
  <c r="AJ196" i="1"/>
  <c r="AH196" i="1"/>
  <c r="AA196" i="1"/>
  <c r="AE196" i="1" s="1"/>
  <c r="Y196" i="1"/>
  <c r="Z196" i="1" s="1"/>
  <c r="X196" i="1"/>
  <c r="V196" i="1"/>
  <c r="U196" i="1"/>
  <c r="T196" i="1"/>
  <c r="S196" i="1"/>
  <c r="R196" i="1" s="1"/>
  <c r="L196" i="1"/>
  <c r="AK195" i="1"/>
  <c r="AJ195" i="1"/>
  <c r="AH195" i="1"/>
  <c r="AE195" i="1"/>
  <c r="AF195" i="1" s="1"/>
  <c r="AD195" i="1"/>
  <c r="AA195" i="1"/>
  <c r="Y195" i="1"/>
  <c r="X195" i="1"/>
  <c r="V195" i="1"/>
  <c r="Z195" i="1" s="1"/>
  <c r="U195" i="1"/>
  <c r="S195" i="1"/>
  <c r="R195" i="1"/>
  <c r="L195" i="1"/>
  <c r="AK194" i="1"/>
  <c r="AJ194" i="1"/>
  <c r="AH194" i="1"/>
  <c r="AA194" i="1"/>
  <c r="AE194" i="1" s="1"/>
  <c r="Y194" i="1"/>
  <c r="X194" i="1"/>
  <c r="V194" i="1"/>
  <c r="Z194" i="1" s="1"/>
  <c r="U194" i="1"/>
  <c r="S194" i="1"/>
  <c r="R194" i="1" s="1"/>
  <c r="L194" i="1"/>
  <c r="AK193" i="1"/>
  <c r="AJ193" i="1"/>
  <c r="AH193" i="1"/>
  <c r="AA193" i="1"/>
  <c r="Y193" i="1"/>
  <c r="X193" i="1"/>
  <c r="V193" i="1"/>
  <c r="Z193" i="1" s="1"/>
  <c r="U193" i="1"/>
  <c r="T193" i="1"/>
  <c r="S193" i="1"/>
  <c r="R193" i="1" s="1"/>
  <c r="L193" i="1"/>
  <c r="AK192" i="1"/>
  <c r="AJ192" i="1"/>
  <c r="AH192" i="1"/>
  <c r="Y192" i="1"/>
  <c r="X192" i="1"/>
  <c r="V192" i="1"/>
  <c r="Z192" i="1" s="1"/>
  <c r="U192" i="1"/>
  <c r="T192" i="1"/>
  <c r="S192" i="1"/>
  <c r="R192" i="1" s="1"/>
  <c r="L192" i="1"/>
  <c r="AK191" i="1"/>
  <c r="AJ191" i="1"/>
  <c r="AH191" i="1"/>
  <c r="AC191" i="1" a="1"/>
  <c r="Z191" i="1"/>
  <c r="Y191" i="1"/>
  <c r="X191" i="1"/>
  <c r="V191" i="1"/>
  <c r="U191" i="1"/>
  <c r="T191" i="1"/>
  <c r="S191" i="1"/>
  <c r="R191" i="1"/>
  <c r="Q191" i="1" a="1"/>
  <c r="O191" i="1" a="1"/>
  <c r="O191" i="1" s="1"/>
  <c r="AA191" i="1" s="1"/>
  <c r="M191" i="1" a="1"/>
  <c r="M191" i="1" s="1"/>
  <c r="L191" i="1"/>
  <c r="AK184" i="1"/>
  <c r="AJ184" i="1"/>
  <c r="AH184" i="1"/>
  <c r="Y184" i="1"/>
  <c r="X184" i="1"/>
  <c r="V184" i="1"/>
  <c r="Z184" i="1" s="1"/>
  <c r="U184" i="1"/>
  <c r="L184" i="1"/>
  <c r="AK183" i="1"/>
  <c r="AJ183" i="1"/>
  <c r="AH183" i="1"/>
  <c r="Z183" i="1"/>
  <c r="Y183" i="1"/>
  <c r="X183" i="1"/>
  <c r="V183" i="1"/>
  <c r="U183" i="1"/>
  <c r="S183" i="1"/>
  <c r="R183" i="1"/>
  <c r="L183" i="1"/>
  <c r="AK182" i="1"/>
  <c r="AJ182" i="1"/>
  <c r="AH182" i="1"/>
  <c r="Y182" i="1"/>
  <c r="X182" i="1"/>
  <c r="V182" i="1"/>
  <c r="Z182" i="1" s="1"/>
  <c r="U182" i="1"/>
  <c r="S182" i="1"/>
  <c r="R182" i="1" s="1"/>
  <c r="L182" i="1"/>
  <c r="AK181" i="1"/>
  <c r="AJ181" i="1"/>
  <c r="AH181" i="1"/>
  <c r="Y181" i="1"/>
  <c r="X181" i="1"/>
  <c r="V181" i="1"/>
  <c r="Z181" i="1" s="1"/>
  <c r="U181" i="1"/>
  <c r="S181" i="1"/>
  <c r="R181" i="1"/>
  <c r="L181" i="1"/>
  <c r="AK180" i="1"/>
  <c r="AJ180" i="1"/>
  <c r="AH180" i="1"/>
  <c r="Y180" i="1"/>
  <c r="X180" i="1"/>
  <c r="V180" i="1"/>
  <c r="Z180" i="1" s="1"/>
  <c r="U180" i="1"/>
  <c r="S180" i="1"/>
  <c r="R180" i="1" s="1"/>
  <c r="L180" i="1"/>
  <c r="AK179" i="1"/>
  <c r="AJ179" i="1"/>
  <c r="AH179" i="1"/>
  <c r="AD179" i="1"/>
  <c r="AA179" i="1"/>
  <c r="Y179" i="1"/>
  <c r="X179" i="1"/>
  <c r="V179" i="1"/>
  <c r="Z179" i="1" s="1"/>
  <c r="U179" i="1"/>
  <c r="S179" i="1"/>
  <c r="R179" i="1"/>
  <c r="L179" i="1"/>
  <c r="AK178" i="1"/>
  <c r="AJ178" i="1"/>
  <c r="AH178" i="1"/>
  <c r="Y178" i="1"/>
  <c r="Z178" i="1" s="1"/>
  <c r="X178" i="1"/>
  <c r="V178" i="1"/>
  <c r="U178" i="1"/>
  <c r="L178" i="1"/>
  <c r="AK177" i="1"/>
  <c r="AJ177" i="1"/>
  <c r="AH177" i="1"/>
  <c r="Z177" i="1"/>
  <c r="Y177" i="1"/>
  <c r="X177" i="1"/>
  <c r="V177" i="1"/>
  <c r="U177" i="1"/>
  <c r="S177" i="1"/>
  <c r="R177" i="1" s="1"/>
  <c r="L177" i="1"/>
  <c r="AK176" i="1"/>
  <c r="AJ176" i="1"/>
  <c r="AH176" i="1"/>
  <c r="Z176" i="1"/>
  <c r="Y176" i="1"/>
  <c r="X176" i="1"/>
  <c r="V176" i="1"/>
  <c r="U176" i="1"/>
  <c r="S176" i="1"/>
  <c r="R176" i="1" s="1"/>
  <c r="L176" i="1"/>
  <c r="AK175" i="1"/>
  <c r="AJ175" i="1"/>
  <c r="AH175" i="1"/>
  <c r="Y175" i="1"/>
  <c r="X175" i="1"/>
  <c r="V175" i="1"/>
  <c r="U175" i="1"/>
  <c r="S175" i="1"/>
  <c r="R175" i="1"/>
  <c r="L175" i="1"/>
  <c r="AK174" i="1"/>
  <c r="AJ174" i="1"/>
  <c r="AH174" i="1"/>
  <c r="AD174" i="1"/>
  <c r="AA174" i="1"/>
  <c r="Y174" i="1"/>
  <c r="Z174" i="1" s="1"/>
  <c r="X174" i="1"/>
  <c r="V174" i="1"/>
  <c r="U174" i="1"/>
  <c r="L174" i="1"/>
  <c r="AK173" i="1"/>
  <c r="AJ173" i="1"/>
  <c r="AH173" i="1"/>
  <c r="Y173" i="1"/>
  <c r="X173" i="1"/>
  <c r="V173" i="1"/>
  <c r="Z173" i="1" s="1"/>
  <c r="U173" i="1"/>
  <c r="S173" i="1"/>
  <c r="R173" i="1" s="1"/>
  <c r="L173" i="1"/>
  <c r="AK172" i="1"/>
  <c r="AJ172" i="1"/>
  <c r="AH172" i="1"/>
  <c r="Y172" i="1"/>
  <c r="X172" i="1"/>
  <c r="V172" i="1"/>
  <c r="Z172" i="1" s="1"/>
  <c r="U172" i="1"/>
  <c r="L172" i="1"/>
  <c r="AK171" i="1"/>
  <c r="AJ171" i="1"/>
  <c r="AH171" i="1"/>
  <c r="AA171" i="1"/>
  <c r="Z171" i="1"/>
  <c r="Y171" i="1"/>
  <c r="X171" i="1"/>
  <c r="V171" i="1"/>
  <c r="U171" i="1"/>
  <c r="S171" i="1"/>
  <c r="R171" i="1"/>
  <c r="L171" i="1"/>
  <c r="AK170" i="1"/>
  <c r="AJ170" i="1"/>
  <c r="AH170" i="1"/>
  <c r="Y170" i="1"/>
  <c r="X170" i="1"/>
  <c r="V170" i="1"/>
  <c r="Z170" i="1" s="1"/>
  <c r="U170" i="1"/>
  <c r="S170" i="1"/>
  <c r="R170" i="1" s="1"/>
  <c r="L170" i="1"/>
  <c r="AK169" i="1"/>
  <c r="AJ169" i="1"/>
  <c r="AH169" i="1"/>
  <c r="Y169" i="1"/>
  <c r="X169" i="1"/>
  <c r="V169" i="1"/>
  <c r="Z169" i="1" s="1"/>
  <c r="U169" i="1"/>
  <c r="S169" i="1"/>
  <c r="R169" i="1"/>
  <c r="L169" i="1"/>
  <c r="AK168" i="1"/>
  <c r="AJ168" i="1"/>
  <c r="AH168" i="1"/>
  <c r="Y168" i="1"/>
  <c r="X168" i="1"/>
  <c r="V168" i="1"/>
  <c r="Z168" i="1" s="1"/>
  <c r="U168" i="1"/>
  <c r="S168" i="1"/>
  <c r="R168" i="1"/>
  <c r="L168" i="1"/>
  <c r="AK167" i="1"/>
  <c r="AJ167" i="1"/>
  <c r="AH167" i="1"/>
  <c r="AD167" i="1"/>
  <c r="AA167" i="1"/>
  <c r="Y167" i="1"/>
  <c r="X167" i="1"/>
  <c r="V167" i="1"/>
  <c r="Z167" i="1" s="1"/>
  <c r="U167" i="1"/>
  <c r="S167" i="1"/>
  <c r="R167" i="1"/>
  <c r="L167" i="1"/>
  <c r="AK166" i="1"/>
  <c r="AJ166" i="1"/>
  <c r="AH166" i="1"/>
  <c r="AA166" i="1"/>
  <c r="Z166" i="1"/>
  <c r="Y166" i="1"/>
  <c r="X166" i="1"/>
  <c r="V166" i="1"/>
  <c r="U166" i="1"/>
  <c r="T166" i="1"/>
  <c r="L166" i="1"/>
  <c r="AK165" i="1"/>
  <c r="AJ165" i="1"/>
  <c r="AH165" i="1"/>
  <c r="AA165" i="1"/>
  <c r="AE165" i="1" s="1"/>
  <c r="Z165" i="1"/>
  <c r="Y165" i="1"/>
  <c r="X165" i="1"/>
  <c r="V165" i="1"/>
  <c r="U165" i="1"/>
  <c r="S165" i="1"/>
  <c r="R165" i="1" s="1"/>
  <c r="L165" i="1"/>
  <c r="AK164" i="1"/>
  <c r="AJ164" i="1"/>
  <c r="AH164" i="1"/>
  <c r="Y164" i="1"/>
  <c r="X164" i="1"/>
  <c r="V164" i="1"/>
  <c r="Z164" i="1" s="1"/>
  <c r="U164" i="1"/>
  <c r="S164" i="1"/>
  <c r="R164" i="1"/>
  <c r="L164" i="1"/>
  <c r="AK163" i="1"/>
  <c r="AJ163" i="1"/>
  <c r="AH163" i="1"/>
  <c r="AD163" i="1"/>
  <c r="AA163" i="1"/>
  <c r="AE163" i="1" s="1"/>
  <c r="Y163" i="1"/>
  <c r="X163" i="1"/>
  <c r="V163" i="1"/>
  <c r="U163" i="1"/>
  <c r="S163" i="1"/>
  <c r="R163" i="1"/>
  <c r="L163" i="1"/>
  <c r="AK162" i="1"/>
  <c r="AJ162" i="1"/>
  <c r="AH162" i="1"/>
  <c r="Y162" i="1"/>
  <c r="X162" i="1"/>
  <c r="V162" i="1"/>
  <c r="Z162" i="1" s="1"/>
  <c r="U162" i="1"/>
  <c r="S162" i="1"/>
  <c r="R162" i="1" s="1"/>
  <c r="L162" i="1"/>
  <c r="AK161" i="1"/>
  <c r="AJ161" i="1"/>
  <c r="AH161" i="1"/>
  <c r="AC161" i="1" a="1"/>
  <c r="Y161" i="1"/>
  <c r="Z161" i="1" s="1"/>
  <c r="X161" i="1"/>
  <c r="V161" i="1"/>
  <c r="U161" i="1"/>
  <c r="T161" i="1"/>
  <c r="S161" i="1"/>
  <c r="R161" i="1"/>
  <c r="Q161" i="1" a="1"/>
  <c r="O161" i="1" a="1"/>
  <c r="M161" i="1" a="1"/>
  <c r="M161" i="1" s="1"/>
  <c r="L161" i="1"/>
  <c r="AK154" i="1"/>
  <c r="AJ154" i="1"/>
  <c r="AH154" i="1"/>
  <c r="Y154" i="1"/>
  <c r="X154" i="1"/>
  <c r="V154" i="1"/>
  <c r="Z154" i="1" s="1"/>
  <c r="U154" i="1"/>
  <c r="S154" i="1"/>
  <c r="R154" i="1"/>
  <c r="L154" i="1"/>
  <c r="AK153" i="1"/>
  <c r="AJ153" i="1"/>
  <c r="AH153" i="1"/>
  <c r="Z153" i="1"/>
  <c r="Y153" i="1"/>
  <c r="X153" i="1"/>
  <c r="V153" i="1"/>
  <c r="U153" i="1"/>
  <c r="S153" i="1"/>
  <c r="R153" i="1"/>
  <c r="L153" i="1"/>
  <c r="AK152" i="1"/>
  <c r="AJ152" i="1"/>
  <c r="AH152" i="1"/>
  <c r="AD152" i="1"/>
  <c r="AA152" i="1"/>
  <c r="Y152" i="1"/>
  <c r="Z152" i="1" s="1"/>
  <c r="X152" i="1"/>
  <c r="V152" i="1"/>
  <c r="U152" i="1"/>
  <c r="S152" i="1"/>
  <c r="R152" i="1"/>
  <c r="L152" i="1"/>
  <c r="AK151" i="1"/>
  <c r="AJ151" i="1"/>
  <c r="AH151" i="1"/>
  <c r="Y151" i="1"/>
  <c r="X151" i="1"/>
  <c r="V151" i="1"/>
  <c r="Z151" i="1" s="1"/>
  <c r="U151" i="1"/>
  <c r="S151" i="1"/>
  <c r="R151" i="1"/>
  <c r="L151" i="1"/>
  <c r="AK150" i="1"/>
  <c r="AJ150" i="1"/>
  <c r="AH150" i="1"/>
  <c r="Y150" i="1"/>
  <c r="Z150" i="1" s="1"/>
  <c r="X150" i="1"/>
  <c r="V150" i="1"/>
  <c r="U150" i="1"/>
  <c r="S150" i="1"/>
  <c r="R150" i="1" s="1"/>
  <c r="L150" i="1"/>
  <c r="AK149" i="1"/>
  <c r="AJ149" i="1"/>
  <c r="AH149" i="1"/>
  <c r="Y149" i="1"/>
  <c r="X149" i="1"/>
  <c r="V149" i="1"/>
  <c r="Z149" i="1" s="1"/>
  <c r="U149" i="1"/>
  <c r="S149" i="1"/>
  <c r="R149" i="1"/>
  <c r="L149" i="1"/>
  <c r="AK148" i="1"/>
  <c r="AJ148" i="1"/>
  <c r="AH148" i="1"/>
  <c r="AD148" i="1"/>
  <c r="Y148" i="1"/>
  <c r="X148" i="1"/>
  <c r="V148" i="1"/>
  <c r="U148" i="1"/>
  <c r="S148" i="1"/>
  <c r="R148" i="1"/>
  <c r="L148" i="1"/>
  <c r="AK147" i="1"/>
  <c r="AJ147" i="1"/>
  <c r="AH147" i="1"/>
  <c r="Y147" i="1"/>
  <c r="X147" i="1"/>
  <c r="V147" i="1"/>
  <c r="Z147" i="1" s="1"/>
  <c r="U147" i="1"/>
  <c r="S147" i="1"/>
  <c r="R147" i="1"/>
  <c r="L147" i="1"/>
  <c r="AK146" i="1"/>
  <c r="AJ146" i="1"/>
  <c r="AH146" i="1"/>
  <c r="Y146" i="1"/>
  <c r="Z146" i="1" s="1"/>
  <c r="X146" i="1"/>
  <c r="V146" i="1"/>
  <c r="U146" i="1"/>
  <c r="S146" i="1"/>
  <c r="R146" i="1"/>
  <c r="L146" i="1"/>
  <c r="AK145" i="1"/>
  <c r="AJ145" i="1"/>
  <c r="AH145" i="1"/>
  <c r="AD145" i="1"/>
  <c r="AA145" i="1"/>
  <c r="AE145" i="1" s="1"/>
  <c r="AF145" i="1" s="1"/>
  <c r="Z145" i="1"/>
  <c r="Y145" i="1"/>
  <c r="X145" i="1"/>
  <c r="V145" i="1"/>
  <c r="U145" i="1"/>
  <c r="S145" i="1"/>
  <c r="R145" i="1"/>
  <c r="L145" i="1"/>
  <c r="AK144" i="1"/>
  <c r="AJ144" i="1"/>
  <c r="AH144" i="1"/>
  <c r="AA144" i="1"/>
  <c r="Z144" i="1"/>
  <c r="Y144" i="1"/>
  <c r="X144" i="1"/>
  <c r="V144" i="1"/>
  <c r="U144" i="1"/>
  <c r="S144" i="1"/>
  <c r="R144" i="1" s="1"/>
  <c r="L144" i="1"/>
  <c r="AK143" i="1"/>
  <c r="AJ143" i="1"/>
  <c r="AH143" i="1"/>
  <c r="Y143" i="1"/>
  <c r="X143" i="1"/>
  <c r="V143" i="1"/>
  <c r="Z143" i="1" s="1"/>
  <c r="U143" i="1"/>
  <c r="T143" i="1"/>
  <c r="S143" i="1"/>
  <c r="R143" i="1"/>
  <c r="L143" i="1"/>
  <c r="AK142" i="1"/>
  <c r="AJ142" i="1"/>
  <c r="AH142" i="1"/>
  <c r="AD142" i="1"/>
  <c r="Z142" i="1"/>
  <c r="Y142" i="1"/>
  <c r="X142" i="1"/>
  <c r="V142" i="1"/>
  <c r="U142" i="1"/>
  <c r="S142" i="1"/>
  <c r="R142" i="1"/>
  <c r="L142" i="1"/>
  <c r="AK141" i="1"/>
  <c r="AJ141" i="1"/>
  <c r="AH141" i="1"/>
  <c r="AD141" i="1"/>
  <c r="AA141" i="1"/>
  <c r="Z141" i="1"/>
  <c r="Y141" i="1"/>
  <c r="X141" i="1"/>
  <c r="V141" i="1"/>
  <c r="U141" i="1"/>
  <c r="S141" i="1"/>
  <c r="R141" i="1"/>
  <c r="L141" i="1"/>
  <c r="AK140" i="1"/>
  <c r="AJ140" i="1"/>
  <c r="AH140" i="1"/>
  <c r="Y140" i="1"/>
  <c r="Z140" i="1" s="1"/>
  <c r="X140" i="1"/>
  <c r="V140" i="1"/>
  <c r="U140" i="1"/>
  <c r="T140" i="1"/>
  <c r="S140" i="1"/>
  <c r="R140" i="1" s="1"/>
  <c r="L140" i="1"/>
  <c r="AK139" i="1"/>
  <c r="AJ139" i="1"/>
  <c r="AH139" i="1"/>
  <c r="Y139" i="1"/>
  <c r="X139" i="1"/>
  <c r="V139" i="1"/>
  <c r="Z139" i="1" s="1"/>
  <c r="U139" i="1"/>
  <c r="S139" i="1"/>
  <c r="R139" i="1"/>
  <c r="L139" i="1"/>
  <c r="AK138" i="1"/>
  <c r="AJ138" i="1"/>
  <c r="AH138" i="1"/>
  <c r="AD138" i="1"/>
  <c r="AA138" i="1"/>
  <c r="AE138" i="1" s="1"/>
  <c r="Y138" i="1"/>
  <c r="Z138" i="1" s="1"/>
  <c r="X138" i="1"/>
  <c r="V138" i="1"/>
  <c r="U138" i="1"/>
  <c r="S138" i="1"/>
  <c r="R138" i="1" s="1"/>
  <c r="L138" i="1"/>
  <c r="AK137" i="1"/>
  <c r="AJ137" i="1"/>
  <c r="AH137" i="1"/>
  <c r="AA137" i="1"/>
  <c r="AE137" i="1" s="1"/>
  <c r="Z137" i="1"/>
  <c r="Y137" i="1"/>
  <c r="X137" i="1"/>
  <c r="V137" i="1"/>
  <c r="U137" i="1"/>
  <c r="S137" i="1"/>
  <c r="R137" i="1"/>
  <c r="L137" i="1"/>
  <c r="AK136" i="1"/>
  <c r="AJ136" i="1"/>
  <c r="AH136" i="1"/>
  <c r="Y136" i="1"/>
  <c r="X136" i="1"/>
  <c r="V136" i="1"/>
  <c r="Z136" i="1" s="1"/>
  <c r="U136" i="1"/>
  <c r="S136" i="1"/>
  <c r="R136" i="1" s="1"/>
  <c r="L136" i="1"/>
  <c r="AK135" i="1"/>
  <c r="AJ135" i="1"/>
  <c r="AH135" i="1"/>
  <c r="AD135" i="1"/>
  <c r="AA135" i="1"/>
  <c r="AE135" i="1" s="1"/>
  <c r="AF135" i="1" s="1"/>
  <c r="Z135" i="1"/>
  <c r="Y135" i="1"/>
  <c r="X135" i="1"/>
  <c r="V135" i="1"/>
  <c r="U135" i="1"/>
  <c r="S135" i="1"/>
  <c r="R135" i="1"/>
  <c r="L135" i="1"/>
  <c r="AK134" i="1"/>
  <c r="AJ134" i="1"/>
  <c r="AH134" i="1"/>
  <c r="Y134" i="1"/>
  <c r="Z134" i="1" s="1"/>
  <c r="X134" i="1"/>
  <c r="V134" i="1"/>
  <c r="U134" i="1"/>
  <c r="S134" i="1"/>
  <c r="R134" i="1"/>
  <c r="L134" i="1"/>
  <c r="AK133" i="1"/>
  <c r="AJ133" i="1"/>
  <c r="AH133" i="1"/>
  <c r="AA133" i="1"/>
  <c r="Y133" i="1"/>
  <c r="X133" i="1"/>
  <c r="V133" i="1"/>
  <c r="Z133" i="1" s="1"/>
  <c r="U133" i="1"/>
  <c r="S133" i="1"/>
  <c r="R133" i="1" s="1"/>
  <c r="L133" i="1"/>
  <c r="AK132" i="1"/>
  <c r="AJ132" i="1"/>
  <c r="AH132" i="1"/>
  <c r="Y132" i="1"/>
  <c r="X132" i="1"/>
  <c r="V132" i="1"/>
  <c r="Z132" i="1" s="1"/>
  <c r="U132" i="1"/>
  <c r="S132" i="1"/>
  <c r="R132" i="1" s="1"/>
  <c r="L132" i="1"/>
  <c r="AK131" i="1"/>
  <c r="AJ131" i="1"/>
  <c r="AH131" i="1"/>
  <c r="AC131" i="1" a="1"/>
  <c r="Y131" i="1"/>
  <c r="X131" i="1"/>
  <c r="V131" i="1"/>
  <c r="Z131" i="1" s="1"/>
  <c r="U131" i="1"/>
  <c r="T131" i="1"/>
  <c r="S131" i="1"/>
  <c r="R131" i="1"/>
  <c r="Q131" i="1" a="1"/>
  <c r="Q131" i="1" s="1"/>
  <c r="O131" i="1" a="1"/>
  <c r="M131" i="1" a="1"/>
  <c r="M131" i="1" s="1"/>
  <c r="L131" i="1"/>
  <c r="AK124" i="1"/>
  <c r="AJ124" i="1"/>
  <c r="AH124" i="1"/>
  <c r="AD124" i="1"/>
  <c r="Y124" i="1"/>
  <c r="X124" i="1"/>
  <c r="V124" i="1"/>
  <c r="U124" i="1"/>
  <c r="T124" i="1"/>
  <c r="L124" i="1"/>
  <c r="AK123" i="1"/>
  <c r="AJ123" i="1"/>
  <c r="AH123" i="1"/>
  <c r="AD123" i="1"/>
  <c r="Y123" i="1"/>
  <c r="X123" i="1"/>
  <c r="V123" i="1"/>
  <c r="Z123" i="1" s="1"/>
  <c r="U123" i="1"/>
  <c r="T123" i="1"/>
  <c r="L123" i="1"/>
  <c r="AK122" i="1"/>
  <c r="AJ122" i="1"/>
  <c r="AH122" i="1"/>
  <c r="AE122" i="1"/>
  <c r="AD122" i="1"/>
  <c r="AA122" i="1"/>
  <c r="Y122" i="1"/>
  <c r="X122" i="1"/>
  <c r="V122" i="1"/>
  <c r="Z122" i="1" s="1"/>
  <c r="U122" i="1"/>
  <c r="L122" i="1"/>
  <c r="AK121" i="1"/>
  <c r="AJ121" i="1"/>
  <c r="AH121" i="1"/>
  <c r="AD121" i="1"/>
  <c r="Y121" i="1"/>
  <c r="X121" i="1"/>
  <c r="V121" i="1"/>
  <c r="Z121" i="1" s="1"/>
  <c r="U121" i="1"/>
  <c r="L121" i="1"/>
  <c r="AK120" i="1"/>
  <c r="AJ120" i="1"/>
  <c r="AH120" i="1"/>
  <c r="Y120" i="1"/>
  <c r="Z120" i="1" s="1"/>
  <c r="X120" i="1"/>
  <c r="V120" i="1"/>
  <c r="U120" i="1"/>
  <c r="T120" i="1"/>
  <c r="L120" i="1"/>
  <c r="AK119" i="1"/>
  <c r="AJ119" i="1"/>
  <c r="AH119" i="1"/>
  <c r="AD119" i="1"/>
  <c r="Y119" i="1"/>
  <c r="X119" i="1"/>
  <c r="V119" i="1"/>
  <c r="U119" i="1"/>
  <c r="T119" i="1"/>
  <c r="L119" i="1"/>
  <c r="AK118" i="1"/>
  <c r="AJ118" i="1"/>
  <c r="AH118" i="1"/>
  <c r="AD118" i="1"/>
  <c r="Y118" i="1"/>
  <c r="Z118" i="1" s="1"/>
  <c r="X118" i="1"/>
  <c r="V118" i="1"/>
  <c r="U118" i="1"/>
  <c r="L118" i="1"/>
  <c r="AK117" i="1"/>
  <c r="AJ117" i="1"/>
  <c r="AH117" i="1"/>
  <c r="AD117" i="1"/>
  <c r="AA117" i="1"/>
  <c r="AE117" i="1" s="1"/>
  <c r="Y117" i="1"/>
  <c r="X117" i="1"/>
  <c r="V117" i="1"/>
  <c r="Z117" i="1" s="1"/>
  <c r="U117" i="1"/>
  <c r="L117" i="1"/>
  <c r="AK116" i="1"/>
  <c r="AJ116" i="1"/>
  <c r="AH116" i="1"/>
  <c r="AD116" i="1"/>
  <c r="AA116" i="1"/>
  <c r="AE116" i="1" s="1"/>
  <c r="Z116" i="1"/>
  <c r="Y116" i="1"/>
  <c r="X116" i="1"/>
  <c r="V116" i="1"/>
  <c r="U116" i="1"/>
  <c r="T116" i="1"/>
  <c r="L116" i="1"/>
  <c r="AK115" i="1"/>
  <c r="AJ115" i="1"/>
  <c r="AH115" i="1"/>
  <c r="AD115" i="1"/>
  <c r="Y115" i="1"/>
  <c r="X115" i="1"/>
  <c r="V115" i="1"/>
  <c r="Z115" i="1" s="1"/>
  <c r="U115" i="1"/>
  <c r="T115" i="1"/>
  <c r="L115" i="1"/>
  <c r="AK114" i="1"/>
  <c r="AJ114" i="1"/>
  <c r="AH114" i="1"/>
  <c r="Z114" i="1"/>
  <c r="Y114" i="1"/>
  <c r="X114" i="1"/>
  <c r="V114" i="1"/>
  <c r="U114" i="1"/>
  <c r="L114" i="1"/>
  <c r="AK113" i="1"/>
  <c r="AJ113" i="1"/>
  <c r="AH113" i="1"/>
  <c r="AD113" i="1"/>
  <c r="Y113" i="1"/>
  <c r="X113" i="1"/>
  <c r="V113" i="1"/>
  <c r="Z113" i="1" s="1"/>
  <c r="U113" i="1"/>
  <c r="L113" i="1"/>
  <c r="AK112" i="1"/>
  <c r="AJ112" i="1"/>
  <c r="AH112" i="1"/>
  <c r="AD112" i="1"/>
  <c r="Y112" i="1"/>
  <c r="X112" i="1"/>
  <c r="V112" i="1"/>
  <c r="Z112" i="1" s="1"/>
  <c r="U112" i="1"/>
  <c r="T112" i="1"/>
  <c r="L112" i="1"/>
  <c r="AK111" i="1"/>
  <c r="AJ111" i="1"/>
  <c r="AH111" i="1"/>
  <c r="AD111" i="1"/>
  <c r="Y111" i="1"/>
  <c r="X111" i="1"/>
  <c r="V111" i="1"/>
  <c r="Z111" i="1" s="1"/>
  <c r="U111" i="1"/>
  <c r="T111" i="1"/>
  <c r="L111" i="1"/>
  <c r="AK110" i="1"/>
  <c r="AJ110" i="1"/>
  <c r="AH110" i="1"/>
  <c r="AD110" i="1"/>
  <c r="AA110" i="1"/>
  <c r="AE110" i="1" s="1"/>
  <c r="AF110" i="1" s="1"/>
  <c r="Y110" i="1"/>
  <c r="X110" i="1"/>
  <c r="V110" i="1"/>
  <c r="Z110" i="1" s="1"/>
  <c r="U110" i="1"/>
  <c r="T110" i="1"/>
  <c r="L110" i="1"/>
  <c r="AK109" i="1"/>
  <c r="AJ109" i="1"/>
  <c r="AH109" i="1"/>
  <c r="AD109" i="1"/>
  <c r="Y109" i="1"/>
  <c r="X109" i="1"/>
  <c r="V109" i="1"/>
  <c r="Z109" i="1" s="1"/>
  <c r="U109" i="1"/>
  <c r="L109" i="1"/>
  <c r="AK108" i="1"/>
  <c r="AJ108" i="1"/>
  <c r="AH108" i="1"/>
  <c r="Y108" i="1"/>
  <c r="X108" i="1"/>
  <c r="V108" i="1"/>
  <c r="Z108" i="1" s="1"/>
  <c r="U108" i="1"/>
  <c r="T108" i="1"/>
  <c r="L108" i="1"/>
  <c r="AK107" i="1"/>
  <c r="AJ107" i="1"/>
  <c r="AH107" i="1"/>
  <c r="AD107" i="1"/>
  <c r="Y107" i="1"/>
  <c r="X107" i="1"/>
  <c r="V107" i="1"/>
  <c r="Z107" i="1" s="1"/>
  <c r="U107" i="1"/>
  <c r="T107" i="1"/>
  <c r="L107" i="1"/>
  <c r="AK106" i="1"/>
  <c r="AJ106" i="1"/>
  <c r="AH106" i="1"/>
  <c r="AD106" i="1"/>
  <c r="Y106" i="1"/>
  <c r="Z106" i="1" s="1"/>
  <c r="X106" i="1"/>
  <c r="V106" i="1"/>
  <c r="U106" i="1"/>
  <c r="L106" i="1"/>
  <c r="AK105" i="1"/>
  <c r="AJ105" i="1"/>
  <c r="AH105" i="1"/>
  <c r="AD105" i="1"/>
  <c r="Y105" i="1"/>
  <c r="X105" i="1"/>
  <c r="V105" i="1"/>
  <c r="U105" i="1"/>
  <c r="S105" i="1"/>
  <c r="R105" i="1" s="1"/>
  <c r="L105" i="1"/>
  <c r="AK104" i="1"/>
  <c r="AJ104" i="1"/>
  <c r="AH104" i="1"/>
  <c r="AD104" i="1"/>
  <c r="AA104" i="1"/>
  <c r="AE104" i="1" s="1"/>
  <c r="AF104" i="1" s="1"/>
  <c r="Z104" i="1"/>
  <c r="Y104" i="1"/>
  <c r="X104" i="1"/>
  <c r="V104" i="1"/>
  <c r="U104" i="1"/>
  <c r="L104" i="1"/>
  <c r="AK103" i="1"/>
  <c r="AJ103" i="1"/>
  <c r="AH103" i="1"/>
  <c r="AD103" i="1"/>
  <c r="Y103" i="1"/>
  <c r="X103" i="1"/>
  <c r="V103" i="1"/>
  <c r="Z103" i="1" s="1"/>
  <c r="U103" i="1"/>
  <c r="T103" i="1"/>
  <c r="L103" i="1"/>
  <c r="AK102" i="1"/>
  <c r="AJ102" i="1"/>
  <c r="AH102" i="1"/>
  <c r="AA102" i="1"/>
  <c r="AE102" i="1" s="1"/>
  <c r="Y102" i="1"/>
  <c r="X102" i="1"/>
  <c r="V102" i="1"/>
  <c r="Z102" i="1" s="1"/>
  <c r="U102" i="1"/>
  <c r="L102" i="1"/>
  <c r="AK101" i="1"/>
  <c r="AJ101" i="1"/>
  <c r="AH101" i="1"/>
  <c r="AC101" i="1" a="1"/>
  <c r="AC101" i="1" s="1"/>
  <c r="AD101" i="1" s="1"/>
  <c r="Y101" i="1"/>
  <c r="X101" i="1"/>
  <c r="V101" i="1"/>
  <c r="Z101" i="1" s="1"/>
  <c r="U101" i="1"/>
  <c r="T101" i="1"/>
  <c r="S101" i="1"/>
  <c r="Q101" i="1" a="1"/>
  <c r="Q101" i="1" s="1"/>
  <c r="O101" i="1" a="1"/>
  <c r="M101" i="1" a="1"/>
  <c r="M101" i="1" s="1"/>
  <c r="L101" i="1"/>
  <c r="AK94" i="1"/>
  <c r="AJ94" i="1"/>
  <c r="AH94" i="1"/>
  <c r="Y94" i="1"/>
  <c r="X94" i="1"/>
  <c r="V94" i="1"/>
  <c r="U94" i="1"/>
  <c r="L94" i="1"/>
  <c r="AK93" i="1"/>
  <c r="AJ93" i="1"/>
  <c r="AH93" i="1"/>
  <c r="Y93" i="1"/>
  <c r="Z93" i="1" s="1"/>
  <c r="X93" i="1"/>
  <c r="V93" i="1"/>
  <c r="U93" i="1"/>
  <c r="L93" i="1"/>
  <c r="AK92" i="1"/>
  <c r="AJ92" i="1"/>
  <c r="AH92" i="1"/>
  <c r="Y92" i="1"/>
  <c r="Z92" i="1" s="1"/>
  <c r="X92" i="1"/>
  <c r="V92" i="1"/>
  <c r="U92" i="1"/>
  <c r="T92" i="1"/>
  <c r="S92" i="1"/>
  <c r="R92" i="1" s="1"/>
  <c r="L92" i="1"/>
  <c r="AK91" i="1"/>
  <c r="AJ91" i="1"/>
  <c r="AH91" i="1"/>
  <c r="Y91" i="1"/>
  <c r="Z91" i="1" s="1"/>
  <c r="X91" i="1"/>
  <c r="V91" i="1"/>
  <c r="U91" i="1"/>
  <c r="T91" i="1"/>
  <c r="L91" i="1"/>
  <c r="AK90" i="1"/>
  <c r="AJ90" i="1"/>
  <c r="AH90" i="1"/>
  <c r="Y90" i="1"/>
  <c r="X90" i="1"/>
  <c r="V90" i="1"/>
  <c r="Z90" i="1" s="1"/>
  <c r="U90" i="1"/>
  <c r="T90" i="1"/>
  <c r="S90" i="1"/>
  <c r="R90" i="1" s="1"/>
  <c r="L90" i="1"/>
  <c r="AK89" i="1"/>
  <c r="AJ89" i="1"/>
  <c r="AH89" i="1"/>
  <c r="Y89" i="1"/>
  <c r="Z89" i="1" s="1"/>
  <c r="X89" i="1"/>
  <c r="V89" i="1"/>
  <c r="U89" i="1"/>
  <c r="L89" i="1"/>
  <c r="AK88" i="1"/>
  <c r="AJ88" i="1"/>
  <c r="AH88" i="1"/>
  <c r="Y88" i="1"/>
  <c r="X88" i="1"/>
  <c r="V88" i="1"/>
  <c r="Z88" i="1" s="1"/>
  <c r="U88" i="1"/>
  <c r="S88" i="1"/>
  <c r="R88" i="1" s="1"/>
  <c r="L88" i="1"/>
  <c r="AK87" i="1"/>
  <c r="AJ87" i="1"/>
  <c r="AH87" i="1"/>
  <c r="Y87" i="1"/>
  <c r="X87" i="1"/>
  <c r="V87" i="1"/>
  <c r="U87" i="1"/>
  <c r="L87" i="1"/>
  <c r="AK86" i="1"/>
  <c r="AJ86" i="1"/>
  <c r="AH86" i="1"/>
  <c r="Y86" i="1"/>
  <c r="Z86" i="1" s="1"/>
  <c r="X86" i="1"/>
  <c r="V86" i="1"/>
  <c r="U86" i="1"/>
  <c r="S86" i="1"/>
  <c r="R86" i="1"/>
  <c r="L86" i="1"/>
  <c r="AK85" i="1"/>
  <c r="AJ85" i="1"/>
  <c r="AH85" i="1"/>
  <c r="Y85" i="1"/>
  <c r="Z85" i="1" s="1"/>
  <c r="X85" i="1"/>
  <c r="V85" i="1"/>
  <c r="U85" i="1"/>
  <c r="L85" i="1"/>
  <c r="AK84" i="1"/>
  <c r="AJ84" i="1"/>
  <c r="AH84" i="1"/>
  <c r="Y84" i="1"/>
  <c r="X84" i="1"/>
  <c r="V84" i="1"/>
  <c r="Z84" i="1" s="1"/>
  <c r="U84" i="1"/>
  <c r="T84" i="1"/>
  <c r="S84" i="1"/>
  <c r="R84" i="1" s="1"/>
  <c r="L84" i="1"/>
  <c r="AK83" i="1"/>
  <c r="AJ83" i="1"/>
  <c r="AH83" i="1"/>
  <c r="Y83" i="1"/>
  <c r="Z83" i="1" s="1"/>
  <c r="X83" i="1"/>
  <c r="V83" i="1"/>
  <c r="U83" i="1"/>
  <c r="L83" i="1"/>
  <c r="AK82" i="1"/>
  <c r="AJ82" i="1"/>
  <c r="AH82" i="1"/>
  <c r="Y82" i="1"/>
  <c r="Z82" i="1" s="1"/>
  <c r="X82" i="1"/>
  <c r="V82" i="1"/>
  <c r="U82" i="1"/>
  <c r="S82" i="1"/>
  <c r="R82" i="1"/>
  <c r="L82" i="1"/>
  <c r="AK81" i="1"/>
  <c r="AJ81" i="1"/>
  <c r="AH81" i="1"/>
  <c r="Z81" i="1"/>
  <c r="Y81" i="1"/>
  <c r="X81" i="1"/>
  <c r="V81" i="1"/>
  <c r="U81" i="1"/>
  <c r="L81" i="1"/>
  <c r="AK80" i="1"/>
  <c r="AJ80" i="1"/>
  <c r="AH80" i="1"/>
  <c r="Y80" i="1"/>
  <c r="X80" i="1"/>
  <c r="V80" i="1"/>
  <c r="Z80" i="1" s="1"/>
  <c r="U80" i="1"/>
  <c r="T80" i="1"/>
  <c r="L80" i="1"/>
  <c r="AK79" i="1"/>
  <c r="AJ79" i="1"/>
  <c r="AH79" i="1"/>
  <c r="Y79" i="1"/>
  <c r="Z79" i="1" s="1"/>
  <c r="X79" i="1"/>
  <c r="V79" i="1"/>
  <c r="U79" i="1"/>
  <c r="T79" i="1"/>
  <c r="S79" i="1"/>
  <c r="R79" i="1"/>
  <c r="L79" i="1"/>
  <c r="AK78" i="1"/>
  <c r="AJ78" i="1"/>
  <c r="AH78" i="1"/>
  <c r="Z78" i="1"/>
  <c r="Y78" i="1"/>
  <c r="X78" i="1"/>
  <c r="V78" i="1"/>
  <c r="U78" i="1"/>
  <c r="T78" i="1"/>
  <c r="L78" i="1"/>
  <c r="AK77" i="1"/>
  <c r="AJ77" i="1"/>
  <c r="AH77" i="1"/>
  <c r="Y77" i="1"/>
  <c r="Z77" i="1" s="1"/>
  <c r="X77" i="1"/>
  <c r="V77" i="1"/>
  <c r="U77" i="1"/>
  <c r="L77" i="1"/>
  <c r="AK76" i="1"/>
  <c r="AJ76" i="1"/>
  <c r="AH76" i="1"/>
  <c r="Z76" i="1"/>
  <c r="Y76" i="1"/>
  <c r="X76" i="1"/>
  <c r="V76" i="1"/>
  <c r="U76" i="1"/>
  <c r="L76" i="1"/>
  <c r="AK75" i="1"/>
  <c r="AJ75" i="1"/>
  <c r="AH75" i="1"/>
  <c r="Y75" i="1"/>
  <c r="Z75" i="1" s="1"/>
  <c r="X75" i="1"/>
  <c r="V75" i="1"/>
  <c r="U75" i="1"/>
  <c r="T75" i="1"/>
  <c r="S75" i="1"/>
  <c r="R75" i="1" s="1"/>
  <c r="L75" i="1"/>
  <c r="AK74" i="1"/>
  <c r="AJ74" i="1"/>
  <c r="AH74" i="1"/>
  <c r="Y74" i="1"/>
  <c r="X74" i="1"/>
  <c r="V74" i="1"/>
  <c r="Z74" i="1" s="1"/>
  <c r="U74" i="1"/>
  <c r="T74" i="1"/>
  <c r="S74" i="1"/>
  <c r="R74" i="1" s="1"/>
  <c r="L74" i="1"/>
  <c r="AK73" i="1"/>
  <c r="AJ73" i="1"/>
  <c r="AH73" i="1"/>
  <c r="Y73" i="1"/>
  <c r="X73" i="1"/>
  <c r="V73" i="1"/>
  <c r="Z73" i="1" s="1"/>
  <c r="U73" i="1"/>
  <c r="T73" i="1"/>
  <c r="S73" i="1"/>
  <c r="R73" i="1" s="1"/>
  <c r="L73" i="1"/>
  <c r="AK72" i="1"/>
  <c r="AJ72" i="1"/>
  <c r="AH72" i="1"/>
  <c r="Y72" i="1"/>
  <c r="X72" i="1"/>
  <c r="V72" i="1"/>
  <c r="Z72" i="1" s="1"/>
  <c r="U72" i="1"/>
  <c r="T72" i="1"/>
  <c r="L72" i="1"/>
  <c r="AK71" i="1"/>
  <c r="AJ71" i="1"/>
  <c r="AH71" i="1"/>
  <c r="AC71" i="1" a="1"/>
  <c r="Y71" i="1"/>
  <c r="X71" i="1"/>
  <c r="V71" i="1"/>
  <c r="U71" i="1"/>
  <c r="T71" i="1"/>
  <c r="S71" i="1"/>
  <c r="Q71" i="1" a="1"/>
  <c r="Q71" i="1" s="1"/>
  <c r="O71" i="1" a="1"/>
  <c r="M71" i="1" a="1"/>
  <c r="M71" i="1" s="1"/>
  <c r="L71" i="1"/>
  <c r="AK64" i="1"/>
  <c r="AJ64" i="1"/>
  <c r="AH64" i="1"/>
  <c r="AA64" i="1"/>
  <c r="AE64" i="1" s="1"/>
  <c r="Y64" i="1"/>
  <c r="X64" i="1"/>
  <c r="V64" i="1"/>
  <c r="U64" i="1"/>
  <c r="L64" i="1"/>
  <c r="AK63" i="1"/>
  <c r="AJ63" i="1"/>
  <c r="AH63" i="1"/>
  <c r="Y63" i="1"/>
  <c r="Z63" i="1" s="1"/>
  <c r="X63" i="1"/>
  <c r="V63" i="1"/>
  <c r="U63" i="1"/>
  <c r="S63" i="1"/>
  <c r="R63" i="1" s="1"/>
  <c r="L63" i="1"/>
  <c r="AK62" i="1"/>
  <c r="AJ62" i="1"/>
  <c r="AH62" i="1"/>
  <c r="AA62" i="1"/>
  <c r="Y62" i="1"/>
  <c r="X62" i="1"/>
  <c r="V62" i="1"/>
  <c r="Z62" i="1" s="1"/>
  <c r="U62" i="1"/>
  <c r="L62" i="1"/>
  <c r="AK61" i="1"/>
  <c r="AJ61" i="1"/>
  <c r="AH61" i="1"/>
  <c r="AA61" i="1"/>
  <c r="Y61" i="1"/>
  <c r="X61" i="1"/>
  <c r="V61" i="1"/>
  <c r="Z61" i="1" s="1"/>
  <c r="U61" i="1"/>
  <c r="L61" i="1"/>
  <c r="AK60" i="1"/>
  <c r="AJ60" i="1"/>
  <c r="AH60" i="1"/>
  <c r="Y60" i="1"/>
  <c r="X60" i="1"/>
  <c r="V60" i="1"/>
  <c r="Z60" i="1" s="1"/>
  <c r="U60" i="1"/>
  <c r="T60" i="1"/>
  <c r="L60" i="1"/>
  <c r="AK59" i="1"/>
  <c r="AJ59" i="1"/>
  <c r="AH59" i="1"/>
  <c r="AA59" i="1"/>
  <c r="AE59" i="1" s="1"/>
  <c r="Y59" i="1"/>
  <c r="Z59" i="1" s="1"/>
  <c r="X59" i="1"/>
  <c r="V59" i="1"/>
  <c r="U59" i="1"/>
  <c r="L59" i="1"/>
  <c r="AK58" i="1"/>
  <c r="AJ58" i="1"/>
  <c r="AH58" i="1"/>
  <c r="Y58" i="1"/>
  <c r="X58" i="1"/>
  <c r="V58" i="1"/>
  <c r="Z58" i="1" s="1"/>
  <c r="U58" i="1"/>
  <c r="T58" i="1"/>
  <c r="L58" i="1"/>
  <c r="AK57" i="1"/>
  <c r="AJ57" i="1"/>
  <c r="AH57" i="1"/>
  <c r="AA57" i="1"/>
  <c r="Y57" i="1"/>
  <c r="X57" i="1"/>
  <c r="V57" i="1"/>
  <c r="U57" i="1"/>
  <c r="L57" i="1"/>
  <c r="AK56" i="1"/>
  <c r="AJ56" i="1"/>
  <c r="AH56" i="1"/>
  <c r="Y56" i="1"/>
  <c r="Z56" i="1" s="1"/>
  <c r="X56" i="1"/>
  <c r="V56" i="1"/>
  <c r="U56" i="1"/>
  <c r="L56" i="1"/>
  <c r="AK55" i="1"/>
  <c r="AJ55" i="1"/>
  <c r="AH55" i="1"/>
  <c r="Y55" i="1"/>
  <c r="X55" i="1"/>
  <c r="V55" i="1"/>
  <c r="Z55" i="1" s="1"/>
  <c r="U55" i="1"/>
  <c r="L55" i="1"/>
  <c r="AK54" i="1"/>
  <c r="AJ54" i="1"/>
  <c r="AH54" i="1"/>
  <c r="AA54" i="1"/>
  <c r="Y54" i="1"/>
  <c r="Z54" i="1" s="1"/>
  <c r="X54" i="1"/>
  <c r="V54" i="1"/>
  <c r="U54" i="1"/>
  <c r="L54" i="1"/>
  <c r="AK53" i="1"/>
  <c r="AJ53" i="1"/>
  <c r="AH53" i="1"/>
  <c r="Y53" i="1"/>
  <c r="X53" i="1"/>
  <c r="V53" i="1"/>
  <c r="Z53" i="1" s="1"/>
  <c r="U53" i="1"/>
  <c r="L53" i="1"/>
  <c r="AK52" i="1"/>
  <c r="AJ52" i="1"/>
  <c r="AH52" i="1"/>
  <c r="AA52" i="1"/>
  <c r="AE52" i="1" s="1"/>
  <c r="Y52" i="1"/>
  <c r="X52" i="1"/>
  <c r="V52" i="1"/>
  <c r="Z52" i="1" s="1"/>
  <c r="U52" i="1"/>
  <c r="L52" i="1"/>
  <c r="AK51" i="1"/>
  <c r="AJ51" i="1"/>
  <c r="AH51" i="1"/>
  <c r="AA51" i="1"/>
  <c r="Y51" i="1"/>
  <c r="X51" i="1"/>
  <c r="V51" i="1"/>
  <c r="Z51" i="1" s="1"/>
  <c r="U51" i="1"/>
  <c r="L51" i="1"/>
  <c r="AK50" i="1"/>
  <c r="AJ50" i="1"/>
  <c r="AH50" i="1"/>
  <c r="Y50" i="1"/>
  <c r="X50" i="1"/>
  <c r="V50" i="1"/>
  <c r="Z50" i="1" s="1"/>
  <c r="U50" i="1"/>
  <c r="T50" i="1"/>
  <c r="L50" i="1"/>
  <c r="AK49" i="1"/>
  <c r="AJ49" i="1"/>
  <c r="AH49" i="1"/>
  <c r="AA49" i="1"/>
  <c r="AE49" i="1" s="1"/>
  <c r="Z49" i="1"/>
  <c r="Y49" i="1"/>
  <c r="X49" i="1"/>
  <c r="V49" i="1"/>
  <c r="U49" i="1"/>
  <c r="L49" i="1"/>
  <c r="AK48" i="1"/>
  <c r="AJ48" i="1"/>
  <c r="AH48" i="1"/>
  <c r="AA48" i="1"/>
  <c r="Z48" i="1"/>
  <c r="Y48" i="1"/>
  <c r="X48" i="1"/>
  <c r="V48" i="1"/>
  <c r="U48" i="1"/>
  <c r="L48" i="1"/>
  <c r="AK47" i="1"/>
  <c r="AJ47" i="1"/>
  <c r="AH47" i="1"/>
  <c r="AA47" i="1"/>
  <c r="Y47" i="1"/>
  <c r="X47" i="1"/>
  <c r="V47" i="1"/>
  <c r="Z47" i="1" s="1"/>
  <c r="U47" i="1"/>
  <c r="L47" i="1"/>
  <c r="AK46" i="1"/>
  <c r="AJ46" i="1"/>
  <c r="AH46" i="1"/>
  <c r="Y46" i="1"/>
  <c r="X46" i="1"/>
  <c r="V46" i="1"/>
  <c r="Z46" i="1" s="1"/>
  <c r="U46" i="1"/>
  <c r="S46" i="1"/>
  <c r="R46" i="1" s="1"/>
  <c r="L46" i="1"/>
  <c r="AK45" i="1"/>
  <c r="AJ45" i="1"/>
  <c r="AH45" i="1"/>
  <c r="AA45" i="1"/>
  <c r="Y45" i="1"/>
  <c r="Z45" i="1" s="1"/>
  <c r="X45" i="1"/>
  <c r="V45" i="1"/>
  <c r="U45" i="1"/>
  <c r="L45" i="1"/>
  <c r="AK44" i="1"/>
  <c r="AJ44" i="1"/>
  <c r="AH44" i="1"/>
  <c r="Y44" i="1"/>
  <c r="X44" i="1"/>
  <c r="V44" i="1"/>
  <c r="Z44" i="1" s="1"/>
  <c r="U44" i="1"/>
  <c r="L44" i="1"/>
  <c r="AK43" i="1"/>
  <c r="AJ43" i="1"/>
  <c r="AH43" i="1"/>
  <c r="Y43" i="1"/>
  <c r="X43" i="1"/>
  <c r="V43" i="1"/>
  <c r="Z43" i="1" s="1"/>
  <c r="U43" i="1"/>
  <c r="T43" i="1"/>
  <c r="L43" i="1"/>
  <c r="AK42" i="1"/>
  <c r="AJ42" i="1"/>
  <c r="AH42" i="1"/>
  <c r="Y42" i="1"/>
  <c r="Z42" i="1" s="1"/>
  <c r="X42" i="1"/>
  <c r="V42" i="1"/>
  <c r="U42" i="1"/>
  <c r="S42" i="1"/>
  <c r="R42" i="1" s="1"/>
  <c r="L42" i="1"/>
  <c r="AK41" i="1"/>
  <c r="AJ41" i="1"/>
  <c r="AH41" i="1"/>
  <c r="AC41" i="1" a="1"/>
  <c r="Y41" i="1"/>
  <c r="X41" i="1"/>
  <c r="V41" i="1"/>
  <c r="Z41" i="1" s="1"/>
  <c r="U41" i="1"/>
  <c r="T41" i="1"/>
  <c r="T56" i="1" s="1"/>
  <c r="S41" i="1"/>
  <c r="S52" i="1" s="1"/>
  <c r="R52" i="1" s="1"/>
  <c r="Q41" i="1" a="1"/>
  <c r="O41" i="1" a="1"/>
  <c r="M41" i="1" a="1"/>
  <c r="M41" i="1" s="1"/>
  <c r="L41" i="1"/>
  <c r="AK34" i="1"/>
  <c r="AJ34" i="1"/>
  <c r="AH34" i="1"/>
  <c r="Z34" i="1"/>
  <c r="Y34" i="1"/>
  <c r="X34" i="1"/>
  <c r="V34" i="1"/>
  <c r="U34" i="1"/>
  <c r="T34" i="1"/>
  <c r="S34" i="1"/>
  <c r="R34" i="1" s="1"/>
  <c r="L34" i="1"/>
  <c r="AK33" i="1"/>
  <c r="AJ33" i="1"/>
  <c r="AH33" i="1"/>
  <c r="Y33" i="1"/>
  <c r="X33" i="1"/>
  <c r="V33" i="1"/>
  <c r="Z33" i="1" s="1"/>
  <c r="U33" i="1"/>
  <c r="T33" i="1"/>
  <c r="S33" i="1"/>
  <c r="R33" i="1"/>
  <c r="L33" i="1"/>
  <c r="AK32" i="1"/>
  <c r="AJ32" i="1"/>
  <c r="AH32" i="1"/>
  <c r="AA32" i="1"/>
  <c r="AE32" i="1" s="1"/>
  <c r="Y32" i="1"/>
  <c r="Z32" i="1" s="1"/>
  <c r="X32" i="1"/>
  <c r="V32" i="1"/>
  <c r="U32" i="1"/>
  <c r="T32" i="1"/>
  <c r="S32" i="1"/>
  <c r="R32" i="1"/>
  <c r="L32" i="1"/>
  <c r="AK31" i="1"/>
  <c r="AJ31" i="1"/>
  <c r="AH31" i="1"/>
  <c r="AA31" i="1"/>
  <c r="Y31" i="1"/>
  <c r="X31" i="1"/>
  <c r="V31" i="1"/>
  <c r="Z31" i="1" s="1"/>
  <c r="U31" i="1"/>
  <c r="T31" i="1"/>
  <c r="S31" i="1"/>
  <c r="R31" i="1"/>
  <c r="L31" i="1"/>
  <c r="AK30" i="1"/>
  <c r="AJ30" i="1"/>
  <c r="AH30" i="1"/>
  <c r="AA30" i="1"/>
  <c r="Y30" i="1"/>
  <c r="Z30" i="1" s="1"/>
  <c r="X30" i="1"/>
  <c r="V30" i="1"/>
  <c r="U30" i="1"/>
  <c r="T30" i="1"/>
  <c r="S30" i="1"/>
  <c r="R30" i="1"/>
  <c r="L30" i="1"/>
  <c r="AK29" i="1"/>
  <c r="AJ29" i="1"/>
  <c r="AH29" i="1"/>
  <c r="Y29" i="1"/>
  <c r="X29" i="1"/>
  <c r="V29" i="1"/>
  <c r="Z29" i="1" s="1"/>
  <c r="U29" i="1"/>
  <c r="T29" i="1"/>
  <c r="S29" i="1"/>
  <c r="R29" i="1"/>
  <c r="L29" i="1"/>
  <c r="AK28" i="1"/>
  <c r="AJ28" i="1"/>
  <c r="AH28" i="1"/>
  <c r="AA28" i="1"/>
  <c r="AE28" i="1" s="1"/>
  <c r="Y28" i="1"/>
  <c r="X28" i="1"/>
  <c r="V28" i="1"/>
  <c r="Z28" i="1" s="1"/>
  <c r="U28" i="1"/>
  <c r="T28" i="1"/>
  <c r="S28" i="1"/>
  <c r="R28" i="1" s="1"/>
  <c r="L28" i="1"/>
  <c r="AK27" i="1"/>
  <c r="AJ27" i="1"/>
  <c r="AH27" i="1"/>
  <c r="AA27" i="1"/>
  <c r="AE27" i="1" s="1"/>
  <c r="Y27" i="1"/>
  <c r="X27" i="1"/>
  <c r="V27" i="1"/>
  <c r="Z27" i="1" s="1"/>
  <c r="U27" i="1"/>
  <c r="T27" i="1"/>
  <c r="S27" i="1"/>
  <c r="R27" i="1"/>
  <c r="L27" i="1"/>
  <c r="AK26" i="1"/>
  <c r="AJ26" i="1"/>
  <c r="AH26" i="1"/>
  <c r="Y26" i="1"/>
  <c r="X26" i="1"/>
  <c r="V26" i="1"/>
  <c r="Z26" i="1" s="1"/>
  <c r="U26" i="1"/>
  <c r="T26" i="1"/>
  <c r="S26" i="1"/>
  <c r="R26" i="1" s="1"/>
  <c r="L26" i="1"/>
  <c r="AK25" i="1"/>
  <c r="AJ25" i="1"/>
  <c r="AH25" i="1"/>
  <c r="Y25" i="1"/>
  <c r="X25" i="1"/>
  <c r="V25" i="1"/>
  <c r="Z25" i="1" s="1"/>
  <c r="U25" i="1"/>
  <c r="T25" i="1"/>
  <c r="S25" i="1"/>
  <c r="R25" i="1" s="1"/>
  <c r="L25" i="1"/>
  <c r="AK24" i="1"/>
  <c r="AJ24" i="1"/>
  <c r="AH24" i="1"/>
  <c r="Y24" i="1"/>
  <c r="X24" i="1"/>
  <c r="V24" i="1"/>
  <c r="Z24" i="1" s="1"/>
  <c r="U24" i="1"/>
  <c r="T24" i="1"/>
  <c r="S24" i="1"/>
  <c r="R24" i="1"/>
  <c r="L24" i="1"/>
  <c r="AK23" i="1"/>
  <c r="AJ23" i="1"/>
  <c r="AH23" i="1"/>
  <c r="AA23" i="1"/>
  <c r="Z23" i="1"/>
  <c r="Y23" i="1"/>
  <c r="X23" i="1"/>
  <c r="V23" i="1"/>
  <c r="U23" i="1"/>
  <c r="T23" i="1"/>
  <c r="S23" i="1"/>
  <c r="R23" i="1" s="1"/>
  <c r="L23" i="1"/>
  <c r="AK22" i="1"/>
  <c r="AJ22" i="1"/>
  <c r="AH22" i="1"/>
  <c r="AA22" i="1"/>
  <c r="AE22" i="1" s="1"/>
  <c r="Y22" i="1"/>
  <c r="Z22" i="1" s="1"/>
  <c r="X22" i="1"/>
  <c r="V22" i="1"/>
  <c r="U22" i="1"/>
  <c r="T22" i="1"/>
  <c r="S22" i="1"/>
  <c r="R22" i="1"/>
  <c r="L22" i="1"/>
  <c r="AK21" i="1"/>
  <c r="AJ21" i="1"/>
  <c r="AH21" i="1"/>
  <c r="AA21" i="1"/>
  <c r="Y21" i="1"/>
  <c r="X21" i="1"/>
  <c r="V21" i="1"/>
  <c r="Z21" i="1" s="1"/>
  <c r="U21" i="1"/>
  <c r="T21" i="1"/>
  <c r="S21" i="1"/>
  <c r="R21" i="1"/>
  <c r="L21" i="1"/>
  <c r="AK20" i="1"/>
  <c r="AJ20" i="1"/>
  <c r="AH20" i="1"/>
  <c r="Z20" i="1"/>
  <c r="Y20" i="1"/>
  <c r="X20" i="1"/>
  <c r="V20" i="1"/>
  <c r="U20" i="1"/>
  <c r="T20" i="1"/>
  <c r="S20" i="1"/>
  <c r="R20" i="1" s="1"/>
  <c r="L20" i="1"/>
  <c r="AK19" i="1"/>
  <c r="AJ19" i="1"/>
  <c r="AH19" i="1"/>
  <c r="Y19" i="1"/>
  <c r="X19" i="1"/>
  <c r="V19" i="1"/>
  <c r="Z19" i="1" s="1"/>
  <c r="U19" i="1"/>
  <c r="T19" i="1"/>
  <c r="S19" i="1"/>
  <c r="R19" i="1" s="1"/>
  <c r="L19" i="1"/>
  <c r="AK18" i="1"/>
  <c r="AJ18" i="1"/>
  <c r="AH18" i="1"/>
  <c r="Y18" i="1"/>
  <c r="X18" i="1"/>
  <c r="V18" i="1"/>
  <c r="Z18" i="1" s="1"/>
  <c r="U18" i="1"/>
  <c r="T18" i="1"/>
  <c r="S18" i="1"/>
  <c r="R18" i="1" s="1"/>
  <c r="L18" i="1"/>
  <c r="AK17" i="1"/>
  <c r="AJ17" i="1"/>
  <c r="AH17" i="1"/>
  <c r="AA17" i="1"/>
  <c r="Z17" i="1"/>
  <c r="Y17" i="1"/>
  <c r="X17" i="1"/>
  <c r="V17" i="1"/>
  <c r="U17" i="1"/>
  <c r="T17" i="1"/>
  <c r="S17" i="1"/>
  <c r="R17" i="1"/>
  <c r="L17" i="1"/>
  <c r="AK16" i="1"/>
  <c r="AJ16" i="1"/>
  <c r="AH16" i="1"/>
  <c r="AA16" i="1"/>
  <c r="AE16" i="1" s="1"/>
  <c r="Z16" i="1"/>
  <c r="Y16" i="1"/>
  <c r="X16" i="1"/>
  <c r="V16" i="1"/>
  <c r="U16" i="1"/>
  <c r="T16" i="1"/>
  <c r="S16" i="1"/>
  <c r="R16" i="1"/>
  <c r="L16" i="1"/>
  <c r="AK15" i="1"/>
  <c r="AJ15" i="1"/>
  <c r="AH15" i="1"/>
  <c r="AA15" i="1"/>
  <c r="AE15" i="1" s="1"/>
  <c r="Y15" i="1"/>
  <c r="X15" i="1"/>
  <c r="V15" i="1"/>
  <c r="Z15" i="1" s="1"/>
  <c r="U15" i="1"/>
  <c r="T15" i="1"/>
  <c r="S15" i="1"/>
  <c r="R15" i="1"/>
  <c r="L15" i="1"/>
  <c r="AK14" i="1"/>
  <c r="AJ14" i="1"/>
  <c r="AH14" i="1"/>
  <c r="AA14" i="1"/>
  <c r="Y14" i="1"/>
  <c r="Z14" i="1" s="1"/>
  <c r="X14" i="1"/>
  <c r="V14" i="1"/>
  <c r="U14" i="1"/>
  <c r="T14" i="1"/>
  <c r="S14" i="1"/>
  <c r="R14" i="1" s="1"/>
  <c r="L14" i="1"/>
  <c r="AK13" i="1"/>
  <c r="AJ13" i="1"/>
  <c r="AH13" i="1"/>
  <c r="Y13" i="1"/>
  <c r="X13" i="1"/>
  <c r="V13" i="1"/>
  <c r="Z13" i="1" s="1"/>
  <c r="U13" i="1"/>
  <c r="T13" i="1"/>
  <c r="S13" i="1"/>
  <c r="R13" i="1" s="1"/>
  <c r="L13" i="1"/>
  <c r="AK12" i="1"/>
  <c r="AJ12" i="1"/>
  <c r="AH12" i="1"/>
  <c r="Y12" i="1"/>
  <c r="X12" i="1"/>
  <c r="V12" i="1"/>
  <c r="Z12" i="1" s="1"/>
  <c r="U12" i="1"/>
  <c r="T12" i="1"/>
  <c r="S12" i="1"/>
  <c r="R12" i="1"/>
  <c r="L12" i="1"/>
  <c r="AK11" i="1"/>
  <c r="AJ11" i="1"/>
  <c r="AH11" i="1"/>
  <c r="AC11" i="1" a="1"/>
  <c r="Y11" i="1"/>
  <c r="X11" i="1"/>
  <c r="V11" i="1"/>
  <c r="Z11" i="1" s="1"/>
  <c r="U11" i="1"/>
  <c r="T11" i="1"/>
  <c r="S11" i="1"/>
  <c r="R11" i="1" s="1"/>
  <c r="Q11" i="1" a="1"/>
  <c r="O11" i="1" a="1"/>
  <c r="M11" i="1" a="1"/>
  <c r="M11" i="1" s="1"/>
  <c r="L11" i="1"/>
  <c r="AV7" i="1"/>
  <c r="AG18" i="2" l="1"/>
  <c r="AI18" i="2"/>
  <c r="AI112" i="2"/>
  <c r="AG112" i="2"/>
  <c r="AM170" i="2"/>
  <c r="AI19" i="2"/>
  <c r="AG19" i="2"/>
  <c r="AI57" i="2"/>
  <c r="AG57" i="2"/>
  <c r="AI88" i="2"/>
  <c r="AG88" i="2"/>
  <c r="AI120" i="2"/>
  <c r="AG120" i="2"/>
  <c r="AF124" i="2"/>
  <c r="AG138" i="2"/>
  <c r="AI138" i="2"/>
  <c r="AI194" i="2"/>
  <c r="AG194" i="2"/>
  <c r="AF12" i="2"/>
  <c r="AI29" i="2"/>
  <c r="AG29" i="2"/>
  <c r="AI200" i="2"/>
  <c r="AG200" i="2"/>
  <c r="AG267" i="2"/>
  <c r="AI267" i="2"/>
  <c r="AI74" i="2"/>
  <c r="AG74" i="2"/>
  <c r="AI202" i="2"/>
  <c r="AG202" i="2"/>
  <c r="AI14" i="2"/>
  <c r="AG14" i="2"/>
  <c r="AG20" i="2"/>
  <c r="AI20" i="2"/>
  <c r="AI46" i="2"/>
  <c r="AG46" i="2"/>
  <c r="AG52" i="2"/>
  <c r="AI52" i="2"/>
  <c r="AI55" i="2"/>
  <c r="AG55" i="2"/>
  <c r="AI142" i="2"/>
  <c r="AG142" i="2"/>
  <c r="AI207" i="2"/>
  <c r="AG207" i="2"/>
  <c r="AG273" i="2"/>
  <c r="AI273" i="2"/>
  <c r="AF41" i="2"/>
  <c r="AG75" i="2"/>
  <c r="AI75" i="2"/>
  <c r="AI133" i="2"/>
  <c r="AG133" i="2"/>
  <c r="AG56" i="2"/>
  <c r="AI56" i="2"/>
  <c r="AI61" i="2"/>
  <c r="AG61" i="2"/>
  <c r="AG73" i="2"/>
  <c r="AI73" i="2"/>
  <c r="AI51" i="2"/>
  <c r="AG51" i="2"/>
  <c r="AF58" i="2"/>
  <c r="AF22" i="2"/>
  <c r="AF23" i="2"/>
  <c r="AI59" i="2"/>
  <c r="AG59" i="2"/>
  <c r="AI60" i="2"/>
  <c r="AG60" i="2"/>
  <c r="AI76" i="2"/>
  <c r="AG76" i="2"/>
  <c r="AG77" i="2"/>
  <c r="AI77" i="2"/>
  <c r="AI101" i="2"/>
  <c r="AG101" i="2"/>
  <c r="AI106" i="2"/>
  <c r="AG106" i="2"/>
  <c r="AI135" i="2"/>
  <c r="AG135" i="2"/>
  <c r="AI179" i="2"/>
  <c r="AG179" i="2"/>
  <c r="AG30" i="2"/>
  <c r="AI30" i="2"/>
  <c r="AI31" i="2"/>
  <c r="AG31" i="2"/>
  <c r="AI63" i="2"/>
  <c r="AG63" i="2"/>
  <c r="AI110" i="2"/>
  <c r="AG110" i="2"/>
  <c r="AI54" i="2"/>
  <c r="AG54" i="2"/>
  <c r="AF107" i="2"/>
  <c r="AI162" i="2"/>
  <c r="AG162" i="2"/>
  <c r="AG111" i="2"/>
  <c r="AI111" i="2"/>
  <c r="AF26" i="2"/>
  <c r="AI108" i="2"/>
  <c r="AG108" i="2"/>
  <c r="AG256" i="2"/>
  <c r="AI256" i="2"/>
  <c r="AF183" i="2"/>
  <c r="AM53" i="2"/>
  <c r="AF102" i="2"/>
  <c r="AF132" i="2"/>
  <c r="AG146" i="2"/>
  <c r="AI146" i="2"/>
  <c r="AG152" i="2"/>
  <c r="AI152" i="2"/>
  <c r="AL172" i="2"/>
  <c r="AN172" i="2" s="1"/>
  <c r="AO172" i="2" s="1"/>
  <c r="AM172" i="2"/>
  <c r="AM212" i="2"/>
  <c r="T273" i="2"/>
  <c r="T261" i="2"/>
  <c r="T272" i="2"/>
  <c r="T260" i="2"/>
  <c r="T269" i="2"/>
  <c r="T253" i="2"/>
  <c r="T277" i="2"/>
  <c r="T263" i="2"/>
  <c r="T258" i="2"/>
  <c r="T249" i="2"/>
  <c r="T246" i="2"/>
  <c r="T243" i="2"/>
  <c r="T268" i="2"/>
  <c r="T259" i="2"/>
  <c r="T237" i="2"/>
  <c r="T278" i="2"/>
  <c r="T266" i="2"/>
  <c r="T247" i="2"/>
  <c r="T245" i="2"/>
  <c r="T255" i="2"/>
  <c r="T236" i="2"/>
  <c r="T233" i="2"/>
  <c r="T252" i="2"/>
  <c r="T275" i="2"/>
  <c r="T267" i="2"/>
  <c r="T264" i="2"/>
  <c r="T270" i="2"/>
  <c r="T274" i="2"/>
  <c r="T271" i="2"/>
  <c r="T238" i="2"/>
  <c r="T256" i="2"/>
  <c r="T240" i="2"/>
  <c r="T276" i="2"/>
  <c r="T234" i="2"/>
  <c r="T232" i="2"/>
  <c r="T250" i="2"/>
  <c r="T241" i="2"/>
  <c r="T265" i="2"/>
  <c r="T262" i="2"/>
  <c r="T248" i="2"/>
  <c r="T242" i="2"/>
  <c r="T257" i="2"/>
  <c r="T254" i="2"/>
  <c r="AF232" i="2"/>
  <c r="AL94" i="2"/>
  <c r="AM243" i="2"/>
  <c r="AL243" i="2"/>
  <c r="AN243" i="2" s="1"/>
  <c r="AO243" i="2" s="1"/>
  <c r="AG94" i="2"/>
  <c r="AF118" i="2"/>
  <c r="AI123" i="2"/>
  <c r="AG123" i="2"/>
  <c r="AM13" i="2"/>
  <c r="AL13" i="2"/>
  <c r="AF16" i="2"/>
  <c r="AF47" i="2"/>
  <c r="S91" i="2"/>
  <c r="R91" i="2" s="1"/>
  <c r="S85" i="2"/>
  <c r="R85" i="2" s="1"/>
  <c r="S79" i="2"/>
  <c r="R79" i="2" s="1"/>
  <c r="S73" i="2"/>
  <c r="R73" i="2" s="1"/>
  <c r="R71" i="2"/>
  <c r="S92" i="2"/>
  <c r="R92" i="2" s="1"/>
  <c r="S86" i="2"/>
  <c r="R86" i="2" s="1"/>
  <c r="S80" i="2"/>
  <c r="R80" i="2" s="1"/>
  <c r="S74" i="2"/>
  <c r="R74" i="2" s="1"/>
  <c r="S72" i="2"/>
  <c r="R72" i="2" s="1"/>
  <c r="S77" i="2"/>
  <c r="R77" i="2" s="1"/>
  <c r="S75" i="2"/>
  <c r="R75" i="2" s="1"/>
  <c r="S94" i="2"/>
  <c r="R94" i="2" s="1"/>
  <c r="AI163" i="2"/>
  <c r="AL165" i="2"/>
  <c r="AM165" i="2"/>
  <c r="AI201" i="2"/>
  <c r="AG201" i="2"/>
  <c r="T92" i="2"/>
  <c r="T86" i="2"/>
  <c r="T80" i="2"/>
  <c r="T74" i="2"/>
  <c r="T94" i="2"/>
  <c r="T88" i="2"/>
  <c r="T82" i="2"/>
  <c r="AL82" i="2" s="1"/>
  <c r="AN82" i="2" s="1"/>
  <c r="AO82" i="2" s="1"/>
  <c r="T76" i="2"/>
  <c r="T72" i="2"/>
  <c r="T75" i="2"/>
  <c r="T77" i="2"/>
  <c r="AF109" i="2"/>
  <c r="AG148" i="2"/>
  <c r="AI148" i="2"/>
  <c r="AI174" i="2"/>
  <c r="AM214" i="2"/>
  <c r="T239" i="2"/>
  <c r="T244" i="2"/>
  <c r="AI253" i="2"/>
  <c r="AG253" i="2"/>
  <c r="AF261" i="2"/>
  <c r="AF32" i="2"/>
  <c r="AF44" i="2"/>
  <c r="S84" i="2"/>
  <c r="R84" i="2" s="1"/>
  <c r="AF89" i="2"/>
  <c r="AF93" i="2"/>
  <c r="AI139" i="2"/>
  <c r="AG139" i="2"/>
  <c r="AF144" i="2"/>
  <c r="AM154" i="2"/>
  <c r="AL154" i="2"/>
  <c r="AL167" i="2"/>
  <c r="AI233" i="2"/>
  <c r="AG233" i="2"/>
  <c r="AG240" i="2"/>
  <c r="AI240" i="2"/>
  <c r="AF45" i="2"/>
  <c r="AF50" i="2"/>
  <c r="AF62" i="2"/>
  <c r="S81" i="2"/>
  <c r="R81" i="2" s="1"/>
  <c r="AF86" i="2"/>
  <c r="AF103" i="2"/>
  <c r="AG154" i="2"/>
  <c r="AG167" i="2"/>
  <c r="AG168" i="2"/>
  <c r="AI181" i="2"/>
  <c r="AG181" i="2"/>
  <c r="AL241" i="2"/>
  <c r="T251" i="2"/>
  <c r="AG258" i="2"/>
  <c r="AI258" i="2"/>
  <c r="AI259" i="2"/>
  <c r="AG259" i="2"/>
  <c r="AF80" i="2"/>
  <c r="AM180" i="2"/>
  <c r="AL180" i="2"/>
  <c r="AG247" i="2"/>
  <c r="AF122" i="2"/>
  <c r="AL150" i="2"/>
  <c r="AN150" i="2" s="1"/>
  <c r="AO150" i="2" s="1"/>
  <c r="AG212" i="2"/>
  <c r="AF92" i="2"/>
  <c r="AF115" i="2"/>
  <c r="AI136" i="2"/>
  <c r="AG243" i="2"/>
  <c r="AG270" i="2"/>
  <c r="AI270" i="2"/>
  <c r="AF17" i="2"/>
  <c r="AF48" i="2"/>
  <c r="T81" i="2"/>
  <c r="AG82" i="2"/>
  <c r="S88" i="2"/>
  <c r="R88" i="2" s="1"/>
  <c r="AG116" i="2"/>
  <c r="AI149" i="2"/>
  <c r="AG149" i="2"/>
  <c r="AG236" i="2"/>
  <c r="AI236" i="2"/>
  <c r="AF268" i="2"/>
  <c r="AF43" i="2"/>
  <c r="AF131" i="2"/>
  <c r="AF151" i="2"/>
  <c r="BH11" i="2"/>
  <c r="AI24" i="2"/>
  <c r="AF81" i="2"/>
  <c r="AG172" i="2"/>
  <c r="AG119" i="2"/>
  <c r="AG177" i="2"/>
  <c r="AI177" i="2"/>
  <c r="AM82" i="2"/>
  <c r="AA11" i="2"/>
  <c r="AE11" i="2" s="1"/>
  <c r="AF11" i="2" s="1"/>
  <c r="AF28" i="2"/>
  <c r="AF33" i="2"/>
  <c r="Z49" i="2"/>
  <c r="AF49" i="2" s="1"/>
  <c r="AF104" i="2"/>
  <c r="Z164" i="2"/>
  <c r="AI153" i="2"/>
  <c r="AG153" i="2"/>
  <c r="S274" i="2"/>
  <c r="S262" i="2"/>
  <c r="S273" i="2"/>
  <c r="S261" i="2"/>
  <c r="S270" i="2"/>
  <c r="S258" i="2"/>
  <c r="S257" i="2"/>
  <c r="S256" i="2"/>
  <c r="S255" i="2"/>
  <c r="S254" i="2"/>
  <c r="S252" i="2"/>
  <c r="R252" i="2" s="1"/>
  <c r="S242" i="2"/>
  <c r="R242" i="2" s="1"/>
  <c r="S236" i="2"/>
  <c r="R236" i="2" s="1"/>
  <c r="S277" i="2"/>
  <c r="S263" i="2"/>
  <c r="S249" i="2"/>
  <c r="R249" i="2" s="1"/>
  <c r="S246" i="2"/>
  <c r="R246" i="2" s="1"/>
  <c r="S243" i="2"/>
  <c r="R243" i="2" s="1"/>
  <c r="S278" i="2"/>
  <c r="S239" i="2"/>
  <c r="R239" i="2" s="1"/>
  <c r="AL239" i="2" s="1"/>
  <c r="S232" i="2"/>
  <c r="R232" i="2" s="1"/>
  <c r="S272" i="2"/>
  <c r="S269" i="2"/>
  <c r="S266" i="2"/>
  <c r="S247" i="2"/>
  <c r="R247" i="2" s="1"/>
  <c r="AL247" i="2" s="1"/>
  <c r="S245" i="2"/>
  <c r="R245" i="2" s="1"/>
  <c r="S275" i="2"/>
  <c r="S267" i="2"/>
  <c r="S264" i="2"/>
  <c r="S250" i="2"/>
  <c r="R250" i="2" s="1"/>
  <c r="S248" i="2"/>
  <c r="R248" i="2" s="1"/>
  <c r="S240" i="2"/>
  <c r="R240" i="2" s="1"/>
  <c r="S265" i="2"/>
  <c r="S259" i="2"/>
  <c r="S271" i="2"/>
  <c r="S238" i="2"/>
  <c r="R238" i="2" s="1"/>
  <c r="S253" i="2"/>
  <c r="R253" i="2" s="1"/>
  <c r="S276" i="2"/>
  <c r="S234" i="2"/>
  <c r="R234" i="2" s="1"/>
  <c r="S268" i="2"/>
  <c r="S251" i="2"/>
  <c r="R251" i="2" s="1"/>
  <c r="S244" i="2"/>
  <c r="R244" i="2" s="1"/>
  <c r="R231" i="2"/>
  <c r="S233" i="2"/>
  <c r="R233" i="2" s="1"/>
  <c r="S241" i="2"/>
  <c r="R241" i="2" s="1"/>
  <c r="S237" i="2"/>
  <c r="R237" i="2" s="1"/>
  <c r="AL237" i="2" s="1"/>
  <c r="S260" i="2"/>
  <c r="AM260" i="2" s="1"/>
  <c r="AI250" i="2"/>
  <c r="AG250" i="2"/>
  <c r="AG13" i="2"/>
  <c r="AF25" i="2"/>
  <c r="AF64" i="2"/>
  <c r="AF161" i="2"/>
  <c r="T211" i="2"/>
  <c r="T205" i="2"/>
  <c r="T199" i="2"/>
  <c r="T193" i="2"/>
  <c r="T214" i="2"/>
  <c r="AL214" i="2" s="1"/>
  <c r="AN214" i="2" s="1"/>
  <c r="AO214" i="2" s="1"/>
  <c r="T208" i="2"/>
  <c r="T202" i="2"/>
  <c r="T196" i="2"/>
  <c r="T204" i="2"/>
  <c r="T200" i="2"/>
  <c r="T209" i="2"/>
  <c r="T201" i="2"/>
  <c r="T198" i="2"/>
  <c r="T207" i="2"/>
  <c r="T192" i="2"/>
  <c r="T210" i="2"/>
  <c r="T197" i="2"/>
  <c r="T212" i="2"/>
  <c r="AL212" i="2" s="1"/>
  <c r="AN212" i="2" s="1"/>
  <c r="AO212" i="2" s="1"/>
  <c r="T194" i="2"/>
  <c r="T195" i="2"/>
  <c r="T203" i="2"/>
  <c r="AL203" i="2" s="1"/>
  <c r="T206" i="2"/>
  <c r="AG195" i="2"/>
  <c r="AI195" i="2"/>
  <c r="AI213" i="2"/>
  <c r="AG213" i="2"/>
  <c r="AG27" i="2"/>
  <c r="AF147" i="2"/>
  <c r="AF255" i="2"/>
  <c r="AL27" i="2"/>
  <c r="AN27" i="2" s="1"/>
  <c r="AO27" i="2" s="1"/>
  <c r="AF15" i="2"/>
  <c r="Z34" i="2"/>
  <c r="AF34" i="2" s="1"/>
  <c r="S78" i="2"/>
  <c r="R78" i="2" s="1"/>
  <c r="AF83" i="2"/>
  <c r="T85" i="2"/>
  <c r="AF87" i="2"/>
  <c r="S89" i="2"/>
  <c r="R89" i="2" s="1"/>
  <c r="AF113" i="2"/>
  <c r="AF114" i="2"/>
  <c r="AF117" i="2"/>
  <c r="AF140" i="2"/>
  <c r="AI168" i="2"/>
  <c r="AI191" i="2"/>
  <c r="T235" i="2"/>
  <c r="S63" i="2"/>
  <c r="R63" i="2" s="1"/>
  <c r="S57" i="2"/>
  <c r="R57" i="2" s="1"/>
  <c r="S51" i="2"/>
  <c r="R51" i="2" s="1"/>
  <c r="S45" i="2"/>
  <c r="R45" i="2" s="1"/>
  <c r="S59" i="2"/>
  <c r="R59" i="2" s="1"/>
  <c r="S53" i="2"/>
  <c r="R53" i="2" s="1"/>
  <c r="AL53" i="2" s="1"/>
  <c r="AN53" i="2" s="1"/>
  <c r="AO53" i="2" s="1"/>
  <c r="S47" i="2"/>
  <c r="R47" i="2" s="1"/>
  <c r="Z42" i="2"/>
  <c r="AF42" i="2" s="1"/>
  <c r="S46" i="2"/>
  <c r="R46" i="2" s="1"/>
  <c r="Z71" i="2"/>
  <c r="AF71" i="2" s="1"/>
  <c r="AF72" i="2"/>
  <c r="AF79" i="2"/>
  <c r="AF85" i="2"/>
  <c r="AF91" i="2"/>
  <c r="Z118" i="2"/>
  <c r="AF164" i="2"/>
  <c r="AF198" i="2"/>
  <c r="AG246" i="2"/>
  <c r="AI246" i="2"/>
  <c r="Z251" i="2"/>
  <c r="AF251" i="2" s="1"/>
  <c r="AI266" i="2"/>
  <c r="AG266" i="2"/>
  <c r="AF277" i="2"/>
  <c r="T63" i="2"/>
  <c r="T57" i="2"/>
  <c r="T51" i="2"/>
  <c r="T45" i="2"/>
  <c r="T46" i="2"/>
  <c r="S56" i="2"/>
  <c r="R56" i="2" s="1"/>
  <c r="S61" i="2"/>
  <c r="R61" i="2" s="1"/>
  <c r="Z105" i="2"/>
  <c r="AF105" i="2" s="1"/>
  <c r="AF134" i="2"/>
  <c r="Z166" i="2"/>
  <c r="AF166" i="2" s="1"/>
  <c r="AF169" i="2"/>
  <c r="Z171" i="2"/>
  <c r="AF171" i="2" s="1"/>
  <c r="AF210" i="2"/>
  <c r="AF211" i="2"/>
  <c r="AE252" i="2"/>
  <c r="AF252" i="2" s="1"/>
  <c r="AI231" i="2"/>
  <c r="AG231" i="2"/>
  <c r="AI141" i="2"/>
  <c r="AG141" i="2"/>
  <c r="AF192" i="2"/>
  <c r="AF193" i="2"/>
  <c r="AF21" i="2"/>
  <c r="T43" i="2"/>
  <c r="T48" i="2"/>
  <c r="AF78" i="2"/>
  <c r="AF84" i="2"/>
  <c r="AF90" i="2"/>
  <c r="AF184" i="2"/>
  <c r="AF238" i="2"/>
  <c r="S50" i="2"/>
  <c r="R50" i="2" s="1"/>
  <c r="S55" i="2"/>
  <c r="R55" i="2" s="1"/>
  <c r="S60" i="2"/>
  <c r="R60" i="2" s="1"/>
  <c r="AF121" i="2"/>
  <c r="AI145" i="2"/>
  <c r="AF173" i="2"/>
  <c r="AF235" i="2"/>
  <c r="AG275" i="2"/>
  <c r="AI275" i="2"/>
  <c r="S166" i="2"/>
  <c r="R166" i="2" s="1"/>
  <c r="T171" i="2"/>
  <c r="S175" i="2"/>
  <c r="R175" i="2" s="1"/>
  <c r="S181" i="2"/>
  <c r="R181" i="2" s="1"/>
  <c r="AI196" i="2"/>
  <c r="AG196" i="2"/>
  <c r="AM203" i="2"/>
  <c r="Z205" i="2"/>
  <c r="AF205" i="2" s="1"/>
  <c r="AF209" i="2"/>
  <c r="AF137" i="2"/>
  <c r="T165" i="2"/>
  <c r="T170" i="2"/>
  <c r="AL170" i="2" s="1"/>
  <c r="AN170" i="2" s="1"/>
  <c r="AO170" i="2" s="1"/>
  <c r="AF248" i="2"/>
  <c r="S183" i="2"/>
  <c r="R183" i="2" s="1"/>
  <c r="S179" i="2"/>
  <c r="R179" i="2" s="1"/>
  <c r="S167" i="2"/>
  <c r="R167" i="2" s="1"/>
  <c r="S169" i="2"/>
  <c r="R169" i="2" s="1"/>
  <c r="S163" i="2"/>
  <c r="R163" i="2" s="1"/>
  <c r="R161" i="2"/>
  <c r="AF257" i="2"/>
  <c r="AF265" i="2"/>
  <c r="T184" i="2"/>
  <c r="T178" i="2"/>
  <c r="T172" i="2"/>
  <c r="T183" i="2"/>
  <c r="T179" i="2"/>
  <c r="T167" i="2"/>
  <c r="T176" i="2"/>
  <c r="T181" i="2"/>
  <c r="T177" i="2"/>
  <c r="T173" i="2"/>
  <c r="AF175" i="2"/>
  <c r="AF249" i="2"/>
  <c r="AF269" i="2"/>
  <c r="S122" i="2"/>
  <c r="R122" i="2" s="1"/>
  <c r="S116" i="2"/>
  <c r="R116" i="2" s="1"/>
  <c r="AL116" i="2" s="1"/>
  <c r="S110" i="2"/>
  <c r="R110" i="2" s="1"/>
  <c r="S104" i="2"/>
  <c r="R104" i="2" s="1"/>
  <c r="S119" i="2"/>
  <c r="R119" i="2" s="1"/>
  <c r="AL119" i="2" s="1"/>
  <c r="S123" i="2"/>
  <c r="R123" i="2" s="1"/>
  <c r="AF199" i="2"/>
  <c r="AF208" i="2"/>
  <c r="AF245" i="2"/>
  <c r="S106" i="2"/>
  <c r="R106" i="2" s="1"/>
  <c r="Z107" i="2"/>
  <c r="T110" i="2"/>
  <c r="S114" i="2"/>
  <c r="R114" i="2" s="1"/>
  <c r="T119" i="2"/>
  <c r="T123" i="2"/>
  <c r="S164" i="2"/>
  <c r="R164" i="2" s="1"/>
  <c r="T169" i="2"/>
  <c r="AF178" i="2"/>
  <c r="Z234" i="2"/>
  <c r="AF234" i="2" s="1"/>
  <c r="AF244" i="2"/>
  <c r="AE254" i="2"/>
  <c r="AF254" i="2" s="1"/>
  <c r="AF262" i="2"/>
  <c r="AF272" i="2"/>
  <c r="T106" i="2"/>
  <c r="AF143" i="2"/>
  <c r="T164" i="2"/>
  <c r="S171" i="2"/>
  <c r="R171" i="2" s="1"/>
  <c r="S173" i="2"/>
  <c r="R173" i="2" s="1"/>
  <c r="AF176" i="2"/>
  <c r="S177" i="2"/>
  <c r="R177" i="2" s="1"/>
  <c r="AF182" i="2"/>
  <c r="Z192" i="2"/>
  <c r="AF204" i="2"/>
  <c r="AF206" i="2"/>
  <c r="T135" i="2"/>
  <c r="T141" i="2"/>
  <c r="T147" i="2"/>
  <c r="T153" i="2"/>
  <c r="AF276" i="2"/>
  <c r="AF278" i="2"/>
  <c r="AF242" i="2"/>
  <c r="AF263" i="2"/>
  <c r="AF271" i="2"/>
  <c r="AF274" i="2"/>
  <c r="T133" i="2"/>
  <c r="T139" i="2"/>
  <c r="T145" i="2"/>
  <c r="AF197" i="2"/>
  <c r="S132" i="2"/>
  <c r="R132" i="2" s="1"/>
  <c r="S138" i="2"/>
  <c r="R138" i="2" s="1"/>
  <c r="S144" i="2"/>
  <c r="R144" i="2" s="1"/>
  <c r="Z261" i="2"/>
  <c r="Z264" i="2"/>
  <c r="AF264" i="2" s="1"/>
  <c r="S198" i="2"/>
  <c r="R198" i="2" s="1"/>
  <c r="S204" i="2"/>
  <c r="R204" i="2" s="1"/>
  <c r="BF11" i="2"/>
  <c r="AH11" i="4"/>
  <c r="AE62" i="1"/>
  <c r="AE57" i="1"/>
  <c r="AG110" i="1"/>
  <c r="AI110" i="1"/>
  <c r="AF27" i="1"/>
  <c r="Q11" i="1"/>
  <c r="AE17" i="1"/>
  <c r="AD63" i="1"/>
  <c r="AD57" i="1"/>
  <c r="AD61" i="1"/>
  <c r="AD60" i="1"/>
  <c r="AD46" i="1"/>
  <c r="AC41" i="1"/>
  <c r="AD41" i="1" s="1"/>
  <c r="AD58" i="1"/>
  <c r="AD43" i="1"/>
  <c r="AD50" i="1"/>
  <c r="AD53" i="1"/>
  <c r="AD56" i="1"/>
  <c r="AD47" i="1"/>
  <c r="AD64" i="1"/>
  <c r="AF64" i="1" s="1"/>
  <c r="AD55" i="1"/>
  <c r="AD48" i="1"/>
  <c r="AA91" i="1"/>
  <c r="AE91" i="1" s="1"/>
  <c r="AA85" i="1"/>
  <c r="AE85" i="1" s="1"/>
  <c r="AA79" i="1"/>
  <c r="AE79" i="1" s="1"/>
  <c r="AA73" i="1"/>
  <c r="AE73" i="1" s="1"/>
  <c r="AA94" i="1"/>
  <c r="AE94" i="1" s="1"/>
  <c r="AF94" i="1" s="1"/>
  <c r="AA87" i="1"/>
  <c r="AE87" i="1" s="1"/>
  <c r="AF87" i="1" s="1"/>
  <c r="AA80" i="1"/>
  <c r="AE80" i="1" s="1"/>
  <c r="AF80" i="1" s="1"/>
  <c r="AA76" i="1"/>
  <c r="AE76" i="1" s="1"/>
  <c r="AA93" i="1"/>
  <c r="AE93" i="1" s="1"/>
  <c r="AA92" i="1"/>
  <c r="AE92" i="1" s="1"/>
  <c r="AF92" i="1" s="1"/>
  <c r="AA90" i="1"/>
  <c r="AE90" i="1" s="1"/>
  <c r="AA82" i="1"/>
  <c r="AE82" i="1" s="1"/>
  <c r="AA72" i="1"/>
  <c r="AE72" i="1" s="1"/>
  <c r="AF72" i="1" s="1"/>
  <c r="AA84" i="1"/>
  <c r="AE84" i="1" s="1"/>
  <c r="AA86" i="1"/>
  <c r="AE86" i="1" s="1"/>
  <c r="AF86" i="1" s="1"/>
  <c r="AA88" i="1"/>
  <c r="AE88" i="1" s="1"/>
  <c r="AF88" i="1" s="1"/>
  <c r="AA75" i="1"/>
  <c r="AE75" i="1" s="1"/>
  <c r="AF75" i="1" s="1"/>
  <c r="AA83" i="1"/>
  <c r="AE83" i="1" s="1"/>
  <c r="AA77" i="1"/>
  <c r="AE77" i="1" s="1"/>
  <c r="AF77" i="1" s="1"/>
  <c r="AA89" i="1"/>
  <c r="AE89" i="1" s="1"/>
  <c r="AA81" i="1"/>
  <c r="AE81" i="1" s="1"/>
  <c r="AA74" i="1"/>
  <c r="AE74" i="1" s="1"/>
  <c r="AG104" i="1"/>
  <c r="AI104" i="1"/>
  <c r="AD91" i="1"/>
  <c r="AD84" i="1"/>
  <c r="AD73" i="1"/>
  <c r="AD93" i="1"/>
  <c r="AD87" i="1"/>
  <c r="AD79" i="1"/>
  <c r="AD82" i="1"/>
  <c r="AD76" i="1"/>
  <c r="AD80" i="1"/>
  <c r="AD86" i="1"/>
  <c r="AD94" i="1"/>
  <c r="AD88" i="1"/>
  <c r="AD75" i="1"/>
  <c r="AC71" i="1"/>
  <c r="AD71" i="1" s="1"/>
  <c r="AD89" i="1"/>
  <c r="AD85" i="1"/>
  <c r="AD74" i="1"/>
  <c r="AD83" i="1"/>
  <c r="AD81" i="1"/>
  <c r="AD72" i="1"/>
  <c r="AD92" i="1"/>
  <c r="AD78" i="1"/>
  <c r="AD90" i="1"/>
  <c r="AD34" i="1"/>
  <c r="AD28" i="1"/>
  <c r="AF28" i="1" s="1"/>
  <c r="AD33" i="1"/>
  <c r="AC11" i="1"/>
  <c r="AD11" i="1" s="1"/>
  <c r="AD29" i="1"/>
  <c r="AD25" i="1"/>
  <c r="AD19" i="1"/>
  <c r="AD13" i="1"/>
  <c r="AD26" i="1"/>
  <c r="AD20" i="1"/>
  <c r="AD30" i="1"/>
  <c r="AD24" i="1"/>
  <c r="AD21" i="1"/>
  <c r="AD15" i="1"/>
  <c r="AF15" i="1" s="1"/>
  <c r="AD16" i="1"/>
  <c r="AD18" i="1"/>
  <c r="AF52" i="1"/>
  <c r="AF16" i="1"/>
  <c r="AD23" i="1"/>
  <c r="AE48" i="1"/>
  <c r="AD51" i="1"/>
  <c r="AE61" i="1"/>
  <c r="AD77" i="1"/>
  <c r="AI145" i="1"/>
  <c r="AG145" i="1"/>
  <c r="AI235" i="1"/>
  <c r="AG235" i="1"/>
  <c r="AE23" i="1"/>
  <c r="AF23" i="1" s="1"/>
  <c r="AE31" i="1"/>
  <c r="AF31" i="1" s="1"/>
  <c r="AA56" i="1"/>
  <c r="AE56" i="1" s="1"/>
  <c r="AF56" i="1" s="1"/>
  <c r="AA50" i="1"/>
  <c r="AE50" i="1" s="1"/>
  <c r="AA44" i="1"/>
  <c r="AE44" i="1" s="1"/>
  <c r="AA60" i="1"/>
  <c r="AE60" i="1" s="1"/>
  <c r="AA55" i="1"/>
  <c r="AE55" i="1" s="1"/>
  <c r="AF55" i="1" s="1"/>
  <c r="AA42" i="1"/>
  <c r="AE42" i="1" s="1"/>
  <c r="T42" i="1"/>
  <c r="T46" i="1"/>
  <c r="S53" i="1"/>
  <c r="R53" i="1" s="1"/>
  <c r="T63" i="1"/>
  <c r="AA123" i="1"/>
  <c r="AE123" i="1" s="1"/>
  <c r="AF123" i="1" s="1"/>
  <c r="AA119" i="1"/>
  <c r="AE119" i="1" s="1"/>
  <c r="AA115" i="1"/>
  <c r="AE115" i="1" s="1"/>
  <c r="AF115" i="1" s="1"/>
  <c r="AA111" i="1"/>
  <c r="AE111" i="1" s="1"/>
  <c r="AF111" i="1" s="1"/>
  <c r="AA107" i="1"/>
  <c r="AE107" i="1" s="1"/>
  <c r="AF107" i="1" s="1"/>
  <c r="AA103" i="1"/>
  <c r="AE103" i="1" s="1"/>
  <c r="AF103" i="1" s="1"/>
  <c r="AA124" i="1"/>
  <c r="AE124" i="1" s="1"/>
  <c r="AA112" i="1"/>
  <c r="AE112" i="1" s="1"/>
  <c r="AF112" i="1" s="1"/>
  <c r="AA120" i="1"/>
  <c r="AE120" i="1" s="1"/>
  <c r="AA121" i="1"/>
  <c r="AE121" i="1" s="1"/>
  <c r="AF121" i="1" s="1"/>
  <c r="AA118" i="1"/>
  <c r="AE118" i="1" s="1"/>
  <c r="AF118" i="1" s="1"/>
  <c r="AA105" i="1"/>
  <c r="AE105" i="1" s="1"/>
  <c r="AF105" i="1" s="1"/>
  <c r="AA114" i="1"/>
  <c r="AE114" i="1" s="1"/>
  <c r="AF114" i="1" s="1"/>
  <c r="AA106" i="1"/>
  <c r="AE106" i="1" s="1"/>
  <c r="AF106" i="1" s="1"/>
  <c r="AI234" i="1"/>
  <c r="AG234" i="1"/>
  <c r="AG259" i="1"/>
  <c r="AI259" i="1"/>
  <c r="AI276" i="1"/>
  <c r="AG276" i="1"/>
  <c r="AD31" i="1"/>
  <c r="AD44" i="1"/>
  <c r="AI135" i="1"/>
  <c r="AG135" i="1"/>
  <c r="AI261" i="1"/>
  <c r="AG261" i="1"/>
  <c r="AE14" i="1"/>
  <c r="AF14" i="1" s="1"/>
  <c r="Q41" i="1"/>
  <c r="AE45" i="1"/>
  <c r="S47" i="1"/>
  <c r="R47" i="1" s="1"/>
  <c r="AD62" i="1"/>
  <c r="Z94" i="1"/>
  <c r="AD12" i="1"/>
  <c r="AD14" i="1"/>
  <c r="AD17" i="1"/>
  <c r="AD45" i="1"/>
  <c r="AA78" i="1"/>
  <c r="AE78" i="1" s="1"/>
  <c r="AF78" i="1" s="1"/>
  <c r="S122" i="1"/>
  <c r="R122" i="1" s="1"/>
  <c r="S116" i="1"/>
  <c r="R116" i="1" s="1"/>
  <c r="S110" i="1"/>
  <c r="R110" i="1" s="1"/>
  <c r="S104" i="1"/>
  <c r="R104" i="1" s="1"/>
  <c r="S113" i="1"/>
  <c r="R113" i="1" s="1"/>
  <c r="S121" i="1"/>
  <c r="R121" i="1" s="1"/>
  <c r="S117" i="1"/>
  <c r="R117" i="1" s="1"/>
  <c r="S109" i="1"/>
  <c r="R109" i="1" s="1"/>
  <c r="S118" i="1"/>
  <c r="R118" i="1" s="1"/>
  <c r="S114" i="1"/>
  <c r="R114" i="1" s="1"/>
  <c r="S106" i="1"/>
  <c r="R106" i="1" s="1"/>
  <c r="S119" i="1"/>
  <c r="R119" i="1" s="1"/>
  <c r="S108" i="1"/>
  <c r="R108" i="1" s="1"/>
  <c r="S102" i="1"/>
  <c r="R102" i="1" s="1"/>
  <c r="S111" i="1"/>
  <c r="R111" i="1" s="1"/>
  <c r="R101" i="1"/>
  <c r="S115" i="1"/>
  <c r="R115" i="1" s="1"/>
  <c r="S107" i="1"/>
  <c r="R107" i="1" s="1"/>
  <c r="S120" i="1"/>
  <c r="R120" i="1" s="1"/>
  <c r="S123" i="1"/>
  <c r="R123" i="1" s="1"/>
  <c r="AD149" i="1"/>
  <c r="AD150" i="1"/>
  <c r="AD143" i="1"/>
  <c r="AD139" i="1"/>
  <c r="AD132" i="1"/>
  <c r="AD154" i="1"/>
  <c r="AD151" i="1"/>
  <c r="AD147" i="1"/>
  <c r="AD136" i="1"/>
  <c r="AD140" i="1"/>
  <c r="AD144" i="1"/>
  <c r="AD137" i="1"/>
  <c r="AF137" i="1" s="1"/>
  <c r="AD133" i="1"/>
  <c r="AD146" i="1"/>
  <c r="AD134" i="1"/>
  <c r="AI195" i="1"/>
  <c r="AG195" i="1"/>
  <c r="AD22" i="1"/>
  <c r="AF22" i="1" s="1"/>
  <c r="AD27" i="1"/>
  <c r="R41" i="1"/>
  <c r="S43" i="1"/>
  <c r="R43" i="1" s="1"/>
  <c r="S50" i="1"/>
  <c r="R50" i="1" s="1"/>
  <c r="AD52" i="1"/>
  <c r="S60" i="1"/>
  <c r="R60" i="1" s="1"/>
  <c r="O71" i="1"/>
  <c r="AA71" i="1" s="1"/>
  <c r="AE71" i="1" s="1"/>
  <c r="S124" i="1"/>
  <c r="R124" i="1" s="1"/>
  <c r="AE30" i="1"/>
  <c r="AF30" i="1" s="1"/>
  <c r="S55" i="1"/>
  <c r="R55" i="1" s="1"/>
  <c r="S112" i="1"/>
  <c r="R112" i="1" s="1"/>
  <c r="Q161" i="1"/>
  <c r="AE167" i="1"/>
  <c r="AF167" i="1" s="1"/>
  <c r="AC191" i="1"/>
  <c r="AD191" i="1" s="1"/>
  <c r="AD211" i="1"/>
  <c r="AD205" i="1"/>
  <c r="AD212" i="1"/>
  <c r="AD206" i="1"/>
  <c r="AD200" i="1"/>
  <c r="AD214" i="1"/>
  <c r="AF214" i="1" s="1"/>
  <c r="AD207" i="1"/>
  <c r="AD204" i="1"/>
  <c r="AD196" i="1"/>
  <c r="AF196" i="1" s="1"/>
  <c r="AD197" i="1"/>
  <c r="AD202" i="1"/>
  <c r="AD208" i="1"/>
  <c r="AF208" i="1" s="1"/>
  <c r="AD194" i="1"/>
  <c r="AD213" i="1"/>
  <c r="AD210" i="1"/>
  <c r="AD199" i="1"/>
  <c r="AD193" i="1"/>
  <c r="AD32" i="1"/>
  <c r="AF32" i="1" s="1"/>
  <c r="AD54" i="1"/>
  <c r="S56" i="1"/>
  <c r="R56" i="1" s="1"/>
  <c r="AD59" i="1"/>
  <c r="AF59" i="1" s="1"/>
  <c r="AE47" i="1"/>
  <c r="AF47" i="1" s="1"/>
  <c r="S62" i="1"/>
  <c r="R62" i="1" s="1"/>
  <c r="S103" i="1"/>
  <c r="R103" i="1" s="1"/>
  <c r="T174" i="1"/>
  <c r="T182" i="1"/>
  <c r="T170" i="1"/>
  <c r="T162" i="1"/>
  <c r="T175" i="1"/>
  <c r="T163" i="1"/>
  <c r="T183" i="1"/>
  <c r="T179" i="1"/>
  <c r="T171" i="1"/>
  <c r="T181" i="1"/>
  <c r="T177" i="1"/>
  <c r="T169" i="1"/>
  <c r="T167" i="1"/>
  <c r="T176" i="1"/>
  <c r="T165" i="1"/>
  <c r="T184" i="1"/>
  <c r="T164" i="1"/>
  <c r="T168" i="1"/>
  <c r="T178" i="1"/>
  <c r="T180" i="1"/>
  <c r="T173" i="1"/>
  <c r="T172" i="1"/>
  <c r="AE21" i="1"/>
  <c r="AF21" i="1" s="1"/>
  <c r="AF117" i="1"/>
  <c r="AF122" i="1"/>
  <c r="S59" i="1"/>
  <c r="R59" i="1" s="1"/>
  <c r="S58" i="1"/>
  <c r="R58" i="1" s="1"/>
  <c r="S64" i="1"/>
  <c r="R64" i="1" s="1"/>
  <c r="S61" i="1"/>
  <c r="R61" i="1" s="1"/>
  <c r="S44" i="1"/>
  <c r="R44" i="1" s="1"/>
  <c r="S51" i="1"/>
  <c r="R51" i="1" s="1"/>
  <c r="S57" i="1"/>
  <c r="R57" i="1" s="1"/>
  <c r="S54" i="1"/>
  <c r="R54" i="1" s="1"/>
  <c r="S48" i="1"/>
  <c r="R48" i="1" s="1"/>
  <c r="S45" i="1"/>
  <c r="R45" i="1" s="1"/>
  <c r="T53" i="1"/>
  <c r="T47" i="1"/>
  <c r="T51" i="1"/>
  <c r="T59" i="1"/>
  <c r="T57" i="1"/>
  <c r="T54" i="1"/>
  <c r="T48" i="1"/>
  <c r="T64" i="1"/>
  <c r="T45" i="1"/>
  <c r="T62" i="1"/>
  <c r="T49" i="1"/>
  <c r="AD42" i="1"/>
  <c r="T44" i="1"/>
  <c r="T55" i="1"/>
  <c r="T61" i="1"/>
  <c r="AA24" i="1"/>
  <c r="AE24" i="1" s="1"/>
  <c r="AF24" i="1" s="1"/>
  <c r="AA18" i="1"/>
  <c r="AE18" i="1" s="1"/>
  <c r="AF18" i="1" s="1"/>
  <c r="AA12" i="1"/>
  <c r="AE12" i="1" s="1"/>
  <c r="AF12" i="1" s="1"/>
  <c r="T52" i="1"/>
  <c r="AF116" i="1"/>
  <c r="T151" i="1"/>
  <c r="T145" i="1"/>
  <c r="T139" i="1"/>
  <c r="T133" i="1"/>
  <c r="T152" i="1"/>
  <c r="T148" i="1"/>
  <c r="T141" i="1"/>
  <c r="T153" i="1"/>
  <c r="T150" i="1"/>
  <c r="T134" i="1"/>
  <c r="T142" i="1"/>
  <c r="T138" i="1"/>
  <c r="T135" i="1"/>
  <c r="T147" i="1"/>
  <c r="T132" i="1"/>
  <c r="T154" i="1"/>
  <c r="T144" i="1"/>
  <c r="T137" i="1"/>
  <c r="T146" i="1"/>
  <c r="T136" i="1"/>
  <c r="T149" i="1"/>
  <c r="AD49" i="1"/>
  <c r="AF49" i="1" s="1"/>
  <c r="AE54" i="1"/>
  <c r="AF54" i="1" s="1"/>
  <c r="S49" i="1"/>
  <c r="R49" i="1" s="1"/>
  <c r="AE51" i="1"/>
  <c r="AF51" i="1" s="1"/>
  <c r="AF138" i="1"/>
  <c r="Z105" i="1"/>
  <c r="AE200" i="1"/>
  <c r="AE197" i="1"/>
  <c r="AF197" i="1" s="1"/>
  <c r="AF233" i="1"/>
  <c r="AF231" i="1"/>
  <c r="AG277" i="1"/>
  <c r="AI277" i="1"/>
  <c r="Z148" i="1"/>
  <c r="AF232" i="1"/>
  <c r="AF248" i="1"/>
  <c r="AM253" i="1"/>
  <c r="AL253" i="1"/>
  <c r="AN253" i="1" s="1"/>
  <c r="AO253" i="1" s="1"/>
  <c r="AD182" i="1"/>
  <c r="AD176" i="1"/>
  <c r="AD170" i="1"/>
  <c r="AD164" i="1"/>
  <c r="AD184" i="1"/>
  <c r="AD172" i="1"/>
  <c r="AD181" i="1"/>
  <c r="AD177" i="1"/>
  <c r="AD173" i="1"/>
  <c r="AD169" i="1"/>
  <c r="AD165" i="1"/>
  <c r="AF165" i="1" s="1"/>
  <c r="AD180" i="1"/>
  <c r="AD168" i="1"/>
  <c r="AC161" i="1"/>
  <c r="AD161" i="1" s="1"/>
  <c r="AD178" i="1"/>
  <c r="AD175" i="1"/>
  <c r="AD162" i="1"/>
  <c r="AD166" i="1"/>
  <c r="AD183" i="1"/>
  <c r="AD171" i="1"/>
  <c r="AF209" i="1"/>
  <c r="AE166" i="1"/>
  <c r="AA20" i="1"/>
  <c r="AE20" i="1" s="1"/>
  <c r="AF20" i="1" s="1"/>
  <c r="AA26" i="1"/>
  <c r="AE26" i="1" s="1"/>
  <c r="AF26" i="1" s="1"/>
  <c r="AA34" i="1"/>
  <c r="AE34" i="1" s="1"/>
  <c r="AF34" i="1" s="1"/>
  <c r="AA53" i="1"/>
  <c r="AE53" i="1" s="1"/>
  <c r="S78" i="1"/>
  <c r="R78" i="1" s="1"/>
  <c r="S80" i="1"/>
  <c r="R80" i="1" s="1"/>
  <c r="S77" i="1"/>
  <c r="R77" i="1" s="1"/>
  <c r="S94" i="1"/>
  <c r="R94" i="1" s="1"/>
  <c r="S83" i="1"/>
  <c r="R83" i="1" s="1"/>
  <c r="S72" i="1"/>
  <c r="R72" i="1" s="1"/>
  <c r="R71" i="1"/>
  <c r="S76" i="1"/>
  <c r="R76" i="1" s="1"/>
  <c r="AA108" i="1"/>
  <c r="AE108" i="1" s="1"/>
  <c r="AA63" i="1"/>
  <c r="AE63" i="1" s="1"/>
  <c r="AF63" i="1" s="1"/>
  <c r="T94" i="1"/>
  <c r="T88" i="1"/>
  <c r="T82" i="1"/>
  <c r="T76" i="1"/>
  <c r="T83" i="1"/>
  <c r="T86" i="1"/>
  <c r="S85" i="1"/>
  <c r="R85" i="1" s="1"/>
  <c r="S87" i="1"/>
  <c r="R87" i="1" s="1"/>
  <c r="S89" i="1"/>
  <c r="R89" i="1" s="1"/>
  <c r="O101" i="1"/>
  <c r="AA101" i="1" s="1"/>
  <c r="AE101" i="1" s="1"/>
  <c r="AF101" i="1" s="1"/>
  <c r="AA109" i="1"/>
  <c r="AE109" i="1" s="1"/>
  <c r="AF109" i="1" s="1"/>
  <c r="AA113" i="1"/>
  <c r="AE113" i="1" s="1"/>
  <c r="AF113" i="1" s="1"/>
  <c r="AA154" i="1"/>
  <c r="AE154" i="1" s="1"/>
  <c r="AF154" i="1" s="1"/>
  <c r="AA148" i="1"/>
  <c r="AE148" i="1" s="1"/>
  <c r="AA142" i="1"/>
  <c r="AE142" i="1" s="1"/>
  <c r="AF142" i="1" s="1"/>
  <c r="AA136" i="1"/>
  <c r="AE136" i="1" s="1"/>
  <c r="AF136" i="1" s="1"/>
  <c r="AA146" i="1"/>
  <c r="AE146" i="1" s="1"/>
  <c r="AF146" i="1" s="1"/>
  <c r="O131" i="1"/>
  <c r="AA131" i="1" s="1"/>
  <c r="AE131" i="1" s="1"/>
  <c r="AA143" i="1"/>
  <c r="AE143" i="1" s="1"/>
  <c r="AF143" i="1" s="1"/>
  <c r="AA139" i="1"/>
  <c r="AE139" i="1" s="1"/>
  <c r="AF139" i="1" s="1"/>
  <c r="AA132" i="1"/>
  <c r="AE132" i="1" s="1"/>
  <c r="AF132" i="1" s="1"/>
  <c r="AA151" i="1"/>
  <c r="AE151" i="1" s="1"/>
  <c r="AF151" i="1" s="1"/>
  <c r="AA149" i="1"/>
  <c r="AE149" i="1" s="1"/>
  <c r="AA147" i="1"/>
  <c r="AE147" i="1" s="1"/>
  <c r="AF147" i="1" s="1"/>
  <c r="AA140" i="1"/>
  <c r="AE140" i="1" s="1"/>
  <c r="AF140" i="1" s="1"/>
  <c r="AI239" i="1"/>
  <c r="AG239" i="1"/>
  <c r="AI245" i="1"/>
  <c r="AG245" i="1"/>
  <c r="AA19" i="1"/>
  <c r="AE19" i="1" s="1"/>
  <c r="AF19" i="1" s="1"/>
  <c r="AA25" i="1"/>
  <c r="AE25" i="1" s="1"/>
  <c r="AF25" i="1" s="1"/>
  <c r="AA29" i="1"/>
  <c r="AE29" i="1" s="1"/>
  <c r="AF29" i="1" s="1"/>
  <c r="AA43" i="1"/>
  <c r="AE43" i="1" s="1"/>
  <c r="AF43" i="1" s="1"/>
  <c r="AA58" i="1"/>
  <c r="AE58" i="1" s="1"/>
  <c r="T85" i="1"/>
  <c r="T87" i="1"/>
  <c r="T89" i="1"/>
  <c r="AD120" i="1"/>
  <c r="AD114" i="1"/>
  <c r="AD108" i="1"/>
  <c r="AD102" i="1"/>
  <c r="AF102" i="1" s="1"/>
  <c r="AE133" i="1"/>
  <c r="AF133" i="1" s="1"/>
  <c r="AE141" i="1"/>
  <c r="AF141" i="1" s="1"/>
  <c r="AF236" i="1"/>
  <c r="AF243" i="1"/>
  <c r="AA13" i="1"/>
  <c r="AE13" i="1" s="1"/>
  <c r="AF13" i="1" s="1"/>
  <c r="O11" i="1"/>
  <c r="AA11" i="1" s="1"/>
  <c r="AA33" i="1"/>
  <c r="AE33" i="1" s="1"/>
  <c r="O41" i="1"/>
  <c r="AA41" i="1" s="1"/>
  <c r="AA46" i="1"/>
  <c r="AE46" i="1" s="1"/>
  <c r="AF46" i="1" s="1"/>
  <c r="Z64" i="1"/>
  <c r="S81" i="1"/>
  <c r="R81" i="1" s="1"/>
  <c r="S93" i="1"/>
  <c r="R93" i="1" s="1"/>
  <c r="AE171" i="1"/>
  <c r="AF171" i="1" s="1"/>
  <c r="AF240" i="1"/>
  <c r="Z57" i="1"/>
  <c r="T77" i="1"/>
  <c r="T81" i="1"/>
  <c r="Z87" i="1"/>
  <c r="S91" i="1"/>
  <c r="R91" i="1" s="1"/>
  <c r="T93" i="1"/>
  <c r="AE144" i="1"/>
  <c r="AF144" i="1" s="1"/>
  <c r="AE152" i="1"/>
  <c r="AF152" i="1" s="1"/>
  <c r="AE179" i="1"/>
  <c r="AF179" i="1" s="1"/>
  <c r="AI273" i="1"/>
  <c r="AG273" i="1"/>
  <c r="AL262" i="1"/>
  <c r="AI264" i="1"/>
  <c r="AG264" i="1"/>
  <c r="AM270" i="1"/>
  <c r="AL270" i="1"/>
  <c r="AN270" i="1" s="1"/>
  <c r="AO270" i="1" s="1"/>
  <c r="AF194" i="1"/>
  <c r="AM249" i="1"/>
  <c r="AL249" i="1"/>
  <c r="AN249" i="1" s="1"/>
  <c r="AO249" i="1" s="1"/>
  <c r="AA153" i="1"/>
  <c r="AE153" i="1" s="1"/>
  <c r="AF153" i="1" s="1"/>
  <c r="AG246" i="1"/>
  <c r="AI246" i="1"/>
  <c r="AC131" i="1"/>
  <c r="AD131" i="1" s="1"/>
  <c r="AA134" i="1"/>
  <c r="AE134" i="1" s="1"/>
  <c r="AF134" i="1" s="1"/>
  <c r="AD153" i="1"/>
  <c r="AI252" i="1"/>
  <c r="AG252" i="1"/>
  <c r="AI267" i="1"/>
  <c r="AG267" i="1"/>
  <c r="T113" i="1"/>
  <c r="T121" i="1"/>
  <c r="T117" i="1"/>
  <c r="T109" i="1"/>
  <c r="T105" i="1"/>
  <c r="T118" i="1"/>
  <c r="T106" i="1"/>
  <c r="T114" i="1"/>
  <c r="T102" i="1"/>
  <c r="T104" i="1"/>
  <c r="T122" i="1"/>
  <c r="Z124" i="1"/>
  <c r="AA150" i="1"/>
  <c r="AE150" i="1" s="1"/>
  <c r="AA180" i="1"/>
  <c r="AE180" i="1" s="1"/>
  <c r="AF180" i="1" s="1"/>
  <c r="AA168" i="1"/>
  <c r="AE168" i="1" s="1"/>
  <c r="AF168" i="1" s="1"/>
  <c r="AA176" i="1"/>
  <c r="AE176" i="1" s="1"/>
  <c r="AF176" i="1" s="1"/>
  <c r="AA164" i="1"/>
  <c r="AE164" i="1" s="1"/>
  <c r="AA181" i="1"/>
  <c r="AE181" i="1" s="1"/>
  <c r="AF181" i="1" s="1"/>
  <c r="AA177" i="1"/>
  <c r="AE177" i="1" s="1"/>
  <c r="AF177" i="1" s="1"/>
  <c r="AA173" i="1"/>
  <c r="AE173" i="1" s="1"/>
  <c r="AA169" i="1"/>
  <c r="AE169" i="1" s="1"/>
  <c r="AF169" i="1" s="1"/>
  <c r="AE174" i="1"/>
  <c r="AF174" i="1" s="1"/>
  <c r="AM247" i="1"/>
  <c r="AL247" i="1"/>
  <c r="AG265" i="1"/>
  <c r="AI265" i="1"/>
  <c r="AI274" i="1"/>
  <c r="AG274" i="1"/>
  <c r="AA183" i="1"/>
  <c r="AE183" i="1" s="1"/>
  <c r="AF183" i="1" s="1"/>
  <c r="AD192" i="1"/>
  <c r="AD201" i="1"/>
  <c r="AF201" i="1" s="1"/>
  <c r="AE202" i="1"/>
  <c r="AF202" i="1" s="1"/>
  <c r="AM254" i="1"/>
  <c r="AL254" i="1"/>
  <c r="AN254" i="1" s="1"/>
  <c r="AO254" i="1" s="1"/>
  <c r="AF263" i="1"/>
  <c r="AI275" i="1"/>
  <c r="AG275" i="1"/>
  <c r="AS27" i="3"/>
  <c r="AS25" i="3"/>
  <c r="AS24" i="3"/>
  <c r="AS23" i="3"/>
  <c r="AS15" i="3"/>
  <c r="AS13" i="3"/>
  <c r="AR11" i="3"/>
  <c r="AS11" i="3" s="1"/>
  <c r="AS33" i="3"/>
  <c r="AS20" i="3"/>
  <c r="AS17" i="3"/>
  <c r="AU17" i="3" s="1"/>
  <c r="AS29" i="3"/>
  <c r="AS28" i="3"/>
  <c r="AS21" i="3"/>
  <c r="AS32" i="3"/>
  <c r="AS26" i="3"/>
  <c r="AS22" i="3"/>
  <c r="AS19" i="3"/>
  <c r="AU19" i="3" s="1"/>
  <c r="AS14" i="3"/>
  <c r="AS30" i="3"/>
  <c r="AS18" i="3"/>
  <c r="AS31" i="3"/>
  <c r="AS34" i="3"/>
  <c r="AS12" i="3"/>
  <c r="AF266" i="1"/>
  <c r="AM278" i="1"/>
  <c r="AL278" i="1"/>
  <c r="AF237" i="1"/>
  <c r="AF250" i="1"/>
  <c r="AI271" i="1"/>
  <c r="AG271" i="1"/>
  <c r="AS34" i="4"/>
  <c r="AS12" i="4"/>
  <c r="AS32" i="4"/>
  <c r="AS30" i="4"/>
  <c r="AS31" i="4"/>
  <c r="AS29" i="4"/>
  <c r="AS28" i="4"/>
  <c r="AS26" i="4"/>
  <c r="AS27" i="4"/>
  <c r="AS25" i="4"/>
  <c r="AS24" i="4"/>
  <c r="AS22" i="4"/>
  <c r="AS23" i="4"/>
  <c r="AS21" i="4"/>
  <c r="AS20" i="4"/>
  <c r="AS19" i="4"/>
  <c r="AS17" i="4"/>
  <c r="AS16" i="4"/>
  <c r="AS15" i="4"/>
  <c r="AS13" i="4"/>
  <c r="AR11" i="4"/>
  <c r="AS11" i="4" s="1"/>
  <c r="AS18" i="4"/>
  <c r="AS33" i="4"/>
  <c r="AS14" i="4"/>
  <c r="AF255" i="1"/>
  <c r="AL272" i="1"/>
  <c r="AF20" i="3"/>
  <c r="AF18" i="3"/>
  <c r="AF34" i="3"/>
  <c r="AF32" i="3"/>
  <c r="AF30" i="3"/>
  <c r="AF28" i="3"/>
  <c r="AF26" i="3"/>
  <c r="AF12" i="3"/>
  <c r="AF31" i="3"/>
  <c r="AF25" i="3"/>
  <c r="AF13" i="3"/>
  <c r="AF22" i="3"/>
  <c r="AF24" i="3"/>
  <c r="AF17" i="3"/>
  <c r="AF14" i="3"/>
  <c r="AF33" i="3"/>
  <c r="AF27" i="3"/>
  <c r="AF16" i="3"/>
  <c r="AF29" i="3"/>
  <c r="AF23" i="3"/>
  <c r="AF21" i="3"/>
  <c r="AF15" i="3"/>
  <c r="AF19" i="3"/>
  <c r="Z119" i="1"/>
  <c r="AA162" i="1"/>
  <c r="AE162" i="1" s="1"/>
  <c r="AF162" i="1" s="1"/>
  <c r="AA170" i="1"/>
  <c r="AE170" i="1" s="1"/>
  <c r="AF170" i="1" s="1"/>
  <c r="AA172" i="1"/>
  <c r="AE172" i="1" s="1"/>
  <c r="AF172" i="1" s="1"/>
  <c r="AA175" i="1"/>
  <c r="AE175" i="1" s="1"/>
  <c r="AF175" i="1" s="1"/>
  <c r="AA182" i="1"/>
  <c r="AE182" i="1" s="1"/>
  <c r="AF182" i="1" s="1"/>
  <c r="AA184" i="1"/>
  <c r="AE184" i="1" s="1"/>
  <c r="AF184" i="1" s="1"/>
  <c r="AA210" i="1"/>
  <c r="AE210" i="1" s="1"/>
  <c r="AF210" i="1" s="1"/>
  <c r="AA204" i="1"/>
  <c r="AE204" i="1" s="1"/>
  <c r="AA198" i="1"/>
  <c r="AE198" i="1" s="1"/>
  <c r="AF198" i="1" s="1"/>
  <c r="AA192" i="1"/>
  <c r="AE192" i="1" s="1"/>
  <c r="AF192" i="1" s="1"/>
  <c r="AE199" i="1"/>
  <c r="AF199" i="1" s="1"/>
  <c r="AE203" i="1"/>
  <c r="AF203" i="1" s="1"/>
  <c r="AF258" i="1"/>
  <c r="AF260" i="1"/>
  <c r="AF269" i="1"/>
  <c r="AK12" i="3"/>
  <c r="Q191" i="1"/>
  <c r="AE191" i="1" s="1"/>
  <c r="AE212" i="1"/>
  <c r="AF212" i="1" s="1"/>
  <c r="AE213" i="1"/>
  <c r="AF213" i="1" s="1"/>
  <c r="AF238" i="1"/>
  <c r="AF241" i="1"/>
  <c r="AF251" i="1"/>
  <c r="AG253" i="1"/>
  <c r="AG254" i="1"/>
  <c r="AA178" i="1"/>
  <c r="AE178" i="1" s="1"/>
  <c r="AF178" i="1" s="1"/>
  <c r="AG247" i="1"/>
  <c r="AF257" i="1"/>
  <c r="AF268" i="1"/>
  <c r="O161" i="1"/>
  <c r="AA161" i="1" s="1"/>
  <c r="Z198" i="1"/>
  <c r="AE206" i="1"/>
  <c r="AE207" i="1"/>
  <c r="R278" i="1"/>
  <c r="R266" i="1"/>
  <c r="R255" i="1"/>
  <c r="R256" i="1"/>
  <c r="R257" i="1"/>
  <c r="R263" i="1"/>
  <c r="R260" i="1"/>
  <c r="R277" i="1"/>
  <c r="R275" i="1"/>
  <c r="R268" i="1"/>
  <c r="R273" i="1"/>
  <c r="R264" i="1"/>
  <c r="R258" i="1"/>
  <c r="R271" i="1"/>
  <c r="R269" i="1"/>
  <c r="R276" i="1"/>
  <c r="R267" i="1"/>
  <c r="R265" i="1"/>
  <c r="R274" i="1"/>
  <c r="Z256" i="1"/>
  <c r="AF256" i="1" s="1"/>
  <c r="Z71" i="1"/>
  <c r="S213" i="1"/>
  <c r="R213" i="1" s="1"/>
  <c r="S207" i="1"/>
  <c r="R207" i="1" s="1"/>
  <c r="S201" i="1"/>
  <c r="R201" i="1" s="1"/>
  <c r="S214" i="1"/>
  <c r="R214" i="1" s="1"/>
  <c r="S208" i="1"/>
  <c r="R208" i="1" s="1"/>
  <c r="S202" i="1"/>
  <c r="R202" i="1" s="1"/>
  <c r="S206" i="1"/>
  <c r="R206" i="1" s="1"/>
  <c r="S205" i="1"/>
  <c r="R205" i="1" s="1"/>
  <c r="S203" i="1"/>
  <c r="R203" i="1" s="1"/>
  <c r="S212" i="1"/>
  <c r="R212" i="1" s="1"/>
  <c r="S277" i="1"/>
  <c r="S265" i="1"/>
  <c r="S256" i="1"/>
  <c r="S243" i="1"/>
  <c r="R243" i="1" s="1"/>
  <c r="S242" i="1"/>
  <c r="R242" i="1" s="1"/>
  <c r="S244" i="1"/>
  <c r="R244" i="1" s="1"/>
  <c r="S257" i="1"/>
  <c r="S245" i="1"/>
  <c r="R245" i="1" s="1"/>
  <c r="S237" i="1"/>
  <c r="R237" i="1" s="1"/>
  <c r="S236" i="1"/>
  <c r="R236" i="1" s="1"/>
  <c r="S235" i="1"/>
  <c r="R235" i="1" s="1"/>
  <c r="S234" i="1"/>
  <c r="R234" i="1" s="1"/>
  <c r="S233" i="1"/>
  <c r="R233" i="1" s="1"/>
  <c r="S232" i="1"/>
  <c r="R232" i="1" s="1"/>
  <c r="S275" i="1"/>
  <c r="S268" i="1"/>
  <c r="S266" i="1"/>
  <c r="S252" i="1"/>
  <c r="R252" i="1" s="1"/>
  <c r="S248" i="1"/>
  <c r="R248" i="1" s="1"/>
  <c r="S273" i="1"/>
  <c r="S264" i="1"/>
  <c r="S258" i="1"/>
  <c r="S250" i="1"/>
  <c r="R250" i="1" s="1"/>
  <c r="S271" i="1"/>
  <c r="S239" i="1"/>
  <c r="R239" i="1" s="1"/>
  <c r="S261" i="1"/>
  <c r="S241" i="1"/>
  <c r="R241" i="1" s="1"/>
  <c r="S276" i="1"/>
  <c r="S274" i="1"/>
  <c r="S278" i="1"/>
  <c r="S262" i="1"/>
  <c r="AM262" i="1" s="1"/>
  <c r="S251" i="1"/>
  <c r="R251" i="1" s="1"/>
  <c r="S272" i="1"/>
  <c r="AM272" i="1" s="1"/>
  <c r="AF244" i="1"/>
  <c r="R261" i="1"/>
  <c r="S269" i="1"/>
  <c r="AN34" i="3"/>
  <c r="AN33" i="3"/>
  <c r="AN32" i="3"/>
  <c r="AN30" i="3"/>
  <c r="AN31" i="3"/>
  <c r="AN29" i="3"/>
  <c r="AN28" i="3"/>
  <c r="AN26" i="3"/>
  <c r="AN27" i="3"/>
  <c r="AN23" i="3"/>
  <c r="AN21" i="3"/>
  <c r="AN19" i="3"/>
  <c r="AN17" i="3"/>
  <c r="AN20" i="3"/>
  <c r="AN12" i="3"/>
  <c r="AN16" i="3"/>
  <c r="AN11" i="3"/>
  <c r="AN15" i="3"/>
  <c r="AN24" i="3"/>
  <c r="AN22" i="3"/>
  <c r="AN25" i="3"/>
  <c r="AN18" i="3"/>
  <c r="AN13" i="3"/>
  <c r="AN14" i="3"/>
  <c r="P11" i="3"/>
  <c r="AF11" i="3" s="1"/>
  <c r="AE21" i="3"/>
  <c r="J22" i="3"/>
  <c r="AE22" i="3" s="1"/>
  <c r="T213" i="1"/>
  <c r="T207" i="1"/>
  <c r="T201" i="1"/>
  <c r="T195" i="1"/>
  <c r="T214" i="1"/>
  <c r="T208" i="1"/>
  <c r="T202" i="1"/>
  <c r="Z211" i="1"/>
  <c r="S184" i="1"/>
  <c r="R184" i="1" s="1"/>
  <c r="S178" i="1"/>
  <c r="R178" i="1" s="1"/>
  <c r="S172" i="1"/>
  <c r="R172" i="1" s="1"/>
  <c r="S166" i="1"/>
  <c r="R166" i="1" s="1"/>
  <c r="AE193" i="1"/>
  <c r="T212" i="1"/>
  <c r="AF242" i="1"/>
  <c r="AP11" i="3"/>
  <c r="AD11" i="3"/>
  <c r="AH26" i="3"/>
  <c r="AU31" i="3"/>
  <c r="Z163" i="1"/>
  <c r="AF163" i="1" s="1"/>
  <c r="S174" i="1"/>
  <c r="R174" i="1" s="1"/>
  <c r="Z175" i="1"/>
  <c r="T194" i="1"/>
  <c r="T198" i="1"/>
  <c r="AQ28" i="3"/>
  <c r="AT28" i="3" s="1"/>
  <c r="AQ26" i="3"/>
  <c r="AT26" i="3" s="1"/>
  <c r="AU26" i="3" s="1"/>
  <c r="AQ27" i="3"/>
  <c r="AT27" i="3" s="1"/>
  <c r="AQ25" i="3"/>
  <c r="AT25" i="3" s="1"/>
  <c r="AQ24" i="3"/>
  <c r="AT24" i="3" s="1"/>
  <c r="AU24" i="3" s="1"/>
  <c r="AQ23" i="3"/>
  <c r="AT23" i="3" s="1"/>
  <c r="AU23" i="3" s="1"/>
  <c r="AQ16" i="3"/>
  <c r="AT16" i="3" s="1"/>
  <c r="AU16" i="3" s="1"/>
  <c r="AQ14" i="3"/>
  <c r="AT14" i="3" s="1"/>
  <c r="AU14" i="3" s="1"/>
  <c r="AQ34" i="3"/>
  <c r="AT34" i="3" s="1"/>
  <c r="AQ12" i="3"/>
  <c r="AT12" i="3" s="1"/>
  <c r="AU12" i="3" s="1"/>
  <c r="AQ30" i="3"/>
  <c r="AT30" i="3" s="1"/>
  <c r="AQ33" i="3"/>
  <c r="AT33" i="3" s="1"/>
  <c r="AU33" i="3" s="1"/>
  <c r="AQ29" i="3"/>
  <c r="AT29" i="3" s="1"/>
  <c r="AQ18" i="3"/>
  <c r="AT18" i="3" s="1"/>
  <c r="AU18" i="3" s="1"/>
  <c r="AQ21" i="3"/>
  <c r="AT21" i="3" s="1"/>
  <c r="AQ15" i="3"/>
  <c r="AT15" i="3" s="1"/>
  <c r="AU15" i="3" s="1"/>
  <c r="AU20" i="3"/>
  <c r="AD30" i="3"/>
  <c r="AP30" i="3"/>
  <c r="Z205" i="1"/>
  <c r="AH19" i="3"/>
  <c r="AH17" i="3"/>
  <c r="AH34" i="3"/>
  <c r="AH33" i="3"/>
  <c r="AH31" i="3"/>
  <c r="AH29" i="3"/>
  <c r="AH27" i="3"/>
  <c r="AH25" i="3"/>
  <c r="S11" i="3"/>
  <c r="AH11" i="3" s="1"/>
  <c r="AH16" i="3"/>
  <c r="AH22" i="3"/>
  <c r="AH30" i="3"/>
  <c r="AH24" i="3"/>
  <c r="AH14" i="3"/>
  <c r="AH32" i="3"/>
  <c r="AH18" i="3"/>
  <c r="AH13" i="3"/>
  <c r="AH28" i="3"/>
  <c r="AD20" i="3"/>
  <c r="AF31" i="4"/>
  <c r="AF29" i="4"/>
  <c r="AF27" i="4"/>
  <c r="AF25" i="4"/>
  <c r="AF24" i="4"/>
  <c r="AF22" i="4"/>
  <c r="AF23" i="4"/>
  <c r="AF21" i="4"/>
  <c r="AF20" i="4"/>
  <c r="AF18" i="4"/>
  <c r="AF19" i="4"/>
  <c r="AF17" i="4"/>
  <c r="AD21" i="3"/>
  <c r="AP21" i="3"/>
  <c r="AE24" i="3"/>
  <c r="AE29" i="3"/>
  <c r="J30" i="3"/>
  <c r="AE30" i="3" s="1"/>
  <c r="AH12" i="3"/>
  <c r="AH20" i="3"/>
  <c r="AD29" i="3"/>
  <c r="AH15" i="3"/>
  <c r="AH21" i="3"/>
  <c r="AH23" i="3"/>
  <c r="T276" i="1"/>
  <c r="T264" i="1"/>
  <c r="T246" i="1"/>
  <c r="AA205" i="1"/>
  <c r="AE205" i="1" s="1"/>
  <c r="AA211" i="1"/>
  <c r="AE211" i="1" s="1"/>
  <c r="AF211" i="1" s="1"/>
  <c r="T232" i="1"/>
  <c r="T233" i="1"/>
  <c r="T234" i="1"/>
  <c r="T235" i="1"/>
  <c r="T236" i="1"/>
  <c r="T237" i="1"/>
  <c r="T245" i="1"/>
  <c r="T257" i="1"/>
  <c r="AD17" i="3"/>
  <c r="AT22" i="3"/>
  <c r="AD34" i="3"/>
  <c r="AP34" i="3"/>
  <c r="T244" i="1"/>
  <c r="AE17" i="3"/>
  <c r="AE34" i="3"/>
  <c r="T242" i="1"/>
  <c r="T243" i="1"/>
  <c r="T256" i="1"/>
  <c r="AE20" i="4"/>
  <c r="J21" i="4"/>
  <c r="AP19" i="3"/>
  <c r="AD22" i="3"/>
  <c r="AP22" i="3"/>
  <c r="AQ32" i="3"/>
  <c r="AT32" i="3" s="1"/>
  <c r="AU32" i="3" s="1"/>
  <c r="AQ15" i="4"/>
  <c r="AT15" i="4" s="1"/>
  <c r="AQ13" i="4"/>
  <c r="AT13" i="4" s="1"/>
  <c r="AU13" i="4" s="1"/>
  <c r="AQ34" i="4"/>
  <c r="AT34" i="4" s="1"/>
  <c r="AQ33" i="4"/>
  <c r="AT33" i="4" s="1"/>
  <c r="AD18" i="4"/>
  <c r="AP18" i="4"/>
  <c r="AD33" i="4"/>
  <c r="AP33" i="4"/>
  <c r="AP13" i="3"/>
  <c r="AU13" i="3" s="1"/>
  <c r="AD19" i="3"/>
  <c r="J34" i="4"/>
  <c r="AE34" i="4" s="1"/>
  <c r="AE33" i="4"/>
  <c r="AH28" i="4"/>
  <c r="AH26" i="4"/>
  <c r="J13" i="4"/>
  <c r="AE12" i="4"/>
  <c r="AD12" i="4"/>
  <c r="AP12" i="4"/>
  <c r="AU12" i="4" s="1"/>
  <c r="AP14" i="4"/>
  <c r="AD14" i="4"/>
  <c r="AE33" i="3"/>
  <c r="AE32" i="3"/>
  <c r="AE17" i="4"/>
  <c r="AP16" i="4"/>
  <c r="AQ14" i="4"/>
  <c r="AT14" i="4" s="1"/>
  <c r="AU14" i="4" s="1"/>
  <c r="AQ16" i="4"/>
  <c r="AT16" i="4" s="1"/>
  <c r="AN21" i="4"/>
  <c r="AN23" i="4"/>
  <c r="AH29" i="4"/>
  <c r="AF30" i="4"/>
  <c r="AH31" i="4"/>
  <c r="AF32" i="4"/>
  <c r="AD34" i="4"/>
  <c r="AQ17" i="4"/>
  <c r="AT17" i="4" s="1"/>
  <c r="AU17" i="4" s="1"/>
  <c r="AQ19" i="4"/>
  <c r="AT19" i="4" s="1"/>
  <c r="AU19" i="4" s="1"/>
  <c r="AP20" i="4"/>
  <c r="AH30" i="4"/>
  <c r="AH32" i="4"/>
  <c r="AF33" i="4"/>
  <c r="AE12" i="3"/>
  <c r="AH12" i="4"/>
  <c r="AD16" i="4"/>
  <c r="AQ18" i="4"/>
  <c r="AT18" i="4" s="1"/>
  <c r="AQ20" i="4"/>
  <c r="AT20" i="4" s="1"/>
  <c r="AU20" i="4" s="1"/>
  <c r="AP21" i="4"/>
  <c r="AP23" i="4"/>
  <c r="AN25" i="4"/>
  <c r="AN27" i="4"/>
  <c r="AH33" i="4"/>
  <c r="AF34" i="4"/>
  <c r="AQ21" i="4"/>
  <c r="AT21" i="4" s="1"/>
  <c r="AQ23" i="4"/>
  <c r="AT23" i="4" s="1"/>
  <c r="AH34" i="4"/>
  <c r="P11" i="4"/>
  <c r="AF11" i="4" s="1"/>
  <c r="AK11" i="4" s="1"/>
  <c r="AH13" i="4"/>
  <c r="AF14" i="4"/>
  <c r="AH15" i="4"/>
  <c r="AF16" i="4"/>
  <c r="AQ22" i="4"/>
  <c r="AT22" i="4" s="1"/>
  <c r="AU22" i="4" s="1"/>
  <c r="AQ24" i="4"/>
  <c r="AT24" i="4" s="1"/>
  <c r="AU24" i="4" s="1"/>
  <c r="AN29" i="4"/>
  <c r="AN31" i="4"/>
  <c r="AP24" i="3"/>
  <c r="AH14" i="4"/>
  <c r="AH16" i="4"/>
  <c r="AQ25" i="4"/>
  <c r="AT25" i="4" s="1"/>
  <c r="AU25" i="4" s="1"/>
  <c r="AP26" i="4"/>
  <c r="AQ27" i="4"/>
  <c r="AT27" i="4" s="1"/>
  <c r="AU27" i="4" s="1"/>
  <c r="AP28" i="4"/>
  <c r="AN30" i="4"/>
  <c r="AN32" i="4"/>
  <c r="AH17" i="4"/>
  <c r="AH19" i="4"/>
  <c r="AQ26" i="4"/>
  <c r="AT26" i="4" s="1"/>
  <c r="AQ28" i="4"/>
  <c r="AT28" i="4" s="1"/>
  <c r="AN33" i="4"/>
  <c r="AH18" i="4"/>
  <c r="AH20" i="4"/>
  <c r="AE24" i="4"/>
  <c r="J26" i="4"/>
  <c r="AE26" i="4" s="1"/>
  <c r="AQ29" i="4"/>
  <c r="AT29" i="4" s="1"/>
  <c r="AU29" i="4" s="1"/>
  <c r="AQ31" i="4"/>
  <c r="AT31" i="4" s="1"/>
  <c r="AU31" i="4" s="1"/>
  <c r="AN34" i="4"/>
  <c r="R11" i="4"/>
  <c r="AQ11" i="4" s="1"/>
  <c r="AT11" i="4" s="1"/>
  <c r="AN11" i="4"/>
  <c r="AN13" i="4"/>
  <c r="AH21" i="4"/>
  <c r="AH23" i="4"/>
  <c r="J29" i="4"/>
  <c r="AQ30" i="4"/>
  <c r="AT30" i="4" s="1"/>
  <c r="AQ32" i="4"/>
  <c r="AT32" i="4" s="1"/>
  <c r="AU32" i="4" s="1"/>
  <c r="AH22" i="4"/>
  <c r="AH24" i="4"/>
  <c r="AI71" i="2" l="1"/>
  <c r="AG71" i="2"/>
  <c r="AI205" i="2"/>
  <c r="AG205" i="2"/>
  <c r="AG166" i="2"/>
  <c r="AI166" i="2"/>
  <c r="AG251" i="2"/>
  <c r="AI251" i="2"/>
  <c r="AG42" i="2"/>
  <c r="AI42" i="2"/>
  <c r="AG105" i="2"/>
  <c r="AI105" i="2"/>
  <c r="AI234" i="2"/>
  <c r="AG234" i="2"/>
  <c r="AG34" i="2"/>
  <c r="AI34" i="2"/>
  <c r="AN247" i="2"/>
  <c r="AO247" i="2" s="1"/>
  <c r="AG171" i="2"/>
  <c r="AI171" i="2"/>
  <c r="AG244" i="2"/>
  <c r="AI244" i="2"/>
  <c r="AI278" i="2"/>
  <c r="AG278" i="2"/>
  <c r="AI271" i="2"/>
  <c r="AG271" i="2"/>
  <c r="AG182" i="2"/>
  <c r="AI182" i="2"/>
  <c r="AG175" i="2"/>
  <c r="AI175" i="2"/>
  <c r="AG209" i="2"/>
  <c r="AI209" i="2"/>
  <c r="AI173" i="2"/>
  <c r="AG173" i="2"/>
  <c r="AI211" i="2"/>
  <c r="AG211" i="2"/>
  <c r="AG85" i="2"/>
  <c r="AI85" i="2"/>
  <c r="AI11" i="2"/>
  <c r="AG11" i="2"/>
  <c r="AI151" i="2"/>
  <c r="AG151" i="2"/>
  <c r="AG48" i="2"/>
  <c r="AI48" i="2"/>
  <c r="AM181" i="2"/>
  <c r="AL181" i="2"/>
  <c r="AN181" i="2" s="1"/>
  <c r="AO181" i="2" s="1"/>
  <c r="AG44" i="2"/>
  <c r="AI44" i="2"/>
  <c r="AG109" i="2"/>
  <c r="AI109" i="2"/>
  <c r="AG118" i="2"/>
  <c r="AI118" i="2"/>
  <c r="AI102" i="2"/>
  <c r="AG102" i="2"/>
  <c r="AL111" i="2"/>
  <c r="AM111" i="2"/>
  <c r="AM31" i="2"/>
  <c r="AL31" i="2"/>
  <c r="AN31" i="2" s="1"/>
  <c r="AO31" i="2" s="1"/>
  <c r="AL73" i="2"/>
  <c r="AM73" i="2"/>
  <c r="AL200" i="2"/>
  <c r="AM200" i="2"/>
  <c r="AG254" i="2"/>
  <c r="AI254" i="2"/>
  <c r="AG265" i="2"/>
  <c r="AI265" i="2"/>
  <c r="AM119" i="2"/>
  <c r="AN119" i="2" s="1"/>
  <c r="AO119" i="2" s="1"/>
  <c r="AI263" i="2"/>
  <c r="AG263" i="2"/>
  <c r="AG245" i="2"/>
  <c r="AI245" i="2"/>
  <c r="AG257" i="2"/>
  <c r="AI257" i="2"/>
  <c r="AM145" i="2"/>
  <c r="AL145" i="2"/>
  <c r="AG210" i="2"/>
  <c r="AI210" i="2"/>
  <c r="AG79" i="2"/>
  <c r="AI79" i="2"/>
  <c r="AN203" i="2"/>
  <c r="AO203" i="2" s="1"/>
  <c r="AI64" i="2"/>
  <c r="AG64" i="2"/>
  <c r="AG131" i="2"/>
  <c r="AI131" i="2"/>
  <c r="AN180" i="2"/>
  <c r="AO180" i="2" s="1"/>
  <c r="AM233" i="2"/>
  <c r="AL233" i="2"/>
  <c r="AG32" i="2"/>
  <c r="AI32" i="2"/>
  <c r="AM201" i="2"/>
  <c r="AL201" i="2"/>
  <c r="AN201" i="2" s="1"/>
  <c r="AO201" i="2" s="1"/>
  <c r="AL30" i="2"/>
  <c r="AN30" i="2" s="1"/>
  <c r="AO30" i="2" s="1"/>
  <c r="AM30" i="2"/>
  <c r="AM88" i="2"/>
  <c r="AL88" i="2"/>
  <c r="AM76" i="2"/>
  <c r="AL76" i="2"/>
  <c r="AM207" i="2"/>
  <c r="AL207" i="2"/>
  <c r="AL14" i="2"/>
  <c r="AM14" i="2"/>
  <c r="AI199" i="2"/>
  <c r="AG199" i="2"/>
  <c r="AI193" i="2"/>
  <c r="AG193" i="2"/>
  <c r="AI169" i="2"/>
  <c r="AG169" i="2"/>
  <c r="AM168" i="2"/>
  <c r="AL168" i="2"/>
  <c r="AL177" i="2"/>
  <c r="AN177" i="2" s="1"/>
  <c r="AO177" i="2" s="1"/>
  <c r="AM177" i="2"/>
  <c r="AI268" i="2"/>
  <c r="AG268" i="2"/>
  <c r="AM270" i="2"/>
  <c r="AL270" i="2"/>
  <c r="AN270" i="2" s="1"/>
  <c r="AO270" i="2" s="1"/>
  <c r="AI80" i="2"/>
  <c r="AG80" i="2"/>
  <c r="AM167" i="2"/>
  <c r="AN165" i="2"/>
  <c r="AO165" i="2" s="1"/>
  <c r="AG183" i="2"/>
  <c r="AI183" i="2"/>
  <c r="AM162" i="2"/>
  <c r="AL162" i="2"/>
  <c r="AL61" i="2"/>
  <c r="AM61" i="2"/>
  <c r="AM29" i="2"/>
  <c r="AL29" i="2"/>
  <c r="AN29" i="2" s="1"/>
  <c r="AO29" i="2" s="1"/>
  <c r="AM57" i="2"/>
  <c r="AL57" i="2"/>
  <c r="AG255" i="2"/>
  <c r="AI255" i="2"/>
  <c r="AM236" i="2"/>
  <c r="AL236" i="2"/>
  <c r="AI103" i="2"/>
  <c r="AG103" i="2"/>
  <c r="AN154" i="2"/>
  <c r="AO154" i="2" s="1"/>
  <c r="AL253" i="2"/>
  <c r="AM253" i="2"/>
  <c r="AM163" i="2"/>
  <c r="AL163" i="2"/>
  <c r="AN163" i="2" s="1"/>
  <c r="AO163" i="2" s="1"/>
  <c r="AN94" i="2"/>
  <c r="AO94" i="2" s="1"/>
  <c r="AI107" i="2"/>
  <c r="AG107" i="2"/>
  <c r="AM179" i="2"/>
  <c r="AL179" i="2"/>
  <c r="AM60" i="2"/>
  <c r="AL60" i="2"/>
  <c r="AM56" i="2"/>
  <c r="AL56" i="2"/>
  <c r="AN56" i="2" s="1"/>
  <c r="AO56" i="2" s="1"/>
  <c r="AL142" i="2"/>
  <c r="AM142" i="2"/>
  <c r="AM116" i="2"/>
  <c r="AN116" i="2" s="1"/>
  <c r="AO116" i="2" s="1"/>
  <c r="AG12" i="2"/>
  <c r="AI12" i="2"/>
  <c r="AM247" i="2"/>
  <c r="AM19" i="2"/>
  <c r="AL19" i="2"/>
  <c r="AI264" i="2"/>
  <c r="AG264" i="2"/>
  <c r="AG242" i="2"/>
  <c r="AI242" i="2"/>
  <c r="AG176" i="2"/>
  <c r="AI176" i="2"/>
  <c r="AI208" i="2"/>
  <c r="AG208" i="2"/>
  <c r="AI121" i="2"/>
  <c r="AG121" i="2"/>
  <c r="AI277" i="2"/>
  <c r="AG277" i="2"/>
  <c r="AG72" i="2"/>
  <c r="AI72" i="2"/>
  <c r="AI15" i="2"/>
  <c r="AG15" i="2"/>
  <c r="AN167" i="2"/>
  <c r="AO167" i="2" s="1"/>
  <c r="AI178" i="2"/>
  <c r="AG178" i="2"/>
  <c r="AI147" i="2"/>
  <c r="AG147" i="2"/>
  <c r="AM259" i="2"/>
  <c r="AI86" i="2"/>
  <c r="AG86" i="2"/>
  <c r="AM94" i="2"/>
  <c r="AE161" i="1"/>
  <c r="AF161" i="1" s="1"/>
  <c r="AG143" i="2"/>
  <c r="AI143" i="2"/>
  <c r="AI238" i="2"/>
  <c r="AG238" i="2"/>
  <c r="AM246" i="2"/>
  <c r="AL246" i="2"/>
  <c r="AN246" i="2" s="1"/>
  <c r="AO246" i="2" s="1"/>
  <c r="AI114" i="2"/>
  <c r="AG114" i="2"/>
  <c r="AM153" i="2"/>
  <c r="AL153" i="2"/>
  <c r="AN153" i="2" s="1"/>
  <c r="AO153" i="2" s="1"/>
  <c r="AL136" i="2"/>
  <c r="AM136" i="2"/>
  <c r="AM258" i="2"/>
  <c r="AL258" i="2"/>
  <c r="AN258" i="2" s="1"/>
  <c r="AO258" i="2" s="1"/>
  <c r="AG144" i="2"/>
  <c r="AI144" i="2"/>
  <c r="AI47" i="2"/>
  <c r="AG47" i="2"/>
  <c r="AG232" i="2"/>
  <c r="AI232" i="2"/>
  <c r="AL152" i="2"/>
  <c r="AM152" i="2"/>
  <c r="AM256" i="2"/>
  <c r="AM54" i="2"/>
  <c r="AL54" i="2"/>
  <c r="AN54" i="2" s="1"/>
  <c r="AO54" i="2" s="1"/>
  <c r="AM135" i="2"/>
  <c r="AL135" i="2"/>
  <c r="AN135" i="2" s="1"/>
  <c r="AO135" i="2" s="1"/>
  <c r="AM59" i="2"/>
  <c r="AL59" i="2"/>
  <c r="AN59" i="2" s="1"/>
  <c r="AO59" i="2" s="1"/>
  <c r="AL55" i="2"/>
  <c r="AM55" i="2"/>
  <c r="AM202" i="2"/>
  <c r="AL202" i="2"/>
  <c r="AN202" i="2" s="1"/>
  <c r="AO202" i="2" s="1"/>
  <c r="AM194" i="2"/>
  <c r="AL194" i="2"/>
  <c r="AN194" i="2" s="1"/>
  <c r="AO194" i="2" s="1"/>
  <c r="AG140" i="2"/>
  <c r="AI140" i="2"/>
  <c r="AI197" i="2"/>
  <c r="AG197" i="2"/>
  <c r="AM141" i="2"/>
  <c r="AL141" i="2"/>
  <c r="AN141" i="2" s="1"/>
  <c r="AO141" i="2" s="1"/>
  <c r="AG113" i="2"/>
  <c r="AI113" i="2"/>
  <c r="AM239" i="2"/>
  <c r="AN239" i="2" s="1"/>
  <c r="AO239" i="2" s="1"/>
  <c r="AM149" i="2"/>
  <c r="AL149" i="2"/>
  <c r="AG115" i="2"/>
  <c r="AI115" i="2"/>
  <c r="AG62" i="2"/>
  <c r="AI62" i="2"/>
  <c r="AG16" i="2"/>
  <c r="AI16" i="2"/>
  <c r="AI23" i="2"/>
  <c r="AG23" i="2"/>
  <c r="AL133" i="2"/>
  <c r="AM133" i="2"/>
  <c r="AM52" i="2"/>
  <c r="AL52" i="2"/>
  <c r="AM138" i="2"/>
  <c r="AL138" i="2"/>
  <c r="AN138" i="2" s="1"/>
  <c r="AO138" i="2" s="1"/>
  <c r="AI43" i="2"/>
  <c r="AG43" i="2"/>
  <c r="AI17" i="2"/>
  <c r="AG17" i="2"/>
  <c r="AG276" i="2"/>
  <c r="AI276" i="2"/>
  <c r="AM196" i="2"/>
  <c r="AL196" i="2"/>
  <c r="AN196" i="2" s="1"/>
  <c r="AO196" i="2" s="1"/>
  <c r="AG134" i="2"/>
  <c r="AI134" i="2"/>
  <c r="AG117" i="2"/>
  <c r="AI117" i="2"/>
  <c r="AM250" i="2"/>
  <c r="AL250" i="2"/>
  <c r="AN250" i="2" s="1"/>
  <c r="AO250" i="2" s="1"/>
  <c r="AI272" i="2"/>
  <c r="AG272" i="2"/>
  <c r="AG248" i="2"/>
  <c r="AI248" i="2"/>
  <c r="AI184" i="2"/>
  <c r="AG184" i="2"/>
  <c r="AG198" i="2"/>
  <c r="AI198" i="2"/>
  <c r="AG104" i="2"/>
  <c r="AI104" i="2"/>
  <c r="AI92" i="2"/>
  <c r="AG92" i="2"/>
  <c r="AG50" i="2"/>
  <c r="AI50" i="2"/>
  <c r="AL139" i="2"/>
  <c r="AM139" i="2"/>
  <c r="AN13" i="2"/>
  <c r="AO13" i="2" s="1"/>
  <c r="AL146" i="2"/>
  <c r="AN146" i="2" s="1"/>
  <c r="AO146" i="2" s="1"/>
  <c r="AM146" i="2"/>
  <c r="AM110" i="2"/>
  <c r="AL110" i="2"/>
  <c r="AN110" i="2" s="1"/>
  <c r="AO110" i="2" s="1"/>
  <c r="AL106" i="2"/>
  <c r="AM106" i="2"/>
  <c r="AG22" i="2"/>
  <c r="AI22" i="2"/>
  <c r="AL75" i="2"/>
  <c r="AN75" i="2" s="1"/>
  <c r="AO75" i="2" s="1"/>
  <c r="AM75" i="2"/>
  <c r="AM74" i="2"/>
  <c r="AL74" i="2"/>
  <c r="AI21" i="2"/>
  <c r="AG21" i="2"/>
  <c r="AL191" i="2"/>
  <c r="AM191" i="2"/>
  <c r="AI25" i="2"/>
  <c r="AG25" i="2"/>
  <c r="AG192" i="2"/>
  <c r="AI192" i="2"/>
  <c r="AG262" i="2"/>
  <c r="AI262" i="2"/>
  <c r="AM275" i="2"/>
  <c r="AG90" i="2"/>
  <c r="AI90" i="2"/>
  <c r="AM231" i="2"/>
  <c r="AL231" i="2"/>
  <c r="AN231" i="2" s="1"/>
  <c r="AO231" i="2" s="1"/>
  <c r="AP231" i="2" s="1"/>
  <c r="AI164" i="2"/>
  <c r="AG164" i="2"/>
  <c r="AG87" i="2"/>
  <c r="AI87" i="2"/>
  <c r="AM213" i="2"/>
  <c r="AL213" i="2"/>
  <c r="AG49" i="2"/>
  <c r="AI49" i="2"/>
  <c r="AG81" i="2"/>
  <c r="AI81" i="2"/>
  <c r="AI45" i="2"/>
  <c r="AG45" i="2"/>
  <c r="AG93" i="2"/>
  <c r="AI93" i="2"/>
  <c r="AM174" i="2"/>
  <c r="AL174" i="2"/>
  <c r="AN174" i="2" s="1"/>
  <c r="AO174" i="2" s="1"/>
  <c r="AM108" i="2"/>
  <c r="AL108" i="2"/>
  <c r="AN108" i="2" s="1"/>
  <c r="AO108" i="2" s="1"/>
  <c r="AG58" i="2"/>
  <c r="AI58" i="2"/>
  <c r="AM267" i="2"/>
  <c r="AG124" i="2"/>
  <c r="AI124" i="2"/>
  <c r="AL112" i="2"/>
  <c r="AM112" i="2"/>
  <c r="AG261" i="2"/>
  <c r="AI261" i="2"/>
  <c r="AM266" i="2"/>
  <c r="AG204" i="2"/>
  <c r="AI204" i="2"/>
  <c r="AI269" i="2"/>
  <c r="AG269" i="2"/>
  <c r="AG84" i="2"/>
  <c r="AI84" i="2"/>
  <c r="AI252" i="2"/>
  <c r="AG252" i="2"/>
  <c r="AM195" i="2"/>
  <c r="AL195" i="2"/>
  <c r="AN195" i="2" s="1"/>
  <c r="AO195" i="2" s="1"/>
  <c r="AI161" i="2"/>
  <c r="AG161" i="2"/>
  <c r="R275" i="2"/>
  <c r="AL275" i="2" s="1"/>
  <c r="AN275" i="2" s="1"/>
  <c r="AO275" i="2" s="1"/>
  <c r="R263" i="2"/>
  <c r="R274" i="2"/>
  <c r="R262" i="2"/>
  <c r="R271" i="2"/>
  <c r="R259" i="2"/>
  <c r="AL259" i="2" s="1"/>
  <c r="AN259" i="2" s="1"/>
  <c r="AO259" i="2" s="1"/>
  <c r="R273" i="2"/>
  <c r="R267" i="2"/>
  <c r="AL267" i="2" s="1"/>
  <c r="AN267" i="2" s="1"/>
  <c r="AO267" i="2" s="1"/>
  <c r="R258" i="2"/>
  <c r="R277" i="2"/>
  <c r="R278" i="2"/>
  <c r="R272" i="2"/>
  <c r="R269" i="2"/>
  <c r="R266" i="2"/>
  <c r="AL266" i="2" s="1"/>
  <c r="AN266" i="2" s="1"/>
  <c r="AO266" i="2" s="1"/>
  <c r="R261" i="2"/>
  <c r="R255" i="2"/>
  <c r="R268" i="2"/>
  <c r="R265" i="2"/>
  <c r="R256" i="2"/>
  <c r="AL256" i="2" s="1"/>
  <c r="AN256" i="2" s="1"/>
  <c r="AO256" i="2" s="1"/>
  <c r="R276" i="2"/>
  <c r="R270" i="2"/>
  <c r="R264" i="2"/>
  <c r="R257" i="2"/>
  <c r="R254" i="2"/>
  <c r="R260" i="2"/>
  <c r="AL260" i="2" s="1"/>
  <c r="AN260" i="2" s="1"/>
  <c r="AO260" i="2" s="1"/>
  <c r="AG33" i="2"/>
  <c r="AI33" i="2"/>
  <c r="AL24" i="2"/>
  <c r="AM24" i="2"/>
  <c r="AM241" i="2"/>
  <c r="AN241" i="2" s="1"/>
  <c r="AO241" i="2" s="1"/>
  <c r="AL240" i="2"/>
  <c r="AM240" i="2"/>
  <c r="AG89" i="2"/>
  <c r="AI89" i="2"/>
  <c r="AM148" i="2"/>
  <c r="AL148" i="2"/>
  <c r="AN148" i="2" s="1"/>
  <c r="AO148" i="2" s="1"/>
  <c r="AG132" i="2"/>
  <c r="AI132" i="2"/>
  <c r="AG26" i="2"/>
  <c r="AI26" i="2"/>
  <c r="AL63" i="2"/>
  <c r="AM63" i="2"/>
  <c r="AM101" i="2"/>
  <c r="AL101" i="2"/>
  <c r="AN101" i="2" s="1"/>
  <c r="AO101" i="2" s="1"/>
  <c r="AP101" i="2" s="1"/>
  <c r="AI41" i="2"/>
  <c r="AG41" i="2"/>
  <c r="AM46" i="2"/>
  <c r="AL46" i="2"/>
  <c r="AN46" i="2" s="1"/>
  <c r="AO46" i="2" s="1"/>
  <c r="AL18" i="2"/>
  <c r="AM18" i="2"/>
  <c r="AI206" i="2"/>
  <c r="AG206" i="2"/>
  <c r="AG274" i="2"/>
  <c r="AI274" i="2"/>
  <c r="AI249" i="2"/>
  <c r="AG249" i="2"/>
  <c r="AI137" i="2"/>
  <c r="AG137" i="2"/>
  <c r="AG235" i="2"/>
  <c r="AI235" i="2"/>
  <c r="AI78" i="2"/>
  <c r="AG78" i="2"/>
  <c r="AM237" i="2"/>
  <c r="AN237" i="2" s="1"/>
  <c r="AO237" i="2" s="1"/>
  <c r="AG91" i="2"/>
  <c r="AI91" i="2"/>
  <c r="AG83" i="2"/>
  <c r="AI83" i="2"/>
  <c r="AG28" i="2"/>
  <c r="AI28" i="2"/>
  <c r="AG122" i="2"/>
  <c r="AI122" i="2"/>
  <c r="AM123" i="2"/>
  <c r="AL123" i="2"/>
  <c r="AN123" i="2" s="1"/>
  <c r="AO123" i="2" s="1"/>
  <c r="AM77" i="2"/>
  <c r="AL77" i="2"/>
  <c r="AL51" i="2"/>
  <c r="AM51" i="2"/>
  <c r="AM273" i="2"/>
  <c r="AL273" i="2"/>
  <c r="AN273" i="2" s="1"/>
  <c r="AO273" i="2" s="1"/>
  <c r="AM20" i="2"/>
  <c r="AL20" i="2"/>
  <c r="AM120" i="2"/>
  <c r="AL120" i="2"/>
  <c r="AF191" i="1"/>
  <c r="AI191" i="1" s="1"/>
  <c r="AK11" i="3"/>
  <c r="AU11" i="4"/>
  <c r="AF131" i="1"/>
  <c r="AG131" i="1" s="1"/>
  <c r="AE41" i="1"/>
  <c r="AF41" i="1" s="1"/>
  <c r="AG41" i="1" s="1"/>
  <c r="AI32" i="1"/>
  <c r="AG32" i="1"/>
  <c r="AI15" i="1"/>
  <c r="AG15" i="1"/>
  <c r="AI28" i="1"/>
  <c r="AG28" i="1"/>
  <c r="AI49" i="1"/>
  <c r="AG49" i="1"/>
  <c r="AI137" i="1"/>
  <c r="AG137" i="1"/>
  <c r="AI64" i="1"/>
  <c r="AG64" i="1"/>
  <c r="AI102" i="1"/>
  <c r="AG102" i="1"/>
  <c r="AI201" i="1"/>
  <c r="AG201" i="1"/>
  <c r="AX19" i="3"/>
  <c r="AV19" i="3"/>
  <c r="AL19" i="3" s="1"/>
  <c r="BF19" i="3" s="1"/>
  <c r="AG191" i="1"/>
  <c r="AI256" i="1"/>
  <c r="AG256" i="1"/>
  <c r="AI22" i="1"/>
  <c r="AG22" i="1"/>
  <c r="AI59" i="1"/>
  <c r="AG59" i="1"/>
  <c r="AI196" i="1"/>
  <c r="AG196" i="1"/>
  <c r="AV13" i="3"/>
  <c r="AL13" i="3" s="1"/>
  <c r="BF13" i="3" s="1"/>
  <c r="AX13" i="3"/>
  <c r="AX12" i="4"/>
  <c r="AV12" i="4"/>
  <c r="AI163" i="1"/>
  <c r="AG163" i="1"/>
  <c r="AX17" i="3"/>
  <c r="AV17" i="3"/>
  <c r="AL17" i="3" s="1"/>
  <c r="BF17" i="3" s="1"/>
  <c r="AG165" i="1"/>
  <c r="AI165" i="1"/>
  <c r="AG170" i="1"/>
  <c r="AI170" i="1"/>
  <c r="AX12" i="3"/>
  <c r="AV12" i="3"/>
  <c r="AL12" i="3" s="1"/>
  <c r="BF12" i="3" s="1"/>
  <c r="AI161" i="1"/>
  <c r="AG161" i="1"/>
  <c r="AG212" i="1"/>
  <c r="AI212" i="1"/>
  <c r="AI184" i="1"/>
  <c r="AG184" i="1"/>
  <c r="AM271" i="1"/>
  <c r="AL271" i="1"/>
  <c r="AN271" i="1" s="1"/>
  <c r="AO271" i="1" s="1"/>
  <c r="AG177" i="1"/>
  <c r="AI177" i="1"/>
  <c r="AI134" i="1"/>
  <c r="AG134" i="1"/>
  <c r="AM264" i="1"/>
  <c r="AL264" i="1"/>
  <c r="AI243" i="1"/>
  <c r="AG243" i="1"/>
  <c r="AG43" i="1"/>
  <c r="AI43" i="1"/>
  <c r="AG132" i="1"/>
  <c r="AI132" i="1"/>
  <c r="AG209" i="1"/>
  <c r="AI209" i="1"/>
  <c r="AI232" i="1"/>
  <c r="AG232" i="1"/>
  <c r="AI54" i="1"/>
  <c r="AG54" i="1"/>
  <c r="AG14" i="1"/>
  <c r="AI14" i="1"/>
  <c r="AM234" i="1"/>
  <c r="AL234" i="1"/>
  <c r="AN234" i="1" s="1"/>
  <c r="AO234" i="1" s="1"/>
  <c r="AG115" i="1"/>
  <c r="AI115" i="1"/>
  <c r="AG56" i="1"/>
  <c r="AI56" i="1"/>
  <c r="AI77" i="1"/>
  <c r="AG77" i="1"/>
  <c r="AI80" i="1"/>
  <c r="AG80" i="1"/>
  <c r="AI258" i="1"/>
  <c r="AG258" i="1"/>
  <c r="AU30" i="4"/>
  <c r="AU21" i="3"/>
  <c r="AU27" i="3"/>
  <c r="AI242" i="1"/>
  <c r="AG242" i="1"/>
  <c r="J30" i="4"/>
  <c r="AE30" i="4" s="1"/>
  <c r="AE29" i="4"/>
  <c r="AK12" i="4"/>
  <c r="AV18" i="3"/>
  <c r="AL18" i="3" s="1"/>
  <c r="BF18" i="3" s="1"/>
  <c r="AX18" i="3"/>
  <c r="AX26" i="3"/>
  <c r="AV26" i="3"/>
  <c r="AL26" i="3" s="1"/>
  <c r="BF26" i="3" s="1"/>
  <c r="AX14" i="4"/>
  <c r="AV14" i="4"/>
  <c r="AL14" i="4" s="1"/>
  <c r="BF14" i="4" s="1"/>
  <c r="AX13" i="4"/>
  <c r="AV13" i="4"/>
  <c r="AL13" i="4" s="1"/>
  <c r="BF13" i="4" s="1"/>
  <c r="AX11" i="4"/>
  <c r="AV11" i="4"/>
  <c r="AL11" i="4" s="1"/>
  <c r="BF11" i="4" s="1"/>
  <c r="AV24" i="4"/>
  <c r="AL24" i="4" s="1"/>
  <c r="BF24" i="4" s="1"/>
  <c r="AX24" i="4"/>
  <c r="AU15" i="4"/>
  <c r="AU34" i="3"/>
  <c r="AT11" i="3"/>
  <c r="AU11" i="3" s="1"/>
  <c r="AI268" i="1"/>
  <c r="AG268" i="1"/>
  <c r="AG182" i="1"/>
  <c r="AI182" i="1"/>
  <c r="AI250" i="1"/>
  <c r="AG250" i="1"/>
  <c r="AG181" i="1"/>
  <c r="AI181" i="1"/>
  <c r="AN262" i="1"/>
  <c r="AO262" i="1" s="1"/>
  <c r="AI236" i="1"/>
  <c r="AG236" i="1"/>
  <c r="AI29" i="1"/>
  <c r="AG29" i="1"/>
  <c r="AI139" i="1"/>
  <c r="AG139" i="1"/>
  <c r="AG12" i="1"/>
  <c r="AI12" i="1"/>
  <c r="AL195" i="1"/>
  <c r="AM195" i="1"/>
  <c r="AI78" i="1"/>
  <c r="AG78" i="1"/>
  <c r="AI106" i="1"/>
  <c r="AG106" i="1"/>
  <c r="AF119" i="1"/>
  <c r="AI31" i="1"/>
  <c r="AG31" i="1"/>
  <c r="AI16" i="1"/>
  <c r="AG16" i="1"/>
  <c r="AF83" i="1"/>
  <c r="AG87" i="1"/>
  <c r="AI87" i="1"/>
  <c r="AX14" i="3"/>
  <c r="AV14" i="3"/>
  <c r="AL14" i="3" s="1"/>
  <c r="BF14" i="3" s="1"/>
  <c r="AI257" i="1"/>
  <c r="AG257" i="1"/>
  <c r="AI175" i="1"/>
  <c r="AG175" i="1"/>
  <c r="AI237" i="1"/>
  <c r="AG237" i="1"/>
  <c r="AI183" i="1"/>
  <c r="AG183" i="1"/>
  <c r="AF164" i="1"/>
  <c r="AM246" i="1"/>
  <c r="AL246" i="1"/>
  <c r="AN246" i="1" s="1"/>
  <c r="AO246" i="1" s="1"/>
  <c r="AG240" i="1"/>
  <c r="AI240" i="1"/>
  <c r="AI141" i="1"/>
  <c r="AG141" i="1"/>
  <c r="AG25" i="1"/>
  <c r="AI25" i="1"/>
  <c r="AG143" i="1"/>
  <c r="AI143" i="1"/>
  <c r="AM277" i="1"/>
  <c r="AL277" i="1"/>
  <c r="AN277" i="1" s="1"/>
  <c r="AO277" i="1" s="1"/>
  <c r="AI18" i="1"/>
  <c r="AG18" i="1"/>
  <c r="AG30" i="1"/>
  <c r="AI30" i="1"/>
  <c r="AM261" i="1"/>
  <c r="AL261" i="1"/>
  <c r="AN261" i="1" s="1"/>
  <c r="AO261" i="1" s="1"/>
  <c r="AI114" i="1"/>
  <c r="AG114" i="1"/>
  <c r="AG123" i="1"/>
  <c r="AI123" i="1"/>
  <c r="AI23" i="1"/>
  <c r="AG23" i="1"/>
  <c r="AG52" i="1"/>
  <c r="AI52" i="1"/>
  <c r="AG75" i="1"/>
  <c r="AI75" i="1"/>
  <c r="AI94" i="1"/>
  <c r="AG94" i="1"/>
  <c r="AI27" i="1"/>
  <c r="AG27" i="1"/>
  <c r="AN278" i="1"/>
  <c r="AO278" i="1" s="1"/>
  <c r="AG176" i="1"/>
  <c r="AI176" i="1"/>
  <c r="AI171" i="1"/>
  <c r="AG171" i="1"/>
  <c r="AI133" i="1"/>
  <c r="AG133" i="1"/>
  <c r="AI19" i="1"/>
  <c r="AG19" i="1"/>
  <c r="AI24" i="1"/>
  <c r="AG24" i="1"/>
  <c r="AI214" i="1"/>
  <c r="AG214" i="1"/>
  <c r="AI105" i="1"/>
  <c r="AG105" i="1"/>
  <c r="AI88" i="1"/>
  <c r="AG88" i="1"/>
  <c r="AF73" i="1"/>
  <c r="AM274" i="1"/>
  <c r="AL274" i="1"/>
  <c r="AN274" i="1" s="1"/>
  <c r="AO274" i="1" s="1"/>
  <c r="AI168" i="1"/>
  <c r="AG168" i="1"/>
  <c r="AI153" i="1"/>
  <c r="AG153" i="1"/>
  <c r="AM273" i="1"/>
  <c r="AL273" i="1"/>
  <c r="AN273" i="1" s="1"/>
  <c r="AO273" i="1" s="1"/>
  <c r="AI146" i="1"/>
  <c r="AG146" i="1"/>
  <c r="AI231" i="1"/>
  <c r="AG231" i="1"/>
  <c r="AF71" i="1"/>
  <c r="AM135" i="1"/>
  <c r="AL135" i="1"/>
  <c r="AI118" i="1"/>
  <c r="AG118" i="1"/>
  <c r="AM235" i="1"/>
  <c r="AL235" i="1"/>
  <c r="AN235" i="1" s="1"/>
  <c r="AO235" i="1" s="1"/>
  <c r="AG86" i="1"/>
  <c r="AI86" i="1"/>
  <c r="AF79" i="1"/>
  <c r="AM110" i="1"/>
  <c r="AL110" i="1"/>
  <c r="AN110" i="1" s="1"/>
  <c r="AO110" i="1" s="1"/>
  <c r="AI266" i="1"/>
  <c r="AG266" i="1"/>
  <c r="AM265" i="1"/>
  <c r="AL265" i="1"/>
  <c r="AG180" i="1"/>
  <c r="AI180" i="1"/>
  <c r="AI179" i="1"/>
  <c r="AG179" i="1"/>
  <c r="AL245" i="1"/>
  <c r="AM245" i="1"/>
  <c r="AG136" i="1"/>
  <c r="AI136" i="1"/>
  <c r="AI233" i="1"/>
  <c r="AG233" i="1"/>
  <c r="AI121" i="1"/>
  <c r="AG121" i="1"/>
  <c r="AF84" i="1"/>
  <c r="AF85" i="1"/>
  <c r="AI172" i="1"/>
  <c r="AG172" i="1"/>
  <c r="AV29" i="4"/>
  <c r="AL29" i="4" s="1"/>
  <c r="BF29" i="4" s="1"/>
  <c r="AX29" i="4"/>
  <c r="AG178" i="1"/>
  <c r="AI178" i="1"/>
  <c r="AX32" i="4"/>
  <c r="AV32" i="4"/>
  <c r="AL32" i="4" s="1"/>
  <c r="BF32" i="4" s="1"/>
  <c r="AU18" i="4"/>
  <c r="AE21" i="4"/>
  <c r="J22" i="4"/>
  <c r="AE22" i="4" s="1"/>
  <c r="AX15" i="3"/>
  <c r="AV15" i="3"/>
  <c r="AL15" i="3" s="1"/>
  <c r="BF15" i="3" s="1"/>
  <c r="AU25" i="3"/>
  <c r="AG203" i="1"/>
  <c r="AI203" i="1"/>
  <c r="AF150" i="1"/>
  <c r="AI152" i="1"/>
  <c r="AG152" i="1"/>
  <c r="AI142" i="1"/>
  <c r="AG142" i="1"/>
  <c r="AG197" i="1"/>
  <c r="AI197" i="1"/>
  <c r="AI122" i="1"/>
  <c r="AG122" i="1"/>
  <c r="AF120" i="1"/>
  <c r="AM145" i="1"/>
  <c r="AL145" i="1"/>
  <c r="AN145" i="1" s="1"/>
  <c r="AO145" i="1" s="1"/>
  <c r="AI72" i="1"/>
  <c r="AG72" i="1"/>
  <c r="AF91" i="1"/>
  <c r="AF57" i="1"/>
  <c r="AI162" i="1"/>
  <c r="AG162" i="1"/>
  <c r="AX25" i="4"/>
  <c r="AV25" i="4"/>
  <c r="AL25" i="4" s="1"/>
  <c r="BF25" i="4" s="1"/>
  <c r="AG199" i="1"/>
  <c r="AI199" i="1"/>
  <c r="AN272" i="1"/>
  <c r="AO272" i="1" s="1"/>
  <c r="AM275" i="1"/>
  <c r="AL275" i="1"/>
  <c r="AN275" i="1" s="1"/>
  <c r="AO275" i="1" s="1"/>
  <c r="AN247" i="1"/>
  <c r="AO247" i="1" s="1"/>
  <c r="AG144" i="1"/>
  <c r="AI144" i="1"/>
  <c r="AG46" i="1"/>
  <c r="AI46" i="1"/>
  <c r="AM239" i="1"/>
  <c r="AL239" i="1"/>
  <c r="AF148" i="1"/>
  <c r="AF53" i="1"/>
  <c r="AF200" i="1"/>
  <c r="AI117" i="1"/>
  <c r="AG117" i="1"/>
  <c r="AI112" i="1"/>
  <c r="AG112" i="1"/>
  <c r="AF42" i="1"/>
  <c r="AL104" i="1"/>
  <c r="AN104" i="1" s="1"/>
  <c r="AO104" i="1" s="1"/>
  <c r="AM104" i="1"/>
  <c r="AF82" i="1"/>
  <c r="AF62" i="1"/>
  <c r="AI263" i="1"/>
  <c r="AG263" i="1"/>
  <c r="AM267" i="1"/>
  <c r="AL267" i="1"/>
  <c r="AN267" i="1" s="1"/>
  <c r="AO267" i="1" s="1"/>
  <c r="AG194" i="1"/>
  <c r="AI194" i="1"/>
  <c r="AI41" i="1"/>
  <c r="AG140" i="1"/>
  <c r="AI140" i="1"/>
  <c r="AI154" i="1"/>
  <c r="AG154" i="1"/>
  <c r="AG34" i="1"/>
  <c r="AI34" i="1"/>
  <c r="AI21" i="1"/>
  <c r="AG21" i="1"/>
  <c r="AM276" i="1"/>
  <c r="AL276" i="1"/>
  <c r="AN276" i="1" s="1"/>
  <c r="AO276" i="1" s="1"/>
  <c r="AF124" i="1"/>
  <c r="AG55" i="1"/>
  <c r="AI55" i="1"/>
  <c r="AF90" i="1"/>
  <c r="AG260" i="1"/>
  <c r="AI260" i="1"/>
  <c r="AX27" i="4"/>
  <c r="AV27" i="4"/>
  <c r="AL27" i="4" s="1"/>
  <c r="BF27" i="4" s="1"/>
  <c r="AX20" i="4"/>
  <c r="AV20" i="4"/>
  <c r="AL20" i="4" s="1"/>
  <c r="BF20" i="4" s="1"/>
  <c r="AU22" i="3"/>
  <c r="AV20" i="3"/>
  <c r="AL20" i="3" s="1"/>
  <c r="BF20" i="3" s="1"/>
  <c r="AX20" i="3"/>
  <c r="AX24" i="3"/>
  <c r="AV24" i="3"/>
  <c r="AL24" i="3" s="1"/>
  <c r="BF24" i="3" s="1"/>
  <c r="AG255" i="1"/>
  <c r="AI255" i="1"/>
  <c r="AU29" i="3"/>
  <c r="AU28" i="3"/>
  <c r="AF193" i="1"/>
  <c r="AF207" i="1"/>
  <c r="AG241" i="1"/>
  <c r="AI241" i="1"/>
  <c r="AG198" i="1"/>
  <c r="AI198" i="1"/>
  <c r="AI174" i="1"/>
  <c r="AG174" i="1"/>
  <c r="AF33" i="1"/>
  <c r="AI147" i="1"/>
  <c r="AG147" i="1"/>
  <c r="AI113" i="1"/>
  <c r="AG113" i="1"/>
  <c r="AG63" i="1"/>
  <c r="AI63" i="1"/>
  <c r="AG26" i="1"/>
  <c r="AI26" i="1"/>
  <c r="AG138" i="1"/>
  <c r="AI138" i="1"/>
  <c r="AI47" i="1"/>
  <c r="AG47" i="1"/>
  <c r="AI208" i="1"/>
  <c r="AG208" i="1"/>
  <c r="AM259" i="1"/>
  <c r="AL259" i="1"/>
  <c r="AN259" i="1" s="1"/>
  <c r="AO259" i="1" s="1"/>
  <c r="AG103" i="1"/>
  <c r="AI103" i="1"/>
  <c r="AF60" i="1"/>
  <c r="AF61" i="1"/>
  <c r="AF74" i="1"/>
  <c r="AG92" i="1"/>
  <c r="AI92" i="1"/>
  <c r="AV22" i="4"/>
  <c r="AL22" i="4" s="1"/>
  <c r="BF22" i="4" s="1"/>
  <c r="AX22" i="4"/>
  <c r="AX19" i="4"/>
  <c r="AV19" i="4"/>
  <c r="AL19" i="4" s="1"/>
  <c r="BF19" i="4" s="1"/>
  <c r="AX32" i="3"/>
  <c r="AV32" i="3"/>
  <c r="AL32" i="3" s="1"/>
  <c r="BF32" i="3" s="1"/>
  <c r="AV31" i="4"/>
  <c r="AL31" i="4" s="1"/>
  <c r="BF31" i="4" s="1"/>
  <c r="AX31" i="4"/>
  <c r="AX17" i="4"/>
  <c r="AV17" i="4"/>
  <c r="AL17" i="4" s="1"/>
  <c r="BF17" i="4" s="1"/>
  <c r="AG211" i="1"/>
  <c r="AI211" i="1"/>
  <c r="AX16" i="3"/>
  <c r="AV16" i="3"/>
  <c r="AL16" i="3" s="1"/>
  <c r="BF16" i="3" s="1"/>
  <c r="AX31" i="3"/>
  <c r="AV31" i="3"/>
  <c r="AL31" i="3" s="1"/>
  <c r="BF31" i="3" s="1"/>
  <c r="AI269" i="1"/>
  <c r="AG269" i="1"/>
  <c r="AF205" i="1"/>
  <c r="AV23" i="3"/>
  <c r="AL23" i="3" s="1"/>
  <c r="BF23" i="3" s="1"/>
  <c r="AX23" i="3"/>
  <c r="AI244" i="1"/>
  <c r="AG244" i="1"/>
  <c r="AU23" i="4"/>
  <c r="AU28" i="4"/>
  <c r="AU21" i="4"/>
  <c r="AE13" i="4"/>
  <c r="J14" i="4"/>
  <c r="AE14" i="4" s="1"/>
  <c r="AU33" i="4"/>
  <c r="AX33" i="3"/>
  <c r="AV33" i="3"/>
  <c r="AL33" i="3" s="1"/>
  <c r="BF33" i="3" s="1"/>
  <c r="AF206" i="1"/>
  <c r="AG238" i="1"/>
  <c r="AI238" i="1"/>
  <c r="AF204" i="1"/>
  <c r="AG169" i="1"/>
  <c r="AI169" i="1"/>
  <c r="AM252" i="1"/>
  <c r="AL252" i="1"/>
  <c r="AN252" i="1" s="1"/>
  <c r="AO252" i="1" s="1"/>
  <c r="AE11" i="1"/>
  <c r="AF11" i="1" s="1"/>
  <c r="AF149" i="1"/>
  <c r="AI109" i="1"/>
  <c r="AG109" i="1"/>
  <c r="AF108" i="1"/>
  <c r="AG20" i="1"/>
  <c r="AI20" i="1"/>
  <c r="AG51" i="1"/>
  <c r="AI51" i="1"/>
  <c r="AI167" i="1"/>
  <c r="AG167" i="1"/>
  <c r="AF45" i="1"/>
  <c r="AI107" i="1"/>
  <c r="AG107" i="1"/>
  <c r="AF44" i="1"/>
  <c r="AF81" i="1"/>
  <c r="AF93" i="1"/>
  <c r="AI251" i="1"/>
  <c r="AG251" i="1"/>
  <c r="AG192" i="1"/>
  <c r="AI192" i="1"/>
  <c r="AU26" i="4"/>
  <c r="AU16" i="4"/>
  <c r="AU34" i="4"/>
  <c r="AU30" i="3"/>
  <c r="AI213" i="1"/>
  <c r="AG213" i="1"/>
  <c r="AI210" i="1"/>
  <c r="AG210" i="1"/>
  <c r="AI202" i="1"/>
  <c r="AG202" i="1"/>
  <c r="AF173" i="1"/>
  <c r="AG13" i="1"/>
  <c r="AI13" i="1"/>
  <c r="AF58" i="1"/>
  <c r="AI151" i="1"/>
  <c r="AG151" i="1"/>
  <c r="AG101" i="1"/>
  <c r="AI101" i="1"/>
  <c r="AF166" i="1"/>
  <c r="AI248" i="1"/>
  <c r="AG248" i="1"/>
  <c r="AG116" i="1"/>
  <c r="AI116" i="1"/>
  <c r="AG111" i="1"/>
  <c r="AI111" i="1"/>
  <c r="AF50" i="1"/>
  <c r="AF48" i="1"/>
  <c r="AF89" i="1"/>
  <c r="AF76" i="1"/>
  <c r="AF17" i="1"/>
  <c r="AL93" i="2" l="1"/>
  <c r="AM93" i="2"/>
  <c r="AM42" i="2"/>
  <c r="AL42" i="2"/>
  <c r="AN42" i="2" s="1"/>
  <c r="AO42" i="2" s="1"/>
  <c r="AL83" i="2"/>
  <c r="AM83" i="2"/>
  <c r="AL50" i="2"/>
  <c r="AN50" i="2" s="1"/>
  <c r="AO50" i="2" s="1"/>
  <c r="AM50" i="2"/>
  <c r="AL121" i="2"/>
  <c r="AM121" i="2"/>
  <c r="AL12" i="2"/>
  <c r="AM12" i="2"/>
  <c r="AM107" i="2"/>
  <c r="AL107" i="2"/>
  <c r="AN107" i="2" s="1"/>
  <c r="AO107" i="2" s="1"/>
  <c r="AL244" i="2"/>
  <c r="AM244" i="2"/>
  <c r="AM105" i="2"/>
  <c r="AL105" i="2"/>
  <c r="AN105" i="2" s="1"/>
  <c r="AO105" i="2" s="1"/>
  <c r="AL171" i="2"/>
  <c r="AN171" i="2" s="1"/>
  <c r="AO171" i="2" s="1"/>
  <c r="AM171" i="2"/>
  <c r="AM249" i="2"/>
  <c r="AL249" i="2"/>
  <c r="AN249" i="2" s="1"/>
  <c r="AO249" i="2" s="1"/>
  <c r="AL89" i="2"/>
  <c r="AM89" i="2"/>
  <c r="AM261" i="2"/>
  <c r="AL261" i="2"/>
  <c r="AN261" i="2" s="1"/>
  <c r="AO261" i="2" s="1"/>
  <c r="AM16" i="2"/>
  <c r="AL16" i="2"/>
  <c r="AM169" i="2"/>
  <c r="AL169" i="2"/>
  <c r="AN169" i="2" s="1"/>
  <c r="AO169" i="2" s="1"/>
  <c r="AN20" i="2"/>
  <c r="AO20" i="2" s="1"/>
  <c r="AM28" i="2"/>
  <c r="AL28" i="2"/>
  <c r="AN28" i="2" s="1"/>
  <c r="AO28" i="2" s="1"/>
  <c r="AM137" i="2"/>
  <c r="AL137" i="2"/>
  <c r="AM41" i="2"/>
  <c r="AL41" i="2"/>
  <c r="AL87" i="2"/>
  <c r="AM87" i="2"/>
  <c r="AL192" i="2"/>
  <c r="AM192" i="2"/>
  <c r="AM22" i="2"/>
  <c r="AL22" i="2"/>
  <c r="AN22" i="2" s="1"/>
  <c r="AO22" i="2" s="1"/>
  <c r="AM272" i="2"/>
  <c r="AL272" i="2"/>
  <c r="AN272" i="2" s="1"/>
  <c r="AO272" i="2" s="1"/>
  <c r="AL17" i="2"/>
  <c r="AN17" i="2" s="1"/>
  <c r="AO17" i="2" s="1"/>
  <c r="AM17" i="2"/>
  <c r="AM47" i="2"/>
  <c r="AL47" i="2"/>
  <c r="AM147" i="2"/>
  <c r="AL147" i="2"/>
  <c r="AN147" i="2" s="1"/>
  <c r="AO147" i="2" s="1"/>
  <c r="AN57" i="2"/>
  <c r="AO57" i="2" s="1"/>
  <c r="AM64" i="2"/>
  <c r="AL64" i="2"/>
  <c r="AN64" i="2" s="1"/>
  <c r="AO64" i="2" s="1"/>
  <c r="AM173" i="2"/>
  <c r="AL173" i="2"/>
  <c r="AN173" i="2" s="1"/>
  <c r="AO173" i="2" s="1"/>
  <c r="AN111" i="2"/>
  <c r="AO111" i="2" s="1"/>
  <c r="AL265" i="2"/>
  <c r="AN265" i="2" s="1"/>
  <c r="AO265" i="2" s="1"/>
  <c r="AM265" i="2"/>
  <c r="AL175" i="2"/>
  <c r="AN175" i="2" s="1"/>
  <c r="AO175" i="2" s="1"/>
  <c r="AM175" i="2"/>
  <c r="AM251" i="2"/>
  <c r="AL251" i="2"/>
  <c r="AN251" i="2" s="1"/>
  <c r="AO251" i="2" s="1"/>
  <c r="AM32" i="2"/>
  <c r="AL32" i="2"/>
  <c r="AM210" i="2"/>
  <c r="AL210" i="2"/>
  <c r="AN210" i="2" s="1"/>
  <c r="AO210" i="2" s="1"/>
  <c r="AM102" i="2"/>
  <c r="AL102" i="2"/>
  <c r="AN102" i="2" s="1"/>
  <c r="AO102" i="2" s="1"/>
  <c r="AL151" i="2"/>
  <c r="AN151" i="2" s="1"/>
  <c r="AO151" i="2" s="1"/>
  <c r="AM151" i="2"/>
  <c r="AM62" i="2"/>
  <c r="AL62" i="2"/>
  <c r="AL193" i="2"/>
  <c r="AM193" i="2"/>
  <c r="AL263" i="2"/>
  <c r="AN263" i="2" s="1"/>
  <c r="AO263" i="2" s="1"/>
  <c r="AM263" i="2"/>
  <c r="AM176" i="2"/>
  <c r="AL176" i="2"/>
  <c r="AN176" i="2" s="1"/>
  <c r="AO176" i="2" s="1"/>
  <c r="AN142" i="2"/>
  <c r="AO142" i="2" s="1"/>
  <c r="AN253" i="2"/>
  <c r="AO253" i="2" s="1"/>
  <c r="AN51" i="2"/>
  <c r="AO51" i="2" s="1"/>
  <c r="AL26" i="2"/>
  <c r="AM26" i="2"/>
  <c r="AN24" i="2"/>
  <c r="AO24" i="2" s="1"/>
  <c r="AN191" i="2"/>
  <c r="AO191" i="2" s="1"/>
  <c r="AP191" i="2" s="1"/>
  <c r="AL198" i="2"/>
  <c r="AM198" i="2"/>
  <c r="AL134" i="2"/>
  <c r="AM134" i="2"/>
  <c r="AN52" i="2"/>
  <c r="AO52" i="2" s="1"/>
  <c r="AN149" i="2"/>
  <c r="AO149" i="2" s="1"/>
  <c r="AM15" i="2"/>
  <c r="AL15" i="2"/>
  <c r="AN15" i="2" s="1"/>
  <c r="AO15" i="2" s="1"/>
  <c r="AN61" i="2"/>
  <c r="AO61" i="2" s="1"/>
  <c r="AM268" i="2"/>
  <c r="AL268" i="2"/>
  <c r="AN14" i="2"/>
  <c r="AO14" i="2" s="1"/>
  <c r="AM254" i="2"/>
  <c r="AL254" i="2"/>
  <c r="AN254" i="2" s="1"/>
  <c r="AO254" i="2" s="1"/>
  <c r="AL118" i="2"/>
  <c r="AM118" i="2"/>
  <c r="AM182" i="2"/>
  <c r="AL182" i="2"/>
  <c r="AN182" i="2" s="1"/>
  <c r="AO182" i="2" s="1"/>
  <c r="AM34" i="2"/>
  <c r="AL34" i="2"/>
  <c r="AN34" i="2" s="1"/>
  <c r="AO34" i="2" s="1"/>
  <c r="AM166" i="2"/>
  <c r="AL166" i="2"/>
  <c r="AN166" i="2" s="1"/>
  <c r="AO166" i="2" s="1"/>
  <c r="AM252" i="2"/>
  <c r="AL252" i="2"/>
  <c r="AN252" i="2" s="1"/>
  <c r="AO252" i="2" s="1"/>
  <c r="AM197" i="2"/>
  <c r="AL197" i="2"/>
  <c r="AL238" i="2"/>
  <c r="AM238" i="2"/>
  <c r="AM164" i="2"/>
  <c r="AL164" i="2"/>
  <c r="AN164" i="2" s="1"/>
  <c r="AO164" i="2" s="1"/>
  <c r="AL104" i="2"/>
  <c r="AM104" i="2"/>
  <c r="AL140" i="2"/>
  <c r="AM140" i="2"/>
  <c r="AM143" i="2"/>
  <c r="AL143" i="2"/>
  <c r="AN143" i="2" s="1"/>
  <c r="AO143" i="2" s="1"/>
  <c r="AM199" i="2"/>
  <c r="AL199" i="2"/>
  <c r="AM91" i="2"/>
  <c r="AL91" i="2"/>
  <c r="AN91" i="2" s="1"/>
  <c r="AO91" i="2" s="1"/>
  <c r="AN63" i="2"/>
  <c r="AO63" i="2" s="1"/>
  <c r="AL45" i="2"/>
  <c r="AM45" i="2"/>
  <c r="AM242" i="2"/>
  <c r="AL242" i="2"/>
  <c r="AN77" i="2"/>
  <c r="AO77" i="2" s="1"/>
  <c r="AL206" i="2"/>
  <c r="AM206" i="2"/>
  <c r="AM33" i="2"/>
  <c r="AL33" i="2"/>
  <c r="AL269" i="2"/>
  <c r="AM269" i="2"/>
  <c r="AL81" i="2"/>
  <c r="AM81" i="2"/>
  <c r="AM90" i="2"/>
  <c r="AL90" i="2"/>
  <c r="AN90" i="2" s="1"/>
  <c r="AO90" i="2" s="1"/>
  <c r="AN136" i="2"/>
  <c r="AO136" i="2" s="1"/>
  <c r="AM72" i="2"/>
  <c r="AL72" i="2"/>
  <c r="AN60" i="2"/>
  <c r="AO60" i="2" s="1"/>
  <c r="AN162" i="2"/>
  <c r="AO162" i="2" s="1"/>
  <c r="AN207" i="2"/>
  <c r="AO207" i="2" s="1"/>
  <c r="AN233" i="2"/>
  <c r="AO233" i="2" s="1"/>
  <c r="AN145" i="2"/>
  <c r="AO145" i="2" s="1"/>
  <c r="AM11" i="2"/>
  <c r="BM11" i="2" s="1"/>
  <c r="AS11" i="2" s="1"/>
  <c r="AL11" i="2"/>
  <c r="AN11" i="2" s="1"/>
  <c r="AO11" i="2" s="1"/>
  <c r="AP11" i="2" s="1"/>
  <c r="AL144" i="2"/>
  <c r="AM144" i="2"/>
  <c r="AM79" i="2"/>
  <c r="AL79" i="2"/>
  <c r="AN79" i="2" s="1"/>
  <c r="AO79" i="2" s="1"/>
  <c r="AL124" i="2"/>
  <c r="AM124" i="2"/>
  <c r="AM25" i="2"/>
  <c r="AL25" i="2"/>
  <c r="AL117" i="2"/>
  <c r="AM117" i="2"/>
  <c r="AM132" i="2"/>
  <c r="AL132" i="2"/>
  <c r="AL204" i="2"/>
  <c r="AM204" i="2"/>
  <c r="AM21" i="2"/>
  <c r="AL21" i="2"/>
  <c r="AN21" i="2" s="1"/>
  <c r="AO21" i="2" s="1"/>
  <c r="AM264" i="2"/>
  <c r="AL264" i="2"/>
  <c r="AN264" i="2" s="1"/>
  <c r="AO264" i="2" s="1"/>
  <c r="AM103" i="2"/>
  <c r="AL103" i="2"/>
  <c r="AL109" i="2"/>
  <c r="AM109" i="2"/>
  <c r="AM85" i="2"/>
  <c r="AL85" i="2"/>
  <c r="AN85" i="2" s="1"/>
  <c r="AO85" i="2" s="1"/>
  <c r="AM208" i="2"/>
  <c r="AL208" i="2"/>
  <c r="AN208" i="2" s="1"/>
  <c r="AO208" i="2" s="1"/>
  <c r="AM80" i="2"/>
  <c r="AL80" i="2"/>
  <c r="AN80" i="2" s="1"/>
  <c r="AO80" i="2" s="1"/>
  <c r="AM209" i="2"/>
  <c r="AL209" i="2"/>
  <c r="AN209" i="2" s="1"/>
  <c r="AO209" i="2" s="1"/>
  <c r="AN240" i="2"/>
  <c r="AO240" i="2" s="1"/>
  <c r="AM92" i="2"/>
  <c r="AL92" i="2"/>
  <c r="AL178" i="2"/>
  <c r="AM178" i="2"/>
  <c r="AM274" i="2"/>
  <c r="AL274" i="2"/>
  <c r="AN274" i="2" s="1"/>
  <c r="AO274" i="2" s="1"/>
  <c r="AM84" i="2"/>
  <c r="AL84" i="2"/>
  <c r="AN106" i="2"/>
  <c r="AO106" i="2" s="1"/>
  <c r="AL115" i="2"/>
  <c r="AM115" i="2"/>
  <c r="AM78" i="2"/>
  <c r="AL78" i="2"/>
  <c r="AN18" i="2"/>
  <c r="AO18" i="2" s="1"/>
  <c r="AL49" i="2"/>
  <c r="AM49" i="2"/>
  <c r="AN74" i="2"/>
  <c r="AO74" i="2" s="1"/>
  <c r="AL184" i="2"/>
  <c r="AM184" i="2"/>
  <c r="AN133" i="2"/>
  <c r="AO133" i="2" s="1"/>
  <c r="AN152" i="2"/>
  <c r="AO152" i="2" s="1"/>
  <c r="AL86" i="2"/>
  <c r="AM86" i="2"/>
  <c r="AN19" i="2"/>
  <c r="AO19" i="2" s="1"/>
  <c r="AN179" i="2"/>
  <c r="AO179" i="2" s="1"/>
  <c r="AN236" i="2"/>
  <c r="AO236" i="2" s="1"/>
  <c r="AM183" i="2"/>
  <c r="AL183" i="2"/>
  <c r="AN183" i="2" s="1"/>
  <c r="AO183" i="2" s="1"/>
  <c r="AN168" i="2"/>
  <c r="AO168" i="2" s="1"/>
  <c r="AN76" i="2"/>
  <c r="AO76" i="2" s="1"/>
  <c r="AL257" i="2"/>
  <c r="AN257" i="2" s="1"/>
  <c r="AO257" i="2" s="1"/>
  <c r="AM257" i="2"/>
  <c r="AN200" i="2"/>
  <c r="AO200" i="2" s="1"/>
  <c r="AM271" i="2"/>
  <c r="AL271" i="2"/>
  <c r="AN271" i="2" s="1"/>
  <c r="AO271" i="2" s="1"/>
  <c r="AL205" i="2"/>
  <c r="AN205" i="2" s="1"/>
  <c r="AO205" i="2" s="1"/>
  <c r="AM205" i="2"/>
  <c r="AM48" i="2"/>
  <c r="AL48" i="2"/>
  <c r="AN48" i="2" s="1"/>
  <c r="AO48" i="2" s="1"/>
  <c r="AN112" i="2"/>
  <c r="AO112" i="2" s="1"/>
  <c r="AL43" i="2"/>
  <c r="AM43" i="2"/>
  <c r="AM58" i="2"/>
  <c r="AL58" i="2"/>
  <c r="AL235" i="2"/>
  <c r="AN235" i="2" s="1"/>
  <c r="AO235" i="2" s="1"/>
  <c r="AM235" i="2"/>
  <c r="AL248" i="2"/>
  <c r="AM248" i="2"/>
  <c r="AM276" i="2"/>
  <c r="AL276" i="2"/>
  <c r="AM113" i="2"/>
  <c r="AL113" i="2"/>
  <c r="AN113" i="2" s="1"/>
  <c r="AO113" i="2" s="1"/>
  <c r="AM232" i="2"/>
  <c r="AL232" i="2"/>
  <c r="AN232" i="2" s="1"/>
  <c r="AO232" i="2" s="1"/>
  <c r="AL277" i="2"/>
  <c r="AN277" i="2" s="1"/>
  <c r="AO277" i="2" s="1"/>
  <c r="AM277" i="2"/>
  <c r="AM131" i="2"/>
  <c r="AL131" i="2"/>
  <c r="AM44" i="2"/>
  <c r="AL44" i="2"/>
  <c r="AN44" i="2" s="1"/>
  <c r="AO44" i="2" s="1"/>
  <c r="AM234" i="2"/>
  <c r="AL234" i="2"/>
  <c r="AN120" i="2"/>
  <c r="AO120" i="2" s="1"/>
  <c r="AM122" i="2"/>
  <c r="AL122" i="2"/>
  <c r="AN122" i="2" s="1"/>
  <c r="AO122" i="2" s="1"/>
  <c r="AL161" i="2"/>
  <c r="AM161" i="2"/>
  <c r="AN213" i="2"/>
  <c r="AO213" i="2" s="1"/>
  <c r="AM262" i="2"/>
  <c r="AL262" i="2"/>
  <c r="AN139" i="2"/>
  <c r="AO139" i="2" s="1"/>
  <c r="AM23" i="2"/>
  <c r="AL23" i="2"/>
  <c r="AN55" i="2"/>
  <c r="AO55" i="2" s="1"/>
  <c r="AL114" i="2"/>
  <c r="AM114" i="2"/>
  <c r="AL255" i="2"/>
  <c r="AM255" i="2"/>
  <c r="AN88" i="2"/>
  <c r="AO88" i="2" s="1"/>
  <c r="AM245" i="2"/>
  <c r="AL245" i="2"/>
  <c r="AN245" i="2" s="1"/>
  <c r="AO245" i="2" s="1"/>
  <c r="AN73" i="2"/>
  <c r="AO73" i="2" s="1"/>
  <c r="AM211" i="2"/>
  <c r="AL211" i="2"/>
  <c r="AN211" i="2" s="1"/>
  <c r="AO211" i="2" s="1"/>
  <c r="AM278" i="2"/>
  <c r="AL278" i="2"/>
  <c r="AL71" i="2"/>
  <c r="AM71" i="2"/>
  <c r="AI131" i="1"/>
  <c r="AM111" i="1"/>
  <c r="AL111" i="1"/>
  <c r="AN111" i="1" s="1"/>
  <c r="AO111" i="1" s="1"/>
  <c r="AL192" i="1"/>
  <c r="AM192" i="1"/>
  <c r="AM202" i="1"/>
  <c r="AL202" i="1"/>
  <c r="AN202" i="1" s="1"/>
  <c r="AO202" i="1" s="1"/>
  <c r="BB17" i="4"/>
  <c r="BA17" i="4"/>
  <c r="BC17" i="4" s="1"/>
  <c r="BD17" i="4" s="1"/>
  <c r="AL112" i="1"/>
  <c r="AM112" i="1"/>
  <c r="AL106" i="1"/>
  <c r="AN106" i="1" s="1"/>
  <c r="AO106" i="1" s="1"/>
  <c r="AM106" i="1"/>
  <c r="AI48" i="1"/>
  <c r="AG48" i="1"/>
  <c r="AM151" i="1"/>
  <c r="AL151" i="1"/>
  <c r="AN151" i="1" s="1"/>
  <c r="AO151" i="1" s="1"/>
  <c r="AX34" i="4"/>
  <c r="AV34" i="4"/>
  <c r="AL34" i="4" s="1"/>
  <c r="BF34" i="4" s="1"/>
  <c r="AI45" i="1"/>
  <c r="AG45" i="1"/>
  <c r="AG50" i="1"/>
  <c r="AI50" i="1"/>
  <c r="AI58" i="1"/>
  <c r="AG58" i="1"/>
  <c r="AX16" i="4"/>
  <c r="AV16" i="4"/>
  <c r="AL16" i="4" s="1"/>
  <c r="BF16" i="4" s="1"/>
  <c r="AX21" i="4"/>
  <c r="AV21" i="4"/>
  <c r="AL21" i="4" s="1"/>
  <c r="BF21" i="4" s="1"/>
  <c r="BB22" i="4"/>
  <c r="BA22" i="4"/>
  <c r="AM208" i="1"/>
  <c r="AL208" i="1"/>
  <c r="AN208" i="1" s="1"/>
  <c r="AO208" i="1" s="1"/>
  <c r="AM147" i="1"/>
  <c r="AL147" i="1"/>
  <c r="AN147" i="1" s="1"/>
  <c r="AO147" i="1" s="1"/>
  <c r="AM255" i="1"/>
  <c r="AL255" i="1"/>
  <c r="AN255" i="1" s="1"/>
  <c r="AO255" i="1" s="1"/>
  <c r="AL154" i="1"/>
  <c r="AM154" i="1"/>
  <c r="AI82" i="1"/>
  <c r="AG82" i="1"/>
  <c r="BB25" i="4"/>
  <c r="BA25" i="4"/>
  <c r="AM197" i="1"/>
  <c r="AL197" i="1"/>
  <c r="AN197" i="1" s="1"/>
  <c r="AO197" i="1" s="1"/>
  <c r="AG84" i="1"/>
  <c r="AI84" i="1"/>
  <c r="AM153" i="1"/>
  <c r="AL153" i="1"/>
  <c r="AN153" i="1" s="1"/>
  <c r="AO153" i="1" s="1"/>
  <c r="AM16" i="1"/>
  <c r="AL16" i="1"/>
  <c r="AN16" i="1" s="1"/>
  <c r="AO16" i="1" s="1"/>
  <c r="AX21" i="3"/>
  <c r="AV21" i="3"/>
  <c r="AL21" i="3" s="1"/>
  <c r="BF21" i="3" s="1"/>
  <c r="AM43" i="1"/>
  <c r="AL43" i="1"/>
  <c r="AN43" i="1" s="1"/>
  <c r="AO43" i="1" s="1"/>
  <c r="AM13" i="1"/>
  <c r="AL13" i="1"/>
  <c r="AN13" i="1" s="1"/>
  <c r="AO13" i="1" s="1"/>
  <c r="AX26" i="4"/>
  <c r="AV26" i="4"/>
  <c r="AL26" i="4" s="1"/>
  <c r="BF26" i="4" s="1"/>
  <c r="AM167" i="1"/>
  <c r="AL167" i="1"/>
  <c r="AN167" i="1" s="1"/>
  <c r="AO167" i="1" s="1"/>
  <c r="AM169" i="1"/>
  <c r="AL169" i="1"/>
  <c r="AN169" i="1" s="1"/>
  <c r="AO169" i="1" s="1"/>
  <c r="AX28" i="4"/>
  <c r="AV28" i="4"/>
  <c r="AL28" i="4" s="1"/>
  <c r="BF28" i="4" s="1"/>
  <c r="BB16" i="3"/>
  <c r="BA16" i="3"/>
  <c r="BC16" i="3" s="1"/>
  <c r="BD16" i="3" s="1"/>
  <c r="AI33" i="1"/>
  <c r="AG33" i="1"/>
  <c r="AI90" i="1"/>
  <c r="AG90" i="1"/>
  <c r="AM140" i="1"/>
  <c r="AL140" i="1"/>
  <c r="AN140" i="1" s="1"/>
  <c r="AO140" i="1" s="1"/>
  <c r="AM46" i="1"/>
  <c r="AL46" i="1"/>
  <c r="AN46" i="1" s="1"/>
  <c r="AO46" i="1" s="1"/>
  <c r="AN265" i="1"/>
  <c r="AO265" i="1" s="1"/>
  <c r="AL118" i="1"/>
  <c r="AN118" i="1" s="1"/>
  <c r="AO118" i="1" s="1"/>
  <c r="AM118" i="1"/>
  <c r="AM24" i="1"/>
  <c r="AL24" i="1"/>
  <c r="AM25" i="1"/>
  <c r="AL25" i="1"/>
  <c r="AM237" i="1"/>
  <c r="AL237" i="1"/>
  <c r="AM139" i="1"/>
  <c r="AL139" i="1"/>
  <c r="BA14" i="4"/>
  <c r="BB14" i="4"/>
  <c r="AX30" i="4"/>
  <c r="AV30" i="4"/>
  <c r="AL30" i="4" s="1"/>
  <c r="BF30" i="4" s="1"/>
  <c r="AM184" i="1"/>
  <c r="AL184" i="1"/>
  <c r="BA17" i="3"/>
  <c r="BC17" i="3" s="1"/>
  <c r="BD17" i="3" s="1"/>
  <c r="BB17" i="3"/>
  <c r="AM22" i="1"/>
  <c r="AL22" i="1"/>
  <c r="AM64" i="1"/>
  <c r="AL64" i="1"/>
  <c r="AX23" i="4"/>
  <c r="AV23" i="4"/>
  <c r="AL23" i="4" s="1"/>
  <c r="BF23" i="4" s="1"/>
  <c r="AM211" i="1"/>
  <c r="AL211" i="1"/>
  <c r="AM92" i="1"/>
  <c r="AL92" i="1"/>
  <c r="AL47" i="1"/>
  <c r="AN47" i="1" s="1"/>
  <c r="AO47" i="1" s="1"/>
  <c r="AM47" i="1"/>
  <c r="AM55" i="1"/>
  <c r="AL55" i="1"/>
  <c r="AM162" i="1"/>
  <c r="AL162" i="1"/>
  <c r="AX18" i="4"/>
  <c r="AV18" i="4"/>
  <c r="AL18" i="4" s="1"/>
  <c r="BF18" i="4" s="1"/>
  <c r="AM121" i="1"/>
  <c r="AL121" i="1"/>
  <c r="AN135" i="1"/>
  <c r="AO135" i="1" s="1"/>
  <c r="AL168" i="1"/>
  <c r="AM168" i="1"/>
  <c r="AM27" i="1"/>
  <c r="AL27" i="1"/>
  <c r="AM114" i="1"/>
  <c r="AL114" i="1"/>
  <c r="AN114" i="1" s="1"/>
  <c r="AO114" i="1" s="1"/>
  <c r="AM31" i="1"/>
  <c r="AL31" i="1"/>
  <c r="AN31" i="1" s="1"/>
  <c r="AO31" i="1" s="1"/>
  <c r="AM268" i="1"/>
  <c r="AL268" i="1"/>
  <c r="AN268" i="1" s="1"/>
  <c r="AO268" i="1" s="1"/>
  <c r="AM14" i="1"/>
  <c r="AL14" i="1"/>
  <c r="AN14" i="1" s="1"/>
  <c r="AO14" i="1" s="1"/>
  <c r="AM212" i="1"/>
  <c r="AL212" i="1"/>
  <c r="AN212" i="1" s="1"/>
  <c r="AO212" i="1" s="1"/>
  <c r="AM116" i="1"/>
  <c r="AL116" i="1"/>
  <c r="AM142" i="1"/>
  <c r="AL142" i="1"/>
  <c r="AN142" i="1" s="1"/>
  <c r="AO142" i="1" s="1"/>
  <c r="AM131" i="1"/>
  <c r="AL131" i="1"/>
  <c r="AM175" i="1"/>
  <c r="AL175" i="1"/>
  <c r="AN175" i="1" s="1"/>
  <c r="AO175" i="1" s="1"/>
  <c r="AI119" i="1"/>
  <c r="AG119" i="1"/>
  <c r="AL29" i="1"/>
  <c r="AM29" i="1"/>
  <c r="AX11" i="3"/>
  <c r="AV11" i="3"/>
  <c r="AL11" i="3" s="1"/>
  <c r="BF11" i="3" s="1"/>
  <c r="BB26" i="3"/>
  <c r="BA26" i="3"/>
  <c r="BC26" i="3" s="1"/>
  <c r="BD26" i="3" s="1"/>
  <c r="AM258" i="1"/>
  <c r="AL258" i="1"/>
  <c r="AN258" i="1" s="1"/>
  <c r="AO258" i="1" s="1"/>
  <c r="AL243" i="1"/>
  <c r="AM243" i="1"/>
  <c r="AM163" i="1"/>
  <c r="AL163" i="1"/>
  <c r="AN163" i="1" s="1"/>
  <c r="AO163" i="1" s="1"/>
  <c r="AM256" i="1"/>
  <c r="AL256" i="1"/>
  <c r="AN256" i="1" s="1"/>
  <c r="AO256" i="1" s="1"/>
  <c r="AM137" i="1"/>
  <c r="AL137" i="1"/>
  <c r="BB24" i="3"/>
  <c r="BA24" i="3"/>
  <c r="BC24" i="3" s="1"/>
  <c r="BD24" i="3" s="1"/>
  <c r="AI42" i="1"/>
  <c r="AG42" i="1"/>
  <c r="AI57" i="1"/>
  <c r="AG57" i="1"/>
  <c r="AM20" i="1"/>
  <c r="AL20" i="1"/>
  <c r="AN20" i="1" s="1"/>
  <c r="AO20" i="1" s="1"/>
  <c r="AM238" i="1"/>
  <c r="AL238" i="1"/>
  <c r="AN238" i="1" s="1"/>
  <c r="AO238" i="1" s="1"/>
  <c r="AL244" i="1"/>
  <c r="AN244" i="1" s="1"/>
  <c r="AO244" i="1" s="1"/>
  <c r="AM244" i="1"/>
  <c r="BB20" i="3"/>
  <c r="BA20" i="3"/>
  <c r="BC20" i="3" s="1"/>
  <c r="BD20" i="3" s="1"/>
  <c r="AI124" i="1"/>
  <c r="AG124" i="1"/>
  <c r="AM41" i="1"/>
  <c r="AL41" i="1"/>
  <c r="AN41" i="1" s="1"/>
  <c r="AO41" i="1" s="1"/>
  <c r="AP41" i="1" s="1"/>
  <c r="AG91" i="1"/>
  <c r="AI91" i="1"/>
  <c r="BB32" i="4"/>
  <c r="BA32" i="4"/>
  <c r="BC32" i="4" s="1"/>
  <c r="BD32" i="4" s="1"/>
  <c r="AM233" i="1"/>
  <c r="AL233" i="1"/>
  <c r="AM266" i="1"/>
  <c r="AL266" i="1"/>
  <c r="AI71" i="1"/>
  <c r="AG71" i="1"/>
  <c r="AM94" i="1"/>
  <c r="AL94" i="1"/>
  <c r="AN94" i="1" s="1"/>
  <c r="AO94" i="1" s="1"/>
  <c r="AM141" i="1"/>
  <c r="AL141" i="1"/>
  <c r="AN141" i="1" s="1"/>
  <c r="AO141" i="1" s="1"/>
  <c r="AX34" i="3"/>
  <c r="AV34" i="3"/>
  <c r="AL34" i="3" s="1"/>
  <c r="BF34" i="3" s="1"/>
  <c r="BB18" i="3"/>
  <c r="BA18" i="3"/>
  <c r="AN264" i="1"/>
  <c r="AO264" i="1" s="1"/>
  <c r="AL12" i="4"/>
  <c r="BF12" i="4" s="1"/>
  <c r="AX15" i="4"/>
  <c r="AV15" i="4"/>
  <c r="AL15" i="4" s="1"/>
  <c r="BF15" i="4" s="1"/>
  <c r="AM80" i="1"/>
  <c r="AL80" i="1"/>
  <c r="AN80" i="1" s="1"/>
  <c r="AO80" i="1" s="1"/>
  <c r="AL54" i="1"/>
  <c r="AM54" i="1"/>
  <c r="AM161" i="1"/>
  <c r="AL161" i="1"/>
  <c r="BB12" i="4"/>
  <c r="BA12" i="4"/>
  <c r="AL191" i="1"/>
  <c r="AM191" i="1"/>
  <c r="AM49" i="1"/>
  <c r="AL49" i="1"/>
  <c r="AN49" i="1" s="1"/>
  <c r="AO49" i="1" s="1"/>
  <c r="AM144" i="1"/>
  <c r="AL144" i="1"/>
  <c r="AN144" i="1" s="1"/>
  <c r="AO144" i="1" s="1"/>
  <c r="BA23" i="3"/>
  <c r="BB23" i="3"/>
  <c r="AI61" i="1"/>
  <c r="AG61" i="1"/>
  <c r="AM178" i="1"/>
  <c r="AL178" i="1"/>
  <c r="AM136" i="1"/>
  <c r="AL136" i="1"/>
  <c r="AI73" i="1"/>
  <c r="AG73" i="1"/>
  <c r="AL75" i="1"/>
  <c r="AM75" i="1"/>
  <c r="AL240" i="1"/>
  <c r="AM240" i="1"/>
  <c r="AL257" i="1"/>
  <c r="AM257" i="1"/>
  <c r="AM236" i="1"/>
  <c r="AL236" i="1"/>
  <c r="AM248" i="1"/>
  <c r="AL248" i="1"/>
  <c r="AG93" i="1"/>
  <c r="AI93" i="1"/>
  <c r="AG108" i="1"/>
  <c r="AI108" i="1"/>
  <c r="AG206" i="1"/>
  <c r="AI206" i="1"/>
  <c r="AI60" i="1"/>
  <c r="AG60" i="1"/>
  <c r="AM72" i="1"/>
  <c r="AL72" i="1"/>
  <c r="AG150" i="1"/>
  <c r="AI150" i="1"/>
  <c r="AM231" i="1"/>
  <c r="AL231" i="1"/>
  <c r="AN231" i="1" s="1"/>
  <c r="AO231" i="1" s="1"/>
  <c r="BB24" i="4"/>
  <c r="BA24" i="4"/>
  <c r="BC24" i="4" s="1"/>
  <c r="BD24" i="4" s="1"/>
  <c r="BA13" i="3"/>
  <c r="BC13" i="3" s="1"/>
  <c r="BD13" i="3" s="1"/>
  <c r="BB13" i="3"/>
  <c r="AM30" i="1"/>
  <c r="AL30" i="1"/>
  <c r="AN30" i="1" s="1"/>
  <c r="AO30" i="1" s="1"/>
  <c r="BB29" i="4"/>
  <c r="BA29" i="4"/>
  <c r="AI79" i="1"/>
  <c r="AG79" i="1"/>
  <c r="AL88" i="1"/>
  <c r="AM88" i="1"/>
  <c r="AM133" i="1"/>
  <c r="AL133" i="1"/>
  <c r="AN133" i="1" s="1"/>
  <c r="AO133" i="1" s="1"/>
  <c r="AM52" i="1"/>
  <c r="AL52" i="1"/>
  <c r="AM134" i="1"/>
  <c r="AL134" i="1"/>
  <c r="AN134" i="1" s="1"/>
  <c r="AO134" i="1" s="1"/>
  <c r="BB12" i="3"/>
  <c r="BA12" i="3"/>
  <c r="BA19" i="3"/>
  <c r="BC19" i="3" s="1"/>
  <c r="BD19" i="3" s="1"/>
  <c r="BB19" i="3"/>
  <c r="AM28" i="1"/>
  <c r="AL28" i="1"/>
  <c r="AN28" i="1" s="1"/>
  <c r="AO28" i="1" s="1"/>
  <c r="AG205" i="1"/>
  <c r="AI205" i="1"/>
  <c r="AM103" i="1"/>
  <c r="AL103" i="1"/>
  <c r="AL117" i="1"/>
  <c r="AM117" i="1"/>
  <c r="AN245" i="1"/>
  <c r="AO245" i="1" s="1"/>
  <c r="AL86" i="1"/>
  <c r="AM86" i="1"/>
  <c r="AM146" i="1"/>
  <c r="AL146" i="1"/>
  <c r="AM18" i="1"/>
  <c r="AL18" i="1"/>
  <c r="AM87" i="1"/>
  <c r="AL87" i="1"/>
  <c r="AN87" i="1" s="1"/>
  <c r="AO87" i="1" s="1"/>
  <c r="BJ11" i="4"/>
  <c r="BI11" i="4"/>
  <c r="BL11" i="4" s="1"/>
  <c r="BH11" i="4"/>
  <c r="BK11" i="4" s="1"/>
  <c r="BG11" i="4"/>
  <c r="AL56" i="1"/>
  <c r="AM56" i="1"/>
  <c r="AM209" i="1"/>
  <c r="AL209" i="1"/>
  <c r="AM177" i="1"/>
  <c r="AL177" i="1"/>
  <c r="AM170" i="1"/>
  <c r="AL170" i="1"/>
  <c r="AN170" i="1" s="1"/>
  <c r="AO170" i="1" s="1"/>
  <c r="AM241" i="1"/>
  <c r="AL241" i="1"/>
  <c r="AN241" i="1" s="1"/>
  <c r="AO241" i="1" s="1"/>
  <c r="AG166" i="1"/>
  <c r="AI166" i="1"/>
  <c r="AG81" i="1"/>
  <c r="AI81" i="1"/>
  <c r="AL63" i="1"/>
  <c r="AN63" i="1" s="1"/>
  <c r="AO63" i="1" s="1"/>
  <c r="AM63" i="1"/>
  <c r="AM203" i="1"/>
  <c r="AL203" i="1"/>
  <c r="AM77" i="1"/>
  <c r="AL77" i="1"/>
  <c r="AN77" i="1" s="1"/>
  <c r="AO77" i="1" s="1"/>
  <c r="AM101" i="1"/>
  <c r="AL101" i="1"/>
  <c r="AN101" i="1" s="1"/>
  <c r="AO101" i="1" s="1"/>
  <c r="AP101" i="1" s="1"/>
  <c r="AI44" i="1"/>
  <c r="AG44" i="1"/>
  <c r="AM109" i="1"/>
  <c r="AL109" i="1"/>
  <c r="AN109" i="1" s="1"/>
  <c r="AO109" i="1" s="1"/>
  <c r="BA33" i="3"/>
  <c r="BC33" i="3" s="1"/>
  <c r="BD33" i="3" s="1"/>
  <c r="BB33" i="3"/>
  <c r="BA20" i="4"/>
  <c r="BC20" i="4" s="1"/>
  <c r="BD20" i="4" s="1"/>
  <c r="BB20" i="4"/>
  <c r="AG200" i="1"/>
  <c r="AI200" i="1"/>
  <c r="AI76" i="1"/>
  <c r="AG76" i="1"/>
  <c r="AL213" i="1"/>
  <c r="AM213" i="1"/>
  <c r="AG149" i="1"/>
  <c r="AI149" i="1"/>
  <c r="AX33" i="4"/>
  <c r="AV33" i="4"/>
  <c r="AL33" i="4" s="1"/>
  <c r="BF33" i="4" s="1"/>
  <c r="AM269" i="1"/>
  <c r="AL269" i="1"/>
  <c r="BB32" i="3"/>
  <c r="BA32" i="3"/>
  <c r="BC32" i="3" s="1"/>
  <c r="BD32" i="3" s="1"/>
  <c r="AG193" i="1"/>
  <c r="AI193" i="1"/>
  <c r="AM34" i="1"/>
  <c r="AL34" i="1"/>
  <c r="AN34" i="1" s="1"/>
  <c r="AO34" i="1" s="1"/>
  <c r="AI53" i="1"/>
  <c r="AG53" i="1"/>
  <c r="AL199" i="1"/>
  <c r="AN199" i="1" s="1"/>
  <c r="AO199" i="1" s="1"/>
  <c r="AM199" i="1"/>
  <c r="AG120" i="1"/>
  <c r="AI120" i="1"/>
  <c r="AX25" i="3"/>
  <c r="AV25" i="3"/>
  <c r="AL25" i="3" s="1"/>
  <c r="BF25" i="3" s="1"/>
  <c r="AL105" i="1"/>
  <c r="AM105" i="1"/>
  <c r="AM171" i="1"/>
  <c r="AL171" i="1"/>
  <c r="AN171" i="1" s="1"/>
  <c r="AO171" i="1" s="1"/>
  <c r="AI164" i="1"/>
  <c r="AG164" i="1"/>
  <c r="AN195" i="1"/>
  <c r="AO195" i="1" s="1"/>
  <c r="BB11" i="4"/>
  <c r="BA11" i="4"/>
  <c r="AM196" i="1"/>
  <c r="AL196" i="1"/>
  <c r="AN196" i="1" s="1"/>
  <c r="AO196" i="1" s="1"/>
  <c r="AM201" i="1"/>
  <c r="AL201" i="1"/>
  <c r="AM15" i="1"/>
  <c r="AL15" i="1"/>
  <c r="AN15" i="1" s="1"/>
  <c r="AO15" i="1" s="1"/>
  <c r="AM51" i="1"/>
  <c r="AL51" i="1"/>
  <c r="AG173" i="1"/>
  <c r="AI173" i="1"/>
  <c r="AI204" i="1"/>
  <c r="AG204" i="1"/>
  <c r="AM138" i="1"/>
  <c r="AL138" i="1"/>
  <c r="AN138" i="1" s="1"/>
  <c r="AO138" i="1" s="1"/>
  <c r="AL174" i="1"/>
  <c r="AN174" i="1" s="1"/>
  <c r="AO174" i="1" s="1"/>
  <c r="AM174" i="1"/>
  <c r="AG74" i="1"/>
  <c r="AI74" i="1"/>
  <c r="AM198" i="1"/>
  <c r="AL198" i="1"/>
  <c r="AM251" i="1"/>
  <c r="AL251" i="1"/>
  <c r="AL26" i="1"/>
  <c r="AM26" i="1"/>
  <c r="AM194" i="1"/>
  <c r="AL194" i="1"/>
  <c r="AN194" i="1" s="1"/>
  <c r="AO194" i="1" s="1"/>
  <c r="AM152" i="1"/>
  <c r="AL152" i="1"/>
  <c r="AM19" i="1"/>
  <c r="AL19" i="1"/>
  <c r="AN19" i="1" s="1"/>
  <c r="AO19" i="1" s="1"/>
  <c r="BB31" i="4"/>
  <c r="BA31" i="4"/>
  <c r="AX22" i="3"/>
  <c r="AV22" i="3"/>
  <c r="AL22" i="3" s="1"/>
  <c r="BF22" i="3" s="1"/>
  <c r="AM210" i="1"/>
  <c r="AL210" i="1"/>
  <c r="AN210" i="1" s="1"/>
  <c r="AO210" i="1" s="1"/>
  <c r="BB14" i="3"/>
  <c r="BA14" i="3"/>
  <c r="BC14" i="3" s="1"/>
  <c r="BD14" i="3" s="1"/>
  <c r="AM78" i="1"/>
  <c r="AL78" i="1"/>
  <c r="AM181" i="1"/>
  <c r="AL181" i="1"/>
  <c r="AN181" i="1" s="1"/>
  <c r="AO181" i="1" s="1"/>
  <c r="AM232" i="1"/>
  <c r="AL232" i="1"/>
  <c r="AG17" i="1"/>
  <c r="AI17" i="1"/>
  <c r="AI207" i="1"/>
  <c r="AG207" i="1"/>
  <c r="AM21" i="1"/>
  <c r="AL21" i="1"/>
  <c r="AN21" i="1" s="1"/>
  <c r="AO21" i="1" s="1"/>
  <c r="AI89" i="1"/>
  <c r="AG89" i="1"/>
  <c r="AX30" i="3"/>
  <c r="AV30" i="3"/>
  <c r="AL30" i="3" s="1"/>
  <c r="BF30" i="3" s="1"/>
  <c r="AM107" i="1"/>
  <c r="AL107" i="1"/>
  <c r="AI11" i="1"/>
  <c r="AG11" i="1"/>
  <c r="AL113" i="1"/>
  <c r="AM113" i="1"/>
  <c r="AX28" i="3"/>
  <c r="AV28" i="3"/>
  <c r="AL28" i="3" s="1"/>
  <c r="BF28" i="3" s="1"/>
  <c r="BB27" i="4"/>
  <c r="BA27" i="4"/>
  <c r="AM263" i="1"/>
  <c r="AL263" i="1"/>
  <c r="AN263" i="1" s="1"/>
  <c r="AO263" i="1" s="1"/>
  <c r="AI148" i="1"/>
  <c r="AG148" i="1"/>
  <c r="AM172" i="1"/>
  <c r="AL172" i="1"/>
  <c r="AM179" i="1"/>
  <c r="AL179" i="1"/>
  <c r="AN179" i="1" s="1"/>
  <c r="AO179" i="1" s="1"/>
  <c r="AM176" i="1"/>
  <c r="AL176" i="1"/>
  <c r="AN176" i="1" s="1"/>
  <c r="AO176" i="1" s="1"/>
  <c r="AM23" i="1"/>
  <c r="AL23" i="1"/>
  <c r="AI83" i="1"/>
  <c r="AG83" i="1"/>
  <c r="AM12" i="1"/>
  <c r="AL12" i="1"/>
  <c r="AM250" i="1"/>
  <c r="AL250" i="1"/>
  <c r="AM242" i="1"/>
  <c r="AL242" i="1"/>
  <c r="AN242" i="1" s="1"/>
  <c r="AO242" i="1" s="1"/>
  <c r="AM115" i="1"/>
  <c r="AL115" i="1"/>
  <c r="AN115" i="1" s="1"/>
  <c r="AO115" i="1" s="1"/>
  <c r="AM132" i="1"/>
  <c r="AL132" i="1"/>
  <c r="AM165" i="1"/>
  <c r="AL165" i="1"/>
  <c r="AN165" i="1" s="1"/>
  <c r="AO165" i="1" s="1"/>
  <c r="BB31" i="3"/>
  <c r="BA31" i="3"/>
  <c r="BB19" i="4"/>
  <c r="BA19" i="4"/>
  <c r="AV29" i="3"/>
  <c r="AL29" i="3" s="1"/>
  <c r="BF29" i="3" s="1"/>
  <c r="AX29" i="3"/>
  <c r="AL260" i="1"/>
  <c r="AM260" i="1"/>
  <c r="AI62" i="1"/>
  <c r="AG62" i="1"/>
  <c r="AN239" i="1"/>
  <c r="AO239" i="1" s="1"/>
  <c r="AM122" i="1"/>
  <c r="AL122" i="1"/>
  <c r="AN122" i="1" s="1"/>
  <c r="AO122" i="1" s="1"/>
  <c r="BA15" i="3"/>
  <c r="BB15" i="3"/>
  <c r="AG85" i="1"/>
  <c r="AI85" i="1"/>
  <c r="AL180" i="1"/>
  <c r="AN180" i="1" s="1"/>
  <c r="AO180" i="1" s="1"/>
  <c r="AM180" i="1"/>
  <c r="AM214" i="1"/>
  <c r="AL214" i="1"/>
  <c r="AN214" i="1" s="1"/>
  <c r="AO214" i="1" s="1"/>
  <c r="AM123" i="1"/>
  <c r="AL123" i="1"/>
  <c r="AN123" i="1" s="1"/>
  <c r="AO123" i="1" s="1"/>
  <c r="AM143" i="1"/>
  <c r="AL143" i="1"/>
  <c r="AN143" i="1" s="1"/>
  <c r="AO143" i="1" s="1"/>
  <c r="AM183" i="1"/>
  <c r="AL183" i="1"/>
  <c r="AN183" i="1" s="1"/>
  <c r="AO183" i="1" s="1"/>
  <c r="AL182" i="1"/>
  <c r="AM182" i="1"/>
  <c r="BB13" i="4"/>
  <c r="BA13" i="4"/>
  <c r="AX27" i="3"/>
  <c r="AV27" i="3"/>
  <c r="AL27" i="3" s="1"/>
  <c r="BF27" i="3" s="1"/>
  <c r="AL59" i="1"/>
  <c r="AM59" i="1"/>
  <c r="AM102" i="1"/>
  <c r="AL102" i="1"/>
  <c r="AN102" i="1" s="1"/>
  <c r="AO102" i="1" s="1"/>
  <c r="AL32" i="1"/>
  <c r="AM32" i="1"/>
  <c r="AN58" i="2" l="1"/>
  <c r="AO58" i="2" s="1"/>
  <c r="AN84" i="2"/>
  <c r="AO84" i="2" s="1"/>
  <c r="AN242" i="2"/>
  <c r="AO242" i="2" s="1"/>
  <c r="AN140" i="2"/>
  <c r="AO140" i="2" s="1"/>
  <c r="AN26" i="2"/>
  <c r="AO26" i="2" s="1"/>
  <c r="AN137" i="2"/>
  <c r="AO137" i="2" s="1"/>
  <c r="AN89" i="2"/>
  <c r="AO89" i="2" s="1"/>
  <c r="AN12" i="2"/>
  <c r="AO12" i="2" s="1"/>
  <c r="AN184" i="2"/>
  <c r="AO184" i="2" s="1"/>
  <c r="AN121" i="2"/>
  <c r="AO121" i="2" s="1"/>
  <c r="AN71" i="2"/>
  <c r="AO71" i="2" s="1"/>
  <c r="AP71" i="2" s="1"/>
  <c r="AN114" i="2"/>
  <c r="AO114" i="2" s="1"/>
  <c r="AN49" i="2"/>
  <c r="AO49" i="2" s="1"/>
  <c r="AN178" i="2"/>
  <c r="AO178" i="2" s="1"/>
  <c r="AN204" i="2"/>
  <c r="AO204" i="2" s="1"/>
  <c r="AN144" i="2"/>
  <c r="AO144" i="2" s="1"/>
  <c r="AN132" i="2"/>
  <c r="AO132" i="2" s="1"/>
  <c r="AN81" i="2"/>
  <c r="AO81" i="2" s="1"/>
  <c r="AN278" i="2"/>
  <c r="AO278" i="2" s="1"/>
  <c r="AN234" i="2"/>
  <c r="AO234" i="2" s="1"/>
  <c r="AN276" i="2"/>
  <c r="AO276" i="2" s="1"/>
  <c r="AN92" i="2"/>
  <c r="AO92" i="2" s="1"/>
  <c r="AN109" i="2"/>
  <c r="AO109" i="2" s="1"/>
  <c r="AN117" i="2"/>
  <c r="AO117" i="2" s="1"/>
  <c r="AN269" i="2"/>
  <c r="AO269" i="2" s="1"/>
  <c r="AN238" i="2"/>
  <c r="AO238" i="2" s="1"/>
  <c r="AN118" i="2"/>
  <c r="AO118" i="2" s="1"/>
  <c r="AN134" i="2"/>
  <c r="AO134" i="2" s="1"/>
  <c r="AN32" i="2"/>
  <c r="AO32" i="2" s="1"/>
  <c r="AN83" i="2"/>
  <c r="AO83" i="2" s="1"/>
  <c r="AN104" i="2"/>
  <c r="AO104" i="2" s="1"/>
  <c r="AN255" i="2"/>
  <c r="AO255" i="2" s="1"/>
  <c r="AN43" i="2"/>
  <c r="AO43" i="2" s="1"/>
  <c r="AN161" i="1"/>
  <c r="AO161" i="1" s="1"/>
  <c r="AP161" i="1" s="1"/>
  <c r="AN23" i="2"/>
  <c r="AO23" i="2" s="1"/>
  <c r="AN78" i="2"/>
  <c r="AO78" i="2" s="1"/>
  <c r="AN103" i="2"/>
  <c r="AO103" i="2" s="1"/>
  <c r="AN25" i="2"/>
  <c r="AO25" i="2" s="1"/>
  <c r="AN33" i="2"/>
  <c r="AO33" i="2" s="1"/>
  <c r="AN199" i="2"/>
  <c r="AO199" i="2" s="1"/>
  <c r="AN197" i="2"/>
  <c r="AO197" i="2" s="1"/>
  <c r="AN192" i="2"/>
  <c r="AO192" i="2" s="1"/>
  <c r="AN16" i="2"/>
  <c r="AO16" i="2" s="1"/>
  <c r="AN198" i="2"/>
  <c r="AO198" i="2" s="1"/>
  <c r="AN244" i="2"/>
  <c r="AO244" i="2" s="1"/>
  <c r="AN161" i="2"/>
  <c r="AO161" i="2" s="1"/>
  <c r="AP161" i="2" s="1"/>
  <c r="AN45" i="2"/>
  <c r="AO45" i="2" s="1"/>
  <c r="AN193" i="2"/>
  <c r="AO193" i="2" s="1"/>
  <c r="AN87" i="2"/>
  <c r="AO87" i="2" s="1"/>
  <c r="AN248" i="2"/>
  <c r="AO248" i="2" s="1"/>
  <c r="AN262" i="2"/>
  <c r="AO262" i="2" s="1"/>
  <c r="AN131" i="2"/>
  <c r="AO131" i="2" s="1"/>
  <c r="AP131" i="2" s="1"/>
  <c r="AN86" i="2"/>
  <c r="AO86" i="2" s="1"/>
  <c r="AN115" i="2"/>
  <c r="AO115" i="2" s="1"/>
  <c r="AN124" i="2"/>
  <c r="AO124" i="2" s="1"/>
  <c r="AN72" i="2"/>
  <c r="AO72" i="2" s="1"/>
  <c r="AN206" i="2"/>
  <c r="AO206" i="2" s="1"/>
  <c r="AN268" i="2"/>
  <c r="AO268" i="2" s="1"/>
  <c r="AN62" i="2"/>
  <c r="AO62" i="2" s="1"/>
  <c r="AN47" i="2"/>
  <c r="AO47" i="2" s="1"/>
  <c r="AN41" i="2"/>
  <c r="AO41" i="2" s="1"/>
  <c r="AP41" i="2" s="1"/>
  <c r="AN93" i="2"/>
  <c r="AO93" i="2" s="1"/>
  <c r="AN131" i="1"/>
  <c r="AO131" i="1" s="1"/>
  <c r="AP131" i="1" s="1"/>
  <c r="AN191" i="1"/>
  <c r="AO191" i="1" s="1"/>
  <c r="AP191" i="1" s="1"/>
  <c r="BC11" i="4"/>
  <c r="BD11" i="4" s="1"/>
  <c r="BE11" i="4" s="1"/>
  <c r="AM62" i="1"/>
  <c r="AL62" i="1"/>
  <c r="AN62" i="1" s="1"/>
  <c r="AO62" i="1" s="1"/>
  <c r="AM85" i="1"/>
  <c r="AL85" i="1"/>
  <c r="AN85" i="1" s="1"/>
  <c r="AO85" i="1" s="1"/>
  <c r="AN182" i="1"/>
  <c r="AO182" i="1" s="1"/>
  <c r="BC19" i="4"/>
  <c r="BD19" i="4" s="1"/>
  <c r="AN250" i="1"/>
  <c r="AO250" i="1" s="1"/>
  <c r="AN172" i="1"/>
  <c r="AO172" i="1" s="1"/>
  <c r="AM17" i="1"/>
  <c r="AL17" i="1"/>
  <c r="AN17" i="1" s="1"/>
  <c r="AO17" i="1" s="1"/>
  <c r="AN251" i="1"/>
  <c r="AO251" i="1" s="1"/>
  <c r="AM173" i="1"/>
  <c r="AL173" i="1"/>
  <c r="BB33" i="4"/>
  <c r="BA33" i="4"/>
  <c r="BC33" i="4" s="1"/>
  <c r="BD33" i="4" s="1"/>
  <c r="AM150" i="1"/>
  <c r="AL150" i="1"/>
  <c r="AN150" i="1" s="1"/>
  <c r="AO150" i="1" s="1"/>
  <c r="AN248" i="1"/>
  <c r="AO248" i="1" s="1"/>
  <c r="AN136" i="1"/>
  <c r="AO136" i="1" s="1"/>
  <c r="AN266" i="1"/>
  <c r="AO266" i="1" s="1"/>
  <c r="AL11" i="1"/>
  <c r="AM11" i="1"/>
  <c r="AL149" i="1"/>
  <c r="AM149" i="1"/>
  <c r="AM81" i="1"/>
  <c r="AL81" i="1"/>
  <c r="AN81" i="1" s="1"/>
  <c r="AO81" i="1" s="1"/>
  <c r="AN55" i="1"/>
  <c r="AO55" i="1" s="1"/>
  <c r="AN22" i="1"/>
  <c r="AO22" i="1" s="1"/>
  <c r="AN237" i="1"/>
  <c r="AO237" i="1" s="1"/>
  <c r="AM58" i="1"/>
  <c r="AL58" i="1"/>
  <c r="AN58" i="1" s="1"/>
  <c r="AO58" i="1" s="1"/>
  <c r="BA22" i="3"/>
  <c r="BC22" i="3" s="1"/>
  <c r="BD22" i="3" s="1"/>
  <c r="BB22" i="3"/>
  <c r="AL79" i="1"/>
  <c r="AM79" i="1"/>
  <c r="AN32" i="1"/>
  <c r="AO32" i="1" s="1"/>
  <c r="BC15" i="3"/>
  <c r="BD15" i="3" s="1"/>
  <c r="BC31" i="3"/>
  <c r="BD31" i="3" s="1"/>
  <c r="AN12" i="1"/>
  <c r="AO12" i="1" s="1"/>
  <c r="AN107" i="1"/>
  <c r="AO107" i="1" s="1"/>
  <c r="AN232" i="1"/>
  <c r="AO232" i="1" s="1"/>
  <c r="BC31" i="4"/>
  <c r="BD31" i="4" s="1"/>
  <c r="AN198" i="1"/>
  <c r="AO198" i="1" s="1"/>
  <c r="AN51" i="1"/>
  <c r="AO51" i="1" s="1"/>
  <c r="AM164" i="1"/>
  <c r="AL164" i="1"/>
  <c r="AN164" i="1" s="1"/>
  <c r="AO164" i="1" s="1"/>
  <c r="AM53" i="1"/>
  <c r="AL53" i="1"/>
  <c r="AN53" i="1" s="1"/>
  <c r="AO53" i="1" s="1"/>
  <c r="AN56" i="1"/>
  <c r="AO56" i="1" s="1"/>
  <c r="AN86" i="1"/>
  <c r="AO86" i="1" s="1"/>
  <c r="BC12" i="3"/>
  <c r="BD12" i="3" s="1"/>
  <c r="BC29" i="4"/>
  <c r="BD29" i="4" s="1"/>
  <c r="AN72" i="1"/>
  <c r="AO72" i="1" s="1"/>
  <c r="AN236" i="1"/>
  <c r="AO236" i="1" s="1"/>
  <c r="AN178" i="1"/>
  <c r="AO178" i="1" s="1"/>
  <c r="BC12" i="4"/>
  <c r="BD12" i="4" s="1"/>
  <c r="BC18" i="3"/>
  <c r="BD18" i="3" s="1"/>
  <c r="AN233" i="1"/>
  <c r="AO233" i="1" s="1"/>
  <c r="AN137" i="1"/>
  <c r="AO137" i="1" s="1"/>
  <c r="BI11" i="3"/>
  <c r="BL11" i="3" s="1"/>
  <c r="BJ11" i="3"/>
  <c r="BH11" i="3"/>
  <c r="BK11" i="3" s="1"/>
  <c r="BG11" i="3"/>
  <c r="AN116" i="1"/>
  <c r="AO116" i="1" s="1"/>
  <c r="AN27" i="1"/>
  <c r="AO27" i="1" s="1"/>
  <c r="AM84" i="1"/>
  <c r="AL84" i="1"/>
  <c r="AN84" i="1" s="1"/>
  <c r="AO84" i="1" s="1"/>
  <c r="AM50" i="1"/>
  <c r="AL50" i="1"/>
  <c r="AN50" i="1" s="1"/>
  <c r="AO50" i="1" s="1"/>
  <c r="AL166" i="1"/>
  <c r="AM166" i="1"/>
  <c r="BA11" i="3"/>
  <c r="BB11" i="3"/>
  <c r="AN25" i="1"/>
  <c r="AO25" i="1" s="1"/>
  <c r="AM90" i="1"/>
  <c r="AL90" i="1"/>
  <c r="AN90" i="1" s="1"/>
  <c r="AO90" i="1" s="1"/>
  <c r="BB26" i="4"/>
  <c r="BA26" i="4"/>
  <c r="BC26" i="4" s="1"/>
  <c r="BD26" i="4" s="1"/>
  <c r="AN112" i="1"/>
  <c r="AO112" i="1" s="1"/>
  <c r="AN117" i="1"/>
  <c r="AO117" i="1" s="1"/>
  <c r="AM60" i="1"/>
  <c r="AL60" i="1"/>
  <c r="AN257" i="1"/>
  <c r="AO257" i="1" s="1"/>
  <c r="AL61" i="1"/>
  <c r="AN61" i="1" s="1"/>
  <c r="AO61" i="1" s="1"/>
  <c r="AM61" i="1"/>
  <c r="BA34" i="3"/>
  <c r="BB34" i="3"/>
  <c r="AN29" i="1"/>
  <c r="AO29" i="1" s="1"/>
  <c r="AN168" i="1"/>
  <c r="AO168" i="1" s="1"/>
  <c r="AN92" i="1"/>
  <c r="AO92" i="1" s="1"/>
  <c r="AN184" i="1"/>
  <c r="AO184" i="1" s="1"/>
  <c r="AN24" i="1"/>
  <c r="AO24" i="1" s="1"/>
  <c r="AM33" i="1"/>
  <c r="AL33" i="1"/>
  <c r="AM45" i="1"/>
  <c r="AL45" i="1"/>
  <c r="AN45" i="1" s="1"/>
  <c r="AO45" i="1" s="1"/>
  <c r="AM74" i="1"/>
  <c r="AL74" i="1"/>
  <c r="AN74" i="1" s="1"/>
  <c r="AO74" i="1" s="1"/>
  <c r="AN213" i="1"/>
  <c r="AO213" i="1" s="1"/>
  <c r="AM44" i="1"/>
  <c r="AL44" i="1"/>
  <c r="AN44" i="1" s="1"/>
  <c r="AO44" i="1" s="1"/>
  <c r="AM83" i="1"/>
  <c r="AL83" i="1"/>
  <c r="BB30" i="3"/>
  <c r="BA30" i="3"/>
  <c r="BC30" i="3" s="1"/>
  <c r="BD30" i="3" s="1"/>
  <c r="AL193" i="1"/>
  <c r="AM193" i="1"/>
  <c r="AN59" i="1"/>
  <c r="AO59" i="1" s="1"/>
  <c r="AN132" i="1"/>
  <c r="AO132" i="1" s="1"/>
  <c r="AN23" i="1"/>
  <c r="AO23" i="1" s="1"/>
  <c r="BC27" i="4"/>
  <c r="BD27" i="4" s="1"/>
  <c r="AN78" i="1"/>
  <c r="AO78" i="1" s="1"/>
  <c r="AN152" i="1"/>
  <c r="AO152" i="1" s="1"/>
  <c r="AN201" i="1"/>
  <c r="AO201" i="1" s="1"/>
  <c r="AN105" i="1"/>
  <c r="AO105" i="1" s="1"/>
  <c r="AM76" i="1"/>
  <c r="AL76" i="1"/>
  <c r="AN76" i="1" s="1"/>
  <c r="AO76" i="1" s="1"/>
  <c r="AN103" i="1"/>
  <c r="AO103" i="1" s="1"/>
  <c r="AN52" i="1"/>
  <c r="AO52" i="1" s="1"/>
  <c r="AL206" i="1"/>
  <c r="AN206" i="1" s="1"/>
  <c r="AO206" i="1" s="1"/>
  <c r="AM206" i="1"/>
  <c r="AM91" i="1"/>
  <c r="AL91" i="1"/>
  <c r="AN91" i="1" s="1"/>
  <c r="AO91" i="1" s="1"/>
  <c r="BC25" i="4"/>
  <c r="BD25" i="4" s="1"/>
  <c r="BC22" i="4"/>
  <c r="BD22" i="4" s="1"/>
  <c r="AN240" i="1"/>
  <c r="AO240" i="1" s="1"/>
  <c r="BC23" i="3"/>
  <c r="BD23" i="3" s="1"/>
  <c r="AN54" i="1"/>
  <c r="AO54" i="1" s="1"/>
  <c r="AM119" i="1"/>
  <c r="AL119" i="1"/>
  <c r="AN121" i="1"/>
  <c r="AO121" i="1" s="1"/>
  <c r="AN211" i="1"/>
  <c r="AO211" i="1" s="1"/>
  <c r="BB34" i="4"/>
  <c r="BA34" i="4"/>
  <c r="BC34" i="4" s="1"/>
  <c r="BD34" i="4" s="1"/>
  <c r="AL89" i="1"/>
  <c r="AN89" i="1" s="1"/>
  <c r="AO89" i="1" s="1"/>
  <c r="AM89" i="1"/>
  <c r="AL200" i="1"/>
  <c r="AM200" i="1"/>
  <c r="BB27" i="3"/>
  <c r="BA27" i="3"/>
  <c r="BC27" i="3" s="1"/>
  <c r="BD27" i="3" s="1"/>
  <c r="AM108" i="1"/>
  <c r="AL108" i="1"/>
  <c r="AL148" i="1"/>
  <c r="AM148" i="1"/>
  <c r="BB25" i="3"/>
  <c r="BA25" i="3"/>
  <c r="BC25" i="3" s="1"/>
  <c r="BD25" i="3" s="1"/>
  <c r="AL205" i="1"/>
  <c r="AN205" i="1" s="1"/>
  <c r="AO205" i="1" s="1"/>
  <c r="AM205" i="1"/>
  <c r="BB30" i="4"/>
  <c r="BA30" i="4"/>
  <c r="BC30" i="4" s="1"/>
  <c r="BD30" i="4" s="1"/>
  <c r="BC13" i="4"/>
  <c r="BD13" i="4" s="1"/>
  <c r="AN260" i="1"/>
  <c r="AO260" i="1" s="1"/>
  <c r="BB28" i="3"/>
  <c r="BA28" i="3"/>
  <c r="AM120" i="1"/>
  <c r="AL120" i="1"/>
  <c r="AN120" i="1" s="1"/>
  <c r="AO120" i="1" s="1"/>
  <c r="AN269" i="1"/>
  <c r="AO269" i="1" s="1"/>
  <c r="AN203" i="1"/>
  <c r="AO203" i="1" s="1"/>
  <c r="AN177" i="1"/>
  <c r="AO177" i="1" s="1"/>
  <c r="AN18" i="1"/>
  <c r="AO18" i="1" s="1"/>
  <c r="AN75" i="1"/>
  <c r="AO75" i="1" s="1"/>
  <c r="AM57" i="1"/>
  <c r="AL57" i="1"/>
  <c r="AN57" i="1" s="1"/>
  <c r="AO57" i="1" s="1"/>
  <c r="AN243" i="1"/>
  <c r="AO243" i="1" s="1"/>
  <c r="AP231" i="1" s="1"/>
  <c r="BB28" i="4"/>
  <c r="BA28" i="4"/>
  <c r="BA21" i="3"/>
  <c r="BB21" i="3"/>
  <c r="AL82" i="1"/>
  <c r="AM82" i="1"/>
  <c r="BB21" i="4"/>
  <c r="BA21" i="4"/>
  <c r="BC21" i="4" s="1"/>
  <c r="BD21" i="4" s="1"/>
  <c r="AN192" i="1"/>
  <c r="AO192" i="1" s="1"/>
  <c r="AL93" i="1"/>
  <c r="AM93" i="1"/>
  <c r="BA18" i="4"/>
  <c r="BC18" i="4" s="1"/>
  <c r="BD18" i="4" s="1"/>
  <c r="BB18" i="4"/>
  <c r="BB23" i="4"/>
  <c r="BA23" i="4"/>
  <c r="BC23" i="4" s="1"/>
  <c r="BD23" i="4" s="1"/>
  <c r="BC14" i="4"/>
  <c r="BD14" i="4" s="1"/>
  <c r="BB29" i="3"/>
  <c r="BA29" i="3"/>
  <c r="BC29" i="3" s="1"/>
  <c r="BD29" i="3" s="1"/>
  <c r="AN113" i="1"/>
  <c r="AO113" i="1" s="1"/>
  <c r="AL207" i="1"/>
  <c r="AM207" i="1"/>
  <c r="AN26" i="1"/>
  <c r="AO26" i="1" s="1"/>
  <c r="AM204" i="1"/>
  <c r="AL204" i="1"/>
  <c r="AN204" i="1" s="1"/>
  <c r="AO204" i="1" s="1"/>
  <c r="AN209" i="1"/>
  <c r="AO209" i="1" s="1"/>
  <c r="AN146" i="1"/>
  <c r="AO146" i="1" s="1"/>
  <c r="AN88" i="1"/>
  <c r="AO88" i="1" s="1"/>
  <c r="AL73" i="1"/>
  <c r="AM73" i="1"/>
  <c r="BB15" i="4"/>
  <c r="BA15" i="4"/>
  <c r="BC15" i="4" s="1"/>
  <c r="BD15" i="4" s="1"/>
  <c r="AL71" i="1"/>
  <c r="AM71" i="1"/>
  <c r="AL124" i="1"/>
  <c r="AM124" i="1"/>
  <c r="AM42" i="1"/>
  <c r="AL42" i="1"/>
  <c r="AN42" i="1" s="1"/>
  <c r="AO42" i="1" s="1"/>
  <c r="AN162" i="1"/>
  <c r="AO162" i="1" s="1"/>
  <c r="AN64" i="1"/>
  <c r="AO64" i="1" s="1"/>
  <c r="AN139" i="1"/>
  <c r="AO139" i="1" s="1"/>
  <c r="AN154" i="1"/>
  <c r="AO154" i="1" s="1"/>
  <c r="BA16" i="4"/>
  <c r="BB16" i="4"/>
  <c r="AM48" i="1"/>
  <c r="AL48" i="1"/>
  <c r="AN48" i="1" s="1"/>
  <c r="AO48" i="1" s="1"/>
  <c r="BC11" i="3" l="1"/>
  <c r="BD11" i="3" s="1"/>
  <c r="BE11" i="3" s="1"/>
  <c r="BC21" i="3"/>
  <c r="BD21" i="3" s="1"/>
  <c r="AN148" i="1"/>
  <c r="AO148" i="1" s="1"/>
  <c r="AN149" i="1"/>
  <c r="AO149" i="1" s="1"/>
  <c r="BC28" i="4"/>
  <c r="BD28" i="4" s="1"/>
  <c r="BC28" i="3"/>
  <c r="BD28" i="3" s="1"/>
  <c r="AN108" i="1"/>
  <c r="AO108" i="1" s="1"/>
  <c r="AN119" i="1"/>
  <c r="AO119" i="1" s="1"/>
  <c r="AN193" i="1"/>
  <c r="AO193" i="1" s="1"/>
  <c r="AN33" i="1"/>
  <c r="AO33" i="1" s="1"/>
  <c r="AN60" i="1"/>
  <c r="AO60" i="1" s="1"/>
  <c r="AN166" i="1"/>
  <c r="AO166" i="1" s="1"/>
  <c r="AN79" i="1"/>
  <c r="AO79" i="1" s="1"/>
  <c r="AN11" i="1"/>
  <c r="AO11" i="1" s="1"/>
  <c r="AP11" i="1" s="1"/>
  <c r="AN83" i="1"/>
  <c r="AO83" i="1" s="1"/>
  <c r="AN124" i="1"/>
  <c r="AO124" i="1" s="1"/>
  <c r="AN93" i="1"/>
  <c r="AO93" i="1" s="1"/>
  <c r="AN71" i="1"/>
  <c r="AO71" i="1" s="1"/>
  <c r="AP71" i="1" s="1"/>
  <c r="AN207" i="1"/>
  <c r="AO207" i="1" s="1"/>
  <c r="AN200" i="1"/>
  <c r="AO200" i="1" s="1"/>
  <c r="BC16" i="4"/>
  <c r="BD16" i="4" s="1"/>
  <c r="BC34" i="3"/>
  <c r="BD34" i="3" s="1"/>
  <c r="AN73" i="1"/>
  <c r="AO73" i="1" s="1"/>
  <c r="AN82" i="1"/>
  <c r="AO82" i="1" s="1"/>
  <c r="AN173" i="1"/>
  <c r="AO17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<sst xmlns="http://schemas.openxmlformats.org/spreadsheetml/2006/main" count="3527" uniqueCount="320">
  <si>
    <t>3.4.1</t>
  </si>
  <si>
    <t>3.4.1 321</t>
  </si>
  <si>
    <t>Ch 3.4.1</t>
  </si>
  <si>
    <t>Bo</t>
  </si>
  <si>
    <t>FAk</t>
  </si>
  <si>
    <t>1.6 * PLjk=6</t>
  </si>
  <si>
    <t>(Ijk * CPjk) + (0.045 * MCjk=6)</t>
  </si>
  <si>
    <t>(Ijk * ((1 - DMDjk) + (0.04 * Ijk))) * ( 1 - A )</t>
  </si>
  <si>
    <t>VSjk * BO * MMSm * MCFim * 𝜌</t>
  </si>
  <si>
    <t>SUM SUM SUM (Njk * Mjkm * Dj) * 10^-3</t>
  </si>
  <si>
    <t>A</t>
  </si>
  <si>
    <t>1071</t>
  </si>
  <si>
    <t>1075</t>
  </si>
  <si>
    <t>1078</t>
  </si>
  <si>
    <t>1077</t>
  </si>
  <si>
    <t>1081</t>
  </si>
  <si>
    <t>1085</t>
  </si>
  <si>
    <t>1082</t>
  </si>
  <si>
    <t>1004</t>
  </si>
  <si>
    <t>990</t>
  </si>
  <si>
    <t>988</t>
  </si>
  <si>
    <t>946</t>
  </si>
  <si>
    <t>983</t>
  </si>
  <si>
    <t>1087</t>
  </si>
  <si>
    <t>945</t>
  </si>
  <si>
    <t>1084</t>
  </si>
  <si>
    <t>1086</t>
  </si>
  <si>
    <t>930</t>
  </si>
  <si>
    <t>922</t>
  </si>
  <si>
    <t>Dj</t>
  </si>
  <si>
    <t>input</t>
  </si>
  <si>
    <t>constant</t>
  </si>
  <si>
    <t>expression</t>
  </si>
  <si>
    <t>FracLEACH</t>
  </si>
  <si>
    <t/>
  </si>
  <si>
    <t>FracGASMSoil</t>
  </si>
  <si>
    <t>EFLeach</t>
  </si>
  <si>
    <t>CN2O</t>
  </si>
  <si>
    <t>head</t>
  </si>
  <si>
    <t>days</t>
  </si>
  <si>
    <t>d</t>
  </si>
  <si>
    <t>kg</t>
  </si>
  <si>
    <t>kg / head / day</t>
  </si>
  <si>
    <t>kg DM/head/day</t>
  </si>
  <si>
    <t>kg/head/day</t>
  </si>
  <si>
    <t>m3 CH4/kgVS</t>
  </si>
  <si>
    <t>kg/m3</t>
  </si>
  <si>
    <t>kg CH4/head/day</t>
  </si>
  <si>
    <t>kg CH4</t>
  </si>
  <si>
    <t>number of sheep in each time period and class</t>
  </si>
  <si>
    <t>Lambing rate</t>
  </si>
  <si>
    <t>Lamb marking rate</t>
  </si>
  <si>
    <t>number of days in each time period</t>
  </si>
  <si>
    <t>crude protein content of feed intake</t>
  </si>
  <si>
    <t>dry matter digestibility</t>
  </si>
  <si>
    <t>liveweight</t>
  </si>
  <si>
    <t>fraction of waste in each MMS</t>
  </si>
  <si>
    <t>methane conversion factor for temperate zone and MMS</t>
  </si>
  <si>
    <t>proportion of ewes lactating each season or time period</t>
  </si>
  <si>
    <t>Proportion of lambs born in the time period</t>
  </si>
  <si>
    <t>Milk intake</t>
  </si>
  <si>
    <t>dry matter intake</t>
  </si>
  <si>
    <t>crude protein intake</t>
  </si>
  <si>
    <t>ash content of feed intake</t>
  </si>
  <si>
    <t>volatile solid production</t>
  </si>
  <si>
    <t>emisions potential</t>
  </si>
  <si>
    <t>density of methane</t>
  </si>
  <si>
    <t>methane produced from manure</t>
  </si>
  <si>
    <t>annual methane production from manure</t>
  </si>
  <si>
    <t>MCF</t>
  </si>
  <si>
    <t>Lagoon</t>
  </si>
  <si>
    <t>Scenario</t>
  </si>
  <si>
    <t>State</t>
  </si>
  <si>
    <t>No unfenced water</t>
  </si>
  <si>
    <t>Class</t>
  </si>
  <si>
    <t>Month</t>
  </si>
  <si>
    <t>Njk</t>
  </si>
  <si>
    <t>LR</t>
  </si>
  <si>
    <t>LMR</t>
  </si>
  <si>
    <t>Custom Dj</t>
  </si>
  <si>
    <t>CPjk</t>
  </si>
  <si>
    <t>Custom DMD</t>
  </si>
  <si>
    <t>DMDjk</t>
  </si>
  <si>
    <t>Custom liveweight</t>
  </si>
  <si>
    <t>Wjk</t>
  </si>
  <si>
    <t>MMSm=1</t>
  </si>
  <si>
    <t>MMSm=14</t>
  </si>
  <si>
    <t>MCFim=1</t>
  </si>
  <si>
    <t>MCFim=14</t>
  </si>
  <si>
    <t>LEjk=3,4</t>
  </si>
  <si>
    <t>PLjk=6</t>
  </si>
  <si>
    <t>MCjk=6</t>
  </si>
  <si>
    <t>MAjk</t>
  </si>
  <si>
    <t>qmjk</t>
  </si>
  <si>
    <t>Custom DMA</t>
  </si>
  <si>
    <t>DMAjk</t>
  </si>
  <si>
    <t>RIjk</t>
  </si>
  <si>
    <t>PIjk</t>
  </si>
  <si>
    <t>Ijk</t>
  </si>
  <si>
    <t>CPIjk</t>
  </si>
  <si>
    <t>VSjk</t>
  </si>
  <si>
    <t>BO</t>
  </si>
  <si>
    <t>𝜌</t>
  </si>
  <si>
    <t>Mjkm=1</t>
  </si>
  <si>
    <t>Mjkm=14</t>
  </si>
  <si>
    <t>Mjk</t>
  </si>
  <si>
    <t>ECH4</t>
  </si>
  <si>
    <t>PRP</t>
  </si>
  <si>
    <t>ACT</t>
  </si>
  <si>
    <t>Baseline</t>
  </si>
  <si>
    <t>ACT/NSW</t>
  </si>
  <si>
    <t>yes</t>
  </si>
  <si>
    <t>Breeding ewes</t>
  </si>
  <si>
    <t>Spring</t>
  </si>
  <si>
    <t>NSW</t>
  </si>
  <si>
    <t>Summer</t>
  </si>
  <si>
    <t>QLD</t>
  </si>
  <si>
    <t>Autumn</t>
  </si>
  <si>
    <t>SA</t>
  </si>
  <si>
    <t>Winter</t>
  </si>
  <si>
    <t>TAS</t>
  </si>
  <si>
    <t>Lambs and hoggets</t>
  </si>
  <si>
    <t>VIC</t>
  </si>
  <si>
    <t>WA</t>
  </si>
  <si>
    <t>EFPRP</t>
  </si>
  <si>
    <t>wet</t>
  </si>
  <si>
    <t>Maiden ewes</t>
  </si>
  <si>
    <t>dry</t>
  </si>
  <si>
    <t>p</t>
  </si>
  <si>
    <t>Other ewes</t>
  </si>
  <si>
    <t>MMS</t>
  </si>
  <si>
    <t>Rams</t>
  </si>
  <si>
    <t>Wethers</t>
  </si>
  <si>
    <t>EFN2O</t>
  </si>
  <si>
    <t>Irrigated pasture</t>
  </si>
  <si>
    <t>Irrigated crop</t>
  </si>
  <si>
    <t>Non-irrigated pasture</t>
  </si>
  <si>
    <t>Non-irrigated crop (low rainfall)</t>
  </si>
  <si>
    <t>no</t>
  </si>
  <si>
    <t>Non-irrigated crop (high rainfall)</t>
  </si>
  <si>
    <t>Sugar</t>
  </si>
  <si>
    <t>Cotton</t>
  </si>
  <si>
    <t>Horticultural crops</t>
  </si>
  <si>
    <t>Aquaculture </t>
  </si>
  <si>
    <t>Rice (continuous flooding)</t>
  </si>
  <si>
    <t>Rice (single and multiple drainage, or alternate wetting and drying)</t>
  </si>
  <si>
    <t>Aquaculture</t>
  </si>
  <si>
    <t>Forestry</t>
  </si>
  <si>
    <t>Breeding Ewes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</si>
  <si>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</si>
  <si>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</si>
  <si>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</si>
  <si>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</si>
  <si>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</si>
  <si>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</si>
  <si>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</si>
  <si>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</si>
  <si>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</si>
  <si>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</si>
  <si>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</si>
  <si>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</si>
  <si>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Mleach * EFleach * CN2O * 10^-3</t>
  </si>
  <si>
    <t>AE * FracGASMsoil</t>
  </si>
  <si>
    <t>Mvol * EFN2O * CN2O * 10^-3</t>
  </si>
  <si>
    <t>LEjk=3,4 * 1.6</t>
  </si>
  <si>
    <t>(GWk * Yk) / 365</t>
  </si>
  <si>
    <t>LWGjk * 0.92</t>
  </si>
  <si>
    <t>Wjk / SRWk</t>
  </si>
  <si>
    <t>((0.045 * MPjk=3,4) + (WPk * 0.84)  + (EBGjk * ((212 - 4 * ((EBGjk * 1000)/(4* SRWk^0.75) - 1)) - ((140 - 4 * (((EBGjk * 1000)/4 * SRWk ^0.75) - 1))/(1 + e ^ (-6 * (Zjk - 0.4)))))) * 10^-3) / 6.25</t>
  </si>
  <si>
    <t>(CPIjk  / 6.25 ) - NRjk</t>
  </si>
  <si>
    <t>SUM SUM (Njk * NEjk * Dj)</t>
  </si>
  <si>
    <t>AE * EFprp * CN2O * 10^-3</t>
  </si>
  <si>
    <t>AE * FracWet * FracLEACH</t>
  </si>
  <si>
    <t>1092</t>
  </si>
  <si>
    <t>1094</t>
  </si>
  <si>
    <t>1056</t>
  </si>
  <si>
    <t>1093</t>
  </si>
  <si>
    <t>1045</t>
  </si>
  <si>
    <t>1091</t>
  </si>
  <si>
    <t>1037</t>
  </si>
  <si>
    <t>1080</t>
  </si>
  <si>
    <t>1072</t>
  </si>
  <si>
    <t>1073</t>
  </si>
  <si>
    <t>1003</t>
  </si>
  <si>
    <t>1011</t>
  </si>
  <si>
    <t>1017</t>
  </si>
  <si>
    <t>1089</t>
  </si>
  <si>
    <t>1021</t>
  </si>
  <si>
    <t>994</t>
  </si>
  <si>
    <t>978</t>
  </si>
  <si>
    <t>970</t>
  </si>
  <si>
    <t>1090</t>
  </si>
  <si>
    <t>1088</t>
  </si>
  <si>
    <t>963</t>
  </si>
  <si>
    <t>1062</t>
  </si>
  <si>
    <t>1095</t>
  </si>
  <si>
    <t>fraction</t>
  </si>
  <si>
    <t>t N2O</t>
  </si>
  <si>
    <t>kg NH3-N + NOx-N / kg N</t>
  </si>
  <si>
    <t>kg N</t>
  </si>
  <si>
    <t>kg N2O-N / kg N</t>
  </si>
  <si>
    <t>kg / head</t>
  </si>
  <si>
    <t>kg N / head / day</t>
  </si>
  <si>
    <t>kg N/head/day</t>
  </si>
  <si>
    <t>kg N2O-N/kg N</t>
  </si>
  <si>
    <t>fraction of N that is available for leaching and runoff</t>
  </si>
  <si>
    <t>fraction of all N that is lost through leaching and runoff</t>
  </si>
  <si>
    <t>Leaching and runoff emissions from urine and dung deposited on pasture</t>
  </si>
  <si>
    <t>fraction of nitrogen volatilised from urine and faeces deposited on pasture</t>
  </si>
  <si>
    <t>mass of nitrogen volatilised from urine and faeces deposited on pasture</t>
  </si>
  <si>
    <t>nitrous oxide emission factor for atmospheric deposition</t>
  </si>
  <si>
    <t>Annual atmospheric deposition emissions from urine and dung deposited on pasture</t>
  </si>
  <si>
    <t>liveweight gain</t>
  </si>
  <si>
    <t>greasy wool production per sheep class</t>
  </si>
  <si>
    <t>average clean wool yield per sheep class</t>
  </si>
  <si>
    <t>milk production</t>
  </si>
  <si>
    <t>clean wool production</t>
  </si>
  <si>
    <t>empty body gain</t>
  </si>
  <si>
    <t>standard reference weight</t>
  </si>
  <si>
    <t>relative size</t>
  </si>
  <si>
    <t>the amount of nitrogen retained by the body</t>
  </si>
  <si>
    <t>milk intake for sheep</t>
  </si>
  <si>
    <t>nitrogen excreted in each time-period and by each class</t>
  </si>
  <si>
    <t>total mass of nitrogen excreted on PRP by sheep</t>
  </si>
  <si>
    <t>emission factor for nitrous oxide from urine and dung deposited to soil</t>
  </si>
  <si>
    <t>factor to convert elemental mass of nitrous oxide to molecular mass</t>
  </si>
  <si>
    <t>Total annual direct nitrous oxide emissions from agricultural soils from deposition of urine and dung</t>
  </si>
  <si>
    <t>mass of nitrogen lost to leaching and runoff</t>
  </si>
  <si>
    <t>emission factor for leaching and run off</t>
  </si>
  <si>
    <t>FracWet</t>
  </si>
  <si>
    <t>ESN2O,leach</t>
  </si>
  <si>
    <t>FracGASMsoil</t>
  </si>
  <si>
    <t>Mvol</t>
  </si>
  <si>
    <t>EN2O,ad</t>
  </si>
  <si>
    <t>LWGjk</t>
  </si>
  <si>
    <t>GWk</t>
  </si>
  <si>
    <t>Yk</t>
  </si>
  <si>
    <t>MPjk=3,4</t>
  </si>
  <si>
    <t>WPk</t>
  </si>
  <si>
    <t>EBGjk</t>
  </si>
  <si>
    <t>SRWk</t>
  </si>
  <si>
    <t>Zjk</t>
  </si>
  <si>
    <t>NRijk</t>
  </si>
  <si>
    <t>NEjk</t>
  </si>
  <si>
    <t>AE</t>
  </si>
  <si>
    <t>EFprp</t>
  </si>
  <si>
    <t>EN2O,dir</t>
  </si>
  <si>
    <t>Mleach</t>
  </si>
  <si>
    <t>EFleach</t>
  </si>
  <si>
    <t>GWk * Yk / 365</t>
  </si>
  <si>
    <t>((0.045 * MPjk=3,4) + (WPk * 0.84) + (EBGjk * ((212 - 4 * ((EBGjk * 1000) / (4 * SRWk ^0.75) - 1)) - (140 - 4 * (EBGjk * 1000)) / (1 + e^-6 * (Zjk - 0.4)) * 10^-3) / 6.25</t>
  </si>
  <si>
    <t>(CPIjk ÷ 6.25 ) - NRjk</t>
  </si>
  <si>
    <t>AE * EFPRP * CN2O * 10^-3</t>
  </si>
  <si>
    <t>1079</t>
  </si>
  <si>
    <t>A.1.4.5</t>
  </si>
  <si>
    <t>Season</t>
  </si>
  <si>
    <t>SeasonOrder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</si>
  <si>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</si>
  <si>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</si>
  <si>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</si>
  <si>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</si>
  <si>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</si>
  <si>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</si>
  <si>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</si>
  <si>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</si>
  <si>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kg volatilised N/kg N</t>
  </si>
  <si>
    <t>kg N2O-N/kg N deposited</t>
  </si>
  <si>
    <t>greasy wool production per class</t>
  </si>
  <si>
    <t>average clean wool yield per class</t>
  </si>
  <si>
    <t>emissions factor for leaching and runoff</t>
  </si>
  <si>
    <t>fraction of nitrogen volatilised from urine and dung on pasture</t>
  </si>
  <si>
    <t>NO2 emission factor for atmospheric deposition</t>
  </si>
  <si>
    <t>amount of nitrogen retained by the body</t>
  </si>
  <si>
    <t>Nitrogen excreted in each time period</t>
  </si>
  <si>
    <t>Emissions factor for nitrous oxide from urine and dung</t>
  </si>
  <si>
    <t>Factor to convert elemental mass of NO2 to molecular mass</t>
  </si>
  <si>
    <t>Total mass of nitrogen excreted on PRP</t>
  </si>
  <si>
    <t>Mass of nitrogen volatilised</t>
  </si>
  <si>
    <t>mass of nitrogen lost ot leaching and runoff</t>
  </si>
  <si>
    <t>annual direct NO2 from soils from deposition of urine and dung</t>
  </si>
  <si>
    <t>annual atmospheric deposition emissions from urine and dung on pasture</t>
  </si>
  <si>
    <t>Leaching zone</t>
  </si>
  <si>
    <t>Production system</t>
  </si>
  <si>
    <t>Climate zone</t>
  </si>
  <si>
    <t>NRjk</t>
  </si>
  <si>
    <t>NSW </t>
  </si>
  <si>
    <t>QLD </t>
  </si>
  <si>
    <t>Queensland</t>
  </si>
  <si>
    <t>SA </t>
  </si>
  <si>
    <t>TAS </t>
  </si>
  <si>
    <t>VIC </t>
  </si>
  <si>
    <t>WA </t>
  </si>
  <si>
    <t>South Australia</t>
  </si>
  <si>
    <t>Tasmania</t>
  </si>
  <si>
    <t>Victoria</t>
  </si>
  <si>
    <t>ACT </t>
  </si>
  <si>
    <t>99.25 </t>
  </si>
  <si>
    <t>99.55 </t>
  </si>
  <si>
    <t>99.91 </t>
  </si>
  <si>
    <t>Western Australia</t>
  </si>
  <si>
    <t>99.74 </t>
  </si>
  <si>
    <t>99.50 </t>
  </si>
  <si>
    <t>99.17 </t>
  </si>
  <si>
    <t>99.59 </t>
  </si>
  <si>
    <t>A.1.4.4</t>
  </si>
  <si>
    <t>A.1.4.2</t>
  </si>
  <si>
    <t>A.1.4.1</t>
  </si>
  <si>
    <t>Table A.1.4.6</t>
  </si>
  <si>
    <t>78 </t>
  </si>
  <si>
    <t>62 </t>
  </si>
  <si>
    <t>57 </t>
  </si>
  <si>
    <t>70 </t>
  </si>
  <si>
    <t>60 </t>
  </si>
  <si>
    <t>50 </t>
  </si>
  <si>
    <t>84 </t>
  </si>
  <si>
    <t>72 </t>
  </si>
  <si>
    <t>77 </t>
  </si>
  <si>
    <t>66 </t>
  </si>
  <si>
    <t>55 </t>
  </si>
  <si>
    <t>A.1.4.3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</si>
</sst>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78"/>
  <sheetViews>
    <sheetView workbookViewId="0">
      <selection activeCell="M11" sqref="M11"/>
    </sheetView>
  </sheetViews>
  <sheetFormatPr baseColWidth="10" defaultRowHeight="16" x14ac:dyDescent="0.2"/>
  <sheetData>
    <row r="1" spans="1:51" x14ac:dyDescent="0.2">
      <c r="I1" t="s">
        <v>0</v>
      </c>
      <c r="J1" t="s">
        <v>0</v>
      </c>
      <c r="V1" t="s">
        <v>1</v>
      </c>
      <c r="Z1" t="s">
        <v>0</v>
      </c>
      <c r="AD1" t="s">
        <v>0</v>
      </c>
      <c r="AE1" t="s">
        <v>0</v>
      </c>
      <c r="AF1" t="s">
        <v>2</v>
      </c>
      <c r="AT1">
        <v>1084</v>
      </c>
      <c r="AU1" t="s">
        <v>3</v>
      </c>
      <c r="AV1">
        <v>0.19</v>
      </c>
      <c r="AX1" t="s">
        <v>4</v>
      </c>
      <c r="AY1">
        <v>1.3</v>
      </c>
    </row>
    <row r="2" spans="1:51" x14ac:dyDescent="0.2">
      <c r="X2" t="s">
        <v>5</v>
      </c>
      <c r="AG2" t="s">
        <v>6</v>
      </c>
      <c r="AI2" t="s">
        <v>7</v>
      </c>
      <c r="AL2" t="s">
        <v>8</v>
      </c>
      <c r="AN2" t="s">
        <v>8</v>
      </c>
      <c r="AO2" t="s">
        <v>9</v>
      </c>
      <c r="AT2">
        <v>1087</v>
      </c>
      <c r="AU2" t="s">
        <v>10</v>
      </c>
      <c r="AV2">
        <v>0.08</v>
      </c>
    </row>
    <row r="3" spans="1:51" x14ac:dyDescent="0.2">
      <c r="H3" t="s">
        <v>11</v>
      </c>
      <c r="I3">
        <v>342</v>
      </c>
      <c r="J3">
        <v>323</v>
      </c>
      <c r="L3" t="s">
        <v>12</v>
      </c>
      <c r="M3" t="s">
        <v>13</v>
      </c>
      <c r="O3" t="s">
        <v>14</v>
      </c>
      <c r="Q3" t="s">
        <v>15</v>
      </c>
      <c r="S3" t="s">
        <v>16</v>
      </c>
      <c r="U3" t="s">
        <v>17</v>
      </c>
      <c r="V3" t="s">
        <v>18</v>
      </c>
      <c r="W3" t="s">
        <v>19</v>
      </c>
      <c r="X3" t="s">
        <v>20</v>
      </c>
      <c r="Y3">
        <v>351</v>
      </c>
      <c r="Z3">
        <v>314</v>
      </c>
      <c r="AA3">
        <v>302</v>
      </c>
      <c r="AC3">
        <v>349</v>
      </c>
      <c r="AD3">
        <v>308</v>
      </c>
      <c r="AE3">
        <v>296</v>
      </c>
      <c r="AF3" t="s">
        <v>21</v>
      </c>
      <c r="AG3" t="s">
        <v>22</v>
      </c>
      <c r="AH3" t="s">
        <v>23</v>
      </c>
      <c r="AI3" t="s">
        <v>24</v>
      </c>
      <c r="AJ3" t="s">
        <v>25</v>
      </c>
      <c r="AK3" t="s">
        <v>26</v>
      </c>
      <c r="AL3" t="s">
        <v>27</v>
      </c>
      <c r="AN3" t="s">
        <v>27</v>
      </c>
      <c r="AO3" t="s">
        <v>28</v>
      </c>
      <c r="AU3" t="s">
        <v>29</v>
      </c>
      <c r="AV3">
        <v>91.25</v>
      </c>
    </row>
    <row r="4" spans="1:51" x14ac:dyDescent="0.2">
      <c r="H4" t="s">
        <v>30</v>
      </c>
      <c r="L4" t="s">
        <v>31</v>
      </c>
      <c r="M4" t="s">
        <v>31</v>
      </c>
      <c r="O4" t="s">
        <v>31</v>
      </c>
      <c r="Q4" t="s">
        <v>31</v>
      </c>
      <c r="S4" t="s">
        <v>31</v>
      </c>
      <c r="U4" t="s">
        <v>31</v>
      </c>
      <c r="V4" t="s">
        <v>31</v>
      </c>
      <c r="W4" t="s">
        <v>32</v>
      </c>
      <c r="X4" t="s">
        <v>32</v>
      </c>
      <c r="Y4" t="s">
        <v>31</v>
      </c>
      <c r="Z4" t="s">
        <v>32</v>
      </c>
      <c r="AA4" t="s">
        <v>32</v>
      </c>
      <c r="AC4" t="s">
        <v>31</v>
      </c>
      <c r="AD4" t="s">
        <v>32</v>
      </c>
      <c r="AE4" t="s">
        <v>32</v>
      </c>
      <c r="AF4" t="s">
        <v>32</v>
      </c>
      <c r="AG4" t="s">
        <v>32</v>
      </c>
      <c r="AH4" t="s">
        <v>31</v>
      </c>
      <c r="AI4" t="s">
        <v>32</v>
      </c>
      <c r="AJ4" t="s">
        <v>31</v>
      </c>
      <c r="AK4" t="s">
        <v>31</v>
      </c>
      <c r="AL4" t="s">
        <v>32</v>
      </c>
      <c r="AN4" t="s">
        <v>32</v>
      </c>
      <c r="AO4" t="s">
        <v>32</v>
      </c>
      <c r="AT4">
        <v>1094</v>
      </c>
      <c r="AU4" t="s">
        <v>33</v>
      </c>
      <c r="AV4">
        <v>0.24</v>
      </c>
    </row>
    <row r="5" spans="1:51" x14ac:dyDescent="0.2">
      <c r="H5" t="s">
        <v>34</v>
      </c>
      <c r="L5" t="s">
        <v>30</v>
      </c>
      <c r="M5" t="s">
        <v>30</v>
      </c>
      <c r="O5" t="s">
        <v>30</v>
      </c>
      <c r="Q5" t="s">
        <v>30</v>
      </c>
      <c r="S5" t="s">
        <v>34</v>
      </c>
      <c r="U5" t="s">
        <v>30</v>
      </c>
      <c r="V5" t="s">
        <v>34</v>
      </c>
      <c r="W5" t="s">
        <v>34</v>
      </c>
      <c r="X5" t="s">
        <v>34</v>
      </c>
      <c r="AC5" t="s">
        <v>30</v>
      </c>
      <c r="AF5" t="s">
        <v>34</v>
      </c>
      <c r="AG5" t="s">
        <v>34</v>
      </c>
      <c r="AH5" t="s">
        <v>34</v>
      </c>
      <c r="AI5" t="s">
        <v>34</v>
      </c>
      <c r="AJ5" t="s">
        <v>34</v>
      </c>
      <c r="AK5" t="s">
        <v>34</v>
      </c>
      <c r="AL5" t="s">
        <v>34</v>
      </c>
      <c r="AN5" t="s">
        <v>34</v>
      </c>
      <c r="AO5" t="s">
        <v>34</v>
      </c>
      <c r="AT5">
        <v>1093</v>
      </c>
      <c r="AU5" t="s">
        <v>35</v>
      </c>
      <c r="AV5">
        <v>0.21</v>
      </c>
    </row>
    <row r="6" spans="1:51" x14ac:dyDescent="0.2">
      <c r="AT6">
        <v>1095</v>
      </c>
      <c r="AU6" t="s">
        <v>36</v>
      </c>
      <c r="AV6">
        <v>1.0999999999999999E-2</v>
      </c>
    </row>
    <row r="7" spans="1:51" x14ac:dyDescent="0.2">
      <c r="AT7">
        <v>1088</v>
      </c>
      <c r="AU7" t="s">
        <v>37</v>
      </c>
      <c r="AV7">
        <f>44/28</f>
        <v>1.5714285714285714</v>
      </c>
    </row>
    <row r="8" spans="1:51" x14ac:dyDescent="0.2">
      <c r="H8" t="s">
        <v>38</v>
      </c>
      <c r="L8" t="s">
        <v>39</v>
      </c>
      <c r="M8" t="s">
        <v>40</v>
      </c>
      <c r="O8" t="s">
        <v>40</v>
      </c>
      <c r="Q8" t="s">
        <v>41</v>
      </c>
      <c r="S8" t="s">
        <v>40</v>
      </c>
      <c r="U8" t="s">
        <v>40</v>
      </c>
      <c r="V8" t="s">
        <v>40</v>
      </c>
      <c r="W8" t="s">
        <v>40</v>
      </c>
      <c r="X8" t="s">
        <v>42</v>
      </c>
      <c r="AF8" t="s">
        <v>43</v>
      </c>
      <c r="AG8" t="s">
        <v>44</v>
      </c>
      <c r="AH8" t="s">
        <v>40</v>
      </c>
      <c r="AI8" t="s">
        <v>44</v>
      </c>
      <c r="AJ8" t="s">
        <v>45</v>
      </c>
      <c r="AK8" t="s">
        <v>46</v>
      </c>
      <c r="AL8" t="s">
        <v>47</v>
      </c>
      <c r="AN8" t="s">
        <v>47</v>
      </c>
      <c r="AO8" t="s">
        <v>48</v>
      </c>
    </row>
    <row r="9" spans="1:51" x14ac:dyDescent="0.2">
      <c r="H9" t="s">
        <v>49</v>
      </c>
      <c r="I9" t="s">
        <v>50</v>
      </c>
      <c r="J9" t="s">
        <v>51</v>
      </c>
      <c r="L9" t="s">
        <v>52</v>
      </c>
      <c r="M9" t="s">
        <v>53</v>
      </c>
      <c r="O9" t="s">
        <v>54</v>
      </c>
      <c r="Q9" t="s">
        <v>55</v>
      </c>
      <c r="S9" t="s">
        <v>56</v>
      </c>
      <c r="U9" t="s">
        <v>57</v>
      </c>
      <c r="V9" t="s">
        <v>58</v>
      </c>
      <c r="W9" t="s">
        <v>59</v>
      </c>
      <c r="X9" t="s">
        <v>60</v>
      </c>
      <c r="AF9" t="s">
        <v>61</v>
      </c>
      <c r="AG9" t="s">
        <v>62</v>
      </c>
      <c r="AH9" t="s">
        <v>63</v>
      </c>
      <c r="AI9" t="s">
        <v>64</v>
      </c>
      <c r="AJ9" t="s">
        <v>65</v>
      </c>
      <c r="AK9" t="s">
        <v>66</v>
      </c>
      <c r="AL9" t="s">
        <v>67</v>
      </c>
      <c r="AN9" t="s">
        <v>67</v>
      </c>
      <c r="AO9" t="s">
        <v>68</v>
      </c>
      <c r="AV9" t="s">
        <v>69</v>
      </c>
      <c r="AX9" t="s">
        <v>70</v>
      </c>
    </row>
    <row r="10" spans="1:51" x14ac:dyDescent="0.2">
      <c r="A10" t="s">
        <v>71</v>
      </c>
      <c r="B10" t="s">
        <v>72</v>
      </c>
      <c r="C10" t="s">
        <v>72</v>
      </c>
      <c r="D10" t="s">
        <v>73</v>
      </c>
      <c r="E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29</v>
      </c>
      <c r="M10" t="s">
        <v>80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S10" t="s">
        <v>86</v>
      </c>
      <c r="T10" t="s">
        <v>87</v>
      </c>
      <c r="U10" t="s">
        <v>88</v>
      </c>
      <c r="V10" t="s">
        <v>89</v>
      </c>
      <c r="W10" t="s">
        <v>90</v>
      </c>
      <c r="X10" t="s">
        <v>91</v>
      </c>
      <c r="Y10" t="s">
        <v>4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</v>
      </c>
      <c r="AI10" t="s">
        <v>100</v>
      </c>
      <c r="AJ10" t="s">
        <v>101</v>
      </c>
      <c r="AK10" t="s">
        <v>102</v>
      </c>
      <c r="AL10" t="s">
        <v>103</v>
      </c>
      <c r="AM10" t="s">
        <v>104</v>
      </c>
      <c r="AN10" t="s">
        <v>105</v>
      </c>
      <c r="AO10" t="s">
        <v>106</v>
      </c>
      <c r="AP10" t="s">
        <v>106</v>
      </c>
      <c r="AU10" t="s">
        <v>107</v>
      </c>
      <c r="AV10">
        <v>4.7000000000000002E-3</v>
      </c>
      <c r="AW10" t="s">
        <v>108</v>
      </c>
      <c r="AX10">
        <v>0.72</v>
      </c>
    </row>
    <row r="11" spans="1:51" x14ac:dyDescent="0.2">
      <c r="A11" t="s">
        <v>109</v>
      </c>
      <c r="B11" t="s">
        <v>108</v>
      </c>
      <c r="C11" t="s">
        <v>110</v>
      </c>
      <c r="D11" t="s">
        <v>111</v>
      </c>
      <c r="E11" t="s">
        <v>112</v>
      </c>
      <c r="F11" t="s">
        <v>113</v>
      </c>
      <c r="H11">
        <v>100</v>
      </c>
      <c r="I11">
        <v>95</v>
      </c>
      <c r="J11">
        <v>90</v>
      </c>
      <c r="L11">
        <f t="shared" ref="L11:L34" si="0">$AV$3</f>
        <v>91.25</v>
      </c>
      <c r="M11" t="e" cm="1">
        <f t="array" aca="1" ref="M11" ca="1">_xludf.DROP(_xludf.XLOOKUP($C11,#REF!,#REF!),1)</f>
        <v>#NAME?</v>
      </c>
      <c r="O11" t="e" cm="1">
        <f t="array" aca="1" ref="O11" ca="1">_xludf.DROP(_xludf.XLOOKUP($C11,#REF!,#REF!),1)</f>
        <v>#NAME?</v>
      </c>
      <c r="Q11" t="e" cm="1">
        <f t="array" aca="1" ref="Q11" ca="1">_xludf.DROP(_xludf.XLOOKUP($C11,#REF!,#REF!),1)</f>
        <v>#NAME?</v>
      </c>
      <c r="R11">
        <f t="shared" ref="R11:R34" si="1">1-S11</f>
        <v>0</v>
      </c>
      <c r="S11">
        <f t="shared" ref="S11:S34" si="2">IF($D$11="yes", 1, VLOOKUP($B$11, $AU$26:$AW$32, 1))</f>
        <v>1</v>
      </c>
      <c r="T11">
        <f t="shared" ref="T11:T34" si="3">VLOOKUP($B$11,$AW$10:$AX$16, 2, FALSE)</f>
        <v>0.72</v>
      </c>
      <c r="U11">
        <f t="shared" ref="U11:U34" si="4">$AV$10</f>
        <v>4.7000000000000002E-3</v>
      </c>
      <c r="V11">
        <f t="shared" ref="V11:V34" si="5">(I11/100)*(MIN(J11,100)/100)</f>
        <v>0.85499999999999998</v>
      </c>
      <c r="W11">
        <v>0</v>
      </c>
      <c r="X11">
        <f t="shared" ref="X11:X34" si="6">1.6 * W11</f>
        <v>0</v>
      </c>
      <c r="Y11">
        <f t="shared" ref="Y11:Y34" si="7">$AY$1</f>
        <v>1.3</v>
      </c>
      <c r="Z11">
        <f t="shared" ref="Z11:Z34" si="8">V11*Y11+(1-V11)</f>
        <v>1.2565</v>
      </c>
      <c r="AA11" t="e">
        <f t="shared" ref="AA11:AA34" ca="1" si="9">(0.795*O11)-0.0014</f>
        <v>#NAME?</v>
      </c>
      <c r="AC11" t="e" cm="1">
        <f t="array" aca="1" ref="AC11" ca="1">_xludf.DROP(_xludf.XLOOKUP($C11,#REF!,#REF!),1)</f>
        <v>#NAME?</v>
      </c>
      <c r="AD11" t="e">
        <f t="shared" ref="AD11:AD34" ca="1" si="10">1 - EXP(-2*(AC11^2))</f>
        <v>#NAME?</v>
      </c>
      <c r="AE11" t="e">
        <f t="shared" ref="AE11:AE34" ca="1" si="11">(104.7*AA11+0.307*Q11-15)*(Q11^0.75)*10^-3</f>
        <v>#NAME?</v>
      </c>
      <c r="AF11" t="e">
        <f t="shared" ref="AF11:AF34" ca="1" si="12">AE11*AD11*Z11</f>
        <v>#NAME?</v>
      </c>
      <c r="AG11" t="e">
        <f t="shared" ref="AG11:AG34" ca="1" si="13">(AF11 * M11) + (0.045 * X11)</f>
        <v>#NAME?</v>
      </c>
      <c r="AH11">
        <f t="shared" ref="AH11:AH34" si="14">$AV$2</f>
        <v>0.08</v>
      </c>
      <c r="AI11" t="e">
        <f t="shared" ref="AI11:AI34" ca="1" si="15">(AF11 * ((1 - O11) + (0.04 * AF11))) * ( 1 - AH11 )</f>
        <v>#NAME?</v>
      </c>
      <c r="AJ11">
        <f t="shared" ref="AJ11:AJ34" si="16">$AV$1</f>
        <v>0.19</v>
      </c>
      <c r="AK11">
        <f t="shared" ref="AK11:AK34" si="17">$AW$20</f>
        <v>0.6784</v>
      </c>
      <c r="AL11" t="e">
        <f t="shared" ref="AL11:AL34" ca="1" si="18">AI11 * AJ11 * R11 * T11 * AK11</f>
        <v>#NAME?</v>
      </c>
      <c r="AM11" t="e">
        <f t="shared" ref="AM11:AM34" ca="1" si="19">AI11*AJ11*S11*U11*AK11</f>
        <v>#NAME?</v>
      </c>
      <c r="AN11" t="e">
        <f t="shared" ref="AN11:AN34" ca="1" si="20">AL11+AM11</f>
        <v>#NAME?</v>
      </c>
      <c r="AO11" t="e">
        <f t="shared" ref="AO11:AO34" ca="1" si="21">H11*AN11*L11</f>
        <v>#NAME?</v>
      </c>
      <c r="AP11" t="e">
        <f ca="1">SUM(AO11:AO34)*10^-3</f>
        <v>#NAME?</v>
      </c>
      <c r="AW11" t="s">
        <v>114</v>
      </c>
      <c r="AX11">
        <v>0.75</v>
      </c>
    </row>
    <row r="12" spans="1:51" x14ac:dyDescent="0.2">
      <c r="F12" t="s">
        <v>115</v>
      </c>
      <c r="H12">
        <v>70</v>
      </c>
      <c r="I12">
        <v>0</v>
      </c>
      <c r="J12">
        <v>0</v>
      </c>
      <c r="L12">
        <f t="shared" si="0"/>
        <v>91.25</v>
      </c>
      <c r="R12">
        <f t="shared" si="1"/>
        <v>0</v>
      </c>
      <c r="S12">
        <f t="shared" si="2"/>
        <v>1</v>
      </c>
      <c r="T12">
        <f t="shared" si="3"/>
        <v>0.72</v>
      </c>
      <c r="U12">
        <f t="shared" si="4"/>
        <v>4.7000000000000002E-3</v>
      </c>
      <c r="V12">
        <f t="shared" si="5"/>
        <v>0</v>
      </c>
      <c r="W12">
        <v>0</v>
      </c>
      <c r="X12">
        <f t="shared" si="6"/>
        <v>0</v>
      </c>
      <c r="Y12">
        <f t="shared" si="7"/>
        <v>1.3</v>
      </c>
      <c r="Z12">
        <f t="shared" si="8"/>
        <v>1</v>
      </c>
      <c r="AA12">
        <f t="shared" si="9"/>
        <v>-1.4E-3</v>
      </c>
      <c r="AD12">
        <f t="shared" si="10"/>
        <v>0</v>
      </c>
      <c r="AE12">
        <f t="shared" si="11"/>
        <v>0</v>
      </c>
      <c r="AF12">
        <f t="shared" si="12"/>
        <v>0</v>
      </c>
      <c r="AG12">
        <f t="shared" si="13"/>
        <v>0</v>
      </c>
      <c r="AH12">
        <f t="shared" si="14"/>
        <v>0.08</v>
      </c>
      <c r="AI12">
        <f t="shared" si="15"/>
        <v>0</v>
      </c>
      <c r="AJ12">
        <f t="shared" si="16"/>
        <v>0.19</v>
      </c>
      <c r="AK12">
        <f t="shared" si="17"/>
        <v>0.6784</v>
      </c>
      <c r="AL12">
        <f t="shared" si="18"/>
        <v>0</v>
      </c>
      <c r="AM12">
        <f t="shared" si="19"/>
        <v>0</v>
      </c>
      <c r="AN12">
        <f t="shared" si="20"/>
        <v>0</v>
      </c>
      <c r="AO12">
        <f t="shared" si="21"/>
        <v>0</v>
      </c>
      <c r="AW12" t="s">
        <v>116</v>
      </c>
      <c r="AX12">
        <v>0.78</v>
      </c>
    </row>
    <row r="13" spans="1:51" x14ac:dyDescent="0.2">
      <c r="F13" t="s">
        <v>117</v>
      </c>
      <c r="H13">
        <v>65</v>
      </c>
      <c r="I13">
        <v>0</v>
      </c>
      <c r="J13">
        <v>0</v>
      </c>
      <c r="L13">
        <f t="shared" si="0"/>
        <v>91.25</v>
      </c>
      <c r="R13">
        <f t="shared" si="1"/>
        <v>0</v>
      </c>
      <c r="S13">
        <f t="shared" si="2"/>
        <v>1</v>
      </c>
      <c r="T13">
        <f t="shared" si="3"/>
        <v>0.72</v>
      </c>
      <c r="U13">
        <f t="shared" si="4"/>
        <v>4.7000000000000002E-3</v>
      </c>
      <c r="V13">
        <f t="shared" si="5"/>
        <v>0</v>
      </c>
      <c r="W13">
        <v>0</v>
      </c>
      <c r="X13">
        <f t="shared" si="6"/>
        <v>0</v>
      </c>
      <c r="Y13">
        <f t="shared" si="7"/>
        <v>1.3</v>
      </c>
      <c r="Z13">
        <f t="shared" si="8"/>
        <v>1</v>
      </c>
      <c r="AA13">
        <f t="shared" si="9"/>
        <v>-1.4E-3</v>
      </c>
      <c r="AD13">
        <f t="shared" si="10"/>
        <v>0</v>
      </c>
      <c r="AE13">
        <f t="shared" si="11"/>
        <v>0</v>
      </c>
      <c r="AF13">
        <f t="shared" si="12"/>
        <v>0</v>
      </c>
      <c r="AG13">
        <f t="shared" si="13"/>
        <v>0</v>
      </c>
      <c r="AH13">
        <f t="shared" si="14"/>
        <v>0.08</v>
      </c>
      <c r="AI13">
        <f t="shared" si="15"/>
        <v>0</v>
      </c>
      <c r="AJ13">
        <f t="shared" si="16"/>
        <v>0.19</v>
      </c>
      <c r="AK13">
        <f t="shared" si="17"/>
        <v>0.6784</v>
      </c>
      <c r="AL13">
        <f t="shared" si="18"/>
        <v>0</v>
      </c>
      <c r="AM13">
        <f t="shared" si="19"/>
        <v>0</v>
      </c>
      <c r="AN13">
        <f t="shared" si="20"/>
        <v>0</v>
      </c>
      <c r="AO13">
        <f t="shared" si="21"/>
        <v>0</v>
      </c>
      <c r="AW13" t="s">
        <v>118</v>
      </c>
      <c r="AX13">
        <v>0.74</v>
      </c>
    </row>
    <row r="14" spans="1:51" x14ac:dyDescent="0.2">
      <c r="F14" t="s">
        <v>119</v>
      </c>
      <c r="H14">
        <v>80</v>
      </c>
      <c r="I14">
        <v>0</v>
      </c>
      <c r="J14">
        <v>0</v>
      </c>
      <c r="L14">
        <f t="shared" si="0"/>
        <v>91.25</v>
      </c>
      <c r="R14">
        <f t="shared" si="1"/>
        <v>0</v>
      </c>
      <c r="S14">
        <f t="shared" si="2"/>
        <v>1</v>
      </c>
      <c r="T14">
        <f t="shared" si="3"/>
        <v>0.72</v>
      </c>
      <c r="U14">
        <f t="shared" si="4"/>
        <v>4.7000000000000002E-3</v>
      </c>
      <c r="V14">
        <f t="shared" si="5"/>
        <v>0</v>
      </c>
      <c r="W14">
        <v>0</v>
      </c>
      <c r="X14">
        <f t="shared" si="6"/>
        <v>0</v>
      </c>
      <c r="Y14">
        <f t="shared" si="7"/>
        <v>1.3</v>
      </c>
      <c r="Z14">
        <f t="shared" si="8"/>
        <v>1</v>
      </c>
      <c r="AA14">
        <f t="shared" si="9"/>
        <v>-1.4E-3</v>
      </c>
      <c r="AD14">
        <f t="shared" si="10"/>
        <v>0</v>
      </c>
      <c r="AE14">
        <f t="shared" si="11"/>
        <v>0</v>
      </c>
      <c r="AF14">
        <f t="shared" si="12"/>
        <v>0</v>
      </c>
      <c r="AG14">
        <f t="shared" si="13"/>
        <v>0</v>
      </c>
      <c r="AH14">
        <f t="shared" si="14"/>
        <v>0.08</v>
      </c>
      <c r="AI14">
        <f t="shared" si="15"/>
        <v>0</v>
      </c>
      <c r="AJ14">
        <f t="shared" si="16"/>
        <v>0.19</v>
      </c>
      <c r="AK14">
        <f t="shared" si="17"/>
        <v>0.6784</v>
      </c>
      <c r="AL14">
        <f t="shared" si="18"/>
        <v>0</v>
      </c>
      <c r="AM14">
        <f t="shared" si="19"/>
        <v>0</v>
      </c>
      <c r="AN14">
        <f t="shared" si="20"/>
        <v>0</v>
      </c>
      <c r="AO14">
        <f t="shared" si="21"/>
        <v>0</v>
      </c>
      <c r="AW14" t="s">
        <v>120</v>
      </c>
      <c r="AX14">
        <v>0.69</v>
      </c>
    </row>
    <row r="15" spans="1:51" x14ac:dyDescent="0.2">
      <c r="E15" t="s">
        <v>121</v>
      </c>
      <c r="F15" t="s">
        <v>113</v>
      </c>
      <c r="H15">
        <v>200</v>
      </c>
      <c r="I15">
        <v>0</v>
      </c>
      <c r="J15">
        <v>0</v>
      </c>
      <c r="L15">
        <f t="shared" si="0"/>
        <v>91.25</v>
      </c>
      <c r="R15">
        <f t="shared" si="1"/>
        <v>0</v>
      </c>
      <c r="S15">
        <f t="shared" si="2"/>
        <v>1</v>
      </c>
      <c r="T15">
        <f t="shared" si="3"/>
        <v>0.72</v>
      </c>
      <c r="U15">
        <f t="shared" si="4"/>
        <v>4.7000000000000002E-3</v>
      </c>
      <c r="V15">
        <f t="shared" si="5"/>
        <v>0</v>
      </c>
      <c r="W15">
        <v>1</v>
      </c>
      <c r="X15">
        <f t="shared" si="6"/>
        <v>1.6</v>
      </c>
      <c r="Y15">
        <f t="shared" si="7"/>
        <v>1.3</v>
      </c>
      <c r="Z15">
        <f t="shared" si="8"/>
        <v>1</v>
      </c>
      <c r="AA15">
        <f t="shared" si="9"/>
        <v>-1.4E-3</v>
      </c>
      <c r="AD15">
        <f t="shared" si="10"/>
        <v>0</v>
      </c>
      <c r="AE15">
        <f t="shared" si="11"/>
        <v>0</v>
      </c>
      <c r="AF15">
        <f t="shared" si="12"/>
        <v>0</v>
      </c>
      <c r="AG15">
        <f t="shared" si="13"/>
        <v>7.1999999999999995E-2</v>
      </c>
      <c r="AH15">
        <f t="shared" si="14"/>
        <v>0.08</v>
      </c>
      <c r="AI15">
        <f t="shared" si="15"/>
        <v>0</v>
      </c>
      <c r="AJ15">
        <f t="shared" si="16"/>
        <v>0.19</v>
      </c>
      <c r="AK15">
        <f t="shared" si="17"/>
        <v>0.6784</v>
      </c>
      <c r="AL15">
        <f t="shared" si="18"/>
        <v>0</v>
      </c>
      <c r="AM15">
        <f t="shared" si="19"/>
        <v>0</v>
      </c>
      <c r="AN15">
        <f t="shared" si="20"/>
        <v>0</v>
      </c>
      <c r="AO15">
        <f t="shared" si="21"/>
        <v>0</v>
      </c>
      <c r="AW15" t="s">
        <v>122</v>
      </c>
      <c r="AX15">
        <v>0.73</v>
      </c>
    </row>
    <row r="16" spans="1:51" x14ac:dyDescent="0.2">
      <c r="F16" t="s">
        <v>115</v>
      </c>
      <c r="H16">
        <v>210</v>
      </c>
      <c r="I16">
        <v>0</v>
      </c>
      <c r="J16">
        <v>0</v>
      </c>
      <c r="L16">
        <f t="shared" si="0"/>
        <v>91.25</v>
      </c>
      <c r="R16">
        <f t="shared" si="1"/>
        <v>0</v>
      </c>
      <c r="S16">
        <f t="shared" si="2"/>
        <v>1</v>
      </c>
      <c r="T16">
        <f t="shared" si="3"/>
        <v>0.72</v>
      </c>
      <c r="U16">
        <f t="shared" si="4"/>
        <v>4.7000000000000002E-3</v>
      </c>
      <c r="V16">
        <f t="shared" si="5"/>
        <v>0</v>
      </c>
      <c r="W16">
        <v>0</v>
      </c>
      <c r="X16">
        <f t="shared" si="6"/>
        <v>0</v>
      </c>
      <c r="Y16">
        <f t="shared" si="7"/>
        <v>1.3</v>
      </c>
      <c r="Z16">
        <f t="shared" si="8"/>
        <v>1</v>
      </c>
      <c r="AA16">
        <f t="shared" si="9"/>
        <v>-1.4E-3</v>
      </c>
      <c r="AD16">
        <f t="shared" si="10"/>
        <v>0</v>
      </c>
      <c r="AE16">
        <f t="shared" si="11"/>
        <v>0</v>
      </c>
      <c r="AF16">
        <f t="shared" si="12"/>
        <v>0</v>
      </c>
      <c r="AG16">
        <f t="shared" si="13"/>
        <v>0</v>
      </c>
      <c r="AH16">
        <f t="shared" si="14"/>
        <v>0.08</v>
      </c>
      <c r="AI16">
        <f t="shared" si="15"/>
        <v>0</v>
      </c>
      <c r="AJ16">
        <f t="shared" si="16"/>
        <v>0.19</v>
      </c>
      <c r="AK16">
        <f t="shared" si="17"/>
        <v>0.6784</v>
      </c>
      <c r="AL16">
        <f t="shared" si="18"/>
        <v>0</v>
      </c>
      <c r="AM16">
        <f t="shared" si="19"/>
        <v>0</v>
      </c>
      <c r="AN16">
        <f t="shared" si="20"/>
        <v>0</v>
      </c>
      <c r="AO16">
        <f t="shared" si="21"/>
        <v>0</v>
      </c>
      <c r="AW16" t="s">
        <v>123</v>
      </c>
      <c r="AX16">
        <v>0.76</v>
      </c>
    </row>
    <row r="17" spans="5:50" x14ac:dyDescent="0.2">
      <c r="F17" t="s">
        <v>117</v>
      </c>
      <c r="H17">
        <v>170</v>
      </c>
      <c r="I17">
        <v>0</v>
      </c>
      <c r="J17">
        <v>0</v>
      </c>
      <c r="L17">
        <f t="shared" si="0"/>
        <v>91.25</v>
      </c>
      <c r="R17">
        <f t="shared" si="1"/>
        <v>0</v>
      </c>
      <c r="S17">
        <f t="shared" si="2"/>
        <v>1</v>
      </c>
      <c r="T17">
        <f t="shared" si="3"/>
        <v>0.72</v>
      </c>
      <c r="U17">
        <f t="shared" si="4"/>
        <v>4.7000000000000002E-3</v>
      </c>
      <c r="V17">
        <f t="shared" si="5"/>
        <v>0</v>
      </c>
      <c r="W17">
        <v>0</v>
      </c>
      <c r="X17">
        <f t="shared" si="6"/>
        <v>0</v>
      </c>
      <c r="Y17">
        <f t="shared" si="7"/>
        <v>1.3</v>
      </c>
      <c r="Z17">
        <f t="shared" si="8"/>
        <v>1</v>
      </c>
      <c r="AA17">
        <f t="shared" si="9"/>
        <v>-1.4E-3</v>
      </c>
      <c r="AD17">
        <f t="shared" si="10"/>
        <v>0</v>
      </c>
      <c r="AE17">
        <f t="shared" si="11"/>
        <v>0</v>
      </c>
      <c r="AF17">
        <f t="shared" si="12"/>
        <v>0</v>
      </c>
      <c r="AG17">
        <f t="shared" si="13"/>
        <v>0</v>
      </c>
      <c r="AH17">
        <f t="shared" si="14"/>
        <v>0.08</v>
      </c>
      <c r="AI17">
        <f t="shared" si="15"/>
        <v>0</v>
      </c>
      <c r="AJ17">
        <f t="shared" si="16"/>
        <v>0.19</v>
      </c>
      <c r="AK17">
        <f t="shared" si="17"/>
        <v>0.6784</v>
      </c>
      <c r="AL17">
        <f t="shared" si="18"/>
        <v>0</v>
      </c>
      <c r="AM17">
        <f t="shared" si="19"/>
        <v>0</v>
      </c>
      <c r="AN17">
        <f t="shared" si="20"/>
        <v>0</v>
      </c>
      <c r="AO17">
        <f t="shared" si="21"/>
        <v>0</v>
      </c>
    </row>
    <row r="18" spans="5:50" x14ac:dyDescent="0.2">
      <c r="F18" t="s">
        <v>119</v>
      </c>
      <c r="H18">
        <v>200</v>
      </c>
      <c r="I18">
        <v>0</v>
      </c>
      <c r="J18">
        <v>0</v>
      </c>
      <c r="L18">
        <f t="shared" si="0"/>
        <v>91.25</v>
      </c>
      <c r="R18">
        <f t="shared" si="1"/>
        <v>0</v>
      </c>
      <c r="S18">
        <f t="shared" si="2"/>
        <v>1</v>
      </c>
      <c r="T18">
        <f t="shared" si="3"/>
        <v>0.72</v>
      </c>
      <c r="U18">
        <f t="shared" si="4"/>
        <v>4.7000000000000002E-3</v>
      </c>
      <c r="V18">
        <f t="shared" si="5"/>
        <v>0</v>
      </c>
      <c r="W18">
        <v>0</v>
      </c>
      <c r="X18">
        <f t="shared" si="6"/>
        <v>0</v>
      </c>
      <c r="Y18">
        <f t="shared" si="7"/>
        <v>1.3</v>
      </c>
      <c r="Z18">
        <f t="shared" si="8"/>
        <v>1</v>
      </c>
      <c r="AA18">
        <f t="shared" si="9"/>
        <v>-1.4E-3</v>
      </c>
      <c r="AD18">
        <f t="shared" si="10"/>
        <v>0</v>
      </c>
      <c r="AE18">
        <f t="shared" si="11"/>
        <v>0</v>
      </c>
      <c r="AF18">
        <f t="shared" si="12"/>
        <v>0</v>
      </c>
      <c r="AG18">
        <f t="shared" si="13"/>
        <v>0</v>
      </c>
      <c r="AH18">
        <f t="shared" si="14"/>
        <v>0.08</v>
      </c>
      <c r="AI18">
        <f t="shared" si="15"/>
        <v>0</v>
      </c>
      <c r="AJ18">
        <f t="shared" si="16"/>
        <v>0.19</v>
      </c>
      <c r="AK18">
        <f t="shared" si="17"/>
        <v>0.6784</v>
      </c>
      <c r="AL18">
        <f t="shared" si="18"/>
        <v>0</v>
      </c>
      <c r="AM18">
        <f t="shared" si="19"/>
        <v>0</v>
      </c>
      <c r="AN18">
        <f t="shared" si="20"/>
        <v>0</v>
      </c>
      <c r="AO18">
        <f t="shared" si="21"/>
        <v>0</v>
      </c>
      <c r="AV18" t="s">
        <v>124</v>
      </c>
      <c r="AW18" t="s">
        <v>125</v>
      </c>
      <c r="AX18">
        <v>6.0000000000000001E-3</v>
      </c>
    </row>
    <row r="19" spans="5:50" x14ac:dyDescent="0.2">
      <c r="E19" t="s">
        <v>126</v>
      </c>
      <c r="F19" t="s">
        <v>113</v>
      </c>
      <c r="H19">
        <v>100</v>
      </c>
      <c r="I19">
        <v>95</v>
      </c>
      <c r="J19">
        <v>92</v>
      </c>
      <c r="L19">
        <f t="shared" si="0"/>
        <v>91.25</v>
      </c>
      <c r="R19">
        <f t="shared" si="1"/>
        <v>0</v>
      </c>
      <c r="S19">
        <f t="shared" si="2"/>
        <v>1</v>
      </c>
      <c r="T19">
        <f t="shared" si="3"/>
        <v>0.72</v>
      </c>
      <c r="U19">
        <f t="shared" si="4"/>
        <v>4.7000000000000002E-3</v>
      </c>
      <c r="V19">
        <f t="shared" si="5"/>
        <v>0.874</v>
      </c>
      <c r="W19">
        <v>0</v>
      </c>
      <c r="X19">
        <f t="shared" si="6"/>
        <v>0</v>
      </c>
      <c r="Y19">
        <f t="shared" si="7"/>
        <v>1.3</v>
      </c>
      <c r="Z19">
        <f t="shared" si="8"/>
        <v>1.2622</v>
      </c>
      <c r="AA19">
        <f t="shared" si="9"/>
        <v>-1.4E-3</v>
      </c>
      <c r="AD19">
        <f t="shared" si="10"/>
        <v>0</v>
      </c>
      <c r="AE19">
        <f t="shared" si="11"/>
        <v>0</v>
      </c>
      <c r="AF19">
        <f t="shared" si="12"/>
        <v>0</v>
      </c>
      <c r="AG19">
        <f t="shared" si="13"/>
        <v>0</v>
      </c>
      <c r="AH19">
        <f t="shared" si="14"/>
        <v>0.08</v>
      </c>
      <c r="AI19">
        <f t="shared" si="15"/>
        <v>0</v>
      </c>
      <c r="AJ19">
        <f t="shared" si="16"/>
        <v>0.19</v>
      </c>
      <c r="AK19">
        <f t="shared" si="17"/>
        <v>0.6784</v>
      </c>
      <c r="AL19">
        <f t="shared" si="18"/>
        <v>0</v>
      </c>
      <c r="AM19">
        <f t="shared" si="19"/>
        <v>0</v>
      </c>
      <c r="AN19">
        <f t="shared" si="20"/>
        <v>0</v>
      </c>
      <c r="AO19">
        <f t="shared" si="21"/>
        <v>0</v>
      </c>
      <c r="AW19" t="s">
        <v>127</v>
      </c>
      <c r="AX19">
        <v>2E-3</v>
      </c>
    </row>
    <row r="20" spans="5:50" x14ac:dyDescent="0.2">
      <c r="F20" t="s">
        <v>115</v>
      </c>
      <c r="H20">
        <v>140</v>
      </c>
      <c r="I20">
        <v>0</v>
      </c>
      <c r="J20">
        <v>0</v>
      </c>
      <c r="L20">
        <f t="shared" si="0"/>
        <v>91.25</v>
      </c>
      <c r="R20">
        <f t="shared" si="1"/>
        <v>0</v>
      </c>
      <c r="S20">
        <f t="shared" si="2"/>
        <v>1</v>
      </c>
      <c r="T20">
        <f t="shared" si="3"/>
        <v>0.72</v>
      </c>
      <c r="U20">
        <f t="shared" si="4"/>
        <v>4.7000000000000002E-3</v>
      </c>
      <c r="V20">
        <f t="shared" si="5"/>
        <v>0</v>
      </c>
      <c r="W20">
        <v>0</v>
      </c>
      <c r="X20">
        <f t="shared" si="6"/>
        <v>0</v>
      </c>
      <c r="Y20">
        <f t="shared" si="7"/>
        <v>1.3</v>
      </c>
      <c r="Z20">
        <f t="shared" si="8"/>
        <v>1</v>
      </c>
      <c r="AA20">
        <f t="shared" si="9"/>
        <v>-1.4E-3</v>
      </c>
      <c r="AD20">
        <f t="shared" si="10"/>
        <v>0</v>
      </c>
      <c r="AE20">
        <f t="shared" si="11"/>
        <v>0</v>
      </c>
      <c r="AF20">
        <f t="shared" si="12"/>
        <v>0</v>
      </c>
      <c r="AG20">
        <f t="shared" si="13"/>
        <v>0</v>
      </c>
      <c r="AH20">
        <f t="shared" si="14"/>
        <v>0.08</v>
      </c>
      <c r="AI20">
        <f t="shared" si="15"/>
        <v>0</v>
      </c>
      <c r="AJ20">
        <f t="shared" si="16"/>
        <v>0.19</v>
      </c>
      <c r="AK20">
        <f t="shared" si="17"/>
        <v>0.6784</v>
      </c>
      <c r="AL20">
        <f t="shared" si="18"/>
        <v>0</v>
      </c>
      <c r="AM20">
        <f t="shared" si="19"/>
        <v>0</v>
      </c>
      <c r="AN20">
        <f t="shared" si="20"/>
        <v>0</v>
      </c>
      <c r="AO20">
        <f t="shared" si="21"/>
        <v>0</v>
      </c>
      <c r="AV20" t="s">
        <v>128</v>
      </c>
      <c r="AW20">
        <v>0.6784</v>
      </c>
    </row>
    <row r="21" spans="5:50" x14ac:dyDescent="0.2">
      <c r="F21" t="s">
        <v>117</v>
      </c>
      <c r="H21">
        <v>135</v>
      </c>
      <c r="I21">
        <v>0</v>
      </c>
      <c r="J21">
        <v>0</v>
      </c>
      <c r="L21">
        <f t="shared" si="0"/>
        <v>91.25</v>
      </c>
      <c r="R21">
        <f t="shared" si="1"/>
        <v>0</v>
      </c>
      <c r="S21">
        <f t="shared" si="2"/>
        <v>1</v>
      </c>
      <c r="T21">
        <f t="shared" si="3"/>
        <v>0.72</v>
      </c>
      <c r="U21">
        <f t="shared" si="4"/>
        <v>4.7000000000000002E-3</v>
      </c>
      <c r="V21">
        <f t="shared" si="5"/>
        <v>0</v>
      </c>
      <c r="W21">
        <v>0</v>
      </c>
      <c r="X21">
        <f t="shared" si="6"/>
        <v>0</v>
      </c>
      <c r="Y21">
        <f t="shared" si="7"/>
        <v>1.3</v>
      </c>
      <c r="Z21">
        <f t="shared" si="8"/>
        <v>1</v>
      </c>
      <c r="AA21">
        <f t="shared" si="9"/>
        <v>-1.4E-3</v>
      </c>
      <c r="AD21">
        <f t="shared" si="10"/>
        <v>0</v>
      </c>
      <c r="AE21">
        <f t="shared" si="11"/>
        <v>0</v>
      </c>
      <c r="AF21">
        <f t="shared" si="12"/>
        <v>0</v>
      </c>
      <c r="AG21">
        <f t="shared" si="13"/>
        <v>0</v>
      </c>
      <c r="AH21">
        <f t="shared" si="14"/>
        <v>0.08</v>
      </c>
      <c r="AI21">
        <f t="shared" si="15"/>
        <v>0</v>
      </c>
      <c r="AJ21">
        <f t="shared" si="16"/>
        <v>0.19</v>
      </c>
      <c r="AK21">
        <f t="shared" si="17"/>
        <v>0.6784</v>
      </c>
      <c r="AL21">
        <f t="shared" si="18"/>
        <v>0</v>
      </c>
      <c r="AM21">
        <f t="shared" si="19"/>
        <v>0</v>
      </c>
      <c r="AN21">
        <f t="shared" si="20"/>
        <v>0</v>
      </c>
      <c r="AO21">
        <f t="shared" si="21"/>
        <v>0</v>
      </c>
    </row>
    <row r="22" spans="5:50" x14ac:dyDescent="0.2">
      <c r="F22" t="s">
        <v>119</v>
      </c>
      <c r="H22">
        <v>130</v>
      </c>
      <c r="I22">
        <v>0</v>
      </c>
      <c r="J22">
        <v>0</v>
      </c>
      <c r="L22">
        <f t="shared" si="0"/>
        <v>91.25</v>
      </c>
      <c r="R22">
        <f t="shared" si="1"/>
        <v>0</v>
      </c>
      <c r="S22">
        <f t="shared" si="2"/>
        <v>1</v>
      </c>
      <c r="T22">
        <f t="shared" si="3"/>
        <v>0.72</v>
      </c>
      <c r="U22">
        <f t="shared" si="4"/>
        <v>4.7000000000000002E-3</v>
      </c>
      <c r="V22">
        <f t="shared" si="5"/>
        <v>0</v>
      </c>
      <c r="W22">
        <v>0</v>
      </c>
      <c r="X22">
        <f t="shared" si="6"/>
        <v>0</v>
      </c>
      <c r="Y22">
        <f t="shared" si="7"/>
        <v>1.3</v>
      </c>
      <c r="Z22">
        <f t="shared" si="8"/>
        <v>1</v>
      </c>
      <c r="AA22">
        <f t="shared" si="9"/>
        <v>-1.4E-3</v>
      </c>
      <c r="AD22">
        <f t="shared" si="10"/>
        <v>0</v>
      </c>
      <c r="AE22">
        <f t="shared" si="11"/>
        <v>0</v>
      </c>
      <c r="AF22">
        <f t="shared" si="12"/>
        <v>0</v>
      </c>
      <c r="AG22">
        <f t="shared" si="13"/>
        <v>0</v>
      </c>
      <c r="AH22">
        <f t="shared" si="14"/>
        <v>0.08</v>
      </c>
      <c r="AI22">
        <f t="shared" si="15"/>
        <v>0</v>
      </c>
      <c r="AJ22">
        <f t="shared" si="16"/>
        <v>0.19</v>
      </c>
      <c r="AK22">
        <f t="shared" si="17"/>
        <v>0.6784</v>
      </c>
      <c r="AL22">
        <f t="shared" si="18"/>
        <v>0</v>
      </c>
      <c r="AM22">
        <f t="shared" si="19"/>
        <v>0</v>
      </c>
      <c r="AN22">
        <f t="shared" si="20"/>
        <v>0</v>
      </c>
      <c r="AO22">
        <f t="shared" si="21"/>
        <v>0</v>
      </c>
    </row>
    <row r="23" spans="5:50" x14ac:dyDescent="0.2">
      <c r="E23" t="s">
        <v>129</v>
      </c>
      <c r="F23" t="s">
        <v>113</v>
      </c>
      <c r="H23">
        <v>200</v>
      </c>
      <c r="I23">
        <v>0</v>
      </c>
      <c r="J23">
        <v>0</v>
      </c>
      <c r="L23">
        <f t="shared" si="0"/>
        <v>91.25</v>
      </c>
      <c r="R23">
        <f t="shared" si="1"/>
        <v>0</v>
      </c>
      <c r="S23">
        <f t="shared" si="2"/>
        <v>1</v>
      </c>
      <c r="T23">
        <f t="shared" si="3"/>
        <v>0.72</v>
      </c>
      <c r="U23">
        <f t="shared" si="4"/>
        <v>4.7000000000000002E-3</v>
      </c>
      <c r="V23">
        <f t="shared" si="5"/>
        <v>0</v>
      </c>
      <c r="W23">
        <v>0</v>
      </c>
      <c r="X23">
        <f t="shared" si="6"/>
        <v>0</v>
      </c>
      <c r="Y23">
        <f t="shared" si="7"/>
        <v>1.3</v>
      </c>
      <c r="Z23">
        <f t="shared" si="8"/>
        <v>1</v>
      </c>
      <c r="AA23">
        <f t="shared" si="9"/>
        <v>-1.4E-3</v>
      </c>
      <c r="AD23">
        <f t="shared" si="10"/>
        <v>0</v>
      </c>
      <c r="AE23">
        <f t="shared" si="11"/>
        <v>0</v>
      </c>
      <c r="AF23">
        <f t="shared" si="12"/>
        <v>0</v>
      </c>
      <c r="AG23">
        <f t="shared" si="13"/>
        <v>0</v>
      </c>
      <c r="AH23">
        <f t="shared" si="14"/>
        <v>0.08</v>
      </c>
      <c r="AI23">
        <f t="shared" si="15"/>
        <v>0</v>
      </c>
      <c r="AJ23">
        <f t="shared" si="16"/>
        <v>0.19</v>
      </c>
      <c r="AK23">
        <f t="shared" si="17"/>
        <v>0.6784</v>
      </c>
      <c r="AL23">
        <f t="shared" si="18"/>
        <v>0</v>
      </c>
      <c r="AM23">
        <f t="shared" si="19"/>
        <v>0</v>
      </c>
      <c r="AN23">
        <f t="shared" si="20"/>
        <v>0</v>
      </c>
      <c r="AO23">
        <f t="shared" si="21"/>
        <v>0</v>
      </c>
    </row>
    <row r="24" spans="5:50" x14ac:dyDescent="0.2">
      <c r="F24" t="s">
        <v>115</v>
      </c>
      <c r="H24">
        <v>210</v>
      </c>
      <c r="I24">
        <v>0</v>
      </c>
      <c r="J24">
        <v>0</v>
      </c>
      <c r="L24">
        <f t="shared" si="0"/>
        <v>91.25</v>
      </c>
      <c r="R24">
        <f t="shared" si="1"/>
        <v>0</v>
      </c>
      <c r="S24">
        <f t="shared" si="2"/>
        <v>1</v>
      </c>
      <c r="T24">
        <f t="shared" si="3"/>
        <v>0.72</v>
      </c>
      <c r="U24">
        <f t="shared" si="4"/>
        <v>4.7000000000000002E-3</v>
      </c>
      <c r="V24">
        <f t="shared" si="5"/>
        <v>0</v>
      </c>
      <c r="W24">
        <v>0</v>
      </c>
      <c r="X24">
        <f t="shared" si="6"/>
        <v>0</v>
      </c>
      <c r="Y24">
        <f t="shared" si="7"/>
        <v>1.3</v>
      </c>
      <c r="Z24">
        <f t="shared" si="8"/>
        <v>1</v>
      </c>
      <c r="AA24">
        <f t="shared" si="9"/>
        <v>-1.4E-3</v>
      </c>
      <c r="AD24">
        <f t="shared" si="10"/>
        <v>0</v>
      </c>
      <c r="AE24">
        <f t="shared" si="11"/>
        <v>0</v>
      </c>
      <c r="AF24">
        <f t="shared" si="12"/>
        <v>0</v>
      </c>
      <c r="AG24">
        <f t="shared" si="13"/>
        <v>0</v>
      </c>
      <c r="AH24">
        <f t="shared" si="14"/>
        <v>0.08</v>
      </c>
      <c r="AI24">
        <f t="shared" si="15"/>
        <v>0</v>
      </c>
      <c r="AJ24">
        <f t="shared" si="16"/>
        <v>0.19</v>
      </c>
      <c r="AK24">
        <f t="shared" si="17"/>
        <v>0.6784</v>
      </c>
      <c r="AL24">
        <f t="shared" si="18"/>
        <v>0</v>
      </c>
      <c r="AM24">
        <f t="shared" si="19"/>
        <v>0</v>
      </c>
      <c r="AN24">
        <f t="shared" si="20"/>
        <v>0</v>
      </c>
      <c r="AO24">
        <f t="shared" si="21"/>
        <v>0</v>
      </c>
    </row>
    <row r="25" spans="5:50" x14ac:dyDescent="0.2">
      <c r="F25" t="s">
        <v>117</v>
      </c>
      <c r="H25">
        <v>190</v>
      </c>
      <c r="I25">
        <v>0</v>
      </c>
      <c r="J25">
        <v>0</v>
      </c>
      <c r="L25">
        <f t="shared" si="0"/>
        <v>91.25</v>
      </c>
      <c r="R25">
        <f t="shared" si="1"/>
        <v>0</v>
      </c>
      <c r="S25">
        <f t="shared" si="2"/>
        <v>1</v>
      </c>
      <c r="T25">
        <f t="shared" si="3"/>
        <v>0.72</v>
      </c>
      <c r="U25">
        <f t="shared" si="4"/>
        <v>4.7000000000000002E-3</v>
      </c>
      <c r="V25">
        <f t="shared" si="5"/>
        <v>0</v>
      </c>
      <c r="W25">
        <v>0</v>
      </c>
      <c r="X25">
        <f t="shared" si="6"/>
        <v>0</v>
      </c>
      <c r="Y25">
        <f t="shared" si="7"/>
        <v>1.3</v>
      </c>
      <c r="Z25">
        <f t="shared" si="8"/>
        <v>1</v>
      </c>
      <c r="AA25">
        <f t="shared" si="9"/>
        <v>-1.4E-3</v>
      </c>
      <c r="AD25">
        <f t="shared" si="10"/>
        <v>0</v>
      </c>
      <c r="AE25">
        <f t="shared" si="11"/>
        <v>0</v>
      </c>
      <c r="AF25">
        <f t="shared" si="12"/>
        <v>0</v>
      </c>
      <c r="AG25">
        <f t="shared" si="13"/>
        <v>0</v>
      </c>
      <c r="AH25">
        <f t="shared" si="14"/>
        <v>0.08</v>
      </c>
      <c r="AI25">
        <f t="shared" si="15"/>
        <v>0</v>
      </c>
      <c r="AJ25">
        <f t="shared" si="16"/>
        <v>0.19</v>
      </c>
      <c r="AK25">
        <f t="shared" si="17"/>
        <v>0.6784</v>
      </c>
      <c r="AL25">
        <f t="shared" si="18"/>
        <v>0</v>
      </c>
      <c r="AM25">
        <f t="shared" si="19"/>
        <v>0</v>
      </c>
      <c r="AN25">
        <f t="shared" si="20"/>
        <v>0</v>
      </c>
      <c r="AO25">
        <f t="shared" si="21"/>
        <v>0</v>
      </c>
      <c r="AU25" t="s">
        <v>130</v>
      </c>
    </row>
    <row r="26" spans="5:50" x14ac:dyDescent="0.2">
      <c r="F26" t="s">
        <v>119</v>
      </c>
      <c r="H26">
        <v>180</v>
      </c>
      <c r="I26">
        <v>0</v>
      </c>
      <c r="J26">
        <v>0</v>
      </c>
      <c r="L26">
        <f t="shared" si="0"/>
        <v>91.25</v>
      </c>
      <c r="R26">
        <f t="shared" si="1"/>
        <v>0</v>
      </c>
      <c r="S26">
        <f t="shared" si="2"/>
        <v>1</v>
      </c>
      <c r="T26">
        <f t="shared" si="3"/>
        <v>0.72</v>
      </c>
      <c r="U26">
        <f t="shared" si="4"/>
        <v>4.7000000000000002E-3</v>
      </c>
      <c r="V26">
        <f t="shared" si="5"/>
        <v>0</v>
      </c>
      <c r="W26">
        <v>0</v>
      </c>
      <c r="X26">
        <f t="shared" si="6"/>
        <v>0</v>
      </c>
      <c r="Y26">
        <f t="shared" si="7"/>
        <v>1.3</v>
      </c>
      <c r="Z26">
        <f t="shared" si="8"/>
        <v>1</v>
      </c>
      <c r="AA26">
        <f t="shared" si="9"/>
        <v>-1.4E-3</v>
      </c>
      <c r="AD26">
        <f t="shared" si="10"/>
        <v>0</v>
      </c>
      <c r="AE26">
        <f t="shared" si="11"/>
        <v>0</v>
      </c>
      <c r="AF26">
        <f t="shared" si="12"/>
        <v>0</v>
      </c>
      <c r="AG26">
        <f t="shared" si="13"/>
        <v>0</v>
      </c>
      <c r="AH26">
        <f t="shared" si="14"/>
        <v>0.08</v>
      </c>
      <c r="AI26">
        <f t="shared" si="15"/>
        <v>0</v>
      </c>
      <c r="AJ26">
        <f t="shared" si="16"/>
        <v>0.19</v>
      </c>
      <c r="AK26">
        <f t="shared" si="17"/>
        <v>0.6784</v>
      </c>
      <c r="AL26">
        <f t="shared" si="18"/>
        <v>0</v>
      </c>
      <c r="AM26">
        <f t="shared" si="19"/>
        <v>0</v>
      </c>
      <c r="AN26">
        <f t="shared" si="20"/>
        <v>0</v>
      </c>
      <c r="AO26">
        <f t="shared" si="21"/>
        <v>0</v>
      </c>
      <c r="AU26" t="s">
        <v>108</v>
      </c>
      <c r="AV26">
        <v>99.25</v>
      </c>
      <c r="AW26">
        <v>0.75</v>
      </c>
    </row>
    <row r="27" spans="5:50" x14ac:dyDescent="0.2">
      <c r="E27" t="s">
        <v>131</v>
      </c>
      <c r="F27" t="s">
        <v>113</v>
      </c>
      <c r="H27">
        <v>50</v>
      </c>
      <c r="I27">
        <v>0</v>
      </c>
      <c r="J27">
        <v>0</v>
      </c>
      <c r="L27">
        <f t="shared" si="0"/>
        <v>91.25</v>
      </c>
      <c r="R27">
        <f t="shared" si="1"/>
        <v>0</v>
      </c>
      <c r="S27">
        <f t="shared" si="2"/>
        <v>1</v>
      </c>
      <c r="T27">
        <f t="shared" si="3"/>
        <v>0.72</v>
      </c>
      <c r="U27">
        <f t="shared" si="4"/>
        <v>4.7000000000000002E-3</v>
      </c>
      <c r="V27">
        <f t="shared" si="5"/>
        <v>0</v>
      </c>
      <c r="W27">
        <v>0</v>
      </c>
      <c r="X27">
        <f t="shared" si="6"/>
        <v>0</v>
      </c>
      <c r="Y27">
        <f t="shared" si="7"/>
        <v>1.3</v>
      </c>
      <c r="Z27">
        <f t="shared" si="8"/>
        <v>1</v>
      </c>
      <c r="AA27">
        <f t="shared" si="9"/>
        <v>-1.4E-3</v>
      </c>
      <c r="AD27">
        <f t="shared" si="10"/>
        <v>0</v>
      </c>
      <c r="AE27">
        <f t="shared" si="11"/>
        <v>0</v>
      </c>
      <c r="AF27">
        <f t="shared" si="12"/>
        <v>0</v>
      </c>
      <c r="AG27">
        <f t="shared" si="13"/>
        <v>0</v>
      </c>
      <c r="AH27">
        <f t="shared" si="14"/>
        <v>0.08</v>
      </c>
      <c r="AI27">
        <f t="shared" si="15"/>
        <v>0</v>
      </c>
      <c r="AJ27">
        <f t="shared" si="16"/>
        <v>0.19</v>
      </c>
      <c r="AK27">
        <f t="shared" si="17"/>
        <v>0.6784</v>
      </c>
      <c r="AL27">
        <f t="shared" si="18"/>
        <v>0</v>
      </c>
      <c r="AM27">
        <f t="shared" si="19"/>
        <v>0</v>
      </c>
      <c r="AN27">
        <f t="shared" si="20"/>
        <v>0</v>
      </c>
      <c r="AO27">
        <f t="shared" si="21"/>
        <v>0</v>
      </c>
      <c r="AU27" t="s">
        <v>114</v>
      </c>
      <c r="AV27">
        <v>99.55</v>
      </c>
      <c r="AW27">
        <v>0.45</v>
      </c>
    </row>
    <row r="28" spans="5:50" x14ac:dyDescent="0.2">
      <c r="F28" t="s">
        <v>115</v>
      </c>
      <c r="H28">
        <v>55</v>
      </c>
      <c r="I28">
        <v>0</v>
      </c>
      <c r="J28">
        <v>0</v>
      </c>
      <c r="L28">
        <f t="shared" si="0"/>
        <v>91.25</v>
      </c>
      <c r="R28">
        <f t="shared" si="1"/>
        <v>0</v>
      </c>
      <c r="S28">
        <f t="shared" si="2"/>
        <v>1</v>
      </c>
      <c r="T28">
        <f t="shared" si="3"/>
        <v>0.72</v>
      </c>
      <c r="U28">
        <f t="shared" si="4"/>
        <v>4.7000000000000002E-3</v>
      </c>
      <c r="V28">
        <f t="shared" si="5"/>
        <v>0</v>
      </c>
      <c r="W28">
        <v>0</v>
      </c>
      <c r="X28">
        <f t="shared" si="6"/>
        <v>0</v>
      </c>
      <c r="Y28">
        <f t="shared" si="7"/>
        <v>1.3</v>
      </c>
      <c r="Z28">
        <f t="shared" si="8"/>
        <v>1</v>
      </c>
      <c r="AA28">
        <f t="shared" si="9"/>
        <v>-1.4E-3</v>
      </c>
      <c r="AD28">
        <f t="shared" si="10"/>
        <v>0</v>
      </c>
      <c r="AE28">
        <f t="shared" si="11"/>
        <v>0</v>
      </c>
      <c r="AF28">
        <f t="shared" si="12"/>
        <v>0</v>
      </c>
      <c r="AG28">
        <f t="shared" si="13"/>
        <v>0</v>
      </c>
      <c r="AH28">
        <f t="shared" si="14"/>
        <v>0.08</v>
      </c>
      <c r="AI28">
        <f t="shared" si="15"/>
        <v>0</v>
      </c>
      <c r="AJ28">
        <f t="shared" si="16"/>
        <v>0.19</v>
      </c>
      <c r="AK28">
        <f t="shared" si="17"/>
        <v>0.6784</v>
      </c>
      <c r="AL28">
        <f t="shared" si="18"/>
        <v>0</v>
      </c>
      <c r="AM28">
        <f t="shared" si="19"/>
        <v>0</v>
      </c>
      <c r="AN28">
        <f t="shared" si="20"/>
        <v>0</v>
      </c>
      <c r="AO28">
        <f t="shared" si="21"/>
        <v>0</v>
      </c>
      <c r="AU28" t="s">
        <v>116</v>
      </c>
      <c r="AV28">
        <v>99.91</v>
      </c>
      <c r="AW28">
        <v>0.09</v>
      </c>
    </row>
    <row r="29" spans="5:50" x14ac:dyDescent="0.2">
      <c r="F29" t="s">
        <v>117</v>
      </c>
      <c r="H29">
        <v>60</v>
      </c>
      <c r="I29">
        <v>0</v>
      </c>
      <c r="J29">
        <v>0</v>
      </c>
      <c r="L29">
        <f t="shared" si="0"/>
        <v>91.25</v>
      </c>
      <c r="R29">
        <f t="shared" si="1"/>
        <v>0</v>
      </c>
      <c r="S29">
        <f t="shared" si="2"/>
        <v>1</v>
      </c>
      <c r="T29">
        <f t="shared" si="3"/>
        <v>0.72</v>
      </c>
      <c r="U29">
        <f t="shared" si="4"/>
        <v>4.7000000000000002E-3</v>
      </c>
      <c r="V29">
        <f t="shared" si="5"/>
        <v>0</v>
      </c>
      <c r="W29">
        <v>0</v>
      </c>
      <c r="X29">
        <f t="shared" si="6"/>
        <v>0</v>
      </c>
      <c r="Y29">
        <f t="shared" si="7"/>
        <v>1.3</v>
      </c>
      <c r="Z29">
        <f t="shared" si="8"/>
        <v>1</v>
      </c>
      <c r="AA29">
        <f t="shared" si="9"/>
        <v>-1.4E-3</v>
      </c>
      <c r="AD29">
        <f t="shared" si="10"/>
        <v>0</v>
      </c>
      <c r="AE29">
        <f t="shared" si="11"/>
        <v>0</v>
      </c>
      <c r="AF29">
        <f t="shared" si="12"/>
        <v>0</v>
      </c>
      <c r="AG29">
        <f t="shared" si="13"/>
        <v>0</v>
      </c>
      <c r="AH29">
        <f t="shared" si="14"/>
        <v>0.08</v>
      </c>
      <c r="AI29">
        <f t="shared" si="15"/>
        <v>0</v>
      </c>
      <c r="AJ29">
        <f t="shared" si="16"/>
        <v>0.19</v>
      </c>
      <c r="AK29">
        <f t="shared" si="17"/>
        <v>0.6784</v>
      </c>
      <c r="AL29">
        <f t="shared" si="18"/>
        <v>0</v>
      </c>
      <c r="AM29">
        <f t="shared" si="19"/>
        <v>0</v>
      </c>
      <c r="AN29">
        <f t="shared" si="20"/>
        <v>0</v>
      </c>
      <c r="AO29">
        <f t="shared" si="21"/>
        <v>0</v>
      </c>
      <c r="AU29" t="s">
        <v>118</v>
      </c>
      <c r="AV29">
        <v>99.74</v>
      </c>
      <c r="AW29">
        <v>0.26</v>
      </c>
    </row>
    <row r="30" spans="5:50" x14ac:dyDescent="0.2">
      <c r="F30" t="s">
        <v>119</v>
      </c>
      <c r="H30">
        <v>65</v>
      </c>
      <c r="I30">
        <v>0</v>
      </c>
      <c r="J30">
        <v>0</v>
      </c>
      <c r="L30">
        <f t="shared" si="0"/>
        <v>91.25</v>
      </c>
      <c r="R30">
        <f t="shared" si="1"/>
        <v>0</v>
      </c>
      <c r="S30">
        <f t="shared" si="2"/>
        <v>1</v>
      </c>
      <c r="T30">
        <f t="shared" si="3"/>
        <v>0.72</v>
      </c>
      <c r="U30">
        <f t="shared" si="4"/>
        <v>4.7000000000000002E-3</v>
      </c>
      <c r="V30">
        <f t="shared" si="5"/>
        <v>0</v>
      </c>
      <c r="W30">
        <v>0</v>
      </c>
      <c r="X30">
        <f t="shared" si="6"/>
        <v>0</v>
      </c>
      <c r="Y30">
        <f t="shared" si="7"/>
        <v>1.3</v>
      </c>
      <c r="Z30">
        <f t="shared" si="8"/>
        <v>1</v>
      </c>
      <c r="AA30">
        <f t="shared" si="9"/>
        <v>-1.4E-3</v>
      </c>
      <c r="AD30">
        <f t="shared" si="10"/>
        <v>0</v>
      </c>
      <c r="AE30">
        <f t="shared" si="11"/>
        <v>0</v>
      </c>
      <c r="AF30">
        <f t="shared" si="12"/>
        <v>0</v>
      </c>
      <c r="AG30">
        <f t="shared" si="13"/>
        <v>0</v>
      </c>
      <c r="AH30">
        <f t="shared" si="14"/>
        <v>0.08</v>
      </c>
      <c r="AI30">
        <f t="shared" si="15"/>
        <v>0</v>
      </c>
      <c r="AJ30">
        <f t="shared" si="16"/>
        <v>0.19</v>
      </c>
      <c r="AK30">
        <f t="shared" si="17"/>
        <v>0.6784</v>
      </c>
      <c r="AL30">
        <f t="shared" si="18"/>
        <v>0</v>
      </c>
      <c r="AM30">
        <f t="shared" si="19"/>
        <v>0</v>
      </c>
      <c r="AN30">
        <f t="shared" si="20"/>
        <v>0</v>
      </c>
      <c r="AO30">
        <f t="shared" si="21"/>
        <v>0</v>
      </c>
      <c r="AU30" t="s">
        <v>120</v>
      </c>
      <c r="AV30">
        <v>99.5</v>
      </c>
      <c r="AW30">
        <v>0.5</v>
      </c>
    </row>
    <row r="31" spans="5:50" x14ac:dyDescent="0.2">
      <c r="E31" t="s">
        <v>132</v>
      </c>
      <c r="F31" t="s">
        <v>113</v>
      </c>
      <c r="H31">
        <v>50</v>
      </c>
      <c r="I31">
        <v>0</v>
      </c>
      <c r="J31">
        <v>0</v>
      </c>
      <c r="L31">
        <f t="shared" si="0"/>
        <v>91.25</v>
      </c>
      <c r="R31">
        <f t="shared" si="1"/>
        <v>0</v>
      </c>
      <c r="S31">
        <f t="shared" si="2"/>
        <v>1</v>
      </c>
      <c r="T31">
        <f t="shared" si="3"/>
        <v>0.72</v>
      </c>
      <c r="U31">
        <f t="shared" si="4"/>
        <v>4.7000000000000002E-3</v>
      </c>
      <c r="V31">
        <f t="shared" si="5"/>
        <v>0</v>
      </c>
      <c r="W31">
        <v>0</v>
      </c>
      <c r="X31">
        <f t="shared" si="6"/>
        <v>0</v>
      </c>
      <c r="Y31">
        <f t="shared" si="7"/>
        <v>1.3</v>
      </c>
      <c r="Z31">
        <f t="shared" si="8"/>
        <v>1</v>
      </c>
      <c r="AA31">
        <f t="shared" si="9"/>
        <v>-1.4E-3</v>
      </c>
      <c r="AD31">
        <f t="shared" si="10"/>
        <v>0</v>
      </c>
      <c r="AE31">
        <f t="shared" si="11"/>
        <v>0</v>
      </c>
      <c r="AF31">
        <f t="shared" si="12"/>
        <v>0</v>
      </c>
      <c r="AG31">
        <f t="shared" si="13"/>
        <v>0</v>
      </c>
      <c r="AH31">
        <f t="shared" si="14"/>
        <v>0.08</v>
      </c>
      <c r="AI31">
        <f t="shared" si="15"/>
        <v>0</v>
      </c>
      <c r="AJ31">
        <f t="shared" si="16"/>
        <v>0.19</v>
      </c>
      <c r="AK31">
        <f t="shared" si="17"/>
        <v>0.6784</v>
      </c>
      <c r="AL31">
        <f t="shared" si="18"/>
        <v>0</v>
      </c>
      <c r="AM31">
        <f t="shared" si="19"/>
        <v>0</v>
      </c>
      <c r="AN31">
        <f t="shared" si="20"/>
        <v>0</v>
      </c>
      <c r="AO31">
        <f t="shared" si="21"/>
        <v>0</v>
      </c>
      <c r="AU31" t="s">
        <v>122</v>
      </c>
      <c r="AV31">
        <v>99.17</v>
      </c>
      <c r="AW31">
        <v>0.83</v>
      </c>
    </row>
    <row r="32" spans="5:50" x14ac:dyDescent="0.2">
      <c r="F32" t="s">
        <v>115</v>
      </c>
      <c r="H32">
        <v>100</v>
      </c>
      <c r="I32">
        <v>0</v>
      </c>
      <c r="J32">
        <v>0</v>
      </c>
      <c r="L32">
        <f t="shared" si="0"/>
        <v>91.25</v>
      </c>
      <c r="R32">
        <f t="shared" si="1"/>
        <v>0</v>
      </c>
      <c r="S32">
        <f t="shared" si="2"/>
        <v>1</v>
      </c>
      <c r="T32">
        <f t="shared" si="3"/>
        <v>0.72</v>
      </c>
      <c r="U32">
        <f t="shared" si="4"/>
        <v>4.7000000000000002E-3</v>
      </c>
      <c r="V32">
        <f t="shared" si="5"/>
        <v>0</v>
      </c>
      <c r="W32">
        <v>0</v>
      </c>
      <c r="X32">
        <f t="shared" si="6"/>
        <v>0</v>
      </c>
      <c r="Y32">
        <f t="shared" si="7"/>
        <v>1.3</v>
      </c>
      <c r="Z32">
        <f t="shared" si="8"/>
        <v>1</v>
      </c>
      <c r="AA32">
        <f t="shared" si="9"/>
        <v>-1.4E-3</v>
      </c>
      <c r="AD32">
        <f t="shared" si="10"/>
        <v>0</v>
      </c>
      <c r="AE32">
        <f t="shared" si="11"/>
        <v>0</v>
      </c>
      <c r="AF32">
        <f t="shared" si="12"/>
        <v>0</v>
      </c>
      <c r="AG32">
        <f t="shared" si="13"/>
        <v>0</v>
      </c>
      <c r="AH32">
        <f t="shared" si="14"/>
        <v>0.08</v>
      </c>
      <c r="AI32">
        <f t="shared" si="15"/>
        <v>0</v>
      </c>
      <c r="AJ32">
        <f t="shared" si="16"/>
        <v>0.19</v>
      </c>
      <c r="AK32">
        <f t="shared" si="17"/>
        <v>0.6784</v>
      </c>
      <c r="AL32">
        <f t="shared" si="18"/>
        <v>0</v>
      </c>
      <c r="AM32">
        <f t="shared" si="19"/>
        <v>0</v>
      </c>
      <c r="AN32">
        <f t="shared" si="20"/>
        <v>0</v>
      </c>
      <c r="AO32">
        <f t="shared" si="21"/>
        <v>0</v>
      </c>
      <c r="AU32" t="s">
        <v>123</v>
      </c>
      <c r="AV32">
        <v>99.59</v>
      </c>
      <c r="AW32">
        <v>0.41</v>
      </c>
    </row>
    <row r="33" spans="1:48" x14ac:dyDescent="0.2">
      <c r="F33" t="s">
        <v>117</v>
      </c>
      <c r="H33">
        <v>90</v>
      </c>
      <c r="I33">
        <v>0</v>
      </c>
      <c r="J33">
        <v>0</v>
      </c>
      <c r="L33">
        <f t="shared" si="0"/>
        <v>91.25</v>
      </c>
      <c r="R33">
        <f t="shared" si="1"/>
        <v>0</v>
      </c>
      <c r="S33">
        <f t="shared" si="2"/>
        <v>1</v>
      </c>
      <c r="T33">
        <f t="shared" si="3"/>
        <v>0.72</v>
      </c>
      <c r="U33">
        <f t="shared" si="4"/>
        <v>4.7000000000000002E-3</v>
      </c>
      <c r="V33">
        <f t="shared" si="5"/>
        <v>0</v>
      </c>
      <c r="W33">
        <v>0</v>
      </c>
      <c r="X33">
        <f t="shared" si="6"/>
        <v>0</v>
      </c>
      <c r="Y33">
        <f t="shared" si="7"/>
        <v>1.3</v>
      </c>
      <c r="Z33">
        <f t="shared" si="8"/>
        <v>1</v>
      </c>
      <c r="AA33">
        <f t="shared" si="9"/>
        <v>-1.4E-3</v>
      </c>
      <c r="AD33">
        <f t="shared" si="10"/>
        <v>0</v>
      </c>
      <c r="AE33">
        <f t="shared" si="11"/>
        <v>0</v>
      </c>
      <c r="AF33">
        <f t="shared" si="12"/>
        <v>0</v>
      </c>
      <c r="AG33">
        <f t="shared" si="13"/>
        <v>0</v>
      </c>
      <c r="AH33">
        <f t="shared" si="14"/>
        <v>0.08</v>
      </c>
      <c r="AI33">
        <f t="shared" si="15"/>
        <v>0</v>
      </c>
      <c r="AJ33">
        <f t="shared" si="16"/>
        <v>0.19</v>
      </c>
      <c r="AK33">
        <f t="shared" si="17"/>
        <v>0.6784</v>
      </c>
      <c r="AL33">
        <f t="shared" si="18"/>
        <v>0</v>
      </c>
      <c r="AM33">
        <f t="shared" si="19"/>
        <v>0</v>
      </c>
      <c r="AN33">
        <f t="shared" si="20"/>
        <v>0</v>
      </c>
      <c r="AO33">
        <f t="shared" si="21"/>
        <v>0</v>
      </c>
    </row>
    <row r="34" spans="1:48" x14ac:dyDescent="0.2">
      <c r="F34" t="s">
        <v>119</v>
      </c>
      <c r="H34">
        <v>80</v>
      </c>
      <c r="I34">
        <v>0</v>
      </c>
      <c r="J34">
        <v>0</v>
      </c>
      <c r="L34">
        <f t="shared" si="0"/>
        <v>91.25</v>
      </c>
      <c r="R34">
        <f t="shared" si="1"/>
        <v>0</v>
      </c>
      <c r="S34">
        <f t="shared" si="2"/>
        <v>1</v>
      </c>
      <c r="T34">
        <f t="shared" si="3"/>
        <v>0.72</v>
      </c>
      <c r="U34">
        <f t="shared" si="4"/>
        <v>4.7000000000000002E-3</v>
      </c>
      <c r="V34">
        <f t="shared" si="5"/>
        <v>0</v>
      </c>
      <c r="W34">
        <v>0</v>
      </c>
      <c r="X34">
        <f t="shared" si="6"/>
        <v>0</v>
      </c>
      <c r="Y34">
        <f t="shared" si="7"/>
        <v>1.3</v>
      </c>
      <c r="Z34">
        <f t="shared" si="8"/>
        <v>1</v>
      </c>
      <c r="AA34">
        <f t="shared" si="9"/>
        <v>-1.4E-3</v>
      </c>
      <c r="AD34">
        <f t="shared" si="10"/>
        <v>0</v>
      </c>
      <c r="AE34">
        <f t="shared" si="11"/>
        <v>0</v>
      </c>
      <c r="AF34">
        <f t="shared" si="12"/>
        <v>0</v>
      </c>
      <c r="AG34">
        <f t="shared" si="13"/>
        <v>0</v>
      </c>
      <c r="AH34">
        <f t="shared" si="14"/>
        <v>0.08</v>
      </c>
      <c r="AI34">
        <f t="shared" si="15"/>
        <v>0</v>
      </c>
      <c r="AJ34">
        <f t="shared" si="16"/>
        <v>0.19</v>
      </c>
      <c r="AK34">
        <f t="shared" si="17"/>
        <v>0.6784</v>
      </c>
      <c r="AL34">
        <f t="shared" si="18"/>
        <v>0</v>
      </c>
      <c r="AM34">
        <f t="shared" si="19"/>
        <v>0</v>
      </c>
      <c r="AN34">
        <f t="shared" si="20"/>
        <v>0</v>
      </c>
      <c r="AO34">
        <f t="shared" si="21"/>
        <v>0</v>
      </c>
    </row>
    <row r="36" spans="1:48" x14ac:dyDescent="0.2">
      <c r="AU36" t="s">
        <v>133</v>
      </c>
    </row>
    <row r="37" spans="1:48" x14ac:dyDescent="0.2">
      <c r="AU37" t="s">
        <v>134</v>
      </c>
      <c r="AV37">
        <v>5.8999999999999999E-3</v>
      </c>
    </row>
    <row r="38" spans="1:48" x14ac:dyDescent="0.2">
      <c r="AU38" t="s">
        <v>135</v>
      </c>
      <c r="AV38">
        <v>7.0000000000000001E-3</v>
      </c>
    </row>
    <row r="39" spans="1:48" x14ac:dyDescent="0.2">
      <c r="AU39" t="s">
        <v>136</v>
      </c>
      <c r="AV39">
        <v>1.8E-3</v>
      </c>
    </row>
    <row r="40" spans="1:48" x14ac:dyDescent="0.2">
      <c r="AU40" t="s">
        <v>137</v>
      </c>
      <c r="AV40">
        <v>2.8999999999999998E-3</v>
      </c>
    </row>
    <row r="41" spans="1:48" x14ac:dyDescent="0.2">
      <c r="A41" t="s">
        <v>114</v>
      </c>
      <c r="B41" t="s">
        <v>114</v>
      </c>
      <c r="C41" t="s">
        <v>110</v>
      </c>
      <c r="D41" t="s">
        <v>138</v>
      </c>
      <c r="E41" t="s">
        <v>112</v>
      </c>
      <c r="F41" t="s">
        <v>113</v>
      </c>
      <c r="H41">
        <v>100</v>
      </c>
      <c r="I41">
        <v>95</v>
      </c>
      <c r="J41">
        <v>90</v>
      </c>
      <c r="L41">
        <f t="shared" ref="L41:L64" si="22">$AV$3</f>
        <v>91.25</v>
      </c>
      <c r="M41" t="e" cm="1">
        <f t="array" aca="1" ref="M41" ca="1">_xludf.DROP(_xludf.XLOOKUP($C41,#REF!,#REF!),1)</f>
        <v>#NAME?</v>
      </c>
      <c r="O41" t="e" cm="1">
        <f t="array" aca="1" ref="O41" ca="1">_xludf.DROP(_xludf.XLOOKUP($C41,#REF!,#REF!),1)</f>
        <v>#NAME?</v>
      </c>
      <c r="Q41" t="e" cm="1">
        <f t="array" aca="1" ref="Q41" ca="1">_xludf.DROP(_xludf.XLOOKUP($C41,#REF!,#REF!),1)</f>
        <v>#NAME?</v>
      </c>
      <c r="R41">
        <f t="shared" ref="R41:R64" si="23">1-S41</f>
        <v>4.5000000000000595E-3</v>
      </c>
      <c r="S41">
        <f>IF($D41="yes", 1, VLOOKUP($B41, $AU$26:$AW$32, 2, FALSE)/100)</f>
        <v>0.99549999999999994</v>
      </c>
      <c r="T41">
        <f>VLOOKUP($B41,$AW$10:$AX$16, 2, FALSE)</f>
        <v>0.75</v>
      </c>
      <c r="U41">
        <f t="shared" ref="U41:U64" si="24">$AV$10</f>
        <v>4.7000000000000002E-3</v>
      </c>
      <c r="V41">
        <f t="shared" ref="V41:V64" si="25">(I41/100)*(MIN(J41,100)/100)</f>
        <v>0.85499999999999998</v>
      </c>
      <c r="W41">
        <v>0</v>
      </c>
      <c r="X41">
        <f t="shared" ref="X41:X64" si="26">1.6 * W41</f>
        <v>0</v>
      </c>
      <c r="Y41">
        <f t="shared" ref="Y41:Y64" si="27">$AY$1</f>
        <v>1.3</v>
      </c>
      <c r="Z41">
        <f t="shared" ref="Z41:Z64" si="28">V41*Y41+(1-V41)</f>
        <v>1.2565</v>
      </c>
      <c r="AA41" t="e">
        <f t="shared" ref="AA41:AA64" ca="1" si="29">(0.795*O41)-0.0014</f>
        <v>#NAME?</v>
      </c>
      <c r="AC41" t="e" cm="1">
        <f t="array" aca="1" ref="AC41" ca="1">_xludf.DROP(_xludf.XLOOKUP($C41,#REF!,#REF!),1)</f>
        <v>#NAME?</v>
      </c>
      <c r="AD41" t="e">
        <f t="shared" ref="AD41:AD64" ca="1" si="30">1 - EXP(-2*(AC41^2))</f>
        <v>#NAME?</v>
      </c>
      <c r="AE41" t="e">
        <f t="shared" ref="AE41:AE64" ca="1" si="31">(104.7*AA41+0.307*Q41-15)*(Q41^0.75)*10^-3</f>
        <v>#NAME?</v>
      </c>
      <c r="AF41" t="e">
        <f t="shared" ref="AF41:AF64" ca="1" si="32">AE41*AD41*Z41</f>
        <v>#NAME?</v>
      </c>
      <c r="AG41" t="e">
        <f t="shared" ref="AG41:AG64" ca="1" si="33">(AF41 * M41) + (0.045 * X41)</f>
        <v>#NAME?</v>
      </c>
      <c r="AH41">
        <f t="shared" ref="AH41:AH64" si="34">$AV$2</f>
        <v>0.08</v>
      </c>
      <c r="AI41" t="e">
        <f t="shared" ref="AI41:AI64" ca="1" si="35">(AF41 * ((1 - O41) + (0.04 * AF41))) * ( 1 - AH41 )</f>
        <v>#NAME?</v>
      </c>
      <c r="AJ41">
        <f t="shared" ref="AJ41:AJ64" si="36">$AV$1</f>
        <v>0.19</v>
      </c>
      <c r="AK41">
        <f t="shared" ref="AK41:AK64" si="37">$AW$20</f>
        <v>0.6784</v>
      </c>
      <c r="AL41" t="e">
        <f t="shared" ref="AL41:AL64" ca="1" si="38">AI41 * AJ41 * R41 * T41 * AK41</f>
        <v>#NAME?</v>
      </c>
      <c r="AM41" t="e">
        <f t="shared" ref="AM41:AM64" ca="1" si="39">AI41*AJ41*S41*U41*AK41</f>
        <v>#NAME?</v>
      </c>
      <c r="AN41" t="e">
        <f t="shared" ref="AN41:AN64" ca="1" si="40">AL41+AM41</f>
        <v>#NAME?</v>
      </c>
      <c r="AO41" t="e">
        <f t="shared" ref="AO41:AO64" ca="1" si="41">H41*AN41*L41</f>
        <v>#NAME?</v>
      </c>
      <c r="AP41" t="e">
        <f ca="1">SUM(AO41:AO64)*10^-3</f>
        <v>#NAME?</v>
      </c>
      <c r="AU41" t="s">
        <v>139</v>
      </c>
      <c r="AV41">
        <v>8.0000000000000002E-3</v>
      </c>
    </row>
    <row r="42" spans="1:48" x14ac:dyDescent="0.2">
      <c r="F42" t="s">
        <v>115</v>
      </c>
      <c r="H42">
        <v>70</v>
      </c>
      <c r="I42">
        <v>0</v>
      </c>
      <c r="J42">
        <v>0</v>
      </c>
      <c r="L42">
        <f t="shared" si="22"/>
        <v>91.25</v>
      </c>
      <c r="R42">
        <f t="shared" si="23"/>
        <v>4.5000000000000595E-3</v>
      </c>
      <c r="S42">
        <f>S41</f>
        <v>0.99549999999999994</v>
      </c>
      <c r="T42">
        <f>T41</f>
        <v>0.75</v>
      </c>
      <c r="U42">
        <f t="shared" si="24"/>
        <v>4.7000000000000002E-3</v>
      </c>
      <c r="V42">
        <f t="shared" si="25"/>
        <v>0</v>
      </c>
      <c r="W42">
        <v>0</v>
      </c>
      <c r="X42">
        <f t="shared" si="26"/>
        <v>0</v>
      </c>
      <c r="Y42">
        <f t="shared" si="27"/>
        <v>1.3</v>
      </c>
      <c r="Z42">
        <f t="shared" si="28"/>
        <v>1</v>
      </c>
      <c r="AA42">
        <f t="shared" si="29"/>
        <v>-1.4E-3</v>
      </c>
      <c r="AD42">
        <f t="shared" si="30"/>
        <v>0</v>
      </c>
      <c r="AE42">
        <f t="shared" si="31"/>
        <v>0</v>
      </c>
      <c r="AF42">
        <f t="shared" si="32"/>
        <v>0</v>
      </c>
      <c r="AG42">
        <f t="shared" si="33"/>
        <v>0</v>
      </c>
      <c r="AH42">
        <f t="shared" si="34"/>
        <v>0.08</v>
      </c>
      <c r="AI42">
        <f t="shared" si="35"/>
        <v>0</v>
      </c>
      <c r="AJ42">
        <f t="shared" si="36"/>
        <v>0.19</v>
      </c>
      <c r="AK42">
        <f t="shared" si="37"/>
        <v>0.6784</v>
      </c>
      <c r="AL42">
        <f t="shared" si="38"/>
        <v>0</v>
      </c>
      <c r="AM42">
        <f t="shared" si="39"/>
        <v>0</v>
      </c>
      <c r="AN42">
        <f t="shared" si="40"/>
        <v>0</v>
      </c>
      <c r="AO42">
        <f t="shared" si="41"/>
        <v>0</v>
      </c>
      <c r="AU42" t="s">
        <v>140</v>
      </c>
      <c r="AV42">
        <v>1.9900000000000001E-2</v>
      </c>
    </row>
    <row r="43" spans="1:48" x14ac:dyDescent="0.2">
      <c r="F43" t="s">
        <v>117</v>
      </c>
      <c r="H43">
        <v>65</v>
      </c>
      <c r="I43">
        <v>0</v>
      </c>
      <c r="J43">
        <v>0</v>
      </c>
      <c r="L43">
        <f t="shared" si="22"/>
        <v>91.25</v>
      </c>
      <c r="R43">
        <f t="shared" si="23"/>
        <v>4.5000000000000595E-3</v>
      </c>
      <c r="S43">
        <f>S41</f>
        <v>0.99549999999999994</v>
      </c>
      <c r="T43">
        <f>T41</f>
        <v>0.75</v>
      </c>
      <c r="U43">
        <f t="shared" si="24"/>
        <v>4.7000000000000002E-3</v>
      </c>
      <c r="V43">
        <f t="shared" si="25"/>
        <v>0</v>
      </c>
      <c r="W43">
        <v>0</v>
      </c>
      <c r="X43">
        <f t="shared" si="26"/>
        <v>0</v>
      </c>
      <c r="Y43">
        <f t="shared" si="27"/>
        <v>1.3</v>
      </c>
      <c r="Z43">
        <f t="shared" si="28"/>
        <v>1</v>
      </c>
      <c r="AA43">
        <f t="shared" si="29"/>
        <v>-1.4E-3</v>
      </c>
      <c r="AD43">
        <f t="shared" si="30"/>
        <v>0</v>
      </c>
      <c r="AE43">
        <f t="shared" si="31"/>
        <v>0</v>
      </c>
      <c r="AF43">
        <f t="shared" si="32"/>
        <v>0</v>
      </c>
      <c r="AG43">
        <f t="shared" si="33"/>
        <v>0</v>
      </c>
      <c r="AH43">
        <f t="shared" si="34"/>
        <v>0.08</v>
      </c>
      <c r="AI43">
        <f t="shared" si="35"/>
        <v>0</v>
      </c>
      <c r="AJ43">
        <f t="shared" si="36"/>
        <v>0.19</v>
      </c>
      <c r="AK43">
        <f t="shared" si="37"/>
        <v>0.6784</v>
      </c>
      <c r="AL43">
        <f t="shared" si="38"/>
        <v>0</v>
      </c>
      <c r="AM43">
        <f t="shared" si="39"/>
        <v>0</v>
      </c>
      <c r="AN43">
        <f t="shared" si="40"/>
        <v>0</v>
      </c>
      <c r="AO43">
        <f t="shared" si="41"/>
        <v>0</v>
      </c>
      <c r="AU43" t="s">
        <v>141</v>
      </c>
      <c r="AV43">
        <v>5.3E-3</v>
      </c>
    </row>
    <row r="44" spans="1:48" x14ac:dyDescent="0.2">
      <c r="F44" t="s">
        <v>119</v>
      </c>
      <c r="H44">
        <v>80</v>
      </c>
      <c r="I44">
        <v>0</v>
      </c>
      <c r="J44">
        <v>0</v>
      </c>
      <c r="L44">
        <f t="shared" si="22"/>
        <v>91.25</v>
      </c>
      <c r="R44">
        <f t="shared" si="23"/>
        <v>4.5000000000000595E-3</v>
      </c>
      <c r="S44">
        <f>S41</f>
        <v>0.99549999999999994</v>
      </c>
      <c r="T44">
        <f>T41</f>
        <v>0.75</v>
      </c>
      <c r="U44">
        <f t="shared" si="24"/>
        <v>4.7000000000000002E-3</v>
      </c>
      <c r="V44">
        <f t="shared" si="25"/>
        <v>0</v>
      </c>
      <c r="W44">
        <v>0</v>
      </c>
      <c r="X44">
        <f t="shared" si="26"/>
        <v>0</v>
      </c>
      <c r="Y44">
        <f t="shared" si="27"/>
        <v>1.3</v>
      </c>
      <c r="Z44">
        <f t="shared" si="28"/>
        <v>1</v>
      </c>
      <c r="AA44">
        <f t="shared" si="29"/>
        <v>-1.4E-3</v>
      </c>
      <c r="AD44">
        <f t="shared" si="30"/>
        <v>0</v>
      </c>
      <c r="AE44">
        <f t="shared" si="31"/>
        <v>0</v>
      </c>
      <c r="AF44">
        <f t="shared" si="32"/>
        <v>0</v>
      </c>
      <c r="AG44">
        <f t="shared" si="33"/>
        <v>0</v>
      </c>
      <c r="AH44">
        <f t="shared" si="34"/>
        <v>0.08</v>
      </c>
      <c r="AI44">
        <f t="shared" si="35"/>
        <v>0</v>
      </c>
      <c r="AJ44">
        <f t="shared" si="36"/>
        <v>0.19</v>
      </c>
      <c r="AK44">
        <f t="shared" si="37"/>
        <v>0.6784</v>
      </c>
      <c r="AL44">
        <f t="shared" si="38"/>
        <v>0</v>
      </c>
      <c r="AM44">
        <f t="shared" si="39"/>
        <v>0</v>
      </c>
      <c r="AN44">
        <f t="shared" si="40"/>
        <v>0</v>
      </c>
      <c r="AO44">
        <f t="shared" si="41"/>
        <v>0</v>
      </c>
      <c r="AU44" t="s">
        <v>142</v>
      </c>
      <c r="AV44">
        <v>6.4000000000000003E-3</v>
      </c>
    </row>
    <row r="45" spans="1:48" x14ac:dyDescent="0.2">
      <c r="E45" t="s">
        <v>121</v>
      </c>
      <c r="F45" t="s">
        <v>113</v>
      </c>
      <c r="H45">
        <v>200</v>
      </c>
      <c r="I45">
        <v>0</v>
      </c>
      <c r="J45">
        <v>0</v>
      </c>
      <c r="L45">
        <f t="shared" si="22"/>
        <v>91.25</v>
      </c>
      <c r="R45">
        <f t="shared" si="23"/>
        <v>4.5000000000000595E-3</v>
      </c>
      <c r="S45">
        <f>S41</f>
        <v>0.99549999999999994</v>
      </c>
      <c r="T45">
        <f>T41</f>
        <v>0.75</v>
      </c>
      <c r="U45">
        <f t="shared" si="24"/>
        <v>4.7000000000000002E-3</v>
      </c>
      <c r="V45">
        <f t="shared" si="25"/>
        <v>0</v>
      </c>
      <c r="W45">
        <v>1</v>
      </c>
      <c r="X45">
        <f t="shared" si="26"/>
        <v>1.6</v>
      </c>
      <c r="Y45">
        <f t="shared" si="27"/>
        <v>1.3</v>
      </c>
      <c r="Z45">
        <f t="shared" si="28"/>
        <v>1</v>
      </c>
      <c r="AA45">
        <f t="shared" si="29"/>
        <v>-1.4E-3</v>
      </c>
      <c r="AD45">
        <f t="shared" si="30"/>
        <v>0</v>
      </c>
      <c r="AE45">
        <f t="shared" si="31"/>
        <v>0</v>
      </c>
      <c r="AF45">
        <f t="shared" si="32"/>
        <v>0</v>
      </c>
      <c r="AG45">
        <f t="shared" si="33"/>
        <v>7.1999999999999995E-2</v>
      </c>
      <c r="AH45">
        <f t="shared" si="34"/>
        <v>0.08</v>
      </c>
      <c r="AI45">
        <f t="shared" si="35"/>
        <v>0</v>
      </c>
      <c r="AJ45">
        <f t="shared" si="36"/>
        <v>0.19</v>
      </c>
      <c r="AK45">
        <f t="shared" si="37"/>
        <v>0.6784</v>
      </c>
      <c r="AL45">
        <f t="shared" si="38"/>
        <v>0</v>
      </c>
      <c r="AM45">
        <f t="shared" si="39"/>
        <v>0</v>
      </c>
      <c r="AN45">
        <f t="shared" si="40"/>
        <v>0</v>
      </c>
      <c r="AO45">
        <f t="shared" si="41"/>
        <v>0</v>
      </c>
      <c r="AU45" t="s">
        <v>143</v>
      </c>
      <c r="AV45">
        <v>2.5999999999999999E-3</v>
      </c>
    </row>
    <row r="46" spans="1:48" x14ac:dyDescent="0.2">
      <c r="F46" t="s">
        <v>115</v>
      </c>
      <c r="H46">
        <v>210</v>
      </c>
      <c r="I46">
        <v>0</v>
      </c>
      <c r="J46">
        <v>0</v>
      </c>
      <c r="L46">
        <f t="shared" si="22"/>
        <v>91.25</v>
      </c>
      <c r="R46">
        <f t="shared" si="23"/>
        <v>4.5000000000000595E-3</v>
      </c>
      <c r="S46">
        <f>S41</f>
        <v>0.99549999999999994</v>
      </c>
      <c r="T46">
        <f>T41</f>
        <v>0.75</v>
      </c>
      <c r="U46">
        <f t="shared" si="24"/>
        <v>4.7000000000000002E-3</v>
      </c>
      <c r="V46">
        <f t="shared" si="25"/>
        <v>0</v>
      </c>
      <c r="W46">
        <v>0</v>
      </c>
      <c r="X46">
        <f t="shared" si="26"/>
        <v>0</v>
      </c>
      <c r="Y46">
        <f t="shared" si="27"/>
        <v>1.3</v>
      </c>
      <c r="Z46">
        <f t="shared" si="28"/>
        <v>1</v>
      </c>
      <c r="AA46">
        <f t="shared" si="29"/>
        <v>-1.4E-3</v>
      </c>
      <c r="AD46">
        <f t="shared" si="30"/>
        <v>0</v>
      </c>
      <c r="AE46">
        <f t="shared" si="31"/>
        <v>0</v>
      </c>
      <c r="AF46">
        <f t="shared" si="32"/>
        <v>0</v>
      </c>
      <c r="AG46">
        <f t="shared" si="33"/>
        <v>0</v>
      </c>
      <c r="AH46">
        <f t="shared" si="34"/>
        <v>0.08</v>
      </c>
      <c r="AI46">
        <f t="shared" si="35"/>
        <v>0</v>
      </c>
      <c r="AJ46">
        <f t="shared" si="36"/>
        <v>0.19</v>
      </c>
      <c r="AK46">
        <f t="shared" si="37"/>
        <v>0.6784</v>
      </c>
      <c r="AL46">
        <f t="shared" si="38"/>
        <v>0</v>
      </c>
      <c r="AM46">
        <f t="shared" si="39"/>
        <v>0</v>
      </c>
      <c r="AN46">
        <f t="shared" si="40"/>
        <v>0</v>
      </c>
      <c r="AO46">
        <f t="shared" si="41"/>
        <v>0</v>
      </c>
      <c r="AU46" t="s">
        <v>144</v>
      </c>
      <c r="AV46">
        <v>3.0000000000000001E-3</v>
      </c>
    </row>
    <row r="47" spans="1:48" x14ac:dyDescent="0.2">
      <c r="F47" t="s">
        <v>117</v>
      </c>
      <c r="H47">
        <v>170</v>
      </c>
      <c r="I47">
        <v>0</v>
      </c>
      <c r="J47">
        <v>0</v>
      </c>
      <c r="L47">
        <f t="shared" si="22"/>
        <v>91.25</v>
      </c>
      <c r="R47">
        <f t="shared" si="23"/>
        <v>4.5000000000000595E-3</v>
      </c>
      <c r="S47">
        <f>S41</f>
        <v>0.99549999999999994</v>
      </c>
      <c r="T47">
        <f>T41</f>
        <v>0.75</v>
      </c>
      <c r="U47">
        <f t="shared" si="24"/>
        <v>4.7000000000000002E-3</v>
      </c>
      <c r="V47">
        <f t="shared" si="25"/>
        <v>0</v>
      </c>
      <c r="W47">
        <v>0</v>
      </c>
      <c r="X47">
        <f t="shared" si="26"/>
        <v>0</v>
      </c>
      <c r="Y47">
        <f t="shared" si="27"/>
        <v>1.3</v>
      </c>
      <c r="Z47">
        <f t="shared" si="28"/>
        <v>1</v>
      </c>
      <c r="AA47">
        <f t="shared" si="29"/>
        <v>-1.4E-3</v>
      </c>
      <c r="AD47">
        <f t="shared" si="30"/>
        <v>0</v>
      </c>
      <c r="AE47">
        <f t="shared" si="31"/>
        <v>0</v>
      </c>
      <c r="AF47">
        <f t="shared" si="32"/>
        <v>0</v>
      </c>
      <c r="AG47">
        <f t="shared" si="33"/>
        <v>0</v>
      </c>
      <c r="AH47">
        <f t="shared" si="34"/>
        <v>0.08</v>
      </c>
      <c r="AI47">
        <f t="shared" si="35"/>
        <v>0</v>
      </c>
      <c r="AJ47">
        <f t="shared" si="36"/>
        <v>0.19</v>
      </c>
      <c r="AK47">
        <f t="shared" si="37"/>
        <v>0.6784</v>
      </c>
      <c r="AL47">
        <f t="shared" si="38"/>
        <v>0</v>
      </c>
      <c r="AM47">
        <f t="shared" si="39"/>
        <v>0</v>
      </c>
      <c r="AN47">
        <f t="shared" si="40"/>
        <v>0</v>
      </c>
      <c r="AO47">
        <f t="shared" si="41"/>
        <v>0</v>
      </c>
      <c r="AU47" t="s">
        <v>145</v>
      </c>
      <c r="AV47">
        <v>5.0000000000000001E-3</v>
      </c>
    </row>
    <row r="48" spans="1:48" x14ac:dyDescent="0.2">
      <c r="F48" t="s">
        <v>119</v>
      </c>
      <c r="H48">
        <v>200</v>
      </c>
      <c r="I48">
        <v>0</v>
      </c>
      <c r="J48">
        <v>0</v>
      </c>
      <c r="L48">
        <f t="shared" si="22"/>
        <v>91.25</v>
      </c>
      <c r="R48">
        <f t="shared" si="23"/>
        <v>4.5000000000000595E-3</v>
      </c>
      <c r="S48">
        <f>S41</f>
        <v>0.99549999999999994</v>
      </c>
      <c r="T48">
        <f>T41</f>
        <v>0.75</v>
      </c>
      <c r="U48">
        <f t="shared" si="24"/>
        <v>4.7000000000000002E-3</v>
      </c>
      <c r="V48">
        <f t="shared" si="25"/>
        <v>0</v>
      </c>
      <c r="W48">
        <v>0</v>
      </c>
      <c r="X48">
        <f t="shared" si="26"/>
        <v>0</v>
      </c>
      <c r="Y48">
        <f t="shared" si="27"/>
        <v>1.3</v>
      </c>
      <c r="Z48">
        <f t="shared" si="28"/>
        <v>1</v>
      </c>
      <c r="AA48">
        <f t="shared" si="29"/>
        <v>-1.4E-3</v>
      </c>
      <c r="AD48">
        <f t="shared" si="30"/>
        <v>0</v>
      </c>
      <c r="AE48">
        <f t="shared" si="31"/>
        <v>0</v>
      </c>
      <c r="AF48">
        <f t="shared" si="32"/>
        <v>0</v>
      </c>
      <c r="AG48">
        <f t="shared" si="33"/>
        <v>0</v>
      </c>
      <c r="AH48">
        <f t="shared" si="34"/>
        <v>0.08</v>
      </c>
      <c r="AI48">
        <f t="shared" si="35"/>
        <v>0</v>
      </c>
      <c r="AJ48">
        <f t="shared" si="36"/>
        <v>0.19</v>
      </c>
      <c r="AK48">
        <f t="shared" si="37"/>
        <v>0.6784</v>
      </c>
      <c r="AL48">
        <f t="shared" si="38"/>
        <v>0</v>
      </c>
      <c r="AM48">
        <f t="shared" si="39"/>
        <v>0</v>
      </c>
      <c r="AN48">
        <f t="shared" si="40"/>
        <v>0</v>
      </c>
      <c r="AO48">
        <f t="shared" si="41"/>
        <v>0</v>
      </c>
      <c r="AU48" t="s">
        <v>146</v>
      </c>
      <c r="AV48">
        <v>2.5999999999999999E-3</v>
      </c>
    </row>
    <row r="49" spans="5:48" x14ac:dyDescent="0.2">
      <c r="E49" t="s">
        <v>126</v>
      </c>
      <c r="F49" t="s">
        <v>113</v>
      </c>
      <c r="H49">
        <v>100</v>
      </c>
      <c r="I49">
        <v>95</v>
      </c>
      <c r="J49">
        <v>92</v>
      </c>
      <c r="L49">
        <f t="shared" si="22"/>
        <v>91.25</v>
      </c>
      <c r="R49">
        <f t="shared" si="23"/>
        <v>4.5000000000000595E-3</v>
      </c>
      <c r="S49">
        <f>S41</f>
        <v>0.99549999999999994</v>
      </c>
      <c r="T49">
        <f>T41</f>
        <v>0.75</v>
      </c>
      <c r="U49">
        <f t="shared" si="24"/>
        <v>4.7000000000000002E-3</v>
      </c>
      <c r="V49">
        <f t="shared" si="25"/>
        <v>0.874</v>
      </c>
      <c r="W49">
        <v>0</v>
      </c>
      <c r="X49">
        <f t="shared" si="26"/>
        <v>0</v>
      </c>
      <c r="Y49">
        <f t="shared" si="27"/>
        <v>1.3</v>
      </c>
      <c r="Z49">
        <f t="shared" si="28"/>
        <v>1.2622</v>
      </c>
      <c r="AA49">
        <f t="shared" si="29"/>
        <v>-1.4E-3</v>
      </c>
      <c r="AD49">
        <f t="shared" si="30"/>
        <v>0</v>
      </c>
      <c r="AE49">
        <f t="shared" si="31"/>
        <v>0</v>
      </c>
      <c r="AF49">
        <f t="shared" si="32"/>
        <v>0</v>
      </c>
      <c r="AG49">
        <f t="shared" si="33"/>
        <v>0</v>
      </c>
      <c r="AH49">
        <f t="shared" si="34"/>
        <v>0.08</v>
      </c>
      <c r="AI49">
        <f t="shared" si="35"/>
        <v>0</v>
      </c>
      <c r="AJ49">
        <f t="shared" si="36"/>
        <v>0.19</v>
      </c>
      <c r="AK49">
        <f t="shared" si="37"/>
        <v>0.6784</v>
      </c>
      <c r="AL49">
        <f t="shared" si="38"/>
        <v>0</v>
      </c>
      <c r="AM49">
        <f t="shared" si="39"/>
        <v>0</v>
      </c>
      <c r="AN49">
        <f t="shared" si="40"/>
        <v>0</v>
      </c>
      <c r="AO49">
        <f t="shared" si="41"/>
        <v>0</v>
      </c>
      <c r="AU49" t="s">
        <v>147</v>
      </c>
      <c r="AV49">
        <v>1.8E-3</v>
      </c>
    </row>
    <row r="50" spans="5:48" x14ac:dyDescent="0.2">
      <c r="F50" t="s">
        <v>115</v>
      </c>
      <c r="H50">
        <v>140</v>
      </c>
      <c r="I50">
        <v>0</v>
      </c>
      <c r="J50">
        <v>0</v>
      </c>
      <c r="L50">
        <f t="shared" si="22"/>
        <v>91.25</v>
      </c>
      <c r="R50">
        <f t="shared" si="23"/>
        <v>4.5000000000000595E-3</v>
      </c>
      <c r="S50">
        <f>S41</f>
        <v>0.99549999999999994</v>
      </c>
      <c r="T50">
        <f>T41</f>
        <v>0.75</v>
      </c>
      <c r="U50">
        <f t="shared" si="24"/>
        <v>4.7000000000000002E-3</v>
      </c>
      <c r="V50">
        <f t="shared" si="25"/>
        <v>0</v>
      </c>
      <c r="W50">
        <v>0</v>
      </c>
      <c r="X50">
        <f t="shared" si="26"/>
        <v>0</v>
      </c>
      <c r="Y50">
        <f t="shared" si="27"/>
        <v>1.3</v>
      </c>
      <c r="Z50">
        <f t="shared" si="28"/>
        <v>1</v>
      </c>
      <c r="AA50">
        <f t="shared" si="29"/>
        <v>-1.4E-3</v>
      </c>
      <c r="AD50">
        <f t="shared" si="30"/>
        <v>0</v>
      </c>
      <c r="AE50">
        <f t="shared" si="31"/>
        <v>0</v>
      </c>
      <c r="AF50">
        <f t="shared" si="32"/>
        <v>0</v>
      </c>
      <c r="AG50">
        <f t="shared" si="33"/>
        <v>0</v>
      </c>
      <c r="AH50">
        <f t="shared" si="34"/>
        <v>0.08</v>
      </c>
      <c r="AI50">
        <f t="shared" si="35"/>
        <v>0</v>
      </c>
      <c r="AJ50">
        <f t="shared" si="36"/>
        <v>0.19</v>
      </c>
      <c r="AK50">
        <f t="shared" si="37"/>
        <v>0.6784</v>
      </c>
      <c r="AL50">
        <f t="shared" si="38"/>
        <v>0</v>
      </c>
      <c r="AM50">
        <f t="shared" si="39"/>
        <v>0</v>
      </c>
      <c r="AN50">
        <f t="shared" si="40"/>
        <v>0</v>
      </c>
      <c r="AO50">
        <f t="shared" si="41"/>
        <v>0</v>
      </c>
    </row>
    <row r="51" spans="5:48" x14ac:dyDescent="0.2">
      <c r="F51" t="s">
        <v>117</v>
      </c>
      <c r="H51">
        <v>135</v>
      </c>
      <c r="I51">
        <v>0</v>
      </c>
      <c r="J51">
        <v>0</v>
      </c>
      <c r="L51">
        <f t="shared" si="22"/>
        <v>91.25</v>
      </c>
      <c r="R51">
        <f t="shared" si="23"/>
        <v>4.5000000000000595E-3</v>
      </c>
      <c r="S51">
        <f>S41</f>
        <v>0.99549999999999994</v>
      </c>
      <c r="T51">
        <f>T41</f>
        <v>0.75</v>
      </c>
      <c r="U51">
        <f t="shared" si="24"/>
        <v>4.7000000000000002E-3</v>
      </c>
      <c r="V51">
        <f t="shared" si="25"/>
        <v>0</v>
      </c>
      <c r="W51">
        <v>0</v>
      </c>
      <c r="X51">
        <f t="shared" si="26"/>
        <v>0</v>
      </c>
      <c r="Y51">
        <f t="shared" si="27"/>
        <v>1.3</v>
      </c>
      <c r="Z51">
        <f t="shared" si="28"/>
        <v>1</v>
      </c>
      <c r="AA51">
        <f t="shared" si="29"/>
        <v>-1.4E-3</v>
      </c>
      <c r="AD51">
        <f t="shared" si="30"/>
        <v>0</v>
      </c>
      <c r="AE51">
        <f t="shared" si="31"/>
        <v>0</v>
      </c>
      <c r="AF51">
        <f t="shared" si="32"/>
        <v>0</v>
      </c>
      <c r="AG51">
        <f t="shared" si="33"/>
        <v>0</v>
      </c>
      <c r="AH51">
        <f t="shared" si="34"/>
        <v>0.08</v>
      </c>
      <c r="AI51">
        <f t="shared" si="35"/>
        <v>0</v>
      </c>
      <c r="AJ51">
        <f t="shared" si="36"/>
        <v>0.19</v>
      </c>
      <c r="AK51">
        <f t="shared" si="37"/>
        <v>0.6784</v>
      </c>
      <c r="AL51">
        <f t="shared" si="38"/>
        <v>0</v>
      </c>
      <c r="AM51">
        <f t="shared" si="39"/>
        <v>0</v>
      </c>
      <c r="AN51">
        <f t="shared" si="40"/>
        <v>0</v>
      </c>
      <c r="AO51">
        <f t="shared" si="41"/>
        <v>0</v>
      </c>
    </row>
    <row r="52" spans="5:48" x14ac:dyDescent="0.2">
      <c r="F52" t="s">
        <v>119</v>
      </c>
      <c r="H52">
        <v>130</v>
      </c>
      <c r="I52">
        <v>0</v>
      </c>
      <c r="J52">
        <v>0</v>
      </c>
      <c r="L52">
        <f t="shared" si="22"/>
        <v>91.25</v>
      </c>
      <c r="R52">
        <f t="shared" si="23"/>
        <v>4.5000000000000595E-3</v>
      </c>
      <c r="S52">
        <f>S41</f>
        <v>0.99549999999999994</v>
      </c>
      <c r="T52">
        <f>T41</f>
        <v>0.75</v>
      </c>
      <c r="U52">
        <f t="shared" si="24"/>
        <v>4.7000000000000002E-3</v>
      </c>
      <c r="V52">
        <f t="shared" si="25"/>
        <v>0</v>
      </c>
      <c r="W52">
        <v>0</v>
      </c>
      <c r="X52">
        <f t="shared" si="26"/>
        <v>0</v>
      </c>
      <c r="Y52">
        <f t="shared" si="27"/>
        <v>1.3</v>
      </c>
      <c r="Z52">
        <f t="shared" si="28"/>
        <v>1</v>
      </c>
      <c r="AA52">
        <f t="shared" si="29"/>
        <v>-1.4E-3</v>
      </c>
      <c r="AD52">
        <f t="shared" si="30"/>
        <v>0</v>
      </c>
      <c r="AE52">
        <f t="shared" si="31"/>
        <v>0</v>
      </c>
      <c r="AF52">
        <f t="shared" si="32"/>
        <v>0</v>
      </c>
      <c r="AG52">
        <f t="shared" si="33"/>
        <v>0</v>
      </c>
      <c r="AH52">
        <f t="shared" si="34"/>
        <v>0.08</v>
      </c>
      <c r="AI52">
        <f t="shared" si="35"/>
        <v>0</v>
      </c>
      <c r="AJ52">
        <f t="shared" si="36"/>
        <v>0.19</v>
      </c>
      <c r="AK52">
        <f t="shared" si="37"/>
        <v>0.6784</v>
      </c>
      <c r="AL52">
        <f t="shared" si="38"/>
        <v>0</v>
      </c>
      <c r="AM52">
        <f t="shared" si="39"/>
        <v>0</v>
      </c>
      <c r="AN52">
        <f t="shared" si="40"/>
        <v>0</v>
      </c>
      <c r="AO52">
        <f t="shared" si="41"/>
        <v>0</v>
      </c>
    </row>
    <row r="53" spans="5:48" x14ac:dyDescent="0.2">
      <c r="E53" t="s">
        <v>129</v>
      </c>
      <c r="F53" t="s">
        <v>113</v>
      </c>
      <c r="H53">
        <v>200</v>
      </c>
      <c r="I53">
        <v>0</v>
      </c>
      <c r="J53">
        <v>0</v>
      </c>
      <c r="L53">
        <f t="shared" si="22"/>
        <v>91.25</v>
      </c>
      <c r="R53">
        <f t="shared" si="23"/>
        <v>4.5000000000000595E-3</v>
      </c>
      <c r="S53">
        <f>S41</f>
        <v>0.99549999999999994</v>
      </c>
      <c r="T53">
        <f>T41</f>
        <v>0.75</v>
      </c>
      <c r="U53">
        <f t="shared" si="24"/>
        <v>4.7000000000000002E-3</v>
      </c>
      <c r="V53">
        <f t="shared" si="25"/>
        <v>0</v>
      </c>
      <c r="W53">
        <v>0</v>
      </c>
      <c r="X53">
        <f t="shared" si="26"/>
        <v>0</v>
      </c>
      <c r="Y53">
        <f t="shared" si="27"/>
        <v>1.3</v>
      </c>
      <c r="Z53">
        <f t="shared" si="28"/>
        <v>1</v>
      </c>
      <c r="AA53">
        <f t="shared" si="29"/>
        <v>-1.4E-3</v>
      </c>
      <c r="AD53">
        <f t="shared" si="30"/>
        <v>0</v>
      </c>
      <c r="AE53">
        <f t="shared" si="31"/>
        <v>0</v>
      </c>
      <c r="AF53">
        <f t="shared" si="32"/>
        <v>0</v>
      </c>
      <c r="AG53">
        <f t="shared" si="33"/>
        <v>0</v>
      </c>
      <c r="AH53">
        <f t="shared" si="34"/>
        <v>0.08</v>
      </c>
      <c r="AI53">
        <f t="shared" si="35"/>
        <v>0</v>
      </c>
      <c r="AJ53">
        <f t="shared" si="36"/>
        <v>0.19</v>
      </c>
      <c r="AK53">
        <f t="shared" si="37"/>
        <v>0.6784</v>
      </c>
      <c r="AL53">
        <f t="shared" si="38"/>
        <v>0</v>
      </c>
      <c r="AM53">
        <f t="shared" si="39"/>
        <v>0</v>
      </c>
      <c r="AN53">
        <f t="shared" si="40"/>
        <v>0</v>
      </c>
      <c r="AO53">
        <f t="shared" si="41"/>
        <v>0</v>
      </c>
    </row>
    <row r="54" spans="5:48" x14ac:dyDescent="0.2">
      <c r="F54" t="s">
        <v>115</v>
      </c>
      <c r="H54">
        <v>210</v>
      </c>
      <c r="I54">
        <v>0</v>
      </c>
      <c r="J54">
        <v>0</v>
      </c>
      <c r="L54">
        <f t="shared" si="22"/>
        <v>91.25</v>
      </c>
      <c r="R54">
        <f t="shared" si="23"/>
        <v>4.5000000000000595E-3</v>
      </c>
      <c r="S54">
        <f>S41</f>
        <v>0.99549999999999994</v>
      </c>
      <c r="T54">
        <f>T41</f>
        <v>0.75</v>
      </c>
      <c r="U54">
        <f t="shared" si="24"/>
        <v>4.7000000000000002E-3</v>
      </c>
      <c r="V54">
        <f t="shared" si="25"/>
        <v>0</v>
      </c>
      <c r="W54">
        <v>0</v>
      </c>
      <c r="X54">
        <f t="shared" si="26"/>
        <v>0</v>
      </c>
      <c r="Y54">
        <f t="shared" si="27"/>
        <v>1.3</v>
      </c>
      <c r="Z54">
        <f t="shared" si="28"/>
        <v>1</v>
      </c>
      <c r="AA54">
        <f t="shared" si="29"/>
        <v>-1.4E-3</v>
      </c>
      <c r="AD54">
        <f t="shared" si="30"/>
        <v>0</v>
      </c>
      <c r="AE54">
        <f t="shared" si="31"/>
        <v>0</v>
      </c>
      <c r="AF54">
        <f t="shared" si="32"/>
        <v>0</v>
      </c>
      <c r="AG54">
        <f t="shared" si="33"/>
        <v>0</v>
      </c>
      <c r="AH54">
        <f t="shared" si="34"/>
        <v>0.08</v>
      </c>
      <c r="AI54">
        <f t="shared" si="35"/>
        <v>0</v>
      </c>
      <c r="AJ54">
        <f t="shared" si="36"/>
        <v>0.19</v>
      </c>
      <c r="AK54">
        <f t="shared" si="37"/>
        <v>0.6784</v>
      </c>
      <c r="AL54">
        <f t="shared" si="38"/>
        <v>0</v>
      </c>
      <c r="AM54">
        <f t="shared" si="39"/>
        <v>0</v>
      </c>
      <c r="AN54">
        <f t="shared" si="40"/>
        <v>0</v>
      </c>
      <c r="AO54">
        <f t="shared" si="41"/>
        <v>0</v>
      </c>
    </row>
    <row r="55" spans="5:48" x14ac:dyDescent="0.2">
      <c r="F55" t="s">
        <v>117</v>
      </c>
      <c r="H55">
        <v>190</v>
      </c>
      <c r="I55">
        <v>0</v>
      </c>
      <c r="J55">
        <v>0</v>
      </c>
      <c r="L55">
        <f t="shared" si="22"/>
        <v>91.25</v>
      </c>
      <c r="R55">
        <f t="shared" si="23"/>
        <v>4.5000000000000595E-3</v>
      </c>
      <c r="S55">
        <f>S41</f>
        <v>0.99549999999999994</v>
      </c>
      <c r="T55">
        <f>T41</f>
        <v>0.75</v>
      </c>
      <c r="U55">
        <f t="shared" si="24"/>
        <v>4.7000000000000002E-3</v>
      </c>
      <c r="V55">
        <f t="shared" si="25"/>
        <v>0</v>
      </c>
      <c r="W55">
        <v>0</v>
      </c>
      <c r="X55">
        <f t="shared" si="26"/>
        <v>0</v>
      </c>
      <c r="Y55">
        <f t="shared" si="27"/>
        <v>1.3</v>
      </c>
      <c r="Z55">
        <f t="shared" si="28"/>
        <v>1</v>
      </c>
      <c r="AA55">
        <f t="shared" si="29"/>
        <v>-1.4E-3</v>
      </c>
      <c r="AD55">
        <f t="shared" si="30"/>
        <v>0</v>
      </c>
      <c r="AE55">
        <f t="shared" si="31"/>
        <v>0</v>
      </c>
      <c r="AF55">
        <f t="shared" si="32"/>
        <v>0</v>
      </c>
      <c r="AG55">
        <f t="shared" si="33"/>
        <v>0</v>
      </c>
      <c r="AH55">
        <f t="shared" si="34"/>
        <v>0.08</v>
      </c>
      <c r="AI55">
        <f t="shared" si="35"/>
        <v>0</v>
      </c>
      <c r="AJ55">
        <f t="shared" si="36"/>
        <v>0.19</v>
      </c>
      <c r="AK55">
        <f t="shared" si="37"/>
        <v>0.6784</v>
      </c>
      <c r="AL55">
        <f t="shared" si="38"/>
        <v>0</v>
      </c>
      <c r="AM55">
        <f t="shared" si="39"/>
        <v>0</v>
      </c>
      <c r="AN55">
        <f t="shared" si="40"/>
        <v>0</v>
      </c>
      <c r="AO55">
        <f t="shared" si="41"/>
        <v>0</v>
      </c>
    </row>
    <row r="56" spans="5:48" x14ac:dyDescent="0.2">
      <c r="F56" t="s">
        <v>119</v>
      </c>
      <c r="H56">
        <v>180</v>
      </c>
      <c r="I56">
        <v>0</v>
      </c>
      <c r="J56">
        <v>0</v>
      </c>
      <c r="L56">
        <f t="shared" si="22"/>
        <v>91.25</v>
      </c>
      <c r="R56">
        <f t="shared" si="23"/>
        <v>4.5000000000000595E-3</v>
      </c>
      <c r="S56">
        <f>S41</f>
        <v>0.99549999999999994</v>
      </c>
      <c r="T56">
        <f>T41</f>
        <v>0.75</v>
      </c>
      <c r="U56">
        <f t="shared" si="24"/>
        <v>4.7000000000000002E-3</v>
      </c>
      <c r="V56">
        <f t="shared" si="25"/>
        <v>0</v>
      </c>
      <c r="W56">
        <v>0</v>
      </c>
      <c r="X56">
        <f t="shared" si="26"/>
        <v>0</v>
      </c>
      <c r="Y56">
        <f t="shared" si="27"/>
        <v>1.3</v>
      </c>
      <c r="Z56">
        <f t="shared" si="28"/>
        <v>1</v>
      </c>
      <c r="AA56">
        <f t="shared" si="29"/>
        <v>-1.4E-3</v>
      </c>
      <c r="AD56">
        <f t="shared" si="30"/>
        <v>0</v>
      </c>
      <c r="AE56">
        <f t="shared" si="31"/>
        <v>0</v>
      </c>
      <c r="AF56">
        <f t="shared" si="32"/>
        <v>0</v>
      </c>
      <c r="AG56">
        <f t="shared" si="33"/>
        <v>0</v>
      </c>
      <c r="AH56">
        <f t="shared" si="34"/>
        <v>0.08</v>
      </c>
      <c r="AI56">
        <f t="shared" si="35"/>
        <v>0</v>
      </c>
      <c r="AJ56">
        <f t="shared" si="36"/>
        <v>0.19</v>
      </c>
      <c r="AK56">
        <f t="shared" si="37"/>
        <v>0.6784</v>
      </c>
      <c r="AL56">
        <f t="shared" si="38"/>
        <v>0</v>
      </c>
      <c r="AM56">
        <f t="shared" si="39"/>
        <v>0</v>
      </c>
      <c r="AN56">
        <f t="shared" si="40"/>
        <v>0</v>
      </c>
      <c r="AO56">
        <f t="shared" si="41"/>
        <v>0</v>
      </c>
    </row>
    <row r="57" spans="5:48" x14ac:dyDescent="0.2">
      <c r="E57" t="s">
        <v>131</v>
      </c>
      <c r="F57" t="s">
        <v>113</v>
      </c>
      <c r="H57">
        <v>50</v>
      </c>
      <c r="I57">
        <v>0</v>
      </c>
      <c r="J57">
        <v>0</v>
      </c>
      <c r="L57">
        <f t="shared" si="22"/>
        <v>91.25</v>
      </c>
      <c r="R57">
        <f t="shared" si="23"/>
        <v>4.5000000000000595E-3</v>
      </c>
      <c r="S57">
        <f>S41</f>
        <v>0.99549999999999994</v>
      </c>
      <c r="T57">
        <f>T41</f>
        <v>0.75</v>
      </c>
      <c r="U57">
        <f t="shared" si="24"/>
        <v>4.7000000000000002E-3</v>
      </c>
      <c r="V57">
        <f t="shared" si="25"/>
        <v>0</v>
      </c>
      <c r="W57">
        <v>0</v>
      </c>
      <c r="X57">
        <f t="shared" si="26"/>
        <v>0</v>
      </c>
      <c r="Y57">
        <f t="shared" si="27"/>
        <v>1.3</v>
      </c>
      <c r="Z57">
        <f t="shared" si="28"/>
        <v>1</v>
      </c>
      <c r="AA57">
        <f t="shared" si="29"/>
        <v>-1.4E-3</v>
      </c>
      <c r="AD57">
        <f t="shared" si="30"/>
        <v>0</v>
      </c>
      <c r="AE57">
        <f t="shared" si="31"/>
        <v>0</v>
      </c>
      <c r="AF57">
        <f t="shared" si="32"/>
        <v>0</v>
      </c>
      <c r="AG57">
        <f t="shared" si="33"/>
        <v>0</v>
      </c>
      <c r="AH57">
        <f t="shared" si="34"/>
        <v>0.08</v>
      </c>
      <c r="AI57">
        <f t="shared" si="35"/>
        <v>0</v>
      </c>
      <c r="AJ57">
        <f t="shared" si="36"/>
        <v>0.19</v>
      </c>
      <c r="AK57">
        <f t="shared" si="37"/>
        <v>0.6784</v>
      </c>
      <c r="AL57">
        <f t="shared" si="38"/>
        <v>0</v>
      </c>
      <c r="AM57">
        <f t="shared" si="39"/>
        <v>0</v>
      </c>
      <c r="AN57">
        <f t="shared" si="40"/>
        <v>0</v>
      </c>
      <c r="AO57">
        <f t="shared" si="41"/>
        <v>0</v>
      </c>
    </row>
    <row r="58" spans="5:48" x14ac:dyDescent="0.2">
      <c r="F58" t="s">
        <v>115</v>
      </c>
      <c r="H58">
        <v>55</v>
      </c>
      <c r="I58">
        <v>0</v>
      </c>
      <c r="J58">
        <v>0</v>
      </c>
      <c r="L58">
        <f t="shared" si="22"/>
        <v>91.25</v>
      </c>
      <c r="R58">
        <f t="shared" si="23"/>
        <v>4.5000000000000595E-3</v>
      </c>
      <c r="S58">
        <f>S41</f>
        <v>0.99549999999999994</v>
      </c>
      <c r="T58">
        <f>T41</f>
        <v>0.75</v>
      </c>
      <c r="U58">
        <f t="shared" si="24"/>
        <v>4.7000000000000002E-3</v>
      </c>
      <c r="V58">
        <f t="shared" si="25"/>
        <v>0</v>
      </c>
      <c r="W58">
        <v>0</v>
      </c>
      <c r="X58">
        <f t="shared" si="26"/>
        <v>0</v>
      </c>
      <c r="Y58">
        <f t="shared" si="27"/>
        <v>1.3</v>
      </c>
      <c r="Z58">
        <f t="shared" si="28"/>
        <v>1</v>
      </c>
      <c r="AA58">
        <f t="shared" si="29"/>
        <v>-1.4E-3</v>
      </c>
      <c r="AD58">
        <f t="shared" si="30"/>
        <v>0</v>
      </c>
      <c r="AE58">
        <f t="shared" si="31"/>
        <v>0</v>
      </c>
      <c r="AF58">
        <f t="shared" si="32"/>
        <v>0</v>
      </c>
      <c r="AG58">
        <f t="shared" si="33"/>
        <v>0</v>
      </c>
      <c r="AH58">
        <f t="shared" si="34"/>
        <v>0.08</v>
      </c>
      <c r="AI58">
        <f t="shared" si="35"/>
        <v>0</v>
      </c>
      <c r="AJ58">
        <f t="shared" si="36"/>
        <v>0.19</v>
      </c>
      <c r="AK58">
        <f t="shared" si="37"/>
        <v>0.6784</v>
      </c>
      <c r="AL58">
        <f t="shared" si="38"/>
        <v>0</v>
      </c>
      <c r="AM58">
        <f t="shared" si="39"/>
        <v>0</v>
      </c>
      <c r="AN58">
        <f t="shared" si="40"/>
        <v>0</v>
      </c>
      <c r="AO58">
        <f t="shared" si="41"/>
        <v>0</v>
      </c>
    </row>
    <row r="59" spans="5:48" x14ac:dyDescent="0.2">
      <c r="F59" t="s">
        <v>117</v>
      </c>
      <c r="H59">
        <v>60</v>
      </c>
      <c r="I59">
        <v>0</v>
      </c>
      <c r="J59">
        <v>0</v>
      </c>
      <c r="L59">
        <f t="shared" si="22"/>
        <v>91.25</v>
      </c>
      <c r="R59">
        <f t="shared" si="23"/>
        <v>4.5000000000000595E-3</v>
      </c>
      <c r="S59">
        <f>S41</f>
        <v>0.99549999999999994</v>
      </c>
      <c r="T59">
        <f>T41</f>
        <v>0.75</v>
      </c>
      <c r="U59">
        <f t="shared" si="24"/>
        <v>4.7000000000000002E-3</v>
      </c>
      <c r="V59">
        <f t="shared" si="25"/>
        <v>0</v>
      </c>
      <c r="W59">
        <v>0</v>
      </c>
      <c r="X59">
        <f t="shared" si="26"/>
        <v>0</v>
      </c>
      <c r="Y59">
        <f t="shared" si="27"/>
        <v>1.3</v>
      </c>
      <c r="Z59">
        <f t="shared" si="28"/>
        <v>1</v>
      </c>
      <c r="AA59">
        <f t="shared" si="29"/>
        <v>-1.4E-3</v>
      </c>
      <c r="AD59">
        <f t="shared" si="30"/>
        <v>0</v>
      </c>
      <c r="AE59">
        <f t="shared" si="31"/>
        <v>0</v>
      </c>
      <c r="AF59">
        <f t="shared" si="32"/>
        <v>0</v>
      </c>
      <c r="AG59">
        <f t="shared" si="33"/>
        <v>0</v>
      </c>
      <c r="AH59">
        <f t="shared" si="34"/>
        <v>0.08</v>
      </c>
      <c r="AI59">
        <f t="shared" si="35"/>
        <v>0</v>
      </c>
      <c r="AJ59">
        <f t="shared" si="36"/>
        <v>0.19</v>
      </c>
      <c r="AK59">
        <f t="shared" si="37"/>
        <v>0.6784</v>
      </c>
      <c r="AL59">
        <f t="shared" si="38"/>
        <v>0</v>
      </c>
      <c r="AM59">
        <f t="shared" si="39"/>
        <v>0</v>
      </c>
      <c r="AN59">
        <f t="shared" si="40"/>
        <v>0</v>
      </c>
      <c r="AO59">
        <f t="shared" si="41"/>
        <v>0</v>
      </c>
    </row>
    <row r="60" spans="5:48" x14ac:dyDescent="0.2">
      <c r="F60" t="s">
        <v>119</v>
      </c>
      <c r="H60">
        <v>65</v>
      </c>
      <c r="I60">
        <v>0</v>
      </c>
      <c r="J60">
        <v>0</v>
      </c>
      <c r="L60">
        <f t="shared" si="22"/>
        <v>91.25</v>
      </c>
      <c r="R60">
        <f t="shared" si="23"/>
        <v>4.5000000000000595E-3</v>
      </c>
      <c r="S60">
        <f>S41</f>
        <v>0.99549999999999994</v>
      </c>
      <c r="T60">
        <f>T41</f>
        <v>0.75</v>
      </c>
      <c r="U60">
        <f t="shared" si="24"/>
        <v>4.7000000000000002E-3</v>
      </c>
      <c r="V60">
        <f t="shared" si="25"/>
        <v>0</v>
      </c>
      <c r="W60">
        <v>0</v>
      </c>
      <c r="X60">
        <f t="shared" si="26"/>
        <v>0</v>
      </c>
      <c r="Y60">
        <f t="shared" si="27"/>
        <v>1.3</v>
      </c>
      <c r="Z60">
        <f t="shared" si="28"/>
        <v>1</v>
      </c>
      <c r="AA60">
        <f t="shared" si="29"/>
        <v>-1.4E-3</v>
      </c>
      <c r="AD60">
        <f t="shared" si="30"/>
        <v>0</v>
      </c>
      <c r="AE60">
        <f t="shared" si="31"/>
        <v>0</v>
      </c>
      <c r="AF60">
        <f t="shared" si="32"/>
        <v>0</v>
      </c>
      <c r="AG60">
        <f t="shared" si="33"/>
        <v>0</v>
      </c>
      <c r="AH60">
        <f t="shared" si="34"/>
        <v>0.08</v>
      </c>
      <c r="AI60">
        <f t="shared" si="35"/>
        <v>0</v>
      </c>
      <c r="AJ60">
        <f t="shared" si="36"/>
        <v>0.19</v>
      </c>
      <c r="AK60">
        <f t="shared" si="37"/>
        <v>0.6784</v>
      </c>
      <c r="AL60">
        <f t="shared" si="38"/>
        <v>0</v>
      </c>
      <c r="AM60">
        <f t="shared" si="39"/>
        <v>0</v>
      </c>
      <c r="AN60">
        <f t="shared" si="40"/>
        <v>0</v>
      </c>
      <c r="AO60">
        <f t="shared" si="41"/>
        <v>0</v>
      </c>
    </row>
    <row r="61" spans="5:48" x14ac:dyDescent="0.2">
      <c r="E61" t="s">
        <v>132</v>
      </c>
      <c r="F61" t="s">
        <v>113</v>
      </c>
      <c r="H61">
        <v>50</v>
      </c>
      <c r="I61">
        <v>0</v>
      </c>
      <c r="J61">
        <v>0</v>
      </c>
      <c r="L61">
        <f t="shared" si="22"/>
        <v>91.25</v>
      </c>
      <c r="R61">
        <f t="shared" si="23"/>
        <v>4.5000000000000595E-3</v>
      </c>
      <c r="S61">
        <f>S41</f>
        <v>0.99549999999999994</v>
      </c>
      <c r="T61">
        <f>T41</f>
        <v>0.75</v>
      </c>
      <c r="U61">
        <f t="shared" si="24"/>
        <v>4.7000000000000002E-3</v>
      </c>
      <c r="V61">
        <f t="shared" si="25"/>
        <v>0</v>
      </c>
      <c r="W61">
        <v>0</v>
      </c>
      <c r="X61">
        <f t="shared" si="26"/>
        <v>0</v>
      </c>
      <c r="Y61">
        <f t="shared" si="27"/>
        <v>1.3</v>
      </c>
      <c r="Z61">
        <f t="shared" si="28"/>
        <v>1</v>
      </c>
      <c r="AA61">
        <f t="shared" si="29"/>
        <v>-1.4E-3</v>
      </c>
      <c r="AD61">
        <f t="shared" si="30"/>
        <v>0</v>
      </c>
      <c r="AE61">
        <f t="shared" si="31"/>
        <v>0</v>
      </c>
      <c r="AF61">
        <f t="shared" si="32"/>
        <v>0</v>
      </c>
      <c r="AG61">
        <f t="shared" si="33"/>
        <v>0</v>
      </c>
      <c r="AH61">
        <f t="shared" si="34"/>
        <v>0.08</v>
      </c>
      <c r="AI61">
        <f t="shared" si="35"/>
        <v>0</v>
      </c>
      <c r="AJ61">
        <f t="shared" si="36"/>
        <v>0.19</v>
      </c>
      <c r="AK61">
        <f t="shared" si="37"/>
        <v>0.6784</v>
      </c>
      <c r="AL61">
        <f t="shared" si="38"/>
        <v>0</v>
      </c>
      <c r="AM61">
        <f t="shared" si="39"/>
        <v>0</v>
      </c>
      <c r="AN61">
        <f t="shared" si="40"/>
        <v>0</v>
      </c>
      <c r="AO61">
        <f t="shared" si="41"/>
        <v>0</v>
      </c>
    </row>
    <row r="62" spans="5:48" x14ac:dyDescent="0.2">
      <c r="F62" t="s">
        <v>115</v>
      </c>
      <c r="H62">
        <v>100</v>
      </c>
      <c r="I62">
        <v>0</v>
      </c>
      <c r="J62">
        <v>0</v>
      </c>
      <c r="L62">
        <f t="shared" si="22"/>
        <v>91.25</v>
      </c>
      <c r="R62">
        <f t="shared" si="23"/>
        <v>4.5000000000000595E-3</v>
      </c>
      <c r="S62">
        <f>S41</f>
        <v>0.99549999999999994</v>
      </c>
      <c r="T62">
        <f>T41</f>
        <v>0.75</v>
      </c>
      <c r="U62">
        <f t="shared" si="24"/>
        <v>4.7000000000000002E-3</v>
      </c>
      <c r="V62">
        <f t="shared" si="25"/>
        <v>0</v>
      </c>
      <c r="W62">
        <v>0</v>
      </c>
      <c r="X62">
        <f t="shared" si="26"/>
        <v>0</v>
      </c>
      <c r="Y62">
        <f t="shared" si="27"/>
        <v>1.3</v>
      </c>
      <c r="Z62">
        <f t="shared" si="28"/>
        <v>1</v>
      </c>
      <c r="AA62">
        <f t="shared" si="29"/>
        <v>-1.4E-3</v>
      </c>
      <c r="AD62">
        <f t="shared" si="30"/>
        <v>0</v>
      </c>
      <c r="AE62">
        <f t="shared" si="31"/>
        <v>0</v>
      </c>
      <c r="AF62">
        <f t="shared" si="32"/>
        <v>0</v>
      </c>
      <c r="AG62">
        <f t="shared" si="33"/>
        <v>0</v>
      </c>
      <c r="AH62">
        <f t="shared" si="34"/>
        <v>0.08</v>
      </c>
      <c r="AI62">
        <f t="shared" si="35"/>
        <v>0</v>
      </c>
      <c r="AJ62">
        <f t="shared" si="36"/>
        <v>0.19</v>
      </c>
      <c r="AK62">
        <f t="shared" si="37"/>
        <v>0.6784</v>
      </c>
      <c r="AL62">
        <f t="shared" si="38"/>
        <v>0</v>
      </c>
      <c r="AM62">
        <f t="shared" si="39"/>
        <v>0</v>
      </c>
      <c r="AN62">
        <f t="shared" si="40"/>
        <v>0</v>
      </c>
      <c r="AO62">
        <f t="shared" si="41"/>
        <v>0</v>
      </c>
    </row>
    <row r="63" spans="5:48" x14ac:dyDescent="0.2">
      <c r="F63" t="s">
        <v>117</v>
      </c>
      <c r="H63">
        <v>90</v>
      </c>
      <c r="I63">
        <v>0</v>
      </c>
      <c r="J63">
        <v>0</v>
      </c>
      <c r="L63">
        <f t="shared" si="22"/>
        <v>91.25</v>
      </c>
      <c r="R63">
        <f t="shared" si="23"/>
        <v>4.5000000000000595E-3</v>
      </c>
      <c r="S63">
        <f>S41</f>
        <v>0.99549999999999994</v>
      </c>
      <c r="T63">
        <f>T41</f>
        <v>0.75</v>
      </c>
      <c r="U63">
        <f t="shared" si="24"/>
        <v>4.7000000000000002E-3</v>
      </c>
      <c r="V63">
        <f t="shared" si="25"/>
        <v>0</v>
      </c>
      <c r="W63">
        <v>0</v>
      </c>
      <c r="X63">
        <f t="shared" si="26"/>
        <v>0</v>
      </c>
      <c r="Y63">
        <f t="shared" si="27"/>
        <v>1.3</v>
      </c>
      <c r="Z63">
        <f t="shared" si="28"/>
        <v>1</v>
      </c>
      <c r="AA63">
        <f t="shared" si="29"/>
        <v>-1.4E-3</v>
      </c>
      <c r="AD63">
        <f t="shared" si="30"/>
        <v>0</v>
      </c>
      <c r="AE63">
        <f t="shared" si="31"/>
        <v>0</v>
      </c>
      <c r="AF63">
        <f t="shared" si="32"/>
        <v>0</v>
      </c>
      <c r="AG63">
        <f t="shared" si="33"/>
        <v>0</v>
      </c>
      <c r="AH63">
        <f t="shared" si="34"/>
        <v>0.08</v>
      </c>
      <c r="AI63">
        <f t="shared" si="35"/>
        <v>0</v>
      </c>
      <c r="AJ63">
        <f t="shared" si="36"/>
        <v>0.19</v>
      </c>
      <c r="AK63">
        <f t="shared" si="37"/>
        <v>0.6784</v>
      </c>
      <c r="AL63">
        <f t="shared" si="38"/>
        <v>0</v>
      </c>
      <c r="AM63">
        <f t="shared" si="39"/>
        <v>0</v>
      </c>
      <c r="AN63">
        <f t="shared" si="40"/>
        <v>0</v>
      </c>
      <c r="AO63">
        <f t="shared" si="41"/>
        <v>0</v>
      </c>
    </row>
    <row r="64" spans="5:48" x14ac:dyDescent="0.2">
      <c r="F64" t="s">
        <v>119</v>
      </c>
      <c r="H64">
        <v>80</v>
      </c>
      <c r="I64">
        <v>0</v>
      </c>
      <c r="J64">
        <v>0</v>
      </c>
      <c r="L64">
        <f t="shared" si="22"/>
        <v>91.25</v>
      </c>
      <c r="R64">
        <f t="shared" si="23"/>
        <v>4.5000000000000595E-3</v>
      </c>
      <c r="S64">
        <f>S41</f>
        <v>0.99549999999999994</v>
      </c>
      <c r="T64">
        <f>T41</f>
        <v>0.75</v>
      </c>
      <c r="U64">
        <f t="shared" si="24"/>
        <v>4.7000000000000002E-3</v>
      </c>
      <c r="V64">
        <f t="shared" si="25"/>
        <v>0</v>
      </c>
      <c r="W64">
        <v>0</v>
      </c>
      <c r="X64">
        <f t="shared" si="26"/>
        <v>0</v>
      </c>
      <c r="Y64">
        <f t="shared" si="27"/>
        <v>1.3</v>
      </c>
      <c r="Z64">
        <f t="shared" si="28"/>
        <v>1</v>
      </c>
      <c r="AA64">
        <f t="shared" si="29"/>
        <v>-1.4E-3</v>
      </c>
      <c r="AD64">
        <f t="shared" si="30"/>
        <v>0</v>
      </c>
      <c r="AE64">
        <f t="shared" si="31"/>
        <v>0</v>
      </c>
      <c r="AF64">
        <f t="shared" si="32"/>
        <v>0</v>
      </c>
      <c r="AG64">
        <f t="shared" si="33"/>
        <v>0</v>
      </c>
      <c r="AH64">
        <f t="shared" si="34"/>
        <v>0.08</v>
      </c>
      <c r="AI64">
        <f t="shared" si="35"/>
        <v>0</v>
      </c>
      <c r="AJ64">
        <f t="shared" si="36"/>
        <v>0.19</v>
      </c>
      <c r="AK64">
        <f t="shared" si="37"/>
        <v>0.6784</v>
      </c>
      <c r="AL64">
        <f t="shared" si="38"/>
        <v>0</v>
      </c>
      <c r="AM64">
        <f t="shared" si="39"/>
        <v>0</v>
      </c>
      <c r="AN64">
        <f t="shared" si="40"/>
        <v>0</v>
      </c>
      <c r="AO64">
        <f t="shared" si="41"/>
        <v>0</v>
      </c>
    </row>
    <row r="71" spans="1:42" x14ac:dyDescent="0.2">
      <c r="A71" t="s">
        <v>116</v>
      </c>
      <c r="B71" t="s">
        <v>116</v>
      </c>
      <c r="C71" t="s">
        <v>116</v>
      </c>
      <c r="D71" t="s">
        <v>111</v>
      </c>
      <c r="E71" t="s">
        <v>112</v>
      </c>
      <c r="F71" t="s">
        <v>113</v>
      </c>
      <c r="H71">
        <v>100</v>
      </c>
      <c r="I71">
        <v>95</v>
      </c>
      <c r="J71">
        <v>90</v>
      </c>
      <c r="L71">
        <f t="shared" ref="L71:L94" si="42">$AV$3</f>
        <v>91.25</v>
      </c>
      <c r="M71" t="e" cm="1">
        <f t="array" aca="1" ref="M71" ca="1">_xludf.DROP(_xludf.XLOOKUP($C71,#REF!,#REF!),1)</f>
        <v>#NAME?</v>
      </c>
      <c r="O71" t="e" cm="1">
        <f t="array" aca="1" ref="O71" ca="1">_xludf.DROP(_xludf.XLOOKUP($C71,#REF!,#REF!),1)</f>
        <v>#NAME?</v>
      </c>
      <c r="Q71" t="e" cm="1">
        <f t="array" aca="1" ref="Q71" ca="1">_xludf.DROP(_xludf.XLOOKUP($C71,#REF!,#REF!),1)</f>
        <v>#NAME?</v>
      </c>
      <c r="R71">
        <f t="shared" ref="R71:R94" si="43">1-S71</f>
        <v>0</v>
      </c>
      <c r="S71">
        <f>IF($D71="yes", 1, VLOOKUP($B71, $AU$26:$AW$32, 2)/100)</f>
        <v>1</v>
      </c>
      <c r="T71">
        <f>VLOOKUP($B71,$AW$10:$AX$16, 2, FALSE)</f>
        <v>0.78</v>
      </c>
      <c r="U71">
        <f t="shared" ref="U71:U94" si="44">$AV$10</f>
        <v>4.7000000000000002E-3</v>
      </c>
      <c r="V71">
        <f t="shared" ref="V71:V94" si="45">(I71/100)*(MIN(J71,100)/100)</f>
        <v>0.85499999999999998</v>
      </c>
      <c r="W71">
        <v>0</v>
      </c>
      <c r="X71">
        <f t="shared" ref="X71:X94" si="46">1.6 * W71</f>
        <v>0</v>
      </c>
      <c r="Y71">
        <f t="shared" ref="Y71:Y94" si="47">$AY$1</f>
        <v>1.3</v>
      </c>
      <c r="Z71">
        <f t="shared" ref="Z71:Z94" si="48">V71*Y71+(1-V71)</f>
        <v>1.2565</v>
      </c>
      <c r="AA71" t="e">
        <f t="shared" ref="AA71:AA94" ca="1" si="49">(0.795*O71)-0.0014</f>
        <v>#NAME?</v>
      </c>
      <c r="AC71" t="e" cm="1">
        <f t="array" aca="1" ref="AC71" ca="1">_xludf.DROP(_xludf.XLOOKUP($C71,#REF!,#REF!),1)</f>
        <v>#NAME?</v>
      </c>
      <c r="AD71" t="e">
        <f t="shared" ref="AD71:AD94" ca="1" si="50">1 - EXP(-2*(AC71^2))</f>
        <v>#NAME?</v>
      </c>
      <c r="AE71" t="e">
        <f t="shared" ref="AE71:AE94" ca="1" si="51">(104.7*AA71+0.307*Q71-15)*(Q71^0.75)*10^-3</f>
        <v>#NAME?</v>
      </c>
      <c r="AF71" t="e">
        <f t="shared" ref="AF71:AF94" ca="1" si="52">AE71*AD71*Z71</f>
        <v>#NAME?</v>
      </c>
      <c r="AG71" t="e">
        <f t="shared" ref="AG71:AG94" ca="1" si="53">(AF71 * M71) + (0.045 * X71)</f>
        <v>#NAME?</v>
      </c>
      <c r="AH71">
        <f t="shared" ref="AH71:AH94" si="54">$AV$2</f>
        <v>0.08</v>
      </c>
      <c r="AI71" t="e">
        <f t="shared" ref="AI71:AI94" ca="1" si="55">(AF71 * ((1 - O71) + (0.04 * AF71))) * ( 1 - AH71 )</f>
        <v>#NAME?</v>
      </c>
      <c r="AJ71">
        <f t="shared" ref="AJ71:AJ94" si="56">$AV$1</f>
        <v>0.19</v>
      </c>
      <c r="AK71">
        <f t="shared" ref="AK71:AK94" si="57">$AW$20</f>
        <v>0.6784</v>
      </c>
      <c r="AL71" t="e">
        <f t="shared" ref="AL71:AL94" ca="1" si="58">AI71 * AJ71 * R71 * T71 * AK71</f>
        <v>#NAME?</v>
      </c>
      <c r="AM71" t="e">
        <f t="shared" ref="AM71:AM94" ca="1" si="59">AI71*AJ71*S71*U71*AK71</f>
        <v>#NAME?</v>
      </c>
      <c r="AN71" t="e">
        <f t="shared" ref="AN71:AN94" ca="1" si="60">AL71+AM71</f>
        <v>#NAME?</v>
      </c>
      <c r="AO71" t="e">
        <f t="shared" ref="AO71:AO94" ca="1" si="61">H71*AN71*L71</f>
        <v>#NAME?</v>
      </c>
      <c r="AP71" t="e">
        <f ca="1">SUM(AO71:AO94)*10^-3</f>
        <v>#NAME?</v>
      </c>
    </row>
    <row r="72" spans="1:42" x14ac:dyDescent="0.2">
      <c r="F72" t="s">
        <v>115</v>
      </c>
      <c r="H72">
        <v>70</v>
      </c>
      <c r="I72">
        <v>0</v>
      </c>
      <c r="J72">
        <v>0</v>
      </c>
      <c r="L72">
        <f t="shared" si="42"/>
        <v>91.25</v>
      </c>
      <c r="R72">
        <f t="shared" si="43"/>
        <v>0</v>
      </c>
      <c r="S72">
        <f>S71</f>
        <v>1</v>
      </c>
      <c r="T72">
        <f>T71</f>
        <v>0.78</v>
      </c>
      <c r="U72">
        <f t="shared" si="44"/>
        <v>4.7000000000000002E-3</v>
      </c>
      <c r="V72">
        <f t="shared" si="45"/>
        <v>0</v>
      </c>
      <c r="W72">
        <v>0</v>
      </c>
      <c r="X72">
        <f t="shared" si="46"/>
        <v>0</v>
      </c>
      <c r="Y72">
        <f t="shared" si="47"/>
        <v>1.3</v>
      </c>
      <c r="Z72">
        <f t="shared" si="48"/>
        <v>1</v>
      </c>
      <c r="AA72">
        <f t="shared" si="49"/>
        <v>-1.4E-3</v>
      </c>
      <c r="AD72">
        <f t="shared" si="50"/>
        <v>0</v>
      </c>
      <c r="AE72">
        <f t="shared" si="51"/>
        <v>0</v>
      </c>
      <c r="AF72">
        <f t="shared" si="52"/>
        <v>0</v>
      </c>
      <c r="AG72">
        <f t="shared" si="53"/>
        <v>0</v>
      </c>
      <c r="AH72">
        <f t="shared" si="54"/>
        <v>0.08</v>
      </c>
      <c r="AI72">
        <f t="shared" si="55"/>
        <v>0</v>
      </c>
      <c r="AJ72">
        <f t="shared" si="56"/>
        <v>0.19</v>
      </c>
      <c r="AK72">
        <f t="shared" si="57"/>
        <v>0.6784</v>
      </c>
      <c r="AL72">
        <f t="shared" si="58"/>
        <v>0</v>
      </c>
      <c r="AM72">
        <f t="shared" si="59"/>
        <v>0</v>
      </c>
      <c r="AN72">
        <f t="shared" si="60"/>
        <v>0</v>
      </c>
      <c r="AO72">
        <f t="shared" si="61"/>
        <v>0</v>
      </c>
    </row>
    <row r="73" spans="1:42" x14ac:dyDescent="0.2">
      <c r="F73" t="s">
        <v>117</v>
      </c>
      <c r="H73">
        <v>65</v>
      </c>
      <c r="I73">
        <v>0</v>
      </c>
      <c r="J73">
        <v>0</v>
      </c>
      <c r="L73">
        <f t="shared" si="42"/>
        <v>91.25</v>
      </c>
      <c r="R73">
        <f t="shared" si="43"/>
        <v>0</v>
      </c>
      <c r="S73">
        <f>S71</f>
        <v>1</v>
      </c>
      <c r="T73">
        <f>T71</f>
        <v>0.78</v>
      </c>
      <c r="U73">
        <f t="shared" si="44"/>
        <v>4.7000000000000002E-3</v>
      </c>
      <c r="V73">
        <f t="shared" si="45"/>
        <v>0</v>
      </c>
      <c r="W73">
        <v>0</v>
      </c>
      <c r="X73">
        <f t="shared" si="46"/>
        <v>0</v>
      </c>
      <c r="Y73">
        <f t="shared" si="47"/>
        <v>1.3</v>
      </c>
      <c r="Z73">
        <f t="shared" si="48"/>
        <v>1</v>
      </c>
      <c r="AA73">
        <f t="shared" si="49"/>
        <v>-1.4E-3</v>
      </c>
      <c r="AD73">
        <f t="shared" si="50"/>
        <v>0</v>
      </c>
      <c r="AE73">
        <f t="shared" si="51"/>
        <v>0</v>
      </c>
      <c r="AF73">
        <f t="shared" si="52"/>
        <v>0</v>
      </c>
      <c r="AG73">
        <f t="shared" si="53"/>
        <v>0</v>
      </c>
      <c r="AH73">
        <f t="shared" si="54"/>
        <v>0.08</v>
      </c>
      <c r="AI73">
        <f t="shared" si="55"/>
        <v>0</v>
      </c>
      <c r="AJ73">
        <f t="shared" si="56"/>
        <v>0.19</v>
      </c>
      <c r="AK73">
        <f t="shared" si="57"/>
        <v>0.6784</v>
      </c>
      <c r="AL73">
        <f t="shared" si="58"/>
        <v>0</v>
      </c>
      <c r="AM73">
        <f t="shared" si="59"/>
        <v>0</v>
      </c>
      <c r="AN73">
        <f t="shared" si="60"/>
        <v>0</v>
      </c>
      <c r="AO73">
        <f t="shared" si="61"/>
        <v>0</v>
      </c>
    </row>
    <row r="74" spans="1:42" x14ac:dyDescent="0.2">
      <c r="F74" t="s">
        <v>119</v>
      </c>
      <c r="H74">
        <v>80</v>
      </c>
      <c r="I74">
        <v>0</v>
      </c>
      <c r="J74">
        <v>0</v>
      </c>
      <c r="L74">
        <f t="shared" si="42"/>
        <v>91.25</v>
      </c>
      <c r="R74">
        <f t="shared" si="43"/>
        <v>0</v>
      </c>
      <c r="S74">
        <f>S71</f>
        <v>1</v>
      </c>
      <c r="T74">
        <f>T71</f>
        <v>0.78</v>
      </c>
      <c r="U74">
        <f t="shared" si="44"/>
        <v>4.7000000000000002E-3</v>
      </c>
      <c r="V74">
        <f t="shared" si="45"/>
        <v>0</v>
      </c>
      <c r="W74">
        <v>0</v>
      </c>
      <c r="X74">
        <f t="shared" si="46"/>
        <v>0</v>
      </c>
      <c r="Y74">
        <f t="shared" si="47"/>
        <v>1.3</v>
      </c>
      <c r="Z74">
        <f t="shared" si="48"/>
        <v>1</v>
      </c>
      <c r="AA74">
        <f t="shared" si="49"/>
        <v>-1.4E-3</v>
      </c>
      <c r="AD74">
        <f t="shared" si="50"/>
        <v>0</v>
      </c>
      <c r="AE74">
        <f t="shared" si="51"/>
        <v>0</v>
      </c>
      <c r="AF74">
        <f t="shared" si="52"/>
        <v>0</v>
      </c>
      <c r="AG74">
        <f t="shared" si="53"/>
        <v>0</v>
      </c>
      <c r="AH74">
        <f t="shared" si="54"/>
        <v>0.08</v>
      </c>
      <c r="AI74">
        <f t="shared" si="55"/>
        <v>0</v>
      </c>
      <c r="AJ74">
        <f t="shared" si="56"/>
        <v>0.19</v>
      </c>
      <c r="AK74">
        <f t="shared" si="57"/>
        <v>0.6784</v>
      </c>
      <c r="AL74">
        <f t="shared" si="58"/>
        <v>0</v>
      </c>
      <c r="AM74">
        <f t="shared" si="59"/>
        <v>0</v>
      </c>
      <c r="AN74">
        <f t="shared" si="60"/>
        <v>0</v>
      </c>
      <c r="AO74">
        <f t="shared" si="61"/>
        <v>0</v>
      </c>
    </row>
    <row r="75" spans="1:42" x14ac:dyDescent="0.2">
      <c r="E75" t="s">
        <v>121</v>
      </c>
      <c r="F75" t="s">
        <v>113</v>
      </c>
      <c r="H75">
        <v>200</v>
      </c>
      <c r="I75">
        <v>0</v>
      </c>
      <c r="J75">
        <v>0</v>
      </c>
      <c r="L75">
        <f t="shared" si="42"/>
        <v>91.25</v>
      </c>
      <c r="R75">
        <f t="shared" si="43"/>
        <v>0</v>
      </c>
      <c r="S75">
        <f>S71</f>
        <v>1</v>
      </c>
      <c r="T75">
        <f>T71</f>
        <v>0.78</v>
      </c>
      <c r="U75">
        <f t="shared" si="44"/>
        <v>4.7000000000000002E-3</v>
      </c>
      <c r="V75">
        <f t="shared" si="45"/>
        <v>0</v>
      </c>
      <c r="W75">
        <v>1</v>
      </c>
      <c r="X75">
        <f t="shared" si="46"/>
        <v>1.6</v>
      </c>
      <c r="Y75">
        <f t="shared" si="47"/>
        <v>1.3</v>
      </c>
      <c r="Z75">
        <f t="shared" si="48"/>
        <v>1</v>
      </c>
      <c r="AA75">
        <f t="shared" si="49"/>
        <v>-1.4E-3</v>
      </c>
      <c r="AD75">
        <f t="shared" si="50"/>
        <v>0</v>
      </c>
      <c r="AE75">
        <f t="shared" si="51"/>
        <v>0</v>
      </c>
      <c r="AF75">
        <f t="shared" si="52"/>
        <v>0</v>
      </c>
      <c r="AG75">
        <f t="shared" si="53"/>
        <v>7.1999999999999995E-2</v>
      </c>
      <c r="AH75">
        <f t="shared" si="54"/>
        <v>0.08</v>
      </c>
      <c r="AI75">
        <f t="shared" si="55"/>
        <v>0</v>
      </c>
      <c r="AJ75">
        <f t="shared" si="56"/>
        <v>0.19</v>
      </c>
      <c r="AK75">
        <f t="shared" si="57"/>
        <v>0.6784</v>
      </c>
      <c r="AL75">
        <f t="shared" si="58"/>
        <v>0</v>
      </c>
      <c r="AM75">
        <f t="shared" si="59"/>
        <v>0</v>
      </c>
      <c r="AN75">
        <f t="shared" si="60"/>
        <v>0</v>
      </c>
      <c r="AO75">
        <f t="shared" si="61"/>
        <v>0</v>
      </c>
    </row>
    <row r="76" spans="1:42" x14ac:dyDescent="0.2">
      <c r="F76" t="s">
        <v>115</v>
      </c>
      <c r="H76">
        <v>210</v>
      </c>
      <c r="I76">
        <v>0</v>
      </c>
      <c r="J76">
        <v>0</v>
      </c>
      <c r="L76">
        <f t="shared" si="42"/>
        <v>91.25</v>
      </c>
      <c r="R76">
        <f t="shared" si="43"/>
        <v>0</v>
      </c>
      <c r="S76">
        <f>S71</f>
        <v>1</v>
      </c>
      <c r="T76">
        <f>T71</f>
        <v>0.78</v>
      </c>
      <c r="U76">
        <f t="shared" si="44"/>
        <v>4.7000000000000002E-3</v>
      </c>
      <c r="V76">
        <f t="shared" si="45"/>
        <v>0</v>
      </c>
      <c r="W76">
        <v>0</v>
      </c>
      <c r="X76">
        <f t="shared" si="46"/>
        <v>0</v>
      </c>
      <c r="Y76">
        <f t="shared" si="47"/>
        <v>1.3</v>
      </c>
      <c r="Z76">
        <f t="shared" si="48"/>
        <v>1</v>
      </c>
      <c r="AA76">
        <f t="shared" si="49"/>
        <v>-1.4E-3</v>
      </c>
      <c r="AD76">
        <f t="shared" si="50"/>
        <v>0</v>
      </c>
      <c r="AE76">
        <f t="shared" si="51"/>
        <v>0</v>
      </c>
      <c r="AF76">
        <f t="shared" si="52"/>
        <v>0</v>
      </c>
      <c r="AG76">
        <f t="shared" si="53"/>
        <v>0</v>
      </c>
      <c r="AH76">
        <f t="shared" si="54"/>
        <v>0.08</v>
      </c>
      <c r="AI76">
        <f t="shared" si="55"/>
        <v>0</v>
      </c>
      <c r="AJ76">
        <f t="shared" si="56"/>
        <v>0.19</v>
      </c>
      <c r="AK76">
        <f t="shared" si="57"/>
        <v>0.6784</v>
      </c>
      <c r="AL76">
        <f t="shared" si="58"/>
        <v>0</v>
      </c>
      <c r="AM76">
        <f t="shared" si="59"/>
        <v>0</v>
      </c>
      <c r="AN76">
        <f t="shared" si="60"/>
        <v>0</v>
      </c>
      <c r="AO76">
        <f t="shared" si="61"/>
        <v>0</v>
      </c>
    </row>
    <row r="77" spans="1:42" x14ac:dyDescent="0.2">
      <c r="F77" t="s">
        <v>117</v>
      </c>
      <c r="H77">
        <v>170</v>
      </c>
      <c r="I77">
        <v>0</v>
      </c>
      <c r="J77">
        <v>0</v>
      </c>
      <c r="L77">
        <f t="shared" si="42"/>
        <v>91.25</v>
      </c>
      <c r="R77">
        <f t="shared" si="43"/>
        <v>0</v>
      </c>
      <c r="S77">
        <f>S71</f>
        <v>1</v>
      </c>
      <c r="T77">
        <f>T71</f>
        <v>0.78</v>
      </c>
      <c r="U77">
        <f t="shared" si="44"/>
        <v>4.7000000000000002E-3</v>
      </c>
      <c r="V77">
        <f t="shared" si="45"/>
        <v>0</v>
      </c>
      <c r="W77">
        <v>0</v>
      </c>
      <c r="X77">
        <f t="shared" si="46"/>
        <v>0</v>
      </c>
      <c r="Y77">
        <f t="shared" si="47"/>
        <v>1.3</v>
      </c>
      <c r="Z77">
        <f t="shared" si="48"/>
        <v>1</v>
      </c>
      <c r="AA77">
        <f t="shared" si="49"/>
        <v>-1.4E-3</v>
      </c>
      <c r="AD77">
        <f t="shared" si="50"/>
        <v>0</v>
      </c>
      <c r="AE77">
        <f t="shared" si="51"/>
        <v>0</v>
      </c>
      <c r="AF77">
        <f t="shared" si="52"/>
        <v>0</v>
      </c>
      <c r="AG77">
        <f t="shared" si="53"/>
        <v>0</v>
      </c>
      <c r="AH77">
        <f t="shared" si="54"/>
        <v>0.08</v>
      </c>
      <c r="AI77">
        <f t="shared" si="55"/>
        <v>0</v>
      </c>
      <c r="AJ77">
        <f t="shared" si="56"/>
        <v>0.19</v>
      </c>
      <c r="AK77">
        <f t="shared" si="57"/>
        <v>0.6784</v>
      </c>
      <c r="AL77">
        <f t="shared" si="58"/>
        <v>0</v>
      </c>
      <c r="AM77">
        <f t="shared" si="59"/>
        <v>0</v>
      </c>
      <c r="AN77">
        <f t="shared" si="60"/>
        <v>0</v>
      </c>
      <c r="AO77">
        <f t="shared" si="61"/>
        <v>0</v>
      </c>
    </row>
    <row r="78" spans="1:42" x14ac:dyDescent="0.2">
      <c r="F78" t="s">
        <v>119</v>
      </c>
      <c r="H78">
        <v>200</v>
      </c>
      <c r="I78">
        <v>0</v>
      </c>
      <c r="J78">
        <v>0</v>
      </c>
      <c r="L78">
        <f t="shared" si="42"/>
        <v>91.25</v>
      </c>
      <c r="R78">
        <f t="shared" si="43"/>
        <v>0</v>
      </c>
      <c r="S78">
        <f>S71</f>
        <v>1</v>
      </c>
      <c r="T78">
        <f>T71</f>
        <v>0.78</v>
      </c>
      <c r="U78">
        <f t="shared" si="44"/>
        <v>4.7000000000000002E-3</v>
      </c>
      <c r="V78">
        <f t="shared" si="45"/>
        <v>0</v>
      </c>
      <c r="W78">
        <v>0</v>
      </c>
      <c r="X78">
        <f t="shared" si="46"/>
        <v>0</v>
      </c>
      <c r="Y78">
        <f t="shared" si="47"/>
        <v>1.3</v>
      </c>
      <c r="Z78">
        <f t="shared" si="48"/>
        <v>1</v>
      </c>
      <c r="AA78">
        <f t="shared" si="49"/>
        <v>-1.4E-3</v>
      </c>
      <c r="AD78">
        <f t="shared" si="50"/>
        <v>0</v>
      </c>
      <c r="AE78">
        <f t="shared" si="51"/>
        <v>0</v>
      </c>
      <c r="AF78">
        <f t="shared" si="52"/>
        <v>0</v>
      </c>
      <c r="AG78">
        <f t="shared" si="53"/>
        <v>0</v>
      </c>
      <c r="AH78">
        <f t="shared" si="54"/>
        <v>0.08</v>
      </c>
      <c r="AI78">
        <f t="shared" si="55"/>
        <v>0</v>
      </c>
      <c r="AJ78">
        <f t="shared" si="56"/>
        <v>0.19</v>
      </c>
      <c r="AK78">
        <f t="shared" si="57"/>
        <v>0.6784</v>
      </c>
      <c r="AL78">
        <f t="shared" si="58"/>
        <v>0</v>
      </c>
      <c r="AM78">
        <f t="shared" si="59"/>
        <v>0</v>
      </c>
      <c r="AN78">
        <f t="shared" si="60"/>
        <v>0</v>
      </c>
      <c r="AO78">
        <f t="shared" si="61"/>
        <v>0</v>
      </c>
    </row>
    <row r="79" spans="1:42" x14ac:dyDescent="0.2">
      <c r="E79" t="s">
        <v>126</v>
      </c>
      <c r="F79" t="s">
        <v>113</v>
      </c>
      <c r="H79">
        <v>100</v>
      </c>
      <c r="I79">
        <v>95</v>
      </c>
      <c r="J79">
        <v>92</v>
      </c>
      <c r="L79">
        <f t="shared" si="42"/>
        <v>91.25</v>
      </c>
      <c r="R79">
        <f t="shared" si="43"/>
        <v>0</v>
      </c>
      <c r="S79">
        <f>S71</f>
        <v>1</v>
      </c>
      <c r="T79">
        <f>T71</f>
        <v>0.78</v>
      </c>
      <c r="U79">
        <f t="shared" si="44"/>
        <v>4.7000000000000002E-3</v>
      </c>
      <c r="V79">
        <f t="shared" si="45"/>
        <v>0.874</v>
      </c>
      <c r="W79">
        <v>0</v>
      </c>
      <c r="X79">
        <f t="shared" si="46"/>
        <v>0</v>
      </c>
      <c r="Y79">
        <f t="shared" si="47"/>
        <v>1.3</v>
      </c>
      <c r="Z79">
        <f t="shared" si="48"/>
        <v>1.2622</v>
      </c>
      <c r="AA79">
        <f t="shared" si="49"/>
        <v>-1.4E-3</v>
      </c>
      <c r="AD79">
        <f t="shared" si="50"/>
        <v>0</v>
      </c>
      <c r="AE79">
        <f t="shared" si="51"/>
        <v>0</v>
      </c>
      <c r="AF79">
        <f t="shared" si="52"/>
        <v>0</v>
      </c>
      <c r="AG79">
        <f t="shared" si="53"/>
        <v>0</v>
      </c>
      <c r="AH79">
        <f t="shared" si="54"/>
        <v>0.08</v>
      </c>
      <c r="AI79">
        <f t="shared" si="55"/>
        <v>0</v>
      </c>
      <c r="AJ79">
        <f t="shared" si="56"/>
        <v>0.19</v>
      </c>
      <c r="AK79">
        <f t="shared" si="57"/>
        <v>0.6784</v>
      </c>
      <c r="AL79">
        <f t="shared" si="58"/>
        <v>0</v>
      </c>
      <c r="AM79">
        <f t="shared" si="59"/>
        <v>0</v>
      </c>
      <c r="AN79">
        <f t="shared" si="60"/>
        <v>0</v>
      </c>
      <c r="AO79">
        <f t="shared" si="61"/>
        <v>0</v>
      </c>
    </row>
    <row r="80" spans="1:42" x14ac:dyDescent="0.2">
      <c r="F80" t="s">
        <v>115</v>
      </c>
      <c r="H80">
        <v>140</v>
      </c>
      <c r="I80">
        <v>0</v>
      </c>
      <c r="J80">
        <v>0</v>
      </c>
      <c r="L80">
        <f t="shared" si="42"/>
        <v>91.25</v>
      </c>
      <c r="R80">
        <f t="shared" si="43"/>
        <v>0</v>
      </c>
      <c r="S80">
        <f>S71</f>
        <v>1</v>
      </c>
      <c r="T80">
        <f>T71</f>
        <v>0.78</v>
      </c>
      <c r="U80">
        <f t="shared" si="44"/>
        <v>4.7000000000000002E-3</v>
      </c>
      <c r="V80">
        <f t="shared" si="45"/>
        <v>0</v>
      </c>
      <c r="W80">
        <v>0</v>
      </c>
      <c r="X80">
        <f t="shared" si="46"/>
        <v>0</v>
      </c>
      <c r="Y80">
        <f t="shared" si="47"/>
        <v>1.3</v>
      </c>
      <c r="Z80">
        <f t="shared" si="48"/>
        <v>1</v>
      </c>
      <c r="AA80">
        <f t="shared" si="49"/>
        <v>-1.4E-3</v>
      </c>
      <c r="AD80">
        <f t="shared" si="50"/>
        <v>0</v>
      </c>
      <c r="AE80">
        <f t="shared" si="51"/>
        <v>0</v>
      </c>
      <c r="AF80">
        <f t="shared" si="52"/>
        <v>0</v>
      </c>
      <c r="AG80">
        <f t="shared" si="53"/>
        <v>0</v>
      </c>
      <c r="AH80">
        <f t="shared" si="54"/>
        <v>0.08</v>
      </c>
      <c r="AI80">
        <f t="shared" si="55"/>
        <v>0</v>
      </c>
      <c r="AJ80">
        <f t="shared" si="56"/>
        <v>0.19</v>
      </c>
      <c r="AK80">
        <f t="shared" si="57"/>
        <v>0.6784</v>
      </c>
      <c r="AL80">
        <f t="shared" si="58"/>
        <v>0</v>
      </c>
      <c r="AM80">
        <f t="shared" si="59"/>
        <v>0</v>
      </c>
      <c r="AN80">
        <f t="shared" si="60"/>
        <v>0</v>
      </c>
      <c r="AO80">
        <f t="shared" si="61"/>
        <v>0</v>
      </c>
    </row>
    <row r="81" spans="5:41" x14ac:dyDescent="0.2">
      <c r="F81" t="s">
        <v>117</v>
      </c>
      <c r="H81">
        <v>135</v>
      </c>
      <c r="I81">
        <v>0</v>
      </c>
      <c r="J81">
        <v>0</v>
      </c>
      <c r="L81">
        <f t="shared" si="42"/>
        <v>91.25</v>
      </c>
      <c r="R81">
        <f t="shared" si="43"/>
        <v>0</v>
      </c>
      <c r="S81">
        <f>S71</f>
        <v>1</v>
      </c>
      <c r="T81">
        <f>T71</f>
        <v>0.78</v>
      </c>
      <c r="U81">
        <f t="shared" si="44"/>
        <v>4.7000000000000002E-3</v>
      </c>
      <c r="V81">
        <f t="shared" si="45"/>
        <v>0</v>
      </c>
      <c r="W81">
        <v>0</v>
      </c>
      <c r="X81">
        <f t="shared" si="46"/>
        <v>0</v>
      </c>
      <c r="Y81">
        <f t="shared" si="47"/>
        <v>1.3</v>
      </c>
      <c r="Z81">
        <f t="shared" si="48"/>
        <v>1</v>
      </c>
      <c r="AA81">
        <f t="shared" si="49"/>
        <v>-1.4E-3</v>
      </c>
      <c r="AD81">
        <f t="shared" si="50"/>
        <v>0</v>
      </c>
      <c r="AE81">
        <f t="shared" si="51"/>
        <v>0</v>
      </c>
      <c r="AF81">
        <f t="shared" si="52"/>
        <v>0</v>
      </c>
      <c r="AG81">
        <f t="shared" si="53"/>
        <v>0</v>
      </c>
      <c r="AH81">
        <f t="shared" si="54"/>
        <v>0.08</v>
      </c>
      <c r="AI81">
        <f t="shared" si="55"/>
        <v>0</v>
      </c>
      <c r="AJ81">
        <f t="shared" si="56"/>
        <v>0.19</v>
      </c>
      <c r="AK81">
        <f t="shared" si="57"/>
        <v>0.6784</v>
      </c>
      <c r="AL81">
        <f t="shared" si="58"/>
        <v>0</v>
      </c>
      <c r="AM81">
        <f t="shared" si="59"/>
        <v>0</v>
      </c>
      <c r="AN81">
        <f t="shared" si="60"/>
        <v>0</v>
      </c>
      <c r="AO81">
        <f t="shared" si="61"/>
        <v>0</v>
      </c>
    </row>
    <row r="82" spans="5:41" x14ac:dyDescent="0.2">
      <c r="F82" t="s">
        <v>119</v>
      </c>
      <c r="H82">
        <v>130</v>
      </c>
      <c r="I82">
        <v>0</v>
      </c>
      <c r="J82">
        <v>0</v>
      </c>
      <c r="L82">
        <f t="shared" si="42"/>
        <v>91.25</v>
      </c>
      <c r="R82">
        <f t="shared" si="43"/>
        <v>0</v>
      </c>
      <c r="S82">
        <f>S71</f>
        <v>1</v>
      </c>
      <c r="T82">
        <f>T71</f>
        <v>0.78</v>
      </c>
      <c r="U82">
        <f t="shared" si="44"/>
        <v>4.7000000000000002E-3</v>
      </c>
      <c r="V82">
        <f t="shared" si="45"/>
        <v>0</v>
      </c>
      <c r="W82">
        <v>0</v>
      </c>
      <c r="X82">
        <f t="shared" si="46"/>
        <v>0</v>
      </c>
      <c r="Y82">
        <f t="shared" si="47"/>
        <v>1.3</v>
      </c>
      <c r="Z82">
        <f t="shared" si="48"/>
        <v>1</v>
      </c>
      <c r="AA82">
        <f t="shared" si="49"/>
        <v>-1.4E-3</v>
      </c>
      <c r="AD82">
        <f t="shared" si="50"/>
        <v>0</v>
      </c>
      <c r="AE82">
        <f t="shared" si="51"/>
        <v>0</v>
      </c>
      <c r="AF82">
        <f t="shared" si="52"/>
        <v>0</v>
      </c>
      <c r="AG82">
        <f t="shared" si="53"/>
        <v>0</v>
      </c>
      <c r="AH82">
        <f t="shared" si="54"/>
        <v>0.08</v>
      </c>
      <c r="AI82">
        <f t="shared" si="55"/>
        <v>0</v>
      </c>
      <c r="AJ82">
        <f t="shared" si="56"/>
        <v>0.19</v>
      </c>
      <c r="AK82">
        <f t="shared" si="57"/>
        <v>0.6784</v>
      </c>
      <c r="AL82">
        <f t="shared" si="58"/>
        <v>0</v>
      </c>
      <c r="AM82">
        <f t="shared" si="59"/>
        <v>0</v>
      </c>
      <c r="AN82">
        <f t="shared" si="60"/>
        <v>0</v>
      </c>
      <c r="AO82">
        <f t="shared" si="61"/>
        <v>0</v>
      </c>
    </row>
    <row r="83" spans="5:41" x14ac:dyDescent="0.2">
      <c r="E83" t="s">
        <v>129</v>
      </c>
      <c r="F83" t="s">
        <v>113</v>
      </c>
      <c r="H83">
        <v>200</v>
      </c>
      <c r="I83">
        <v>0</v>
      </c>
      <c r="J83">
        <v>0</v>
      </c>
      <c r="L83">
        <f t="shared" si="42"/>
        <v>91.25</v>
      </c>
      <c r="R83">
        <f t="shared" si="43"/>
        <v>0</v>
      </c>
      <c r="S83">
        <f>S71</f>
        <v>1</v>
      </c>
      <c r="T83">
        <f>T71</f>
        <v>0.78</v>
      </c>
      <c r="U83">
        <f t="shared" si="44"/>
        <v>4.7000000000000002E-3</v>
      </c>
      <c r="V83">
        <f t="shared" si="45"/>
        <v>0</v>
      </c>
      <c r="W83">
        <v>0</v>
      </c>
      <c r="X83">
        <f t="shared" si="46"/>
        <v>0</v>
      </c>
      <c r="Y83">
        <f t="shared" si="47"/>
        <v>1.3</v>
      </c>
      <c r="Z83">
        <f t="shared" si="48"/>
        <v>1</v>
      </c>
      <c r="AA83">
        <f t="shared" si="49"/>
        <v>-1.4E-3</v>
      </c>
      <c r="AD83">
        <f t="shared" si="50"/>
        <v>0</v>
      </c>
      <c r="AE83">
        <f t="shared" si="51"/>
        <v>0</v>
      </c>
      <c r="AF83">
        <f t="shared" si="52"/>
        <v>0</v>
      </c>
      <c r="AG83">
        <f t="shared" si="53"/>
        <v>0</v>
      </c>
      <c r="AH83">
        <f t="shared" si="54"/>
        <v>0.08</v>
      </c>
      <c r="AI83">
        <f t="shared" si="55"/>
        <v>0</v>
      </c>
      <c r="AJ83">
        <f t="shared" si="56"/>
        <v>0.19</v>
      </c>
      <c r="AK83">
        <f t="shared" si="57"/>
        <v>0.6784</v>
      </c>
      <c r="AL83">
        <f t="shared" si="58"/>
        <v>0</v>
      </c>
      <c r="AM83">
        <f t="shared" si="59"/>
        <v>0</v>
      </c>
      <c r="AN83">
        <f t="shared" si="60"/>
        <v>0</v>
      </c>
      <c r="AO83">
        <f t="shared" si="61"/>
        <v>0</v>
      </c>
    </row>
    <row r="84" spans="5:41" x14ac:dyDescent="0.2">
      <c r="F84" t="s">
        <v>115</v>
      </c>
      <c r="H84">
        <v>210</v>
      </c>
      <c r="I84">
        <v>0</v>
      </c>
      <c r="J84">
        <v>0</v>
      </c>
      <c r="L84">
        <f t="shared" si="42"/>
        <v>91.25</v>
      </c>
      <c r="R84">
        <f t="shared" si="43"/>
        <v>0</v>
      </c>
      <c r="S84">
        <f>S71</f>
        <v>1</v>
      </c>
      <c r="T84">
        <f>T71</f>
        <v>0.78</v>
      </c>
      <c r="U84">
        <f t="shared" si="44"/>
        <v>4.7000000000000002E-3</v>
      </c>
      <c r="V84">
        <f t="shared" si="45"/>
        <v>0</v>
      </c>
      <c r="W84">
        <v>0</v>
      </c>
      <c r="X84">
        <f t="shared" si="46"/>
        <v>0</v>
      </c>
      <c r="Y84">
        <f t="shared" si="47"/>
        <v>1.3</v>
      </c>
      <c r="Z84">
        <f t="shared" si="48"/>
        <v>1</v>
      </c>
      <c r="AA84">
        <f t="shared" si="49"/>
        <v>-1.4E-3</v>
      </c>
      <c r="AD84">
        <f t="shared" si="50"/>
        <v>0</v>
      </c>
      <c r="AE84">
        <f t="shared" si="51"/>
        <v>0</v>
      </c>
      <c r="AF84">
        <f t="shared" si="52"/>
        <v>0</v>
      </c>
      <c r="AG84">
        <f t="shared" si="53"/>
        <v>0</v>
      </c>
      <c r="AH84">
        <f t="shared" si="54"/>
        <v>0.08</v>
      </c>
      <c r="AI84">
        <f t="shared" si="55"/>
        <v>0</v>
      </c>
      <c r="AJ84">
        <f t="shared" si="56"/>
        <v>0.19</v>
      </c>
      <c r="AK84">
        <f t="shared" si="57"/>
        <v>0.6784</v>
      </c>
      <c r="AL84">
        <f t="shared" si="58"/>
        <v>0</v>
      </c>
      <c r="AM84">
        <f t="shared" si="59"/>
        <v>0</v>
      </c>
      <c r="AN84">
        <f t="shared" si="60"/>
        <v>0</v>
      </c>
      <c r="AO84">
        <f t="shared" si="61"/>
        <v>0</v>
      </c>
    </row>
    <row r="85" spans="5:41" x14ac:dyDescent="0.2">
      <c r="F85" t="s">
        <v>117</v>
      </c>
      <c r="H85">
        <v>190</v>
      </c>
      <c r="I85">
        <v>0</v>
      </c>
      <c r="J85">
        <v>0</v>
      </c>
      <c r="L85">
        <f t="shared" si="42"/>
        <v>91.25</v>
      </c>
      <c r="R85">
        <f t="shared" si="43"/>
        <v>0</v>
      </c>
      <c r="S85">
        <f>S71</f>
        <v>1</v>
      </c>
      <c r="T85">
        <f>T71</f>
        <v>0.78</v>
      </c>
      <c r="U85">
        <f t="shared" si="44"/>
        <v>4.7000000000000002E-3</v>
      </c>
      <c r="V85">
        <f t="shared" si="45"/>
        <v>0</v>
      </c>
      <c r="W85">
        <v>0</v>
      </c>
      <c r="X85">
        <f t="shared" si="46"/>
        <v>0</v>
      </c>
      <c r="Y85">
        <f t="shared" si="47"/>
        <v>1.3</v>
      </c>
      <c r="Z85">
        <f t="shared" si="48"/>
        <v>1</v>
      </c>
      <c r="AA85">
        <f t="shared" si="49"/>
        <v>-1.4E-3</v>
      </c>
      <c r="AD85">
        <f t="shared" si="50"/>
        <v>0</v>
      </c>
      <c r="AE85">
        <f t="shared" si="51"/>
        <v>0</v>
      </c>
      <c r="AF85">
        <f t="shared" si="52"/>
        <v>0</v>
      </c>
      <c r="AG85">
        <f t="shared" si="53"/>
        <v>0</v>
      </c>
      <c r="AH85">
        <f t="shared" si="54"/>
        <v>0.08</v>
      </c>
      <c r="AI85">
        <f t="shared" si="55"/>
        <v>0</v>
      </c>
      <c r="AJ85">
        <f t="shared" si="56"/>
        <v>0.19</v>
      </c>
      <c r="AK85">
        <f t="shared" si="57"/>
        <v>0.6784</v>
      </c>
      <c r="AL85">
        <f t="shared" si="58"/>
        <v>0</v>
      </c>
      <c r="AM85">
        <f t="shared" si="59"/>
        <v>0</v>
      </c>
      <c r="AN85">
        <f t="shared" si="60"/>
        <v>0</v>
      </c>
      <c r="AO85">
        <f t="shared" si="61"/>
        <v>0</v>
      </c>
    </row>
    <row r="86" spans="5:41" x14ac:dyDescent="0.2">
      <c r="F86" t="s">
        <v>119</v>
      </c>
      <c r="H86">
        <v>180</v>
      </c>
      <c r="I86">
        <v>0</v>
      </c>
      <c r="J86">
        <v>0</v>
      </c>
      <c r="L86">
        <f t="shared" si="42"/>
        <v>91.25</v>
      </c>
      <c r="R86">
        <f t="shared" si="43"/>
        <v>0</v>
      </c>
      <c r="S86">
        <f>S71</f>
        <v>1</v>
      </c>
      <c r="T86">
        <f>T71</f>
        <v>0.78</v>
      </c>
      <c r="U86">
        <f t="shared" si="44"/>
        <v>4.7000000000000002E-3</v>
      </c>
      <c r="V86">
        <f t="shared" si="45"/>
        <v>0</v>
      </c>
      <c r="W86">
        <v>0</v>
      </c>
      <c r="X86">
        <f t="shared" si="46"/>
        <v>0</v>
      </c>
      <c r="Y86">
        <f t="shared" si="47"/>
        <v>1.3</v>
      </c>
      <c r="Z86">
        <f t="shared" si="48"/>
        <v>1</v>
      </c>
      <c r="AA86">
        <f t="shared" si="49"/>
        <v>-1.4E-3</v>
      </c>
      <c r="AD86">
        <f t="shared" si="50"/>
        <v>0</v>
      </c>
      <c r="AE86">
        <f t="shared" si="51"/>
        <v>0</v>
      </c>
      <c r="AF86">
        <f t="shared" si="52"/>
        <v>0</v>
      </c>
      <c r="AG86">
        <f t="shared" si="53"/>
        <v>0</v>
      </c>
      <c r="AH86">
        <f t="shared" si="54"/>
        <v>0.08</v>
      </c>
      <c r="AI86">
        <f t="shared" si="55"/>
        <v>0</v>
      </c>
      <c r="AJ86">
        <f t="shared" si="56"/>
        <v>0.19</v>
      </c>
      <c r="AK86">
        <f t="shared" si="57"/>
        <v>0.6784</v>
      </c>
      <c r="AL86">
        <f t="shared" si="58"/>
        <v>0</v>
      </c>
      <c r="AM86">
        <f t="shared" si="59"/>
        <v>0</v>
      </c>
      <c r="AN86">
        <f t="shared" si="60"/>
        <v>0</v>
      </c>
      <c r="AO86">
        <f t="shared" si="61"/>
        <v>0</v>
      </c>
    </row>
    <row r="87" spans="5:41" x14ac:dyDescent="0.2">
      <c r="E87" t="s">
        <v>131</v>
      </c>
      <c r="F87" t="s">
        <v>113</v>
      </c>
      <c r="H87">
        <v>50</v>
      </c>
      <c r="I87">
        <v>0</v>
      </c>
      <c r="J87">
        <v>0</v>
      </c>
      <c r="L87">
        <f t="shared" si="42"/>
        <v>91.25</v>
      </c>
      <c r="R87">
        <f t="shared" si="43"/>
        <v>0</v>
      </c>
      <c r="S87">
        <f>S71</f>
        <v>1</v>
      </c>
      <c r="T87">
        <f>T71</f>
        <v>0.78</v>
      </c>
      <c r="U87">
        <f t="shared" si="44"/>
        <v>4.7000000000000002E-3</v>
      </c>
      <c r="V87">
        <f t="shared" si="45"/>
        <v>0</v>
      </c>
      <c r="W87">
        <v>0</v>
      </c>
      <c r="X87">
        <f t="shared" si="46"/>
        <v>0</v>
      </c>
      <c r="Y87">
        <f t="shared" si="47"/>
        <v>1.3</v>
      </c>
      <c r="Z87">
        <f t="shared" si="48"/>
        <v>1</v>
      </c>
      <c r="AA87">
        <f t="shared" si="49"/>
        <v>-1.4E-3</v>
      </c>
      <c r="AD87">
        <f t="shared" si="50"/>
        <v>0</v>
      </c>
      <c r="AE87">
        <f t="shared" si="51"/>
        <v>0</v>
      </c>
      <c r="AF87">
        <f t="shared" si="52"/>
        <v>0</v>
      </c>
      <c r="AG87">
        <f t="shared" si="53"/>
        <v>0</v>
      </c>
      <c r="AH87">
        <f t="shared" si="54"/>
        <v>0.08</v>
      </c>
      <c r="AI87">
        <f t="shared" si="55"/>
        <v>0</v>
      </c>
      <c r="AJ87">
        <f t="shared" si="56"/>
        <v>0.19</v>
      </c>
      <c r="AK87">
        <f t="shared" si="57"/>
        <v>0.6784</v>
      </c>
      <c r="AL87">
        <f t="shared" si="58"/>
        <v>0</v>
      </c>
      <c r="AM87">
        <f t="shared" si="59"/>
        <v>0</v>
      </c>
      <c r="AN87">
        <f t="shared" si="60"/>
        <v>0</v>
      </c>
      <c r="AO87">
        <f t="shared" si="61"/>
        <v>0</v>
      </c>
    </row>
    <row r="88" spans="5:41" x14ac:dyDescent="0.2">
      <c r="F88" t="s">
        <v>115</v>
      </c>
      <c r="H88">
        <v>55</v>
      </c>
      <c r="I88">
        <v>0</v>
      </c>
      <c r="J88">
        <v>0</v>
      </c>
      <c r="L88">
        <f t="shared" si="42"/>
        <v>91.25</v>
      </c>
      <c r="R88">
        <f t="shared" si="43"/>
        <v>0</v>
      </c>
      <c r="S88">
        <f>S71</f>
        <v>1</v>
      </c>
      <c r="T88">
        <f>T71</f>
        <v>0.78</v>
      </c>
      <c r="U88">
        <f t="shared" si="44"/>
        <v>4.7000000000000002E-3</v>
      </c>
      <c r="V88">
        <f t="shared" si="45"/>
        <v>0</v>
      </c>
      <c r="W88">
        <v>0</v>
      </c>
      <c r="X88">
        <f t="shared" si="46"/>
        <v>0</v>
      </c>
      <c r="Y88">
        <f t="shared" si="47"/>
        <v>1.3</v>
      </c>
      <c r="Z88">
        <f t="shared" si="48"/>
        <v>1</v>
      </c>
      <c r="AA88">
        <f t="shared" si="49"/>
        <v>-1.4E-3</v>
      </c>
      <c r="AD88">
        <f t="shared" si="50"/>
        <v>0</v>
      </c>
      <c r="AE88">
        <f t="shared" si="51"/>
        <v>0</v>
      </c>
      <c r="AF88">
        <f t="shared" si="52"/>
        <v>0</v>
      </c>
      <c r="AG88">
        <f t="shared" si="53"/>
        <v>0</v>
      </c>
      <c r="AH88">
        <f t="shared" si="54"/>
        <v>0.08</v>
      </c>
      <c r="AI88">
        <f t="shared" si="55"/>
        <v>0</v>
      </c>
      <c r="AJ88">
        <f t="shared" si="56"/>
        <v>0.19</v>
      </c>
      <c r="AK88">
        <f t="shared" si="57"/>
        <v>0.6784</v>
      </c>
      <c r="AL88">
        <f t="shared" si="58"/>
        <v>0</v>
      </c>
      <c r="AM88">
        <f t="shared" si="59"/>
        <v>0</v>
      </c>
      <c r="AN88">
        <f t="shared" si="60"/>
        <v>0</v>
      </c>
      <c r="AO88">
        <f t="shared" si="61"/>
        <v>0</v>
      </c>
    </row>
    <row r="89" spans="5:41" x14ac:dyDescent="0.2">
      <c r="F89" t="s">
        <v>117</v>
      </c>
      <c r="H89">
        <v>60</v>
      </c>
      <c r="I89">
        <v>0</v>
      </c>
      <c r="J89">
        <v>0</v>
      </c>
      <c r="L89">
        <f t="shared" si="42"/>
        <v>91.25</v>
      </c>
      <c r="R89">
        <f t="shared" si="43"/>
        <v>0</v>
      </c>
      <c r="S89">
        <f>S71</f>
        <v>1</v>
      </c>
      <c r="T89">
        <f>T71</f>
        <v>0.78</v>
      </c>
      <c r="U89">
        <f t="shared" si="44"/>
        <v>4.7000000000000002E-3</v>
      </c>
      <c r="V89">
        <f t="shared" si="45"/>
        <v>0</v>
      </c>
      <c r="W89">
        <v>0</v>
      </c>
      <c r="X89">
        <f t="shared" si="46"/>
        <v>0</v>
      </c>
      <c r="Y89">
        <f t="shared" si="47"/>
        <v>1.3</v>
      </c>
      <c r="Z89">
        <f t="shared" si="48"/>
        <v>1</v>
      </c>
      <c r="AA89">
        <f t="shared" si="49"/>
        <v>-1.4E-3</v>
      </c>
      <c r="AD89">
        <f t="shared" si="50"/>
        <v>0</v>
      </c>
      <c r="AE89">
        <f t="shared" si="51"/>
        <v>0</v>
      </c>
      <c r="AF89">
        <f t="shared" si="52"/>
        <v>0</v>
      </c>
      <c r="AG89">
        <f t="shared" si="53"/>
        <v>0</v>
      </c>
      <c r="AH89">
        <f t="shared" si="54"/>
        <v>0.08</v>
      </c>
      <c r="AI89">
        <f t="shared" si="55"/>
        <v>0</v>
      </c>
      <c r="AJ89">
        <f t="shared" si="56"/>
        <v>0.19</v>
      </c>
      <c r="AK89">
        <f t="shared" si="57"/>
        <v>0.6784</v>
      </c>
      <c r="AL89">
        <f t="shared" si="58"/>
        <v>0</v>
      </c>
      <c r="AM89">
        <f t="shared" si="59"/>
        <v>0</v>
      </c>
      <c r="AN89">
        <f t="shared" si="60"/>
        <v>0</v>
      </c>
      <c r="AO89">
        <f t="shared" si="61"/>
        <v>0</v>
      </c>
    </row>
    <row r="90" spans="5:41" x14ac:dyDescent="0.2">
      <c r="F90" t="s">
        <v>119</v>
      </c>
      <c r="H90">
        <v>65</v>
      </c>
      <c r="I90">
        <v>0</v>
      </c>
      <c r="J90">
        <v>0</v>
      </c>
      <c r="L90">
        <f t="shared" si="42"/>
        <v>91.25</v>
      </c>
      <c r="R90">
        <f t="shared" si="43"/>
        <v>0</v>
      </c>
      <c r="S90">
        <f>S71</f>
        <v>1</v>
      </c>
      <c r="T90">
        <f>T71</f>
        <v>0.78</v>
      </c>
      <c r="U90">
        <f t="shared" si="44"/>
        <v>4.7000000000000002E-3</v>
      </c>
      <c r="V90">
        <f t="shared" si="45"/>
        <v>0</v>
      </c>
      <c r="W90">
        <v>0</v>
      </c>
      <c r="X90">
        <f t="shared" si="46"/>
        <v>0</v>
      </c>
      <c r="Y90">
        <f t="shared" si="47"/>
        <v>1.3</v>
      </c>
      <c r="Z90">
        <f t="shared" si="48"/>
        <v>1</v>
      </c>
      <c r="AA90">
        <f t="shared" si="49"/>
        <v>-1.4E-3</v>
      </c>
      <c r="AD90">
        <f t="shared" si="50"/>
        <v>0</v>
      </c>
      <c r="AE90">
        <f t="shared" si="51"/>
        <v>0</v>
      </c>
      <c r="AF90">
        <f t="shared" si="52"/>
        <v>0</v>
      </c>
      <c r="AG90">
        <f t="shared" si="53"/>
        <v>0</v>
      </c>
      <c r="AH90">
        <f t="shared" si="54"/>
        <v>0.08</v>
      </c>
      <c r="AI90">
        <f t="shared" si="55"/>
        <v>0</v>
      </c>
      <c r="AJ90">
        <f t="shared" si="56"/>
        <v>0.19</v>
      </c>
      <c r="AK90">
        <f t="shared" si="57"/>
        <v>0.6784</v>
      </c>
      <c r="AL90">
        <f t="shared" si="58"/>
        <v>0</v>
      </c>
      <c r="AM90">
        <f t="shared" si="59"/>
        <v>0</v>
      </c>
      <c r="AN90">
        <f t="shared" si="60"/>
        <v>0</v>
      </c>
      <c r="AO90">
        <f t="shared" si="61"/>
        <v>0</v>
      </c>
    </row>
    <row r="91" spans="5:41" x14ac:dyDescent="0.2">
      <c r="E91" t="s">
        <v>132</v>
      </c>
      <c r="F91" t="s">
        <v>113</v>
      </c>
      <c r="H91">
        <v>50</v>
      </c>
      <c r="I91">
        <v>0</v>
      </c>
      <c r="J91">
        <v>0</v>
      </c>
      <c r="L91">
        <f t="shared" si="42"/>
        <v>91.25</v>
      </c>
      <c r="R91">
        <f t="shared" si="43"/>
        <v>0</v>
      </c>
      <c r="S91">
        <f>S71</f>
        <v>1</v>
      </c>
      <c r="T91">
        <f>T71</f>
        <v>0.78</v>
      </c>
      <c r="U91">
        <f t="shared" si="44"/>
        <v>4.7000000000000002E-3</v>
      </c>
      <c r="V91">
        <f t="shared" si="45"/>
        <v>0</v>
      </c>
      <c r="W91">
        <v>0</v>
      </c>
      <c r="X91">
        <f t="shared" si="46"/>
        <v>0</v>
      </c>
      <c r="Y91">
        <f t="shared" si="47"/>
        <v>1.3</v>
      </c>
      <c r="Z91">
        <f t="shared" si="48"/>
        <v>1</v>
      </c>
      <c r="AA91">
        <f t="shared" si="49"/>
        <v>-1.4E-3</v>
      </c>
      <c r="AD91">
        <f t="shared" si="50"/>
        <v>0</v>
      </c>
      <c r="AE91">
        <f t="shared" si="51"/>
        <v>0</v>
      </c>
      <c r="AF91">
        <f t="shared" si="52"/>
        <v>0</v>
      </c>
      <c r="AG91">
        <f t="shared" si="53"/>
        <v>0</v>
      </c>
      <c r="AH91">
        <f t="shared" si="54"/>
        <v>0.08</v>
      </c>
      <c r="AI91">
        <f t="shared" si="55"/>
        <v>0</v>
      </c>
      <c r="AJ91">
        <f t="shared" si="56"/>
        <v>0.19</v>
      </c>
      <c r="AK91">
        <f t="shared" si="57"/>
        <v>0.6784</v>
      </c>
      <c r="AL91">
        <f t="shared" si="58"/>
        <v>0</v>
      </c>
      <c r="AM91">
        <f t="shared" si="59"/>
        <v>0</v>
      </c>
      <c r="AN91">
        <f t="shared" si="60"/>
        <v>0</v>
      </c>
      <c r="AO91">
        <f t="shared" si="61"/>
        <v>0</v>
      </c>
    </row>
    <row r="92" spans="5:41" x14ac:dyDescent="0.2">
      <c r="F92" t="s">
        <v>115</v>
      </c>
      <c r="H92">
        <v>100</v>
      </c>
      <c r="I92">
        <v>0</v>
      </c>
      <c r="J92">
        <v>0</v>
      </c>
      <c r="L92">
        <f t="shared" si="42"/>
        <v>91.25</v>
      </c>
      <c r="R92">
        <f t="shared" si="43"/>
        <v>0</v>
      </c>
      <c r="S92">
        <f>S71</f>
        <v>1</v>
      </c>
      <c r="T92">
        <f>T71</f>
        <v>0.78</v>
      </c>
      <c r="U92">
        <f t="shared" si="44"/>
        <v>4.7000000000000002E-3</v>
      </c>
      <c r="V92">
        <f t="shared" si="45"/>
        <v>0</v>
      </c>
      <c r="W92">
        <v>0</v>
      </c>
      <c r="X92">
        <f t="shared" si="46"/>
        <v>0</v>
      </c>
      <c r="Y92">
        <f t="shared" si="47"/>
        <v>1.3</v>
      </c>
      <c r="Z92">
        <f t="shared" si="48"/>
        <v>1</v>
      </c>
      <c r="AA92">
        <f t="shared" si="49"/>
        <v>-1.4E-3</v>
      </c>
      <c r="AD92">
        <f t="shared" si="50"/>
        <v>0</v>
      </c>
      <c r="AE92">
        <f t="shared" si="51"/>
        <v>0</v>
      </c>
      <c r="AF92">
        <f t="shared" si="52"/>
        <v>0</v>
      </c>
      <c r="AG92">
        <f t="shared" si="53"/>
        <v>0</v>
      </c>
      <c r="AH92">
        <f t="shared" si="54"/>
        <v>0.08</v>
      </c>
      <c r="AI92">
        <f t="shared" si="55"/>
        <v>0</v>
      </c>
      <c r="AJ92">
        <f t="shared" si="56"/>
        <v>0.19</v>
      </c>
      <c r="AK92">
        <f t="shared" si="57"/>
        <v>0.6784</v>
      </c>
      <c r="AL92">
        <f t="shared" si="58"/>
        <v>0</v>
      </c>
      <c r="AM92">
        <f t="shared" si="59"/>
        <v>0</v>
      </c>
      <c r="AN92">
        <f t="shared" si="60"/>
        <v>0</v>
      </c>
      <c r="AO92">
        <f t="shared" si="61"/>
        <v>0</v>
      </c>
    </row>
    <row r="93" spans="5:41" x14ac:dyDescent="0.2">
      <c r="F93" t="s">
        <v>117</v>
      </c>
      <c r="H93">
        <v>90</v>
      </c>
      <c r="I93">
        <v>0</v>
      </c>
      <c r="J93">
        <v>0</v>
      </c>
      <c r="L93">
        <f t="shared" si="42"/>
        <v>91.25</v>
      </c>
      <c r="R93">
        <f t="shared" si="43"/>
        <v>0</v>
      </c>
      <c r="S93">
        <f>S71</f>
        <v>1</v>
      </c>
      <c r="T93">
        <f>T71</f>
        <v>0.78</v>
      </c>
      <c r="U93">
        <f t="shared" si="44"/>
        <v>4.7000000000000002E-3</v>
      </c>
      <c r="V93">
        <f t="shared" si="45"/>
        <v>0</v>
      </c>
      <c r="W93">
        <v>0</v>
      </c>
      <c r="X93">
        <f t="shared" si="46"/>
        <v>0</v>
      </c>
      <c r="Y93">
        <f t="shared" si="47"/>
        <v>1.3</v>
      </c>
      <c r="Z93">
        <f t="shared" si="48"/>
        <v>1</v>
      </c>
      <c r="AA93">
        <f t="shared" si="49"/>
        <v>-1.4E-3</v>
      </c>
      <c r="AD93">
        <f t="shared" si="50"/>
        <v>0</v>
      </c>
      <c r="AE93">
        <f t="shared" si="51"/>
        <v>0</v>
      </c>
      <c r="AF93">
        <f t="shared" si="52"/>
        <v>0</v>
      </c>
      <c r="AG93">
        <f t="shared" si="53"/>
        <v>0</v>
      </c>
      <c r="AH93">
        <f t="shared" si="54"/>
        <v>0.08</v>
      </c>
      <c r="AI93">
        <f t="shared" si="55"/>
        <v>0</v>
      </c>
      <c r="AJ93">
        <f t="shared" si="56"/>
        <v>0.19</v>
      </c>
      <c r="AK93">
        <f t="shared" si="57"/>
        <v>0.6784</v>
      </c>
      <c r="AL93">
        <f t="shared" si="58"/>
        <v>0</v>
      </c>
      <c r="AM93">
        <f t="shared" si="59"/>
        <v>0</v>
      </c>
      <c r="AN93">
        <f t="shared" si="60"/>
        <v>0</v>
      </c>
      <c r="AO93">
        <f t="shared" si="61"/>
        <v>0</v>
      </c>
    </row>
    <row r="94" spans="5:41" x14ac:dyDescent="0.2">
      <c r="F94" t="s">
        <v>119</v>
      </c>
      <c r="H94">
        <v>80</v>
      </c>
      <c r="I94">
        <v>0</v>
      </c>
      <c r="J94">
        <v>0</v>
      </c>
      <c r="L94">
        <f t="shared" si="42"/>
        <v>91.25</v>
      </c>
      <c r="R94">
        <f t="shared" si="43"/>
        <v>0</v>
      </c>
      <c r="S94">
        <f>S71</f>
        <v>1</v>
      </c>
      <c r="T94">
        <f>T71</f>
        <v>0.78</v>
      </c>
      <c r="U94">
        <f t="shared" si="44"/>
        <v>4.7000000000000002E-3</v>
      </c>
      <c r="V94">
        <f t="shared" si="45"/>
        <v>0</v>
      </c>
      <c r="W94">
        <v>0</v>
      </c>
      <c r="X94">
        <f t="shared" si="46"/>
        <v>0</v>
      </c>
      <c r="Y94">
        <f t="shared" si="47"/>
        <v>1.3</v>
      </c>
      <c r="Z94">
        <f t="shared" si="48"/>
        <v>1</v>
      </c>
      <c r="AA94">
        <f t="shared" si="49"/>
        <v>-1.4E-3</v>
      </c>
      <c r="AD94">
        <f t="shared" si="50"/>
        <v>0</v>
      </c>
      <c r="AE94">
        <f t="shared" si="51"/>
        <v>0</v>
      </c>
      <c r="AF94">
        <f t="shared" si="52"/>
        <v>0</v>
      </c>
      <c r="AG94">
        <f t="shared" si="53"/>
        <v>0</v>
      </c>
      <c r="AH94">
        <f t="shared" si="54"/>
        <v>0.08</v>
      </c>
      <c r="AI94">
        <f t="shared" si="55"/>
        <v>0</v>
      </c>
      <c r="AJ94">
        <f t="shared" si="56"/>
        <v>0.19</v>
      </c>
      <c r="AK94">
        <f t="shared" si="57"/>
        <v>0.6784</v>
      </c>
      <c r="AL94">
        <f t="shared" si="58"/>
        <v>0</v>
      </c>
      <c r="AM94">
        <f t="shared" si="59"/>
        <v>0</v>
      </c>
      <c r="AN94">
        <f t="shared" si="60"/>
        <v>0</v>
      </c>
      <c r="AO94">
        <f t="shared" si="61"/>
        <v>0</v>
      </c>
    </row>
    <row r="101" spans="1:42" x14ac:dyDescent="0.2">
      <c r="A101" t="s">
        <v>118</v>
      </c>
      <c r="B101" t="s">
        <v>118</v>
      </c>
      <c r="C101" t="s">
        <v>118</v>
      </c>
      <c r="D101" t="s">
        <v>138</v>
      </c>
      <c r="E101" t="s">
        <v>112</v>
      </c>
      <c r="F101" t="s">
        <v>113</v>
      </c>
      <c r="H101">
        <v>100</v>
      </c>
      <c r="I101">
        <v>95</v>
      </c>
      <c r="J101">
        <v>90</v>
      </c>
      <c r="L101">
        <f t="shared" ref="L101:L124" si="62">$AV$3</f>
        <v>91.25</v>
      </c>
      <c r="M101" t="e" cm="1">
        <f t="array" aca="1" ref="M101" ca="1">_xludf.DROP(_xludf.XLOOKUP($C101,#REF!,#REF!),1)</f>
        <v>#NAME?</v>
      </c>
      <c r="O101" t="e" cm="1">
        <f t="array" aca="1" ref="O101" ca="1">_xludf.DROP(_xludf.XLOOKUP($C101,#REF!,#REF!),1)</f>
        <v>#NAME?</v>
      </c>
      <c r="Q101" t="e" cm="1">
        <f t="array" aca="1" ref="Q101" ca="1">_xludf.DROP(_xludf.XLOOKUP($C101,#REF!,#REF!),1)</f>
        <v>#NAME?</v>
      </c>
      <c r="R101">
        <f t="shared" ref="R101:R124" si="63">1-S101</f>
        <v>2.6000000000000467E-3</v>
      </c>
      <c r="S101">
        <f>IF($D101="yes", 1, VLOOKUP($B101, $AU$26:$AW$32, 2)/100)</f>
        <v>0.99739999999999995</v>
      </c>
      <c r="T101">
        <f>VLOOKUP($B101,$AW$10:$AX$16, 2, FALSE)</f>
        <v>0.74</v>
      </c>
      <c r="U101">
        <f t="shared" ref="U101:U124" si="64">$AV$10</f>
        <v>4.7000000000000002E-3</v>
      </c>
      <c r="V101">
        <f t="shared" ref="V101:V124" si="65">(I101/100)*(MIN(J101,100)/100)</f>
        <v>0.85499999999999998</v>
      </c>
      <c r="W101">
        <v>0</v>
      </c>
      <c r="X101">
        <f t="shared" ref="X101:X124" si="66">1.6 * W101</f>
        <v>0</v>
      </c>
      <c r="Y101">
        <f t="shared" ref="Y101:Y124" si="67">$AY$1</f>
        <v>1.3</v>
      </c>
      <c r="Z101">
        <f t="shared" ref="Z101:Z124" si="68">V101*Y101+(1-V101)</f>
        <v>1.2565</v>
      </c>
      <c r="AA101" t="e">
        <f t="shared" ref="AA101:AA124" ca="1" si="69">(0.795*O101)-0.0014</f>
        <v>#NAME?</v>
      </c>
      <c r="AC101" t="e" cm="1">
        <f t="array" aca="1" ref="AC101" ca="1">_xludf.DROP(_xludf.XLOOKUP($C101,#REF!,#REF!),1)</f>
        <v>#NAME?</v>
      </c>
      <c r="AD101" t="e">
        <f t="shared" ref="AD101:AD124" ca="1" si="70">1 - EXP(-2*(AC101^2))</f>
        <v>#NAME?</v>
      </c>
      <c r="AE101" t="e">
        <f t="shared" ref="AE101:AE124" ca="1" si="71">(104.7*AA101+0.307*Q101-15)*(Q101^0.75)*10^-3</f>
        <v>#NAME?</v>
      </c>
      <c r="AF101" t="e">
        <f t="shared" ref="AF101:AF124" ca="1" si="72">AE101*AD101*Z101</f>
        <v>#NAME?</v>
      </c>
      <c r="AG101" t="e">
        <f t="shared" ref="AG101:AG124" ca="1" si="73">(AF101 * M101) + (0.045 * X101)</f>
        <v>#NAME?</v>
      </c>
      <c r="AH101">
        <f t="shared" ref="AH101:AH124" si="74">$AV$2</f>
        <v>0.08</v>
      </c>
      <c r="AI101" t="e">
        <f t="shared" ref="AI101:AI124" ca="1" si="75">(AF101 * ((1 - O101) + (0.04 * AF101))) * ( 1 - AH101 )</f>
        <v>#NAME?</v>
      </c>
      <c r="AJ101">
        <f t="shared" ref="AJ101:AJ124" si="76">$AV$1</f>
        <v>0.19</v>
      </c>
      <c r="AK101">
        <f t="shared" ref="AK101:AK124" si="77">$AW$20</f>
        <v>0.6784</v>
      </c>
      <c r="AL101" t="e">
        <f t="shared" ref="AL101:AL124" ca="1" si="78">AI101 * AJ101 * R101 * T101 * AK101</f>
        <v>#NAME?</v>
      </c>
      <c r="AM101" t="e">
        <f t="shared" ref="AM101:AM124" ca="1" si="79">AI101*AJ101*S101*U101*AK101</f>
        <v>#NAME?</v>
      </c>
      <c r="AN101" t="e">
        <f t="shared" ref="AN101:AN124" ca="1" si="80">AL101+AM101</f>
        <v>#NAME?</v>
      </c>
      <c r="AO101" t="e">
        <f t="shared" ref="AO101:AO124" ca="1" si="81">H101*AN101*L101</f>
        <v>#NAME?</v>
      </c>
      <c r="AP101" t="e">
        <f ca="1">SUM(AO101:AO124)*10^-3</f>
        <v>#NAME?</v>
      </c>
    </row>
    <row r="102" spans="1:42" x14ac:dyDescent="0.2">
      <c r="F102" t="s">
        <v>115</v>
      </c>
      <c r="H102">
        <v>70</v>
      </c>
      <c r="I102">
        <v>0</v>
      </c>
      <c r="J102">
        <v>0</v>
      </c>
      <c r="L102">
        <f t="shared" si="62"/>
        <v>91.25</v>
      </c>
      <c r="R102">
        <f t="shared" si="63"/>
        <v>2.6000000000000467E-3</v>
      </c>
      <c r="S102">
        <f>S101</f>
        <v>0.99739999999999995</v>
      </c>
      <c r="T102">
        <f>T101</f>
        <v>0.74</v>
      </c>
      <c r="U102">
        <f t="shared" si="64"/>
        <v>4.7000000000000002E-3</v>
      </c>
      <c r="V102">
        <f t="shared" si="65"/>
        <v>0</v>
      </c>
      <c r="W102">
        <v>0</v>
      </c>
      <c r="X102">
        <f t="shared" si="66"/>
        <v>0</v>
      </c>
      <c r="Y102">
        <f t="shared" si="67"/>
        <v>1.3</v>
      </c>
      <c r="Z102">
        <f t="shared" si="68"/>
        <v>1</v>
      </c>
      <c r="AA102">
        <f t="shared" si="69"/>
        <v>-1.4E-3</v>
      </c>
      <c r="AD102">
        <f t="shared" si="70"/>
        <v>0</v>
      </c>
      <c r="AE102">
        <f t="shared" si="71"/>
        <v>0</v>
      </c>
      <c r="AF102">
        <f t="shared" si="72"/>
        <v>0</v>
      </c>
      <c r="AG102">
        <f t="shared" si="73"/>
        <v>0</v>
      </c>
      <c r="AH102">
        <f t="shared" si="74"/>
        <v>0.08</v>
      </c>
      <c r="AI102">
        <f t="shared" si="75"/>
        <v>0</v>
      </c>
      <c r="AJ102">
        <f t="shared" si="76"/>
        <v>0.19</v>
      </c>
      <c r="AK102">
        <f t="shared" si="77"/>
        <v>0.6784</v>
      </c>
      <c r="AL102">
        <f t="shared" si="78"/>
        <v>0</v>
      </c>
      <c r="AM102">
        <f t="shared" si="79"/>
        <v>0</v>
      </c>
      <c r="AN102">
        <f t="shared" si="80"/>
        <v>0</v>
      </c>
      <c r="AO102">
        <f t="shared" si="81"/>
        <v>0</v>
      </c>
    </row>
    <row r="103" spans="1:42" x14ac:dyDescent="0.2">
      <c r="F103" t="s">
        <v>117</v>
      </c>
      <c r="H103">
        <v>65</v>
      </c>
      <c r="I103">
        <v>0</v>
      </c>
      <c r="J103">
        <v>0</v>
      </c>
      <c r="L103">
        <f t="shared" si="62"/>
        <v>91.25</v>
      </c>
      <c r="R103">
        <f t="shared" si="63"/>
        <v>2.6000000000000467E-3</v>
      </c>
      <c r="S103">
        <f>S101</f>
        <v>0.99739999999999995</v>
      </c>
      <c r="T103">
        <f>T101</f>
        <v>0.74</v>
      </c>
      <c r="U103">
        <f t="shared" si="64"/>
        <v>4.7000000000000002E-3</v>
      </c>
      <c r="V103">
        <f t="shared" si="65"/>
        <v>0</v>
      </c>
      <c r="W103">
        <v>0</v>
      </c>
      <c r="X103">
        <f t="shared" si="66"/>
        <v>0</v>
      </c>
      <c r="Y103">
        <f t="shared" si="67"/>
        <v>1.3</v>
      </c>
      <c r="Z103">
        <f t="shared" si="68"/>
        <v>1</v>
      </c>
      <c r="AA103">
        <f t="shared" si="69"/>
        <v>-1.4E-3</v>
      </c>
      <c r="AD103">
        <f t="shared" si="70"/>
        <v>0</v>
      </c>
      <c r="AE103">
        <f t="shared" si="71"/>
        <v>0</v>
      </c>
      <c r="AF103">
        <f t="shared" si="72"/>
        <v>0</v>
      </c>
      <c r="AG103">
        <f t="shared" si="73"/>
        <v>0</v>
      </c>
      <c r="AH103">
        <f t="shared" si="74"/>
        <v>0.08</v>
      </c>
      <c r="AI103">
        <f t="shared" si="75"/>
        <v>0</v>
      </c>
      <c r="AJ103">
        <f t="shared" si="76"/>
        <v>0.19</v>
      </c>
      <c r="AK103">
        <f t="shared" si="77"/>
        <v>0.6784</v>
      </c>
      <c r="AL103">
        <f t="shared" si="78"/>
        <v>0</v>
      </c>
      <c r="AM103">
        <f t="shared" si="79"/>
        <v>0</v>
      </c>
      <c r="AN103">
        <f t="shared" si="80"/>
        <v>0</v>
      </c>
      <c r="AO103">
        <f t="shared" si="81"/>
        <v>0</v>
      </c>
    </row>
    <row r="104" spans="1:42" x14ac:dyDescent="0.2">
      <c r="F104" t="s">
        <v>119</v>
      </c>
      <c r="H104">
        <v>80</v>
      </c>
      <c r="I104">
        <v>0</v>
      </c>
      <c r="J104">
        <v>0</v>
      </c>
      <c r="L104">
        <f t="shared" si="62"/>
        <v>91.25</v>
      </c>
      <c r="R104">
        <f t="shared" si="63"/>
        <v>2.6000000000000467E-3</v>
      </c>
      <c r="S104">
        <f>S101</f>
        <v>0.99739999999999995</v>
      </c>
      <c r="T104">
        <f>T101</f>
        <v>0.74</v>
      </c>
      <c r="U104">
        <f t="shared" si="64"/>
        <v>4.7000000000000002E-3</v>
      </c>
      <c r="V104">
        <f t="shared" si="65"/>
        <v>0</v>
      </c>
      <c r="W104">
        <v>0</v>
      </c>
      <c r="X104">
        <f t="shared" si="66"/>
        <v>0</v>
      </c>
      <c r="Y104">
        <f t="shared" si="67"/>
        <v>1.3</v>
      </c>
      <c r="Z104">
        <f t="shared" si="68"/>
        <v>1</v>
      </c>
      <c r="AA104">
        <f t="shared" si="69"/>
        <v>-1.4E-3</v>
      </c>
      <c r="AD104">
        <f t="shared" si="70"/>
        <v>0</v>
      </c>
      <c r="AE104">
        <f t="shared" si="71"/>
        <v>0</v>
      </c>
      <c r="AF104">
        <f t="shared" si="72"/>
        <v>0</v>
      </c>
      <c r="AG104">
        <f t="shared" si="73"/>
        <v>0</v>
      </c>
      <c r="AH104">
        <f t="shared" si="74"/>
        <v>0.08</v>
      </c>
      <c r="AI104">
        <f t="shared" si="75"/>
        <v>0</v>
      </c>
      <c r="AJ104">
        <f t="shared" si="76"/>
        <v>0.19</v>
      </c>
      <c r="AK104">
        <f t="shared" si="77"/>
        <v>0.6784</v>
      </c>
      <c r="AL104">
        <f t="shared" si="78"/>
        <v>0</v>
      </c>
      <c r="AM104">
        <f t="shared" si="79"/>
        <v>0</v>
      </c>
      <c r="AN104">
        <f t="shared" si="80"/>
        <v>0</v>
      </c>
      <c r="AO104">
        <f t="shared" si="81"/>
        <v>0</v>
      </c>
    </row>
    <row r="105" spans="1:42" x14ac:dyDescent="0.2">
      <c r="E105" t="s">
        <v>121</v>
      </c>
      <c r="F105" t="s">
        <v>113</v>
      </c>
      <c r="H105">
        <v>200</v>
      </c>
      <c r="I105">
        <v>0</v>
      </c>
      <c r="J105">
        <v>0</v>
      </c>
      <c r="L105">
        <f t="shared" si="62"/>
        <v>91.25</v>
      </c>
      <c r="R105">
        <f t="shared" si="63"/>
        <v>2.6000000000000467E-3</v>
      </c>
      <c r="S105">
        <f>S101</f>
        <v>0.99739999999999995</v>
      </c>
      <c r="T105">
        <f>T101</f>
        <v>0.74</v>
      </c>
      <c r="U105">
        <f t="shared" si="64"/>
        <v>4.7000000000000002E-3</v>
      </c>
      <c r="V105">
        <f t="shared" si="65"/>
        <v>0</v>
      </c>
      <c r="W105">
        <v>1</v>
      </c>
      <c r="X105">
        <f t="shared" si="66"/>
        <v>1.6</v>
      </c>
      <c r="Y105">
        <f t="shared" si="67"/>
        <v>1.3</v>
      </c>
      <c r="Z105">
        <f t="shared" si="68"/>
        <v>1</v>
      </c>
      <c r="AA105">
        <f t="shared" si="69"/>
        <v>-1.4E-3</v>
      </c>
      <c r="AD105">
        <f t="shared" si="70"/>
        <v>0</v>
      </c>
      <c r="AE105">
        <f t="shared" si="71"/>
        <v>0</v>
      </c>
      <c r="AF105">
        <f t="shared" si="72"/>
        <v>0</v>
      </c>
      <c r="AG105">
        <f t="shared" si="73"/>
        <v>7.1999999999999995E-2</v>
      </c>
      <c r="AH105">
        <f t="shared" si="74"/>
        <v>0.08</v>
      </c>
      <c r="AI105">
        <f t="shared" si="75"/>
        <v>0</v>
      </c>
      <c r="AJ105">
        <f t="shared" si="76"/>
        <v>0.19</v>
      </c>
      <c r="AK105">
        <f t="shared" si="77"/>
        <v>0.6784</v>
      </c>
      <c r="AL105">
        <f t="shared" si="78"/>
        <v>0</v>
      </c>
      <c r="AM105">
        <f t="shared" si="79"/>
        <v>0</v>
      </c>
      <c r="AN105">
        <f t="shared" si="80"/>
        <v>0</v>
      </c>
      <c r="AO105">
        <f t="shared" si="81"/>
        <v>0</v>
      </c>
    </row>
    <row r="106" spans="1:42" x14ac:dyDescent="0.2">
      <c r="F106" t="s">
        <v>115</v>
      </c>
      <c r="H106">
        <v>210</v>
      </c>
      <c r="I106">
        <v>0</v>
      </c>
      <c r="J106">
        <v>0</v>
      </c>
      <c r="L106">
        <f t="shared" si="62"/>
        <v>91.25</v>
      </c>
      <c r="R106">
        <f t="shared" si="63"/>
        <v>2.6000000000000467E-3</v>
      </c>
      <c r="S106">
        <f>S101</f>
        <v>0.99739999999999995</v>
      </c>
      <c r="T106">
        <f>T101</f>
        <v>0.74</v>
      </c>
      <c r="U106">
        <f t="shared" si="64"/>
        <v>4.7000000000000002E-3</v>
      </c>
      <c r="V106">
        <f t="shared" si="65"/>
        <v>0</v>
      </c>
      <c r="W106">
        <v>0</v>
      </c>
      <c r="X106">
        <f t="shared" si="66"/>
        <v>0</v>
      </c>
      <c r="Y106">
        <f t="shared" si="67"/>
        <v>1.3</v>
      </c>
      <c r="Z106">
        <f t="shared" si="68"/>
        <v>1</v>
      </c>
      <c r="AA106">
        <f t="shared" si="69"/>
        <v>-1.4E-3</v>
      </c>
      <c r="AD106">
        <f t="shared" si="70"/>
        <v>0</v>
      </c>
      <c r="AE106">
        <f t="shared" si="71"/>
        <v>0</v>
      </c>
      <c r="AF106">
        <f t="shared" si="72"/>
        <v>0</v>
      </c>
      <c r="AG106">
        <f t="shared" si="73"/>
        <v>0</v>
      </c>
      <c r="AH106">
        <f t="shared" si="74"/>
        <v>0.08</v>
      </c>
      <c r="AI106">
        <f t="shared" si="75"/>
        <v>0</v>
      </c>
      <c r="AJ106">
        <f t="shared" si="76"/>
        <v>0.19</v>
      </c>
      <c r="AK106">
        <f t="shared" si="77"/>
        <v>0.6784</v>
      </c>
      <c r="AL106">
        <f t="shared" si="78"/>
        <v>0</v>
      </c>
      <c r="AM106">
        <f t="shared" si="79"/>
        <v>0</v>
      </c>
      <c r="AN106">
        <f t="shared" si="80"/>
        <v>0</v>
      </c>
      <c r="AO106">
        <f t="shared" si="81"/>
        <v>0</v>
      </c>
    </row>
    <row r="107" spans="1:42" x14ac:dyDescent="0.2">
      <c r="F107" t="s">
        <v>117</v>
      </c>
      <c r="H107">
        <v>170</v>
      </c>
      <c r="I107">
        <v>0</v>
      </c>
      <c r="J107">
        <v>0</v>
      </c>
      <c r="L107">
        <f t="shared" si="62"/>
        <v>91.25</v>
      </c>
      <c r="R107">
        <f t="shared" si="63"/>
        <v>2.6000000000000467E-3</v>
      </c>
      <c r="S107">
        <f>S101</f>
        <v>0.99739999999999995</v>
      </c>
      <c r="T107">
        <f>T101</f>
        <v>0.74</v>
      </c>
      <c r="U107">
        <f t="shared" si="64"/>
        <v>4.7000000000000002E-3</v>
      </c>
      <c r="V107">
        <f t="shared" si="65"/>
        <v>0</v>
      </c>
      <c r="W107">
        <v>0</v>
      </c>
      <c r="X107">
        <f t="shared" si="66"/>
        <v>0</v>
      </c>
      <c r="Y107">
        <f t="shared" si="67"/>
        <v>1.3</v>
      </c>
      <c r="Z107">
        <f t="shared" si="68"/>
        <v>1</v>
      </c>
      <c r="AA107">
        <f t="shared" si="69"/>
        <v>-1.4E-3</v>
      </c>
      <c r="AD107">
        <f t="shared" si="70"/>
        <v>0</v>
      </c>
      <c r="AE107">
        <f t="shared" si="71"/>
        <v>0</v>
      </c>
      <c r="AF107">
        <f t="shared" si="72"/>
        <v>0</v>
      </c>
      <c r="AG107">
        <f t="shared" si="73"/>
        <v>0</v>
      </c>
      <c r="AH107">
        <f t="shared" si="74"/>
        <v>0.08</v>
      </c>
      <c r="AI107">
        <f t="shared" si="75"/>
        <v>0</v>
      </c>
      <c r="AJ107">
        <f t="shared" si="76"/>
        <v>0.19</v>
      </c>
      <c r="AK107">
        <f t="shared" si="77"/>
        <v>0.6784</v>
      </c>
      <c r="AL107">
        <f t="shared" si="78"/>
        <v>0</v>
      </c>
      <c r="AM107">
        <f t="shared" si="79"/>
        <v>0</v>
      </c>
      <c r="AN107">
        <f t="shared" si="80"/>
        <v>0</v>
      </c>
      <c r="AO107">
        <f t="shared" si="81"/>
        <v>0</v>
      </c>
    </row>
    <row r="108" spans="1:42" x14ac:dyDescent="0.2">
      <c r="F108" t="s">
        <v>119</v>
      </c>
      <c r="H108">
        <v>200</v>
      </c>
      <c r="I108">
        <v>0</v>
      </c>
      <c r="J108">
        <v>0</v>
      </c>
      <c r="L108">
        <f t="shared" si="62"/>
        <v>91.25</v>
      </c>
      <c r="R108">
        <f t="shared" si="63"/>
        <v>2.6000000000000467E-3</v>
      </c>
      <c r="S108">
        <f>S101</f>
        <v>0.99739999999999995</v>
      </c>
      <c r="T108">
        <f>T101</f>
        <v>0.74</v>
      </c>
      <c r="U108">
        <f t="shared" si="64"/>
        <v>4.7000000000000002E-3</v>
      </c>
      <c r="V108">
        <f t="shared" si="65"/>
        <v>0</v>
      </c>
      <c r="W108">
        <v>0</v>
      </c>
      <c r="X108">
        <f t="shared" si="66"/>
        <v>0</v>
      </c>
      <c r="Y108">
        <f t="shared" si="67"/>
        <v>1.3</v>
      </c>
      <c r="Z108">
        <f t="shared" si="68"/>
        <v>1</v>
      </c>
      <c r="AA108">
        <f t="shared" si="69"/>
        <v>-1.4E-3</v>
      </c>
      <c r="AD108">
        <f t="shared" si="70"/>
        <v>0</v>
      </c>
      <c r="AE108">
        <f t="shared" si="71"/>
        <v>0</v>
      </c>
      <c r="AF108">
        <f t="shared" si="72"/>
        <v>0</v>
      </c>
      <c r="AG108">
        <f t="shared" si="73"/>
        <v>0</v>
      </c>
      <c r="AH108">
        <f t="shared" si="74"/>
        <v>0.08</v>
      </c>
      <c r="AI108">
        <f t="shared" si="75"/>
        <v>0</v>
      </c>
      <c r="AJ108">
        <f t="shared" si="76"/>
        <v>0.19</v>
      </c>
      <c r="AK108">
        <f t="shared" si="77"/>
        <v>0.6784</v>
      </c>
      <c r="AL108">
        <f t="shared" si="78"/>
        <v>0</v>
      </c>
      <c r="AM108">
        <f t="shared" si="79"/>
        <v>0</v>
      </c>
      <c r="AN108">
        <f t="shared" si="80"/>
        <v>0</v>
      </c>
      <c r="AO108">
        <f t="shared" si="81"/>
        <v>0</v>
      </c>
    </row>
    <row r="109" spans="1:42" x14ac:dyDescent="0.2">
      <c r="E109" t="s">
        <v>126</v>
      </c>
      <c r="F109" t="s">
        <v>113</v>
      </c>
      <c r="H109">
        <v>100</v>
      </c>
      <c r="I109">
        <v>95</v>
      </c>
      <c r="J109">
        <v>92</v>
      </c>
      <c r="L109">
        <f t="shared" si="62"/>
        <v>91.25</v>
      </c>
      <c r="R109">
        <f t="shared" si="63"/>
        <v>2.6000000000000467E-3</v>
      </c>
      <c r="S109">
        <f>S101</f>
        <v>0.99739999999999995</v>
      </c>
      <c r="T109">
        <f>T101</f>
        <v>0.74</v>
      </c>
      <c r="U109">
        <f t="shared" si="64"/>
        <v>4.7000000000000002E-3</v>
      </c>
      <c r="V109">
        <f t="shared" si="65"/>
        <v>0.874</v>
      </c>
      <c r="W109">
        <v>0</v>
      </c>
      <c r="X109">
        <f t="shared" si="66"/>
        <v>0</v>
      </c>
      <c r="Y109">
        <f t="shared" si="67"/>
        <v>1.3</v>
      </c>
      <c r="Z109">
        <f t="shared" si="68"/>
        <v>1.2622</v>
      </c>
      <c r="AA109">
        <f t="shared" si="69"/>
        <v>-1.4E-3</v>
      </c>
      <c r="AD109">
        <f t="shared" si="70"/>
        <v>0</v>
      </c>
      <c r="AE109">
        <f t="shared" si="71"/>
        <v>0</v>
      </c>
      <c r="AF109">
        <f t="shared" si="72"/>
        <v>0</v>
      </c>
      <c r="AG109">
        <f t="shared" si="73"/>
        <v>0</v>
      </c>
      <c r="AH109">
        <f t="shared" si="74"/>
        <v>0.08</v>
      </c>
      <c r="AI109">
        <f t="shared" si="75"/>
        <v>0</v>
      </c>
      <c r="AJ109">
        <f t="shared" si="76"/>
        <v>0.19</v>
      </c>
      <c r="AK109">
        <f t="shared" si="77"/>
        <v>0.6784</v>
      </c>
      <c r="AL109">
        <f t="shared" si="78"/>
        <v>0</v>
      </c>
      <c r="AM109">
        <f t="shared" si="79"/>
        <v>0</v>
      </c>
      <c r="AN109">
        <f t="shared" si="80"/>
        <v>0</v>
      </c>
      <c r="AO109">
        <f t="shared" si="81"/>
        <v>0</v>
      </c>
    </row>
    <row r="110" spans="1:42" x14ac:dyDescent="0.2">
      <c r="F110" t="s">
        <v>115</v>
      </c>
      <c r="H110">
        <v>140</v>
      </c>
      <c r="I110">
        <v>0</v>
      </c>
      <c r="J110">
        <v>0</v>
      </c>
      <c r="L110">
        <f t="shared" si="62"/>
        <v>91.25</v>
      </c>
      <c r="R110">
        <f t="shared" si="63"/>
        <v>2.6000000000000467E-3</v>
      </c>
      <c r="S110">
        <f>S101</f>
        <v>0.99739999999999995</v>
      </c>
      <c r="T110">
        <f>T101</f>
        <v>0.74</v>
      </c>
      <c r="U110">
        <f t="shared" si="64"/>
        <v>4.7000000000000002E-3</v>
      </c>
      <c r="V110">
        <f t="shared" si="65"/>
        <v>0</v>
      </c>
      <c r="W110">
        <v>0</v>
      </c>
      <c r="X110">
        <f t="shared" si="66"/>
        <v>0</v>
      </c>
      <c r="Y110">
        <f t="shared" si="67"/>
        <v>1.3</v>
      </c>
      <c r="Z110">
        <f t="shared" si="68"/>
        <v>1</v>
      </c>
      <c r="AA110">
        <f t="shared" si="69"/>
        <v>-1.4E-3</v>
      </c>
      <c r="AD110">
        <f t="shared" si="70"/>
        <v>0</v>
      </c>
      <c r="AE110">
        <f t="shared" si="71"/>
        <v>0</v>
      </c>
      <c r="AF110">
        <f t="shared" si="72"/>
        <v>0</v>
      </c>
      <c r="AG110">
        <f t="shared" si="73"/>
        <v>0</v>
      </c>
      <c r="AH110">
        <f t="shared" si="74"/>
        <v>0.08</v>
      </c>
      <c r="AI110">
        <f t="shared" si="75"/>
        <v>0</v>
      </c>
      <c r="AJ110">
        <f t="shared" si="76"/>
        <v>0.19</v>
      </c>
      <c r="AK110">
        <f t="shared" si="77"/>
        <v>0.6784</v>
      </c>
      <c r="AL110">
        <f t="shared" si="78"/>
        <v>0</v>
      </c>
      <c r="AM110">
        <f t="shared" si="79"/>
        <v>0</v>
      </c>
      <c r="AN110">
        <f t="shared" si="80"/>
        <v>0</v>
      </c>
      <c r="AO110">
        <f t="shared" si="81"/>
        <v>0</v>
      </c>
    </row>
    <row r="111" spans="1:42" x14ac:dyDescent="0.2">
      <c r="F111" t="s">
        <v>117</v>
      </c>
      <c r="H111">
        <v>135</v>
      </c>
      <c r="I111">
        <v>0</v>
      </c>
      <c r="J111">
        <v>0</v>
      </c>
      <c r="L111">
        <f t="shared" si="62"/>
        <v>91.25</v>
      </c>
      <c r="R111">
        <f t="shared" si="63"/>
        <v>2.6000000000000467E-3</v>
      </c>
      <c r="S111">
        <f>S101</f>
        <v>0.99739999999999995</v>
      </c>
      <c r="T111">
        <f>T101</f>
        <v>0.74</v>
      </c>
      <c r="U111">
        <f t="shared" si="64"/>
        <v>4.7000000000000002E-3</v>
      </c>
      <c r="V111">
        <f t="shared" si="65"/>
        <v>0</v>
      </c>
      <c r="W111">
        <v>0</v>
      </c>
      <c r="X111">
        <f t="shared" si="66"/>
        <v>0</v>
      </c>
      <c r="Y111">
        <f t="shared" si="67"/>
        <v>1.3</v>
      </c>
      <c r="Z111">
        <f t="shared" si="68"/>
        <v>1</v>
      </c>
      <c r="AA111">
        <f t="shared" si="69"/>
        <v>-1.4E-3</v>
      </c>
      <c r="AD111">
        <f t="shared" si="70"/>
        <v>0</v>
      </c>
      <c r="AE111">
        <f t="shared" si="71"/>
        <v>0</v>
      </c>
      <c r="AF111">
        <f t="shared" si="72"/>
        <v>0</v>
      </c>
      <c r="AG111">
        <f t="shared" si="73"/>
        <v>0</v>
      </c>
      <c r="AH111">
        <f t="shared" si="74"/>
        <v>0.08</v>
      </c>
      <c r="AI111">
        <f t="shared" si="75"/>
        <v>0</v>
      </c>
      <c r="AJ111">
        <f t="shared" si="76"/>
        <v>0.19</v>
      </c>
      <c r="AK111">
        <f t="shared" si="77"/>
        <v>0.6784</v>
      </c>
      <c r="AL111">
        <f t="shared" si="78"/>
        <v>0</v>
      </c>
      <c r="AM111">
        <f t="shared" si="79"/>
        <v>0</v>
      </c>
      <c r="AN111">
        <f t="shared" si="80"/>
        <v>0</v>
      </c>
      <c r="AO111">
        <f t="shared" si="81"/>
        <v>0</v>
      </c>
    </row>
    <row r="112" spans="1:42" x14ac:dyDescent="0.2">
      <c r="F112" t="s">
        <v>119</v>
      </c>
      <c r="H112">
        <v>130</v>
      </c>
      <c r="I112">
        <v>0</v>
      </c>
      <c r="J112">
        <v>0</v>
      </c>
      <c r="L112">
        <f t="shared" si="62"/>
        <v>91.25</v>
      </c>
      <c r="R112">
        <f t="shared" si="63"/>
        <v>2.6000000000000467E-3</v>
      </c>
      <c r="S112">
        <f>S101</f>
        <v>0.99739999999999995</v>
      </c>
      <c r="T112">
        <f>T101</f>
        <v>0.74</v>
      </c>
      <c r="U112">
        <f t="shared" si="64"/>
        <v>4.7000000000000002E-3</v>
      </c>
      <c r="V112">
        <f t="shared" si="65"/>
        <v>0</v>
      </c>
      <c r="W112">
        <v>0</v>
      </c>
      <c r="X112">
        <f t="shared" si="66"/>
        <v>0</v>
      </c>
      <c r="Y112">
        <f t="shared" si="67"/>
        <v>1.3</v>
      </c>
      <c r="Z112">
        <f t="shared" si="68"/>
        <v>1</v>
      </c>
      <c r="AA112">
        <f t="shared" si="69"/>
        <v>-1.4E-3</v>
      </c>
      <c r="AD112">
        <f t="shared" si="70"/>
        <v>0</v>
      </c>
      <c r="AE112">
        <f t="shared" si="71"/>
        <v>0</v>
      </c>
      <c r="AF112">
        <f t="shared" si="72"/>
        <v>0</v>
      </c>
      <c r="AG112">
        <f t="shared" si="73"/>
        <v>0</v>
      </c>
      <c r="AH112">
        <f t="shared" si="74"/>
        <v>0.08</v>
      </c>
      <c r="AI112">
        <f t="shared" si="75"/>
        <v>0</v>
      </c>
      <c r="AJ112">
        <f t="shared" si="76"/>
        <v>0.19</v>
      </c>
      <c r="AK112">
        <f t="shared" si="77"/>
        <v>0.6784</v>
      </c>
      <c r="AL112">
        <f t="shared" si="78"/>
        <v>0</v>
      </c>
      <c r="AM112">
        <f t="shared" si="79"/>
        <v>0</v>
      </c>
      <c r="AN112">
        <f t="shared" si="80"/>
        <v>0</v>
      </c>
      <c r="AO112">
        <f t="shared" si="81"/>
        <v>0</v>
      </c>
    </row>
    <row r="113" spans="5:41" x14ac:dyDescent="0.2">
      <c r="E113" t="s">
        <v>129</v>
      </c>
      <c r="F113" t="s">
        <v>113</v>
      </c>
      <c r="H113">
        <v>200</v>
      </c>
      <c r="I113">
        <v>0</v>
      </c>
      <c r="J113">
        <v>0</v>
      </c>
      <c r="L113">
        <f t="shared" si="62"/>
        <v>91.25</v>
      </c>
      <c r="R113">
        <f t="shared" si="63"/>
        <v>2.6000000000000467E-3</v>
      </c>
      <c r="S113">
        <f>S101</f>
        <v>0.99739999999999995</v>
      </c>
      <c r="T113">
        <f>T101</f>
        <v>0.74</v>
      </c>
      <c r="U113">
        <f t="shared" si="64"/>
        <v>4.7000000000000002E-3</v>
      </c>
      <c r="V113">
        <f t="shared" si="65"/>
        <v>0</v>
      </c>
      <c r="W113">
        <v>0</v>
      </c>
      <c r="X113">
        <f t="shared" si="66"/>
        <v>0</v>
      </c>
      <c r="Y113">
        <f t="shared" si="67"/>
        <v>1.3</v>
      </c>
      <c r="Z113">
        <f t="shared" si="68"/>
        <v>1</v>
      </c>
      <c r="AA113">
        <f t="shared" si="69"/>
        <v>-1.4E-3</v>
      </c>
      <c r="AD113">
        <f t="shared" si="70"/>
        <v>0</v>
      </c>
      <c r="AE113">
        <f t="shared" si="71"/>
        <v>0</v>
      </c>
      <c r="AF113">
        <f t="shared" si="72"/>
        <v>0</v>
      </c>
      <c r="AG113">
        <f t="shared" si="73"/>
        <v>0</v>
      </c>
      <c r="AH113">
        <f t="shared" si="74"/>
        <v>0.08</v>
      </c>
      <c r="AI113">
        <f t="shared" si="75"/>
        <v>0</v>
      </c>
      <c r="AJ113">
        <f t="shared" si="76"/>
        <v>0.19</v>
      </c>
      <c r="AK113">
        <f t="shared" si="77"/>
        <v>0.6784</v>
      </c>
      <c r="AL113">
        <f t="shared" si="78"/>
        <v>0</v>
      </c>
      <c r="AM113">
        <f t="shared" si="79"/>
        <v>0</v>
      </c>
      <c r="AN113">
        <f t="shared" si="80"/>
        <v>0</v>
      </c>
      <c r="AO113">
        <f t="shared" si="81"/>
        <v>0</v>
      </c>
    </row>
    <row r="114" spans="5:41" x14ac:dyDescent="0.2">
      <c r="F114" t="s">
        <v>115</v>
      </c>
      <c r="H114">
        <v>210</v>
      </c>
      <c r="I114">
        <v>0</v>
      </c>
      <c r="J114">
        <v>0</v>
      </c>
      <c r="L114">
        <f t="shared" si="62"/>
        <v>91.25</v>
      </c>
      <c r="R114">
        <f t="shared" si="63"/>
        <v>2.6000000000000467E-3</v>
      </c>
      <c r="S114">
        <f>S101</f>
        <v>0.99739999999999995</v>
      </c>
      <c r="T114">
        <f>T101</f>
        <v>0.74</v>
      </c>
      <c r="U114">
        <f t="shared" si="64"/>
        <v>4.7000000000000002E-3</v>
      </c>
      <c r="V114">
        <f t="shared" si="65"/>
        <v>0</v>
      </c>
      <c r="W114">
        <v>0</v>
      </c>
      <c r="X114">
        <f t="shared" si="66"/>
        <v>0</v>
      </c>
      <c r="Y114">
        <f t="shared" si="67"/>
        <v>1.3</v>
      </c>
      <c r="Z114">
        <f t="shared" si="68"/>
        <v>1</v>
      </c>
      <c r="AA114">
        <f t="shared" si="69"/>
        <v>-1.4E-3</v>
      </c>
      <c r="AD114">
        <f t="shared" si="70"/>
        <v>0</v>
      </c>
      <c r="AE114">
        <f t="shared" si="71"/>
        <v>0</v>
      </c>
      <c r="AF114">
        <f t="shared" si="72"/>
        <v>0</v>
      </c>
      <c r="AG114">
        <f t="shared" si="73"/>
        <v>0</v>
      </c>
      <c r="AH114">
        <f t="shared" si="74"/>
        <v>0.08</v>
      </c>
      <c r="AI114">
        <f t="shared" si="75"/>
        <v>0</v>
      </c>
      <c r="AJ114">
        <f t="shared" si="76"/>
        <v>0.19</v>
      </c>
      <c r="AK114">
        <f t="shared" si="77"/>
        <v>0.6784</v>
      </c>
      <c r="AL114">
        <f t="shared" si="78"/>
        <v>0</v>
      </c>
      <c r="AM114">
        <f t="shared" si="79"/>
        <v>0</v>
      </c>
      <c r="AN114">
        <f t="shared" si="80"/>
        <v>0</v>
      </c>
      <c r="AO114">
        <f t="shared" si="81"/>
        <v>0</v>
      </c>
    </row>
    <row r="115" spans="5:41" x14ac:dyDescent="0.2">
      <c r="F115" t="s">
        <v>117</v>
      </c>
      <c r="H115">
        <v>190</v>
      </c>
      <c r="I115">
        <v>0</v>
      </c>
      <c r="J115">
        <v>0</v>
      </c>
      <c r="L115">
        <f t="shared" si="62"/>
        <v>91.25</v>
      </c>
      <c r="R115">
        <f t="shared" si="63"/>
        <v>2.6000000000000467E-3</v>
      </c>
      <c r="S115">
        <f>S101</f>
        <v>0.99739999999999995</v>
      </c>
      <c r="T115">
        <f>T101</f>
        <v>0.74</v>
      </c>
      <c r="U115">
        <f t="shared" si="64"/>
        <v>4.7000000000000002E-3</v>
      </c>
      <c r="V115">
        <f t="shared" si="65"/>
        <v>0</v>
      </c>
      <c r="W115">
        <v>0</v>
      </c>
      <c r="X115">
        <f t="shared" si="66"/>
        <v>0</v>
      </c>
      <c r="Y115">
        <f t="shared" si="67"/>
        <v>1.3</v>
      </c>
      <c r="Z115">
        <f t="shared" si="68"/>
        <v>1</v>
      </c>
      <c r="AA115">
        <f t="shared" si="69"/>
        <v>-1.4E-3</v>
      </c>
      <c r="AD115">
        <f t="shared" si="70"/>
        <v>0</v>
      </c>
      <c r="AE115">
        <f t="shared" si="71"/>
        <v>0</v>
      </c>
      <c r="AF115">
        <f t="shared" si="72"/>
        <v>0</v>
      </c>
      <c r="AG115">
        <f t="shared" si="73"/>
        <v>0</v>
      </c>
      <c r="AH115">
        <f t="shared" si="74"/>
        <v>0.08</v>
      </c>
      <c r="AI115">
        <f t="shared" si="75"/>
        <v>0</v>
      </c>
      <c r="AJ115">
        <f t="shared" si="76"/>
        <v>0.19</v>
      </c>
      <c r="AK115">
        <f t="shared" si="77"/>
        <v>0.6784</v>
      </c>
      <c r="AL115">
        <f t="shared" si="78"/>
        <v>0</v>
      </c>
      <c r="AM115">
        <f t="shared" si="79"/>
        <v>0</v>
      </c>
      <c r="AN115">
        <f t="shared" si="80"/>
        <v>0</v>
      </c>
      <c r="AO115">
        <f t="shared" si="81"/>
        <v>0</v>
      </c>
    </row>
    <row r="116" spans="5:41" x14ac:dyDescent="0.2">
      <c r="F116" t="s">
        <v>119</v>
      </c>
      <c r="H116">
        <v>180</v>
      </c>
      <c r="I116">
        <v>0</v>
      </c>
      <c r="J116">
        <v>0</v>
      </c>
      <c r="L116">
        <f t="shared" si="62"/>
        <v>91.25</v>
      </c>
      <c r="R116">
        <f t="shared" si="63"/>
        <v>2.6000000000000467E-3</v>
      </c>
      <c r="S116">
        <f>S101</f>
        <v>0.99739999999999995</v>
      </c>
      <c r="T116">
        <f>T101</f>
        <v>0.74</v>
      </c>
      <c r="U116">
        <f t="shared" si="64"/>
        <v>4.7000000000000002E-3</v>
      </c>
      <c r="V116">
        <f t="shared" si="65"/>
        <v>0</v>
      </c>
      <c r="W116">
        <v>0</v>
      </c>
      <c r="X116">
        <f t="shared" si="66"/>
        <v>0</v>
      </c>
      <c r="Y116">
        <f t="shared" si="67"/>
        <v>1.3</v>
      </c>
      <c r="Z116">
        <f t="shared" si="68"/>
        <v>1</v>
      </c>
      <c r="AA116">
        <f t="shared" si="69"/>
        <v>-1.4E-3</v>
      </c>
      <c r="AD116">
        <f t="shared" si="70"/>
        <v>0</v>
      </c>
      <c r="AE116">
        <f t="shared" si="71"/>
        <v>0</v>
      </c>
      <c r="AF116">
        <f t="shared" si="72"/>
        <v>0</v>
      </c>
      <c r="AG116">
        <f t="shared" si="73"/>
        <v>0</v>
      </c>
      <c r="AH116">
        <f t="shared" si="74"/>
        <v>0.08</v>
      </c>
      <c r="AI116">
        <f t="shared" si="75"/>
        <v>0</v>
      </c>
      <c r="AJ116">
        <f t="shared" si="76"/>
        <v>0.19</v>
      </c>
      <c r="AK116">
        <f t="shared" si="77"/>
        <v>0.6784</v>
      </c>
      <c r="AL116">
        <f t="shared" si="78"/>
        <v>0</v>
      </c>
      <c r="AM116">
        <f t="shared" si="79"/>
        <v>0</v>
      </c>
      <c r="AN116">
        <f t="shared" si="80"/>
        <v>0</v>
      </c>
      <c r="AO116">
        <f t="shared" si="81"/>
        <v>0</v>
      </c>
    </row>
    <row r="117" spans="5:41" x14ac:dyDescent="0.2">
      <c r="E117" t="s">
        <v>131</v>
      </c>
      <c r="F117" t="s">
        <v>113</v>
      </c>
      <c r="H117">
        <v>50</v>
      </c>
      <c r="I117">
        <v>0</v>
      </c>
      <c r="J117">
        <v>0</v>
      </c>
      <c r="L117">
        <f t="shared" si="62"/>
        <v>91.25</v>
      </c>
      <c r="R117">
        <f t="shared" si="63"/>
        <v>2.6000000000000467E-3</v>
      </c>
      <c r="S117">
        <f>S101</f>
        <v>0.99739999999999995</v>
      </c>
      <c r="T117">
        <f>T101</f>
        <v>0.74</v>
      </c>
      <c r="U117">
        <f t="shared" si="64"/>
        <v>4.7000000000000002E-3</v>
      </c>
      <c r="V117">
        <f t="shared" si="65"/>
        <v>0</v>
      </c>
      <c r="W117">
        <v>0</v>
      </c>
      <c r="X117">
        <f t="shared" si="66"/>
        <v>0</v>
      </c>
      <c r="Y117">
        <f t="shared" si="67"/>
        <v>1.3</v>
      </c>
      <c r="Z117">
        <f t="shared" si="68"/>
        <v>1</v>
      </c>
      <c r="AA117">
        <f t="shared" si="69"/>
        <v>-1.4E-3</v>
      </c>
      <c r="AD117">
        <f t="shared" si="70"/>
        <v>0</v>
      </c>
      <c r="AE117">
        <f t="shared" si="71"/>
        <v>0</v>
      </c>
      <c r="AF117">
        <f t="shared" si="72"/>
        <v>0</v>
      </c>
      <c r="AG117">
        <f t="shared" si="73"/>
        <v>0</v>
      </c>
      <c r="AH117">
        <f t="shared" si="74"/>
        <v>0.08</v>
      </c>
      <c r="AI117">
        <f t="shared" si="75"/>
        <v>0</v>
      </c>
      <c r="AJ117">
        <f t="shared" si="76"/>
        <v>0.19</v>
      </c>
      <c r="AK117">
        <f t="shared" si="77"/>
        <v>0.6784</v>
      </c>
      <c r="AL117">
        <f t="shared" si="78"/>
        <v>0</v>
      </c>
      <c r="AM117">
        <f t="shared" si="79"/>
        <v>0</v>
      </c>
      <c r="AN117">
        <f t="shared" si="80"/>
        <v>0</v>
      </c>
      <c r="AO117">
        <f t="shared" si="81"/>
        <v>0</v>
      </c>
    </row>
    <row r="118" spans="5:41" x14ac:dyDescent="0.2">
      <c r="F118" t="s">
        <v>115</v>
      </c>
      <c r="H118">
        <v>55</v>
      </c>
      <c r="I118">
        <v>0</v>
      </c>
      <c r="J118">
        <v>0</v>
      </c>
      <c r="L118">
        <f t="shared" si="62"/>
        <v>91.25</v>
      </c>
      <c r="R118">
        <f t="shared" si="63"/>
        <v>2.6000000000000467E-3</v>
      </c>
      <c r="S118">
        <f>S101</f>
        <v>0.99739999999999995</v>
      </c>
      <c r="T118">
        <f>T101</f>
        <v>0.74</v>
      </c>
      <c r="U118">
        <f t="shared" si="64"/>
        <v>4.7000000000000002E-3</v>
      </c>
      <c r="V118">
        <f t="shared" si="65"/>
        <v>0</v>
      </c>
      <c r="W118">
        <v>0</v>
      </c>
      <c r="X118">
        <f t="shared" si="66"/>
        <v>0</v>
      </c>
      <c r="Y118">
        <f t="shared" si="67"/>
        <v>1.3</v>
      </c>
      <c r="Z118">
        <f t="shared" si="68"/>
        <v>1</v>
      </c>
      <c r="AA118">
        <f t="shared" si="69"/>
        <v>-1.4E-3</v>
      </c>
      <c r="AD118">
        <f t="shared" si="70"/>
        <v>0</v>
      </c>
      <c r="AE118">
        <f t="shared" si="71"/>
        <v>0</v>
      </c>
      <c r="AF118">
        <f t="shared" si="72"/>
        <v>0</v>
      </c>
      <c r="AG118">
        <f t="shared" si="73"/>
        <v>0</v>
      </c>
      <c r="AH118">
        <f t="shared" si="74"/>
        <v>0.08</v>
      </c>
      <c r="AI118">
        <f t="shared" si="75"/>
        <v>0</v>
      </c>
      <c r="AJ118">
        <f t="shared" si="76"/>
        <v>0.19</v>
      </c>
      <c r="AK118">
        <f t="shared" si="77"/>
        <v>0.6784</v>
      </c>
      <c r="AL118">
        <f t="shared" si="78"/>
        <v>0</v>
      </c>
      <c r="AM118">
        <f t="shared" si="79"/>
        <v>0</v>
      </c>
      <c r="AN118">
        <f t="shared" si="80"/>
        <v>0</v>
      </c>
      <c r="AO118">
        <f t="shared" si="81"/>
        <v>0</v>
      </c>
    </row>
    <row r="119" spans="5:41" x14ac:dyDescent="0.2">
      <c r="F119" t="s">
        <v>117</v>
      </c>
      <c r="H119">
        <v>60</v>
      </c>
      <c r="I119">
        <v>0</v>
      </c>
      <c r="J119">
        <v>0</v>
      </c>
      <c r="L119">
        <f t="shared" si="62"/>
        <v>91.25</v>
      </c>
      <c r="R119">
        <f t="shared" si="63"/>
        <v>2.6000000000000467E-3</v>
      </c>
      <c r="S119">
        <f>S101</f>
        <v>0.99739999999999995</v>
      </c>
      <c r="T119">
        <f>T101</f>
        <v>0.74</v>
      </c>
      <c r="U119">
        <f t="shared" si="64"/>
        <v>4.7000000000000002E-3</v>
      </c>
      <c r="V119">
        <f t="shared" si="65"/>
        <v>0</v>
      </c>
      <c r="W119">
        <v>0</v>
      </c>
      <c r="X119">
        <f t="shared" si="66"/>
        <v>0</v>
      </c>
      <c r="Y119">
        <f t="shared" si="67"/>
        <v>1.3</v>
      </c>
      <c r="Z119">
        <f t="shared" si="68"/>
        <v>1</v>
      </c>
      <c r="AA119">
        <f t="shared" si="69"/>
        <v>-1.4E-3</v>
      </c>
      <c r="AD119">
        <f t="shared" si="70"/>
        <v>0</v>
      </c>
      <c r="AE119">
        <f t="shared" si="71"/>
        <v>0</v>
      </c>
      <c r="AF119">
        <f t="shared" si="72"/>
        <v>0</v>
      </c>
      <c r="AG119">
        <f t="shared" si="73"/>
        <v>0</v>
      </c>
      <c r="AH119">
        <f t="shared" si="74"/>
        <v>0.08</v>
      </c>
      <c r="AI119">
        <f t="shared" si="75"/>
        <v>0</v>
      </c>
      <c r="AJ119">
        <f t="shared" si="76"/>
        <v>0.19</v>
      </c>
      <c r="AK119">
        <f t="shared" si="77"/>
        <v>0.6784</v>
      </c>
      <c r="AL119">
        <f t="shared" si="78"/>
        <v>0</v>
      </c>
      <c r="AM119">
        <f t="shared" si="79"/>
        <v>0</v>
      </c>
      <c r="AN119">
        <f t="shared" si="80"/>
        <v>0</v>
      </c>
      <c r="AO119">
        <f t="shared" si="81"/>
        <v>0</v>
      </c>
    </row>
    <row r="120" spans="5:41" x14ac:dyDescent="0.2">
      <c r="F120" t="s">
        <v>119</v>
      </c>
      <c r="H120">
        <v>65</v>
      </c>
      <c r="I120">
        <v>0</v>
      </c>
      <c r="J120">
        <v>0</v>
      </c>
      <c r="L120">
        <f t="shared" si="62"/>
        <v>91.25</v>
      </c>
      <c r="R120">
        <f t="shared" si="63"/>
        <v>2.6000000000000467E-3</v>
      </c>
      <c r="S120">
        <f>S101</f>
        <v>0.99739999999999995</v>
      </c>
      <c r="T120">
        <f>T101</f>
        <v>0.74</v>
      </c>
      <c r="U120">
        <f t="shared" si="64"/>
        <v>4.7000000000000002E-3</v>
      </c>
      <c r="V120">
        <f t="shared" si="65"/>
        <v>0</v>
      </c>
      <c r="W120">
        <v>0</v>
      </c>
      <c r="X120">
        <f t="shared" si="66"/>
        <v>0</v>
      </c>
      <c r="Y120">
        <f t="shared" si="67"/>
        <v>1.3</v>
      </c>
      <c r="Z120">
        <f t="shared" si="68"/>
        <v>1</v>
      </c>
      <c r="AA120">
        <f t="shared" si="69"/>
        <v>-1.4E-3</v>
      </c>
      <c r="AD120">
        <f t="shared" si="70"/>
        <v>0</v>
      </c>
      <c r="AE120">
        <f t="shared" si="71"/>
        <v>0</v>
      </c>
      <c r="AF120">
        <f t="shared" si="72"/>
        <v>0</v>
      </c>
      <c r="AG120">
        <f t="shared" si="73"/>
        <v>0</v>
      </c>
      <c r="AH120">
        <f t="shared" si="74"/>
        <v>0.08</v>
      </c>
      <c r="AI120">
        <f t="shared" si="75"/>
        <v>0</v>
      </c>
      <c r="AJ120">
        <f t="shared" si="76"/>
        <v>0.19</v>
      </c>
      <c r="AK120">
        <f t="shared" si="77"/>
        <v>0.6784</v>
      </c>
      <c r="AL120">
        <f t="shared" si="78"/>
        <v>0</v>
      </c>
      <c r="AM120">
        <f t="shared" si="79"/>
        <v>0</v>
      </c>
      <c r="AN120">
        <f t="shared" si="80"/>
        <v>0</v>
      </c>
      <c r="AO120">
        <f t="shared" si="81"/>
        <v>0</v>
      </c>
    </row>
    <row r="121" spans="5:41" x14ac:dyDescent="0.2">
      <c r="E121" t="s">
        <v>132</v>
      </c>
      <c r="F121" t="s">
        <v>113</v>
      </c>
      <c r="H121">
        <v>50</v>
      </c>
      <c r="I121">
        <v>0</v>
      </c>
      <c r="J121">
        <v>0</v>
      </c>
      <c r="L121">
        <f t="shared" si="62"/>
        <v>91.25</v>
      </c>
      <c r="R121">
        <f t="shared" si="63"/>
        <v>2.6000000000000467E-3</v>
      </c>
      <c r="S121">
        <f>S101</f>
        <v>0.99739999999999995</v>
      </c>
      <c r="T121">
        <f>T101</f>
        <v>0.74</v>
      </c>
      <c r="U121">
        <f t="shared" si="64"/>
        <v>4.7000000000000002E-3</v>
      </c>
      <c r="V121">
        <f t="shared" si="65"/>
        <v>0</v>
      </c>
      <c r="W121">
        <v>0</v>
      </c>
      <c r="X121">
        <f t="shared" si="66"/>
        <v>0</v>
      </c>
      <c r="Y121">
        <f t="shared" si="67"/>
        <v>1.3</v>
      </c>
      <c r="Z121">
        <f t="shared" si="68"/>
        <v>1</v>
      </c>
      <c r="AA121">
        <f t="shared" si="69"/>
        <v>-1.4E-3</v>
      </c>
      <c r="AD121">
        <f t="shared" si="70"/>
        <v>0</v>
      </c>
      <c r="AE121">
        <f t="shared" si="71"/>
        <v>0</v>
      </c>
      <c r="AF121">
        <f t="shared" si="72"/>
        <v>0</v>
      </c>
      <c r="AG121">
        <f t="shared" si="73"/>
        <v>0</v>
      </c>
      <c r="AH121">
        <f t="shared" si="74"/>
        <v>0.08</v>
      </c>
      <c r="AI121">
        <f t="shared" si="75"/>
        <v>0</v>
      </c>
      <c r="AJ121">
        <f t="shared" si="76"/>
        <v>0.19</v>
      </c>
      <c r="AK121">
        <f t="shared" si="77"/>
        <v>0.6784</v>
      </c>
      <c r="AL121">
        <f t="shared" si="78"/>
        <v>0</v>
      </c>
      <c r="AM121">
        <f t="shared" si="79"/>
        <v>0</v>
      </c>
      <c r="AN121">
        <f t="shared" si="80"/>
        <v>0</v>
      </c>
      <c r="AO121">
        <f t="shared" si="81"/>
        <v>0</v>
      </c>
    </row>
    <row r="122" spans="5:41" x14ac:dyDescent="0.2">
      <c r="F122" t="s">
        <v>115</v>
      </c>
      <c r="H122">
        <v>100</v>
      </c>
      <c r="I122">
        <v>0</v>
      </c>
      <c r="J122">
        <v>0</v>
      </c>
      <c r="L122">
        <f t="shared" si="62"/>
        <v>91.25</v>
      </c>
      <c r="R122">
        <f t="shared" si="63"/>
        <v>2.6000000000000467E-3</v>
      </c>
      <c r="S122">
        <f>S101</f>
        <v>0.99739999999999995</v>
      </c>
      <c r="T122">
        <f>T101</f>
        <v>0.74</v>
      </c>
      <c r="U122">
        <f t="shared" si="64"/>
        <v>4.7000000000000002E-3</v>
      </c>
      <c r="V122">
        <f t="shared" si="65"/>
        <v>0</v>
      </c>
      <c r="W122">
        <v>0</v>
      </c>
      <c r="X122">
        <f t="shared" si="66"/>
        <v>0</v>
      </c>
      <c r="Y122">
        <f t="shared" si="67"/>
        <v>1.3</v>
      </c>
      <c r="Z122">
        <f t="shared" si="68"/>
        <v>1</v>
      </c>
      <c r="AA122">
        <f t="shared" si="69"/>
        <v>-1.4E-3</v>
      </c>
      <c r="AD122">
        <f t="shared" si="70"/>
        <v>0</v>
      </c>
      <c r="AE122">
        <f t="shared" si="71"/>
        <v>0</v>
      </c>
      <c r="AF122">
        <f t="shared" si="72"/>
        <v>0</v>
      </c>
      <c r="AG122">
        <f t="shared" si="73"/>
        <v>0</v>
      </c>
      <c r="AH122">
        <f t="shared" si="74"/>
        <v>0.08</v>
      </c>
      <c r="AI122">
        <f t="shared" si="75"/>
        <v>0</v>
      </c>
      <c r="AJ122">
        <f t="shared" si="76"/>
        <v>0.19</v>
      </c>
      <c r="AK122">
        <f t="shared" si="77"/>
        <v>0.6784</v>
      </c>
      <c r="AL122">
        <f t="shared" si="78"/>
        <v>0</v>
      </c>
      <c r="AM122">
        <f t="shared" si="79"/>
        <v>0</v>
      </c>
      <c r="AN122">
        <f t="shared" si="80"/>
        <v>0</v>
      </c>
      <c r="AO122">
        <f t="shared" si="81"/>
        <v>0</v>
      </c>
    </row>
    <row r="123" spans="5:41" x14ac:dyDescent="0.2">
      <c r="F123" t="s">
        <v>117</v>
      </c>
      <c r="H123">
        <v>90</v>
      </c>
      <c r="I123">
        <v>0</v>
      </c>
      <c r="J123">
        <v>0</v>
      </c>
      <c r="L123">
        <f t="shared" si="62"/>
        <v>91.25</v>
      </c>
      <c r="R123">
        <f t="shared" si="63"/>
        <v>2.6000000000000467E-3</v>
      </c>
      <c r="S123">
        <f>S101</f>
        <v>0.99739999999999995</v>
      </c>
      <c r="T123">
        <f>T101</f>
        <v>0.74</v>
      </c>
      <c r="U123">
        <f t="shared" si="64"/>
        <v>4.7000000000000002E-3</v>
      </c>
      <c r="V123">
        <f t="shared" si="65"/>
        <v>0</v>
      </c>
      <c r="W123">
        <v>0</v>
      </c>
      <c r="X123">
        <f t="shared" si="66"/>
        <v>0</v>
      </c>
      <c r="Y123">
        <f t="shared" si="67"/>
        <v>1.3</v>
      </c>
      <c r="Z123">
        <f t="shared" si="68"/>
        <v>1</v>
      </c>
      <c r="AA123">
        <f t="shared" si="69"/>
        <v>-1.4E-3</v>
      </c>
      <c r="AD123">
        <f t="shared" si="70"/>
        <v>0</v>
      </c>
      <c r="AE123">
        <f t="shared" si="71"/>
        <v>0</v>
      </c>
      <c r="AF123">
        <f t="shared" si="72"/>
        <v>0</v>
      </c>
      <c r="AG123">
        <f t="shared" si="73"/>
        <v>0</v>
      </c>
      <c r="AH123">
        <f t="shared" si="74"/>
        <v>0.08</v>
      </c>
      <c r="AI123">
        <f t="shared" si="75"/>
        <v>0</v>
      </c>
      <c r="AJ123">
        <f t="shared" si="76"/>
        <v>0.19</v>
      </c>
      <c r="AK123">
        <f t="shared" si="77"/>
        <v>0.6784</v>
      </c>
      <c r="AL123">
        <f t="shared" si="78"/>
        <v>0</v>
      </c>
      <c r="AM123">
        <f t="shared" si="79"/>
        <v>0</v>
      </c>
      <c r="AN123">
        <f t="shared" si="80"/>
        <v>0</v>
      </c>
      <c r="AO123">
        <f t="shared" si="81"/>
        <v>0</v>
      </c>
    </row>
    <row r="124" spans="5:41" x14ac:dyDescent="0.2">
      <c r="F124" t="s">
        <v>119</v>
      </c>
      <c r="H124">
        <v>80</v>
      </c>
      <c r="I124">
        <v>0</v>
      </c>
      <c r="J124">
        <v>0</v>
      </c>
      <c r="L124">
        <f t="shared" si="62"/>
        <v>91.25</v>
      </c>
      <c r="R124">
        <f t="shared" si="63"/>
        <v>2.6000000000000467E-3</v>
      </c>
      <c r="S124">
        <f>S101</f>
        <v>0.99739999999999995</v>
      </c>
      <c r="T124">
        <f>T101</f>
        <v>0.74</v>
      </c>
      <c r="U124">
        <f t="shared" si="64"/>
        <v>4.7000000000000002E-3</v>
      </c>
      <c r="V124">
        <f t="shared" si="65"/>
        <v>0</v>
      </c>
      <c r="W124">
        <v>0</v>
      </c>
      <c r="X124">
        <f t="shared" si="66"/>
        <v>0</v>
      </c>
      <c r="Y124">
        <f t="shared" si="67"/>
        <v>1.3</v>
      </c>
      <c r="Z124">
        <f t="shared" si="68"/>
        <v>1</v>
      </c>
      <c r="AA124">
        <f t="shared" si="69"/>
        <v>-1.4E-3</v>
      </c>
      <c r="AD124">
        <f t="shared" si="70"/>
        <v>0</v>
      </c>
      <c r="AE124">
        <f t="shared" si="71"/>
        <v>0</v>
      </c>
      <c r="AF124">
        <f t="shared" si="72"/>
        <v>0</v>
      </c>
      <c r="AG124">
        <f t="shared" si="73"/>
        <v>0</v>
      </c>
      <c r="AH124">
        <f t="shared" si="74"/>
        <v>0.08</v>
      </c>
      <c r="AI124">
        <f t="shared" si="75"/>
        <v>0</v>
      </c>
      <c r="AJ124">
        <f t="shared" si="76"/>
        <v>0.19</v>
      </c>
      <c r="AK124">
        <f t="shared" si="77"/>
        <v>0.6784</v>
      </c>
      <c r="AL124">
        <f t="shared" si="78"/>
        <v>0</v>
      </c>
      <c r="AM124">
        <f t="shared" si="79"/>
        <v>0</v>
      </c>
      <c r="AN124">
        <f t="shared" si="80"/>
        <v>0</v>
      </c>
      <c r="AO124">
        <f t="shared" si="81"/>
        <v>0</v>
      </c>
    </row>
    <row r="131" spans="1:42" x14ac:dyDescent="0.2">
      <c r="A131" t="s">
        <v>120</v>
      </c>
      <c r="B131" t="s">
        <v>120</v>
      </c>
      <c r="C131" t="s">
        <v>120</v>
      </c>
      <c r="D131" t="s">
        <v>111</v>
      </c>
      <c r="E131" t="s">
        <v>112</v>
      </c>
      <c r="F131" t="s">
        <v>113</v>
      </c>
      <c r="H131">
        <v>100</v>
      </c>
      <c r="I131">
        <v>95</v>
      </c>
      <c r="J131">
        <v>90</v>
      </c>
      <c r="L131">
        <f t="shared" ref="L131:L154" si="82">$AV$3</f>
        <v>91.25</v>
      </c>
      <c r="M131" t="e" cm="1">
        <f t="array" aca="1" ref="M131" ca="1">_xludf.DROP(_xludf.XLOOKUP($C131,#REF!,#REF!),1)</f>
        <v>#NAME?</v>
      </c>
      <c r="O131" t="e" cm="1">
        <f t="array" aca="1" ref="O131" ca="1">_xludf.DROP(_xludf.XLOOKUP($C131,#REF!,#REF!),1)</f>
        <v>#NAME?</v>
      </c>
      <c r="Q131" t="e" cm="1">
        <f t="array" aca="1" ref="Q131" ca="1">_xludf.DROP(_xludf.XLOOKUP($C131,#REF!,#REF!),1)</f>
        <v>#NAME?</v>
      </c>
      <c r="R131">
        <f t="shared" ref="R131:R154" si="83">1-S131</f>
        <v>0</v>
      </c>
      <c r="S131">
        <f>IF($D131="yes", 1, VLOOKUP($B131, $AU$26:$AW$32, 2)/100)</f>
        <v>1</v>
      </c>
      <c r="T131">
        <f>VLOOKUP($B131,$AW$10:$AX$16, 2, FALSE)</f>
        <v>0.69</v>
      </c>
      <c r="U131">
        <f t="shared" ref="U131:U154" si="84">$AV$10</f>
        <v>4.7000000000000002E-3</v>
      </c>
      <c r="V131">
        <f t="shared" ref="V131:V154" si="85">(I131/100)*(MIN(J131,100)/100)</f>
        <v>0.85499999999999998</v>
      </c>
      <c r="W131">
        <v>0</v>
      </c>
      <c r="X131">
        <f t="shared" ref="X131:X154" si="86">1.6 * W131</f>
        <v>0</v>
      </c>
      <c r="Y131">
        <f t="shared" ref="Y131:Y154" si="87">$AY$1</f>
        <v>1.3</v>
      </c>
      <c r="Z131">
        <f t="shared" ref="Z131:Z154" si="88">V131*Y131+(1-V131)</f>
        <v>1.2565</v>
      </c>
      <c r="AA131" t="e">
        <f t="shared" ref="AA131:AA154" ca="1" si="89">(0.795*O131)-0.0014</f>
        <v>#NAME?</v>
      </c>
      <c r="AC131" t="e" cm="1">
        <f t="array" aca="1" ref="AC131" ca="1">_xludf.DROP(_xludf.XLOOKUP($C131,#REF!,#REF!),1)</f>
        <v>#NAME?</v>
      </c>
      <c r="AD131" t="e">
        <f t="shared" ref="AD131:AD154" ca="1" si="90">1 - EXP(-2*(AC131^2))</f>
        <v>#NAME?</v>
      </c>
      <c r="AE131" t="e">
        <f t="shared" ref="AE131:AE154" ca="1" si="91">(104.7*AA131+0.307*Q131-15)*(Q131^0.75)*10^-3</f>
        <v>#NAME?</v>
      </c>
      <c r="AF131" t="e">
        <f t="shared" ref="AF131:AF154" ca="1" si="92">AE131*AD131*Z131</f>
        <v>#NAME?</v>
      </c>
      <c r="AG131" t="e">
        <f t="shared" ref="AG131:AG154" ca="1" si="93">(AF131 * M131) + (0.045 * X131)</f>
        <v>#NAME?</v>
      </c>
      <c r="AH131">
        <f t="shared" ref="AH131:AH154" si="94">$AV$2</f>
        <v>0.08</v>
      </c>
      <c r="AI131" t="e">
        <f t="shared" ref="AI131:AI154" ca="1" si="95">(AF131 * ((1 - O131) + (0.04 * AF131))) * ( 1 - AH131 )</f>
        <v>#NAME?</v>
      </c>
      <c r="AJ131">
        <f t="shared" ref="AJ131:AJ154" si="96">$AV$1</f>
        <v>0.19</v>
      </c>
      <c r="AK131">
        <f t="shared" ref="AK131:AK154" si="97">$AW$20</f>
        <v>0.6784</v>
      </c>
      <c r="AL131" t="e">
        <f t="shared" ref="AL131:AL154" ca="1" si="98">AI131 * AJ131 * R131 * T131 * AK131</f>
        <v>#NAME?</v>
      </c>
      <c r="AM131" t="e">
        <f t="shared" ref="AM131:AM154" ca="1" si="99">AI131*AJ131*S131*U131*AK131</f>
        <v>#NAME?</v>
      </c>
      <c r="AN131" t="e">
        <f t="shared" ref="AN131:AN154" ca="1" si="100">AL131+AM131</f>
        <v>#NAME?</v>
      </c>
      <c r="AO131" t="e">
        <f t="shared" ref="AO131:AO154" ca="1" si="101">H131*AN131*L131</f>
        <v>#NAME?</v>
      </c>
      <c r="AP131" t="e">
        <f ca="1">SUM(AO131:AO154)*10^-3</f>
        <v>#NAME?</v>
      </c>
    </row>
    <row r="132" spans="1:42" x14ac:dyDescent="0.2">
      <c r="F132" t="s">
        <v>115</v>
      </c>
      <c r="H132">
        <v>70</v>
      </c>
      <c r="I132">
        <v>0</v>
      </c>
      <c r="J132">
        <v>0</v>
      </c>
      <c r="L132">
        <f t="shared" si="82"/>
        <v>91.25</v>
      </c>
      <c r="R132">
        <f t="shared" si="83"/>
        <v>0</v>
      </c>
      <c r="S132">
        <f>S131</f>
        <v>1</v>
      </c>
      <c r="T132">
        <f>T131</f>
        <v>0.69</v>
      </c>
      <c r="U132">
        <f t="shared" si="84"/>
        <v>4.7000000000000002E-3</v>
      </c>
      <c r="V132">
        <f t="shared" si="85"/>
        <v>0</v>
      </c>
      <c r="W132">
        <v>0</v>
      </c>
      <c r="X132">
        <f t="shared" si="86"/>
        <v>0</v>
      </c>
      <c r="Y132">
        <f t="shared" si="87"/>
        <v>1.3</v>
      </c>
      <c r="Z132">
        <f t="shared" si="88"/>
        <v>1</v>
      </c>
      <c r="AA132">
        <f t="shared" si="89"/>
        <v>-1.4E-3</v>
      </c>
      <c r="AD132">
        <f t="shared" si="90"/>
        <v>0</v>
      </c>
      <c r="AE132">
        <f t="shared" si="91"/>
        <v>0</v>
      </c>
      <c r="AF132">
        <f t="shared" si="92"/>
        <v>0</v>
      </c>
      <c r="AG132">
        <f t="shared" si="93"/>
        <v>0</v>
      </c>
      <c r="AH132">
        <f t="shared" si="94"/>
        <v>0.08</v>
      </c>
      <c r="AI132">
        <f t="shared" si="95"/>
        <v>0</v>
      </c>
      <c r="AJ132">
        <f t="shared" si="96"/>
        <v>0.19</v>
      </c>
      <c r="AK132">
        <f t="shared" si="97"/>
        <v>0.6784</v>
      </c>
      <c r="AL132">
        <f t="shared" si="98"/>
        <v>0</v>
      </c>
      <c r="AM132">
        <f t="shared" si="99"/>
        <v>0</v>
      </c>
      <c r="AN132">
        <f t="shared" si="100"/>
        <v>0</v>
      </c>
      <c r="AO132">
        <f t="shared" si="101"/>
        <v>0</v>
      </c>
    </row>
    <row r="133" spans="1:42" x14ac:dyDescent="0.2">
      <c r="F133" t="s">
        <v>117</v>
      </c>
      <c r="H133">
        <v>65</v>
      </c>
      <c r="I133">
        <v>0</v>
      </c>
      <c r="J133">
        <v>0</v>
      </c>
      <c r="L133">
        <f t="shared" si="82"/>
        <v>91.25</v>
      </c>
      <c r="R133">
        <f t="shared" si="83"/>
        <v>0</v>
      </c>
      <c r="S133">
        <f>S131</f>
        <v>1</v>
      </c>
      <c r="T133">
        <f>T131</f>
        <v>0.69</v>
      </c>
      <c r="U133">
        <f t="shared" si="84"/>
        <v>4.7000000000000002E-3</v>
      </c>
      <c r="V133">
        <f t="shared" si="85"/>
        <v>0</v>
      </c>
      <c r="W133">
        <v>0</v>
      </c>
      <c r="X133">
        <f t="shared" si="86"/>
        <v>0</v>
      </c>
      <c r="Y133">
        <f t="shared" si="87"/>
        <v>1.3</v>
      </c>
      <c r="Z133">
        <f t="shared" si="88"/>
        <v>1</v>
      </c>
      <c r="AA133">
        <f t="shared" si="89"/>
        <v>-1.4E-3</v>
      </c>
      <c r="AD133">
        <f t="shared" si="90"/>
        <v>0</v>
      </c>
      <c r="AE133">
        <f t="shared" si="91"/>
        <v>0</v>
      </c>
      <c r="AF133">
        <f t="shared" si="92"/>
        <v>0</v>
      </c>
      <c r="AG133">
        <f t="shared" si="93"/>
        <v>0</v>
      </c>
      <c r="AH133">
        <f t="shared" si="94"/>
        <v>0.08</v>
      </c>
      <c r="AI133">
        <f t="shared" si="95"/>
        <v>0</v>
      </c>
      <c r="AJ133">
        <f t="shared" si="96"/>
        <v>0.19</v>
      </c>
      <c r="AK133">
        <f t="shared" si="97"/>
        <v>0.6784</v>
      </c>
      <c r="AL133">
        <f t="shared" si="98"/>
        <v>0</v>
      </c>
      <c r="AM133">
        <f t="shared" si="99"/>
        <v>0</v>
      </c>
      <c r="AN133">
        <f t="shared" si="100"/>
        <v>0</v>
      </c>
      <c r="AO133">
        <f t="shared" si="101"/>
        <v>0</v>
      </c>
    </row>
    <row r="134" spans="1:42" x14ac:dyDescent="0.2">
      <c r="F134" t="s">
        <v>119</v>
      </c>
      <c r="H134">
        <v>80</v>
      </c>
      <c r="I134">
        <v>0</v>
      </c>
      <c r="J134">
        <v>0</v>
      </c>
      <c r="L134">
        <f t="shared" si="82"/>
        <v>91.25</v>
      </c>
      <c r="R134">
        <f t="shared" si="83"/>
        <v>0</v>
      </c>
      <c r="S134">
        <f>S131</f>
        <v>1</v>
      </c>
      <c r="T134">
        <f>T131</f>
        <v>0.69</v>
      </c>
      <c r="U134">
        <f t="shared" si="84"/>
        <v>4.7000000000000002E-3</v>
      </c>
      <c r="V134">
        <f t="shared" si="85"/>
        <v>0</v>
      </c>
      <c r="W134">
        <v>0</v>
      </c>
      <c r="X134">
        <f t="shared" si="86"/>
        <v>0</v>
      </c>
      <c r="Y134">
        <f t="shared" si="87"/>
        <v>1.3</v>
      </c>
      <c r="Z134">
        <f t="shared" si="88"/>
        <v>1</v>
      </c>
      <c r="AA134">
        <f t="shared" si="89"/>
        <v>-1.4E-3</v>
      </c>
      <c r="AD134">
        <f t="shared" si="90"/>
        <v>0</v>
      </c>
      <c r="AE134">
        <f t="shared" si="91"/>
        <v>0</v>
      </c>
      <c r="AF134">
        <f t="shared" si="92"/>
        <v>0</v>
      </c>
      <c r="AG134">
        <f t="shared" si="93"/>
        <v>0</v>
      </c>
      <c r="AH134">
        <f t="shared" si="94"/>
        <v>0.08</v>
      </c>
      <c r="AI134">
        <f t="shared" si="95"/>
        <v>0</v>
      </c>
      <c r="AJ134">
        <f t="shared" si="96"/>
        <v>0.19</v>
      </c>
      <c r="AK134">
        <f t="shared" si="97"/>
        <v>0.6784</v>
      </c>
      <c r="AL134">
        <f t="shared" si="98"/>
        <v>0</v>
      </c>
      <c r="AM134">
        <f t="shared" si="99"/>
        <v>0</v>
      </c>
      <c r="AN134">
        <f t="shared" si="100"/>
        <v>0</v>
      </c>
      <c r="AO134">
        <f t="shared" si="101"/>
        <v>0</v>
      </c>
    </row>
    <row r="135" spans="1:42" x14ac:dyDescent="0.2">
      <c r="E135" t="s">
        <v>121</v>
      </c>
      <c r="F135" t="s">
        <v>113</v>
      </c>
      <c r="H135">
        <v>200</v>
      </c>
      <c r="I135">
        <v>0</v>
      </c>
      <c r="J135">
        <v>0</v>
      </c>
      <c r="L135">
        <f t="shared" si="82"/>
        <v>91.25</v>
      </c>
      <c r="R135">
        <f t="shared" si="83"/>
        <v>0</v>
      </c>
      <c r="S135">
        <f>S131</f>
        <v>1</v>
      </c>
      <c r="T135">
        <f>T131</f>
        <v>0.69</v>
      </c>
      <c r="U135">
        <f t="shared" si="84"/>
        <v>4.7000000000000002E-3</v>
      </c>
      <c r="V135">
        <f t="shared" si="85"/>
        <v>0</v>
      </c>
      <c r="W135">
        <v>1</v>
      </c>
      <c r="X135">
        <f t="shared" si="86"/>
        <v>1.6</v>
      </c>
      <c r="Y135">
        <f t="shared" si="87"/>
        <v>1.3</v>
      </c>
      <c r="Z135">
        <f t="shared" si="88"/>
        <v>1</v>
      </c>
      <c r="AA135">
        <f t="shared" si="89"/>
        <v>-1.4E-3</v>
      </c>
      <c r="AD135">
        <f t="shared" si="90"/>
        <v>0</v>
      </c>
      <c r="AE135">
        <f t="shared" si="91"/>
        <v>0</v>
      </c>
      <c r="AF135">
        <f t="shared" si="92"/>
        <v>0</v>
      </c>
      <c r="AG135">
        <f t="shared" si="93"/>
        <v>7.1999999999999995E-2</v>
      </c>
      <c r="AH135">
        <f t="shared" si="94"/>
        <v>0.08</v>
      </c>
      <c r="AI135">
        <f t="shared" si="95"/>
        <v>0</v>
      </c>
      <c r="AJ135">
        <f t="shared" si="96"/>
        <v>0.19</v>
      </c>
      <c r="AK135">
        <f t="shared" si="97"/>
        <v>0.6784</v>
      </c>
      <c r="AL135">
        <f t="shared" si="98"/>
        <v>0</v>
      </c>
      <c r="AM135">
        <f t="shared" si="99"/>
        <v>0</v>
      </c>
      <c r="AN135">
        <f t="shared" si="100"/>
        <v>0</v>
      </c>
      <c r="AO135">
        <f t="shared" si="101"/>
        <v>0</v>
      </c>
    </row>
    <row r="136" spans="1:42" x14ac:dyDescent="0.2">
      <c r="F136" t="s">
        <v>115</v>
      </c>
      <c r="H136">
        <v>210</v>
      </c>
      <c r="I136">
        <v>0</v>
      </c>
      <c r="J136">
        <v>0</v>
      </c>
      <c r="L136">
        <f t="shared" si="82"/>
        <v>91.25</v>
      </c>
      <c r="R136">
        <f t="shared" si="83"/>
        <v>0</v>
      </c>
      <c r="S136">
        <f>S131</f>
        <v>1</v>
      </c>
      <c r="T136">
        <f>T131</f>
        <v>0.69</v>
      </c>
      <c r="U136">
        <f t="shared" si="84"/>
        <v>4.7000000000000002E-3</v>
      </c>
      <c r="V136">
        <f t="shared" si="85"/>
        <v>0</v>
      </c>
      <c r="W136">
        <v>0</v>
      </c>
      <c r="X136">
        <f t="shared" si="86"/>
        <v>0</v>
      </c>
      <c r="Y136">
        <f t="shared" si="87"/>
        <v>1.3</v>
      </c>
      <c r="Z136">
        <f t="shared" si="88"/>
        <v>1</v>
      </c>
      <c r="AA136">
        <f t="shared" si="89"/>
        <v>-1.4E-3</v>
      </c>
      <c r="AD136">
        <f t="shared" si="90"/>
        <v>0</v>
      </c>
      <c r="AE136">
        <f t="shared" si="91"/>
        <v>0</v>
      </c>
      <c r="AF136">
        <f t="shared" si="92"/>
        <v>0</v>
      </c>
      <c r="AG136">
        <f t="shared" si="93"/>
        <v>0</v>
      </c>
      <c r="AH136">
        <f t="shared" si="94"/>
        <v>0.08</v>
      </c>
      <c r="AI136">
        <f t="shared" si="95"/>
        <v>0</v>
      </c>
      <c r="AJ136">
        <f t="shared" si="96"/>
        <v>0.19</v>
      </c>
      <c r="AK136">
        <f t="shared" si="97"/>
        <v>0.6784</v>
      </c>
      <c r="AL136">
        <f t="shared" si="98"/>
        <v>0</v>
      </c>
      <c r="AM136">
        <f t="shared" si="99"/>
        <v>0</v>
      </c>
      <c r="AN136">
        <f t="shared" si="100"/>
        <v>0</v>
      </c>
      <c r="AO136">
        <f t="shared" si="101"/>
        <v>0</v>
      </c>
    </row>
    <row r="137" spans="1:42" x14ac:dyDescent="0.2">
      <c r="F137" t="s">
        <v>117</v>
      </c>
      <c r="H137">
        <v>170</v>
      </c>
      <c r="I137">
        <v>0</v>
      </c>
      <c r="J137">
        <v>0</v>
      </c>
      <c r="L137">
        <f t="shared" si="82"/>
        <v>91.25</v>
      </c>
      <c r="R137">
        <f t="shared" si="83"/>
        <v>0</v>
      </c>
      <c r="S137">
        <f>S131</f>
        <v>1</v>
      </c>
      <c r="T137">
        <f>T131</f>
        <v>0.69</v>
      </c>
      <c r="U137">
        <f t="shared" si="84"/>
        <v>4.7000000000000002E-3</v>
      </c>
      <c r="V137">
        <f t="shared" si="85"/>
        <v>0</v>
      </c>
      <c r="W137">
        <v>0</v>
      </c>
      <c r="X137">
        <f t="shared" si="86"/>
        <v>0</v>
      </c>
      <c r="Y137">
        <f t="shared" si="87"/>
        <v>1.3</v>
      </c>
      <c r="Z137">
        <f t="shared" si="88"/>
        <v>1</v>
      </c>
      <c r="AA137">
        <f t="shared" si="89"/>
        <v>-1.4E-3</v>
      </c>
      <c r="AD137">
        <f t="shared" si="90"/>
        <v>0</v>
      </c>
      <c r="AE137">
        <f t="shared" si="91"/>
        <v>0</v>
      </c>
      <c r="AF137">
        <f t="shared" si="92"/>
        <v>0</v>
      </c>
      <c r="AG137">
        <f t="shared" si="93"/>
        <v>0</v>
      </c>
      <c r="AH137">
        <f t="shared" si="94"/>
        <v>0.08</v>
      </c>
      <c r="AI137">
        <f t="shared" si="95"/>
        <v>0</v>
      </c>
      <c r="AJ137">
        <f t="shared" si="96"/>
        <v>0.19</v>
      </c>
      <c r="AK137">
        <f t="shared" si="97"/>
        <v>0.6784</v>
      </c>
      <c r="AL137">
        <f t="shared" si="98"/>
        <v>0</v>
      </c>
      <c r="AM137">
        <f t="shared" si="99"/>
        <v>0</v>
      </c>
      <c r="AN137">
        <f t="shared" si="100"/>
        <v>0</v>
      </c>
      <c r="AO137">
        <f t="shared" si="101"/>
        <v>0</v>
      </c>
    </row>
    <row r="138" spans="1:42" x14ac:dyDescent="0.2">
      <c r="F138" t="s">
        <v>119</v>
      </c>
      <c r="H138">
        <v>200</v>
      </c>
      <c r="I138">
        <v>0</v>
      </c>
      <c r="J138">
        <v>0</v>
      </c>
      <c r="L138">
        <f t="shared" si="82"/>
        <v>91.25</v>
      </c>
      <c r="R138">
        <f t="shared" si="83"/>
        <v>0</v>
      </c>
      <c r="S138">
        <f>S131</f>
        <v>1</v>
      </c>
      <c r="T138">
        <f>T131</f>
        <v>0.69</v>
      </c>
      <c r="U138">
        <f t="shared" si="84"/>
        <v>4.7000000000000002E-3</v>
      </c>
      <c r="V138">
        <f t="shared" si="85"/>
        <v>0</v>
      </c>
      <c r="W138">
        <v>0</v>
      </c>
      <c r="X138">
        <f t="shared" si="86"/>
        <v>0</v>
      </c>
      <c r="Y138">
        <f t="shared" si="87"/>
        <v>1.3</v>
      </c>
      <c r="Z138">
        <f t="shared" si="88"/>
        <v>1</v>
      </c>
      <c r="AA138">
        <f t="shared" si="89"/>
        <v>-1.4E-3</v>
      </c>
      <c r="AD138">
        <f t="shared" si="90"/>
        <v>0</v>
      </c>
      <c r="AE138">
        <f t="shared" si="91"/>
        <v>0</v>
      </c>
      <c r="AF138">
        <f t="shared" si="92"/>
        <v>0</v>
      </c>
      <c r="AG138">
        <f t="shared" si="93"/>
        <v>0</v>
      </c>
      <c r="AH138">
        <f t="shared" si="94"/>
        <v>0.08</v>
      </c>
      <c r="AI138">
        <f t="shared" si="95"/>
        <v>0</v>
      </c>
      <c r="AJ138">
        <f t="shared" si="96"/>
        <v>0.19</v>
      </c>
      <c r="AK138">
        <f t="shared" si="97"/>
        <v>0.6784</v>
      </c>
      <c r="AL138">
        <f t="shared" si="98"/>
        <v>0</v>
      </c>
      <c r="AM138">
        <f t="shared" si="99"/>
        <v>0</v>
      </c>
      <c r="AN138">
        <f t="shared" si="100"/>
        <v>0</v>
      </c>
      <c r="AO138">
        <f t="shared" si="101"/>
        <v>0</v>
      </c>
    </row>
    <row r="139" spans="1:42" x14ac:dyDescent="0.2">
      <c r="E139" t="s">
        <v>126</v>
      </c>
      <c r="F139" t="s">
        <v>113</v>
      </c>
      <c r="H139">
        <v>100</v>
      </c>
      <c r="I139">
        <v>95</v>
      </c>
      <c r="J139">
        <v>92</v>
      </c>
      <c r="L139">
        <f t="shared" si="82"/>
        <v>91.25</v>
      </c>
      <c r="R139">
        <f t="shared" si="83"/>
        <v>0</v>
      </c>
      <c r="S139">
        <f>S131</f>
        <v>1</v>
      </c>
      <c r="T139">
        <f>T131</f>
        <v>0.69</v>
      </c>
      <c r="U139">
        <f t="shared" si="84"/>
        <v>4.7000000000000002E-3</v>
      </c>
      <c r="V139">
        <f t="shared" si="85"/>
        <v>0.874</v>
      </c>
      <c r="W139">
        <v>0</v>
      </c>
      <c r="X139">
        <f t="shared" si="86"/>
        <v>0</v>
      </c>
      <c r="Y139">
        <f t="shared" si="87"/>
        <v>1.3</v>
      </c>
      <c r="Z139">
        <f t="shared" si="88"/>
        <v>1.2622</v>
      </c>
      <c r="AA139">
        <f t="shared" si="89"/>
        <v>-1.4E-3</v>
      </c>
      <c r="AD139">
        <f t="shared" si="90"/>
        <v>0</v>
      </c>
      <c r="AE139">
        <f t="shared" si="91"/>
        <v>0</v>
      </c>
      <c r="AF139">
        <f t="shared" si="92"/>
        <v>0</v>
      </c>
      <c r="AG139">
        <f t="shared" si="93"/>
        <v>0</v>
      </c>
      <c r="AH139">
        <f t="shared" si="94"/>
        <v>0.08</v>
      </c>
      <c r="AI139">
        <f t="shared" si="95"/>
        <v>0</v>
      </c>
      <c r="AJ139">
        <f t="shared" si="96"/>
        <v>0.19</v>
      </c>
      <c r="AK139">
        <f t="shared" si="97"/>
        <v>0.6784</v>
      </c>
      <c r="AL139">
        <f t="shared" si="98"/>
        <v>0</v>
      </c>
      <c r="AM139">
        <f t="shared" si="99"/>
        <v>0</v>
      </c>
      <c r="AN139">
        <f t="shared" si="100"/>
        <v>0</v>
      </c>
      <c r="AO139">
        <f t="shared" si="101"/>
        <v>0</v>
      </c>
    </row>
    <row r="140" spans="1:42" x14ac:dyDescent="0.2">
      <c r="F140" t="s">
        <v>115</v>
      </c>
      <c r="H140">
        <v>140</v>
      </c>
      <c r="I140">
        <v>0</v>
      </c>
      <c r="J140">
        <v>0</v>
      </c>
      <c r="L140">
        <f t="shared" si="82"/>
        <v>91.25</v>
      </c>
      <c r="R140">
        <f t="shared" si="83"/>
        <v>0</v>
      </c>
      <c r="S140">
        <f>S131</f>
        <v>1</v>
      </c>
      <c r="T140">
        <f>T131</f>
        <v>0.69</v>
      </c>
      <c r="U140">
        <f t="shared" si="84"/>
        <v>4.7000000000000002E-3</v>
      </c>
      <c r="V140">
        <f t="shared" si="85"/>
        <v>0</v>
      </c>
      <c r="W140">
        <v>0</v>
      </c>
      <c r="X140">
        <f t="shared" si="86"/>
        <v>0</v>
      </c>
      <c r="Y140">
        <f t="shared" si="87"/>
        <v>1.3</v>
      </c>
      <c r="Z140">
        <f t="shared" si="88"/>
        <v>1</v>
      </c>
      <c r="AA140">
        <f t="shared" si="89"/>
        <v>-1.4E-3</v>
      </c>
      <c r="AD140">
        <f t="shared" si="90"/>
        <v>0</v>
      </c>
      <c r="AE140">
        <f t="shared" si="91"/>
        <v>0</v>
      </c>
      <c r="AF140">
        <f t="shared" si="92"/>
        <v>0</v>
      </c>
      <c r="AG140">
        <f t="shared" si="93"/>
        <v>0</v>
      </c>
      <c r="AH140">
        <f t="shared" si="94"/>
        <v>0.08</v>
      </c>
      <c r="AI140">
        <f t="shared" si="95"/>
        <v>0</v>
      </c>
      <c r="AJ140">
        <f t="shared" si="96"/>
        <v>0.19</v>
      </c>
      <c r="AK140">
        <f t="shared" si="97"/>
        <v>0.6784</v>
      </c>
      <c r="AL140">
        <f t="shared" si="98"/>
        <v>0</v>
      </c>
      <c r="AM140">
        <f t="shared" si="99"/>
        <v>0</v>
      </c>
      <c r="AN140">
        <f t="shared" si="100"/>
        <v>0</v>
      </c>
      <c r="AO140">
        <f t="shared" si="101"/>
        <v>0</v>
      </c>
    </row>
    <row r="141" spans="1:42" x14ac:dyDescent="0.2">
      <c r="F141" t="s">
        <v>117</v>
      </c>
      <c r="H141">
        <v>135</v>
      </c>
      <c r="I141">
        <v>0</v>
      </c>
      <c r="J141">
        <v>0</v>
      </c>
      <c r="L141">
        <f t="shared" si="82"/>
        <v>91.25</v>
      </c>
      <c r="R141">
        <f t="shared" si="83"/>
        <v>0</v>
      </c>
      <c r="S141">
        <f>S131</f>
        <v>1</v>
      </c>
      <c r="T141">
        <f>T131</f>
        <v>0.69</v>
      </c>
      <c r="U141">
        <f t="shared" si="84"/>
        <v>4.7000000000000002E-3</v>
      </c>
      <c r="V141">
        <f t="shared" si="85"/>
        <v>0</v>
      </c>
      <c r="W141">
        <v>0</v>
      </c>
      <c r="X141">
        <f t="shared" si="86"/>
        <v>0</v>
      </c>
      <c r="Y141">
        <f t="shared" si="87"/>
        <v>1.3</v>
      </c>
      <c r="Z141">
        <f t="shared" si="88"/>
        <v>1</v>
      </c>
      <c r="AA141">
        <f t="shared" si="89"/>
        <v>-1.4E-3</v>
      </c>
      <c r="AD141">
        <f t="shared" si="90"/>
        <v>0</v>
      </c>
      <c r="AE141">
        <f t="shared" si="91"/>
        <v>0</v>
      </c>
      <c r="AF141">
        <f t="shared" si="92"/>
        <v>0</v>
      </c>
      <c r="AG141">
        <f t="shared" si="93"/>
        <v>0</v>
      </c>
      <c r="AH141">
        <f t="shared" si="94"/>
        <v>0.08</v>
      </c>
      <c r="AI141">
        <f t="shared" si="95"/>
        <v>0</v>
      </c>
      <c r="AJ141">
        <f t="shared" si="96"/>
        <v>0.19</v>
      </c>
      <c r="AK141">
        <f t="shared" si="97"/>
        <v>0.6784</v>
      </c>
      <c r="AL141">
        <f t="shared" si="98"/>
        <v>0</v>
      </c>
      <c r="AM141">
        <f t="shared" si="99"/>
        <v>0</v>
      </c>
      <c r="AN141">
        <f t="shared" si="100"/>
        <v>0</v>
      </c>
      <c r="AO141">
        <f t="shared" si="101"/>
        <v>0</v>
      </c>
    </row>
    <row r="142" spans="1:42" x14ac:dyDescent="0.2">
      <c r="F142" t="s">
        <v>119</v>
      </c>
      <c r="H142">
        <v>130</v>
      </c>
      <c r="I142">
        <v>0</v>
      </c>
      <c r="J142">
        <v>0</v>
      </c>
      <c r="L142">
        <f t="shared" si="82"/>
        <v>91.25</v>
      </c>
      <c r="R142">
        <f t="shared" si="83"/>
        <v>0</v>
      </c>
      <c r="S142">
        <f>S131</f>
        <v>1</v>
      </c>
      <c r="T142">
        <f>T131</f>
        <v>0.69</v>
      </c>
      <c r="U142">
        <f t="shared" si="84"/>
        <v>4.7000000000000002E-3</v>
      </c>
      <c r="V142">
        <f t="shared" si="85"/>
        <v>0</v>
      </c>
      <c r="W142">
        <v>0</v>
      </c>
      <c r="X142">
        <f t="shared" si="86"/>
        <v>0</v>
      </c>
      <c r="Y142">
        <f t="shared" si="87"/>
        <v>1.3</v>
      </c>
      <c r="Z142">
        <f t="shared" si="88"/>
        <v>1</v>
      </c>
      <c r="AA142">
        <f t="shared" si="89"/>
        <v>-1.4E-3</v>
      </c>
      <c r="AD142">
        <f t="shared" si="90"/>
        <v>0</v>
      </c>
      <c r="AE142">
        <f t="shared" si="91"/>
        <v>0</v>
      </c>
      <c r="AF142">
        <f t="shared" si="92"/>
        <v>0</v>
      </c>
      <c r="AG142">
        <f t="shared" si="93"/>
        <v>0</v>
      </c>
      <c r="AH142">
        <f t="shared" si="94"/>
        <v>0.08</v>
      </c>
      <c r="AI142">
        <f t="shared" si="95"/>
        <v>0</v>
      </c>
      <c r="AJ142">
        <f t="shared" si="96"/>
        <v>0.19</v>
      </c>
      <c r="AK142">
        <f t="shared" si="97"/>
        <v>0.6784</v>
      </c>
      <c r="AL142">
        <f t="shared" si="98"/>
        <v>0</v>
      </c>
      <c r="AM142">
        <f t="shared" si="99"/>
        <v>0</v>
      </c>
      <c r="AN142">
        <f t="shared" si="100"/>
        <v>0</v>
      </c>
      <c r="AO142">
        <f t="shared" si="101"/>
        <v>0</v>
      </c>
    </row>
    <row r="143" spans="1:42" x14ac:dyDescent="0.2">
      <c r="E143" t="s">
        <v>129</v>
      </c>
      <c r="F143" t="s">
        <v>113</v>
      </c>
      <c r="H143">
        <v>200</v>
      </c>
      <c r="I143">
        <v>0</v>
      </c>
      <c r="J143">
        <v>0</v>
      </c>
      <c r="L143">
        <f t="shared" si="82"/>
        <v>91.25</v>
      </c>
      <c r="R143">
        <f t="shared" si="83"/>
        <v>0</v>
      </c>
      <c r="S143">
        <f>S131</f>
        <v>1</v>
      </c>
      <c r="T143">
        <f>T131</f>
        <v>0.69</v>
      </c>
      <c r="U143">
        <f t="shared" si="84"/>
        <v>4.7000000000000002E-3</v>
      </c>
      <c r="V143">
        <f t="shared" si="85"/>
        <v>0</v>
      </c>
      <c r="W143">
        <v>0</v>
      </c>
      <c r="X143">
        <f t="shared" si="86"/>
        <v>0</v>
      </c>
      <c r="Y143">
        <f t="shared" si="87"/>
        <v>1.3</v>
      </c>
      <c r="Z143">
        <f t="shared" si="88"/>
        <v>1</v>
      </c>
      <c r="AA143">
        <f t="shared" si="89"/>
        <v>-1.4E-3</v>
      </c>
      <c r="AD143">
        <f t="shared" si="90"/>
        <v>0</v>
      </c>
      <c r="AE143">
        <f t="shared" si="91"/>
        <v>0</v>
      </c>
      <c r="AF143">
        <f t="shared" si="92"/>
        <v>0</v>
      </c>
      <c r="AG143">
        <f t="shared" si="93"/>
        <v>0</v>
      </c>
      <c r="AH143">
        <f t="shared" si="94"/>
        <v>0.08</v>
      </c>
      <c r="AI143">
        <f t="shared" si="95"/>
        <v>0</v>
      </c>
      <c r="AJ143">
        <f t="shared" si="96"/>
        <v>0.19</v>
      </c>
      <c r="AK143">
        <f t="shared" si="97"/>
        <v>0.6784</v>
      </c>
      <c r="AL143">
        <f t="shared" si="98"/>
        <v>0</v>
      </c>
      <c r="AM143">
        <f t="shared" si="99"/>
        <v>0</v>
      </c>
      <c r="AN143">
        <f t="shared" si="100"/>
        <v>0</v>
      </c>
      <c r="AO143">
        <f t="shared" si="101"/>
        <v>0</v>
      </c>
    </row>
    <row r="144" spans="1:42" x14ac:dyDescent="0.2">
      <c r="F144" t="s">
        <v>115</v>
      </c>
      <c r="H144">
        <v>210</v>
      </c>
      <c r="I144">
        <v>0</v>
      </c>
      <c r="J144">
        <v>0</v>
      </c>
      <c r="L144">
        <f t="shared" si="82"/>
        <v>91.25</v>
      </c>
      <c r="R144">
        <f t="shared" si="83"/>
        <v>0</v>
      </c>
      <c r="S144">
        <f>S131</f>
        <v>1</v>
      </c>
      <c r="T144">
        <f>T131</f>
        <v>0.69</v>
      </c>
      <c r="U144">
        <f t="shared" si="84"/>
        <v>4.7000000000000002E-3</v>
      </c>
      <c r="V144">
        <f t="shared" si="85"/>
        <v>0</v>
      </c>
      <c r="W144">
        <v>0</v>
      </c>
      <c r="X144">
        <f t="shared" si="86"/>
        <v>0</v>
      </c>
      <c r="Y144">
        <f t="shared" si="87"/>
        <v>1.3</v>
      </c>
      <c r="Z144">
        <f t="shared" si="88"/>
        <v>1</v>
      </c>
      <c r="AA144">
        <f t="shared" si="89"/>
        <v>-1.4E-3</v>
      </c>
      <c r="AD144">
        <f t="shared" si="90"/>
        <v>0</v>
      </c>
      <c r="AE144">
        <f t="shared" si="91"/>
        <v>0</v>
      </c>
      <c r="AF144">
        <f t="shared" si="92"/>
        <v>0</v>
      </c>
      <c r="AG144">
        <f t="shared" si="93"/>
        <v>0</v>
      </c>
      <c r="AH144">
        <f t="shared" si="94"/>
        <v>0.08</v>
      </c>
      <c r="AI144">
        <f t="shared" si="95"/>
        <v>0</v>
      </c>
      <c r="AJ144">
        <f t="shared" si="96"/>
        <v>0.19</v>
      </c>
      <c r="AK144">
        <f t="shared" si="97"/>
        <v>0.6784</v>
      </c>
      <c r="AL144">
        <f t="shared" si="98"/>
        <v>0</v>
      </c>
      <c r="AM144">
        <f t="shared" si="99"/>
        <v>0</v>
      </c>
      <c r="AN144">
        <f t="shared" si="100"/>
        <v>0</v>
      </c>
      <c r="AO144">
        <f t="shared" si="101"/>
        <v>0</v>
      </c>
    </row>
    <row r="145" spans="5:41" x14ac:dyDescent="0.2">
      <c r="F145" t="s">
        <v>117</v>
      </c>
      <c r="H145">
        <v>190</v>
      </c>
      <c r="I145">
        <v>0</v>
      </c>
      <c r="J145">
        <v>0</v>
      </c>
      <c r="L145">
        <f t="shared" si="82"/>
        <v>91.25</v>
      </c>
      <c r="R145">
        <f t="shared" si="83"/>
        <v>0</v>
      </c>
      <c r="S145">
        <f>S131</f>
        <v>1</v>
      </c>
      <c r="T145">
        <f>T131</f>
        <v>0.69</v>
      </c>
      <c r="U145">
        <f t="shared" si="84"/>
        <v>4.7000000000000002E-3</v>
      </c>
      <c r="V145">
        <f t="shared" si="85"/>
        <v>0</v>
      </c>
      <c r="W145">
        <v>0</v>
      </c>
      <c r="X145">
        <f t="shared" si="86"/>
        <v>0</v>
      </c>
      <c r="Y145">
        <f t="shared" si="87"/>
        <v>1.3</v>
      </c>
      <c r="Z145">
        <f t="shared" si="88"/>
        <v>1</v>
      </c>
      <c r="AA145">
        <f t="shared" si="89"/>
        <v>-1.4E-3</v>
      </c>
      <c r="AD145">
        <f t="shared" si="90"/>
        <v>0</v>
      </c>
      <c r="AE145">
        <f t="shared" si="91"/>
        <v>0</v>
      </c>
      <c r="AF145">
        <f t="shared" si="92"/>
        <v>0</v>
      </c>
      <c r="AG145">
        <f t="shared" si="93"/>
        <v>0</v>
      </c>
      <c r="AH145">
        <f t="shared" si="94"/>
        <v>0.08</v>
      </c>
      <c r="AI145">
        <f t="shared" si="95"/>
        <v>0</v>
      </c>
      <c r="AJ145">
        <f t="shared" si="96"/>
        <v>0.19</v>
      </c>
      <c r="AK145">
        <f t="shared" si="97"/>
        <v>0.6784</v>
      </c>
      <c r="AL145">
        <f t="shared" si="98"/>
        <v>0</v>
      </c>
      <c r="AM145">
        <f t="shared" si="99"/>
        <v>0</v>
      </c>
      <c r="AN145">
        <f t="shared" si="100"/>
        <v>0</v>
      </c>
      <c r="AO145">
        <f t="shared" si="101"/>
        <v>0</v>
      </c>
    </row>
    <row r="146" spans="5:41" x14ac:dyDescent="0.2">
      <c r="F146" t="s">
        <v>119</v>
      </c>
      <c r="H146">
        <v>180</v>
      </c>
      <c r="I146">
        <v>0</v>
      </c>
      <c r="J146">
        <v>0</v>
      </c>
      <c r="L146">
        <f t="shared" si="82"/>
        <v>91.25</v>
      </c>
      <c r="R146">
        <f t="shared" si="83"/>
        <v>0</v>
      </c>
      <c r="S146">
        <f>S131</f>
        <v>1</v>
      </c>
      <c r="T146">
        <f>T131</f>
        <v>0.69</v>
      </c>
      <c r="U146">
        <f t="shared" si="84"/>
        <v>4.7000000000000002E-3</v>
      </c>
      <c r="V146">
        <f t="shared" si="85"/>
        <v>0</v>
      </c>
      <c r="W146">
        <v>0</v>
      </c>
      <c r="X146">
        <f t="shared" si="86"/>
        <v>0</v>
      </c>
      <c r="Y146">
        <f t="shared" si="87"/>
        <v>1.3</v>
      </c>
      <c r="Z146">
        <f t="shared" si="88"/>
        <v>1</v>
      </c>
      <c r="AA146">
        <f t="shared" si="89"/>
        <v>-1.4E-3</v>
      </c>
      <c r="AD146">
        <f t="shared" si="90"/>
        <v>0</v>
      </c>
      <c r="AE146">
        <f t="shared" si="91"/>
        <v>0</v>
      </c>
      <c r="AF146">
        <f t="shared" si="92"/>
        <v>0</v>
      </c>
      <c r="AG146">
        <f t="shared" si="93"/>
        <v>0</v>
      </c>
      <c r="AH146">
        <f t="shared" si="94"/>
        <v>0.08</v>
      </c>
      <c r="AI146">
        <f t="shared" si="95"/>
        <v>0</v>
      </c>
      <c r="AJ146">
        <f t="shared" si="96"/>
        <v>0.19</v>
      </c>
      <c r="AK146">
        <f t="shared" si="97"/>
        <v>0.6784</v>
      </c>
      <c r="AL146">
        <f t="shared" si="98"/>
        <v>0</v>
      </c>
      <c r="AM146">
        <f t="shared" si="99"/>
        <v>0</v>
      </c>
      <c r="AN146">
        <f t="shared" si="100"/>
        <v>0</v>
      </c>
      <c r="AO146">
        <f t="shared" si="101"/>
        <v>0</v>
      </c>
    </row>
    <row r="147" spans="5:41" x14ac:dyDescent="0.2">
      <c r="E147" t="s">
        <v>131</v>
      </c>
      <c r="F147" t="s">
        <v>113</v>
      </c>
      <c r="H147">
        <v>50</v>
      </c>
      <c r="I147">
        <v>0</v>
      </c>
      <c r="J147">
        <v>0</v>
      </c>
      <c r="L147">
        <f t="shared" si="82"/>
        <v>91.25</v>
      </c>
      <c r="R147">
        <f t="shared" si="83"/>
        <v>0</v>
      </c>
      <c r="S147">
        <f>S131</f>
        <v>1</v>
      </c>
      <c r="T147">
        <f>T131</f>
        <v>0.69</v>
      </c>
      <c r="U147">
        <f t="shared" si="84"/>
        <v>4.7000000000000002E-3</v>
      </c>
      <c r="V147">
        <f t="shared" si="85"/>
        <v>0</v>
      </c>
      <c r="W147">
        <v>0</v>
      </c>
      <c r="X147">
        <f t="shared" si="86"/>
        <v>0</v>
      </c>
      <c r="Y147">
        <f t="shared" si="87"/>
        <v>1.3</v>
      </c>
      <c r="Z147">
        <f t="shared" si="88"/>
        <v>1</v>
      </c>
      <c r="AA147">
        <f t="shared" si="89"/>
        <v>-1.4E-3</v>
      </c>
      <c r="AD147">
        <f t="shared" si="90"/>
        <v>0</v>
      </c>
      <c r="AE147">
        <f t="shared" si="91"/>
        <v>0</v>
      </c>
      <c r="AF147">
        <f t="shared" si="92"/>
        <v>0</v>
      </c>
      <c r="AG147">
        <f t="shared" si="93"/>
        <v>0</v>
      </c>
      <c r="AH147">
        <f t="shared" si="94"/>
        <v>0.08</v>
      </c>
      <c r="AI147">
        <f t="shared" si="95"/>
        <v>0</v>
      </c>
      <c r="AJ147">
        <f t="shared" si="96"/>
        <v>0.19</v>
      </c>
      <c r="AK147">
        <f t="shared" si="97"/>
        <v>0.6784</v>
      </c>
      <c r="AL147">
        <f t="shared" si="98"/>
        <v>0</v>
      </c>
      <c r="AM147">
        <f t="shared" si="99"/>
        <v>0</v>
      </c>
      <c r="AN147">
        <f t="shared" si="100"/>
        <v>0</v>
      </c>
      <c r="AO147">
        <f t="shared" si="101"/>
        <v>0</v>
      </c>
    </row>
    <row r="148" spans="5:41" x14ac:dyDescent="0.2">
      <c r="F148" t="s">
        <v>115</v>
      </c>
      <c r="H148">
        <v>55</v>
      </c>
      <c r="I148">
        <v>0</v>
      </c>
      <c r="J148">
        <v>0</v>
      </c>
      <c r="L148">
        <f t="shared" si="82"/>
        <v>91.25</v>
      </c>
      <c r="R148">
        <f t="shared" si="83"/>
        <v>0</v>
      </c>
      <c r="S148">
        <f>S131</f>
        <v>1</v>
      </c>
      <c r="T148">
        <f>T131</f>
        <v>0.69</v>
      </c>
      <c r="U148">
        <f t="shared" si="84"/>
        <v>4.7000000000000002E-3</v>
      </c>
      <c r="V148">
        <f t="shared" si="85"/>
        <v>0</v>
      </c>
      <c r="W148">
        <v>0</v>
      </c>
      <c r="X148">
        <f t="shared" si="86"/>
        <v>0</v>
      </c>
      <c r="Y148">
        <f t="shared" si="87"/>
        <v>1.3</v>
      </c>
      <c r="Z148">
        <f t="shared" si="88"/>
        <v>1</v>
      </c>
      <c r="AA148">
        <f t="shared" si="89"/>
        <v>-1.4E-3</v>
      </c>
      <c r="AD148">
        <f t="shared" si="90"/>
        <v>0</v>
      </c>
      <c r="AE148">
        <f t="shared" si="91"/>
        <v>0</v>
      </c>
      <c r="AF148">
        <f t="shared" si="92"/>
        <v>0</v>
      </c>
      <c r="AG148">
        <f t="shared" si="93"/>
        <v>0</v>
      </c>
      <c r="AH148">
        <f t="shared" si="94"/>
        <v>0.08</v>
      </c>
      <c r="AI148">
        <f t="shared" si="95"/>
        <v>0</v>
      </c>
      <c r="AJ148">
        <f t="shared" si="96"/>
        <v>0.19</v>
      </c>
      <c r="AK148">
        <f t="shared" si="97"/>
        <v>0.6784</v>
      </c>
      <c r="AL148">
        <f t="shared" si="98"/>
        <v>0</v>
      </c>
      <c r="AM148">
        <f t="shared" si="99"/>
        <v>0</v>
      </c>
      <c r="AN148">
        <f t="shared" si="100"/>
        <v>0</v>
      </c>
      <c r="AO148">
        <f t="shared" si="101"/>
        <v>0</v>
      </c>
    </row>
    <row r="149" spans="5:41" x14ac:dyDescent="0.2">
      <c r="F149" t="s">
        <v>117</v>
      </c>
      <c r="H149">
        <v>60</v>
      </c>
      <c r="I149">
        <v>0</v>
      </c>
      <c r="J149">
        <v>0</v>
      </c>
      <c r="L149">
        <f t="shared" si="82"/>
        <v>91.25</v>
      </c>
      <c r="R149">
        <f t="shared" si="83"/>
        <v>0</v>
      </c>
      <c r="S149">
        <f>S131</f>
        <v>1</v>
      </c>
      <c r="T149">
        <f>T131</f>
        <v>0.69</v>
      </c>
      <c r="U149">
        <f t="shared" si="84"/>
        <v>4.7000000000000002E-3</v>
      </c>
      <c r="V149">
        <f t="shared" si="85"/>
        <v>0</v>
      </c>
      <c r="W149">
        <v>0</v>
      </c>
      <c r="X149">
        <f t="shared" si="86"/>
        <v>0</v>
      </c>
      <c r="Y149">
        <f t="shared" si="87"/>
        <v>1.3</v>
      </c>
      <c r="Z149">
        <f t="shared" si="88"/>
        <v>1</v>
      </c>
      <c r="AA149">
        <f t="shared" si="89"/>
        <v>-1.4E-3</v>
      </c>
      <c r="AD149">
        <f t="shared" si="90"/>
        <v>0</v>
      </c>
      <c r="AE149">
        <f t="shared" si="91"/>
        <v>0</v>
      </c>
      <c r="AF149">
        <f t="shared" si="92"/>
        <v>0</v>
      </c>
      <c r="AG149">
        <f t="shared" si="93"/>
        <v>0</v>
      </c>
      <c r="AH149">
        <f t="shared" si="94"/>
        <v>0.08</v>
      </c>
      <c r="AI149">
        <f t="shared" si="95"/>
        <v>0</v>
      </c>
      <c r="AJ149">
        <f t="shared" si="96"/>
        <v>0.19</v>
      </c>
      <c r="AK149">
        <f t="shared" si="97"/>
        <v>0.6784</v>
      </c>
      <c r="AL149">
        <f t="shared" si="98"/>
        <v>0</v>
      </c>
      <c r="AM149">
        <f t="shared" si="99"/>
        <v>0</v>
      </c>
      <c r="AN149">
        <f t="shared" si="100"/>
        <v>0</v>
      </c>
      <c r="AO149">
        <f t="shared" si="101"/>
        <v>0</v>
      </c>
    </row>
    <row r="150" spans="5:41" x14ac:dyDescent="0.2">
      <c r="F150" t="s">
        <v>119</v>
      </c>
      <c r="H150">
        <v>65</v>
      </c>
      <c r="I150">
        <v>0</v>
      </c>
      <c r="J150">
        <v>0</v>
      </c>
      <c r="L150">
        <f t="shared" si="82"/>
        <v>91.25</v>
      </c>
      <c r="R150">
        <f t="shared" si="83"/>
        <v>0</v>
      </c>
      <c r="S150">
        <f>S131</f>
        <v>1</v>
      </c>
      <c r="T150">
        <f>T131</f>
        <v>0.69</v>
      </c>
      <c r="U150">
        <f t="shared" si="84"/>
        <v>4.7000000000000002E-3</v>
      </c>
      <c r="V150">
        <f t="shared" si="85"/>
        <v>0</v>
      </c>
      <c r="W150">
        <v>0</v>
      </c>
      <c r="X150">
        <f t="shared" si="86"/>
        <v>0</v>
      </c>
      <c r="Y150">
        <f t="shared" si="87"/>
        <v>1.3</v>
      </c>
      <c r="Z150">
        <f t="shared" si="88"/>
        <v>1</v>
      </c>
      <c r="AA150">
        <f t="shared" si="89"/>
        <v>-1.4E-3</v>
      </c>
      <c r="AD150">
        <f t="shared" si="90"/>
        <v>0</v>
      </c>
      <c r="AE150">
        <f t="shared" si="91"/>
        <v>0</v>
      </c>
      <c r="AF150">
        <f t="shared" si="92"/>
        <v>0</v>
      </c>
      <c r="AG150">
        <f t="shared" si="93"/>
        <v>0</v>
      </c>
      <c r="AH150">
        <f t="shared" si="94"/>
        <v>0.08</v>
      </c>
      <c r="AI150">
        <f t="shared" si="95"/>
        <v>0</v>
      </c>
      <c r="AJ150">
        <f t="shared" si="96"/>
        <v>0.19</v>
      </c>
      <c r="AK150">
        <f t="shared" si="97"/>
        <v>0.6784</v>
      </c>
      <c r="AL150">
        <f t="shared" si="98"/>
        <v>0</v>
      </c>
      <c r="AM150">
        <f t="shared" si="99"/>
        <v>0</v>
      </c>
      <c r="AN150">
        <f t="shared" si="100"/>
        <v>0</v>
      </c>
      <c r="AO150">
        <f t="shared" si="101"/>
        <v>0</v>
      </c>
    </row>
    <row r="151" spans="5:41" x14ac:dyDescent="0.2">
      <c r="E151" t="s">
        <v>132</v>
      </c>
      <c r="F151" t="s">
        <v>113</v>
      </c>
      <c r="H151">
        <v>50</v>
      </c>
      <c r="I151">
        <v>0</v>
      </c>
      <c r="J151">
        <v>0</v>
      </c>
      <c r="L151">
        <f t="shared" si="82"/>
        <v>91.25</v>
      </c>
      <c r="R151">
        <f t="shared" si="83"/>
        <v>0</v>
      </c>
      <c r="S151">
        <f>S131</f>
        <v>1</v>
      </c>
      <c r="T151">
        <f>T131</f>
        <v>0.69</v>
      </c>
      <c r="U151">
        <f t="shared" si="84"/>
        <v>4.7000000000000002E-3</v>
      </c>
      <c r="V151">
        <f t="shared" si="85"/>
        <v>0</v>
      </c>
      <c r="W151">
        <v>0</v>
      </c>
      <c r="X151">
        <f t="shared" si="86"/>
        <v>0</v>
      </c>
      <c r="Y151">
        <f t="shared" si="87"/>
        <v>1.3</v>
      </c>
      <c r="Z151">
        <f t="shared" si="88"/>
        <v>1</v>
      </c>
      <c r="AA151">
        <f t="shared" si="89"/>
        <v>-1.4E-3</v>
      </c>
      <c r="AD151">
        <f t="shared" si="90"/>
        <v>0</v>
      </c>
      <c r="AE151">
        <f t="shared" si="91"/>
        <v>0</v>
      </c>
      <c r="AF151">
        <f t="shared" si="92"/>
        <v>0</v>
      </c>
      <c r="AG151">
        <f t="shared" si="93"/>
        <v>0</v>
      </c>
      <c r="AH151">
        <f t="shared" si="94"/>
        <v>0.08</v>
      </c>
      <c r="AI151">
        <f t="shared" si="95"/>
        <v>0</v>
      </c>
      <c r="AJ151">
        <f t="shared" si="96"/>
        <v>0.19</v>
      </c>
      <c r="AK151">
        <f t="shared" si="97"/>
        <v>0.6784</v>
      </c>
      <c r="AL151">
        <f t="shared" si="98"/>
        <v>0</v>
      </c>
      <c r="AM151">
        <f t="shared" si="99"/>
        <v>0</v>
      </c>
      <c r="AN151">
        <f t="shared" si="100"/>
        <v>0</v>
      </c>
      <c r="AO151">
        <f t="shared" si="101"/>
        <v>0</v>
      </c>
    </row>
    <row r="152" spans="5:41" x14ac:dyDescent="0.2">
      <c r="F152" t="s">
        <v>115</v>
      </c>
      <c r="H152">
        <v>100</v>
      </c>
      <c r="I152">
        <v>0</v>
      </c>
      <c r="J152">
        <v>0</v>
      </c>
      <c r="L152">
        <f t="shared" si="82"/>
        <v>91.25</v>
      </c>
      <c r="R152">
        <f t="shared" si="83"/>
        <v>0</v>
      </c>
      <c r="S152">
        <f>S131</f>
        <v>1</v>
      </c>
      <c r="T152">
        <f>T131</f>
        <v>0.69</v>
      </c>
      <c r="U152">
        <f t="shared" si="84"/>
        <v>4.7000000000000002E-3</v>
      </c>
      <c r="V152">
        <f t="shared" si="85"/>
        <v>0</v>
      </c>
      <c r="W152">
        <v>0</v>
      </c>
      <c r="X152">
        <f t="shared" si="86"/>
        <v>0</v>
      </c>
      <c r="Y152">
        <f t="shared" si="87"/>
        <v>1.3</v>
      </c>
      <c r="Z152">
        <f t="shared" si="88"/>
        <v>1</v>
      </c>
      <c r="AA152">
        <f t="shared" si="89"/>
        <v>-1.4E-3</v>
      </c>
      <c r="AD152">
        <f t="shared" si="90"/>
        <v>0</v>
      </c>
      <c r="AE152">
        <f t="shared" si="91"/>
        <v>0</v>
      </c>
      <c r="AF152">
        <f t="shared" si="92"/>
        <v>0</v>
      </c>
      <c r="AG152">
        <f t="shared" si="93"/>
        <v>0</v>
      </c>
      <c r="AH152">
        <f t="shared" si="94"/>
        <v>0.08</v>
      </c>
      <c r="AI152">
        <f t="shared" si="95"/>
        <v>0</v>
      </c>
      <c r="AJ152">
        <f t="shared" si="96"/>
        <v>0.19</v>
      </c>
      <c r="AK152">
        <f t="shared" si="97"/>
        <v>0.6784</v>
      </c>
      <c r="AL152">
        <f t="shared" si="98"/>
        <v>0</v>
      </c>
      <c r="AM152">
        <f t="shared" si="99"/>
        <v>0</v>
      </c>
      <c r="AN152">
        <f t="shared" si="100"/>
        <v>0</v>
      </c>
      <c r="AO152">
        <f t="shared" si="101"/>
        <v>0</v>
      </c>
    </row>
    <row r="153" spans="5:41" x14ac:dyDescent="0.2">
      <c r="F153" t="s">
        <v>117</v>
      </c>
      <c r="H153">
        <v>90</v>
      </c>
      <c r="I153">
        <v>0</v>
      </c>
      <c r="J153">
        <v>0</v>
      </c>
      <c r="L153">
        <f t="shared" si="82"/>
        <v>91.25</v>
      </c>
      <c r="R153">
        <f t="shared" si="83"/>
        <v>0</v>
      </c>
      <c r="S153">
        <f>S131</f>
        <v>1</v>
      </c>
      <c r="T153">
        <f>T131</f>
        <v>0.69</v>
      </c>
      <c r="U153">
        <f t="shared" si="84"/>
        <v>4.7000000000000002E-3</v>
      </c>
      <c r="V153">
        <f t="shared" si="85"/>
        <v>0</v>
      </c>
      <c r="W153">
        <v>0</v>
      </c>
      <c r="X153">
        <f t="shared" si="86"/>
        <v>0</v>
      </c>
      <c r="Y153">
        <f t="shared" si="87"/>
        <v>1.3</v>
      </c>
      <c r="Z153">
        <f t="shared" si="88"/>
        <v>1</v>
      </c>
      <c r="AA153">
        <f t="shared" si="89"/>
        <v>-1.4E-3</v>
      </c>
      <c r="AD153">
        <f t="shared" si="90"/>
        <v>0</v>
      </c>
      <c r="AE153">
        <f t="shared" si="91"/>
        <v>0</v>
      </c>
      <c r="AF153">
        <f t="shared" si="92"/>
        <v>0</v>
      </c>
      <c r="AG153">
        <f t="shared" si="93"/>
        <v>0</v>
      </c>
      <c r="AH153">
        <f t="shared" si="94"/>
        <v>0.08</v>
      </c>
      <c r="AI153">
        <f t="shared" si="95"/>
        <v>0</v>
      </c>
      <c r="AJ153">
        <f t="shared" si="96"/>
        <v>0.19</v>
      </c>
      <c r="AK153">
        <f t="shared" si="97"/>
        <v>0.6784</v>
      </c>
      <c r="AL153">
        <f t="shared" si="98"/>
        <v>0</v>
      </c>
      <c r="AM153">
        <f t="shared" si="99"/>
        <v>0</v>
      </c>
      <c r="AN153">
        <f t="shared" si="100"/>
        <v>0</v>
      </c>
      <c r="AO153">
        <f t="shared" si="101"/>
        <v>0</v>
      </c>
    </row>
    <row r="154" spans="5:41" x14ac:dyDescent="0.2">
      <c r="F154" t="s">
        <v>119</v>
      </c>
      <c r="H154">
        <v>80</v>
      </c>
      <c r="I154">
        <v>0</v>
      </c>
      <c r="J154">
        <v>0</v>
      </c>
      <c r="L154">
        <f t="shared" si="82"/>
        <v>91.25</v>
      </c>
      <c r="R154">
        <f t="shared" si="83"/>
        <v>0</v>
      </c>
      <c r="S154">
        <f>S131</f>
        <v>1</v>
      </c>
      <c r="T154">
        <f>T131</f>
        <v>0.69</v>
      </c>
      <c r="U154">
        <f t="shared" si="84"/>
        <v>4.7000000000000002E-3</v>
      </c>
      <c r="V154">
        <f t="shared" si="85"/>
        <v>0</v>
      </c>
      <c r="W154">
        <v>0</v>
      </c>
      <c r="X154">
        <f t="shared" si="86"/>
        <v>0</v>
      </c>
      <c r="Y154">
        <f t="shared" si="87"/>
        <v>1.3</v>
      </c>
      <c r="Z154">
        <f t="shared" si="88"/>
        <v>1</v>
      </c>
      <c r="AA154">
        <f t="shared" si="89"/>
        <v>-1.4E-3</v>
      </c>
      <c r="AD154">
        <f t="shared" si="90"/>
        <v>0</v>
      </c>
      <c r="AE154">
        <f t="shared" si="91"/>
        <v>0</v>
      </c>
      <c r="AF154">
        <f t="shared" si="92"/>
        <v>0</v>
      </c>
      <c r="AG154">
        <f t="shared" si="93"/>
        <v>0</v>
      </c>
      <c r="AH154">
        <f t="shared" si="94"/>
        <v>0.08</v>
      </c>
      <c r="AI154">
        <f t="shared" si="95"/>
        <v>0</v>
      </c>
      <c r="AJ154">
        <f t="shared" si="96"/>
        <v>0.19</v>
      </c>
      <c r="AK154">
        <f t="shared" si="97"/>
        <v>0.6784</v>
      </c>
      <c r="AL154">
        <f t="shared" si="98"/>
        <v>0</v>
      </c>
      <c r="AM154">
        <f t="shared" si="99"/>
        <v>0</v>
      </c>
      <c r="AN154">
        <f t="shared" si="100"/>
        <v>0</v>
      </c>
      <c r="AO154">
        <f t="shared" si="101"/>
        <v>0</v>
      </c>
    </row>
    <row r="161" spans="1:42" x14ac:dyDescent="0.2">
      <c r="A161" t="s">
        <v>122</v>
      </c>
      <c r="B161" t="s">
        <v>122</v>
      </c>
      <c r="C161" t="s">
        <v>122</v>
      </c>
      <c r="D161" t="s">
        <v>138</v>
      </c>
      <c r="E161" t="s">
        <v>112</v>
      </c>
      <c r="F161" t="s">
        <v>113</v>
      </c>
      <c r="H161">
        <v>100</v>
      </c>
      <c r="I161">
        <v>95</v>
      </c>
      <c r="J161">
        <v>90</v>
      </c>
      <c r="L161">
        <f t="shared" ref="L161:L184" si="102">$AV$3</f>
        <v>91.25</v>
      </c>
      <c r="M161" t="e" cm="1">
        <f t="array" aca="1" ref="M161" ca="1">_xludf.DROP(_xludf.XLOOKUP($C161,#REF!,#REF!),1)</f>
        <v>#NAME?</v>
      </c>
      <c r="O161" t="e" cm="1">
        <f t="array" aca="1" ref="O161" ca="1">_xludf.DROP(_xludf.XLOOKUP($C161,#REF!,#REF!),1)</f>
        <v>#NAME?</v>
      </c>
      <c r="Q161" t="e" cm="1">
        <f t="array" aca="1" ref="Q161" ca="1">_xludf.DROP(_xludf.XLOOKUP($C161,#REF!,#REF!),1)</f>
        <v>#NAME?</v>
      </c>
      <c r="R161">
        <f t="shared" ref="R161:R184" si="103">1-S161</f>
        <v>8.2999999999999741E-3</v>
      </c>
      <c r="S161">
        <f>IF($D161="yes", 1, VLOOKUP($B161, $AU$26:$AW$32, 2)/100)</f>
        <v>0.99170000000000003</v>
      </c>
      <c r="T161">
        <f>VLOOKUP($B161,$AW$10:$AX$16, 2, FALSE)</f>
        <v>0.73</v>
      </c>
      <c r="U161">
        <f t="shared" ref="U161:U184" si="104">$AV$10</f>
        <v>4.7000000000000002E-3</v>
      </c>
      <c r="V161">
        <f t="shared" ref="V161:V184" si="105">(I161/100)*(MIN(J161,100)/100)</f>
        <v>0.85499999999999998</v>
      </c>
      <c r="W161">
        <v>0</v>
      </c>
      <c r="X161">
        <f t="shared" ref="X161:X184" si="106">1.6 * W161</f>
        <v>0</v>
      </c>
      <c r="Y161">
        <f t="shared" ref="Y161:Y184" si="107">$AY$1</f>
        <v>1.3</v>
      </c>
      <c r="Z161">
        <f t="shared" ref="Z161:Z184" si="108">V161*Y161+(1-V161)</f>
        <v>1.2565</v>
      </c>
      <c r="AA161" t="e">
        <f t="shared" ref="AA161:AA184" ca="1" si="109">(0.795*O161)-0.0014</f>
        <v>#NAME?</v>
      </c>
      <c r="AC161" t="e" cm="1">
        <f t="array" aca="1" ref="AC161" ca="1">_xludf.DROP(_xludf.XLOOKUP($C161,#REF!,#REF!),1)</f>
        <v>#NAME?</v>
      </c>
      <c r="AD161" t="e">
        <f t="shared" ref="AD161:AD184" ca="1" si="110">1 - EXP(-2*(AC161^2))</f>
        <v>#NAME?</v>
      </c>
      <c r="AE161" t="e">
        <f t="shared" ref="AE161:AE184" ca="1" si="111">(104.7*AA161+0.307*Q161-15)*(Q161^0.75)*10^-3</f>
        <v>#NAME?</v>
      </c>
      <c r="AF161" t="e">
        <f t="shared" ref="AF161:AF184" ca="1" si="112">AE161*AD161*Z161</f>
        <v>#NAME?</v>
      </c>
      <c r="AG161" t="e">
        <f t="shared" ref="AG161:AG184" ca="1" si="113">(AF161 * M161) + (0.045 * X161)</f>
        <v>#NAME?</v>
      </c>
      <c r="AH161">
        <f t="shared" ref="AH161:AH184" si="114">$AV$2</f>
        <v>0.08</v>
      </c>
      <c r="AI161" t="e">
        <f t="shared" ref="AI161:AI184" ca="1" si="115">(AF161 * ((1 - O161) + (0.04 * AF161))) * ( 1 - AH161 )</f>
        <v>#NAME?</v>
      </c>
      <c r="AJ161">
        <f t="shared" ref="AJ161:AJ184" si="116">$AV$1</f>
        <v>0.19</v>
      </c>
      <c r="AK161">
        <f t="shared" ref="AK161:AK184" si="117">$AW$20</f>
        <v>0.6784</v>
      </c>
      <c r="AL161" t="e">
        <f t="shared" ref="AL161:AL184" ca="1" si="118">AI161 * AJ161 * R161 * T161 * AK161</f>
        <v>#NAME?</v>
      </c>
      <c r="AM161" t="e">
        <f t="shared" ref="AM161:AM184" ca="1" si="119">AI161*AJ161*S161*U161*AK161</f>
        <v>#NAME?</v>
      </c>
      <c r="AN161" t="e">
        <f t="shared" ref="AN161:AN184" ca="1" si="120">AL161+AM161</f>
        <v>#NAME?</v>
      </c>
      <c r="AO161" t="e">
        <f t="shared" ref="AO161:AO184" ca="1" si="121">H161*AN161*L161</f>
        <v>#NAME?</v>
      </c>
      <c r="AP161" t="e">
        <f ca="1">SUM(AO161:AO184)*10^-3</f>
        <v>#NAME?</v>
      </c>
    </row>
    <row r="162" spans="1:42" x14ac:dyDescent="0.2">
      <c r="F162" t="s">
        <v>115</v>
      </c>
      <c r="H162">
        <v>70</v>
      </c>
      <c r="I162">
        <v>0</v>
      </c>
      <c r="J162">
        <v>0</v>
      </c>
      <c r="L162">
        <f t="shared" si="102"/>
        <v>91.25</v>
      </c>
      <c r="R162">
        <f t="shared" si="103"/>
        <v>8.2999999999999741E-3</v>
      </c>
      <c r="S162">
        <f>S161</f>
        <v>0.99170000000000003</v>
      </c>
      <c r="T162">
        <f>T161</f>
        <v>0.73</v>
      </c>
      <c r="U162">
        <f t="shared" si="104"/>
        <v>4.7000000000000002E-3</v>
      </c>
      <c r="V162">
        <f t="shared" si="105"/>
        <v>0</v>
      </c>
      <c r="W162">
        <v>0</v>
      </c>
      <c r="X162">
        <f t="shared" si="106"/>
        <v>0</v>
      </c>
      <c r="Y162">
        <f t="shared" si="107"/>
        <v>1.3</v>
      </c>
      <c r="Z162">
        <f t="shared" si="108"/>
        <v>1</v>
      </c>
      <c r="AA162">
        <f t="shared" si="109"/>
        <v>-1.4E-3</v>
      </c>
      <c r="AD162">
        <f t="shared" si="110"/>
        <v>0</v>
      </c>
      <c r="AE162">
        <f t="shared" si="111"/>
        <v>0</v>
      </c>
      <c r="AF162">
        <f t="shared" si="112"/>
        <v>0</v>
      </c>
      <c r="AG162">
        <f t="shared" si="113"/>
        <v>0</v>
      </c>
      <c r="AH162">
        <f t="shared" si="114"/>
        <v>0.08</v>
      </c>
      <c r="AI162">
        <f t="shared" si="115"/>
        <v>0</v>
      </c>
      <c r="AJ162">
        <f t="shared" si="116"/>
        <v>0.19</v>
      </c>
      <c r="AK162">
        <f t="shared" si="117"/>
        <v>0.6784</v>
      </c>
      <c r="AL162">
        <f t="shared" si="118"/>
        <v>0</v>
      </c>
      <c r="AM162">
        <f t="shared" si="119"/>
        <v>0</v>
      </c>
      <c r="AN162">
        <f t="shared" si="120"/>
        <v>0</v>
      </c>
      <c r="AO162">
        <f t="shared" si="121"/>
        <v>0</v>
      </c>
    </row>
    <row r="163" spans="1:42" x14ac:dyDescent="0.2">
      <c r="F163" t="s">
        <v>117</v>
      </c>
      <c r="H163">
        <v>65</v>
      </c>
      <c r="I163">
        <v>0</v>
      </c>
      <c r="J163">
        <v>0</v>
      </c>
      <c r="L163">
        <f t="shared" si="102"/>
        <v>91.25</v>
      </c>
      <c r="R163">
        <f t="shared" si="103"/>
        <v>8.2999999999999741E-3</v>
      </c>
      <c r="S163">
        <f>S161</f>
        <v>0.99170000000000003</v>
      </c>
      <c r="T163">
        <f>T161</f>
        <v>0.73</v>
      </c>
      <c r="U163">
        <f t="shared" si="104"/>
        <v>4.7000000000000002E-3</v>
      </c>
      <c r="V163">
        <f t="shared" si="105"/>
        <v>0</v>
      </c>
      <c r="W163">
        <v>0</v>
      </c>
      <c r="X163">
        <f t="shared" si="106"/>
        <v>0</v>
      </c>
      <c r="Y163">
        <f t="shared" si="107"/>
        <v>1.3</v>
      </c>
      <c r="Z163">
        <f t="shared" si="108"/>
        <v>1</v>
      </c>
      <c r="AA163">
        <f t="shared" si="109"/>
        <v>-1.4E-3</v>
      </c>
      <c r="AD163">
        <f t="shared" si="110"/>
        <v>0</v>
      </c>
      <c r="AE163">
        <f t="shared" si="111"/>
        <v>0</v>
      </c>
      <c r="AF163">
        <f t="shared" si="112"/>
        <v>0</v>
      </c>
      <c r="AG163">
        <f t="shared" si="113"/>
        <v>0</v>
      </c>
      <c r="AH163">
        <f t="shared" si="114"/>
        <v>0.08</v>
      </c>
      <c r="AI163">
        <f t="shared" si="115"/>
        <v>0</v>
      </c>
      <c r="AJ163">
        <f t="shared" si="116"/>
        <v>0.19</v>
      </c>
      <c r="AK163">
        <f t="shared" si="117"/>
        <v>0.6784</v>
      </c>
      <c r="AL163">
        <f t="shared" si="118"/>
        <v>0</v>
      </c>
      <c r="AM163">
        <f t="shared" si="119"/>
        <v>0</v>
      </c>
      <c r="AN163">
        <f t="shared" si="120"/>
        <v>0</v>
      </c>
      <c r="AO163">
        <f t="shared" si="121"/>
        <v>0</v>
      </c>
    </row>
    <row r="164" spans="1:42" x14ac:dyDescent="0.2">
      <c r="F164" t="s">
        <v>119</v>
      </c>
      <c r="H164">
        <v>80</v>
      </c>
      <c r="I164">
        <v>0</v>
      </c>
      <c r="J164">
        <v>0</v>
      </c>
      <c r="L164">
        <f t="shared" si="102"/>
        <v>91.25</v>
      </c>
      <c r="R164">
        <f t="shared" si="103"/>
        <v>8.2999999999999741E-3</v>
      </c>
      <c r="S164">
        <f>S161</f>
        <v>0.99170000000000003</v>
      </c>
      <c r="T164">
        <f>T161</f>
        <v>0.73</v>
      </c>
      <c r="U164">
        <f t="shared" si="104"/>
        <v>4.7000000000000002E-3</v>
      </c>
      <c r="V164">
        <f t="shared" si="105"/>
        <v>0</v>
      </c>
      <c r="W164">
        <v>0</v>
      </c>
      <c r="X164">
        <f t="shared" si="106"/>
        <v>0</v>
      </c>
      <c r="Y164">
        <f t="shared" si="107"/>
        <v>1.3</v>
      </c>
      <c r="Z164">
        <f t="shared" si="108"/>
        <v>1</v>
      </c>
      <c r="AA164">
        <f t="shared" si="109"/>
        <v>-1.4E-3</v>
      </c>
      <c r="AD164">
        <f t="shared" si="110"/>
        <v>0</v>
      </c>
      <c r="AE164">
        <f t="shared" si="111"/>
        <v>0</v>
      </c>
      <c r="AF164">
        <f t="shared" si="112"/>
        <v>0</v>
      </c>
      <c r="AG164">
        <f t="shared" si="113"/>
        <v>0</v>
      </c>
      <c r="AH164">
        <f t="shared" si="114"/>
        <v>0.08</v>
      </c>
      <c r="AI164">
        <f t="shared" si="115"/>
        <v>0</v>
      </c>
      <c r="AJ164">
        <f t="shared" si="116"/>
        <v>0.19</v>
      </c>
      <c r="AK164">
        <f t="shared" si="117"/>
        <v>0.6784</v>
      </c>
      <c r="AL164">
        <f t="shared" si="118"/>
        <v>0</v>
      </c>
      <c r="AM164">
        <f t="shared" si="119"/>
        <v>0</v>
      </c>
      <c r="AN164">
        <f t="shared" si="120"/>
        <v>0</v>
      </c>
      <c r="AO164">
        <f t="shared" si="121"/>
        <v>0</v>
      </c>
    </row>
    <row r="165" spans="1:42" x14ac:dyDescent="0.2">
      <c r="E165" t="s">
        <v>121</v>
      </c>
      <c r="F165" t="s">
        <v>113</v>
      </c>
      <c r="H165">
        <v>200</v>
      </c>
      <c r="I165">
        <v>0</v>
      </c>
      <c r="J165">
        <v>0</v>
      </c>
      <c r="L165">
        <f t="shared" si="102"/>
        <v>91.25</v>
      </c>
      <c r="R165">
        <f t="shared" si="103"/>
        <v>8.2999999999999741E-3</v>
      </c>
      <c r="S165">
        <f>S161</f>
        <v>0.99170000000000003</v>
      </c>
      <c r="T165">
        <f>T161</f>
        <v>0.73</v>
      </c>
      <c r="U165">
        <f t="shared" si="104"/>
        <v>4.7000000000000002E-3</v>
      </c>
      <c r="V165">
        <f t="shared" si="105"/>
        <v>0</v>
      </c>
      <c r="W165">
        <v>1</v>
      </c>
      <c r="X165">
        <f t="shared" si="106"/>
        <v>1.6</v>
      </c>
      <c r="Y165">
        <f t="shared" si="107"/>
        <v>1.3</v>
      </c>
      <c r="Z165">
        <f t="shared" si="108"/>
        <v>1</v>
      </c>
      <c r="AA165">
        <f t="shared" si="109"/>
        <v>-1.4E-3</v>
      </c>
      <c r="AD165">
        <f t="shared" si="110"/>
        <v>0</v>
      </c>
      <c r="AE165">
        <f t="shared" si="111"/>
        <v>0</v>
      </c>
      <c r="AF165">
        <f t="shared" si="112"/>
        <v>0</v>
      </c>
      <c r="AG165">
        <f t="shared" si="113"/>
        <v>7.1999999999999995E-2</v>
      </c>
      <c r="AH165">
        <f t="shared" si="114"/>
        <v>0.08</v>
      </c>
      <c r="AI165">
        <f t="shared" si="115"/>
        <v>0</v>
      </c>
      <c r="AJ165">
        <f t="shared" si="116"/>
        <v>0.19</v>
      </c>
      <c r="AK165">
        <f t="shared" si="117"/>
        <v>0.6784</v>
      </c>
      <c r="AL165">
        <f t="shared" si="118"/>
        <v>0</v>
      </c>
      <c r="AM165">
        <f t="shared" si="119"/>
        <v>0</v>
      </c>
      <c r="AN165">
        <f t="shared" si="120"/>
        <v>0</v>
      </c>
      <c r="AO165">
        <f t="shared" si="121"/>
        <v>0</v>
      </c>
    </row>
    <row r="166" spans="1:42" x14ac:dyDescent="0.2">
      <c r="F166" t="s">
        <v>115</v>
      </c>
      <c r="H166">
        <v>210</v>
      </c>
      <c r="I166">
        <v>0</v>
      </c>
      <c r="J166">
        <v>0</v>
      </c>
      <c r="L166">
        <f t="shared" si="102"/>
        <v>91.25</v>
      </c>
      <c r="R166">
        <f t="shared" si="103"/>
        <v>8.2999999999999741E-3</v>
      </c>
      <c r="S166">
        <f>S161</f>
        <v>0.99170000000000003</v>
      </c>
      <c r="T166">
        <f>T161</f>
        <v>0.73</v>
      </c>
      <c r="U166">
        <f t="shared" si="104"/>
        <v>4.7000000000000002E-3</v>
      </c>
      <c r="V166">
        <f t="shared" si="105"/>
        <v>0</v>
      </c>
      <c r="W166">
        <v>0</v>
      </c>
      <c r="X166">
        <f t="shared" si="106"/>
        <v>0</v>
      </c>
      <c r="Y166">
        <f t="shared" si="107"/>
        <v>1.3</v>
      </c>
      <c r="Z166">
        <f t="shared" si="108"/>
        <v>1</v>
      </c>
      <c r="AA166">
        <f t="shared" si="109"/>
        <v>-1.4E-3</v>
      </c>
      <c r="AD166">
        <f t="shared" si="110"/>
        <v>0</v>
      </c>
      <c r="AE166">
        <f t="shared" si="111"/>
        <v>0</v>
      </c>
      <c r="AF166">
        <f t="shared" si="112"/>
        <v>0</v>
      </c>
      <c r="AG166">
        <f t="shared" si="113"/>
        <v>0</v>
      </c>
      <c r="AH166">
        <f t="shared" si="114"/>
        <v>0.08</v>
      </c>
      <c r="AI166">
        <f t="shared" si="115"/>
        <v>0</v>
      </c>
      <c r="AJ166">
        <f t="shared" si="116"/>
        <v>0.19</v>
      </c>
      <c r="AK166">
        <f t="shared" si="117"/>
        <v>0.6784</v>
      </c>
      <c r="AL166">
        <f t="shared" si="118"/>
        <v>0</v>
      </c>
      <c r="AM166">
        <f t="shared" si="119"/>
        <v>0</v>
      </c>
      <c r="AN166">
        <f t="shared" si="120"/>
        <v>0</v>
      </c>
      <c r="AO166">
        <f t="shared" si="121"/>
        <v>0</v>
      </c>
    </row>
    <row r="167" spans="1:42" x14ac:dyDescent="0.2">
      <c r="F167" t="s">
        <v>117</v>
      </c>
      <c r="H167">
        <v>170</v>
      </c>
      <c r="I167">
        <v>0</v>
      </c>
      <c r="J167">
        <v>0</v>
      </c>
      <c r="L167">
        <f t="shared" si="102"/>
        <v>91.25</v>
      </c>
      <c r="R167">
        <f t="shared" si="103"/>
        <v>8.2999999999999741E-3</v>
      </c>
      <c r="S167">
        <f>S161</f>
        <v>0.99170000000000003</v>
      </c>
      <c r="T167">
        <f>T161</f>
        <v>0.73</v>
      </c>
      <c r="U167">
        <f t="shared" si="104"/>
        <v>4.7000000000000002E-3</v>
      </c>
      <c r="V167">
        <f t="shared" si="105"/>
        <v>0</v>
      </c>
      <c r="W167">
        <v>0</v>
      </c>
      <c r="X167">
        <f t="shared" si="106"/>
        <v>0</v>
      </c>
      <c r="Y167">
        <f t="shared" si="107"/>
        <v>1.3</v>
      </c>
      <c r="Z167">
        <f t="shared" si="108"/>
        <v>1</v>
      </c>
      <c r="AA167">
        <f t="shared" si="109"/>
        <v>-1.4E-3</v>
      </c>
      <c r="AD167">
        <f t="shared" si="110"/>
        <v>0</v>
      </c>
      <c r="AE167">
        <f t="shared" si="111"/>
        <v>0</v>
      </c>
      <c r="AF167">
        <f t="shared" si="112"/>
        <v>0</v>
      </c>
      <c r="AG167">
        <f t="shared" si="113"/>
        <v>0</v>
      </c>
      <c r="AH167">
        <f t="shared" si="114"/>
        <v>0.08</v>
      </c>
      <c r="AI167">
        <f t="shared" si="115"/>
        <v>0</v>
      </c>
      <c r="AJ167">
        <f t="shared" si="116"/>
        <v>0.19</v>
      </c>
      <c r="AK167">
        <f t="shared" si="117"/>
        <v>0.6784</v>
      </c>
      <c r="AL167">
        <f t="shared" si="118"/>
        <v>0</v>
      </c>
      <c r="AM167">
        <f t="shared" si="119"/>
        <v>0</v>
      </c>
      <c r="AN167">
        <f t="shared" si="120"/>
        <v>0</v>
      </c>
      <c r="AO167">
        <f t="shared" si="121"/>
        <v>0</v>
      </c>
    </row>
    <row r="168" spans="1:42" x14ac:dyDescent="0.2">
      <c r="F168" t="s">
        <v>119</v>
      </c>
      <c r="H168">
        <v>200</v>
      </c>
      <c r="I168">
        <v>0</v>
      </c>
      <c r="J168">
        <v>0</v>
      </c>
      <c r="L168">
        <f t="shared" si="102"/>
        <v>91.25</v>
      </c>
      <c r="R168">
        <f t="shared" si="103"/>
        <v>8.2999999999999741E-3</v>
      </c>
      <c r="S168">
        <f>S161</f>
        <v>0.99170000000000003</v>
      </c>
      <c r="T168">
        <f>T161</f>
        <v>0.73</v>
      </c>
      <c r="U168">
        <f t="shared" si="104"/>
        <v>4.7000000000000002E-3</v>
      </c>
      <c r="V168">
        <f t="shared" si="105"/>
        <v>0</v>
      </c>
      <c r="W168">
        <v>0</v>
      </c>
      <c r="X168">
        <f t="shared" si="106"/>
        <v>0</v>
      </c>
      <c r="Y168">
        <f t="shared" si="107"/>
        <v>1.3</v>
      </c>
      <c r="Z168">
        <f t="shared" si="108"/>
        <v>1</v>
      </c>
      <c r="AA168">
        <f t="shared" si="109"/>
        <v>-1.4E-3</v>
      </c>
      <c r="AD168">
        <f t="shared" si="110"/>
        <v>0</v>
      </c>
      <c r="AE168">
        <f t="shared" si="111"/>
        <v>0</v>
      </c>
      <c r="AF168">
        <f t="shared" si="112"/>
        <v>0</v>
      </c>
      <c r="AG168">
        <f t="shared" si="113"/>
        <v>0</v>
      </c>
      <c r="AH168">
        <f t="shared" si="114"/>
        <v>0.08</v>
      </c>
      <c r="AI168">
        <f t="shared" si="115"/>
        <v>0</v>
      </c>
      <c r="AJ168">
        <f t="shared" si="116"/>
        <v>0.19</v>
      </c>
      <c r="AK168">
        <f t="shared" si="117"/>
        <v>0.6784</v>
      </c>
      <c r="AL168">
        <f t="shared" si="118"/>
        <v>0</v>
      </c>
      <c r="AM168">
        <f t="shared" si="119"/>
        <v>0</v>
      </c>
      <c r="AN168">
        <f t="shared" si="120"/>
        <v>0</v>
      </c>
      <c r="AO168">
        <f t="shared" si="121"/>
        <v>0</v>
      </c>
    </row>
    <row r="169" spans="1:42" x14ac:dyDescent="0.2">
      <c r="E169" t="s">
        <v>126</v>
      </c>
      <c r="F169" t="s">
        <v>113</v>
      </c>
      <c r="H169">
        <v>100</v>
      </c>
      <c r="I169">
        <v>95</v>
      </c>
      <c r="J169">
        <v>92</v>
      </c>
      <c r="L169">
        <f t="shared" si="102"/>
        <v>91.25</v>
      </c>
      <c r="R169">
        <f t="shared" si="103"/>
        <v>8.2999999999999741E-3</v>
      </c>
      <c r="S169">
        <f>S161</f>
        <v>0.99170000000000003</v>
      </c>
      <c r="T169">
        <f>T161</f>
        <v>0.73</v>
      </c>
      <c r="U169">
        <f t="shared" si="104"/>
        <v>4.7000000000000002E-3</v>
      </c>
      <c r="V169">
        <f t="shared" si="105"/>
        <v>0.874</v>
      </c>
      <c r="W169">
        <v>0</v>
      </c>
      <c r="X169">
        <f t="shared" si="106"/>
        <v>0</v>
      </c>
      <c r="Y169">
        <f t="shared" si="107"/>
        <v>1.3</v>
      </c>
      <c r="Z169">
        <f t="shared" si="108"/>
        <v>1.2622</v>
      </c>
      <c r="AA169">
        <f t="shared" si="109"/>
        <v>-1.4E-3</v>
      </c>
      <c r="AD169">
        <f t="shared" si="110"/>
        <v>0</v>
      </c>
      <c r="AE169">
        <f t="shared" si="111"/>
        <v>0</v>
      </c>
      <c r="AF169">
        <f t="shared" si="112"/>
        <v>0</v>
      </c>
      <c r="AG169">
        <f t="shared" si="113"/>
        <v>0</v>
      </c>
      <c r="AH169">
        <f t="shared" si="114"/>
        <v>0.08</v>
      </c>
      <c r="AI169">
        <f t="shared" si="115"/>
        <v>0</v>
      </c>
      <c r="AJ169">
        <f t="shared" si="116"/>
        <v>0.19</v>
      </c>
      <c r="AK169">
        <f t="shared" si="117"/>
        <v>0.6784</v>
      </c>
      <c r="AL169">
        <f t="shared" si="118"/>
        <v>0</v>
      </c>
      <c r="AM169">
        <f t="shared" si="119"/>
        <v>0</v>
      </c>
      <c r="AN169">
        <f t="shared" si="120"/>
        <v>0</v>
      </c>
      <c r="AO169">
        <f t="shared" si="121"/>
        <v>0</v>
      </c>
    </row>
    <row r="170" spans="1:42" x14ac:dyDescent="0.2">
      <c r="F170" t="s">
        <v>115</v>
      </c>
      <c r="H170">
        <v>140</v>
      </c>
      <c r="I170">
        <v>0</v>
      </c>
      <c r="J170">
        <v>0</v>
      </c>
      <c r="L170">
        <f t="shared" si="102"/>
        <v>91.25</v>
      </c>
      <c r="R170">
        <f t="shared" si="103"/>
        <v>8.2999999999999741E-3</v>
      </c>
      <c r="S170">
        <f>S161</f>
        <v>0.99170000000000003</v>
      </c>
      <c r="T170">
        <f>T161</f>
        <v>0.73</v>
      </c>
      <c r="U170">
        <f t="shared" si="104"/>
        <v>4.7000000000000002E-3</v>
      </c>
      <c r="V170">
        <f t="shared" si="105"/>
        <v>0</v>
      </c>
      <c r="W170">
        <v>0</v>
      </c>
      <c r="X170">
        <f t="shared" si="106"/>
        <v>0</v>
      </c>
      <c r="Y170">
        <f t="shared" si="107"/>
        <v>1.3</v>
      </c>
      <c r="Z170">
        <f t="shared" si="108"/>
        <v>1</v>
      </c>
      <c r="AA170">
        <f t="shared" si="109"/>
        <v>-1.4E-3</v>
      </c>
      <c r="AD170">
        <f t="shared" si="110"/>
        <v>0</v>
      </c>
      <c r="AE170">
        <f t="shared" si="111"/>
        <v>0</v>
      </c>
      <c r="AF170">
        <f t="shared" si="112"/>
        <v>0</v>
      </c>
      <c r="AG170">
        <f t="shared" si="113"/>
        <v>0</v>
      </c>
      <c r="AH170">
        <f t="shared" si="114"/>
        <v>0.08</v>
      </c>
      <c r="AI170">
        <f t="shared" si="115"/>
        <v>0</v>
      </c>
      <c r="AJ170">
        <f t="shared" si="116"/>
        <v>0.19</v>
      </c>
      <c r="AK170">
        <f t="shared" si="117"/>
        <v>0.6784</v>
      </c>
      <c r="AL170">
        <f t="shared" si="118"/>
        <v>0</v>
      </c>
      <c r="AM170">
        <f t="shared" si="119"/>
        <v>0</v>
      </c>
      <c r="AN170">
        <f t="shared" si="120"/>
        <v>0</v>
      </c>
      <c r="AO170">
        <f t="shared" si="121"/>
        <v>0</v>
      </c>
    </row>
    <row r="171" spans="1:42" x14ac:dyDescent="0.2">
      <c r="F171" t="s">
        <v>117</v>
      </c>
      <c r="H171">
        <v>135</v>
      </c>
      <c r="I171">
        <v>0</v>
      </c>
      <c r="J171">
        <v>0</v>
      </c>
      <c r="L171">
        <f t="shared" si="102"/>
        <v>91.25</v>
      </c>
      <c r="R171">
        <f t="shared" si="103"/>
        <v>8.2999999999999741E-3</v>
      </c>
      <c r="S171">
        <f>S161</f>
        <v>0.99170000000000003</v>
      </c>
      <c r="T171">
        <f>T161</f>
        <v>0.73</v>
      </c>
      <c r="U171">
        <f t="shared" si="104"/>
        <v>4.7000000000000002E-3</v>
      </c>
      <c r="V171">
        <f t="shared" si="105"/>
        <v>0</v>
      </c>
      <c r="W171">
        <v>0</v>
      </c>
      <c r="X171">
        <f t="shared" si="106"/>
        <v>0</v>
      </c>
      <c r="Y171">
        <f t="shared" si="107"/>
        <v>1.3</v>
      </c>
      <c r="Z171">
        <f t="shared" si="108"/>
        <v>1</v>
      </c>
      <c r="AA171">
        <f t="shared" si="109"/>
        <v>-1.4E-3</v>
      </c>
      <c r="AD171">
        <f t="shared" si="110"/>
        <v>0</v>
      </c>
      <c r="AE171">
        <f t="shared" si="111"/>
        <v>0</v>
      </c>
      <c r="AF171">
        <f t="shared" si="112"/>
        <v>0</v>
      </c>
      <c r="AG171">
        <f t="shared" si="113"/>
        <v>0</v>
      </c>
      <c r="AH171">
        <f t="shared" si="114"/>
        <v>0.08</v>
      </c>
      <c r="AI171">
        <f t="shared" si="115"/>
        <v>0</v>
      </c>
      <c r="AJ171">
        <f t="shared" si="116"/>
        <v>0.19</v>
      </c>
      <c r="AK171">
        <f t="shared" si="117"/>
        <v>0.6784</v>
      </c>
      <c r="AL171">
        <f t="shared" si="118"/>
        <v>0</v>
      </c>
      <c r="AM171">
        <f t="shared" si="119"/>
        <v>0</v>
      </c>
      <c r="AN171">
        <f t="shared" si="120"/>
        <v>0</v>
      </c>
      <c r="AO171">
        <f t="shared" si="121"/>
        <v>0</v>
      </c>
    </row>
    <row r="172" spans="1:42" x14ac:dyDescent="0.2">
      <c r="F172" t="s">
        <v>119</v>
      </c>
      <c r="H172">
        <v>130</v>
      </c>
      <c r="I172">
        <v>0</v>
      </c>
      <c r="J172">
        <v>0</v>
      </c>
      <c r="L172">
        <f t="shared" si="102"/>
        <v>91.25</v>
      </c>
      <c r="R172">
        <f t="shared" si="103"/>
        <v>8.2999999999999741E-3</v>
      </c>
      <c r="S172">
        <f>S161</f>
        <v>0.99170000000000003</v>
      </c>
      <c r="T172">
        <f>T161</f>
        <v>0.73</v>
      </c>
      <c r="U172">
        <f t="shared" si="104"/>
        <v>4.7000000000000002E-3</v>
      </c>
      <c r="V172">
        <f t="shared" si="105"/>
        <v>0</v>
      </c>
      <c r="W172">
        <v>0</v>
      </c>
      <c r="X172">
        <f t="shared" si="106"/>
        <v>0</v>
      </c>
      <c r="Y172">
        <f t="shared" si="107"/>
        <v>1.3</v>
      </c>
      <c r="Z172">
        <f t="shared" si="108"/>
        <v>1</v>
      </c>
      <c r="AA172">
        <f t="shared" si="109"/>
        <v>-1.4E-3</v>
      </c>
      <c r="AD172">
        <f t="shared" si="110"/>
        <v>0</v>
      </c>
      <c r="AE172">
        <f t="shared" si="111"/>
        <v>0</v>
      </c>
      <c r="AF172">
        <f t="shared" si="112"/>
        <v>0</v>
      </c>
      <c r="AG172">
        <f t="shared" si="113"/>
        <v>0</v>
      </c>
      <c r="AH172">
        <f t="shared" si="114"/>
        <v>0.08</v>
      </c>
      <c r="AI172">
        <f t="shared" si="115"/>
        <v>0</v>
      </c>
      <c r="AJ172">
        <f t="shared" si="116"/>
        <v>0.19</v>
      </c>
      <c r="AK172">
        <f t="shared" si="117"/>
        <v>0.6784</v>
      </c>
      <c r="AL172">
        <f t="shared" si="118"/>
        <v>0</v>
      </c>
      <c r="AM172">
        <f t="shared" si="119"/>
        <v>0</v>
      </c>
      <c r="AN172">
        <f t="shared" si="120"/>
        <v>0</v>
      </c>
      <c r="AO172">
        <f t="shared" si="121"/>
        <v>0</v>
      </c>
    </row>
    <row r="173" spans="1:42" x14ac:dyDescent="0.2">
      <c r="E173" t="s">
        <v>129</v>
      </c>
      <c r="F173" t="s">
        <v>113</v>
      </c>
      <c r="H173">
        <v>200</v>
      </c>
      <c r="I173">
        <v>0</v>
      </c>
      <c r="J173">
        <v>0</v>
      </c>
      <c r="L173">
        <f t="shared" si="102"/>
        <v>91.25</v>
      </c>
      <c r="R173">
        <f t="shared" si="103"/>
        <v>8.2999999999999741E-3</v>
      </c>
      <c r="S173">
        <f>S161</f>
        <v>0.99170000000000003</v>
      </c>
      <c r="T173">
        <f>T161</f>
        <v>0.73</v>
      </c>
      <c r="U173">
        <f t="shared" si="104"/>
        <v>4.7000000000000002E-3</v>
      </c>
      <c r="V173">
        <f t="shared" si="105"/>
        <v>0</v>
      </c>
      <c r="W173">
        <v>0</v>
      </c>
      <c r="X173">
        <f t="shared" si="106"/>
        <v>0</v>
      </c>
      <c r="Y173">
        <f t="shared" si="107"/>
        <v>1.3</v>
      </c>
      <c r="Z173">
        <f t="shared" si="108"/>
        <v>1</v>
      </c>
      <c r="AA173">
        <f t="shared" si="109"/>
        <v>-1.4E-3</v>
      </c>
      <c r="AD173">
        <f t="shared" si="110"/>
        <v>0</v>
      </c>
      <c r="AE173">
        <f t="shared" si="111"/>
        <v>0</v>
      </c>
      <c r="AF173">
        <f t="shared" si="112"/>
        <v>0</v>
      </c>
      <c r="AG173">
        <f t="shared" si="113"/>
        <v>0</v>
      </c>
      <c r="AH173">
        <f t="shared" si="114"/>
        <v>0.08</v>
      </c>
      <c r="AI173">
        <f t="shared" si="115"/>
        <v>0</v>
      </c>
      <c r="AJ173">
        <f t="shared" si="116"/>
        <v>0.19</v>
      </c>
      <c r="AK173">
        <f t="shared" si="117"/>
        <v>0.6784</v>
      </c>
      <c r="AL173">
        <f t="shared" si="118"/>
        <v>0</v>
      </c>
      <c r="AM173">
        <f t="shared" si="119"/>
        <v>0</v>
      </c>
      <c r="AN173">
        <f t="shared" si="120"/>
        <v>0</v>
      </c>
      <c r="AO173">
        <f t="shared" si="121"/>
        <v>0</v>
      </c>
    </row>
    <row r="174" spans="1:42" x14ac:dyDescent="0.2">
      <c r="F174" t="s">
        <v>115</v>
      </c>
      <c r="H174">
        <v>210</v>
      </c>
      <c r="I174">
        <v>0</v>
      </c>
      <c r="J174">
        <v>0</v>
      </c>
      <c r="L174">
        <f t="shared" si="102"/>
        <v>91.25</v>
      </c>
      <c r="R174">
        <f t="shared" si="103"/>
        <v>8.2999999999999741E-3</v>
      </c>
      <c r="S174">
        <f>S161</f>
        <v>0.99170000000000003</v>
      </c>
      <c r="T174">
        <f>T161</f>
        <v>0.73</v>
      </c>
      <c r="U174">
        <f t="shared" si="104"/>
        <v>4.7000000000000002E-3</v>
      </c>
      <c r="V174">
        <f t="shared" si="105"/>
        <v>0</v>
      </c>
      <c r="W174">
        <v>0</v>
      </c>
      <c r="X174">
        <f t="shared" si="106"/>
        <v>0</v>
      </c>
      <c r="Y174">
        <f t="shared" si="107"/>
        <v>1.3</v>
      </c>
      <c r="Z174">
        <f t="shared" si="108"/>
        <v>1</v>
      </c>
      <c r="AA174">
        <f t="shared" si="109"/>
        <v>-1.4E-3</v>
      </c>
      <c r="AD174">
        <f t="shared" si="110"/>
        <v>0</v>
      </c>
      <c r="AE174">
        <f t="shared" si="111"/>
        <v>0</v>
      </c>
      <c r="AF174">
        <f t="shared" si="112"/>
        <v>0</v>
      </c>
      <c r="AG174">
        <f t="shared" si="113"/>
        <v>0</v>
      </c>
      <c r="AH174">
        <f t="shared" si="114"/>
        <v>0.08</v>
      </c>
      <c r="AI174">
        <f t="shared" si="115"/>
        <v>0</v>
      </c>
      <c r="AJ174">
        <f t="shared" si="116"/>
        <v>0.19</v>
      </c>
      <c r="AK174">
        <f t="shared" si="117"/>
        <v>0.6784</v>
      </c>
      <c r="AL174">
        <f t="shared" si="118"/>
        <v>0</v>
      </c>
      <c r="AM174">
        <f t="shared" si="119"/>
        <v>0</v>
      </c>
      <c r="AN174">
        <f t="shared" si="120"/>
        <v>0</v>
      </c>
      <c r="AO174">
        <f t="shared" si="121"/>
        <v>0</v>
      </c>
    </row>
    <row r="175" spans="1:42" x14ac:dyDescent="0.2">
      <c r="F175" t="s">
        <v>117</v>
      </c>
      <c r="H175">
        <v>190</v>
      </c>
      <c r="I175">
        <v>0</v>
      </c>
      <c r="J175">
        <v>0</v>
      </c>
      <c r="L175">
        <f t="shared" si="102"/>
        <v>91.25</v>
      </c>
      <c r="R175">
        <f t="shared" si="103"/>
        <v>8.2999999999999741E-3</v>
      </c>
      <c r="S175">
        <f>S161</f>
        <v>0.99170000000000003</v>
      </c>
      <c r="T175">
        <f>T161</f>
        <v>0.73</v>
      </c>
      <c r="U175">
        <f t="shared" si="104"/>
        <v>4.7000000000000002E-3</v>
      </c>
      <c r="V175">
        <f t="shared" si="105"/>
        <v>0</v>
      </c>
      <c r="W175">
        <v>0</v>
      </c>
      <c r="X175">
        <f t="shared" si="106"/>
        <v>0</v>
      </c>
      <c r="Y175">
        <f t="shared" si="107"/>
        <v>1.3</v>
      </c>
      <c r="Z175">
        <f t="shared" si="108"/>
        <v>1</v>
      </c>
      <c r="AA175">
        <f t="shared" si="109"/>
        <v>-1.4E-3</v>
      </c>
      <c r="AD175">
        <f t="shared" si="110"/>
        <v>0</v>
      </c>
      <c r="AE175">
        <f t="shared" si="111"/>
        <v>0</v>
      </c>
      <c r="AF175">
        <f t="shared" si="112"/>
        <v>0</v>
      </c>
      <c r="AG175">
        <f t="shared" si="113"/>
        <v>0</v>
      </c>
      <c r="AH175">
        <f t="shared" si="114"/>
        <v>0.08</v>
      </c>
      <c r="AI175">
        <f t="shared" si="115"/>
        <v>0</v>
      </c>
      <c r="AJ175">
        <f t="shared" si="116"/>
        <v>0.19</v>
      </c>
      <c r="AK175">
        <f t="shared" si="117"/>
        <v>0.6784</v>
      </c>
      <c r="AL175">
        <f t="shared" si="118"/>
        <v>0</v>
      </c>
      <c r="AM175">
        <f t="shared" si="119"/>
        <v>0</v>
      </c>
      <c r="AN175">
        <f t="shared" si="120"/>
        <v>0</v>
      </c>
      <c r="AO175">
        <f t="shared" si="121"/>
        <v>0</v>
      </c>
    </row>
    <row r="176" spans="1:42" x14ac:dyDescent="0.2">
      <c r="F176" t="s">
        <v>119</v>
      </c>
      <c r="H176">
        <v>180</v>
      </c>
      <c r="I176">
        <v>0</v>
      </c>
      <c r="J176">
        <v>0</v>
      </c>
      <c r="L176">
        <f t="shared" si="102"/>
        <v>91.25</v>
      </c>
      <c r="R176">
        <f t="shared" si="103"/>
        <v>8.2999999999999741E-3</v>
      </c>
      <c r="S176">
        <f>S161</f>
        <v>0.99170000000000003</v>
      </c>
      <c r="T176">
        <f>T161</f>
        <v>0.73</v>
      </c>
      <c r="U176">
        <f t="shared" si="104"/>
        <v>4.7000000000000002E-3</v>
      </c>
      <c r="V176">
        <f t="shared" si="105"/>
        <v>0</v>
      </c>
      <c r="W176">
        <v>0</v>
      </c>
      <c r="X176">
        <f t="shared" si="106"/>
        <v>0</v>
      </c>
      <c r="Y176">
        <f t="shared" si="107"/>
        <v>1.3</v>
      </c>
      <c r="Z176">
        <f t="shared" si="108"/>
        <v>1</v>
      </c>
      <c r="AA176">
        <f t="shared" si="109"/>
        <v>-1.4E-3</v>
      </c>
      <c r="AD176">
        <f t="shared" si="110"/>
        <v>0</v>
      </c>
      <c r="AE176">
        <f t="shared" si="111"/>
        <v>0</v>
      </c>
      <c r="AF176">
        <f t="shared" si="112"/>
        <v>0</v>
      </c>
      <c r="AG176">
        <f t="shared" si="113"/>
        <v>0</v>
      </c>
      <c r="AH176">
        <f t="shared" si="114"/>
        <v>0.08</v>
      </c>
      <c r="AI176">
        <f t="shared" si="115"/>
        <v>0</v>
      </c>
      <c r="AJ176">
        <f t="shared" si="116"/>
        <v>0.19</v>
      </c>
      <c r="AK176">
        <f t="shared" si="117"/>
        <v>0.6784</v>
      </c>
      <c r="AL176">
        <f t="shared" si="118"/>
        <v>0</v>
      </c>
      <c r="AM176">
        <f t="shared" si="119"/>
        <v>0</v>
      </c>
      <c r="AN176">
        <f t="shared" si="120"/>
        <v>0</v>
      </c>
      <c r="AO176">
        <f t="shared" si="121"/>
        <v>0</v>
      </c>
    </row>
    <row r="177" spans="1:42" x14ac:dyDescent="0.2">
      <c r="E177" t="s">
        <v>131</v>
      </c>
      <c r="F177" t="s">
        <v>113</v>
      </c>
      <c r="H177">
        <v>50</v>
      </c>
      <c r="I177">
        <v>0</v>
      </c>
      <c r="J177">
        <v>0</v>
      </c>
      <c r="L177">
        <f t="shared" si="102"/>
        <v>91.25</v>
      </c>
      <c r="R177">
        <f t="shared" si="103"/>
        <v>8.2999999999999741E-3</v>
      </c>
      <c r="S177">
        <f>S161</f>
        <v>0.99170000000000003</v>
      </c>
      <c r="T177">
        <f>T161</f>
        <v>0.73</v>
      </c>
      <c r="U177">
        <f t="shared" si="104"/>
        <v>4.7000000000000002E-3</v>
      </c>
      <c r="V177">
        <f t="shared" si="105"/>
        <v>0</v>
      </c>
      <c r="W177">
        <v>0</v>
      </c>
      <c r="X177">
        <f t="shared" si="106"/>
        <v>0</v>
      </c>
      <c r="Y177">
        <f t="shared" si="107"/>
        <v>1.3</v>
      </c>
      <c r="Z177">
        <f t="shared" si="108"/>
        <v>1</v>
      </c>
      <c r="AA177">
        <f t="shared" si="109"/>
        <v>-1.4E-3</v>
      </c>
      <c r="AD177">
        <f t="shared" si="110"/>
        <v>0</v>
      </c>
      <c r="AE177">
        <f t="shared" si="111"/>
        <v>0</v>
      </c>
      <c r="AF177">
        <f t="shared" si="112"/>
        <v>0</v>
      </c>
      <c r="AG177">
        <f t="shared" si="113"/>
        <v>0</v>
      </c>
      <c r="AH177">
        <f t="shared" si="114"/>
        <v>0.08</v>
      </c>
      <c r="AI177">
        <f t="shared" si="115"/>
        <v>0</v>
      </c>
      <c r="AJ177">
        <f t="shared" si="116"/>
        <v>0.19</v>
      </c>
      <c r="AK177">
        <f t="shared" si="117"/>
        <v>0.6784</v>
      </c>
      <c r="AL177">
        <f t="shared" si="118"/>
        <v>0</v>
      </c>
      <c r="AM177">
        <f t="shared" si="119"/>
        <v>0</v>
      </c>
      <c r="AN177">
        <f t="shared" si="120"/>
        <v>0</v>
      </c>
      <c r="AO177">
        <f t="shared" si="121"/>
        <v>0</v>
      </c>
    </row>
    <row r="178" spans="1:42" x14ac:dyDescent="0.2">
      <c r="F178" t="s">
        <v>115</v>
      </c>
      <c r="H178">
        <v>55</v>
      </c>
      <c r="I178">
        <v>0</v>
      </c>
      <c r="J178">
        <v>0</v>
      </c>
      <c r="L178">
        <f t="shared" si="102"/>
        <v>91.25</v>
      </c>
      <c r="R178">
        <f t="shared" si="103"/>
        <v>8.2999999999999741E-3</v>
      </c>
      <c r="S178">
        <f>S161</f>
        <v>0.99170000000000003</v>
      </c>
      <c r="T178">
        <f>T161</f>
        <v>0.73</v>
      </c>
      <c r="U178">
        <f t="shared" si="104"/>
        <v>4.7000000000000002E-3</v>
      </c>
      <c r="V178">
        <f t="shared" si="105"/>
        <v>0</v>
      </c>
      <c r="W178">
        <v>0</v>
      </c>
      <c r="X178">
        <f t="shared" si="106"/>
        <v>0</v>
      </c>
      <c r="Y178">
        <f t="shared" si="107"/>
        <v>1.3</v>
      </c>
      <c r="Z178">
        <f t="shared" si="108"/>
        <v>1</v>
      </c>
      <c r="AA178">
        <f t="shared" si="109"/>
        <v>-1.4E-3</v>
      </c>
      <c r="AD178">
        <f t="shared" si="110"/>
        <v>0</v>
      </c>
      <c r="AE178">
        <f t="shared" si="111"/>
        <v>0</v>
      </c>
      <c r="AF178">
        <f t="shared" si="112"/>
        <v>0</v>
      </c>
      <c r="AG178">
        <f t="shared" si="113"/>
        <v>0</v>
      </c>
      <c r="AH178">
        <f t="shared" si="114"/>
        <v>0.08</v>
      </c>
      <c r="AI178">
        <f t="shared" si="115"/>
        <v>0</v>
      </c>
      <c r="AJ178">
        <f t="shared" si="116"/>
        <v>0.19</v>
      </c>
      <c r="AK178">
        <f t="shared" si="117"/>
        <v>0.6784</v>
      </c>
      <c r="AL178">
        <f t="shared" si="118"/>
        <v>0</v>
      </c>
      <c r="AM178">
        <f t="shared" si="119"/>
        <v>0</v>
      </c>
      <c r="AN178">
        <f t="shared" si="120"/>
        <v>0</v>
      </c>
      <c r="AO178">
        <f t="shared" si="121"/>
        <v>0</v>
      </c>
    </row>
    <row r="179" spans="1:42" x14ac:dyDescent="0.2">
      <c r="F179" t="s">
        <v>117</v>
      </c>
      <c r="H179">
        <v>60</v>
      </c>
      <c r="I179">
        <v>0</v>
      </c>
      <c r="J179">
        <v>0</v>
      </c>
      <c r="L179">
        <f t="shared" si="102"/>
        <v>91.25</v>
      </c>
      <c r="R179">
        <f t="shared" si="103"/>
        <v>8.2999999999999741E-3</v>
      </c>
      <c r="S179">
        <f>S161</f>
        <v>0.99170000000000003</v>
      </c>
      <c r="T179">
        <f>T161</f>
        <v>0.73</v>
      </c>
      <c r="U179">
        <f t="shared" si="104"/>
        <v>4.7000000000000002E-3</v>
      </c>
      <c r="V179">
        <f t="shared" si="105"/>
        <v>0</v>
      </c>
      <c r="W179">
        <v>0</v>
      </c>
      <c r="X179">
        <f t="shared" si="106"/>
        <v>0</v>
      </c>
      <c r="Y179">
        <f t="shared" si="107"/>
        <v>1.3</v>
      </c>
      <c r="Z179">
        <f t="shared" si="108"/>
        <v>1</v>
      </c>
      <c r="AA179">
        <f t="shared" si="109"/>
        <v>-1.4E-3</v>
      </c>
      <c r="AD179">
        <f t="shared" si="110"/>
        <v>0</v>
      </c>
      <c r="AE179">
        <f t="shared" si="111"/>
        <v>0</v>
      </c>
      <c r="AF179">
        <f t="shared" si="112"/>
        <v>0</v>
      </c>
      <c r="AG179">
        <f t="shared" si="113"/>
        <v>0</v>
      </c>
      <c r="AH179">
        <f t="shared" si="114"/>
        <v>0.08</v>
      </c>
      <c r="AI179">
        <f t="shared" si="115"/>
        <v>0</v>
      </c>
      <c r="AJ179">
        <f t="shared" si="116"/>
        <v>0.19</v>
      </c>
      <c r="AK179">
        <f t="shared" si="117"/>
        <v>0.6784</v>
      </c>
      <c r="AL179">
        <f t="shared" si="118"/>
        <v>0</v>
      </c>
      <c r="AM179">
        <f t="shared" si="119"/>
        <v>0</v>
      </c>
      <c r="AN179">
        <f t="shared" si="120"/>
        <v>0</v>
      </c>
      <c r="AO179">
        <f t="shared" si="121"/>
        <v>0</v>
      </c>
    </row>
    <row r="180" spans="1:42" x14ac:dyDescent="0.2">
      <c r="F180" t="s">
        <v>119</v>
      </c>
      <c r="H180">
        <v>65</v>
      </c>
      <c r="I180">
        <v>0</v>
      </c>
      <c r="J180">
        <v>0</v>
      </c>
      <c r="L180">
        <f t="shared" si="102"/>
        <v>91.25</v>
      </c>
      <c r="R180">
        <f t="shared" si="103"/>
        <v>8.2999999999999741E-3</v>
      </c>
      <c r="S180">
        <f>S161</f>
        <v>0.99170000000000003</v>
      </c>
      <c r="T180">
        <f>T161</f>
        <v>0.73</v>
      </c>
      <c r="U180">
        <f t="shared" si="104"/>
        <v>4.7000000000000002E-3</v>
      </c>
      <c r="V180">
        <f t="shared" si="105"/>
        <v>0</v>
      </c>
      <c r="W180">
        <v>0</v>
      </c>
      <c r="X180">
        <f t="shared" si="106"/>
        <v>0</v>
      </c>
      <c r="Y180">
        <f t="shared" si="107"/>
        <v>1.3</v>
      </c>
      <c r="Z180">
        <f t="shared" si="108"/>
        <v>1</v>
      </c>
      <c r="AA180">
        <f t="shared" si="109"/>
        <v>-1.4E-3</v>
      </c>
      <c r="AD180">
        <f t="shared" si="110"/>
        <v>0</v>
      </c>
      <c r="AE180">
        <f t="shared" si="111"/>
        <v>0</v>
      </c>
      <c r="AF180">
        <f t="shared" si="112"/>
        <v>0</v>
      </c>
      <c r="AG180">
        <f t="shared" si="113"/>
        <v>0</v>
      </c>
      <c r="AH180">
        <f t="shared" si="114"/>
        <v>0.08</v>
      </c>
      <c r="AI180">
        <f t="shared" si="115"/>
        <v>0</v>
      </c>
      <c r="AJ180">
        <f t="shared" si="116"/>
        <v>0.19</v>
      </c>
      <c r="AK180">
        <f t="shared" si="117"/>
        <v>0.6784</v>
      </c>
      <c r="AL180">
        <f t="shared" si="118"/>
        <v>0</v>
      </c>
      <c r="AM180">
        <f t="shared" si="119"/>
        <v>0</v>
      </c>
      <c r="AN180">
        <f t="shared" si="120"/>
        <v>0</v>
      </c>
      <c r="AO180">
        <f t="shared" si="121"/>
        <v>0</v>
      </c>
    </row>
    <row r="181" spans="1:42" x14ac:dyDescent="0.2">
      <c r="E181" t="s">
        <v>132</v>
      </c>
      <c r="F181" t="s">
        <v>113</v>
      </c>
      <c r="H181">
        <v>50</v>
      </c>
      <c r="I181">
        <v>0</v>
      </c>
      <c r="J181">
        <v>0</v>
      </c>
      <c r="L181">
        <f t="shared" si="102"/>
        <v>91.25</v>
      </c>
      <c r="R181">
        <f t="shared" si="103"/>
        <v>8.2999999999999741E-3</v>
      </c>
      <c r="S181">
        <f>S161</f>
        <v>0.99170000000000003</v>
      </c>
      <c r="T181">
        <f>T161</f>
        <v>0.73</v>
      </c>
      <c r="U181">
        <f t="shared" si="104"/>
        <v>4.7000000000000002E-3</v>
      </c>
      <c r="V181">
        <f t="shared" si="105"/>
        <v>0</v>
      </c>
      <c r="W181">
        <v>0</v>
      </c>
      <c r="X181">
        <f t="shared" si="106"/>
        <v>0</v>
      </c>
      <c r="Y181">
        <f t="shared" si="107"/>
        <v>1.3</v>
      </c>
      <c r="Z181">
        <f t="shared" si="108"/>
        <v>1</v>
      </c>
      <c r="AA181">
        <f t="shared" si="109"/>
        <v>-1.4E-3</v>
      </c>
      <c r="AD181">
        <f t="shared" si="110"/>
        <v>0</v>
      </c>
      <c r="AE181">
        <f t="shared" si="111"/>
        <v>0</v>
      </c>
      <c r="AF181">
        <f t="shared" si="112"/>
        <v>0</v>
      </c>
      <c r="AG181">
        <f t="shared" si="113"/>
        <v>0</v>
      </c>
      <c r="AH181">
        <f t="shared" si="114"/>
        <v>0.08</v>
      </c>
      <c r="AI181">
        <f t="shared" si="115"/>
        <v>0</v>
      </c>
      <c r="AJ181">
        <f t="shared" si="116"/>
        <v>0.19</v>
      </c>
      <c r="AK181">
        <f t="shared" si="117"/>
        <v>0.6784</v>
      </c>
      <c r="AL181">
        <f t="shared" si="118"/>
        <v>0</v>
      </c>
      <c r="AM181">
        <f t="shared" si="119"/>
        <v>0</v>
      </c>
      <c r="AN181">
        <f t="shared" si="120"/>
        <v>0</v>
      </c>
      <c r="AO181">
        <f t="shared" si="121"/>
        <v>0</v>
      </c>
    </row>
    <row r="182" spans="1:42" x14ac:dyDescent="0.2">
      <c r="F182" t="s">
        <v>115</v>
      </c>
      <c r="H182">
        <v>100</v>
      </c>
      <c r="I182">
        <v>0</v>
      </c>
      <c r="J182">
        <v>0</v>
      </c>
      <c r="L182">
        <f t="shared" si="102"/>
        <v>91.25</v>
      </c>
      <c r="R182">
        <f t="shared" si="103"/>
        <v>8.2999999999999741E-3</v>
      </c>
      <c r="S182">
        <f>S161</f>
        <v>0.99170000000000003</v>
      </c>
      <c r="T182">
        <f>T161</f>
        <v>0.73</v>
      </c>
      <c r="U182">
        <f t="shared" si="104"/>
        <v>4.7000000000000002E-3</v>
      </c>
      <c r="V182">
        <f t="shared" si="105"/>
        <v>0</v>
      </c>
      <c r="W182">
        <v>0</v>
      </c>
      <c r="X182">
        <f t="shared" si="106"/>
        <v>0</v>
      </c>
      <c r="Y182">
        <f t="shared" si="107"/>
        <v>1.3</v>
      </c>
      <c r="Z182">
        <f t="shared" si="108"/>
        <v>1</v>
      </c>
      <c r="AA182">
        <f t="shared" si="109"/>
        <v>-1.4E-3</v>
      </c>
      <c r="AD182">
        <f t="shared" si="110"/>
        <v>0</v>
      </c>
      <c r="AE182">
        <f t="shared" si="111"/>
        <v>0</v>
      </c>
      <c r="AF182">
        <f t="shared" si="112"/>
        <v>0</v>
      </c>
      <c r="AG182">
        <f t="shared" si="113"/>
        <v>0</v>
      </c>
      <c r="AH182">
        <f t="shared" si="114"/>
        <v>0.08</v>
      </c>
      <c r="AI182">
        <f t="shared" si="115"/>
        <v>0</v>
      </c>
      <c r="AJ182">
        <f t="shared" si="116"/>
        <v>0.19</v>
      </c>
      <c r="AK182">
        <f t="shared" si="117"/>
        <v>0.6784</v>
      </c>
      <c r="AL182">
        <f t="shared" si="118"/>
        <v>0</v>
      </c>
      <c r="AM182">
        <f t="shared" si="119"/>
        <v>0</v>
      </c>
      <c r="AN182">
        <f t="shared" si="120"/>
        <v>0</v>
      </c>
      <c r="AO182">
        <f t="shared" si="121"/>
        <v>0</v>
      </c>
    </row>
    <row r="183" spans="1:42" x14ac:dyDescent="0.2">
      <c r="F183" t="s">
        <v>117</v>
      </c>
      <c r="H183">
        <v>90</v>
      </c>
      <c r="I183">
        <v>0</v>
      </c>
      <c r="J183">
        <v>0</v>
      </c>
      <c r="L183">
        <f t="shared" si="102"/>
        <v>91.25</v>
      </c>
      <c r="R183">
        <f t="shared" si="103"/>
        <v>8.2999999999999741E-3</v>
      </c>
      <c r="S183">
        <f>S161</f>
        <v>0.99170000000000003</v>
      </c>
      <c r="T183">
        <f>T161</f>
        <v>0.73</v>
      </c>
      <c r="U183">
        <f t="shared" si="104"/>
        <v>4.7000000000000002E-3</v>
      </c>
      <c r="V183">
        <f t="shared" si="105"/>
        <v>0</v>
      </c>
      <c r="W183">
        <v>0</v>
      </c>
      <c r="X183">
        <f t="shared" si="106"/>
        <v>0</v>
      </c>
      <c r="Y183">
        <f t="shared" si="107"/>
        <v>1.3</v>
      </c>
      <c r="Z183">
        <f t="shared" si="108"/>
        <v>1</v>
      </c>
      <c r="AA183">
        <f t="shared" si="109"/>
        <v>-1.4E-3</v>
      </c>
      <c r="AD183">
        <f t="shared" si="110"/>
        <v>0</v>
      </c>
      <c r="AE183">
        <f t="shared" si="111"/>
        <v>0</v>
      </c>
      <c r="AF183">
        <f t="shared" si="112"/>
        <v>0</v>
      </c>
      <c r="AG183">
        <f t="shared" si="113"/>
        <v>0</v>
      </c>
      <c r="AH183">
        <f t="shared" si="114"/>
        <v>0.08</v>
      </c>
      <c r="AI183">
        <f t="shared" si="115"/>
        <v>0</v>
      </c>
      <c r="AJ183">
        <f t="shared" si="116"/>
        <v>0.19</v>
      </c>
      <c r="AK183">
        <f t="shared" si="117"/>
        <v>0.6784</v>
      </c>
      <c r="AL183">
        <f t="shared" si="118"/>
        <v>0</v>
      </c>
      <c r="AM183">
        <f t="shared" si="119"/>
        <v>0</v>
      </c>
      <c r="AN183">
        <f t="shared" si="120"/>
        <v>0</v>
      </c>
      <c r="AO183">
        <f t="shared" si="121"/>
        <v>0</v>
      </c>
    </row>
    <row r="184" spans="1:42" x14ac:dyDescent="0.2">
      <c r="F184" t="s">
        <v>119</v>
      </c>
      <c r="H184">
        <v>80</v>
      </c>
      <c r="I184">
        <v>0</v>
      </c>
      <c r="J184">
        <v>0</v>
      </c>
      <c r="L184">
        <f t="shared" si="102"/>
        <v>91.25</v>
      </c>
      <c r="R184">
        <f t="shared" si="103"/>
        <v>8.2999999999999741E-3</v>
      </c>
      <c r="S184">
        <f>S161</f>
        <v>0.99170000000000003</v>
      </c>
      <c r="T184">
        <f>T161</f>
        <v>0.73</v>
      </c>
      <c r="U184">
        <f t="shared" si="104"/>
        <v>4.7000000000000002E-3</v>
      </c>
      <c r="V184">
        <f t="shared" si="105"/>
        <v>0</v>
      </c>
      <c r="W184">
        <v>0</v>
      </c>
      <c r="X184">
        <f t="shared" si="106"/>
        <v>0</v>
      </c>
      <c r="Y184">
        <f t="shared" si="107"/>
        <v>1.3</v>
      </c>
      <c r="Z184">
        <f t="shared" si="108"/>
        <v>1</v>
      </c>
      <c r="AA184">
        <f t="shared" si="109"/>
        <v>-1.4E-3</v>
      </c>
      <c r="AD184">
        <f t="shared" si="110"/>
        <v>0</v>
      </c>
      <c r="AE184">
        <f t="shared" si="111"/>
        <v>0</v>
      </c>
      <c r="AF184">
        <f t="shared" si="112"/>
        <v>0</v>
      </c>
      <c r="AG184">
        <f t="shared" si="113"/>
        <v>0</v>
      </c>
      <c r="AH184">
        <f t="shared" si="114"/>
        <v>0.08</v>
      </c>
      <c r="AI184">
        <f t="shared" si="115"/>
        <v>0</v>
      </c>
      <c r="AJ184">
        <f t="shared" si="116"/>
        <v>0.19</v>
      </c>
      <c r="AK184">
        <f t="shared" si="117"/>
        <v>0.6784</v>
      </c>
      <c r="AL184">
        <f t="shared" si="118"/>
        <v>0</v>
      </c>
      <c r="AM184">
        <f t="shared" si="119"/>
        <v>0</v>
      </c>
      <c r="AN184">
        <f t="shared" si="120"/>
        <v>0</v>
      </c>
      <c r="AO184">
        <f t="shared" si="121"/>
        <v>0</v>
      </c>
    </row>
    <row r="191" spans="1:42" x14ac:dyDescent="0.2">
      <c r="A191" t="s">
        <v>123</v>
      </c>
      <c r="B191" t="s">
        <v>123</v>
      </c>
      <c r="C191" t="s">
        <v>123</v>
      </c>
      <c r="D191" t="s">
        <v>111</v>
      </c>
      <c r="E191" t="s">
        <v>112</v>
      </c>
      <c r="F191" t="s">
        <v>113</v>
      </c>
      <c r="H191">
        <v>100</v>
      </c>
      <c r="I191">
        <v>95</v>
      </c>
      <c r="J191">
        <v>90</v>
      </c>
      <c r="L191">
        <f t="shared" ref="L191:L214" si="122">$AV$3</f>
        <v>91.25</v>
      </c>
      <c r="M191" t="e" cm="1">
        <f t="array" aca="1" ref="M191" ca="1">_xludf.DROP(_xludf.XLOOKUP($C191,#REF!,#REF!),1)</f>
        <v>#NAME?</v>
      </c>
      <c r="O191" t="e" cm="1">
        <f t="array" aca="1" ref="O191" ca="1">_xludf.DROP(_xludf.XLOOKUP($C191,#REF!,#REF!),1)</f>
        <v>#NAME?</v>
      </c>
      <c r="Q191" t="e" cm="1">
        <f t="array" aca="1" ref="Q191" ca="1">_xludf.DROP(_xludf.XLOOKUP($C191,#REF!,#REF!),1)</f>
        <v>#NAME?</v>
      </c>
      <c r="R191">
        <f t="shared" ref="R191:R214" si="123">1-S191</f>
        <v>0</v>
      </c>
      <c r="S191">
        <f>IF($D191="yes", 1, VLOOKUP($B191, $AU$26:$AW$32, 2)/100)</f>
        <v>1</v>
      </c>
      <c r="T191">
        <f>VLOOKUP($B191,$AW$10:$AX$16, 2, FALSE)</f>
        <v>0.76</v>
      </c>
      <c r="U191">
        <f t="shared" ref="U191:U214" si="124">$AV$10</f>
        <v>4.7000000000000002E-3</v>
      </c>
      <c r="V191">
        <f t="shared" ref="V191:V214" si="125">(I191/100)*(MIN(J191,100)/100)</f>
        <v>0.85499999999999998</v>
      </c>
      <c r="W191">
        <v>0</v>
      </c>
      <c r="X191">
        <f t="shared" ref="X191:X214" si="126">1.6 * W191</f>
        <v>0</v>
      </c>
      <c r="Y191">
        <f t="shared" ref="Y191:Y214" si="127">$AY$1</f>
        <v>1.3</v>
      </c>
      <c r="Z191">
        <f t="shared" ref="Z191:Z214" si="128">V191*Y191+(1-V191)</f>
        <v>1.2565</v>
      </c>
      <c r="AA191" t="e">
        <f t="shared" ref="AA191:AA214" ca="1" si="129">(0.795*O191)-0.0014</f>
        <v>#NAME?</v>
      </c>
      <c r="AC191" t="e" cm="1">
        <f t="array" aca="1" ref="AC191" ca="1">_xludf.DROP(_xludf.XLOOKUP($C191,#REF!,#REF!),1)</f>
        <v>#NAME?</v>
      </c>
      <c r="AD191" t="e">
        <f t="shared" ref="AD191:AD214" ca="1" si="130">1 - EXP(-2*(AC191^2))</f>
        <v>#NAME?</v>
      </c>
      <c r="AE191" t="e">
        <f t="shared" ref="AE191:AE214" ca="1" si="131">(104.7*AA191+0.307*Q191-15)*(Q191^0.75)*10^-3</f>
        <v>#NAME?</v>
      </c>
      <c r="AF191" t="e">
        <f t="shared" ref="AF191:AF214" ca="1" si="132">AE191*AD191*Z191</f>
        <v>#NAME?</v>
      </c>
      <c r="AG191" t="e">
        <f t="shared" ref="AG191:AG214" ca="1" si="133">(AF191 * M191) + (0.045 * X191)</f>
        <v>#NAME?</v>
      </c>
      <c r="AH191">
        <f t="shared" ref="AH191:AH214" si="134">$AV$2</f>
        <v>0.08</v>
      </c>
      <c r="AI191" t="e">
        <f t="shared" ref="AI191:AI214" ca="1" si="135">(AF191 * ((1 - O191) + (0.04 * AF191))) * ( 1 - AH191 )</f>
        <v>#NAME?</v>
      </c>
      <c r="AJ191">
        <f t="shared" ref="AJ191:AJ214" si="136">$AV$1</f>
        <v>0.19</v>
      </c>
      <c r="AK191">
        <f t="shared" ref="AK191:AK214" si="137">$AW$20</f>
        <v>0.6784</v>
      </c>
      <c r="AL191" t="e">
        <f t="shared" ref="AL191:AL214" ca="1" si="138">AI191 * AJ191 * R191 * T191 * AK191</f>
        <v>#NAME?</v>
      </c>
      <c r="AM191" t="e">
        <f t="shared" ref="AM191:AM214" ca="1" si="139">AI191*AJ191*S191*U191*AK191</f>
        <v>#NAME?</v>
      </c>
      <c r="AN191" t="e">
        <f t="shared" ref="AN191:AN214" ca="1" si="140">AL191+AM191</f>
        <v>#NAME?</v>
      </c>
      <c r="AO191" t="e">
        <f t="shared" ref="AO191:AO214" ca="1" si="141">H191*AN191*L191</f>
        <v>#NAME?</v>
      </c>
      <c r="AP191" t="e">
        <f ca="1">SUM(AO191:AO214)*10^-3</f>
        <v>#NAME?</v>
      </c>
    </row>
    <row r="192" spans="1:42" x14ac:dyDescent="0.2">
      <c r="F192" t="s">
        <v>115</v>
      </c>
      <c r="H192">
        <v>70</v>
      </c>
      <c r="I192">
        <v>0</v>
      </c>
      <c r="J192">
        <v>0</v>
      </c>
      <c r="L192">
        <f t="shared" si="122"/>
        <v>91.25</v>
      </c>
      <c r="R192">
        <f t="shared" si="123"/>
        <v>0</v>
      </c>
      <c r="S192">
        <f>S191</f>
        <v>1</v>
      </c>
      <c r="T192">
        <f>T191</f>
        <v>0.76</v>
      </c>
      <c r="U192">
        <f t="shared" si="124"/>
        <v>4.7000000000000002E-3</v>
      </c>
      <c r="V192">
        <f t="shared" si="125"/>
        <v>0</v>
      </c>
      <c r="W192">
        <v>0</v>
      </c>
      <c r="X192">
        <f t="shared" si="126"/>
        <v>0</v>
      </c>
      <c r="Y192">
        <f t="shared" si="127"/>
        <v>1.3</v>
      </c>
      <c r="Z192">
        <f t="shared" si="128"/>
        <v>1</v>
      </c>
      <c r="AA192">
        <f t="shared" si="129"/>
        <v>-1.4E-3</v>
      </c>
      <c r="AD192">
        <f t="shared" si="130"/>
        <v>0</v>
      </c>
      <c r="AE192">
        <f t="shared" si="131"/>
        <v>0</v>
      </c>
      <c r="AF192">
        <f t="shared" si="132"/>
        <v>0</v>
      </c>
      <c r="AG192">
        <f t="shared" si="133"/>
        <v>0</v>
      </c>
      <c r="AH192">
        <f t="shared" si="134"/>
        <v>0.08</v>
      </c>
      <c r="AI192">
        <f t="shared" si="135"/>
        <v>0</v>
      </c>
      <c r="AJ192">
        <f t="shared" si="136"/>
        <v>0.19</v>
      </c>
      <c r="AK192">
        <f t="shared" si="137"/>
        <v>0.6784</v>
      </c>
      <c r="AL192">
        <f t="shared" si="138"/>
        <v>0</v>
      </c>
      <c r="AM192">
        <f t="shared" si="139"/>
        <v>0</v>
      </c>
      <c r="AN192">
        <f t="shared" si="140"/>
        <v>0</v>
      </c>
      <c r="AO192">
        <f t="shared" si="141"/>
        <v>0</v>
      </c>
    </row>
    <row r="193" spans="5:41" x14ac:dyDescent="0.2">
      <c r="F193" t="s">
        <v>117</v>
      </c>
      <c r="H193">
        <v>65</v>
      </c>
      <c r="I193">
        <v>0</v>
      </c>
      <c r="J193">
        <v>0</v>
      </c>
      <c r="L193">
        <f t="shared" si="122"/>
        <v>91.25</v>
      </c>
      <c r="R193">
        <f t="shared" si="123"/>
        <v>0</v>
      </c>
      <c r="S193">
        <f>S191</f>
        <v>1</v>
      </c>
      <c r="T193">
        <f>T191</f>
        <v>0.76</v>
      </c>
      <c r="U193">
        <f t="shared" si="124"/>
        <v>4.7000000000000002E-3</v>
      </c>
      <c r="V193">
        <f t="shared" si="125"/>
        <v>0</v>
      </c>
      <c r="W193">
        <v>0</v>
      </c>
      <c r="X193">
        <f t="shared" si="126"/>
        <v>0</v>
      </c>
      <c r="Y193">
        <f t="shared" si="127"/>
        <v>1.3</v>
      </c>
      <c r="Z193">
        <f t="shared" si="128"/>
        <v>1</v>
      </c>
      <c r="AA193">
        <f t="shared" si="129"/>
        <v>-1.4E-3</v>
      </c>
      <c r="AD193">
        <f t="shared" si="130"/>
        <v>0</v>
      </c>
      <c r="AE193">
        <f t="shared" si="131"/>
        <v>0</v>
      </c>
      <c r="AF193">
        <f t="shared" si="132"/>
        <v>0</v>
      </c>
      <c r="AG193">
        <f t="shared" si="133"/>
        <v>0</v>
      </c>
      <c r="AH193">
        <f t="shared" si="134"/>
        <v>0.08</v>
      </c>
      <c r="AI193">
        <f t="shared" si="135"/>
        <v>0</v>
      </c>
      <c r="AJ193">
        <f t="shared" si="136"/>
        <v>0.19</v>
      </c>
      <c r="AK193">
        <f t="shared" si="137"/>
        <v>0.6784</v>
      </c>
      <c r="AL193">
        <f t="shared" si="138"/>
        <v>0</v>
      </c>
      <c r="AM193">
        <f t="shared" si="139"/>
        <v>0</v>
      </c>
      <c r="AN193">
        <f t="shared" si="140"/>
        <v>0</v>
      </c>
      <c r="AO193">
        <f t="shared" si="141"/>
        <v>0</v>
      </c>
    </row>
    <row r="194" spans="5:41" x14ac:dyDescent="0.2">
      <c r="F194" t="s">
        <v>119</v>
      </c>
      <c r="H194">
        <v>80</v>
      </c>
      <c r="I194">
        <v>0</v>
      </c>
      <c r="J194">
        <v>0</v>
      </c>
      <c r="L194">
        <f t="shared" si="122"/>
        <v>91.25</v>
      </c>
      <c r="R194">
        <f t="shared" si="123"/>
        <v>0</v>
      </c>
      <c r="S194">
        <f>S191</f>
        <v>1</v>
      </c>
      <c r="T194">
        <f>T191</f>
        <v>0.76</v>
      </c>
      <c r="U194">
        <f t="shared" si="124"/>
        <v>4.7000000000000002E-3</v>
      </c>
      <c r="V194">
        <f t="shared" si="125"/>
        <v>0</v>
      </c>
      <c r="W194">
        <v>0</v>
      </c>
      <c r="X194">
        <f t="shared" si="126"/>
        <v>0</v>
      </c>
      <c r="Y194">
        <f t="shared" si="127"/>
        <v>1.3</v>
      </c>
      <c r="Z194">
        <f t="shared" si="128"/>
        <v>1</v>
      </c>
      <c r="AA194">
        <f t="shared" si="129"/>
        <v>-1.4E-3</v>
      </c>
      <c r="AD194">
        <f t="shared" si="130"/>
        <v>0</v>
      </c>
      <c r="AE194">
        <f t="shared" si="131"/>
        <v>0</v>
      </c>
      <c r="AF194">
        <f t="shared" si="132"/>
        <v>0</v>
      </c>
      <c r="AG194">
        <f t="shared" si="133"/>
        <v>0</v>
      </c>
      <c r="AH194">
        <f t="shared" si="134"/>
        <v>0.08</v>
      </c>
      <c r="AI194">
        <f t="shared" si="135"/>
        <v>0</v>
      </c>
      <c r="AJ194">
        <f t="shared" si="136"/>
        <v>0.19</v>
      </c>
      <c r="AK194">
        <f t="shared" si="137"/>
        <v>0.6784</v>
      </c>
      <c r="AL194">
        <f t="shared" si="138"/>
        <v>0</v>
      </c>
      <c r="AM194">
        <f t="shared" si="139"/>
        <v>0</v>
      </c>
      <c r="AN194">
        <f t="shared" si="140"/>
        <v>0</v>
      </c>
      <c r="AO194">
        <f t="shared" si="141"/>
        <v>0</v>
      </c>
    </row>
    <row r="195" spans="5:41" x14ac:dyDescent="0.2">
      <c r="E195" t="s">
        <v>121</v>
      </c>
      <c r="F195" t="s">
        <v>113</v>
      </c>
      <c r="H195">
        <v>200</v>
      </c>
      <c r="I195">
        <v>0</v>
      </c>
      <c r="J195">
        <v>0</v>
      </c>
      <c r="L195">
        <f t="shared" si="122"/>
        <v>91.25</v>
      </c>
      <c r="R195">
        <f t="shared" si="123"/>
        <v>0</v>
      </c>
      <c r="S195">
        <f>S191</f>
        <v>1</v>
      </c>
      <c r="T195">
        <f>T191</f>
        <v>0.76</v>
      </c>
      <c r="U195">
        <f t="shared" si="124"/>
        <v>4.7000000000000002E-3</v>
      </c>
      <c r="V195">
        <f t="shared" si="125"/>
        <v>0</v>
      </c>
      <c r="W195">
        <v>1</v>
      </c>
      <c r="X195">
        <f t="shared" si="126"/>
        <v>1.6</v>
      </c>
      <c r="Y195">
        <f t="shared" si="127"/>
        <v>1.3</v>
      </c>
      <c r="Z195">
        <f t="shared" si="128"/>
        <v>1</v>
      </c>
      <c r="AA195">
        <f t="shared" si="129"/>
        <v>-1.4E-3</v>
      </c>
      <c r="AD195">
        <f t="shared" si="130"/>
        <v>0</v>
      </c>
      <c r="AE195">
        <f t="shared" si="131"/>
        <v>0</v>
      </c>
      <c r="AF195">
        <f t="shared" si="132"/>
        <v>0</v>
      </c>
      <c r="AG195">
        <f t="shared" si="133"/>
        <v>7.1999999999999995E-2</v>
      </c>
      <c r="AH195">
        <f t="shared" si="134"/>
        <v>0.08</v>
      </c>
      <c r="AI195">
        <f t="shared" si="135"/>
        <v>0</v>
      </c>
      <c r="AJ195">
        <f t="shared" si="136"/>
        <v>0.19</v>
      </c>
      <c r="AK195">
        <f t="shared" si="137"/>
        <v>0.6784</v>
      </c>
      <c r="AL195">
        <f t="shared" si="138"/>
        <v>0</v>
      </c>
      <c r="AM195">
        <f t="shared" si="139"/>
        <v>0</v>
      </c>
      <c r="AN195">
        <f t="shared" si="140"/>
        <v>0</v>
      </c>
      <c r="AO195">
        <f t="shared" si="141"/>
        <v>0</v>
      </c>
    </row>
    <row r="196" spans="5:41" x14ac:dyDescent="0.2">
      <c r="F196" t="s">
        <v>115</v>
      </c>
      <c r="H196">
        <v>210</v>
      </c>
      <c r="I196">
        <v>0</v>
      </c>
      <c r="J196">
        <v>0</v>
      </c>
      <c r="L196">
        <f t="shared" si="122"/>
        <v>91.25</v>
      </c>
      <c r="R196">
        <f t="shared" si="123"/>
        <v>0</v>
      </c>
      <c r="S196">
        <f>S191</f>
        <v>1</v>
      </c>
      <c r="T196">
        <f>T191</f>
        <v>0.76</v>
      </c>
      <c r="U196">
        <f t="shared" si="124"/>
        <v>4.7000000000000002E-3</v>
      </c>
      <c r="V196">
        <f t="shared" si="125"/>
        <v>0</v>
      </c>
      <c r="W196">
        <v>0</v>
      </c>
      <c r="X196">
        <f t="shared" si="126"/>
        <v>0</v>
      </c>
      <c r="Y196">
        <f t="shared" si="127"/>
        <v>1.3</v>
      </c>
      <c r="Z196">
        <f t="shared" si="128"/>
        <v>1</v>
      </c>
      <c r="AA196">
        <f t="shared" si="129"/>
        <v>-1.4E-3</v>
      </c>
      <c r="AD196">
        <f t="shared" si="130"/>
        <v>0</v>
      </c>
      <c r="AE196">
        <f t="shared" si="131"/>
        <v>0</v>
      </c>
      <c r="AF196">
        <f t="shared" si="132"/>
        <v>0</v>
      </c>
      <c r="AG196">
        <f t="shared" si="133"/>
        <v>0</v>
      </c>
      <c r="AH196">
        <f t="shared" si="134"/>
        <v>0.08</v>
      </c>
      <c r="AI196">
        <f t="shared" si="135"/>
        <v>0</v>
      </c>
      <c r="AJ196">
        <f t="shared" si="136"/>
        <v>0.19</v>
      </c>
      <c r="AK196">
        <f t="shared" si="137"/>
        <v>0.6784</v>
      </c>
      <c r="AL196">
        <f t="shared" si="138"/>
        <v>0</v>
      </c>
      <c r="AM196">
        <f t="shared" si="139"/>
        <v>0</v>
      </c>
      <c r="AN196">
        <f t="shared" si="140"/>
        <v>0</v>
      </c>
      <c r="AO196">
        <f t="shared" si="141"/>
        <v>0</v>
      </c>
    </row>
    <row r="197" spans="5:41" x14ac:dyDescent="0.2">
      <c r="F197" t="s">
        <v>117</v>
      </c>
      <c r="H197">
        <v>170</v>
      </c>
      <c r="I197">
        <v>0</v>
      </c>
      <c r="J197">
        <v>0</v>
      </c>
      <c r="L197">
        <f t="shared" si="122"/>
        <v>91.25</v>
      </c>
      <c r="R197">
        <f t="shared" si="123"/>
        <v>0</v>
      </c>
      <c r="S197">
        <f>S191</f>
        <v>1</v>
      </c>
      <c r="T197">
        <f>T191</f>
        <v>0.76</v>
      </c>
      <c r="U197">
        <f t="shared" si="124"/>
        <v>4.7000000000000002E-3</v>
      </c>
      <c r="V197">
        <f t="shared" si="125"/>
        <v>0</v>
      </c>
      <c r="W197">
        <v>0</v>
      </c>
      <c r="X197">
        <f t="shared" si="126"/>
        <v>0</v>
      </c>
      <c r="Y197">
        <f t="shared" si="127"/>
        <v>1.3</v>
      </c>
      <c r="Z197">
        <f t="shared" si="128"/>
        <v>1</v>
      </c>
      <c r="AA197">
        <f t="shared" si="129"/>
        <v>-1.4E-3</v>
      </c>
      <c r="AD197">
        <f t="shared" si="130"/>
        <v>0</v>
      </c>
      <c r="AE197">
        <f t="shared" si="131"/>
        <v>0</v>
      </c>
      <c r="AF197">
        <f t="shared" si="132"/>
        <v>0</v>
      </c>
      <c r="AG197">
        <f t="shared" si="133"/>
        <v>0</v>
      </c>
      <c r="AH197">
        <f t="shared" si="134"/>
        <v>0.08</v>
      </c>
      <c r="AI197">
        <f t="shared" si="135"/>
        <v>0</v>
      </c>
      <c r="AJ197">
        <f t="shared" si="136"/>
        <v>0.19</v>
      </c>
      <c r="AK197">
        <f t="shared" si="137"/>
        <v>0.6784</v>
      </c>
      <c r="AL197">
        <f t="shared" si="138"/>
        <v>0</v>
      </c>
      <c r="AM197">
        <f t="shared" si="139"/>
        <v>0</v>
      </c>
      <c r="AN197">
        <f t="shared" si="140"/>
        <v>0</v>
      </c>
      <c r="AO197">
        <f t="shared" si="141"/>
        <v>0</v>
      </c>
    </row>
    <row r="198" spans="5:41" x14ac:dyDescent="0.2">
      <c r="F198" t="s">
        <v>119</v>
      </c>
      <c r="H198">
        <v>200</v>
      </c>
      <c r="I198">
        <v>0</v>
      </c>
      <c r="J198">
        <v>0</v>
      </c>
      <c r="L198">
        <f t="shared" si="122"/>
        <v>91.25</v>
      </c>
      <c r="R198">
        <f t="shared" si="123"/>
        <v>0</v>
      </c>
      <c r="S198">
        <f>S191</f>
        <v>1</v>
      </c>
      <c r="T198">
        <f>T191</f>
        <v>0.76</v>
      </c>
      <c r="U198">
        <f t="shared" si="124"/>
        <v>4.7000000000000002E-3</v>
      </c>
      <c r="V198">
        <f t="shared" si="125"/>
        <v>0</v>
      </c>
      <c r="W198">
        <v>0</v>
      </c>
      <c r="X198">
        <f t="shared" si="126"/>
        <v>0</v>
      </c>
      <c r="Y198">
        <f t="shared" si="127"/>
        <v>1.3</v>
      </c>
      <c r="Z198">
        <f t="shared" si="128"/>
        <v>1</v>
      </c>
      <c r="AA198">
        <f t="shared" si="129"/>
        <v>-1.4E-3</v>
      </c>
      <c r="AD198">
        <f t="shared" si="130"/>
        <v>0</v>
      </c>
      <c r="AE198">
        <f t="shared" si="131"/>
        <v>0</v>
      </c>
      <c r="AF198">
        <f t="shared" si="132"/>
        <v>0</v>
      </c>
      <c r="AG198">
        <f t="shared" si="133"/>
        <v>0</v>
      </c>
      <c r="AH198">
        <f t="shared" si="134"/>
        <v>0.08</v>
      </c>
      <c r="AI198">
        <f t="shared" si="135"/>
        <v>0</v>
      </c>
      <c r="AJ198">
        <f t="shared" si="136"/>
        <v>0.19</v>
      </c>
      <c r="AK198">
        <f t="shared" si="137"/>
        <v>0.6784</v>
      </c>
      <c r="AL198">
        <f t="shared" si="138"/>
        <v>0</v>
      </c>
      <c r="AM198">
        <f t="shared" si="139"/>
        <v>0</v>
      </c>
      <c r="AN198">
        <f t="shared" si="140"/>
        <v>0</v>
      </c>
      <c r="AO198">
        <f t="shared" si="141"/>
        <v>0</v>
      </c>
    </row>
    <row r="199" spans="5:41" x14ac:dyDescent="0.2">
      <c r="E199" t="s">
        <v>126</v>
      </c>
      <c r="F199" t="s">
        <v>113</v>
      </c>
      <c r="H199">
        <v>100</v>
      </c>
      <c r="I199">
        <v>95</v>
      </c>
      <c r="J199">
        <v>92</v>
      </c>
      <c r="L199">
        <f t="shared" si="122"/>
        <v>91.25</v>
      </c>
      <c r="R199">
        <f t="shared" si="123"/>
        <v>0</v>
      </c>
      <c r="S199">
        <f>S191</f>
        <v>1</v>
      </c>
      <c r="T199">
        <f>T191</f>
        <v>0.76</v>
      </c>
      <c r="U199">
        <f t="shared" si="124"/>
        <v>4.7000000000000002E-3</v>
      </c>
      <c r="V199">
        <f t="shared" si="125"/>
        <v>0.874</v>
      </c>
      <c r="W199">
        <v>0</v>
      </c>
      <c r="X199">
        <f t="shared" si="126"/>
        <v>0</v>
      </c>
      <c r="Y199">
        <f t="shared" si="127"/>
        <v>1.3</v>
      </c>
      <c r="Z199">
        <f t="shared" si="128"/>
        <v>1.2622</v>
      </c>
      <c r="AA199">
        <f t="shared" si="129"/>
        <v>-1.4E-3</v>
      </c>
      <c r="AD199">
        <f t="shared" si="130"/>
        <v>0</v>
      </c>
      <c r="AE199">
        <f t="shared" si="131"/>
        <v>0</v>
      </c>
      <c r="AF199">
        <f t="shared" si="132"/>
        <v>0</v>
      </c>
      <c r="AG199">
        <f t="shared" si="133"/>
        <v>0</v>
      </c>
      <c r="AH199">
        <f t="shared" si="134"/>
        <v>0.08</v>
      </c>
      <c r="AI199">
        <f t="shared" si="135"/>
        <v>0</v>
      </c>
      <c r="AJ199">
        <f t="shared" si="136"/>
        <v>0.19</v>
      </c>
      <c r="AK199">
        <f t="shared" si="137"/>
        <v>0.6784</v>
      </c>
      <c r="AL199">
        <f t="shared" si="138"/>
        <v>0</v>
      </c>
      <c r="AM199">
        <f t="shared" si="139"/>
        <v>0</v>
      </c>
      <c r="AN199">
        <f t="shared" si="140"/>
        <v>0</v>
      </c>
      <c r="AO199">
        <f t="shared" si="141"/>
        <v>0</v>
      </c>
    </row>
    <row r="200" spans="5:41" x14ac:dyDescent="0.2">
      <c r="F200" t="s">
        <v>115</v>
      </c>
      <c r="H200">
        <v>140</v>
      </c>
      <c r="I200">
        <v>0</v>
      </c>
      <c r="J200">
        <v>0</v>
      </c>
      <c r="L200">
        <f t="shared" si="122"/>
        <v>91.25</v>
      </c>
      <c r="R200">
        <f t="shared" si="123"/>
        <v>0</v>
      </c>
      <c r="S200">
        <f>S191</f>
        <v>1</v>
      </c>
      <c r="T200">
        <f>T191</f>
        <v>0.76</v>
      </c>
      <c r="U200">
        <f t="shared" si="124"/>
        <v>4.7000000000000002E-3</v>
      </c>
      <c r="V200">
        <f t="shared" si="125"/>
        <v>0</v>
      </c>
      <c r="W200">
        <v>0</v>
      </c>
      <c r="X200">
        <f t="shared" si="126"/>
        <v>0</v>
      </c>
      <c r="Y200">
        <f t="shared" si="127"/>
        <v>1.3</v>
      </c>
      <c r="Z200">
        <f t="shared" si="128"/>
        <v>1</v>
      </c>
      <c r="AA200">
        <f t="shared" si="129"/>
        <v>-1.4E-3</v>
      </c>
      <c r="AD200">
        <f t="shared" si="130"/>
        <v>0</v>
      </c>
      <c r="AE200">
        <f t="shared" si="131"/>
        <v>0</v>
      </c>
      <c r="AF200">
        <f t="shared" si="132"/>
        <v>0</v>
      </c>
      <c r="AG200">
        <f t="shared" si="133"/>
        <v>0</v>
      </c>
      <c r="AH200">
        <f t="shared" si="134"/>
        <v>0.08</v>
      </c>
      <c r="AI200">
        <f t="shared" si="135"/>
        <v>0</v>
      </c>
      <c r="AJ200">
        <f t="shared" si="136"/>
        <v>0.19</v>
      </c>
      <c r="AK200">
        <f t="shared" si="137"/>
        <v>0.6784</v>
      </c>
      <c r="AL200">
        <f t="shared" si="138"/>
        <v>0</v>
      </c>
      <c r="AM200">
        <f t="shared" si="139"/>
        <v>0</v>
      </c>
      <c r="AN200">
        <f t="shared" si="140"/>
        <v>0</v>
      </c>
      <c r="AO200">
        <f t="shared" si="141"/>
        <v>0</v>
      </c>
    </row>
    <row r="201" spans="5:41" x14ac:dyDescent="0.2">
      <c r="F201" t="s">
        <v>117</v>
      </c>
      <c r="H201">
        <v>135</v>
      </c>
      <c r="I201">
        <v>0</v>
      </c>
      <c r="J201">
        <v>0</v>
      </c>
      <c r="L201">
        <f t="shared" si="122"/>
        <v>91.25</v>
      </c>
      <c r="R201">
        <f t="shared" si="123"/>
        <v>0</v>
      </c>
      <c r="S201">
        <f>S191</f>
        <v>1</v>
      </c>
      <c r="T201">
        <f>T191</f>
        <v>0.76</v>
      </c>
      <c r="U201">
        <f t="shared" si="124"/>
        <v>4.7000000000000002E-3</v>
      </c>
      <c r="V201">
        <f t="shared" si="125"/>
        <v>0</v>
      </c>
      <c r="W201">
        <v>0</v>
      </c>
      <c r="X201">
        <f t="shared" si="126"/>
        <v>0</v>
      </c>
      <c r="Y201">
        <f t="shared" si="127"/>
        <v>1.3</v>
      </c>
      <c r="Z201">
        <f t="shared" si="128"/>
        <v>1</v>
      </c>
      <c r="AA201">
        <f t="shared" si="129"/>
        <v>-1.4E-3</v>
      </c>
      <c r="AD201">
        <f t="shared" si="130"/>
        <v>0</v>
      </c>
      <c r="AE201">
        <f t="shared" si="131"/>
        <v>0</v>
      </c>
      <c r="AF201">
        <f t="shared" si="132"/>
        <v>0</v>
      </c>
      <c r="AG201">
        <f t="shared" si="133"/>
        <v>0</v>
      </c>
      <c r="AH201">
        <f t="shared" si="134"/>
        <v>0.08</v>
      </c>
      <c r="AI201">
        <f t="shared" si="135"/>
        <v>0</v>
      </c>
      <c r="AJ201">
        <f t="shared" si="136"/>
        <v>0.19</v>
      </c>
      <c r="AK201">
        <f t="shared" si="137"/>
        <v>0.6784</v>
      </c>
      <c r="AL201">
        <f t="shared" si="138"/>
        <v>0</v>
      </c>
      <c r="AM201">
        <f t="shared" si="139"/>
        <v>0</v>
      </c>
      <c r="AN201">
        <f t="shared" si="140"/>
        <v>0</v>
      </c>
      <c r="AO201">
        <f t="shared" si="141"/>
        <v>0</v>
      </c>
    </row>
    <row r="202" spans="5:41" x14ac:dyDescent="0.2">
      <c r="F202" t="s">
        <v>119</v>
      </c>
      <c r="H202">
        <v>130</v>
      </c>
      <c r="I202">
        <v>0</v>
      </c>
      <c r="J202">
        <v>0</v>
      </c>
      <c r="L202">
        <f t="shared" si="122"/>
        <v>91.25</v>
      </c>
      <c r="R202">
        <f t="shared" si="123"/>
        <v>0</v>
      </c>
      <c r="S202">
        <f>S191</f>
        <v>1</v>
      </c>
      <c r="T202">
        <f>T191</f>
        <v>0.76</v>
      </c>
      <c r="U202">
        <f t="shared" si="124"/>
        <v>4.7000000000000002E-3</v>
      </c>
      <c r="V202">
        <f t="shared" si="125"/>
        <v>0</v>
      </c>
      <c r="W202">
        <v>0</v>
      </c>
      <c r="X202">
        <f t="shared" si="126"/>
        <v>0</v>
      </c>
      <c r="Y202">
        <f t="shared" si="127"/>
        <v>1.3</v>
      </c>
      <c r="Z202">
        <f t="shared" si="128"/>
        <v>1</v>
      </c>
      <c r="AA202">
        <f t="shared" si="129"/>
        <v>-1.4E-3</v>
      </c>
      <c r="AD202">
        <f t="shared" si="130"/>
        <v>0</v>
      </c>
      <c r="AE202">
        <f t="shared" si="131"/>
        <v>0</v>
      </c>
      <c r="AF202">
        <f t="shared" si="132"/>
        <v>0</v>
      </c>
      <c r="AG202">
        <f t="shared" si="133"/>
        <v>0</v>
      </c>
      <c r="AH202">
        <f t="shared" si="134"/>
        <v>0.08</v>
      </c>
      <c r="AI202">
        <f t="shared" si="135"/>
        <v>0</v>
      </c>
      <c r="AJ202">
        <f t="shared" si="136"/>
        <v>0.19</v>
      </c>
      <c r="AK202">
        <f t="shared" si="137"/>
        <v>0.6784</v>
      </c>
      <c r="AL202">
        <f t="shared" si="138"/>
        <v>0</v>
      </c>
      <c r="AM202">
        <f t="shared" si="139"/>
        <v>0</v>
      </c>
      <c r="AN202">
        <f t="shared" si="140"/>
        <v>0</v>
      </c>
      <c r="AO202">
        <f t="shared" si="141"/>
        <v>0</v>
      </c>
    </row>
    <row r="203" spans="5:41" x14ac:dyDescent="0.2">
      <c r="E203" t="s">
        <v>129</v>
      </c>
      <c r="F203" t="s">
        <v>113</v>
      </c>
      <c r="H203">
        <v>200</v>
      </c>
      <c r="I203">
        <v>0</v>
      </c>
      <c r="J203">
        <v>0</v>
      </c>
      <c r="L203">
        <f t="shared" si="122"/>
        <v>91.25</v>
      </c>
      <c r="R203">
        <f t="shared" si="123"/>
        <v>0</v>
      </c>
      <c r="S203">
        <f>S191</f>
        <v>1</v>
      </c>
      <c r="T203">
        <f>T191</f>
        <v>0.76</v>
      </c>
      <c r="U203">
        <f t="shared" si="124"/>
        <v>4.7000000000000002E-3</v>
      </c>
      <c r="V203">
        <f t="shared" si="125"/>
        <v>0</v>
      </c>
      <c r="W203">
        <v>0</v>
      </c>
      <c r="X203">
        <f t="shared" si="126"/>
        <v>0</v>
      </c>
      <c r="Y203">
        <f t="shared" si="127"/>
        <v>1.3</v>
      </c>
      <c r="Z203">
        <f t="shared" si="128"/>
        <v>1</v>
      </c>
      <c r="AA203">
        <f t="shared" si="129"/>
        <v>-1.4E-3</v>
      </c>
      <c r="AD203">
        <f t="shared" si="130"/>
        <v>0</v>
      </c>
      <c r="AE203">
        <f t="shared" si="131"/>
        <v>0</v>
      </c>
      <c r="AF203">
        <f t="shared" si="132"/>
        <v>0</v>
      </c>
      <c r="AG203">
        <f t="shared" si="133"/>
        <v>0</v>
      </c>
      <c r="AH203">
        <f t="shared" si="134"/>
        <v>0.08</v>
      </c>
      <c r="AI203">
        <f t="shared" si="135"/>
        <v>0</v>
      </c>
      <c r="AJ203">
        <f t="shared" si="136"/>
        <v>0.19</v>
      </c>
      <c r="AK203">
        <f t="shared" si="137"/>
        <v>0.6784</v>
      </c>
      <c r="AL203">
        <f t="shared" si="138"/>
        <v>0</v>
      </c>
      <c r="AM203">
        <f t="shared" si="139"/>
        <v>0</v>
      </c>
      <c r="AN203">
        <f t="shared" si="140"/>
        <v>0</v>
      </c>
      <c r="AO203">
        <f t="shared" si="141"/>
        <v>0</v>
      </c>
    </row>
    <row r="204" spans="5:41" x14ac:dyDescent="0.2">
      <c r="F204" t="s">
        <v>115</v>
      </c>
      <c r="H204">
        <v>210</v>
      </c>
      <c r="I204">
        <v>0</v>
      </c>
      <c r="J204">
        <v>0</v>
      </c>
      <c r="L204">
        <f t="shared" si="122"/>
        <v>91.25</v>
      </c>
      <c r="R204">
        <f t="shared" si="123"/>
        <v>0</v>
      </c>
      <c r="S204">
        <f>S191</f>
        <v>1</v>
      </c>
      <c r="T204">
        <f>T191</f>
        <v>0.76</v>
      </c>
      <c r="U204">
        <f t="shared" si="124"/>
        <v>4.7000000000000002E-3</v>
      </c>
      <c r="V204">
        <f t="shared" si="125"/>
        <v>0</v>
      </c>
      <c r="W204">
        <v>0</v>
      </c>
      <c r="X204">
        <f t="shared" si="126"/>
        <v>0</v>
      </c>
      <c r="Y204">
        <f t="shared" si="127"/>
        <v>1.3</v>
      </c>
      <c r="Z204">
        <f t="shared" si="128"/>
        <v>1</v>
      </c>
      <c r="AA204">
        <f t="shared" si="129"/>
        <v>-1.4E-3</v>
      </c>
      <c r="AD204">
        <f t="shared" si="130"/>
        <v>0</v>
      </c>
      <c r="AE204">
        <f t="shared" si="131"/>
        <v>0</v>
      </c>
      <c r="AF204">
        <f t="shared" si="132"/>
        <v>0</v>
      </c>
      <c r="AG204">
        <f t="shared" si="133"/>
        <v>0</v>
      </c>
      <c r="AH204">
        <f t="shared" si="134"/>
        <v>0.08</v>
      </c>
      <c r="AI204">
        <f t="shared" si="135"/>
        <v>0</v>
      </c>
      <c r="AJ204">
        <f t="shared" si="136"/>
        <v>0.19</v>
      </c>
      <c r="AK204">
        <f t="shared" si="137"/>
        <v>0.6784</v>
      </c>
      <c r="AL204">
        <f t="shared" si="138"/>
        <v>0</v>
      </c>
      <c r="AM204">
        <f t="shared" si="139"/>
        <v>0</v>
      </c>
      <c r="AN204">
        <f t="shared" si="140"/>
        <v>0</v>
      </c>
      <c r="AO204">
        <f t="shared" si="141"/>
        <v>0</v>
      </c>
    </row>
    <row r="205" spans="5:41" x14ac:dyDescent="0.2">
      <c r="F205" t="s">
        <v>117</v>
      </c>
      <c r="H205">
        <v>190</v>
      </c>
      <c r="I205">
        <v>0</v>
      </c>
      <c r="J205">
        <v>0</v>
      </c>
      <c r="L205">
        <f t="shared" si="122"/>
        <v>91.25</v>
      </c>
      <c r="R205">
        <f t="shared" si="123"/>
        <v>0</v>
      </c>
      <c r="S205">
        <f>S191</f>
        <v>1</v>
      </c>
      <c r="T205">
        <f>T191</f>
        <v>0.76</v>
      </c>
      <c r="U205">
        <f t="shared" si="124"/>
        <v>4.7000000000000002E-3</v>
      </c>
      <c r="V205">
        <f t="shared" si="125"/>
        <v>0</v>
      </c>
      <c r="W205">
        <v>0</v>
      </c>
      <c r="X205">
        <f t="shared" si="126"/>
        <v>0</v>
      </c>
      <c r="Y205">
        <f t="shared" si="127"/>
        <v>1.3</v>
      </c>
      <c r="Z205">
        <f t="shared" si="128"/>
        <v>1</v>
      </c>
      <c r="AA205">
        <f t="shared" si="129"/>
        <v>-1.4E-3</v>
      </c>
      <c r="AD205">
        <f t="shared" si="130"/>
        <v>0</v>
      </c>
      <c r="AE205">
        <f t="shared" si="131"/>
        <v>0</v>
      </c>
      <c r="AF205">
        <f t="shared" si="132"/>
        <v>0</v>
      </c>
      <c r="AG205">
        <f t="shared" si="133"/>
        <v>0</v>
      </c>
      <c r="AH205">
        <f t="shared" si="134"/>
        <v>0.08</v>
      </c>
      <c r="AI205">
        <f t="shared" si="135"/>
        <v>0</v>
      </c>
      <c r="AJ205">
        <f t="shared" si="136"/>
        <v>0.19</v>
      </c>
      <c r="AK205">
        <f t="shared" si="137"/>
        <v>0.6784</v>
      </c>
      <c r="AL205">
        <f t="shared" si="138"/>
        <v>0</v>
      </c>
      <c r="AM205">
        <f t="shared" si="139"/>
        <v>0</v>
      </c>
      <c r="AN205">
        <f t="shared" si="140"/>
        <v>0</v>
      </c>
      <c r="AO205">
        <f t="shared" si="141"/>
        <v>0</v>
      </c>
    </row>
    <row r="206" spans="5:41" x14ac:dyDescent="0.2">
      <c r="F206" t="s">
        <v>119</v>
      </c>
      <c r="H206">
        <v>180</v>
      </c>
      <c r="I206">
        <v>0</v>
      </c>
      <c r="J206">
        <v>0</v>
      </c>
      <c r="L206">
        <f t="shared" si="122"/>
        <v>91.25</v>
      </c>
      <c r="R206">
        <f t="shared" si="123"/>
        <v>0</v>
      </c>
      <c r="S206">
        <f>S191</f>
        <v>1</v>
      </c>
      <c r="T206">
        <f>T191</f>
        <v>0.76</v>
      </c>
      <c r="U206">
        <f t="shared" si="124"/>
        <v>4.7000000000000002E-3</v>
      </c>
      <c r="V206">
        <f t="shared" si="125"/>
        <v>0</v>
      </c>
      <c r="W206">
        <v>0</v>
      </c>
      <c r="X206">
        <f t="shared" si="126"/>
        <v>0</v>
      </c>
      <c r="Y206">
        <f t="shared" si="127"/>
        <v>1.3</v>
      </c>
      <c r="Z206">
        <f t="shared" si="128"/>
        <v>1</v>
      </c>
      <c r="AA206">
        <f t="shared" si="129"/>
        <v>-1.4E-3</v>
      </c>
      <c r="AD206">
        <f t="shared" si="130"/>
        <v>0</v>
      </c>
      <c r="AE206">
        <f t="shared" si="131"/>
        <v>0</v>
      </c>
      <c r="AF206">
        <f t="shared" si="132"/>
        <v>0</v>
      </c>
      <c r="AG206">
        <f t="shared" si="133"/>
        <v>0</v>
      </c>
      <c r="AH206">
        <f t="shared" si="134"/>
        <v>0.08</v>
      </c>
      <c r="AI206">
        <f t="shared" si="135"/>
        <v>0</v>
      </c>
      <c r="AJ206">
        <f t="shared" si="136"/>
        <v>0.19</v>
      </c>
      <c r="AK206">
        <f t="shared" si="137"/>
        <v>0.6784</v>
      </c>
      <c r="AL206">
        <f t="shared" si="138"/>
        <v>0</v>
      </c>
      <c r="AM206">
        <f t="shared" si="139"/>
        <v>0</v>
      </c>
      <c r="AN206">
        <f t="shared" si="140"/>
        <v>0</v>
      </c>
      <c r="AO206">
        <f t="shared" si="141"/>
        <v>0</v>
      </c>
    </row>
    <row r="207" spans="5:41" x14ac:dyDescent="0.2">
      <c r="E207" t="s">
        <v>131</v>
      </c>
      <c r="F207" t="s">
        <v>113</v>
      </c>
      <c r="H207">
        <v>50</v>
      </c>
      <c r="I207">
        <v>0</v>
      </c>
      <c r="J207">
        <v>0</v>
      </c>
      <c r="L207">
        <f t="shared" si="122"/>
        <v>91.25</v>
      </c>
      <c r="R207">
        <f t="shared" si="123"/>
        <v>0</v>
      </c>
      <c r="S207">
        <f>S191</f>
        <v>1</v>
      </c>
      <c r="T207">
        <f>T191</f>
        <v>0.76</v>
      </c>
      <c r="U207">
        <f t="shared" si="124"/>
        <v>4.7000000000000002E-3</v>
      </c>
      <c r="V207">
        <f t="shared" si="125"/>
        <v>0</v>
      </c>
      <c r="W207">
        <v>0</v>
      </c>
      <c r="X207">
        <f t="shared" si="126"/>
        <v>0</v>
      </c>
      <c r="Y207">
        <f t="shared" si="127"/>
        <v>1.3</v>
      </c>
      <c r="Z207">
        <f t="shared" si="128"/>
        <v>1</v>
      </c>
      <c r="AA207">
        <f t="shared" si="129"/>
        <v>-1.4E-3</v>
      </c>
      <c r="AD207">
        <f t="shared" si="130"/>
        <v>0</v>
      </c>
      <c r="AE207">
        <f t="shared" si="131"/>
        <v>0</v>
      </c>
      <c r="AF207">
        <f t="shared" si="132"/>
        <v>0</v>
      </c>
      <c r="AG207">
        <f t="shared" si="133"/>
        <v>0</v>
      </c>
      <c r="AH207">
        <f t="shared" si="134"/>
        <v>0.08</v>
      </c>
      <c r="AI207">
        <f t="shared" si="135"/>
        <v>0</v>
      </c>
      <c r="AJ207">
        <f t="shared" si="136"/>
        <v>0.19</v>
      </c>
      <c r="AK207">
        <f t="shared" si="137"/>
        <v>0.6784</v>
      </c>
      <c r="AL207">
        <f t="shared" si="138"/>
        <v>0</v>
      </c>
      <c r="AM207">
        <f t="shared" si="139"/>
        <v>0</v>
      </c>
      <c r="AN207">
        <f t="shared" si="140"/>
        <v>0</v>
      </c>
      <c r="AO207">
        <f t="shared" si="141"/>
        <v>0</v>
      </c>
    </row>
    <row r="208" spans="5:41" x14ac:dyDescent="0.2">
      <c r="F208" t="s">
        <v>115</v>
      </c>
      <c r="H208">
        <v>55</v>
      </c>
      <c r="I208">
        <v>0</v>
      </c>
      <c r="J208">
        <v>0</v>
      </c>
      <c r="L208">
        <f t="shared" si="122"/>
        <v>91.25</v>
      </c>
      <c r="R208">
        <f t="shared" si="123"/>
        <v>0</v>
      </c>
      <c r="S208">
        <f>S191</f>
        <v>1</v>
      </c>
      <c r="T208">
        <f>T191</f>
        <v>0.76</v>
      </c>
      <c r="U208">
        <f t="shared" si="124"/>
        <v>4.7000000000000002E-3</v>
      </c>
      <c r="V208">
        <f t="shared" si="125"/>
        <v>0</v>
      </c>
      <c r="W208">
        <v>0</v>
      </c>
      <c r="X208">
        <f t="shared" si="126"/>
        <v>0</v>
      </c>
      <c r="Y208">
        <f t="shared" si="127"/>
        <v>1.3</v>
      </c>
      <c r="Z208">
        <f t="shared" si="128"/>
        <v>1</v>
      </c>
      <c r="AA208">
        <f t="shared" si="129"/>
        <v>-1.4E-3</v>
      </c>
      <c r="AD208">
        <f t="shared" si="130"/>
        <v>0</v>
      </c>
      <c r="AE208">
        <f t="shared" si="131"/>
        <v>0</v>
      </c>
      <c r="AF208">
        <f t="shared" si="132"/>
        <v>0</v>
      </c>
      <c r="AG208">
        <f t="shared" si="133"/>
        <v>0</v>
      </c>
      <c r="AH208">
        <f t="shared" si="134"/>
        <v>0.08</v>
      </c>
      <c r="AI208">
        <f t="shared" si="135"/>
        <v>0</v>
      </c>
      <c r="AJ208">
        <f t="shared" si="136"/>
        <v>0.19</v>
      </c>
      <c r="AK208">
        <f t="shared" si="137"/>
        <v>0.6784</v>
      </c>
      <c r="AL208">
        <f t="shared" si="138"/>
        <v>0</v>
      </c>
      <c r="AM208">
        <f t="shared" si="139"/>
        <v>0</v>
      </c>
      <c r="AN208">
        <f t="shared" si="140"/>
        <v>0</v>
      </c>
      <c r="AO208">
        <f t="shared" si="141"/>
        <v>0</v>
      </c>
    </row>
    <row r="209" spans="5:41" x14ac:dyDescent="0.2">
      <c r="F209" t="s">
        <v>117</v>
      </c>
      <c r="H209">
        <v>60</v>
      </c>
      <c r="I209">
        <v>0</v>
      </c>
      <c r="J209">
        <v>0</v>
      </c>
      <c r="L209">
        <f t="shared" si="122"/>
        <v>91.25</v>
      </c>
      <c r="R209">
        <f t="shared" si="123"/>
        <v>0</v>
      </c>
      <c r="S209">
        <f>S191</f>
        <v>1</v>
      </c>
      <c r="T209">
        <f>T191</f>
        <v>0.76</v>
      </c>
      <c r="U209">
        <f t="shared" si="124"/>
        <v>4.7000000000000002E-3</v>
      </c>
      <c r="V209">
        <f t="shared" si="125"/>
        <v>0</v>
      </c>
      <c r="W209">
        <v>0</v>
      </c>
      <c r="X209">
        <f t="shared" si="126"/>
        <v>0</v>
      </c>
      <c r="Y209">
        <f t="shared" si="127"/>
        <v>1.3</v>
      </c>
      <c r="Z209">
        <f t="shared" si="128"/>
        <v>1</v>
      </c>
      <c r="AA209">
        <f t="shared" si="129"/>
        <v>-1.4E-3</v>
      </c>
      <c r="AD209">
        <f t="shared" si="130"/>
        <v>0</v>
      </c>
      <c r="AE209">
        <f t="shared" si="131"/>
        <v>0</v>
      </c>
      <c r="AF209">
        <f t="shared" si="132"/>
        <v>0</v>
      </c>
      <c r="AG209">
        <f t="shared" si="133"/>
        <v>0</v>
      </c>
      <c r="AH209">
        <f t="shared" si="134"/>
        <v>0.08</v>
      </c>
      <c r="AI209">
        <f t="shared" si="135"/>
        <v>0</v>
      </c>
      <c r="AJ209">
        <f t="shared" si="136"/>
        <v>0.19</v>
      </c>
      <c r="AK209">
        <f t="shared" si="137"/>
        <v>0.6784</v>
      </c>
      <c r="AL209">
        <f t="shared" si="138"/>
        <v>0</v>
      </c>
      <c r="AM209">
        <f t="shared" si="139"/>
        <v>0</v>
      </c>
      <c r="AN209">
        <f t="shared" si="140"/>
        <v>0</v>
      </c>
      <c r="AO209">
        <f t="shared" si="141"/>
        <v>0</v>
      </c>
    </row>
    <row r="210" spans="5:41" x14ac:dyDescent="0.2">
      <c r="F210" t="s">
        <v>119</v>
      </c>
      <c r="H210">
        <v>65</v>
      </c>
      <c r="I210">
        <v>0</v>
      </c>
      <c r="J210">
        <v>0</v>
      </c>
      <c r="L210">
        <f t="shared" si="122"/>
        <v>91.25</v>
      </c>
      <c r="R210">
        <f t="shared" si="123"/>
        <v>0</v>
      </c>
      <c r="S210">
        <f>S191</f>
        <v>1</v>
      </c>
      <c r="T210">
        <f>T191</f>
        <v>0.76</v>
      </c>
      <c r="U210">
        <f t="shared" si="124"/>
        <v>4.7000000000000002E-3</v>
      </c>
      <c r="V210">
        <f t="shared" si="125"/>
        <v>0</v>
      </c>
      <c r="W210">
        <v>0</v>
      </c>
      <c r="X210">
        <f t="shared" si="126"/>
        <v>0</v>
      </c>
      <c r="Y210">
        <f t="shared" si="127"/>
        <v>1.3</v>
      </c>
      <c r="Z210">
        <f t="shared" si="128"/>
        <v>1</v>
      </c>
      <c r="AA210">
        <f t="shared" si="129"/>
        <v>-1.4E-3</v>
      </c>
      <c r="AD210">
        <f t="shared" si="130"/>
        <v>0</v>
      </c>
      <c r="AE210">
        <f t="shared" si="131"/>
        <v>0</v>
      </c>
      <c r="AF210">
        <f t="shared" si="132"/>
        <v>0</v>
      </c>
      <c r="AG210">
        <f t="shared" si="133"/>
        <v>0</v>
      </c>
      <c r="AH210">
        <f t="shared" si="134"/>
        <v>0.08</v>
      </c>
      <c r="AI210">
        <f t="shared" si="135"/>
        <v>0</v>
      </c>
      <c r="AJ210">
        <f t="shared" si="136"/>
        <v>0.19</v>
      </c>
      <c r="AK210">
        <f t="shared" si="137"/>
        <v>0.6784</v>
      </c>
      <c r="AL210">
        <f t="shared" si="138"/>
        <v>0</v>
      </c>
      <c r="AM210">
        <f t="shared" si="139"/>
        <v>0</v>
      </c>
      <c r="AN210">
        <f t="shared" si="140"/>
        <v>0</v>
      </c>
      <c r="AO210">
        <f t="shared" si="141"/>
        <v>0</v>
      </c>
    </row>
    <row r="211" spans="5:41" x14ac:dyDescent="0.2">
      <c r="E211" t="s">
        <v>132</v>
      </c>
      <c r="F211" t="s">
        <v>113</v>
      </c>
      <c r="H211">
        <v>50</v>
      </c>
      <c r="I211">
        <v>0</v>
      </c>
      <c r="J211">
        <v>0</v>
      </c>
      <c r="L211">
        <f t="shared" si="122"/>
        <v>91.25</v>
      </c>
      <c r="R211">
        <f t="shared" si="123"/>
        <v>0</v>
      </c>
      <c r="S211">
        <f>S191</f>
        <v>1</v>
      </c>
      <c r="T211">
        <f>T191</f>
        <v>0.76</v>
      </c>
      <c r="U211">
        <f t="shared" si="124"/>
        <v>4.7000000000000002E-3</v>
      </c>
      <c r="V211">
        <f t="shared" si="125"/>
        <v>0</v>
      </c>
      <c r="W211">
        <v>0</v>
      </c>
      <c r="X211">
        <f t="shared" si="126"/>
        <v>0</v>
      </c>
      <c r="Y211">
        <f t="shared" si="127"/>
        <v>1.3</v>
      </c>
      <c r="Z211">
        <f t="shared" si="128"/>
        <v>1</v>
      </c>
      <c r="AA211">
        <f t="shared" si="129"/>
        <v>-1.4E-3</v>
      </c>
      <c r="AD211">
        <f t="shared" si="130"/>
        <v>0</v>
      </c>
      <c r="AE211">
        <f t="shared" si="131"/>
        <v>0</v>
      </c>
      <c r="AF211">
        <f t="shared" si="132"/>
        <v>0</v>
      </c>
      <c r="AG211">
        <f t="shared" si="133"/>
        <v>0</v>
      </c>
      <c r="AH211">
        <f t="shared" si="134"/>
        <v>0.08</v>
      </c>
      <c r="AI211">
        <f t="shared" si="135"/>
        <v>0</v>
      </c>
      <c r="AJ211">
        <f t="shared" si="136"/>
        <v>0.19</v>
      </c>
      <c r="AK211">
        <f t="shared" si="137"/>
        <v>0.6784</v>
      </c>
      <c r="AL211">
        <f t="shared" si="138"/>
        <v>0</v>
      </c>
      <c r="AM211">
        <f t="shared" si="139"/>
        <v>0</v>
      </c>
      <c r="AN211">
        <f t="shared" si="140"/>
        <v>0</v>
      </c>
      <c r="AO211">
        <f t="shared" si="141"/>
        <v>0</v>
      </c>
    </row>
    <row r="212" spans="5:41" x14ac:dyDescent="0.2">
      <c r="F212" t="s">
        <v>115</v>
      </c>
      <c r="H212">
        <v>100</v>
      </c>
      <c r="I212">
        <v>0</v>
      </c>
      <c r="J212">
        <v>0</v>
      </c>
      <c r="L212">
        <f t="shared" si="122"/>
        <v>91.25</v>
      </c>
      <c r="R212">
        <f t="shared" si="123"/>
        <v>0</v>
      </c>
      <c r="S212">
        <f>S191</f>
        <v>1</v>
      </c>
      <c r="T212">
        <f>T191</f>
        <v>0.76</v>
      </c>
      <c r="U212">
        <f t="shared" si="124"/>
        <v>4.7000000000000002E-3</v>
      </c>
      <c r="V212">
        <f t="shared" si="125"/>
        <v>0</v>
      </c>
      <c r="W212">
        <v>0</v>
      </c>
      <c r="X212">
        <f t="shared" si="126"/>
        <v>0</v>
      </c>
      <c r="Y212">
        <f t="shared" si="127"/>
        <v>1.3</v>
      </c>
      <c r="Z212">
        <f t="shared" si="128"/>
        <v>1</v>
      </c>
      <c r="AA212">
        <f t="shared" si="129"/>
        <v>-1.4E-3</v>
      </c>
      <c r="AD212">
        <f t="shared" si="130"/>
        <v>0</v>
      </c>
      <c r="AE212">
        <f t="shared" si="131"/>
        <v>0</v>
      </c>
      <c r="AF212">
        <f t="shared" si="132"/>
        <v>0</v>
      </c>
      <c r="AG212">
        <f t="shared" si="133"/>
        <v>0</v>
      </c>
      <c r="AH212">
        <f t="shared" si="134"/>
        <v>0.08</v>
      </c>
      <c r="AI212">
        <f t="shared" si="135"/>
        <v>0</v>
      </c>
      <c r="AJ212">
        <f t="shared" si="136"/>
        <v>0.19</v>
      </c>
      <c r="AK212">
        <f t="shared" si="137"/>
        <v>0.6784</v>
      </c>
      <c r="AL212">
        <f t="shared" si="138"/>
        <v>0</v>
      </c>
      <c r="AM212">
        <f t="shared" si="139"/>
        <v>0</v>
      </c>
      <c r="AN212">
        <f t="shared" si="140"/>
        <v>0</v>
      </c>
      <c r="AO212">
        <f t="shared" si="141"/>
        <v>0</v>
      </c>
    </row>
    <row r="213" spans="5:41" x14ac:dyDescent="0.2">
      <c r="F213" t="s">
        <v>117</v>
      </c>
      <c r="H213">
        <v>90</v>
      </c>
      <c r="I213">
        <v>0</v>
      </c>
      <c r="J213">
        <v>0</v>
      </c>
      <c r="L213">
        <f t="shared" si="122"/>
        <v>91.25</v>
      </c>
      <c r="R213">
        <f t="shared" si="123"/>
        <v>0</v>
      </c>
      <c r="S213">
        <f>S191</f>
        <v>1</v>
      </c>
      <c r="T213">
        <f>T191</f>
        <v>0.76</v>
      </c>
      <c r="U213">
        <f t="shared" si="124"/>
        <v>4.7000000000000002E-3</v>
      </c>
      <c r="V213">
        <f t="shared" si="125"/>
        <v>0</v>
      </c>
      <c r="W213">
        <v>0</v>
      </c>
      <c r="X213">
        <f t="shared" si="126"/>
        <v>0</v>
      </c>
      <c r="Y213">
        <f t="shared" si="127"/>
        <v>1.3</v>
      </c>
      <c r="Z213">
        <f t="shared" si="128"/>
        <v>1</v>
      </c>
      <c r="AA213">
        <f t="shared" si="129"/>
        <v>-1.4E-3</v>
      </c>
      <c r="AD213">
        <f t="shared" si="130"/>
        <v>0</v>
      </c>
      <c r="AE213">
        <f t="shared" si="131"/>
        <v>0</v>
      </c>
      <c r="AF213">
        <f t="shared" si="132"/>
        <v>0</v>
      </c>
      <c r="AG213">
        <f t="shared" si="133"/>
        <v>0</v>
      </c>
      <c r="AH213">
        <f t="shared" si="134"/>
        <v>0.08</v>
      </c>
      <c r="AI213">
        <f t="shared" si="135"/>
        <v>0</v>
      </c>
      <c r="AJ213">
        <f t="shared" si="136"/>
        <v>0.19</v>
      </c>
      <c r="AK213">
        <f t="shared" si="137"/>
        <v>0.6784</v>
      </c>
      <c r="AL213">
        <f t="shared" si="138"/>
        <v>0</v>
      </c>
      <c r="AM213">
        <f t="shared" si="139"/>
        <v>0</v>
      </c>
      <c r="AN213">
        <f t="shared" si="140"/>
        <v>0</v>
      </c>
      <c r="AO213">
        <f t="shared" si="141"/>
        <v>0</v>
      </c>
    </row>
    <row r="214" spans="5:41" x14ac:dyDescent="0.2">
      <c r="F214" t="s">
        <v>119</v>
      </c>
      <c r="H214">
        <v>80</v>
      </c>
      <c r="I214">
        <v>0</v>
      </c>
      <c r="J214">
        <v>0</v>
      </c>
      <c r="L214">
        <f t="shared" si="122"/>
        <v>91.25</v>
      </c>
      <c r="R214">
        <f t="shared" si="123"/>
        <v>0</v>
      </c>
      <c r="S214">
        <f>S191</f>
        <v>1</v>
      </c>
      <c r="T214">
        <f>T191</f>
        <v>0.76</v>
      </c>
      <c r="U214">
        <f t="shared" si="124"/>
        <v>4.7000000000000002E-3</v>
      </c>
      <c r="V214">
        <f t="shared" si="125"/>
        <v>0</v>
      </c>
      <c r="W214">
        <v>0</v>
      </c>
      <c r="X214">
        <f t="shared" si="126"/>
        <v>0</v>
      </c>
      <c r="Y214">
        <f t="shared" si="127"/>
        <v>1.3</v>
      </c>
      <c r="Z214">
        <f t="shared" si="128"/>
        <v>1</v>
      </c>
      <c r="AA214">
        <f t="shared" si="129"/>
        <v>-1.4E-3</v>
      </c>
      <c r="AD214">
        <f t="shared" si="130"/>
        <v>0</v>
      </c>
      <c r="AE214">
        <f t="shared" si="131"/>
        <v>0</v>
      </c>
      <c r="AF214">
        <f t="shared" si="132"/>
        <v>0</v>
      </c>
      <c r="AG214">
        <f t="shared" si="133"/>
        <v>0</v>
      </c>
      <c r="AH214">
        <f t="shared" si="134"/>
        <v>0.08</v>
      </c>
      <c r="AI214">
        <f t="shared" si="135"/>
        <v>0</v>
      </c>
      <c r="AJ214">
        <f t="shared" si="136"/>
        <v>0.19</v>
      </c>
      <c r="AK214">
        <f t="shared" si="137"/>
        <v>0.6784</v>
      </c>
      <c r="AL214">
        <f t="shared" si="138"/>
        <v>0</v>
      </c>
      <c r="AM214">
        <f t="shared" si="139"/>
        <v>0</v>
      </c>
      <c r="AN214">
        <f t="shared" si="140"/>
        <v>0</v>
      </c>
      <c r="AO214">
        <f t="shared" si="141"/>
        <v>0</v>
      </c>
    </row>
    <row r="231" spans="1:42" x14ac:dyDescent="0.2">
      <c r="A231" t="s">
        <v>122</v>
      </c>
      <c r="B231" t="s">
        <v>122</v>
      </c>
      <c r="C231" t="s">
        <v>122</v>
      </c>
      <c r="D231" t="s">
        <v>138</v>
      </c>
      <c r="E231" t="s">
        <v>148</v>
      </c>
      <c r="F231" t="s">
        <v>115</v>
      </c>
      <c r="G231" t="s">
        <v>149</v>
      </c>
      <c r="H231">
        <v>100</v>
      </c>
      <c r="I231">
        <v>0</v>
      </c>
      <c r="J231">
        <v>0</v>
      </c>
      <c r="L231">
        <v>31</v>
      </c>
      <c r="M231">
        <f>Tables!CC39</f>
        <v>7.0000000000000007E-2</v>
      </c>
      <c r="N231">
        <v>0.5</v>
      </c>
      <c r="O231">
        <v>0.5</v>
      </c>
      <c r="Q231">
        <f>Tables!CC97</f>
        <v>50</v>
      </c>
      <c r="R231">
        <f t="shared" ref="R231:R253" si="142">1-S231</f>
        <v>8.2999999999999741E-3</v>
      </c>
      <c r="S231">
        <f>IF($D231="yes", 1, VLOOKUP($B231, $AU$26:$AW$32, 2)/100)</f>
        <v>0.99170000000000003</v>
      </c>
      <c r="T231">
        <f>VLOOKUP($B231,$AW$10:$AX$16, 2, FALSE)</f>
        <v>0.73</v>
      </c>
      <c r="U231">
        <f t="shared" ref="U231:U278" si="143">$AV$10</f>
        <v>4.7000000000000002E-3</v>
      </c>
      <c r="V231">
        <f t="shared" ref="V231:V278" si="144">(I231/100)*(MIN(J231,100)/100)</f>
        <v>0</v>
      </c>
      <c r="W231">
        <v>0</v>
      </c>
      <c r="X231">
        <f t="shared" ref="X231:X278" si="145">1.6 * W231</f>
        <v>0</v>
      </c>
      <c r="Y231">
        <f t="shared" ref="Y231:Y278" si="146">$AY$1</f>
        <v>1.3</v>
      </c>
      <c r="Z231">
        <f t="shared" ref="Z231:Z278" si="147">V231*Y231+(1-V231)</f>
        <v>1</v>
      </c>
      <c r="AA231">
        <f t="shared" ref="AA231:AA278" si="148">(0.795*O231)-0.0014</f>
        <v>0.39610000000000001</v>
      </c>
      <c r="AC231">
        <f>Tables!CC168</f>
        <v>3</v>
      </c>
      <c r="AD231">
        <f t="shared" ref="AD231:AD278" si="149">1 - EXP(-2*(AC231^2))</f>
        <v>0.99999998477002028</v>
      </c>
      <c r="AE231">
        <f t="shared" ref="AE231:AE278" si="150">(104.7*AA231+0.307*Q231-15)*(Q231^0.75)*10^-3</f>
        <v>0.78637350780019211</v>
      </c>
      <c r="AF231">
        <f t="shared" ref="AF231:AF278" si="151">AE231*AD231*Z231</f>
        <v>0.7863734958237395</v>
      </c>
      <c r="AG231">
        <f t="shared" ref="AG231:AG278" si="152">(AF231 * M231) + (0.045 * X231)</f>
        <v>5.5046144707661768E-2</v>
      </c>
      <c r="AH231">
        <f t="shared" ref="AH231:AH278" si="153">$AV$2</f>
        <v>0.08</v>
      </c>
      <c r="AI231">
        <f t="shared" ref="AI231:AI278" si="154">(AF231 * ((1 - O231) + (0.04 * AF231))) * ( 1 - AH231 )</f>
        <v>0.38448831259649313</v>
      </c>
      <c r="AJ231">
        <f t="shared" ref="AJ231:AJ278" si="155">$AV$1</f>
        <v>0.19</v>
      </c>
      <c r="AK231">
        <f t="shared" ref="AK231:AK278" si="156">$AW$20</f>
        <v>0.6784</v>
      </c>
      <c r="AL231">
        <f t="shared" ref="AL231:AL278" si="157">AI231 * AJ231 * R231 * T231 * AK231</f>
        <v>3.0027801456951033E-4</v>
      </c>
      <c r="AM231">
        <f t="shared" ref="AM231:AM278" si="158">AI231*AJ231*S231*U231*AK231</f>
        <v>2.3099402923392419E-4</v>
      </c>
      <c r="AN231">
        <f t="shared" ref="AN231:AN278" si="159">AL231+AM231</f>
        <v>5.3127204380343457E-4</v>
      </c>
      <c r="AO231">
        <f t="shared" ref="AO231:AO278" si="160">H231*AN231*L231</f>
        <v>1.6469433357906471</v>
      </c>
      <c r="AP231">
        <f>SUM(AO231:AO278)*10^-3</f>
        <v>4.4522267073324906E-2</v>
      </c>
    </row>
    <row r="232" spans="1:42" x14ac:dyDescent="0.2">
      <c r="F232" t="s">
        <v>115</v>
      </c>
      <c r="G232" t="s">
        <v>150</v>
      </c>
      <c r="H232">
        <v>95</v>
      </c>
      <c r="I232">
        <v>0</v>
      </c>
      <c r="J232">
        <v>0</v>
      </c>
      <c r="L232">
        <v>28</v>
      </c>
      <c r="M232">
        <f>Tables!CC39</f>
        <v>7.0000000000000007E-2</v>
      </c>
      <c r="N232">
        <v>0.45</v>
      </c>
      <c r="O232">
        <v>0.45</v>
      </c>
      <c r="Q232">
        <f>Tables!CC97</f>
        <v>50</v>
      </c>
      <c r="R232">
        <f t="shared" si="142"/>
        <v>8.2999999999999741E-3</v>
      </c>
      <c r="S232">
        <f>S231</f>
        <v>0.99170000000000003</v>
      </c>
      <c r="T232">
        <f>T231</f>
        <v>0.73</v>
      </c>
      <c r="U232">
        <f t="shared" si="143"/>
        <v>4.7000000000000002E-3</v>
      </c>
      <c r="V232">
        <f t="shared" si="144"/>
        <v>0</v>
      </c>
      <c r="W232">
        <v>0</v>
      </c>
      <c r="X232">
        <f t="shared" si="145"/>
        <v>0</v>
      </c>
      <c r="Y232">
        <f t="shared" si="146"/>
        <v>1.3</v>
      </c>
      <c r="Z232">
        <f t="shared" si="147"/>
        <v>1</v>
      </c>
      <c r="AA232">
        <f t="shared" si="148"/>
        <v>0.35635</v>
      </c>
      <c r="AC232">
        <f>Tables!CC168</f>
        <v>3</v>
      </c>
      <c r="AD232">
        <f t="shared" si="149"/>
        <v>0.99999998477002028</v>
      </c>
      <c r="AE232">
        <f t="shared" si="150"/>
        <v>0.70811864796077084</v>
      </c>
      <c r="AF232">
        <f t="shared" si="151"/>
        <v>0.70811863717613821</v>
      </c>
      <c r="AG232">
        <f t="shared" si="152"/>
        <v>4.956830460232968E-2</v>
      </c>
      <c r="AH232">
        <f t="shared" si="153"/>
        <v>0.08</v>
      </c>
      <c r="AI232">
        <f t="shared" si="154"/>
        <v>0.37676072816996181</v>
      </c>
      <c r="AJ232">
        <f t="shared" si="155"/>
        <v>0.19</v>
      </c>
      <c r="AK232">
        <f t="shared" si="156"/>
        <v>0.6784</v>
      </c>
      <c r="AL232">
        <f t="shared" si="157"/>
        <v>2.9424291900744497E-4</v>
      </c>
      <c r="AM232">
        <f t="shared" si="158"/>
        <v>2.2635142813410056E-4</v>
      </c>
      <c r="AN232">
        <f t="shared" si="159"/>
        <v>5.2059434714154553E-4</v>
      </c>
      <c r="AO232">
        <f t="shared" si="160"/>
        <v>1.3847809633965111</v>
      </c>
    </row>
    <row r="233" spans="1:42" x14ac:dyDescent="0.2">
      <c r="F233" t="s">
        <v>117</v>
      </c>
      <c r="G233" t="s">
        <v>151</v>
      </c>
      <c r="H233">
        <v>90</v>
      </c>
      <c r="I233">
        <v>0</v>
      </c>
      <c r="J233">
        <v>0</v>
      </c>
      <c r="L233">
        <v>31</v>
      </c>
      <c r="M233">
        <f>Tables!CC40</f>
        <v>0.13</v>
      </c>
      <c r="N233">
        <v>0.4</v>
      </c>
      <c r="O233">
        <v>0.4</v>
      </c>
      <c r="Q233">
        <f>Tables!CC98</f>
        <v>48</v>
      </c>
      <c r="R233">
        <f t="shared" si="142"/>
        <v>8.2999999999999741E-3</v>
      </c>
      <c r="S233">
        <f>S231</f>
        <v>0.99170000000000003</v>
      </c>
      <c r="T233">
        <f>T231</f>
        <v>0.73</v>
      </c>
      <c r="U233">
        <f t="shared" si="143"/>
        <v>4.7000000000000002E-3</v>
      </c>
      <c r="V233">
        <f t="shared" si="144"/>
        <v>0</v>
      </c>
      <c r="W233">
        <v>0</v>
      </c>
      <c r="X233">
        <f t="shared" si="145"/>
        <v>0</v>
      </c>
      <c r="Y233">
        <f t="shared" si="146"/>
        <v>1.3</v>
      </c>
      <c r="Z233">
        <f t="shared" si="147"/>
        <v>1</v>
      </c>
      <c r="AA233">
        <f t="shared" si="148"/>
        <v>0.31660000000000005</v>
      </c>
      <c r="AC233">
        <f>Tables!CC169</f>
        <v>1.8</v>
      </c>
      <c r="AD233">
        <f t="shared" si="149"/>
        <v>0.99846618932067555</v>
      </c>
      <c r="AE233">
        <f t="shared" si="150"/>
        <v>0.59967484520833669</v>
      </c>
      <c r="AF233">
        <f t="shared" si="151"/>
        <v>0.59875505752663394</v>
      </c>
      <c r="AG233">
        <f t="shared" si="152"/>
        <v>7.7838157478462414E-2</v>
      </c>
      <c r="AH233">
        <f t="shared" si="153"/>
        <v>0.08</v>
      </c>
      <c r="AI233">
        <f t="shared" si="154"/>
        <v>0.3437058721307269</v>
      </c>
      <c r="AJ233">
        <f t="shared" si="155"/>
        <v>0.19</v>
      </c>
      <c r="AK233">
        <f t="shared" si="156"/>
        <v>0.6784</v>
      </c>
      <c r="AL233">
        <f t="shared" si="157"/>
        <v>2.6842770897852781E-4</v>
      </c>
      <c r="AM233">
        <f t="shared" si="158"/>
        <v>2.0649263364776901E-4</v>
      </c>
      <c r="AN233">
        <f t="shared" si="159"/>
        <v>4.7492034262629679E-4</v>
      </c>
      <c r="AO233">
        <f t="shared" si="160"/>
        <v>1.325027755927368</v>
      </c>
    </row>
    <row r="234" spans="1:42" x14ac:dyDescent="0.2">
      <c r="F234" t="s">
        <v>117</v>
      </c>
      <c r="G234" t="s">
        <v>152</v>
      </c>
      <c r="H234">
        <v>130</v>
      </c>
      <c r="I234">
        <v>0</v>
      </c>
      <c r="J234">
        <v>0</v>
      </c>
      <c r="L234">
        <v>30</v>
      </c>
      <c r="M234">
        <f>Tables!CC40</f>
        <v>0.13</v>
      </c>
      <c r="N234">
        <v>0.45</v>
      </c>
      <c r="O234">
        <v>0.45</v>
      </c>
      <c r="Q234">
        <f>Tables!CC98</f>
        <v>48</v>
      </c>
      <c r="R234">
        <f t="shared" si="142"/>
        <v>8.2999999999999741E-3</v>
      </c>
      <c r="S234">
        <f>S231</f>
        <v>0.99170000000000003</v>
      </c>
      <c r="T234">
        <f>T231</f>
        <v>0.73</v>
      </c>
      <c r="U234">
        <f t="shared" si="143"/>
        <v>4.7000000000000002E-3</v>
      </c>
      <c r="V234">
        <f t="shared" si="144"/>
        <v>0</v>
      </c>
      <c r="W234">
        <v>0</v>
      </c>
      <c r="X234">
        <f t="shared" si="145"/>
        <v>0</v>
      </c>
      <c r="Y234">
        <f t="shared" si="146"/>
        <v>1.3</v>
      </c>
      <c r="Z234">
        <f t="shared" si="147"/>
        <v>1</v>
      </c>
      <c r="AA234">
        <f t="shared" si="148"/>
        <v>0.35635</v>
      </c>
      <c r="AC234">
        <f>Tables!CC169</f>
        <v>1.8</v>
      </c>
      <c r="AD234">
        <f t="shared" si="149"/>
        <v>0.99846618932067555</v>
      </c>
      <c r="AE234">
        <f t="shared" si="150"/>
        <v>0.67557012086682311</v>
      </c>
      <c r="AF234">
        <f t="shared" si="151"/>
        <v>0.67453392420080505</v>
      </c>
      <c r="AG234">
        <f t="shared" si="152"/>
        <v>8.7689410146104665E-2</v>
      </c>
      <c r="AH234">
        <f t="shared" si="153"/>
        <v>0.08</v>
      </c>
      <c r="AI234">
        <f t="shared" si="154"/>
        <v>0.35805801899384415</v>
      </c>
      <c r="AJ234">
        <f t="shared" si="155"/>
        <v>0.19</v>
      </c>
      <c r="AK234">
        <f t="shared" si="156"/>
        <v>0.6784</v>
      </c>
      <c r="AL234">
        <f t="shared" si="157"/>
        <v>2.7963646103593994E-4</v>
      </c>
      <c r="AM234">
        <f t="shared" si="158"/>
        <v>2.1511515902358636E-4</v>
      </c>
      <c r="AN234">
        <f t="shared" si="159"/>
        <v>4.9475162005952627E-4</v>
      </c>
      <c r="AO234">
        <f t="shared" si="160"/>
        <v>1.9295313182321525</v>
      </c>
    </row>
    <row r="235" spans="1:42" x14ac:dyDescent="0.2">
      <c r="F235" t="s">
        <v>117</v>
      </c>
      <c r="G235" t="s">
        <v>153</v>
      </c>
      <c r="H235">
        <v>130</v>
      </c>
      <c r="I235">
        <v>0</v>
      </c>
      <c r="J235">
        <v>0</v>
      </c>
      <c r="L235">
        <v>31</v>
      </c>
      <c r="M235">
        <f>Tables!CC40</f>
        <v>0.13</v>
      </c>
      <c r="N235">
        <v>0.46</v>
      </c>
      <c r="O235">
        <v>0.46</v>
      </c>
      <c r="Q235">
        <f>Tables!CC98</f>
        <v>48</v>
      </c>
      <c r="R235">
        <f t="shared" si="142"/>
        <v>8.2999999999999741E-3</v>
      </c>
      <c r="S235">
        <f>S231</f>
        <v>0.99170000000000003</v>
      </c>
      <c r="T235">
        <f>T231</f>
        <v>0.73</v>
      </c>
      <c r="U235">
        <f t="shared" si="143"/>
        <v>4.7000000000000002E-3</v>
      </c>
      <c r="V235">
        <f t="shared" si="144"/>
        <v>0</v>
      </c>
      <c r="W235">
        <v>1</v>
      </c>
      <c r="X235">
        <f t="shared" si="145"/>
        <v>1.6</v>
      </c>
      <c r="Y235">
        <f t="shared" si="146"/>
        <v>1.3</v>
      </c>
      <c r="Z235">
        <f t="shared" si="147"/>
        <v>1</v>
      </c>
      <c r="AA235">
        <f t="shared" si="148"/>
        <v>0.36430000000000001</v>
      </c>
      <c r="AC235">
        <f>Tables!CC169</f>
        <v>1.8</v>
      </c>
      <c r="AD235">
        <f t="shared" si="149"/>
        <v>0.99846618932067555</v>
      </c>
      <c r="AE235">
        <f t="shared" si="150"/>
        <v>0.69074917599852059</v>
      </c>
      <c r="AF235">
        <f t="shared" si="151"/>
        <v>0.68968969753563947</v>
      </c>
      <c r="AG235">
        <f t="shared" si="152"/>
        <v>0.16165966067963311</v>
      </c>
      <c r="AH235">
        <f t="shared" si="153"/>
        <v>0.08</v>
      </c>
      <c r="AI235">
        <f t="shared" si="154"/>
        <v>0.36014256687874002</v>
      </c>
      <c r="AJ235">
        <f t="shared" si="155"/>
        <v>0.19</v>
      </c>
      <c r="AK235">
        <f t="shared" si="156"/>
        <v>0.6784</v>
      </c>
      <c r="AL235">
        <f t="shared" si="157"/>
        <v>2.8126445304413528E-4</v>
      </c>
      <c r="AM235">
        <f t="shared" si="158"/>
        <v>2.1636751988681109E-4</v>
      </c>
      <c r="AN235">
        <f t="shared" si="159"/>
        <v>4.9763197293094643E-4</v>
      </c>
      <c r="AO235">
        <f t="shared" si="160"/>
        <v>2.0054568509117141</v>
      </c>
    </row>
    <row r="236" spans="1:42" x14ac:dyDescent="0.2">
      <c r="F236" t="s">
        <v>119</v>
      </c>
      <c r="G236" t="s">
        <v>154</v>
      </c>
      <c r="H236">
        <v>125</v>
      </c>
      <c r="I236">
        <v>0</v>
      </c>
      <c r="J236">
        <v>0</v>
      </c>
      <c r="K236">
        <v>25</v>
      </c>
      <c r="L236">
        <v>25</v>
      </c>
      <c r="M236">
        <f>Tables!CC41</f>
        <v>0.1</v>
      </c>
      <c r="N236">
        <v>0.51</v>
      </c>
      <c r="O236">
        <v>0.51</v>
      </c>
      <c r="Q236">
        <f>Tables!CC99</f>
        <v>45</v>
      </c>
      <c r="R236">
        <f t="shared" si="142"/>
        <v>8.2999999999999741E-3</v>
      </c>
      <c r="S236">
        <f>S231</f>
        <v>0.99170000000000003</v>
      </c>
      <c r="T236">
        <f>T231</f>
        <v>0.73</v>
      </c>
      <c r="U236">
        <f t="shared" si="143"/>
        <v>4.7000000000000002E-3</v>
      </c>
      <c r="V236">
        <f t="shared" si="144"/>
        <v>0</v>
      </c>
      <c r="W236">
        <v>0</v>
      </c>
      <c r="X236">
        <f t="shared" si="145"/>
        <v>0</v>
      </c>
      <c r="Y236">
        <f t="shared" si="146"/>
        <v>1.3</v>
      </c>
      <c r="Z236">
        <f t="shared" si="147"/>
        <v>1</v>
      </c>
      <c r="AA236">
        <f t="shared" si="148"/>
        <v>0.40405000000000002</v>
      </c>
      <c r="AC236">
        <f>Tables!CC170</f>
        <v>1</v>
      </c>
      <c r="AD236">
        <f t="shared" si="149"/>
        <v>0.8646647167633873</v>
      </c>
      <c r="AE236">
        <f t="shared" si="150"/>
        <v>0.71441785360642229</v>
      </c>
      <c r="AF236">
        <f t="shared" si="151"/>
        <v>0.61773191103930425</v>
      </c>
      <c r="AG236">
        <f t="shared" si="152"/>
        <v>6.1773191103930425E-2</v>
      </c>
      <c r="AH236">
        <f t="shared" si="153"/>
        <v>0.08</v>
      </c>
      <c r="AI236">
        <f t="shared" si="154"/>
        <v>0.29251615736863712</v>
      </c>
      <c r="AJ236">
        <f t="shared" si="155"/>
        <v>0.19</v>
      </c>
      <c r="AK236">
        <f t="shared" si="156"/>
        <v>0.6784</v>
      </c>
      <c r="AL236">
        <f t="shared" si="157"/>
        <v>2.2844952131571749E-4</v>
      </c>
      <c r="AM236">
        <f t="shared" si="158"/>
        <v>1.7573872493106937E-4</v>
      </c>
      <c r="AN236">
        <f t="shared" si="159"/>
        <v>4.0418824624678684E-4</v>
      </c>
      <c r="AO236">
        <f t="shared" si="160"/>
        <v>1.2630882695212089</v>
      </c>
    </row>
    <row r="237" spans="1:42" x14ac:dyDescent="0.2">
      <c r="F237" t="s">
        <v>119</v>
      </c>
      <c r="G237" t="s">
        <v>155</v>
      </c>
      <c r="H237">
        <v>120</v>
      </c>
      <c r="I237">
        <v>0</v>
      </c>
      <c r="J237">
        <v>0</v>
      </c>
      <c r="L237">
        <v>31</v>
      </c>
      <c r="M237">
        <f>Tables!CC41</f>
        <v>0.1</v>
      </c>
      <c r="N237">
        <v>0.45</v>
      </c>
      <c r="O237">
        <v>0.45</v>
      </c>
      <c r="Q237">
        <f>Tables!CC99</f>
        <v>45</v>
      </c>
      <c r="R237">
        <f t="shared" si="142"/>
        <v>8.2999999999999741E-3</v>
      </c>
      <c r="S237">
        <f>S231</f>
        <v>0.99170000000000003</v>
      </c>
      <c r="T237">
        <f>T231</f>
        <v>0.73</v>
      </c>
      <c r="U237">
        <f t="shared" si="143"/>
        <v>4.7000000000000002E-3</v>
      </c>
      <c r="V237">
        <f t="shared" si="144"/>
        <v>0</v>
      </c>
      <c r="W237">
        <v>0</v>
      </c>
      <c r="X237">
        <f t="shared" si="145"/>
        <v>0</v>
      </c>
      <c r="Y237">
        <f t="shared" si="146"/>
        <v>1.3</v>
      </c>
      <c r="Z237">
        <f t="shared" si="147"/>
        <v>1</v>
      </c>
      <c r="AA237">
        <f t="shared" si="148"/>
        <v>0.35635</v>
      </c>
      <c r="AC237">
        <f>Tables!CC170</f>
        <v>1</v>
      </c>
      <c r="AD237">
        <f t="shared" si="149"/>
        <v>0.8646647167633873</v>
      </c>
      <c r="AE237">
        <f t="shared" si="150"/>
        <v>0.62764688487374998</v>
      </c>
      <c r="AF237">
        <f t="shared" si="151"/>
        <v>0.54270411593678336</v>
      </c>
      <c r="AG237">
        <f t="shared" si="152"/>
        <v>5.427041159367834E-2</v>
      </c>
      <c r="AH237">
        <f t="shared" si="153"/>
        <v>0.08</v>
      </c>
      <c r="AI237">
        <f t="shared" si="154"/>
        <v>0.28544690413834639</v>
      </c>
      <c r="AJ237">
        <f t="shared" si="155"/>
        <v>0.19</v>
      </c>
      <c r="AK237">
        <f t="shared" si="156"/>
        <v>0.6784</v>
      </c>
      <c r="AL237">
        <f t="shared" si="157"/>
        <v>2.2292856982009026E-4</v>
      </c>
      <c r="AM237">
        <f t="shared" si="158"/>
        <v>1.7149163800061823E-4</v>
      </c>
      <c r="AN237">
        <f t="shared" si="159"/>
        <v>3.9442020782070849E-4</v>
      </c>
      <c r="AO237">
        <f t="shared" si="160"/>
        <v>1.4672431730930358</v>
      </c>
    </row>
    <row r="238" spans="1:42" x14ac:dyDescent="0.2">
      <c r="F238" t="s">
        <v>119</v>
      </c>
      <c r="G238" t="s">
        <v>156</v>
      </c>
      <c r="H238">
        <v>115</v>
      </c>
      <c r="I238">
        <v>0</v>
      </c>
      <c r="J238">
        <v>0</v>
      </c>
      <c r="L238">
        <v>31</v>
      </c>
      <c r="M238">
        <f>Tables!CC41</f>
        <v>0.1</v>
      </c>
      <c r="N238">
        <v>0.44</v>
      </c>
      <c r="O238">
        <v>0.44</v>
      </c>
      <c r="Q238">
        <f>Tables!CC99</f>
        <v>45</v>
      </c>
      <c r="R238">
        <f t="shared" si="142"/>
        <v>8.2999999999999741E-3</v>
      </c>
      <c r="S238">
        <f>S231</f>
        <v>0.99170000000000003</v>
      </c>
      <c r="T238">
        <f>T231</f>
        <v>0.73</v>
      </c>
      <c r="U238">
        <f t="shared" si="143"/>
        <v>4.7000000000000002E-3</v>
      </c>
      <c r="V238">
        <f t="shared" si="144"/>
        <v>0</v>
      </c>
      <c r="W238">
        <v>0</v>
      </c>
      <c r="X238">
        <f t="shared" si="145"/>
        <v>0</v>
      </c>
      <c r="Y238">
        <f t="shared" si="146"/>
        <v>1.3</v>
      </c>
      <c r="Z238">
        <f t="shared" si="147"/>
        <v>1</v>
      </c>
      <c r="AA238">
        <f t="shared" si="148"/>
        <v>0.34839999999999999</v>
      </c>
      <c r="AC238">
        <f>Tables!CC170</f>
        <v>1</v>
      </c>
      <c r="AD238">
        <f t="shared" si="149"/>
        <v>0.8646647167633873</v>
      </c>
      <c r="AE238">
        <f t="shared" si="150"/>
        <v>0.61318505675163781</v>
      </c>
      <c r="AF238">
        <f t="shared" si="151"/>
        <v>0.53019948341969647</v>
      </c>
      <c r="AG238">
        <f t="shared" si="152"/>
        <v>5.3019948341969651E-2</v>
      </c>
      <c r="AH238">
        <f t="shared" si="153"/>
        <v>0.08</v>
      </c>
      <c r="AI238">
        <f t="shared" si="154"/>
        <v>0.28350367677146893</v>
      </c>
      <c r="AJ238">
        <f t="shared" si="155"/>
        <v>0.19</v>
      </c>
      <c r="AK238">
        <f t="shared" si="156"/>
        <v>0.6784</v>
      </c>
      <c r="AL238">
        <f t="shared" si="157"/>
        <v>2.2141094643215781E-4</v>
      </c>
      <c r="AM238">
        <f t="shared" si="158"/>
        <v>1.7032418009751223E-4</v>
      </c>
      <c r="AN238">
        <f t="shared" si="159"/>
        <v>3.9173512652967003E-4</v>
      </c>
      <c r="AO238">
        <f t="shared" si="160"/>
        <v>1.3965357260782736</v>
      </c>
    </row>
    <row r="239" spans="1:42" x14ac:dyDescent="0.2">
      <c r="F239" t="s">
        <v>113</v>
      </c>
      <c r="G239" t="s">
        <v>157</v>
      </c>
      <c r="H239">
        <v>110</v>
      </c>
      <c r="I239">
        <v>32</v>
      </c>
      <c r="J239">
        <v>28</v>
      </c>
      <c r="K239">
        <v>24</v>
      </c>
      <c r="L239">
        <v>24</v>
      </c>
      <c r="M239">
        <f>Tables!CC38</f>
        <v>0.16</v>
      </c>
      <c r="N239">
        <v>0.65</v>
      </c>
      <c r="O239">
        <v>0.65</v>
      </c>
      <c r="Q239">
        <f>Tables!CC96</f>
        <v>55</v>
      </c>
      <c r="R239">
        <f t="shared" si="142"/>
        <v>8.2999999999999741E-3</v>
      </c>
      <c r="S239">
        <f>S231</f>
        <v>0.99170000000000003</v>
      </c>
      <c r="T239">
        <f>T231</f>
        <v>0.73</v>
      </c>
      <c r="U239">
        <f t="shared" si="143"/>
        <v>4.7000000000000002E-3</v>
      </c>
      <c r="V239">
        <f t="shared" si="144"/>
        <v>8.9600000000000013E-2</v>
      </c>
      <c r="W239">
        <v>0</v>
      </c>
      <c r="X239">
        <f t="shared" si="145"/>
        <v>0</v>
      </c>
      <c r="Y239">
        <f t="shared" si="146"/>
        <v>1.3</v>
      </c>
      <c r="Z239">
        <f t="shared" si="147"/>
        <v>1.02688</v>
      </c>
      <c r="AA239">
        <f t="shared" si="148"/>
        <v>0.51535000000000009</v>
      </c>
      <c r="AC239">
        <f>Tables!CC167</f>
        <v>3.2</v>
      </c>
      <c r="AD239">
        <f t="shared" si="149"/>
        <v>0.99999999872459233</v>
      </c>
      <c r="AE239">
        <f t="shared" si="150"/>
        <v>1.1278052426935643</v>
      </c>
      <c r="AF239">
        <f t="shared" si="151"/>
        <v>1.1581206461400915</v>
      </c>
      <c r="AG239">
        <f t="shared" si="152"/>
        <v>0.18529930338241463</v>
      </c>
      <c r="AH239">
        <f t="shared" si="153"/>
        <v>0.08</v>
      </c>
      <c r="AI239">
        <f t="shared" si="154"/>
        <v>0.42227260631849611</v>
      </c>
      <c r="AJ239">
        <f t="shared" si="155"/>
        <v>0.19</v>
      </c>
      <c r="AK239">
        <f t="shared" si="156"/>
        <v>0.6784</v>
      </c>
      <c r="AL239">
        <f t="shared" si="157"/>
        <v>3.2978682492614995E-4</v>
      </c>
      <c r="AM239">
        <f t="shared" si="158"/>
        <v>2.5369418932374001E-4</v>
      </c>
      <c r="AN239">
        <f t="shared" si="159"/>
        <v>5.8348101424988996E-4</v>
      </c>
      <c r="AO239">
        <f t="shared" si="160"/>
        <v>1.5403898776197096</v>
      </c>
    </row>
    <row r="240" spans="1:42" x14ac:dyDescent="0.2">
      <c r="F240" t="s">
        <v>113</v>
      </c>
      <c r="G240" t="s">
        <v>158</v>
      </c>
      <c r="H240">
        <v>105</v>
      </c>
      <c r="I240">
        <v>30</v>
      </c>
      <c r="J240">
        <v>28</v>
      </c>
      <c r="L240">
        <v>31</v>
      </c>
      <c r="M240">
        <f>Tables!CC38</f>
        <v>0.16</v>
      </c>
      <c r="N240">
        <v>0.66</v>
      </c>
      <c r="O240">
        <v>0.66</v>
      </c>
      <c r="Q240">
        <f>Tables!CC96</f>
        <v>55</v>
      </c>
      <c r="R240">
        <f t="shared" si="142"/>
        <v>8.2999999999999741E-3</v>
      </c>
      <c r="S240">
        <f>S231</f>
        <v>0.99170000000000003</v>
      </c>
      <c r="T240">
        <f>T231</f>
        <v>0.73</v>
      </c>
      <c r="U240">
        <f t="shared" si="143"/>
        <v>4.7000000000000002E-3</v>
      </c>
      <c r="V240">
        <f t="shared" si="144"/>
        <v>8.4000000000000005E-2</v>
      </c>
      <c r="W240">
        <v>0</v>
      </c>
      <c r="X240">
        <f t="shared" si="145"/>
        <v>0</v>
      </c>
      <c r="Y240">
        <f t="shared" si="146"/>
        <v>1.3</v>
      </c>
      <c r="Z240">
        <f t="shared" si="147"/>
        <v>1.0252000000000001</v>
      </c>
      <c r="AA240">
        <f t="shared" si="148"/>
        <v>0.5233000000000001</v>
      </c>
      <c r="AC240">
        <f>Tables!CC167</f>
        <v>3.2</v>
      </c>
      <c r="AD240">
        <f t="shared" si="149"/>
        <v>0.99999999872459233</v>
      </c>
      <c r="AE240">
        <f t="shared" si="150"/>
        <v>1.1446159438375592</v>
      </c>
      <c r="AF240">
        <f t="shared" si="151"/>
        <v>1.1734602641256255</v>
      </c>
      <c r="AG240">
        <f t="shared" si="152"/>
        <v>0.18775364226010008</v>
      </c>
      <c r="AH240">
        <f t="shared" si="153"/>
        <v>0.08</v>
      </c>
      <c r="AI240">
        <f t="shared" si="154"/>
        <v>0.41773230150502522</v>
      </c>
      <c r="AJ240">
        <f t="shared" si="155"/>
        <v>0.19</v>
      </c>
      <c r="AK240">
        <f t="shared" si="156"/>
        <v>0.6784</v>
      </c>
      <c r="AL240">
        <f t="shared" si="157"/>
        <v>3.2624093375010213E-4</v>
      </c>
      <c r="AM240">
        <f t="shared" si="158"/>
        <v>2.5096645152663692E-4</v>
      </c>
      <c r="AN240">
        <f t="shared" si="159"/>
        <v>5.7720738527673905E-4</v>
      </c>
      <c r="AO240">
        <f t="shared" si="160"/>
        <v>1.8788100390757856</v>
      </c>
    </row>
    <row r="241" spans="5:41" x14ac:dyDescent="0.2">
      <c r="F241" t="s">
        <v>113</v>
      </c>
      <c r="G241" t="s">
        <v>159</v>
      </c>
      <c r="H241">
        <v>105</v>
      </c>
      <c r="I241">
        <v>35</v>
      </c>
      <c r="J241">
        <v>32</v>
      </c>
      <c r="L241">
        <v>30</v>
      </c>
      <c r="M241">
        <f>Tables!CC38</f>
        <v>0.16</v>
      </c>
      <c r="N241">
        <v>0.62</v>
      </c>
      <c r="O241">
        <v>0.62</v>
      </c>
      <c r="Q241">
        <f>Tables!CC96</f>
        <v>55</v>
      </c>
      <c r="R241">
        <f t="shared" si="142"/>
        <v>8.2999999999999741E-3</v>
      </c>
      <c r="S241">
        <f>S231</f>
        <v>0.99170000000000003</v>
      </c>
      <c r="T241">
        <f>T231</f>
        <v>0.73</v>
      </c>
      <c r="U241">
        <f t="shared" si="143"/>
        <v>4.7000000000000002E-3</v>
      </c>
      <c r="V241">
        <f t="shared" si="144"/>
        <v>0.11199999999999999</v>
      </c>
      <c r="W241">
        <v>0</v>
      </c>
      <c r="X241">
        <f t="shared" si="145"/>
        <v>0</v>
      </c>
      <c r="Y241">
        <f t="shared" si="146"/>
        <v>1.3</v>
      </c>
      <c r="Z241">
        <f t="shared" si="147"/>
        <v>1.0336000000000001</v>
      </c>
      <c r="AA241">
        <f t="shared" si="148"/>
        <v>0.49149999999999999</v>
      </c>
      <c r="AC241">
        <f>Tables!CC167</f>
        <v>3.2</v>
      </c>
      <c r="AD241">
        <f t="shared" si="149"/>
        <v>0.99999999872459233</v>
      </c>
      <c r="AE241">
        <f t="shared" si="150"/>
        <v>1.0773731392615793</v>
      </c>
      <c r="AF241">
        <f t="shared" si="151"/>
        <v>1.113572875320509</v>
      </c>
      <c r="AG241">
        <f t="shared" si="152"/>
        <v>0.17817166005128143</v>
      </c>
      <c r="AH241">
        <f t="shared" si="153"/>
        <v>0.08</v>
      </c>
      <c r="AI241">
        <f t="shared" si="154"/>
        <v>0.43493871660235472</v>
      </c>
      <c r="AJ241">
        <f t="shared" si="155"/>
        <v>0.19</v>
      </c>
      <c r="AK241">
        <f t="shared" si="156"/>
        <v>0.6784</v>
      </c>
      <c r="AL241">
        <f t="shared" si="157"/>
        <v>3.3967881467915708E-4</v>
      </c>
      <c r="AM241">
        <f t="shared" si="158"/>
        <v>2.6130377264093241E-4</v>
      </c>
      <c r="AN241">
        <f t="shared" si="159"/>
        <v>6.0098258732008949E-4</v>
      </c>
      <c r="AO241">
        <f t="shared" si="160"/>
        <v>1.893095150058282</v>
      </c>
    </row>
    <row r="242" spans="5:41" x14ac:dyDescent="0.2">
      <c r="F242" t="s">
        <v>115</v>
      </c>
      <c r="G242" t="s">
        <v>160</v>
      </c>
      <c r="H242">
        <v>100</v>
      </c>
      <c r="I242">
        <v>0</v>
      </c>
      <c r="J242">
        <v>0</v>
      </c>
      <c r="L242">
        <v>31</v>
      </c>
      <c r="M242">
        <f>Tables!CC39</f>
        <v>7.0000000000000007E-2</v>
      </c>
      <c r="N242">
        <v>0.6</v>
      </c>
      <c r="O242">
        <v>0.6</v>
      </c>
      <c r="Q242">
        <f>Tables!CC97</f>
        <v>50</v>
      </c>
      <c r="R242">
        <f t="shared" si="142"/>
        <v>8.2999999999999741E-3</v>
      </c>
      <c r="S242">
        <f>S231</f>
        <v>0.99170000000000003</v>
      </c>
      <c r="T242">
        <f>T231</f>
        <v>0.73</v>
      </c>
      <c r="U242">
        <f t="shared" si="143"/>
        <v>4.7000000000000002E-3</v>
      </c>
      <c r="V242">
        <f t="shared" si="144"/>
        <v>0</v>
      </c>
      <c r="W242">
        <v>0</v>
      </c>
      <c r="X242">
        <f t="shared" si="145"/>
        <v>0</v>
      </c>
      <c r="Y242">
        <f t="shared" si="146"/>
        <v>1.3</v>
      </c>
      <c r="Z242">
        <f t="shared" si="147"/>
        <v>1</v>
      </c>
      <c r="AA242">
        <f t="shared" si="148"/>
        <v>0.47559999999999997</v>
      </c>
      <c r="AC242">
        <f>Tables!CC168</f>
        <v>3</v>
      </c>
      <c r="AD242">
        <f t="shared" si="149"/>
        <v>0.99999998477002028</v>
      </c>
      <c r="AE242">
        <f t="shared" si="150"/>
        <v>0.94288322747903475</v>
      </c>
      <c r="AF242">
        <f t="shared" si="151"/>
        <v>0.9428832131189423</v>
      </c>
      <c r="AG242">
        <f t="shared" si="152"/>
        <v>6.6001824918325971E-2</v>
      </c>
      <c r="AH242">
        <f t="shared" si="153"/>
        <v>0.08</v>
      </c>
      <c r="AI242">
        <f t="shared" si="154"/>
        <v>0.37969728055957003</v>
      </c>
      <c r="AJ242">
        <f t="shared" si="155"/>
        <v>0.19</v>
      </c>
      <c r="AK242">
        <f t="shared" si="156"/>
        <v>0.6784</v>
      </c>
      <c r="AL242">
        <f t="shared" si="157"/>
        <v>2.9653631022986249E-4</v>
      </c>
      <c r="AM242">
        <f t="shared" si="158"/>
        <v>2.2811565879159781E-4</v>
      </c>
      <c r="AN242">
        <f t="shared" si="159"/>
        <v>5.246519690214603E-4</v>
      </c>
      <c r="AO242">
        <f t="shared" si="160"/>
        <v>1.6264211039665268</v>
      </c>
    </row>
    <row r="243" spans="5:41" x14ac:dyDescent="0.2">
      <c r="E243" t="s">
        <v>121</v>
      </c>
      <c r="F243" t="s">
        <v>115</v>
      </c>
      <c r="G243" t="s">
        <v>149</v>
      </c>
      <c r="H243">
        <v>40</v>
      </c>
      <c r="I243">
        <v>0</v>
      </c>
      <c r="J243">
        <v>0</v>
      </c>
      <c r="L243">
        <v>31</v>
      </c>
      <c r="M243">
        <f>Tables!CC43</f>
        <v>7.0000000000000007E-2</v>
      </c>
      <c r="O243">
        <f>Tables!CC73</f>
        <v>0.55000000000000004</v>
      </c>
      <c r="Q243">
        <f>Tables!CC101</f>
        <v>28</v>
      </c>
      <c r="R243">
        <f t="shared" si="142"/>
        <v>8.2999999999999741E-3</v>
      </c>
      <c r="S243">
        <f>S231</f>
        <v>0.99170000000000003</v>
      </c>
      <c r="T243">
        <f>T231</f>
        <v>0.73</v>
      </c>
      <c r="U243">
        <f t="shared" si="143"/>
        <v>4.7000000000000002E-3</v>
      </c>
      <c r="V243">
        <f t="shared" si="144"/>
        <v>0</v>
      </c>
      <c r="W243">
        <v>0</v>
      </c>
      <c r="X243">
        <f t="shared" si="145"/>
        <v>0</v>
      </c>
      <c r="Y243">
        <f t="shared" si="146"/>
        <v>1.3</v>
      </c>
      <c r="Z243">
        <f t="shared" si="147"/>
        <v>1</v>
      </c>
      <c r="AA243">
        <f t="shared" si="148"/>
        <v>0.43585000000000007</v>
      </c>
      <c r="AB243">
        <v>2.8</v>
      </c>
      <c r="AC243">
        <v>2.8</v>
      </c>
      <c r="AD243">
        <f t="shared" si="149"/>
        <v>0.99999984502468642</v>
      </c>
      <c r="AE243">
        <f t="shared" si="150"/>
        <v>0.47750864762612716</v>
      </c>
      <c r="AF243">
        <f t="shared" si="151"/>
        <v>0.47750857362407473</v>
      </c>
      <c r="AG243">
        <f t="shared" si="152"/>
        <v>3.3425600153685231E-2</v>
      </c>
      <c r="AH243">
        <f t="shared" si="153"/>
        <v>0.08</v>
      </c>
      <c r="AI243">
        <f t="shared" si="154"/>
        <v>0.20607948079451649</v>
      </c>
      <c r="AJ243">
        <f t="shared" si="155"/>
        <v>0.19</v>
      </c>
      <c r="AK243">
        <f t="shared" si="156"/>
        <v>0.6784</v>
      </c>
      <c r="AL243">
        <f t="shared" si="157"/>
        <v>1.6094413096357239E-4</v>
      </c>
      <c r="AM243">
        <f t="shared" si="158"/>
        <v>1.2380904191779232E-4</v>
      </c>
      <c r="AN243">
        <f t="shared" si="159"/>
        <v>2.8475317288136472E-4</v>
      </c>
      <c r="AO243">
        <f t="shared" si="160"/>
        <v>0.35309393437289222</v>
      </c>
    </row>
    <row r="244" spans="5:41" x14ac:dyDescent="0.2">
      <c r="F244" t="s">
        <v>115</v>
      </c>
      <c r="G244" t="s">
        <v>150</v>
      </c>
      <c r="H244">
        <v>40</v>
      </c>
      <c r="I244">
        <v>0</v>
      </c>
      <c r="J244">
        <v>0</v>
      </c>
      <c r="L244">
        <v>28</v>
      </c>
      <c r="M244">
        <f>Tables!CC43</f>
        <v>7.0000000000000007E-2</v>
      </c>
      <c r="O244">
        <f>Tables!CC73</f>
        <v>0.55000000000000004</v>
      </c>
      <c r="Q244">
        <f>Tables!CC101</f>
        <v>28</v>
      </c>
      <c r="R244">
        <f t="shared" si="142"/>
        <v>8.2999999999999741E-3</v>
      </c>
      <c r="S244">
        <f>S231</f>
        <v>0.99170000000000003</v>
      </c>
      <c r="T244">
        <f>T231</f>
        <v>0.73</v>
      </c>
      <c r="U244">
        <f t="shared" si="143"/>
        <v>4.7000000000000002E-3</v>
      </c>
      <c r="V244">
        <f t="shared" si="144"/>
        <v>0</v>
      </c>
      <c r="W244">
        <v>0</v>
      </c>
      <c r="X244">
        <f t="shared" si="145"/>
        <v>0</v>
      </c>
      <c r="Y244">
        <f t="shared" si="146"/>
        <v>1.3</v>
      </c>
      <c r="Z244">
        <f t="shared" si="147"/>
        <v>1</v>
      </c>
      <c r="AA244">
        <f t="shared" si="148"/>
        <v>0.43585000000000007</v>
      </c>
      <c r="AB244">
        <v>2.7</v>
      </c>
      <c r="AC244">
        <v>2.7</v>
      </c>
      <c r="AD244">
        <f t="shared" si="149"/>
        <v>0.99999953442842837</v>
      </c>
      <c r="AE244">
        <f t="shared" si="150"/>
        <v>0.47750864762612716</v>
      </c>
      <c r="AF244">
        <f t="shared" si="151"/>
        <v>0.47750842531167564</v>
      </c>
      <c r="AG244">
        <f t="shared" si="152"/>
        <v>3.3425589771817296E-2</v>
      </c>
      <c r="AH244">
        <f t="shared" si="153"/>
        <v>0.08</v>
      </c>
      <c r="AI244">
        <f t="shared" si="154"/>
        <v>0.20607941418079953</v>
      </c>
      <c r="AJ244">
        <f t="shared" si="155"/>
        <v>0.19</v>
      </c>
      <c r="AK244">
        <f t="shared" si="156"/>
        <v>0.6784</v>
      </c>
      <c r="AL244">
        <f t="shared" si="157"/>
        <v>1.6094407893953419E-4</v>
      </c>
      <c r="AM244">
        <f t="shared" si="158"/>
        <v>1.238090018974058E-4</v>
      </c>
      <c r="AN244">
        <f t="shared" si="159"/>
        <v>2.8475308083694001E-4</v>
      </c>
      <c r="AO244">
        <f t="shared" si="160"/>
        <v>0.31892345053737281</v>
      </c>
    </row>
    <row r="245" spans="5:41" x14ac:dyDescent="0.2">
      <c r="F245" t="s">
        <v>117</v>
      </c>
      <c r="G245" t="s">
        <v>151</v>
      </c>
      <c r="H245">
        <v>40</v>
      </c>
      <c r="I245">
        <v>0</v>
      </c>
      <c r="J245">
        <v>0</v>
      </c>
      <c r="L245">
        <v>31</v>
      </c>
      <c r="M245">
        <f>Tables!CC44</f>
        <v>0.13</v>
      </c>
      <c r="O245">
        <f>Tables!CC74</f>
        <v>0.65</v>
      </c>
      <c r="Q245">
        <f>Tables!CC102</f>
        <v>33</v>
      </c>
      <c r="R245">
        <f t="shared" si="142"/>
        <v>8.2999999999999741E-3</v>
      </c>
      <c r="S245">
        <f>S231</f>
        <v>0.99170000000000003</v>
      </c>
      <c r="T245">
        <f>T231</f>
        <v>0.73</v>
      </c>
      <c r="U245">
        <f t="shared" si="143"/>
        <v>4.7000000000000002E-3</v>
      </c>
      <c r="V245">
        <f t="shared" si="144"/>
        <v>0</v>
      </c>
      <c r="W245">
        <v>0</v>
      </c>
      <c r="X245">
        <f t="shared" si="145"/>
        <v>0</v>
      </c>
      <c r="Y245">
        <f t="shared" si="146"/>
        <v>1.3</v>
      </c>
      <c r="Z245">
        <f t="shared" si="147"/>
        <v>1</v>
      </c>
      <c r="AA245">
        <f t="shared" si="148"/>
        <v>0.51535000000000009</v>
      </c>
      <c r="AB245">
        <v>2.4</v>
      </c>
      <c r="AC245">
        <v>2.4</v>
      </c>
      <c r="AD245">
        <f t="shared" si="149"/>
        <v>0.99999007049569411</v>
      </c>
      <c r="AE245">
        <f t="shared" si="150"/>
        <v>0.67586829739226073</v>
      </c>
      <c r="AF245">
        <f t="shared" si="151"/>
        <v>0.67586158635509153</v>
      </c>
      <c r="AG245">
        <f t="shared" si="152"/>
        <v>8.7862006226161901E-2</v>
      </c>
      <c r="AH245">
        <f t="shared" si="153"/>
        <v>0.08</v>
      </c>
      <c r="AI245">
        <f t="shared" si="154"/>
        <v>0.23443726173424295</v>
      </c>
      <c r="AJ245">
        <f t="shared" si="155"/>
        <v>0.19</v>
      </c>
      <c r="AK245">
        <f t="shared" si="156"/>
        <v>0.6784</v>
      </c>
      <c r="AL245">
        <f t="shared" si="157"/>
        <v>1.8309101522300263E-4</v>
      </c>
      <c r="AM245">
        <f t="shared" si="158"/>
        <v>1.4084591368943155E-4</v>
      </c>
      <c r="AN245">
        <f t="shared" si="159"/>
        <v>3.2393692891243421E-4</v>
      </c>
      <c r="AO245">
        <f t="shared" si="160"/>
        <v>0.40168179185141845</v>
      </c>
    </row>
    <row r="246" spans="5:41" x14ac:dyDescent="0.2">
      <c r="F246" t="s">
        <v>117</v>
      </c>
      <c r="G246" t="s">
        <v>152</v>
      </c>
      <c r="H246">
        <v>35</v>
      </c>
      <c r="I246">
        <v>0</v>
      </c>
      <c r="J246">
        <v>0</v>
      </c>
      <c r="L246">
        <v>30</v>
      </c>
      <c r="M246">
        <f>Tables!CC44</f>
        <v>0.13</v>
      </c>
      <c r="O246">
        <f>Tables!CC74</f>
        <v>0.65</v>
      </c>
      <c r="Q246">
        <f>Tables!CC102</f>
        <v>33</v>
      </c>
      <c r="R246">
        <f t="shared" si="142"/>
        <v>8.2999999999999741E-3</v>
      </c>
      <c r="S246">
        <f>S231</f>
        <v>0.99170000000000003</v>
      </c>
      <c r="T246">
        <f>T231</f>
        <v>0.73</v>
      </c>
      <c r="U246">
        <f t="shared" si="143"/>
        <v>4.7000000000000002E-3</v>
      </c>
      <c r="V246">
        <f t="shared" si="144"/>
        <v>0</v>
      </c>
      <c r="W246">
        <v>0</v>
      </c>
      <c r="X246">
        <f t="shared" si="145"/>
        <v>0</v>
      </c>
      <c r="Y246">
        <f t="shared" si="146"/>
        <v>1.3</v>
      </c>
      <c r="Z246">
        <f t="shared" si="147"/>
        <v>1</v>
      </c>
      <c r="AA246">
        <f t="shared" si="148"/>
        <v>0.51535000000000009</v>
      </c>
      <c r="AB246">
        <v>2.2000000000000002</v>
      </c>
      <c r="AC246">
        <v>2.2000000000000002</v>
      </c>
      <c r="AD246">
        <f t="shared" si="149"/>
        <v>0.99993747849622516</v>
      </c>
      <c r="AE246">
        <f t="shared" si="150"/>
        <v>0.67586829739226073</v>
      </c>
      <c r="AF246">
        <f t="shared" si="151"/>
        <v>0.67582604108995403</v>
      </c>
      <c r="AG246">
        <f t="shared" si="152"/>
        <v>8.785738534169403E-2</v>
      </c>
      <c r="AH246">
        <f t="shared" si="153"/>
        <v>0.08</v>
      </c>
      <c r="AI246">
        <f t="shared" si="154"/>
        <v>0.23442404806256897</v>
      </c>
      <c r="AJ246">
        <f t="shared" si="155"/>
        <v>0.19</v>
      </c>
      <c r="AK246">
        <f t="shared" si="156"/>
        <v>0.6784</v>
      </c>
      <c r="AL246">
        <f t="shared" si="157"/>
        <v>1.8308069559828209E-4</v>
      </c>
      <c r="AM246">
        <f t="shared" si="158"/>
        <v>1.4083797514055776E-4</v>
      </c>
      <c r="AN246">
        <f t="shared" si="159"/>
        <v>3.2391867073883987E-4</v>
      </c>
      <c r="AO246">
        <f t="shared" si="160"/>
        <v>0.34011460427578188</v>
      </c>
    </row>
    <row r="247" spans="5:41" x14ac:dyDescent="0.2">
      <c r="F247" t="s">
        <v>117</v>
      </c>
      <c r="G247" t="s">
        <v>153</v>
      </c>
      <c r="H247">
        <v>35</v>
      </c>
      <c r="I247">
        <v>0</v>
      </c>
      <c r="J247">
        <v>0</v>
      </c>
      <c r="L247">
        <v>31</v>
      </c>
      <c r="M247">
        <f>Tables!CC44</f>
        <v>0.13</v>
      </c>
      <c r="O247">
        <f>Tables!CC74</f>
        <v>0.65</v>
      </c>
      <c r="Q247">
        <f>Tables!CC102</f>
        <v>33</v>
      </c>
      <c r="R247">
        <f t="shared" si="142"/>
        <v>8.2999999999999741E-3</v>
      </c>
      <c r="S247">
        <f>S231</f>
        <v>0.99170000000000003</v>
      </c>
      <c r="T247">
        <f>T231</f>
        <v>0.73</v>
      </c>
      <c r="U247">
        <f t="shared" si="143"/>
        <v>4.7000000000000002E-3</v>
      </c>
      <c r="V247">
        <f t="shared" si="144"/>
        <v>0</v>
      </c>
      <c r="W247">
        <v>0</v>
      </c>
      <c r="X247">
        <f t="shared" si="145"/>
        <v>0</v>
      </c>
      <c r="Y247">
        <f t="shared" si="146"/>
        <v>1.3</v>
      </c>
      <c r="Z247">
        <f t="shared" si="147"/>
        <v>1</v>
      </c>
      <c r="AA247">
        <f t="shared" si="148"/>
        <v>0.51535000000000009</v>
      </c>
      <c r="AB247">
        <v>1.9</v>
      </c>
      <c r="AC247">
        <v>1.9</v>
      </c>
      <c r="AD247">
        <f t="shared" si="149"/>
        <v>0.99926819758111951</v>
      </c>
      <c r="AE247">
        <f t="shared" si="150"/>
        <v>0.67586829739226073</v>
      </c>
      <c r="AF247">
        <f t="shared" si="151"/>
        <v>0.67537369533738445</v>
      </c>
      <c r="AG247">
        <f t="shared" si="152"/>
        <v>8.7798580393859987E-2</v>
      </c>
      <c r="AH247">
        <f t="shared" si="153"/>
        <v>0.08</v>
      </c>
      <c r="AI247">
        <f t="shared" si="154"/>
        <v>0.234255900222053</v>
      </c>
      <c r="AJ247">
        <f t="shared" si="155"/>
        <v>0.19</v>
      </c>
      <c r="AK247">
        <f t="shared" si="156"/>
        <v>0.6784</v>
      </c>
      <c r="AL247">
        <f t="shared" si="157"/>
        <v>1.8294937535251617E-4</v>
      </c>
      <c r="AM247">
        <f t="shared" si="158"/>
        <v>1.4073695478203119E-4</v>
      </c>
      <c r="AN247">
        <f t="shared" si="159"/>
        <v>3.2368633013454736E-4</v>
      </c>
      <c r="AO247">
        <f t="shared" si="160"/>
        <v>0.35119966819598386</v>
      </c>
    </row>
    <row r="248" spans="5:41" x14ac:dyDescent="0.2">
      <c r="F248" t="s">
        <v>119</v>
      </c>
      <c r="G248" t="s">
        <v>154</v>
      </c>
      <c r="H248">
        <v>35</v>
      </c>
      <c r="I248">
        <v>0</v>
      </c>
      <c r="J248">
        <v>0</v>
      </c>
      <c r="L248">
        <v>30</v>
      </c>
      <c r="M248">
        <f>Tables!CC45</f>
        <v>0.1</v>
      </c>
      <c r="O248">
        <f>Tables!CC75</f>
        <v>0.6</v>
      </c>
      <c r="Q248">
        <f>Tables!CC103</f>
        <v>35</v>
      </c>
      <c r="R248">
        <f t="shared" si="142"/>
        <v>8.2999999999999741E-3</v>
      </c>
      <c r="S248">
        <f>S231</f>
        <v>0.99170000000000003</v>
      </c>
      <c r="T248">
        <f>T231</f>
        <v>0.73</v>
      </c>
      <c r="U248">
        <f t="shared" si="143"/>
        <v>4.7000000000000002E-3</v>
      </c>
      <c r="V248">
        <f t="shared" si="144"/>
        <v>0</v>
      </c>
      <c r="W248">
        <v>0</v>
      </c>
      <c r="X248">
        <f t="shared" si="145"/>
        <v>0</v>
      </c>
      <c r="Y248">
        <f t="shared" si="146"/>
        <v>1.3</v>
      </c>
      <c r="Z248">
        <f t="shared" si="147"/>
        <v>1</v>
      </c>
      <c r="AA248">
        <f t="shared" si="148"/>
        <v>0.47559999999999997</v>
      </c>
      <c r="AB248">
        <v>1.4</v>
      </c>
      <c r="AC248">
        <v>1.4</v>
      </c>
      <c r="AD248">
        <f t="shared" si="149"/>
        <v>0.98015890525562965</v>
      </c>
      <c r="AE248">
        <f t="shared" si="150"/>
        <v>0.65531047667424769</v>
      </c>
      <c r="AF248">
        <f t="shared" si="151"/>
        <v>0.6423083994195754</v>
      </c>
      <c r="AG248">
        <f t="shared" si="152"/>
        <v>6.4230839941957538E-2</v>
      </c>
      <c r="AH248">
        <f t="shared" si="153"/>
        <v>0.08</v>
      </c>
      <c r="AI248">
        <f t="shared" si="154"/>
        <v>0.25155170192911341</v>
      </c>
      <c r="AJ248">
        <f t="shared" si="155"/>
        <v>0.19</v>
      </c>
      <c r="AK248">
        <f t="shared" si="156"/>
        <v>0.6784</v>
      </c>
      <c r="AL248">
        <f t="shared" si="157"/>
        <v>1.9645706551326883E-4</v>
      </c>
      <c r="AM248">
        <f t="shared" si="158"/>
        <v>1.5112797784893445E-4</v>
      </c>
      <c r="AN248">
        <f t="shared" si="159"/>
        <v>3.4758504336220329E-4</v>
      </c>
      <c r="AO248">
        <f t="shared" si="160"/>
        <v>0.36496429553031345</v>
      </c>
    </row>
    <row r="249" spans="5:41" x14ac:dyDescent="0.2">
      <c r="F249" t="s">
        <v>119</v>
      </c>
      <c r="G249" t="s">
        <v>155</v>
      </c>
      <c r="H249">
        <v>80</v>
      </c>
      <c r="I249">
        <v>0</v>
      </c>
      <c r="J249">
        <v>0</v>
      </c>
      <c r="L249">
        <v>31</v>
      </c>
      <c r="M249">
        <f>Tables!CC45</f>
        <v>0.1</v>
      </c>
      <c r="O249">
        <f>Tables!CC75</f>
        <v>0.6</v>
      </c>
      <c r="Q249">
        <f>Tables!CC103</f>
        <v>35</v>
      </c>
      <c r="R249">
        <f t="shared" si="142"/>
        <v>8.2999999999999741E-3</v>
      </c>
      <c r="S249">
        <f>S231</f>
        <v>0.99170000000000003</v>
      </c>
      <c r="T249">
        <f>T231</f>
        <v>0.73</v>
      </c>
      <c r="U249">
        <f t="shared" si="143"/>
        <v>4.7000000000000002E-3</v>
      </c>
      <c r="V249">
        <f t="shared" si="144"/>
        <v>0</v>
      </c>
      <c r="W249">
        <v>0</v>
      </c>
      <c r="X249">
        <f t="shared" si="145"/>
        <v>0</v>
      </c>
      <c r="Y249">
        <f t="shared" si="146"/>
        <v>1.3</v>
      </c>
      <c r="Z249">
        <f t="shared" si="147"/>
        <v>1</v>
      </c>
      <c r="AA249">
        <f t="shared" si="148"/>
        <v>0.47559999999999997</v>
      </c>
      <c r="AB249">
        <v>1.3</v>
      </c>
      <c r="AC249">
        <v>1.3</v>
      </c>
      <c r="AD249">
        <f t="shared" si="149"/>
        <v>0.96595254526540064</v>
      </c>
      <c r="AE249">
        <f t="shared" si="150"/>
        <v>0.65531047667424769</v>
      </c>
      <c r="AF249">
        <f t="shared" si="151"/>
        <v>0.63299882288257248</v>
      </c>
      <c r="AG249">
        <f t="shared" si="152"/>
        <v>6.3299882288257253E-2</v>
      </c>
      <c r="AH249">
        <f t="shared" si="153"/>
        <v>0.08</v>
      </c>
      <c r="AI249">
        <f t="shared" si="154"/>
        <v>0.2476888671803493</v>
      </c>
      <c r="AJ249">
        <f t="shared" si="155"/>
        <v>0.19</v>
      </c>
      <c r="AK249">
        <f t="shared" si="156"/>
        <v>0.6784</v>
      </c>
      <c r="AL249">
        <f t="shared" si="157"/>
        <v>1.9344026549368985E-4</v>
      </c>
      <c r="AM249">
        <f t="shared" si="158"/>
        <v>1.4880725252738674E-4</v>
      </c>
      <c r="AN249">
        <f t="shared" si="159"/>
        <v>3.4224751802107661E-4</v>
      </c>
      <c r="AO249">
        <f t="shared" si="160"/>
        <v>0.84877384469226991</v>
      </c>
    </row>
    <row r="250" spans="5:41" x14ac:dyDescent="0.2">
      <c r="F250" t="s">
        <v>119</v>
      </c>
      <c r="G250" t="s">
        <v>156</v>
      </c>
      <c r="H250">
        <v>90</v>
      </c>
      <c r="I250">
        <v>0</v>
      </c>
      <c r="J250">
        <v>0</v>
      </c>
      <c r="L250">
        <v>31</v>
      </c>
      <c r="M250">
        <f>Tables!CC45</f>
        <v>0.1</v>
      </c>
      <c r="O250">
        <f>Tables!CC75</f>
        <v>0.6</v>
      </c>
      <c r="Q250">
        <f>Tables!CC103</f>
        <v>35</v>
      </c>
      <c r="R250">
        <f t="shared" si="142"/>
        <v>8.2999999999999741E-3</v>
      </c>
      <c r="S250">
        <f>S231</f>
        <v>0.99170000000000003</v>
      </c>
      <c r="T250">
        <f>T231</f>
        <v>0.73</v>
      </c>
      <c r="U250">
        <f t="shared" si="143"/>
        <v>4.7000000000000002E-3</v>
      </c>
      <c r="V250">
        <f t="shared" si="144"/>
        <v>0</v>
      </c>
      <c r="W250">
        <v>0</v>
      </c>
      <c r="X250">
        <f t="shared" si="145"/>
        <v>0</v>
      </c>
      <c r="Y250">
        <f t="shared" si="146"/>
        <v>1.3</v>
      </c>
      <c r="Z250">
        <f t="shared" si="147"/>
        <v>1</v>
      </c>
      <c r="AA250">
        <f t="shared" si="148"/>
        <v>0.47559999999999997</v>
      </c>
      <c r="AB250">
        <v>1.1000000000000001</v>
      </c>
      <c r="AC250">
        <v>1.1000000000000001</v>
      </c>
      <c r="AD250">
        <f t="shared" si="149"/>
        <v>0.91107838254061368</v>
      </c>
      <c r="AE250">
        <f t="shared" si="150"/>
        <v>0.65531047667424769</v>
      </c>
      <c r="AF250">
        <f t="shared" si="151"/>
        <v>0.59703920915029218</v>
      </c>
      <c r="AG250">
        <f t="shared" si="152"/>
        <v>5.970392091502922E-2</v>
      </c>
      <c r="AH250">
        <f t="shared" si="153"/>
        <v>0.08</v>
      </c>
      <c r="AI250">
        <f t="shared" si="154"/>
        <v>0.23282800304257883</v>
      </c>
      <c r="AJ250">
        <f t="shared" si="155"/>
        <v>0.19</v>
      </c>
      <c r="AK250">
        <f t="shared" si="156"/>
        <v>0.6784</v>
      </c>
      <c r="AL250">
        <f t="shared" si="157"/>
        <v>1.8183421497958729E-4</v>
      </c>
      <c r="AM250">
        <f t="shared" si="158"/>
        <v>1.3987909847791867E-4</v>
      </c>
      <c r="AN250">
        <f t="shared" si="159"/>
        <v>3.2171331345750599E-4</v>
      </c>
      <c r="AO250">
        <f t="shared" si="160"/>
        <v>0.89758014454644175</v>
      </c>
    </row>
    <row r="251" spans="5:41" x14ac:dyDescent="0.2">
      <c r="F251" t="s">
        <v>113</v>
      </c>
      <c r="G251" t="s">
        <v>157</v>
      </c>
      <c r="H251">
        <v>90</v>
      </c>
      <c r="I251">
        <v>0</v>
      </c>
      <c r="J251">
        <v>0</v>
      </c>
      <c r="K251">
        <v>20</v>
      </c>
      <c r="L251">
        <v>20</v>
      </c>
      <c r="M251">
        <f>Tables!CC42</f>
        <v>0.16</v>
      </c>
      <c r="O251">
        <f>Tables!CC72</f>
        <v>0.7</v>
      </c>
      <c r="Q251">
        <f>Tables!CC100</f>
        <v>22</v>
      </c>
      <c r="R251">
        <f t="shared" si="142"/>
        <v>8.2999999999999741E-3</v>
      </c>
      <c r="S251">
        <f>S231</f>
        <v>0.99170000000000003</v>
      </c>
      <c r="T251">
        <f>T231</f>
        <v>0.73</v>
      </c>
      <c r="U251">
        <f t="shared" si="143"/>
        <v>4.7000000000000002E-3</v>
      </c>
      <c r="V251">
        <f t="shared" si="144"/>
        <v>0</v>
      </c>
      <c r="W251">
        <v>0</v>
      </c>
      <c r="X251">
        <f t="shared" si="145"/>
        <v>0</v>
      </c>
      <c r="Y251">
        <f t="shared" si="146"/>
        <v>1.3</v>
      </c>
      <c r="Z251">
        <f t="shared" si="147"/>
        <v>1</v>
      </c>
      <c r="AA251">
        <f t="shared" si="148"/>
        <v>0.55510000000000004</v>
      </c>
      <c r="AC251">
        <f>Tables!CC171</f>
        <v>3.2</v>
      </c>
      <c r="AD251">
        <f t="shared" si="149"/>
        <v>0.99999999872459233</v>
      </c>
      <c r="AE251">
        <f t="shared" si="150"/>
        <v>0.50661989714547884</v>
      </c>
      <c r="AF251">
        <f t="shared" si="151"/>
        <v>0.50661989649933192</v>
      </c>
      <c r="AG251">
        <f t="shared" si="152"/>
        <v>8.1059183439893115E-2</v>
      </c>
      <c r="AH251">
        <f t="shared" si="153"/>
        <v>0.08</v>
      </c>
      <c r="AI251">
        <f t="shared" si="154"/>
        <v>0.14927231631248258</v>
      </c>
      <c r="AJ251">
        <f t="shared" si="155"/>
        <v>0.19</v>
      </c>
      <c r="AK251">
        <f t="shared" si="156"/>
        <v>0.6784</v>
      </c>
      <c r="AL251">
        <f t="shared" si="157"/>
        <v>1.1657882256500357E-4</v>
      </c>
      <c r="AM251">
        <f t="shared" si="158"/>
        <v>8.9680265091146702E-5</v>
      </c>
      <c r="AN251">
        <f t="shared" si="159"/>
        <v>2.0625908765615027E-4</v>
      </c>
      <c r="AO251">
        <f t="shared" si="160"/>
        <v>0.37126635778107048</v>
      </c>
    </row>
    <row r="252" spans="5:41" x14ac:dyDescent="0.2">
      <c r="F252" t="s">
        <v>113</v>
      </c>
      <c r="G252" t="s">
        <v>158</v>
      </c>
      <c r="H252">
        <v>95</v>
      </c>
      <c r="I252">
        <v>0</v>
      </c>
      <c r="J252">
        <v>0</v>
      </c>
      <c r="L252">
        <v>31</v>
      </c>
      <c r="M252">
        <f>Tables!CC42</f>
        <v>0.16</v>
      </c>
      <c r="O252">
        <f>Tables!CC72</f>
        <v>0.7</v>
      </c>
      <c r="Q252">
        <f>Tables!CC100</f>
        <v>22</v>
      </c>
      <c r="R252">
        <f t="shared" si="142"/>
        <v>8.2999999999999741E-3</v>
      </c>
      <c r="S252">
        <f>S231</f>
        <v>0.99170000000000003</v>
      </c>
      <c r="T252">
        <f>T231</f>
        <v>0.73</v>
      </c>
      <c r="U252">
        <f t="shared" si="143"/>
        <v>4.7000000000000002E-3</v>
      </c>
      <c r="V252">
        <f t="shared" si="144"/>
        <v>0</v>
      </c>
      <c r="W252">
        <v>0</v>
      </c>
      <c r="X252">
        <f t="shared" si="145"/>
        <v>0</v>
      </c>
      <c r="Y252">
        <f t="shared" si="146"/>
        <v>1.3</v>
      </c>
      <c r="Z252">
        <f t="shared" si="147"/>
        <v>1</v>
      </c>
      <c r="AA252">
        <f t="shared" si="148"/>
        <v>0.55510000000000004</v>
      </c>
      <c r="AC252">
        <f>Tables!CC171</f>
        <v>3.2</v>
      </c>
      <c r="AD252">
        <f t="shared" si="149"/>
        <v>0.99999999872459233</v>
      </c>
      <c r="AE252">
        <f t="shared" si="150"/>
        <v>0.50661989714547884</v>
      </c>
      <c r="AF252">
        <f t="shared" si="151"/>
        <v>0.50661989649933192</v>
      </c>
      <c r="AG252">
        <f t="shared" si="152"/>
        <v>8.1059183439893115E-2</v>
      </c>
      <c r="AH252">
        <f t="shared" si="153"/>
        <v>0.08</v>
      </c>
      <c r="AI252">
        <f t="shared" si="154"/>
        <v>0.14927231631248258</v>
      </c>
      <c r="AJ252">
        <f t="shared" si="155"/>
        <v>0.19</v>
      </c>
      <c r="AK252">
        <f t="shared" si="156"/>
        <v>0.6784</v>
      </c>
      <c r="AL252">
        <f t="shared" si="157"/>
        <v>1.1657882256500357E-4</v>
      </c>
      <c r="AM252">
        <f t="shared" si="158"/>
        <v>8.9680265091146702E-5</v>
      </c>
      <c r="AN252">
        <f t="shared" si="159"/>
        <v>2.0625908765615027E-4</v>
      </c>
      <c r="AO252">
        <f t="shared" si="160"/>
        <v>0.60743301314736253</v>
      </c>
    </row>
    <row r="253" spans="5:41" x14ac:dyDescent="0.2">
      <c r="F253" t="s">
        <v>113</v>
      </c>
      <c r="G253" t="s">
        <v>159</v>
      </c>
      <c r="H253">
        <v>90</v>
      </c>
      <c r="I253">
        <v>0</v>
      </c>
      <c r="J253">
        <v>0</v>
      </c>
      <c r="L253">
        <v>30</v>
      </c>
      <c r="M253">
        <f>Tables!CC42</f>
        <v>0.16</v>
      </c>
      <c r="O253">
        <f>Tables!CC72</f>
        <v>0.7</v>
      </c>
      <c r="Q253">
        <f>Tables!CC100</f>
        <v>22</v>
      </c>
      <c r="R253">
        <f t="shared" si="142"/>
        <v>8.2999999999999741E-3</v>
      </c>
      <c r="S253">
        <f>S231</f>
        <v>0.99170000000000003</v>
      </c>
      <c r="T253">
        <f>T231</f>
        <v>0.73</v>
      </c>
      <c r="U253">
        <f t="shared" si="143"/>
        <v>4.7000000000000002E-3</v>
      </c>
      <c r="V253">
        <f t="shared" si="144"/>
        <v>0</v>
      </c>
      <c r="W253">
        <v>0</v>
      </c>
      <c r="X253">
        <f t="shared" si="145"/>
        <v>0</v>
      </c>
      <c r="Y253">
        <f t="shared" si="146"/>
        <v>1.3</v>
      </c>
      <c r="Z253">
        <f t="shared" si="147"/>
        <v>1</v>
      </c>
      <c r="AA253">
        <f t="shared" si="148"/>
        <v>0.55510000000000004</v>
      </c>
      <c r="AC253">
        <f>Tables!CC171</f>
        <v>3.2</v>
      </c>
      <c r="AD253">
        <f t="shared" si="149"/>
        <v>0.99999999872459233</v>
      </c>
      <c r="AE253">
        <f t="shared" si="150"/>
        <v>0.50661989714547884</v>
      </c>
      <c r="AF253">
        <f t="shared" si="151"/>
        <v>0.50661989649933192</v>
      </c>
      <c r="AG253">
        <f t="shared" si="152"/>
        <v>8.1059183439893115E-2</v>
      </c>
      <c r="AH253">
        <f t="shared" si="153"/>
        <v>0.08</v>
      </c>
      <c r="AI253">
        <f t="shared" si="154"/>
        <v>0.14927231631248258</v>
      </c>
      <c r="AJ253">
        <f t="shared" si="155"/>
        <v>0.19</v>
      </c>
      <c r="AK253">
        <f t="shared" si="156"/>
        <v>0.6784</v>
      </c>
      <c r="AL253">
        <f t="shared" si="157"/>
        <v>1.1657882256500357E-4</v>
      </c>
      <c r="AM253">
        <f t="shared" si="158"/>
        <v>8.9680265091146702E-5</v>
      </c>
      <c r="AN253">
        <f t="shared" si="159"/>
        <v>2.0625908765615027E-4</v>
      </c>
      <c r="AO253">
        <f t="shared" si="160"/>
        <v>0.55689953667160574</v>
      </c>
    </row>
    <row r="254" spans="5:41" x14ac:dyDescent="0.2">
      <c r="F254" t="s">
        <v>115</v>
      </c>
      <c r="G254" t="s">
        <v>160</v>
      </c>
      <c r="H254">
        <v>60</v>
      </c>
      <c r="I254">
        <v>0</v>
      </c>
      <c r="J254">
        <v>0</v>
      </c>
      <c r="L254">
        <v>31</v>
      </c>
      <c r="M254">
        <f>Tables!CC43</f>
        <v>7.0000000000000007E-2</v>
      </c>
      <c r="O254">
        <f>Tables!CC73</f>
        <v>0.55000000000000004</v>
      </c>
      <c r="Q254">
        <f>Tables!CC101</f>
        <v>28</v>
      </c>
      <c r="R254">
        <f t="shared" ref="R254:R278" si="161">$R$231</f>
        <v>8.2999999999999741E-3</v>
      </c>
      <c r="S254">
        <f t="shared" ref="S254:S278" si="162">$S$231</f>
        <v>0.99170000000000003</v>
      </c>
      <c r="T254">
        <f t="shared" ref="T254:T278" si="163">$T$231</f>
        <v>0.73</v>
      </c>
      <c r="U254">
        <f t="shared" si="143"/>
        <v>4.7000000000000002E-3</v>
      </c>
      <c r="V254">
        <f t="shared" si="144"/>
        <v>0</v>
      </c>
      <c r="W254">
        <v>0</v>
      </c>
      <c r="X254">
        <f t="shared" si="145"/>
        <v>0</v>
      </c>
      <c r="Y254">
        <f t="shared" si="146"/>
        <v>1.3</v>
      </c>
      <c r="Z254">
        <f t="shared" si="147"/>
        <v>1</v>
      </c>
      <c r="AA254">
        <f t="shared" si="148"/>
        <v>0.43585000000000007</v>
      </c>
      <c r="AC254">
        <f>Tables!CC172</f>
        <v>3</v>
      </c>
      <c r="AD254">
        <f t="shared" si="149"/>
        <v>0.99999998477002028</v>
      </c>
      <c r="AE254">
        <f t="shared" si="150"/>
        <v>0.47750864762612716</v>
      </c>
      <c r="AF254">
        <f t="shared" si="151"/>
        <v>0.47750864035368012</v>
      </c>
      <c r="AG254">
        <f t="shared" si="152"/>
        <v>3.3425604824757614E-2</v>
      </c>
      <c r="AH254">
        <f t="shared" si="153"/>
        <v>0.08</v>
      </c>
      <c r="AI254">
        <f t="shared" si="154"/>
        <v>0.20607951076576064</v>
      </c>
      <c r="AJ254">
        <f t="shared" si="155"/>
        <v>0.19</v>
      </c>
      <c r="AK254">
        <f t="shared" si="156"/>
        <v>0.6784</v>
      </c>
      <c r="AL254">
        <f t="shared" si="157"/>
        <v>1.6094415437054054E-4</v>
      </c>
      <c r="AM254">
        <f t="shared" si="158"/>
        <v>1.238090599240053E-4</v>
      </c>
      <c r="AN254">
        <f t="shared" si="159"/>
        <v>2.8475321429454587E-4</v>
      </c>
      <c r="AO254">
        <f t="shared" si="160"/>
        <v>0.5296409785878553</v>
      </c>
    </row>
    <row r="255" spans="5:41" x14ac:dyDescent="0.2">
      <c r="E255" t="s">
        <v>131</v>
      </c>
      <c r="F255" t="s">
        <v>115</v>
      </c>
      <c r="G255" t="s">
        <v>149</v>
      </c>
      <c r="H255">
        <v>20</v>
      </c>
      <c r="I255">
        <v>0</v>
      </c>
      <c r="J255">
        <v>0</v>
      </c>
      <c r="L255">
        <v>31</v>
      </c>
      <c r="M255">
        <f>Tables!CC47</f>
        <v>7.0000000000000007E-2</v>
      </c>
      <c r="O255">
        <f>Tables!CC85</f>
        <v>0.55000000000000004</v>
      </c>
      <c r="P255">
        <v>66</v>
      </c>
      <c r="Q255">
        <v>66</v>
      </c>
      <c r="R255">
        <f t="shared" si="161"/>
        <v>8.2999999999999741E-3</v>
      </c>
      <c r="S255">
        <f t="shared" si="162"/>
        <v>0.99170000000000003</v>
      </c>
      <c r="T255">
        <f t="shared" si="163"/>
        <v>0.73</v>
      </c>
      <c r="U255">
        <f t="shared" si="143"/>
        <v>4.7000000000000002E-3</v>
      </c>
      <c r="V255">
        <f t="shared" si="144"/>
        <v>0</v>
      </c>
      <c r="W255">
        <v>0</v>
      </c>
      <c r="X255">
        <f t="shared" si="145"/>
        <v>0</v>
      </c>
      <c r="Y255">
        <f t="shared" si="146"/>
        <v>1.3</v>
      </c>
      <c r="Z255">
        <f t="shared" si="147"/>
        <v>1</v>
      </c>
      <c r="AA255">
        <f t="shared" si="148"/>
        <v>0.43585000000000007</v>
      </c>
      <c r="AC255">
        <f>Tables!CC184</f>
        <v>3</v>
      </c>
      <c r="AD255">
        <f t="shared" si="149"/>
        <v>0.99999998477002028</v>
      </c>
      <c r="AE255">
        <f t="shared" si="150"/>
        <v>1.1785209149153895</v>
      </c>
      <c r="AF255">
        <f t="shared" si="151"/>
        <v>1.1785208969665397</v>
      </c>
      <c r="AG255">
        <f t="shared" si="152"/>
        <v>8.2496462787657793E-2</v>
      </c>
      <c r="AH255">
        <f t="shared" si="153"/>
        <v>0.08</v>
      </c>
      <c r="AI255">
        <f t="shared" si="154"/>
        <v>0.53901959471294225</v>
      </c>
      <c r="AJ255">
        <f t="shared" si="155"/>
        <v>0.19</v>
      </c>
      <c r="AK255">
        <f t="shared" si="156"/>
        <v>0.6784</v>
      </c>
      <c r="AL255">
        <f t="shared" si="157"/>
        <v>4.2096398879184219E-4</v>
      </c>
      <c r="AM255">
        <f t="shared" si="158"/>
        <v>3.2383379140433978E-4</v>
      </c>
      <c r="AN255">
        <f t="shared" si="159"/>
        <v>7.4479778019618192E-4</v>
      </c>
      <c r="AO255">
        <f t="shared" si="160"/>
        <v>0.4617746237216328</v>
      </c>
    </row>
    <row r="256" spans="5:41" x14ac:dyDescent="0.2">
      <c r="F256" t="s">
        <v>115</v>
      </c>
      <c r="G256" t="s">
        <v>150</v>
      </c>
      <c r="H256">
        <v>15</v>
      </c>
      <c r="I256">
        <v>0</v>
      </c>
      <c r="J256">
        <v>0</v>
      </c>
      <c r="L256">
        <v>28</v>
      </c>
      <c r="M256">
        <f>Tables!CC47</f>
        <v>7.0000000000000007E-2</v>
      </c>
      <c r="O256">
        <f>Tables!CC85</f>
        <v>0.55000000000000004</v>
      </c>
      <c r="P256">
        <v>67</v>
      </c>
      <c r="Q256">
        <v>67</v>
      </c>
      <c r="R256">
        <f t="shared" si="161"/>
        <v>8.2999999999999741E-3</v>
      </c>
      <c r="S256">
        <f t="shared" si="162"/>
        <v>0.99170000000000003</v>
      </c>
      <c r="T256">
        <f t="shared" si="163"/>
        <v>0.73</v>
      </c>
      <c r="U256">
        <f t="shared" si="143"/>
        <v>4.7000000000000002E-3</v>
      </c>
      <c r="V256">
        <f t="shared" si="144"/>
        <v>0</v>
      </c>
      <c r="W256">
        <v>0</v>
      </c>
      <c r="X256">
        <f t="shared" si="145"/>
        <v>0</v>
      </c>
      <c r="Y256">
        <f t="shared" si="146"/>
        <v>1.3</v>
      </c>
      <c r="Z256">
        <f t="shared" si="147"/>
        <v>1</v>
      </c>
      <c r="AA256">
        <f t="shared" si="148"/>
        <v>0.43585000000000007</v>
      </c>
      <c r="AC256">
        <f>Tables!CC184</f>
        <v>3</v>
      </c>
      <c r="AD256">
        <f t="shared" si="149"/>
        <v>0.99999998477002028</v>
      </c>
      <c r="AE256">
        <f t="shared" si="150"/>
        <v>1.199077422939921</v>
      </c>
      <c r="AF256">
        <f t="shared" si="151"/>
        <v>1.1990774046779962</v>
      </c>
      <c r="AG256">
        <f t="shared" si="152"/>
        <v>8.3935418327459738E-2</v>
      </c>
      <c r="AH256">
        <f t="shared" si="153"/>
        <v>0.08</v>
      </c>
      <c r="AI256">
        <f t="shared" si="154"/>
        <v>0.54932859324135341</v>
      </c>
      <c r="AJ256">
        <f t="shared" si="155"/>
        <v>0.19</v>
      </c>
      <c r="AK256">
        <f t="shared" si="156"/>
        <v>0.6784</v>
      </c>
      <c r="AL256">
        <f t="shared" si="157"/>
        <v>4.2901511936953545E-4</v>
      </c>
      <c r="AM256">
        <f t="shared" si="158"/>
        <v>3.3002726212744962E-4</v>
      </c>
      <c r="AN256">
        <f t="shared" si="159"/>
        <v>7.5904238149698507E-4</v>
      </c>
      <c r="AO256">
        <f t="shared" si="160"/>
        <v>0.31879780022873372</v>
      </c>
    </row>
    <row r="257" spans="5:41" x14ac:dyDescent="0.2">
      <c r="F257" t="s">
        <v>117</v>
      </c>
      <c r="G257" t="s">
        <v>151</v>
      </c>
      <c r="H257">
        <v>10</v>
      </c>
      <c r="I257">
        <v>0</v>
      </c>
      <c r="J257">
        <v>0</v>
      </c>
      <c r="L257">
        <v>31</v>
      </c>
      <c r="M257">
        <f>Tables!CC48</f>
        <v>0.13</v>
      </c>
      <c r="O257">
        <f>Tables!CC78</f>
        <v>0.65</v>
      </c>
      <c r="P257">
        <v>68</v>
      </c>
      <c r="Q257">
        <v>68</v>
      </c>
      <c r="R257">
        <f t="shared" si="161"/>
        <v>8.2999999999999741E-3</v>
      </c>
      <c r="S257">
        <f t="shared" si="162"/>
        <v>0.99170000000000003</v>
      </c>
      <c r="T257">
        <f t="shared" si="163"/>
        <v>0.73</v>
      </c>
      <c r="U257">
        <f t="shared" si="143"/>
        <v>4.7000000000000002E-3</v>
      </c>
      <c r="V257">
        <f t="shared" si="144"/>
        <v>0</v>
      </c>
      <c r="W257">
        <v>0</v>
      </c>
      <c r="X257">
        <f t="shared" si="145"/>
        <v>0</v>
      </c>
      <c r="Y257">
        <f t="shared" si="146"/>
        <v>1.3</v>
      </c>
      <c r="Z257">
        <f t="shared" si="147"/>
        <v>1</v>
      </c>
      <c r="AA257">
        <f t="shared" si="148"/>
        <v>0.51535000000000009</v>
      </c>
      <c r="AC257">
        <f>Tables!CC185</f>
        <v>1.8</v>
      </c>
      <c r="AD257">
        <f t="shared" si="149"/>
        <v>0.99846618932067555</v>
      </c>
      <c r="AE257">
        <f t="shared" si="150"/>
        <v>1.4168488294882187</v>
      </c>
      <c r="AF257">
        <f t="shared" si="151"/>
        <v>1.4146756516225614</v>
      </c>
      <c r="AG257">
        <f t="shared" si="152"/>
        <v>0.18390783471093297</v>
      </c>
      <c r="AH257">
        <f t="shared" si="153"/>
        <v>0.08</v>
      </c>
      <c r="AI257">
        <f t="shared" si="154"/>
        <v>0.52917366475647365</v>
      </c>
      <c r="AJ257">
        <f t="shared" si="155"/>
        <v>0.19</v>
      </c>
      <c r="AK257">
        <f t="shared" si="156"/>
        <v>0.6784</v>
      </c>
      <c r="AL257">
        <f t="shared" si="157"/>
        <v>4.132745059075558E-4</v>
      </c>
      <c r="AM257">
        <f t="shared" si="158"/>
        <v>3.1791852439182455E-4</v>
      </c>
      <c r="AN257">
        <f t="shared" si="159"/>
        <v>7.311930302993804E-4</v>
      </c>
      <c r="AO257">
        <f t="shared" si="160"/>
        <v>0.22666983939280794</v>
      </c>
    </row>
    <row r="258" spans="5:41" x14ac:dyDescent="0.2">
      <c r="F258" t="s">
        <v>117</v>
      </c>
      <c r="G258" t="s">
        <v>152</v>
      </c>
      <c r="H258">
        <v>25</v>
      </c>
      <c r="I258">
        <v>0</v>
      </c>
      <c r="J258">
        <v>0</v>
      </c>
      <c r="L258">
        <v>30</v>
      </c>
      <c r="M258">
        <f>Tables!CC48</f>
        <v>0.13</v>
      </c>
      <c r="O258">
        <f>Tables!CC78</f>
        <v>0.65</v>
      </c>
      <c r="P258">
        <v>67</v>
      </c>
      <c r="Q258">
        <v>67</v>
      </c>
      <c r="R258">
        <f t="shared" si="161"/>
        <v>8.2999999999999741E-3</v>
      </c>
      <c r="S258">
        <f t="shared" si="162"/>
        <v>0.99170000000000003</v>
      </c>
      <c r="T258">
        <f t="shared" si="163"/>
        <v>0.73</v>
      </c>
      <c r="U258">
        <f t="shared" si="143"/>
        <v>4.7000000000000002E-3</v>
      </c>
      <c r="V258">
        <f t="shared" si="144"/>
        <v>0</v>
      </c>
      <c r="W258">
        <v>0</v>
      </c>
      <c r="X258">
        <f t="shared" si="145"/>
        <v>0</v>
      </c>
      <c r="Y258">
        <f t="shared" si="146"/>
        <v>1.3</v>
      </c>
      <c r="Z258">
        <f t="shared" si="147"/>
        <v>1</v>
      </c>
      <c r="AA258">
        <f t="shared" si="148"/>
        <v>0.51535000000000009</v>
      </c>
      <c r="AC258">
        <f>Tables!CC185</f>
        <v>1.8</v>
      </c>
      <c r="AD258">
        <f t="shared" si="149"/>
        <v>0.99846618932067555</v>
      </c>
      <c r="AE258">
        <f t="shared" si="150"/>
        <v>1.3940034864345587</v>
      </c>
      <c r="AF258">
        <f t="shared" si="151"/>
        <v>1.3918653490000499</v>
      </c>
      <c r="AG258">
        <f t="shared" si="152"/>
        <v>0.18094249537000648</v>
      </c>
      <c r="AH258">
        <f t="shared" si="153"/>
        <v>0.08</v>
      </c>
      <c r="AI258">
        <f t="shared" si="154"/>
        <v>0.51947288308870676</v>
      </c>
      <c r="AJ258">
        <f t="shared" si="155"/>
        <v>0.19</v>
      </c>
      <c r="AK258">
        <f t="shared" si="156"/>
        <v>0.6784</v>
      </c>
      <c r="AL258">
        <f t="shared" si="157"/>
        <v>4.0569838105918791E-4</v>
      </c>
      <c r="AM258">
        <f t="shared" si="158"/>
        <v>3.1209045999885634E-4</v>
      </c>
      <c r="AN258">
        <f t="shared" si="159"/>
        <v>7.1778884105804419E-4</v>
      </c>
      <c r="AO258">
        <f t="shared" si="160"/>
        <v>0.53834163079353314</v>
      </c>
    </row>
    <row r="259" spans="5:41" x14ac:dyDescent="0.2">
      <c r="F259" t="s">
        <v>117</v>
      </c>
      <c r="G259" t="s">
        <v>153</v>
      </c>
      <c r="H259">
        <v>25</v>
      </c>
      <c r="I259">
        <v>0</v>
      </c>
      <c r="J259">
        <v>0</v>
      </c>
      <c r="L259">
        <v>31</v>
      </c>
      <c r="M259">
        <f>Tables!CC48</f>
        <v>0.13</v>
      </c>
      <c r="O259">
        <f>Tables!CC78</f>
        <v>0.65</v>
      </c>
      <c r="Q259">
        <f>Tables!CC114</f>
        <v>65</v>
      </c>
      <c r="R259">
        <f t="shared" si="161"/>
        <v>8.2999999999999741E-3</v>
      </c>
      <c r="S259">
        <f t="shared" si="162"/>
        <v>0.99170000000000003</v>
      </c>
      <c r="T259">
        <f t="shared" si="163"/>
        <v>0.73</v>
      </c>
      <c r="U259">
        <f t="shared" si="143"/>
        <v>4.7000000000000002E-3</v>
      </c>
      <c r="V259">
        <f t="shared" si="144"/>
        <v>0</v>
      </c>
      <c r="W259">
        <v>0</v>
      </c>
      <c r="X259">
        <f t="shared" si="145"/>
        <v>0</v>
      </c>
      <c r="Y259">
        <f t="shared" si="146"/>
        <v>1.3</v>
      </c>
      <c r="Z259">
        <f t="shared" si="147"/>
        <v>1</v>
      </c>
      <c r="AA259">
        <f t="shared" si="148"/>
        <v>0.51535000000000009</v>
      </c>
      <c r="AC259">
        <f>Tables!CC185</f>
        <v>1.8</v>
      </c>
      <c r="AD259">
        <f t="shared" si="149"/>
        <v>0.99846618932067555</v>
      </c>
      <c r="AE259">
        <f t="shared" si="150"/>
        <v>1.3486207988995054</v>
      </c>
      <c r="AF259">
        <f t="shared" si="151"/>
        <v>1.3465522699157941</v>
      </c>
      <c r="AG259">
        <f t="shared" si="152"/>
        <v>0.17505179508905325</v>
      </c>
      <c r="AH259">
        <f t="shared" si="153"/>
        <v>0.08</v>
      </c>
      <c r="AI259">
        <f t="shared" si="154"/>
        <v>0.50031570188753161</v>
      </c>
      <c r="AJ259">
        <f t="shared" si="155"/>
        <v>0.19</v>
      </c>
      <c r="AK259">
        <f t="shared" si="156"/>
        <v>0.6784</v>
      </c>
      <c r="AL259">
        <f t="shared" si="157"/>
        <v>3.9073698913288962E-4</v>
      </c>
      <c r="AM259">
        <f t="shared" si="158"/>
        <v>3.005811518366914E-4</v>
      </c>
      <c r="AN259">
        <f t="shared" si="159"/>
        <v>6.9131814096958107E-4</v>
      </c>
      <c r="AO259">
        <f t="shared" si="160"/>
        <v>0.53577155925142539</v>
      </c>
    </row>
    <row r="260" spans="5:41" x14ac:dyDescent="0.2">
      <c r="F260" t="s">
        <v>119</v>
      </c>
      <c r="G260" t="s">
        <v>154</v>
      </c>
      <c r="H260">
        <v>22</v>
      </c>
      <c r="I260">
        <v>0</v>
      </c>
      <c r="J260">
        <v>0</v>
      </c>
      <c r="L260">
        <v>30</v>
      </c>
      <c r="M260">
        <f>Tables!CC49</f>
        <v>0.1</v>
      </c>
      <c r="O260">
        <f>Tables!CC79</f>
        <v>0.6</v>
      </c>
      <c r="Q260">
        <f>Tables!CC115</f>
        <v>60</v>
      </c>
      <c r="R260">
        <f t="shared" si="161"/>
        <v>8.2999999999999741E-3</v>
      </c>
      <c r="S260">
        <f t="shared" si="162"/>
        <v>0.99170000000000003</v>
      </c>
      <c r="T260">
        <f t="shared" si="163"/>
        <v>0.73</v>
      </c>
      <c r="U260">
        <f t="shared" si="143"/>
        <v>4.7000000000000002E-3</v>
      </c>
      <c r="V260">
        <f t="shared" si="144"/>
        <v>0</v>
      </c>
      <c r="W260">
        <v>0</v>
      </c>
      <c r="X260">
        <f t="shared" si="145"/>
        <v>0</v>
      </c>
      <c r="Y260">
        <f t="shared" si="146"/>
        <v>1.3</v>
      </c>
      <c r="Z260">
        <f t="shared" si="147"/>
        <v>1</v>
      </c>
      <c r="AA260">
        <f t="shared" si="148"/>
        <v>0.47559999999999997</v>
      </c>
      <c r="AC260">
        <f>Tables!CC186</f>
        <v>1</v>
      </c>
      <c r="AD260">
        <f t="shared" si="149"/>
        <v>0.8646647167633873</v>
      </c>
      <c r="AE260">
        <f t="shared" si="150"/>
        <v>1.1472289977258807</v>
      </c>
      <c r="AF260">
        <f t="shared" si="151"/>
        <v>0.99196843638139331</v>
      </c>
      <c r="AG260">
        <f t="shared" si="152"/>
        <v>9.919684363813934E-2</v>
      </c>
      <c r="AH260">
        <f t="shared" si="153"/>
        <v>0.08</v>
      </c>
      <c r="AI260">
        <f t="shared" si="154"/>
        <v>0.40125563532734443</v>
      </c>
      <c r="AJ260">
        <f t="shared" si="155"/>
        <v>0.19</v>
      </c>
      <c r="AK260">
        <f t="shared" si="156"/>
        <v>0.6784</v>
      </c>
      <c r="AL260">
        <f t="shared" si="157"/>
        <v>3.1337297276281742E-4</v>
      </c>
      <c r="AM260">
        <f t="shared" si="158"/>
        <v>2.4106755113348225E-4</v>
      </c>
      <c r="AN260">
        <f t="shared" si="159"/>
        <v>5.5444052389629962E-4</v>
      </c>
      <c r="AO260">
        <f t="shared" si="160"/>
        <v>0.36593074577155776</v>
      </c>
    </row>
    <row r="261" spans="5:41" x14ac:dyDescent="0.2">
      <c r="F261" t="s">
        <v>119</v>
      </c>
      <c r="G261" t="s">
        <v>155</v>
      </c>
      <c r="H261">
        <v>22</v>
      </c>
      <c r="I261">
        <v>0</v>
      </c>
      <c r="J261">
        <v>0</v>
      </c>
      <c r="L261">
        <v>31</v>
      </c>
      <c r="M261">
        <f>Tables!CC49</f>
        <v>0.1</v>
      </c>
      <c r="O261">
        <f>Tables!CC79</f>
        <v>0.6</v>
      </c>
      <c r="Q261">
        <f>Tables!CC115</f>
        <v>60</v>
      </c>
      <c r="R261">
        <f t="shared" si="161"/>
        <v>8.2999999999999741E-3</v>
      </c>
      <c r="S261">
        <f t="shared" si="162"/>
        <v>0.99170000000000003</v>
      </c>
      <c r="T261">
        <f t="shared" si="163"/>
        <v>0.73</v>
      </c>
      <c r="U261">
        <f t="shared" si="143"/>
        <v>4.7000000000000002E-3</v>
      </c>
      <c r="V261">
        <f t="shared" si="144"/>
        <v>0</v>
      </c>
      <c r="W261">
        <v>0</v>
      </c>
      <c r="X261">
        <f t="shared" si="145"/>
        <v>0</v>
      </c>
      <c r="Y261">
        <f t="shared" si="146"/>
        <v>1.3</v>
      </c>
      <c r="Z261">
        <f t="shared" si="147"/>
        <v>1</v>
      </c>
      <c r="AA261">
        <f t="shared" si="148"/>
        <v>0.47559999999999997</v>
      </c>
      <c r="AC261">
        <f>Tables!CC186</f>
        <v>1</v>
      </c>
      <c r="AD261">
        <f t="shared" si="149"/>
        <v>0.8646647167633873</v>
      </c>
      <c r="AE261">
        <f t="shared" si="150"/>
        <v>1.1472289977258807</v>
      </c>
      <c r="AF261">
        <f t="shared" si="151"/>
        <v>0.99196843638139331</v>
      </c>
      <c r="AG261">
        <f t="shared" si="152"/>
        <v>9.919684363813934E-2</v>
      </c>
      <c r="AH261">
        <f t="shared" si="153"/>
        <v>0.08</v>
      </c>
      <c r="AI261">
        <f t="shared" si="154"/>
        <v>0.40125563532734443</v>
      </c>
      <c r="AJ261">
        <f t="shared" si="155"/>
        <v>0.19</v>
      </c>
      <c r="AK261">
        <f t="shared" si="156"/>
        <v>0.6784</v>
      </c>
      <c r="AL261">
        <f t="shared" si="157"/>
        <v>3.1337297276281742E-4</v>
      </c>
      <c r="AM261">
        <f t="shared" si="158"/>
        <v>2.4106755113348225E-4</v>
      </c>
      <c r="AN261">
        <f t="shared" si="159"/>
        <v>5.5444052389629962E-4</v>
      </c>
      <c r="AO261">
        <f t="shared" si="160"/>
        <v>0.37812843729727635</v>
      </c>
    </row>
    <row r="262" spans="5:41" x14ac:dyDescent="0.2">
      <c r="F262" t="s">
        <v>119</v>
      </c>
      <c r="G262" t="s">
        <v>156</v>
      </c>
      <c r="H262">
        <v>20</v>
      </c>
      <c r="I262">
        <v>0</v>
      </c>
      <c r="J262">
        <v>0</v>
      </c>
      <c r="L262">
        <v>31</v>
      </c>
      <c r="M262">
        <f>Tables!CC49</f>
        <v>0.1</v>
      </c>
      <c r="O262">
        <f>Tables!CC79</f>
        <v>0.6</v>
      </c>
      <c r="Q262">
        <f>Tables!CC115</f>
        <v>60</v>
      </c>
      <c r="R262">
        <f t="shared" si="161"/>
        <v>8.2999999999999741E-3</v>
      </c>
      <c r="S262">
        <f t="shared" si="162"/>
        <v>0.99170000000000003</v>
      </c>
      <c r="T262">
        <f t="shared" si="163"/>
        <v>0.73</v>
      </c>
      <c r="U262">
        <f t="shared" si="143"/>
        <v>4.7000000000000002E-3</v>
      </c>
      <c r="V262">
        <f t="shared" si="144"/>
        <v>0</v>
      </c>
      <c r="W262">
        <v>0</v>
      </c>
      <c r="X262">
        <f t="shared" si="145"/>
        <v>0</v>
      </c>
      <c r="Y262">
        <f t="shared" si="146"/>
        <v>1.3</v>
      </c>
      <c r="Z262">
        <f t="shared" si="147"/>
        <v>1</v>
      </c>
      <c r="AA262">
        <f t="shared" si="148"/>
        <v>0.47559999999999997</v>
      </c>
      <c r="AC262">
        <f>Tables!CC186</f>
        <v>1</v>
      </c>
      <c r="AD262">
        <f t="shared" si="149"/>
        <v>0.8646647167633873</v>
      </c>
      <c r="AE262">
        <f t="shared" si="150"/>
        <v>1.1472289977258807</v>
      </c>
      <c r="AF262">
        <f t="shared" si="151"/>
        <v>0.99196843638139331</v>
      </c>
      <c r="AG262">
        <f t="shared" si="152"/>
        <v>9.919684363813934E-2</v>
      </c>
      <c r="AH262">
        <f t="shared" si="153"/>
        <v>0.08</v>
      </c>
      <c r="AI262">
        <f t="shared" si="154"/>
        <v>0.40125563532734443</v>
      </c>
      <c r="AJ262">
        <f t="shared" si="155"/>
        <v>0.19</v>
      </c>
      <c r="AK262">
        <f t="shared" si="156"/>
        <v>0.6784</v>
      </c>
      <c r="AL262">
        <f t="shared" si="157"/>
        <v>3.1337297276281742E-4</v>
      </c>
      <c r="AM262">
        <f t="shared" si="158"/>
        <v>2.4106755113348225E-4</v>
      </c>
      <c r="AN262">
        <f t="shared" si="159"/>
        <v>5.5444052389629962E-4</v>
      </c>
      <c r="AO262">
        <f t="shared" si="160"/>
        <v>0.34375312481570575</v>
      </c>
    </row>
    <row r="263" spans="5:41" x14ac:dyDescent="0.2">
      <c r="F263" t="s">
        <v>113</v>
      </c>
      <c r="G263" t="s">
        <v>157</v>
      </c>
      <c r="H263">
        <v>18</v>
      </c>
      <c r="I263">
        <v>0</v>
      </c>
      <c r="J263">
        <v>0</v>
      </c>
      <c r="L263">
        <v>30</v>
      </c>
      <c r="M263">
        <f>Tables!CC46</f>
        <v>0.16</v>
      </c>
      <c r="O263">
        <f>Tables!CC76</f>
        <v>0.7</v>
      </c>
      <c r="Q263">
        <f>Tables!CC112</f>
        <v>70</v>
      </c>
      <c r="R263">
        <f t="shared" si="161"/>
        <v>8.2999999999999741E-3</v>
      </c>
      <c r="S263">
        <f t="shared" si="162"/>
        <v>0.99170000000000003</v>
      </c>
      <c r="T263">
        <f t="shared" si="163"/>
        <v>0.73</v>
      </c>
      <c r="U263">
        <f t="shared" si="143"/>
        <v>4.7000000000000002E-3</v>
      </c>
      <c r="V263">
        <f t="shared" si="144"/>
        <v>0</v>
      </c>
      <c r="W263">
        <v>0</v>
      </c>
      <c r="X263">
        <f t="shared" si="145"/>
        <v>0</v>
      </c>
      <c r="Y263">
        <f t="shared" si="146"/>
        <v>1.3</v>
      </c>
      <c r="Z263">
        <f t="shared" si="147"/>
        <v>1</v>
      </c>
      <c r="AA263">
        <f t="shared" si="148"/>
        <v>0.55510000000000004</v>
      </c>
      <c r="AC263">
        <f>Tables!CC183</f>
        <v>3.2</v>
      </c>
      <c r="AD263">
        <f t="shared" si="149"/>
        <v>0.99999999872459233</v>
      </c>
      <c r="AE263">
        <f t="shared" si="150"/>
        <v>1.5635664662315347</v>
      </c>
      <c r="AF263">
        <f t="shared" si="151"/>
        <v>1.5635664642373501</v>
      </c>
      <c r="AG263">
        <f t="shared" si="152"/>
        <v>0.25017063427797603</v>
      </c>
      <c r="AH263">
        <f t="shared" si="153"/>
        <v>0.08</v>
      </c>
      <c r="AI263">
        <f t="shared" si="154"/>
        <v>0.52151077937113577</v>
      </c>
      <c r="AJ263">
        <f t="shared" si="155"/>
        <v>0.19</v>
      </c>
      <c r="AK263">
        <f t="shared" si="156"/>
        <v>0.6784</v>
      </c>
      <c r="AL263">
        <f t="shared" si="157"/>
        <v>4.0728993905858168E-4</v>
      </c>
      <c r="AM263">
        <f t="shared" si="158"/>
        <v>3.133147933739338E-4</v>
      </c>
      <c r="AN263">
        <f t="shared" si="159"/>
        <v>7.2060473243251548E-4</v>
      </c>
      <c r="AO263">
        <f t="shared" si="160"/>
        <v>0.38912655551355835</v>
      </c>
    </row>
    <row r="264" spans="5:41" x14ac:dyDescent="0.2">
      <c r="F264" t="s">
        <v>113</v>
      </c>
      <c r="G264" t="s">
        <v>158</v>
      </c>
      <c r="H264">
        <v>18</v>
      </c>
      <c r="I264">
        <v>0</v>
      </c>
      <c r="J264">
        <v>0</v>
      </c>
      <c r="L264">
        <v>31</v>
      </c>
      <c r="M264">
        <f>Tables!CC46</f>
        <v>0.16</v>
      </c>
      <c r="O264">
        <f>Tables!CC76</f>
        <v>0.7</v>
      </c>
      <c r="Q264">
        <f>Tables!CC112</f>
        <v>70</v>
      </c>
      <c r="R264">
        <f t="shared" si="161"/>
        <v>8.2999999999999741E-3</v>
      </c>
      <c r="S264">
        <f t="shared" si="162"/>
        <v>0.99170000000000003</v>
      </c>
      <c r="T264">
        <f t="shared" si="163"/>
        <v>0.73</v>
      </c>
      <c r="U264">
        <f t="shared" si="143"/>
        <v>4.7000000000000002E-3</v>
      </c>
      <c r="V264">
        <f t="shared" si="144"/>
        <v>0</v>
      </c>
      <c r="W264">
        <v>0</v>
      </c>
      <c r="X264">
        <f t="shared" si="145"/>
        <v>0</v>
      </c>
      <c r="Y264">
        <f t="shared" si="146"/>
        <v>1.3</v>
      </c>
      <c r="Z264">
        <f t="shared" si="147"/>
        <v>1</v>
      </c>
      <c r="AA264">
        <f t="shared" si="148"/>
        <v>0.55510000000000004</v>
      </c>
      <c r="AC264">
        <f>Tables!CC183</f>
        <v>3.2</v>
      </c>
      <c r="AD264">
        <f t="shared" si="149"/>
        <v>0.99999999872459233</v>
      </c>
      <c r="AE264">
        <f t="shared" si="150"/>
        <v>1.5635664662315347</v>
      </c>
      <c r="AF264">
        <f t="shared" si="151"/>
        <v>1.5635664642373501</v>
      </c>
      <c r="AG264">
        <f t="shared" si="152"/>
        <v>0.25017063427797603</v>
      </c>
      <c r="AH264">
        <f t="shared" si="153"/>
        <v>0.08</v>
      </c>
      <c r="AI264">
        <f t="shared" si="154"/>
        <v>0.52151077937113577</v>
      </c>
      <c r="AJ264">
        <f t="shared" si="155"/>
        <v>0.19</v>
      </c>
      <c r="AK264">
        <f t="shared" si="156"/>
        <v>0.6784</v>
      </c>
      <c r="AL264">
        <f t="shared" si="157"/>
        <v>4.0728993905858168E-4</v>
      </c>
      <c r="AM264">
        <f t="shared" si="158"/>
        <v>3.133147933739338E-4</v>
      </c>
      <c r="AN264">
        <f t="shared" si="159"/>
        <v>7.2060473243251548E-4</v>
      </c>
      <c r="AO264">
        <f t="shared" si="160"/>
        <v>0.40209744069734366</v>
      </c>
    </row>
    <row r="265" spans="5:41" x14ac:dyDescent="0.2">
      <c r="F265" t="s">
        <v>113</v>
      </c>
      <c r="G265" t="s">
        <v>159</v>
      </c>
      <c r="H265">
        <v>19</v>
      </c>
      <c r="I265">
        <v>0</v>
      </c>
      <c r="J265">
        <v>0</v>
      </c>
      <c r="L265">
        <v>30</v>
      </c>
      <c r="M265">
        <f>Tables!CC46</f>
        <v>0.16</v>
      </c>
      <c r="O265">
        <f>Tables!CC76</f>
        <v>0.7</v>
      </c>
      <c r="Q265">
        <f>Tables!CC112</f>
        <v>70</v>
      </c>
      <c r="R265">
        <f t="shared" si="161"/>
        <v>8.2999999999999741E-3</v>
      </c>
      <c r="S265">
        <f t="shared" si="162"/>
        <v>0.99170000000000003</v>
      </c>
      <c r="T265">
        <f t="shared" si="163"/>
        <v>0.73</v>
      </c>
      <c r="U265">
        <f t="shared" si="143"/>
        <v>4.7000000000000002E-3</v>
      </c>
      <c r="V265">
        <f t="shared" si="144"/>
        <v>0</v>
      </c>
      <c r="W265">
        <v>0</v>
      </c>
      <c r="X265">
        <f t="shared" si="145"/>
        <v>0</v>
      </c>
      <c r="Y265">
        <f t="shared" si="146"/>
        <v>1.3</v>
      </c>
      <c r="Z265">
        <f t="shared" si="147"/>
        <v>1</v>
      </c>
      <c r="AA265">
        <f t="shared" si="148"/>
        <v>0.55510000000000004</v>
      </c>
      <c r="AC265">
        <f>Tables!CC183</f>
        <v>3.2</v>
      </c>
      <c r="AD265">
        <f t="shared" si="149"/>
        <v>0.99999999872459233</v>
      </c>
      <c r="AE265">
        <f t="shared" si="150"/>
        <v>1.5635664662315347</v>
      </c>
      <c r="AF265">
        <f t="shared" si="151"/>
        <v>1.5635664642373501</v>
      </c>
      <c r="AG265">
        <f t="shared" si="152"/>
        <v>0.25017063427797603</v>
      </c>
      <c r="AH265">
        <f t="shared" si="153"/>
        <v>0.08</v>
      </c>
      <c r="AI265">
        <f t="shared" si="154"/>
        <v>0.52151077937113577</v>
      </c>
      <c r="AJ265">
        <f t="shared" si="155"/>
        <v>0.19</v>
      </c>
      <c r="AK265">
        <f t="shared" si="156"/>
        <v>0.6784</v>
      </c>
      <c r="AL265">
        <f t="shared" si="157"/>
        <v>4.0728993905858168E-4</v>
      </c>
      <c r="AM265">
        <f t="shared" si="158"/>
        <v>3.133147933739338E-4</v>
      </c>
      <c r="AN265">
        <f t="shared" si="159"/>
        <v>7.2060473243251548E-4</v>
      </c>
      <c r="AO265">
        <f t="shared" si="160"/>
        <v>0.41074469748653381</v>
      </c>
    </row>
    <row r="266" spans="5:41" x14ac:dyDescent="0.2">
      <c r="F266" t="s">
        <v>115</v>
      </c>
      <c r="G266" t="s">
        <v>160</v>
      </c>
      <c r="H266">
        <v>20</v>
      </c>
      <c r="I266">
        <v>0</v>
      </c>
      <c r="J266">
        <v>0</v>
      </c>
      <c r="L266">
        <v>31</v>
      </c>
      <c r="M266">
        <f>Tables!CC47</f>
        <v>7.0000000000000007E-2</v>
      </c>
      <c r="O266">
        <f>Tables!CC77</f>
        <v>0.55000000000000004</v>
      </c>
      <c r="Q266">
        <f>Tables!CC113</f>
        <v>65</v>
      </c>
      <c r="R266">
        <f t="shared" si="161"/>
        <v>8.2999999999999741E-3</v>
      </c>
      <c r="S266">
        <f t="shared" si="162"/>
        <v>0.99170000000000003</v>
      </c>
      <c r="T266">
        <f t="shared" si="163"/>
        <v>0.73</v>
      </c>
      <c r="U266">
        <f t="shared" si="143"/>
        <v>4.7000000000000002E-3</v>
      </c>
      <c r="V266">
        <f t="shared" si="144"/>
        <v>0</v>
      </c>
      <c r="W266">
        <v>0</v>
      </c>
      <c r="X266">
        <f t="shared" si="145"/>
        <v>0</v>
      </c>
      <c r="Y266">
        <f t="shared" si="146"/>
        <v>1.3</v>
      </c>
      <c r="Z266">
        <f t="shared" si="147"/>
        <v>1</v>
      </c>
      <c r="AA266">
        <f t="shared" si="148"/>
        <v>0.43585000000000007</v>
      </c>
      <c r="AC266">
        <f>Tables!CC184</f>
        <v>3</v>
      </c>
      <c r="AD266">
        <f t="shared" si="149"/>
        <v>0.99999998477002028</v>
      </c>
      <c r="AE266">
        <f t="shared" si="150"/>
        <v>1.1580752413958724</v>
      </c>
      <c r="AF266">
        <f t="shared" si="151"/>
        <v>1.15807522375841</v>
      </c>
      <c r="AG266">
        <f t="shared" si="152"/>
        <v>8.1065265663088706E-2</v>
      </c>
      <c r="AH266">
        <f t="shared" si="153"/>
        <v>0.08</v>
      </c>
      <c r="AI266">
        <f t="shared" si="154"/>
        <v>0.52879702927487948</v>
      </c>
      <c r="AJ266">
        <f t="shared" si="155"/>
        <v>0.19</v>
      </c>
      <c r="AK266">
        <f t="shared" si="156"/>
        <v>0.6784</v>
      </c>
      <c r="AL266">
        <f t="shared" si="157"/>
        <v>4.1298036080372741E-4</v>
      </c>
      <c r="AM266">
        <f t="shared" si="158"/>
        <v>3.1769224820969987E-4</v>
      </c>
      <c r="AN266">
        <f t="shared" si="159"/>
        <v>7.3067260901342728E-4</v>
      </c>
      <c r="AO266">
        <f t="shared" si="160"/>
        <v>0.45301701758832491</v>
      </c>
    </row>
    <row r="267" spans="5:41" x14ac:dyDescent="0.2">
      <c r="E267" t="s">
        <v>132</v>
      </c>
      <c r="F267" t="s">
        <v>115</v>
      </c>
      <c r="G267" t="s">
        <v>149</v>
      </c>
      <c r="H267">
        <v>80</v>
      </c>
      <c r="I267">
        <v>0</v>
      </c>
      <c r="J267">
        <v>0</v>
      </c>
      <c r="L267">
        <v>31</v>
      </c>
      <c r="M267">
        <f>Tables!CC59</f>
        <v>7.0000000000000007E-2</v>
      </c>
      <c r="O267">
        <f>Tables!CC89</f>
        <v>0.55000000000000004</v>
      </c>
      <c r="Q267">
        <f>Tables!CC117</f>
        <v>55</v>
      </c>
      <c r="R267">
        <f t="shared" si="161"/>
        <v>8.2999999999999741E-3</v>
      </c>
      <c r="S267">
        <f t="shared" si="162"/>
        <v>0.99170000000000003</v>
      </c>
      <c r="T267">
        <f t="shared" si="163"/>
        <v>0.73</v>
      </c>
      <c r="U267">
        <f t="shared" si="143"/>
        <v>4.7000000000000002E-3</v>
      </c>
      <c r="V267">
        <f t="shared" si="144"/>
        <v>0</v>
      </c>
      <c r="W267">
        <v>0</v>
      </c>
      <c r="X267">
        <f t="shared" si="145"/>
        <v>0</v>
      </c>
      <c r="Y267">
        <f t="shared" si="146"/>
        <v>1.3</v>
      </c>
      <c r="Z267">
        <f t="shared" si="147"/>
        <v>1</v>
      </c>
      <c r="AA267">
        <f t="shared" si="148"/>
        <v>0.43585000000000007</v>
      </c>
      <c r="AC267">
        <f>Tables!CC188</f>
        <v>3</v>
      </c>
      <c r="AD267">
        <f t="shared" si="149"/>
        <v>0.99999998477002028</v>
      </c>
      <c r="AE267">
        <f t="shared" si="150"/>
        <v>0.95969823125361531</v>
      </c>
      <c r="AF267">
        <f t="shared" si="151"/>
        <v>0.95969821663743071</v>
      </c>
      <c r="AG267">
        <f t="shared" si="152"/>
        <v>6.717887516462015E-2</v>
      </c>
      <c r="AH267">
        <f t="shared" si="153"/>
        <v>0.08</v>
      </c>
      <c r="AI267">
        <f t="shared" si="154"/>
        <v>0.43120862223412426</v>
      </c>
      <c r="AJ267">
        <f t="shared" si="155"/>
        <v>0.19</v>
      </c>
      <c r="AK267">
        <f t="shared" si="156"/>
        <v>0.6784</v>
      </c>
      <c r="AL267">
        <f t="shared" si="157"/>
        <v>3.3676568235665495E-4</v>
      </c>
      <c r="AM267">
        <f t="shared" si="158"/>
        <v>2.5906279547904771E-4</v>
      </c>
      <c r="AN267">
        <f t="shared" si="159"/>
        <v>5.9582847783570272E-4</v>
      </c>
      <c r="AO267">
        <f t="shared" si="160"/>
        <v>1.4776546250325429</v>
      </c>
    </row>
    <row r="268" spans="5:41" x14ac:dyDescent="0.2">
      <c r="F268" t="s">
        <v>115</v>
      </c>
      <c r="G268" t="s">
        <v>150</v>
      </c>
      <c r="H268">
        <v>80</v>
      </c>
      <c r="I268">
        <v>0</v>
      </c>
      <c r="J268">
        <v>0</v>
      </c>
      <c r="L268">
        <v>28</v>
      </c>
      <c r="M268">
        <f>Tables!CC59</f>
        <v>7.0000000000000007E-2</v>
      </c>
      <c r="O268">
        <f>Tables!CC89</f>
        <v>0.55000000000000004</v>
      </c>
      <c r="Q268">
        <f>Tables!CC117</f>
        <v>55</v>
      </c>
      <c r="R268">
        <f t="shared" si="161"/>
        <v>8.2999999999999741E-3</v>
      </c>
      <c r="S268">
        <f t="shared" si="162"/>
        <v>0.99170000000000003</v>
      </c>
      <c r="T268">
        <f t="shared" si="163"/>
        <v>0.73</v>
      </c>
      <c r="U268">
        <f t="shared" si="143"/>
        <v>4.7000000000000002E-3</v>
      </c>
      <c r="V268">
        <f t="shared" si="144"/>
        <v>0</v>
      </c>
      <c r="W268">
        <v>0</v>
      </c>
      <c r="X268">
        <f t="shared" si="145"/>
        <v>0</v>
      </c>
      <c r="Y268">
        <f t="shared" si="146"/>
        <v>1.3</v>
      </c>
      <c r="Z268">
        <f t="shared" si="147"/>
        <v>1</v>
      </c>
      <c r="AA268">
        <f t="shared" si="148"/>
        <v>0.43585000000000007</v>
      </c>
      <c r="AC268">
        <f>Tables!CC188</f>
        <v>3</v>
      </c>
      <c r="AD268">
        <f t="shared" si="149"/>
        <v>0.99999998477002028</v>
      </c>
      <c r="AE268">
        <f t="shared" si="150"/>
        <v>0.95969823125361531</v>
      </c>
      <c r="AF268">
        <f t="shared" si="151"/>
        <v>0.95969821663743071</v>
      </c>
      <c r="AG268">
        <f t="shared" si="152"/>
        <v>6.717887516462015E-2</v>
      </c>
      <c r="AH268">
        <f t="shared" si="153"/>
        <v>0.08</v>
      </c>
      <c r="AI268">
        <f t="shared" si="154"/>
        <v>0.43120862223412426</v>
      </c>
      <c r="AJ268">
        <f t="shared" si="155"/>
        <v>0.19</v>
      </c>
      <c r="AK268">
        <f t="shared" si="156"/>
        <v>0.6784</v>
      </c>
      <c r="AL268">
        <f t="shared" si="157"/>
        <v>3.3676568235665495E-4</v>
      </c>
      <c r="AM268">
        <f t="shared" si="158"/>
        <v>2.5906279547904771E-4</v>
      </c>
      <c r="AN268">
        <f t="shared" si="159"/>
        <v>5.9582847783570272E-4</v>
      </c>
      <c r="AO268">
        <f t="shared" si="160"/>
        <v>1.3346557903519742</v>
      </c>
    </row>
    <row r="269" spans="5:41" x14ac:dyDescent="0.2">
      <c r="F269" t="s">
        <v>117</v>
      </c>
      <c r="G269" t="s">
        <v>151</v>
      </c>
      <c r="H269">
        <v>78</v>
      </c>
      <c r="I269">
        <v>0</v>
      </c>
      <c r="J269">
        <v>0</v>
      </c>
      <c r="L269">
        <v>31</v>
      </c>
      <c r="M269">
        <f>Tables!CC60</f>
        <v>0.13</v>
      </c>
      <c r="O269">
        <f>Tables!CC90</f>
        <v>0.65</v>
      </c>
      <c r="Q269">
        <f>Tables!CC118</f>
        <v>52</v>
      </c>
      <c r="R269">
        <f t="shared" si="161"/>
        <v>8.2999999999999741E-3</v>
      </c>
      <c r="S269">
        <f t="shared" si="162"/>
        <v>0.99170000000000003</v>
      </c>
      <c r="T269">
        <f t="shared" si="163"/>
        <v>0.73</v>
      </c>
      <c r="U269">
        <f t="shared" si="143"/>
        <v>4.7000000000000002E-3</v>
      </c>
      <c r="V269">
        <f t="shared" si="144"/>
        <v>0</v>
      </c>
      <c r="W269">
        <v>0</v>
      </c>
      <c r="X269">
        <f t="shared" si="145"/>
        <v>0</v>
      </c>
      <c r="Y269">
        <f t="shared" si="146"/>
        <v>1.3</v>
      </c>
      <c r="Z269">
        <f t="shared" si="147"/>
        <v>1</v>
      </c>
      <c r="AA269">
        <f t="shared" si="148"/>
        <v>0.51535000000000009</v>
      </c>
      <c r="AC269">
        <f>Tables!CC189</f>
        <v>1.8</v>
      </c>
      <c r="AD269">
        <f t="shared" si="149"/>
        <v>0.99846618932067555</v>
      </c>
      <c r="AE269">
        <f t="shared" si="150"/>
        <v>1.0635112555960096</v>
      </c>
      <c r="AF269">
        <f t="shared" si="151"/>
        <v>1.0618800306745946</v>
      </c>
      <c r="AG269">
        <f t="shared" si="152"/>
        <v>0.1380444039876973</v>
      </c>
      <c r="AH269">
        <f t="shared" si="153"/>
        <v>0.08</v>
      </c>
      <c r="AI269">
        <f t="shared" si="154"/>
        <v>0.383420652420493</v>
      </c>
      <c r="AJ269">
        <f t="shared" si="155"/>
        <v>0.19</v>
      </c>
      <c r="AK269">
        <f t="shared" si="156"/>
        <v>0.6784</v>
      </c>
      <c r="AL269">
        <f t="shared" si="157"/>
        <v>2.9944419240279937E-4</v>
      </c>
      <c r="AM269">
        <f t="shared" si="158"/>
        <v>2.3035259718559638E-4</v>
      </c>
      <c r="AN269">
        <f t="shared" si="159"/>
        <v>5.2979678958839577E-4</v>
      </c>
      <c r="AO269">
        <f t="shared" si="160"/>
        <v>1.2810486372247409</v>
      </c>
    </row>
    <row r="270" spans="5:41" x14ac:dyDescent="0.2">
      <c r="F270" t="s">
        <v>117</v>
      </c>
      <c r="G270" t="s">
        <v>152</v>
      </c>
      <c r="H270">
        <v>78</v>
      </c>
      <c r="I270">
        <v>0</v>
      </c>
      <c r="J270">
        <v>0</v>
      </c>
      <c r="L270">
        <v>30</v>
      </c>
      <c r="M270">
        <f>Tables!CC60</f>
        <v>0.13</v>
      </c>
      <c r="O270">
        <f>Tables!CC90</f>
        <v>0.65</v>
      </c>
      <c r="Q270">
        <f>Tables!CC118</f>
        <v>52</v>
      </c>
      <c r="R270">
        <f t="shared" si="161"/>
        <v>8.2999999999999741E-3</v>
      </c>
      <c r="S270">
        <f t="shared" si="162"/>
        <v>0.99170000000000003</v>
      </c>
      <c r="T270">
        <f t="shared" si="163"/>
        <v>0.73</v>
      </c>
      <c r="U270">
        <f t="shared" si="143"/>
        <v>4.7000000000000002E-3</v>
      </c>
      <c r="V270">
        <f t="shared" si="144"/>
        <v>0</v>
      </c>
      <c r="W270">
        <v>0</v>
      </c>
      <c r="X270">
        <f t="shared" si="145"/>
        <v>0</v>
      </c>
      <c r="Y270">
        <f t="shared" si="146"/>
        <v>1.3</v>
      </c>
      <c r="Z270">
        <f t="shared" si="147"/>
        <v>1</v>
      </c>
      <c r="AA270">
        <f t="shared" si="148"/>
        <v>0.51535000000000009</v>
      </c>
      <c r="AC270">
        <f>Tables!CC189</f>
        <v>1.8</v>
      </c>
      <c r="AD270">
        <f t="shared" si="149"/>
        <v>0.99846618932067555</v>
      </c>
      <c r="AE270">
        <f t="shared" si="150"/>
        <v>1.0635112555960096</v>
      </c>
      <c r="AF270">
        <f t="shared" si="151"/>
        <v>1.0618800306745946</v>
      </c>
      <c r="AG270">
        <f t="shared" si="152"/>
        <v>0.1380444039876973</v>
      </c>
      <c r="AH270">
        <f t="shared" si="153"/>
        <v>0.08</v>
      </c>
      <c r="AI270">
        <f t="shared" si="154"/>
        <v>0.383420652420493</v>
      </c>
      <c r="AJ270">
        <f t="shared" si="155"/>
        <v>0.19</v>
      </c>
      <c r="AK270">
        <f t="shared" si="156"/>
        <v>0.6784</v>
      </c>
      <c r="AL270">
        <f t="shared" si="157"/>
        <v>2.9944419240279937E-4</v>
      </c>
      <c r="AM270">
        <f t="shared" si="158"/>
        <v>2.3035259718559638E-4</v>
      </c>
      <c r="AN270">
        <f t="shared" si="159"/>
        <v>5.2979678958839577E-4</v>
      </c>
      <c r="AO270">
        <f t="shared" si="160"/>
        <v>1.2397244876368461</v>
      </c>
    </row>
    <row r="271" spans="5:41" x14ac:dyDescent="0.2">
      <c r="F271" t="s">
        <v>117</v>
      </c>
      <c r="G271" t="s">
        <v>153</v>
      </c>
      <c r="H271">
        <v>76</v>
      </c>
      <c r="I271">
        <v>0</v>
      </c>
      <c r="J271">
        <v>0</v>
      </c>
      <c r="L271">
        <v>31</v>
      </c>
      <c r="M271">
        <f>Tables!CC60</f>
        <v>0.13</v>
      </c>
      <c r="O271">
        <f>Tables!CC90</f>
        <v>0.65</v>
      </c>
      <c r="Q271">
        <f>Tables!CC118</f>
        <v>52</v>
      </c>
      <c r="R271">
        <f t="shared" si="161"/>
        <v>8.2999999999999741E-3</v>
      </c>
      <c r="S271">
        <f t="shared" si="162"/>
        <v>0.99170000000000003</v>
      </c>
      <c r="T271">
        <f t="shared" si="163"/>
        <v>0.73</v>
      </c>
      <c r="U271">
        <f t="shared" si="143"/>
        <v>4.7000000000000002E-3</v>
      </c>
      <c r="V271">
        <f t="shared" si="144"/>
        <v>0</v>
      </c>
      <c r="W271">
        <v>0</v>
      </c>
      <c r="X271">
        <f t="shared" si="145"/>
        <v>0</v>
      </c>
      <c r="Y271">
        <f t="shared" si="146"/>
        <v>1.3</v>
      </c>
      <c r="Z271">
        <f t="shared" si="147"/>
        <v>1</v>
      </c>
      <c r="AA271">
        <f t="shared" si="148"/>
        <v>0.51535000000000009</v>
      </c>
      <c r="AC271">
        <f>Tables!CC189</f>
        <v>1.8</v>
      </c>
      <c r="AD271">
        <f t="shared" si="149"/>
        <v>0.99846618932067555</v>
      </c>
      <c r="AE271">
        <f t="shared" si="150"/>
        <v>1.0635112555960096</v>
      </c>
      <c r="AF271">
        <f t="shared" si="151"/>
        <v>1.0618800306745946</v>
      </c>
      <c r="AG271">
        <f t="shared" si="152"/>
        <v>0.1380444039876973</v>
      </c>
      <c r="AH271">
        <f t="shared" si="153"/>
        <v>0.08</v>
      </c>
      <c r="AI271">
        <f t="shared" si="154"/>
        <v>0.383420652420493</v>
      </c>
      <c r="AJ271">
        <f t="shared" si="155"/>
        <v>0.19</v>
      </c>
      <c r="AK271">
        <f t="shared" si="156"/>
        <v>0.6784</v>
      </c>
      <c r="AL271">
        <f t="shared" si="157"/>
        <v>2.9944419240279937E-4</v>
      </c>
      <c r="AM271">
        <f t="shared" si="158"/>
        <v>2.3035259718559638E-4</v>
      </c>
      <c r="AN271">
        <f t="shared" si="159"/>
        <v>5.2979678958839577E-4</v>
      </c>
      <c r="AO271">
        <f t="shared" si="160"/>
        <v>1.2482012362702606</v>
      </c>
    </row>
    <row r="272" spans="5:41" x14ac:dyDescent="0.2">
      <c r="F272" t="s">
        <v>119</v>
      </c>
      <c r="G272" t="s">
        <v>154</v>
      </c>
      <c r="H272">
        <v>90</v>
      </c>
      <c r="I272">
        <v>0</v>
      </c>
      <c r="J272">
        <v>0</v>
      </c>
      <c r="L272">
        <v>30</v>
      </c>
      <c r="M272">
        <f>Tables!CC61</f>
        <v>0.1</v>
      </c>
      <c r="O272">
        <f>Tables!CC91</f>
        <v>0.6</v>
      </c>
      <c r="Q272">
        <f>Tables!CC119</f>
        <v>50</v>
      </c>
      <c r="R272">
        <f t="shared" si="161"/>
        <v>8.2999999999999741E-3</v>
      </c>
      <c r="S272">
        <f t="shared" si="162"/>
        <v>0.99170000000000003</v>
      </c>
      <c r="T272">
        <f t="shared" si="163"/>
        <v>0.73</v>
      </c>
      <c r="U272">
        <f t="shared" si="143"/>
        <v>4.7000000000000002E-3</v>
      </c>
      <c r="V272">
        <f t="shared" si="144"/>
        <v>0</v>
      </c>
      <c r="W272">
        <v>0</v>
      </c>
      <c r="X272">
        <f t="shared" si="145"/>
        <v>0</v>
      </c>
      <c r="Y272">
        <f t="shared" si="146"/>
        <v>1.3</v>
      </c>
      <c r="Z272">
        <f t="shared" si="147"/>
        <v>1</v>
      </c>
      <c r="AA272">
        <f t="shared" si="148"/>
        <v>0.47559999999999997</v>
      </c>
      <c r="AC272">
        <f>Tables!CC190</f>
        <v>1</v>
      </c>
      <c r="AD272">
        <f t="shared" si="149"/>
        <v>0.8646647167633873</v>
      </c>
      <c r="AE272">
        <f t="shared" si="150"/>
        <v>0.94288322747903475</v>
      </c>
      <c r="AF272">
        <f t="shared" si="151"/>
        <v>0.81527785882910808</v>
      </c>
      <c r="AG272">
        <f t="shared" si="152"/>
        <v>8.1527785882910819E-2</v>
      </c>
      <c r="AH272">
        <f t="shared" si="153"/>
        <v>0.08</v>
      </c>
      <c r="AI272">
        <f t="shared" si="154"/>
        <v>0.32448240197428052</v>
      </c>
      <c r="AJ272">
        <f t="shared" si="155"/>
        <v>0.19</v>
      </c>
      <c r="AK272">
        <f t="shared" si="156"/>
        <v>0.6784</v>
      </c>
      <c r="AL272">
        <f t="shared" si="157"/>
        <v>2.5341454664666813E-4</v>
      </c>
      <c r="AM272">
        <f t="shared" si="158"/>
        <v>1.9494350021037423E-4</v>
      </c>
      <c r="AN272">
        <f t="shared" si="159"/>
        <v>4.4835804685704238E-4</v>
      </c>
      <c r="AO272">
        <f t="shared" si="160"/>
        <v>1.2105667265140145</v>
      </c>
    </row>
    <row r="273" spans="6:41" x14ac:dyDescent="0.2">
      <c r="F273" t="s">
        <v>119</v>
      </c>
      <c r="G273" t="s">
        <v>155</v>
      </c>
      <c r="H273">
        <v>90</v>
      </c>
      <c r="I273">
        <v>0</v>
      </c>
      <c r="J273">
        <v>0</v>
      </c>
      <c r="L273">
        <v>31</v>
      </c>
      <c r="M273">
        <f>Tables!CC61</f>
        <v>0.1</v>
      </c>
      <c r="O273">
        <f>Tables!CC91</f>
        <v>0.6</v>
      </c>
      <c r="Q273">
        <f>Tables!CC119</f>
        <v>50</v>
      </c>
      <c r="R273">
        <f t="shared" si="161"/>
        <v>8.2999999999999741E-3</v>
      </c>
      <c r="S273">
        <f t="shared" si="162"/>
        <v>0.99170000000000003</v>
      </c>
      <c r="T273">
        <f t="shared" si="163"/>
        <v>0.73</v>
      </c>
      <c r="U273">
        <f t="shared" si="143"/>
        <v>4.7000000000000002E-3</v>
      </c>
      <c r="V273">
        <f t="shared" si="144"/>
        <v>0</v>
      </c>
      <c r="W273">
        <v>0</v>
      </c>
      <c r="X273">
        <f t="shared" si="145"/>
        <v>0</v>
      </c>
      <c r="Y273">
        <f t="shared" si="146"/>
        <v>1.3</v>
      </c>
      <c r="Z273">
        <f t="shared" si="147"/>
        <v>1</v>
      </c>
      <c r="AA273">
        <f t="shared" si="148"/>
        <v>0.47559999999999997</v>
      </c>
      <c r="AC273">
        <f>Tables!CC190</f>
        <v>1</v>
      </c>
      <c r="AD273">
        <f t="shared" si="149"/>
        <v>0.8646647167633873</v>
      </c>
      <c r="AE273">
        <f t="shared" si="150"/>
        <v>0.94288322747903475</v>
      </c>
      <c r="AF273">
        <f t="shared" si="151"/>
        <v>0.81527785882910808</v>
      </c>
      <c r="AG273">
        <f t="shared" si="152"/>
        <v>8.1527785882910819E-2</v>
      </c>
      <c r="AH273">
        <f t="shared" si="153"/>
        <v>0.08</v>
      </c>
      <c r="AI273">
        <f t="shared" si="154"/>
        <v>0.32448240197428052</v>
      </c>
      <c r="AJ273">
        <f t="shared" si="155"/>
        <v>0.19</v>
      </c>
      <c r="AK273">
        <f t="shared" si="156"/>
        <v>0.6784</v>
      </c>
      <c r="AL273">
        <f t="shared" si="157"/>
        <v>2.5341454664666813E-4</v>
      </c>
      <c r="AM273">
        <f t="shared" si="158"/>
        <v>1.9494350021037423E-4</v>
      </c>
      <c r="AN273">
        <f t="shared" si="159"/>
        <v>4.4835804685704238E-4</v>
      </c>
      <c r="AO273">
        <f t="shared" si="160"/>
        <v>1.2509189507311482</v>
      </c>
    </row>
    <row r="274" spans="6:41" x14ac:dyDescent="0.2">
      <c r="F274" t="s">
        <v>119</v>
      </c>
      <c r="G274" t="s">
        <v>156</v>
      </c>
      <c r="H274">
        <v>85</v>
      </c>
      <c r="I274">
        <v>0</v>
      </c>
      <c r="J274">
        <v>0</v>
      </c>
      <c r="L274">
        <v>31</v>
      </c>
      <c r="M274">
        <f>Tables!CC61</f>
        <v>0.1</v>
      </c>
      <c r="O274">
        <f>Tables!CC91</f>
        <v>0.6</v>
      </c>
      <c r="Q274">
        <f>Tables!CC119</f>
        <v>50</v>
      </c>
      <c r="R274">
        <f t="shared" si="161"/>
        <v>8.2999999999999741E-3</v>
      </c>
      <c r="S274">
        <f t="shared" si="162"/>
        <v>0.99170000000000003</v>
      </c>
      <c r="T274">
        <f t="shared" si="163"/>
        <v>0.73</v>
      </c>
      <c r="U274">
        <f t="shared" si="143"/>
        <v>4.7000000000000002E-3</v>
      </c>
      <c r="V274">
        <f t="shared" si="144"/>
        <v>0</v>
      </c>
      <c r="W274">
        <v>0</v>
      </c>
      <c r="X274">
        <f t="shared" si="145"/>
        <v>0</v>
      </c>
      <c r="Y274">
        <f t="shared" si="146"/>
        <v>1.3</v>
      </c>
      <c r="Z274">
        <f t="shared" si="147"/>
        <v>1</v>
      </c>
      <c r="AA274">
        <f t="shared" si="148"/>
        <v>0.47559999999999997</v>
      </c>
      <c r="AC274">
        <f>Tables!CC190</f>
        <v>1</v>
      </c>
      <c r="AD274">
        <f t="shared" si="149"/>
        <v>0.8646647167633873</v>
      </c>
      <c r="AE274">
        <f t="shared" si="150"/>
        <v>0.94288322747903475</v>
      </c>
      <c r="AF274">
        <f t="shared" si="151"/>
        <v>0.81527785882910808</v>
      </c>
      <c r="AG274">
        <f t="shared" si="152"/>
        <v>8.1527785882910819E-2</v>
      </c>
      <c r="AH274">
        <f t="shared" si="153"/>
        <v>0.08</v>
      </c>
      <c r="AI274">
        <f t="shared" si="154"/>
        <v>0.32448240197428052</v>
      </c>
      <c r="AJ274">
        <f t="shared" si="155"/>
        <v>0.19</v>
      </c>
      <c r="AK274">
        <f t="shared" si="156"/>
        <v>0.6784</v>
      </c>
      <c r="AL274">
        <f t="shared" si="157"/>
        <v>2.5341454664666813E-4</v>
      </c>
      <c r="AM274">
        <f t="shared" si="158"/>
        <v>1.9494350021037423E-4</v>
      </c>
      <c r="AN274">
        <f t="shared" si="159"/>
        <v>4.4835804685704238E-4</v>
      </c>
      <c r="AO274">
        <f t="shared" si="160"/>
        <v>1.1814234534683066</v>
      </c>
    </row>
    <row r="275" spans="6:41" x14ac:dyDescent="0.2">
      <c r="F275" t="s">
        <v>113</v>
      </c>
      <c r="G275" t="s">
        <v>157</v>
      </c>
      <c r="H275">
        <v>85</v>
      </c>
      <c r="I275">
        <v>0</v>
      </c>
      <c r="J275">
        <v>0</v>
      </c>
      <c r="K275">
        <v>18</v>
      </c>
      <c r="L275">
        <v>18</v>
      </c>
      <c r="M275">
        <f>Tables!CC58</f>
        <v>0.16</v>
      </c>
      <c r="O275">
        <f>Tables!CC88</f>
        <v>0.7</v>
      </c>
      <c r="Q275">
        <f>Tables!CC116</f>
        <v>60</v>
      </c>
      <c r="R275">
        <f t="shared" si="161"/>
        <v>8.2999999999999741E-3</v>
      </c>
      <c r="S275">
        <f t="shared" si="162"/>
        <v>0.99170000000000003</v>
      </c>
      <c r="T275">
        <f t="shared" si="163"/>
        <v>0.73</v>
      </c>
      <c r="U275">
        <f t="shared" si="143"/>
        <v>4.7000000000000002E-3</v>
      </c>
      <c r="V275">
        <f t="shared" si="144"/>
        <v>0</v>
      </c>
      <c r="W275">
        <v>0</v>
      </c>
      <c r="X275">
        <f t="shared" si="145"/>
        <v>0</v>
      </c>
      <c r="Y275">
        <f t="shared" si="146"/>
        <v>1.3</v>
      </c>
      <c r="Z275">
        <f t="shared" si="147"/>
        <v>1</v>
      </c>
      <c r="AA275">
        <f t="shared" si="148"/>
        <v>0.55510000000000004</v>
      </c>
      <c r="AC275">
        <f>Tables!CC187</f>
        <v>3.2</v>
      </c>
      <c r="AD275">
        <f t="shared" si="149"/>
        <v>0.99999999872459233</v>
      </c>
      <c r="AE275">
        <f t="shared" si="150"/>
        <v>1.3266722980183725</v>
      </c>
      <c r="AF275">
        <f t="shared" si="151"/>
        <v>1.3266722963263244</v>
      </c>
      <c r="AG275">
        <f t="shared" si="152"/>
        <v>0.21226756741221192</v>
      </c>
      <c r="AH275">
        <f t="shared" si="153"/>
        <v>0.08</v>
      </c>
      <c r="AI275">
        <f t="shared" si="154"/>
        <v>0.43093173903776888</v>
      </c>
      <c r="AJ275">
        <f t="shared" si="155"/>
        <v>0.19</v>
      </c>
      <c r="AK275">
        <f t="shared" si="156"/>
        <v>0.6784</v>
      </c>
      <c r="AL275">
        <f t="shared" si="157"/>
        <v>3.365494418787382E-4</v>
      </c>
      <c r="AM275">
        <f t="shared" si="158"/>
        <v>2.5889644877081781E-4</v>
      </c>
      <c r="AN275">
        <f t="shared" si="159"/>
        <v>5.9544589064955606E-4</v>
      </c>
      <c r="AO275">
        <f t="shared" si="160"/>
        <v>0.91103221269382084</v>
      </c>
    </row>
    <row r="276" spans="6:41" x14ac:dyDescent="0.2">
      <c r="F276" t="s">
        <v>113</v>
      </c>
      <c r="G276" t="s">
        <v>158</v>
      </c>
      <c r="H276">
        <v>75</v>
      </c>
      <c r="I276">
        <v>0</v>
      </c>
      <c r="J276">
        <v>0</v>
      </c>
      <c r="K276">
        <v>20</v>
      </c>
      <c r="L276">
        <v>20</v>
      </c>
      <c r="M276">
        <f>Tables!CC58</f>
        <v>0.16</v>
      </c>
      <c r="O276">
        <f>Tables!CC88</f>
        <v>0.7</v>
      </c>
      <c r="Q276">
        <f>Tables!CC116</f>
        <v>60</v>
      </c>
      <c r="R276">
        <f t="shared" si="161"/>
        <v>8.2999999999999741E-3</v>
      </c>
      <c r="S276">
        <f t="shared" si="162"/>
        <v>0.99170000000000003</v>
      </c>
      <c r="T276">
        <f t="shared" si="163"/>
        <v>0.73</v>
      </c>
      <c r="U276">
        <f t="shared" si="143"/>
        <v>4.7000000000000002E-3</v>
      </c>
      <c r="V276">
        <f t="shared" si="144"/>
        <v>0</v>
      </c>
      <c r="W276">
        <v>0</v>
      </c>
      <c r="X276">
        <f t="shared" si="145"/>
        <v>0</v>
      </c>
      <c r="Y276">
        <f t="shared" si="146"/>
        <v>1.3</v>
      </c>
      <c r="Z276">
        <f t="shared" si="147"/>
        <v>1</v>
      </c>
      <c r="AA276">
        <f t="shared" si="148"/>
        <v>0.55510000000000004</v>
      </c>
      <c r="AC276">
        <f>Tables!CC187</f>
        <v>3.2</v>
      </c>
      <c r="AD276">
        <f t="shared" si="149"/>
        <v>0.99999999872459233</v>
      </c>
      <c r="AE276">
        <f t="shared" si="150"/>
        <v>1.3266722980183725</v>
      </c>
      <c r="AF276">
        <f t="shared" si="151"/>
        <v>1.3266722963263244</v>
      </c>
      <c r="AG276">
        <f t="shared" si="152"/>
        <v>0.21226756741221192</v>
      </c>
      <c r="AH276">
        <f t="shared" si="153"/>
        <v>0.08</v>
      </c>
      <c r="AI276">
        <f t="shared" si="154"/>
        <v>0.43093173903776888</v>
      </c>
      <c r="AJ276">
        <f t="shared" si="155"/>
        <v>0.19</v>
      </c>
      <c r="AK276">
        <f t="shared" si="156"/>
        <v>0.6784</v>
      </c>
      <c r="AL276">
        <f t="shared" si="157"/>
        <v>3.365494418787382E-4</v>
      </c>
      <c r="AM276">
        <f t="shared" si="158"/>
        <v>2.5889644877081781E-4</v>
      </c>
      <c r="AN276">
        <f t="shared" si="159"/>
        <v>5.9544589064955606E-4</v>
      </c>
      <c r="AO276">
        <f t="shared" si="160"/>
        <v>0.89316883597433405</v>
      </c>
    </row>
    <row r="277" spans="6:41" x14ac:dyDescent="0.2">
      <c r="F277" t="s">
        <v>113</v>
      </c>
      <c r="G277" t="s">
        <v>159</v>
      </c>
      <c r="H277">
        <v>75</v>
      </c>
      <c r="I277">
        <v>0</v>
      </c>
      <c r="J277">
        <v>0</v>
      </c>
      <c r="K277">
        <v>20</v>
      </c>
      <c r="L277">
        <v>20</v>
      </c>
      <c r="M277">
        <f>Tables!CC58</f>
        <v>0.16</v>
      </c>
      <c r="O277">
        <f>Tables!CC88</f>
        <v>0.7</v>
      </c>
      <c r="Q277">
        <f>Tables!CC116</f>
        <v>60</v>
      </c>
      <c r="R277">
        <f t="shared" si="161"/>
        <v>8.2999999999999741E-3</v>
      </c>
      <c r="S277">
        <f t="shared" si="162"/>
        <v>0.99170000000000003</v>
      </c>
      <c r="T277">
        <f t="shared" si="163"/>
        <v>0.73</v>
      </c>
      <c r="U277">
        <f t="shared" si="143"/>
        <v>4.7000000000000002E-3</v>
      </c>
      <c r="V277">
        <f t="shared" si="144"/>
        <v>0</v>
      </c>
      <c r="W277">
        <v>0</v>
      </c>
      <c r="X277">
        <f t="shared" si="145"/>
        <v>0</v>
      </c>
      <c r="Y277">
        <f t="shared" si="146"/>
        <v>1.3</v>
      </c>
      <c r="Z277">
        <f t="shared" si="147"/>
        <v>1</v>
      </c>
      <c r="AA277">
        <f t="shared" si="148"/>
        <v>0.55510000000000004</v>
      </c>
      <c r="AC277">
        <f>Tables!CC187</f>
        <v>3.2</v>
      </c>
      <c r="AD277">
        <f t="shared" si="149"/>
        <v>0.99999999872459233</v>
      </c>
      <c r="AE277">
        <f t="shared" si="150"/>
        <v>1.3266722980183725</v>
      </c>
      <c r="AF277">
        <f t="shared" si="151"/>
        <v>1.3266722963263244</v>
      </c>
      <c r="AG277">
        <f t="shared" si="152"/>
        <v>0.21226756741221192</v>
      </c>
      <c r="AH277">
        <f t="shared" si="153"/>
        <v>0.08</v>
      </c>
      <c r="AI277">
        <f t="shared" si="154"/>
        <v>0.43093173903776888</v>
      </c>
      <c r="AJ277">
        <f t="shared" si="155"/>
        <v>0.19</v>
      </c>
      <c r="AK277">
        <f t="shared" si="156"/>
        <v>0.6784</v>
      </c>
      <c r="AL277">
        <f t="shared" si="157"/>
        <v>3.365494418787382E-4</v>
      </c>
      <c r="AM277">
        <f t="shared" si="158"/>
        <v>2.5889644877081781E-4</v>
      </c>
      <c r="AN277">
        <f t="shared" si="159"/>
        <v>5.9544589064955606E-4</v>
      </c>
      <c r="AO277">
        <f t="shared" si="160"/>
        <v>0.89316883597433405</v>
      </c>
    </row>
    <row r="278" spans="6:41" x14ac:dyDescent="0.2">
      <c r="F278" t="s">
        <v>115</v>
      </c>
      <c r="G278" t="s">
        <v>160</v>
      </c>
      <c r="H278">
        <v>80</v>
      </c>
      <c r="I278">
        <v>0</v>
      </c>
      <c r="J278">
        <v>0</v>
      </c>
      <c r="L278">
        <v>31</v>
      </c>
      <c r="M278">
        <f>Tables!CC59</f>
        <v>7.0000000000000007E-2</v>
      </c>
      <c r="O278">
        <f>Tables!CC89</f>
        <v>0.55000000000000004</v>
      </c>
      <c r="Q278">
        <f>Tables!CC117</f>
        <v>55</v>
      </c>
      <c r="R278">
        <f t="shared" si="161"/>
        <v>8.2999999999999741E-3</v>
      </c>
      <c r="S278">
        <f t="shared" si="162"/>
        <v>0.99170000000000003</v>
      </c>
      <c r="T278">
        <f t="shared" si="163"/>
        <v>0.73</v>
      </c>
      <c r="U278">
        <f t="shared" si="143"/>
        <v>4.7000000000000002E-3</v>
      </c>
      <c r="V278">
        <f t="shared" si="144"/>
        <v>0</v>
      </c>
      <c r="W278">
        <v>0</v>
      </c>
      <c r="X278">
        <f t="shared" si="145"/>
        <v>0</v>
      </c>
      <c r="Y278">
        <f t="shared" si="146"/>
        <v>1.3</v>
      </c>
      <c r="Z278">
        <f t="shared" si="147"/>
        <v>1</v>
      </c>
      <c r="AA278">
        <f t="shared" si="148"/>
        <v>0.43585000000000007</v>
      </c>
      <c r="AC278">
        <f>Tables!CC188</f>
        <v>3</v>
      </c>
      <c r="AD278">
        <f t="shared" si="149"/>
        <v>0.99999998477002028</v>
      </c>
      <c r="AE278">
        <f t="shared" si="150"/>
        <v>0.95969823125361531</v>
      </c>
      <c r="AF278">
        <f t="shared" si="151"/>
        <v>0.95969821663743071</v>
      </c>
      <c r="AG278">
        <f t="shared" si="152"/>
        <v>6.717887516462015E-2</v>
      </c>
      <c r="AH278">
        <f t="shared" si="153"/>
        <v>0.08</v>
      </c>
      <c r="AI278">
        <f t="shared" si="154"/>
        <v>0.43120862223412426</v>
      </c>
      <c r="AJ278">
        <f t="shared" si="155"/>
        <v>0.19</v>
      </c>
      <c r="AK278">
        <f t="shared" si="156"/>
        <v>0.6784</v>
      </c>
      <c r="AL278">
        <f t="shared" si="157"/>
        <v>3.3676568235665495E-4</v>
      </c>
      <c r="AM278">
        <f t="shared" si="158"/>
        <v>2.5906279547904771E-4</v>
      </c>
      <c r="AN278">
        <f t="shared" si="159"/>
        <v>5.9582847783570272E-4</v>
      </c>
      <c r="AO278">
        <f t="shared" si="160"/>
        <v>1.4776546250325429</v>
      </c>
    </row>
  </sheetData>
  <pageMargins left="0.7" right="0.7" top="0.75" bottom="0.75" header="0.3" footer="0.3"/>
  <ignoredErrors>
    <ignoredError sqref="A1:BR11 A215:BR278 A192:L214 P192:P214 A125:BR131 A102:L124 AD102:BR124 A95:BR101 A72:L94 N72:N94 A185:BR191 A162:L184 P162:P184 A155:BR161 A132:L154 N132:N154 R192:AB214 N162:N184 AD192:BR214 P132:P154 AD132:BR154 AD162:BR184 N192:N214 A65:BR71 A42:L64 P42:P64 A35:BR41 A12:L34 P12:P34 N12:N34 R132:AB154 R102:AB124 R162:AB184 P102:P124 N42:N64 N102:N124 AD42:BR64 AD12:BR34 R72:AB94 P72:P94 AD72:BR94 R42:AB64 R12:AB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278"/>
  <sheetViews>
    <sheetView workbookViewId="0">
      <selection activeCell="M11" sqref="M11"/>
    </sheetView>
  </sheetViews>
  <sheetFormatPr baseColWidth="10" defaultRowHeight="16" x14ac:dyDescent="0.2"/>
  <sheetData>
    <row r="1" spans="1:66" x14ac:dyDescent="0.2">
      <c r="I1" t="s">
        <v>0</v>
      </c>
      <c r="J1" t="s">
        <v>0</v>
      </c>
      <c r="V1" t="s">
        <v>1</v>
      </c>
      <c r="Z1" t="s">
        <v>0</v>
      </c>
      <c r="AD1" t="s">
        <v>0</v>
      </c>
      <c r="AE1" t="s">
        <v>0</v>
      </c>
      <c r="AF1" t="s">
        <v>2</v>
      </c>
    </row>
    <row r="2" spans="1:66" x14ac:dyDescent="0.2">
      <c r="X2" t="s">
        <v>5</v>
      </c>
      <c r="AG2" t="s">
        <v>6</v>
      </c>
      <c r="AI2" t="s">
        <v>7</v>
      </c>
      <c r="AL2" t="s">
        <v>8</v>
      </c>
      <c r="AN2" t="s">
        <v>8</v>
      </c>
      <c r="AO2" t="s">
        <v>9</v>
      </c>
      <c r="AS2" t="s">
        <v>161</v>
      </c>
      <c r="AU2" t="s">
        <v>162</v>
      </c>
      <c r="AW2" t="s">
        <v>163</v>
      </c>
      <c r="BA2" t="s">
        <v>164</v>
      </c>
      <c r="BB2" t="s">
        <v>165</v>
      </c>
      <c r="BC2" t="s">
        <v>166</v>
      </c>
      <c r="BE2" t="s">
        <v>167</v>
      </c>
      <c r="BF2" t="s">
        <v>168</v>
      </c>
      <c r="BG2" t="s">
        <v>5</v>
      </c>
      <c r="BH2" t="s">
        <v>169</v>
      </c>
      <c r="BI2" t="s">
        <v>170</v>
      </c>
      <c r="BL2" t="s">
        <v>171</v>
      </c>
      <c r="BM2" t="s">
        <v>172</v>
      </c>
    </row>
    <row r="3" spans="1:66" x14ac:dyDescent="0.2">
      <c r="H3" t="s">
        <v>11</v>
      </c>
      <c r="I3">
        <v>342</v>
      </c>
      <c r="J3">
        <v>323</v>
      </c>
      <c r="L3" t="s">
        <v>12</v>
      </c>
      <c r="M3" t="s">
        <v>13</v>
      </c>
      <c r="O3" t="s">
        <v>14</v>
      </c>
      <c r="Q3" t="s">
        <v>15</v>
      </c>
      <c r="S3" t="s">
        <v>16</v>
      </c>
      <c r="U3" t="s">
        <v>17</v>
      </c>
      <c r="V3" t="s">
        <v>18</v>
      </c>
      <c r="W3" t="s">
        <v>19</v>
      </c>
      <c r="X3" t="s">
        <v>20</v>
      </c>
      <c r="Y3">
        <v>351</v>
      </c>
      <c r="Z3">
        <v>314</v>
      </c>
      <c r="AA3">
        <v>302</v>
      </c>
      <c r="AC3">
        <v>349</v>
      </c>
      <c r="AD3">
        <v>308</v>
      </c>
      <c r="AE3">
        <v>296</v>
      </c>
      <c r="AF3" t="s">
        <v>21</v>
      </c>
      <c r="AG3" t="s">
        <v>22</v>
      </c>
      <c r="AH3" t="s">
        <v>23</v>
      </c>
      <c r="AI3" t="s">
        <v>24</v>
      </c>
      <c r="AJ3" t="s">
        <v>25</v>
      </c>
      <c r="AK3" t="s">
        <v>26</v>
      </c>
      <c r="AL3" t="s">
        <v>27</v>
      </c>
      <c r="AN3" t="s">
        <v>27</v>
      </c>
      <c r="AO3" t="s">
        <v>28</v>
      </c>
      <c r="AQ3" t="s">
        <v>173</v>
      </c>
      <c r="AR3" t="s">
        <v>174</v>
      </c>
      <c r="AS3" t="s">
        <v>175</v>
      </c>
      <c r="AT3" t="s">
        <v>176</v>
      </c>
      <c r="AU3" t="s">
        <v>177</v>
      </c>
      <c r="AV3" t="s">
        <v>178</v>
      </c>
      <c r="AW3" t="s">
        <v>179</v>
      </c>
      <c r="AX3" t="s">
        <v>180</v>
      </c>
      <c r="AY3" t="s">
        <v>181</v>
      </c>
      <c r="AZ3" t="s">
        <v>182</v>
      </c>
      <c r="BA3" t="s">
        <v>183</v>
      </c>
      <c r="BB3" t="s">
        <v>184</v>
      </c>
      <c r="BC3" t="s">
        <v>185</v>
      </c>
      <c r="BD3" t="s">
        <v>186</v>
      </c>
      <c r="BE3" t="s">
        <v>187</v>
      </c>
      <c r="BF3" t="s">
        <v>188</v>
      </c>
      <c r="BG3" t="s">
        <v>20</v>
      </c>
      <c r="BH3" t="s">
        <v>189</v>
      </c>
      <c r="BI3" t="s">
        <v>190</v>
      </c>
      <c r="BJ3" t="s">
        <v>191</v>
      </c>
      <c r="BK3" t="s">
        <v>192</v>
      </c>
      <c r="BL3" t="s">
        <v>193</v>
      </c>
      <c r="BM3" t="s">
        <v>194</v>
      </c>
      <c r="BN3" t="s">
        <v>195</v>
      </c>
    </row>
    <row r="4" spans="1:66" x14ac:dyDescent="0.2">
      <c r="H4" t="s">
        <v>30</v>
      </c>
      <c r="L4" t="s">
        <v>31</v>
      </c>
      <c r="M4" t="s">
        <v>31</v>
      </c>
      <c r="O4" t="s">
        <v>31</v>
      </c>
      <c r="Q4" t="s">
        <v>31</v>
      </c>
      <c r="S4" t="s">
        <v>31</v>
      </c>
      <c r="U4" t="s">
        <v>31</v>
      </c>
      <c r="V4" t="s">
        <v>31</v>
      </c>
      <c r="W4" t="s">
        <v>32</v>
      </c>
      <c r="X4" t="s">
        <v>32</v>
      </c>
      <c r="Y4" t="s">
        <v>31</v>
      </c>
      <c r="Z4" t="s">
        <v>32</v>
      </c>
      <c r="AA4" t="s">
        <v>32</v>
      </c>
      <c r="AC4" t="s">
        <v>31</v>
      </c>
      <c r="AD4" t="s">
        <v>32</v>
      </c>
      <c r="AE4" t="s">
        <v>32</v>
      </c>
      <c r="AF4" t="s">
        <v>32</v>
      </c>
      <c r="AG4" t="s">
        <v>32</v>
      </c>
      <c r="AH4" t="s">
        <v>31</v>
      </c>
      <c r="AI4" t="s">
        <v>32</v>
      </c>
      <c r="AJ4" t="s">
        <v>31</v>
      </c>
      <c r="AK4" t="s">
        <v>31</v>
      </c>
      <c r="AL4" t="s">
        <v>32</v>
      </c>
      <c r="AN4" t="s">
        <v>32</v>
      </c>
      <c r="AO4" t="s">
        <v>32</v>
      </c>
      <c r="AQ4" t="s">
        <v>31</v>
      </c>
      <c r="AR4" t="s">
        <v>31</v>
      </c>
      <c r="AS4" t="s">
        <v>32</v>
      </c>
      <c r="AT4" t="s">
        <v>31</v>
      </c>
      <c r="AU4" t="s">
        <v>32</v>
      </c>
      <c r="AV4" t="s">
        <v>31</v>
      </c>
      <c r="AW4" t="s">
        <v>32</v>
      </c>
      <c r="AX4" t="s">
        <v>31</v>
      </c>
      <c r="AY4" t="s">
        <v>30</v>
      </c>
      <c r="AZ4" t="s">
        <v>30</v>
      </c>
      <c r="BA4" t="s">
        <v>32</v>
      </c>
      <c r="BB4" t="s">
        <v>32</v>
      </c>
      <c r="BC4" t="s">
        <v>32</v>
      </c>
      <c r="BD4" t="s">
        <v>31</v>
      </c>
      <c r="BE4" t="s">
        <v>32</v>
      </c>
      <c r="BF4" t="s">
        <v>32</v>
      </c>
      <c r="BG4" t="s">
        <v>32</v>
      </c>
      <c r="BH4" t="s">
        <v>32</v>
      </c>
      <c r="BI4" t="s">
        <v>32</v>
      </c>
      <c r="BJ4" t="s">
        <v>31</v>
      </c>
      <c r="BK4" t="s">
        <v>31</v>
      </c>
      <c r="BL4" t="s">
        <v>32</v>
      </c>
      <c r="BM4" t="s">
        <v>32</v>
      </c>
      <c r="BN4" t="s">
        <v>31</v>
      </c>
    </row>
    <row r="5" spans="1:66" x14ac:dyDescent="0.2">
      <c r="H5" t="s">
        <v>34</v>
      </c>
      <c r="L5" t="s">
        <v>30</v>
      </c>
      <c r="M5" t="s">
        <v>30</v>
      </c>
      <c r="O5" t="s">
        <v>30</v>
      </c>
      <c r="Q5" t="s">
        <v>30</v>
      </c>
      <c r="S5" t="s">
        <v>34</v>
      </c>
      <c r="U5" t="s">
        <v>30</v>
      </c>
      <c r="V5" t="s">
        <v>34</v>
      </c>
      <c r="W5" t="s">
        <v>34</v>
      </c>
      <c r="X5" t="s">
        <v>34</v>
      </c>
      <c r="AC5" t="s">
        <v>30</v>
      </c>
      <c r="AF5" t="s">
        <v>34</v>
      </c>
      <c r="AG5" t="s">
        <v>34</v>
      </c>
      <c r="AH5" t="s">
        <v>34</v>
      </c>
      <c r="AI5" t="s">
        <v>34</v>
      </c>
      <c r="AJ5" t="s">
        <v>34</v>
      </c>
      <c r="AK5" t="s">
        <v>34</v>
      </c>
      <c r="AL5" t="s">
        <v>34</v>
      </c>
      <c r="AN5" t="s">
        <v>34</v>
      </c>
      <c r="AO5" t="s">
        <v>34</v>
      </c>
      <c r="AQ5" t="s">
        <v>34</v>
      </c>
      <c r="AR5" t="s">
        <v>34</v>
      </c>
      <c r="AS5" t="s">
        <v>34</v>
      </c>
      <c r="AT5" t="s">
        <v>34</v>
      </c>
      <c r="AU5" t="s">
        <v>34</v>
      </c>
      <c r="AV5" t="s">
        <v>34</v>
      </c>
      <c r="AW5" t="s">
        <v>34</v>
      </c>
      <c r="AX5" t="s">
        <v>30</v>
      </c>
      <c r="AY5" t="s">
        <v>34</v>
      </c>
      <c r="AZ5" t="s">
        <v>34</v>
      </c>
      <c r="BA5" t="s">
        <v>34</v>
      </c>
      <c r="BB5" t="s">
        <v>34</v>
      </c>
      <c r="BC5" t="s">
        <v>34</v>
      </c>
      <c r="BD5" t="s">
        <v>34</v>
      </c>
      <c r="BE5" t="s">
        <v>34</v>
      </c>
      <c r="BF5" t="s">
        <v>34</v>
      </c>
      <c r="BG5" t="s">
        <v>34</v>
      </c>
      <c r="BH5" t="s">
        <v>34</v>
      </c>
      <c r="BI5" t="s">
        <v>34</v>
      </c>
      <c r="BJ5" t="s">
        <v>34</v>
      </c>
      <c r="BK5" t="s">
        <v>34</v>
      </c>
      <c r="BL5" t="s">
        <v>34</v>
      </c>
      <c r="BM5" t="s">
        <v>34</v>
      </c>
      <c r="BN5" t="s">
        <v>34</v>
      </c>
    </row>
    <row r="8" spans="1:66" x14ac:dyDescent="0.2">
      <c r="H8" t="s">
        <v>38</v>
      </c>
      <c r="L8" t="s">
        <v>39</v>
      </c>
      <c r="M8" t="s">
        <v>40</v>
      </c>
      <c r="O8" t="s">
        <v>40</v>
      </c>
      <c r="Q8" t="s">
        <v>41</v>
      </c>
      <c r="S8" t="s">
        <v>40</v>
      </c>
      <c r="U8" t="s">
        <v>40</v>
      </c>
      <c r="V8" t="s">
        <v>40</v>
      </c>
      <c r="W8" t="s">
        <v>40</v>
      </c>
      <c r="X8" t="s">
        <v>42</v>
      </c>
      <c r="AF8" t="s">
        <v>43</v>
      </c>
      <c r="AG8" t="s">
        <v>44</v>
      </c>
      <c r="AH8" t="s">
        <v>40</v>
      </c>
      <c r="AI8" t="s">
        <v>44</v>
      </c>
      <c r="AJ8" t="s">
        <v>45</v>
      </c>
      <c r="AK8" t="s">
        <v>46</v>
      </c>
      <c r="AL8" t="s">
        <v>47</v>
      </c>
      <c r="AN8" t="s">
        <v>47</v>
      </c>
      <c r="AO8" t="s">
        <v>48</v>
      </c>
      <c r="AQ8" t="s">
        <v>196</v>
      </c>
      <c r="AR8" t="s">
        <v>196</v>
      </c>
      <c r="AS8" t="s">
        <v>197</v>
      </c>
      <c r="AT8" t="s">
        <v>198</v>
      </c>
      <c r="AU8" t="s">
        <v>199</v>
      </c>
      <c r="AV8" t="s">
        <v>200</v>
      </c>
      <c r="AW8" t="s">
        <v>197</v>
      </c>
      <c r="AX8" t="s">
        <v>41</v>
      </c>
      <c r="AY8" t="s">
        <v>201</v>
      </c>
      <c r="AZ8" t="s">
        <v>196</v>
      </c>
      <c r="BA8" t="s">
        <v>44</v>
      </c>
      <c r="BB8" t="s">
        <v>44</v>
      </c>
      <c r="BC8" t="s">
        <v>41</v>
      </c>
      <c r="BD8" t="s">
        <v>41</v>
      </c>
      <c r="BE8" t="s">
        <v>40</v>
      </c>
      <c r="BF8" t="s">
        <v>202</v>
      </c>
      <c r="BG8" t="s">
        <v>42</v>
      </c>
      <c r="BH8" t="s">
        <v>203</v>
      </c>
      <c r="BI8" t="s">
        <v>199</v>
      </c>
      <c r="BJ8" t="s">
        <v>204</v>
      </c>
      <c r="BK8" t="s">
        <v>40</v>
      </c>
      <c r="BL8" t="s">
        <v>197</v>
      </c>
      <c r="BM8" t="s">
        <v>199</v>
      </c>
      <c r="BN8" t="s">
        <v>200</v>
      </c>
    </row>
    <row r="9" spans="1:66" x14ac:dyDescent="0.2">
      <c r="H9" t="s">
        <v>49</v>
      </c>
      <c r="I9" t="s">
        <v>50</v>
      </c>
      <c r="J9" t="s">
        <v>51</v>
      </c>
      <c r="L9" t="s">
        <v>52</v>
      </c>
      <c r="M9" t="s">
        <v>53</v>
      </c>
      <c r="O9" t="s">
        <v>54</v>
      </c>
      <c r="Q9" t="s">
        <v>55</v>
      </c>
      <c r="S9" t="s">
        <v>56</v>
      </c>
      <c r="U9" t="s">
        <v>57</v>
      </c>
      <c r="V9" t="s">
        <v>58</v>
      </c>
      <c r="W9" t="s">
        <v>59</v>
      </c>
      <c r="X9" t="s">
        <v>60</v>
      </c>
      <c r="AF9" t="s">
        <v>61</v>
      </c>
      <c r="AG9" t="s">
        <v>62</v>
      </c>
      <c r="AH9" t="s">
        <v>63</v>
      </c>
      <c r="AI9" t="s">
        <v>64</v>
      </c>
      <c r="AJ9" t="s">
        <v>65</v>
      </c>
      <c r="AK9" t="s">
        <v>66</v>
      </c>
      <c r="AL9" t="s">
        <v>67</v>
      </c>
      <c r="AN9" t="s">
        <v>67</v>
      </c>
      <c r="AO9" t="s">
        <v>68</v>
      </c>
      <c r="AQ9" t="s">
        <v>205</v>
      </c>
      <c r="AR9" t="s">
        <v>206</v>
      </c>
      <c r="AS9" t="s">
        <v>207</v>
      </c>
      <c r="AT9" t="s">
        <v>208</v>
      </c>
      <c r="AU9" t="s">
        <v>209</v>
      </c>
      <c r="AV9" t="s">
        <v>210</v>
      </c>
      <c r="AW9" t="s">
        <v>211</v>
      </c>
      <c r="AX9" t="s">
        <v>212</v>
      </c>
      <c r="AY9" t="s">
        <v>213</v>
      </c>
      <c r="AZ9" t="s">
        <v>214</v>
      </c>
      <c r="BA9" t="s">
        <v>215</v>
      </c>
      <c r="BB9" t="s">
        <v>216</v>
      </c>
      <c r="BC9" t="s">
        <v>217</v>
      </c>
      <c r="BD9" t="s">
        <v>218</v>
      </c>
      <c r="BE9" t="s">
        <v>219</v>
      </c>
      <c r="BF9" t="s">
        <v>220</v>
      </c>
      <c r="BG9" t="s">
        <v>221</v>
      </c>
      <c r="BH9" t="s">
        <v>222</v>
      </c>
      <c r="BI9" t="s">
        <v>223</v>
      </c>
      <c r="BJ9" t="s">
        <v>224</v>
      </c>
      <c r="BK9" t="s">
        <v>225</v>
      </c>
      <c r="BL9" t="s">
        <v>226</v>
      </c>
      <c r="BM9" t="s">
        <v>227</v>
      </c>
      <c r="BN9" t="s">
        <v>228</v>
      </c>
    </row>
    <row r="10" spans="1:66" x14ac:dyDescent="0.2">
      <c r="A10" t="s">
        <v>71</v>
      </c>
      <c r="B10" t="s">
        <v>72</v>
      </c>
      <c r="C10" t="s">
        <v>72</v>
      </c>
      <c r="D10" t="s">
        <v>73</v>
      </c>
      <c r="E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29</v>
      </c>
      <c r="M10" t="s">
        <v>80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S10" t="s">
        <v>86</v>
      </c>
      <c r="T10" t="s">
        <v>87</v>
      </c>
      <c r="U10" t="s">
        <v>88</v>
      </c>
      <c r="V10" t="s">
        <v>89</v>
      </c>
      <c r="W10" t="s">
        <v>90</v>
      </c>
      <c r="X10" t="s">
        <v>91</v>
      </c>
      <c r="Y10" t="s">
        <v>4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</v>
      </c>
      <c r="AI10" t="s">
        <v>100</v>
      </c>
      <c r="AJ10" t="s">
        <v>101</v>
      </c>
      <c r="AK10" t="s">
        <v>102</v>
      </c>
      <c r="AL10" t="s">
        <v>103</v>
      </c>
      <c r="AM10" t="s">
        <v>104</v>
      </c>
      <c r="AN10" t="s">
        <v>105</v>
      </c>
      <c r="AO10" t="s">
        <v>106</v>
      </c>
      <c r="AP10" t="s">
        <v>106</v>
      </c>
      <c r="AQ10" t="s">
        <v>229</v>
      </c>
      <c r="AR10" t="s">
        <v>33</v>
      </c>
      <c r="AS10" t="s">
        <v>230</v>
      </c>
      <c r="AT10" t="s">
        <v>231</v>
      </c>
      <c r="AU10" t="s">
        <v>232</v>
      </c>
      <c r="AV10" t="s">
        <v>133</v>
      </c>
      <c r="AW10" t="s">
        <v>233</v>
      </c>
      <c r="AX10" t="s">
        <v>234</v>
      </c>
      <c r="AY10" t="s">
        <v>235</v>
      </c>
      <c r="AZ10" t="s">
        <v>236</v>
      </c>
      <c r="BA10" t="s">
        <v>237</v>
      </c>
      <c r="BB10" t="s">
        <v>238</v>
      </c>
      <c r="BC10" t="s">
        <v>239</v>
      </c>
      <c r="BD10" t="s">
        <v>240</v>
      </c>
      <c r="BE10" t="s">
        <v>241</v>
      </c>
      <c r="BF10" t="s">
        <v>242</v>
      </c>
      <c r="BG10" t="s">
        <v>91</v>
      </c>
      <c r="BH10" t="s">
        <v>243</v>
      </c>
      <c r="BI10" t="s">
        <v>244</v>
      </c>
      <c r="BJ10" t="s">
        <v>245</v>
      </c>
      <c r="BK10" t="s">
        <v>37</v>
      </c>
      <c r="BL10" t="s">
        <v>246</v>
      </c>
      <c r="BM10" t="s">
        <v>247</v>
      </c>
      <c r="BN10" t="s">
        <v>248</v>
      </c>
    </row>
    <row r="11" spans="1:66" x14ac:dyDescent="0.2">
      <c r="A11" t="s">
        <v>109</v>
      </c>
      <c r="B11" t="s">
        <v>108</v>
      </c>
      <c r="C11" t="s">
        <v>110</v>
      </c>
      <c r="D11" t="s">
        <v>111</v>
      </c>
      <c r="E11" t="s">
        <v>112</v>
      </c>
      <c r="F11" t="s">
        <v>113</v>
      </c>
      <c r="H11">
        <v>100</v>
      </c>
      <c r="I11">
        <v>95</v>
      </c>
      <c r="J11">
        <v>90</v>
      </c>
      <c r="L11" t="str">
        <f t="shared" ref="L11:L34" si="0">$AV$3</f>
        <v>1091</v>
      </c>
      <c r="M11" t="e" cm="1">
        <f t="array" aca="1" ref="M11" ca="1">_xludf.DROP(_xludf.XLOOKUP($C11,#REF!,#REF!),1)</f>
        <v>#NAME?</v>
      </c>
      <c r="O11" t="e" cm="1">
        <f t="array" aca="1" ref="O11" ca="1">_xludf.DROP(_xludf.XLOOKUP($C11,#REF!,#REF!),1)</f>
        <v>#NAME?</v>
      </c>
      <c r="Q11" t="e" cm="1">
        <f t="array" aca="1" ref="Q11" ca="1">_xludf.DROP(_xludf.XLOOKUP($C11,#REF!,#REF!),1)</f>
        <v>#NAME?</v>
      </c>
      <c r="R11">
        <f t="shared" ref="R11:R34" si="1">1-S11</f>
        <v>0</v>
      </c>
      <c r="S11">
        <f t="shared" ref="S11:S34" si="2">IF($D$11="yes", 1, VLOOKUP($B$11, $AU$26:$AW$32, 1))</f>
        <v>1</v>
      </c>
      <c r="T11" t="e">
        <f t="shared" ref="T11:T34" si="3">VLOOKUP($B$11,$AW$10:$AX$16, 2, FALSE)</f>
        <v>#N/A</v>
      </c>
      <c r="U11" t="str">
        <f t="shared" ref="U11:U34" si="4">$AV$10</f>
        <v>EFN2O</v>
      </c>
      <c r="V11">
        <f t="shared" ref="V11:V34" si="5">(I11/100)*(MIN(J11,100)/100)</f>
        <v>0.85499999999999998</v>
      </c>
      <c r="W11">
        <v>0</v>
      </c>
      <c r="X11">
        <f t="shared" ref="X11:X34" si="6">1.6 * W11</f>
        <v>0</v>
      </c>
      <c r="Y11">
        <f t="shared" ref="Y11:Y34" si="7">$AY$1</f>
        <v>0</v>
      </c>
      <c r="Z11">
        <f t="shared" ref="Z11:Z34" si="8">V11*Y11+(1-V11)</f>
        <v>0.14500000000000002</v>
      </c>
      <c r="AA11" t="e">
        <f t="shared" ref="AA11:AA34" ca="1" si="9">(0.795*O11)-0.0014</f>
        <v>#NAME?</v>
      </c>
      <c r="AC11" t="e" cm="1">
        <f t="array" aca="1" ref="AC11" ca="1">_xludf.DROP(_xludf.XLOOKUP($C11,#REF!,#REF!),1)</f>
        <v>#NAME?</v>
      </c>
      <c r="AD11" t="e">
        <f t="shared" ref="AD11:AD34" ca="1" si="10">1 - EXP(-2*(AC11^2))</f>
        <v>#NAME?</v>
      </c>
      <c r="AE11" t="e">
        <f t="shared" ref="AE11:AE34" ca="1" si="11">(104.7*AA11+0.307*Q11-15)*(Q11^0.75)*10^-3</f>
        <v>#NAME?</v>
      </c>
      <c r="AF11" t="e">
        <f t="shared" ref="AF11:AF34" ca="1" si="12">AE11*AD11*Z11</f>
        <v>#NAME?</v>
      </c>
      <c r="AG11" t="e">
        <f t="shared" ref="AG11:AG34" ca="1" si="13">(AF11 * M11) + (0.045 * X11)</f>
        <v>#NAME?</v>
      </c>
      <c r="AH11">
        <f t="shared" ref="AH11:AH34" si="14">$AV$2</f>
        <v>0</v>
      </c>
      <c r="AI11" t="e">
        <f t="shared" ref="AI11:AI34" ca="1" si="15">(AF11 * ((1 - O11) + (0.04 * AF11))) * ( 1 - AH11 )</f>
        <v>#NAME?</v>
      </c>
      <c r="AJ11">
        <f t="shared" ref="AJ11:AJ34" si="16">$AV$1</f>
        <v>0</v>
      </c>
      <c r="AK11">
        <f t="shared" ref="AK11:AK34" si="17">$AW$20</f>
        <v>0</v>
      </c>
      <c r="AL11" t="e">
        <f t="shared" ref="AL11:AL34" ca="1" si="18">AI11 * AJ11 * R11 * T11 * AK11</f>
        <v>#NAME?</v>
      </c>
      <c r="AM11" t="e">
        <f t="shared" ref="AM11:AM34" ca="1" si="19">AI11*AJ11*S11*U11*AK11</f>
        <v>#NAME?</v>
      </c>
      <c r="AN11" t="e">
        <f t="shared" ref="AN11:AN34" ca="1" si="20">AL11+AM11</f>
        <v>#NAME?</v>
      </c>
      <c r="AO11" t="e">
        <f t="shared" ref="AO11:AO34" ca="1" si="21">H11*AN11*L11</f>
        <v>#NAME?</v>
      </c>
      <c r="AP11" t="e">
        <f ca="1">SUM(AO11:AO34)*10^-3</f>
        <v>#NAME?</v>
      </c>
      <c r="AS11" t="e">
        <f ca="1">BM11 * BN11 * BK11 * 10^-3</f>
        <v>#NAME?</v>
      </c>
      <c r="AU11">
        <f>BI11 * AT11</f>
        <v>0</v>
      </c>
      <c r="AW11">
        <f>AU11 * AV11 * BK11 * 10^-3</f>
        <v>0</v>
      </c>
      <c r="BA11" t="e">
        <f ca="1">O11 * 1.6</f>
        <v>#NAME?</v>
      </c>
      <c r="BB11">
        <f>(AY11 * AZ11) / 365</f>
        <v>0</v>
      </c>
      <c r="BC11">
        <f>AX11 * 0.92</f>
        <v>0</v>
      </c>
      <c r="BE11" t="e">
        <f>L11 / BD11</f>
        <v>#DIV/0!</v>
      </c>
      <c r="BF11" t="e">
        <f ca="1">((0.045 * BA11) + (BB11 * 0.84)  + (BC11 * ((212 - 4 * ((BC11 * 1000)/(4* BD11^0.75) - 1)) - ((140 - 4 * (((BC11 * 1000)/4 * BD11 ^0.75) - 1))/(1 + e ^ (-6 * (BE11 - 0.4)))))) * 10^-3) / 6.25</f>
        <v>#NAME?</v>
      </c>
      <c r="BG11">
        <f>1.6 * P11</f>
        <v>0</v>
      </c>
      <c r="BH11" t="e">
        <f>(R11  / 6.25 ) - NRjk</f>
        <v>#NAME?</v>
      </c>
      <c r="BL11">
        <f>BI11 * BJ11 * BK11 * 10^-3</f>
        <v>0</v>
      </c>
      <c r="BM11" t="e">
        <f ca="1">BI11 * AM11 * AR11</f>
        <v>#NAME?</v>
      </c>
    </row>
    <row r="12" spans="1:66" x14ac:dyDescent="0.2">
      <c r="F12" t="s">
        <v>115</v>
      </c>
      <c r="H12">
        <v>70</v>
      </c>
      <c r="I12">
        <v>0</v>
      </c>
      <c r="J12">
        <v>0</v>
      </c>
      <c r="L12" t="str">
        <f t="shared" si="0"/>
        <v>1091</v>
      </c>
      <c r="R12">
        <f t="shared" si="1"/>
        <v>0</v>
      </c>
      <c r="S12">
        <f t="shared" si="2"/>
        <v>1</v>
      </c>
      <c r="T12" t="e">
        <f t="shared" si="3"/>
        <v>#N/A</v>
      </c>
      <c r="U12" t="str">
        <f t="shared" si="4"/>
        <v>EFN2O</v>
      </c>
      <c r="V12">
        <f t="shared" si="5"/>
        <v>0</v>
      </c>
      <c r="W12">
        <v>0</v>
      </c>
      <c r="X12">
        <f t="shared" si="6"/>
        <v>0</v>
      </c>
      <c r="Y12">
        <f t="shared" si="7"/>
        <v>0</v>
      </c>
      <c r="Z12">
        <f t="shared" si="8"/>
        <v>1</v>
      </c>
      <c r="AA12">
        <f t="shared" si="9"/>
        <v>-1.4E-3</v>
      </c>
      <c r="AD12">
        <f t="shared" si="10"/>
        <v>0</v>
      </c>
      <c r="AE12">
        <f t="shared" si="11"/>
        <v>0</v>
      </c>
      <c r="AF12">
        <f t="shared" si="12"/>
        <v>0</v>
      </c>
      <c r="AG12">
        <f t="shared" si="13"/>
        <v>0</v>
      </c>
      <c r="AH12">
        <f t="shared" si="14"/>
        <v>0</v>
      </c>
      <c r="AI12">
        <f t="shared" si="15"/>
        <v>0</v>
      </c>
      <c r="AJ12">
        <f t="shared" si="16"/>
        <v>0</v>
      </c>
      <c r="AK12">
        <f t="shared" si="17"/>
        <v>0</v>
      </c>
      <c r="AL12" t="e">
        <f t="shared" si="18"/>
        <v>#N/A</v>
      </c>
      <c r="AM12" t="e">
        <f t="shared" si="19"/>
        <v>#VALUE!</v>
      </c>
      <c r="AN12" t="e">
        <f t="shared" si="20"/>
        <v>#N/A</v>
      </c>
      <c r="AO12" t="e">
        <f t="shared" si="21"/>
        <v>#N/A</v>
      </c>
    </row>
    <row r="13" spans="1:66" x14ac:dyDescent="0.2">
      <c r="F13" t="s">
        <v>117</v>
      </c>
      <c r="H13">
        <v>65</v>
      </c>
      <c r="I13">
        <v>0</v>
      </c>
      <c r="J13">
        <v>0</v>
      </c>
      <c r="L13" t="str">
        <f t="shared" si="0"/>
        <v>1091</v>
      </c>
      <c r="R13">
        <f t="shared" si="1"/>
        <v>0</v>
      </c>
      <c r="S13">
        <f t="shared" si="2"/>
        <v>1</v>
      </c>
      <c r="T13" t="e">
        <f t="shared" si="3"/>
        <v>#N/A</v>
      </c>
      <c r="U13" t="str">
        <f t="shared" si="4"/>
        <v>EFN2O</v>
      </c>
      <c r="V13">
        <f t="shared" si="5"/>
        <v>0</v>
      </c>
      <c r="W13">
        <v>0</v>
      </c>
      <c r="X13">
        <f t="shared" si="6"/>
        <v>0</v>
      </c>
      <c r="Y13">
        <f t="shared" si="7"/>
        <v>0</v>
      </c>
      <c r="Z13">
        <f t="shared" si="8"/>
        <v>1</v>
      </c>
      <c r="AA13">
        <f t="shared" si="9"/>
        <v>-1.4E-3</v>
      </c>
      <c r="AD13">
        <f t="shared" si="10"/>
        <v>0</v>
      </c>
      <c r="AE13">
        <f t="shared" si="11"/>
        <v>0</v>
      </c>
      <c r="AF13">
        <f t="shared" si="12"/>
        <v>0</v>
      </c>
      <c r="AG13">
        <f t="shared" si="13"/>
        <v>0</v>
      </c>
      <c r="AH13">
        <f t="shared" si="14"/>
        <v>0</v>
      </c>
      <c r="AI13">
        <f t="shared" si="15"/>
        <v>0</v>
      </c>
      <c r="AJ13">
        <f t="shared" si="16"/>
        <v>0</v>
      </c>
      <c r="AK13">
        <f t="shared" si="17"/>
        <v>0</v>
      </c>
      <c r="AL13" t="e">
        <f t="shared" si="18"/>
        <v>#N/A</v>
      </c>
      <c r="AM13" t="e">
        <f t="shared" si="19"/>
        <v>#VALUE!</v>
      </c>
      <c r="AN13" t="e">
        <f t="shared" si="20"/>
        <v>#N/A</v>
      </c>
      <c r="AO13" t="e">
        <f t="shared" si="21"/>
        <v>#N/A</v>
      </c>
    </row>
    <row r="14" spans="1:66" x14ac:dyDescent="0.2">
      <c r="F14" t="s">
        <v>119</v>
      </c>
      <c r="H14">
        <v>80</v>
      </c>
      <c r="I14">
        <v>0</v>
      </c>
      <c r="J14">
        <v>0</v>
      </c>
      <c r="L14" t="str">
        <f t="shared" si="0"/>
        <v>1091</v>
      </c>
      <c r="R14">
        <f t="shared" si="1"/>
        <v>0</v>
      </c>
      <c r="S14">
        <f t="shared" si="2"/>
        <v>1</v>
      </c>
      <c r="T14" t="e">
        <f t="shared" si="3"/>
        <v>#N/A</v>
      </c>
      <c r="U14" t="str">
        <f t="shared" si="4"/>
        <v>EFN2O</v>
      </c>
      <c r="V14">
        <f t="shared" si="5"/>
        <v>0</v>
      </c>
      <c r="W14">
        <v>0</v>
      </c>
      <c r="X14">
        <f t="shared" si="6"/>
        <v>0</v>
      </c>
      <c r="Y14">
        <f t="shared" si="7"/>
        <v>0</v>
      </c>
      <c r="Z14">
        <f t="shared" si="8"/>
        <v>1</v>
      </c>
      <c r="AA14">
        <f t="shared" si="9"/>
        <v>-1.4E-3</v>
      </c>
      <c r="AD14">
        <f t="shared" si="10"/>
        <v>0</v>
      </c>
      <c r="AE14">
        <f t="shared" si="11"/>
        <v>0</v>
      </c>
      <c r="AF14">
        <f t="shared" si="12"/>
        <v>0</v>
      </c>
      <c r="AG14">
        <f t="shared" si="13"/>
        <v>0</v>
      </c>
      <c r="AH14">
        <f t="shared" si="14"/>
        <v>0</v>
      </c>
      <c r="AI14">
        <f t="shared" si="15"/>
        <v>0</v>
      </c>
      <c r="AJ14">
        <f t="shared" si="16"/>
        <v>0</v>
      </c>
      <c r="AK14">
        <f t="shared" si="17"/>
        <v>0</v>
      </c>
      <c r="AL14" t="e">
        <f t="shared" si="18"/>
        <v>#N/A</v>
      </c>
      <c r="AM14" t="e">
        <f t="shared" si="19"/>
        <v>#VALUE!</v>
      </c>
      <c r="AN14" t="e">
        <f t="shared" si="20"/>
        <v>#N/A</v>
      </c>
      <c r="AO14" t="e">
        <f t="shared" si="21"/>
        <v>#N/A</v>
      </c>
    </row>
    <row r="15" spans="1:66" x14ac:dyDescent="0.2">
      <c r="E15" t="s">
        <v>121</v>
      </c>
      <c r="F15" t="s">
        <v>113</v>
      </c>
      <c r="H15">
        <v>200</v>
      </c>
      <c r="I15">
        <v>0</v>
      </c>
      <c r="J15">
        <v>0</v>
      </c>
      <c r="L15" t="str">
        <f t="shared" si="0"/>
        <v>1091</v>
      </c>
      <c r="R15">
        <f t="shared" si="1"/>
        <v>0</v>
      </c>
      <c r="S15">
        <f t="shared" si="2"/>
        <v>1</v>
      </c>
      <c r="T15" t="e">
        <f t="shared" si="3"/>
        <v>#N/A</v>
      </c>
      <c r="U15" t="str">
        <f t="shared" si="4"/>
        <v>EFN2O</v>
      </c>
      <c r="V15">
        <f t="shared" si="5"/>
        <v>0</v>
      </c>
      <c r="W15">
        <v>1</v>
      </c>
      <c r="X15">
        <f t="shared" si="6"/>
        <v>1.6</v>
      </c>
      <c r="Y15">
        <f t="shared" si="7"/>
        <v>0</v>
      </c>
      <c r="Z15">
        <f t="shared" si="8"/>
        <v>1</v>
      </c>
      <c r="AA15">
        <f t="shared" si="9"/>
        <v>-1.4E-3</v>
      </c>
      <c r="AD15">
        <f t="shared" si="10"/>
        <v>0</v>
      </c>
      <c r="AE15">
        <f t="shared" si="11"/>
        <v>0</v>
      </c>
      <c r="AF15">
        <f t="shared" si="12"/>
        <v>0</v>
      </c>
      <c r="AG15">
        <f t="shared" si="13"/>
        <v>7.1999999999999995E-2</v>
      </c>
      <c r="AH15">
        <f t="shared" si="14"/>
        <v>0</v>
      </c>
      <c r="AI15">
        <f t="shared" si="15"/>
        <v>0</v>
      </c>
      <c r="AJ15">
        <f t="shared" si="16"/>
        <v>0</v>
      </c>
      <c r="AK15">
        <f t="shared" si="17"/>
        <v>0</v>
      </c>
      <c r="AL15" t="e">
        <f t="shared" si="18"/>
        <v>#N/A</v>
      </c>
      <c r="AM15" t="e">
        <f t="shared" si="19"/>
        <v>#VALUE!</v>
      </c>
      <c r="AN15" t="e">
        <f t="shared" si="20"/>
        <v>#N/A</v>
      </c>
      <c r="AO15" t="e">
        <f t="shared" si="21"/>
        <v>#N/A</v>
      </c>
    </row>
    <row r="16" spans="1:66" x14ac:dyDescent="0.2">
      <c r="F16" t="s">
        <v>115</v>
      </c>
      <c r="H16">
        <v>210</v>
      </c>
      <c r="I16">
        <v>0</v>
      </c>
      <c r="J16">
        <v>0</v>
      </c>
      <c r="L16" t="str">
        <f t="shared" si="0"/>
        <v>1091</v>
      </c>
      <c r="R16">
        <f t="shared" si="1"/>
        <v>0</v>
      </c>
      <c r="S16">
        <f t="shared" si="2"/>
        <v>1</v>
      </c>
      <c r="T16" t="e">
        <f t="shared" si="3"/>
        <v>#N/A</v>
      </c>
      <c r="U16" t="str">
        <f t="shared" si="4"/>
        <v>EFN2O</v>
      </c>
      <c r="V16">
        <f t="shared" si="5"/>
        <v>0</v>
      </c>
      <c r="W16">
        <v>0</v>
      </c>
      <c r="X16">
        <f t="shared" si="6"/>
        <v>0</v>
      </c>
      <c r="Y16">
        <f t="shared" si="7"/>
        <v>0</v>
      </c>
      <c r="Z16">
        <f t="shared" si="8"/>
        <v>1</v>
      </c>
      <c r="AA16">
        <f t="shared" si="9"/>
        <v>-1.4E-3</v>
      </c>
      <c r="AD16">
        <f t="shared" si="10"/>
        <v>0</v>
      </c>
      <c r="AE16">
        <f t="shared" si="11"/>
        <v>0</v>
      </c>
      <c r="AF16">
        <f t="shared" si="12"/>
        <v>0</v>
      </c>
      <c r="AG16">
        <f t="shared" si="13"/>
        <v>0</v>
      </c>
      <c r="AH16">
        <f t="shared" si="14"/>
        <v>0</v>
      </c>
      <c r="AI16">
        <f t="shared" si="15"/>
        <v>0</v>
      </c>
      <c r="AJ16">
        <f t="shared" si="16"/>
        <v>0</v>
      </c>
      <c r="AK16">
        <f t="shared" si="17"/>
        <v>0</v>
      </c>
      <c r="AL16" t="e">
        <f t="shared" si="18"/>
        <v>#N/A</v>
      </c>
      <c r="AM16" t="e">
        <f t="shared" si="19"/>
        <v>#VALUE!</v>
      </c>
      <c r="AN16" t="e">
        <f t="shared" si="20"/>
        <v>#N/A</v>
      </c>
      <c r="AO16" t="e">
        <f t="shared" si="21"/>
        <v>#N/A</v>
      </c>
    </row>
    <row r="17" spans="5:41" x14ac:dyDescent="0.2">
      <c r="F17" t="s">
        <v>117</v>
      </c>
      <c r="H17">
        <v>170</v>
      </c>
      <c r="I17">
        <v>0</v>
      </c>
      <c r="J17">
        <v>0</v>
      </c>
      <c r="L17" t="str">
        <f t="shared" si="0"/>
        <v>1091</v>
      </c>
      <c r="R17">
        <f t="shared" si="1"/>
        <v>0</v>
      </c>
      <c r="S17">
        <f t="shared" si="2"/>
        <v>1</v>
      </c>
      <c r="T17" t="e">
        <f t="shared" si="3"/>
        <v>#N/A</v>
      </c>
      <c r="U17" t="str">
        <f t="shared" si="4"/>
        <v>EFN2O</v>
      </c>
      <c r="V17">
        <f t="shared" si="5"/>
        <v>0</v>
      </c>
      <c r="W17">
        <v>0</v>
      </c>
      <c r="X17">
        <f t="shared" si="6"/>
        <v>0</v>
      </c>
      <c r="Y17">
        <f t="shared" si="7"/>
        <v>0</v>
      </c>
      <c r="Z17">
        <f t="shared" si="8"/>
        <v>1</v>
      </c>
      <c r="AA17">
        <f t="shared" si="9"/>
        <v>-1.4E-3</v>
      </c>
      <c r="AD17">
        <f t="shared" si="10"/>
        <v>0</v>
      </c>
      <c r="AE17">
        <f t="shared" si="11"/>
        <v>0</v>
      </c>
      <c r="AF17">
        <f t="shared" si="12"/>
        <v>0</v>
      </c>
      <c r="AG17">
        <f t="shared" si="13"/>
        <v>0</v>
      </c>
      <c r="AH17">
        <f t="shared" si="14"/>
        <v>0</v>
      </c>
      <c r="AI17">
        <f t="shared" si="15"/>
        <v>0</v>
      </c>
      <c r="AJ17">
        <f t="shared" si="16"/>
        <v>0</v>
      </c>
      <c r="AK17">
        <f t="shared" si="17"/>
        <v>0</v>
      </c>
      <c r="AL17" t="e">
        <f t="shared" si="18"/>
        <v>#N/A</v>
      </c>
      <c r="AM17" t="e">
        <f t="shared" si="19"/>
        <v>#VALUE!</v>
      </c>
      <c r="AN17" t="e">
        <f t="shared" si="20"/>
        <v>#N/A</v>
      </c>
      <c r="AO17" t="e">
        <f t="shared" si="21"/>
        <v>#N/A</v>
      </c>
    </row>
    <row r="18" spans="5:41" x14ac:dyDescent="0.2">
      <c r="F18" t="s">
        <v>119</v>
      </c>
      <c r="H18">
        <v>200</v>
      </c>
      <c r="I18">
        <v>0</v>
      </c>
      <c r="J18">
        <v>0</v>
      </c>
      <c r="L18" t="str">
        <f t="shared" si="0"/>
        <v>1091</v>
      </c>
      <c r="R18">
        <f t="shared" si="1"/>
        <v>0</v>
      </c>
      <c r="S18">
        <f t="shared" si="2"/>
        <v>1</v>
      </c>
      <c r="T18" t="e">
        <f t="shared" si="3"/>
        <v>#N/A</v>
      </c>
      <c r="U18" t="str">
        <f t="shared" si="4"/>
        <v>EFN2O</v>
      </c>
      <c r="V18">
        <f t="shared" si="5"/>
        <v>0</v>
      </c>
      <c r="W18">
        <v>0</v>
      </c>
      <c r="X18">
        <f t="shared" si="6"/>
        <v>0</v>
      </c>
      <c r="Y18">
        <f t="shared" si="7"/>
        <v>0</v>
      </c>
      <c r="Z18">
        <f t="shared" si="8"/>
        <v>1</v>
      </c>
      <c r="AA18">
        <f t="shared" si="9"/>
        <v>-1.4E-3</v>
      </c>
      <c r="AD18">
        <f t="shared" si="10"/>
        <v>0</v>
      </c>
      <c r="AE18">
        <f t="shared" si="11"/>
        <v>0</v>
      </c>
      <c r="AF18">
        <f t="shared" si="12"/>
        <v>0</v>
      </c>
      <c r="AG18">
        <f t="shared" si="13"/>
        <v>0</v>
      </c>
      <c r="AH18">
        <f t="shared" si="14"/>
        <v>0</v>
      </c>
      <c r="AI18">
        <f t="shared" si="15"/>
        <v>0</v>
      </c>
      <c r="AJ18">
        <f t="shared" si="16"/>
        <v>0</v>
      </c>
      <c r="AK18">
        <f t="shared" si="17"/>
        <v>0</v>
      </c>
      <c r="AL18" t="e">
        <f t="shared" si="18"/>
        <v>#N/A</v>
      </c>
      <c r="AM18" t="e">
        <f t="shared" si="19"/>
        <v>#VALUE!</v>
      </c>
      <c r="AN18" t="e">
        <f t="shared" si="20"/>
        <v>#N/A</v>
      </c>
      <c r="AO18" t="e">
        <f t="shared" si="21"/>
        <v>#N/A</v>
      </c>
    </row>
    <row r="19" spans="5:41" x14ac:dyDescent="0.2">
      <c r="E19" t="s">
        <v>126</v>
      </c>
      <c r="F19" t="s">
        <v>113</v>
      </c>
      <c r="H19">
        <v>100</v>
      </c>
      <c r="I19">
        <v>95</v>
      </c>
      <c r="J19">
        <v>92</v>
      </c>
      <c r="L19" t="str">
        <f t="shared" si="0"/>
        <v>1091</v>
      </c>
      <c r="R19">
        <f t="shared" si="1"/>
        <v>0</v>
      </c>
      <c r="S19">
        <f t="shared" si="2"/>
        <v>1</v>
      </c>
      <c r="T19" t="e">
        <f t="shared" si="3"/>
        <v>#N/A</v>
      </c>
      <c r="U19" t="str">
        <f t="shared" si="4"/>
        <v>EFN2O</v>
      </c>
      <c r="V19">
        <f t="shared" si="5"/>
        <v>0.874</v>
      </c>
      <c r="W19">
        <v>0</v>
      </c>
      <c r="X19">
        <f t="shared" si="6"/>
        <v>0</v>
      </c>
      <c r="Y19">
        <f t="shared" si="7"/>
        <v>0</v>
      </c>
      <c r="Z19">
        <f t="shared" si="8"/>
        <v>0.126</v>
      </c>
      <c r="AA19">
        <f t="shared" si="9"/>
        <v>-1.4E-3</v>
      </c>
      <c r="AD19">
        <f t="shared" si="10"/>
        <v>0</v>
      </c>
      <c r="AE19">
        <f t="shared" si="11"/>
        <v>0</v>
      </c>
      <c r="AF19">
        <f t="shared" si="12"/>
        <v>0</v>
      </c>
      <c r="AG19">
        <f t="shared" si="13"/>
        <v>0</v>
      </c>
      <c r="AH19">
        <f t="shared" si="14"/>
        <v>0</v>
      </c>
      <c r="AI19">
        <f t="shared" si="15"/>
        <v>0</v>
      </c>
      <c r="AJ19">
        <f t="shared" si="16"/>
        <v>0</v>
      </c>
      <c r="AK19">
        <f t="shared" si="17"/>
        <v>0</v>
      </c>
      <c r="AL19" t="e">
        <f t="shared" si="18"/>
        <v>#N/A</v>
      </c>
      <c r="AM19" t="e">
        <f t="shared" si="19"/>
        <v>#VALUE!</v>
      </c>
      <c r="AN19" t="e">
        <f t="shared" si="20"/>
        <v>#N/A</v>
      </c>
      <c r="AO19" t="e">
        <f t="shared" si="21"/>
        <v>#N/A</v>
      </c>
    </row>
    <row r="20" spans="5:41" x14ac:dyDescent="0.2">
      <c r="F20" t="s">
        <v>115</v>
      </c>
      <c r="H20">
        <v>140</v>
      </c>
      <c r="I20">
        <v>0</v>
      </c>
      <c r="J20">
        <v>0</v>
      </c>
      <c r="L20" t="str">
        <f t="shared" si="0"/>
        <v>1091</v>
      </c>
      <c r="R20">
        <f t="shared" si="1"/>
        <v>0</v>
      </c>
      <c r="S20">
        <f t="shared" si="2"/>
        <v>1</v>
      </c>
      <c r="T20" t="e">
        <f t="shared" si="3"/>
        <v>#N/A</v>
      </c>
      <c r="U20" t="str">
        <f t="shared" si="4"/>
        <v>EFN2O</v>
      </c>
      <c r="V20">
        <f t="shared" si="5"/>
        <v>0</v>
      </c>
      <c r="W20">
        <v>0</v>
      </c>
      <c r="X20">
        <f t="shared" si="6"/>
        <v>0</v>
      </c>
      <c r="Y20">
        <f t="shared" si="7"/>
        <v>0</v>
      </c>
      <c r="Z20">
        <f t="shared" si="8"/>
        <v>1</v>
      </c>
      <c r="AA20">
        <f t="shared" si="9"/>
        <v>-1.4E-3</v>
      </c>
      <c r="AD20">
        <f t="shared" si="10"/>
        <v>0</v>
      </c>
      <c r="AE20">
        <f t="shared" si="11"/>
        <v>0</v>
      </c>
      <c r="AF20">
        <f t="shared" si="12"/>
        <v>0</v>
      </c>
      <c r="AG20">
        <f t="shared" si="13"/>
        <v>0</v>
      </c>
      <c r="AH20">
        <f t="shared" si="14"/>
        <v>0</v>
      </c>
      <c r="AI20">
        <f t="shared" si="15"/>
        <v>0</v>
      </c>
      <c r="AJ20">
        <f t="shared" si="16"/>
        <v>0</v>
      </c>
      <c r="AK20">
        <f t="shared" si="17"/>
        <v>0</v>
      </c>
      <c r="AL20" t="e">
        <f t="shared" si="18"/>
        <v>#N/A</v>
      </c>
      <c r="AM20" t="e">
        <f t="shared" si="19"/>
        <v>#VALUE!</v>
      </c>
      <c r="AN20" t="e">
        <f t="shared" si="20"/>
        <v>#N/A</v>
      </c>
      <c r="AO20" t="e">
        <f t="shared" si="21"/>
        <v>#N/A</v>
      </c>
    </row>
    <row r="21" spans="5:41" x14ac:dyDescent="0.2">
      <c r="F21" t="s">
        <v>117</v>
      </c>
      <c r="H21">
        <v>135</v>
      </c>
      <c r="I21">
        <v>0</v>
      </c>
      <c r="J21">
        <v>0</v>
      </c>
      <c r="L21" t="str">
        <f t="shared" si="0"/>
        <v>1091</v>
      </c>
      <c r="R21">
        <f t="shared" si="1"/>
        <v>0</v>
      </c>
      <c r="S21">
        <f t="shared" si="2"/>
        <v>1</v>
      </c>
      <c r="T21" t="e">
        <f t="shared" si="3"/>
        <v>#N/A</v>
      </c>
      <c r="U21" t="str">
        <f t="shared" si="4"/>
        <v>EFN2O</v>
      </c>
      <c r="V21">
        <f t="shared" si="5"/>
        <v>0</v>
      </c>
      <c r="W21">
        <v>0</v>
      </c>
      <c r="X21">
        <f t="shared" si="6"/>
        <v>0</v>
      </c>
      <c r="Y21">
        <f t="shared" si="7"/>
        <v>0</v>
      </c>
      <c r="Z21">
        <f t="shared" si="8"/>
        <v>1</v>
      </c>
      <c r="AA21">
        <f t="shared" si="9"/>
        <v>-1.4E-3</v>
      </c>
      <c r="AD21">
        <f t="shared" si="10"/>
        <v>0</v>
      </c>
      <c r="AE21">
        <f t="shared" si="11"/>
        <v>0</v>
      </c>
      <c r="AF21">
        <f t="shared" si="12"/>
        <v>0</v>
      </c>
      <c r="AG21">
        <f t="shared" si="13"/>
        <v>0</v>
      </c>
      <c r="AH21">
        <f t="shared" si="14"/>
        <v>0</v>
      </c>
      <c r="AI21">
        <f t="shared" si="15"/>
        <v>0</v>
      </c>
      <c r="AJ21">
        <f t="shared" si="16"/>
        <v>0</v>
      </c>
      <c r="AK21">
        <f t="shared" si="17"/>
        <v>0</v>
      </c>
      <c r="AL21" t="e">
        <f t="shared" si="18"/>
        <v>#N/A</v>
      </c>
      <c r="AM21" t="e">
        <f t="shared" si="19"/>
        <v>#VALUE!</v>
      </c>
      <c r="AN21" t="e">
        <f t="shared" si="20"/>
        <v>#N/A</v>
      </c>
      <c r="AO21" t="e">
        <f t="shared" si="21"/>
        <v>#N/A</v>
      </c>
    </row>
    <row r="22" spans="5:41" x14ac:dyDescent="0.2">
      <c r="F22" t="s">
        <v>119</v>
      </c>
      <c r="H22">
        <v>130</v>
      </c>
      <c r="I22">
        <v>0</v>
      </c>
      <c r="J22">
        <v>0</v>
      </c>
      <c r="L22" t="str">
        <f t="shared" si="0"/>
        <v>1091</v>
      </c>
      <c r="R22">
        <f t="shared" si="1"/>
        <v>0</v>
      </c>
      <c r="S22">
        <f t="shared" si="2"/>
        <v>1</v>
      </c>
      <c r="T22" t="e">
        <f t="shared" si="3"/>
        <v>#N/A</v>
      </c>
      <c r="U22" t="str">
        <f t="shared" si="4"/>
        <v>EFN2O</v>
      </c>
      <c r="V22">
        <f t="shared" si="5"/>
        <v>0</v>
      </c>
      <c r="W22">
        <v>0</v>
      </c>
      <c r="X22">
        <f t="shared" si="6"/>
        <v>0</v>
      </c>
      <c r="Y22">
        <f t="shared" si="7"/>
        <v>0</v>
      </c>
      <c r="Z22">
        <f t="shared" si="8"/>
        <v>1</v>
      </c>
      <c r="AA22">
        <f t="shared" si="9"/>
        <v>-1.4E-3</v>
      </c>
      <c r="AD22">
        <f t="shared" si="10"/>
        <v>0</v>
      </c>
      <c r="AE22">
        <f t="shared" si="11"/>
        <v>0</v>
      </c>
      <c r="AF22">
        <f t="shared" si="12"/>
        <v>0</v>
      </c>
      <c r="AG22">
        <f t="shared" si="13"/>
        <v>0</v>
      </c>
      <c r="AH22">
        <f t="shared" si="14"/>
        <v>0</v>
      </c>
      <c r="AI22">
        <f t="shared" si="15"/>
        <v>0</v>
      </c>
      <c r="AJ22">
        <f t="shared" si="16"/>
        <v>0</v>
      </c>
      <c r="AK22">
        <f t="shared" si="17"/>
        <v>0</v>
      </c>
      <c r="AL22" t="e">
        <f t="shared" si="18"/>
        <v>#N/A</v>
      </c>
      <c r="AM22" t="e">
        <f t="shared" si="19"/>
        <v>#VALUE!</v>
      </c>
      <c r="AN22" t="e">
        <f t="shared" si="20"/>
        <v>#N/A</v>
      </c>
      <c r="AO22" t="e">
        <f t="shared" si="21"/>
        <v>#N/A</v>
      </c>
    </row>
    <row r="23" spans="5:41" x14ac:dyDescent="0.2">
      <c r="E23" t="s">
        <v>129</v>
      </c>
      <c r="F23" t="s">
        <v>113</v>
      </c>
      <c r="H23">
        <v>200</v>
      </c>
      <c r="I23">
        <v>0</v>
      </c>
      <c r="J23">
        <v>0</v>
      </c>
      <c r="L23" t="str">
        <f t="shared" si="0"/>
        <v>1091</v>
      </c>
      <c r="R23">
        <f t="shared" si="1"/>
        <v>0</v>
      </c>
      <c r="S23">
        <f t="shared" si="2"/>
        <v>1</v>
      </c>
      <c r="T23" t="e">
        <f t="shared" si="3"/>
        <v>#N/A</v>
      </c>
      <c r="U23" t="str">
        <f t="shared" si="4"/>
        <v>EFN2O</v>
      </c>
      <c r="V23">
        <f t="shared" si="5"/>
        <v>0</v>
      </c>
      <c r="W23">
        <v>0</v>
      </c>
      <c r="X23">
        <f t="shared" si="6"/>
        <v>0</v>
      </c>
      <c r="Y23">
        <f t="shared" si="7"/>
        <v>0</v>
      </c>
      <c r="Z23">
        <f t="shared" si="8"/>
        <v>1</v>
      </c>
      <c r="AA23">
        <f t="shared" si="9"/>
        <v>-1.4E-3</v>
      </c>
      <c r="AD23">
        <f t="shared" si="10"/>
        <v>0</v>
      </c>
      <c r="AE23">
        <f t="shared" si="11"/>
        <v>0</v>
      </c>
      <c r="AF23">
        <f t="shared" si="12"/>
        <v>0</v>
      </c>
      <c r="AG23">
        <f t="shared" si="13"/>
        <v>0</v>
      </c>
      <c r="AH23">
        <f t="shared" si="14"/>
        <v>0</v>
      </c>
      <c r="AI23">
        <f t="shared" si="15"/>
        <v>0</v>
      </c>
      <c r="AJ23">
        <f t="shared" si="16"/>
        <v>0</v>
      </c>
      <c r="AK23">
        <f t="shared" si="17"/>
        <v>0</v>
      </c>
      <c r="AL23" t="e">
        <f t="shared" si="18"/>
        <v>#N/A</v>
      </c>
      <c r="AM23" t="e">
        <f t="shared" si="19"/>
        <v>#VALUE!</v>
      </c>
      <c r="AN23" t="e">
        <f t="shared" si="20"/>
        <v>#N/A</v>
      </c>
      <c r="AO23" t="e">
        <f t="shared" si="21"/>
        <v>#N/A</v>
      </c>
    </row>
    <row r="24" spans="5:41" x14ac:dyDescent="0.2">
      <c r="F24" t="s">
        <v>115</v>
      </c>
      <c r="H24">
        <v>210</v>
      </c>
      <c r="I24">
        <v>0</v>
      </c>
      <c r="J24">
        <v>0</v>
      </c>
      <c r="L24" t="str">
        <f t="shared" si="0"/>
        <v>1091</v>
      </c>
      <c r="R24">
        <f t="shared" si="1"/>
        <v>0</v>
      </c>
      <c r="S24">
        <f t="shared" si="2"/>
        <v>1</v>
      </c>
      <c r="T24" t="e">
        <f t="shared" si="3"/>
        <v>#N/A</v>
      </c>
      <c r="U24" t="str">
        <f t="shared" si="4"/>
        <v>EFN2O</v>
      </c>
      <c r="V24">
        <f t="shared" si="5"/>
        <v>0</v>
      </c>
      <c r="W24">
        <v>0</v>
      </c>
      <c r="X24">
        <f t="shared" si="6"/>
        <v>0</v>
      </c>
      <c r="Y24">
        <f t="shared" si="7"/>
        <v>0</v>
      </c>
      <c r="Z24">
        <f t="shared" si="8"/>
        <v>1</v>
      </c>
      <c r="AA24">
        <f t="shared" si="9"/>
        <v>-1.4E-3</v>
      </c>
      <c r="AD24">
        <f t="shared" si="10"/>
        <v>0</v>
      </c>
      <c r="AE24">
        <f t="shared" si="11"/>
        <v>0</v>
      </c>
      <c r="AF24">
        <f t="shared" si="12"/>
        <v>0</v>
      </c>
      <c r="AG24">
        <f t="shared" si="13"/>
        <v>0</v>
      </c>
      <c r="AH24">
        <f t="shared" si="14"/>
        <v>0</v>
      </c>
      <c r="AI24">
        <f t="shared" si="15"/>
        <v>0</v>
      </c>
      <c r="AJ24">
        <f t="shared" si="16"/>
        <v>0</v>
      </c>
      <c r="AK24">
        <f t="shared" si="17"/>
        <v>0</v>
      </c>
      <c r="AL24" t="e">
        <f t="shared" si="18"/>
        <v>#N/A</v>
      </c>
      <c r="AM24" t="e">
        <f t="shared" si="19"/>
        <v>#VALUE!</v>
      </c>
      <c r="AN24" t="e">
        <f t="shared" si="20"/>
        <v>#N/A</v>
      </c>
      <c r="AO24" t="e">
        <f t="shared" si="21"/>
        <v>#N/A</v>
      </c>
    </row>
    <row r="25" spans="5:41" x14ac:dyDescent="0.2">
      <c r="F25" t="s">
        <v>117</v>
      </c>
      <c r="H25">
        <v>190</v>
      </c>
      <c r="I25">
        <v>0</v>
      </c>
      <c r="J25">
        <v>0</v>
      </c>
      <c r="L25" t="str">
        <f t="shared" si="0"/>
        <v>1091</v>
      </c>
      <c r="R25">
        <f t="shared" si="1"/>
        <v>0</v>
      </c>
      <c r="S25">
        <f t="shared" si="2"/>
        <v>1</v>
      </c>
      <c r="T25" t="e">
        <f t="shared" si="3"/>
        <v>#N/A</v>
      </c>
      <c r="U25" t="str">
        <f t="shared" si="4"/>
        <v>EFN2O</v>
      </c>
      <c r="V25">
        <f t="shared" si="5"/>
        <v>0</v>
      </c>
      <c r="W25">
        <v>0</v>
      </c>
      <c r="X25">
        <f t="shared" si="6"/>
        <v>0</v>
      </c>
      <c r="Y25">
        <f t="shared" si="7"/>
        <v>0</v>
      </c>
      <c r="Z25">
        <f t="shared" si="8"/>
        <v>1</v>
      </c>
      <c r="AA25">
        <f t="shared" si="9"/>
        <v>-1.4E-3</v>
      </c>
      <c r="AD25">
        <f t="shared" si="10"/>
        <v>0</v>
      </c>
      <c r="AE25">
        <f t="shared" si="11"/>
        <v>0</v>
      </c>
      <c r="AF25">
        <f t="shared" si="12"/>
        <v>0</v>
      </c>
      <c r="AG25">
        <f t="shared" si="13"/>
        <v>0</v>
      </c>
      <c r="AH25">
        <f t="shared" si="14"/>
        <v>0</v>
      </c>
      <c r="AI25">
        <f t="shared" si="15"/>
        <v>0</v>
      </c>
      <c r="AJ25">
        <f t="shared" si="16"/>
        <v>0</v>
      </c>
      <c r="AK25">
        <f t="shared" si="17"/>
        <v>0</v>
      </c>
      <c r="AL25" t="e">
        <f t="shared" si="18"/>
        <v>#N/A</v>
      </c>
      <c r="AM25" t="e">
        <f t="shared" si="19"/>
        <v>#VALUE!</v>
      </c>
      <c r="AN25" t="e">
        <f t="shared" si="20"/>
        <v>#N/A</v>
      </c>
      <c r="AO25" t="e">
        <f t="shared" si="21"/>
        <v>#N/A</v>
      </c>
    </row>
    <row r="26" spans="5:41" x14ac:dyDescent="0.2">
      <c r="F26" t="s">
        <v>119</v>
      </c>
      <c r="H26">
        <v>180</v>
      </c>
      <c r="I26">
        <v>0</v>
      </c>
      <c r="J26">
        <v>0</v>
      </c>
      <c r="L26" t="str">
        <f t="shared" si="0"/>
        <v>1091</v>
      </c>
      <c r="R26">
        <f t="shared" si="1"/>
        <v>0</v>
      </c>
      <c r="S26">
        <f t="shared" si="2"/>
        <v>1</v>
      </c>
      <c r="T26" t="e">
        <f t="shared" si="3"/>
        <v>#N/A</v>
      </c>
      <c r="U26" t="str">
        <f t="shared" si="4"/>
        <v>EFN2O</v>
      </c>
      <c r="V26">
        <f t="shared" si="5"/>
        <v>0</v>
      </c>
      <c r="W26">
        <v>0</v>
      </c>
      <c r="X26">
        <f t="shared" si="6"/>
        <v>0</v>
      </c>
      <c r="Y26">
        <f t="shared" si="7"/>
        <v>0</v>
      </c>
      <c r="Z26">
        <f t="shared" si="8"/>
        <v>1</v>
      </c>
      <c r="AA26">
        <f t="shared" si="9"/>
        <v>-1.4E-3</v>
      </c>
      <c r="AD26">
        <f t="shared" si="10"/>
        <v>0</v>
      </c>
      <c r="AE26">
        <f t="shared" si="11"/>
        <v>0</v>
      </c>
      <c r="AF26">
        <f t="shared" si="12"/>
        <v>0</v>
      </c>
      <c r="AG26">
        <f t="shared" si="13"/>
        <v>0</v>
      </c>
      <c r="AH26">
        <f t="shared" si="14"/>
        <v>0</v>
      </c>
      <c r="AI26">
        <f t="shared" si="15"/>
        <v>0</v>
      </c>
      <c r="AJ26">
        <f t="shared" si="16"/>
        <v>0</v>
      </c>
      <c r="AK26">
        <f t="shared" si="17"/>
        <v>0</v>
      </c>
      <c r="AL26" t="e">
        <f t="shared" si="18"/>
        <v>#N/A</v>
      </c>
      <c r="AM26" t="e">
        <f t="shared" si="19"/>
        <v>#VALUE!</v>
      </c>
      <c r="AN26" t="e">
        <f t="shared" si="20"/>
        <v>#N/A</v>
      </c>
      <c r="AO26" t="e">
        <f t="shared" si="21"/>
        <v>#N/A</v>
      </c>
    </row>
    <row r="27" spans="5:41" x14ac:dyDescent="0.2">
      <c r="E27" t="s">
        <v>131</v>
      </c>
      <c r="F27" t="s">
        <v>113</v>
      </c>
      <c r="H27">
        <v>50</v>
      </c>
      <c r="I27">
        <v>0</v>
      </c>
      <c r="J27">
        <v>0</v>
      </c>
      <c r="L27" t="str">
        <f t="shared" si="0"/>
        <v>1091</v>
      </c>
      <c r="R27">
        <f t="shared" si="1"/>
        <v>0</v>
      </c>
      <c r="S27">
        <f t="shared" si="2"/>
        <v>1</v>
      </c>
      <c r="T27" t="e">
        <f t="shared" si="3"/>
        <v>#N/A</v>
      </c>
      <c r="U27" t="str">
        <f t="shared" si="4"/>
        <v>EFN2O</v>
      </c>
      <c r="V27">
        <f t="shared" si="5"/>
        <v>0</v>
      </c>
      <c r="W27">
        <v>0</v>
      </c>
      <c r="X27">
        <f t="shared" si="6"/>
        <v>0</v>
      </c>
      <c r="Y27">
        <f t="shared" si="7"/>
        <v>0</v>
      </c>
      <c r="Z27">
        <f t="shared" si="8"/>
        <v>1</v>
      </c>
      <c r="AA27">
        <f t="shared" si="9"/>
        <v>-1.4E-3</v>
      </c>
      <c r="AD27">
        <f t="shared" si="10"/>
        <v>0</v>
      </c>
      <c r="AE27">
        <f t="shared" si="11"/>
        <v>0</v>
      </c>
      <c r="AF27">
        <f t="shared" si="12"/>
        <v>0</v>
      </c>
      <c r="AG27">
        <f t="shared" si="13"/>
        <v>0</v>
      </c>
      <c r="AH27">
        <f t="shared" si="14"/>
        <v>0</v>
      </c>
      <c r="AI27">
        <f t="shared" si="15"/>
        <v>0</v>
      </c>
      <c r="AJ27">
        <f t="shared" si="16"/>
        <v>0</v>
      </c>
      <c r="AK27">
        <f t="shared" si="17"/>
        <v>0</v>
      </c>
      <c r="AL27" t="e">
        <f t="shared" si="18"/>
        <v>#N/A</v>
      </c>
      <c r="AM27" t="e">
        <f t="shared" si="19"/>
        <v>#VALUE!</v>
      </c>
      <c r="AN27" t="e">
        <f t="shared" si="20"/>
        <v>#N/A</v>
      </c>
      <c r="AO27" t="e">
        <f t="shared" si="21"/>
        <v>#N/A</v>
      </c>
    </row>
    <row r="28" spans="5:41" x14ac:dyDescent="0.2">
      <c r="F28" t="s">
        <v>115</v>
      </c>
      <c r="H28">
        <v>55</v>
      </c>
      <c r="I28">
        <v>0</v>
      </c>
      <c r="J28">
        <v>0</v>
      </c>
      <c r="L28" t="str">
        <f t="shared" si="0"/>
        <v>1091</v>
      </c>
      <c r="R28">
        <f t="shared" si="1"/>
        <v>0</v>
      </c>
      <c r="S28">
        <f t="shared" si="2"/>
        <v>1</v>
      </c>
      <c r="T28" t="e">
        <f t="shared" si="3"/>
        <v>#N/A</v>
      </c>
      <c r="U28" t="str">
        <f t="shared" si="4"/>
        <v>EFN2O</v>
      </c>
      <c r="V28">
        <f t="shared" si="5"/>
        <v>0</v>
      </c>
      <c r="W28">
        <v>0</v>
      </c>
      <c r="X28">
        <f t="shared" si="6"/>
        <v>0</v>
      </c>
      <c r="Y28">
        <f t="shared" si="7"/>
        <v>0</v>
      </c>
      <c r="Z28">
        <f t="shared" si="8"/>
        <v>1</v>
      </c>
      <c r="AA28">
        <f t="shared" si="9"/>
        <v>-1.4E-3</v>
      </c>
      <c r="AD28">
        <f t="shared" si="10"/>
        <v>0</v>
      </c>
      <c r="AE28">
        <f t="shared" si="11"/>
        <v>0</v>
      </c>
      <c r="AF28">
        <f t="shared" si="12"/>
        <v>0</v>
      </c>
      <c r="AG28">
        <f t="shared" si="13"/>
        <v>0</v>
      </c>
      <c r="AH28">
        <f t="shared" si="14"/>
        <v>0</v>
      </c>
      <c r="AI28">
        <f t="shared" si="15"/>
        <v>0</v>
      </c>
      <c r="AJ28">
        <f t="shared" si="16"/>
        <v>0</v>
      </c>
      <c r="AK28">
        <f t="shared" si="17"/>
        <v>0</v>
      </c>
      <c r="AL28" t="e">
        <f t="shared" si="18"/>
        <v>#N/A</v>
      </c>
      <c r="AM28" t="e">
        <f t="shared" si="19"/>
        <v>#VALUE!</v>
      </c>
      <c r="AN28" t="e">
        <f t="shared" si="20"/>
        <v>#N/A</v>
      </c>
      <c r="AO28" t="e">
        <f t="shared" si="21"/>
        <v>#N/A</v>
      </c>
    </row>
    <row r="29" spans="5:41" x14ac:dyDescent="0.2">
      <c r="F29" t="s">
        <v>117</v>
      </c>
      <c r="H29">
        <v>60</v>
      </c>
      <c r="I29">
        <v>0</v>
      </c>
      <c r="J29">
        <v>0</v>
      </c>
      <c r="L29" t="str">
        <f t="shared" si="0"/>
        <v>1091</v>
      </c>
      <c r="R29">
        <f t="shared" si="1"/>
        <v>0</v>
      </c>
      <c r="S29">
        <f t="shared" si="2"/>
        <v>1</v>
      </c>
      <c r="T29" t="e">
        <f t="shared" si="3"/>
        <v>#N/A</v>
      </c>
      <c r="U29" t="str">
        <f t="shared" si="4"/>
        <v>EFN2O</v>
      </c>
      <c r="V29">
        <f t="shared" si="5"/>
        <v>0</v>
      </c>
      <c r="W29">
        <v>0</v>
      </c>
      <c r="X29">
        <f t="shared" si="6"/>
        <v>0</v>
      </c>
      <c r="Y29">
        <f t="shared" si="7"/>
        <v>0</v>
      </c>
      <c r="Z29">
        <f t="shared" si="8"/>
        <v>1</v>
      </c>
      <c r="AA29">
        <f t="shared" si="9"/>
        <v>-1.4E-3</v>
      </c>
      <c r="AD29">
        <f t="shared" si="10"/>
        <v>0</v>
      </c>
      <c r="AE29">
        <f t="shared" si="11"/>
        <v>0</v>
      </c>
      <c r="AF29">
        <f t="shared" si="12"/>
        <v>0</v>
      </c>
      <c r="AG29">
        <f t="shared" si="13"/>
        <v>0</v>
      </c>
      <c r="AH29">
        <f t="shared" si="14"/>
        <v>0</v>
      </c>
      <c r="AI29">
        <f t="shared" si="15"/>
        <v>0</v>
      </c>
      <c r="AJ29">
        <f t="shared" si="16"/>
        <v>0</v>
      </c>
      <c r="AK29">
        <f t="shared" si="17"/>
        <v>0</v>
      </c>
      <c r="AL29" t="e">
        <f t="shared" si="18"/>
        <v>#N/A</v>
      </c>
      <c r="AM29" t="e">
        <f t="shared" si="19"/>
        <v>#VALUE!</v>
      </c>
      <c r="AN29" t="e">
        <f t="shared" si="20"/>
        <v>#N/A</v>
      </c>
      <c r="AO29" t="e">
        <f t="shared" si="21"/>
        <v>#N/A</v>
      </c>
    </row>
    <row r="30" spans="5:41" x14ac:dyDescent="0.2">
      <c r="F30" t="s">
        <v>119</v>
      </c>
      <c r="H30">
        <v>65</v>
      </c>
      <c r="I30">
        <v>0</v>
      </c>
      <c r="J30">
        <v>0</v>
      </c>
      <c r="L30" t="str">
        <f t="shared" si="0"/>
        <v>1091</v>
      </c>
      <c r="R30">
        <f t="shared" si="1"/>
        <v>0</v>
      </c>
      <c r="S30">
        <f t="shared" si="2"/>
        <v>1</v>
      </c>
      <c r="T30" t="e">
        <f t="shared" si="3"/>
        <v>#N/A</v>
      </c>
      <c r="U30" t="str">
        <f t="shared" si="4"/>
        <v>EFN2O</v>
      </c>
      <c r="V30">
        <f t="shared" si="5"/>
        <v>0</v>
      </c>
      <c r="W30">
        <v>0</v>
      </c>
      <c r="X30">
        <f t="shared" si="6"/>
        <v>0</v>
      </c>
      <c r="Y30">
        <f t="shared" si="7"/>
        <v>0</v>
      </c>
      <c r="Z30">
        <f t="shared" si="8"/>
        <v>1</v>
      </c>
      <c r="AA30">
        <f t="shared" si="9"/>
        <v>-1.4E-3</v>
      </c>
      <c r="AD30">
        <f t="shared" si="10"/>
        <v>0</v>
      </c>
      <c r="AE30">
        <f t="shared" si="11"/>
        <v>0</v>
      </c>
      <c r="AF30">
        <f t="shared" si="12"/>
        <v>0</v>
      </c>
      <c r="AG30">
        <f t="shared" si="13"/>
        <v>0</v>
      </c>
      <c r="AH30">
        <f t="shared" si="14"/>
        <v>0</v>
      </c>
      <c r="AI30">
        <f t="shared" si="15"/>
        <v>0</v>
      </c>
      <c r="AJ30">
        <f t="shared" si="16"/>
        <v>0</v>
      </c>
      <c r="AK30">
        <f t="shared" si="17"/>
        <v>0</v>
      </c>
      <c r="AL30" t="e">
        <f t="shared" si="18"/>
        <v>#N/A</v>
      </c>
      <c r="AM30" t="e">
        <f t="shared" si="19"/>
        <v>#VALUE!</v>
      </c>
      <c r="AN30" t="e">
        <f t="shared" si="20"/>
        <v>#N/A</v>
      </c>
      <c r="AO30" t="e">
        <f t="shared" si="21"/>
        <v>#N/A</v>
      </c>
    </row>
    <row r="31" spans="5:41" x14ac:dyDescent="0.2">
      <c r="E31" t="s">
        <v>132</v>
      </c>
      <c r="F31" t="s">
        <v>113</v>
      </c>
      <c r="H31">
        <v>50</v>
      </c>
      <c r="I31">
        <v>0</v>
      </c>
      <c r="J31">
        <v>0</v>
      </c>
      <c r="L31" t="str">
        <f t="shared" si="0"/>
        <v>1091</v>
      </c>
      <c r="R31">
        <f t="shared" si="1"/>
        <v>0</v>
      </c>
      <c r="S31">
        <f t="shared" si="2"/>
        <v>1</v>
      </c>
      <c r="T31" t="e">
        <f t="shared" si="3"/>
        <v>#N/A</v>
      </c>
      <c r="U31" t="str">
        <f t="shared" si="4"/>
        <v>EFN2O</v>
      </c>
      <c r="V31">
        <f t="shared" si="5"/>
        <v>0</v>
      </c>
      <c r="W31">
        <v>0</v>
      </c>
      <c r="X31">
        <f t="shared" si="6"/>
        <v>0</v>
      </c>
      <c r="Y31">
        <f t="shared" si="7"/>
        <v>0</v>
      </c>
      <c r="Z31">
        <f t="shared" si="8"/>
        <v>1</v>
      </c>
      <c r="AA31">
        <f t="shared" si="9"/>
        <v>-1.4E-3</v>
      </c>
      <c r="AD31">
        <f t="shared" si="10"/>
        <v>0</v>
      </c>
      <c r="AE31">
        <f t="shared" si="11"/>
        <v>0</v>
      </c>
      <c r="AF31">
        <f t="shared" si="12"/>
        <v>0</v>
      </c>
      <c r="AG31">
        <f t="shared" si="13"/>
        <v>0</v>
      </c>
      <c r="AH31">
        <f t="shared" si="14"/>
        <v>0</v>
      </c>
      <c r="AI31">
        <f t="shared" si="15"/>
        <v>0</v>
      </c>
      <c r="AJ31">
        <f t="shared" si="16"/>
        <v>0</v>
      </c>
      <c r="AK31">
        <f t="shared" si="17"/>
        <v>0</v>
      </c>
      <c r="AL31" t="e">
        <f t="shared" si="18"/>
        <v>#N/A</v>
      </c>
      <c r="AM31" t="e">
        <f t="shared" si="19"/>
        <v>#VALUE!</v>
      </c>
      <c r="AN31" t="e">
        <f t="shared" si="20"/>
        <v>#N/A</v>
      </c>
      <c r="AO31" t="e">
        <f t="shared" si="21"/>
        <v>#N/A</v>
      </c>
    </row>
    <row r="32" spans="5:41" x14ac:dyDescent="0.2">
      <c r="F32" t="s">
        <v>115</v>
      </c>
      <c r="H32">
        <v>100</v>
      </c>
      <c r="I32">
        <v>0</v>
      </c>
      <c r="J32">
        <v>0</v>
      </c>
      <c r="L32" t="str">
        <f t="shared" si="0"/>
        <v>1091</v>
      </c>
      <c r="R32">
        <f t="shared" si="1"/>
        <v>0</v>
      </c>
      <c r="S32">
        <f t="shared" si="2"/>
        <v>1</v>
      </c>
      <c r="T32" t="e">
        <f t="shared" si="3"/>
        <v>#N/A</v>
      </c>
      <c r="U32" t="str">
        <f t="shared" si="4"/>
        <v>EFN2O</v>
      </c>
      <c r="V32">
        <f t="shared" si="5"/>
        <v>0</v>
      </c>
      <c r="W32">
        <v>0</v>
      </c>
      <c r="X32">
        <f t="shared" si="6"/>
        <v>0</v>
      </c>
      <c r="Y32">
        <f t="shared" si="7"/>
        <v>0</v>
      </c>
      <c r="Z32">
        <f t="shared" si="8"/>
        <v>1</v>
      </c>
      <c r="AA32">
        <f t="shared" si="9"/>
        <v>-1.4E-3</v>
      </c>
      <c r="AD32">
        <f t="shared" si="10"/>
        <v>0</v>
      </c>
      <c r="AE32">
        <f t="shared" si="11"/>
        <v>0</v>
      </c>
      <c r="AF32">
        <f t="shared" si="12"/>
        <v>0</v>
      </c>
      <c r="AG32">
        <f t="shared" si="13"/>
        <v>0</v>
      </c>
      <c r="AH32">
        <f t="shared" si="14"/>
        <v>0</v>
      </c>
      <c r="AI32">
        <f t="shared" si="15"/>
        <v>0</v>
      </c>
      <c r="AJ32">
        <f t="shared" si="16"/>
        <v>0</v>
      </c>
      <c r="AK32">
        <f t="shared" si="17"/>
        <v>0</v>
      </c>
      <c r="AL32" t="e">
        <f t="shared" si="18"/>
        <v>#N/A</v>
      </c>
      <c r="AM32" t="e">
        <f t="shared" si="19"/>
        <v>#VALUE!</v>
      </c>
      <c r="AN32" t="e">
        <f t="shared" si="20"/>
        <v>#N/A</v>
      </c>
      <c r="AO32" t="e">
        <f t="shared" si="21"/>
        <v>#N/A</v>
      </c>
    </row>
    <row r="33" spans="1:42" x14ac:dyDescent="0.2">
      <c r="F33" t="s">
        <v>117</v>
      </c>
      <c r="H33">
        <v>90</v>
      </c>
      <c r="I33">
        <v>0</v>
      </c>
      <c r="J33">
        <v>0</v>
      </c>
      <c r="L33" t="str">
        <f t="shared" si="0"/>
        <v>1091</v>
      </c>
      <c r="R33">
        <f t="shared" si="1"/>
        <v>0</v>
      </c>
      <c r="S33">
        <f t="shared" si="2"/>
        <v>1</v>
      </c>
      <c r="T33" t="e">
        <f t="shared" si="3"/>
        <v>#N/A</v>
      </c>
      <c r="U33" t="str">
        <f t="shared" si="4"/>
        <v>EFN2O</v>
      </c>
      <c r="V33">
        <f t="shared" si="5"/>
        <v>0</v>
      </c>
      <c r="W33">
        <v>0</v>
      </c>
      <c r="X33">
        <f t="shared" si="6"/>
        <v>0</v>
      </c>
      <c r="Y33">
        <f t="shared" si="7"/>
        <v>0</v>
      </c>
      <c r="Z33">
        <f t="shared" si="8"/>
        <v>1</v>
      </c>
      <c r="AA33">
        <f t="shared" si="9"/>
        <v>-1.4E-3</v>
      </c>
      <c r="AD33">
        <f t="shared" si="10"/>
        <v>0</v>
      </c>
      <c r="AE33">
        <f t="shared" si="11"/>
        <v>0</v>
      </c>
      <c r="AF33">
        <f t="shared" si="12"/>
        <v>0</v>
      </c>
      <c r="AG33">
        <f t="shared" si="13"/>
        <v>0</v>
      </c>
      <c r="AH33">
        <f t="shared" si="14"/>
        <v>0</v>
      </c>
      <c r="AI33">
        <f t="shared" si="15"/>
        <v>0</v>
      </c>
      <c r="AJ33">
        <f t="shared" si="16"/>
        <v>0</v>
      </c>
      <c r="AK33">
        <f t="shared" si="17"/>
        <v>0</v>
      </c>
      <c r="AL33" t="e">
        <f t="shared" si="18"/>
        <v>#N/A</v>
      </c>
      <c r="AM33" t="e">
        <f t="shared" si="19"/>
        <v>#VALUE!</v>
      </c>
      <c r="AN33" t="e">
        <f t="shared" si="20"/>
        <v>#N/A</v>
      </c>
      <c r="AO33" t="e">
        <f t="shared" si="21"/>
        <v>#N/A</v>
      </c>
    </row>
    <row r="34" spans="1:42" x14ac:dyDescent="0.2">
      <c r="F34" t="s">
        <v>119</v>
      </c>
      <c r="H34">
        <v>80</v>
      </c>
      <c r="I34">
        <v>0</v>
      </c>
      <c r="J34">
        <v>0</v>
      </c>
      <c r="L34" t="str">
        <f t="shared" si="0"/>
        <v>1091</v>
      </c>
      <c r="R34">
        <f t="shared" si="1"/>
        <v>0</v>
      </c>
      <c r="S34">
        <f t="shared" si="2"/>
        <v>1</v>
      </c>
      <c r="T34" t="e">
        <f t="shared" si="3"/>
        <v>#N/A</v>
      </c>
      <c r="U34" t="str">
        <f t="shared" si="4"/>
        <v>EFN2O</v>
      </c>
      <c r="V34">
        <f t="shared" si="5"/>
        <v>0</v>
      </c>
      <c r="W34">
        <v>0</v>
      </c>
      <c r="X34">
        <f t="shared" si="6"/>
        <v>0</v>
      </c>
      <c r="Y34">
        <f t="shared" si="7"/>
        <v>0</v>
      </c>
      <c r="Z34">
        <f t="shared" si="8"/>
        <v>1</v>
      </c>
      <c r="AA34">
        <f t="shared" si="9"/>
        <v>-1.4E-3</v>
      </c>
      <c r="AD34">
        <f t="shared" si="10"/>
        <v>0</v>
      </c>
      <c r="AE34">
        <f t="shared" si="11"/>
        <v>0</v>
      </c>
      <c r="AF34">
        <f t="shared" si="12"/>
        <v>0</v>
      </c>
      <c r="AG34">
        <f t="shared" si="13"/>
        <v>0</v>
      </c>
      <c r="AH34">
        <f t="shared" si="14"/>
        <v>0</v>
      </c>
      <c r="AI34">
        <f t="shared" si="15"/>
        <v>0</v>
      </c>
      <c r="AJ34">
        <f t="shared" si="16"/>
        <v>0</v>
      </c>
      <c r="AK34">
        <f t="shared" si="17"/>
        <v>0</v>
      </c>
      <c r="AL34" t="e">
        <f t="shared" si="18"/>
        <v>#N/A</v>
      </c>
      <c r="AM34" t="e">
        <f t="shared" si="19"/>
        <v>#VALUE!</v>
      </c>
      <c r="AN34" t="e">
        <f t="shared" si="20"/>
        <v>#N/A</v>
      </c>
      <c r="AO34" t="e">
        <f t="shared" si="21"/>
        <v>#N/A</v>
      </c>
    </row>
    <row r="41" spans="1:42" x14ac:dyDescent="0.2">
      <c r="A41" t="s">
        <v>114</v>
      </c>
      <c r="B41" t="s">
        <v>114</v>
      </c>
      <c r="C41" t="s">
        <v>110</v>
      </c>
      <c r="D41" t="s">
        <v>138</v>
      </c>
      <c r="E41" t="s">
        <v>112</v>
      </c>
      <c r="F41" t="s">
        <v>113</v>
      </c>
      <c r="H41">
        <v>100</v>
      </c>
      <c r="I41">
        <v>95</v>
      </c>
      <c r="J41">
        <v>90</v>
      </c>
      <c r="L41" t="str">
        <f t="shared" ref="L41:L64" si="22">$AV$3</f>
        <v>1091</v>
      </c>
      <c r="M41" t="e" cm="1">
        <f t="array" aca="1" ref="M41" ca="1">_xludf.DROP(_xludf.XLOOKUP($C41,#REF!,#REF!),1)</f>
        <v>#NAME?</v>
      </c>
      <c r="O41" t="e" cm="1">
        <f t="array" aca="1" ref="O41" ca="1">_xludf.DROP(_xludf.XLOOKUP($C41,#REF!,#REF!),1)</f>
        <v>#NAME?</v>
      </c>
      <c r="Q41" t="e" cm="1">
        <f t="array" aca="1" ref="Q41" ca="1">_xludf.DROP(_xludf.XLOOKUP($C41,#REF!,#REF!),1)</f>
        <v>#NAME?</v>
      </c>
      <c r="R41" t="e">
        <f t="shared" ref="R41:R64" si="23">1-S41</f>
        <v>#N/A</v>
      </c>
      <c r="S41" t="e">
        <f>IF($D41="yes", 1, VLOOKUP($B41, $AU$26:$AW$32, 2, FALSE)/100)</f>
        <v>#N/A</v>
      </c>
      <c r="T41" t="e">
        <f>VLOOKUP($B41,$AW$10:$AX$16, 2, FALSE)</f>
        <v>#N/A</v>
      </c>
      <c r="U41" t="str">
        <f t="shared" ref="U41:U64" si="24">$AV$10</f>
        <v>EFN2O</v>
      </c>
      <c r="V41">
        <f t="shared" ref="V41:V64" si="25">(I41/100)*(MIN(J41,100)/100)</f>
        <v>0.85499999999999998</v>
      </c>
      <c r="W41">
        <v>0</v>
      </c>
      <c r="X41">
        <f t="shared" ref="X41:X64" si="26">1.6 * W41</f>
        <v>0</v>
      </c>
      <c r="Y41">
        <f t="shared" ref="Y41:Y64" si="27">$AY$1</f>
        <v>0</v>
      </c>
      <c r="Z41">
        <f t="shared" ref="Z41:Z64" si="28">V41*Y41+(1-V41)</f>
        <v>0.14500000000000002</v>
      </c>
      <c r="AA41" t="e">
        <f t="shared" ref="AA41:AA64" ca="1" si="29">(0.795*O41)-0.0014</f>
        <v>#NAME?</v>
      </c>
      <c r="AC41" t="e" cm="1">
        <f t="array" aca="1" ref="AC41" ca="1">_xludf.DROP(_xludf.XLOOKUP($C41,#REF!,#REF!),1)</f>
        <v>#NAME?</v>
      </c>
      <c r="AD41" t="e">
        <f t="shared" ref="AD41:AD64" ca="1" si="30">1 - EXP(-2*(AC41^2))</f>
        <v>#NAME?</v>
      </c>
      <c r="AE41" t="e">
        <f t="shared" ref="AE41:AE64" ca="1" si="31">(104.7*AA41+0.307*Q41-15)*(Q41^0.75)*10^-3</f>
        <v>#NAME?</v>
      </c>
      <c r="AF41" t="e">
        <f t="shared" ref="AF41:AF64" ca="1" si="32">AE41*AD41*Z41</f>
        <v>#NAME?</v>
      </c>
      <c r="AG41" t="e">
        <f t="shared" ref="AG41:AG64" ca="1" si="33">(AF41 * M41) + (0.045 * X41)</f>
        <v>#NAME?</v>
      </c>
      <c r="AH41">
        <f t="shared" ref="AH41:AH64" si="34">$AV$2</f>
        <v>0</v>
      </c>
      <c r="AI41" t="e">
        <f t="shared" ref="AI41:AI64" ca="1" si="35">(AF41 * ((1 - O41) + (0.04 * AF41))) * ( 1 - AH41 )</f>
        <v>#NAME?</v>
      </c>
      <c r="AJ41">
        <f t="shared" ref="AJ41:AJ64" si="36">$AV$1</f>
        <v>0</v>
      </c>
      <c r="AK41">
        <f t="shared" ref="AK41:AK64" si="37">$AW$20</f>
        <v>0</v>
      </c>
      <c r="AL41" t="e">
        <f t="shared" ref="AL41:AL64" ca="1" si="38">AI41 * AJ41 * R41 * T41 * AK41</f>
        <v>#NAME?</v>
      </c>
      <c r="AM41" t="e">
        <f t="shared" ref="AM41:AM64" ca="1" si="39">AI41*AJ41*S41*U41*AK41</f>
        <v>#NAME?</v>
      </c>
      <c r="AN41" t="e">
        <f t="shared" ref="AN41:AN64" ca="1" si="40">AL41+AM41</f>
        <v>#NAME?</v>
      </c>
      <c r="AO41" t="e">
        <f t="shared" ref="AO41:AO64" ca="1" si="41">H41*AN41*L41</f>
        <v>#NAME?</v>
      </c>
      <c r="AP41" t="e">
        <f ca="1">SUM(AO41:AO64)*10^-3</f>
        <v>#NAME?</v>
      </c>
    </row>
    <row r="42" spans="1:42" x14ac:dyDescent="0.2">
      <c r="F42" t="s">
        <v>115</v>
      </c>
      <c r="H42">
        <v>70</v>
      </c>
      <c r="I42">
        <v>0</v>
      </c>
      <c r="J42">
        <v>0</v>
      </c>
      <c r="L42" t="str">
        <f t="shared" si="22"/>
        <v>1091</v>
      </c>
      <c r="R42" t="e">
        <f t="shared" si="23"/>
        <v>#N/A</v>
      </c>
      <c r="S42" t="e">
        <f>S41</f>
        <v>#N/A</v>
      </c>
      <c r="T42" t="e">
        <f>T41</f>
        <v>#N/A</v>
      </c>
      <c r="U42" t="str">
        <f t="shared" si="24"/>
        <v>EFN2O</v>
      </c>
      <c r="V42">
        <f t="shared" si="25"/>
        <v>0</v>
      </c>
      <c r="W42">
        <v>0</v>
      </c>
      <c r="X42">
        <f t="shared" si="26"/>
        <v>0</v>
      </c>
      <c r="Y42">
        <f t="shared" si="27"/>
        <v>0</v>
      </c>
      <c r="Z42">
        <f t="shared" si="28"/>
        <v>1</v>
      </c>
      <c r="AA42">
        <f t="shared" si="29"/>
        <v>-1.4E-3</v>
      </c>
      <c r="AD42">
        <f t="shared" si="30"/>
        <v>0</v>
      </c>
      <c r="AE42">
        <f t="shared" si="31"/>
        <v>0</v>
      </c>
      <c r="AF42">
        <f t="shared" si="32"/>
        <v>0</v>
      </c>
      <c r="AG42">
        <f t="shared" si="33"/>
        <v>0</v>
      </c>
      <c r="AH42">
        <f t="shared" si="34"/>
        <v>0</v>
      </c>
      <c r="AI42">
        <f t="shared" si="35"/>
        <v>0</v>
      </c>
      <c r="AJ42">
        <f t="shared" si="36"/>
        <v>0</v>
      </c>
      <c r="AK42">
        <f t="shared" si="37"/>
        <v>0</v>
      </c>
      <c r="AL42" t="e">
        <f t="shared" si="38"/>
        <v>#N/A</v>
      </c>
      <c r="AM42" t="e">
        <f t="shared" si="39"/>
        <v>#N/A</v>
      </c>
      <c r="AN42" t="e">
        <f t="shared" si="40"/>
        <v>#N/A</v>
      </c>
      <c r="AO42" t="e">
        <f t="shared" si="41"/>
        <v>#N/A</v>
      </c>
    </row>
    <row r="43" spans="1:42" x14ac:dyDescent="0.2">
      <c r="F43" t="s">
        <v>117</v>
      </c>
      <c r="H43">
        <v>65</v>
      </c>
      <c r="I43">
        <v>0</v>
      </c>
      <c r="J43">
        <v>0</v>
      </c>
      <c r="L43" t="str">
        <f t="shared" si="22"/>
        <v>1091</v>
      </c>
      <c r="R43" t="e">
        <f t="shared" si="23"/>
        <v>#N/A</v>
      </c>
      <c r="S43" t="e">
        <f>S41</f>
        <v>#N/A</v>
      </c>
      <c r="T43" t="e">
        <f>T41</f>
        <v>#N/A</v>
      </c>
      <c r="U43" t="str">
        <f t="shared" si="24"/>
        <v>EFN2O</v>
      </c>
      <c r="V43">
        <f t="shared" si="25"/>
        <v>0</v>
      </c>
      <c r="W43">
        <v>0</v>
      </c>
      <c r="X43">
        <f t="shared" si="26"/>
        <v>0</v>
      </c>
      <c r="Y43">
        <f t="shared" si="27"/>
        <v>0</v>
      </c>
      <c r="Z43">
        <f t="shared" si="28"/>
        <v>1</v>
      </c>
      <c r="AA43">
        <f t="shared" si="29"/>
        <v>-1.4E-3</v>
      </c>
      <c r="AD43">
        <f t="shared" si="30"/>
        <v>0</v>
      </c>
      <c r="AE43">
        <f t="shared" si="31"/>
        <v>0</v>
      </c>
      <c r="AF43">
        <f t="shared" si="32"/>
        <v>0</v>
      </c>
      <c r="AG43">
        <f t="shared" si="33"/>
        <v>0</v>
      </c>
      <c r="AH43">
        <f t="shared" si="34"/>
        <v>0</v>
      </c>
      <c r="AI43">
        <f t="shared" si="35"/>
        <v>0</v>
      </c>
      <c r="AJ43">
        <f t="shared" si="36"/>
        <v>0</v>
      </c>
      <c r="AK43">
        <f t="shared" si="37"/>
        <v>0</v>
      </c>
      <c r="AL43" t="e">
        <f t="shared" si="38"/>
        <v>#N/A</v>
      </c>
      <c r="AM43" t="e">
        <f t="shared" si="39"/>
        <v>#N/A</v>
      </c>
      <c r="AN43" t="e">
        <f t="shared" si="40"/>
        <v>#N/A</v>
      </c>
      <c r="AO43" t="e">
        <f t="shared" si="41"/>
        <v>#N/A</v>
      </c>
    </row>
    <row r="44" spans="1:42" x14ac:dyDescent="0.2">
      <c r="F44" t="s">
        <v>119</v>
      </c>
      <c r="H44">
        <v>80</v>
      </c>
      <c r="I44">
        <v>0</v>
      </c>
      <c r="J44">
        <v>0</v>
      </c>
      <c r="L44" t="str">
        <f t="shared" si="22"/>
        <v>1091</v>
      </c>
      <c r="R44" t="e">
        <f t="shared" si="23"/>
        <v>#N/A</v>
      </c>
      <c r="S44" t="e">
        <f>S41</f>
        <v>#N/A</v>
      </c>
      <c r="T44" t="e">
        <f>T41</f>
        <v>#N/A</v>
      </c>
      <c r="U44" t="str">
        <f t="shared" si="24"/>
        <v>EFN2O</v>
      </c>
      <c r="V44">
        <f t="shared" si="25"/>
        <v>0</v>
      </c>
      <c r="W44">
        <v>0</v>
      </c>
      <c r="X44">
        <f t="shared" si="26"/>
        <v>0</v>
      </c>
      <c r="Y44">
        <f t="shared" si="27"/>
        <v>0</v>
      </c>
      <c r="Z44">
        <f t="shared" si="28"/>
        <v>1</v>
      </c>
      <c r="AA44">
        <f t="shared" si="29"/>
        <v>-1.4E-3</v>
      </c>
      <c r="AD44">
        <f t="shared" si="30"/>
        <v>0</v>
      </c>
      <c r="AE44">
        <f t="shared" si="31"/>
        <v>0</v>
      </c>
      <c r="AF44">
        <f t="shared" si="32"/>
        <v>0</v>
      </c>
      <c r="AG44">
        <f t="shared" si="33"/>
        <v>0</v>
      </c>
      <c r="AH44">
        <f t="shared" si="34"/>
        <v>0</v>
      </c>
      <c r="AI44">
        <f t="shared" si="35"/>
        <v>0</v>
      </c>
      <c r="AJ44">
        <f t="shared" si="36"/>
        <v>0</v>
      </c>
      <c r="AK44">
        <f t="shared" si="37"/>
        <v>0</v>
      </c>
      <c r="AL44" t="e">
        <f t="shared" si="38"/>
        <v>#N/A</v>
      </c>
      <c r="AM44" t="e">
        <f t="shared" si="39"/>
        <v>#N/A</v>
      </c>
      <c r="AN44" t="e">
        <f t="shared" si="40"/>
        <v>#N/A</v>
      </c>
      <c r="AO44" t="e">
        <f t="shared" si="41"/>
        <v>#N/A</v>
      </c>
    </row>
    <row r="45" spans="1:42" x14ac:dyDescent="0.2">
      <c r="E45" t="s">
        <v>121</v>
      </c>
      <c r="F45" t="s">
        <v>113</v>
      </c>
      <c r="H45">
        <v>200</v>
      </c>
      <c r="I45">
        <v>0</v>
      </c>
      <c r="J45">
        <v>0</v>
      </c>
      <c r="L45" t="str">
        <f t="shared" si="22"/>
        <v>1091</v>
      </c>
      <c r="R45" t="e">
        <f t="shared" si="23"/>
        <v>#N/A</v>
      </c>
      <c r="S45" t="e">
        <f>S41</f>
        <v>#N/A</v>
      </c>
      <c r="T45" t="e">
        <f>T41</f>
        <v>#N/A</v>
      </c>
      <c r="U45" t="str">
        <f t="shared" si="24"/>
        <v>EFN2O</v>
      </c>
      <c r="V45">
        <f t="shared" si="25"/>
        <v>0</v>
      </c>
      <c r="W45">
        <v>1</v>
      </c>
      <c r="X45">
        <f t="shared" si="26"/>
        <v>1.6</v>
      </c>
      <c r="Y45">
        <f t="shared" si="27"/>
        <v>0</v>
      </c>
      <c r="Z45">
        <f t="shared" si="28"/>
        <v>1</v>
      </c>
      <c r="AA45">
        <f t="shared" si="29"/>
        <v>-1.4E-3</v>
      </c>
      <c r="AD45">
        <f t="shared" si="30"/>
        <v>0</v>
      </c>
      <c r="AE45">
        <f t="shared" si="31"/>
        <v>0</v>
      </c>
      <c r="AF45">
        <f t="shared" si="32"/>
        <v>0</v>
      </c>
      <c r="AG45">
        <f t="shared" si="33"/>
        <v>7.1999999999999995E-2</v>
      </c>
      <c r="AH45">
        <f t="shared" si="34"/>
        <v>0</v>
      </c>
      <c r="AI45">
        <f t="shared" si="35"/>
        <v>0</v>
      </c>
      <c r="AJ45">
        <f t="shared" si="36"/>
        <v>0</v>
      </c>
      <c r="AK45">
        <f t="shared" si="37"/>
        <v>0</v>
      </c>
      <c r="AL45" t="e">
        <f t="shared" si="38"/>
        <v>#N/A</v>
      </c>
      <c r="AM45" t="e">
        <f t="shared" si="39"/>
        <v>#N/A</v>
      </c>
      <c r="AN45" t="e">
        <f t="shared" si="40"/>
        <v>#N/A</v>
      </c>
      <c r="AO45" t="e">
        <f t="shared" si="41"/>
        <v>#N/A</v>
      </c>
    </row>
    <row r="46" spans="1:42" x14ac:dyDescent="0.2">
      <c r="F46" t="s">
        <v>115</v>
      </c>
      <c r="H46">
        <v>210</v>
      </c>
      <c r="I46">
        <v>0</v>
      </c>
      <c r="J46">
        <v>0</v>
      </c>
      <c r="L46" t="str">
        <f t="shared" si="22"/>
        <v>1091</v>
      </c>
      <c r="R46" t="e">
        <f t="shared" si="23"/>
        <v>#N/A</v>
      </c>
      <c r="S46" t="e">
        <f>S41</f>
        <v>#N/A</v>
      </c>
      <c r="T46" t="e">
        <f>T41</f>
        <v>#N/A</v>
      </c>
      <c r="U46" t="str">
        <f t="shared" si="24"/>
        <v>EFN2O</v>
      </c>
      <c r="V46">
        <f t="shared" si="25"/>
        <v>0</v>
      </c>
      <c r="W46">
        <v>0</v>
      </c>
      <c r="X46">
        <f t="shared" si="26"/>
        <v>0</v>
      </c>
      <c r="Y46">
        <f t="shared" si="27"/>
        <v>0</v>
      </c>
      <c r="Z46">
        <f t="shared" si="28"/>
        <v>1</v>
      </c>
      <c r="AA46">
        <f t="shared" si="29"/>
        <v>-1.4E-3</v>
      </c>
      <c r="AD46">
        <f t="shared" si="30"/>
        <v>0</v>
      </c>
      <c r="AE46">
        <f t="shared" si="31"/>
        <v>0</v>
      </c>
      <c r="AF46">
        <f t="shared" si="32"/>
        <v>0</v>
      </c>
      <c r="AG46">
        <f t="shared" si="33"/>
        <v>0</v>
      </c>
      <c r="AH46">
        <f t="shared" si="34"/>
        <v>0</v>
      </c>
      <c r="AI46">
        <f t="shared" si="35"/>
        <v>0</v>
      </c>
      <c r="AJ46">
        <f t="shared" si="36"/>
        <v>0</v>
      </c>
      <c r="AK46">
        <f t="shared" si="37"/>
        <v>0</v>
      </c>
      <c r="AL46" t="e">
        <f t="shared" si="38"/>
        <v>#N/A</v>
      </c>
      <c r="AM46" t="e">
        <f t="shared" si="39"/>
        <v>#N/A</v>
      </c>
      <c r="AN46" t="e">
        <f t="shared" si="40"/>
        <v>#N/A</v>
      </c>
      <c r="AO46" t="e">
        <f t="shared" si="41"/>
        <v>#N/A</v>
      </c>
    </row>
    <row r="47" spans="1:42" x14ac:dyDescent="0.2">
      <c r="F47" t="s">
        <v>117</v>
      </c>
      <c r="H47">
        <v>170</v>
      </c>
      <c r="I47">
        <v>0</v>
      </c>
      <c r="J47">
        <v>0</v>
      </c>
      <c r="L47" t="str">
        <f t="shared" si="22"/>
        <v>1091</v>
      </c>
      <c r="R47" t="e">
        <f t="shared" si="23"/>
        <v>#N/A</v>
      </c>
      <c r="S47" t="e">
        <f>S41</f>
        <v>#N/A</v>
      </c>
      <c r="T47" t="e">
        <f>T41</f>
        <v>#N/A</v>
      </c>
      <c r="U47" t="str">
        <f t="shared" si="24"/>
        <v>EFN2O</v>
      </c>
      <c r="V47">
        <f t="shared" si="25"/>
        <v>0</v>
      </c>
      <c r="W47">
        <v>0</v>
      </c>
      <c r="X47">
        <f t="shared" si="26"/>
        <v>0</v>
      </c>
      <c r="Y47">
        <f t="shared" si="27"/>
        <v>0</v>
      </c>
      <c r="Z47">
        <f t="shared" si="28"/>
        <v>1</v>
      </c>
      <c r="AA47">
        <f t="shared" si="29"/>
        <v>-1.4E-3</v>
      </c>
      <c r="AD47">
        <f t="shared" si="30"/>
        <v>0</v>
      </c>
      <c r="AE47">
        <f t="shared" si="31"/>
        <v>0</v>
      </c>
      <c r="AF47">
        <f t="shared" si="32"/>
        <v>0</v>
      </c>
      <c r="AG47">
        <f t="shared" si="33"/>
        <v>0</v>
      </c>
      <c r="AH47">
        <f t="shared" si="34"/>
        <v>0</v>
      </c>
      <c r="AI47">
        <f t="shared" si="35"/>
        <v>0</v>
      </c>
      <c r="AJ47">
        <f t="shared" si="36"/>
        <v>0</v>
      </c>
      <c r="AK47">
        <f t="shared" si="37"/>
        <v>0</v>
      </c>
      <c r="AL47" t="e">
        <f t="shared" si="38"/>
        <v>#N/A</v>
      </c>
      <c r="AM47" t="e">
        <f t="shared" si="39"/>
        <v>#N/A</v>
      </c>
      <c r="AN47" t="e">
        <f t="shared" si="40"/>
        <v>#N/A</v>
      </c>
      <c r="AO47" t="e">
        <f t="shared" si="41"/>
        <v>#N/A</v>
      </c>
    </row>
    <row r="48" spans="1:42" x14ac:dyDescent="0.2">
      <c r="F48" t="s">
        <v>119</v>
      </c>
      <c r="H48">
        <v>200</v>
      </c>
      <c r="I48">
        <v>0</v>
      </c>
      <c r="J48">
        <v>0</v>
      </c>
      <c r="L48" t="str">
        <f t="shared" si="22"/>
        <v>1091</v>
      </c>
      <c r="R48" t="e">
        <f t="shared" si="23"/>
        <v>#N/A</v>
      </c>
      <c r="S48" t="e">
        <f>S41</f>
        <v>#N/A</v>
      </c>
      <c r="T48" t="e">
        <f>T41</f>
        <v>#N/A</v>
      </c>
      <c r="U48" t="str">
        <f t="shared" si="24"/>
        <v>EFN2O</v>
      </c>
      <c r="V48">
        <f t="shared" si="25"/>
        <v>0</v>
      </c>
      <c r="W48">
        <v>0</v>
      </c>
      <c r="X48">
        <f t="shared" si="26"/>
        <v>0</v>
      </c>
      <c r="Y48">
        <f t="shared" si="27"/>
        <v>0</v>
      </c>
      <c r="Z48">
        <f t="shared" si="28"/>
        <v>1</v>
      </c>
      <c r="AA48">
        <f t="shared" si="29"/>
        <v>-1.4E-3</v>
      </c>
      <c r="AD48">
        <f t="shared" si="30"/>
        <v>0</v>
      </c>
      <c r="AE48">
        <f t="shared" si="31"/>
        <v>0</v>
      </c>
      <c r="AF48">
        <f t="shared" si="32"/>
        <v>0</v>
      </c>
      <c r="AG48">
        <f t="shared" si="33"/>
        <v>0</v>
      </c>
      <c r="AH48">
        <f t="shared" si="34"/>
        <v>0</v>
      </c>
      <c r="AI48">
        <f t="shared" si="35"/>
        <v>0</v>
      </c>
      <c r="AJ48">
        <f t="shared" si="36"/>
        <v>0</v>
      </c>
      <c r="AK48">
        <f t="shared" si="37"/>
        <v>0</v>
      </c>
      <c r="AL48" t="e">
        <f t="shared" si="38"/>
        <v>#N/A</v>
      </c>
      <c r="AM48" t="e">
        <f t="shared" si="39"/>
        <v>#N/A</v>
      </c>
      <c r="AN48" t="e">
        <f t="shared" si="40"/>
        <v>#N/A</v>
      </c>
      <c r="AO48" t="e">
        <f t="shared" si="41"/>
        <v>#N/A</v>
      </c>
    </row>
    <row r="49" spans="5:41" x14ac:dyDescent="0.2">
      <c r="E49" t="s">
        <v>126</v>
      </c>
      <c r="F49" t="s">
        <v>113</v>
      </c>
      <c r="H49">
        <v>100</v>
      </c>
      <c r="I49">
        <v>95</v>
      </c>
      <c r="J49">
        <v>92</v>
      </c>
      <c r="L49" t="str">
        <f t="shared" si="22"/>
        <v>1091</v>
      </c>
      <c r="R49" t="e">
        <f t="shared" si="23"/>
        <v>#N/A</v>
      </c>
      <c r="S49" t="e">
        <f>S41</f>
        <v>#N/A</v>
      </c>
      <c r="T49" t="e">
        <f>T41</f>
        <v>#N/A</v>
      </c>
      <c r="U49" t="str">
        <f t="shared" si="24"/>
        <v>EFN2O</v>
      </c>
      <c r="V49">
        <f t="shared" si="25"/>
        <v>0.874</v>
      </c>
      <c r="W49">
        <v>0</v>
      </c>
      <c r="X49">
        <f t="shared" si="26"/>
        <v>0</v>
      </c>
      <c r="Y49">
        <f t="shared" si="27"/>
        <v>0</v>
      </c>
      <c r="Z49">
        <f t="shared" si="28"/>
        <v>0.126</v>
      </c>
      <c r="AA49">
        <f t="shared" si="29"/>
        <v>-1.4E-3</v>
      </c>
      <c r="AD49">
        <f t="shared" si="30"/>
        <v>0</v>
      </c>
      <c r="AE49">
        <f t="shared" si="31"/>
        <v>0</v>
      </c>
      <c r="AF49">
        <f t="shared" si="32"/>
        <v>0</v>
      </c>
      <c r="AG49">
        <f t="shared" si="33"/>
        <v>0</v>
      </c>
      <c r="AH49">
        <f t="shared" si="34"/>
        <v>0</v>
      </c>
      <c r="AI49">
        <f t="shared" si="35"/>
        <v>0</v>
      </c>
      <c r="AJ49">
        <f t="shared" si="36"/>
        <v>0</v>
      </c>
      <c r="AK49">
        <f t="shared" si="37"/>
        <v>0</v>
      </c>
      <c r="AL49" t="e">
        <f t="shared" si="38"/>
        <v>#N/A</v>
      </c>
      <c r="AM49" t="e">
        <f t="shared" si="39"/>
        <v>#N/A</v>
      </c>
      <c r="AN49" t="e">
        <f t="shared" si="40"/>
        <v>#N/A</v>
      </c>
      <c r="AO49" t="e">
        <f t="shared" si="41"/>
        <v>#N/A</v>
      </c>
    </row>
    <row r="50" spans="5:41" x14ac:dyDescent="0.2">
      <c r="F50" t="s">
        <v>115</v>
      </c>
      <c r="H50">
        <v>140</v>
      </c>
      <c r="I50">
        <v>0</v>
      </c>
      <c r="J50">
        <v>0</v>
      </c>
      <c r="L50" t="str">
        <f t="shared" si="22"/>
        <v>1091</v>
      </c>
      <c r="R50" t="e">
        <f t="shared" si="23"/>
        <v>#N/A</v>
      </c>
      <c r="S50" t="e">
        <f>S41</f>
        <v>#N/A</v>
      </c>
      <c r="T50" t="e">
        <f>T41</f>
        <v>#N/A</v>
      </c>
      <c r="U50" t="str">
        <f t="shared" si="24"/>
        <v>EFN2O</v>
      </c>
      <c r="V50">
        <f t="shared" si="25"/>
        <v>0</v>
      </c>
      <c r="W50">
        <v>0</v>
      </c>
      <c r="X50">
        <f t="shared" si="26"/>
        <v>0</v>
      </c>
      <c r="Y50">
        <f t="shared" si="27"/>
        <v>0</v>
      </c>
      <c r="Z50">
        <f t="shared" si="28"/>
        <v>1</v>
      </c>
      <c r="AA50">
        <f t="shared" si="29"/>
        <v>-1.4E-3</v>
      </c>
      <c r="AD50">
        <f t="shared" si="30"/>
        <v>0</v>
      </c>
      <c r="AE50">
        <f t="shared" si="31"/>
        <v>0</v>
      </c>
      <c r="AF50">
        <f t="shared" si="32"/>
        <v>0</v>
      </c>
      <c r="AG50">
        <f t="shared" si="33"/>
        <v>0</v>
      </c>
      <c r="AH50">
        <f t="shared" si="34"/>
        <v>0</v>
      </c>
      <c r="AI50">
        <f t="shared" si="35"/>
        <v>0</v>
      </c>
      <c r="AJ50">
        <f t="shared" si="36"/>
        <v>0</v>
      </c>
      <c r="AK50">
        <f t="shared" si="37"/>
        <v>0</v>
      </c>
      <c r="AL50" t="e">
        <f t="shared" si="38"/>
        <v>#N/A</v>
      </c>
      <c r="AM50" t="e">
        <f t="shared" si="39"/>
        <v>#N/A</v>
      </c>
      <c r="AN50" t="e">
        <f t="shared" si="40"/>
        <v>#N/A</v>
      </c>
      <c r="AO50" t="e">
        <f t="shared" si="41"/>
        <v>#N/A</v>
      </c>
    </row>
    <row r="51" spans="5:41" x14ac:dyDescent="0.2">
      <c r="F51" t="s">
        <v>117</v>
      </c>
      <c r="H51">
        <v>135</v>
      </c>
      <c r="I51">
        <v>0</v>
      </c>
      <c r="J51">
        <v>0</v>
      </c>
      <c r="L51" t="str">
        <f t="shared" si="22"/>
        <v>1091</v>
      </c>
      <c r="R51" t="e">
        <f t="shared" si="23"/>
        <v>#N/A</v>
      </c>
      <c r="S51" t="e">
        <f>S41</f>
        <v>#N/A</v>
      </c>
      <c r="T51" t="e">
        <f>T41</f>
        <v>#N/A</v>
      </c>
      <c r="U51" t="str">
        <f t="shared" si="24"/>
        <v>EFN2O</v>
      </c>
      <c r="V51">
        <f t="shared" si="25"/>
        <v>0</v>
      </c>
      <c r="W51">
        <v>0</v>
      </c>
      <c r="X51">
        <f t="shared" si="26"/>
        <v>0</v>
      </c>
      <c r="Y51">
        <f t="shared" si="27"/>
        <v>0</v>
      </c>
      <c r="Z51">
        <f t="shared" si="28"/>
        <v>1</v>
      </c>
      <c r="AA51">
        <f t="shared" si="29"/>
        <v>-1.4E-3</v>
      </c>
      <c r="AD51">
        <f t="shared" si="30"/>
        <v>0</v>
      </c>
      <c r="AE51">
        <f t="shared" si="31"/>
        <v>0</v>
      </c>
      <c r="AF51">
        <f t="shared" si="32"/>
        <v>0</v>
      </c>
      <c r="AG51">
        <f t="shared" si="33"/>
        <v>0</v>
      </c>
      <c r="AH51">
        <f t="shared" si="34"/>
        <v>0</v>
      </c>
      <c r="AI51">
        <f t="shared" si="35"/>
        <v>0</v>
      </c>
      <c r="AJ51">
        <f t="shared" si="36"/>
        <v>0</v>
      </c>
      <c r="AK51">
        <f t="shared" si="37"/>
        <v>0</v>
      </c>
      <c r="AL51" t="e">
        <f t="shared" si="38"/>
        <v>#N/A</v>
      </c>
      <c r="AM51" t="e">
        <f t="shared" si="39"/>
        <v>#N/A</v>
      </c>
      <c r="AN51" t="e">
        <f t="shared" si="40"/>
        <v>#N/A</v>
      </c>
      <c r="AO51" t="e">
        <f t="shared" si="41"/>
        <v>#N/A</v>
      </c>
    </row>
    <row r="52" spans="5:41" x14ac:dyDescent="0.2">
      <c r="F52" t="s">
        <v>119</v>
      </c>
      <c r="H52">
        <v>130</v>
      </c>
      <c r="I52">
        <v>0</v>
      </c>
      <c r="J52">
        <v>0</v>
      </c>
      <c r="L52" t="str">
        <f t="shared" si="22"/>
        <v>1091</v>
      </c>
      <c r="R52" t="e">
        <f t="shared" si="23"/>
        <v>#N/A</v>
      </c>
      <c r="S52" t="e">
        <f>S41</f>
        <v>#N/A</v>
      </c>
      <c r="T52" t="e">
        <f>T41</f>
        <v>#N/A</v>
      </c>
      <c r="U52" t="str">
        <f t="shared" si="24"/>
        <v>EFN2O</v>
      </c>
      <c r="V52">
        <f t="shared" si="25"/>
        <v>0</v>
      </c>
      <c r="W52">
        <v>0</v>
      </c>
      <c r="X52">
        <f t="shared" si="26"/>
        <v>0</v>
      </c>
      <c r="Y52">
        <f t="shared" si="27"/>
        <v>0</v>
      </c>
      <c r="Z52">
        <f t="shared" si="28"/>
        <v>1</v>
      </c>
      <c r="AA52">
        <f t="shared" si="29"/>
        <v>-1.4E-3</v>
      </c>
      <c r="AD52">
        <f t="shared" si="30"/>
        <v>0</v>
      </c>
      <c r="AE52">
        <f t="shared" si="31"/>
        <v>0</v>
      </c>
      <c r="AF52">
        <f t="shared" si="32"/>
        <v>0</v>
      </c>
      <c r="AG52">
        <f t="shared" si="33"/>
        <v>0</v>
      </c>
      <c r="AH52">
        <f t="shared" si="34"/>
        <v>0</v>
      </c>
      <c r="AI52">
        <f t="shared" si="35"/>
        <v>0</v>
      </c>
      <c r="AJ52">
        <f t="shared" si="36"/>
        <v>0</v>
      </c>
      <c r="AK52">
        <f t="shared" si="37"/>
        <v>0</v>
      </c>
      <c r="AL52" t="e">
        <f t="shared" si="38"/>
        <v>#N/A</v>
      </c>
      <c r="AM52" t="e">
        <f t="shared" si="39"/>
        <v>#N/A</v>
      </c>
      <c r="AN52" t="e">
        <f t="shared" si="40"/>
        <v>#N/A</v>
      </c>
      <c r="AO52" t="e">
        <f t="shared" si="41"/>
        <v>#N/A</v>
      </c>
    </row>
    <row r="53" spans="5:41" x14ac:dyDescent="0.2">
      <c r="E53" t="s">
        <v>129</v>
      </c>
      <c r="F53" t="s">
        <v>113</v>
      </c>
      <c r="H53">
        <v>200</v>
      </c>
      <c r="I53">
        <v>0</v>
      </c>
      <c r="J53">
        <v>0</v>
      </c>
      <c r="L53" t="str">
        <f t="shared" si="22"/>
        <v>1091</v>
      </c>
      <c r="R53" t="e">
        <f t="shared" si="23"/>
        <v>#N/A</v>
      </c>
      <c r="S53" t="e">
        <f>S41</f>
        <v>#N/A</v>
      </c>
      <c r="T53" t="e">
        <f>T41</f>
        <v>#N/A</v>
      </c>
      <c r="U53" t="str">
        <f t="shared" si="24"/>
        <v>EFN2O</v>
      </c>
      <c r="V53">
        <f t="shared" si="25"/>
        <v>0</v>
      </c>
      <c r="W53">
        <v>0</v>
      </c>
      <c r="X53">
        <f t="shared" si="26"/>
        <v>0</v>
      </c>
      <c r="Y53">
        <f t="shared" si="27"/>
        <v>0</v>
      </c>
      <c r="Z53">
        <f t="shared" si="28"/>
        <v>1</v>
      </c>
      <c r="AA53">
        <f t="shared" si="29"/>
        <v>-1.4E-3</v>
      </c>
      <c r="AD53">
        <f t="shared" si="30"/>
        <v>0</v>
      </c>
      <c r="AE53">
        <f t="shared" si="31"/>
        <v>0</v>
      </c>
      <c r="AF53">
        <f t="shared" si="32"/>
        <v>0</v>
      </c>
      <c r="AG53">
        <f t="shared" si="33"/>
        <v>0</v>
      </c>
      <c r="AH53">
        <f t="shared" si="34"/>
        <v>0</v>
      </c>
      <c r="AI53">
        <f t="shared" si="35"/>
        <v>0</v>
      </c>
      <c r="AJ53">
        <f t="shared" si="36"/>
        <v>0</v>
      </c>
      <c r="AK53">
        <f t="shared" si="37"/>
        <v>0</v>
      </c>
      <c r="AL53" t="e">
        <f t="shared" si="38"/>
        <v>#N/A</v>
      </c>
      <c r="AM53" t="e">
        <f t="shared" si="39"/>
        <v>#N/A</v>
      </c>
      <c r="AN53" t="e">
        <f t="shared" si="40"/>
        <v>#N/A</v>
      </c>
      <c r="AO53" t="e">
        <f t="shared" si="41"/>
        <v>#N/A</v>
      </c>
    </row>
    <row r="54" spans="5:41" x14ac:dyDescent="0.2">
      <c r="F54" t="s">
        <v>115</v>
      </c>
      <c r="H54">
        <v>210</v>
      </c>
      <c r="I54">
        <v>0</v>
      </c>
      <c r="J54">
        <v>0</v>
      </c>
      <c r="L54" t="str">
        <f t="shared" si="22"/>
        <v>1091</v>
      </c>
      <c r="R54" t="e">
        <f t="shared" si="23"/>
        <v>#N/A</v>
      </c>
      <c r="S54" t="e">
        <f>S41</f>
        <v>#N/A</v>
      </c>
      <c r="T54" t="e">
        <f>T41</f>
        <v>#N/A</v>
      </c>
      <c r="U54" t="str">
        <f t="shared" si="24"/>
        <v>EFN2O</v>
      </c>
      <c r="V54">
        <f t="shared" si="25"/>
        <v>0</v>
      </c>
      <c r="W54">
        <v>0</v>
      </c>
      <c r="X54">
        <f t="shared" si="26"/>
        <v>0</v>
      </c>
      <c r="Y54">
        <f t="shared" si="27"/>
        <v>0</v>
      </c>
      <c r="Z54">
        <f t="shared" si="28"/>
        <v>1</v>
      </c>
      <c r="AA54">
        <f t="shared" si="29"/>
        <v>-1.4E-3</v>
      </c>
      <c r="AD54">
        <f t="shared" si="30"/>
        <v>0</v>
      </c>
      <c r="AE54">
        <f t="shared" si="31"/>
        <v>0</v>
      </c>
      <c r="AF54">
        <f t="shared" si="32"/>
        <v>0</v>
      </c>
      <c r="AG54">
        <f t="shared" si="33"/>
        <v>0</v>
      </c>
      <c r="AH54">
        <f t="shared" si="34"/>
        <v>0</v>
      </c>
      <c r="AI54">
        <f t="shared" si="35"/>
        <v>0</v>
      </c>
      <c r="AJ54">
        <f t="shared" si="36"/>
        <v>0</v>
      </c>
      <c r="AK54">
        <f t="shared" si="37"/>
        <v>0</v>
      </c>
      <c r="AL54" t="e">
        <f t="shared" si="38"/>
        <v>#N/A</v>
      </c>
      <c r="AM54" t="e">
        <f t="shared" si="39"/>
        <v>#N/A</v>
      </c>
      <c r="AN54" t="e">
        <f t="shared" si="40"/>
        <v>#N/A</v>
      </c>
      <c r="AO54" t="e">
        <f t="shared" si="41"/>
        <v>#N/A</v>
      </c>
    </row>
    <row r="55" spans="5:41" x14ac:dyDescent="0.2">
      <c r="F55" t="s">
        <v>117</v>
      </c>
      <c r="H55">
        <v>190</v>
      </c>
      <c r="I55">
        <v>0</v>
      </c>
      <c r="J55">
        <v>0</v>
      </c>
      <c r="L55" t="str">
        <f t="shared" si="22"/>
        <v>1091</v>
      </c>
      <c r="R55" t="e">
        <f t="shared" si="23"/>
        <v>#N/A</v>
      </c>
      <c r="S55" t="e">
        <f>S41</f>
        <v>#N/A</v>
      </c>
      <c r="T55" t="e">
        <f>T41</f>
        <v>#N/A</v>
      </c>
      <c r="U55" t="str">
        <f t="shared" si="24"/>
        <v>EFN2O</v>
      </c>
      <c r="V55">
        <f t="shared" si="25"/>
        <v>0</v>
      </c>
      <c r="W55">
        <v>0</v>
      </c>
      <c r="X55">
        <f t="shared" si="26"/>
        <v>0</v>
      </c>
      <c r="Y55">
        <f t="shared" si="27"/>
        <v>0</v>
      </c>
      <c r="Z55">
        <f t="shared" si="28"/>
        <v>1</v>
      </c>
      <c r="AA55">
        <f t="shared" si="29"/>
        <v>-1.4E-3</v>
      </c>
      <c r="AD55">
        <f t="shared" si="30"/>
        <v>0</v>
      </c>
      <c r="AE55">
        <f t="shared" si="31"/>
        <v>0</v>
      </c>
      <c r="AF55">
        <f t="shared" si="32"/>
        <v>0</v>
      </c>
      <c r="AG55">
        <f t="shared" si="33"/>
        <v>0</v>
      </c>
      <c r="AH55">
        <f t="shared" si="34"/>
        <v>0</v>
      </c>
      <c r="AI55">
        <f t="shared" si="35"/>
        <v>0</v>
      </c>
      <c r="AJ55">
        <f t="shared" si="36"/>
        <v>0</v>
      </c>
      <c r="AK55">
        <f t="shared" si="37"/>
        <v>0</v>
      </c>
      <c r="AL55" t="e">
        <f t="shared" si="38"/>
        <v>#N/A</v>
      </c>
      <c r="AM55" t="e">
        <f t="shared" si="39"/>
        <v>#N/A</v>
      </c>
      <c r="AN55" t="e">
        <f t="shared" si="40"/>
        <v>#N/A</v>
      </c>
      <c r="AO55" t="e">
        <f t="shared" si="41"/>
        <v>#N/A</v>
      </c>
    </row>
    <row r="56" spans="5:41" x14ac:dyDescent="0.2">
      <c r="F56" t="s">
        <v>119</v>
      </c>
      <c r="H56">
        <v>180</v>
      </c>
      <c r="I56">
        <v>0</v>
      </c>
      <c r="J56">
        <v>0</v>
      </c>
      <c r="L56" t="str">
        <f t="shared" si="22"/>
        <v>1091</v>
      </c>
      <c r="R56" t="e">
        <f t="shared" si="23"/>
        <v>#N/A</v>
      </c>
      <c r="S56" t="e">
        <f>S41</f>
        <v>#N/A</v>
      </c>
      <c r="T56" t="e">
        <f>T41</f>
        <v>#N/A</v>
      </c>
      <c r="U56" t="str">
        <f t="shared" si="24"/>
        <v>EFN2O</v>
      </c>
      <c r="V56">
        <f t="shared" si="25"/>
        <v>0</v>
      </c>
      <c r="W56">
        <v>0</v>
      </c>
      <c r="X56">
        <f t="shared" si="26"/>
        <v>0</v>
      </c>
      <c r="Y56">
        <f t="shared" si="27"/>
        <v>0</v>
      </c>
      <c r="Z56">
        <f t="shared" si="28"/>
        <v>1</v>
      </c>
      <c r="AA56">
        <f t="shared" si="29"/>
        <v>-1.4E-3</v>
      </c>
      <c r="AD56">
        <f t="shared" si="30"/>
        <v>0</v>
      </c>
      <c r="AE56">
        <f t="shared" si="31"/>
        <v>0</v>
      </c>
      <c r="AF56">
        <f t="shared" si="32"/>
        <v>0</v>
      </c>
      <c r="AG56">
        <f t="shared" si="33"/>
        <v>0</v>
      </c>
      <c r="AH56">
        <f t="shared" si="34"/>
        <v>0</v>
      </c>
      <c r="AI56">
        <f t="shared" si="35"/>
        <v>0</v>
      </c>
      <c r="AJ56">
        <f t="shared" si="36"/>
        <v>0</v>
      </c>
      <c r="AK56">
        <f t="shared" si="37"/>
        <v>0</v>
      </c>
      <c r="AL56" t="e">
        <f t="shared" si="38"/>
        <v>#N/A</v>
      </c>
      <c r="AM56" t="e">
        <f t="shared" si="39"/>
        <v>#N/A</v>
      </c>
      <c r="AN56" t="e">
        <f t="shared" si="40"/>
        <v>#N/A</v>
      </c>
      <c r="AO56" t="e">
        <f t="shared" si="41"/>
        <v>#N/A</v>
      </c>
    </row>
    <row r="57" spans="5:41" x14ac:dyDescent="0.2">
      <c r="E57" t="s">
        <v>131</v>
      </c>
      <c r="F57" t="s">
        <v>113</v>
      </c>
      <c r="H57">
        <v>50</v>
      </c>
      <c r="I57">
        <v>0</v>
      </c>
      <c r="J57">
        <v>0</v>
      </c>
      <c r="L57" t="str">
        <f t="shared" si="22"/>
        <v>1091</v>
      </c>
      <c r="R57" t="e">
        <f t="shared" si="23"/>
        <v>#N/A</v>
      </c>
      <c r="S57" t="e">
        <f>S41</f>
        <v>#N/A</v>
      </c>
      <c r="T57" t="e">
        <f>T41</f>
        <v>#N/A</v>
      </c>
      <c r="U57" t="str">
        <f t="shared" si="24"/>
        <v>EFN2O</v>
      </c>
      <c r="V57">
        <f t="shared" si="25"/>
        <v>0</v>
      </c>
      <c r="W57">
        <v>0</v>
      </c>
      <c r="X57">
        <f t="shared" si="26"/>
        <v>0</v>
      </c>
      <c r="Y57">
        <f t="shared" si="27"/>
        <v>0</v>
      </c>
      <c r="Z57">
        <f t="shared" si="28"/>
        <v>1</v>
      </c>
      <c r="AA57">
        <f t="shared" si="29"/>
        <v>-1.4E-3</v>
      </c>
      <c r="AD57">
        <f t="shared" si="30"/>
        <v>0</v>
      </c>
      <c r="AE57">
        <f t="shared" si="31"/>
        <v>0</v>
      </c>
      <c r="AF57">
        <f t="shared" si="32"/>
        <v>0</v>
      </c>
      <c r="AG57">
        <f t="shared" si="33"/>
        <v>0</v>
      </c>
      <c r="AH57">
        <f t="shared" si="34"/>
        <v>0</v>
      </c>
      <c r="AI57">
        <f t="shared" si="35"/>
        <v>0</v>
      </c>
      <c r="AJ57">
        <f t="shared" si="36"/>
        <v>0</v>
      </c>
      <c r="AK57">
        <f t="shared" si="37"/>
        <v>0</v>
      </c>
      <c r="AL57" t="e">
        <f t="shared" si="38"/>
        <v>#N/A</v>
      </c>
      <c r="AM57" t="e">
        <f t="shared" si="39"/>
        <v>#N/A</v>
      </c>
      <c r="AN57" t="e">
        <f t="shared" si="40"/>
        <v>#N/A</v>
      </c>
      <c r="AO57" t="e">
        <f t="shared" si="41"/>
        <v>#N/A</v>
      </c>
    </row>
    <row r="58" spans="5:41" x14ac:dyDescent="0.2">
      <c r="F58" t="s">
        <v>115</v>
      </c>
      <c r="H58">
        <v>55</v>
      </c>
      <c r="I58">
        <v>0</v>
      </c>
      <c r="J58">
        <v>0</v>
      </c>
      <c r="L58" t="str">
        <f t="shared" si="22"/>
        <v>1091</v>
      </c>
      <c r="R58" t="e">
        <f t="shared" si="23"/>
        <v>#N/A</v>
      </c>
      <c r="S58" t="e">
        <f>S41</f>
        <v>#N/A</v>
      </c>
      <c r="T58" t="e">
        <f>T41</f>
        <v>#N/A</v>
      </c>
      <c r="U58" t="str">
        <f t="shared" si="24"/>
        <v>EFN2O</v>
      </c>
      <c r="V58">
        <f t="shared" si="25"/>
        <v>0</v>
      </c>
      <c r="W58">
        <v>0</v>
      </c>
      <c r="X58">
        <f t="shared" si="26"/>
        <v>0</v>
      </c>
      <c r="Y58">
        <f t="shared" si="27"/>
        <v>0</v>
      </c>
      <c r="Z58">
        <f t="shared" si="28"/>
        <v>1</v>
      </c>
      <c r="AA58">
        <f t="shared" si="29"/>
        <v>-1.4E-3</v>
      </c>
      <c r="AD58">
        <f t="shared" si="30"/>
        <v>0</v>
      </c>
      <c r="AE58">
        <f t="shared" si="31"/>
        <v>0</v>
      </c>
      <c r="AF58">
        <f t="shared" si="32"/>
        <v>0</v>
      </c>
      <c r="AG58">
        <f t="shared" si="33"/>
        <v>0</v>
      </c>
      <c r="AH58">
        <f t="shared" si="34"/>
        <v>0</v>
      </c>
      <c r="AI58">
        <f t="shared" si="35"/>
        <v>0</v>
      </c>
      <c r="AJ58">
        <f t="shared" si="36"/>
        <v>0</v>
      </c>
      <c r="AK58">
        <f t="shared" si="37"/>
        <v>0</v>
      </c>
      <c r="AL58" t="e">
        <f t="shared" si="38"/>
        <v>#N/A</v>
      </c>
      <c r="AM58" t="e">
        <f t="shared" si="39"/>
        <v>#N/A</v>
      </c>
      <c r="AN58" t="e">
        <f t="shared" si="40"/>
        <v>#N/A</v>
      </c>
      <c r="AO58" t="e">
        <f t="shared" si="41"/>
        <v>#N/A</v>
      </c>
    </row>
    <row r="59" spans="5:41" x14ac:dyDescent="0.2">
      <c r="F59" t="s">
        <v>117</v>
      </c>
      <c r="H59">
        <v>60</v>
      </c>
      <c r="I59">
        <v>0</v>
      </c>
      <c r="J59">
        <v>0</v>
      </c>
      <c r="L59" t="str">
        <f t="shared" si="22"/>
        <v>1091</v>
      </c>
      <c r="R59" t="e">
        <f t="shared" si="23"/>
        <v>#N/A</v>
      </c>
      <c r="S59" t="e">
        <f>S41</f>
        <v>#N/A</v>
      </c>
      <c r="T59" t="e">
        <f>T41</f>
        <v>#N/A</v>
      </c>
      <c r="U59" t="str">
        <f t="shared" si="24"/>
        <v>EFN2O</v>
      </c>
      <c r="V59">
        <f t="shared" si="25"/>
        <v>0</v>
      </c>
      <c r="W59">
        <v>0</v>
      </c>
      <c r="X59">
        <f t="shared" si="26"/>
        <v>0</v>
      </c>
      <c r="Y59">
        <f t="shared" si="27"/>
        <v>0</v>
      </c>
      <c r="Z59">
        <f t="shared" si="28"/>
        <v>1</v>
      </c>
      <c r="AA59">
        <f t="shared" si="29"/>
        <v>-1.4E-3</v>
      </c>
      <c r="AD59">
        <f t="shared" si="30"/>
        <v>0</v>
      </c>
      <c r="AE59">
        <f t="shared" si="31"/>
        <v>0</v>
      </c>
      <c r="AF59">
        <f t="shared" si="32"/>
        <v>0</v>
      </c>
      <c r="AG59">
        <f t="shared" si="33"/>
        <v>0</v>
      </c>
      <c r="AH59">
        <f t="shared" si="34"/>
        <v>0</v>
      </c>
      <c r="AI59">
        <f t="shared" si="35"/>
        <v>0</v>
      </c>
      <c r="AJ59">
        <f t="shared" si="36"/>
        <v>0</v>
      </c>
      <c r="AK59">
        <f t="shared" si="37"/>
        <v>0</v>
      </c>
      <c r="AL59" t="e">
        <f t="shared" si="38"/>
        <v>#N/A</v>
      </c>
      <c r="AM59" t="e">
        <f t="shared" si="39"/>
        <v>#N/A</v>
      </c>
      <c r="AN59" t="e">
        <f t="shared" si="40"/>
        <v>#N/A</v>
      </c>
      <c r="AO59" t="e">
        <f t="shared" si="41"/>
        <v>#N/A</v>
      </c>
    </row>
    <row r="60" spans="5:41" x14ac:dyDescent="0.2">
      <c r="F60" t="s">
        <v>119</v>
      </c>
      <c r="H60">
        <v>65</v>
      </c>
      <c r="I60">
        <v>0</v>
      </c>
      <c r="J60">
        <v>0</v>
      </c>
      <c r="L60" t="str">
        <f t="shared" si="22"/>
        <v>1091</v>
      </c>
      <c r="R60" t="e">
        <f t="shared" si="23"/>
        <v>#N/A</v>
      </c>
      <c r="S60" t="e">
        <f>S41</f>
        <v>#N/A</v>
      </c>
      <c r="T60" t="e">
        <f>T41</f>
        <v>#N/A</v>
      </c>
      <c r="U60" t="str">
        <f t="shared" si="24"/>
        <v>EFN2O</v>
      </c>
      <c r="V60">
        <f t="shared" si="25"/>
        <v>0</v>
      </c>
      <c r="W60">
        <v>0</v>
      </c>
      <c r="X60">
        <f t="shared" si="26"/>
        <v>0</v>
      </c>
      <c r="Y60">
        <f t="shared" si="27"/>
        <v>0</v>
      </c>
      <c r="Z60">
        <f t="shared" si="28"/>
        <v>1</v>
      </c>
      <c r="AA60">
        <f t="shared" si="29"/>
        <v>-1.4E-3</v>
      </c>
      <c r="AD60">
        <f t="shared" si="30"/>
        <v>0</v>
      </c>
      <c r="AE60">
        <f t="shared" si="31"/>
        <v>0</v>
      </c>
      <c r="AF60">
        <f t="shared" si="32"/>
        <v>0</v>
      </c>
      <c r="AG60">
        <f t="shared" si="33"/>
        <v>0</v>
      </c>
      <c r="AH60">
        <f t="shared" si="34"/>
        <v>0</v>
      </c>
      <c r="AI60">
        <f t="shared" si="35"/>
        <v>0</v>
      </c>
      <c r="AJ60">
        <f t="shared" si="36"/>
        <v>0</v>
      </c>
      <c r="AK60">
        <f t="shared" si="37"/>
        <v>0</v>
      </c>
      <c r="AL60" t="e">
        <f t="shared" si="38"/>
        <v>#N/A</v>
      </c>
      <c r="AM60" t="e">
        <f t="shared" si="39"/>
        <v>#N/A</v>
      </c>
      <c r="AN60" t="e">
        <f t="shared" si="40"/>
        <v>#N/A</v>
      </c>
      <c r="AO60" t="e">
        <f t="shared" si="41"/>
        <v>#N/A</v>
      </c>
    </row>
    <row r="61" spans="5:41" x14ac:dyDescent="0.2">
      <c r="E61" t="s">
        <v>132</v>
      </c>
      <c r="F61" t="s">
        <v>113</v>
      </c>
      <c r="H61">
        <v>50</v>
      </c>
      <c r="I61">
        <v>0</v>
      </c>
      <c r="J61">
        <v>0</v>
      </c>
      <c r="L61" t="str">
        <f t="shared" si="22"/>
        <v>1091</v>
      </c>
      <c r="R61" t="e">
        <f t="shared" si="23"/>
        <v>#N/A</v>
      </c>
      <c r="S61" t="e">
        <f>S41</f>
        <v>#N/A</v>
      </c>
      <c r="T61" t="e">
        <f>T41</f>
        <v>#N/A</v>
      </c>
      <c r="U61" t="str">
        <f t="shared" si="24"/>
        <v>EFN2O</v>
      </c>
      <c r="V61">
        <f t="shared" si="25"/>
        <v>0</v>
      </c>
      <c r="W61">
        <v>0</v>
      </c>
      <c r="X61">
        <f t="shared" si="26"/>
        <v>0</v>
      </c>
      <c r="Y61">
        <f t="shared" si="27"/>
        <v>0</v>
      </c>
      <c r="Z61">
        <f t="shared" si="28"/>
        <v>1</v>
      </c>
      <c r="AA61">
        <f t="shared" si="29"/>
        <v>-1.4E-3</v>
      </c>
      <c r="AD61">
        <f t="shared" si="30"/>
        <v>0</v>
      </c>
      <c r="AE61">
        <f t="shared" si="31"/>
        <v>0</v>
      </c>
      <c r="AF61">
        <f t="shared" si="32"/>
        <v>0</v>
      </c>
      <c r="AG61">
        <f t="shared" si="33"/>
        <v>0</v>
      </c>
      <c r="AH61">
        <f t="shared" si="34"/>
        <v>0</v>
      </c>
      <c r="AI61">
        <f t="shared" si="35"/>
        <v>0</v>
      </c>
      <c r="AJ61">
        <f t="shared" si="36"/>
        <v>0</v>
      </c>
      <c r="AK61">
        <f t="shared" si="37"/>
        <v>0</v>
      </c>
      <c r="AL61" t="e">
        <f t="shared" si="38"/>
        <v>#N/A</v>
      </c>
      <c r="AM61" t="e">
        <f t="shared" si="39"/>
        <v>#N/A</v>
      </c>
      <c r="AN61" t="e">
        <f t="shared" si="40"/>
        <v>#N/A</v>
      </c>
      <c r="AO61" t="e">
        <f t="shared" si="41"/>
        <v>#N/A</v>
      </c>
    </row>
    <row r="62" spans="5:41" x14ac:dyDescent="0.2">
      <c r="F62" t="s">
        <v>115</v>
      </c>
      <c r="H62">
        <v>100</v>
      </c>
      <c r="I62">
        <v>0</v>
      </c>
      <c r="J62">
        <v>0</v>
      </c>
      <c r="L62" t="str">
        <f t="shared" si="22"/>
        <v>1091</v>
      </c>
      <c r="R62" t="e">
        <f t="shared" si="23"/>
        <v>#N/A</v>
      </c>
      <c r="S62" t="e">
        <f>S41</f>
        <v>#N/A</v>
      </c>
      <c r="T62" t="e">
        <f>T41</f>
        <v>#N/A</v>
      </c>
      <c r="U62" t="str">
        <f t="shared" si="24"/>
        <v>EFN2O</v>
      </c>
      <c r="V62">
        <f t="shared" si="25"/>
        <v>0</v>
      </c>
      <c r="W62">
        <v>0</v>
      </c>
      <c r="X62">
        <f t="shared" si="26"/>
        <v>0</v>
      </c>
      <c r="Y62">
        <f t="shared" si="27"/>
        <v>0</v>
      </c>
      <c r="Z62">
        <f t="shared" si="28"/>
        <v>1</v>
      </c>
      <c r="AA62">
        <f t="shared" si="29"/>
        <v>-1.4E-3</v>
      </c>
      <c r="AD62">
        <f t="shared" si="30"/>
        <v>0</v>
      </c>
      <c r="AE62">
        <f t="shared" si="31"/>
        <v>0</v>
      </c>
      <c r="AF62">
        <f t="shared" si="32"/>
        <v>0</v>
      </c>
      <c r="AG62">
        <f t="shared" si="33"/>
        <v>0</v>
      </c>
      <c r="AH62">
        <f t="shared" si="34"/>
        <v>0</v>
      </c>
      <c r="AI62">
        <f t="shared" si="35"/>
        <v>0</v>
      </c>
      <c r="AJ62">
        <f t="shared" si="36"/>
        <v>0</v>
      </c>
      <c r="AK62">
        <f t="shared" si="37"/>
        <v>0</v>
      </c>
      <c r="AL62" t="e">
        <f t="shared" si="38"/>
        <v>#N/A</v>
      </c>
      <c r="AM62" t="e">
        <f t="shared" si="39"/>
        <v>#N/A</v>
      </c>
      <c r="AN62" t="e">
        <f t="shared" si="40"/>
        <v>#N/A</v>
      </c>
      <c r="AO62" t="e">
        <f t="shared" si="41"/>
        <v>#N/A</v>
      </c>
    </row>
    <row r="63" spans="5:41" x14ac:dyDescent="0.2">
      <c r="F63" t="s">
        <v>117</v>
      </c>
      <c r="H63">
        <v>90</v>
      </c>
      <c r="I63">
        <v>0</v>
      </c>
      <c r="J63">
        <v>0</v>
      </c>
      <c r="L63" t="str">
        <f t="shared" si="22"/>
        <v>1091</v>
      </c>
      <c r="R63" t="e">
        <f t="shared" si="23"/>
        <v>#N/A</v>
      </c>
      <c r="S63" t="e">
        <f>S41</f>
        <v>#N/A</v>
      </c>
      <c r="T63" t="e">
        <f>T41</f>
        <v>#N/A</v>
      </c>
      <c r="U63" t="str">
        <f t="shared" si="24"/>
        <v>EFN2O</v>
      </c>
      <c r="V63">
        <f t="shared" si="25"/>
        <v>0</v>
      </c>
      <c r="W63">
        <v>0</v>
      </c>
      <c r="X63">
        <f t="shared" si="26"/>
        <v>0</v>
      </c>
      <c r="Y63">
        <f t="shared" si="27"/>
        <v>0</v>
      </c>
      <c r="Z63">
        <f t="shared" si="28"/>
        <v>1</v>
      </c>
      <c r="AA63">
        <f t="shared" si="29"/>
        <v>-1.4E-3</v>
      </c>
      <c r="AD63">
        <f t="shared" si="30"/>
        <v>0</v>
      </c>
      <c r="AE63">
        <f t="shared" si="31"/>
        <v>0</v>
      </c>
      <c r="AF63">
        <f t="shared" si="32"/>
        <v>0</v>
      </c>
      <c r="AG63">
        <f t="shared" si="33"/>
        <v>0</v>
      </c>
      <c r="AH63">
        <f t="shared" si="34"/>
        <v>0</v>
      </c>
      <c r="AI63">
        <f t="shared" si="35"/>
        <v>0</v>
      </c>
      <c r="AJ63">
        <f t="shared" si="36"/>
        <v>0</v>
      </c>
      <c r="AK63">
        <f t="shared" si="37"/>
        <v>0</v>
      </c>
      <c r="AL63" t="e">
        <f t="shared" si="38"/>
        <v>#N/A</v>
      </c>
      <c r="AM63" t="e">
        <f t="shared" si="39"/>
        <v>#N/A</v>
      </c>
      <c r="AN63" t="e">
        <f t="shared" si="40"/>
        <v>#N/A</v>
      </c>
      <c r="AO63" t="e">
        <f t="shared" si="41"/>
        <v>#N/A</v>
      </c>
    </row>
    <row r="64" spans="5:41" x14ac:dyDescent="0.2">
      <c r="F64" t="s">
        <v>119</v>
      </c>
      <c r="H64">
        <v>80</v>
      </c>
      <c r="I64">
        <v>0</v>
      </c>
      <c r="J64">
        <v>0</v>
      </c>
      <c r="L64" t="str">
        <f t="shared" si="22"/>
        <v>1091</v>
      </c>
      <c r="R64" t="e">
        <f t="shared" si="23"/>
        <v>#N/A</v>
      </c>
      <c r="S64" t="e">
        <f>S41</f>
        <v>#N/A</v>
      </c>
      <c r="T64" t="e">
        <f>T41</f>
        <v>#N/A</v>
      </c>
      <c r="U64" t="str">
        <f t="shared" si="24"/>
        <v>EFN2O</v>
      </c>
      <c r="V64">
        <f t="shared" si="25"/>
        <v>0</v>
      </c>
      <c r="W64">
        <v>0</v>
      </c>
      <c r="X64">
        <f t="shared" si="26"/>
        <v>0</v>
      </c>
      <c r="Y64">
        <f t="shared" si="27"/>
        <v>0</v>
      </c>
      <c r="Z64">
        <f t="shared" si="28"/>
        <v>1</v>
      </c>
      <c r="AA64">
        <f t="shared" si="29"/>
        <v>-1.4E-3</v>
      </c>
      <c r="AD64">
        <f t="shared" si="30"/>
        <v>0</v>
      </c>
      <c r="AE64">
        <f t="shared" si="31"/>
        <v>0</v>
      </c>
      <c r="AF64">
        <f t="shared" si="32"/>
        <v>0</v>
      </c>
      <c r="AG64">
        <f t="shared" si="33"/>
        <v>0</v>
      </c>
      <c r="AH64">
        <f t="shared" si="34"/>
        <v>0</v>
      </c>
      <c r="AI64">
        <f t="shared" si="35"/>
        <v>0</v>
      </c>
      <c r="AJ64">
        <f t="shared" si="36"/>
        <v>0</v>
      </c>
      <c r="AK64">
        <f t="shared" si="37"/>
        <v>0</v>
      </c>
      <c r="AL64" t="e">
        <f t="shared" si="38"/>
        <v>#N/A</v>
      </c>
      <c r="AM64" t="e">
        <f t="shared" si="39"/>
        <v>#N/A</v>
      </c>
      <c r="AN64" t="e">
        <f t="shared" si="40"/>
        <v>#N/A</v>
      </c>
      <c r="AO64" t="e">
        <f t="shared" si="41"/>
        <v>#N/A</v>
      </c>
    </row>
    <row r="71" spans="1:42" x14ac:dyDescent="0.2">
      <c r="A71" t="s">
        <v>116</v>
      </c>
      <c r="B71" t="s">
        <v>116</v>
      </c>
      <c r="C71" t="s">
        <v>116</v>
      </c>
      <c r="D71" t="s">
        <v>111</v>
      </c>
      <c r="E71" t="s">
        <v>112</v>
      </c>
      <c r="F71" t="s">
        <v>113</v>
      </c>
      <c r="H71">
        <v>100</v>
      </c>
      <c r="I71">
        <v>95</v>
      </c>
      <c r="J71">
        <v>90</v>
      </c>
      <c r="L71" t="str">
        <f t="shared" ref="L71:L94" si="42">$AV$3</f>
        <v>1091</v>
      </c>
      <c r="M71" t="e" cm="1">
        <f t="array" aca="1" ref="M71" ca="1">_xludf.DROP(_xludf.XLOOKUP($C71,#REF!,#REF!),1)</f>
        <v>#NAME?</v>
      </c>
      <c r="O71" t="e" cm="1">
        <f t="array" aca="1" ref="O71" ca="1">_xludf.DROP(_xludf.XLOOKUP($C71,#REF!,#REF!),1)</f>
        <v>#NAME?</v>
      </c>
      <c r="Q71" t="e" cm="1">
        <f t="array" aca="1" ref="Q71" ca="1">_xludf.DROP(_xludf.XLOOKUP($C71,#REF!,#REF!),1)</f>
        <v>#NAME?</v>
      </c>
      <c r="R71">
        <f t="shared" ref="R71:R94" si="43">1-S71</f>
        <v>0</v>
      </c>
      <c r="S71">
        <f>IF($D71="yes", 1, VLOOKUP($B71, $AU$26:$AW$32, 2)/100)</f>
        <v>1</v>
      </c>
      <c r="T71" t="e">
        <f>VLOOKUP($B71,$AW$10:$AX$16, 2, FALSE)</f>
        <v>#N/A</v>
      </c>
      <c r="U71" t="str">
        <f t="shared" ref="U71:U94" si="44">$AV$10</f>
        <v>EFN2O</v>
      </c>
      <c r="V71">
        <f t="shared" ref="V71:V94" si="45">(I71/100)*(MIN(J71,100)/100)</f>
        <v>0.85499999999999998</v>
      </c>
      <c r="W71">
        <v>0</v>
      </c>
      <c r="X71">
        <f t="shared" ref="X71:X94" si="46">1.6 * W71</f>
        <v>0</v>
      </c>
      <c r="Y71">
        <f t="shared" ref="Y71:Y94" si="47">$AY$1</f>
        <v>0</v>
      </c>
      <c r="Z71">
        <f t="shared" ref="Z71:Z94" si="48">V71*Y71+(1-V71)</f>
        <v>0.14500000000000002</v>
      </c>
      <c r="AA71" t="e">
        <f t="shared" ref="AA71:AA94" ca="1" si="49">(0.795*O71)-0.0014</f>
        <v>#NAME?</v>
      </c>
      <c r="AC71" t="e" cm="1">
        <f t="array" aca="1" ref="AC71" ca="1">_xludf.DROP(_xludf.XLOOKUP($C71,#REF!,#REF!),1)</f>
        <v>#NAME?</v>
      </c>
      <c r="AD71" t="e">
        <f t="shared" ref="AD71:AD94" ca="1" si="50">1 - EXP(-2*(AC71^2))</f>
        <v>#NAME?</v>
      </c>
      <c r="AE71" t="e">
        <f t="shared" ref="AE71:AE94" ca="1" si="51">(104.7*AA71+0.307*Q71-15)*(Q71^0.75)*10^-3</f>
        <v>#NAME?</v>
      </c>
      <c r="AF71" t="e">
        <f t="shared" ref="AF71:AF94" ca="1" si="52">AE71*AD71*Z71</f>
        <v>#NAME?</v>
      </c>
      <c r="AG71" t="e">
        <f t="shared" ref="AG71:AG94" ca="1" si="53">(AF71 * M71) + (0.045 * X71)</f>
        <v>#NAME?</v>
      </c>
      <c r="AH71">
        <f t="shared" ref="AH71:AH94" si="54">$AV$2</f>
        <v>0</v>
      </c>
      <c r="AI71" t="e">
        <f t="shared" ref="AI71:AI94" ca="1" si="55">(AF71 * ((1 - O71) + (0.04 * AF71))) * ( 1 - AH71 )</f>
        <v>#NAME?</v>
      </c>
      <c r="AJ71">
        <f t="shared" ref="AJ71:AJ94" si="56">$AV$1</f>
        <v>0</v>
      </c>
      <c r="AK71">
        <f t="shared" ref="AK71:AK94" si="57">$AW$20</f>
        <v>0</v>
      </c>
      <c r="AL71" t="e">
        <f t="shared" ref="AL71:AL94" ca="1" si="58">AI71 * AJ71 * R71 * T71 * AK71</f>
        <v>#NAME?</v>
      </c>
      <c r="AM71" t="e">
        <f t="shared" ref="AM71:AM94" ca="1" si="59">AI71*AJ71*S71*U71*AK71</f>
        <v>#NAME?</v>
      </c>
      <c r="AN71" t="e">
        <f t="shared" ref="AN71:AN94" ca="1" si="60">AL71+AM71</f>
        <v>#NAME?</v>
      </c>
      <c r="AO71" t="e">
        <f t="shared" ref="AO71:AO94" ca="1" si="61">H71*AN71*L71</f>
        <v>#NAME?</v>
      </c>
      <c r="AP71" t="e">
        <f ca="1">SUM(AO71:AO94)*10^-3</f>
        <v>#NAME?</v>
      </c>
    </row>
    <row r="72" spans="1:42" x14ac:dyDescent="0.2">
      <c r="F72" t="s">
        <v>115</v>
      </c>
      <c r="H72">
        <v>70</v>
      </c>
      <c r="I72">
        <v>0</v>
      </c>
      <c r="J72">
        <v>0</v>
      </c>
      <c r="L72" t="str">
        <f t="shared" si="42"/>
        <v>1091</v>
      </c>
      <c r="R72">
        <f t="shared" si="43"/>
        <v>0</v>
      </c>
      <c r="S72">
        <f>S71</f>
        <v>1</v>
      </c>
      <c r="T72" t="e">
        <f>T71</f>
        <v>#N/A</v>
      </c>
      <c r="U72" t="str">
        <f t="shared" si="44"/>
        <v>EFN2O</v>
      </c>
      <c r="V72">
        <f t="shared" si="45"/>
        <v>0</v>
      </c>
      <c r="W72">
        <v>0</v>
      </c>
      <c r="X72">
        <f t="shared" si="46"/>
        <v>0</v>
      </c>
      <c r="Y72">
        <f t="shared" si="47"/>
        <v>0</v>
      </c>
      <c r="Z72">
        <f t="shared" si="48"/>
        <v>1</v>
      </c>
      <c r="AA72">
        <f t="shared" si="49"/>
        <v>-1.4E-3</v>
      </c>
      <c r="AD72">
        <f t="shared" si="50"/>
        <v>0</v>
      </c>
      <c r="AE72">
        <f t="shared" si="51"/>
        <v>0</v>
      </c>
      <c r="AF72">
        <f t="shared" si="52"/>
        <v>0</v>
      </c>
      <c r="AG72">
        <f t="shared" si="53"/>
        <v>0</v>
      </c>
      <c r="AH72">
        <f t="shared" si="54"/>
        <v>0</v>
      </c>
      <c r="AI72">
        <f t="shared" si="55"/>
        <v>0</v>
      </c>
      <c r="AJ72">
        <f t="shared" si="56"/>
        <v>0</v>
      </c>
      <c r="AK72">
        <f t="shared" si="57"/>
        <v>0</v>
      </c>
      <c r="AL72" t="e">
        <f t="shared" si="58"/>
        <v>#N/A</v>
      </c>
      <c r="AM72" t="e">
        <f t="shared" si="59"/>
        <v>#VALUE!</v>
      </c>
      <c r="AN72" t="e">
        <f t="shared" si="60"/>
        <v>#N/A</v>
      </c>
      <c r="AO72" t="e">
        <f t="shared" si="61"/>
        <v>#N/A</v>
      </c>
    </row>
    <row r="73" spans="1:42" x14ac:dyDescent="0.2">
      <c r="F73" t="s">
        <v>117</v>
      </c>
      <c r="H73">
        <v>65</v>
      </c>
      <c r="I73">
        <v>0</v>
      </c>
      <c r="J73">
        <v>0</v>
      </c>
      <c r="L73" t="str">
        <f t="shared" si="42"/>
        <v>1091</v>
      </c>
      <c r="R73">
        <f t="shared" si="43"/>
        <v>0</v>
      </c>
      <c r="S73">
        <f>S71</f>
        <v>1</v>
      </c>
      <c r="T73" t="e">
        <f>T71</f>
        <v>#N/A</v>
      </c>
      <c r="U73" t="str">
        <f t="shared" si="44"/>
        <v>EFN2O</v>
      </c>
      <c r="V73">
        <f t="shared" si="45"/>
        <v>0</v>
      </c>
      <c r="W73">
        <v>0</v>
      </c>
      <c r="X73">
        <f t="shared" si="46"/>
        <v>0</v>
      </c>
      <c r="Y73">
        <f t="shared" si="47"/>
        <v>0</v>
      </c>
      <c r="Z73">
        <f t="shared" si="48"/>
        <v>1</v>
      </c>
      <c r="AA73">
        <f t="shared" si="49"/>
        <v>-1.4E-3</v>
      </c>
      <c r="AD73">
        <f t="shared" si="50"/>
        <v>0</v>
      </c>
      <c r="AE73">
        <f t="shared" si="51"/>
        <v>0</v>
      </c>
      <c r="AF73">
        <f t="shared" si="52"/>
        <v>0</v>
      </c>
      <c r="AG73">
        <f t="shared" si="53"/>
        <v>0</v>
      </c>
      <c r="AH73">
        <f t="shared" si="54"/>
        <v>0</v>
      </c>
      <c r="AI73">
        <f t="shared" si="55"/>
        <v>0</v>
      </c>
      <c r="AJ73">
        <f t="shared" si="56"/>
        <v>0</v>
      </c>
      <c r="AK73">
        <f t="shared" si="57"/>
        <v>0</v>
      </c>
      <c r="AL73" t="e">
        <f t="shared" si="58"/>
        <v>#N/A</v>
      </c>
      <c r="AM73" t="e">
        <f t="shared" si="59"/>
        <v>#VALUE!</v>
      </c>
      <c r="AN73" t="e">
        <f t="shared" si="60"/>
        <v>#N/A</v>
      </c>
      <c r="AO73" t="e">
        <f t="shared" si="61"/>
        <v>#N/A</v>
      </c>
    </row>
    <row r="74" spans="1:42" x14ac:dyDescent="0.2">
      <c r="F74" t="s">
        <v>119</v>
      </c>
      <c r="H74">
        <v>80</v>
      </c>
      <c r="I74">
        <v>0</v>
      </c>
      <c r="J74">
        <v>0</v>
      </c>
      <c r="L74" t="str">
        <f t="shared" si="42"/>
        <v>1091</v>
      </c>
      <c r="R74">
        <f t="shared" si="43"/>
        <v>0</v>
      </c>
      <c r="S74">
        <f>S71</f>
        <v>1</v>
      </c>
      <c r="T74" t="e">
        <f>T71</f>
        <v>#N/A</v>
      </c>
      <c r="U74" t="str">
        <f t="shared" si="44"/>
        <v>EFN2O</v>
      </c>
      <c r="V74">
        <f t="shared" si="45"/>
        <v>0</v>
      </c>
      <c r="W74">
        <v>0</v>
      </c>
      <c r="X74">
        <f t="shared" si="46"/>
        <v>0</v>
      </c>
      <c r="Y74">
        <f t="shared" si="47"/>
        <v>0</v>
      </c>
      <c r="Z74">
        <f t="shared" si="48"/>
        <v>1</v>
      </c>
      <c r="AA74">
        <f t="shared" si="49"/>
        <v>-1.4E-3</v>
      </c>
      <c r="AD74">
        <f t="shared" si="50"/>
        <v>0</v>
      </c>
      <c r="AE74">
        <f t="shared" si="51"/>
        <v>0</v>
      </c>
      <c r="AF74">
        <f t="shared" si="52"/>
        <v>0</v>
      </c>
      <c r="AG74">
        <f t="shared" si="53"/>
        <v>0</v>
      </c>
      <c r="AH74">
        <f t="shared" si="54"/>
        <v>0</v>
      </c>
      <c r="AI74">
        <f t="shared" si="55"/>
        <v>0</v>
      </c>
      <c r="AJ74">
        <f t="shared" si="56"/>
        <v>0</v>
      </c>
      <c r="AK74">
        <f t="shared" si="57"/>
        <v>0</v>
      </c>
      <c r="AL74" t="e">
        <f t="shared" si="58"/>
        <v>#N/A</v>
      </c>
      <c r="AM74" t="e">
        <f t="shared" si="59"/>
        <v>#VALUE!</v>
      </c>
      <c r="AN74" t="e">
        <f t="shared" si="60"/>
        <v>#N/A</v>
      </c>
      <c r="AO74" t="e">
        <f t="shared" si="61"/>
        <v>#N/A</v>
      </c>
    </row>
    <row r="75" spans="1:42" x14ac:dyDescent="0.2">
      <c r="E75" t="s">
        <v>121</v>
      </c>
      <c r="F75" t="s">
        <v>113</v>
      </c>
      <c r="H75">
        <v>200</v>
      </c>
      <c r="I75">
        <v>0</v>
      </c>
      <c r="J75">
        <v>0</v>
      </c>
      <c r="L75" t="str">
        <f t="shared" si="42"/>
        <v>1091</v>
      </c>
      <c r="R75">
        <f t="shared" si="43"/>
        <v>0</v>
      </c>
      <c r="S75">
        <f>S71</f>
        <v>1</v>
      </c>
      <c r="T75" t="e">
        <f>T71</f>
        <v>#N/A</v>
      </c>
      <c r="U75" t="str">
        <f t="shared" si="44"/>
        <v>EFN2O</v>
      </c>
      <c r="V75">
        <f t="shared" si="45"/>
        <v>0</v>
      </c>
      <c r="W75">
        <v>1</v>
      </c>
      <c r="X75">
        <f t="shared" si="46"/>
        <v>1.6</v>
      </c>
      <c r="Y75">
        <f t="shared" si="47"/>
        <v>0</v>
      </c>
      <c r="Z75">
        <f t="shared" si="48"/>
        <v>1</v>
      </c>
      <c r="AA75">
        <f t="shared" si="49"/>
        <v>-1.4E-3</v>
      </c>
      <c r="AD75">
        <f t="shared" si="50"/>
        <v>0</v>
      </c>
      <c r="AE75">
        <f t="shared" si="51"/>
        <v>0</v>
      </c>
      <c r="AF75">
        <f t="shared" si="52"/>
        <v>0</v>
      </c>
      <c r="AG75">
        <f t="shared" si="53"/>
        <v>7.1999999999999995E-2</v>
      </c>
      <c r="AH75">
        <f t="shared" si="54"/>
        <v>0</v>
      </c>
      <c r="AI75">
        <f t="shared" si="55"/>
        <v>0</v>
      </c>
      <c r="AJ75">
        <f t="shared" si="56"/>
        <v>0</v>
      </c>
      <c r="AK75">
        <f t="shared" si="57"/>
        <v>0</v>
      </c>
      <c r="AL75" t="e">
        <f t="shared" si="58"/>
        <v>#N/A</v>
      </c>
      <c r="AM75" t="e">
        <f t="shared" si="59"/>
        <v>#VALUE!</v>
      </c>
      <c r="AN75" t="e">
        <f t="shared" si="60"/>
        <v>#N/A</v>
      </c>
      <c r="AO75" t="e">
        <f t="shared" si="61"/>
        <v>#N/A</v>
      </c>
    </row>
    <row r="76" spans="1:42" x14ac:dyDescent="0.2">
      <c r="F76" t="s">
        <v>115</v>
      </c>
      <c r="H76">
        <v>210</v>
      </c>
      <c r="I76">
        <v>0</v>
      </c>
      <c r="J76">
        <v>0</v>
      </c>
      <c r="L76" t="str">
        <f t="shared" si="42"/>
        <v>1091</v>
      </c>
      <c r="R76">
        <f t="shared" si="43"/>
        <v>0</v>
      </c>
      <c r="S76">
        <f>S71</f>
        <v>1</v>
      </c>
      <c r="T76" t="e">
        <f>T71</f>
        <v>#N/A</v>
      </c>
      <c r="U76" t="str">
        <f t="shared" si="44"/>
        <v>EFN2O</v>
      </c>
      <c r="V76">
        <f t="shared" si="45"/>
        <v>0</v>
      </c>
      <c r="W76">
        <v>0</v>
      </c>
      <c r="X76">
        <f t="shared" si="46"/>
        <v>0</v>
      </c>
      <c r="Y76">
        <f t="shared" si="47"/>
        <v>0</v>
      </c>
      <c r="Z76">
        <f t="shared" si="48"/>
        <v>1</v>
      </c>
      <c r="AA76">
        <f t="shared" si="49"/>
        <v>-1.4E-3</v>
      </c>
      <c r="AD76">
        <f t="shared" si="50"/>
        <v>0</v>
      </c>
      <c r="AE76">
        <f t="shared" si="51"/>
        <v>0</v>
      </c>
      <c r="AF76">
        <f t="shared" si="52"/>
        <v>0</v>
      </c>
      <c r="AG76">
        <f t="shared" si="53"/>
        <v>0</v>
      </c>
      <c r="AH76">
        <f t="shared" si="54"/>
        <v>0</v>
      </c>
      <c r="AI76">
        <f t="shared" si="55"/>
        <v>0</v>
      </c>
      <c r="AJ76">
        <f t="shared" si="56"/>
        <v>0</v>
      </c>
      <c r="AK76">
        <f t="shared" si="57"/>
        <v>0</v>
      </c>
      <c r="AL76" t="e">
        <f t="shared" si="58"/>
        <v>#N/A</v>
      </c>
      <c r="AM76" t="e">
        <f t="shared" si="59"/>
        <v>#VALUE!</v>
      </c>
      <c r="AN76" t="e">
        <f t="shared" si="60"/>
        <v>#N/A</v>
      </c>
      <c r="AO76" t="e">
        <f t="shared" si="61"/>
        <v>#N/A</v>
      </c>
    </row>
    <row r="77" spans="1:42" x14ac:dyDescent="0.2">
      <c r="F77" t="s">
        <v>117</v>
      </c>
      <c r="H77">
        <v>170</v>
      </c>
      <c r="I77">
        <v>0</v>
      </c>
      <c r="J77">
        <v>0</v>
      </c>
      <c r="L77" t="str">
        <f t="shared" si="42"/>
        <v>1091</v>
      </c>
      <c r="R77">
        <f t="shared" si="43"/>
        <v>0</v>
      </c>
      <c r="S77">
        <f>S71</f>
        <v>1</v>
      </c>
      <c r="T77" t="e">
        <f>T71</f>
        <v>#N/A</v>
      </c>
      <c r="U77" t="str">
        <f t="shared" si="44"/>
        <v>EFN2O</v>
      </c>
      <c r="V77">
        <f t="shared" si="45"/>
        <v>0</v>
      </c>
      <c r="W77">
        <v>0</v>
      </c>
      <c r="X77">
        <f t="shared" si="46"/>
        <v>0</v>
      </c>
      <c r="Y77">
        <f t="shared" si="47"/>
        <v>0</v>
      </c>
      <c r="Z77">
        <f t="shared" si="48"/>
        <v>1</v>
      </c>
      <c r="AA77">
        <f t="shared" si="49"/>
        <v>-1.4E-3</v>
      </c>
      <c r="AD77">
        <f t="shared" si="50"/>
        <v>0</v>
      </c>
      <c r="AE77">
        <f t="shared" si="51"/>
        <v>0</v>
      </c>
      <c r="AF77">
        <f t="shared" si="52"/>
        <v>0</v>
      </c>
      <c r="AG77">
        <f t="shared" si="53"/>
        <v>0</v>
      </c>
      <c r="AH77">
        <f t="shared" si="54"/>
        <v>0</v>
      </c>
      <c r="AI77">
        <f t="shared" si="55"/>
        <v>0</v>
      </c>
      <c r="AJ77">
        <f t="shared" si="56"/>
        <v>0</v>
      </c>
      <c r="AK77">
        <f t="shared" si="57"/>
        <v>0</v>
      </c>
      <c r="AL77" t="e">
        <f t="shared" si="58"/>
        <v>#N/A</v>
      </c>
      <c r="AM77" t="e">
        <f t="shared" si="59"/>
        <v>#VALUE!</v>
      </c>
      <c r="AN77" t="e">
        <f t="shared" si="60"/>
        <v>#N/A</v>
      </c>
      <c r="AO77" t="e">
        <f t="shared" si="61"/>
        <v>#N/A</v>
      </c>
    </row>
    <row r="78" spans="1:42" x14ac:dyDescent="0.2">
      <c r="F78" t="s">
        <v>119</v>
      </c>
      <c r="H78">
        <v>200</v>
      </c>
      <c r="I78">
        <v>0</v>
      </c>
      <c r="J78">
        <v>0</v>
      </c>
      <c r="L78" t="str">
        <f t="shared" si="42"/>
        <v>1091</v>
      </c>
      <c r="R78">
        <f t="shared" si="43"/>
        <v>0</v>
      </c>
      <c r="S78">
        <f>S71</f>
        <v>1</v>
      </c>
      <c r="T78" t="e">
        <f>T71</f>
        <v>#N/A</v>
      </c>
      <c r="U78" t="str">
        <f t="shared" si="44"/>
        <v>EFN2O</v>
      </c>
      <c r="V78">
        <f t="shared" si="45"/>
        <v>0</v>
      </c>
      <c r="W78">
        <v>0</v>
      </c>
      <c r="X78">
        <f t="shared" si="46"/>
        <v>0</v>
      </c>
      <c r="Y78">
        <f t="shared" si="47"/>
        <v>0</v>
      </c>
      <c r="Z78">
        <f t="shared" si="48"/>
        <v>1</v>
      </c>
      <c r="AA78">
        <f t="shared" si="49"/>
        <v>-1.4E-3</v>
      </c>
      <c r="AD78">
        <f t="shared" si="50"/>
        <v>0</v>
      </c>
      <c r="AE78">
        <f t="shared" si="51"/>
        <v>0</v>
      </c>
      <c r="AF78">
        <f t="shared" si="52"/>
        <v>0</v>
      </c>
      <c r="AG78">
        <f t="shared" si="53"/>
        <v>0</v>
      </c>
      <c r="AH78">
        <f t="shared" si="54"/>
        <v>0</v>
      </c>
      <c r="AI78">
        <f t="shared" si="55"/>
        <v>0</v>
      </c>
      <c r="AJ78">
        <f t="shared" si="56"/>
        <v>0</v>
      </c>
      <c r="AK78">
        <f t="shared" si="57"/>
        <v>0</v>
      </c>
      <c r="AL78" t="e">
        <f t="shared" si="58"/>
        <v>#N/A</v>
      </c>
      <c r="AM78" t="e">
        <f t="shared" si="59"/>
        <v>#VALUE!</v>
      </c>
      <c r="AN78" t="e">
        <f t="shared" si="60"/>
        <v>#N/A</v>
      </c>
      <c r="AO78" t="e">
        <f t="shared" si="61"/>
        <v>#N/A</v>
      </c>
    </row>
    <row r="79" spans="1:42" x14ac:dyDescent="0.2">
      <c r="E79" t="s">
        <v>126</v>
      </c>
      <c r="F79" t="s">
        <v>113</v>
      </c>
      <c r="H79">
        <v>100</v>
      </c>
      <c r="I79">
        <v>95</v>
      </c>
      <c r="J79">
        <v>92</v>
      </c>
      <c r="L79" t="str">
        <f t="shared" si="42"/>
        <v>1091</v>
      </c>
      <c r="R79">
        <f t="shared" si="43"/>
        <v>0</v>
      </c>
      <c r="S79">
        <f>S71</f>
        <v>1</v>
      </c>
      <c r="T79" t="e">
        <f>T71</f>
        <v>#N/A</v>
      </c>
      <c r="U79" t="str">
        <f t="shared" si="44"/>
        <v>EFN2O</v>
      </c>
      <c r="V79">
        <f t="shared" si="45"/>
        <v>0.874</v>
      </c>
      <c r="W79">
        <v>0</v>
      </c>
      <c r="X79">
        <f t="shared" si="46"/>
        <v>0</v>
      </c>
      <c r="Y79">
        <f t="shared" si="47"/>
        <v>0</v>
      </c>
      <c r="Z79">
        <f t="shared" si="48"/>
        <v>0.126</v>
      </c>
      <c r="AA79">
        <f t="shared" si="49"/>
        <v>-1.4E-3</v>
      </c>
      <c r="AD79">
        <f t="shared" si="50"/>
        <v>0</v>
      </c>
      <c r="AE79">
        <f t="shared" si="51"/>
        <v>0</v>
      </c>
      <c r="AF79">
        <f t="shared" si="52"/>
        <v>0</v>
      </c>
      <c r="AG79">
        <f t="shared" si="53"/>
        <v>0</v>
      </c>
      <c r="AH79">
        <f t="shared" si="54"/>
        <v>0</v>
      </c>
      <c r="AI79">
        <f t="shared" si="55"/>
        <v>0</v>
      </c>
      <c r="AJ79">
        <f t="shared" si="56"/>
        <v>0</v>
      </c>
      <c r="AK79">
        <f t="shared" si="57"/>
        <v>0</v>
      </c>
      <c r="AL79" t="e">
        <f t="shared" si="58"/>
        <v>#N/A</v>
      </c>
      <c r="AM79" t="e">
        <f t="shared" si="59"/>
        <v>#VALUE!</v>
      </c>
      <c r="AN79" t="e">
        <f t="shared" si="60"/>
        <v>#N/A</v>
      </c>
      <c r="AO79" t="e">
        <f t="shared" si="61"/>
        <v>#N/A</v>
      </c>
    </row>
    <row r="80" spans="1:42" x14ac:dyDescent="0.2">
      <c r="F80" t="s">
        <v>115</v>
      </c>
      <c r="H80">
        <v>140</v>
      </c>
      <c r="I80">
        <v>0</v>
      </c>
      <c r="J80">
        <v>0</v>
      </c>
      <c r="L80" t="str">
        <f t="shared" si="42"/>
        <v>1091</v>
      </c>
      <c r="R80">
        <f t="shared" si="43"/>
        <v>0</v>
      </c>
      <c r="S80">
        <f>S71</f>
        <v>1</v>
      </c>
      <c r="T80" t="e">
        <f>T71</f>
        <v>#N/A</v>
      </c>
      <c r="U80" t="str">
        <f t="shared" si="44"/>
        <v>EFN2O</v>
      </c>
      <c r="V80">
        <f t="shared" si="45"/>
        <v>0</v>
      </c>
      <c r="W80">
        <v>0</v>
      </c>
      <c r="X80">
        <f t="shared" si="46"/>
        <v>0</v>
      </c>
      <c r="Y80">
        <f t="shared" si="47"/>
        <v>0</v>
      </c>
      <c r="Z80">
        <f t="shared" si="48"/>
        <v>1</v>
      </c>
      <c r="AA80">
        <f t="shared" si="49"/>
        <v>-1.4E-3</v>
      </c>
      <c r="AD80">
        <f t="shared" si="50"/>
        <v>0</v>
      </c>
      <c r="AE80">
        <f t="shared" si="51"/>
        <v>0</v>
      </c>
      <c r="AF80">
        <f t="shared" si="52"/>
        <v>0</v>
      </c>
      <c r="AG80">
        <f t="shared" si="53"/>
        <v>0</v>
      </c>
      <c r="AH80">
        <f t="shared" si="54"/>
        <v>0</v>
      </c>
      <c r="AI80">
        <f t="shared" si="55"/>
        <v>0</v>
      </c>
      <c r="AJ80">
        <f t="shared" si="56"/>
        <v>0</v>
      </c>
      <c r="AK80">
        <f t="shared" si="57"/>
        <v>0</v>
      </c>
      <c r="AL80" t="e">
        <f t="shared" si="58"/>
        <v>#N/A</v>
      </c>
      <c r="AM80" t="e">
        <f t="shared" si="59"/>
        <v>#VALUE!</v>
      </c>
      <c r="AN80" t="e">
        <f t="shared" si="60"/>
        <v>#N/A</v>
      </c>
      <c r="AO80" t="e">
        <f t="shared" si="61"/>
        <v>#N/A</v>
      </c>
    </row>
    <row r="81" spans="5:41" x14ac:dyDescent="0.2">
      <c r="F81" t="s">
        <v>117</v>
      </c>
      <c r="H81">
        <v>135</v>
      </c>
      <c r="I81">
        <v>0</v>
      </c>
      <c r="J81">
        <v>0</v>
      </c>
      <c r="L81" t="str">
        <f t="shared" si="42"/>
        <v>1091</v>
      </c>
      <c r="R81">
        <f t="shared" si="43"/>
        <v>0</v>
      </c>
      <c r="S81">
        <f>S71</f>
        <v>1</v>
      </c>
      <c r="T81" t="e">
        <f>T71</f>
        <v>#N/A</v>
      </c>
      <c r="U81" t="str">
        <f t="shared" si="44"/>
        <v>EFN2O</v>
      </c>
      <c r="V81">
        <f t="shared" si="45"/>
        <v>0</v>
      </c>
      <c r="W81">
        <v>0</v>
      </c>
      <c r="X81">
        <f t="shared" si="46"/>
        <v>0</v>
      </c>
      <c r="Y81">
        <f t="shared" si="47"/>
        <v>0</v>
      </c>
      <c r="Z81">
        <f t="shared" si="48"/>
        <v>1</v>
      </c>
      <c r="AA81">
        <f t="shared" si="49"/>
        <v>-1.4E-3</v>
      </c>
      <c r="AD81">
        <f t="shared" si="50"/>
        <v>0</v>
      </c>
      <c r="AE81">
        <f t="shared" si="51"/>
        <v>0</v>
      </c>
      <c r="AF81">
        <f t="shared" si="52"/>
        <v>0</v>
      </c>
      <c r="AG81">
        <f t="shared" si="53"/>
        <v>0</v>
      </c>
      <c r="AH81">
        <f t="shared" si="54"/>
        <v>0</v>
      </c>
      <c r="AI81">
        <f t="shared" si="55"/>
        <v>0</v>
      </c>
      <c r="AJ81">
        <f t="shared" si="56"/>
        <v>0</v>
      </c>
      <c r="AK81">
        <f t="shared" si="57"/>
        <v>0</v>
      </c>
      <c r="AL81" t="e">
        <f t="shared" si="58"/>
        <v>#N/A</v>
      </c>
      <c r="AM81" t="e">
        <f t="shared" si="59"/>
        <v>#VALUE!</v>
      </c>
      <c r="AN81" t="e">
        <f t="shared" si="60"/>
        <v>#N/A</v>
      </c>
      <c r="AO81" t="e">
        <f t="shared" si="61"/>
        <v>#N/A</v>
      </c>
    </row>
    <row r="82" spans="5:41" x14ac:dyDescent="0.2">
      <c r="F82" t="s">
        <v>119</v>
      </c>
      <c r="H82">
        <v>130</v>
      </c>
      <c r="I82">
        <v>0</v>
      </c>
      <c r="J82">
        <v>0</v>
      </c>
      <c r="L82" t="str">
        <f t="shared" si="42"/>
        <v>1091</v>
      </c>
      <c r="R82">
        <f t="shared" si="43"/>
        <v>0</v>
      </c>
      <c r="S82">
        <f>S71</f>
        <v>1</v>
      </c>
      <c r="T82" t="e">
        <f>T71</f>
        <v>#N/A</v>
      </c>
      <c r="U82" t="str">
        <f t="shared" si="44"/>
        <v>EFN2O</v>
      </c>
      <c r="V82">
        <f t="shared" si="45"/>
        <v>0</v>
      </c>
      <c r="W82">
        <v>0</v>
      </c>
      <c r="X82">
        <f t="shared" si="46"/>
        <v>0</v>
      </c>
      <c r="Y82">
        <f t="shared" si="47"/>
        <v>0</v>
      </c>
      <c r="Z82">
        <f t="shared" si="48"/>
        <v>1</v>
      </c>
      <c r="AA82">
        <f t="shared" si="49"/>
        <v>-1.4E-3</v>
      </c>
      <c r="AD82">
        <f t="shared" si="50"/>
        <v>0</v>
      </c>
      <c r="AE82">
        <f t="shared" si="51"/>
        <v>0</v>
      </c>
      <c r="AF82">
        <f t="shared" si="52"/>
        <v>0</v>
      </c>
      <c r="AG82">
        <f t="shared" si="53"/>
        <v>0</v>
      </c>
      <c r="AH82">
        <f t="shared" si="54"/>
        <v>0</v>
      </c>
      <c r="AI82">
        <f t="shared" si="55"/>
        <v>0</v>
      </c>
      <c r="AJ82">
        <f t="shared" si="56"/>
        <v>0</v>
      </c>
      <c r="AK82">
        <f t="shared" si="57"/>
        <v>0</v>
      </c>
      <c r="AL82" t="e">
        <f t="shared" si="58"/>
        <v>#N/A</v>
      </c>
      <c r="AM82" t="e">
        <f t="shared" si="59"/>
        <v>#VALUE!</v>
      </c>
      <c r="AN82" t="e">
        <f t="shared" si="60"/>
        <v>#N/A</v>
      </c>
      <c r="AO82" t="e">
        <f t="shared" si="61"/>
        <v>#N/A</v>
      </c>
    </row>
    <row r="83" spans="5:41" x14ac:dyDescent="0.2">
      <c r="E83" t="s">
        <v>129</v>
      </c>
      <c r="F83" t="s">
        <v>113</v>
      </c>
      <c r="H83">
        <v>200</v>
      </c>
      <c r="I83">
        <v>0</v>
      </c>
      <c r="J83">
        <v>0</v>
      </c>
      <c r="L83" t="str">
        <f t="shared" si="42"/>
        <v>1091</v>
      </c>
      <c r="R83">
        <f t="shared" si="43"/>
        <v>0</v>
      </c>
      <c r="S83">
        <f>S71</f>
        <v>1</v>
      </c>
      <c r="T83" t="e">
        <f>T71</f>
        <v>#N/A</v>
      </c>
      <c r="U83" t="str">
        <f t="shared" si="44"/>
        <v>EFN2O</v>
      </c>
      <c r="V83">
        <f t="shared" si="45"/>
        <v>0</v>
      </c>
      <c r="W83">
        <v>0</v>
      </c>
      <c r="X83">
        <f t="shared" si="46"/>
        <v>0</v>
      </c>
      <c r="Y83">
        <f t="shared" si="47"/>
        <v>0</v>
      </c>
      <c r="Z83">
        <f t="shared" si="48"/>
        <v>1</v>
      </c>
      <c r="AA83">
        <f t="shared" si="49"/>
        <v>-1.4E-3</v>
      </c>
      <c r="AD83">
        <f t="shared" si="50"/>
        <v>0</v>
      </c>
      <c r="AE83">
        <f t="shared" si="51"/>
        <v>0</v>
      </c>
      <c r="AF83">
        <f t="shared" si="52"/>
        <v>0</v>
      </c>
      <c r="AG83">
        <f t="shared" si="53"/>
        <v>0</v>
      </c>
      <c r="AH83">
        <f t="shared" si="54"/>
        <v>0</v>
      </c>
      <c r="AI83">
        <f t="shared" si="55"/>
        <v>0</v>
      </c>
      <c r="AJ83">
        <f t="shared" si="56"/>
        <v>0</v>
      </c>
      <c r="AK83">
        <f t="shared" si="57"/>
        <v>0</v>
      </c>
      <c r="AL83" t="e">
        <f t="shared" si="58"/>
        <v>#N/A</v>
      </c>
      <c r="AM83" t="e">
        <f t="shared" si="59"/>
        <v>#VALUE!</v>
      </c>
      <c r="AN83" t="e">
        <f t="shared" si="60"/>
        <v>#N/A</v>
      </c>
      <c r="AO83" t="e">
        <f t="shared" si="61"/>
        <v>#N/A</v>
      </c>
    </row>
    <row r="84" spans="5:41" x14ac:dyDescent="0.2">
      <c r="F84" t="s">
        <v>115</v>
      </c>
      <c r="H84">
        <v>210</v>
      </c>
      <c r="I84">
        <v>0</v>
      </c>
      <c r="J84">
        <v>0</v>
      </c>
      <c r="L84" t="str">
        <f t="shared" si="42"/>
        <v>1091</v>
      </c>
      <c r="R84">
        <f t="shared" si="43"/>
        <v>0</v>
      </c>
      <c r="S84">
        <f>S71</f>
        <v>1</v>
      </c>
      <c r="T84" t="e">
        <f>T71</f>
        <v>#N/A</v>
      </c>
      <c r="U84" t="str">
        <f t="shared" si="44"/>
        <v>EFN2O</v>
      </c>
      <c r="V84">
        <f t="shared" si="45"/>
        <v>0</v>
      </c>
      <c r="W84">
        <v>0</v>
      </c>
      <c r="X84">
        <f t="shared" si="46"/>
        <v>0</v>
      </c>
      <c r="Y84">
        <f t="shared" si="47"/>
        <v>0</v>
      </c>
      <c r="Z84">
        <f t="shared" si="48"/>
        <v>1</v>
      </c>
      <c r="AA84">
        <f t="shared" si="49"/>
        <v>-1.4E-3</v>
      </c>
      <c r="AD84">
        <f t="shared" si="50"/>
        <v>0</v>
      </c>
      <c r="AE84">
        <f t="shared" si="51"/>
        <v>0</v>
      </c>
      <c r="AF84">
        <f t="shared" si="52"/>
        <v>0</v>
      </c>
      <c r="AG84">
        <f t="shared" si="53"/>
        <v>0</v>
      </c>
      <c r="AH84">
        <f t="shared" si="54"/>
        <v>0</v>
      </c>
      <c r="AI84">
        <f t="shared" si="55"/>
        <v>0</v>
      </c>
      <c r="AJ84">
        <f t="shared" si="56"/>
        <v>0</v>
      </c>
      <c r="AK84">
        <f t="shared" si="57"/>
        <v>0</v>
      </c>
      <c r="AL84" t="e">
        <f t="shared" si="58"/>
        <v>#N/A</v>
      </c>
      <c r="AM84" t="e">
        <f t="shared" si="59"/>
        <v>#VALUE!</v>
      </c>
      <c r="AN84" t="e">
        <f t="shared" si="60"/>
        <v>#N/A</v>
      </c>
      <c r="AO84" t="e">
        <f t="shared" si="61"/>
        <v>#N/A</v>
      </c>
    </row>
    <row r="85" spans="5:41" x14ac:dyDescent="0.2">
      <c r="F85" t="s">
        <v>117</v>
      </c>
      <c r="H85">
        <v>190</v>
      </c>
      <c r="I85">
        <v>0</v>
      </c>
      <c r="J85">
        <v>0</v>
      </c>
      <c r="L85" t="str">
        <f t="shared" si="42"/>
        <v>1091</v>
      </c>
      <c r="R85">
        <f t="shared" si="43"/>
        <v>0</v>
      </c>
      <c r="S85">
        <f>S71</f>
        <v>1</v>
      </c>
      <c r="T85" t="e">
        <f>T71</f>
        <v>#N/A</v>
      </c>
      <c r="U85" t="str">
        <f t="shared" si="44"/>
        <v>EFN2O</v>
      </c>
      <c r="V85">
        <f t="shared" si="45"/>
        <v>0</v>
      </c>
      <c r="W85">
        <v>0</v>
      </c>
      <c r="X85">
        <f t="shared" si="46"/>
        <v>0</v>
      </c>
      <c r="Y85">
        <f t="shared" si="47"/>
        <v>0</v>
      </c>
      <c r="Z85">
        <f t="shared" si="48"/>
        <v>1</v>
      </c>
      <c r="AA85">
        <f t="shared" si="49"/>
        <v>-1.4E-3</v>
      </c>
      <c r="AD85">
        <f t="shared" si="50"/>
        <v>0</v>
      </c>
      <c r="AE85">
        <f t="shared" si="51"/>
        <v>0</v>
      </c>
      <c r="AF85">
        <f t="shared" si="52"/>
        <v>0</v>
      </c>
      <c r="AG85">
        <f t="shared" si="53"/>
        <v>0</v>
      </c>
      <c r="AH85">
        <f t="shared" si="54"/>
        <v>0</v>
      </c>
      <c r="AI85">
        <f t="shared" si="55"/>
        <v>0</v>
      </c>
      <c r="AJ85">
        <f t="shared" si="56"/>
        <v>0</v>
      </c>
      <c r="AK85">
        <f t="shared" si="57"/>
        <v>0</v>
      </c>
      <c r="AL85" t="e">
        <f t="shared" si="58"/>
        <v>#N/A</v>
      </c>
      <c r="AM85" t="e">
        <f t="shared" si="59"/>
        <v>#VALUE!</v>
      </c>
      <c r="AN85" t="e">
        <f t="shared" si="60"/>
        <v>#N/A</v>
      </c>
      <c r="AO85" t="e">
        <f t="shared" si="61"/>
        <v>#N/A</v>
      </c>
    </row>
    <row r="86" spans="5:41" x14ac:dyDescent="0.2">
      <c r="F86" t="s">
        <v>119</v>
      </c>
      <c r="H86">
        <v>180</v>
      </c>
      <c r="I86">
        <v>0</v>
      </c>
      <c r="J86">
        <v>0</v>
      </c>
      <c r="L86" t="str">
        <f t="shared" si="42"/>
        <v>1091</v>
      </c>
      <c r="R86">
        <f t="shared" si="43"/>
        <v>0</v>
      </c>
      <c r="S86">
        <f>S71</f>
        <v>1</v>
      </c>
      <c r="T86" t="e">
        <f>T71</f>
        <v>#N/A</v>
      </c>
      <c r="U86" t="str">
        <f t="shared" si="44"/>
        <v>EFN2O</v>
      </c>
      <c r="V86">
        <f t="shared" si="45"/>
        <v>0</v>
      </c>
      <c r="W86">
        <v>0</v>
      </c>
      <c r="X86">
        <f t="shared" si="46"/>
        <v>0</v>
      </c>
      <c r="Y86">
        <f t="shared" si="47"/>
        <v>0</v>
      </c>
      <c r="Z86">
        <f t="shared" si="48"/>
        <v>1</v>
      </c>
      <c r="AA86">
        <f t="shared" si="49"/>
        <v>-1.4E-3</v>
      </c>
      <c r="AD86">
        <f t="shared" si="50"/>
        <v>0</v>
      </c>
      <c r="AE86">
        <f t="shared" si="51"/>
        <v>0</v>
      </c>
      <c r="AF86">
        <f t="shared" si="52"/>
        <v>0</v>
      </c>
      <c r="AG86">
        <f t="shared" si="53"/>
        <v>0</v>
      </c>
      <c r="AH86">
        <f t="shared" si="54"/>
        <v>0</v>
      </c>
      <c r="AI86">
        <f t="shared" si="55"/>
        <v>0</v>
      </c>
      <c r="AJ86">
        <f t="shared" si="56"/>
        <v>0</v>
      </c>
      <c r="AK86">
        <f t="shared" si="57"/>
        <v>0</v>
      </c>
      <c r="AL86" t="e">
        <f t="shared" si="58"/>
        <v>#N/A</v>
      </c>
      <c r="AM86" t="e">
        <f t="shared" si="59"/>
        <v>#VALUE!</v>
      </c>
      <c r="AN86" t="e">
        <f t="shared" si="60"/>
        <v>#N/A</v>
      </c>
      <c r="AO86" t="e">
        <f t="shared" si="61"/>
        <v>#N/A</v>
      </c>
    </row>
    <row r="87" spans="5:41" x14ac:dyDescent="0.2">
      <c r="E87" t="s">
        <v>131</v>
      </c>
      <c r="F87" t="s">
        <v>113</v>
      </c>
      <c r="H87">
        <v>50</v>
      </c>
      <c r="I87">
        <v>0</v>
      </c>
      <c r="J87">
        <v>0</v>
      </c>
      <c r="L87" t="str">
        <f t="shared" si="42"/>
        <v>1091</v>
      </c>
      <c r="R87">
        <f t="shared" si="43"/>
        <v>0</v>
      </c>
      <c r="S87">
        <f>S71</f>
        <v>1</v>
      </c>
      <c r="T87" t="e">
        <f>T71</f>
        <v>#N/A</v>
      </c>
      <c r="U87" t="str">
        <f t="shared" si="44"/>
        <v>EFN2O</v>
      </c>
      <c r="V87">
        <f t="shared" si="45"/>
        <v>0</v>
      </c>
      <c r="W87">
        <v>0</v>
      </c>
      <c r="X87">
        <f t="shared" si="46"/>
        <v>0</v>
      </c>
      <c r="Y87">
        <f t="shared" si="47"/>
        <v>0</v>
      </c>
      <c r="Z87">
        <f t="shared" si="48"/>
        <v>1</v>
      </c>
      <c r="AA87">
        <f t="shared" si="49"/>
        <v>-1.4E-3</v>
      </c>
      <c r="AD87">
        <f t="shared" si="50"/>
        <v>0</v>
      </c>
      <c r="AE87">
        <f t="shared" si="51"/>
        <v>0</v>
      </c>
      <c r="AF87">
        <f t="shared" si="52"/>
        <v>0</v>
      </c>
      <c r="AG87">
        <f t="shared" si="53"/>
        <v>0</v>
      </c>
      <c r="AH87">
        <f t="shared" si="54"/>
        <v>0</v>
      </c>
      <c r="AI87">
        <f t="shared" si="55"/>
        <v>0</v>
      </c>
      <c r="AJ87">
        <f t="shared" si="56"/>
        <v>0</v>
      </c>
      <c r="AK87">
        <f t="shared" si="57"/>
        <v>0</v>
      </c>
      <c r="AL87" t="e">
        <f t="shared" si="58"/>
        <v>#N/A</v>
      </c>
      <c r="AM87" t="e">
        <f t="shared" si="59"/>
        <v>#VALUE!</v>
      </c>
      <c r="AN87" t="e">
        <f t="shared" si="60"/>
        <v>#N/A</v>
      </c>
      <c r="AO87" t="e">
        <f t="shared" si="61"/>
        <v>#N/A</v>
      </c>
    </row>
    <row r="88" spans="5:41" x14ac:dyDescent="0.2">
      <c r="F88" t="s">
        <v>115</v>
      </c>
      <c r="H88">
        <v>55</v>
      </c>
      <c r="I88">
        <v>0</v>
      </c>
      <c r="J88">
        <v>0</v>
      </c>
      <c r="L88" t="str">
        <f t="shared" si="42"/>
        <v>1091</v>
      </c>
      <c r="R88">
        <f t="shared" si="43"/>
        <v>0</v>
      </c>
      <c r="S88">
        <f>S71</f>
        <v>1</v>
      </c>
      <c r="T88" t="e">
        <f>T71</f>
        <v>#N/A</v>
      </c>
      <c r="U88" t="str">
        <f t="shared" si="44"/>
        <v>EFN2O</v>
      </c>
      <c r="V88">
        <f t="shared" si="45"/>
        <v>0</v>
      </c>
      <c r="W88">
        <v>0</v>
      </c>
      <c r="X88">
        <f t="shared" si="46"/>
        <v>0</v>
      </c>
      <c r="Y88">
        <f t="shared" si="47"/>
        <v>0</v>
      </c>
      <c r="Z88">
        <f t="shared" si="48"/>
        <v>1</v>
      </c>
      <c r="AA88">
        <f t="shared" si="49"/>
        <v>-1.4E-3</v>
      </c>
      <c r="AD88">
        <f t="shared" si="50"/>
        <v>0</v>
      </c>
      <c r="AE88">
        <f t="shared" si="51"/>
        <v>0</v>
      </c>
      <c r="AF88">
        <f t="shared" si="52"/>
        <v>0</v>
      </c>
      <c r="AG88">
        <f t="shared" si="53"/>
        <v>0</v>
      </c>
      <c r="AH88">
        <f t="shared" si="54"/>
        <v>0</v>
      </c>
      <c r="AI88">
        <f t="shared" si="55"/>
        <v>0</v>
      </c>
      <c r="AJ88">
        <f t="shared" si="56"/>
        <v>0</v>
      </c>
      <c r="AK88">
        <f t="shared" si="57"/>
        <v>0</v>
      </c>
      <c r="AL88" t="e">
        <f t="shared" si="58"/>
        <v>#N/A</v>
      </c>
      <c r="AM88" t="e">
        <f t="shared" si="59"/>
        <v>#VALUE!</v>
      </c>
      <c r="AN88" t="e">
        <f t="shared" si="60"/>
        <v>#N/A</v>
      </c>
      <c r="AO88" t="e">
        <f t="shared" si="61"/>
        <v>#N/A</v>
      </c>
    </row>
    <row r="89" spans="5:41" x14ac:dyDescent="0.2">
      <c r="F89" t="s">
        <v>117</v>
      </c>
      <c r="H89">
        <v>60</v>
      </c>
      <c r="I89">
        <v>0</v>
      </c>
      <c r="J89">
        <v>0</v>
      </c>
      <c r="L89" t="str">
        <f t="shared" si="42"/>
        <v>1091</v>
      </c>
      <c r="R89">
        <f t="shared" si="43"/>
        <v>0</v>
      </c>
      <c r="S89">
        <f>S71</f>
        <v>1</v>
      </c>
      <c r="T89" t="e">
        <f>T71</f>
        <v>#N/A</v>
      </c>
      <c r="U89" t="str">
        <f t="shared" si="44"/>
        <v>EFN2O</v>
      </c>
      <c r="V89">
        <f t="shared" si="45"/>
        <v>0</v>
      </c>
      <c r="W89">
        <v>0</v>
      </c>
      <c r="X89">
        <f t="shared" si="46"/>
        <v>0</v>
      </c>
      <c r="Y89">
        <f t="shared" si="47"/>
        <v>0</v>
      </c>
      <c r="Z89">
        <f t="shared" si="48"/>
        <v>1</v>
      </c>
      <c r="AA89">
        <f t="shared" si="49"/>
        <v>-1.4E-3</v>
      </c>
      <c r="AD89">
        <f t="shared" si="50"/>
        <v>0</v>
      </c>
      <c r="AE89">
        <f t="shared" si="51"/>
        <v>0</v>
      </c>
      <c r="AF89">
        <f t="shared" si="52"/>
        <v>0</v>
      </c>
      <c r="AG89">
        <f t="shared" si="53"/>
        <v>0</v>
      </c>
      <c r="AH89">
        <f t="shared" si="54"/>
        <v>0</v>
      </c>
      <c r="AI89">
        <f t="shared" si="55"/>
        <v>0</v>
      </c>
      <c r="AJ89">
        <f t="shared" si="56"/>
        <v>0</v>
      </c>
      <c r="AK89">
        <f t="shared" si="57"/>
        <v>0</v>
      </c>
      <c r="AL89" t="e">
        <f t="shared" si="58"/>
        <v>#N/A</v>
      </c>
      <c r="AM89" t="e">
        <f t="shared" si="59"/>
        <v>#VALUE!</v>
      </c>
      <c r="AN89" t="e">
        <f t="shared" si="60"/>
        <v>#N/A</v>
      </c>
      <c r="AO89" t="e">
        <f t="shared" si="61"/>
        <v>#N/A</v>
      </c>
    </row>
    <row r="90" spans="5:41" x14ac:dyDescent="0.2">
      <c r="F90" t="s">
        <v>119</v>
      </c>
      <c r="H90">
        <v>65</v>
      </c>
      <c r="I90">
        <v>0</v>
      </c>
      <c r="J90">
        <v>0</v>
      </c>
      <c r="L90" t="str">
        <f t="shared" si="42"/>
        <v>1091</v>
      </c>
      <c r="R90">
        <f t="shared" si="43"/>
        <v>0</v>
      </c>
      <c r="S90">
        <f>S71</f>
        <v>1</v>
      </c>
      <c r="T90" t="e">
        <f>T71</f>
        <v>#N/A</v>
      </c>
      <c r="U90" t="str">
        <f t="shared" si="44"/>
        <v>EFN2O</v>
      </c>
      <c r="V90">
        <f t="shared" si="45"/>
        <v>0</v>
      </c>
      <c r="W90">
        <v>0</v>
      </c>
      <c r="X90">
        <f t="shared" si="46"/>
        <v>0</v>
      </c>
      <c r="Y90">
        <f t="shared" si="47"/>
        <v>0</v>
      </c>
      <c r="Z90">
        <f t="shared" si="48"/>
        <v>1</v>
      </c>
      <c r="AA90">
        <f t="shared" si="49"/>
        <v>-1.4E-3</v>
      </c>
      <c r="AD90">
        <f t="shared" si="50"/>
        <v>0</v>
      </c>
      <c r="AE90">
        <f t="shared" si="51"/>
        <v>0</v>
      </c>
      <c r="AF90">
        <f t="shared" si="52"/>
        <v>0</v>
      </c>
      <c r="AG90">
        <f t="shared" si="53"/>
        <v>0</v>
      </c>
      <c r="AH90">
        <f t="shared" si="54"/>
        <v>0</v>
      </c>
      <c r="AI90">
        <f t="shared" si="55"/>
        <v>0</v>
      </c>
      <c r="AJ90">
        <f t="shared" si="56"/>
        <v>0</v>
      </c>
      <c r="AK90">
        <f t="shared" si="57"/>
        <v>0</v>
      </c>
      <c r="AL90" t="e">
        <f t="shared" si="58"/>
        <v>#N/A</v>
      </c>
      <c r="AM90" t="e">
        <f t="shared" si="59"/>
        <v>#VALUE!</v>
      </c>
      <c r="AN90" t="e">
        <f t="shared" si="60"/>
        <v>#N/A</v>
      </c>
      <c r="AO90" t="e">
        <f t="shared" si="61"/>
        <v>#N/A</v>
      </c>
    </row>
    <row r="91" spans="5:41" x14ac:dyDescent="0.2">
      <c r="E91" t="s">
        <v>132</v>
      </c>
      <c r="F91" t="s">
        <v>113</v>
      </c>
      <c r="H91">
        <v>50</v>
      </c>
      <c r="I91">
        <v>0</v>
      </c>
      <c r="J91">
        <v>0</v>
      </c>
      <c r="L91" t="str">
        <f t="shared" si="42"/>
        <v>1091</v>
      </c>
      <c r="R91">
        <f t="shared" si="43"/>
        <v>0</v>
      </c>
      <c r="S91">
        <f>S71</f>
        <v>1</v>
      </c>
      <c r="T91" t="e">
        <f>T71</f>
        <v>#N/A</v>
      </c>
      <c r="U91" t="str">
        <f t="shared" si="44"/>
        <v>EFN2O</v>
      </c>
      <c r="V91">
        <f t="shared" si="45"/>
        <v>0</v>
      </c>
      <c r="W91">
        <v>0</v>
      </c>
      <c r="X91">
        <f t="shared" si="46"/>
        <v>0</v>
      </c>
      <c r="Y91">
        <f t="shared" si="47"/>
        <v>0</v>
      </c>
      <c r="Z91">
        <f t="shared" si="48"/>
        <v>1</v>
      </c>
      <c r="AA91">
        <f t="shared" si="49"/>
        <v>-1.4E-3</v>
      </c>
      <c r="AD91">
        <f t="shared" si="50"/>
        <v>0</v>
      </c>
      <c r="AE91">
        <f t="shared" si="51"/>
        <v>0</v>
      </c>
      <c r="AF91">
        <f t="shared" si="52"/>
        <v>0</v>
      </c>
      <c r="AG91">
        <f t="shared" si="53"/>
        <v>0</v>
      </c>
      <c r="AH91">
        <f t="shared" si="54"/>
        <v>0</v>
      </c>
      <c r="AI91">
        <f t="shared" si="55"/>
        <v>0</v>
      </c>
      <c r="AJ91">
        <f t="shared" si="56"/>
        <v>0</v>
      </c>
      <c r="AK91">
        <f t="shared" si="57"/>
        <v>0</v>
      </c>
      <c r="AL91" t="e">
        <f t="shared" si="58"/>
        <v>#N/A</v>
      </c>
      <c r="AM91" t="e">
        <f t="shared" si="59"/>
        <v>#VALUE!</v>
      </c>
      <c r="AN91" t="e">
        <f t="shared" si="60"/>
        <v>#N/A</v>
      </c>
      <c r="AO91" t="e">
        <f t="shared" si="61"/>
        <v>#N/A</v>
      </c>
    </row>
    <row r="92" spans="5:41" x14ac:dyDescent="0.2">
      <c r="F92" t="s">
        <v>115</v>
      </c>
      <c r="H92">
        <v>100</v>
      </c>
      <c r="I92">
        <v>0</v>
      </c>
      <c r="J92">
        <v>0</v>
      </c>
      <c r="L92" t="str">
        <f t="shared" si="42"/>
        <v>1091</v>
      </c>
      <c r="R92">
        <f t="shared" si="43"/>
        <v>0</v>
      </c>
      <c r="S92">
        <f>S71</f>
        <v>1</v>
      </c>
      <c r="T92" t="e">
        <f>T71</f>
        <v>#N/A</v>
      </c>
      <c r="U92" t="str">
        <f t="shared" si="44"/>
        <v>EFN2O</v>
      </c>
      <c r="V92">
        <f t="shared" si="45"/>
        <v>0</v>
      </c>
      <c r="W92">
        <v>0</v>
      </c>
      <c r="X92">
        <f t="shared" si="46"/>
        <v>0</v>
      </c>
      <c r="Y92">
        <f t="shared" si="47"/>
        <v>0</v>
      </c>
      <c r="Z92">
        <f t="shared" si="48"/>
        <v>1</v>
      </c>
      <c r="AA92">
        <f t="shared" si="49"/>
        <v>-1.4E-3</v>
      </c>
      <c r="AD92">
        <f t="shared" si="50"/>
        <v>0</v>
      </c>
      <c r="AE92">
        <f t="shared" si="51"/>
        <v>0</v>
      </c>
      <c r="AF92">
        <f t="shared" si="52"/>
        <v>0</v>
      </c>
      <c r="AG92">
        <f t="shared" si="53"/>
        <v>0</v>
      </c>
      <c r="AH92">
        <f t="shared" si="54"/>
        <v>0</v>
      </c>
      <c r="AI92">
        <f t="shared" si="55"/>
        <v>0</v>
      </c>
      <c r="AJ92">
        <f t="shared" si="56"/>
        <v>0</v>
      </c>
      <c r="AK92">
        <f t="shared" si="57"/>
        <v>0</v>
      </c>
      <c r="AL92" t="e">
        <f t="shared" si="58"/>
        <v>#N/A</v>
      </c>
      <c r="AM92" t="e">
        <f t="shared" si="59"/>
        <v>#VALUE!</v>
      </c>
      <c r="AN92" t="e">
        <f t="shared" si="60"/>
        <v>#N/A</v>
      </c>
      <c r="AO92" t="e">
        <f t="shared" si="61"/>
        <v>#N/A</v>
      </c>
    </row>
    <row r="93" spans="5:41" x14ac:dyDescent="0.2">
      <c r="F93" t="s">
        <v>117</v>
      </c>
      <c r="H93">
        <v>90</v>
      </c>
      <c r="I93">
        <v>0</v>
      </c>
      <c r="J93">
        <v>0</v>
      </c>
      <c r="L93" t="str">
        <f t="shared" si="42"/>
        <v>1091</v>
      </c>
      <c r="R93">
        <f t="shared" si="43"/>
        <v>0</v>
      </c>
      <c r="S93">
        <f>S71</f>
        <v>1</v>
      </c>
      <c r="T93" t="e">
        <f>T71</f>
        <v>#N/A</v>
      </c>
      <c r="U93" t="str">
        <f t="shared" si="44"/>
        <v>EFN2O</v>
      </c>
      <c r="V93">
        <f t="shared" si="45"/>
        <v>0</v>
      </c>
      <c r="W93">
        <v>0</v>
      </c>
      <c r="X93">
        <f t="shared" si="46"/>
        <v>0</v>
      </c>
      <c r="Y93">
        <f t="shared" si="47"/>
        <v>0</v>
      </c>
      <c r="Z93">
        <f t="shared" si="48"/>
        <v>1</v>
      </c>
      <c r="AA93">
        <f t="shared" si="49"/>
        <v>-1.4E-3</v>
      </c>
      <c r="AD93">
        <f t="shared" si="50"/>
        <v>0</v>
      </c>
      <c r="AE93">
        <f t="shared" si="51"/>
        <v>0</v>
      </c>
      <c r="AF93">
        <f t="shared" si="52"/>
        <v>0</v>
      </c>
      <c r="AG93">
        <f t="shared" si="53"/>
        <v>0</v>
      </c>
      <c r="AH93">
        <f t="shared" si="54"/>
        <v>0</v>
      </c>
      <c r="AI93">
        <f t="shared" si="55"/>
        <v>0</v>
      </c>
      <c r="AJ93">
        <f t="shared" si="56"/>
        <v>0</v>
      </c>
      <c r="AK93">
        <f t="shared" si="57"/>
        <v>0</v>
      </c>
      <c r="AL93" t="e">
        <f t="shared" si="58"/>
        <v>#N/A</v>
      </c>
      <c r="AM93" t="e">
        <f t="shared" si="59"/>
        <v>#VALUE!</v>
      </c>
      <c r="AN93" t="e">
        <f t="shared" si="60"/>
        <v>#N/A</v>
      </c>
      <c r="AO93" t="e">
        <f t="shared" si="61"/>
        <v>#N/A</v>
      </c>
    </row>
    <row r="94" spans="5:41" x14ac:dyDescent="0.2">
      <c r="F94" t="s">
        <v>119</v>
      </c>
      <c r="H94">
        <v>80</v>
      </c>
      <c r="I94">
        <v>0</v>
      </c>
      <c r="J94">
        <v>0</v>
      </c>
      <c r="L94" t="str">
        <f t="shared" si="42"/>
        <v>1091</v>
      </c>
      <c r="R94">
        <f t="shared" si="43"/>
        <v>0</v>
      </c>
      <c r="S94">
        <f>S71</f>
        <v>1</v>
      </c>
      <c r="T94" t="e">
        <f>T71</f>
        <v>#N/A</v>
      </c>
      <c r="U94" t="str">
        <f t="shared" si="44"/>
        <v>EFN2O</v>
      </c>
      <c r="V94">
        <f t="shared" si="45"/>
        <v>0</v>
      </c>
      <c r="W94">
        <v>0</v>
      </c>
      <c r="X94">
        <f t="shared" si="46"/>
        <v>0</v>
      </c>
      <c r="Y94">
        <f t="shared" si="47"/>
        <v>0</v>
      </c>
      <c r="Z94">
        <f t="shared" si="48"/>
        <v>1</v>
      </c>
      <c r="AA94">
        <f t="shared" si="49"/>
        <v>-1.4E-3</v>
      </c>
      <c r="AD94">
        <f t="shared" si="50"/>
        <v>0</v>
      </c>
      <c r="AE94">
        <f t="shared" si="51"/>
        <v>0</v>
      </c>
      <c r="AF94">
        <f t="shared" si="52"/>
        <v>0</v>
      </c>
      <c r="AG94">
        <f t="shared" si="53"/>
        <v>0</v>
      </c>
      <c r="AH94">
        <f t="shared" si="54"/>
        <v>0</v>
      </c>
      <c r="AI94">
        <f t="shared" si="55"/>
        <v>0</v>
      </c>
      <c r="AJ94">
        <f t="shared" si="56"/>
        <v>0</v>
      </c>
      <c r="AK94">
        <f t="shared" si="57"/>
        <v>0</v>
      </c>
      <c r="AL94" t="e">
        <f t="shared" si="58"/>
        <v>#N/A</v>
      </c>
      <c r="AM94" t="e">
        <f t="shared" si="59"/>
        <v>#VALUE!</v>
      </c>
      <c r="AN94" t="e">
        <f t="shared" si="60"/>
        <v>#N/A</v>
      </c>
      <c r="AO94" t="e">
        <f t="shared" si="61"/>
        <v>#N/A</v>
      </c>
    </row>
    <row r="101" spans="1:42" x14ac:dyDescent="0.2">
      <c r="A101" t="s">
        <v>118</v>
      </c>
      <c r="B101" t="s">
        <v>118</v>
      </c>
      <c r="C101" t="s">
        <v>118</v>
      </c>
      <c r="D101" t="s">
        <v>138</v>
      </c>
      <c r="E101" t="s">
        <v>112</v>
      </c>
      <c r="F101" t="s">
        <v>113</v>
      </c>
      <c r="H101">
        <v>100</v>
      </c>
      <c r="I101">
        <v>95</v>
      </c>
      <c r="J101">
        <v>90</v>
      </c>
      <c r="L101" t="str">
        <f t="shared" ref="L101:L124" si="62">$AV$3</f>
        <v>1091</v>
      </c>
      <c r="M101" t="e" cm="1">
        <f t="array" aca="1" ref="M101" ca="1">_xludf.DROP(_xludf.XLOOKUP($C101,#REF!,#REF!),1)</f>
        <v>#NAME?</v>
      </c>
      <c r="O101" t="e" cm="1">
        <f t="array" aca="1" ref="O101" ca="1">_xludf.DROP(_xludf.XLOOKUP($C101,#REF!,#REF!),1)</f>
        <v>#NAME?</v>
      </c>
      <c r="Q101" t="e" cm="1">
        <f t="array" aca="1" ref="Q101" ca="1">_xludf.DROP(_xludf.XLOOKUP($C101,#REF!,#REF!),1)</f>
        <v>#NAME?</v>
      </c>
      <c r="R101" t="e">
        <f t="shared" ref="R101:R124" si="63">1-S101</f>
        <v>#N/A</v>
      </c>
      <c r="S101" t="e">
        <f>IF($D101="yes", 1, VLOOKUP($B101, $AU$26:$AW$32, 2)/100)</f>
        <v>#N/A</v>
      </c>
      <c r="T101" t="e">
        <f>VLOOKUP($B101,$AW$10:$AX$16, 2, FALSE)</f>
        <v>#N/A</v>
      </c>
      <c r="U101" t="str">
        <f t="shared" ref="U101:U124" si="64">$AV$10</f>
        <v>EFN2O</v>
      </c>
      <c r="V101">
        <f t="shared" ref="V101:V124" si="65">(I101/100)*(MIN(J101,100)/100)</f>
        <v>0.85499999999999998</v>
      </c>
      <c r="W101">
        <v>0</v>
      </c>
      <c r="X101">
        <f t="shared" ref="X101:X124" si="66">1.6 * W101</f>
        <v>0</v>
      </c>
      <c r="Y101">
        <f t="shared" ref="Y101:Y124" si="67">$AY$1</f>
        <v>0</v>
      </c>
      <c r="Z101">
        <f t="shared" ref="Z101:Z124" si="68">V101*Y101+(1-V101)</f>
        <v>0.14500000000000002</v>
      </c>
      <c r="AA101" t="e">
        <f t="shared" ref="AA101:AA124" ca="1" si="69">(0.795*O101)-0.0014</f>
        <v>#NAME?</v>
      </c>
      <c r="AC101" t="e" cm="1">
        <f t="array" aca="1" ref="AC101" ca="1">_xludf.DROP(_xludf.XLOOKUP($C101,#REF!,#REF!),1)</f>
        <v>#NAME?</v>
      </c>
      <c r="AD101" t="e">
        <f t="shared" ref="AD101:AD124" ca="1" si="70">1 - EXP(-2*(AC101^2))</f>
        <v>#NAME?</v>
      </c>
      <c r="AE101" t="e">
        <f t="shared" ref="AE101:AE124" ca="1" si="71">(104.7*AA101+0.307*Q101-15)*(Q101^0.75)*10^-3</f>
        <v>#NAME?</v>
      </c>
      <c r="AF101" t="e">
        <f t="shared" ref="AF101:AF124" ca="1" si="72">AE101*AD101*Z101</f>
        <v>#NAME?</v>
      </c>
      <c r="AG101" t="e">
        <f t="shared" ref="AG101:AG124" ca="1" si="73">(AF101 * M101) + (0.045 * X101)</f>
        <v>#NAME?</v>
      </c>
      <c r="AH101">
        <f t="shared" ref="AH101:AH124" si="74">$AV$2</f>
        <v>0</v>
      </c>
      <c r="AI101" t="e">
        <f t="shared" ref="AI101:AI124" ca="1" si="75">(AF101 * ((1 - O101) + (0.04 * AF101))) * ( 1 - AH101 )</f>
        <v>#NAME?</v>
      </c>
      <c r="AJ101">
        <f t="shared" ref="AJ101:AJ124" si="76">$AV$1</f>
        <v>0</v>
      </c>
      <c r="AK101">
        <f t="shared" ref="AK101:AK124" si="77">$AW$20</f>
        <v>0</v>
      </c>
      <c r="AL101" t="e">
        <f t="shared" ref="AL101:AL124" ca="1" si="78">AI101 * AJ101 * R101 * T101 * AK101</f>
        <v>#NAME?</v>
      </c>
      <c r="AM101" t="e">
        <f t="shared" ref="AM101:AM124" ca="1" si="79">AI101*AJ101*S101*U101*AK101</f>
        <v>#NAME?</v>
      </c>
      <c r="AN101" t="e">
        <f t="shared" ref="AN101:AN124" ca="1" si="80">AL101+AM101</f>
        <v>#NAME?</v>
      </c>
      <c r="AO101" t="e">
        <f t="shared" ref="AO101:AO124" ca="1" si="81">H101*AN101*L101</f>
        <v>#NAME?</v>
      </c>
      <c r="AP101" t="e">
        <f ca="1">SUM(AO101:AO124)*10^-3</f>
        <v>#NAME?</v>
      </c>
    </row>
    <row r="102" spans="1:42" x14ac:dyDescent="0.2">
      <c r="F102" t="s">
        <v>115</v>
      </c>
      <c r="H102">
        <v>70</v>
      </c>
      <c r="I102">
        <v>0</v>
      </c>
      <c r="J102">
        <v>0</v>
      </c>
      <c r="L102" t="str">
        <f t="shared" si="62"/>
        <v>1091</v>
      </c>
      <c r="R102" t="e">
        <f t="shared" si="63"/>
        <v>#N/A</v>
      </c>
      <c r="S102" t="e">
        <f>S101</f>
        <v>#N/A</v>
      </c>
      <c r="T102" t="e">
        <f>T101</f>
        <v>#N/A</v>
      </c>
      <c r="U102" t="str">
        <f t="shared" si="64"/>
        <v>EFN2O</v>
      </c>
      <c r="V102">
        <f t="shared" si="65"/>
        <v>0</v>
      </c>
      <c r="W102">
        <v>0</v>
      </c>
      <c r="X102">
        <f t="shared" si="66"/>
        <v>0</v>
      </c>
      <c r="Y102">
        <f t="shared" si="67"/>
        <v>0</v>
      </c>
      <c r="Z102">
        <f t="shared" si="68"/>
        <v>1</v>
      </c>
      <c r="AA102">
        <f t="shared" si="69"/>
        <v>-1.4E-3</v>
      </c>
      <c r="AD102">
        <f t="shared" si="70"/>
        <v>0</v>
      </c>
      <c r="AE102">
        <f t="shared" si="71"/>
        <v>0</v>
      </c>
      <c r="AF102">
        <f t="shared" si="72"/>
        <v>0</v>
      </c>
      <c r="AG102">
        <f t="shared" si="73"/>
        <v>0</v>
      </c>
      <c r="AH102">
        <f t="shared" si="74"/>
        <v>0</v>
      </c>
      <c r="AI102">
        <f t="shared" si="75"/>
        <v>0</v>
      </c>
      <c r="AJ102">
        <f t="shared" si="76"/>
        <v>0</v>
      </c>
      <c r="AK102">
        <f t="shared" si="77"/>
        <v>0</v>
      </c>
      <c r="AL102" t="e">
        <f t="shared" si="78"/>
        <v>#N/A</v>
      </c>
      <c r="AM102" t="e">
        <f t="shared" si="79"/>
        <v>#N/A</v>
      </c>
      <c r="AN102" t="e">
        <f t="shared" si="80"/>
        <v>#N/A</v>
      </c>
      <c r="AO102" t="e">
        <f t="shared" si="81"/>
        <v>#N/A</v>
      </c>
    </row>
    <row r="103" spans="1:42" x14ac:dyDescent="0.2">
      <c r="F103" t="s">
        <v>117</v>
      </c>
      <c r="H103">
        <v>65</v>
      </c>
      <c r="I103">
        <v>0</v>
      </c>
      <c r="J103">
        <v>0</v>
      </c>
      <c r="L103" t="str">
        <f t="shared" si="62"/>
        <v>1091</v>
      </c>
      <c r="R103" t="e">
        <f t="shared" si="63"/>
        <v>#N/A</v>
      </c>
      <c r="S103" t="e">
        <f>S101</f>
        <v>#N/A</v>
      </c>
      <c r="T103" t="e">
        <f>T101</f>
        <v>#N/A</v>
      </c>
      <c r="U103" t="str">
        <f t="shared" si="64"/>
        <v>EFN2O</v>
      </c>
      <c r="V103">
        <f t="shared" si="65"/>
        <v>0</v>
      </c>
      <c r="W103">
        <v>0</v>
      </c>
      <c r="X103">
        <f t="shared" si="66"/>
        <v>0</v>
      </c>
      <c r="Y103">
        <f t="shared" si="67"/>
        <v>0</v>
      </c>
      <c r="Z103">
        <f t="shared" si="68"/>
        <v>1</v>
      </c>
      <c r="AA103">
        <f t="shared" si="69"/>
        <v>-1.4E-3</v>
      </c>
      <c r="AD103">
        <f t="shared" si="70"/>
        <v>0</v>
      </c>
      <c r="AE103">
        <f t="shared" si="71"/>
        <v>0</v>
      </c>
      <c r="AF103">
        <f t="shared" si="72"/>
        <v>0</v>
      </c>
      <c r="AG103">
        <f t="shared" si="73"/>
        <v>0</v>
      </c>
      <c r="AH103">
        <f t="shared" si="74"/>
        <v>0</v>
      </c>
      <c r="AI103">
        <f t="shared" si="75"/>
        <v>0</v>
      </c>
      <c r="AJ103">
        <f t="shared" si="76"/>
        <v>0</v>
      </c>
      <c r="AK103">
        <f t="shared" si="77"/>
        <v>0</v>
      </c>
      <c r="AL103" t="e">
        <f t="shared" si="78"/>
        <v>#N/A</v>
      </c>
      <c r="AM103" t="e">
        <f t="shared" si="79"/>
        <v>#N/A</v>
      </c>
      <c r="AN103" t="e">
        <f t="shared" si="80"/>
        <v>#N/A</v>
      </c>
      <c r="AO103" t="e">
        <f t="shared" si="81"/>
        <v>#N/A</v>
      </c>
    </row>
    <row r="104" spans="1:42" x14ac:dyDescent="0.2">
      <c r="F104" t="s">
        <v>119</v>
      </c>
      <c r="H104">
        <v>80</v>
      </c>
      <c r="I104">
        <v>0</v>
      </c>
      <c r="J104">
        <v>0</v>
      </c>
      <c r="L104" t="str">
        <f t="shared" si="62"/>
        <v>1091</v>
      </c>
      <c r="R104" t="e">
        <f t="shared" si="63"/>
        <v>#N/A</v>
      </c>
      <c r="S104" t="e">
        <f>S101</f>
        <v>#N/A</v>
      </c>
      <c r="T104" t="e">
        <f>T101</f>
        <v>#N/A</v>
      </c>
      <c r="U104" t="str">
        <f t="shared" si="64"/>
        <v>EFN2O</v>
      </c>
      <c r="V104">
        <f t="shared" si="65"/>
        <v>0</v>
      </c>
      <c r="W104">
        <v>0</v>
      </c>
      <c r="X104">
        <f t="shared" si="66"/>
        <v>0</v>
      </c>
      <c r="Y104">
        <f t="shared" si="67"/>
        <v>0</v>
      </c>
      <c r="Z104">
        <f t="shared" si="68"/>
        <v>1</v>
      </c>
      <c r="AA104">
        <f t="shared" si="69"/>
        <v>-1.4E-3</v>
      </c>
      <c r="AD104">
        <f t="shared" si="70"/>
        <v>0</v>
      </c>
      <c r="AE104">
        <f t="shared" si="71"/>
        <v>0</v>
      </c>
      <c r="AF104">
        <f t="shared" si="72"/>
        <v>0</v>
      </c>
      <c r="AG104">
        <f t="shared" si="73"/>
        <v>0</v>
      </c>
      <c r="AH104">
        <f t="shared" si="74"/>
        <v>0</v>
      </c>
      <c r="AI104">
        <f t="shared" si="75"/>
        <v>0</v>
      </c>
      <c r="AJ104">
        <f t="shared" si="76"/>
        <v>0</v>
      </c>
      <c r="AK104">
        <f t="shared" si="77"/>
        <v>0</v>
      </c>
      <c r="AL104" t="e">
        <f t="shared" si="78"/>
        <v>#N/A</v>
      </c>
      <c r="AM104" t="e">
        <f t="shared" si="79"/>
        <v>#N/A</v>
      </c>
      <c r="AN104" t="e">
        <f t="shared" si="80"/>
        <v>#N/A</v>
      </c>
      <c r="AO104" t="e">
        <f t="shared" si="81"/>
        <v>#N/A</v>
      </c>
    </row>
    <row r="105" spans="1:42" x14ac:dyDescent="0.2">
      <c r="E105" t="s">
        <v>121</v>
      </c>
      <c r="F105" t="s">
        <v>113</v>
      </c>
      <c r="H105">
        <v>200</v>
      </c>
      <c r="I105">
        <v>0</v>
      </c>
      <c r="J105">
        <v>0</v>
      </c>
      <c r="L105" t="str">
        <f t="shared" si="62"/>
        <v>1091</v>
      </c>
      <c r="R105" t="e">
        <f t="shared" si="63"/>
        <v>#N/A</v>
      </c>
      <c r="S105" t="e">
        <f>S101</f>
        <v>#N/A</v>
      </c>
      <c r="T105" t="e">
        <f>T101</f>
        <v>#N/A</v>
      </c>
      <c r="U105" t="str">
        <f t="shared" si="64"/>
        <v>EFN2O</v>
      </c>
      <c r="V105">
        <f t="shared" si="65"/>
        <v>0</v>
      </c>
      <c r="W105">
        <v>1</v>
      </c>
      <c r="X105">
        <f t="shared" si="66"/>
        <v>1.6</v>
      </c>
      <c r="Y105">
        <f t="shared" si="67"/>
        <v>0</v>
      </c>
      <c r="Z105">
        <f t="shared" si="68"/>
        <v>1</v>
      </c>
      <c r="AA105">
        <f t="shared" si="69"/>
        <v>-1.4E-3</v>
      </c>
      <c r="AD105">
        <f t="shared" si="70"/>
        <v>0</v>
      </c>
      <c r="AE105">
        <f t="shared" si="71"/>
        <v>0</v>
      </c>
      <c r="AF105">
        <f t="shared" si="72"/>
        <v>0</v>
      </c>
      <c r="AG105">
        <f t="shared" si="73"/>
        <v>7.1999999999999995E-2</v>
      </c>
      <c r="AH105">
        <f t="shared" si="74"/>
        <v>0</v>
      </c>
      <c r="AI105">
        <f t="shared" si="75"/>
        <v>0</v>
      </c>
      <c r="AJ105">
        <f t="shared" si="76"/>
        <v>0</v>
      </c>
      <c r="AK105">
        <f t="shared" si="77"/>
        <v>0</v>
      </c>
      <c r="AL105" t="e">
        <f t="shared" si="78"/>
        <v>#N/A</v>
      </c>
      <c r="AM105" t="e">
        <f t="shared" si="79"/>
        <v>#N/A</v>
      </c>
      <c r="AN105" t="e">
        <f t="shared" si="80"/>
        <v>#N/A</v>
      </c>
      <c r="AO105" t="e">
        <f t="shared" si="81"/>
        <v>#N/A</v>
      </c>
    </row>
    <row r="106" spans="1:42" x14ac:dyDescent="0.2">
      <c r="F106" t="s">
        <v>115</v>
      </c>
      <c r="H106">
        <v>210</v>
      </c>
      <c r="I106">
        <v>0</v>
      </c>
      <c r="J106">
        <v>0</v>
      </c>
      <c r="L106" t="str">
        <f t="shared" si="62"/>
        <v>1091</v>
      </c>
      <c r="R106" t="e">
        <f t="shared" si="63"/>
        <v>#N/A</v>
      </c>
      <c r="S106" t="e">
        <f>S101</f>
        <v>#N/A</v>
      </c>
      <c r="T106" t="e">
        <f>T101</f>
        <v>#N/A</v>
      </c>
      <c r="U106" t="str">
        <f t="shared" si="64"/>
        <v>EFN2O</v>
      </c>
      <c r="V106">
        <f t="shared" si="65"/>
        <v>0</v>
      </c>
      <c r="W106">
        <v>0</v>
      </c>
      <c r="X106">
        <f t="shared" si="66"/>
        <v>0</v>
      </c>
      <c r="Y106">
        <f t="shared" si="67"/>
        <v>0</v>
      </c>
      <c r="Z106">
        <f t="shared" si="68"/>
        <v>1</v>
      </c>
      <c r="AA106">
        <f t="shared" si="69"/>
        <v>-1.4E-3</v>
      </c>
      <c r="AD106">
        <f t="shared" si="70"/>
        <v>0</v>
      </c>
      <c r="AE106">
        <f t="shared" si="71"/>
        <v>0</v>
      </c>
      <c r="AF106">
        <f t="shared" si="72"/>
        <v>0</v>
      </c>
      <c r="AG106">
        <f t="shared" si="73"/>
        <v>0</v>
      </c>
      <c r="AH106">
        <f t="shared" si="74"/>
        <v>0</v>
      </c>
      <c r="AI106">
        <f t="shared" si="75"/>
        <v>0</v>
      </c>
      <c r="AJ106">
        <f t="shared" si="76"/>
        <v>0</v>
      </c>
      <c r="AK106">
        <f t="shared" si="77"/>
        <v>0</v>
      </c>
      <c r="AL106" t="e">
        <f t="shared" si="78"/>
        <v>#N/A</v>
      </c>
      <c r="AM106" t="e">
        <f t="shared" si="79"/>
        <v>#N/A</v>
      </c>
      <c r="AN106" t="e">
        <f t="shared" si="80"/>
        <v>#N/A</v>
      </c>
      <c r="AO106" t="e">
        <f t="shared" si="81"/>
        <v>#N/A</v>
      </c>
    </row>
    <row r="107" spans="1:42" x14ac:dyDescent="0.2">
      <c r="F107" t="s">
        <v>117</v>
      </c>
      <c r="H107">
        <v>170</v>
      </c>
      <c r="I107">
        <v>0</v>
      </c>
      <c r="J107">
        <v>0</v>
      </c>
      <c r="L107" t="str">
        <f t="shared" si="62"/>
        <v>1091</v>
      </c>
      <c r="R107" t="e">
        <f t="shared" si="63"/>
        <v>#N/A</v>
      </c>
      <c r="S107" t="e">
        <f>S101</f>
        <v>#N/A</v>
      </c>
      <c r="T107" t="e">
        <f>T101</f>
        <v>#N/A</v>
      </c>
      <c r="U107" t="str">
        <f t="shared" si="64"/>
        <v>EFN2O</v>
      </c>
      <c r="V107">
        <f t="shared" si="65"/>
        <v>0</v>
      </c>
      <c r="W107">
        <v>0</v>
      </c>
      <c r="X107">
        <f t="shared" si="66"/>
        <v>0</v>
      </c>
      <c r="Y107">
        <f t="shared" si="67"/>
        <v>0</v>
      </c>
      <c r="Z107">
        <f t="shared" si="68"/>
        <v>1</v>
      </c>
      <c r="AA107">
        <f t="shared" si="69"/>
        <v>-1.4E-3</v>
      </c>
      <c r="AD107">
        <f t="shared" si="70"/>
        <v>0</v>
      </c>
      <c r="AE107">
        <f t="shared" si="71"/>
        <v>0</v>
      </c>
      <c r="AF107">
        <f t="shared" si="72"/>
        <v>0</v>
      </c>
      <c r="AG107">
        <f t="shared" si="73"/>
        <v>0</v>
      </c>
      <c r="AH107">
        <f t="shared" si="74"/>
        <v>0</v>
      </c>
      <c r="AI107">
        <f t="shared" si="75"/>
        <v>0</v>
      </c>
      <c r="AJ107">
        <f t="shared" si="76"/>
        <v>0</v>
      </c>
      <c r="AK107">
        <f t="shared" si="77"/>
        <v>0</v>
      </c>
      <c r="AL107" t="e">
        <f t="shared" si="78"/>
        <v>#N/A</v>
      </c>
      <c r="AM107" t="e">
        <f t="shared" si="79"/>
        <v>#N/A</v>
      </c>
      <c r="AN107" t="e">
        <f t="shared" si="80"/>
        <v>#N/A</v>
      </c>
      <c r="AO107" t="e">
        <f t="shared" si="81"/>
        <v>#N/A</v>
      </c>
    </row>
    <row r="108" spans="1:42" x14ac:dyDescent="0.2">
      <c r="F108" t="s">
        <v>119</v>
      </c>
      <c r="H108">
        <v>200</v>
      </c>
      <c r="I108">
        <v>0</v>
      </c>
      <c r="J108">
        <v>0</v>
      </c>
      <c r="L108" t="str">
        <f t="shared" si="62"/>
        <v>1091</v>
      </c>
      <c r="R108" t="e">
        <f t="shared" si="63"/>
        <v>#N/A</v>
      </c>
      <c r="S108" t="e">
        <f>S101</f>
        <v>#N/A</v>
      </c>
      <c r="T108" t="e">
        <f>T101</f>
        <v>#N/A</v>
      </c>
      <c r="U108" t="str">
        <f t="shared" si="64"/>
        <v>EFN2O</v>
      </c>
      <c r="V108">
        <f t="shared" si="65"/>
        <v>0</v>
      </c>
      <c r="W108">
        <v>0</v>
      </c>
      <c r="X108">
        <f t="shared" si="66"/>
        <v>0</v>
      </c>
      <c r="Y108">
        <f t="shared" si="67"/>
        <v>0</v>
      </c>
      <c r="Z108">
        <f t="shared" si="68"/>
        <v>1</v>
      </c>
      <c r="AA108">
        <f t="shared" si="69"/>
        <v>-1.4E-3</v>
      </c>
      <c r="AD108">
        <f t="shared" si="70"/>
        <v>0</v>
      </c>
      <c r="AE108">
        <f t="shared" si="71"/>
        <v>0</v>
      </c>
      <c r="AF108">
        <f t="shared" si="72"/>
        <v>0</v>
      </c>
      <c r="AG108">
        <f t="shared" si="73"/>
        <v>0</v>
      </c>
      <c r="AH108">
        <f t="shared" si="74"/>
        <v>0</v>
      </c>
      <c r="AI108">
        <f t="shared" si="75"/>
        <v>0</v>
      </c>
      <c r="AJ108">
        <f t="shared" si="76"/>
        <v>0</v>
      </c>
      <c r="AK108">
        <f t="shared" si="77"/>
        <v>0</v>
      </c>
      <c r="AL108" t="e">
        <f t="shared" si="78"/>
        <v>#N/A</v>
      </c>
      <c r="AM108" t="e">
        <f t="shared" si="79"/>
        <v>#N/A</v>
      </c>
      <c r="AN108" t="e">
        <f t="shared" si="80"/>
        <v>#N/A</v>
      </c>
      <c r="AO108" t="e">
        <f t="shared" si="81"/>
        <v>#N/A</v>
      </c>
    </row>
    <row r="109" spans="1:42" x14ac:dyDescent="0.2">
      <c r="E109" t="s">
        <v>126</v>
      </c>
      <c r="F109" t="s">
        <v>113</v>
      </c>
      <c r="H109">
        <v>100</v>
      </c>
      <c r="I109">
        <v>95</v>
      </c>
      <c r="J109">
        <v>92</v>
      </c>
      <c r="L109" t="str">
        <f t="shared" si="62"/>
        <v>1091</v>
      </c>
      <c r="R109" t="e">
        <f t="shared" si="63"/>
        <v>#N/A</v>
      </c>
      <c r="S109" t="e">
        <f>S101</f>
        <v>#N/A</v>
      </c>
      <c r="T109" t="e">
        <f>T101</f>
        <v>#N/A</v>
      </c>
      <c r="U109" t="str">
        <f t="shared" si="64"/>
        <v>EFN2O</v>
      </c>
      <c r="V109">
        <f t="shared" si="65"/>
        <v>0.874</v>
      </c>
      <c r="W109">
        <v>0</v>
      </c>
      <c r="X109">
        <f t="shared" si="66"/>
        <v>0</v>
      </c>
      <c r="Y109">
        <f t="shared" si="67"/>
        <v>0</v>
      </c>
      <c r="Z109">
        <f t="shared" si="68"/>
        <v>0.126</v>
      </c>
      <c r="AA109">
        <f t="shared" si="69"/>
        <v>-1.4E-3</v>
      </c>
      <c r="AD109">
        <f t="shared" si="70"/>
        <v>0</v>
      </c>
      <c r="AE109">
        <f t="shared" si="71"/>
        <v>0</v>
      </c>
      <c r="AF109">
        <f t="shared" si="72"/>
        <v>0</v>
      </c>
      <c r="AG109">
        <f t="shared" si="73"/>
        <v>0</v>
      </c>
      <c r="AH109">
        <f t="shared" si="74"/>
        <v>0</v>
      </c>
      <c r="AI109">
        <f t="shared" si="75"/>
        <v>0</v>
      </c>
      <c r="AJ109">
        <f t="shared" si="76"/>
        <v>0</v>
      </c>
      <c r="AK109">
        <f t="shared" si="77"/>
        <v>0</v>
      </c>
      <c r="AL109" t="e">
        <f t="shared" si="78"/>
        <v>#N/A</v>
      </c>
      <c r="AM109" t="e">
        <f t="shared" si="79"/>
        <v>#N/A</v>
      </c>
      <c r="AN109" t="e">
        <f t="shared" si="80"/>
        <v>#N/A</v>
      </c>
      <c r="AO109" t="e">
        <f t="shared" si="81"/>
        <v>#N/A</v>
      </c>
    </row>
    <row r="110" spans="1:42" x14ac:dyDescent="0.2">
      <c r="F110" t="s">
        <v>115</v>
      </c>
      <c r="H110">
        <v>140</v>
      </c>
      <c r="I110">
        <v>0</v>
      </c>
      <c r="J110">
        <v>0</v>
      </c>
      <c r="L110" t="str">
        <f t="shared" si="62"/>
        <v>1091</v>
      </c>
      <c r="R110" t="e">
        <f t="shared" si="63"/>
        <v>#N/A</v>
      </c>
      <c r="S110" t="e">
        <f>S101</f>
        <v>#N/A</v>
      </c>
      <c r="T110" t="e">
        <f>T101</f>
        <v>#N/A</v>
      </c>
      <c r="U110" t="str">
        <f t="shared" si="64"/>
        <v>EFN2O</v>
      </c>
      <c r="V110">
        <f t="shared" si="65"/>
        <v>0</v>
      </c>
      <c r="W110">
        <v>0</v>
      </c>
      <c r="X110">
        <f t="shared" si="66"/>
        <v>0</v>
      </c>
      <c r="Y110">
        <f t="shared" si="67"/>
        <v>0</v>
      </c>
      <c r="Z110">
        <f t="shared" si="68"/>
        <v>1</v>
      </c>
      <c r="AA110">
        <f t="shared" si="69"/>
        <v>-1.4E-3</v>
      </c>
      <c r="AD110">
        <f t="shared" si="70"/>
        <v>0</v>
      </c>
      <c r="AE110">
        <f t="shared" si="71"/>
        <v>0</v>
      </c>
      <c r="AF110">
        <f t="shared" si="72"/>
        <v>0</v>
      </c>
      <c r="AG110">
        <f t="shared" si="73"/>
        <v>0</v>
      </c>
      <c r="AH110">
        <f t="shared" si="74"/>
        <v>0</v>
      </c>
      <c r="AI110">
        <f t="shared" si="75"/>
        <v>0</v>
      </c>
      <c r="AJ110">
        <f t="shared" si="76"/>
        <v>0</v>
      </c>
      <c r="AK110">
        <f t="shared" si="77"/>
        <v>0</v>
      </c>
      <c r="AL110" t="e">
        <f t="shared" si="78"/>
        <v>#N/A</v>
      </c>
      <c r="AM110" t="e">
        <f t="shared" si="79"/>
        <v>#N/A</v>
      </c>
      <c r="AN110" t="e">
        <f t="shared" si="80"/>
        <v>#N/A</v>
      </c>
      <c r="AO110" t="e">
        <f t="shared" si="81"/>
        <v>#N/A</v>
      </c>
    </row>
    <row r="111" spans="1:42" x14ac:dyDescent="0.2">
      <c r="F111" t="s">
        <v>117</v>
      </c>
      <c r="H111">
        <v>135</v>
      </c>
      <c r="I111">
        <v>0</v>
      </c>
      <c r="J111">
        <v>0</v>
      </c>
      <c r="L111" t="str">
        <f t="shared" si="62"/>
        <v>1091</v>
      </c>
      <c r="R111" t="e">
        <f t="shared" si="63"/>
        <v>#N/A</v>
      </c>
      <c r="S111" t="e">
        <f>S101</f>
        <v>#N/A</v>
      </c>
      <c r="T111" t="e">
        <f>T101</f>
        <v>#N/A</v>
      </c>
      <c r="U111" t="str">
        <f t="shared" si="64"/>
        <v>EFN2O</v>
      </c>
      <c r="V111">
        <f t="shared" si="65"/>
        <v>0</v>
      </c>
      <c r="W111">
        <v>0</v>
      </c>
      <c r="X111">
        <f t="shared" si="66"/>
        <v>0</v>
      </c>
      <c r="Y111">
        <f t="shared" si="67"/>
        <v>0</v>
      </c>
      <c r="Z111">
        <f t="shared" si="68"/>
        <v>1</v>
      </c>
      <c r="AA111">
        <f t="shared" si="69"/>
        <v>-1.4E-3</v>
      </c>
      <c r="AD111">
        <f t="shared" si="70"/>
        <v>0</v>
      </c>
      <c r="AE111">
        <f t="shared" si="71"/>
        <v>0</v>
      </c>
      <c r="AF111">
        <f t="shared" si="72"/>
        <v>0</v>
      </c>
      <c r="AG111">
        <f t="shared" si="73"/>
        <v>0</v>
      </c>
      <c r="AH111">
        <f t="shared" si="74"/>
        <v>0</v>
      </c>
      <c r="AI111">
        <f t="shared" si="75"/>
        <v>0</v>
      </c>
      <c r="AJ111">
        <f t="shared" si="76"/>
        <v>0</v>
      </c>
      <c r="AK111">
        <f t="shared" si="77"/>
        <v>0</v>
      </c>
      <c r="AL111" t="e">
        <f t="shared" si="78"/>
        <v>#N/A</v>
      </c>
      <c r="AM111" t="e">
        <f t="shared" si="79"/>
        <v>#N/A</v>
      </c>
      <c r="AN111" t="e">
        <f t="shared" si="80"/>
        <v>#N/A</v>
      </c>
      <c r="AO111" t="e">
        <f t="shared" si="81"/>
        <v>#N/A</v>
      </c>
    </row>
    <row r="112" spans="1:42" x14ac:dyDescent="0.2">
      <c r="F112" t="s">
        <v>119</v>
      </c>
      <c r="H112">
        <v>130</v>
      </c>
      <c r="I112">
        <v>0</v>
      </c>
      <c r="J112">
        <v>0</v>
      </c>
      <c r="L112" t="str">
        <f t="shared" si="62"/>
        <v>1091</v>
      </c>
      <c r="R112" t="e">
        <f t="shared" si="63"/>
        <v>#N/A</v>
      </c>
      <c r="S112" t="e">
        <f>S101</f>
        <v>#N/A</v>
      </c>
      <c r="T112" t="e">
        <f>T101</f>
        <v>#N/A</v>
      </c>
      <c r="U112" t="str">
        <f t="shared" si="64"/>
        <v>EFN2O</v>
      </c>
      <c r="V112">
        <f t="shared" si="65"/>
        <v>0</v>
      </c>
      <c r="W112">
        <v>0</v>
      </c>
      <c r="X112">
        <f t="shared" si="66"/>
        <v>0</v>
      </c>
      <c r="Y112">
        <f t="shared" si="67"/>
        <v>0</v>
      </c>
      <c r="Z112">
        <f t="shared" si="68"/>
        <v>1</v>
      </c>
      <c r="AA112">
        <f t="shared" si="69"/>
        <v>-1.4E-3</v>
      </c>
      <c r="AD112">
        <f t="shared" si="70"/>
        <v>0</v>
      </c>
      <c r="AE112">
        <f t="shared" si="71"/>
        <v>0</v>
      </c>
      <c r="AF112">
        <f t="shared" si="72"/>
        <v>0</v>
      </c>
      <c r="AG112">
        <f t="shared" si="73"/>
        <v>0</v>
      </c>
      <c r="AH112">
        <f t="shared" si="74"/>
        <v>0</v>
      </c>
      <c r="AI112">
        <f t="shared" si="75"/>
        <v>0</v>
      </c>
      <c r="AJ112">
        <f t="shared" si="76"/>
        <v>0</v>
      </c>
      <c r="AK112">
        <f t="shared" si="77"/>
        <v>0</v>
      </c>
      <c r="AL112" t="e">
        <f t="shared" si="78"/>
        <v>#N/A</v>
      </c>
      <c r="AM112" t="e">
        <f t="shared" si="79"/>
        <v>#N/A</v>
      </c>
      <c r="AN112" t="e">
        <f t="shared" si="80"/>
        <v>#N/A</v>
      </c>
      <c r="AO112" t="e">
        <f t="shared" si="81"/>
        <v>#N/A</v>
      </c>
    </row>
    <row r="113" spans="5:41" x14ac:dyDescent="0.2">
      <c r="E113" t="s">
        <v>129</v>
      </c>
      <c r="F113" t="s">
        <v>113</v>
      </c>
      <c r="H113">
        <v>200</v>
      </c>
      <c r="I113">
        <v>0</v>
      </c>
      <c r="J113">
        <v>0</v>
      </c>
      <c r="L113" t="str">
        <f t="shared" si="62"/>
        <v>1091</v>
      </c>
      <c r="R113" t="e">
        <f t="shared" si="63"/>
        <v>#N/A</v>
      </c>
      <c r="S113" t="e">
        <f>S101</f>
        <v>#N/A</v>
      </c>
      <c r="T113" t="e">
        <f>T101</f>
        <v>#N/A</v>
      </c>
      <c r="U113" t="str">
        <f t="shared" si="64"/>
        <v>EFN2O</v>
      </c>
      <c r="V113">
        <f t="shared" si="65"/>
        <v>0</v>
      </c>
      <c r="W113">
        <v>0</v>
      </c>
      <c r="X113">
        <f t="shared" si="66"/>
        <v>0</v>
      </c>
      <c r="Y113">
        <f t="shared" si="67"/>
        <v>0</v>
      </c>
      <c r="Z113">
        <f t="shared" si="68"/>
        <v>1</v>
      </c>
      <c r="AA113">
        <f t="shared" si="69"/>
        <v>-1.4E-3</v>
      </c>
      <c r="AD113">
        <f t="shared" si="70"/>
        <v>0</v>
      </c>
      <c r="AE113">
        <f t="shared" si="71"/>
        <v>0</v>
      </c>
      <c r="AF113">
        <f t="shared" si="72"/>
        <v>0</v>
      </c>
      <c r="AG113">
        <f t="shared" si="73"/>
        <v>0</v>
      </c>
      <c r="AH113">
        <f t="shared" si="74"/>
        <v>0</v>
      </c>
      <c r="AI113">
        <f t="shared" si="75"/>
        <v>0</v>
      </c>
      <c r="AJ113">
        <f t="shared" si="76"/>
        <v>0</v>
      </c>
      <c r="AK113">
        <f t="shared" si="77"/>
        <v>0</v>
      </c>
      <c r="AL113" t="e">
        <f t="shared" si="78"/>
        <v>#N/A</v>
      </c>
      <c r="AM113" t="e">
        <f t="shared" si="79"/>
        <v>#N/A</v>
      </c>
      <c r="AN113" t="e">
        <f t="shared" si="80"/>
        <v>#N/A</v>
      </c>
      <c r="AO113" t="e">
        <f t="shared" si="81"/>
        <v>#N/A</v>
      </c>
    </row>
    <row r="114" spans="5:41" x14ac:dyDescent="0.2">
      <c r="F114" t="s">
        <v>115</v>
      </c>
      <c r="H114">
        <v>210</v>
      </c>
      <c r="I114">
        <v>0</v>
      </c>
      <c r="J114">
        <v>0</v>
      </c>
      <c r="L114" t="str">
        <f t="shared" si="62"/>
        <v>1091</v>
      </c>
      <c r="R114" t="e">
        <f t="shared" si="63"/>
        <v>#N/A</v>
      </c>
      <c r="S114" t="e">
        <f>S101</f>
        <v>#N/A</v>
      </c>
      <c r="T114" t="e">
        <f>T101</f>
        <v>#N/A</v>
      </c>
      <c r="U114" t="str">
        <f t="shared" si="64"/>
        <v>EFN2O</v>
      </c>
      <c r="V114">
        <f t="shared" si="65"/>
        <v>0</v>
      </c>
      <c r="W114">
        <v>0</v>
      </c>
      <c r="X114">
        <f t="shared" si="66"/>
        <v>0</v>
      </c>
      <c r="Y114">
        <f t="shared" si="67"/>
        <v>0</v>
      </c>
      <c r="Z114">
        <f t="shared" si="68"/>
        <v>1</v>
      </c>
      <c r="AA114">
        <f t="shared" si="69"/>
        <v>-1.4E-3</v>
      </c>
      <c r="AD114">
        <f t="shared" si="70"/>
        <v>0</v>
      </c>
      <c r="AE114">
        <f t="shared" si="71"/>
        <v>0</v>
      </c>
      <c r="AF114">
        <f t="shared" si="72"/>
        <v>0</v>
      </c>
      <c r="AG114">
        <f t="shared" si="73"/>
        <v>0</v>
      </c>
      <c r="AH114">
        <f t="shared" si="74"/>
        <v>0</v>
      </c>
      <c r="AI114">
        <f t="shared" si="75"/>
        <v>0</v>
      </c>
      <c r="AJ114">
        <f t="shared" si="76"/>
        <v>0</v>
      </c>
      <c r="AK114">
        <f t="shared" si="77"/>
        <v>0</v>
      </c>
      <c r="AL114" t="e">
        <f t="shared" si="78"/>
        <v>#N/A</v>
      </c>
      <c r="AM114" t="e">
        <f t="shared" si="79"/>
        <v>#N/A</v>
      </c>
      <c r="AN114" t="e">
        <f t="shared" si="80"/>
        <v>#N/A</v>
      </c>
      <c r="AO114" t="e">
        <f t="shared" si="81"/>
        <v>#N/A</v>
      </c>
    </row>
    <row r="115" spans="5:41" x14ac:dyDescent="0.2">
      <c r="F115" t="s">
        <v>117</v>
      </c>
      <c r="H115">
        <v>190</v>
      </c>
      <c r="I115">
        <v>0</v>
      </c>
      <c r="J115">
        <v>0</v>
      </c>
      <c r="L115" t="str">
        <f t="shared" si="62"/>
        <v>1091</v>
      </c>
      <c r="R115" t="e">
        <f t="shared" si="63"/>
        <v>#N/A</v>
      </c>
      <c r="S115" t="e">
        <f>S101</f>
        <v>#N/A</v>
      </c>
      <c r="T115" t="e">
        <f>T101</f>
        <v>#N/A</v>
      </c>
      <c r="U115" t="str">
        <f t="shared" si="64"/>
        <v>EFN2O</v>
      </c>
      <c r="V115">
        <f t="shared" si="65"/>
        <v>0</v>
      </c>
      <c r="W115">
        <v>0</v>
      </c>
      <c r="X115">
        <f t="shared" si="66"/>
        <v>0</v>
      </c>
      <c r="Y115">
        <f t="shared" si="67"/>
        <v>0</v>
      </c>
      <c r="Z115">
        <f t="shared" si="68"/>
        <v>1</v>
      </c>
      <c r="AA115">
        <f t="shared" si="69"/>
        <v>-1.4E-3</v>
      </c>
      <c r="AD115">
        <f t="shared" si="70"/>
        <v>0</v>
      </c>
      <c r="AE115">
        <f t="shared" si="71"/>
        <v>0</v>
      </c>
      <c r="AF115">
        <f t="shared" si="72"/>
        <v>0</v>
      </c>
      <c r="AG115">
        <f t="shared" si="73"/>
        <v>0</v>
      </c>
      <c r="AH115">
        <f t="shared" si="74"/>
        <v>0</v>
      </c>
      <c r="AI115">
        <f t="shared" si="75"/>
        <v>0</v>
      </c>
      <c r="AJ115">
        <f t="shared" si="76"/>
        <v>0</v>
      </c>
      <c r="AK115">
        <f t="shared" si="77"/>
        <v>0</v>
      </c>
      <c r="AL115" t="e">
        <f t="shared" si="78"/>
        <v>#N/A</v>
      </c>
      <c r="AM115" t="e">
        <f t="shared" si="79"/>
        <v>#N/A</v>
      </c>
      <c r="AN115" t="e">
        <f t="shared" si="80"/>
        <v>#N/A</v>
      </c>
      <c r="AO115" t="e">
        <f t="shared" si="81"/>
        <v>#N/A</v>
      </c>
    </row>
    <row r="116" spans="5:41" x14ac:dyDescent="0.2">
      <c r="F116" t="s">
        <v>119</v>
      </c>
      <c r="H116">
        <v>180</v>
      </c>
      <c r="I116">
        <v>0</v>
      </c>
      <c r="J116">
        <v>0</v>
      </c>
      <c r="L116" t="str">
        <f t="shared" si="62"/>
        <v>1091</v>
      </c>
      <c r="R116" t="e">
        <f t="shared" si="63"/>
        <v>#N/A</v>
      </c>
      <c r="S116" t="e">
        <f>S101</f>
        <v>#N/A</v>
      </c>
      <c r="T116" t="e">
        <f>T101</f>
        <v>#N/A</v>
      </c>
      <c r="U116" t="str">
        <f t="shared" si="64"/>
        <v>EFN2O</v>
      </c>
      <c r="V116">
        <f t="shared" si="65"/>
        <v>0</v>
      </c>
      <c r="W116">
        <v>0</v>
      </c>
      <c r="X116">
        <f t="shared" si="66"/>
        <v>0</v>
      </c>
      <c r="Y116">
        <f t="shared" si="67"/>
        <v>0</v>
      </c>
      <c r="Z116">
        <f t="shared" si="68"/>
        <v>1</v>
      </c>
      <c r="AA116">
        <f t="shared" si="69"/>
        <v>-1.4E-3</v>
      </c>
      <c r="AD116">
        <f t="shared" si="70"/>
        <v>0</v>
      </c>
      <c r="AE116">
        <f t="shared" si="71"/>
        <v>0</v>
      </c>
      <c r="AF116">
        <f t="shared" si="72"/>
        <v>0</v>
      </c>
      <c r="AG116">
        <f t="shared" si="73"/>
        <v>0</v>
      </c>
      <c r="AH116">
        <f t="shared" si="74"/>
        <v>0</v>
      </c>
      <c r="AI116">
        <f t="shared" si="75"/>
        <v>0</v>
      </c>
      <c r="AJ116">
        <f t="shared" si="76"/>
        <v>0</v>
      </c>
      <c r="AK116">
        <f t="shared" si="77"/>
        <v>0</v>
      </c>
      <c r="AL116" t="e">
        <f t="shared" si="78"/>
        <v>#N/A</v>
      </c>
      <c r="AM116" t="e">
        <f t="shared" si="79"/>
        <v>#N/A</v>
      </c>
      <c r="AN116" t="e">
        <f t="shared" si="80"/>
        <v>#N/A</v>
      </c>
      <c r="AO116" t="e">
        <f t="shared" si="81"/>
        <v>#N/A</v>
      </c>
    </row>
    <row r="117" spans="5:41" x14ac:dyDescent="0.2">
      <c r="E117" t="s">
        <v>131</v>
      </c>
      <c r="F117" t="s">
        <v>113</v>
      </c>
      <c r="H117">
        <v>50</v>
      </c>
      <c r="I117">
        <v>0</v>
      </c>
      <c r="J117">
        <v>0</v>
      </c>
      <c r="L117" t="str">
        <f t="shared" si="62"/>
        <v>1091</v>
      </c>
      <c r="R117" t="e">
        <f t="shared" si="63"/>
        <v>#N/A</v>
      </c>
      <c r="S117" t="e">
        <f>S101</f>
        <v>#N/A</v>
      </c>
      <c r="T117" t="e">
        <f>T101</f>
        <v>#N/A</v>
      </c>
      <c r="U117" t="str">
        <f t="shared" si="64"/>
        <v>EFN2O</v>
      </c>
      <c r="V117">
        <f t="shared" si="65"/>
        <v>0</v>
      </c>
      <c r="W117">
        <v>0</v>
      </c>
      <c r="X117">
        <f t="shared" si="66"/>
        <v>0</v>
      </c>
      <c r="Y117">
        <f t="shared" si="67"/>
        <v>0</v>
      </c>
      <c r="Z117">
        <f t="shared" si="68"/>
        <v>1</v>
      </c>
      <c r="AA117">
        <f t="shared" si="69"/>
        <v>-1.4E-3</v>
      </c>
      <c r="AD117">
        <f t="shared" si="70"/>
        <v>0</v>
      </c>
      <c r="AE117">
        <f t="shared" si="71"/>
        <v>0</v>
      </c>
      <c r="AF117">
        <f t="shared" si="72"/>
        <v>0</v>
      </c>
      <c r="AG117">
        <f t="shared" si="73"/>
        <v>0</v>
      </c>
      <c r="AH117">
        <f t="shared" si="74"/>
        <v>0</v>
      </c>
      <c r="AI117">
        <f t="shared" si="75"/>
        <v>0</v>
      </c>
      <c r="AJ117">
        <f t="shared" si="76"/>
        <v>0</v>
      </c>
      <c r="AK117">
        <f t="shared" si="77"/>
        <v>0</v>
      </c>
      <c r="AL117" t="e">
        <f t="shared" si="78"/>
        <v>#N/A</v>
      </c>
      <c r="AM117" t="e">
        <f t="shared" si="79"/>
        <v>#N/A</v>
      </c>
      <c r="AN117" t="e">
        <f t="shared" si="80"/>
        <v>#N/A</v>
      </c>
      <c r="AO117" t="e">
        <f t="shared" si="81"/>
        <v>#N/A</v>
      </c>
    </row>
    <row r="118" spans="5:41" x14ac:dyDescent="0.2">
      <c r="F118" t="s">
        <v>115</v>
      </c>
      <c r="H118">
        <v>55</v>
      </c>
      <c r="I118">
        <v>0</v>
      </c>
      <c r="J118">
        <v>0</v>
      </c>
      <c r="L118" t="str">
        <f t="shared" si="62"/>
        <v>1091</v>
      </c>
      <c r="R118" t="e">
        <f t="shared" si="63"/>
        <v>#N/A</v>
      </c>
      <c r="S118" t="e">
        <f>S101</f>
        <v>#N/A</v>
      </c>
      <c r="T118" t="e">
        <f>T101</f>
        <v>#N/A</v>
      </c>
      <c r="U118" t="str">
        <f t="shared" si="64"/>
        <v>EFN2O</v>
      </c>
      <c r="V118">
        <f t="shared" si="65"/>
        <v>0</v>
      </c>
      <c r="W118">
        <v>0</v>
      </c>
      <c r="X118">
        <f t="shared" si="66"/>
        <v>0</v>
      </c>
      <c r="Y118">
        <f t="shared" si="67"/>
        <v>0</v>
      </c>
      <c r="Z118">
        <f t="shared" si="68"/>
        <v>1</v>
      </c>
      <c r="AA118">
        <f t="shared" si="69"/>
        <v>-1.4E-3</v>
      </c>
      <c r="AD118">
        <f t="shared" si="70"/>
        <v>0</v>
      </c>
      <c r="AE118">
        <f t="shared" si="71"/>
        <v>0</v>
      </c>
      <c r="AF118">
        <f t="shared" si="72"/>
        <v>0</v>
      </c>
      <c r="AG118">
        <f t="shared" si="73"/>
        <v>0</v>
      </c>
      <c r="AH118">
        <f t="shared" si="74"/>
        <v>0</v>
      </c>
      <c r="AI118">
        <f t="shared" si="75"/>
        <v>0</v>
      </c>
      <c r="AJ118">
        <f t="shared" si="76"/>
        <v>0</v>
      </c>
      <c r="AK118">
        <f t="shared" si="77"/>
        <v>0</v>
      </c>
      <c r="AL118" t="e">
        <f t="shared" si="78"/>
        <v>#N/A</v>
      </c>
      <c r="AM118" t="e">
        <f t="shared" si="79"/>
        <v>#N/A</v>
      </c>
      <c r="AN118" t="e">
        <f t="shared" si="80"/>
        <v>#N/A</v>
      </c>
      <c r="AO118" t="e">
        <f t="shared" si="81"/>
        <v>#N/A</v>
      </c>
    </row>
    <row r="119" spans="5:41" x14ac:dyDescent="0.2">
      <c r="F119" t="s">
        <v>117</v>
      </c>
      <c r="H119">
        <v>60</v>
      </c>
      <c r="I119">
        <v>0</v>
      </c>
      <c r="J119">
        <v>0</v>
      </c>
      <c r="L119" t="str">
        <f t="shared" si="62"/>
        <v>1091</v>
      </c>
      <c r="R119" t="e">
        <f t="shared" si="63"/>
        <v>#N/A</v>
      </c>
      <c r="S119" t="e">
        <f>S101</f>
        <v>#N/A</v>
      </c>
      <c r="T119" t="e">
        <f>T101</f>
        <v>#N/A</v>
      </c>
      <c r="U119" t="str">
        <f t="shared" si="64"/>
        <v>EFN2O</v>
      </c>
      <c r="V119">
        <f t="shared" si="65"/>
        <v>0</v>
      </c>
      <c r="W119">
        <v>0</v>
      </c>
      <c r="X119">
        <f t="shared" si="66"/>
        <v>0</v>
      </c>
      <c r="Y119">
        <f t="shared" si="67"/>
        <v>0</v>
      </c>
      <c r="Z119">
        <f t="shared" si="68"/>
        <v>1</v>
      </c>
      <c r="AA119">
        <f t="shared" si="69"/>
        <v>-1.4E-3</v>
      </c>
      <c r="AD119">
        <f t="shared" si="70"/>
        <v>0</v>
      </c>
      <c r="AE119">
        <f t="shared" si="71"/>
        <v>0</v>
      </c>
      <c r="AF119">
        <f t="shared" si="72"/>
        <v>0</v>
      </c>
      <c r="AG119">
        <f t="shared" si="73"/>
        <v>0</v>
      </c>
      <c r="AH119">
        <f t="shared" si="74"/>
        <v>0</v>
      </c>
      <c r="AI119">
        <f t="shared" si="75"/>
        <v>0</v>
      </c>
      <c r="AJ119">
        <f t="shared" si="76"/>
        <v>0</v>
      </c>
      <c r="AK119">
        <f t="shared" si="77"/>
        <v>0</v>
      </c>
      <c r="AL119" t="e">
        <f t="shared" si="78"/>
        <v>#N/A</v>
      </c>
      <c r="AM119" t="e">
        <f t="shared" si="79"/>
        <v>#N/A</v>
      </c>
      <c r="AN119" t="e">
        <f t="shared" si="80"/>
        <v>#N/A</v>
      </c>
      <c r="AO119" t="e">
        <f t="shared" si="81"/>
        <v>#N/A</v>
      </c>
    </row>
    <row r="120" spans="5:41" x14ac:dyDescent="0.2">
      <c r="F120" t="s">
        <v>119</v>
      </c>
      <c r="H120">
        <v>65</v>
      </c>
      <c r="I120">
        <v>0</v>
      </c>
      <c r="J120">
        <v>0</v>
      </c>
      <c r="L120" t="str">
        <f t="shared" si="62"/>
        <v>1091</v>
      </c>
      <c r="R120" t="e">
        <f t="shared" si="63"/>
        <v>#N/A</v>
      </c>
      <c r="S120" t="e">
        <f>S101</f>
        <v>#N/A</v>
      </c>
      <c r="T120" t="e">
        <f>T101</f>
        <v>#N/A</v>
      </c>
      <c r="U120" t="str">
        <f t="shared" si="64"/>
        <v>EFN2O</v>
      </c>
      <c r="V120">
        <f t="shared" si="65"/>
        <v>0</v>
      </c>
      <c r="W120">
        <v>0</v>
      </c>
      <c r="X120">
        <f t="shared" si="66"/>
        <v>0</v>
      </c>
      <c r="Y120">
        <f t="shared" si="67"/>
        <v>0</v>
      </c>
      <c r="Z120">
        <f t="shared" si="68"/>
        <v>1</v>
      </c>
      <c r="AA120">
        <f t="shared" si="69"/>
        <v>-1.4E-3</v>
      </c>
      <c r="AD120">
        <f t="shared" si="70"/>
        <v>0</v>
      </c>
      <c r="AE120">
        <f t="shared" si="71"/>
        <v>0</v>
      </c>
      <c r="AF120">
        <f t="shared" si="72"/>
        <v>0</v>
      </c>
      <c r="AG120">
        <f t="shared" si="73"/>
        <v>0</v>
      </c>
      <c r="AH120">
        <f t="shared" si="74"/>
        <v>0</v>
      </c>
      <c r="AI120">
        <f t="shared" si="75"/>
        <v>0</v>
      </c>
      <c r="AJ120">
        <f t="shared" si="76"/>
        <v>0</v>
      </c>
      <c r="AK120">
        <f t="shared" si="77"/>
        <v>0</v>
      </c>
      <c r="AL120" t="e">
        <f t="shared" si="78"/>
        <v>#N/A</v>
      </c>
      <c r="AM120" t="e">
        <f t="shared" si="79"/>
        <v>#N/A</v>
      </c>
      <c r="AN120" t="e">
        <f t="shared" si="80"/>
        <v>#N/A</v>
      </c>
      <c r="AO120" t="e">
        <f t="shared" si="81"/>
        <v>#N/A</v>
      </c>
    </row>
    <row r="121" spans="5:41" x14ac:dyDescent="0.2">
      <c r="E121" t="s">
        <v>132</v>
      </c>
      <c r="F121" t="s">
        <v>113</v>
      </c>
      <c r="H121">
        <v>50</v>
      </c>
      <c r="I121">
        <v>0</v>
      </c>
      <c r="J121">
        <v>0</v>
      </c>
      <c r="L121" t="str">
        <f t="shared" si="62"/>
        <v>1091</v>
      </c>
      <c r="R121" t="e">
        <f t="shared" si="63"/>
        <v>#N/A</v>
      </c>
      <c r="S121" t="e">
        <f>S101</f>
        <v>#N/A</v>
      </c>
      <c r="T121" t="e">
        <f>T101</f>
        <v>#N/A</v>
      </c>
      <c r="U121" t="str">
        <f t="shared" si="64"/>
        <v>EFN2O</v>
      </c>
      <c r="V121">
        <f t="shared" si="65"/>
        <v>0</v>
      </c>
      <c r="W121">
        <v>0</v>
      </c>
      <c r="X121">
        <f t="shared" si="66"/>
        <v>0</v>
      </c>
      <c r="Y121">
        <f t="shared" si="67"/>
        <v>0</v>
      </c>
      <c r="Z121">
        <f t="shared" si="68"/>
        <v>1</v>
      </c>
      <c r="AA121">
        <f t="shared" si="69"/>
        <v>-1.4E-3</v>
      </c>
      <c r="AD121">
        <f t="shared" si="70"/>
        <v>0</v>
      </c>
      <c r="AE121">
        <f t="shared" si="71"/>
        <v>0</v>
      </c>
      <c r="AF121">
        <f t="shared" si="72"/>
        <v>0</v>
      </c>
      <c r="AG121">
        <f t="shared" si="73"/>
        <v>0</v>
      </c>
      <c r="AH121">
        <f t="shared" si="74"/>
        <v>0</v>
      </c>
      <c r="AI121">
        <f t="shared" si="75"/>
        <v>0</v>
      </c>
      <c r="AJ121">
        <f t="shared" si="76"/>
        <v>0</v>
      </c>
      <c r="AK121">
        <f t="shared" si="77"/>
        <v>0</v>
      </c>
      <c r="AL121" t="e">
        <f t="shared" si="78"/>
        <v>#N/A</v>
      </c>
      <c r="AM121" t="e">
        <f t="shared" si="79"/>
        <v>#N/A</v>
      </c>
      <c r="AN121" t="e">
        <f t="shared" si="80"/>
        <v>#N/A</v>
      </c>
      <c r="AO121" t="e">
        <f t="shared" si="81"/>
        <v>#N/A</v>
      </c>
    </row>
    <row r="122" spans="5:41" x14ac:dyDescent="0.2">
      <c r="F122" t="s">
        <v>115</v>
      </c>
      <c r="H122">
        <v>100</v>
      </c>
      <c r="I122">
        <v>0</v>
      </c>
      <c r="J122">
        <v>0</v>
      </c>
      <c r="L122" t="str">
        <f t="shared" si="62"/>
        <v>1091</v>
      </c>
      <c r="R122" t="e">
        <f t="shared" si="63"/>
        <v>#N/A</v>
      </c>
      <c r="S122" t="e">
        <f>S101</f>
        <v>#N/A</v>
      </c>
      <c r="T122" t="e">
        <f>T101</f>
        <v>#N/A</v>
      </c>
      <c r="U122" t="str">
        <f t="shared" si="64"/>
        <v>EFN2O</v>
      </c>
      <c r="V122">
        <f t="shared" si="65"/>
        <v>0</v>
      </c>
      <c r="W122">
        <v>0</v>
      </c>
      <c r="X122">
        <f t="shared" si="66"/>
        <v>0</v>
      </c>
      <c r="Y122">
        <f t="shared" si="67"/>
        <v>0</v>
      </c>
      <c r="Z122">
        <f t="shared" si="68"/>
        <v>1</v>
      </c>
      <c r="AA122">
        <f t="shared" si="69"/>
        <v>-1.4E-3</v>
      </c>
      <c r="AD122">
        <f t="shared" si="70"/>
        <v>0</v>
      </c>
      <c r="AE122">
        <f t="shared" si="71"/>
        <v>0</v>
      </c>
      <c r="AF122">
        <f t="shared" si="72"/>
        <v>0</v>
      </c>
      <c r="AG122">
        <f t="shared" si="73"/>
        <v>0</v>
      </c>
      <c r="AH122">
        <f t="shared" si="74"/>
        <v>0</v>
      </c>
      <c r="AI122">
        <f t="shared" si="75"/>
        <v>0</v>
      </c>
      <c r="AJ122">
        <f t="shared" si="76"/>
        <v>0</v>
      </c>
      <c r="AK122">
        <f t="shared" si="77"/>
        <v>0</v>
      </c>
      <c r="AL122" t="e">
        <f t="shared" si="78"/>
        <v>#N/A</v>
      </c>
      <c r="AM122" t="e">
        <f t="shared" si="79"/>
        <v>#N/A</v>
      </c>
      <c r="AN122" t="e">
        <f t="shared" si="80"/>
        <v>#N/A</v>
      </c>
      <c r="AO122" t="e">
        <f t="shared" si="81"/>
        <v>#N/A</v>
      </c>
    </row>
    <row r="123" spans="5:41" x14ac:dyDescent="0.2">
      <c r="F123" t="s">
        <v>117</v>
      </c>
      <c r="H123">
        <v>90</v>
      </c>
      <c r="I123">
        <v>0</v>
      </c>
      <c r="J123">
        <v>0</v>
      </c>
      <c r="L123" t="str">
        <f t="shared" si="62"/>
        <v>1091</v>
      </c>
      <c r="R123" t="e">
        <f t="shared" si="63"/>
        <v>#N/A</v>
      </c>
      <c r="S123" t="e">
        <f>S101</f>
        <v>#N/A</v>
      </c>
      <c r="T123" t="e">
        <f>T101</f>
        <v>#N/A</v>
      </c>
      <c r="U123" t="str">
        <f t="shared" si="64"/>
        <v>EFN2O</v>
      </c>
      <c r="V123">
        <f t="shared" si="65"/>
        <v>0</v>
      </c>
      <c r="W123">
        <v>0</v>
      </c>
      <c r="X123">
        <f t="shared" si="66"/>
        <v>0</v>
      </c>
      <c r="Y123">
        <f t="shared" si="67"/>
        <v>0</v>
      </c>
      <c r="Z123">
        <f t="shared" si="68"/>
        <v>1</v>
      </c>
      <c r="AA123">
        <f t="shared" si="69"/>
        <v>-1.4E-3</v>
      </c>
      <c r="AD123">
        <f t="shared" si="70"/>
        <v>0</v>
      </c>
      <c r="AE123">
        <f t="shared" si="71"/>
        <v>0</v>
      </c>
      <c r="AF123">
        <f t="shared" si="72"/>
        <v>0</v>
      </c>
      <c r="AG123">
        <f t="shared" si="73"/>
        <v>0</v>
      </c>
      <c r="AH123">
        <f t="shared" si="74"/>
        <v>0</v>
      </c>
      <c r="AI123">
        <f t="shared" si="75"/>
        <v>0</v>
      </c>
      <c r="AJ123">
        <f t="shared" si="76"/>
        <v>0</v>
      </c>
      <c r="AK123">
        <f t="shared" si="77"/>
        <v>0</v>
      </c>
      <c r="AL123" t="e">
        <f t="shared" si="78"/>
        <v>#N/A</v>
      </c>
      <c r="AM123" t="e">
        <f t="shared" si="79"/>
        <v>#N/A</v>
      </c>
      <c r="AN123" t="e">
        <f t="shared" si="80"/>
        <v>#N/A</v>
      </c>
      <c r="AO123" t="e">
        <f t="shared" si="81"/>
        <v>#N/A</v>
      </c>
    </row>
    <row r="124" spans="5:41" x14ac:dyDescent="0.2">
      <c r="F124" t="s">
        <v>119</v>
      </c>
      <c r="H124">
        <v>80</v>
      </c>
      <c r="I124">
        <v>0</v>
      </c>
      <c r="J124">
        <v>0</v>
      </c>
      <c r="L124" t="str">
        <f t="shared" si="62"/>
        <v>1091</v>
      </c>
      <c r="R124" t="e">
        <f t="shared" si="63"/>
        <v>#N/A</v>
      </c>
      <c r="S124" t="e">
        <f>S101</f>
        <v>#N/A</v>
      </c>
      <c r="T124" t="e">
        <f>T101</f>
        <v>#N/A</v>
      </c>
      <c r="U124" t="str">
        <f t="shared" si="64"/>
        <v>EFN2O</v>
      </c>
      <c r="V124">
        <f t="shared" si="65"/>
        <v>0</v>
      </c>
      <c r="W124">
        <v>0</v>
      </c>
      <c r="X124">
        <f t="shared" si="66"/>
        <v>0</v>
      </c>
      <c r="Y124">
        <f t="shared" si="67"/>
        <v>0</v>
      </c>
      <c r="Z124">
        <f t="shared" si="68"/>
        <v>1</v>
      </c>
      <c r="AA124">
        <f t="shared" si="69"/>
        <v>-1.4E-3</v>
      </c>
      <c r="AD124">
        <f t="shared" si="70"/>
        <v>0</v>
      </c>
      <c r="AE124">
        <f t="shared" si="71"/>
        <v>0</v>
      </c>
      <c r="AF124">
        <f t="shared" si="72"/>
        <v>0</v>
      </c>
      <c r="AG124">
        <f t="shared" si="73"/>
        <v>0</v>
      </c>
      <c r="AH124">
        <f t="shared" si="74"/>
        <v>0</v>
      </c>
      <c r="AI124">
        <f t="shared" si="75"/>
        <v>0</v>
      </c>
      <c r="AJ124">
        <f t="shared" si="76"/>
        <v>0</v>
      </c>
      <c r="AK124">
        <f t="shared" si="77"/>
        <v>0</v>
      </c>
      <c r="AL124" t="e">
        <f t="shared" si="78"/>
        <v>#N/A</v>
      </c>
      <c r="AM124" t="e">
        <f t="shared" si="79"/>
        <v>#N/A</v>
      </c>
      <c r="AN124" t="e">
        <f t="shared" si="80"/>
        <v>#N/A</v>
      </c>
      <c r="AO124" t="e">
        <f t="shared" si="81"/>
        <v>#N/A</v>
      </c>
    </row>
    <row r="131" spans="1:42" x14ac:dyDescent="0.2">
      <c r="A131" t="s">
        <v>120</v>
      </c>
      <c r="B131" t="s">
        <v>120</v>
      </c>
      <c r="C131" t="s">
        <v>120</v>
      </c>
      <c r="D131" t="s">
        <v>111</v>
      </c>
      <c r="E131" t="s">
        <v>112</v>
      </c>
      <c r="F131" t="s">
        <v>113</v>
      </c>
      <c r="H131">
        <v>100</v>
      </c>
      <c r="I131">
        <v>95</v>
      </c>
      <c r="J131">
        <v>90</v>
      </c>
      <c r="L131" t="str">
        <f t="shared" ref="L131:L154" si="82">$AV$3</f>
        <v>1091</v>
      </c>
      <c r="M131" t="e" cm="1">
        <f t="array" aca="1" ref="M131" ca="1">_xludf.DROP(_xludf.XLOOKUP($C131,#REF!,#REF!),1)</f>
        <v>#NAME?</v>
      </c>
      <c r="O131" t="e" cm="1">
        <f t="array" aca="1" ref="O131" ca="1">_xludf.DROP(_xludf.XLOOKUP($C131,#REF!,#REF!),1)</f>
        <v>#NAME?</v>
      </c>
      <c r="Q131" t="e" cm="1">
        <f t="array" aca="1" ref="Q131" ca="1">_xludf.DROP(_xludf.XLOOKUP($C131,#REF!,#REF!),1)</f>
        <v>#NAME?</v>
      </c>
      <c r="R131">
        <f t="shared" ref="R131:R154" si="83">1-S131</f>
        <v>0</v>
      </c>
      <c r="S131">
        <f>IF($D131="yes", 1, VLOOKUP($B131, $AU$26:$AW$32, 2)/100)</f>
        <v>1</v>
      </c>
      <c r="T131" t="e">
        <f>VLOOKUP($B131,$AW$10:$AX$16, 2, FALSE)</f>
        <v>#N/A</v>
      </c>
      <c r="U131" t="str">
        <f t="shared" ref="U131:U154" si="84">$AV$10</f>
        <v>EFN2O</v>
      </c>
      <c r="V131">
        <f t="shared" ref="V131:V154" si="85">(I131/100)*(MIN(J131,100)/100)</f>
        <v>0.85499999999999998</v>
      </c>
      <c r="W131">
        <v>0</v>
      </c>
      <c r="X131">
        <f t="shared" ref="X131:X154" si="86">1.6 * W131</f>
        <v>0</v>
      </c>
      <c r="Y131">
        <f t="shared" ref="Y131:Y154" si="87">$AY$1</f>
        <v>0</v>
      </c>
      <c r="Z131">
        <f t="shared" ref="Z131:Z154" si="88">V131*Y131+(1-V131)</f>
        <v>0.14500000000000002</v>
      </c>
      <c r="AA131" t="e">
        <f t="shared" ref="AA131:AA154" ca="1" si="89">(0.795*O131)-0.0014</f>
        <v>#NAME?</v>
      </c>
      <c r="AC131" t="e" cm="1">
        <f t="array" aca="1" ref="AC131" ca="1">_xludf.DROP(_xludf.XLOOKUP($C131,#REF!,#REF!),1)</f>
        <v>#NAME?</v>
      </c>
      <c r="AD131" t="e">
        <f t="shared" ref="AD131:AD154" ca="1" si="90">1 - EXP(-2*(AC131^2))</f>
        <v>#NAME?</v>
      </c>
      <c r="AE131" t="e">
        <f t="shared" ref="AE131:AE154" ca="1" si="91">(104.7*AA131+0.307*Q131-15)*(Q131^0.75)*10^-3</f>
        <v>#NAME?</v>
      </c>
      <c r="AF131" t="e">
        <f t="shared" ref="AF131:AF154" ca="1" si="92">AE131*AD131*Z131</f>
        <v>#NAME?</v>
      </c>
      <c r="AG131" t="e">
        <f t="shared" ref="AG131:AG154" ca="1" si="93">(AF131 * M131) + (0.045 * X131)</f>
        <v>#NAME?</v>
      </c>
      <c r="AH131">
        <f t="shared" ref="AH131:AH154" si="94">$AV$2</f>
        <v>0</v>
      </c>
      <c r="AI131" t="e">
        <f t="shared" ref="AI131:AI154" ca="1" si="95">(AF131 * ((1 - O131) + (0.04 * AF131))) * ( 1 - AH131 )</f>
        <v>#NAME?</v>
      </c>
      <c r="AJ131">
        <f t="shared" ref="AJ131:AJ154" si="96">$AV$1</f>
        <v>0</v>
      </c>
      <c r="AK131">
        <f t="shared" ref="AK131:AK154" si="97">$AW$20</f>
        <v>0</v>
      </c>
      <c r="AL131" t="e">
        <f t="shared" ref="AL131:AL154" ca="1" si="98">AI131 * AJ131 * R131 * T131 * AK131</f>
        <v>#NAME?</v>
      </c>
      <c r="AM131" t="e">
        <f t="shared" ref="AM131:AM154" ca="1" si="99">AI131*AJ131*S131*U131*AK131</f>
        <v>#NAME?</v>
      </c>
      <c r="AN131" t="e">
        <f t="shared" ref="AN131:AN154" ca="1" si="100">AL131+AM131</f>
        <v>#NAME?</v>
      </c>
      <c r="AO131" t="e">
        <f t="shared" ref="AO131:AO154" ca="1" si="101">H131*AN131*L131</f>
        <v>#NAME?</v>
      </c>
      <c r="AP131" t="e">
        <f ca="1">SUM(AO131:AO154)*10^-3</f>
        <v>#NAME?</v>
      </c>
    </row>
    <row r="132" spans="1:42" x14ac:dyDescent="0.2">
      <c r="F132" t="s">
        <v>115</v>
      </c>
      <c r="H132">
        <v>70</v>
      </c>
      <c r="I132">
        <v>0</v>
      </c>
      <c r="J132">
        <v>0</v>
      </c>
      <c r="L132" t="str">
        <f t="shared" si="82"/>
        <v>1091</v>
      </c>
      <c r="R132">
        <f t="shared" si="83"/>
        <v>0</v>
      </c>
      <c r="S132">
        <f>S131</f>
        <v>1</v>
      </c>
      <c r="T132" t="e">
        <f>T131</f>
        <v>#N/A</v>
      </c>
      <c r="U132" t="str">
        <f t="shared" si="84"/>
        <v>EFN2O</v>
      </c>
      <c r="V132">
        <f t="shared" si="85"/>
        <v>0</v>
      </c>
      <c r="W132">
        <v>0</v>
      </c>
      <c r="X132">
        <f t="shared" si="86"/>
        <v>0</v>
      </c>
      <c r="Y132">
        <f t="shared" si="87"/>
        <v>0</v>
      </c>
      <c r="Z132">
        <f t="shared" si="88"/>
        <v>1</v>
      </c>
      <c r="AA132">
        <f t="shared" si="89"/>
        <v>-1.4E-3</v>
      </c>
      <c r="AD132">
        <f t="shared" si="90"/>
        <v>0</v>
      </c>
      <c r="AE132">
        <f t="shared" si="91"/>
        <v>0</v>
      </c>
      <c r="AF132">
        <f t="shared" si="92"/>
        <v>0</v>
      </c>
      <c r="AG132">
        <f t="shared" si="93"/>
        <v>0</v>
      </c>
      <c r="AH132">
        <f t="shared" si="94"/>
        <v>0</v>
      </c>
      <c r="AI132">
        <f t="shared" si="95"/>
        <v>0</v>
      </c>
      <c r="AJ132">
        <f t="shared" si="96"/>
        <v>0</v>
      </c>
      <c r="AK132">
        <f t="shared" si="97"/>
        <v>0</v>
      </c>
      <c r="AL132" t="e">
        <f t="shared" si="98"/>
        <v>#N/A</v>
      </c>
      <c r="AM132" t="e">
        <f t="shared" si="99"/>
        <v>#VALUE!</v>
      </c>
      <c r="AN132" t="e">
        <f t="shared" si="100"/>
        <v>#N/A</v>
      </c>
      <c r="AO132" t="e">
        <f t="shared" si="101"/>
        <v>#N/A</v>
      </c>
    </row>
    <row r="133" spans="1:42" x14ac:dyDescent="0.2">
      <c r="F133" t="s">
        <v>117</v>
      </c>
      <c r="H133">
        <v>65</v>
      </c>
      <c r="I133">
        <v>0</v>
      </c>
      <c r="J133">
        <v>0</v>
      </c>
      <c r="L133" t="str">
        <f t="shared" si="82"/>
        <v>1091</v>
      </c>
      <c r="R133">
        <f t="shared" si="83"/>
        <v>0</v>
      </c>
      <c r="S133">
        <f>S131</f>
        <v>1</v>
      </c>
      <c r="T133" t="e">
        <f>T131</f>
        <v>#N/A</v>
      </c>
      <c r="U133" t="str">
        <f t="shared" si="84"/>
        <v>EFN2O</v>
      </c>
      <c r="V133">
        <f t="shared" si="85"/>
        <v>0</v>
      </c>
      <c r="W133">
        <v>0</v>
      </c>
      <c r="X133">
        <f t="shared" si="86"/>
        <v>0</v>
      </c>
      <c r="Y133">
        <f t="shared" si="87"/>
        <v>0</v>
      </c>
      <c r="Z133">
        <f t="shared" si="88"/>
        <v>1</v>
      </c>
      <c r="AA133">
        <f t="shared" si="89"/>
        <v>-1.4E-3</v>
      </c>
      <c r="AD133">
        <f t="shared" si="90"/>
        <v>0</v>
      </c>
      <c r="AE133">
        <f t="shared" si="91"/>
        <v>0</v>
      </c>
      <c r="AF133">
        <f t="shared" si="92"/>
        <v>0</v>
      </c>
      <c r="AG133">
        <f t="shared" si="93"/>
        <v>0</v>
      </c>
      <c r="AH133">
        <f t="shared" si="94"/>
        <v>0</v>
      </c>
      <c r="AI133">
        <f t="shared" si="95"/>
        <v>0</v>
      </c>
      <c r="AJ133">
        <f t="shared" si="96"/>
        <v>0</v>
      </c>
      <c r="AK133">
        <f t="shared" si="97"/>
        <v>0</v>
      </c>
      <c r="AL133" t="e">
        <f t="shared" si="98"/>
        <v>#N/A</v>
      </c>
      <c r="AM133" t="e">
        <f t="shared" si="99"/>
        <v>#VALUE!</v>
      </c>
      <c r="AN133" t="e">
        <f t="shared" si="100"/>
        <v>#N/A</v>
      </c>
      <c r="AO133" t="e">
        <f t="shared" si="101"/>
        <v>#N/A</v>
      </c>
    </row>
    <row r="134" spans="1:42" x14ac:dyDescent="0.2">
      <c r="F134" t="s">
        <v>119</v>
      </c>
      <c r="H134">
        <v>80</v>
      </c>
      <c r="I134">
        <v>0</v>
      </c>
      <c r="J134">
        <v>0</v>
      </c>
      <c r="L134" t="str">
        <f t="shared" si="82"/>
        <v>1091</v>
      </c>
      <c r="R134">
        <f t="shared" si="83"/>
        <v>0</v>
      </c>
      <c r="S134">
        <f>S131</f>
        <v>1</v>
      </c>
      <c r="T134" t="e">
        <f>T131</f>
        <v>#N/A</v>
      </c>
      <c r="U134" t="str">
        <f t="shared" si="84"/>
        <v>EFN2O</v>
      </c>
      <c r="V134">
        <f t="shared" si="85"/>
        <v>0</v>
      </c>
      <c r="W134">
        <v>0</v>
      </c>
      <c r="X134">
        <f t="shared" si="86"/>
        <v>0</v>
      </c>
      <c r="Y134">
        <f t="shared" si="87"/>
        <v>0</v>
      </c>
      <c r="Z134">
        <f t="shared" si="88"/>
        <v>1</v>
      </c>
      <c r="AA134">
        <f t="shared" si="89"/>
        <v>-1.4E-3</v>
      </c>
      <c r="AD134">
        <f t="shared" si="90"/>
        <v>0</v>
      </c>
      <c r="AE134">
        <f t="shared" si="91"/>
        <v>0</v>
      </c>
      <c r="AF134">
        <f t="shared" si="92"/>
        <v>0</v>
      </c>
      <c r="AG134">
        <f t="shared" si="93"/>
        <v>0</v>
      </c>
      <c r="AH134">
        <f t="shared" si="94"/>
        <v>0</v>
      </c>
      <c r="AI134">
        <f t="shared" si="95"/>
        <v>0</v>
      </c>
      <c r="AJ134">
        <f t="shared" si="96"/>
        <v>0</v>
      </c>
      <c r="AK134">
        <f t="shared" si="97"/>
        <v>0</v>
      </c>
      <c r="AL134" t="e">
        <f t="shared" si="98"/>
        <v>#N/A</v>
      </c>
      <c r="AM134" t="e">
        <f t="shared" si="99"/>
        <v>#VALUE!</v>
      </c>
      <c r="AN134" t="e">
        <f t="shared" si="100"/>
        <v>#N/A</v>
      </c>
      <c r="AO134" t="e">
        <f t="shared" si="101"/>
        <v>#N/A</v>
      </c>
    </row>
    <row r="135" spans="1:42" x14ac:dyDescent="0.2">
      <c r="E135" t="s">
        <v>121</v>
      </c>
      <c r="F135" t="s">
        <v>113</v>
      </c>
      <c r="H135">
        <v>200</v>
      </c>
      <c r="I135">
        <v>0</v>
      </c>
      <c r="J135">
        <v>0</v>
      </c>
      <c r="L135" t="str">
        <f t="shared" si="82"/>
        <v>1091</v>
      </c>
      <c r="R135">
        <f t="shared" si="83"/>
        <v>0</v>
      </c>
      <c r="S135">
        <f>S131</f>
        <v>1</v>
      </c>
      <c r="T135" t="e">
        <f>T131</f>
        <v>#N/A</v>
      </c>
      <c r="U135" t="str">
        <f t="shared" si="84"/>
        <v>EFN2O</v>
      </c>
      <c r="V135">
        <f t="shared" si="85"/>
        <v>0</v>
      </c>
      <c r="W135">
        <v>1</v>
      </c>
      <c r="X135">
        <f t="shared" si="86"/>
        <v>1.6</v>
      </c>
      <c r="Y135">
        <f t="shared" si="87"/>
        <v>0</v>
      </c>
      <c r="Z135">
        <f t="shared" si="88"/>
        <v>1</v>
      </c>
      <c r="AA135">
        <f t="shared" si="89"/>
        <v>-1.4E-3</v>
      </c>
      <c r="AD135">
        <f t="shared" si="90"/>
        <v>0</v>
      </c>
      <c r="AE135">
        <f t="shared" si="91"/>
        <v>0</v>
      </c>
      <c r="AF135">
        <f t="shared" si="92"/>
        <v>0</v>
      </c>
      <c r="AG135">
        <f t="shared" si="93"/>
        <v>7.1999999999999995E-2</v>
      </c>
      <c r="AH135">
        <f t="shared" si="94"/>
        <v>0</v>
      </c>
      <c r="AI135">
        <f t="shared" si="95"/>
        <v>0</v>
      </c>
      <c r="AJ135">
        <f t="shared" si="96"/>
        <v>0</v>
      </c>
      <c r="AK135">
        <f t="shared" si="97"/>
        <v>0</v>
      </c>
      <c r="AL135" t="e">
        <f t="shared" si="98"/>
        <v>#N/A</v>
      </c>
      <c r="AM135" t="e">
        <f t="shared" si="99"/>
        <v>#VALUE!</v>
      </c>
      <c r="AN135" t="e">
        <f t="shared" si="100"/>
        <v>#N/A</v>
      </c>
      <c r="AO135" t="e">
        <f t="shared" si="101"/>
        <v>#N/A</v>
      </c>
    </row>
    <row r="136" spans="1:42" x14ac:dyDescent="0.2">
      <c r="F136" t="s">
        <v>115</v>
      </c>
      <c r="H136">
        <v>210</v>
      </c>
      <c r="I136">
        <v>0</v>
      </c>
      <c r="J136">
        <v>0</v>
      </c>
      <c r="L136" t="str">
        <f t="shared" si="82"/>
        <v>1091</v>
      </c>
      <c r="R136">
        <f t="shared" si="83"/>
        <v>0</v>
      </c>
      <c r="S136">
        <f>S131</f>
        <v>1</v>
      </c>
      <c r="T136" t="e">
        <f>T131</f>
        <v>#N/A</v>
      </c>
      <c r="U136" t="str">
        <f t="shared" si="84"/>
        <v>EFN2O</v>
      </c>
      <c r="V136">
        <f t="shared" si="85"/>
        <v>0</v>
      </c>
      <c r="W136">
        <v>0</v>
      </c>
      <c r="X136">
        <f t="shared" si="86"/>
        <v>0</v>
      </c>
      <c r="Y136">
        <f t="shared" si="87"/>
        <v>0</v>
      </c>
      <c r="Z136">
        <f t="shared" si="88"/>
        <v>1</v>
      </c>
      <c r="AA136">
        <f t="shared" si="89"/>
        <v>-1.4E-3</v>
      </c>
      <c r="AD136">
        <f t="shared" si="90"/>
        <v>0</v>
      </c>
      <c r="AE136">
        <f t="shared" si="91"/>
        <v>0</v>
      </c>
      <c r="AF136">
        <f t="shared" si="92"/>
        <v>0</v>
      </c>
      <c r="AG136">
        <f t="shared" si="93"/>
        <v>0</v>
      </c>
      <c r="AH136">
        <f t="shared" si="94"/>
        <v>0</v>
      </c>
      <c r="AI136">
        <f t="shared" si="95"/>
        <v>0</v>
      </c>
      <c r="AJ136">
        <f t="shared" si="96"/>
        <v>0</v>
      </c>
      <c r="AK136">
        <f t="shared" si="97"/>
        <v>0</v>
      </c>
      <c r="AL136" t="e">
        <f t="shared" si="98"/>
        <v>#N/A</v>
      </c>
      <c r="AM136" t="e">
        <f t="shared" si="99"/>
        <v>#VALUE!</v>
      </c>
      <c r="AN136" t="e">
        <f t="shared" si="100"/>
        <v>#N/A</v>
      </c>
      <c r="AO136" t="e">
        <f t="shared" si="101"/>
        <v>#N/A</v>
      </c>
    </row>
    <row r="137" spans="1:42" x14ac:dyDescent="0.2">
      <c r="F137" t="s">
        <v>117</v>
      </c>
      <c r="H137">
        <v>170</v>
      </c>
      <c r="I137">
        <v>0</v>
      </c>
      <c r="J137">
        <v>0</v>
      </c>
      <c r="L137" t="str">
        <f t="shared" si="82"/>
        <v>1091</v>
      </c>
      <c r="R137">
        <f t="shared" si="83"/>
        <v>0</v>
      </c>
      <c r="S137">
        <f>S131</f>
        <v>1</v>
      </c>
      <c r="T137" t="e">
        <f>T131</f>
        <v>#N/A</v>
      </c>
      <c r="U137" t="str">
        <f t="shared" si="84"/>
        <v>EFN2O</v>
      </c>
      <c r="V137">
        <f t="shared" si="85"/>
        <v>0</v>
      </c>
      <c r="W137">
        <v>0</v>
      </c>
      <c r="X137">
        <f t="shared" si="86"/>
        <v>0</v>
      </c>
      <c r="Y137">
        <f t="shared" si="87"/>
        <v>0</v>
      </c>
      <c r="Z137">
        <f t="shared" si="88"/>
        <v>1</v>
      </c>
      <c r="AA137">
        <f t="shared" si="89"/>
        <v>-1.4E-3</v>
      </c>
      <c r="AD137">
        <f t="shared" si="90"/>
        <v>0</v>
      </c>
      <c r="AE137">
        <f t="shared" si="91"/>
        <v>0</v>
      </c>
      <c r="AF137">
        <f t="shared" si="92"/>
        <v>0</v>
      </c>
      <c r="AG137">
        <f t="shared" si="93"/>
        <v>0</v>
      </c>
      <c r="AH137">
        <f t="shared" si="94"/>
        <v>0</v>
      </c>
      <c r="AI137">
        <f t="shared" si="95"/>
        <v>0</v>
      </c>
      <c r="AJ137">
        <f t="shared" si="96"/>
        <v>0</v>
      </c>
      <c r="AK137">
        <f t="shared" si="97"/>
        <v>0</v>
      </c>
      <c r="AL137" t="e">
        <f t="shared" si="98"/>
        <v>#N/A</v>
      </c>
      <c r="AM137" t="e">
        <f t="shared" si="99"/>
        <v>#VALUE!</v>
      </c>
      <c r="AN137" t="e">
        <f t="shared" si="100"/>
        <v>#N/A</v>
      </c>
      <c r="AO137" t="e">
        <f t="shared" si="101"/>
        <v>#N/A</v>
      </c>
    </row>
    <row r="138" spans="1:42" x14ac:dyDescent="0.2">
      <c r="F138" t="s">
        <v>119</v>
      </c>
      <c r="H138">
        <v>200</v>
      </c>
      <c r="I138">
        <v>0</v>
      </c>
      <c r="J138">
        <v>0</v>
      </c>
      <c r="L138" t="str">
        <f t="shared" si="82"/>
        <v>1091</v>
      </c>
      <c r="R138">
        <f t="shared" si="83"/>
        <v>0</v>
      </c>
      <c r="S138">
        <f>S131</f>
        <v>1</v>
      </c>
      <c r="T138" t="e">
        <f>T131</f>
        <v>#N/A</v>
      </c>
      <c r="U138" t="str">
        <f t="shared" si="84"/>
        <v>EFN2O</v>
      </c>
      <c r="V138">
        <f t="shared" si="85"/>
        <v>0</v>
      </c>
      <c r="W138">
        <v>0</v>
      </c>
      <c r="X138">
        <f t="shared" si="86"/>
        <v>0</v>
      </c>
      <c r="Y138">
        <f t="shared" si="87"/>
        <v>0</v>
      </c>
      <c r="Z138">
        <f t="shared" si="88"/>
        <v>1</v>
      </c>
      <c r="AA138">
        <f t="shared" si="89"/>
        <v>-1.4E-3</v>
      </c>
      <c r="AD138">
        <f t="shared" si="90"/>
        <v>0</v>
      </c>
      <c r="AE138">
        <f t="shared" si="91"/>
        <v>0</v>
      </c>
      <c r="AF138">
        <f t="shared" si="92"/>
        <v>0</v>
      </c>
      <c r="AG138">
        <f t="shared" si="93"/>
        <v>0</v>
      </c>
      <c r="AH138">
        <f t="shared" si="94"/>
        <v>0</v>
      </c>
      <c r="AI138">
        <f t="shared" si="95"/>
        <v>0</v>
      </c>
      <c r="AJ138">
        <f t="shared" si="96"/>
        <v>0</v>
      </c>
      <c r="AK138">
        <f t="shared" si="97"/>
        <v>0</v>
      </c>
      <c r="AL138" t="e">
        <f t="shared" si="98"/>
        <v>#N/A</v>
      </c>
      <c r="AM138" t="e">
        <f t="shared" si="99"/>
        <v>#VALUE!</v>
      </c>
      <c r="AN138" t="e">
        <f t="shared" si="100"/>
        <v>#N/A</v>
      </c>
      <c r="AO138" t="e">
        <f t="shared" si="101"/>
        <v>#N/A</v>
      </c>
    </row>
    <row r="139" spans="1:42" x14ac:dyDescent="0.2">
      <c r="E139" t="s">
        <v>126</v>
      </c>
      <c r="F139" t="s">
        <v>113</v>
      </c>
      <c r="H139">
        <v>100</v>
      </c>
      <c r="I139">
        <v>95</v>
      </c>
      <c r="J139">
        <v>92</v>
      </c>
      <c r="L139" t="str">
        <f t="shared" si="82"/>
        <v>1091</v>
      </c>
      <c r="R139">
        <f t="shared" si="83"/>
        <v>0</v>
      </c>
      <c r="S139">
        <f>S131</f>
        <v>1</v>
      </c>
      <c r="T139" t="e">
        <f>T131</f>
        <v>#N/A</v>
      </c>
      <c r="U139" t="str">
        <f t="shared" si="84"/>
        <v>EFN2O</v>
      </c>
      <c r="V139">
        <f t="shared" si="85"/>
        <v>0.874</v>
      </c>
      <c r="W139">
        <v>0</v>
      </c>
      <c r="X139">
        <f t="shared" si="86"/>
        <v>0</v>
      </c>
      <c r="Y139">
        <f t="shared" si="87"/>
        <v>0</v>
      </c>
      <c r="Z139">
        <f t="shared" si="88"/>
        <v>0.126</v>
      </c>
      <c r="AA139">
        <f t="shared" si="89"/>
        <v>-1.4E-3</v>
      </c>
      <c r="AD139">
        <f t="shared" si="90"/>
        <v>0</v>
      </c>
      <c r="AE139">
        <f t="shared" si="91"/>
        <v>0</v>
      </c>
      <c r="AF139">
        <f t="shared" si="92"/>
        <v>0</v>
      </c>
      <c r="AG139">
        <f t="shared" si="93"/>
        <v>0</v>
      </c>
      <c r="AH139">
        <f t="shared" si="94"/>
        <v>0</v>
      </c>
      <c r="AI139">
        <f t="shared" si="95"/>
        <v>0</v>
      </c>
      <c r="AJ139">
        <f t="shared" si="96"/>
        <v>0</v>
      </c>
      <c r="AK139">
        <f t="shared" si="97"/>
        <v>0</v>
      </c>
      <c r="AL139" t="e">
        <f t="shared" si="98"/>
        <v>#N/A</v>
      </c>
      <c r="AM139" t="e">
        <f t="shared" si="99"/>
        <v>#VALUE!</v>
      </c>
      <c r="AN139" t="e">
        <f t="shared" si="100"/>
        <v>#N/A</v>
      </c>
      <c r="AO139" t="e">
        <f t="shared" si="101"/>
        <v>#N/A</v>
      </c>
    </row>
    <row r="140" spans="1:42" x14ac:dyDescent="0.2">
      <c r="F140" t="s">
        <v>115</v>
      </c>
      <c r="H140">
        <v>140</v>
      </c>
      <c r="I140">
        <v>0</v>
      </c>
      <c r="J140">
        <v>0</v>
      </c>
      <c r="L140" t="str">
        <f t="shared" si="82"/>
        <v>1091</v>
      </c>
      <c r="R140">
        <f t="shared" si="83"/>
        <v>0</v>
      </c>
      <c r="S140">
        <f>S131</f>
        <v>1</v>
      </c>
      <c r="T140" t="e">
        <f>T131</f>
        <v>#N/A</v>
      </c>
      <c r="U140" t="str">
        <f t="shared" si="84"/>
        <v>EFN2O</v>
      </c>
      <c r="V140">
        <f t="shared" si="85"/>
        <v>0</v>
      </c>
      <c r="W140">
        <v>0</v>
      </c>
      <c r="X140">
        <f t="shared" si="86"/>
        <v>0</v>
      </c>
      <c r="Y140">
        <f t="shared" si="87"/>
        <v>0</v>
      </c>
      <c r="Z140">
        <f t="shared" si="88"/>
        <v>1</v>
      </c>
      <c r="AA140">
        <f t="shared" si="89"/>
        <v>-1.4E-3</v>
      </c>
      <c r="AD140">
        <f t="shared" si="90"/>
        <v>0</v>
      </c>
      <c r="AE140">
        <f t="shared" si="91"/>
        <v>0</v>
      </c>
      <c r="AF140">
        <f t="shared" si="92"/>
        <v>0</v>
      </c>
      <c r="AG140">
        <f t="shared" si="93"/>
        <v>0</v>
      </c>
      <c r="AH140">
        <f t="shared" si="94"/>
        <v>0</v>
      </c>
      <c r="AI140">
        <f t="shared" si="95"/>
        <v>0</v>
      </c>
      <c r="AJ140">
        <f t="shared" si="96"/>
        <v>0</v>
      </c>
      <c r="AK140">
        <f t="shared" si="97"/>
        <v>0</v>
      </c>
      <c r="AL140" t="e">
        <f t="shared" si="98"/>
        <v>#N/A</v>
      </c>
      <c r="AM140" t="e">
        <f t="shared" si="99"/>
        <v>#VALUE!</v>
      </c>
      <c r="AN140" t="e">
        <f t="shared" si="100"/>
        <v>#N/A</v>
      </c>
      <c r="AO140" t="e">
        <f t="shared" si="101"/>
        <v>#N/A</v>
      </c>
    </row>
    <row r="141" spans="1:42" x14ac:dyDescent="0.2">
      <c r="F141" t="s">
        <v>117</v>
      </c>
      <c r="H141">
        <v>135</v>
      </c>
      <c r="I141">
        <v>0</v>
      </c>
      <c r="J141">
        <v>0</v>
      </c>
      <c r="L141" t="str">
        <f t="shared" si="82"/>
        <v>1091</v>
      </c>
      <c r="R141">
        <f t="shared" si="83"/>
        <v>0</v>
      </c>
      <c r="S141">
        <f>S131</f>
        <v>1</v>
      </c>
      <c r="T141" t="e">
        <f>T131</f>
        <v>#N/A</v>
      </c>
      <c r="U141" t="str">
        <f t="shared" si="84"/>
        <v>EFN2O</v>
      </c>
      <c r="V141">
        <f t="shared" si="85"/>
        <v>0</v>
      </c>
      <c r="W141">
        <v>0</v>
      </c>
      <c r="X141">
        <f t="shared" si="86"/>
        <v>0</v>
      </c>
      <c r="Y141">
        <f t="shared" si="87"/>
        <v>0</v>
      </c>
      <c r="Z141">
        <f t="shared" si="88"/>
        <v>1</v>
      </c>
      <c r="AA141">
        <f t="shared" si="89"/>
        <v>-1.4E-3</v>
      </c>
      <c r="AD141">
        <f t="shared" si="90"/>
        <v>0</v>
      </c>
      <c r="AE141">
        <f t="shared" si="91"/>
        <v>0</v>
      </c>
      <c r="AF141">
        <f t="shared" si="92"/>
        <v>0</v>
      </c>
      <c r="AG141">
        <f t="shared" si="93"/>
        <v>0</v>
      </c>
      <c r="AH141">
        <f t="shared" si="94"/>
        <v>0</v>
      </c>
      <c r="AI141">
        <f t="shared" si="95"/>
        <v>0</v>
      </c>
      <c r="AJ141">
        <f t="shared" si="96"/>
        <v>0</v>
      </c>
      <c r="AK141">
        <f t="shared" si="97"/>
        <v>0</v>
      </c>
      <c r="AL141" t="e">
        <f t="shared" si="98"/>
        <v>#N/A</v>
      </c>
      <c r="AM141" t="e">
        <f t="shared" si="99"/>
        <v>#VALUE!</v>
      </c>
      <c r="AN141" t="e">
        <f t="shared" si="100"/>
        <v>#N/A</v>
      </c>
      <c r="AO141" t="e">
        <f t="shared" si="101"/>
        <v>#N/A</v>
      </c>
    </row>
    <row r="142" spans="1:42" x14ac:dyDescent="0.2">
      <c r="F142" t="s">
        <v>119</v>
      </c>
      <c r="H142">
        <v>130</v>
      </c>
      <c r="I142">
        <v>0</v>
      </c>
      <c r="J142">
        <v>0</v>
      </c>
      <c r="L142" t="str">
        <f t="shared" si="82"/>
        <v>1091</v>
      </c>
      <c r="R142">
        <f t="shared" si="83"/>
        <v>0</v>
      </c>
      <c r="S142">
        <f>S131</f>
        <v>1</v>
      </c>
      <c r="T142" t="e">
        <f>T131</f>
        <v>#N/A</v>
      </c>
      <c r="U142" t="str">
        <f t="shared" si="84"/>
        <v>EFN2O</v>
      </c>
      <c r="V142">
        <f t="shared" si="85"/>
        <v>0</v>
      </c>
      <c r="W142">
        <v>0</v>
      </c>
      <c r="X142">
        <f t="shared" si="86"/>
        <v>0</v>
      </c>
      <c r="Y142">
        <f t="shared" si="87"/>
        <v>0</v>
      </c>
      <c r="Z142">
        <f t="shared" si="88"/>
        <v>1</v>
      </c>
      <c r="AA142">
        <f t="shared" si="89"/>
        <v>-1.4E-3</v>
      </c>
      <c r="AD142">
        <f t="shared" si="90"/>
        <v>0</v>
      </c>
      <c r="AE142">
        <f t="shared" si="91"/>
        <v>0</v>
      </c>
      <c r="AF142">
        <f t="shared" si="92"/>
        <v>0</v>
      </c>
      <c r="AG142">
        <f t="shared" si="93"/>
        <v>0</v>
      </c>
      <c r="AH142">
        <f t="shared" si="94"/>
        <v>0</v>
      </c>
      <c r="AI142">
        <f t="shared" si="95"/>
        <v>0</v>
      </c>
      <c r="AJ142">
        <f t="shared" si="96"/>
        <v>0</v>
      </c>
      <c r="AK142">
        <f t="shared" si="97"/>
        <v>0</v>
      </c>
      <c r="AL142" t="e">
        <f t="shared" si="98"/>
        <v>#N/A</v>
      </c>
      <c r="AM142" t="e">
        <f t="shared" si="99"/>
        <v>#VALUE!</v>
      </c>
      <c r="AN142" t="e">
        <f t="shared" si="100"/>
        <v>#N/A</v>
      </c>
      <c r="AO142" t="e">
        <f t="shared" si="101"/>
        <v>#N/A</v>
      </c>
    </row>
    <row r="143" spans="1:42" x14ac:dyDescent="0.2">
      <c r="E143" t="s">
        <v>129</v>
      </c>
      <c r="F143" t="s">
        <v>113</v>
      </c>
      <c r="H143">
        <v>200</v>
      </c>
      <c r="I143">
        <v>0</v>
      </c>
      <c r="J143">
        <v>0</v>
      </c>
      <c r="L143" t="str">
        <f t="shared" si="82"/>
        <v>1091</v>
      </c>
      <c r="R143">
        <f t="shared" si="83"/>
        <v>0</v>
      </c>
      <c r="S143">
        <f>S131</f>
        <v>1</v>
      </c>
      <c r="T143" t="e">
        <f>T131</f>
        <v>#N/A</v>
      </c>
      <c r="U143" t="str">
        <f t="shared" si="84"/>
        <v>EFN2O</v>
      </c>
      <c r="V143">
        <f t="shared" si="85"/>
        <v>0</v>
      </c>
      <c r="W143">
        <v>0</v>
      </c>
      <c r="X143">
        <f t="shared" si="86"/>
        <v>0</v>
      </c>
      <c r="Y143">
        <f t="shared" si="87"/>
        <v>0</v>
      </c>
      <c r="Z143">
        <f t="shared" si="88"/>
        <v>1</v>
      </c>
      <c r="AA143">
        <f t="shared" si="89"/>
        <v>-1.4E-3</v>
      </c>
      <c r="AD143">
        <f t="shared" si="90"/>
        <v>0</v>
      </c>
      <c r="AE143">
        <f t="shared" si="91"/>
        <v>0</v>
      </c>
      <c r="AF143">
        <f t="shared" si="92"/>
        <v>0</v>
      </c>
      <c r="AG143">
        <f t="shared" si="93"/>
        <v>0</v>
      </c>
      <c r="AH143">
        <f t="shared" si="94"/>
        <v>0</v>
      </c>
      <c r="AI143">
        <f t="shared" si="95"/>
        <v>0</v>
      </c>
      <c r="AJ143">
        <f t="shared" si="96"/>
        <v>0</v>
      </c>
      <c r="AK143">
        <f t="shared" si="97"/>
        <v>0</v>
      </c>
      <c r="AL143" t="e">
        <f t="shared" si="98"/>
        <v>#N/A</v>
      </c>
      <c r="AM143" t="e">
        <f t="shared" si="99"/>
        <v>#VALUE!</v>
      </c>
      <c r="AN143" t="e">
        <f t="shared" si="100"/>
        <v>#N/A</v>
      </c>
      <c r="AO143" t="e">
        <f t="shared" si="101"/>
        <v>#N/A</v>
      </c>
    </row>
    <row r="144" spans="1:42" x14ac:dyDescent="0.2">
      <c r="F144" t="s">
        <v>115</v>
      </c>
      <c r="H144">
        <v>210</v>
      </c>
      <c r="I144">
        <v>0</v>
      </c>
      <c r="J144">
        <v>0</v>
      </c>
      <c r="L144" t="str">
        <f t="shared" si="82"/>
        <v>1091</v>
      </c>
      <c r="R144">
        <f t="shared" si="83"/>
        <v>0</v>
      </c>
      <c r="S144">
        <f>S131</f>
        <v>1</v>
      </c>
      <c r="T144" t="e">
        <f>T131</f>
        <v>#N/A</v>
      </c>
      <c r="U144" t="str">
        <f t="shared" si="84"/>
        <v>EFN2O</v>
      </c>
      <c r="V144">
        <f t="shared" si="85"/>
        <v>0</v>
      </c>
      <c r="W144">
        <v>0</v>
      </c>
      <c r="X144">
        <f t="shared" si="86"/>
        <v>0</v>
      </c>
      <c r="Y144">
        <f t="shared" si="87"/>
        <v>0</v>
      </c>
      <c r="Z144">
        <f t="shared" si="88"/>
        <v>1</v>
      </c>
      <c r="AA144">
        <f t="shared" si="89"/>
        <v>-1.4E-3</v>
      </c>
      <c r="AD144">
        <f t="shared" si="90"/>
        <v>0</v>
      </c>
      <c r="AE144">
        <f t="shared" si="91"/>
        <v>0</v>
      </c>
      <c r="AF144">
        <f t="shared" si="92"/>
        <v>0</v>
      </c>
      <c r="AG144">
        <f t="shared" si="93"/>
        <v>0</v>
      </c>
      <c r="AH144">
        <f t="shared" si="94"/>
        <v>0</v>
      </c>
      <c r="AI144">
        <f t="shared" si="95"/>
        <v>0</v>
      </c>
      <c r="AJ144">
        <f t="shared" si="96"/>
        <v>0</v>
      </c>
      <c r="AK144">
        <f t="shared" si="97"/>
        <v>0</v>
      </c>
      <c r="AL144" t="e">
        <f t="shared" si="98"/>
        <v>#N/A</v>
      </c>
      <c r="AM144" t="e">
        <f t="shared" si="99"/>
        <v>#VALUE!</v>
      </c>
      <c r="AN144" t="e">
        <f t="shared" si="100"/>
        <v>#N/A</v>
      </c>
      <c r="AO144" t="e">
        <f t="shared" si="101"/>
        <v>#N/A</v>
      </c>
    </row>
    <row r="145" spans="5:41" x14ac:dyDescent="0.2">
      <c r="F145" t="s">
        <v>117</v>
      </c>
      <c r="H145">
        <v>190</v>
      </c>
      <c r="I145">
        <v>0</v>
      </c>
      <c r="J145">
        <v>0</v>
      </c>
      <c r="L145" t="str">
        <f t="shared" si="82"/>
        <v>1091</v>
      </c>
      <c r="R145">
        <f t="shared" si="83"/>
        <v>0</v>
      </c>
      <c r="S145">
        <f>S131</f>
        <v>1</v>
      </c>
      <c r="T145" t="e">
        <f>T131</f>
        <v>#N/A</v>
      </c>
      <c r="U145" t="str">
        <f t="shared" si="84"/>
        <v>EFN2O</v>
      </c>
      <c r="V145">
        <f t="shared" si="85"/>
        <v>0</v>
      </c>
      <c r="W145">
        <v>0</v>
      </c>
      <c r="X145">
        <f t="shared" si="86"/>
        <v>0</v>
      </c>
      <c r="Y145">
        <f t="shared" si="87"/>
        <v>0</v>
      </c>
      <c r="Z145">
        <f t="shared" si="88"/>
        <v>1</v>
      </c>
      <c r="AA145">
        <f t="shared" si="89"/>
        <v>-1.4E-3</v>
      </c>
      <c r="AD145">
        <f t="shared" si="90"/>
        <v>0</v>
      </c>
      <c r="AE145">
        <f t="shared" si="91"/>
        <v>0</v>
      </c>
      <c r="AF145">
        <f t="shared" si="92"/>
        <v>0</v>
      </c>
      <c r="AG145">
        <f t="shared" si="93"/>
        <v>0</v>
      </c>
      <c r="AH145">
        <f t="shared" si="94"/>
        <v>0</v>
      </c>
      <c r="AI145">
        <f t="shared" si="95"/>
        <v>0</v>
      </c>
      <c r="AJ145">
        <f t="shared" si="96"/>
        <v>0</v>
      </c>
      <c r="AK145">
        <f t="shared" si="97"/>
        <v>0</v>
      </c>
      <c r="AL145" t="e">
        <f t="shared" si="98"/>
        <v>#N/A</v>
      </c>
      <c r="AM145" t="e">
        <f t="shared" si="99"/>
        <v>#VALUE!</v>
      </c>
      <c r="AN145" t="e">
        <f t="shared" si="100"/>
        <v>#N/A</v>
      </c>
      <c r="AO145" t="e">
        <f t="shared" si="101"/>
        <v>#N/A</v>
      </c>
    </row>
    <row r="146" spans="5:41" x14ac:dyDescent="0.2">
      <c r="F146" t="s">
        <v>119</v>
      </c>
      <c r="H146">
        <v>180</v>
      </c>
      <c r="I146">
        <v>0</v>
      </c>
      <c r="J146">
        <v>0</v>
      </c>
      <c r="L146" t="str">
        <f t="shared" si="82"/>
        <v>1091</v>
      </c>
      <c r="R146">
        <f t="shared" si="83"/>
        <v>0</v>
      </c>
      <c r="S146">
        <f>S131</f>
        <v>1</v>
      </c>
      <c r="T146" t="e">
        <f>T131</f>
        <v>#N/A</v>
      </c>
      <c r="U146" t="str">
        <f t="shared" si="84"/>
        <v>EFN2O</v>
      </c>
      <c r="V146">
        <f t="shared" si="85"/>
        <v>0</v>
      </c>
      <c r="W146">
        <v>0</v>
      </c>
      <c r="X146">
        <f t="shared" si="86"/>
        <v>0</v>
      </c>
      <c r="Y146">
        <f t="shared" si="87"/>
        <v>0</v>
      </c>
      <c r="Z146">
        <f t="shared" si="88"/>
        <v>1</v>
      </c>
      <c r="AA146">
        <f t="shared" si="89"/>
        <v>-1.4E-3</v>
      </c>
      <c r="AD146">
        <f t="shared" si="90"/>
        <v>0</v>
      </c>
      <c r="AE146">
        <f t="shared" si="91"/>
        <v>0</v>
      </c>
      <c r="AF146">
        <f t="shared" si="92"/>
        <v>0</v>
      </c>
      <c r="AG146">
        <f t="shared" si="93"/>
        <v>0</v>
      </c>
      <c r="AH146">
        <f t="shared" si="94"/>
        <v>0</v>
      </c>
      <c r="AI146">
        <f t="shared" si="95"/>
        <v>0</v>
      </c>
      <c r="AJ146">
        <f t="shared" si="96"/>
        <v>0</v>
      </c>
      <c r="AK146">
        <f t="shared" si="97"/>
        <v>0</v>
      </c>
      <c r="AL146" t="e">
        <f t="shared" si="98"/>
        <v>#N/A</v>
      </c>
      <c r="AM146" t="e">
        <f t="shared" si="99"/>
        <v>#VALUE!</v>
      </c>
      <c r="AN146" t="e">
        <f t="shared" si="100"/>
        <v>#N/A</v>
      </c>
      <c r="AO146" t="e">
        <f t="shared" si="101"/>
        <v>#N/A</v>
      </c>
    </row>
    <row r="147" spans="5:41" x14ac:dyDescent="0.2">
      <c r="E147" t="s">
        <v>131</v>
      </c>
      <c r="F147" t="s">
        <v>113</v>
      </c>
      <c r="H147">
        <v>50</v>
      </c>
      <c r="I147">
        <v>0</v>
      </c>
      <c r="J147">
        <v>0</v>
      </c>
      <c r="L147" t="str">
        <f t="shared" si="82"/>
        <v>1091</v>
      </c>
      <c r="R147">
        <f t="shared" si="83"/>
        <v>0</v>
      </c>
      <c r="S147">
        <f>S131</f>
        <v>1</v>
      </c>
      <c r="T147" t="e">
        <f>T131</f>
        <v>#N/A</v>
      </c>
      <c r="U147" t="str">
        <f t="shared" si="84"/>
        <v>EFN2O</v>
      </c>
      <c r="V147">
        <f t="shared" si="85"/>
        <v>0</v>
      </c>
      <c r="W147">
        <v>0</v>
      </c>
      <c r="X147">
        <f t="shared" si="86"/>
        <v>0</v>
      </c>
      <c r="Y147">
        <f t="shared" si="87"/>
        <v>0</v>
      </c>
      <c r="Z147">
        <f t="shared" si="88"/>
        <v>1</v>
      </c>
      <c r="AA147">
        <f t="shared" si="89"/>
        <v>-1.4E-3</v>
      </c>
      <c r="AD147">
        <f t="shared" si="90"/>
        <v>0</v>
      </c>
      <c r="AE147">
        <f t="shared" si="91"/>
        <v>0</v>
      </c>
      <c r="AF147">
        <f t="shared" si="92"/>
        <v>0</v>
      </c>
      <c r="AG147">
        <f t="shared" si="93"/>
        <v>0</v>
      </c>
      <c r="AH147">
        <f t="shared" si="94"/>
        <v>0</v>
      </c>
      <c r="AI147">
        <f t="shared" si="95"/>
        <v>0</v>
      </c>
      <c r="AJ147">
        <f t="shared" si="96"/>
        <v>0</v>
      </c>
      <c r="AK147">
        <f t="shared" si="97"/>
        <v>0</v>
      </c>
      <c r="AL147" t="e">
        <f t="shared" si="98"/>
        <v>#N/A</v>
      </c>
      <c r="AM147" t="e">
        <f t="shared" si="99"/>
        <v>#VALUE!</v>
      </c>
      <c r="AN147" t="e">
        <f t="shared" si="100"/>
        <v>#N/A</v>
      </c>
      <c r="AO147" t="e">
        <f t="shared" si="101"/>
        <v>#N/A</v>
      </c>
    </row>
    <row r="148" spans="5:41" x14ac:dyDescent="0.2">
      <c r="F148" t="s">
        <v>115</v>
      </c>
      <c r="H148">
        <v>55</v>
      </c>
      <c r="I148">
        <v>0</v>
      </c>
      <c r="J148">
        <v>0</v>
      </c>
      <c r="L148" t="str">
        <f t="shared" si="82"/>
        <v>1091</v>
      </c>
      <c r="R148">
        <f t="shared" si="83"/>
        <v>0</v>
      </c>
      <c r="S148">
        <f>S131</f>
        <v>1</v>
      </c>
      <c r="T148" t="e">
        <f>T131</f>
        <v>#N/A</v>
      </c>
      <c r="U148" t="str">
        <f t="shared" si="84"/>
        <v>EFN2O</v>
      </c>
      <c r="V148">
        <f t="shared" si="85"/>
        <v>0</v>
      </c>
      <c r="W148">
        <v>0</v>
      </c>
      <c r="X148">
        <f t="shared" si="86"/>
        <v>0</v>
      </c>
      <c r="Y148">
        <f t="shared" si="87"/>
        <v>0</v>
      </c>
      <c r="Z148">
        <f t="shared" si="88"/>
        <v>1</v>
      </c>
      <c r="AA148">
        <f t="shared" si="89"/>
        <v>-1.4E-3</v>
      </c>
      <c r="AD148">
        <f t="shared" si="90"/>
        <v>0</v>
      </c>
      <c r="AE148">
        <f t="shared" si="91"/>
        <v>0</v>
      </c>
      <c r="AF148">
        <f t="shared" si="92"/>
        <v>0</v>
      </c>
      <c r="AG148">
        <f t="shared" si="93"/>
        <v>0</v>
      </c>
      <c r="AH148">
        <f t="shared" si="94"/>
        <v>0</v>
      </c>
      <c r="AI148">
        <f t="shared" si="95"/>
        <v>0</v>
      </c>
      <c r="AJ148">
        <f t="shared" si="96"/>
        <v>0</v>
      </c>
      <c r="AK148">
        <f t="shared" si="97"/>
        <v>0</v>
      </c>
      <c r="AL148" t="e">
        <f t="shared" si="98"/>
        <v>#N/A</v>
      </c>
      <c r="AM148" t="e">
        <f t="shared" si="99"/>
        <v>#VALUE!</v>
      </c>
      <c r="AN148" t="e">
        <f t="shared" si="100"/>
        <v>#N/A</v>
      </c>
      <c r="AO148" t="e">
        <f t="shared" si="101"/>
        <v>#N/A</v>
      </c>
    </row>
    <row r="149" spans="5:41" x14ac:dyDescent="0.2">
      <c r="F149" t="s">
        <v>117</v>
      </c>
      <c r="H149">
        <v>60</v>
      </c>
      <c r="I149">
        <v>0</v>
      </c>
      <c r="J149">
        <v>0</v>
      </c>
      <c r="L149" t="str">
        <f t="shared" si="82"/>
        <v>1091</v>
      </c>
      <c r="R149">
        <f t="shared" si="83"/>
        <v>0</v>
      </c>
      <c r="S149">
        <f>S131</f>
        <v>1</v>
      </c>
      <c r="T149" t="e">
        <f>T131</f>
        <v>#N/A</v>
      </c>
      <c r="U149" t="str">
        <f t="shared" si="84"/>
        <v>EFN2O</v>
      </c>
      <c r="V149">
        <f t="shared" si="85"/>
        <v>0</v>
      </c>
      <c r="W149">
        <v>0</v>
      </c>
      <c r="X149">
        <f t="shared" si="86"/>
        <v>0</v>
      </c>
      <c r="Y149">
        <f t="shared" si="87"/>
        <v>0</v>
      </c>
      <c r="Z149">
        <f t="shared" si="88"/>
        <v>1</v>
      </c>
      <c r="AA149">
        <f t="shared" si="89"/>
        <v>-1.4E-3</v>
      </c>
      <c r="AD149">
        <f t="shared" si="90"/>
        <v>0</v>
      </c>
      <c r="AE149">
        <f t="shared" si="91"/>
        <v>0</v>
      </c>
      <c r="AF149">
        <f t="shared" si="92"/>
        <v>0</v>
      </c>
      <c r="AG149">
        <f t="shared" si="93"/>
        <v>0</v>
      </c>
      <c r="AH149">
        <f t="shared" si="94"/>
        <v>0</v>
      </c>
      <c r="AI149">
        <f t="shared" si="95"/>
        <v>0</v>
      </c>
      <c r="AJ149">
        <f t="shared" si="96"/>
        <v>0</v>
      </c>
      <c r="AK149">
        <f t="shared" si="97"/>
        <v>0</v>
      </c>
      <c r="AL149" t="e">
        <f t="shared" si="98"/>
        <v>#N/A</v>
      </c>
      <c r="AM149" t="e">
        <f t="shared" si="99"/>
        <v>#VALUE!</v>
      </c>
      <c r="AN149" t="e">
        <f t="shared" si="100"/>
        <v>#N/A</v>
      </c>
      <c r="AO149" t="e">
        <f t="shared" si="101"/>
        <v>#N/A</v>
      </c>
    </row>
    <row r="150" spans="5:41" x14ac:dyDescent="0.2">
      <c r="F150" t="s">
        <v>119</v>
      </c>
      <c r="H150">
        <v>65</v>
      </c>
      <c r="I150">
        <v>0</v>
      </c>
      <c r="J150">
        <v>0</v>
      </c>
      <c r="L150" t="str">
        <f t="shared" si="82"/>
        <v>1091</v>
      </c>
      <c r="R150">
        <f t="shared" si="83"/>
        <v>0</v>
      </c>
      <c r="S150">
        <f>S131</f>
        <v>1</v>
      </c>
      <c r="T150" t="e">
        <f>T131</f>
        <v>#N/A</v>
      </c>
      <c r="U150" t="str">
        <f t="shared" si="84"/>
        <v>EFN2O</v>
      </c>
      <c r="V150">
        <f t="shared" si="85"/>
        <v>0</v>
      </c>
      <c r="W150">
        <v>0</v>
      </c>
      <c r="X150">
        <f t="shared" si="86"/>
        <v>0</v>
      </c>
      <c r="Y150">
        <f t="shared" si="87"/>
        <v>0</v>
      </c>
      <c r="Z150">
        <f t="shared" si="88"/>
        <v>1</v>
      </c>
      <c r="AA150">
        <f t="shared" si="89"/>
        <v>-1.4E-3</v>
      </c>
      <c r="AD150">
        <f t="shared" si="90"/>
        <v>0</v>
      </c>
      <c r="AE150">
        <f t="shared" si="91"/>
        <v>0</v>
      </c>
      <c r="AF150">
        <f t="shared" si="92"/>
        <v>0</v>
      </c>
      <c r="AG150">
        <f t="shared" si="93"/>
        <v>0</v>
      </c>
      <c r="AH150">
        <f t="shared" si="94"/>
        <v>0</v>
      </c>
      <c r="AI150">
        <f t="shared" si="95"/>
        <v>0</v>
      </c>
      <c r="AJ150">
        <f t="shared" si="96"/>
        <v>0</v>
      </c>
      <c r="AK150">
        <f t="shared" si="97"/>
        <v>0</v>
      </c>
      <c r="AL150" t="e">
        <f t="shared" si="98"/>
        <v>#N/A</v>
      </c>
      <c r="AM150" t="e">
        <f t="shared" si="99"/>
        <v>#VALUE!</v>
      </c>
      <c r="AN150" t="e">
        <f t="shared" si="100"/>
        <v>#N/A</v>
      </c>
      <c r="AO150" t="e">
        <f t="shared" si="101"/>
        <v>#N/A</v>
      </c>
    </row>
    <row r="151" spans="5:41" x14ac:dyDescent="0.2">
      <c r="E151" t="s">
        <v>132</v>
      </c>
      <c r="F151" t="s">
        <v>113</v>
      </c>
      <c r="H151">
        <v>50</v>
      </c>
      <c r="I151">
        <v>0</v>
      </c>
      <c r="J151">
        <v>0</v>
      </c>
      <c r="L151" t="str">
        <f t="shared" si="82"/>
        <v>1091</v>
      </c>
      <c r="R151">
        <f t="shared" si="83"/>
        <v>0</v>
      </c>
      <c r="S151">
        <f>S131</f>
        <v>1</v>
      </c>
      <c r="T151" t="e">
        <f>T131</f>
        <v>#N/A</v>
      </c>
      <c r="U151" t="str">
        <f t="shared" si="84"/>
        <v>EFN2O</v>
      </c>
      <c r="V151">
        <f t="shared" si="85"/>
        <v>0</v>
      </c>
      <c r="W151">
        <v>0</v>
      </c>
      <c r="X151">
        <f t="shared" si="86"/>
        <v>0</v>
      </c>
      <c r="Y151">
        <f t="shared" si="87"/>
        <v>0</v>
      </c>
      <c r="Z151">
        <f t="shared" si="88"/>
        <v>1</v>
      </c>
      <c r="AA151">
        <f t="shared" si="89"/>
        <v>-1.4E-3</v>
      </c>
      <c r="AD151">
        <f t="shared" si="90"/>
        <v>0</v>
      </c>
      <c r="AE151">
        <f t="shared" si="91"/>
        <v>0</v>
      </c>
      <c r="AF151">
        <f t="shared" si="92"/>
        <v>0</v>
      </c>
      <c r="AG151">
        <f t="shared" si="93"/>
        <v>0</v>
      </c>
      <c r="AH151">
        <f t="shared" si="94"/>
        <v>0</v>
      </c>
      <c r="AI151">
        <f t="shared" si="95"/>
        <v>0</v>
      </c>
      <c r="AJ151">
        <f t="shared" si="96"/>
        <v>0</v>
      </c>
      <c r="AK151">
        <f t="shared" si="97"/>
        <v>0</v>
      </c>
      <c r="AL151" t="e">
        <f t="shared" si="98"/>
        <v>#N/A</v>
      </c>
      <c r="AM151" t="e">
        <f t="shared" si="99"/>
        <v>#VALUE!</v>
      </c>
      <c r="AN151" t="e">
        <f t="shared" si="100"/>
        <v>#N/A</v>
      </c>
      <c r="AO151" t="e">
        <f t="shared" si="101"/>
        <v>#N/A</v>
      </c>
    </row>
    <row r="152" spans="5:41" x14ac:dyDescent="0.2">
      <c r="F152" t="s">
        <v>115</v>
      </c>
      <c r="H152">
        <v>100</v>
      </c>
      <c r="I152">
        <v>0</v>
      </c>
      <c r="J152">
        <v>0</v>
      </c>
      <c r="L152" t="str">
        <f t="shared" si="82"/>
        <v>1091</v>
      </c>
      <c r="R152">
        <f t="shared" si="83"/>
        <v>0</v>
      </c>
      <c r="S152">
        <f>S131</f>
        <v>1</v>
      </c>
      <c r="T152" t="e">
        <f>T131</f>
        <v>#N/A</v>
      </c>
      <c r="U152" t="str">
        <f t="shared" si="84"/>
        <v>EFN2O</v>
      </c>
      <c r="V152">
        <f t="shared" si="85"/>
        <v>0</v>
      </c>
      <c r="W152">
        <v>0</v>
      </c>
      <c r="X152">
        <f t="shared" si="86"/>
        <v>0</v>
      </c>
      <c r="Y152">
        <f t="shared" si="87"/>
        <v>0</v>
      </c>
      <c r="Z152">
        <f t="shared" si="88"/>
        <v>1</v>
      </c>
      <c r="AA152">
        <f t="shared" si="89"/>
        <v>-1.4E-3</v>
      </c>
      <c r="AD152">
        <f t="shared" si="90"/>
        <v>0</v>
      </c>
      <c r="AE152">
        <f t="shared" si="91"/>
        <v>0</v>
      </c>
      <c r="AF152">
        <f t="shared" si="92"/>
        <v>0</v>
      </c>
      <c r="AG152">
        <f t="shared" si="93"/>
        <v>0</v>
      </c>
      <c r="AH152">
        <f t="shared" si="94"/>
        <v>0</v>
      </c>
      <c r="AI152">
        <f t="shared" si="95"/>
        <v>0</v>
      </c>
      <c r="AJ152">
        <f t="shared" si="96"/>
        <v>0</v>
      </c>
      <c r="AK152">
        <f t="shared" si="97"/>
        <v>0</v>
      </c>
      <c r="AL152" t="e">
        <f t="shared" si="98"/>
        <v>#N/A</v>
      </c>
      <c r="AM152" t="e">
        <f t="shared" si="99"/>
        <v>#VALUE!</v>
      </c>
      <c r="AN152" t="e">
        <f t="shared" si="100"/>
        <v>#N/A</v>
      </c>
      <c r="AO152" t="e">
        <f t="shared" si="101"/>
        <v>#N/A</v>
      </c>
    </row>
    <row r="153" spans="5:41" x14ac:dyDescent="0.2">
      <c r="F153" t="s">
        <v>117</v>
      </c>
      <c r="H153">
        <v>90</v>
      </c>
      <c r="I153">
        <v>0</v>
      </c>
      <c r="J153">
        <v>0</v>
      </c>
      <c r="L153" t="str">
        <f t="shared" si="82"/>
        <v>1091</v>
      </c>
      <c r="R153">
        <f t="shared" si="83"/>
        <v>0</v>
      </c>
      <c r="S153">
        <f>S131</f>
        <v>1</v>
      </c>
      <c r="T153" t="e">
        <f>T131</f>
        <v>#N/A</v>
      </c>
      <c r="U153" t="str">
        <f t="shared" si="84"/>
        <v>EFN2O</v>
      </c>
      <c r="V153">
        <f t="shared" si="85"/>
        <v>0</v>
      </c>
      <c r="W153">
        <v>0</v>
      </c>
      <c r="X153">
        <f t="shared" si="86"/>
        <v>0</v>
      </c>
      <c r="Y153">
        <f t="shared" si="87"/>
        <v>0</v>
      </c>
      <c r="Z153">
        <f t="shared" si="88"/>
        <v>1</v>
      </c>
      <c r="AA153">
        <f t="shared" si="89"/>
        <v>-1.4E-3</v>
      </c>
      <c r="AD153">
        <f t="shared" si="90"/>
        <v>0</v>
      </c>
      <c r="AE153">
        <f t="shared" si="91"/>
        <v>0</v>
      </c>
      <c r="AF153">
        <f t="shared" si="92"/>
        <v>0</v>
      </c>
      <c r="AG153">
        <f t="shared" si="93"/>
        <v>0</v>
      </c>
      <c r="AH153">
        <f t="shared" si="94"/>
        <v>0</v>
      </c>
      <c r="AI153">
        <f t="shared" si="95"/>
        <v>0</v>
      </c>
      <c r="AJ153">
        <f t="shared" si="96"/>
        <v>0</v>
      </c>
      <c r="AK153">
        <f t="shared" si="97"/>
        <v>0</v>
      </c>
      <c r="AL153" t="e">
        <f t="shared" si="98"/>
        <v>#N/A</v>
      </c>
      <c r="AM153" t="e">
        <f t="shared" si="99"/>
        <v>#VALUE!</v>
      </c>
      <c r="AN153" t="e">
        <f t="shared" si="100"/>
        <v>#N/A</v>
      </c>
      <c r="AO153" t="e">
        <f t="shared" si="101"/>
        <v>#N/A</v>
      </c>
    </row>
    <row r="154" spans="5:41" x14ac:dyDescent="0.2">
      <c r="F154" t="s">
        <v>119</v>
      </c>
      <c r="H154">
        <v>80</v>
      </c>
      <c r="I154">
        <v>0</v>
      </c>
      <c r="J154">
        <v>0</v>
      </c>
      <c r="L154" t="str">
        <f t="shared" si="82"/>
        <v>1091</v>
      </c>
      <c r="R154">
        <f t="shared" si="83"/>
        <v>0</v>
      </c>
      <c r="S154">
        <f>S131</f>
        <v>1</v>
      </c>
      <c r="T154" t="e">
        <f>T131</f>
        <v>#N/A</v>
      </c>
      <c r="U154" t="str">
        <f t="shared" si="84"/>
        <v>EFN2O</v>
      </c>
      <c r="V154">
        <f t="shared" si="85"/>
        <v>0</v>
      </c>
      <c r="W154">
        <v>0</v>
      </c>
      <c r="X154">
        <f t="shared" si="86"/>
        <v>0</v>
      </c>
      <c r="Y154">
        <f t="shared" si="87"/>
        <v>0</v>
      </c>
      <c r="Z154">
        <f t="shared" si="88"/>
        <v>1</v>
      </c>
      <c r="AA154">
        <f t="shared" si="89"/>
        <v>-1.4E-3</v>
      </c>
      <c r="AD154">
        <f t="shared" si="90"/>
        <v>0</v>
      </c>
      <c r="AE154">
        <f t="shared" si="91"/>
        <v>0</v>
      </c>
      <c r="AF154">
        <f t="shared" si="92"/>
        <v>0</v>
      </c>
      <c r="AG154">
        <f t="shared" si="93"/>
        <v>0</v>
      </c>
      <c r="AH154">
        <f t="shared" si="94"/>
        <v>0</v>
      </c>
      <c r="AI154">
        <f t="shared" si="95"/>
        <v>0</v>
      </c>
      <c r="AJ154">
        <f t="shared" si="96"/>
        <v>0</v>
      </c>
      <c r="AK154">
        <f t="shared" si="97"/>
        <v>0</v>
      </c>
      <c r="AL154" t="e">
        <f t="shared" si="98"/>
        <v>#N/A</v>
      </c>
      <c r="AM154" t="e">
        <f t="shared" si="99"/>
        <v>#VALUE!</v>
      </c>
      <c r="AN154" t="e">
        <f t="shared" si="100"/>
        <v>#N/A</v>
      </c>
      <c r="AO154" t="e">
        <f t="shared" si="101"/>
        <v>#N/A</v>
      </c>
    </row>
    <row r="161" spans="1:42" x14ac:dyDescent="0.2">
      <c r="A161" t="s">
        <v>122</v>
      </c>
      <c r="B161" t="s">
        <v>122</v>
      </c>
      <c r="C161" t="s">
        <v>122</v>
      </c>
      <c r="D161" t="s">
        <v>138</v>
      </c>
      <c r="E161" t="s">
        <v>112</v>
      </c>
      <c r="F161" t="s">
        <v>113</v>
      </c>
      <c r="H161">
        <v>100</v>
      </c>
      <c r="I161">
        <v>95</v>
      </c>
      <c r="J161">
        <v>90</v>
      </c>
      <c r="L161" t="str">
        <f t="shared" ref="L161:L184" si="102">$AV$3</f>
        <v>1091</v>
      </c>
      <c r="M161" t="e" cm="1">
        <f t="array" aca="1" ref="M161" ca="1">_xludf.DROP(_xludf.XLOOKUP($C161,#REF!,#REF!),1)</f>
        <v>#NAME?</v>
      </c>
      <c r="O161" t="e" cm="1">
        <f t="array" aca="1" ref="O161" ca="1">_xludf.DROP(_xludf.XLOOKUP($C161,#REF!,#REF!),1)</f>
        <v>#NAME?</v>
      </c>
      <c r="Q161" t="e" cm="1">
        <f t="array" aca="1" ref="Q161" ca="1">_xludf.DROP(_xludf.XLOOKUP($C161,#REF!,#REF!),1)</f>
        <v>#NAME?</v>
      </c>
      <c r="R161" t="e">
        <f t="shared" ref="R161:R184" si="103">1-S161</f>
        <v>#N/A</v>
      </c>
      <c r="S161" t="e">
        <f>IF($D161="yes", 1, VLOOKUP($B161, $AU$26:$AW$32, 2)/100)</f>
        <v>#N/A</v>
      </c>
      <c r="T161" t="e">
        <f>VLOOKUP($B161,$AW$10:$AX$16, 2, FALSE)</f>
        <v>#N/A</v>
      </c>
      <c r="U161" t="str">
        <f t="shared" ref="U161:U184" si="104">$AV$10</f>
        <v>EFN2O</v>
      </c>
      <c r="V161">
        <f t="shared" ref="V161:V184" si="105">(I161/100)*(MIN(J161,100)/100)</f>
        <v>0.85499999999999998</v>
      </c>
      <c r="W161">
        <v>0</v>
      </c>
      <c r="X161">
        <f t="shared" ref="X161:X184" si="106">1.6 * W161</f>
        <v>0</v>
      </c>
      <c r="Y161">
        <f t="shared" ref="Y161:Y184" si="107">$AY$1</f>
        <v>0</v>
      </c>
      <c r="Z161">
        <f t="shared" ref="Z161:Z184" si="108">V161*Y161+(1-V161)</f>
        <v>0.14500000000000002</v>
      </c>
      <c r="AA161" t="e">
        <f t="shared" ref="AA161:AA184" ca="1" si="109">(0.795*O161)-0.0014</f>
        <v>#NAME?</v>
      </c>
      <c r="AC161" t="e" cm="1">
        <f t="array" aca="1" ref="AC161" ca="1">_xludf.DROP(_xludf.XLOOKUP($C161,#REF!,#REF!),1)</f>
        <v>#NAME?</v>
      </c>
      <c r="AD161" t="e">
        <f t="shared" ref="AD161:AD184" ca="1" si="110">1 - EXP(-2*(AC161^2))</f>
        <v>#NAME?</v>
      </c>
      <c r="AE161" t="e">
        <f t="shared" ref="AE161:AE184" ca="1" si="111">(104.7*AA161+0.307*Q161-15)*(Q161^0.75)*10^-3</f>
        <v>#NAME?</v>
      </c>
      <c r="AF161" t="e">
        <f t="shared" ref="AF161:AF184" ca="1" si="112">AE161*AD161*Z161</f>
        <v>#NAME?</v>
      </c>
      <c r="AG161" t="e">
        <f t="shared" ref="AG161:AG184" ca="1" si="113">(AF161 * M161) + (0.045 * X161)</f>
        <v>#NAME?</v>
      </c>
      <c r="AH161">
        <f t="shared" ref="AH161:AH184" si="114">$AV$2</f>
        <v>0</v>
      </c>
      <c r="AI161" t="e">
        <f t="shared" ref="AI161:AI184" ca="1" si="115">(AF161 * ((1 - O161) + (0.04 * AF161))) * ( 1 - AH161 )</f>
        <v>#NAME?</v>
      </c>
      <c r="AJ161">
        <f t="shared" ref="AJ161:AJ184" si="116">$AV$1</f>
        <v>0</v>
      </c>
      <c r="AK161">
        <f t="shared" ref="AK161:AK184" si="117">$AW$20</f>
        <v>0</v>
      </c>
      <c r="AL161" t="e">
        <f t="shared" ref="AL161:AL184" ca="1" si="118">AI161 * AJ161 * R161 * T161 * AK161</f>
        <v>#NAME?</v>
      </c>
      <c r="AM161" t="e">
        <f t="shared" ref="AM161:AM184" ca="1" si="119">AI161*AJ161*S161*U161*AK161</f>
        <v>#NAME?</v>
      </c>
      <c r="AN161" t="e">
        <f t="shared" ref="AN161:AN184" ca="1" si="120">AL161+AM161</f>
        <v>#NAME?</v>
      </c>
      <c r="AO161" t="e">
        <f t="shared" ref="AO161:AO184" ca="1" si="121">H161*AN161*L161</f>
        <v>#NAME?</v>
      </c>
      <c r="AP161" t="e">
        <f ca="1">SUM(AO161:AO184)*10^-3</f>
        <v>#NAME?</v>
      </c>
    </row>
    <row r="162" spans="1:42" x14ac:dyDescent="0.2">
      <c r="F162" t="s">
        <v>115</v>
      </c>
      <c r="H162">
        <v>70</v>
      </c>
      <c r="I162">
        <v>0</v>
      </c>
      <c r="J162">
        <v>0</v>
      </c>
      <c r="L162" t="str">
        <f t="shared" si="102"/>
        <v>1091</v>
      </c>
      <c r="R162" t="e">
        <f t="shared" si="103"/>
        <v>#N/A</v>
      </c>
      <c r="S162" t="e">
        <f>S161</f>
        <v>#N/A</v>
      </c>
      <c r="T162" t="e">
        <f>T161</f>
        <v>#N/A</v>
      </c>
      <c r="U162" t="str">
        <f t="shared" si="104"/>
        <v>EFN2O</v>
      </c>
      <c r="V162">
        <f t="shared" si="105"/>
        <v>0</v>
      </c>
      <c r="W162">
        <v>0</v>
      </c>
      <c r="X162">
        <f t="shared" si="106"/>
        <v>0</v>
      </c>
      <c r="Y162">
        <f t="shared" si="107"/>
        <v>0</v>
      </c>
      <c r="Z162">
        <f t="shared" si="108"/>
        <v>1</v>
      </c>
      <c r="AA162">
        <f t="shared" si="109"/>
        <v>-1.4E-3</v>
      </c>
      <c r="AD162">
        <f t="shared" si="110"/>
        <v>0</v>
      </c>
      <c r="AE162">
        <f t="shared" si="111"/>
        <v>0</v>
      </c>
      <c r="AF162">
        <f t="shared" si="112"/>
        <v>0</v>
      </c>
      <c r="AG162">
        <f t="shared" si="113"/>
        <v>0</v>
      </c>
      <c r="AH162">
        <f t="shared" si="114"/>
        <v>0</v>
      </c>
      <c r="AI162">
        <f t="shared" si="115"/>
        <v>0</v>
      </c>
      <c r="AJ162">
        <f t="shared" si="116"/>
        <v>0</v>
      </c>
      <c r="AK162">
        <f t="shared" si="117"/>
        <v>0</v>
      </c>
      <c r="AL162" t="e">
        <f t="shared" si="118"/>
        <v>#N/A</v>
      </c>
      <c r="AM162" t="e">
        <f t="shared" si="119"/>
        <v>#N/A</v>
      </c>
      <c r="AN162" t="e">
        <f t="shared" si="120"/>
        <v>#N/A</v>
      </c>
      <c r="AO162" t="e">
        <f t="shared" si="121"/>
        <v>#N/A</v>
      </c>
    </row>
    <row r="163" spans="1:42" x14ac:dyDescent="0.2">
      <c r="F163" t="s">
        <v>117</v>
      </c>
      <c r="H163">
        <v>65</v>
      </c>
      <c r="I163">
        <v>0</v>
      </c>
      <c r="J163">
        <v>0</v>
      </c>
      <c r="L163" t="str">
        <f t="shared" si="102"/>
        <v>1091</v>
      </c>
      <c r="R163" t="e">
        <f t="shared" si="103"/>
        <v>#N/A</v>
      </c>
      <c r="S163" t="e">
        <f>S161</f>
        <v>#N/A</v>
      </c>
      <c r="T163" t="e">
        <f>T161</f>
        <v>#N/A</v>
      </c>
      <c r="U163" t="str">
        <f t="shared" si="104"/>
        <v>EFN2O</v>
      </c>
      <c r="V163">
        <f t="shared" si="105"/>
        <v>0</v>
      </c>
      <c r="W163">
        <v>0</v>
      </c>
      <c r="X163">
        <f t="shared" si="106"/>
        <v>0</v>
      </c>
      <c r="Y163">
        <f t="shared" si="107"/>
        <v>0</v>
      </c>
      <c r="Z163">
        <f t="shared" si="108"/>
        <v>1</v>
      </c>
      <c r="AA163">
        <f t="shared" si="109"/>
        <v>-1.4E-3</v>
      </c>
      <c r="AD163">
        <f t="shared" si="110"/>
        <v>0</v>
      </c>
      <c r="AE163">
        <f t="shared" si="111"/>
        <v>0</v>
      </c>
      <c r="AF163">
        <f t="shared" si="112"/>
        <v>0</v>
      </c>
      <c r="AG163">
        <f t="shared" si="113"/>
        <v>0</v>
      </c>
      <c r="AH163">
        <f t="shared" si="114"/>
        <v>0</v>
      </c>
      <c r="AI163">
        <f t="shared" si="115"/>
        <v>0</v>
      </c>
      <c r="AJ163">
        <f t="shared" si="116"/>
        <v>0</v>
      </c>
      <c r="AK163">
        <f t="shared" si="117"/>
        <v>0</v>
      </c>
      <c r="AL163" t="e">
        <f t="shared" si="118"/>
        <v>#N/A</v>
      </c>
      <c r="AM163" t="e">
        <f t="shared" si="119"/>
        <v>#N/A</v>
      </c>
      <c r="AN163" t="e">
        <f t="shared" si="120"/>
        <v>#N/A</v>
      </c>
      <c r="AO163" t="e">
        <f t="shared" si="121"/>
        <v>#N/A</v>
      </c>
    </row>
    <row r="164" spans="1:42" x14ac:dyDescent="0.2">
      <c r="F164" t="s">
        <v>119</v>
      </c>
      <c r="H164">
        <v>80</v>
      </c>
      <c r="I164">
        <v>0</v>
      </c>
      <c r="J164">
        <v>0</v>
      </c>
      <c r="L164" t="str">
        <f t="shared" si="102"/>
        <v>1091</v>
      </c>
      <c r="R164" t="e">
        <f t="shared" si="103"/>
        <v>#N/A</v>
      </c>
      <c r="S164" t="e">
        <f>S161</f>
        <v>#N/A</v>
      </c>
      <c r="T164" t="e">
        <f>T161</f>
        <v>#N/A</v>
      </c>
      <c r="U164" t="str">
        <f t="shared" si="104"/>
        <v>EFN2O</v>
      </c>
      <c r="V164">
        <f t="shared" si="105"/>
        <v>0</v>
      </c>
      <c r="W164">
        <v>0</v>
      </c>
      <c r="X164">
        <f t="shared" si="106"/>
        <v>0</v>
      </c>
      <c r="Y164">
        <f t="shared" si="107"/>
        <v>0</v>
      </c>
      <c r="Z164">
        <f t="shared" si="108"/>
        <v>1</v>
      </c>
      <c r="AA164">
        <f t="shared" si="109"/>
        <v>-1.4E-3</v>
      </c>
      <c r="AD164">
        <f t="shared" si="110"/>
        <v>0</v>
      </c>
      <c r="AE164">
        <f t="shared" si="111"/>
        <v>0</v>
      </c>
      <c r="AF164">
        <f t="shared" si="112"/>
        <v>0</v>
      </c>
      <c r="AG164">
        <f t="shared" si="113"/>
        <v>0</v>
      </c>
      <c r="AH164">
        <f t="shared" si="114"/>
        <v>0</v>
      </c>
      <c r="AI164">
        <f t="shared" si="115"/>
        <v>0</v>
      </c>
      <c r="AJ164">
        <f t="shared" si="116"/>
        <v>0</v>
      </c>
      <c r="AK164">
        <f t="shared" si="117"/>
        <v>0</v>
      </c>
      <c r="AL164" t="e">
        <f t="shared" si="118"/>
        <v>#N/A</v>
      </c>
      <c r="AM164" t="e">
        <f t="shared" si="119"/>
        <v>#N/A</v>
      </c>
      <c r="AN164" t="e">
        <f t="shared" si="120"/>
        <v>#N/A</v>
      </c>
      <c r="AO164" t="e">
        <f t="shared" si="121"/>
        <v>#N/A</v>
      </c>
    </row>
    <row r="165" spans="1:42" x14ac:dyDescent="0.2">
      <c r="E165" t="s">
        <v>121</v>
      </c>
      <c r="F165" t="s">
        <v>113</v>
      </c>
      <c r="H165">
        <v>200</v>
      </c>
      <c r="I165">
        <v>0</v>
      </c>
      <c r="J165">
        <v>0</v>
      </c>
      <c r="L165" t="str">
        <f t="shared" si="102"/>
        <v>1091</v>
      </c>
      <c r="R165" t="e">
        <f t="shared" si="103"/>
        <v>#N/A</v>
      </c>
      <c r="S165" t="e">
        <f>S161</f>
        <v>#N/A</v>
      </c>
      <c r="T165" t="e">
        <f>T161</f>
        <v>#N/A</v>
      </c>
      <c r="U165" t="str">
        <f t="shared" si="104"/>
        <v>EFN2O</v>
      </c>
      <c r="V165">
        <f t="shared" si="105"/>
        <v>0</v>
      </c>
      <c r="W165">
        <v>1</v>
      </c>
      <c r="X165">
        <f t="shared" si="106"/>
        <v>1.6</v>
      </c>
      <c r="Y165">
        <f t="shared" si="107"/>
        <v>0</v>
      </c>
      <c r="Z165">
        <f t="shared" si="108"/>
        <v>1</v>
      </c>
      <c r="AA165">
        <f t="shared" si="109"/>
        <v>-1.4E-3</v>
      </c>
      <c r="AD165">
        <f t="shared" si="110"/>
        <v>0</v>
      </c>
      <c r="AE165">
        <f t="shared" si="111"/>
        <v>0</v>
      </c>
      <c r="AF165">
        <f t="shared" si="112"/>
        <v>0</v>
      </c>
      <c r="AG165">
        <f t="shared" si="113"/>
        <v>7.1999999999999995E-2</v>
      </c>
      <c r="AH165">
        <f t="shared" si="114"/>
        <v>0</v>
      </c>
      <c r="AI165">
        <f t="shared" si="115"/>
        <v>0</v>
      </c>
      <c r="AJ165">
        <f t="shared" si="116"/>
        <v>0</v>
      </c>
      <c r="AK165">
        <f t="shared" si="117"/>
        <v>0</v>
      </c>
      <c r="AL165" t="e">
        <f t="shared" si="118"/>
        <v>#N/A</v>
      </c>
      <c r="AM165" t="e">
        <f t="shared" si="119"/>
        <v>#N/A</v>
      </c>
      <c r="AN165" t="e">
        <f t="shared" si="120"/>
        <v>#N/A</v>
      </c>
      <c r="AO165" t="e">
        <f t="shared" si="121"/>
        <v>#N/A</v>
      </c>
    </row>
    <row r="166" spans="1:42" x14ac:dyDescent="0.2">
      <c r="F166" t="s">
        <v>115</v>
      </c>
      <c r="H166">
        <v>210</v>
      </c>
      <c r="I166">
        <v>0</v>
      </c>
      <c r="J166">
        <v>0</v>
      </c>
      <c r="L166" t="str">
        <f t="shared" si="102"/>
        <v>1091</v>
      </c>
      <c r="R166" t="e">
        <f t="shared" si="103"/>
        <v>#N/A</v>
      </c>
      <c r="S166" t="e">
        <f>S161</f>
        <v>#N/A</v>
      </c>
      <c r="T166" t="e">
        <f>T161</f>
        <v>#N/A</v>
      </c>
      <c r="U166" t="str">
        <f t="shared" si="104"/>
        <v>EFN2O</v>
      </c>
      <c r="V166">
        <f t="shared" si="105"/>
        <v>0</v>
      </c>
      <c r="W166">
        <v>0</v>
      </c>
      <c r="X166">
        <f t="shared" si="106"/>
        <v>0</v>
      </c>
      <c r="Y166">
        <f t="shared" si="107"/>
        <v>0</v>
      </c>
      <c r="Z166">
        <f t="shared" si="108"/>
        <v>1</v>
      </c>
      <c r="AA166">
        <f t="shared" si="109"/>
        <v>-1.4E-3</v>
      </c>
      <c r="AD166">
        <f t="shared" si="110"/>
        <v>0</v>
      </c>
      <c r="AE166">
        <f t="shared" si="111"/>
        <v>0</v>
      </c>
      <c r="AF166">
        <f t="shared" si="112"/>
        <v>0</v>
      </c>
      <c r="AG166">
        <f t="shared" si="113"/>
        <v>0</v>
      </c>
      <c r="AH166">
        <f t="shared" si="114"/>
        <v>0</v>
      </c>
      <c r="AI166">
        <f t="shared" si="115"/>
        <v>0</v>
      </c>
      <c r="AJ166">
        <f t="shared" si="116"/>
        <v>0</v>
      </c>
      <c r="AK166">
        <f t="shared" si="117"/>
        <v>0</v>
      </c>
      <c r="AL166" t="e">
        <f t="shared" si="118"/>
        <v>#N/A</v>
      </c>
      <c r="AM166" t="e">
        <f t="shared" si="119"/>
        <v>#N/A</v>
      </c>
      <c r="AN166" t="e">
        <f t="shared" si="120"/>
        <v>#N/A</v>
      </c>
      <c r="AO166" t="e">
        <f t="shared" si="121"/>
        <v>#N/A</v>
      </c>
    </row>
    <row r="167" spans="1:42" x14ac:dyDescent="0.2">
      <c r="F167" t="s">
        <v>117</v>
      </c>
      <c r="H167">
        <v>170</v>
      </c>
      <c r="I167">
        <v>0</v>
      </c>
      <c r="J167">
        <v>0</v>
      </c>
      <c r="L167" t="str">
        <f t="shared" si="102"/>
        <v>1091</v>
      </c>
      <c r="R167" t="e">
        <f t="shared" si="103"/>
        <v>#N/A</v>
      </c>
      <c r="S167" t="e">
        <f>S161</f>
        <v>#N/A</v>
      </c>
      <c r="T167" t="e">
        <f>T161</f>
        <v>#N/A</v>
      </c>
      <c r="U167" t="str">
        <f t="shared" si="104"/>
        <v>EFN2O</v>
      </c>
      <c r="V167">
        <f t="shared" si="105"/>
        <v>0</v>
      </c>
      <c r="W167">
        <v>0</v>
      </c>
      <c r="X167">
        <f t="shared" si="106"/>
        <v>0</v>
      </c>
      <c r="Y167">
        <f t="shared" si="107"/>
        <v>0</v>
      </c>
      <c r="Z167">
        <f t="shared" si="108"/>
        <v>1</v>
      </c>
      <c r="AA167">
        <f t="shared" si="109"/>
        <v>-1.4E-3</v>
      </c>
      <c r="AD167">
        <f t="shared" si="110"/>
        <v>0</v>
      </c>
      <c r="AE167">
        <f t="shared" si="111"/>
        <v>0</v>
      </c>
      <c r="AF167">
        <f t="shared" si="112"/>
        <v>0</v>
      </c>
      <c r="AG167">
        <f t="shared" si="113"/>
        <v>0</v>
      </c>
      <c r="AH167">
        <f t="shared" si="114"/>
        <v>0</v>
      </c>
      <c r="AI167">
        <f t="shared" si="115"/>
        <v>0</v>
      </c>
      <c r="AJ167">
        <f t="shared" si="116"/>
        <v>0</v>
      </c>
      <c r="AK167">
        <f t="shared" si="117"/>
        <v>0</v>
      </c>
      <c r="AL167" t="e">
        <f t="shared" si="118"/>
        <v>#N/A</v>
      </c>
      <c r="AM167" t="e">
        <f t="shared" si="119"/>
        <v>#N/A</v>
      </c>
      <c r="AN167" t="e">
        <f t="shared" si="120"/>
        <v>#N/A</v>
      </c>
      <c r="AO167" t="e">
        <f t="shared" si="121"/>
        <v>#N/A</v>
      </c>
    </row>
    <row r="168" spans="1:42" x14ac:dyDescent="0.2">
      <c r="F168" t="s">
        <v>119</v>
      </c>
      <c r="H168">
        <v>200</v>
      </c>
      <c r="I168">
        <v>0</v>
      </c>
      <c r="J168">
        <v>0</v>
      </c>
      <c r="L168" t="str">
        <f t="shared" si="102"/>
        <v>1091</v>
      </c>
      <c r="R168" t="e">
        <f t="shared" si="103"/>
        <v>#N/A</v>
      </c>
      <c r="S168" t="e">
        <f>S161</f>
        <v>#N/A</v>
      </c>
      <c r="T168" t="e">
        <f>T161</f>
        <v>#N/A</v>
      </c>
      <c r="U168" t="str">
        <f t="shared" si="104"/>
        <v>EFN2O</v>
      </c>
      <c r="V168">
        <f t="shared" si="105"/>
        <v>0</v>
      </c>
      <c r="W168">
        <v>0</v>
      </c>
      <c r="X168">
        <f t="shared" si="106"/>
        <v>0</v>
      </c>
      <c r="Y168">
        <f t="shared" si="107"/>
        <v>0</v>
      </c>
      <c r="Z168">
        <f t="shared" si="108"/>
        <v>1</v>
      </c>
      <c r="AA168">
        <f t="shared" si="109"/>
        <v>-1.4E-3</v>
      </c>
      <c r="AD168">
        <f t="shared" si="110"/>
        <v>0</v>
      </c>
      <c r="AE168">
        <f t="shared" si="111"/>
        <v>0</v>
      </c>
      <c r="AF168">
        <f t="shared" si="112"/>
        <v>0</v>
      </c>
      <c r="AG168">
        <f t="shared" si="113"/>
        <v>0</v>
      </c>
      <c r="AH168">
        <f t="shared" si="114"/>
        <v>0</v>
      </c>
      <c r="AI168">
        <f t="shared" si="115"/>
        <v>0</v>
      </c>
      <c r="AJ168">
        <f t="shared" si="116"/>
        <v>0</v>
      </c>
      <c r="AK168">
        <f t="shared" si="117"/>
        <v>0</v>
      </c>
      <c r="AL168" t="e">
        <f t="shared" si="118"/>
        <v>#N/A</v>
      </c>
      <c r="AM168" t="e">
        <f t="shared" si="119"/>
        <v>#N/A</v>
      </c>
      <c r="AN168" t="e">
        <f t="shared" si="120"/>
        <v>#N/A</v>
      </c>
      <c r="AO168" t="e">
        <f t="shared" si="121"/>
        <v>#N/A</v>
      </c>
    </row>
    <row r="169" spans="1:42" x14ac:dyDescent="0.2">
      <c r="E169" t="s">
        <v>126</v>
      </c>
      <c r="F169" t="s">
        <v>113</v>
      </c>
      <c r="H169">
        <v>100</v>
      </c>
      <c r="I169">
        <v>95</v>
      </c>
      <c r="J169">
        <v>92</v>
      </c>
      <c r="L169" t="str">
        <f t="shared" si="102"/>
        <v>1091</v>
      </c>
      <c r="R169" t="e">
        <f t="shared" si="103"/>
        <v>#N/A</v>
      </c>
      <c r="S169" t="e">
        <f>S161</f>
        <v>#N/A</v>
      </c>
      <c r="T169" t="e">
        <f>T161</f>
        <v>#N/A</v>
      </c>
      <c r="U169" t="str">
        <f t="shared" si="104"/>
        <v>EFN2O</v>
      </c>
      <c r="V169">
        <f t="shared" si="105"/>
        <v>0.874</v>
      </c>
      <c r="W169">
        <v>0</v>
      </c>
      <c r="X169">
        <f t="shared" si="106"/>
        <v>0</v>
      </c>
      <c r="Y169">
        <f t="shared" si="107"/>
        <v>0</v>
      </c>
      <c r="Z169">
        <f t="shared" si="108"/>
        <v>0.126</v>
      </c>
      <c r="AA169">
        <f t="shared" si="109"/>
        <v>-1.4E-3</v>
      </c>
      <c r="AD169">
        <f t="shared" si="110"/>
        <v>0</v>
      </c>
      <c r="AE169">
        <f t="shared" si="111"/>
        <v>0</v>
      </c>
      <c r="AF169">
        <f t="shared" si="112"/>
        <v>0</v>
      </c>
      <c r="AG169">
        <f t="shared" si="113"/>
        <v>0</v>
      </c>
      <c r="AH169">
        <f t="shared" si="114"/>
        <v>0</v>
      </c>
      <c r="AI169">
        <f t="shared" si="115"/>
        <v>0</v>
      </c>
      <c r="AJ169">
        <f t="shared" si="116"/>
        <v>0</v>
      </c>
      <c r="AK169">
        <f t="shared" si="117"/>
        <v>0</v>
      </c>
      <c r="AL169" t="e">
        <f t="shared" si="118"/>
        <v>#N/A</v>
      </c>
      <c r="AM169" t="e">
        <f t="shared" si="119"/>
        <v>#N/A</v>
      </c>
      <c r="AN169" t="e">
        <f t="shared" si="120"/>
        <v>#N/A</v>
      </c>
      <c r="AO169" t="e">
        <f t="shared" si="121"/>
        <v>#N/A</v>
      </c>
    </row>
    <row r="170" spans="1:42" x14ac:dyDescent="0.2">
      <c r="F170" t="s">
        <v>115</v>
      </c>
      <c r="H170">
        <v>140</v>
      </c>
      <c r="I170">
        <v>0</v>
      </c>
      <c r="J170">
        <v>0</v>
      </c>
      <c r="L170" t="str">
        <f t="shared" si="102"/>
        <v>1091</v>
      </c>
      <c r="R170" t="e">
        <f t="shared" si="103"/>
        <v>#N/A</v>
      </c>
      <c r="S170" t="e">
        <f>S161</f>
        <v>#N/A</v>
      </c>
      <c r="T170" t="e">
        <f>T161</f>
        <v>#N/A</v>
      </c>
      <c r="U170" t="str">
        <f t="shared" si="104"/>
        <v>EFN2O</v>
      </c>
      <c r="V170">
        <f t="shared" si="105"/>
        <v>0</v>
      </c>
      <c r="W170">
        <v>0</v>
      </c>
      <c r="X170">
        <f t="shared" si="106"/>
        <v>0</v>
      </c>
      <c r="Y170">
        <f t="shared" si="107"/>
        <v>0</v>
      </c>
      <c r="Z170">
        <f t="shared" si="108"/>
        <v>1</v>
      </c>
      <c r="AA170">
        <f t="shared" si="109"/>
        <v>-1.4E-3</v>
      </c>
      <c r="AD170">
        <f t="shared" si="110"/>
        <v>0</v>
      </c>
      <c r="AE170">
        <f t="shared" si="111"/>
        <v>0</v>
      </c>
      <c r="AF170">
        <f t="shared" si="112"/>
        <v>0</v>
      </c>
      <c r="AG170">
        <f t="shared" si="113"/>
        <v>0</v>
      </c>
      <c r="AH170">
        <f t="shared" si="114"/>
        <v>0</v>
      </c>
      <c r="AI170">
        <f t="shared" si="115"/>
        <v>0</v>
      </c>
      <c r="AJ170">
        <f t="shared" si="116"/>
        <v>0</v>
      </c>
      <c r="AK170">
        <f t="shared" si="117"/>
        <v>0</v>
      </c>
      <c r="AL170" t="e">
        <f t="shared" si="118"/>
        <v>#N/A</v>
      </c>
      <c r="AM170" t="e">
        <f t="shared" si="119"/>
        <v>#N/A</v>
      </c>
      <c r="AN170" t="e">
        <f t="shared" si="120"/>
        <v>#N/A</v>
      </c>
      <c r="AO170" t="e">
        <f t="shared" si="121"/>
        <v>#N/A</v>
      </c>
    </row>
    <row r="171" spans="1:42" x14ac:dyDescent="0.2">
      <c r="F171" t="s">
        <v>117</v>
      </c>
      <c r="H171">
        <v>135</v>
      </c>
      <c r="I171">
        <v>0</v>
      </c>
      <c r="J171">
        <v>0</v>
      </c>
      <c r="L171" t="str">
        <f t="shared" si="102"/>
        <v>1091</v>
      </c>
      <c r="R171" t="e">
        <f t="shared" si="103"/>
        <v>#N/A</v>
      </c>
      <c r="S171" t="e">
        <f>S161</f>
        <v>#N/A</v>
      </c>
      <c r="T171" t="e">
        <f>T161</f>
        <v>#N/A</v>
      </c>
      <c r="U171" t="str">
        <f t="shared" si="104"/>
        <v>EFN2O</v>
      </c>
      <c r="V171">
        <f t="shared" si="105"/>
        <v>0</v>
      </c>
      <c r="W171">
        <v>0</v>
      </c>
      <c r="X171">
        <f t="shared" si="106"/>
        <v>0</v>
      </c>
      <c r="Y171">
        <f t="shared" si="107"/>
        <v>0</v>
      </c>
      <c r="Z171">
        <f t="shared" si="108"/>
        <v>1</v>
      </c>
      <c r="AA171">
        <f t="shared" si="109"/>
        <v>-1.4E-3</v>
      </c>
      <c r="AD171">
        <f t="shared" si="110"/>
        <v>0</v>
      </c>
      <c r="AE171">
        <f t="shared" si="111"/>
        <v>0</v>
      </c>
      <c r="AF171">
        <f t="shared" si="112"/>
        <v>0</v>
      </c>
      <c r="AG171">
        <f t="shared" si="113"/>
        <v>0</v>
      </c>
      <c r="AH171">
        <f t="shared" si="114"/>
        <v>0</v>
      </c>
      <c r="AI171">
        <f t="shared" si="115"/>
        <v>0</v>
      </c>
      <c r="AJ171">
        <f t="shared" si="116"/>
        <v>0</v>
      </c>
      <c r="AK171">
        <f t="shared" si="117"/>
        <v>0</v>
      </c>
      <c r="AL171" t="e">
        <f t="shared" si="118"/>
        <v>#N/A</v>
      </c>
      <c r="AM171" t="e">
        <f t="shared" si="119"/>
        <v>#N/A</v>
      </c>
      <c r="AN171" t="e">
        <f t="shared" si="120"/>
        <v>#N/A</v>
      </c>
      <c r="AO171" t="e">
        <f t="shared" si="121"/>
        <v>#N/A</v>
      </c>
    </row>
    <row r="172" spans="1:42" x14ac:dyDescent="0.2">
      <c r="F172" t="s">
        <v>119</v>
      </c>
      <c r="H172">
        <v>130</v>
      </c>
      <c r="I172">
        <v>0</v>
      </c>
      <c r="J172">
        <v>0</v>
      </c>
      <c r="L172" t="str">
        <f t="shared" si="102"/>
        <v>1091</v>
      </c>
      <c r="R172" t="e">
        <f t="shared" si="103"/>
        <v>#N/A</v>
      </c>
      <c r="S172" t="e">
        <f>S161</f>
        <v>#N/A</v>
      </c>
      <c r="T172" t="e">
        <f>T161</f>
        <v>#N/A</v>
      </c>
      <c r="U172" t="str">
        <f t="shared" si="104"/>
        <v>EFN2O</v>
      </c>
      <c r="V172">
        <f t="shared" si="105"/>
        <v>0</v>
      </c>
      <c r="W172">
        <v>0</v>
      </c>
      <c r="X172">
        <f t="shared" si="106"/>
        <v>0</v>
      </c>
      <c r="Y172">
        <f t="shared" si="107"/>
        <v>0</v>
      </c>
      <c r="Z172">
        <f t="shared" si="108"/>
        <v>1</v>
      </c>
      <c r="AA172">
        <f t="shared" si="109"/>
        <v>-1.4E-3</v>
      </c>
      <c r="AD172">
        <f t="shared" si="110"/>
        <v>0</v>
      </c>
      <c r="AE172">
        <f t="shared" si="111"/>
        <v>0</v>
      </c>
      <c r="AF172">
        <f t="shared" si="112"/>
        <v>0</v>
      </c>
      <c r="AG172">
        <f t="shared" si="113"/>
        <v>0</v>
      </c>
      <c r="AH172">
        <f t="shared" si="114"/>
        <v>0</v>
      </c>
      <c r="AI172">
        <f t="shared" si="115"/>
        <v>0</v>
      </c>
      <c r="AJ172">
        <f t="shared" si="116"/>
        <v>0</v>
      </c>
      <c r="AK172">
        <f t="shared" si="117"/>
        <v>0</v>
      </c>
      <c r="AL172" t="e">
        <f t="shared" si="118"/>
        <v>#N/A</v>
      </c>
      <c r="AM172" t="e">
        <f t="shared" si="119"/>
        <v>#N/A</v>
      </c>
      <c r="AN172" t="e">
        <f t="shared" si="120"/>
        <v>#N/A</v>
      </c>
      <c r="AO172" t="e">
        <f t="shared" si="121"/>
        <v>#N/A</v>
      </c>
    </row>
    <row r="173" spans="1:42" x14ac:dyDescent="0.2">
      <c r="E173" t="s">
        <v>129</v>
      </c>
      <c r="F173" t="s">
        <v>113</v>
      </c>
      <c r="H173">
        <v>200</v>
      </c>
      <c r="I173">
        <v>0</v>
      </c>
      <c r="J173">
        <v>0</v>
      </c>
      <c r="L173" t="str">
        <f t="shared" si="102"/>
        <v>1091</v>
      </c>
      <c r="R173" t="e">
        <f t="shared" si="103"/>
        <v>#N/A</v>
      </c>
      <c r="S173" t="e">
        <f>S161</f>
        <v>#N/A</v>
      </c>
      <c r="T173" t="e">
        <f>T161</f>
        <v>#N/A</v>
      </c>
      <c r="U173" t="str">
        <f t="shared" si="104"/>
        <v>EFN2O</v>
      </c>
      <c r="V173">
        <f t="shared" si="105"/>
        <v>0</v>
      </c>
      <c r="W173">
        <v>0</v>
      </c>
      <c r="X173">
        <f t="shared" si="106"/>
        <v>0</v>
      </c>
      <c r="Y173">
        <f t="shared" si="107"/>
        <v>0</v>
      </c>
      <c r="Z173">
        <f t="shared" si="108"/>
        <v>1</v>
      </c>
      <c r="AA173">
        <f t="shared" si="109"/>
        <v>-1.4E-3</v>
      </c>
      <c r="AD173">
        <f t="shared" si="110"/>
        <v>0</v>
      </c>
      <c r="AE173">
        <f t="shared" si="111"/>
        <v>0</v>
      </c>
      <c r="AF173">
        <f t="shared" si="112"/>
        <v>0</v>
      </c>
      <c r="AG173">
        <f t="shared" si="113"/>
        <v>0</v>
      </c>
      <c r="AH173">
        <f t="shared" si="114"/>
        <v>0</v>
      </c>
      <c r="AI173">
        <f t="shared" si="115"/>
        <v>0</v>
      </c>
      <c r="AJ173">
        <f t="shared" si="116"/>
        <v>0</v>
      </c>
      <c r="AK173">
        <f t="shared" si="117"/>
        <v>0</v>
      </c>
      <c r="AL173" t="e">
        <f t="shared" si="118"/>
        <v>#N/A</v>
      </c>
      <c r="AM173" t="e">
        <f t="shared" si="119"/>
        <v>#N/A</v>
      </c>
      <c r="AN173" t="e">
        <f t="shared" si="120"/>
        <v>#N/A</v>
      </c>
      <c r="AO173" t="e">
        <f t="shared" si="121"/>
        <v>#N/A</v>
      </c>
    </row>
    <row r="174" spans="1:42" x14ac:dyDescent="0.2">
      <c r="F174" t="s">
        <v>115</v>
      </c>
      <c r="H174">
        <v>210</v>
      </c>
      <c r="I174">
        <v>0</v>
      </c>
      <c r="J174">
        <v>0</v>
      </c>
      <c r="L174" t="str">
        <f t="shared" si="102"/>
        <v>1091</v>
      </c>
      <c r="R174" t="e">
        <f t="shared" si="103"/>
        <v>#N/A</v>
      </c>
      <c r="S174" t="e">
        <f>S161</f>
        <v>#N/A</v>
      </c>
      <c r="T174" t="e">
        <f>T161</f>
        <v>#N/A</v>
      </c>
      <c r="U174" t="str">
        <f t="shared" si="104"/>
        <v>EFN2O</v>
      </c>
      <c r="V174">
        <f t="shared" si="105"/>
        <v>0</v>
      </c>
      <c r="W174">
        <v>0</v>
      </c>
      <c r="X174">
        <f t="shared" si="106"/>
        <v>0</v>
      </c>
      <c r="Y174">
        <f t="shared" si="107"/>
        <v>0</v>
      </c>
      <c r="Z174">
        <f t="shared" si="108"/>
        <v>1</v>
      </c>
      <c r="AA174">
        <f t="shared" si="109"/>
        <v>-1.4E-3</v>
      </c>
      <c r="AD174">
        <f t="shared" si="110"/>
        <v>0</v>
      </c>
      <c r="AE174">
        <f t="shared" si="111"/>
        <v>0</v>
      </c>
      <c r="AF174">
        <f t="shared" si="112"/>
        <v>0</v>
      </c>
      <c r="AG174">
        <f t="shared" si="113"/>
        <v>0</v>
      </c>
      <c r="AH174">
        <f t="shared" si="114"/>
        <v>0</v>
      </c>
      <c r="AI174">
        <f t="shared" si="115"/>
        <v>0</v>
      </c>
      <c r="AJ174">
        <f t="shared" si="116"/>
        <v>0</v>
      </c>
      <c r="AK174">
        <f t="shared" si="117"/>
        <v>0</v>
      </c>
      <c r="AL174" t="e">
        <f t="shared" si="118"/>
        <v>#N/A</v>
      </c>
      <c r="AM174" t="e">
        <f t="shared" si="119"/>
        <v>#N/A</v>
      </c>
      <c r="AN174" t="e">
        <f t="shared" si="120"/>
        <v>#N/A</v>
      </c>
      <c r="AO174" t="e">
        <f t="shared" si="121"/>
        <v>#N/A</v>
      </c>
    </row>
    <row r="175" spans="1:42" x14ac:dyDescent="0.2">
      <c r="F175" t="s">
        <v>117</v>
      </c>
      <c r="H175">
        <v>190</v>
      </c>
      <c r="I175">
        <v>0</v>
      </c>
      <c r="J175">
        <v>0</v>
      </c>
      <c r="L175" t="str">
        <f t="shared" si="102"/>
        <v>1091</v>
      </c>
      <c r="R175" t="e">
        <f t="shared" si="103"/>
        <v>#N/A</v>
      </c>
      <c r="S175" t="e">
        <f>S161</f>
        <v>#N/A</v>
      </c>
      <c r="T175" t="e">
        <f>T161</f>
        <v>#N/A</v>
      </c>
      <c r="U175" t="str">
        <f t="shared" si="104"/>
        <v>EFN2O</v>
      </c>
      <c r="V175">
        <f t="shared" si="105"/>
        <v>0</v>
      </c>
      <c r="W175">
        <v>0</v>
      </c>
      <c r="X175">
        <f t="shared" si="106"/>
        <v>0</v>
      </c>
      <c r="Y175">
        <f t="shared" si="107"/>
        <v>0</v>
      </c>
      <c r="Z175">
        <f t="shared" si="108"/>
        <v>1</v>
      </c>
      <c r="AA175">
        <f t="shared" si="109"/>
        <v>-1.4E-3</v>
      </c>
      <c r="AD175">
        <f t="shared" si="110"/>
        <v>0</v>
      </c>
      <c r="AE175">
        <f t="shared" si="111"/>
        <v>0</v>
      </c>
      <c r="AF175">
        <f t="shared" si="112"/>
        <v>0</v>
      </c>
      <c r="AG175">
        <f t="shared" si="113"/>
        <v>0</v>
      </c>
      <c r="AH175">
        <f t="shared" si="114"/>
        <v>0</v>
      </c>
      <c r="AI175">
        <f t="shared" si="115"/>
        <v>0</v>
      </c>
      <c r="AJ175">
        <f t="shared" si="116"/>
        <v>0</v>
      </c>
      <c r="AK175">
        <f t="shared" si="117"/>
        <v>0</v>
      </c>
      <c r="AL175" t="e">
        <f t="shared" si="118"/>
        <v>#N/A</v>
      </c>
      <c r="AM175" t="e">
        <f t="shared" si="119"/>
        <v>#N/A</v>
      </c>
      <c r="AN175" t="e">
        <f t="shared" si="120"/>
        <v>#N/A</v>
      </c>
      <c r="AO175" t="e">
        <f t="shared" si="121"/>
        <v>#N/A</v>
      </c>
    </row>
    <row r="176" spans="1:42" x14ac:dyDescent="0.2">
      <c r="F176" t="s">
        <v>119</v>
      </c>
      <c r="H176">
        <v>180</v>
      </c>
      <c r="I176">
        <v>0</v>
      </c>
      <c r="J176">
        <v>0</v>
      </c>
      <c r="L176" t="str">
        <f t="shared" si="102"/>
        <v>1091</v>
      </c>
      <c r="R176" t="e">
        <f t="shared" si="103"/>
        <v>#N/A</v>
      </c>
      <c r="S176" t="e">
        <f>S161</f>
        <v>#N/A</v>
      </c>
      <c r="T176" t="e">
        <f>T161</f>
        <v>#N/A</v>
      </c>
      <c r="U176" t="str">
        <f t="shared" si="104"/>
        <v>EFN2O</v>
      </c>
      <c r="V176">
        <f t="shared" si="105"/>
        <v>0</v>
      </c>
      <c r="W176">
        <v>0</v>
      </c>
      <c r="X176">
        <f t="shared" si="106"/>
        <v>0</v>
      </c>
      <c r="Y176">
        <f t="shared" si="107"/>
        <v>0</v>
      </c>
      <c r="Z176">
        <f t="shared" si="108"/>
        <v>1</v>
      </c>
      <c r="AA176">
        <f t="shared" si="109"/>
        <v>-1.4E-3</v>
      </c>
      <c r="AD176">
        <f t="shared" si="110"/>
        <v>0</v>
      </c>
      <c r="AE176">
        <f t="shared" si="111"/>
        <v>0</v>
      </c>
      <c r="AF176">
        <f t="shared" si="112"/>
        <v>0</v>
      </c>
      <c r="AG176">
        <f t="shared" si="113"/>
        <v>0</v>
      </c>
      <c r="AH176">
        <f t="shared" si="114"/>
        <v>0</v>
      </c>
      <c r="AI176">
        <f t="shared" si="115"/>
        <v>0</v>
      </c>
      <c r="AJ176">
        <f t="shared" si="116"/>
        <v>0</v>
      </c>
      <c r="AK176">
        <f t="shared" si="117"/>
        <v>0</v>
      </c>
      <c r="AL176" t="e">
        <f t="shared" si="118"/>
        <v>#N/A</v>
      </c>
      <c r="AM176" t="e">
        <f t="shared" si="119"/>
        <v>#N/A</v>
      </c>
      <c r="AN176" t="e">
        <f t="shared" si="120"/>
        <v>#N/A</v>
      </c>
      <c r="AO176" t="e">
        <f t="shared" si="121"/>
        <v>#N/A</v>
      </c>
    </row>
    <row r="177" spans="1:42" x14ac:dyDescent="0.2">
      <c r="E177" t="s">
        <v>131</v>
      </c>
      <c r="F177" t="s">
        <v>113</v>
      </c>
      <c r="H177">
        <v>50</v>
      </c>
      <c r="I177">
        <v>0</v>
      </c>
      <c r="J177">
        <v>0</v>
      </c>
      <c r="L177" t="str">
        <f t="shared" si="102"/>
        <v>1091</v>
      </c>
      <c r="R177" t="e">
        <f t="shared" si="103"/>
        <v>#N/A</v>
      </c>
      <c r="S177" t="e">
        <f>S161</f>
        <v>#N/A</v>
      </c>
      <c r="T177" t="e">
        <f>T161</f>
        <v>#N/A</v>
      </c>
      <c r="U177" t="str">
        <f t="shared" si="104"/>
        <v>EFN2O</v>
      </c>
      <c r="V177">
        <f t="shared" si="105"/>
        <v>0</v>
      </c>
      <c r="W177">
        <v>0</v>
      </c>
      <c r="X177">
        <f t="shared" si="106"/>
        <v>0</v>
      </c>
      <c r="Y177">
        <f t="shared" si="107"/>
        <v>0</v>
      </c>
      <c r="Z177">
        <f t="shared" si="108"/>
        <v>1</v>
      </c>
      <c r="AA177">
        <f t="shared" si="109"/>
        <v>-1.4E-3</v>
      </c>
      <c r="AD177">
        <f t="shared" si="110"/>
        <v>0</v>
      </c>
      <c r="AE177">
        <f t="shared" si="111"/>
        <v>0</v>
      </c>
      <c r="AF177">
        <f t="shared" si="112"/>
        <v>0</v>
      </c>
      <c r="AG177">
        <f t="shared" si="113"/>
        <v>0</v>
      </c>
      <c r="AH177">
        <f t="shared" si="114"/>
        <v>0</v>
      </c>
      <c r="AI177">
        <f t="shared" si="115"/>
        <v>0</v>
      </c>
      <c r="AJ177">
        <f t="shared" si="116"/>
        <v>0</v>
      </c>
      <c r="AK177">
        <f t="shared" si="117"/>
        <v>0</v>
      </c>
      <c r="AL177" t="e">
        <f t="shared" si="118"/>
        <v>#N/A</v>
      </c>
      <c r="AM177" t="e">
        <f t="shared" si="119"/>
        <v>#N/A</v>
      </c>
      <c r="AN177" t="e">
        <f t="shared" si="120"/>
        <v>#N/A</v>
      </c>
      <c r="AO177" t="e">
        <f t="shared" si="121"/>
        <v>#N/A</v>
      </c>
    </row>
    <row r="178" spans="1:42" x14ac:dyDescent="0.2">
      <c r="F178" t="s">
        <v>115</v>
      </c>
      <c r="H178">
        <v>55</v>
      </c>
      <c r="I178">
        <v>0</v>
      </c>
      <c r="J178">
        <v>0</v>
      </c>
      <c r="L178" t="str">
        <f t="shared" si="102"/>
        <v>1091</v>
      </c>
      <c r="R178" t="e">
        <f t="shared" si="103"/>
        <v>#N/A</v>
      </c>
      <c r="S178" t="e">
        <f>S161</f>
        <v>#N/A</v>
      </c>
      <c r="T178" t="e">
        <f>T161</f>
        <v>#N/A</v>
      </c>
      <c r="U178" t="str">
        <f t="shared" si="104"/>
        <v>EFN2O</v>
      </c>
      <c r="V178">
        <f t="shared" si="105"/>
        <v>0</v>
      </c>
      <c r="W178">
        <v>0</v>
      </c>
      <c r="X178">
        <f t="shared" si="106"/>
        <v>0</v>
      </c>
      <c r="Y178">
        <f t="shared" si="107"/>
        <v>0</v>
      </c>
      <c r="Z178">
        <f t="shared" si="108"/>
        <v>1</v>
      </c>
      <c r="AA178">
        <f t="shared" si="109"/>
        <v>-1.4E-3</v>
      </c>
      <c r="AD178">
        <f t="shared" si="110"/>
        <v>0</v>
      </c>
      <c r="AE178">
        <f t="shared" si="111"/>
        <v>0</v>
      </c>
      <c r="AF178">
        <f t="shared" si="112"/>
        <v>0</v>
      </c>
      <c r="AG178">
        <f t="shared" si="113"/>
        <v>0</v>
      </c>
      <c r="AH178">
        <f t="shared" si="114"/>
        <v>0</v>
      </c>
      <c r="AI178">
        <f t="shared" si="115"/>
        <v>0</v>
      </c>
      <c r="AJ178">
        <f t="shared" si="116"/>
        <v>0</v>
      </c>
      <c r="AK178">
        <f t="shared" si="117"/>
        <v>0</v>
      </c>
      <c r="AL178" t="e">
        <f t="shared" si="118"/>
        <v>#N/A</v>
      </c>
      <c r="AM178" t="e">
        <f t="shared" si="119"/>
        <v>#N/A</v>
      </c>
      <c r="AN178" t="e">
        <f t="shared" si="120"/>
        <v>#N/A</v>
      </c>
      <c r="AO178" t="e">
        <f t="shared" si="121"/>
        <v>#N/A</v>
      </c>
    </row>
    <row r="179" spans="1:42" x14ac:dyDescent="0.2">
      <c r="F179" t="s">
        <v>117</v>
      </c>
      <c r="H179">
        <v>60</v>
      </c>
      <c r="I179">
        <v>0</v>
      </c>
      <c r="J179">
        <v>0</v>
      </c>
      <c r="L179" t="str">
        <f t="shared" si="102"/>
        <v>1091</v>
      </c>
      <c r="R179" t="e">
        <f t="shared" si="103"/>
        <v>#N/A</v>
      </c>
      <c r="S179" t="e">
        <f>S161</f>
        <v>#N/A</v>
      </c>
      <c r="T179" t="e">
        <f>T161</f>
        <v>#N/A</v>
      </c>
      <c r="U179" t="str">
        <f t="shared" si="104"/>
        <v>EFN2O</v>
      </c>
      <c r="V179">
        <f t="shared" si="105"/>
        <v>0</v>
      </c>
      <c r="W179">
        <v>0</v>
      </c>
      <c r="X179">
        <f t="shared" si="106"/>
        <v>0</v>
      </c>
      <c r="Y179">
        <f t="shared" si="107"/>
        <v>0</v>
      </c>
      <c r="Z179">
        <f t="shared" si="108"/>
        <v>1</v>
      </c>
      <c r="AA179">
        <f t="shared" si="109"/>
        <v>-1.4E-3</v>
      </c>
      <c r="AD179">
        <f t="shared" si="110"/>
        <v>0</v>
      </c>
      <c r="AE179">
        <f t="shared" si="111"/>
        <v>0</v>
      </c>
      <c r="AF179">
        <f t="shared" si="112"/>
        <v>0</v>
      </c>
      <c r="AG179">
        <f t="shared" si="113"/>
        <v>0</v>
      </c>
      <c r="AH179">
        <f t="shared" si="114"/>
        <v>0</v>
      </c>
      <c r="AI179">
        <f t="shared" si="115"/>
        <v>0</v>
      </c>
      <c r="AJ179">
        <f t="shared" si="116"/>
        <v>0</v>
      </c>
      <c r="AK179">
        <f t="shared" si="117"/>
        <v>0</v>
      </c>
      <c r="AL179" t="e">
        <f t="shared" si="118"/>
        <v>#N/A</v>
      </c>
      <c r="AM179" t="e">
        <f t="shared" si="119"/>
        <v>#N/A</v>
      </c>
      <c r="AN179" t="e">
        <f t="shared" si="120"/>
        <v>#N/A</v>
      </c>
      <c r="AO179" t="e">
        <f t="shared" si="121"/>
        <v>#N/A</v>
      </c>
    </row>
    <row r="180" spans="1:42" x14ac:dyDescent="0.2">
      <c r="F180" t="s">
        <v>119</v>
      </c>
      <c r="H180">
        <v>65</v>
      </c>
      <c r="I180">
        <v>0</v>
      </c>
      <c r="J180">
        <v>0</v>
      </c>
      <c r="L180" t="str">
        <f t="shared" si="102"/>
        <v>1091</v>
      </c>
      <c r="R180" t="e">
        <f t="shared" si="103"/>
        <v>#N/A</v>
      </c>
      <c r="S180" t="e">
        <f>S161</f>
        <v>#N/A</v>
      </c>
      <c r="T180" t="e">
        <f>T161</f>
        <v>#N/A</v>
      </c>
      <c r="U180" t="str">
        <f t="shared" si="104"/>
        <v>EFN2O</v>
      </c>
      <c r="V180">
        <f t="shared" si="105"/>
        <v>0</v>
      </c>
      <c r="W180">
        <v>0</v>
      </c>
      <c r="X180">
        <f t="shared" si="106"/>
        <v>0</v>
      </c>
      <c r="Y180">
        <f t="shared" si="107"/>
        <v>0</v>
      </c>
      <c r="Z180">
        <f t="shared" si="108"/>
        <v>1</v>
      </c>
      <c r="AA180">
        <f t="shared" si="109"/>
        <v>-1.4E-3</v>
      </c>
      <c r="AD180">
        <f t="shared" si="110"/>
        <v>0</v>
      </c>
      <c r="AE180">
        <f t="shared" si="111"/>
        <v>0</v>
      </c>
      <c r="AF180">
        <f t="shared" si="112"/>
        <v>0</v>
      </c>
      <c r="AG180">
        <f t="shared" si="113"/>
        <v>0</v>
      </c>
      <c r="AH180">
        <f t="shared" si="114"/>
        <v>0</v>
      </c>
      <c r="AI180">
        <f t="shared" si="115"/>
        <v>0</v>
      </c>
      <c r="AJ180">
        <f t="shared" si="116"/>
        <v>0</v>
      </c>
      <c r="AK180">
        <f t="shared" si="117"/>
        <v>0</v>
      </c>
      <c r="AL180" t="e">
        <f t="shared" si="118"/>
        <v>#N/A</v>
      </c>
      <c r="AM180" t="e">
        <f t="shared" si="119"/>
        <v>#N/A</v>
      </c>
      <c r="AN180" t="e">
        <f t="shared" si="120"/>
        <v>#N/A</v>
      </c>
      <c r="AO180" t="e">
        <f t="shared" si="121"/>
        <v>#N/A</v>
      </c>
    </row>
    <row r="181" spans="1:42" x14ac:dyDescent="0.2">
      <c r="E181" t="s">
        <v>132</v>
      </c>
      <c r="F181" t="s">
        <v>113</v>
      </c>
      <c r="H181">
        <v>50</v>
      </c>
      <c r="I181">
        <v>0</v>
      </c>
      <c r="J181">
        <v>0</v>
      </c>
      <c r="L181" t="str">
        <f t="shared" si="102"/>
        <v>1091</v>
      </c>
      <c r="R181" t="e">
        <f t="shared" si="103"/>
        <v>#N/A</v>
      </c>
      <c r="S181" t="e">
        <f>S161</f>
        <v>#N/A</v>
      </c>
      <c r="T181" t="e">
        <f>T161</f>
        <v>#N/A</v>
      </c>
      <c r="U181" t="str">
        <f t="shared" si="104"/>
        <v>EFN2O</v>
      </c>
      <c r="V181">
        <f t="shared" si="105"/>
        <v>0</v>
      </c>
      <c r="W181">
        <v>0</v>
      </c>
      <c r="X181">
        <f t="shared" si="106"/>
        <v>0</v>
      </c>
      <c r="Y181">
        <f t="shared" si="107"/>
        <v>0</v>
      </c>
      <c r="Z181">
        <f t="shared" si="108"/>
        <v>1</v>
      </c>
      <c r="AA181">
        <f t="shared" si="109"/>
        <v>-1.4E-3</v>
      </c>
      <c r="AD181">
        <f t="shared" si="110"/>
        <v>0</v>
      </c>
      <c r="AE181">
        <f t="shared" si="111"/>
        <v>0</v>
      </c>
      <c r="AF181">
        <f t="shared" si="112"/>
        <v>0</v>
      </c>
      <c r="AG181">
        <f t="shared" si="113"/>
        <v>0</v>
      </c>
      <c r="AH181">
        <f t="shared" si="114"/>
        <v>0</v>
      </c>
      <c r="AI181">
        <f t="shared" si="115"/>
        <v>0</v>
      </c>
      <c r="AJ181">
        <f t="shared" si="116"/>
        <v>0</v>
      </c>
      <c r="AK181">
        <f t="shared" si="117"/>
        <v>0</v>
      </c>
      <c r="AL181" t="e">
        <f t="shared" si="118"/>
        <v>#N/A</v>
      </c>
      <c r="AM181" t="e">
        <f t="shared" si="119"/>
        <v>#N/A</v>
      </c>
      <c r="AN181" t="e">
        <f t="shared" si="120"/>
        <v>#N/A</v>
      </c>
      <c r="AO181" t="e">
        <f t="shared" si="121"/>
        <v>#N/A</v>
      </c>
    </row>
    <row r="182" spans="1:42" x14ac:dyDescent="0.2">
      <c r="F182" t="s">
        <v>115</v>
      </c>
      <c r="H182">
        <v>100</v>
      </c>
      <c r="I182">
        <v>0</v>
      </c>
      <c r="J182">
        <v>0</v>
      </c>
      <c r="L182" t="str">
        <f t="shared" si="102"/>
        <v>1091</v>
      </c>
      <c r="R182" t="e">
        <f t="shared" si="103"/>
        <v>#N/A</v>
      </c>
      <c r="S182" t="e">
        <f>S161</f>
        <v>#N/A</v>
      </c>
      <c r="T182" t="e">
        <f>T161</f>
        <v>#N/A</v>
      </c>
      <c r="U182" t="str">
        <f t="shared" si="104"/>
        <v>EFN2O</v>
      </c>
      <c r="V182">
        <f t="shared" si="105"/>
        <v>0</v>
      </c>
      <c r="W182">
        <v>0</v>
      </c>
      <c r="X182">
        <f t="shared" si="106"/>
        <v>0</v>
      </c>
      <c r="Y182">
        <f t="shared" si="107"/>
        <v>0</v>
      </c>
      <c r="Z182">
        <f t="shared" si="108"/>
        <v>1</v>
      </c>
      <c r="AA182">
        <f t="shared" si="109"/>
        <v>-1.4E-3</v>
      </c>
      <c r="AD182">
        <f t="shared" si="110"/>
        <v>0</v>
      </c>
      <c r="AE182">
        <f t="shared" si="111"/>
        <v>0</v>
      </c>
      <c r="AF182">
        <f t="shared" si="112"/>
        <v>0</v>
      </c>
      <c r="AG182">
        <f t="shared" si="113"/>
        <v>0</v>
      </c>
      <c r="AH182">
        <f t="shared" si="114"/>
        <v>0</v>
      </c>
      <c r="AI182">
        <f t="shared" si="115"/>
        <v>0</v>
      </c>
      <c r="AJ182">
        <f t="shared" si="116"/>
        <v>0</v>
      </c>
      <c r="AK182">
        <f t="shared" si="117"/>
        <v>0</v>
      </c>
      <c r="AL182" t="e">
        <f t="shared" si="118"/>
        <v>#N/A</v>
      </c>
      <c r="AM182" t="e">
        <f t="shared" si="119"/>
        <v>#N/A</v>
      </c>
      <c r="AN182" t="e">
        <f t="shared" si="120"/>
        <v>#N/A</v>
      </c>
      <c r="AO182" t="e">
        <f t="shared" si="121"/>
        <v>#N/A</v>
      </c>
    </row>
    <row r="183" spans="1:42" x14ac:dyDescent="0.2">
      <c r="F183" t="s">
        <v>117</v>
      </c>
      <c r="H183">
        <v>90</v>
      </c>
      <c r="I183">
        <v>0</v>
      </c>
      <c r="J183">
        <v>0</v>
      </c>
      <c r="L183" t="str">
        <f t="shared" si="102"/>
        <v>1091</v>
      </c>
      <c r="R183" t="e">
        <f t="shared" si="103"/>
        <v>#N/A</v>
      </c>
      <c r="S183" t="e">
        <f>S161</f>
        <v>#N/A</v>
      </c>
      <c r="T183" t="e">
        <f>T161</f>
        <v>#N/A</v>
      </c>
      <c r="U183" t="str">
        <f t="shared" si="104"/>
        <v>EFN2O</v>
      </c>
      <c r="V183">
        <f t="shared" si="105"/>
        <v>0</v>
      </c>
      <c r="W183">
        <v>0</v>
      </c>
      <c r="X183">
        <f t="shared" si="106"/>
        <v>0</v>
      </c>
      <c r="Y183">
        <f t="shared" si="107"/>
        <v>0</v>
      </c>
      <c r="Z183">
        <f t="shared" si="108"/>
        <v>1</v>
      </c>
      <c r="AA183">
        <f t="shared" si="109"/>
        <v>-1.4E-3</v>
      </c>
      <c r="AD183">
        <f t="shared" si="110"/>
        <v>0</v>
      </c>
      <c r="AE183">
        <f t="shared" si="111"/>
        <v>0</v>
      </c>
      <c r="AF183">
        <f t="shared" si="112"/>
        <v>0</v>
      </c>
      <c r="AG183">
        <f t="shared" si="113"/>
        <v>0</v>
      </c>
      <c r="AH183">
        <f t="shared" si="114"/>
        <v>0</v>
      </c>
      <c r="AI183">
        <f t="shared" si="115"/>
        <v>0</v>
      </c>
      <c r="AJ183">
        <f t="shared" si="116"/>
        <v>0</v>
      </c>
      <c r="AK183">
        <f t="shared" si="117"/>
        <v>0</v>
      </c>
      <c r="AL183" t="e">
        <f t="shared" si="118"/>
        <v>#N/A</v>
      </c>
      <c r="AM183" t="e">
        <f t="shared" si="119"/>
        <v>#N/A</v>
      </c>
      <c r="AN183" t="e">
        <f t="shared" si="120"/>
        <v>#N/A</v>
      </c>
      <c r="AO183" t="e">
        <f t="shared" si="121"/>
        <v>#N/A</v>
      </c>
    </row>
    <row r="184" spans="1:42" x14ac:dyDescent="0.2">
      <c r="F184" t="s">
        <v>119</v>
      </c>
      <c r="H184">
        <v>80</v>
      </c>
      <c r="I184">
        <v>0</v>
      </c>
      <c r="J184">
        <v>0</v>
      </c>
      <c r="L184" t="str">
        <f t="shared" si="102"/>
        <v>1091</v>
      </c>
      <c r="R184" t="e">
        <f t="shared" si="103"/>
        <v>#N/A</v>
      </c>
      <c r="S184" t="e">
        <f>S161</f>
        <v>#N/A</v>
      </c>
      <c r="T184" t="e">
        <f>T161</f>
        <v>#N/A</v>
      </c>
      <c r="U184" t="str">
        <f t="shared" si="104"/>
        <v>EFN2O</v>
      </c>
      <c r="V184">
        <f t="shared" si="105"/>
        <v>0</v>
      </c>
      <c r="W184">
        <v>0</v>
      </c>
      <c r="X184">
        <f t="shared" si="106"/>
        <v>0</v>
      </c>
      <c r="Y184">
        <f t="shared" si="107"/>
        <v>0</v>
      </c>
      <c r="Z184">
        <f t="shared" si="108"/>
        <v>1</v>
      </c>
      <c r="AA184">
        <f t="shared" si="109"/>
        <v>-1.4E-3</v>
      </c>
      <c r="AD184">
        <f t="shared" si="110"/>
        <v>0</v>
      </c>
      <c r="AE184">
        <f t="shared" si="111"/>
        <v>0</v>
      </c>
      <c r="AF184">
        <f t="shared" si="112"/>
        <v>0</v>
      </c>
      <c r="AG184">
        <f t="shared" si="113"/>
        <v>0</v>
      </c>
      <c r="AH184">
        <f t="shared" si="114"/>
        <v>0</v>
      </c>
      <c r="AI184">
        <f t="shared" si="115"/>
        <v>0</v>
      </c>
      <c r="AJ184">
        <f t="shared" si="116"/>
        <v>0</v>
      </c>
      <c r="AK184">
        <f t="shared" si="117"/>
        <v>0</v>
      </c>
      <c r="AL184" t="e">
        <f t="shared" si="118"/>
        <v>#N/A</v>
      </c>
      <c r="AM184" t="e">
        <f t="shared" si="119"/>
        <v>#N/A</v>
      </c>
      <c r="AN184" t="e">
        <f t="shared" si="120"/>
        <v>#N/A</v>
      </c>
      <c r="AO184" t="e">
        <f t="shared" si="121"/>
        <v>#N/A</v>
      </c>
    </row>
    <row r="191" spans="1:42" x14ac:dyDescent="0.2">
      <c r="A191" t="s">
        <v>123</v>
      </c>
      <c r="B191" t="s">
        <v>123</v>
      </c>
      <c r="C191" t="s">
        <v>123</v>
      </c>
      <c r="D191" t="s">
        <v>111</v>
      </c>
      <c r="E191" t="s">
        <v>112</v>
      </c>
      <c r="F191" t="s">
        <v>113</v>
      </c>
      <c r="H191">
        <v>100</v>
      </c>
      <c r="I191">
        <v>95</v>
      </c>
      <c r="J191">
        <v>90</v>
      </c>
      <c r="L191" t="str">
        <f t="shared" ref="L191:L214" si="122">$AV$3</f>
        <v>1091</v>
      </c>
      <c r="M191" t="e" cm="1">
        <f t="array" aca="1" ref="M191" ca="1">_xludf.DROP(_xludf.XLOOKUP($C191,#REF!,#REF!),1)</f>
        <v>#NAME?</v>
      </c>
      <c r="O191" t="e" cm="1">
        <f t="array" aca="1" ref="O191" ca="1">_xludf.DROP(_xludf.XLOOKUP($C191,#REF!,#REF!),1)</f>
        <v>#NAME?</v>
      </c>
      <c r="Q191" t="e" cm="1">
        <f t="array" aca="1" ref="Q191" ca="1">_xludf.DROP(_xludf.XLOOKUP($C191,#REF!,#REF!),1)</f>
        <v>#NAME?</v>
      </c>
      <c r="R191">
        <f t="shared" ref="R191:R214" si="123">1-S191</f>
        <v>0</v>
      </c>
      <c r="S191">
        <f>IF($D191="yes", 1, VLOOKUP($B191, $AU$26:$AW$32, 2)/100)</f>
        <v>1</v>
      </c>
      <c r="T191" t="e">
        <f>VLOOKUP($B191,$AW$10:$AX$16, 2, FALSE)</f>
        <v>#N/A</v>
      </c>
      <c r="U191" t="str">
        <f t="shared" ref="U191:U214" si="124">$AV$10</f>
        <v>EFN2O</v>
      </c>
      <c r="V191">
        <f t="shared" ref="V191:V214" si="125">(I191/100)*(MIN(J191,100)/100)</f>
        <v>0.85499999999999998</v>
      </c>
      <c r="W191">
        <v>0</v>
      </c>
      <c r="X191">
        <f t="shared" ref="X191:X214" si="126">1.6 * W191</f>
        <v>0</v>
      </c>
      <c r="Y191">
        <f t="shared" ref="Y191:Y214" si="127">$AY$1</f>
        <v>0</v>
      </c>
      <c r="Z191">
        <f t="shared" ref="Z191:Z214" si="128">V191*Y191+(1-V191)</f>
        <v>0.14500000000000002</v>
      </c>
      <c r="AA191" t="e">
        <f t="shared" ref="AA191:AA214" ca="1" si="129">(0.795*O191)-0.0014</f>
        <v>#NAME?</v>
      </c>
      <c r="AC191" t="e" cm="1">
        <f t="array" aca="1" ref="AC191" ca="1">_xludf.DROP(_xludf.XLOOKUP($C191,#REF!,#REF!),1)</f>
        <v>#NAME?</v>
      </c>
      <c r="AD191" t="e">
        <f t="shared" ref="AD191:AD214" ca="1" si="130">1 - EXP(-2*(AC191^2))</f>
        <v>#NAME?</v>
      </c>
      <c r="AE191" t="e">
        <f t="shared" ref="AE191:AE214" ca="1" si="131">(104.7*AA191+0.307*Q191-15)*(Q191^0.75)*10^-3</f>
        <v>#NAME?</v>
      </c>
      <c r="AF191" t="e">
        <f t="shared" ref="AF191:AF214" ca="1" si="132">AE191*AD191*Z191</f>
        <v>#NAME?</v>
      </c>
      <c r="AG191" t="e">
        <f t="shared" ref="AG191:AG214" ca="1" si="133">(AF191 * M191) + (0.045 * X191)</f>
        <v>#NAME?</v>
      </c>
      <c r="AH191">
        <f t="shared" ref="AH191:AH214" si="134">$AV$2</f>
        <v>0</v>
      </c>
      <c r="AI191" t="e">
        <f t="shared" ref="AI191:AI214" ca="1" si="135">(AF191 * ((1 - O191) + (0.04 * AF191))) * ( 1 - AH191 )</f>
        <v>#NAME?</v>
      </c>
      <c r="AJ191">
        <f t="shared" ref="AJ191:AJ214" si="136">$AV$1</f>
        <v>0</v>
      </c>
      <c r="AK191">
        <f t="shared" ref="AK191:AK214" si="137">$AW$20</f>
        <v>0</v>
      </c>
      <c r="AL191" t="e">
        <f t="shared" ref="AL191:AL214" ca="1" si="138">AI191 * AJ191 * R191 * T191 * AK191</f>
        <v>#NAME?</v>
      </c>
      <c r="AM191" t="e">
        <f t="shared" ref="AM191:AM214" ca="1" si="139">AI191*AJ191*S191*U191*AK191</f>
        <v>#NAME?</v>
      </c>
      <c r="AN191" t="e">
        <f t="shared" ref="AN191:AN214" ca="1" si="140">AL191+AM191</f>
        <v>#NAME?</v>
      </c>
      <c r="AO191" t="e">
        <f t="shared" ref="AO191:AO214" ca="1" si="141">H191*AN191*L191</f>
        <v>#NAME?</v>
      </c>
      <c r="AP191" t="e">
        <f ca="1">SUM(AO191:AO214)*10^-3</f>
        <v>#NAME?</v>
      </c>
    </row>
    <row r="192" spans="1:42" x14ac:dyDescent="0.2">
      <c r="F192" t="s">
        <v>115</v>
      </c>
      <c r="H192">
        <v>70</v>
      </c>
      <c r="I192">
        <v>0</v>
      </c>
      <c r="J192">
        <v>0</v>
      </c>
      <c r="L192" t="str">
        <f t="shared" si="122"/>
        <v>1091</v>
      </c>
      <c r="R192">
        <f t="shared" si="123"/>
        <v>0</v>
      </c>
      <c r="S192">
        <f>S191</f>
        <v>1</v>
      </c>
      <c r="T192" t="e">
        <f>T191</f>
        <v>#N/A</v>
      </c>
      <c r="U192" t="str">
        <f t="shared" si="124"/>
        <v>EFN2O</v>
      </c>
      <c r="V192">
        <f t="shared" si="125"/>
        <v>0</v>
      </c>
      <c r="W192">
        <v>0</v>
      </c>
      <c r="X192">
        <f t="shared" si="126"/>
        <v>0</v>
      </c>
      <c r="Y192">
        <f t="shared" si="127"/>
        <v>0</v>
      </c>
      <c r="Z192">
        <f t="shared" si="128"/>
        <v>1</v>
      </c>
      <c r="AA192">
        <f t="shared" si="129"/>
        <v>-1.4E-3</v>
      </c>
      <c r="AD192">
        <f t="shared" si="130"/>
        <v>0</v>
      </c>
      <c r="AE192">
        <f t="shared" si="131"/>
        <v>0</v>
      </c>
      <c r="AF192">
        <f t="shared" si="132"/>
        <v>0</v>
      </c>
      <c r="AG192">
        <f t="shared" si="133"/>
        <v>0</v>
      </c>
      <c r="AH192">
        <f t="shared" si="134"/>
        <v>0</v>
      </c>
      <c r="AI192">
        <f t="shared" si="135"/>
        <v>0</v>
      </c>
      <c r="AJ192">
        <f t="shared" si="136"/>
        <v>0</v>
      </c>
      <c r="AK192">
        <f t="shared" si="137"/>
        <v>0</v>
      </c>
      <c r="AL192" t="e">
        <f t="shared" si="138"/>
        <v>#N/A</v>
      </c>
      <c r="AM192" t="e">
        <f t="shared" si="139"/>
        <v>#VALUE!</v>
      </c>
      <c r="AN192" t="e">
        <f t="shared" si="140"/>
        <v>#N/A</v>
      </c>
      <c r="AO192" t="e">
        <f t="shared" si="141"/>
        <v>#N/A</v>
      </c>
    </row>
    <row r="193" spans="5:41" x14ac:dyDescent="0.2">
      <c r="F193" t="s">
        <v>117</v>
      </c>
      <c r="H193">
        <v>65</v>
      </c>
      <c r="I193">
        <v>0</v>
      </c>
      <c r="J193">
        <v>0</v>
      </c>
      <c r="L193" t="str">
        <f t="shared" si="122"/>
        <v>1091</v>
      </c>
      <c r="R193">
        <f t="shared" si="123"/>
        <v>0</v>
      </c>
      <c r="S193">
        <f>S191</f>
        <v>1</v>
      </c>
      <c r="T193" t="e">
        <f>T191</f>
        <v>#N/A</v>
      </c>
      <c r="U193" t="str">
        <f t="shared" si="124"/>
        <v>EFN2O</v>
      </c>
      <c r="V193">
        <f t="shared" si="125"/>
        <v>0</v>
      </c>
      <c r="W193">
        <v>0</v>
      </c>
      <c r="X193">
        <f t="shared" si="126"/>
        <v>0</v>
      </c>
      <c r="Y193">
        <f t="shared" si="127"/>
        <v>0</v>
      </c>
      <c r="Z193">
        <f t="shared" si="128"/>
        <v>1</v>
      </c>
      <c r="AA193">
        <f t="shared" si="129"/>
        <v>-1.4E-3</v>
      </c>
      <c r="AD193">
        <f t="shared" si="130"/>
        <v>0</v>
      </c>
      <c r="AE193">
        <f t="shared" si="131"/>
        <v>0</v>
      </c>
      <c r="AF193">
        <f t="shared" si="132"/>
        <v>0</v>
      </c>
      <c r="AG193">
        <f t="shared" si="133"/>
        <v>0</v>
      </c>
      <c r="AH193">
        <f t="shared" si="134"/>
        <v>0</v>
      </c>
      <c r="AI193">
        <f t="shared" si="135"/>
        <v>0</v>
      </c>
      <c r="AJ193">
        <f t="shared" si="136"/>
        <v>0</v>
      </c>
      <c r="AK193">
        <f t="shared" si="137"/>
        <v>0</v>
      </c>
      <c r="AL193" t="e">
        <f t="shared" si="138"/>
        <v>#N/A</v>
      </c>
      <c r="AM193" t="e">
        <f t="shared" si="139"/>
        <v>#VALUE!</v>
      </c>
      <c r="AN193" t="e">
        <f t="shared" si="140"/>
        <v>#N/A</v>
      </c>
      <c r="AO193" t="e">
        <f t="shared" si="141"/>
        <v>#N/A</v>
      </c>
    </row>
    <row r="194" spans="5:41" x14ac:dyDescent="0.2">
      <c r="F194" t="s">
        <v>119</v>
      </c>
      <c r="H194">
        <v>80</v>
      </c>
      <c r="I194">
        <v>0</v>
      </c>
      <c r="J194">
        <v>0</v>
      </c>
      <c r="L194" t="str">
        <f t="shared" si="122"/>
        <v>1091</v>
      </c>
      <c r="R194">
        <f t="shared" si="123"/>
        <v>0</v>
      </c>
      <c r="S194">
        <f>S191</f>
        <v>1</v>
      </c>
      <c r="T194" t="e">
        <f>T191</f>
        <v>#N/A</v>
      </c>
      <c r="U194" t="str">
        <f t="shared" si="124"/>
        <v>EFN2O</v>
      </c>
      <c r="V194">
        <f t="shared" si="125"/>
        <v>0</v>
      </c>
      <c r="W194">
        <v>0</v>
      </c>
      <c r="X194">
        <f t="shared" si="126"/>
        <v>0</v>
      </c>
      <c r="Y194">
        <f t="shared" si="127"/>
        <v>0</v>
      </c>
      <c r="Z194">
        <f t="shared" si="128"/>
        <v>1</v>
      </c>
      <c r="AA194">
        <f t="shared" si="129"/>
        <v>-1.4E-3</v>
      </c>
      <c r="AD194">
        <f t="shared" si="130"/>
        <v>0</v>
      </c>
      <c r="AE194">
        <f t="shared" si="131"/>
        <v>0</v>
      </c>
      <c r="AF194">
        <f t="shared" si="132"/>
        <v>0</v>
      </c>
      <c r="AG194">
        <f t="shared" si="133"/>
        <v>0</v>
      </c>
      <c r="AH194">
        <f t="shared" si="134"/>
        <v>0</v>
      </c>
      <c r="AI194">
        <f t="shared" si="135"/>
        <v>0</v>
      </c>
      <c r="AJ194">
        <f t="shared" si="136"/>
        <v>0</v>
      </c>
      <c r="AK194">
        <f t="shared" si="137"/>
        <v>0</v>
      </c>
      <c r="AL194" t="e">
        <f t="shared" si="138"/>
        <v>#N/A</v>
      </c>
      <c r="AM194" t="e">
        <f t="shared" si="139"/>
        <v>#VALUE!</v>
      </c>
      <c r="AN194" t="e">
        <f t="shared" si="140"/>
        <v>#N/A</v>
      </c>
      <c r="AO194" t="e">
        <f t="shared" si="141"/>
        <v>#N/A</v>
      </c>
    </row>
    <row r="195" spans="5:41" x14ac:dyDescent="0.2">
      <c r="E195" t="s">
        <v>121</v>
      </c>
      <c r="F195" t="s">
        <v>113</v>
      </c>
      <c r="H195">
        <v>200</v>
      </c>
      <c r="I195">
        <v>0</v>
      </c>
      <c r="J195">
        <v>0</v>
      </c>
      <c r="L195" t="str">
        <f t="shared" si="122"/>
        <v>1091</v>
      </c>
      <c r="R195">
        <f t="shared" si="123"/>
        <v>0</v>
      </c>
      <c r="S195">
        <f>S191</f>
        <v>1</v>
      </c>
      <c r="T195" t="e">
        <f>T191</f>
        <v>#N/A</v>
      </c>
      <c r="U195" t="str">
        <f t="shared" si="124"/>
        <v>EFN2O</v>
      </c>
      <c r="V195">
        <f t="shared" si="125"/>
        <v>0</v>
      </c>
      <c r="W195">
        <v>1</v>
      </c>
      <c r="X195">
        <f t="shared" si="126"/>
        <v>1.6</v>
      </c>
      <c r="Y195">
        <f t="shared" si="127"/>
        <v>0</v>
      </c>
      <c r="Z195">
        <f t="shared" si="128"/>
        <v>1</v>
      </c>
      <c r="AA195">
        <f t="shared" si="129"/>
        <v>-1.4E-3</v>
      </c>
      <c r="AD195">
        <f t="shared" si="130"/>
        <v>0</v>
      </c>
      <c r="AE195">
        <f t="shared" si="131"/>
        <v>0</v>
      </c>
      <c r="AF195">
        <f t="shared" si="132"/>
        <v>0</v>
      </c>
      <c r="AG195">
        <f t="shared" si="133"/>
        <v>7.1999999999999995E-2</v>
      </c>
      <c r="AH195">
        <f t="shared" si="134"/>
        <v>0</v>
      </c>
      <c r="AI195">
        <f t="shared" si="135"/>
        <v>0</v>
      </c>
      <c r="AJ195">
        <f t="shared" si="136"/>
        <v>0</v>
      </c>
      <c r="AK195">
        <f t="shared" si="137"/>
        <v>0</v>
      </c>
      <c r="AL195" t="e">
        <f t="shared" si="138"/>
        <v>#N/A</v>
      </c>
      <c r="AM195" t="e">
        <f t="shared" si="139"/>
        <v>#VALUE!</v>
      </c>
      <c r="AN195" t="e">
        <f t="shared" si="140"/>
        <v>#N/A</v>
      </c>
      <c r="AO195" t="e">
        <f t="shared" si="141"/>
        <v>#N/A</v>
      </c>
    </row>
    <row r="196" spans="5:41" x14ac:dyDescent="0.2">
      <c r="F196" t="s">
        <v>115</v>
      </c>
      <c r="H196">
        <v>210</v>
      </c>
      <c r="I196">
        <v>0</v>
      </c>
      <c r="J196">
        <v>0</v>
      </c>
      <c r="L196" t="str">
        <f t="shared" si="122"/>
        <v>1091</v>
      </c>
      <c r="R196">
        <f t="shared" si="123"/>
        <v>0</v>
      </c>
      <c r="S196">
        <f>S191</f>
        <v>1</v>
      </c>
      <c r="T196" t="e">
        <f>T191</f>
        <v>#N/A</v>
      </c>
      <c r="U196" t="str">
        <f t="shared" si="124"/>
        <v>EFN2O</v>
      </c>
      <c r="V196">
        <f t="shared" si="125"/>
        <v>0</v>
      </c>
      <c r="W196">
        <v>0</v>
      </c>
      <c r="X196">
        <f t="shared" si="126"/>
        <v>0</v>
      </c>
      <c r="Y196">
        <f t="shared" si="127"/>
        <v>0</v>
      </c>
      <c r="Z196">
        <f t="shared" si="128"/>
        <v>1</v>
      </c>
      <c r="AA196">
        <f t="shared" si="129"/>
        <v>-1.4E-3</v>
      </c>
      <c r="AD196">
        <f t="shared" si="130"/>
        <v>0</v>
      </c>
      <c r="AE196">
        <f t="shared" si="131"/>
        <v>0</v>
      </c>
      <c r="AF196">
        <f t="shared" si="132"/>
        <v>0</v>
      </c>
      <c r="AG196">
        <f t="shared" si="133"/>
        <v>0</v>
      </c>
      <c r="AH196">
        <f t="shared" si="134"/>
        <v>0</v>
      </c>
      <c r="AI196">
        <f t="shared" si="135"/>
        <v>0</v>
      </c>
      <c r="AJ196">
        <f t="shared" si="136"/>
        <v>0</v>
      </c>
      <c r="AK196">
        <f t="shared" si="137"/>
        <v>0</v>
      </c>
      <c r="AL196" t="e">
        <f t="shared" si="138"/>
        <v>#N/A</v>
      </c>
      <c r="AM196" t="e">
        <f t="shared" si="139"/>
        <v>#VALUE!</v>
      </c>
      <c r="AN196" t="e">
        <f t="shared" si="140"/>
        <v>#N/A</v>
      </c>
      <c r="AO196" t="e">
        <f t="shared" si="141"/>
        <v>#N/A</v>
      </c>
    </row>
    <row r="197" spans="5:41" x14ac:dyDescent="0.2">
      <c r="F197" t="s">
        <v>117</v>
      </c>
      <c r="H197">
        <v>170</v>
      </c>
      <c r="I197">
        <v>0</v>
      </c>
      <c r="J197">
        <v>0</v>
      </c>
      <c r="L197" t="str">
        <f t="shared" si="122"/>
        <v>1091</v>
      </c>
      <c r="R197">
        <f t="shared" si="123"/>
        <v>0</v>
      </c>
      <c r="S197">
        <f>S191</f>
        <v>1</v>
      </c>
      <c r="T197" t="e">
        <f>T191</f>
        <v>#N/A</v>
      </c>
      <c r="U197" t="str">
        <f t="shared" si="124"/>
        <v>EFN2O</v>
      </c>
      <c r="V197">
        <f t="shared" si="125"/>
        <v>0</v>
      </c>
      <c r="W197">
        <v>0</v>
      </c>
      <c r="X197">
        <f t="shared" si="126"/>
        <v>0</v>
      </c>
      <c r="Y197">
        <f t="shared" si="127"/>
        <v>0</v>
      </c>
      <c r="Z197">
        <f t="shared" si="128"/>
        <v>1</v>
      </c>
      <c r="AA197">
        <f t="shared" si="129"/>
        <v>-1.4E-3</v>
      </c>
      <c r="AD197">
        <f t="shared" si="130"/>
        <v>0</v>
      </c>
      <c r="AE197">
        <f t="shared" si="131"/>
        <v>0</v>
      </c>
      <c r="AF197">
        <f t="shared" si="132"/>
        <v>0</v>
      </c>
      <c r="AG197">
        <f t="shared" si="133"/>
        <v>0</v>
      </c>
      <c r="AH197">
        <f t="shared" si="134"/>
        <v>0</v>
      </c>
      <c r="AI197">
        <f t="shared" si="135"/>
        <v>0</v>
      </c>
      <c r="AJ197">
        <f t="shared" si="136"/>
        <v>0</v>
      </c>
      <c r="AK197">
        <f t="shared" si="137"/>
        <v>0</v>
      </c>
      <c r="AL197" t="e">
        <f t="shared" si="138"/>
        <v>#N/A</v>
      </c>
      <c r="AM197" t="e">
        <f t="shared" si="139"/>
        <v>#VALUE!</v>
      </c>
      <c r="AN197" t="e">
        <f t="shared" si="140"/>
        <v>#N/A</v>
      </c>
      <c r="AO197" t="e">
        <f t="shared" si="141"/>
        <v>#N/A</v>
      </c>
    </row>
    <row r="198" spans="5:41" x14ac:dyDescent="0.2">
      <c r="F198" t="s">
        <v>119</v>
      </c>
      <c r="H198">
        <v>200</v>
      </c>
      <c r="I198">
        <v>0</v>
      </c>
      <c r="J198">
        <v>0</v>
      </c>
      <c r="L198" t="str">
        <f t="shared" si="122"/>
        <v>1091</v>
      </c>
      <c r="R198">
        <f t="shared" si="123"/>
        <v>0</v>
      </c>
      <c r="S198">
        <f>S191</f>
        <v>1</v>
      </c>
      <c r="T198" t="e">
        <f>T191</f>
        <v>#N/A</v>
      </c>
      <c r="U198" t="str">
        <f t="shared" si="124"/>
        <v>EFN2O</v>
      </c>
      <c r="V198">
        <f t="shared" si="125"/>
        <v>0</v>
      </c>
      <c r="W198">
        <v>0</v>
      </c>
      <c r="X198">
        <f t="shared" si="126"/>
        <v>0</v>
      </c>
      <c r="Y198">
        <f t="shared" si="127"/>
        <v>0</v>
      </c>
      <c r="Z198">
        <f t="shared" si="128"/>
        <v>1</v>
      </c>
      <c r="AA198">
        <f t="shared" si="129"/>
        <v>-1.4E-3</v>
      </c>
      <c r="AD198">
        <f t="shared" si="130"/>
        <v>0</v>
      </c>
      <c r="AE198">
        <f t="shared" si="131"/>
        <v>0</v>
      </c>
      <c r="AF198">
        <f t="shared" si="132"/>
        <v>0</v>
      </c>
      <c r="AG198">
        <f t="shared" si="133"/>
        <v>0</v>
      </c>
      <c r="AH198">
        <f t="shared" si="134"/>
        <v>0</v>
      </c>
      <c r="AI198">
        <f t="shared" si="135"/>
        <v>0</v>
      </c>
      <c r="AJ198">
        <f t="shared" si="136"/>
        <v>0</v>
      </c>
      <c r="AK198">
        <f t="shared" si="137"/>
        <v>0</v>
      </c>
      <c r="AL198" t="e">
        <f t="shared" si="138"/>
        <v>#N/A</v>
      </c>
      <c r="AM198" t="e">
        <f t="shared" si="139"/>
        <v>#VALUE!</v>
      </c>
      <c r="AN198" t="e">
        <f t="shared" si="140"/>
        <v>#N/A</v>
      </c>
      <c r="AO198" t="e">
        <f t="shared" si="141"/>
        <v>#N/A</v>
      </c>
    </row>
    <row r="199" spans="5:41" x14ac:dyDescent="0.2">
      <c r="E199" t="s">
        <v>126</v>
      </c>
      <c r="F199" t="s">
        <v>113</v>
      </c>
      <c r="H199">
        <v>100</v>
      </c>
      <c r="I199">
        <v>95</v>
      </c>
      <c r="J199">
        <v>92</v>
      </c>
      <c r="L199" t="str">
        <f t="shared" si="122"/>
        <v>1091</v>
      </c>
      <c r="R199">
        <f t="shared" si="123"/>
        <v>0</v>
      </c>
      <c r="S199">
        <f>S191</f>
        <v>1</v>
      </c>
      <c r="T199" t="e">
        <f>T191</f>
        <v>#N/A</v>
      </c>
      <c r="U199" t="str">
        <f t="shared" si="124"/>
        <v>EFN2O</v>
      </c>
      <c r="V199">
        <f t="shared" si="125"/>
        <v>0.874</v>
      </c>
      <c r="W199">
        <v>0</v>
      </c>
      <c r="X199">
        <f t="shared" si="126"/>
        <v>0</v>
      </c>
      <c r="Y199">
        <f t="shared" si="127"/>
        <v>0</v>
      </c>
      <c r="Z199">
        <f t="shared" si="128"/>
        <v>0.126</v>
      </c>
      <c r="AA199">
        <f t="shared" si="129"/>
        <v>-1.4E-3</v>
      </c>
      <c r="AD199">
        <f t="shared" si="130"/>
        <v>0</v>
      </c>
      <c r="AE199">
        <f t="shared" si="131"/>
        <v>0</v>
      </c>
      <c r="AF199">
        <f t="shared" si="132"/>
        <v>0</v>
      </c>
      <c r="AG199">
        <f t="shared" si="133"/>
        <v>0</v>
      </c>
      <c r="AH199">
        <f t="shared" si="134"/>
        <v>0</v>
      </c>
      <c r="AI199">
        <f t="shared" si="135"/>
        <v>0</v>
      </c>
      <c r="AJ199">
        <f t="shared" si="136"/>
        <v>0</v>
      </c>
      <c r="AK199">
        <f t="shared" si="137"/>
        <v>0</v>
      </c>
      <c r="AL199" t="e">
        <f t="shared" si="138"/>
        <v>#N/A</v>
      </c>
      <c r="AM199" t="e">
        <f t="shared" si="139"/>
        <v>#VALUE!</v>
      </c>
      <c r="AN199" t="e">
        <f t="shared" si="140"/>
        <v>#N/A</v>
      </c>
      <c r="AO199" t="e">
        <f t="shared" si="141"/>
        <v>#N/A</v>
      </c>
    </row>
    <row r="200" spans="5:41" x14ac:dyDescent="0.2">
      <c r="F200" t="s">
        <v>115</v>
      </c>
      <c r="H200">
        <v>140</v>
      </c>
      <c r="I200">
        <v>0</v>
      </c>
      <c r="J200">
        <v>0</v>
      </c>
      <c r="L200" t="str">
        <f t="shared" si="122"/>
        <v>1091</v>
      </c>
      <c r="R200">
        <f t="shared" si="123"/>
        <v>0</v>
      </c>
      <c r="S200">
        <f>S191</f>
        <v>1</v>
      </c>
      <c r="T200" t="e">
        <f>T191</f>
        <v>#N/A</v>
      </c>
      <c r="U200" t="str">
        <f t="shared" si="124"/>
        <v>EFN2O</v>
      </c>
      <c r="V200">
        <f t="shared" si="125"/>
        <v>0</v>
      </c>
      <c r="W200">
        <v>0</v>
      </c>
      <c r="X200">
        <f t="shared" si="126"/>
        <v>0</v>
      </c>
      <c r="Y200">
        <f t="shared" si="127"/>
        <v>0</v>
      </c>
      <c r="Z200">
        <f t="shared" si="128"/>
        <v>1</v>
      </c>
      <c r="AA200">
        <f t="shared" si="129"/>
        <v>-1.4E-3</v>
      </c>
      <c r="AD200">
        <f t="shared" si="130"/>
        <v>0</v>
      </c>
      <c r="AE200">
        <f t="shared" si="131"/>
        <v>0</v>
      </c>
      <c r="AF200">
        <f t="shared" si="132"/>
        <v>0</v>
      </c>
      <c r="AG200">
        <f t="shared" si="133"/>
        <v>0</v>
      </c>
      <c r="AH200">
        <f t="shared" si="134"/>
        <v>0</v>
      </c>
      <c r="AI200">
        <f t="shared" si="135"/>
        <v>0</v>
      </c>
      <c r="AJ200">
        <f t="shared" si="136"/>
        <v>0</v>
      </c>
      <c r="AK200">
        <f t="shared" si="137"/>
        <v>0</v>
      </c>
      <c r="AL200" t="e">
        <f t="shared" si="138"/>
        <v>#N/A</v>
      </c>
      <c r="AM200" t="e">
        <f t="shared" si="139"/>
        <v>#VALUE!</v>
      </c>
      <c r="AN200" t="e">
        <f t="shared" si="140"/>
        <v>#N/A</v>
      </c>
      <c r="AO200" t="e">
        <f t="shared" si="141"/>
        <v>#N/A</v>
      </c>
    </row>
    <row r="201" spans="5:41" x14ac:dyDescent="0.2">
      <c r="F201" t="s">
        <v>117</v>
      </c>
      <c r="H201">
        <v>135</v>
      </c>
      <c r="I201">
        <v>0</v>
      </c>
      <c r="J201">
        <v>0</v>
      </c>
      <c r="L201" t="str">
        <f t="shared" si="122"/>
        <v>1091</v>
      </c>
      <c r="R201">
        <f t="shared" si="123"/>
        <v>0</v>
      </c>
      <c r="S201">
        <f>S191</f>
        <v>1</v>
      </c>
      <c r="T201" t="e">
        <f>T191</f>
        <v>#N/A</v>
      </c>
      <c r="U201" t="str">
        <f t="shared" si="124"/>
        <v>EFN2O</v>
      </c>
      <c r="V201">
        <f t="shared" si="125"/>
        <v>0</v>
      </c>
      <c r="W201">
        <v>0</v>
      </c>
      <c r="X201">
        <f t="shared" si="126"/>
        <v>0</v>
      </c>
      <c r="Y201">
        <f t="shared" si="127"/>
        <v>0</v>
      </c>
      <c r="Z201">
        <f t="shared" si="128"/>
        <v>1</v>
      </c>
      <c r="AA201">
        <f t="shared" si="129"/>
        <v>-1.4E-3</v>
      </c>
      <c r="AD201">
        <f t="shared" si="130"/>
        <v>0</v>
      </c>
      <c r="AE201">
        <f t="shared" si="131"/>
        <v>0</v>
      </c>
      <c r="AF201">
        <f t="shared" si="132"/>
        <v>0</v>
      </c>
      <c r="AG201">
        <f t="shared" si="133"/>
        <v>0</v>
      </c>
      <c r="AH201">
        <f t="shared" si="134"/>
        <v>0</v>
      </c>
      <c r="AI201">
        <f t="shared" si="135"/>
        <v>0</v>
      </c>
      <c r="AJ201">
        <f t="shared" si="136"/>
        <v>0</v>
      </c>
      <c r="AK201">
        <f t="shared" si="137"/>
        <v>0</v>
      </c>
      <c r="AL201" t="e">
        <f t="shared" si="138"/>
        <v>#N/A</v>
      </c>
      <c r="AM201" t="e">
        <f t="shared" si="139"/>
        <v>#VALUE!</v>
      </c>
      <c r="AN201" t="e">
        <f t="shared" si="140"/>
        <v>#N/A</v>
      </c>
      <c r="AO201" t="e">
        <f t="shared" si="141"/>
        <v>#N/A</v>
      </c>
    </row>
    <row r="202" spans="5:41" x14ac:dyDescent="0.2">
      <c r="F202" t="s">
        <v>119</v>
      </c>
      <c r="H202">
        <v>130</v>
      </c>
      <c r="I202">
        <v>0</v>
      </c>
      <c r="J202">
        <v>0</v>
      </c>
      <c r="L202" t="str">
        <f t="shared" si="122"/>
        <v>1091</v>
      </c>
      <c r="R202">
        <f t="shared" si="123"/>
        <v>0</v>
      </c>
      <c r="S202">
        <f>S191</f>
        <v>1</v>
      </c>
      <c r="T202" t="e">
        <f>T191</f>
        <v>#N/A</v>
      </c>
      <c r="U202" t="str">
        <f t="shared" si="124"/>
        <v>EFN2O</v>
      </c>
      <c r="V202">
        <f t="shared" si="125"/>
        <v>0</v>
      </c>
      <c r="W202">
        <v>0</v>
      </c>
      <c r="X202">
        <f t="shared" si="126"/>
        <v>0</v>
      </c>
      <c r="Y202">
        <f t="shared" si="127"/>
        <v>0</v>
      </c>
      <c r="Z202">
        <f t="shared" si="128"/>
        <v>1</v>
      </c>
      <c r="AA202">
        <f t="shared" si="129"/>
        <v>-1.4E-3</v>
      </c>
      <c r="AD202">
        <f t="shared" si="130"/>
        <v>0</v>
      </c>
      <c r="AE202">
        <f t="shared" si="131"/>
        <v>0</v>
      </c>
      <c r="AF202">
        <f t="shared" si="132"/>
        <v>0</v>
      </c>
      <c r="AG202">
        <f t="shared" si="133"/>
        <v>0</v>
      </c>
      <c r="AH202">
        <f t="shared" si="134"/>
        <v>0</v>
      </c>
      <c r="AI202">
        <f t="shared" si="135"/>
        <v>0</v>
      </c>
      <c r="AJ202">
        <f t="shared" si="136"/>
        <v>0</v>
      </c>
      <c r="AK202">
        <f t="shared" si="137"/>
        <v>0</v>
      </c>
      <c r="AL202" t="e">
        <f t="shared" si="138"/>
        <v>#N/A</v>
      </c>
      <c r="AM202" t="e">
        <f t="shared" si="139"/>
        <v>#VALUE!</v>
      </c>
      <c r="AN202" t="e">
        <f t="shared" si="140"/>
        <v>#N/A</v>
      </c>
      <c r="AO202" t="e">
        <f t="shared" si="141"/>
        <v>#N/A</v>
      </c>
    </row>
    <row r="203" spans="5:41" x14ac:dyDescent="0.2">
      <c r="E203" t="s">
        <v>129</v>
      </c>
      <c r="F203" t="s">
        <v>113</v>
      </c>
      <c r="H203">
        <v>200</v>
      </c>
      <c r="I203">
        <v>0</v>
      </c>
      <c r="J203">
        <v>0</v>
      </c>
      <c r="L203" t="str">
        <f t="shared" si="122"/>
        <v>1091</v>
      </c>
      <c r="R203">
        <f t="shared" si="123"/>
        <v>0</v>
      </c>
      <c r="S203">
        <f>S191</f>
        <v>1</v>
      </c>
      <c r="T203" t="e">
        <f>T191</f>
        <v>#N/A</v>
      </c>
      <c r="U203" t="str">
        <f t="shared" si="124"/>
        <v>EFN2O</v>
      </c>
      <c r="V203">
        <f t="shared" si="125"/>
        <v>0</v>
      </c>
      <c r="W203">
        <v>0</v>
      </c>
      <c r="X203">
        <f t="shared" si="126"/>
        <v>0</v>
      </c>
      <c r="Y203">
        <f t="shared" si="127"/>
        <v>0</v>
      </c>
      <c r="Z203">
        <f t="shared" si="128"/>
        <v>1</v>
      </c>
      <c r="AA203">
        <f t="shared" si="129"/>
        <v>-1.4E-3</v>
      </c>
      <c r="AD203">
        <f t="shared" si="130"/>
        <v>0</v>
      </c>
      <c r="AE203">
        <f t="shared" si="131"/>
        <v>0</v>
      </c>
      <c r="AF203">
        <f t="shared" si="132"/>
        <v>0</v>
      </c>
      <c r="AG203">
        <f t="shared" si="133"/>
        <v>0</v>
      </c>
      <c r="AH203">
        <f t="shared" si="134"/>
        <v>0</v>
      </c>
      <c r="AI203">
        <f t="shared" si="135"/>
        <v>0</v>
      </c>
      <c r="AJ203">
        <f t="shared" si="136"/>
        <v>0</v>
      </c>
      <c r="AK203">
        <f t="shared" si="137"/>
        <v>0</v>
      </c>
      <c r="AL203" t="e">
        <f t="shared" si="138"/>
        <v>#N/A</v>
      </c>
      <c r="AM203" t="e">
        <f t="shared" si="139"/>
        <v>#VALUE!</v>
      </c>
      <c r="AN203" t="e">
        <f t="shared" si="140"/>
        <v>#N/A</v>
      </c>
      <c r="AO203" t="e">
        <f t="shared" si="141"/>
        <v>#N/A</v>
      </c>
    </row>
    <row r="204" spans="5:41" x14ac:dyDescent="0.2">
      <c r="F204" t="s">
        <v>115</v>
      </c>
      <c r="H204">
        <v>210</v>
      </c>
      <c r="I204">
        <v>0</v>
      </c>
      <c r="J204">
        <v>0</v>
      </c>
      <c r="L204" t="str">
        <f t="shared" si="122"/>
        <v>1091</v>
      </c>
      <c r="R204">
        <f t="shared" si="123"/>
        <v>0</v>
      </c>
      <c r="S204">
        <f>S191</f>
        <v>1</v>
      </c>
      <c r="T204" t="e">
        <f>T191</f>
        <v>#N/A</v>
      </c>
      <c r="U204" t="str">
        <f t="shared" si="124"/>
        <v>EFN2O</v>
      </c>
      <c r="V204">
        <f t="shared" si="125"/>
        <v>0</v>
      </c>
      <c r="W204">
        <v>0</v>
      </c>
      <c r="X204">
        <f t="shared" si="126"/>
        <v>0</v>
      </c>
      <c r="Y204">
        <f t="shared" si="127"/>
        <v>0</v>
      </c>
      <c r="Z204">
        <f t="shared" si="128"/>
        <v>1</v>
      </c>
      <c r="AA204">
        <f t="shared" si="129"/>
        <v>-1.4E-3</v>
      </c>
      <c r="AD204">
        <f t="shared" si="130"/>
        <v>0</v>
      </c>
      <c r="AE204">
        <f t="shared" si="131"/>
        <v>0</v>
      </c>
      <c r="AF204">
        <f t="shared" si="132"/>
        <v>0</v>
      </c>
      <c r="AG204">
        <f t="shared" si="133"/>
        <v>0</v>
      </c>
      <c r="AH204">
        <f t="shared" si="134"/>
        <v>0</v>
      </c>
      <c r="AI204">
        <f t="shared" si="135"/>
        <v>0</v>
      </c>
      <c r="AJ204">
        <f t="shared" si="136"/>
        <v>0</v>
      </c>
      <c r="AK204">
        <f t="shared" si="137"/>
        <v>0</v>
      </c>
      <c r="AL204" t="e">
        <f t="shared" si="138"/>
        <v>#N/A</v>
      </c>
      <c r="AM204" t="e">
        <f t="shared" si="139"/>
        <v>#VALUE!</v>
      </c>
      <c r="AN204" t="e">
        <f t="shared" si="140"/>
        <v>#N/A</v>
      </c>
      <c r="AO204" t="e">
        <f t="shared" si="141"/>
        <v>#N/A</v>
      </c>
    </row>
    <row r="205" spans="5:41" x14ac:dyDescent="0.2">
      <c r="F205" t="s">
        <v>117</v>
      </c>
      <c r="H205">
        <v>190</v>
      </c>
      <c r="I205">
        <v>0</v>
      </c>
      <c r="J205">
        <v>0</v>
      </c>
      <c r="L205" t="str">
        <f t="shared" si="122"/>
        <v>1091</v>
      </c>
      <c r="R205">
        <f t="shared" si="123"/>
        <v>0</v>
      </c>
      <c r="S205">
        <f>S191</f>
        <v>1</v>
      </c>
      <c r="T205" t="e">
        <f>T191</f>
        <v>#N/A</v>
      </c>
      <c r="U205" t="str">
        <f t="shared" si="124"/>
        <v>EFN2O</v>
      </c>
      <c r="V205">
        <f t="shared" si="125"/>
        <v>0</v>
      </c>
      <c r="W205">
        <v>0</v>
      </c>
      <c r="X205">
        <f t="shared" si="126"/>
        <v>0</v>
      </c>
      <c r="Y205">
        <f t="shared" si="127"/>
        <v>0</v>
      </c>
      <c r="Z205">
        <f t="shared" si="128"/>
        <v>1</v>
      </c>
      <c r="AA205">
        <f t="shared" si="129"/>
        <v>-1.4E-3</v>
      </c>
      <c r="AD205">
        <f t="shared" si="130"/>
        <v>0</v>
      </c>
      <c r="AE205">
        <f t="shared" si="131"/>
        <v>0</v>
      </c>
      <c r="AF205">
        <f t="shared" si="132"/>
        <v>0</v>
      </c>
      <c r="AG205">
        <f t="shared" si="133"/>
        <v>0</v>
      </c>
      <c r="AH205">
        <f t="shared" si="134"/>
        <v>0</v>
      </c>
      <c r="AI205">
        <f t="shared" si="135"/>
        <v>0</v>
      </c>
      <c r="AJ205">
        <f t="shared" si="136"/>
        <v>0</v>
      </c>
      <c r="AK205">
        <f t="shared" si="137"/>
        <v>0</v>
      </c>
      <c r="AL205" t="e">
        <f t="shared" si="138"/>
        <v>#N/A</v>
      </c>
      <c r="AM205" t="e">
        <f t="shared" si="139"/>
        <v>#VALUE!</v>
      </c>
      <c r="AN205" t="e">
        <f t="shared" si="140"/>
        <v>#N/A</v>
      </c>
      <c r="AO205" t="e">
        <f t="shared" si="141"/>
        <v>#N/A</v>
      </c>
    </row>
    <row r="206" spans="5:41" x14ac:dyDescent="0.2">
      <c r="F206" t="s">
        <v>119</v>
      </c>
      <c r="H206">
        <v>180</v>
      </c>
      <c r="I206">
        <v>0</v>
      </c>
      <c r="J206">
        <v>0</v>
      </c>
      <c r="L206" t="str">
        <f t="shared" si="122"/>
        <v>1091</v>
      </c>
      <c r="R206">
        <f t="shared" si="123"/>
        <v>0</v>
      </c>
      <c r="S206">
        <f>S191</f>
        <v>1</v>
      </c>
      <c r="T206" t="e">
        <f>T191</f>
        <v>#N/A</v>
      </c>
      <c r="U206" t="str">
        <f t="shared" si="124"/>
        <v>EFN2O</v>
      </c>
      <c r="V206">
        <f t="shared" si="125"/>
        <v>0</v>
      </c>
      <c r="W206">
        <v>0</v>
      </c>
      <c r="X206">
        <f t="shared" si="126"/>
        <v>0</v>
      </c>
      <c r="Y206">
        <f t="shared" si="127"/>
        <v>0</v>
      </c>
      <c r="Z206">
        <f t="shared" si="128"/>
        <v>1</v>
      </c>
      <c r="AA206">
        <f t="shared" si="129"/>
        <v>-1.4E-3</v>
      </c>
      <c r="AD206">
        <f t="shared" si="130"/>
        <v>0</v>
      </c>
      <c r="AE206">
        <f t="shared" si="131"/>
        <v>0</v>
      </c>
      <c r="AF206">
        <f t="shared" si="132"/>
        <v>0</v>
      </c>
      <c r="AG206">
        <f t="shared" si="133"/>
        <v>0</v>
      </c>
      <c r="AH206">
        <f t="shared" si="134"/>
        <v>0</v>
      </c>
      <c r="AI206">
        <f t="shared" si="135"/>
        <v>0</v>
      </c>
      <c r="AJ206">
        <f t="shared" si="136"/>
        <v>0</v>
      </c>
      <c r="AK206">
        <f t="shared" si="137"/>
        <v>0</v>
      </c>
      <c r="AL206" t="e">
        <f t="shared" si="138"/>
        <v>#N/A</v>
      </c>
      <c r="AM206" t="e">
        <f t="shared" si="139"/>
        <v>#VALUE!</v>
      </c>
      <c r="AN206" t="e">
        <f t="shared" si="140"/>
        <v>#N/A</v>
      </c>
      <c r="AO206" t="e">
        <f t="shared" si="141"/>
        <v>#N/A</v>
      </c>
    </row>
    <row r="207" spans="5:41" x14ac:dyDescent="0.2">
      <c r="E207" t="s">
        <v>131</v>
      </c>
      <c r="F207" t="s">
        <v>113</v>
      </c>
      <c r="H207">
        <v>50</v>
      </c>
      <c r="I207">
        <v>0</v>
      </c>
      <c r="J207">
        <v>0</v>
      </c>
      <c r="L207" t="str">
        <f t="shared" si="122"/>
        <v>1091</v>
      </c>
      <c r="R207">
        <f t="shared" si="123"/>
        <v>0</v>
      </c>
      <c r="S207">
        <f>S191</f>
        <v>1</v>
      </c>
      <c r="T207" t="e">
        <f>T191</f>
        <v>#N/A</v>
      </c>
      <c r="U207" t="str">
        <f t="shared" si="124"/>
        <v>EFN2O</v>
      </c>
      <c r="V207">
        <f t="shared" si="125"/>
        <v>0</v>
      </c>
      <c r="W207">
        <v>0</v>
      </c>
      <c r="X207">
        <f t="shared" si="126"/>
        <v>0</v>
      </c>
      <c r="Y207">
        <f t="shared" si="127"/>
        <v>0</v>
      </c>
      <c r="Z207">
        <f t="shared" si="128"/>
        <v>1</v>
      </c>
      <c r="AA207">
        <f t="shared" si="129"/>
        <v>-1.4E-3</v>
      </c>
      <c r="AD207">
        <f t="shared" si="130"/>
        <v>0</v>
      </c>
      <c r="AE207">
        <f t="shared" si="131"/>
        <v>0</v>
      </c>
      <c r="AF207">
        <f t="shared" si="132"/>
        <v>0</v>
      </c>
      <c r="AG207">
        <f t="shared" si="133"/>
        <v>0</v>
      </c>
      <c r="AH207">
        <f t="shared" si="134"/>
        <v>0</v>
      </c>
      <c r="AI207">
        <f t="shared" si="135"/>
        <v>0</v>
      </c>
      <c r="AJ207">
        <f t="shared" si="136"/>
        <v>0</v>
      </c>
      <c r="AK207">
        <f t="shared" si="137"/>
        <v>0</v>
      </c>
      <c r="AL207" t="e">
        <f t="shared" si="138"/>
        <v>#N/A</v>
      </c>
      <c r="AM207" t="e">
        <f t="shared" si="139"/>
        <v>#VALUE!</v>
      </c>
      <c r="AN207" t="e">
        <f t="shared" si="140"/>
        <v>#N/A</v>
      </c>
      <c r="AO207" t="e">
        <f t="shared" si="141"/>
        <v>#N/A</v>
      </c>
    </row>
    <row r="208" spans="5:41" x14ac:dyDescent="0.2">
      <c r="F208" t="s">
        <v>115</v>
      </c>
      <c r="H208">
        <v>55</v>
      </c>
      <c r="I208">
        <v>0</v>
      </c>
      <c r="J208">
        <v>0</v>
      </c>
      <c r="L208" t="str">
        <f t="shared" si="122"/>
        <v>1091</v>
      </c>
      <c r="R208">
        <f t="shared" si="123"/>
        <v>0</v>
      </c>
      <c r="S208">
        <f>S191</f>
        <v>1</v>
      </c>
      <c r="T208" t="e">
        <f>T191</f>
        <v>#N/A</v>
      </c>
      <c r="U208" t="str">
        <f t="shared" si="124"/>
        <v>EFN2O</v>
      </c>
      <c r="V208">
        <f t="shared" si="125"/>
        <v>0</v>
      </c>
      <c r="W208">
        <v>0</v>
      </c>
      <c r="X208">
        <f t="shared" si="126"/>
        <v>0</v>
      </c>
      <c r="Y208">
        <f t="shared" si="127"/>
        <v>0</v>
      </c>
      <c r="Z208">
        <f t="shared" si="128"/>
        <v>1</v>
      </c>
      <c r="AA208">
        <f t="shared" si="129"/>
        <v>-1.4E-3</v>
      </c>
      <c r="AD208">
        <f t="shared" si="130"/>
        <v>0</v>
      </c>
      <c r="AE208">
        <f t="shared" si="131"/>
        <v>0</v>
      </c>
      <c r="AF208">
        <f t="shared" si="132"/>
        <v>0</v>
      </c>
      <c r="AG208">
        <f t="shared" si="133"/>
        <v>0</v>
      </c>
      <c r="AH208">
        <f t="shared" si="134"/>
        <v>0</v>
      </c>
      <c r="AI208">
        <f t="shared" si="135"/>
        <v>0</v>
      </c>
      <c r="AJ208">
        <f t="shared" si="136"/>
        <v>0</v>
      </c>
      <c r="AK208">
        <f t="shared" si="137"/>
        <v>0</v>
      </c>
      <c r="AL208" t="e">
        <f t="shared" si="138"/>
        <v>#N/A</v>
      </c>
      <c r="AM208" t="e">
        <f t="shared" si="139"/>
        <v>#VALUE!</v>
      </c>
      <c r="AN208" t="e">
        <f t="shared" si="140"/>
        <v>#N/A</v>
      </c>
      <c r="AO208" t="e">
        <f t="shared" si="141"/>
        <v>#N/A</v>
      </c>
    </row>
    <row r="209" spans="5:41" x14ac:dyDescent="0.2">
      <c r="F209" t="s">
        <v>117</v>
      </c>
      <c r="H209">
        <v>60</v>
      </c>
      <c r="I209">
        <v>0</v>
      </c>
      <c r="J209">
        <v>0</v>
      </c>
      <c r="L209" t="str">
        <f t="shared" si="122"/>
        <v>1091</v>
      </c>
      <c r="R209">
        <f t="shared" si="123"/>
        <v>0</v>
      </c>
      <c r="S209">
        <f>S191</f>
        <v>1</v>
      </c>
      <c r="T209" t="e">
        <f>T191</f>
        <v>#N/A</v>
      </c>
      <c r="U209" t="str">
        <f t="shared" si="124"/>
        <v>EFN2O</v>
      </c>
      <c r="V209">
        <f t="shared" si="125"/>
        <v>0</v>
      </c>
      <c r="W209">
        <v>0</v>
      </c>
      <c r="X209">
        <f t="shared" si="126"/>
        <v>0</v>
      </c>
      <c r="Y209">
        <f t="shared" si="127"/>
        <v>0</v>
      </c>
      <c r="Z209">
        <f t="shared" si="128"/>
        <v>1</v>
      </c>
      <c r="AA209">
        <f t="shared" si="129"/>
        <v>-1.4E-3</v>
      </c>
      <c r="AD209">
        <f t="shared" si="130"/>
        <v>0</v>
      </c>
      <c r="AE209">
        <f t="shared" si="131"/>
        <v>0</v>
      </c>
      <c r="AF209">
        <f t="shared" si="132"/>
        <v>0</v>
      </c>
      <c r="AG209">
        <f t="shared" si="133"/>
        <v>0</v>
      </c>
      <c r="AH209">
        <f t="shared" si="134"/>
        <v>0</v>
      </c>
      <c r="AI209">
        <f t="shared" si="135"/>
        <v>0</v>
      </c>
      <c r="AJ209">
        <f t="shared" si="136"/>
        <v>0</v>
      </c>
      <c r="AK209">
        <f t="shared" si="137"/>
        <v>0</v>
      </c>
      <c r="AL209" t="e">
        <f t="shared" si="138"/>
        <v>#N/A</v>
      </c>
      <c r="AM209" t="e">
        <f t="shared" si="139"/>
        <v>#VALUE!</v>
      </c>
      <c r="AN209" t="e">
        <f t="shared" si="140"/>
        <v>#N/A</v>
      </c>
      <c r="AO209" t="e">
        <f t="shared" si="141"/>
        <v>#N/A</v>
      </c>
    </row>
    <row r="210" spans="5:41" x14ac:dyDescent="0.2">
      <c r="F210" t="s">
        <v>119</v>
      </c>
      <c r="H210">
        <v>65</v>
      </c>
      <c r="I210">
        <v>0</v>
      </c>
      <c r="J210">
        <v>0</v>
      </c>
      <c r="L210" t="str">
        <f t="shared" si="122"/>
        <v>1091</v>
      </c>
      <c r="R210">
        <f t="shared" si="123"/>
        <v>0</v>
      </c>
      <c r="S210">
        <f>S191</f>
        <v>1</v>
      </c>
      <c r="T210" t="e">
        <f>T191</f>
        <v>#N/A</v>
      </c>
      <c r="U210" t="str">
        <f t="shared" si="124"/>
        <v>EFN2O</v>
      </c>
      <c r="V210">
        <f t="shared" si="125"/>
        <v>0</v>
      </c>
      <c r="W210">
        <v>0</v>
      </c>
      <c r="X210">
        <f t="shared" si="126"/>
        <v>0</v>
      </c>
      <c r="Y210">
        <f t="shared" si="127"/>
        <v>0</v>
      </c>
      <c r="Z210">
        <f t="shared" si="128"/>
        <v>1</v>
      </c>
      <c r="AA210">
        <f t="shared" si="129"/>
        <v>-1.4E-3</v>
      </c>
      <c r="AD210">
        <f t="shared" si="130"/>
        <v>0</v>
      </c>
      <c r="AE210">
        <f t="shared" si="131"/>
        <v>0</v>
      </c>
      <c r="AF210">
        <f t="shared" si="132"/>
        <v>0</v>
      </c>
      <c r="AG210">
        <f t="shared" si="133"/>
        <v>0</v>
      </c>
      <c r="AH210">
        <f t="shared" si="134"/>
        <v>0</v>
      </c>
      <c r="AI210">
        <f t="shared" si="135"/>
        <v>0</v>
      </c>
      <c r="AJ210">
        <f t="shared" si="136"/>
        <v>0</v>
      </c>
      <c r="AK210">
        <f t="shared" si="137"/>
        <v>0</v>
      </c>
      <c r="AL210" t="e">
        <f t="shared" si="138"/>
        <v>#N/A</v>
      </c>
      <c r="AM210" t="e">
        <f t="shared" si="139"/>
        <v>#VALUE!</v>
      </c>
      <c r="AN210" t="e">
        <f t="shared" si="140"/>
        <v>#N/A</v>
      </c>
      <c r="AO210" t="e">
        <f t="shared" si="141"/>
        <v>#N/A</v>
      </c>
    </row>
    <row r="211" spans="5:41" x14ac:dyDescent="0.2">
      <c r="E211" t="s">
        <v>132</v>
      </c>
      <c r="F211" t="s">
        <v>113</v>
      </c>
      <c r="H211">
        <v>50</v>
      </c>
      <c r="I211">
        <v>0</v>
      </c>
      <c r="J211">
        <v>0</v>
      </c>
      <c r="L211" t="str">
        <f t="shared" si="122"/>
        <v>1091</v>
      </c>
      <c r="R211">
        <f t="shared" si="123"/>
        <v>0</v>
      </c>
      <c r="S211">
        <f>S191</f>
        <v>1</v>
      </c>
      <c r="T211" t="e">
        <f>T191</f>
        <v>#N/A</v>
      </c>
      <c r="U211" t="str">
        <f t="shared" si="124"/>
        <v>EFN2O</v>
      </c>
      <c r="V211">
        <f t="shared" si="125"/>
        <v>0</v>
      </c>
      <c r="W211">
        <v>0</v>
      </c>
      <c r="X211">
        <f t="shared" si="126"/>
        <v>0</v>
      </c>
      <c r="Y211">
        <f t="shared" si="127"/>
        <v>0</v>
      </c>
      <c r="Z211">
        <f t="shared" si="128"/>
        <v>1</v>
      </c>
      <c r="AA211">
        <f t="shared" si="129"/>
        <v>-1.4E-3</v>
      </c>
      <c r="AD211">
        <f t="shared" si="130"/>
        <v>0</v>
      </c>
      <c r="AE211">
        <f t="shared" si="131"/>
        <v>0</v>
      </c>
      <c r="AF211">
        <f t="shared" si="132"/>
        <v>0</v>
      </c>
      <c r="AG211">
        <f t="shared" si="133"/>
        <v>0</v>
      </c>
      <c r="AH211">
        <f t="shared" si="134"/>
        <v>0</v>
      </c>
      <c r="AI211">
        <f t="shared" si="135"/>
        <v>0</v>
      </c>
      <c r="AJ211">
        <f t="shared" si="136"/>
        <v>0</v>
      </c>
      <c r="AK211">
        <f t="shared" si="137"/>
        <v>0</v>
      </c>
      <c r="AL211" t="e">
        <f t="shared" si="138"/>
        <v>#N/A</v>
      </c>
      <c r="AM211" t="e">
        <f t="shared" si="139"/>
        <v>#VALUE!</v>
      </c>
      <c r="AN211" t="e">
        <f t="shared" si="140"/>
        <v>#N/A</v>
      </c>
      <c r="AO211" t="e">
        <f t="shared" si="141"/>
        <v>#N/A</v>
      </c>
    </row>
    <row r="212" spans="5:41" x14ac:dyDescent="0.2">
      <c r="F212" t="s">
        <v>115</v>
      </c>
      <c r="H212">
        <v>100</v>
      </c>
      <c r="I212">
        <v>0</v>
      </c>
      <c r="J212">
        <v>0</v>
      </c>
      <c r="L212" t="str">
        <f t="shared" si="122"/>
        <v>1091</v>
      </c>
      <c r="R212">
        <f t="shared" si="123"/>
        <v>0</v>
      </c>
      <c r="S212">
        <f>S191</f>
        <v>1</v>
      </c>
      <c r="T212" t="e">
        <f>T191</f>
        <v>#N/A</v>
      </c>
      <c r="U212" t="str">
        <f t="shared" si="124"/>
        <v>EFN2O</v>
      </c>
      <c r="V212">
        <f t="shared" si="125"/>
        <v>0</v>
      </c>
      <c r="W212">
        <v>0</v>
      </c>
      <c r="X212">
        <f t="shared" si="126"/>
        <v>0</v>
      </c>
      <c r="Y212">
        <f t="shared" si="127"/>
        <v>0</v>
      </c>
      <c r="Z212">
        <f t="shared" si="128"/>
        <v>1</v>
      </c>
      <c r="AA212">
        <f t="shared" si="129"/>
        <v>-1.4E-3</v>
      </c>
      <c r="AD212">
        <f t="shared" si="130"/>
        <v>0</v>
      </c>
      <c r="AE212">
        <f t="shared" si="131"/>
        <v>0</v>
      </c>
      <c r="AF212">
        <f t="shared" si="132"/>
        <v>0</v>
      </c>
      <c r="AG212">
        <f t="shared" si="133"/>
        <v>0</v>
      </c>
      <c r="AH212">
        <f t="shared" si="134"/>
        <v>0</v>
      </c>
      <c r="AI212">
        <f t="shared" si="135"/>
        <v>0</v>
      </c>
      <c r="AJ212">
        <f t="shared" si="136"/>
        <v>0</v>
      </c>
      <c r="AK212">
        <f t="shared" si="137"/>
        <v>0</v>
      </c>
      <c r="AL212" t="e">
        <f t="shared" si="138"/>
        <v>#N/A</v>
      </c>
      <c r="AM212" t="e">
        <f t="shared" si="139"/>
        <v>#VALUE!</v>
      </c>
      <c r="AN212" t="e">
        <f t="shared" si="140"/>
        <v>#N/A</v>
      </c>
      <c r="AO212" t="e">
        <f t="shared" si="141"/>
        <v>#N/A</v>
      </c>
    </row>
    <row r="213" spans="5:41" x14ac:dyDescent="0.2">
      <c r="F213" t="s">
        <v>117</v>
      </c>
      <c r="H213">
        <v>90</v>
      </c>
      <c r="I213">
        <v>0</v>
      </c>
      <c r="J213">
        <v>0</v>
      </c>
      <c r="L213" t="str">
        <f t="shared" si="122"/>
        <v>1091</v>
      </c>
      <c r="R213">
        <f t="shared" si="123"/>
        <v>0</v>
      </c>
      <c r="S213">
        <f>S191</f>
        <v>1</v>
      </c>
      <c r="T213" t="e">
        <f>T191</f>
        <v>#N/A</v>
      </c>
      <c r="U213" t="str">
        <f t="shared" si="124"/>
        <v>EFN2O</v>
      </c>
      <c r="V213">
        <f t="shared" si="125"/>
        <v>0</v>
      </c>
      <c r="W213">
        <v>0</v>
      </c>
      <c r="X213">
        <f t="shared" si="126"/>
        <v>0</v>
      </c>
      <c r="Y213">
        <f t="shared" si="127"/>
        <v>0</v>
      </c>
      <c r="Z213">
        <f t="shared" si="128"/>
        <v>1</v>
      </c>
      <c r="AA213">
        <f t="shared" si="129"/>
        <v>-1.4E-3</v>
      </c>
      <c r="AD213">
        <f t="shared" si="130"/>
        <v>0</v>
      </c>
      <c r="AE213">
        <f t="shared" si="131"/>
        <v>0</v>
      </c>
      <c r="AF213">
        <f t="shared" si="132"/>
        <v>0</v>
      </c>
      <c r="AG213">
        <f t="shared" si="133"/>
        <v>0</v>
      </c>
      <c r="AH213">
        <f t="shared" si="134"/>
        <v>0</v>
      </c>
      <c r="AI213">
        <f t="shared" si="135"/>
        <v>0</v>
      </c>
      <c r="AJ213">
        <f t="shared" si="136"/>
        <v>0</v>
      </c>
      <c r="AK213">
        <f t="shared" si="137"/>
        <v>0</v>
      </c>
      <c r="AL213" t="e">
        <f t="shared" si="138"/>
        <v>#N/A</v>
      </c>
      <c r="AM213" t="e">
        <f t="shared" si="139"/>
        <v>#VALUE!</v>
      </c>
      <c r="AN213" t="e">
        <f t="shared" si="140"/>
        <v>#N/A</v>
      </c>
      <c r="AO213" t="e">
        <f t="shared" si="141"/>
        <v>#N/A</v>
      </c>
    </row>
    <row r="214" spans="5:41" x14ac:dyDescent="0.2">
      <c r="F214" t="s">
        <v>119</v>
      </c>
      <c r="H214">
        <v>80</v>
      </c>
      <c r="I214">
        <v>0</v>
      </c>
      <c r="J214">
        <v>0</v>
      </c>
      <c r="L214" t="str">
        <f t="shared" si="122"/>
        <v>1091</v>
      </c>
      <c r="R214">
        <f t="shared" si="123"/>
        <v>0</v>
      </c>
      <c r="S214">
        <f>S191</f>
        <v>1</v>
      </c>
      <c r="T214" t="e">
        <f>T191</f>
        <v>#N/A</v>
      </c>
      <c r="U214" t="str">
        <f t="shared" si="124"/>
        <v>EFN2O</v>
      </c>
      <c r="V214">
        <f t="shared" si="125"/>
        <v>0</v>
      </c>
      <c r="W214">
        <v>0</v>
      </c>
      <c r="X214">
        <f t="shared" si="126"/>
        <v>0</v>
      </c>
      <c r="Y214">
        <f t="shared" si="127"/>
        <v>0</v>
      </c>
      <c r="Z214">
        <f t="shared" si="128"/>
        <v>1</v>
      </c>
      <c r="AA214">
        <f t="shared" si="129"/>
        <v>-1.4E-3</v>
      </c>
      <c r="AD214">
        <f t="shared" si="130"/>
        <v>0</v>
      </c>
      <c r="AE214">
        <f t="shared" si="131"/>
        <v>0</v>
      </c>
      <c r="AF214">
        <f t="shared" si="132"/>
        <v>0</v>
      </c>
      <c r="AG214">
        <f t="shared" si="133"/>
        <v>0</v>
      </c>
      <c r="AH214">
        <f t="shared" si="134"/>
        <v>0</v>
      </c>
      <c r="AI214">
        <f t="shared" si="135"/>
        <v>0</v>
      </c>
      <c r="AJ214">
        <f t="shared" si="136"/>
        <v>0</v>
      </c>
      <c r="AK214">
        <f t="shared" si="137"/>
        <v>0</v>
      </c>
      <c r="AL214" t="e">
        <f t="shared" si="138"/>
        <v>#N/A</v>
      </c>
      <c r="AM214" t="e">
        <f t="shared" si="139"/>
        <v>#VALUE!</v>
      </c>
      <c r="AN214" t="e">
        <f t="shared" si="140"/>
        <v>#N/A</v>
      </c>
      <c r="AO214" t="e">
        <f t="shared" si="141"/>
        <v>#N/A</v>
      </c>
    </row>
    <row r="231" spans="1:42" x14ac:dyDescent="0.2">
      <c r="A231" t="s">
        <v>122</v>
      </c>
      <c r="B231" t="s">
        <v>122</v>
      </c>
      <c r="C231" t="s">
        <v>122</v>
      </c>
      <c r="D231" t="s">
        <v>138</v>
      </c>
      <c r="E231" t="s">
        <v>148</v>
      </c>
      <c r="F231" t="s">
        <v>115</v>
      </c>
      <c r="G231" t="s">
        <v>149</v>
      </c>
      <c r="H231">
        <v>100</v>
      </c>
      <c r="I231">
        <v>0</v>
      </c>
      <c r="J231">
        <v>0</v>
      </c>
      <c r="L231">
        <v>31</v>
      </c>
      <c r="M231">
        <f>Tables!CC39</f>
        <v>7.0000000000000007E-2</v>
      </c>
      <c r="N231">
        <v>0.5</v>
      </c>
      <c r="O231">
        <v>0.5</v>
      </c>
      <c r="Q231">
        <f>Tables!CC97</f>
        <v>50</v>
      </c>
      <c r="R231" t="e">
        <f t="shared" ref="R231:R253" si="142">1-S231</f>
        <v>#N/A</v>
      </c>
      <c r="S231" t="e">
        <f>IF($D231="yes", 1, VLOOKUP($B231, $AU$26:$AW$32, 2)/100)</f>
        <v>#N/A</v>
      </c>
      <c r="T231" t="e">
        <f>VLOOKUP($B231,$AW$10:$AX$16, 2, FALSE)</f>
        <v>#N/A</v>
      </c>
      <c r="U231" t="str">
        <f t="shared" ref="U231:U278" si="143">$AV$10</f>
        <v>EFN2O</v>
      </c>
      <c r="V231">
        <f t="shared" ref="V231:V278" si="144">(I231/100)*(MIN(J231,100)/100)</f>
        <v>0</v>
      </c>
      <c r="W231">
        <v>0</v>
      </c>
      <c r="X231">
        <f t="shared" ref="X231:X278" si="145">1.6 * W231</f>
        <v>0</v>
      </c>
      <c r="Y231">
        <f t="shared" ref="Y231:Y278" si="146">$AY$1</f>
        <v>0</v>
      </c>
      <c r="Z231">
        <f t="shared" ref="Z231:Z278" si="147">V231*Y231+(1-V231)</f>
        <v>1</v>
      </c>
      <c r="AA231">
        <f t="shared" ref="AA231:AA278" si="148">(0.795*O231)-0.0014</f>
        <v>0.39610000000000001</v>
      </c>
      <c r="AC231">
        <f>Tables!CC168</f>
        <v>3</v>
      </c>
      <c r="AD231">
        <f t="shared" ref="AD231:AD278" si="149">1 - EXP(-2*(AC231^2))</f>
        <v>0.99999998477002028</v>
      </c>
      <c r="AE231">
        <f t="shared" ref="AE231:AE278" si="150">(104.7*AA231+0.307*Q231-15)*(Q231^0.75)*10^-3</f>
        <v>0.78637350780019211</v>
      </c>
      <c r="AF231">
        <f t="shared" ref="AF231:AF278" si="151">AE231*AD231*Z231</f>
        <v>0.7863734958237395</v>
      </c>
      <c r="AG231">
        <f t="shared" ref="AG231:AG278" si="152">(AF231 * M231) + (0.045 * X231)</f>
        <v>5.5046144707661768E-2</v>
      </c>
      <c r="AH231">
        <f t="shared" ref="AH231:AH278" si="153">$AV$2</f>
        <v>0</v>
      </c>
      <c r="AI231">
        <f t="shared" ref="AI231:AI278" si="154">(AF231 * ((1 - O231) + (0.04 * AF231))) * ( 1 - AH231 )</f>
        <v>0.41792207890923166</v>
      </c>
      <c r="AJ231">
        <f t="shared" ref="AJ231:AJ278" si="155">$AV$1</f>
        <v>0</v>
      </c>
      <c r="AK231">
        <f t="shared" ref="AK231:AK278" si="156">$AW$20</f>
        <v>0</v>
      </c>
      <c r="AL231" t="e">
        <f t="shared" ref="AL231:AL278" si="157">AI231 * AJ231 * R231 * T231 * AK231</f>
        <v>#N/A</v>
      </c>
      <c r="AM231" t="e">
        <f t="shared" ref="AM231:AM278" si="158">AI231*AJ231*S231*U231*AK231</f>
        <v>#N/A</v>
      </c>
      <c r="AN231" t="e">
        <f t="shared" ref="AN231:AN278" si="159">AL231+AM231</f>
        <v>#N/A</v>
      </c>
      <c r="AO231" t="e">
        <f t="shared" ref="AO231:AO278" si="160">H231*AN231*L231</f>
        <v>#N/A</v>
      </c>
      <c r="AP231" t="e">
        <f>SUM(AO231:AO278)*10^-3</f>
        <v>#N/A</v>
      </c>
    </row>
    <row r="232" spans="1:42" x14ac:dyDescent="0.2">
      <c r="F232" t="s">
        <v>115</v>
      </c>
      <c r="G232" t="s">
        <v>150</v>
      </c>
      <c r="H232">
        <v>95</v>
      </c>
      <c r="I232">
        <v>0</v>
      </c>
      <c r="J232">
        <v>0</v>
      </c>
      <c r="L232">
        <v>28</v>
      </c>
      <c r="M232">
        <f>Tables!CC39</f>
        <v>7.0000000000000007E-2</v>
      </c>
      <c r="N232">
        <v>0.45</v>
      </c>
      <c r="O232">
        <v>0.45</v>
      </c>
      <c r="Q232">
        <f>Tables!CC97</f>
        <v>50</v>
      </c>
      <c r="R232" t="e">
        <f t="shared" si="142"/>
        <v>#N/A</v>
      </c>
      <c r="S232" t="e">
        <f>S231</f>
        <v>#N/A</v>
      </c>
      <c r="T232" t="e">
        <f>T231</f>
        <v>#N/A</v>
      </c>
      <c r="U232" t="str">
        <f t="shared" si="143"/>
        <v>EFN2O</v>
      </c>
      <c r="V232">
        <f t="shared" si="144"/>
        <v>0</v>
      </c>
      <c r="W232">
        <v>0</v>
      </c>
      <c r="X232">
        <f t="shared" si="145"/>
        <v>0</v>
      </c>
      <c r="Y232">
        <f t="shared" si="146"/>
        <v>0</v>
      </c>
      <c r="Z232">
        <f t="shared" si="147"/>
        <v>1</v>
      </c>
      <c r="AA232">
        <f t="shared" si="148"/>
        <v>0.35635</v>
      </c>
      <c r="AC232">
        <f>Tables!CC168</f>
        <v>3</v>
      </c>
      <c r="AD232">
        <f t="shared" si="149"/>
        <v>0.99999998477002028</v>
      </c>
      <c r="AE232">
        <f t="shared" si="150"/>
        <v>0.70811864796077084</v>
      </c>
      <c r="AF232">
        <f t="shared" si="151"/>
        <v>0.70811863717613821</v>
      </c>
      <c r="AG232">
        <f t="shared" si="152"/>
        <v>4.956830460232968E-2</v>
      </c>
      <c r="AH232">
        <f t="shared" si="153"/>
        <v>0</v>
      </c>
      <c r="AI232">
        <f t="shared" si="154"/>
        <v>0.40952253061952371</v>
      </c>
      <c r="AJ232">
        <f t="shared" si="155"/>
        <v>0</v>
      </c>
      <c r="AK232">
        <f t="shared" si="156"/>
        <v>0</v>
      </c>
      <c r="AL232" t="e">
        <f t="shared" si="157"/>
        <v>#N/A</v>
      </c>
      <c r="AM232" t="e">
        <f t="shared" si="158"/>
        <v>#N/A</v>
      </c>
      <c r="AN232" t="e">
        <f t="shared" si="159"/>
        <v>#N/A</v>
      </c>
      <c r="AO232" t="e">
        <f t="shared" si="160"/>
        <v>#N/A</v>
      </c>
    </row>
    <row r="233" spans="1:42" x14ac:dyDescent="0.2">
      <c r="F233" t="s">
        <v>117</v>
      </c>
      <c r="G233" t="s">
        <v>151</v>
      </c>
      <c r="H233">
        <v>90</v>
      </c>
      <c r="I233">
        <v>0</v>
      </c>
      <c r="J233">
        <v>0</v>
      </c>
      <c r="L233">
        <v>31</v>
      </c>
      <c r="M233">
        <f>Tables!CC40</f>
        <v>0.13</v>
      </c>
      <c r="N233">
        <v>0.4</v>
      </c>
      <c r="O233">
        <v>0.4</v>
      </c>
      <c r="Q233">
        <f>Tables!CC98</f>
        <v>48</v>
      </c>
      <c r="R233" t="e">
        <f t="shared" si="142"/>
        <v>#N/A</v>
      </c>
      <c r="S233" t="e">
        <f>S231</f>
        <v>#N/A</v>
      </c>
      <c r="T233" t="e">
        <f>T231</f>
        <v>#N/A</v>
      </c>
      <c r="U233" t="str">
        <f t="shared" si="143"/>
        <v>EFN2O</v>
      </c>
      <c r="V233">
        <f t="shared" si="144"/>
        <v>0</v>
      </c>
      <c r="W233">
        <v>0</v>
      </c>
      <c r="X233">
        <f t="shared" si="145"/>
        <v>0</v>
      </c>
      <c r="Y233">
        <f t="shared" si="146"/>
        <v>0</v>
      </c>
      <c r="Z233">
        <f t="shared" si="147"/>
        <v>1</v>
      </c>
      <c r="AA233">
        <f t="shared" si="148"/>
        <v>0.31660000000000005</v>
      </c>
      <c r="AC233">
        <f>Tables!CC169</f>
        <v>1.8</v>
      </c>
      <c r="AD233">
        <f t="shared" si="149"/>
        <v>0.99846618932067555</v>
      </c>
      <c r="AE233">
        <f t="shared" si="150"/>
        <v>0.59967484520833669</v>
      </c>
      <c r="AF233">
        <f t="shared" si="151"/>
        <v>0.59875505752663394</v>
      </c>
      <c r="AG233">
        <f t="shared" si="152"/>
        <v>7.7838157478462414E-2</v>
      </c>
      <c r="AH233">
        <f t="shared" si="153"/>
        <v>0</v>
      </c>
      <c r="AI233">
        <f t="shared" si="154"/>
        <v>0.37359333927252925</v>
      </c>
      <c r="AJ233">
        <f t="shared" si="155"/>
        <v>0</v>
      </c>
      <c r="AK233">
        <f t="shared" si="156"/>
        <v>0</v>
      </c>
      <c r="AL233" t="e">
        <f t="shared" si="157"/>
        <v>#N/A</v>
      </c>
      <c r="AM233" t="e">
        <f t="shared" si="158"/>
        <v>#N/A</v>
      </c>
      <c r="AN233" t="e">
        <f t="shared" si="159"/>
        <v>#N/A</v>
      </c>
      <c r="AO233" t="e">
        <f t="shared" si="160"/>
        <v>#N/A</v>
      </c>
    </row>
    <row r="234" spans="1:42" x14ac:dyDescent="0.2">
      <c r="F234" t="s">
        <v>117</v>
      </c>
      <c r="G234" t="s">
        <v>152</v>
      </c>
      <c r="H234">
        <v>130</v>
      </c>
      <c r="I234">
        <v>0</v>
      </c>
      <c r="J234">
        <v>0</v>
      </c>
      <c r="L234">
        <v>30</v>
      </c>
      <c r="M234">
        <f>Tables!CC40</f>
        <v>0.13</v>
      </c>
      <c r="N234">
        <v>0.45</v>
      </c>
      <c r="O234">
        <v>0.45</v>
      </c>
      <c r="Q234">
        <f>Tables!CC98</f>
        <v>48</v>
      </c>
      <c r="R234" t="e">
        <f t="shared" si="142"/>
        <v>#N/A</v>
      </c>
      <c r="S234" t="e">
        <f>S231</f>
        <v>#N/A</v>
      </c>
      <c r="T234" t="e">
        <f>T231</f>
        <v>#N/A</v>
      </c>
      <c r="U234" t="str">
        <f t="shared" si="143"/>
        <v>EFN2O</v>
      </c>
      <c r="V234">
        <f t="shared" si="144"/>
        <v>0</v>
      </c>
      <c r="W234">
        <v>0</v>
      </c>
      <c r="X234">
        <f t="shared" si="145"/>
        <v>0</v>
      </c>
      <c r="Y234">
        <f t="shared" si="146"/>
        <v>0</v>
      </c>
      <c r="Z234">
        <f t="shared" si="147"/>
        <v>1</v>
      </c>
      <c r="AA234">
        <f t="shared" si="148"/>
        <v>0.35635</v>
      </c>
      <c r="AC234">
        <f>Tables!CC169</f>
        <v>1.8</v>
      </c>
      <c r="AD234">
        <f t="shared" si="149"/>
        <v>0.99846618932067555</v>
      </c>
      <c r="AE234">
        <f t="shared" si="150"/>
        <v>0.67557012086682311</v>
      </c>
      <c r="AF234">
        <f t="shared" si="151"/>
        <v>0.67453392420080505</v>
      </c>
      <c r="AG234">
        <f t="shared" si="152"/>
        <v>8.7689410146104665E-2</v>
      </c>
      <c r="AH234">
        <f t="shared" si="153"/>
        <v>0</v>
      </c>
      <c r="AI234">
        <f t="shared" si="154"/>
        <v>0.3891934989063523</v>
      </c>
      <c r="AJ234">
        <f t="shared" si="155"/>
        <v>0</v>
      </c>
      <c r="AK234">
        <f t="shared" si="156"/>
        <v>0</v>
      </c>
      <c r="AL234" t="e">
        <f t="shared" si="157"/>
        <v>#N/A</v>
      </c>
      <c r="AM234" t="e">
        <f t="shared" si="158"/>
        <v>#N/A</v>
      </c>
      <c r="AN234" t="e">
        <f t="shared" si="159"/>
        <v>#N/A</v>
      </c>
      <c r="AO234" t="e">
        <f t="shared" si="160"/>
        <v>#N/A</v>
      </c>
    </row>
    <row r="235" spans="1:42" x14ac:dyDescent="0.2">
      <c r="F235" t="s">
        <v>117</v>
      </c>
      <c r="G235" t="s">
        <v>153</v>
      </c>
      <c r="H235">
        <v>130</v>
      </c>
      <c r="I235">
        <v>0</v>
      </c>
      <c r="J235">
        <v>0</v>
      </c>
      <c r="L235">
        <v>31</v>
      </c>
      <c r="M235">
        <f>Tables!CC40</f>
        <v>0.13</v>
      </c>
      <c r="N235">
        <v>0.46</v>
      </c>
      <c r="O235">
        <v>0.46</v>
      </c>
      <c r="Q235">
        <f>Tables!CC98</f>
        <v>48</v>
      </c>
      <c r="R235" t="e">
        <f t="shared" si="142"/>
        <v>#N/A</v>
      </c>
      <c r="S235" t="e">
        <f>S231</f>
        <v>#N/A</v>
      </c>
      <c r="T235" t="e">
        <f>T231</f>
        <v>#N/A</v>
      </c>
      <c r="U235" t="str">
        <f t="shared" si="143"/>
        <v>EFN2O</v>
      </c>
      <c r="V235">
        <f t="shared" si="144"/>
        <v>0</v>
      </c>
      <c r="W235">
        <v>1</v>
      </c>
      <c r="X235">
        <f t="shared" si="145"/>
        <v>1.6</v>
      </c>
      <c r="Y235">
        <f t="shared" si="146"/>
        <v>0</v>
      </c>
      <c r="Z235">
        <f t="shared" si="147"/>
        <v>1</v>
      </c>
      <c r="AA235">
        <f t="shared" si="148"/>
        <v>0.36430000000000001</v>
      </c>
      <c r="AC235">
        <f>Tables!CC169</f>
        <v>1.8</v>
      </c>
      <c r="AD235">
        <f t="shared" si="149"/>
        <v>0.99846618932067555</v>
      </c>
      <c r="AE235">
        <f t="shared" si="150"/>
        <v>0.69074917599852059</v>
      </c>
      <c r="AF235">
        <f t="shared" si="151"/>
        <v>0.68968969753563947</v>
      </c>
      <c r="AG235">
        <f t="shared" si="152"/>
        <v>0.16165966067963311</v>
      </c>
      <c r="AH235">
        <f t="shared" si="153"/>
        <v>0</v>
      </c>
      <c r="AI235">
        <f t="shared" si="154"/>
        <v>0.39145931182471738</v>
      </c>
      <c r="AJ235">
        <f t="shared" si="155"/>
        <v>0</v>
      </c>
      <c r="AK235">
        <f t="shared" si="156"/>
        <v>0</v>
      </c>
      <c r="AL235" t="e">
        <f t="shared" si="157"/>
        <v>#N/A</v>
      </c>
      <c r="AM235" t="e">
        <f t="shared" si="158"/>
        <v>#N/A</v>
      </c>
      <c r="AN235" t="e">
        <f t="shared" si="159"/>
        <v>#N/A</v>
      </c>
      <c r="AO235" t="e">
        <f t="shared" si="160"/>
        <v>#N/A</v>
      </c>
    </row>
    <row r="236" spans="1:42" x14ac:dyDescent="0.2">
      <c r="F236" t="s">
        <v>119</v>
      </c>
      <c r="G236" t="s">
        <v>154</v>
      </c>
      <c r="H236">
        <v>125</v>
      </c>
      <c r="I236">
        <v>0</v>
      </c>
      <c r="J236">
        <v>0</v>
      </c>
      <c r="K236">
        <v>25</v>
      </c>
      <c r="L236">
        <v>25</v>
      </c>
      <c r="M236">
        <f>Tables!CC41</f>
        <v>0.1</v>
      </c>
      <c r="N236">
        <v>0.51</v>
      </c>
      <c r="O236">
        <v>0.51</v>
      </c>
      <c r="Q236">
        <f>Tables!CC99</f>
        <v>45</v>
      </c>
      <c r="R236" t="e">
        <f t="shared" si="142"/>
        <v>#N/A</v>
      </c>
      <c r="S236" t="e">
        <f>S231</f>
        <v>#N/A</v>
      </c>
      <c r="T236" t="e">
        <f>T231</f>
        <v>#N/A</v>
      </c>
      <c r="U236" t="str">
        <f t="shared" si="143"/>
        <v>EFN2O</v>
      </c>
      <c r="V236">
        <f t="shared" si="144"/>
        <v>0</v>
      </c>
      <c r="W236">
        <v>0</v>
      </c>
      <c r="X236">
        <f t="shared" si="145"/>
        <v>0</v>
      </c>
      <c r="Y236">
        <f t="shared" si="146"/>
        <v>0</v>
      </c>
      <c r="Z236">
        <f t="shared" si="147"/>
        <v>1</v>
      </c>
      <c r="AA236">
        <f t="shared" si="148"/>
        <v>0.40405000000000002</v>
      </c>
      <c r="AC236">
        <f>Tables!CC170</f>
        <v>1</v>
      </c>
      <c r="AD236">
        <f t="shared" si="149"/>
        <v>0.8646647167633873</v>
      </c>
      <c r="AE236">
        <f t="shared" si="150"/>
        <v>0.71441785360642229</v>
      </c>
      <c r="AF236">
        <f t="shared" si="151"/>
        <v>0.61773191103930425</v>
      </c>
      <c r="AG236">
        <f t="shared" si="152"/>
        <v>6.1773191103930425E-2</v>
      </c>
      <c r="AH236">
        <f t="shared" si="153"/>
        <v>0</v>
      </c>
      <c r="AI236">
        <f t="shared" si="154"/>
        <v>0.31795234496590991</v>
      </c>
      <c r="AJ236">
        <f t="shared" si="155"/>
        <v>0</v>
      </c>
      <c r="AK236">
        <f t="shared" si="156"/>
        <v>0</v>
      </c>
      <c r="AL236" t="e">
        <f t="shared" si="157"/>
        <v>#N/A</v>
      </c>
      <c r="AM236" t="e">
        <f t="shared" si="158"/>
        <v>#N/A</v>
      </c>
      <c r="AN236" t="e">
        <f t="shared" si="159"/>
        <v>#N/A</v>
      </c>
      <c r="AO236" t="e">
        <f t="shared" si="160"/>
        <v>#N/A</v>
      </c>
    </row>
    <row r="237" spans="1:42" x14ac:dyDescent="0.2">
      <c r="F237" t="s">
        <v>119</v>
      </c>
      <c r="G237" t="s">
        <v>155</v>
      </c>
      <c r="H237">
        <v>120</v>
      </c>
      <c r="I237">
        <v>0</v>
      </c>
      <c r="J237">
        <v>0</v>
      </c>
      <c r="L237">
        <v>31</v>
      </c>
      <c r="M237">
        <f>Tables!CC41</f>
        <v>0.1</v>
      </c>
      <c r="N237">
        <v>0.45</v>
      </c>
      <c r="O237">
        <v>0.45</v>
      </c>
      <c r="Q237">
        <f>Tables!CC99</f>
        <v>45</v>
      </c>
      <c r="R237" t="e">
        <f t="shared" si="142"/>
        <v>#N/A</v>
      </c>
      <c r="S237" t="e">
        <f>S231</f>
        <v>#N/A</v>
      </c>
      <c r="T237" t="e">
        <f>T231</f>
        <v>#N/A</v>
      </c>
      <c r="U237" t="str">
        <f t="shared" si="143"/>
        <v>EFN2O</v>
      </c>
      <c r="V237">
        <f t="shared" si="144"/>
        <v>0</v>
      </c>
      <c r="W237">
        <v>0</v>
      </c>
      <c r="X237">
        <f t="shared" si="145"/>
        <v>0</v>
      </c>
      <c r="Y237">
        <f t="shared" si="146"/>
        <v>0</v>
      </c>
      <c r="Z237">
        <f t="shared" si="147"/>
        <v>1</v>
      </c>
      <c r="AA237">
        <f t="shared" si="148"/>
        <v>0.35635</v>
      </c>
      <c r="AC237">
        <f>Tables!CC170</f>
        <v>1</v>
      </c>
      <c r="AD237">
        <f t="shared" si="149"/>
        <v>0.8646647167633873</v>
      </c>
      <c r="AE237">
        <f t="shared" si="150"/>
        <v>0.62764688487374998</v>
      </c>
      <c r="AF237">
        <f t="shared" si="151"/>
        <v>0.54270411593678336</v>
      </c>
      <c r="AG237">
        <f t="shared" si="152"/>
        <v>5.427041159367834E-2</v>
      </c>
      <c r="AH237">
        <f t="shared" si="153"/>
        <v>0</v>
      </c>
      <c r="AI237">
        <f t="shared" si="154"/>
        <v>0.31026837406341995</v>
      </c>
      <c r="AJ237">
        <f t="shared" si="155"/>
        <v>0</v>
      </c>
      <c r="AK237">
        <f t="shared" si="156"/>
        <v>0</v>
      </c>
      <c r="AL237" t="e">
        <f t="shared" si="157"/>
        <v>#N/A</v>
      </c>
      <c r="AM237" t="e">
        <f t="shared" si="158"/>
        <v>#N/A</v>
      </c>
      <c r="AN237" t="e">
        <f t="shared" si="159"/>
        <v>#N/A</v>
      </c>
      <c r="AO237" t="e">
        <f t="shared" si="160"/>
        <v>#N/A</v>
      </c>
    </row>
    <row r="238" spans="1:42" x14ac:dyDescent="0.2">
      <c r="F238" t="s">
        <v>119</v>
      </c>
      <c r="G238" t="s">
        <v>156</v>
      </c>
      <c r="H238">
        <v>115</v>
      </c>
      <c r="I238">
        <v>0</v>
      </c>
      <c r="J238">
        <v>0</v>
      </c>
      <c r="L238">
        <v>31</v>
      </c>
      <c r="M238">
        <f>Tables!CC41</f>
        <v>0.1</v>
      </c>
      <c r="N238">
        <v>0.44</v>
      </c>
      <c r="O238">
        <v>0.44</v>
      </c>
      <c r="Q238">
        <f>Tables!CC99</f>
        <v>45</v>
      </c>
      <c r="R238" t="e">
        <f t="shared" si="142"/>
        <v>#N/A</v>
      </c>
      <c r="S238" t="e">
        <f>S231</f>
        <v>#N/A</v>
      </c>
      <c r="T238" t="e">
        <f>T231</f>
        <v>#N/A</v>
      </c>
      <c r="U238" t="str">
        <f t="shared" si="143"/>
        <v>EFN2O</v>
      </c>
      <c r="V238">
        <f t="shared" si="144"/>
        <v>0</v>
      </c>
      <c r="W238">
        <v>0</v>
      </c>
      <c r="X238">
        <f t="shared" si="145"/>
        <v>0</v>
      </c>
      <c r="Y238">
        <f t="shared" si="146"/>
        <v>0</v>
      </c>
      <c r="Z238">
        <f t="shared" si="147"/>
        <v>1</v>
      </c>
      <c r="AA238">
        <f t="shared" si="148"/>
        <v>0.34839999999999999</v>
      </c>
      <c r="AC238">
        <f>Tables!CC170</f>
        <v>1</v>
      </c>
      <c r="AD238">
        <f t="shared" si="149"/>
        <v>0.8646647167633873</v>
      </c>
      <c r="AE238">
        <f t="shared" si="150"/>
        <v>0.61318505675163781</v>
      </c>
      <c r="AF238">
        <f t="shared" si="151"/>
        <v>0.53019948341969647</v>
      </c>
      <c r="AG238">
        <f t="shared" si="152"/>
        <v>5.3019948341969651E-2</v>
      </c>
      <c r="AH238">
        <f t="shared" si="153"/>
        <v>0</v>
      </c>
      <c r="AI238">
        <f t="shared" si="154"/>
        <v>0.30815617040377058</v>
      </c>
      <c r="AJ238">
        <f t="shared" si="155"/>
        <v>0</v>
      </c>
      <c r="AK238">
        <f t="shared" si="156"/>
        <v>0</v>
      </c>
      <c r="AL238" t="e">
        <f t="shared" si="157"/>
        <v>#N/A</v>
      </c>
      <c r="AM238" t="e">
        <f t="shared" si="158"/>
        <v>#N/A</v>
      </c>
      <c r="AN238" t="e">
        <f t="shared" si="159"/>
        <v>#N/A</v>
      </c>
      <c r="AO238" t="e">
        <f t="shared" si="160"/>
        <v>#N/A</v>
      </c>
    </row>
    <row r="239" spans="1:42" x14ac:dyDescent="0.2">
      <c r="F239" t="s">
        <v>113</v>
      </c>
      <c r="G239" t="s">
        <v>157</v>
      </c>
      <c r="H239">
        <v>110</v>
      </c>
      <c r="I239">
        <v>32</v>
      </c>
      <c r="J239">
        <v>28</v>
      </c>
      <c r="K239">
        <v>24</v>
      </c>
      <c r="L239">
        <v>24</v>
      </c>
      <c r="M239">
        <f>Tables!CC38</f>
        <v>0.16</v>
      </c>
      <c r="N239">
        <v>0.65</v>
      </c>
      <c r="O239">
        <v>0.65</v>
      </c>
      <c r="Q239">
        <f>Tables!CC96</f>
        <v>55</v>
      </c>
      <c r="R239" t="e">
        <f t="shared" si="142"/>
        <v>#N/A</v>
      </c>
      <c r="S239" t="e">
        <f>S231</f>
        <v>#N/A</v>
      </c>
      <c r="T239" t="e">
        <f>T231</f>
        <v>#N/A</v>
      </c>
      <c r="U239" t="str">
        <f t="shared" si="143"/>
        <v>EFN2O</v>
      </c>
      <c r="V239">
        <f t="shared" si="144"/>
        <v>8.9600000000000013E-2</v>
      </c>
      <c r="W239">
        <v>0</v>
      </c>
      <c r="X239">
        <f t="shared" si="145"/>
        <v>0</v>
      </c>
      <c r="Y239">
        <f t="shared" si="146"/>
        <v>0</v>
      </c>
      <c r="Z239">
        <f t="shared" si="147"/>
        <v>0.91039999999999999</v>
      </c>
      <c r="AA239">
        <f t="shared" si="148"/>
        <v>0.51535000000000009</v>
      </c>
      <c r="AC239">
        <f>Tables!CC167</f>
        <v>3.2</v>
      </c>
      <c r="AD239">
        <f t="shared" si="149"/>
        <v>0.99999999872459233</v>
      </c>
      <c r="AE239">
        <f t="shared" si="150"/>
        <v>1.1278052426935643</v>
      </c>
      <c r="AF239">
        <f t="shared" si="151"/>
        <v>1.0267538916386911</v>
      </c>
      <c r="AG239">
        <f t="shared" si="152"/>
        <v>0.1642806226621906</v>
      </c>
      <c r="AH239">
        <f t="shared" si="153"/>
        <v>0</v>
      </c>
      <c r="AI239">
        <f t="shared" si="154"/>
        <v>0.4015328042333498</v>
      </c>
      <c r="AJ239">
        <f t="shared" si="155"/>
        <v>0</v>
      </c>
      <c r="AK239">
        <f t="shared" si="156"/>
        <v>0</v>
      </c>
      <c r="AL239" t="e">
        <f t="shared" si="157"/>
        <v>#N/A</v>
      </c>
      <c r="AM239" t="e">
        <f t="shared" si="158"/>
        <v>#N/A</v>
      </c>
      <c r="AN239" t="e">
        <f t="shared" si="159"/>
        <v>#N/A</v>
      </c>
      <c r="AO239" t="e">
        <f t="shared" si="160"/>
        <v>#N/A</v>
      </c>
    </row>
    <row r="240" spans="1:42" x14ac:dyDescent="0.2">
      <c r="F240" t="s">
        <v>113</v>
      </c>
      <c r="G240" t="s">
        <v>158</v>
      </c>
      <c r="H240">
        <v>105</v>
      </c>
      <c r="I240">
        <v>30</v>
      </c>
      <c r="J240">
        <v>28</v>
      </c>
      <c r="L240">
        <v>31</v>
      </c>
      <c r="M240">
        <f>Tables!CC38</f>
        <v>0.16</v>
      </c>
      <c r="N240">
        <v>0.66</v>
      </c>
      <c r="O240">
        <v>0.66</v>
      </c>
      <c r="Q240">
        <f>Tables!CC96</f>
        <v>55</v>
      </c>
      <c r="R240" t="e">
        <f t="shared" si="142"/>
        <v>#N/A</v>
      </c>
      <c r="S240" t="e">
        <f>S231</f>
        <v>#N/A</v>
      </c>
      <c r="T240" t="e">
        <f>T231</f>
        <v>#N/A</v>
      </c>
      <c r="U240" t="str">
        <f t="shared" si="143"/>
        <v>EFN2O</v>
      </c>
      <c r="V240">
        <f t="shared" si="144"/>
        <v>8.4000000000000005E-2</v>
      </c>
      <c r="W240">
        <v>0</v>
      </c>
      <c r="X240">
        <f t="shared" si="145"/>
        <v>0</v>
      </c>
      <c r="Y240">
        <f t="shared" si="146"/>
        <v>0</v>
      </c>
      <c r="Z240">
        <f t="shared" si="147"/>
        <v>0.91600000000000004</v>
      </c>
      <c r="AA240">
        <f t="shared" si="148"/>
        <v>0.5233000000000001</v>
      </c>
      <c r="AC240">
        <f>Tables!CC167</f>
        <v>3.2</v>
      </c>
      <c r="AD240">
        <f t="shared" si="149"/>
        <v>0.99999999872459233</v>
      </c>
      <c r="AE240">
        <f t="shared" si="150"/>
        <v>1.1446159438375592</v>
      </c>
      <c r="AF240">
        <f t="shared" si="151"/>
        <v>1.0484682032179797</v>
      </c>
      <c r="AG240">
        <f t="shared" si="152"/>
        <v>0.16775491251487676</v>
      </c>
      <c r="AH240">
        <f t="shared" si="153"/>
        <v>0</v>
      </c>
      <c r="AI240">
        <f t="shared" si="154"/>
        <v>0.4004506120204786</v>
      </c>
      <c r="AJ240">
        <f t="shared" si="155"/>
        <v>0</v>
      </c>
      <c r="AK240">
        <f t="shared" si="156"/>
        <v>0</v>
      </c>
      <c r="AL240" t="e">
        <f t="shared" si="157"/>
        <v>#N/A</v>
      </c>
      <c r="AM240" t="e">
        <f t="shared" si="158"/>
        <v>#N/A</v>
      </c>
      <c r="AN240" t="e">
        <f t="shared" si="159"/>
        <v>#N/A</v>
      </c>
      <c r="AO240" t="e">
        <f t="shared" si="160"/>
        <v>#N/A</v>
      </c>
    </row>
    <row r="241" spans="5:41" x14ac:dyDescent="0.2">
      <c r="F241" t="s">
        <v>113</v>
      </c>
      <c r="G241" t="s">
        <v>159</v>
      </c>
      <c r="H241">
        <v>105</v>
      </c>
      <c r="I241">
        <v>35</v>
      </c>
      <c r="J241">
        <v>32</v>
      </c>
      <c r="L241">
        <v>30</v>
      </c>
      <c r="M241">
        <f>Tables!CC38</f>
        <v>0.16</v>
      </c>
      <c r="N241">
        <v>0.62</v>
      </c>
      <c r="O241">
        <v>0.62</v>
      </c>
      <c r="Q241">
        <f>Tables!CC96</f>
        <v>55</v>
      </c>
      <c r="R241" t="e">
        <f t="shared" si="142"/>
        <v>#N/A</v>
      </c>
      <c r="S241" t="e">
        <f>S231</f>
        <v>#N/A</v>
      </c>
      <c r="T241" t="e">
        <f>T231</f>
        <v>#N/A</v>
      </c>
      <c r="U241" t="str">
        <f t="shared" si="143"/>
        <v>EFN2O</v>
      </c>
      <c r="V241">
        <f t="shared" si="144"/>
        <v>0.11199999999999999</v>
      </c>
      <c r="W241">
        <v>0</v>
      </c>
      <c r="X241">
        <f t="shared" si="145"/>
        <v>0</v>
      </c>
      <c r="Y241">
        <f t="shared" si="146"/>
        <v>0</v>
      </c>
      <c r="Z241">
        <f t="shared" si="147"/>
        <v>0.88800000000000001</v>
      </c>
      <c r="AA241">
        <f t="shared" si="148"/>
        <v>0.49149999999999999</v>
      </c>
      <c r="AC241">
        <f>Tables!CC167</f>
        <v>3.2</v>
      </c>
      <c r="AD241">
        <f t="shared" si="149"/>
        <v>0.99999999872459233</v>
      </c>
      <c r="AE241">
        <f t="shared" si="150"/>
        <v>1.0773731392615793</v>
      </c>
      <c r="AF241">
        <f t="shared" si="151"/>
        <v>0.9567073464440905</v>
      </c>
      <c r="AG241">
        <f t="shared" si="152"/>
        <v>0.15307317543105448</v>
      </c>
      <c r="AH241">
        <f t="shared" si="153"/>
        <v>0</v>
      </c>
      <c r="AI241">
        <f t="shared" si="154"/>
        <v>0.40016034951835816</v>
      </c>
      <c r="AJ241">
        <f t="shared" si="155"/>
        <v>0</v>
      </c>
      <c r="AK241">
        <f t="shared" si="156"/>
        <v>0</v>
      </c>
      <c r="AL241" t="e">
        <f t="shared" si="157"/>
        <v>#N/A</v>
      </c>
      <c r="AM241" t="e">
        <f t="shared" si="158"/>
        <v>#N/A</v>
      </c>
      <c r="AN241" t="e">
        <f t="shared" si="159"/>
        <v>#N/A</v>
      </c>
      <c r="AO241" t="e">
        <f t="shared" si="160"/>
        <v>#N/A</v>
      </c>
    </row>
    <row r="242" spans="5:41" x14ac:dyDescent="0.2">
      <c r="F242" t="s">
        <v>115</v>
      </c>
      <c r="G242" t="s">
        <v>160</v>
      </c>
      <c r="H242">
        <v>100</v>
      </c>
      <c r="I242">
        <v>0</v>
      </c>
      <c r="J242">
        <v>0</v>
      </c>
      <c r="L242">
        <v>31</v>
      </c>
      <c r="M242">
        <f>Tables!CC39</f>
        <v>7.0000000000000007E-2</v>
      </c>
      <c r="N242">
        <v>0.6</v>
      </c>
      <c r="O242">
        <v>0.6</v>
      </c>
      <c r="Q242">
        <f>Tables!CC97</f>
        <v>50</v>
      </c>
      <c r="R242" t="e">
        <f t="shared" si="142"/>
        <v>#N/A</v>
      </c>
      <c r="S242" t="e">
        <f>S231</f>
        <v>#N/A</v>
      </c>
      <c r="T242" t="e">
        <f>T231</f>
        <v>#N/A</v>
      </c>
      <c r="U242" t="str">
        <f t="shared" si="143"/>
        <v>EFN2O</v>
      </c>
      <c r="V242">
        <f t="shared" si="144"/>
        <v>0</v>
      </c>
      <c r="W242">
        <v>0</v>
      </c>
      <c r="X242">
        <f t="shared" si="145"/>
        <v>0</v>
      </c>
      <c r="Y242">
        <f t="shared" si="146"/>
        <v>0</v>
      </c>
      <c r="Z242">
        <f t="shared" si="147"/>
        <v>1</v>
      </c>
      <c r="AA242">
        <f t="shared" si="148"/>
        <v>0.47559999999999997</v>
      </c>
      <c r="AC242">
        <f>Tables!CC168</f>
        <v>3</v>
      </c>
      <c r="AD242">
        <f t="shared" si="149"/>
        <v>0.99999998477002028</v>
      </c>
      <c r="AE242">
        <f t="shared" si="150"/>
        <v>0.94288322747903475</v>
      </c>
      <c r="AF242">
        <f t="shared" si="151"/>
        <v>0.9428832131189423</v>
      </c>
      <c r="AG242">
        <f t="shared" si="152"/>
        <v>6.6001824918325971E-2</v>
      </c>
      <c r="AH242">
        <f t="shared" si="153"/>
        <v>0</v>
      </c>
      <c r="AI242">
        <f t="shared" si="154"/>
        <v>0.41271443539083696</v>
      </c>
      <c r="AJ242">
        <f t="shared" si="155"/>
        <v>0</v>
      </c>
      <c r="AK242">
        <f t="shared" si="156"/>
        <v>0</v>
      </c>
      <c r="AL242" t="e">
        <f t="shared" si="157"/>
        <v>#N/A</v>
      </c>
      <c r="AM242" t="e">
        <f t="shared" si="158"/>
        <v>#N/A</v>
      </c>
      <c r="AN242" t="e">
        <f t="shared" si="159"/>
        <v>#N/A</v>
      </c>
      <c r="AO242" t="e">
        <f t="shared" si="160"/>
        <v>#N/A</v>
      </c>
    </row>
    <row r="243" spans="5:41" x14ac:dyDescent="0.2">
      <c r="E243" t="s">
        <v>121</v>
      </c>
      <c r="F243" t="s">
        <v>115</v>
      </c>
      <c r="G243" t="s">
        <v>149</v>
      </c>
      <c r="H243">
        <v>40</v>
      </c>
      <c r="I243">
        <v>0</v>
      </c>
      <c r="J243">
        <v>0</v>
      </c>
      <c r="L243">
        <v>31</v>
      </c>
      <c r="M243">
        <f>Tables!CC43</f>
        <v>7.0000000000000007E-2</v>
      </c>
      <c r="O243">
        <f>Tables!CC73</f>
        <v>0.55000000000000004</v>
      </c>
      <c r="Q243">
        <f>Tables!CC101</f>
        <v>28</v>
      </c>
      <c r="R243" t="e">
        <f t="shared" si="142"/>
        <v>#N/A</v>
      </c>
      <c r="S243" t="e">
        <f>S231</f>
        <v>#N/A</v>
      </c>
      <c r="T243" t="e">
        <f>T231</f>
        <v>#N/A</v>
      </c>
      <c r="U243" t="str">
        <f t="shared" si="143"/>
        <v>EFN2O</v>
      </c>
      <c r="V243">
        <f t="shared" si="144"/>
        <v>0</v>
      </c>
      <c r="W243">
        <v>0</v>
      </c>
      <c r="X243">
        <f t="shared" si="145"/>
        <v>0</v>
      </c>
      <c r="Y243">
        <f t="shared" si="146"/>
        <v>0</v>
      </c>
      <c r="Z243">
        <f t="shared" si="147"/>
        <v>1</v>
      </c>
      <c r="AA243">
        <f t="shared" si="148"/>
        <v>0.43585000000000007</v>
      </c>
      <c r="AB243">
        <v>2.8</v>
      </c>
      <c r="AC243">
        <v>2.8</v>
      </c>
      <c r="AD243">
        <f t="shared" si="149"/>
        <v>0.99999984502468642</v>
      </c>
      <c r="AE243">
        <f t="shared" si="150"/>
        <v>0.47750864762612716</v>
      </c>
      <c r="AF243">
        <f t="shared" si="151"/>
        <v>0.47750857362407473</v>
      </c>
      <c r="AG243">
        <f t="shared" si="152"/>
        <v>3.3425600153685231E-2</v>
      </c>
      <c r="AH243">
        <f t="shared" si="153"/>
        <v>0</v>
      </c>
      <c r="AI243">
        <f t="shared" si="154"/>
        <v>0.22399943564621355</v>
      </c>
      <c r="AJ243">
        <f t="shared" si="155"/>
        <v>0</v>
      </c>
      <c r="AK243">
        <f t="shared" si="156"/>
        <v>0</v>
      </c>
      <c r="AL243" t="e">
        <f t="shared" si="157"/>
        <v>#N/A</v>
      </c>
      <c r="AM243" t="e">
        <f t="shared" si="158"/>
        <v>#N/A</v>
      </c>
      <c r="AN243" t="e">
        <f t="shared" si="159"/>
        <v>#N/A</v>
      </c>
      <c r="AO243" t="e">
        <f t="shared" si="160"/>
        <v>#N/A</v>
      </c>
    </row>
    <row r="244" spans="5:41" x14ac:dyDescent="0.2">
      <c r="F244" t="s">
        <v>115</v>
      </c>
      <c r="G244" t="s">
        <v>150</v>
      </c>
      <c r="H244">
        <v>40</v>
      </c>
      <c r="I244">
        <v>0</v>
      </c>
      <c r="J244">
        <v>0</v>
      </c>
      <c r="L244">
        <v>28</v>
      </c>
      <c r="M244">
        <f>Tables!CC43</f>
        <v>7.0000000000000007E-2</v>
      </c>
      <c r="O244">
        <f>Tables!CC73</f>
        <v>0.55000000000000004</v>
      </c>
      <c r="Q244">
        <f>Tables!CC101</f>
        <v>28</v>
      </c>
      <c r="R244" t="e">
        <f t="shared" si="142"/>
        <v>#N/A</v>
      </c>
      <c r="S244" t="e">
        <f>S231</f>
        <v>#N/A</v>
      </c>
      <c r="T244" t="e">
        <f>T231</f>
        <v>#N/A</v>
      </c>
      <c r="U244" t="str">
        <f t="shared" si="143"/>
        <v>EFN2O</v>
      </c>
      <c r="V244">
        <f t="shared" si="144"/>
        <v>0</v>
      </c>
      <c r="W244">
        <v>0</v>
      </c>
      <c r="X244">
        <f t="shared" si="145"/>
        <v>0</v>
      </c>
      <c r="Y244">
        <f t="shared" si="146"/>
        <v>0</v>
      </c>
      <c r="Z244">
        <f t="shared" si="147"/>
        <v>1</v>
      </c>
      <c r="AA244">
        <f t="shared" si="148"/>
        <v>0.43585000000000007</v>
      </c>
      <c r="AB244">
        <v>2.7</v>
      </c>
      <c r="AC244">
        <v>2.7</v>
      </c>
      <c r="AD244">
        <f t="shared" si="149"/>
        <v>0.99999953442842837</v>
      </c>
      <c r="AE244">
        <f t="shared" si="150"/>
        <v>0.47750864762612716</v>
      </c>
      <c r="AF244">
        <f t="shared" si="151"/>
        <v>0.47750842531167564</v>
      </c>
      <c r="AG244">
        <f t="shared" si="152"/>
        <v>3.3425589771817296E-2</v>
      </c>
      <c r="AH244">
        <f t="shared" si="153"/>
        <v>0</v>
      </c>
      <c r="AI244">
        <f t="shared" si="154"/>
        <v>0.22399936323999947</v>
      </c>
      <c r="AJ244">
        <f t="shared" si="155"/>
        <v>0</v>
      </c>
      <c r="AK244">
        <f t="shared" si="156"/>
        <v>0</v>
      </c>
      <c r="AL244" t="e">
        <f t="shared" si="157"/>
        <v>#N/A</v>
      </c>
      <c r="AM244" t="e">
        <f t="shared" si="158"/>
        <v>#N/A</v>
      </c>
      <c r="AN244" t="e">
        <f t="shared" si="159"/>
        <v>#N/A</v>
      </c>
      <c r="AO244" t="e">
        <f t="shared" si="160"/>
        <v>#N/A</v>
      </c>
    </row>
    <row r="245" spans="5:41" x14ac:dyDescent="0.2">
      <c r="F245" t="s">
        <v>117</v>
      </c>
      <c r="G245" t="s">
        <v>151</v>
      </c>
      <c r="H245">
        <v>40</v>
      </c>
      <c r="I245">
        <v>0</v>
      </c>
      <c r="J245">
        <v>0</v>
      </c>
      <c r="L245">
        <v>31</v>
      </c>
      <c r="M245">
        <f>Tables!CC44</f>
        <v>0.13</v>
      </c>
      <c r="O245">
        <f>Tables!CC74</f>
        <v>0.65</v>
      </c>
      <c r="Q245">
        <f>Tables!CC102</f>
        <v>33</v>
      </c>
      <c r="R245" t="e">
        <f t="shared" si="142"/>
        <v>#N/A</v>
      </c>
      <c r="S245" t="e">
        <f>S231</f>
        <v>#N/A</v>
      </c>
      <c r="T245" t="e">
        <f>T231</f>
        <v>#N/A</v>
      </c>
      <c r="U245" t="str">
        <f t="shared" si="143"/>
        <v>EFN2O</v>
      </c>
      <c r="V245">
        <f t="shared" si="144"/>
        <v>0</v>
      </c>
      <c r="W245">
        <v>0</v>
      </c>
      <c r="X245">
        <f t="shared" si="145"/>
        <v>0</v>
      </c>
      <c r="Y245">
        <f t="shared" si="146"/>
        <v>0</v>
      </c>
      <c r="Z245">
        <f t="shared" si="147"/>
        <v>1</v>
      </c>
      <c r="AA245">
        <f t="shared" si="148"/>
        <v>0.51535000000000009</v>
      </c>
      <c r="AB245">
        <v>2.4</v>
      </c>
      <c r="AC245">
        <v>2.4</v>
      </c>
      <c r="AD245">
        <f t="shared" si="149"/>
        <v>0.99999007049569411</v>
      </c>
      <c r="AE245">
        <f t="shared" si="150"/>
        <v>0.67586829739226073</v>
      </c>
      <c r="AF245">
        <f t="shared" si="151"/>
        <v>0.67586158635509153</v>
      </c>
      <c r="AG245">
        <f t="shared" si="152"/>
        <v>8.7862006226161901E-2</v>
      </c>
      <c r="AH245">
        <f t="shared" si="153"/>
        <v>0</v>
      </c>
      <c r="AI245">
        <f t="shared" si="154"/>
        <v>0.25482311058069884</v>
      </c>
      <c r="AJ245">
        <f t="shared" si="155"/>
        <v>0</v>
      </c>
      <c r="AK245">
        <f t="shared" si="156"/>
        <v>0</v>
      </c>
      <c r="AL245" t="e">
        <f t="shared" si="157"/>
        <v>#N/A</v>
      </c>
      <c r="AM245" t="e">
        <f t="shared" si="158"/>
        <v>#N/A</v>
      </c>
      <c r="AN245" t="e">
        <f t="shared" si="159"/>
        <v>#N/A</v>
      </c>
      <c r="AO245" t="e">
        <f t="shared" si="160"/>
        <v>#N/A</v>
      </c>
    </row>
    <row r="246" spans="5:41" x14ac:dyDescent="0.2">
      <c r="F246" t="s">
        <v>117</v>
      </c>
      <c r="G246" t="s">
        <v>152</v>
      </c>
      <c r="H246">
        <v>35</v>
      </c>
      <c r="I246">
        <v>0</v>
      </c>
      <c r="J246">
        <v>0</v>
      </c>
      <c r="L246">
        <v>30</v>
      </c>
      <c r="M246">
        <f>Tables!CC44</f>
        <v>0.13</v>
      </c>
      <c r="O246">
        <f>Tables!CC74</f>
        <v>0.65</v>
      </c>
      <c r="Q246">
        <f>Tables!CC102</f>
        <v>33</v>
      </c>
      <c r="R246" t="e">
        <f t="shared" si="142"/>
        <v>#N/A</v>
      </c>
      <c r="S246" t="e">
        <f>S231</f>
        <v>#N/A</v>
      </c>
      <c r="T246" t="e">
        <f>T231</f>
        <v>#N/A</v>
      </c>
      <c r="U246" t="str">
        <f t="shared" si="143"/>
        <v>EFN2O</v>
      </c>
      <c r="V246">
        <f t="shared" si="144"/>
        <v>0</v>
      </c>
      <c r="W246">
        <v>0</v>
      </c>
      <c r="X246">
        <f t="shared" si="145"/>
        <v>0</v>
      </c>
      <c r="Y246">
        <f t="shared" si="146"/>
        <v>0</v>
      </c>
      <c r="Z246">
        <f t="shared" si="147"/>
        <v>1</v>
      </c>
      <c r="AA246">
        <f t="shared" si="148"/>
        <v>0.51535000000000009</v>
      </c>
      <c r="AB246">
        <v>2.2000000000000002</v>
      </c>
      <c r="AC246">
        <v>2.2000000000000002</v>
      </c>
      <c r="AD246">
        <f t="shared" si="149"/>
        <v>0.99993747849622516</v>
      </c>
      <c r="AE246">
        <f t="shared" si="150"/>
        <v>0.67586829739226073</v>
      </c>
      <c r="AF246">
        <f t="shared" si="151"/>
        <v>0.67582604108995403</v>
      </c>
      <c r="AG246">
        <f t="shared" si="152"/>
        <v>8.785738534169403E-2</v>
      </c>
      <c r="AH246">
        <f t="shared" si="153"/>
        <v>0</v>
      </c>
      <c r="AI246">
        <f t="shared" si="154"/>
        <v>0.25480874789409669</v>
      </c>
      <c r="AJ246">
        <f t="shared" si="155"/>
        <v>0</v>
      </c>
      <c r="AK246">
        <f t="shared" si="156"/>
        <v>0</v>
      </c>
      <c r="AL246" t="e">
        <f t="shared" si="157"/>
        <v>#N/A</v>
      </c>
      <c r="AM246" t="e">
        <f t="shared" si="158"/>
        <v>#N/A</v>
      </c>
      <c r="AN246" t="e">
        <f t="shared" si="159"/>
        <v>#N/A</v>
      </c>
      <c r="AO246" t="e">
        <f t="shared" si="160"/>
        <v>#N/A</v>
      </c>
    </row>
    <row r="247" spans="5:41" x14ac:dyDescent="0.2">
      <c r="F247" t="s">
        <v>117</v>
      </c>
      <c r="G247" t="s">
        <v>153</v>
      </c>
      <c r="H247">
        <v>35</v>
      </c>
      <c r="I247">
        <v>0</v>
      </c>
      <c r="J247">
        <v>0</v>
      </c>
      <c r="L247">
        <v>31</v>
      </c>
      <c r="M247">
        <f>Tables!CC44</f>
        <v>0.13</v>
      </c>
      <c r="O247">
        <f>Tables!CC74</f>
        <v>0.65</v>
      </c>
      <c r="Q247">
        <f>Tables!CC102</f>
        <v>33</v>
      </c>
      <c r="R247" t="e">
        <f t="shared" si="142"/>
        <v>#N/A</v>
      </c>
      <c r="S247" t="e">
        <f>S231</f>
        <v>#N/A</v>
      </c>
      <c r="T247" t="e">
        <f>T231</f>
        <v>#N/A</v>
      </c>
      <c r="U247" t="str">
        <f t="shared" si="143"/>
        <v>EFN2O</v>
      </c>
      <c r="V247">
        <f t="shared" si="144"/>
        <v>0</v>
      </c>
      <c r="W247">
        <v>0</v>
      </c>
      <c r="X247">
        <f t="shared" si="145"/>
        <v>0</v>
      </c>
      <c r="Y247">
        <f t="shared" si="146"/>
        <v>0</v>
      </c>
      <c r="Z247">
        <f t="shared" si="147"/>
        <v>1</v>
      </c>
      <c r="AA247">
        <f t="shared" si="148"/>
        <v>0.51535000000000009</v>
      </c>
      <c r="AB247">
        <v>1.9</v>
      </c>
      <c r="AC247">
        <v>1.9</v>
      </c>
      <c r="AD247">
        <f t="shared" si="149"/>
        <v>0.99926819758111951</v>
      </c>
      <c r="AE247">
        <f t="shared" si="150"/>
        <v>0.67586829739226073</v>
      </c>
      <c r="AF247">
        <f t="shared" si="151"/>
        <v>0.67537369533738445</v>
      </c>
      <c r="AG247">
        <f t="shared" si="152"/>
        <v>8.7798580393859987E-2</v>
      </c>
      <c r="AH247">
        <f t="shared" si="153"/>
        <v>0</v>
      </c>
      <c r="AI247">
        <f t="shared" si="154"/>
        <v>0.25462597850223151</v>
      </c>
      <c r="AJ247">
        <f t="shared" si="155"/>
        <v>0</v>
      </c>
      <c r="AK247">
        <f t="shared" si="156"/>
        <v>0</v>
      </c>
      <c r="AL247" t="e">
        <f t="shared" si="157"/>
        <v>#N/A</v>
      </c>
      <c r="AM247" t="e">
        <f t="shared" si="158"/>
        <v>#N/A</v>
      </c>
      <c r="AN247" t="e">
        <f t="shared" si="159"/>
        <v>#N/A</v>
      </c>
      <c r="AO247" t="e">
        <f t="shared" si="160"/>
        <v>#N/A</v>
      </c>
    </row>
    <row r="248" spans="5:41" x14ac:dyDescent="0.2">
      <c r="F248" t="s">
        <v>119</v>
      </c>
      <c r="G248" t="s">
        <v>154</v>
      </c>
      <c r="H248">
        <v>35</v>
      </c>
      <c r="I248">
        <v>0</v>
      </c>
      <c r="J248">
        <v>0</v>
      </c>
      <c r="L248">
        <v>30</v>
      </c>
      <c r="M248">
        <f>Tables!CC45</f>
        <v>0.1</v>
      </c>
      <c r="O248">
        <f>Tables!CC75</f>
        <v>0.6</v>
      </c>
      <c r="Q248">
        <f>Tables!CC103</f>
        <v>35</v>
      </c>
      <c r="R248" t="e">
        <f t="shared" si="142"/>
        <v>#N/A</v>
      </c>
      <c r="S248" t="e">
        <f>S231</f>
        <v>#N/A</v>
      </c>
      <c r="T248" t="e">
        <f>T231</f>
        <v>#N/A</v>
      </c>
      <c r="U248" t="str">
        <f t="shared" si="143"/>
        <v>EFN2O</v>
      </c>
      <c r="V248">
        <f t="shared" si="144"/>
        <v>0</v>
      </c>
      <c r="W248">
        <v>0</v>
      </c>
      <c r="X248">
        <f t="shared" si="145"/>
        <v>0</v>
      </c>
      <c r="Y248">
        <f t="shared" si="146"/>
        <v>0</v>
      </c>
      <c r="Z248">
        <f t="shared" si="147"/>
        <v>1</v>
      </c>
      <c r="AA248">
        <f t="shared" si="148"/>
        <v>0.47559999999999997</v>
      </c>
      <c r="AB248">
        <v>1.4</v>
      </c>
      <c r="AC248">
        <v>1.4</v>
      </c>
      <c r="AD248">
        <f t="shared" si="149"/>
        <v>0.98015890525562965</v>
      </c>
      <c r="AE248">
        <f t="shared" si="150"/>
        <v>0.65531047667424769</v>
      </c>
      <c r="AF248">
        <f t="shared" si="151"/>
        <v>0.6423083994195754</v>
      </c>
      <c r="AG248">
        <f t="shared" si="152"/>
        <v>6.4230839941957538E-2</v>
      </c>
      <c r="AH248">
        <f t="shared" si="153"/>
        <v>0</v>
      </c>
      <c r="AI248">
        <f t="shared" si="154"/>
        <v>0.27342576296642762</v>
      </c>
      <c r="AJ248">
        <f t="shared" si="155"/>
        <v>0</v>
      </c>
      <c r="AK248">
        <f t="shared" si="156"/>
        <v>0</v>
      </c>
      <c r="AL248" t="e">
        <f t="shared" si="157"/>
        <v>#N/A</v>
      </c>
      <c r="AM248" t="e">
        <f t="shared" si="158"/>
        <v>#N/A</v>
      </c>
      <c r="AN248" t="e">
        <f t="shared" si="159"/>
        <v>#N/A</v>
      </c>
      <c r="AO248" t="e">
        <f t="shared" si="160"/>
        <v>#N/A</v>
      </c>
    </row>
    <row r="249" spans="5:41" x14ac:dyDescent="0.2">
      <c r="F249" t="s">
        <v>119</v>
      </c>
      <c r="G249" t="s">
        <v>155</v>
      </c>
      <c r="H249">
        <v>80</v>
      </c>
      <c r="I249">
        <v>0</v>
      </c>
      <c r="J249">
        <v>0</v>
      </c>
      <c r="L249">
        <v>31</v>
      </c>
      <c r="M249">
        <f>Tables!CC45</f>
        <v>0.1</v>
      </c>
      <c r="O249">
        <f>Tables!CC75</f>
        <v>0.6</v>
      </c>
      <c r="Q249">
        <f>Tables!CC103</f>
        <v>35</v>
      </c>
      <c r="R249" t="e">
        <f t="shared" si="142"/>
        <v>#N/A</v>
      </c>
      <c r="S249" t="e">
        <f>S231</f>
        <v>#N/A</v>
      </c>
      <c r="T249" t="e">
        <f>T231</f>
        <v>#N/A</v>
      </c>
      <c r="U249" t="str">
        <f t="shared" si="143"/>
        <v>EFN2O</v>
      </c>
      <c r="V249">
        <f t="shared" si="144"/>
        <v>0</v>
      </c>
      <c r="W249">
        <v>0</v>
      </c>
      <c r="X249">
        <f t="shared" si="145"/>
        <v>0</v>
      </c>
      <c r="Y249">
        <f t="shared" si="146"/>
        <v>0</v>
      </c>
      <c r="Z249">
        <f t="shared" si="147"/>
        <v>1</v>
      </c>
      <c r="AA249">
        <f t="shared" si="148"/>
        <v>0.47559999999999997</v>
      </c>
      <c r="AB249">
        <v>1.3</v>
      </c>
      <c r="AC249">
        <v>1.3</v>
      </c>
      <c r="AD249">
        <f t="shared" si="149"/>
        <v>0.96595254526540064</v>
      </c>
      <c r="AE249">
        <f t="shared" si="150"/>
        <v>0.65531047667424769</v>
      </c>
      <c r="AF249">
        <f t="shared" si="151"/>
        <v>0.63299882288257248</v>
      </c>
      <c r="AG249">
        <f t="shared" si="152"/>
        <v>6.3299882288257253E-2</v>
      </c>
      <c r="AH249">
        <f t="shared" si="153"/>
        <v>0</v>
      </c>
      <c r="AI249">
        <f t="shared" si="154"/>
        <v>0.26922702954385791</v>
      </c>
      <c r="AJ249">
        <f t="shared" si="155"/>
        <v>0</v>
      </c>
      <c r="AK249">
        <f t="shared" si="156"/>
        <v>0</v>
      </c>
      <c r="AL249" t="e">
        <f t="shared" si="157"/>
        <v>#N/A</v>
      </c>
      <c r="AM249" t="e">
        <f t="shared" si="158"/>
        <v>#N/A</v>
      </c>
      <c r="AN249" t="e">
        <f t="shared" si="159"/>
        <v>#N/A</v>
      </c>
      <c r="AO249" t="e">
        <f t="shared" si="160"/>
        <v>#N/A</v>
      </c>
    </row>
    <row r="250" spans="5:41" x14ac:dyDescent="0.2">
      <c r="F250" t="s">
        <v>119</v>
      </c>
      <c r="G250" t="s">
        <v>156</v>
      </c>
      <c r="H250">
        <v>90</v>
      </c>
      <c r="I250">
        <v>0</v>
      </c>
      <c r="J250">
        <v>0</v>
      </c>
      <c r="L250">
        <v>31</v>
      </c>
      <c r="M250">
        <f>Tables!CC45</f>
        <v>0.1</v>
      </c>
      <c r="O250">
        <f>Tables!CC75</f>
        <v>0.6</v>
      </c>
      <c r="Q250">
        <f>Tables!CC103</f>
        <v>35</v>
      </c>
      <c r="R250" t="e">
        <f t="shared" si="142"/>
        <v>#N/A</v>
      </c>
      <c r="S250" t="e">
        <f>S231</f>
        <v>#N/A</v>
      </c>
      <c r="T250" t="e">
        <f>T231</f>
        <v>#N/A</v>
      </c>
      <c r="U250" t="str">
        <f t="shared" si="143"/>
        <v>EFN2O</v>
      </c>
      <c r="V250">
        <f t="shared" si="144"/>
        <v>0</v>
      </c>
      <c r="W250">
        <v>0</v>
      </c>
      <c r="X250">
        <f t="shared" si="145"/>
        <v>0</v>
      </c>
      <c r="Y250">
        <f t="shared" si="146"/>
        <v>0</v>
      </c>
      <c r="Z250">
        <f t="shared" si="147"/>
        <v>1</v>
      </c>
      <c r="AA250">
        <f t="shared" si="148"/>
        <v>0.47559999999999997</v>
      </c>
      <c r="AB250">
        <v>1.1000000000000001</v>
      </c>
      <c r="AC250">
        <v>1.1000000000000001</v>
      </c>
      <c r="AD250">
        <f t="shared" si="149"/>
        <v>0.91107838254061368</v>
      </c>
      <c r="AE250">
        <f t="shared" si="150"/>
        <v>0.65531047667424769</v>
      </c>
      <c r="AF250">
        <f t="shared" si="151"/>
        <v>0.59703920915029218</v>
      </c>
      <c r="AG250">
        <f t="shared" si="152"/>
        <v>5.970392091502922E-2</v>
      </c>
      <c r="AH250">
        <f t="shared" si="153"/>
        <v>0</v>
      </c>
      <c r="AI250">
        <f t="shared" si="154"/>
        <v>0.25307391635062915</v>
      </c>
      <c r="AJ250">
        <f t="shared" si="155"/>
        <v>0</v>
      </c>
      <c r="AK250">
        <f t="shared" si="156"/>
        <v>0</v>
      </c>
      <c r="AL250" t="e">
        <f t="shared" si="157"/>
        <v>#N/A</v>
      </c>
      <c r="AM250" t="e">
        <f t="shared" si="158"/>
        <v>#N/A</v>
      </c>
      <c r="AN250" t="e">
        <f t="shared" si="159"/>
        <v>#N/A</v>
      </c>
      <c r="AO250" t="e">
        <f t="shared" si="160"/>
        <v>#N/A</v>
      </c>
    </row>
    <row r="251" spans="5:41" x14ac:dyDescent="0.2">
      <c r="F251" t="s">
        <v>113</v>
      </c>
      <c r="G251" t="s">
        <v>157</v>
      </c>
      <c r="H251">
        <v>90</v>
      </c>
      <c r="I251">
        <v>0</v>
      </c>
      <c r="J251">
        <v>0</v>
      </c>
      <c r="K251">
        <v>20</v>
      </c>
      <c r="L251">
        <v>20</v>
      </c>
      <c r="M251">
        <f>Tables!CC42</f>
        <v>0.16</v>
      </c>
      <c r="O251">
        <f>Tables!CC72</f>
        <v>0.7</v>
      </c>
      <c r="Q251">
        <f>Tables!CC100</f>
        <v>22</v>
      </c>
      <c r="R251" t="e">
        <f t="shared" si="142"/>
        <v>#N/A</v>
      </c>
      <c r="S251" t="e">
        <f>S231</f>
        <v>#N/A</v>
      </c>
      <c r="T251" t="e">
        <f>T231</f>
        <v>#N/A</v>
      </c>
      <c r="U251" t="str">
        <f t="shared" si="143"/>
        <v>EFN2O</v>
      </c>
      <c r="V251">
        <f t="shared" si="144"/>
        <v>0</v>
      </c>
      <c r="W251">
        <v>0</v>
      </c>
      <c r="X251">
        <f t="shared" si="145"/>
        <v>0</v>
      </c>
      <c r="Y251">
        <f t="shared" si="146"/>
        <v>0</v>
      </c>
      <c r="Z251">
        <f t="shared" si="147"/>
        <v>1</v>
      </c>
      <c r="AA251">
        <f t="shared" si="148"/>
        <v>0.55510000000000004</v>
      </c>
      <c r="AC251">
        <f>Tables!CC171</f>
        <v>3.2</v>
      </c>
      <c r="AD251">
        <f t="shared" si="149"/>
        <v>0.99999999872459233</v>
      </c>
      <c r="AE251">
        <f t="shared" si="150"/>
        <v>0.50661989714547884</v>
      </c>
      <c r="AF251">
        <f t="shared" si="151"/>
        <v>0.50661989649933192</v>
      </c>
      <c r="AG251">
        <f t="shared" si="152"/>
        <v>8.1059183439893115E-2</v>
      </c>
      <c r="AH251">
        <f t="shared" si="153"/>
        <v>0</v>
      </c>
      <c r="AI251">
        <f t="shared" si="154"/>
        <v>0.16225251773095933</v>
      </c>
      <c r="AJ251">
        <f t="shared" si="155"/>
        <v>0</v>
      </c>
      <c r="AK251">
        <f t="shared" si="156"/>
        <v>0</v>
      </c>
      <c r="AL251" t="e">
        <f t="shared" si="157"/>
        <v>#N/A</v>
      </c>
      <c r="AM251" t="e">
        <f t="shared" si="158"/>
        <v>#N/A</v>
      </c>
      <c r="AN251" t="e">
        <f t="shared" si="159"/>
        <v>#N/A</v>
      </c>
      <c r="AO251" t="e">
        <f t="shared" si="160"/>
        <v>#N/A</v>
      </c>
    </row>
    <row r="252" spans="5:41" x14ac:dyDescent="0.2">
      <c r="F252" t="s">
        <v>113</v>
      </c>
      <c r="G252" t="s">
        <v>158</v>
      </c>
      <c r="H252">
        <v>95</v>
      </c>
      <c r="I252">
        <v>0</v>
      </c>
      <c r="J252">
        <v>0</v>
      </c>
      <c r="L252">
        <v>31</v>
      </c>
      <c r="M252">
        <f>Tables!CC42</f>
        <v>0.16</v>
      </c>
      <c r="O252">
        <f>Tables!CC72</f>
        <v>0.7</v>
      </c>
      <c r="Q252">
        <f>Tables!CC100</f>
        <v>22</v>
      </c>
      <c r="R252" t="e">
        <f t="shared" si="142"/>
        <v>#N/A</v>
      </c>
      <c r="S252" t="e">
        <f>S231</f>
        <v>#N/A</v>
      </c>
      <c r="T252" t="e">
        <f>T231</f>
        <v>#N/A</v>
      </c>
      <c r="U252" t="str">
        <f t="shared" si="143"/>
        <v>EFN2O</v>
      </c>
      <c r="V252">
        <f t="shared" si="144"/>
        <v>0</v>
      </c>
      <c r="W252">
        <v>0</v>
      </c>
      <c r="X252">
        <f t="shared" si="145"/>
        <v>0</v>
      </c>
      <c r="Y252">
        <f t="shared" si="146"/>
        <v>0</v>
      </c>
      <c r="Z252">
        <f t="shared" si="147"/>
        <v>1</v>
      </c>
      <c r="AA252">
        <f t="shared" si="148"/>
        <v>0.55510000000000004</v>
      </c>
      <c r="AC252">
        <f>Tables!CC171</f>
        <v>3.2</v>
      </c>
      <c r="AD252">
        <f t="shared" si="149"/>
        <v>0.99999999872459233</v>
      </c>
      <c r="AE252">
        <f t="shared" si="150"/>
        <v>0.50661989714547884</v>
      </c>
      <c r="AF252">
        <f t="shared" si="151"/>
        <v>0.50661989649933192</v>
      </c>
      <c r="AG252">
        <f t="shared" si="152"/>
        <v>8.1059183439893115E-2</v>
      </c>
      <c r="AH252">
        <f t="shared" si="153"/>
        <v>0</v>
      </c>
      <c r="AI252">
        <f t="shared" si="154"/>
        <v>0.16225251773095933</v>
      </c>
      <c r="AJ252">
        <f t="shared" si="155"/>
        <v>0</v>
      </c>
      <c r="AK252">
        <f t="shared" si="156"/>
        <v>0</v>
      </c>
      <c r="AL252" t="e">
        <f t="shared" si="157"/>
        <v>#N/A</v>
      </c>
      <c r="AM252" t="e">
        <f t="shared" si="158"/>
        <v>#N/A</v>
      </c>
      <c r="AN252" t="e">
        <f t="shared" si="159"/>
        <v>#N/A</v>
      </c>
      <c r="AO252" t="e">
        <f t="shared" si="160"/>
        <v>#N/A</v>
      </c>
    </row>
    <row r="253" spans="5:41" x14ac:dyDescent="0.2">
      <c r="F253" t="s">
        <v>113</v>
      </c>
      <c r="G253" t="s">
        <v>159</v>
      </c>
      <c r="H253">
        <v>90</v>
      </c>
      <c r="I253">
        <v>0</v>
      </c>
      <c r="J253">
        <v>0</v>
      </c>
      <c r="L253">
        <v>30</v>
      </c>
      <c r="M253">
        <f>Tables!CC42</f>
        <v>0.16</v>
      </c>
      <c r="O253">
        <f>Tables!CC72</f>
        <v>0.7</v>
      </c>
      <c r="Q253">
        <f>Tables!CC100</f>
        <v>22</v>
      </c>
      <c r="R253" t="e">
        <f t="shared" si="142"/>
        <v>#N/A</v>
      </c>
      <c r="S253" t="e">
        <f>S231</f>
        <v>#N/A</v>
      </c>
      <c r="T253" t="e">
        <f>T231</f>
        <v>#N/A</v>
      </c>
      <c r="U253" t="str">
        <f t="shared" si="143"/>
        <v>EFN2O</v>
      </c>
      <c r="V253">
        <f t="shared" si="144"/>
        <v>0</v>
      </c>
      <c r="W253">
        <v>0</v>
      </c>
      <c r="X253">
        <f t="shared" si="145"/>
        <v>0</v>
      </c>
      <c r="Y253">
        <f t="shared" si="146"/>
        <v>0</v>
      </c>
      <c r="Z253">
        <f t="shared" si="147"/>
        <v>1</v>
      </c>
      <c r="AA253">
        <f t="shared" si="148"/>
        <v>0.55510000000000004</v>
      </c>
      <c r="AC253">
        <f>Tables!CC171</f>
        <v>3.2</v>
      </c>
      <c r="AD253">
        <f t="shared" si="149"/>
        <v>0.99999999872459233</v>
      </c>
      <c r="AE253">
        <f t="shared" si="150"/>
        <v>0.50661989714547884</v>
      </c>
      <c r="AF253">
        <f t="shared" si="151"/>
        <v>0.50661989649933192</v>
      </c>
      <c r="AG253">
        <f t="shared" si="152"/>
        <v>8.1059183439893115E-2</v>
      </c>
      <c r="AH253">
        <f t="shared" si="153"/>
        <v>0</v>
      </c>
      <c r="AI253">
        <f t="shared" si="154"/>
        <v>0.16225251773095933</v>
      </c>
      <c r="AJ253">
        <f t="shared" si="155"/>
        <v>0</v>
      </c>
      <c r="AK253">
        <f t="shared" si="156"/>
        <v>0</v>
      </c>
      <c r="AL253" t="e">
        <f t="shared" si="157"/>
        <v>#N/A</v>
      </c>
      <c r="AM253" t="e">
        <f t="shared" si="158"/>
        <v>#N/A</v>
      </c>
      <c r="AN253" t="e">
        <f t="shared" si="159"/>
        <v>#N/A</v>
      </c>
      <c r="AO253" t="e">
        <f t="shared" si="160"/>
        <v>#N/A</v>
      </c>
    </row>
    <row r="254" spans="5:41" x14ac:dyDescent="0.2">
      <c r="F254" t="s">
        <v>115</v>
      </c>
      <c r="G254" t="s">
        <v>160</v>
      </c>
      <c r="H254">
        <v>60</v>
      </c>
      <c r="I254">
        <v>0</v>
      </c>
      <c r="J254">
        <v>0</v>
      </c>
      <c r="L254">
        <v>31</v>
      </c>
      <c r="M254">
        <f>Tables!CC43</f>
        <v>7.0000000000000007E-2</v>
      </c>
      <c r="O254">
        <f>Tables!CC73</f>
        <v>0.55000000000000004</v>
      </c>
      <c r="Q254">
        <f>Tables!CC101</f>
        <v>28</v>
      </c>
      <c r="R254" t="e">
        <f t="shared" ref="R254:R278" si="161">$R$231</f>
        <v>#N/A</v>
      </c>
      <c r="S254" t="e">
        <f t="shared" ref="S254:S278" si="162">$S$231</f>
        <v>#N/A</v>
      </c>
      <c r="T254" t="e">
        <f t="shared" ref="T254:T278" si="163">$T$231</f>
        <v>#N/A</v>
      </c>
      <c r="U254" t="str">
        <f t="shared" si="143"/>
        <v>EFN2O</v>
      </c>
      <c r="V254">
        <f t="shared" si="144"/>
        <v>0</v>
      </c>
      <c r="W254">
        <v>0</v>
      </c>
      <c r="X254">
        <f t="shared" si="145"/>
        <v>0</v>
      </c>
      <c r="Y254">
        <f t="shared" si="146"/>
        <v>0</v>
      </c>
      <c r="Z254">
        <f t="shared" si="147"/>
        <v>1</v>
      </c>
      <c r="AA254">
        <f t="shared" si="148"/>
        <v>0.43585000000000007</v>
      </c>
      <c r="AC254">
        <f>Tables!CC172</f>
        <v>3</v>
      </c>
      <c r="AD254">
        <f t="shared" si="149"/>
        <v>0.99999998477002028</v>
      </c>
      <c r="AE254">
        <f t="shared" si="150"/>
        <v>0.47750864762612716</v>
      </c>
      <c r="AF254">
        <f t="shared" si="151"/>
        <v>0.47750864035368012</v>
      </c>
      <c r="AG254">
        <f t="shared" si="152"/>
        <v>3.3425604824757614E-2</v>
      </c>
      <c r="AH254">
        <f t="shared" si="153"/>
        <v>0</v>
      </c>
      <c r="AI254">
        <f t="shared" si="154"/>
        <v>0.22399946822365285</v>
      </c>
      <c r="AJ254">
        <f t="shared" si="155"/>
        <v>0</v>
      </c>
      <c r="AK254">
        <f t="shared" si="156"/>
        <v>0</v>
      </c>
      <c r="AL254" t="e">
        <f t="shared" si="157"/>
        <v>#N/A</v>
      </c>
      <c r="AM254" t="e">
        <f t="shared" si="158"/>
        <v>#N/A</v>
      </c>
      <c r="AN254" t="e">
        <f t="shared" si="159"/>
        <v>#N/A</v>
      </c>
      <c r="AO254" t="e">
        <f t="shared" si="160"/>
        <v>#N/A</v>
      </c>
    </row>
    <row r="255" spans="5:41" x14ac:dyDescent="0.2">
      <c r="E255" t="s">
        <v>131</v>
      </c>
      <c r="F255" t="s">
        <v>115</v>
      </c>
      <c r="G255" t="s">
        <v>149</v>
      </c>
      <c r="H255">
        <v>20</v>
      </c>
      <c r="I255">
        <v>0</v>
      </c>
      <c r="J255">
        <v>0</v>
      </c>
      <c r="L255">
        <v>31</v>
      </c>
      <c r="M255">
        <f>Tables!CC47</f>
        <v>7.0000000000000007E-2</v>
      </c>
      <c r="O255">
        <f>Tables!CC85</f>
        <v>0.55000000000000004</v>
      </c>
      <c r="P255">
        <v>66</v>
      </c>
      <c r="Q255">
        <v>66</v>
      </c>
      <c r="R255" t="e">
        <f t="shared" si="161"/>
        <v>#N/A</v>
      </c>
      <c r="S255" t="e">
        <f t="shared" si="162"/>
        <v>#N/A</v>
      </c>
      <c r="T255" t="e">
        <f t="shared" si="163"/>
        <v>#N/A</v>
      </c>
      <c r="U255" t="str">
        <f t="shared" si="143"/>
        <v>EFN2O</v>
      </c>
      <c r="V255">
        <f t="shared" si="144"/>
        <v>0</v>
      </c>
      <c r="W255">
        <v>0</v>
      </c>
      <c r="X255">
        <f t="shared" si="145"/>
        <v>0</v>
      </c>
      <c r="Y255">
        <f t="shared" si="146"/>
        <v>0</v>
      </c>
      <c r="Z255">
        <f t="shared" si="147"/>
        <v>1</v>
      </c>
      <c r="AA255">
        <f t="shared" si="148"/>
        <v>0.43585000000000007</v>
      </c>
      <c r="AC255">
        <f>Tables!CC184</f>
        <v>3</v>
      </c>
      <c r="AD255">
        <f t="shared" si="149"/>
        <v>0.99999998477002028</v>
      </c>
      <c r="AE255">
        <f t="shared" si="150"/>
        <v>1.1785209149153895</v>
      </c>
      <c r="AF255">
        <f t="shared" si="151"/>
        <v>1.1785208969665397</v>
      </c>
      <c r="AG255">
        <f t="shared" si="152"/>
        <v>8.2496462787657793E-2</v>
      </c>
      <c r="AH255">
        <f t="shared" si="153"/>
        <v>0</v>
      </c>
      <c r="AI255">
        <f t="shared" si="154"/>
        <v>0.58589086381841549</v>
      </c>
      <c r="AJ255">
        <f t="shared" si="155"/>
        <v>0</v>
      </c>
      <c r="AK255">
        <f t="shared" si="156"/>
        <v>0</v>
      </c>
      <c r="AL255" t="e">
        <f t="shared" si="157"/>
        <v>#N/A</v>
      </c>
      <c r="AM255" t="e">
        <f t="shared" si="158"/>
        <v>#N/A</v>
      </c>
      <c r="AN255" t="e">
        <f t="shared" si="159"/>
        <v>#N/A</v>
      </c>
      <c r="AO255" t="e">
        <f t="shared" si="160"/>
        <v>#N/A</v>
      </c>
    </row>
    <row r="256" spans="5:41" x14ac:dyDescent="0.2">
      <c r="F256" t="s">
        <v>115</v>
      </c>
      <c r="G256" t="s">
        <v>150</v>
      </c>
      <c r="H256">
        <v>15</v>
      </c>
      <c r="I256">
        <v>0</v>
      </c>
      <c r="J256">
        <v>0</v>
      </c>
      <c r="L256">
        <v>28</v>
      </c>
      <c r="M256">
        <f>Tables!CC47</f>
        <v>7.0000000000000007E-2</v>
      </c>
      <c r="O256">
        <f>Tables!CC85</f>
        <v>0.55000000000000004</v>
      </c>
      <c r="P256">
        <v>67</v>
      </c>
      <c r="Q256">
        <v>67</v>
      </c>
      <c r="R256" t="e">
        <f t="shared" si="161"/>
        <v>#N/A</v>
      </c>
      <c r="S256" t="e">
        <f t="shared" si="162"/>
        <v>#N/A</v>
      </c>
      <c r="T256" t="e">
        <f t="shared" si="163"/>
        <v>#N/A</v>
      </c>
      <c r="U256" t="str">
        <f t="shared" si="143"/>
        <v>EFN2O</v>
      </c>
      <c r="V256">
        <f t="shared" si="144"/>
        <v>0</v>
      </c>
      <c r="W256">
        <v>0</v>
      </c>
      <c r="X256">
        <f t="shared" si="145"/>
        <v>0</v>
      </c>
      <c r="Y256">
        <f t="shared" si="146"/>
        <v>0</v>
      </c>
      <c r="Z256">
        <f t="shared" si="147"/>
        <v>1</v>
      </c>
      <c r="AA256">
        <f t="shared" si="148"/>
        <v>0.43585000000000007</v>
      </c>
      <c r="AC256">
        <f>Tables!CC184</f>
        <v>3</v>
      </c>
      <c r="AD256">
        <f t="shared" si="149"/>
        <v>0.99999998477002028</v>
      </c>
      <c r="AE256">
        <f t="shared" si="150"/>
        <v>1.199077422939921</v>
      </c>
      <c r="AF256">
        <f t="shared" si="151"/>
        <v>1.1990774046779962</v>
      </c>
      <c r="AG256">
        <f t="shared" si="152"/>
        <v>8.3935418327459738E-2</v>
      </c>
      <c r="AH256">
        <f t="shared" si="153"/>
        <v>0</v>
      </c>
      <c r="AI256">
        <f t="shared" si="154"/>
        <v>0.59709629700147104</v>
      </c>
      <c r="AJ256">
        <f t="shared" si="155"/>
        <v>0</v>
      </c>
      <c r="AK256">
        <f t="shared" si="156"/>
        <v>0</v>
      </c>
      <c r="AL256" t="e">
        <f t="shared" si="157"/>
        <v>#N/A</v>
      </c>
      <c r="AM256" t="e">
        <f t="shared" si="158"/>
        <v>#N/A</v>
      </c>
      <c r="AN256" t="e">
        <f t="shared" si="159"/>
        <v>#N/A</v>
      </c>
      <c r="AO256" t="e">
        <f t="shared" si="160"/>
        <v>#N/A</v>
      </c>
    </row>
    <row r="257" spans="5:41" x14ac:dyDescent="0.2">
      <c r="F257" t="s">
        <v>117</v>
      </c>
      <c r="G257" t="s">
        <v>151</v>
      </c>
      <c r="H257">
        <v>10</v>
      </c>
      <c r="I257">
        <v>0</v>
      </c>
      <c r="J257">
        <v>0</v>
      </c>
      <c r="L257">
        <v>31</v>
      </c>
      <c r="M257">
        <f>Tables!CC48</f>
        <v>0.13</v>
      </c>
      <c r="O257">
        <f>Tables!CC78</f>
        <v>0.65</v>
      </c>
      <c r="P257">
        <v>68</v>
      </c>
      <c r="Q257">
        <v>68</v>
      </c>
      <c r="R257" t="e">
        <f t="shared" si="161"/>
        <v>#N/A</v>
      </c>
      <c r="S257" t="e">
        <f t="shared" si="162"/>
        <v>#N/A</v>
      </c>
      <c r="T257" t="e">
        <f t="shared" si="163"/>
        <v>#N/A</v>
      </c>
      <c r="U257" t="str">
        <f t="shared" si="143"/>
        <v>EFN2O</v>
      </c>
      <c r="V257">
        <f t="shared" si="144"/>
        <v>0</v>
      </c>
      <c r="W257">
        <v>0</v>
      </c>
      <c r="X257">
        <f t="shared" si="145"/>
        <v>0</v>
      </c>
      <c r="Y257">
        <f t="shared" si="146"/>
        <v>0</v>
      </c>
      <c r="Z257">
        <f t="shared" si="147"/>
        <v>1</v>
      </c>
      <c r="AA257">
        <f t="shared" si="148"/>
        <v>0.51535000000000009</v>
      </c>
      <c r="AC257">
        <f>Tables!CC185</f>
        <v>1.8</v>
      </c>
      <c r="AD257">
        <f t="shared" si="149"/>
        <v>0.99846618932067555</v>
      </c>
      <c r="AE257">
        <f t="shared" si="150"/>
        <v>1.4168488294882187</v>
      </c>
      <c r="AF257">
        <f t="shared" si="151"/>
        <v>1.4146756516225614</v>
      </c>
      <c r="AG257">
        <f t="shared" si="152"/>
        <v>0.18390783471093297</v>
      </c>
      <c r="AH257">
        <f t="shared" si="153"/>
        <v>0</v>
      </c>
      <c r="AI257">
        <f t="shared" si="154"/>
        <v>0.57518876603964519</v>
      </c>
      <c r="AJ257">
        <f t="shared" si="155"/>
        <v>0</v>
      </c>
      <c r="AK257">
        <f t="shared" si="156"/>
        <v>0</v>
      </c>
      <c r="AL257" t="e">
        <f t="shared" si="157"/>
        <v>#N/A</v>
      </c>
      <c r="AM257" t="e">
        <f t="shared" si="158"/>
        <v>#N/A</v>
      </c>
      <c r="AN257" t="e">
        <f t="shared" si="159"/>
        <v>#N/A</v>
      </c>
      <c r="AO257" t="e">
        <f t="shared" si="160"/>
        <v>#N/A</v>
      </c>
    </row>
    <row r="258" spans="5:41" x14ac:dyDescent="0.2">
      <c r="F258" t="s">
        <v>117</v>
      </c>
      <c r="G258" t="s">
        <v>152</v>
      </c>
      <c r="H258">
        <v>25</v>
      </c>
      <c r="I258">
        <v>0</v>
      </c>
      <c r="J258">
        <v>0</v>
      </c>
      <c r="L258">
        <v>30</v>
      </c>
      <c r="M258">
        <f>Tables!CC48</f>
        <v>0.13</v>
      </c>
      <c r="O258">
        <f>Tables!CC78</f>
        <v>0.65</v>
      </c>
      <c r="P258">
        <v>67</v>
      </c>
      <c r="Q258">
        <v>67</v>
      </c>
      <c r="R258" t="e">
        <f t="shared" si="161"/>
        <v>#N/A</v>
      </c>
      <c r="S258" t="e">
        <f t="shared" si="162"/>
        <v>#N/A</v>
      </c>
      <c r="T258" t="e">
        <f t="shared" si="163"/>
        <v>#N/A</v>
      </c>
      <c r="U258" t="str">
        <f t="shared" si="143"/>
        <v>EFN2O</v>
      </c>
      <c r="V258">
        <f t="shared" si="144"/>
        <v>0</v>
      </c>
      <c r="W258">
        <v>0</v>
      </c>
      <c r="X258">
        <f t="shared" si="145"/>
        <v>0</v>
      </c>
      <c r="Y258">
        <f t="shared" si="146"/>
        <v>0</v>
      </c>
      <c r="Z258">
        <f t="shared" si="147"/>
        <v>1</v>
      </c>
      <c r="AA258">
        <f t="shared" si="148"/>
        <v>0.51535000000000009</v>
      </c>
      <c r="AC258">
        <f>Tables!CC185</f>
        <v>1.8</v>
      </c>
      <c r="AD258">
        <f t="shared" si="149"/>
        <v>0.99846618932067555</v>
      </c>
      <c r="AE258">
        <f t="shared" si="150"/>
        <v>1.3940034864345587</v>
      </c>
      <c r="AF258">
        <f t="shared" si="151"/>
        <v>1.3918653490000499</v>
      </c>
      <c r="AG258">
        <f t="shared" si="152"/>
        <v>0.18094249537000648</v>
      </c>
      <c r="AH258">
        <f t="shared" si="153"/>
        <v>0</v>
      </c>
      <c r="AI258">
        <f t="shared" si="154"/>
        <v>0.56464443813989862</v>
      </c>
      <c r="AJ258">
        <f t="shared" si="155"/>
        <v>0</v>
      </c>
      <c r="AK258">
        <f t="shared" si="156"/>
        <v>0</v>
      </c>
      <c r="AL258" t="e">
        <f t="shared" si="157"/>
        <v>#N/A</v>
      </c>
      <c r="AM258" t="e">
        <f t="shared" si="158"/>
        <v>#N/A</v>
      </c>
      <c r="AN258" t="e">
        <f t="shared" si="159"/>
        <v>#N/A</v>
      </c>
      <c r="AO258" t="e">
        <f t="shared" si="160"/>
        <v>#N/A</v>
      </c>
    </row>
    <row r="259" spans="5:41" x14ac:dyDescent="0.2">
      <c r="F259" t="s">
        <v>117</v>
      </c>
      <c r="G259" t="s">
        <v>153</v>
      </c>
      <c r="H259">
        <v>25</v>
      </c>
      <c r="I259">
        <v>0</v>
      </c>
      <c r="J259">
        <v>0</v>
      </c>
      <c r="L259">
        <v>31</v>
      </c>
      <c r="M259">
        <f>Tables!CC48</f>
        <v>0.13</v>
      </c>
      <c r="O259">
        <f>Tables!CC78</f>
        <v>0.65</v>
      </c>
      <c r="Q259">
        <f>Tables!CC114</f>
        <v>65</v>
      </c>
      <c r="R259" t="e">
        <f t="shared" si="161"/>
        <v>#N/A</v>
      </c>
      <c r="S259" t="e">
        <f t="shared" si="162"/>
        <v>#N/A</v>
      </c>
      <c r="T259" t="e">
        <f t="shared" si="163"/>
        <v>#N/A</v>
      </c>
      <c r="U259" t="str">
        <f t="shared" si="143"/>
        <v>EFN2O</v>
      </c>
      <c r="V259">
        <f t="shared" si="144"/>
        <v>0</v>
      </c>
      <c r="W259">
        <v>0</v>
      </c>
      <c r="X259">
        <f t="shared" si="145"/>
        <v>0</v>
      </c>
      <c r="Y259">
        <f t="shared" si="146"/>
        <v>0</v>
      </c>
      <c r="Z259">
        <f t="shared" si="147"/>
        <v>1</v>
      </c>
      <c r="AA259">
        <f t="shared" si="148"/>
        <v>0.51535000000000009</v>
      </c>
      <c r="AC259">
        <f>Tables!CC185</f>
        <v>1.8</v>
      </c>
      <c r="AD259">
        <f t="shared" si="149"/>
        <v>0.99846618932067555</v>
      </c>
      <c r="AE259">
        <f t="shared" si="150"/>
        <v>1.3486207988995054</v>
      </c>
      <c r="AF259">
        <f t="shared" si="151"/>
        <v>1.3465522699157941</v>
      </c>
      <c r="AG259">
        <f t="shared" si="152"/>
        <v>0.17505179508905325</v>
      </c>
      <c r="AH259">
        <f t="shared" si="153"/>
        <v>0</v>
      </c>
      <c r="AI259">
        <f t="shared" si="154"/>
        <v>0.54382141509514303</v>
      </c>
      <c r="AJ259">
        <f t="shared" si="155"/>
        <v>0</v>
      </c>
      <c r="AK259">
        <f t="shared" si="156"/>
        <v>0</v>
      </c>
      <c r="AL259" t="e">
        <f t="shared" si="157"/>
        <v>#N/A</v>
      </c>
      <c r="AM259" t="e">
        <f t="shared" si="158"/>
        <v>#N/A</v>
      </c>
      <c r="AN259" t="e">
        <f t="shared" si="159"/>
        <v>#N/A</v>
      </c>
      <c r="AO259" t="e">
        <f t="shared" si="160"/>
        <v>#N/A</v>
      </c>
    </row>
    <row r="260" spans="5:41" x14ac:dyDescent="0.2">
      <c r="F260" t="s">
        <v>119</v>
      </c>
      <c r="G260" t="s">
        <v>154</v>
      </c>
      <c r="H260">
        <v>22</v>
      </c>
      <c r="I260">
        <v>0</v>
      </c>
      <c r="J260">
        <v>0</v>
      </c>
      <c r="L260">
        <v>30</v>
      </c>
      <c r="M260">
        <f>Tables!CC49</f>
        <v>0.1</v>
      </c>
      <c r="O260">
        <f>Tables!CC79</f>
        <v>0.6</v>
      </c>
      <c r="Q260">
        <f>Tables!CC115</f>
        <v>60</v>
      </c>
      <c r="R260" t="e">
        <f t="shared" si="161"/>
        <v>#N/A</v>
      </c>
      <c r="S260" t="e">
        <f t="shared" si="162"/>
        <v>#N/A</v>
      </c>
      <c r="T260" t="e">
        <f t="shared" si="163"/>
        <v>#N/A</v>
      </c>
      <c r="U260" t="str">
        <f t="shared" si="143"/>
        <v>EFN2O</v>
      </c>
      <c r="V260">
        <f t="shared" si="144"/>
        <v>0</v>
      </c>
      <c r="W260">
        <v>0</v>
      </c>
      <c r="X260">
        <f t="shared" si="145"/>
        <v>0</v>
      </c>
      <c r="Y260">
        <f t="shared" si="146"/>
        <v>0</v>
      </c>
      <c r="Z260">
        <f t="shared" si="147"/>
        <v>1</v>
      </c>
      <c r="AA260">
        <f t="shared" si="148"/>
        <v>0.47559999999999997</v>
      </c>
      <c r="AC260">
        <f>Tables!CC186</f>
        <v>1</v>
      </c>
      <c r="AD260">
        <f t="shared" si="149"/>
        <v>0.8646647167633873</v>
      </c>
      <c r="AE260">
        <f t="shared" si="150"/>
        <v>1.1472289977258807</v>
      </c>
      <c r="AF260">
        <f t="shared" si="151"/>
        <v>0.99196843638139331</v>
      </c>
      <c r="AG260">
        <f t="shared" si="152"/>
        <v>9.919684363813934E-2</v>
      </c>
      <c r="AH260">
        <f t="shared" si="153"/>
        <v>0</v>
      </c>
      <c r="AI260">
        <f t="shared" si="154"/>
        <v>0.43614742970363524</v>
      </c>
      <c r="AJ260">
        <f t="shared" si="155"/>
        <v>0</v>
      </c>
      <c r="AK260">
        <f t="shared" si="156"/>
        <v>0</v>
      </c>
      <c r="AL260" t="e">
        <f t="shared" si="157"/>
        <v>#N/A</v>
      </c>
      <c r="AM260" t="e">
        <f t="shared" si="158"/>
        <v>#N/A</v>
      </c>
      <c r="AN260" t="e">
        <f t="shared" si="159"/>
        <v>#N/A</v>
      </c>
      <c r="AO260" t="e">
        <f t="shared" si="160"/>
        <v>#N/A</v>
      </c>
    </row>
    <row r="261" spans="5:41" x14ac:dyDescent="0.2">
      <c r="F261" t="s">
        <v>119</v>
      </c>
      <c r="G261" t="s">
        <v>155</v>
      </c>
      <c r="H261">
        <v>22</v>
      </c>
      <c r="I261">
        <v>0</v>
      </c>
      <c r="J261">
        <v>0</v>
      </c>
      <c r="L261">
        <v>31</v>
      </c>
      <c r="M261">
        <f>Tables!CC49</f>
        <v>0.1</v>
      </c>
      <c r="O261">
        <f>Tables!CC79</f>
        <v>0.6</v>
      </c>
      <c r="Q261">
        <f>Tables!CC115</f>
        <v>60</v>
      </c>
      <c r="R261" t="e">
        <f t="shared" si="161"/>
        <v>#N/A</v>
      </c>
      <c r="S261" t="e">
        <f t="shared" si="162"/>
        <v>#N/A</v>
      </c>
      <c r="T261" t="e">
        <f t="shared" si="163"/>
        <v>#N/A</v>
      </c>
      <c r="U261" t="str">
        <f t="shared" si="143"/>
        <v>EFN2O</v>
      </c>
      <c r="V261">
        <f t="shared" si="144"/>
        <v>0</v>
      </c>
      <c r="W261">
        <v>0</v>
      </c>
      <c r="X261">
        <f t="shared" si="145"/>
        <v>0</v>
      </c>
      <c r="Y261">
        <f t="shared" si="146"/>
        <v>0</v>
      </c>
      <c r="Z261">
        <f t="shared" si="147"/>
        <v>1</v>
      </c>
      <c r="AA261">
        <f t="shared" si="148"/>
        <v>0.47559999999999997</v>
      </c>
      <c r="AC261">
        <f>Tables!CC186</f>
        <v>1</v>
      </c>
      <c r="AD261">
        <f t="shared" si="149"/>
        <v>0.8646647167633873</v>
      </c>
      <c r="AE261">
        <f t="shared" si="150"/>
        <v>1.1472289977258807</v>
      </c>
      <c r="AF261">
        <f t="shared" si="151"/>
        <v>0.99196843638139331</v>
      </c>
      <c r="AG261">
        <f t="shared" si="152"/>
        <v>9.919684363813934E-2</v>
      </c>
      <c r="AH261">
        <f t="shared" si="153"/>
        <v>0</v>
      </c>
      <c r="AI261">
        <f t="shared" si="154"/>
        <v>0.43614742970363524</v>
      </c>
      <c r="AJ261">
        <f t="shared" si="155"/>
        <v>0</v>
      </c>
      <c r="AK261">
        <f t="shared" si="156"/>
        <v>0</v>
      </c>
      <c r="AL261" t="e">
        <f t="shared" si="157"/>
        <v>#N/A</v>
      </c>
      <c r="AM261" t="e">
        <f t="shared" si="158"/>
        <v>#N/A</v>
      </c>
      <c r="AN261" t="e">
        <f t="shared" si="159"/>
        <v>#N/A</v>
      </c>
      <c r="AO261" t="e">
        <f t="shared" si="160"/>
        <v>#N/A</v>
      </c>
    </row>
    <row r="262" spans="5:41" x14ac:dyDescent="0.2">
      <c r="F262" t="s">
        <v>119</v>
      </c>
      <c r="G262" t="s">
        <v>156</v>
      </c>
      <c r="H262">
        <v>20</v>
      </c>
      <c r="I262">
        <v>0</v>
      </c>
      <c r="J262">
        <v>0</v>
      </c>
      <c r="L262">
        <v>31</v>
      </c>
      <c r="M262">
        <f>Tables!CC49</f>
        <v>0.1</v>
      </c>
      <c r="O262">
        <f>Tables!CC79</f>
        <v>0.6</v>
      </c>
      <c r="Q262">
        <f>Tables!CC115</f>
        <v>60</v>
      </c>
      <c r="R262" t="e">
        <f t="shared" si="161"/>
        <v>#N/A</v>
      </c>
      <c r="S262" t="e">
        <f t="shared" si="162"/>
        <v>#N/A</v>
      </c>
      <c r="T262" t="e">
        <f t="shared" si="163"/>
        <v>#N/A</v>
      </c>
      <c r="U262" t="str">
        <f t="shared" si="143"/>
        <v>EFN2O</v>
      </c>
      <c r="V262">
        <f t="shared" si="144"/>
        <v>0</v>
      </c>
      <c r="W262">
        <v>0</v>
      </c>
      <c r="X262">
        <f t="shared" si="145"/>
        <v>0</v>
      </c>
      <c r="Y262">
        <f t="shared" si="146"/>
        <v>0</v>
      </c>
      <c r="Z262">
        <f t="shared" si="147"/>
        <v>1</v>
      </c>
      <c r="AA262">
        <f t="shared" si="148"/>
        <v>0.47559999999999997</v>
      </c>
      <c r="AC262">
        <f>Tables!CC186</f>
        <v>1</v>
      </c>
      <c r="AD262">
        <f t="shared" si="149"/>
        <v>0.8646647167633873</v>
      </c>
      <c r="AE262">
        <f t="shared" si="150"/>
        <v>1.1472289977258807</v>
      </c>
      <c r="AF262">
        <f t="shared" si="151"/>
        <v>0.99196843638139331</v>
      </c>
      <c r="AG262">
        <f t="shared" si="152"/>
        <v>9.919684363813934E-2</v>
      </c>
      <c r="AH262">
        <f t="shared" si="153"/>
        <v>0</v>
      </c>
      <c r="AI262">
        <f t="shared" si="154"/>
        <v>0.43614742970363524</v>
      </c>
      <c r="AJ262">
        <f t="shared" si="155"/>
        <v>0</v>
      </c>
      <c r="AK262">
        <f t="shared" si="156"/>
        <v>0</v>
      </c>
      <c r="AL262" t="e">
        <f t="shared" si="157"/>
        <v>#N/A</v>
      </c>
      <c r="AM262" t="e">
        <f t="shared" si="158"/>
        <v>#N/A</v>
      </c>
      <c r="AN262" t="e">
        <f t="shared" si="159"/>
        <v>#N/A</v>
      </c>
      <c r="AO262" t="e">
        <f t="shared" si="160"/>
        <v>#N/A</v>
      </c>
    </row>
    <row r="263" spans="5:41" x14ac:dyDescent="0.2">
      <c r="F263" t="s">
        <v>113</v>
      </c>
      <c r="G263" t="s">
        <v>157</v>
      </c>
      <c r="H263">
        <v>18</v>
      </c>
      <c r="I263">
        <v>0</v>
      </c>
      <c r="J263">
        <v>0</v>
      </c>
      <c r="L263">
        <v>30</v>
      </c>
      <c r="M263">
        <f>Tables!CC46</f>
        <v>0.16</v>
      </c>
      <c r="O263">
        <f>Tables!CC76</f>
        <v>0.7</v>
      </c>
      <c r="Q263">
        <f>Tables!CC112</f>
        <v>70</v>
      </c>
      <c r="R263" t="e">
        <f t="shared" si="161"/>
        <v>#N/A</v>
      </c>
      <c r="S263" t="e">
        <f t="shared" si="162"/>
        <v>#N/A</v>
      </c>
      <c r="T263" t="e">
        <f t="shared" si="163"/>
        <v>#N/A</v>
      </c>
      <c r="U263" t="str">
        <f t="shared" si="143"/>
        <v>EFN2O</v>
      </c>
      <c r="V263">
        <f t="shared" si="144"/>
        <v>0</v>
      </c>
      <c r="W263">
        <v>0</v>
      </c>
      <c r="X263">
        <f t="shared" si="145"/>
        <v>0</v>
      </c>
      <c r="Y263">
        <f t="shared" si="146"/>
        <v>0</v>
      </c>
      <c r="Z263">
        <f t="shared" si="147"/>
        <v>1</v>
      </c>
      <c r="AA263">
        <f t="shared" si="148"/>
        <v>0.55510000000000004</v>
      </c>
      <c r="AC263">
        <f>Tables!CC183</f>
        <v>3.2</v>
      </c>
      <c r="AD263">
        <f t="shared" si="149"/>
        <v>0.99999999872459233</v>
      </c>
      <c r="AE263">
        <f t="shared" si="150"/>
        <v>1.5635664662315347</v>
      </c>
      <c r="AF263">
        <f t="shared" si="151"/>
        <v>1.5635664642373501</v>
      </c>
      <c r="AG263">
        <f t="shared" si="152"/>
        <v>0.25017063427797603</v>
      </c>
      <c r="AH263">
        <f t="shared" si="153"/>
        <v>0</v>
      </c>
      <c r="AI263">
        <f t="shared" si="154"/>
        <v>0.56685954279471273</v>
      </c>
      <c r="AJ263">
        <f t="shared" si="155"/>
        <v>0</v>
      </c>
      <c r="AK263">
        <f t="shared" si="156"/>
        <v>0</v>
      </c>
      <c r="AL263" t="e">
        <f t="shared" si="157"/>
        <v>#N/A</v>
      </c>
      <c r="AM263" t="e">
        <f t="shared" si="158"/>
        <v>#N/A</v>
      </c>
      <c r="AN263" t="e">
        <f t="shared" si="159"/>
        <v>#N/A</v>
      </c>
      <c r="AO263" t="e">
        <f t="shared" si="160"/>
        <v>#N/A</v>
      </c>
    </row>
    <row r="264" spans="5:41" x14ac:dyDescent="0.2">
      <c r="F264" t="s">
        <v>113</v>
      </c>
      <c r="G264" t="s">
        <v>158</v>
      </c>
      <c r="H264">
        <v>18</v>
      </c>
      <c r="I264">
        <v>0</v>
      </c>
      <c r="J264">
        <v>0</v>
      </c>
      <c r="L264">
        <v>31</v>
      </c>
      <c r="M264">
        <f>Tables!CC46</f>
        <v>0.16</v>
      </c>
      <c r="O264">
        <f>Tables!CC76</f>
        <v>0.7</v>
      </c>
      <c r="Q264">
        <f>Tables!CC112</f>
        <v>70</v>
      </c>
      <c r="R264" t="e">
        <f t="shared" si="161"/>
        <v>#N/A</v>
      </c>
      <c r="S264" t="e">
        <f t="shared" si="162"/>
        <v>#N/A</v>
      </c>
      <c r="T264" t="e">
        <f t="shared" si="163"/>
        <v>#N/A</v>
      </c>
      <c r="U264" t="str">
        <f t="shared" si="143"/>
        <v>EFN2O</v>
      </c>
      <c r="V264">
        <f t="shared" si="144"/>
        <v>0</v>
      </c>
      <c r="W264">
        <v>0</v>
      </c>
      <c r="X264">
        <f t="shared" si="145"/>
        <v>0</v>
      </c>
      <c r="Y264">
        <f t="shared" si="146"/>
        <v>0</v>
      </c>
      <c r="Z264">
        <f t="shared" si="147"/>
        <v>1</v>
      </c>
      <c r="AA264">
        <f t="shared" si="148"/>
        <v>0.55510000000000004</v>
      </c>
      <c r="AC264">
        <f>Tables!CC183</f>
        <v>3.2</v>
      </c>
      <c r="AD264">
        <f t="shared" si="149"/>
        <v>0.99999999872459233</v>
      </c>
      <c r="AE264">
        <f t="shared" si="150"/>
        <v>1.5635664662315347</v>
      </c>
      <c r="AF264">
        <f t="shared" si="151"/>
        <v>1.5635664642373501</v>
      </c>
      <c r="AG264">
        <f t="shared" si="152"/>
        <v>0.25017063427797603</v>
      </c>
      <c r="AH264">
        <f t="shared" si="153"/>
        <v>0</v>
      </c>
      <c r="AI264">
        <f t="shared" si="154"/>
        <v>0.56685954279471273</v>
      </c>
      <c r="AJ264">
        <f t="shared" si="155"/>
        <v>0</v>
      </c>
      <c r="AK264">
        <f t="shared" si="156"/>
        <v>0</v>
      </c>
      <c r="AL264" t="e">
        <f t="shared" si="157"/>
        <v>#N/A</v>
      </c>
      <c r="AM264" t="e">
        <f t="shared" si="158"/>
        <v>#N/A</v>
      </c>
      <c r="AN264" t="e">
        <f t="shared" si="159"/>
        <v>#N/A</v>
      </c>
      <c r="AO264" t="e">
        <f t="shared" si="160"/>
        <v>#N/A</v>
      </c>
    </row>
    <row r="265" spans="5:41" x14ac:dyDescent="0.2">
      <c r="F265" t="s">
        <v>113</v>
      </c>
      <c r="G265" t="s">
        <v>159</v>
      </c>
      <c r="H265">
        <v>19</v>
      </c>
      <c r="I265">
        <v>0</v>
      </c>
      <c r="J265">
        <v>0</v>
      </c>
      <c r="L265">
        <v>30</v>
      </c>
      <c r="M265">
        <f>Tables!CC46</f>
        <v>0.16</v>
      </c>
      <c r="O265">
        <f>Tables!CC76</f>
        <v>0.7</v>
      </c>
      <c r="Q265">
        <f>Tables!CC112</f>
        <v>70</v>
      </c>
      <c r="R265" t="e">
        <f t="shared" si="161"/>
        <v>#N/A</v>
      </c>
      <c r="S265" t="e">
        <f t="shared" si="162"/>
        <v>#N/A</v>
      </c>
      <c r="T265" t="e">
        <f t="shared" si="163"/>
        <v>#N/A</v>
      </c>
      <c r="U265" t="str">
        <f t="shared" si="143"/>
        <v>EFN2O</v>
      </c>
      <c r="V265">
        <f t="shared" si="144"/>
        <v>0</v>
      </c>
      <c r="W265">
        <v>0</v>
      </c>
      <c r="X265">
        <f t="shared" si="145"/>
        <v>0</v>
      </c>
      <c r="Y265">
        <f t="shared" si="146"/>
        <v>0</v>
      </c>
      <c r="Z265">
        <f t="shared" si="147"/>
        <v>1</v>
      </c>
      <c r="AA265">
        <f t="shared" si="148"/>
        <v>0.55510000000000004</v>
      </c>
      <c r="AC265">
        <f>Tables!CC183</f>
        <v>3.2</v>
      </c>
      <c r="AD265">
        <f t="shared" si="149"/>
        <v>0.99999999872459233</v>
      </c>
      <c r="AE265">
        <f t="shared" si="150"/>
        <v>1.5635664662315347</v>
      </c>
      <c r="AF265">
        <f t="shared" si="151"/>
        <v>1.5635664642373501</v>
      </c>
      <c r="AG265">
        <f t="shared" si="152"/>
        <v>0.25017063427797603</v>
      </c>
      <c r="AH265">
        <f t="shared" si="153"/>
        <v>0</v>
      </c>
      <c r="AI265">
        <f t="shared" si="154"/>
        <v>0.56685954279471273</v>
      </c>
      <c r="AJ265">
        <f t="shared" si="155"/>
        <v>0</v>
      </c>
      <c r="AK265">
        <f t="shared" si="156"/>
        <v>0</v>
      </c>
      <c r="AL265" t="e">
        <f t="shared" si="157"/>
        <v>#N/A</v>
      </c>
      <c r="AM265" t="e">
        <f t="shared" si="158"/>
        <v>#N/A</v>
      </c>
      <c r="AN265" t="e">
        <f t="shared" si="159"/>
        <v>#N/A</v>
      </c>
      <c r="AO265" t="e">
        <f t="shared" si="160"/>
        <v>#N/A</v>
      </c>
    </row>
    <row r="266" spans="5:41" x14ac:dyDescent="0.2">
      <c r="F266" t="s">
        <v>115</v>
      </c>
      <c r="G266" t="s">
        <v>160</v>
      </c>
      <c r="H266">
        <v>20</v>
      </c>
      <c r="I266">
        <v>0</v>
      </c>
      <c r="J266">
        <v>0</v>
      </c>
      <c r="L266">
        <v>31</v>
      </c>
      <c r="M266">
        <f>Tables!CC47</f>
        <v>7.0000000000000007E-2</v>
      </c>
      <c r="O266">
        <f>Tables!CC77</f>
        <v>0.55000000000000004</v>
      </c>
      <c r="Q266">
        <f>Tables!CC113</f>
        <v>65</v>
      </c>
      <c r="R266" t="e">
        <f t="shared" si="161"/>
        <v>#N/A</v>
      </c>
      <c r="S266" t="e">
        <f t="shared" si="162"/>
        <v>#N/A</v>
      </c>
      <c r="T266" t="e">
        <f t="shared" si="163"/>
        <v>#N/A</v>
      </c>
      <c r="U266" t="str">
        <f t="shared" si="143"/>
        <v>EFN2O</v>
      </c>
      <c r="V266">
        <f t="shared" si="144"/>
        <v>0</v>
      </c>
      <c r="W266">
        <v>0</v>
      </c>
      <c r="X266">
        <f t="shared" si="145"/>
        <v>0</v>
      </c>
      <c r="Y266">
        <f t="shared" si="146"/>
        <v>0</v>
      </c>
      <c r="Z266">
        <f t="shared" si="147"/>
        <v>1</v>
      </c>
      <c r="AA266">
        <f t="shared" si="148"/>
        <v>0.43585000000000007</v>
      </c>
      <c r="AC266">
        <f>Tables!CC184</f>
        <v>3</v>
      </c>
      <c r="AD266">
        <f t="shared" si="149"/>
        <v>0.99999998477002028</v>
      </c>
      <c r="AE266">
        <f t="shared" si="150"/>
        <v>1.1580752413958724</v>
      </c>
      <c r="AF266">
        <f t="shared" si="151"/>
        <v>1.15807522375841</v>
      </c>
      <c r="AG266">
        <f t="shared" si="152"/>
        <v>8.1065265663088706E-2</v>
      </c>
      <c r="AH266">
        <f t="shared" si="153"/>
        <v>0</v>
      </c>
      <c r="AI266">
        <f t="shared" si="154"/>
        <v>0.57477937964660808</v>
      </c>
      <c r="AJ266">
        <f t="shared" si="155"/>
        <v>0</v>
      </c>
      <c r="AK266">
        <f t="shared" si="156"/>
        <v>0</v>
      </c>
      <c r="AL266" t="e">
        <f t="shared" si="157"/>
        <v>#N/A</v>
      </c>
      <c r="AM266" t="e">
        <f t="shared" si="158"/>
        <v>#N/A</v>
      </c>
      <c r="AN266" t="e">
        <f t="shared" si="159"/>
        <v>#N/A</v>
      </c>
      <c r="AO266" t="e">
        <f t="shared" si="160"/>
        <v>#N/A</v>
      </c>
    </row>
    <row r="267" spans="5:41" x14ac:dyDescent="0.2">
      <c r="E267" t="s">
        <v>132</v>
      </c>
      <c r="F267" t="s">
        <v>115</v>
      </c>
      <c r="G267" t="s">
        <v>149</v>
      </c>
      <c r="H267">
        <v>80</v>
      </c>
      <c r="I267">
        <v>0</v>
      </c>
      <c r="J267">
        <v>0</v>
      </c>
      <c r="L267">
        <v>31</v>
      </c>
      <c r="M267">
        <f>Tables!CC59</f>
        <v>7.0000000000000007E-2</v>
      </c>
      <c r="O267">
        <f>Tables!CC89</f>
        <v>0.55000000000000004</v>
      </c>
      <c r="Q267">
        <f>Tables!CC117</f>
        <v>55</v>
      </c>
      <c r="R267" t="e">
        <f t="shared" si="161"/>
        <v>#N/A</v>
      </c>
      <c r="S267" t="e">
        <f t="shared" si="162"/>
        <v>#N/A</v>
      </c>
      <c r="T267" t="e">
        <f t="shared" si="163"/>
        <v>#N/A</v>
      </c>
      <c r="U267" t="str">
        <f t="shared" si="143"/>
        <v>EFN2O</v>
      </c>
      <c r="V267">
        <f t="shared" si="144"/>
        <v>0</v>
      </c>
      <c r="W267">
        <v>0</v>
      </c>
      <c r="X267">
        <f t="shared" si="145"/>
        <v>0</v>
      </c>
      <c r="Y267">
        <f t="shared" si="146"/>
        <v>0</v>
      </c>
      <c r="Z267">
        <f t="shared" si="147"/>
        <v>1</v>
      </c>
      <c r="AA267">
        <f t="shared" si="148"/>
        <v>0.43585000000000007</v>
      </c>
      <c r="AC267">
        <f>Tables!CC188</f>
        <v>3</v>
      </c>
      <c r="AD267">
        <f t="shared" si="149"/>
        <v>0.99999998477002028</v>
      </c>
      <c r="AE267">
        <f t="shared" si="150"/>
        <v>0.95969823125361531</v>
      </c>
      <c r="AF267">
        <f t="shared" si="151"/>
        <v>0.95969821663743071</v>
      </c>
      <c r="AG267">
        <f t="shared" si="152"/>
        <v>6.717887516462015E-2</v>
      </c>
      <c r="AH267">
        <f t="shared" si="153"/>
        <v>0</v>
      </c>
      <c r="AI267">
        <f t="shared" si="154"/>
        <v>0.46870502416752635</v>
      </c>
      <c r="AJ267">
        <f t="shared" si="155"/>
        <v>0</v>
      </c>
      <c r="AK267">
        <f t="shared" si="156"/>
        <v>0</v>
      </c>
      <c r="AL267" t="e">
        <f t="shared" si="157"/>
        <v>#N/A</v>
      </c>
      <c r="AM267" t="e">
        <f t="shared" si="158"/>
        <v>#N/A</v>
      </c>
      <c r="AN267" t="e">
        <f t="shared" si="159"/>
        <v>#N/A</v>
      </c>
      <c r="AO267" t="e">
        <f t="shared" si="160"/>
        <v>#N/A</v>
      </c>
    </row>
    <row r="268" spans="5:41" x14ac:dyDescent="0.2">
      <c r="F268" t="s">
        <v>115</v>
      </c>
      <c r="G268" t="s">
        <v>150</v>
      </c>
      <c r="H268">
        <v>80</v>
      </c>
      <c r="I268">
        <v>0</v>
      </c>
      <c r="J268">
        <v>0</v>
      </c>
      <c r="L268">
        <v>28</v>
      </c>
      <c r="M268">
        <f>Tables!CC59</f>
        <v>7.0000000000000007E-2</v>
      </c>
      <c r="O268">
        <f>Tables!CC89</f>
        <v>0.55000000000000004</v>
      </c>
      <c r="Q268">
        <f>Tables!CC117</f>
        <v>55</v>
      </c>
      <c r="R268" t="e">
        <f t="shared" si="161"/>
        <v>#N/A</v>
      </c>
      <c r="S268" t="e">
        <f t="shared" si="162"/>
        <v>#N/A</v>
      </c>
      <c r="T268" t="e">
        <f t="shared" si="163"/>
        <v>#N/A</v>
      </c>
      <c r="U268" t="str">
        <f t="shared" si="143"/>
        <v>EFN2O</v>
      </c>
      <c r="V268">
        <f t="shared" si="144"/>
        <v>0</v>
      </c>
      <c r="W268">
        <v>0</v>
      </c>
      <c r="X268">
        <f t="shared" si="145"/>
        <v>0</v>
      </c>
      <c r="Y268">
        <f t="shared" si="146"/>
        <v>0</v>
      </c>
      <c r="Z268">
        <f t="shared" si="147"/>
        <v>1</v>
      </c>
      <c r="AA268">
        <f t="shared" si="148"/>
        <v>0.43585000000000007</v>
      </c>
      <c r="AC268">
        <f>Tables!CC188</f>
        <v>3</v>
      </c>
      <c r="AD268">
        <f t="shared" si="149"/>
        <v>0.99999998477002028</v>
      </c>
      <c r="AE268">
        <f t="shared" si="150"/>
        <v>0.95969823125361531</v>
      </c>
      <c r="AF268">
        <f t="shared" si="151"/>
        <v>0.95969821663743071</v>
      </c>
      <c r="AG268">
        <f t="shared" si="152"/>
        <v>6.717887516462015E-2</v>
      </c>
      <c r="AH268">
        <f t="shared" si="153"/>
        <v>0</v>
      </c>
      <c r="AI268">
        <f t="shared" si="154"/>
        <v>0.46870502416752635</v>
      </c>
      <c r="AJ268">
        <f t="shared" si="155"/>
        <v>0</v>
      </c>
      <c r="AK268">
        <f t="shared" si="156"/>
        <v>0</v>
      </c>
      <c r="AL268" t="e">
        <f t="shared" si="157"/>
        <v>#N/A</v>
      </c>
      <c r="AM268" t="e">
        <f t="shared" si="158"/>
        <v>#N/A</v>
      </c>
      <c r="AN268" t="e">
        <f t="shared" si="159"/>
        <v>#N/A</v>
      </c>
      <c r="AO268" t="e">
        <f t="shared" si="160"/>
        <v>#N/A</v>
      </c>
    </row>
    <row r="269" spans="5:41" x14ac:dyDescent="0.2">
      <c r="F269" t="s">
        <v>117</v>
      </c>
      <c r="G269" t="s">
        <v>151</v>
      </c>
      <c r="H269">
        <v>78</v>
      </c>
      <c r="I269">
        <v>0</v>
      </c>
      <c r="J269">
        <v>0</v>
      </c>
      <c r="L269">
        <v>31</v>
      </c>
      <c r="M269">
        <f>Tables!CC60</f>
        <v>0.13</v>
      </c>
      <c r="O269">
        <f>Tables!CC90</f>
        <v>0.65</v>
      </c>
      <c r="Q269">
        <f>Tables!CC118</f>
        <v>52</v>
      </c>
      <c r="R269" t="e">
        <f t="shared" si="161"/>
        <v>#N/A</v>
      </c>
      <c r="S269" t="e">
        <f t="shared" si="162"/>
        <v>#N/A</v>
      </c>
      <c r="T269" t="e">
        <f t="shared" si="163"/>
        <v>#N/A</v>
      </c>
      <c r="U269" t="str">
        <f t="shared" si="143"/>
        <v>EFN2O</v>
      </c>
      <c r="V269">
        <f t="shared" si="144"/>
        <v>0</v>
      </c>
      <c r="W269">
        <v>0</v>
      </c>
      <c r="X269">
        <f t="shared" si="145"/>
        <v>0</v>
      </c>
      <c r="Y269">
        <f t="shared" si="146"/>
        <v>0</v>
      </c>
      <c r="Z269">
        <f t="shared" si="147"/>
        <v>1</v>
      </c>
      <c r="AA269">
        <f t="shared" si="148"/>
        <v>0.51535000000000009</v>
      </c>
      <c r="AC269">
        <f>Tables!CC189</f>
        <v>1.8</v>
      </c>
      <c r="AD269">
        <f t="shared" si="149"/>
        <v>0.99846618932067555</v>
      </c>
      <c r="AE269">
        <f t="shared" si="150"/>
        <v>1.0635112555960096</v>
      </c>
      <c r="AF269">
        <f t="shared" si="151"/>
        <v>1.0618800306745946</v>
      </c>
      <c r="AG269">
        <f t="shared" si="152"/>
        <v>0.1380444039876973</v>
      </c>
      <c r="AH269">
        <f t="shared" si="153"/>
        <v>0</v>
      </c>
      <c r="AI269">
        <f t="shared" si="154"/>
        <v>0.41676157871792718</v>
      </c>
      <c r="AJ269">
        <f t="shared" si="155"/>
        <v>0</v>
      </c>
      <c r="AK269">
        <f t="shared" si="156"/>
        <v>0</v>
      </c>
      <c r="AL269" t="e">
        <f t="shared" si="157"/>
        <v>#N/A</v>
      </c>
      <c r="AM269" t="e">
        <f t="shared" si="158"/>
        <v>#N/A</v>
      </c>
      <c r="AN269" t="e">
        <f t="shared" si="159"/>
        <v>#N/A</v>
      </c>
      <c r="AO269" t="e">
        <f t="shared" si="160"/>
        <v>#N/A</v>
      </c>
    </row>
    <row r="270" spans="5:41" x14ac:dyDescent="0.2">
      <c r="F270" t="s">
        <v>117</v>
      </c>
      <c r="G270" t="s">
        <v>152</v>
      </c>
      <c r="H270">
        <v>78</v>
      </c>
      <c r="I270">
        <v>0</v>
      </c>
      <c r="J270">
        <v>0</v>
      </c>
      <c r="L270">
        <v>30</v>
      </c>
      <c r="M270">
        <f>Tables!CC60</f>
        <v>0.13</v>
      </c>
      <c r="O270">
        <f>Tables!CC90</f>
        <v>0.65</v>
      </c>
      <c r="Q270">
        <f>Tables!CC118</f>
        <v>52</v>
      </c>
      <c r="R270" t="e">
        <f t="shared" si="161"/>
        <v>#N/A</v>
      </c>
      <c r="S270" t="e">
        <f t="shared" si="162"/>
        <v>#N/A</v>
      </c>
      <c r="T270" t="e">
        <f t="shared" si="163"/>
        <v>#N/A</v>
      </c>
      <c r="U270" t="str">
        <f t="shared" si="143"/>
        <v>EFN2O</v>
      </c>
      <c r="V270">
        <f t="shared" si="144"/>
        <v>0</v>
      </c>
      <c r="W270">
        <v>0</v>
      </c>
      <c r="X270">
        <f t="shared" si="145"/>
        <v>0</v>
      </c>
      <c r="Y270">
        <f t="shared" si="146"/>
        <v>0</v>
      </c>
      <c r="Z270">
        <f t="shared" si="147"/>
        <v>1</v>
      </c>
      <c r="AA270">
        <f t="shared" si="148"/>
        <v>0.51535000000000009</v>
      </c>
      <c r="AC270">
        <f>Tables!CC189</f>
        <v>1.8</v>
      </c>
      <c r="AD270">
        <f t="shared" si="149"/>
        <v>0.99846618932067555</v>
      </c>
      <c r="AE270">
        <f t="shared" si="150"/>
        <v>1.0635112555960096</v>
      </c>
      <c r="AF270">
        <f t="shared" si="151"/>
        <v>1.0618800306745946</v>
      </c>
      <c r="AG270">
        <f t="shared" si="152"/>
        <v>0.1380444039876973</v>
      </c>
      <c r="AH270">
        <f t="shared" si="153"/>
        <v>0</v>
      </c>
      <c r="AI270">
        <f t="shared" si="154"/>
        <v>0.41676157871792718</v>
      </c>
      <c r="AJ270">
        <f t="shared" si="155"/>
        <v>0</v>
      </c>
      <c r="AK270">
        <f t="shared" si="156"/>
        <v>0</v>
      </c>
      <c r="AL270" t="e">
        <f t="shared" si="157"/>
        <v>#N/A</v>
      </c>
      <c r="AM270" t="e">
        <f t="shared" si="158"/>
        <v>#N/A</v>
      </c>
      <c r="AN270" t="e">
        <f t="shared" si="159"/>
        <v>#N/A</v>
      </c>
      <c r="AO270" t="e">
        <f t="shared" si="160"/>
        <v>#N/A</v>
      </c>
    </row>
    <row r="271" spans="5:41" x14ac:dyDescent="0.2">
      <c r="F271" t="s">
        <v>117</v>
      </c>
      <c r="G271" t="s">
        <v>153</v>
      </c>
      <c r="H271">
        <v>76</v>
      </c>
      <c r="I271">
        <v>0</v>
      </c>
      <c r="J271">
        <v>0</v>
      </c>
      <c r="L271">
        <v>31</v>
      </c>
      <c r="M271">
        <f>Tables!CC60</f>
        <v>0.13</v>
      </c>
      <c r="O271">
        <f>Tables!CC90</f>
        <v>0.65</v>
      </c>
      <c r="Q271">
        <f>Tables!CC118</f>
        <v>52</v>
      </c>
      <c r="R271" t="e">
        <f t="shared" si="161"/>
        <v>#N/A</v>
      </c>
      <c r="S271" t="e">
        <f t="shared" si="162"/>
        <v>#N/A</v>
      </c>
      <c r="T271" t="e">
        <f t="shared" si="163"/>
        <v>#N/A</v>
      </c>
      <c r="U271" t="str">
        <f t="shared" si="143"/>
        <v>EFN2O</v>
      </c>
      <c r="V271">
        <f t="shared" si="144"/>
        <v>0</v>
      </c>
      <c r="W271">
        <v>0</v>
      </c>
      <c r="X271">
        <f t="shared" si="145"/>
        <v>0</v>
      </c>
      <c r="Y271">
        <f t="shared" si="146"/>
        <v>0</v>
      </c>
      <c r="Z271">
        <f t="shared" si="147"/>
        <v>1</v>
      </c>
      <c r="AA271">
        <f t="shared" si="148"/>
        <v>0.51535000000000009</v>
      </c>
      <c r="AC271">
        <f>Tables!CC189</f>
        <v>1.8</v>
      </c>
      <c r="AD271">
        <f t="shared" si="149"/>
        <v>0.99846618932067555</v>
      </c>
      <c r="AE271">
        <f t="shared" si="150"/>
        <v>1.0635112555960096</v>
      </c>
      <c r="AF271">
        <f t="shared" si="151"/>
        <v>1.0618800306745946</v>
      </c>
      <c r="AG271">
        <f t="shared" si="152"/>
        <v>0.1380444039876973</v>
      </c>
      <c r="AH271">
        <f t="shared" si="153"/>
        <v>0</v>
      </c>
      <c r="AI271">
        <f t="shared" si="154"/>
        <v>0.41676157871792718</v>
      </c>
      <c r="AJ271">
        <f t="shared" si="155"/>
        <v>0</v>
      </c>
      <c r="AK271">
        <f t="shared" si="156"/>
        <v>0</v>
      </c>
      <c r="AL271" t="e">
        <f t="shared" si="157"/>
        <v>#N/A</v>
      </c>
      <c r="AM271" t="e">
        <f t="shared" si="158"/>
        <v>#N/A</v>
      </c>
      <c r="AN271" t="e">
        <f t="shared" si="159"/>
        <v>#N/A</v>
      </c>
      <c r="AO271" t="e">
        <f t="shared" si="160"/>
        <v>#N/A</v>
      </c>
    </row>
    <row r="272" spans="5:41" x14ac:dyDescent="0.2">
      <c r="F272" t="s">
        <v>119</v>
      </c>
      <c r="G272" t="s">
        <v>154</v>
      </c>
      <c r="H272">
        <v>90</v>
      </c>
      <c r="I272">
        <v>0</v>
      </c>
      <c r="J272">
        <v>0</v>
      </c>
      <c r="L272">
        <v>30</v>
      </c>
      <c r="M272">
        <f>Tables!CC61</f>
        <v>0.1</v>
      </c>
      <c r="O272">
        <f>Tables!CC91</f>
        <v>0.6</v>
      </c>
      <c r="Q272">
        <f>Tables!CC119</f>
        <v>50</v>
      </c>
      <c r="R272" t="e">
        <f t="shared" si="161"/>
        <v>#N/A</v>
      </c>
      <c r="S272" t="e">
        <f t="shared" si="162"/>
        <v>#N/A</v>
      </c>
      <c r="T272" t="e">
        <f t="shared" si="163"/>
        <v>#N/A</v>
      </c>
      <c r="U272" t="str">
        <f t="shared" si="143"/>
        <v>EFN2O</v>
      </c>
      <c r="V272">
        <f t="shared" si="144"/>
        <v>0</v>
      </c>
      <c r="W272">
        <v>0</v>
      </c>
      <c r="X272">
        <f t="shared" si="145"/>
        <v>0</v>
      </c>
      <c r="Y272">
        <f t="shared" si="146"/>
        <v>0</v>
      </c>
      <c r="Z272">
        <f t="shared" si="147"/>
        <v>1</v>
      </c>
      <c r="AA272">
        <f t="shared" si="148"/>
        <v>0.47559999999999997</v>
      </c>
      <c r="AC272">
        <f>Tables!CC190</f>
        <v>1</v>
      </c>
      <c r="AD272">
        <f t="shared" si="149"/>
        <v>0.8646647167633873</v>
      </c>
      <c r="AE272">
        <f t="shared" si="150"/>
        <v>0.94288322747903475</v>
      </c>
      <c r="AF272">
        <f t="shared" si="151"/>
        <v>0.81527785882910808</v>
      </c>
      <c r="AG272">
        <f t="shared" si="152"/>
        <v>8.1527785882910819E-2</v>
      </c>
      <c r="AH272">
        <f t="shared" si="153"/>
        <v>0</v>
      </c>
      <c r="AI272">
        <f t="shared" si="154"/>
        <v>0.35269826301552226</v>
      </c>
      <c r="AJ272">
        <f t="shared" si="155"/>
        <v>0</v>
      </c>
      <c r="AK272">
        <f t="shared" si="156"/>
        <v>0</v>
      </c>
      <c r="AL272" t="e">
        <f t="shared" si="157"/>
        <v>#N/A</v>
      </c>
      <c r="AM272" t="e">
        <f t="shared" si="158"/>
        <v>#N/A</v>
      </c>
      <c r="AN272" t="e">
        <f t="shared" si="159"/>
        <v>#N/A</v>
      </c>
      <c r="AO272" t="e">
        <f t="shared" si="160"/>
        <v>#N/A</v>
      </c>
    </row>
    <row r="273" spans="6:41" x14ac:dyDescent="0.2">
      <c r="F273" t="s">
        <v>119</v>
      </c>
      <c r="G273" t="s">
        <v>155</v>
      </c>
      <c r="H273">
        <v>90</v>
      </c>
      <c r="I273">
        <v>0</v>
      </c>
      <c r="J273">
        <v>0</v>
      </c>
      <c r="L273">
        <v>31</v>
      </c>
      <c r="M273">
        <f>Tables!CC61</f>
        <v>0.1</v>
      </c>
      <c r="O273">
        <f>Tables!CC91</f>
        <v>0.6</v>
      </c>
      <c r="Q273">
        <f>Tables!CC119</f>
        <v>50</v>
      </c>
      <c r="R273" t="e">
        <f t="shared" si="161"/>
        <v>#N/A</v>
      </c>
      <c r="S273" t="e">
        <f t="shared" si="162"/>
        <v>#N/A</v>
      </c>
      <c r="T273" t="e">
        <f t="shared" si="163"/>
        <v>#N/A</v>
      </c>
      <c r="U273" t="str">
        <f t="shared" si="143"/>
        <v>EFN2O</v>
      </c>
      <c r="V273">
        <f t="shared" si="144"/>
        <v>0</v>
      </c>
      <c r="W273">
        <v>0</v>
      </c>
      <c r="X273">
        <f t="shared" si="145"/>
        <v>0</v>
      </c>
      <c r="Y273">
        <f t="shared" si="146"/>
        <v>0</v>
      </c>
      <c r="Z273">
        <f t="shared" si="147"/>
        <v>1</v>
      </c>
      <c r="AA273">
        <f t="shared" si="148"/>
        <v>0.47559999999999997</v>
      </c>
      <c r="AC273">
        <f>Tables!CC190</f>
        <v>1</v>
      </c>
      <c r="AD273">
        <f t="shared" si="149"/>
        <v>0.8646647167633873</v>
      </c>
      <c r="AE273">
        <f t="shared" si="150"/>
        <v>0.94288322747903475</v>
      </c>
      <c r="AF273">
        <f t="shared" si="151"/>
        <v>0.81527785882910808</v>
      </c>
      <c r="AG273">
        <f t="shared" si="152"/>
        <v>8.1527785882910819E-2</v>
      </c>
      <c r="AH273">
        <f t="shared" si="153"/>
        <v>0</v>
      </c>
      <c r="AI273">
        <f t="shared" si="154"/>
        <v>0.35269826301552226</v>
      </c>
      <c r="AJ273">
        <f t="shared" si="155"/>
        <v>0</v>
      </c>
      <c r="AK273">
        <f t="shared" si="156"/>
        <v>0</v>
      </c>
      <c r="AL273" t="e">
        <f t="shared" si="157"/>
        <v>#N/A</v>
      </c>
      <c r="AM273" t="e">
        <f t="shared" si="158"/>
        <v>#N/A</v>
      </c>
      <c r="AN273" t="e">
        <f t="shared" si="159"/>
        <v>#N/A</v>
      </c>
      <c r="AO273" t="e">
        <f t="shared" si="160"/>
        <v>#N/A</v>
      </c>
    </row>
    <row r="274" spans="6:41" x14ac:dyDescent="0.2">
      <c r="F274" t="s">
        <v>119</v>
      </c>
      <c r="G274" t="s">
        <v>156</v>
      </c>
      <c r="H274">
        <v>85</v>
      </c>
      <c r="I274">
        <v>0</v>
      </c>
      <c r="J274">
        <v>0</v>
      </c>
      <c r="L274">
        <v>31</v>
      </c>
      <c r="M274">
        <f>Tables!CC61</f>
        <v>0.1</v>
      </c>
      <c r="O274">
        <f>Tables!CC91</f>
        <v>0.6</v>
      </c>
      <c r="Q274">
        <f>Tables!CC119</f>
        <v>50</v>
      </c>
      <c r="R274" t="e">
        <f t="shared" si="161"/>
        <v>#N/A</v>
      </c>
      <c r="S274" t="e">
        <f t="shared" si="162"/>
        <v>#N/A</v>
      </c>
      <c r="T274" t="e">
        <f t="shared" si="163"/>
        <v>#N/A</v>
      </c>
      <c r="U274" t="str">
        <f t="shared" si="143"/>
        <v>EFN2O</v>
      </c>
      <c r="V274">
        <f t="shared" si="144"/>
        <v>0</v>
      </c>
      <c r="W274">
        <v>0</v>
      </c>
      <c r="X274">
        <f t="shared" si="145"/>
        <v>0</v>
      </c>
      <c r="Y274">
        <f t="shared" si="146"/>
        <v>0</v>
      </c>
      <c r="Z274">
        <f t="shared" si="147"/>
        <v>1</v>
      </c>
      <c r="AA274">
        <f t="shared" si="148"/>
        <v>0.47559999999999997</v>
      </c>
      <c r="AC274">
        <f>Tables!CC190</f>
        <v>1</v>
      </c>
      <c r="AD274">
        <f t="shared" si="149"/>
        <v>0.8646647167633873</v>
      </c>
      <c r="AE274">
        <f t="shared" si="150"/>
        <v>0.94288322747903475</v>
      </c>
      <c r="AF274">
        <f t="shared" si="151"/>
        <v>0.81527785882910808</v>
      </c>
      <c r="AG274">
        <f t="shared" si="152"/>
        <v>8.1527785882910819E-2</v>
      </c>
      <c r="AH274">
        <f t="shared" si="153"/>
        <v>0</v>
      </c>
      <c r="AI274">
        <f t="shared" si="154"/>
        <v>0.35269826301552226</v>
      </c>
      <c r="AJ274">
        <f t="shared" si="155"/>
        <v>0</v>
      </c>
      <c r="AK274">
        <f t="shared" si="156"/>
        <v>0</v>
      </c>
      <c r="AL274" t="e">
        <f t="shared" si="157"/>
        <v>#N/A</v>
      </c>
      <c r="AM274" t="e">
        <f t="shared" si="158"/>
        <v>#N/A</v>
      </c>
      <c r="AN274" t="e">
        <f t="shared" si="159"/>
        <v>#N/A</v>
      </c>
      <c r="AO274" t="e">
        <f t="shared" si="160"/>
        <v>#N/A</v>
      </c>
    </row>
    <row r="275" spans="6:41" x14ac:dyDescent="0.2">
      <c r="F275" t="s">
        <v>113</v>
      </c>
      <c r="G275" t="s">
        <v>157</v>
      </c>
      <c r="H275">
        <v>85</v>
      </c>
      <c r="I275">
        <v>0</v>
      </c>
      <c r="J275">
        <v>0</v>
      </c>
      <c r="K275">
        <v>18</v>
      </c>
      <c r="L275">
        <v>18</v>
      </c>
      <c r="M275">
        <f>Tables!CC58</f>
        <v>0.16</v>
      </c>
      <c r="O275">
        <f>Tables!CC88</f>
        <v>0.7</v>
      </c>
      <c r="Q275">
        <f>Tables!CC116</f>
        <v>60</v>
      </c>
      <c r="R275" t="e">
        <f t="shared" si="161"/>
        <v>#N/A</v>
      </c>
      <c r="S275" t="e">
        <f t="shared" si="162"/>
        <v>#N/A</v>
      </c>
      <c r="T275" t="e">
        <f t="shared" si="163"/>
        <v>#N/A</v>
      </c>
      <c r="U275" t="str">
        <f t="shared" si="143"/>
        <v>EFN2O</v>
      </c>
      <c r="V275">
        <f t="shared" si="144"/>
        <v>0</v>
      </c>
      <c r="W275">
        <v>0</v>
      </c>
      <c r="X275">
        <f t="shared" si="145"/>
        <v>0</v>
      </c>
      <c r="Y275">
        <f t="shared" si="146"/>
        <v>0</v>
      </c>
      <c r="Z275">
        <f t="shared" si="147"/>
        <v>1</v>
      </c>
      <c r="AA275">
        <f t="shared" si="148"/>
        <v>0.55510000000000004</v>
      </c>
      <c r="AC275">
        <f>Tables!CC187</f>
        <v>3.2</v>
      </c>
      <c r="AD275">
        <f t="shared" si="149"/>
        <v>0.99999999872459233</v>
      </c>
      <c r="AE275">
        <f t="shared" si="150"/>
        <v>1.3266722980183725</v>
      </c>
      <c r="AF275">
        <f t="shared" si="151"/>
        <v>1.3266722963263244</v>
      </c>
      <c r="AG275">
        <f t="shared" si="152"/>
        <v>0.21226756741221192</v>
      </c>
      <c r="AH275">
        <f t="shared" si="153"/>
        <v>0</v>
      </c>
      <c r="AI275">
        <f t="shared" si="154"/>
        <v>0.46840406417148789</v>
      </c>
      <c r="AJ275">
        <f t="shared" si="155"/>
        <v>0</v>
      </c>
      <c r="AK275">
        <f t="shared" si="156"/>
        <v>0</v>
      </c>
      <c r="AL275" t="e">
        <f t="shared" si="157"/>
        <v>#N/A</v>
      </c>
      <c r="AM275" t="e">
        <f t="shared" si="158"/>
        <v>#N/A</v>
      </c>
      <c r="AN275" t="e">
        <f t="shared" si="159"/>
        <v>#N/A</v>
      </c>
      <c r="AO275" t="e">
        <f t="shared" si="160"/>
        <v>#N/A</v>
      </c>
    </row>
    <row r="276" spans="6:41" x14ac:dyDescent="0.2">
      <c r="F276" t="s">
        <v>113</v>
      </c>
      <c r="G276" t="s">
        <v>158</v>
      </c>
      <c r="H276">
        <v>75</v>
      </c>
      <c r="I276">
        <v>0</v>
      </c>
      <c r="J276">
        <v>0</v>
      </c>
      <c r="K276">
        <v>20</v>
      </c>
      <c r="L276">
        <v>20</v>
      </c>
      <c r="M276">
        <f>Tables!CC58</f>
        <v>0.16</v>
      </c>
      <c r="O276">
        <f>Tables!CC88</f>
        <v>0.7</v>
      </c>
      <c r="Q276">
        <f>Tables!CC116</f>
        <v>60</v>
      </c>
      <c r="R276" t="e">
        <f t="shared" si="161"/>
        <v>#N/A</v>
      </c>
      <c r="S276" t="e">
        <f t="shared" si="162"/>
        <v>#N/A</v>
      </c>
      <c r="T276" t="e">
        <f t="shared" si="163"/>
        <v>#N/A</v>
      </c>
      <c r="U276" t="str">
        <f t="shared" si="143"/>
        <v>EFN2O</v>
      </c>
      <c r="V276">
        <f t="shared" si="144"/>
        <v>0</v>
      </c>
      <c r="W276">
        <v>0</v>
      </c>
      <c r="X276">
        <f t="shared" si="145"/>
        <v>0</v>
      </c>
      <c r="Y276">
        <f t="shared" si="146"/>
        <v>0</v>
      </c>
      <c r="Z276">
        <f t="shared" si="147"/>
        <v>1</v>
      </c>
      <c r="AA276">
        <f t="shared" si="148"/>
        <v>0.55510000000000004</v>
      </c>
      <c r="AC276">
        <f>Tables!CC187</f>
        <v>3.2</v>
      </c>
      <c r="AD276">
        <f t="shared" si="149"/>
        <v>0.99999999872459233</v>
      </c>
      <c r="AE276">
        <f t="shared" si="150"/>
        <v>1.3266722980183725</v>
      </c>
      <c r="AF276">
        <f t="shared" si="151"/>
        <v>1.3266722963263244</v>
      </c>
      <c r="AG276">
        <f t="shared" si="152"/>
        <v>0.21226756741221192</v>
      </c>
      <c r="AH276">
        <f t="shared" si="153"/>
        <v>0</v>
      </c>
      <c r="AI276">
        <f t="shared" si="154"/>
        <v>0.46840406417148789</v>
      </c>
      <c r="AJ276">
        <f t="shared" si="155"/>
        <v>0</v>
      </c>
      <c r="AK276">
        <f t="shared" si="156"/>
        <v>0</v>
      </c>
      <c r="AL276" t="e">
        <f t="shared" si="157"/>
        <v>#N/A</v>
      </c>
      <c r="AM276" t="e">
        <f t="shared" si="158"/>
        <v>#N/A</v>
      </c>
      <c r="AN276" t="e">
        <f t="shared" si="159"/>
        <v>#N/A</v>
      </c>
      <c r="AO276" t="e">
        <f t="shared" si="160"/>
        <v>#N/A</v>
      </c>
    </row>
    <row r="277" spans="6:41" x14ac:dyDescent="0.2">
      <c r="F277" t="s">
        <v>113</v>
      </c>
      <c r="G277" t="s">
        <v>159</v>
      </c>
      <c r="H277">
        <v>75</v>
      </c>
      <c r="I277">
        <v>0</v>
      </c>
      <c r="J277">
        <v>0</v>
      </c>
      <c r="K277">
        <v>20</v>
      </c>
      <c r="L277">
        <v>20</v>
      </c>
      <c r="M277">
        <f>Tables!CC58</f>
        <v>0.16</v>
      </c>
      <c r="O277">
        <f>Tables!CC88</f>
        <v>0.7</v>
      </c>
      <c r="Q277">
        <f>Tables!CC116</f>
        <v>60</v>
      </c>
      <c r="R277" t="e">
        <f t="shared" si="161"/>
        <v>#N/A</v>
      </c>
      <c r="S277" t="e">
        <f t="shared" si="162"/>
        <v>#N/A</v>
      </c>
      <c r="T277" t="e">
        <f t="shared" si="163"/>
        <v>#N/A</v>
      </c>
      <c r="U277" t="str">
        <f t="shared" si="143"/>
        <v>EFN2O</v>
      </c>
      <c r="V277">
        <f t="shared" si="144"/>
        <v>0</v>
      </c>
      <c r="W277">
        <v>0</v>
      </c>
      <c r="X277">
        <f t="shared" si="145"/>
        <v>0</v>
      </c>
      <c r="Y277">
        <f t="shared" si="146"/>
        <v>0</v>
      </c>
      <c r="Z277">
        <f t="shared" si="147"/>
        <v>1</v>
      </c>
      <c r="AA277">
        <f t="shared" si="148"/>
        <v>0.55510000000000004</v>
      </c>
      <c r="AC277">
        <f>Tables!CC187</f>
        <v>3.2</v>
      </c>
      <c r="AD277">
        <f t="shared" si="149"/>
        <v>0.99999999872459233</v>
      </c>
      <c r="AE277">
        <f t="shared" si="150"/>
        <v>1.3266722980183725</v>
      </c>
      <c r="AF277">
        <f t="shared" si="151"/>
        <v>1.3266722963263244</v>
      </c>
      <c r="AG277">
        <f t="shared" si="152"/>
        <v>0.21226756741221192</v>
      </c>
      <c r="AH277">
        <f t="shared" si="153"/>
        <v>0</v>
      </c>
      <c r="AI277">
        <f t="shared" si="154"/>
        <v>0.46840406417148789</v>
      </c>
      <c r="AJ277">
        <f t="shared" si="155"/>
        <v>0</v>
      </c>
      <c r="AK277">
        <f t="shared" si="156"/>
        <v>0</v>
      </c>
      <c r="AL277" t="e">
        <f t="shared" si="157"/>
        <v>#N/A</v>
      </c>
      <c r="AM277" t="e">
        <f t="shared" si="158"/>
        <v>#N/A</v>
      </c>
      <c r="AN277" t="e">
        <f t="shared" si="159"/>
        <v>#N/A</v>
      </c>
      <c r="AO277" t="e">
        <f t="shared" si="160"/>
        <v>#N/A</v>
      </c>
    </row>
    <row r="278" spans="6:41" x14ac:dyDescent="0.2">
      <c r="F278" t="s">
        <v>115</v>
      </c>
      <c r="G278" t="s">
        <v>160</v>
      </c>
      <c r="H278">
        <v>80</v>
      </c>
      <c r="I278">
        <v>0</v>
      </c>
      <c r="J278">
        <v>0</v>
      </c>
      <c r="L278">
        <v>31</v>
      </c>
      <c r="M278">
        <f>Tables!CC59</f>
        <v>7.0000000000000007E-2</v>
      </c>
      <c r="O278">
        <f>Tables!CC89</f>
        <v>0.55000000000000004</v>
      </c>
      <c r="Q278">
        <f>Tables!CC117</f>
        <v>55</v>
      </c>
      <c r="R278" t="e">
        <f t="shared" si="161"/>
        <v>#N/A</v>
      </c>
      <c r="S278" t="e">
        <f t="shared" si="162"/>
        <v>#N/A</v>
      </c>
      <c r="T278" t="e">
        <f t="shared" si="163"/>
        <v>#N/A</v>
      </c>
      <c r="U278" t="str">
        <f t="shared" si="143"/>
        <v>EFN2O</v>
      </c>
      <c r="V278">
        <f t="shared" si="144"/>
        <v>0</v>
      </c>
      <c r="W278">
        <v>0</v>
      </c>
      <c r="X278">
        <f t="shared" si="145"/>
        <v>0</v>
      </c>
      <c r="Y278">
        <f t="shared" si="146"/>
        <v>0</v>
      </c>
      <c r="Z278">
        <f t="shared" si="147"/>
        <v>1</v>
      </c>
      <c r="AA278">
        <f t="shared" si="148"/>
        <v>0.43585000000000007</v>
      </c>
      <c r="AC278">
        <f>Tables!CC188</f>
        <v>3</v>
      </c>
      <c r="AD278">
        <f t="shared" si="149"/>
        <v>0.99999998477002028</v>
      </c>
      <c r="AE278">
        <f t="shared" si="150"/>
        <v>0.95969823125361531</v>
      </c>
      <c r="AF278">
        <f t="shared" si="151"/>
        <v>0.95969821663743071</v>
      </c>
      <c r="AG278">
        <f t="shared" si="152"/>
        <v>6.717887516462015E-2</v>
      </c>
      <c r="AH278">
        <f t="shared" si="153"/>
        <v>0</v>
      </c>
      <c r="AI278">
        <f t="shared" si="154"/>
        <v>0.46870502416752635</v>
      </c>
      <c r="AJ278">
        <f t="shared" si="155"/>
        <v>0</v>
      </c>
      <c r="AK278">
        <f t="shared" si="156"/>
        <v>0</v>
      </c>
      <c r="AL278" t="e">
        <f t="shared" si="157"/>
        <v>#N/A</v>
      </c>
      <c r="AM278" t="e">
        <f t="shared" si="158"/>
        <v>#N/A</v>
      </c>
      <c r="AN278" t="e">
        <f t="shared" si="159"/>
        <v>#N/A</v>
      </c>
      <c r="AO278" t="e">
        <f t="shared" si="160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O190"/>
  <sheetViews>
    <sheetView tabSelected="1" topLeftCell="BK104" workbookViewId="0">
      <selection activeCell="BY136" sqref="BY136"/>
    </sheetView>
  </sheetViews>
  <sheetFormatPr baseColWidth="10" defaultRowHeight="16" x14ac:dyDescent="0.2"/>
  <sheetData>
    <row r="1" spans="1:93" x14ac:dyDescent="0.2">
      <c r="M1" t="s">
        <v>0</v>
      </c>
      <c r="N1" t="s">
        <v>0</v>
      </c>
      <c r="AC1" t="s">
        <v>1</v>
      </c>
      <c r="AP1" t="s">
        <v>0</v>
      </c>
      <c r="AS1" t="s">
        <v>0</v>
      </c>
      <c r="AT1" t="s">
        <v>0</v>
      </c>
      <c r="AU1" t="s">
        <v>2</v>
      </c>
      <c r="BQ1">
        <v>1084</v>
      </c>
      <c r="BR1" t="s">
        <v>3</v>
      </c>
      <c r="BS1">
        <v>0.24</v>
      </c>
      <c r="BU1" t="s">
        <v>4</v>
      </c>
      <c r="BV1">
        <v>1.3</v>
      </c>
    </row>
    <row r="2" spans="1:93" x14ac:dyDescent="0.2">
      <c r="AD2" t="s">
        <v>164</v>
      </c>
      <c r="AE2" t="s">
        <v>249</v>
      </c>
      <c r="AF2" t="s">
        <v>166</v>
      </c>
      <c r="AH2" t="s">
        <v>167</v>
      </c>
      <c r="AJ2" t="s">
        <v>5</v>
      </c>
      <c r="AK2" t="s">
        <v>250</v>
      </c>
      <c r="AL2" t="s">
        <v>251</v>
      </c>
      <c r="AV2" t="s">
        <v>6</v>
      </c>
      <c r="AX2" t="s">
        <v>7</v>
      </c>
      <c r="BA2" t="s">
        <v>8</v>
      </c>
      <c r="BC2" t="s">
        <v>8</v>
      </c>
      <c r="BD2" t="s">
        <v>9</v>
      </c>
      <c r="BF2" t="s">
        <v>170</v>
      </c>
      <c r="BH2" t="s">
        <v>162</v>
      </c>
      <c r="BI2" t="s">
        <v>172</v>
      </c>
      <c r="BJ2" t="s">
        <v>252</v>
      </c>
      <c r="BK2" t="s">
        <v>163</v>
      </c>
      <c r="BL2" t="s">
        <v>161</v>
      </c>
      <c r="BQ2">
        <v>1087</v>
      </c>
      <c r="BR2" t="s">
        <v>10</v>
      </c>
      <c r="BS2">
        <v>0.08</v>
      </c>
    </row>
    <row r="3" spans="1:93" x14ac:dyDescent="0.2">
      <c r="J3" t="s">
        <v>181</v>
      </c>
      <c r="K3" t="s">
        <v>182</v>
      </c>
      <c r="L3" t="s">
        <v>11</v>
      </c>
      <c r="M3">
        <v>342</v>
      </c>
      <c r="N3">
        <v>323</v>
      </c>
      <c r="O3" t="s">
        <v>12</v>
      </c>
      <c r="P3" t="s">
        <v>253</v>
      </c>
      <c r="Q3" t="s">
        <v>13</v>
      </c>
      <c r="R3" t="s">
        <v>14</v>
      </c>
      <c r="S3" t="s">
        <v>15</v>
      </c>
      <c r="U3" t="s">
        <v>16</v>
      </c>
      <c r="W3" t="s">
        <v>17</v>
      </c>
      <c r="X3" t="s">
        <v>173</v>
      </c>
      <c r="Y3" t="s">
        <v>174</v>
      </c>
      <c r="Z3" t="s">
        <v>195</v>
      </c>
      <c r="AA3" t="s">
        <v>176</v>
      </c>
      <c r="AB3" t="s">
        <v>178</v>
      </c>
      <c r="AC3" t="s">
        <v>18</v>
      </c>
      <c r="AD3" t="s">
        <v>183</v>
      </c>
      <c r="AE3" t="s">
        <v>184</v>
      </c>
      <c r="AF3" t="s">
        <v>185</v>
      </c>
      <c r="AG3" t="s">
        <v>186</v>
      </c>
      <c r="AH3" t="s">
        <v>187</v>
      </c>
      <c r="AI3" t="s">
        <v>19</v>
      </c>
      <c r="AJ3" t="s">
        <v>20</v>
      </c>
      <c r="AK3" t="s">
        <v>188</v>
      </c>
      <c r="AL3" t="s">
        <v>189</v>
      </c>
      <c r="AM3" t="s">
        <v>191</v>
      </c>
      <c r="AN3" t="s">
        <v>192</v>
      </c>
      <c r="AO3">
        <v>351</v>
      </c>
      <c r="AP3">
        <v>314</v>
      </c>
      <c r="AQ3">
        <v>302</v>
      </c>
      <c r="AR3">
        <v>349</v>
      </c>
      <c r="AS3">
        <v>308</v>
      </c>
      <c r="AT3">
        <v>296</v>
      </c>
      <c r="AU3" t="s">
        <v>21</v>
      </c>
      <c r="AV3" t="s">
        <v>22</v>
      </c>
      <c r="AW3" t="s">
        <v>23</v>
      </c>
      <c r="AX3" t="s">
        <v>24</v>
      </c>
      <c r="AY3" t="s">
        <v>25</v>
      </c>
      <c r="AZ3" t="s">
        <v>26</v>
      </c>
      <c r="BA3" t="s">
        <v>27</v>
      </c>
      <c r="BC3" t="s">
        <v>27</v>
      </c>
      <c r="BD3" t="s">
        <v>28</v>
      </c>
      <c r="BF3" t="s">
        <v>190</v>
      </c>
      <c r="BH3" t="s">
        <v>177</v>
      </c>
      <c r="BI3" t="s">
        <v>194</v>
      </c>
      <c r="BJ3" t="s">
        <v>193</v>
      </c>
      <c r="BK3" t="s">
        <v>179</v>
      </c>
      <c r="BL3" t="s">
        <v>175</v>
      </c>
      <c r="BR3" t="s">
        <v>29</v>
      </c>
      <c r="BS3">
        <v>91.25</v>
      </c>
    </row>
    <row r="4" spans="1:93" x14ac:dyDescent="0.2">
      <c r="J4" t="s">
        <v>30</v>
      </c>
      <c r="K4" t="s">
        <v>30</v>
      </c>
      <c r="L4" t="s">
        <v>30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U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32</v>
      </c>
      <c r="AE4" t="s">
        <v>32</v>
      </c>
      <c r="AF4" t="s">
        <v>32</v>
      </c>
      <c r="AG4" t="s">
        <v>31</v>
      </c>
      <c r="AH4" t="s">
        <v>32</v>
      </c>
      <c r="AI4" t="s">
        <v>32</v>
      </c>
      <c r="AJ4" t="s">
        <v>32</v>
      </c>
      <c r="AK4" t="s">
        <v>32</v>
      </c>
      <c r="AL4" t="s">
        <v>32</v>
      </c>
      <c r="AM4" t="s">
        <v>31</v>
      </c>
      <c r="AN4" t="s">
        <v>31</v>
      </c>
      <c r="AO4" t="s">
        <v>31</v>
      </c>
      <c r="AP4" t="s">
        <v>32</v>
      </c>
      <c r="AQ4" t="s">
        <v>32</v>
      </c>
      <c r="AR4" t="s">
        <v>31</v>
      </c>
      <c r="AS4" t="s">
        <v>32</v>
      </c>
      <c r="AT4" t="s">
        <v>32</v>
      </c>
      <c r="AU4" t="s">
        <v>32</v>
      </c>
      <c r="AV4" t="s">
        <v>32</v>
      </c>
      <c r="AW4" t="s">
        <v>31</v>
      </c>
      <c r="AX4" t="s">
        <v>32</v>
      </c>
      <c r="AY4" t="s">
        <v>31</v>
      </c>
      <c r="AZ4" t="s">
        <v>31</v>
      </c>
      <c r="BA4" t="s">
        <v>32</v>
      </c>
      <c r="BC4" t="s">
        <v>32</v>
      </c>
      <c r="BD4" t="s">
        <v>32</v>
      </c>
      <c r="BF4" t="s">
        <v>32</v>
      </c>
      <c r="BH4" t="s">
        <v>32</v>
      </c>
      <c r="BI4" t="s">
        <v>32</v>
      </c>
      <c r="BJ4" t="s">
        <v>32</v>
      </c>
      <c r="BK4" t="s">
        <v>32</v>
      </c>
      <c r="BL4" t="s">
        <v>32</v>
      </c>
      <c r="BQ4">
        <v>1094</v>
      </c>
      <c r="BR4" t="s">
        <v>33</v>
      </c>
      <c r="BS4">
        <v>0.24</v>
      </c>
    </row>
    <row r="5" spans="1:93" x14ac:dyDescent="0.2">
      <c r="J5" t="s">
        <v>34</v>
      </c>
      <c r="K5" t="s">
        <v>34</v>
      </c>
      <c r="L5" t="s">
        <v>34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U5" t="s">
        <v>34</v>
      </c>
      <c r="W5" t="s">
        <v>30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  <c r="AE5" t="s">
        <v>34</v>
      </c>
      <c r="AF5" t="s">
        <v>34</v>
      </c>
      <c r="AG5" t="s">
        <v>34</v>
      </c>
      <c r="AH5" t="s">
        <v>34</v>
      </c>
      <c r="AI5" t="s">
        <v>34</v>
      </c>
      <c r="AJ5" t="s">
        <v>34</v>
      </c>
      <c r="AK5" t="s">
        <v>34</v>
      </c>
      <c r="AL5" t="s">
        <v>34</v>
      </c>
      <c r="AM5" t="s">
        <v>34</v>
      </c>
      <c r="AN5" t="s">
        <v>34</v>
      </c>
      <c r="AR5" t="s">
        <v>30</v>
      </c>
      <c r="AU5" t="s">
        <v>34</v>
      </c>
      <c r="AV5" t="s">
        <v>34</v>
      </c>
      <c r="AW5" t="s">
        <v>34</v>
      </c>
      <c r="AX5" t="s">
        <v>34</v>
      </c>
      <c r="AY5" t="s">
        <v>34</v>
      </c>
      <c r="AZ5" t="s">
        <v>34</v>
      </c>
      <c r="BA5" t="s">
        <v>34</v>
      </c>
      <c r="BC5" t="s">
        <v>34</v>
      </c>
      <c r="BD5" t="s">
        <v>34</v>
      </c>
      <c r="BF5" t="s">
        <v>34</v>
      </c>
      <c r="BH5" t="s">
        <v>34</v>
      </c>
      <c r="BI5" t="s">
        <v>34</v>
      </c>
      <c r="BJ5" t="s">
        <v>34</v>
      </c>
      <c r="BK5" t="s">
        <v>34</v>
      </c>
      <c r="BL5" t="s">
        <v>34</v>
      </c>
      <c r="BQ5">
        <v>1093</v>
      </c>
      <c r="BR5" t="s">
        <v>35</v>
      </c>
      <c r="BS5">
        <v>0.21</v>
      </c>
      <c r="BW5" t="s">
        <v>254</v>
      </c>
      <c r="BX5" t="s">
        <v>234</v>
      </c>
    </row>
    <row r="6" spans="1:93" x14ac:dyDescent="0.2">
      <c r="BQ6">
        <v>1095</v>
      </c>
      <c r="BR6" t="s">
        <v>36</v>
      </c>
      <c r="BS6">
        <v>1.0999999999999999E-2</v>
      </c>
      <c r="BW6" t="s">
        <v>255</v>
      </c>
      <c r="BX6" t="s">
        <v>74</v>
      </c>
      <c r="BY6" t="s">
        <v>110</v>
      </c>
      <c r="BZ6" t="s">
        <v>116</v>
      </c>
      <c r="CA6" t="s">
        <v>118</v>
      </c>
      <c r="CB6" t="s">
        <v>120</v>
      </c>
      <c r="CC6" t="s">
        <v>122</v>
      </c>
      <c r="CD6" t="s">
        <v>123</v>
      </c>
      <c r="CE6" t="s">
        <v>256</v>
      </c>
      <c r="CH6" t="s">
        <v>257</v>
      </c>
      <c r="CI6" t="s">
        <v>258</v>
      </c>
      <c r="CJ6" t="s">
        <v>259</v>
      </c>
      <c r="CK6" t="s">
        <v>260</v>
      </c>
      <c r="CL6" t="s">
        <v>261</v>
      </c>
      <c r="CM6" t="s">
        <v>262</v>
      </c>
      <c r="CN6" t="s">
        <v>263</v>
      </c>
      <c r="CO6" t="s">
        <v>264</v>
      </c>
    </row>
    <row r="7" spans="1:93" x14ac:dyDescent="0.2">
      <c r="BQ7">
        <v>1088</v>
      </c>
      <c r="BR7" t="s">
        <v>37</v>
      </c>
      <c r="BS7">
        <f>44/28</f>
        <v>1.5714285714285714</v>
      </c>
      <c r="BW7" t="s">
        <v>113</v>
      </c>
      <c r="BX7" t="s">
        <v>112</v>
      </c>
      <c r="BY7">
        <v>0.04</v>
      </c>
      <c r="BZ7">
        <v>-0.02</v>
      </c>
      <c r="CA7">
        <v>0</v>
      </c>
      <c r="CB7">
        <v>-0.02</v>
      </c>
      <c r="CC7">
        <v>0.11</v>
      </c>
      <c r="CD7">
        <v>0.05</v>
      </c>
      <c r="CE7">
        <v>1</v>
      </c>
      <c r="CH7" t="s">
        <v>72</v>
      </c>
      <c r="CI7" t="s">
        <v>255</v>
      </c>
      <c r="CJ7" t="s">
        <v>131</v>
      </c>
      <c r="CK7" t="s">
        <v>132</v>
      </c>
      <c r="CL7" t="s">
        <v>126</v>
      </c>
      <c r="CM7" t="s">
        <v>112</v>
      </c>
      <c r="CN7" t="s">
        <v>129</v>
      </c>
      <c r="CO7" t="s">
        <v>121</v>
      </c>
    </row>
    <row r="8" spans="1:93" x14ac:dyDescent="0.2">
      <c r="J8" t="s">
        <v>201</v>
      </c>
      <c r="K8" t="s">
        <v>40</v>
      </c>
      <c r="L8" t="s">
        <v>38</v>
      </c>
      <c r="O8" t="s">
        <v>39</v>
      </c>
      <c r="P8" t="s">
        <v>41</v>
      </c>
      <c r="Q8" t="s">
        <v>40</v>
      </c>
      <c r="R8" t="s">
        <v>40</v>
      </c>
      <c r="S8" t="s">
        <v>41</v>
      </c>
      <c r="U8" t="s">
        <v>40</v>
      </c>
      <c r="W8" t="s">
        <v>40</v>
      </c>
      <c r="X8" t="s">
        <v>40</v>
      </c>
      <c r="Y8" t="s">
        <v>40</v>
      </c>
      <c r="Z8" t="s">
        <v>200</v>
      </c>
      <c r="AA8" t="s">
        <v>265</v>
      </c>
      <c r="AB8" t="s">
        <v>204</v>
      </c>
      <c r="AC8" t="s">
        <v>40</v>
      </c>
      <c r="AD8" t="s">
        <v>44</v>
      </c>
      <c r="AE8" t="s">
        <v>44</v>
      </c>
      <c r="AF8" t="s">
        <v>41</v>
      </c>
      <c r="AG8" t="s">
        <v>41</v>
      </c>
      <c r="AH8" t="s">
        <v>40</v>
      </c>
      <c r="AI8" t="s">
        <v>40</v>
      </c>
      <c r="AJ8" t="s">
        <v>42</v>
      </c>
      <c r="AK8" t="s">
        <v>203</v>
      </c>
      <c r="AL8" t="s">
        <v>203</v>
      </c>
      <c r="AM8" t="s">
        <v>266</v>
      </c>
      <c r="AN8" t="s">
        <v>40</v>
      </c>
      <c r="AU8" t="s">
        <v>43</v>
      </c>
      <c r="AV8" t="s">
        <v>44</v>
      </c>
      <c r="AW8" t="s">
        <v>40</v>
      </c>
      <c r="AX8" t="s">
        <v>44</v>
      </c>
      <c r="AY8" t="s">
        <v>45</v>
      </c>
      <c r="AZ8" t="s">
        <v>46</v>
      </c>
      <c r="BA8" t="s">
        <v>47</v>
      </c>
      <c r="BC8" t="s">
        <v>47</v>
      </c>
      <c r="BD8" t="s">
        <v>48</v>
      </c>
      <c r="BF8" t="s">
        <v>199</v>
      </c>
      <c r="BH8" t="s">
        <v>199</v>
      </c>
      <c r="BI8" t="s">
        <v>199</v>
      </c>
      <c r="BJ8" t="s">
        <v>197</v>
      </c>
      <c r="BK8" t="s">
        <v>197</v>
      </c>
      <c r="BL8" t="s">
        <v>197</v>
      </c>
      <c r="BW8" t="s">
        <v>115</v>
      </c>
      <c r="BX8" t="s">
        <v>112</v>
      </c>
      <c r="BY8">
        <v>-0.05</v>
      </c>
      <c r="BZ8">
        <v>0.05</v>
      </c>
      <c r="CA8">
        <v>0</v>
      </c>
      <c r="CB8">
        <v>0</v>
      </c>
      <c r="CC8">
        <v>-0.05</v>
      </c>
      <c r="CD8">
        <v>-0.05</v>
      </c>
      <c r="CE8">
        <v>2</v>
      </c>
      <c r="CH8" t="s">
        <v>110</v>
      </c>
      <c r="CI8" t="s">
        <v>113</v>
      </c>
      <c r="CJ8">
        <v>7.0000000000000007E-2</v>
      </c>
      <c r="CK8">
        <v>0.08</v>
      </c>
      <c r="CL8">
        <v>7.0000000000000007E-2</v>
      </c>
      <c r="CM8">
        <v>0.04</v>
      </c>
      <c r="CN8">
        <v>0.05</v>
      </c>
      <c r="CO8">
        <v>0.16</v>
      </c>
    </row>
    <row r="9" spans="1:93" x14ac:dyDescent="0.2">
      <c r="J9" t="s">
        <v>267</v>
      </c>
      <c r="K9" t="s">
        <v>268</v>
      </c>
      <c r="L9" t="s">
        <v>49</v>
      </c>
      <c r="M9" t="s">
        <v>50</v>
      </c>
      <c r="N9" t="s">
        <v>51</v>
      </c>
      <c r="O9" t="s">
        <v>52</v>
      </c>
      <c r="P9" t="s">
        <v>212</v>
      </c>
      <c r="Q9" t="s">
        <v>53</v>
      </c>
      <c r="R9" t="s">
        <v>54</v>
      </c>
      <c r="S9" t="s">
        <v>55</v>
      </c>
      <c r="U9" t="s">
        <v>56</v>
      </c>
      <c r="W9" t="s">
        <v>57</v>
      </c>
      <c r="X9" t="s">
        <v>205</v>
      </c>
      <c r="Y9" t="s">
        <v>206</v>
      </c>
      <c r="Z9" t="s">
        <v>269</v>
      </c>
      <c r="AA9" t="s">
        <v>270</v>
      </c>
      <c r="AB9" t="s">
        <v>271</v>
      </c>
      <c r="AC9" t="s">
        <v>58</v>
      </c>
      <c r="AD9" t="s">
        <v>215</v>
      </c>
      <c r="AE9" t="s">
        <v>216</v>
      </c>
      <c r="AF9" t="s">
        <v>217</v>
      </c>
      <c r="AG9" t="s">
        <v>218</v>
      </c>
      <c r="AH9" t="s">
        <v>219</v>
      </c>
      <c r="AI9" t="s">
        <v>59</v>
      </c>
      <c r="AJ9" t="s">
        <v>60</v>
      </c>
      <c r="AK9" t="s">
        <v>272</v>
      </c>
      <c r="AL9" t="s">
        <v>273</v>
      </c>
      <c r="AM9" t="s">
        <v>274</v>
      </c>
      <c r="AN9" t="s">
        <v>275</v>
      </c>
      <c r="AU9" t="s">
        <v>61</v>
      </c>
      <c r="AV9" t="s">
        <v>62</v>
      </c>
      <c r="AW9" t="s">
        <v>63</v>
      </c>
      <c r="AX9" t="s">
        <v>64</v>
      </c>
      <c r="AY9" t="s">
        <v>65</v>
      </c>
      <c r="AZ9" t="s">
        <v>66</v>
      </c>
      <c r="BA9" t="s">
        <v>67</v>
      </c>
      <c r="BC9" t="s">
        <v>67</v>
      </c>
      <c r="BD9" t="s">
        <v>68</v>
      </c>
      <c r="BF9" t="s">
        <v>276</v>
      </c>
      <c r="BH9" t="s">
        <v>277</v>
      </c>
      <c r="BI9" t="s">
        <v>278</v>
      </c>
      <c r="BJ9" t="s">
        <v>279</v>
      </c>
      <c r="BK9" t="s">
        <v>280</v>
      </c>
      <c r="BL9" t="s">
        <v>207</v>
      </c>
      <c r="BS9" t="s">
        <v>69</v>
      </c>
      <c r="BU9" t="s">
        <v>70</v>
      </c>
      <c r="BW9" t="s">
        <v>117</v>
      </c>
      <c r="BX9" t="s">
        <v>112</v>
      </c>
      <c r="BY9">
        <v>0.01</v>
      </c>
      <c r="BZ9">
        <v>0</v>
      </c>
      <c r="CA9">
        <v>0</v>
      </c>
      <c r="CB9">
        <v>0</v>
      </c>
      <c r="CC9">
        <v>-0.02</v>
      </c>
      <c r="CD9">
        <v>-0.05</v>
      </c>
      <c r="CE9">
        <v>3</v>
      </c>
      <c r="CI9" t="s">
        <v>115</v>
      </c>
      <c r="CJ9">
        <v>0</v>
      </c>
      <c r="CK9">
        <v>-0.08</v>
      </c>
      <c r="CL9">
        <v>0</v>
      </c>
      <c r="CM9">
        <v>-0.05</v>
      </c>
      <c r="CN9">
        <v>-0.05</v>
      </c>
      <c r="CO9">
        <v>0.08</v>
      </c>
    </row>
    <row r="10" spans="1:93" x14ac:dyDescent="0.2">
      <c r="A10" t="s">
        <v>71</v>
      </c>
      <c r="B10" t="s">
        <v>72</v>
      </c>
      <c r="C10" t="s">
        <v>72</v>
      </c>
      <c r="D10" t="s">
        <v>73</v>
      </c>
      <c r="E10" t="s">
        <v>281</v>
      </c>
      <c r="F10" t="s">
        <v>282</v>
      </c>
      <c r="G10" t="s">
        <v>283</v>
      </c>
      <c r="H10" t="s">
        <v>74</v>
      </c>
      <c r="J10" t="s">
        <v>235</v>
      </c>
      <c r="K10" t="s">
        <v>236</v>
      </c>
      <c r="L10" t="s">
        <v>76</v>
      </c>
      <c r="M10" t="s">
        <v>77</v>
      </c>
      <c r="N10" t="s">
        <v>78</v>
      </c>
      <c r="O10" t="s">
        <v>29</v>
      </c>
      <c r="P10" t="s">
        <v>234</v>
      </c>
      <c r="Q10" t="s">
        <v>80</v>
      </c>
      <c r="R10" t="s">
        <v>82</v>
      </c>
      <c r="S10" t="s">
        <v>84</v>
      </c>
      <c r="T10" t="s">
        <v>85</v>
      </c>
      <c r="U10" t="s">
        <v>86</v>
      </c>
      <c r="V10" t="s">
        <v>87</v>
      </c>
      <c r="W10" t="s">
        <v>88</v>
      </c>
      <c r="X10" t="s">
        <v>229</v>
      </c>
      <c r="Y10" t="s">
        <v>33</v>
      </c>
      <c r="Z10" t="s">
        <v>248</v>
      </c>
      <c r="AA10" t="s">
        <v>231</v>
      </c>
      <c r="AB10" t="s">
        <v>133</v>
      </c>
      <c r="AC10" t="s">
        <v>89</v>
      </c>
      <c r="AD10" t="s">
        <v>237</v>
      </c>
      <c r="AE10" t="s">
        <v>238</v>
      </c>
      <c r="AF10" t="s">
        <v>239</v>
      </c>
      <c r="AG10" t="s">
        <v>240</v>
      </c>
      <c r="AH10" t="s">
        <v>241</v>
      </c>
      <c r="AI10" t="s">
        <v>90</v>
      </c>
      <c r="AJ10" t="s">
        <v>91</v>
      </c>
      <c r="AK10" t="s">
        <v>284</v>
      </c>
      <c r="AL10" t="s">
        <v>243</v>
      </c>
      <c r="AM10" t="s">
        <v>124</v>
      </c>
      <c r="AN10" t="s">
        <v>37</v>
      </c>
      <c r="AO10" t="s">
        <v>4</v>
      </c>
      <c r="AP10" t="s">
        <v>92</v>
      </c>
      <c r="AQ10" t="s">
        <v>93</v>
      </c>
      <c r="AR10" t="s">
        <v>95</v>
      </c>
      <c r="AS10" t="s">
        <v>96</v>
      </c>
      <c r="AT10" t="s">
        <v>97</v>
      </c>
      <c r="AU10" t="s">
        <v>98</v>
      </c>
      <c r="AV10" t="s">
        <v>99</v>
      </c>
      <c r="AW10" t="s">
        <v>10</v>
      </c>
      <c r="AX10" t="s">
        <v>100</v>
      </c>
      <c r="AY10" t="s">
        <v>101</v>
      </c>
      <c r="AZ10" t="s">
        <v>102</v>
      </c>
      <c r="BA10" t="s">
        <v>103</v>
      </c>
      <c r="BB10" t="s">
        <v>104</v>
      </c>
      <c r="BC10" t="s">
        <v>105</v>
      </c>
      <c r="BD10" t="s">
        <v>106</v>
      </c>
      <c r="BE10" t="s">
        <v>106</v>
      </c>
      <c r="BF10" t="s">
        <v>244</v>
      </c>
      <c r="BG10" t="s">
        <v>244</v>
      </c>
      <c r="BH10" t="s">
        <v>232</v>
      </c>
      <c r="BI10" t="s">
        <v>247</v>
      </c>
      <c r="BJ10" t="s">
        <v>246</v>
      </c>
      <c r="BK10" t="s">
        <v>233</v>
      </c>
      <c r="BL10" t="s">
        <v>230</v>
      </c>
      <c r="BR10" t="s">
        <v>107</v>
      </c>
      <c r="BS10">
        <v>4.7000000000000002E-3</v>
      </c>
      <c r="BT10" t="s">
        <v>108</v>
      </c>
      <c r="BU10">
        <v>0.72</v>
      </c>
      <c r="BW10" t="s">
        <v>119</v>
      </c>
      <c r="BX10" t="s">
        <v>112</v>
      </c>
      <c r="BY10">
        <v>0</v>
      </c>
      <c r="BZ10">
        <v>-0.03</v>
      </c>
      <c r="CA10">
        <v>0</v>
      </c>
      <c r="CB10">
        <v>0.02</v>
      </c>
      <c r="CC10">
        <v>-0.03</v>
      </c>
      <c r="CD10">
        <v>0.05</v>
      </c>
      <c r="CE10">
        <v>4</v>
      </c>
      <c r="CI10" t="s">
        <v>117</v>
      </c>
      <c r="CJ10">
        <v>-7.0000000000000007E-2</v>
      </c>
      <c r="CK10">
        <v>0</v>
      </c>
      <c r="CL10">
        <v>0</v>
      </c>
      <c r="CM10">
        <v>0.01</v>
      </c>
      <c r="CN10">
        <v>-0.01</v>
      </c>
      <c r="CO10">
        <v>0.05</v>
      </c>
    </row>
    <row r="11" spans="1:93" x14ac:dyDescent="0.2">
      <c r="A11" t="s">
        <v>109</v>
      </c>
      <c r="B11" t="s">
        <v>108</v>
      </c>
      <c r="C11" t="s">
        <v>110</v>
      </c>
      <c r="D11" t="s">
        <v>111</v>
      </c>
      <c r="E11" t="s">
        <v>111</v>
      </c>
      <c r="F11" t="s">
        <v>134</v>
      </c>
      <c r="G11" t="s">
        <v>125</v>
      </c>
      <c r="H11" t="s">
        <v>112</v>
      </c>
      <c r="I11" t="s">
        <v>113</v>
      </c>
      <c r="J11">
        <v>4</v>
      </c>
      <c r="K11">
        <v>0.65</v>
      </c>
      <c r="L11">
        <v>100</v>
      </c>
      <c r="M11">
        <v>95</v>
      </c>
      <c r="N11">
        <v>90</v>
      </c>
      <c r="O11">
        <f t="shared" ref="O11:O34" si="0">$BS$3</f>
        <v>91.25</v>
      </c>
      <c r="P11" t="e" cm="1">
        <f t="array" aca="1" ref="P11" ca="1">_xludf.DROP(_xludf.XLOOKUP($C11,#REF!,#REF!),1)</f>
        <v>#NAME?</v>
      </c>
      <c r="Q11" t="e" cm="1">
        <f t="array" aca="1" ref="Q11" ca="1">_xludf.DROP(_xludf.XLOOKUP($C11,#REF!,#REF!),1)</f>
        <v>#NAME?</v>
      </c>
      <c r="R11" t="e" cm="1">
        <f t="array" aca="1" ref="R11" ca="1">_xludf.DROP(_xludf.XLOOKUP($C11,#REF!,#REF!),1)</f>
        <v>#NAME?</v>
      </c>
      <c r="S11" t="e" cm="1">
        <f t="array" aca="1" ref="S11" ca="1">_xludf.DROP(_xludf.XLOOKUP($C11,#REF!,#REF!),1)</f>
        <v>#NAME?</v>
      </c>
      <c r="T11">
        <f t="shared" ref="T11:T34" si="1">1-U11</f>
        <v>0</v>
      </c>
      <c r="U11">
        <f t="shared" ref="U11:U34" si="2">IF($D$11="yes", 1, VLOOKUP(B11, $BR$26:$BT$32, 1))</f>
        <v>1</v>
      </c>
      <c r="V11">
        <f t="shared" ref="V11:V34" si="3">VLOOKUP($B$11,$BT$10:$BU$16, 2, FALSE)</f>
        <v>0.72</v>
      </c>
      <c r="W11">
        <f t="shared" ref="W11:W34" si="4">$BS$10</f>
        <v>4.7000000000000002E-3</v>
      </c>
      <c r="X11">
        <f t="shared" ref="X11:X34" si="5">IF(E11="yes",1,0)</f>
        <v>1</v>
      </c>
      <c r="Y11">
        <f t="shared" ref="Y11:Y34" si="6">$BS$4</f>
        <v>0.24</v>
      </c>
      <c r="Z11">
        <f t="shared" ref="Z11:Z34" si="7">$BS$6</f>
        <v>1.0999999999999999E-2</v>
      </c>
      <c r="AA11">
        <f t="shared" ref="AA11:AA34" si="8">$BS$5</f>
        <v>0.21</v>
      </c>
      <c r="AB11">
        <f t="shared" ref="AB11:AB34" si="9">VLOOKUP($F$11,$BR$37:$BS$49,2,FALSE)</f>
        <v>5.8999999999999999E-3</v>
      </c>
      <c r="AC11">
        <f t="shared" ref="AC11:AC34" si="10">(M11/100)*(MIN(N11,100)/100)</f>
        <v>0.85499999999999998</v>
      </c>
      <c r="AD11">
        <f t="shared" ref="AD11:AD34" si="11">AC11 * 1.6</f>
        <v>1.3680000000000001</v>
      </c>
      <c r="AE11">
        <f t="shared" ref="AE11:AE34" si="12">J11 * K11 / 365</f>
        <v>7.1232876712328773E-3</v>
      </c>
      <c r="AF11" t="e">
        <f t="shared" ref="AF11:AF34" ca="1" si="13">P11 * 0.92</f>
        <v>#NAME?</v>
      </c>
      <c r="AG11" t="e" cm="1">
        <f t="array" aca="1" ref="AG11" ca="1">_xludf.DROP(_xludf.XLOOKUP($C11,#REF!,#REF!),1)</f>
        <v>#NAME?</v>
      </c>
      <c r="AH11" t="e">
        <f t="shared" ref="AH11:AH34" ca="1" si="14">S11 / AG11</f>
        <v>#NAME?</v>
      </c>
      <c r="AI11">
        <v>0</v>
      </c>
      <c r="AJ11">
        <f t="shared" ref="AJ11:AJ34" si="15">1.6 * AI11</f>
        <v>0</v>
      </c>
      <c r="AK11" t="e">
        <f ca="1">(0.045*AD11+AE11*0.84+
      (AF11*
          (
              (212 - 4*(AF11*1000/(4*AG11^0.75)-1))-((140 - 4 * (AF11*1000/(4*AG11^0.75)-1))/(1+EXP(-6*(AH11-0.4))))
          )
      )*10^-3
)/6.25</f>
        <v>#NAME?</v>
      </c>
      <c r="AL11" t="e">
        <f t="shared" ref="AL11:AL34" ca="1" si="16">(AV11 / 6.25 ) - AK11</f>
        <v>#NAME?</v>
      </c>
      <c r="AM11">
        <f t="shared" ref="AM11:AM34" si="17">IF($G$11="wet",$BU$18,$BU$19)</f>
        <v>6.0000000000000001E-3</v>
      </c>
      <c r="AN11">
        <f t="shared" ref="AN11:AN34" si="18">$BS$7</f>
        <v>1.5714285714285714</v>
      </c>
      <c r="AO11">
        <f t="shared" ref="AO11:AO34" si="19">$BV$1</f>
        <v>1.3</v>
      </c>
      <c r="AP11">
        <f t="shared" ref="AP11:AP34" si="20">AC11*AO11+(1-AC11)</f>
        <v>1.2565</v>
      </c>
      <c r="AQ11" t="e">
        <f t="shared" ref="AQ11:AQ34" ca="1" si="21">(0.795*R11)-0.0014</f>
        <v>#NAME?</v>
      </c>
      <c r="AR11" t="e" cm="1">
        <f t="array" aca="1" ref="AR11" ca="1">_xludf.DROP(_xludf.XLOOKUP($C11,#REF!,#REF!),1)</f>
        <v>#NAME?</v>
      </c>
      <c r="AS11" t="e">
        <f t="shared" ref="AS11:AS34" ca="1" si="22">1 - EXP(-2*(AR11^2))</f>
        <v>#NAME?</v>
      </c>
      <c r="AT11" t="e">
        <f t="shared" ref="AT11:AT34" ca="1" si="23">(104.7*AQ11+0.307*S11-15)*(S11^0.75)*10^-3</f>
        <v>#NAME?</v>
      </c>
      <c r="AU11" t="e">
        <f t="shared" ref="AU11:AU34" ca="1" si="24">AT11*AS11*AP11</f>
        <v>#NAME?</v>
      </c>
      <c r="AV11" t="e">
        <f t="shared" ref="AV11:AV34" ca="1" si="25">(AU11 * Q11) + (0.045 * AJ11)</f>
        <v>#NAME?</v>
      </c>
      <c r="AW11">
        <f t="shared" ref="AW11:AW34" si="26">$BS$2</f>
        <v>0.08</v>
      </c>
      <c r="AX11" t="e">
        <f t="shared" ref="AX11:AX34" ca="1" si="27">(AU11 * ((1 - R11) + (0.04 * AU11))) * ( 1 - AW11 )</f>
        <v>#NAME?</v>
      </c>
      <c r="AY11">
        <f t="shared" ref="AY11:AY34" si="28">$BS$1</f>
        <v>0.24</v>
      </c>
      <c r="AZ11">
        <f t="shared" ref="AZ11:AZ34" si="29">$BT$20</f>
        <v>0.6784</v>
      </c>
      <c r="BA11" t="e">
        <f t="shared" ref="BA11:BA34" ca="1" si="30">AX11 * AY11 * T11 * V11 * AZ11</f>
        <v>#NAME?</v>
      </c>
      <c r="BB11" t="e">
        <f t="shared" ref="BB11:BB34" ca="1" si="31">AX11*AY11*U11*W11*AZ11</f>
        <v>#NAME?</v>
      </c>
      <c r="BC11" t="e">
        <f t="shared" ref="BC11:BC34" ca="1" si="32">BA11+BB11</f>
        <v>#NAME?</v>
      </c>
      <c r="BD11" t="e">
        <f t="shared" ref="BD11:BD34" ca="1" si="33">L11*BC11*O11</f>
        <v>#NAME?</v>
      </c>
      <c r="BE11" t="e">
        <f ca="1">SUM(BD11:BD34)*10^-3</f>
        <v>#NAME?</v>
      </c>
      <c r="BF11" t="e">
        <f t="shared" ref="BF11:BF34" ca="1" si="34">L11*AL11*O11</f>
        <v>#NAME?</v>
      </c>
      <c r="BG11" t="e">
        <f ca="1">SUM(BF11:BF34)</f>
        <v>#NAME?</v>
      </c>
      <c r="BH11" t="e">
        <f ca="1">BF11 * AA11</f>
        <v>#NAME?</v>
      </c>
      <c r="BI11" t="e">
        <f ca="1">BF11 * X11 * Y11</f>
        <v>#NAME?</v>
      </c>
      <c r="BJ11" t="e">
        <f ca="1">BF11 * AM11 * AN11 * 10^-3</f>
        <v>#NAME?</v>
      </c>
      <c r="BK11" t="e">
        <f ca="1">BH11 * AB11 * AN11 * 10^-3</f>
        <v>#NAME?</v>
      </c>
      <c r="BL11" t="e">
        <f ca="1">BI11 * Z11 * AN11 * 10^-3</f>
        <v>#NAME?</v>
      </c>
      <c r="BT11" t="s">
        <v>285</v>
      </c>
      <c r="BU11">
        <v>0.75</v>
      </c>
      <c r="BW11" t="s">
        <v>113</v>
      </c>
      <c r="BX11" t="s">
        <v>121</v>
      </c>
      <c r="BY11">
        <v>0.16</v>
      </c>
      <c r="BZ11">
        <v>0.2</v>
      </c>
      <c r="CA11">
        <v>0.11</v>
      </c>
      <c r="CB11">
        <v>0.15</v>
      </c>
      <c r="CC11">
        <v>0.15</v>
      </c>
      <c r="CD11">
        <v>0.11</v>
      </c>
      <c r="CE11">
        <v>1</v>
      </c>
      <c r="CI11" t="s">
        <v>119</v>
      </c>
      <c r="CJ11">
        <v>0</v>
      </c>
      <c r="CK11">
        <v>0</v>
      </c>
      <c r="CL11">
        <v>0.02</v>
      </c>
      <c r="CM11">
        <v>0</v>
      </c>
      <c r="CN11">
        <v>0.01</v>
      </c>
      <c r="CO11">
        <v>0.04</v>
      </c>
    </row>
    <row r="12" spans="1:93" x14ac:dyDescent="0.2">
      <c r="I12" t="s">
        <v>115</v>
      </c>
      <c r="J12">
        <f>J11</f>
        <v>4</v>
      </c>
      <c r="K12">
        <f>K11</f>
        <v>0.65</v>
      </c>
      <c r="L12">
        <v>70</v>
      </c>
      <c r="M12">
        <v>0</v>
      </c>
      <c r="N12">
        <v>0</v>
      </c>
      <c r="O12">
        <f t="shared" si="0"/>
        <v>91.25</v>
      </c>
      <c r="T12">
        <f t="shared" si="1"/>
        <v>0</v>
      </c>
      <c r="U12">
        <f t="shared" si="2"/>
        <v>1</v>
      </c>
      <c r="V12">
        <f t="shared" si="3"/>
        <v>0.72</v>
      </c>
      <c r="W12">
        <f t="shared" si="4"/>
        <v>4.7000000000000002E-3</v>
      </c>
      <c r="X12">
        <f t="shared" si="5"/>
        <v>0</v>
      </c>
      <c r="Y12">
        <f t="shared" si="6"/>
        <v>0.24</v>
      </c>
      <c r="Z12">
        <f t="shared" si="7"/>
        <v>1.0999999999999999E-2</v>
      </c>
      <c r="AA12">
        <f t="shared" si="8"/>
        <v>0.21</v>
      </c>
      <c r="AB12">
        <f t="shared" si="9"/>
        <v>5.8999999999999999E-3</v>
      </c>
      <c r="AC12">
        <f t="shared" si="10"/>
        <v>0</v>
      </c>
      <c r="AD12">
        <f t="shared" si="11"/>
        <v>0</v>
      </c>
      <c r="AE12">
        <f t="shared" si="12"/>
        <v>7.1232876712328773E-3</v>
      </c>
      <c r="AF12">
        <f t="shared" si="13"/>
        <v>0</v>
      </c>
      <c r="AH12" t="e">
        <f t="shared" si="14"/>
        <v>#DIV/0!</v>
      </c>
      <c r="AI12">
        <v>0</v>
      </c>
      <c r="AJ12">
        <f t="shared" si="15"/>
        <v>0</v>
      </c>
      <c r="AK12" t="e">
        <f>(0.045*AD12+AE12*0.84+
      (AF12*
          (
              (212 - 4*(AF12*1000/(4*AG12^0.75)-1))-((140 - 4 * (AF12*1000/(4*AG12^0.75)-1))/(1+EXP(-6*(AH12-0.4))))
          )
      )*10^-3
)/6.25</f>
        <v>#DIV/0!</v>
      </c>
      <c r="AL12" t="e">
        <f t="shared" si="16"/>
        <v>#DIV/0!</v>
      </c>
      <c r="AM12">
        <f t="shared" si="17"/>
        <v>6.0000000000000001E-3</v>
      </c>
      <c r="AN12">
        <f t="shared" si="18"/>
        <v>1.5714285714285714</v>
      </c>
      <c r="AO12">
        <f t="shared" si="19"/>
        <v>1.3</v>
      </c>
      <c r="AP12">
        <f t="shared" si="20"/>
        <v>1</v>
      </c>
      <c r="AQ12">
        <f t="shared" si="21"/>
        <v>-1.4E-3</v>
      </c>
      <c r="AS12">
        <f t="shared" si="22"/>
        <v>0</v>
      </c>
      <c r="AT12">
        <f t="shared" si="23"/>
        <v>0</v>
      </c>
      <c r="AU12">
        <f t="shared" si="24"/>
        <v>0</v>
      </c>
      <c r="AV12">
        <f t="shared" si="25"/>
        <v>0</v>
      </c>
      <c r="AW12">
        <f t="shared" si="26"/>
        <v>0.08</v>
      </c>
      <c r="AX12">
        <f t="shared" si="27"/>
        <v>0</v>
      </c>
      <c r="AY12">
        <f t="shared" si="28"/>
        <v>0.24</v>
      </c>
      <c r="AZ12">
        <f t="shared" si="29"/>
        <v>0.6784</v>
      </c>
      <c r="BA12">
        <f t="shared" si="30"/>
        <v>0</v>
      </c>
      <c r="BB12">
        <f t="shared" si="31"/>
        <v>0</v>
      </c>
      <c r="BC12">
        <f t="shared" si="32"/>
        <v>0</v>
      </c>
      <c r="BD12">
        <f t="shared" si="33"/>
        <v>0</v>
      </c>
      <c r="BF12" t="e">
        <f t="shared" si="34"/>
        <v>#DIV/0!</v>
      </c>
      <c r="BT12" t="s">
        <v>286</v>
      </c>
      <c r="BU12">
        <v>0.78</v>
      </c>
      <c r="BW12" t="s">
        <v>115</v>
      </c>
      <c r="BX12" t="s">
        <v>121</v>
      </c>
      <c r="BY12">
        <v>0.08</v>
      </c>
      <c r="BZ12">
        <v>0.05</v>
      </c>
      <c r="CA12">
        <v>0.05</v>
      </c>
      <c r="CB12">
        <v>0.11</v>
      </c>
      <c r="CC12">
        <v>7.0000000000000007E-2</v>
      </c>
      <c r="CD12">
        <v>0</v>
      </c>
      <c r="CE12">
        <v>2</v>
      </c>
      <c r="CH12" t="s">
        <v>287</v>
      </c>
      <c r="CI12" t="s">
        <v>113</v>
      </c>
      <c r="CJ12">
        <v>-0.02</v>
      </c>
      <c r="CK12">
        <v>0</v>
      </c>
      <c r="CL12">
        <v>0</v>
      </c>
      <c r="CM12">
        <v>-0.02</v>
      </c>
      <c r="CN12">
        <v>-0.03</v>
      </c>
      <c r="CO12">
        <v>0.2</v>
      </c>
    </row>
    <row r="13" spans="1:93" x14ac:dyDescent="0.2">
      <c r="I13" t="s">
        <v>117</v>
      </c>
      <c r="J13">
        <f>J12</f>
        <v>4</v>
      </c>
      <c r="K13">
        <f>K11</f>
        <v>0.65</v>
      </c>
      <c r="L13">
        <v>65</v>
      </c>
      <c r="M13">
        <v>0</v>
      </c>
      <c r="N13">
        <v>0</v>
      </c>
      <c r="O13">
        <f t="shared" si="0"/>
        <v>91.25</v>
      </c>
      <c r="T13">
        <f t="shared" si="1"/>
        <v>0</v>
      </c>
      <c r="U13">
        <f t="shared" si="2"/>
        <v>1</v>
      </c>
      <c r="V13">
        <f t="shared" si="3"/>
        <v>0.72</v>
      </c>
      <c r="W13">
        <f t="shared" si="4"/>
        <v>4.7000000000000002E-3</v>
      </c>
      <c r="X13">
        <f t="shared" si="5"/>
        <v>0</v>
      </c>
      <c r="Y13">
        <f t="shared" si="6"/>
        <v>0.24</v>
      </c>
      <c r="Z13">
        <f t="shared" si="7"/>
        <v>1.0999999999999999E-2</v>
      </c>
      <c r="AA13">
        <f t="shared" si="8"/>
        <v>0.21</v>
      </c>
      <c r="AB13">
        <f t="shared" si="9"/>
        <v>5.8999999999999999E-3</v>
      </c>
      <c r="AC13">
        <f t="shared" si="10"/>
        <v>0</v>
      </c>
      <c r="AD13">
        <f t="shared" si="11"/>
        <v>0</v>
      </c>
      <c r="AE13">
        <f t="shared" si="12"/>
        <v>7.1232876712328773E-3</v>
      </c>
      <c r="AF13">
        <f t="shared" si="13"/>
        <v>0</v>
      </c>
      <c r="AH13" t="e">
        <f t="shared" si="14"/>
        <v>#DIV/0!</v>
      </c>
      <c r="AI13">
        <v>0</v>
      </c>
      <c r="AJ13">
        <f t="shared" si="15"/>
        <v>0</v>
      </c>
      <c r="AK13">
        <v>1.0747659693624819E-3</v>
      </c>
      <c r="AL13">
        <f t="shared" si="16"/>
        <v>-1.0747659693624819E-3</v>
      </c>
      <c r="AM13">
        <f t="shared" si="17"/>
        <v>6.0000000000000001E-3</v>
      </c>
      <c r="AN13">
        <f t="shared" si="18"/>
        <v>1.5714285714285714</v>
      </c>
      <c r="AO13">
        <f t="shared" si="19"/>
        <v>1.3</v>
      </c>
      <c r="AP13">
        <f t="shared" si="20"/>
        <v>1</v>
      </c>
      <c r="AQ13">
        <f t="shared" si="21"/>
        <v>-1.4E-3</v>
      </c>
      <c r="AS13">
        <f t="shared" si="22"/>
        <v>0</v>
      </c>
      <c r="AT13">
        <f t="shared" si="23"/>
        <v>0</v>
      </c>
      <c r="AU13">
        <f t="shared" si="24"/>
        <v>0</v>
      </c>
      <c r="AV13">
        <f t="shared" si="25"/>
        <v>0</v>
      </c>
      <c r="AW13">
        <f t="shared" si="26"/>
        <v>0.08</v>
      </c>
      <c r="AX13">
        <f t="shared" si="27"/>
        <v>0</v>
      </c>
      <c r="AY13">
        <f t="shared" si="28"/>
        <v>0.24</v>
      </c>
      <c r="AZ13">
        <f t="shared" si="29"/>
        <v>0.6784</v>
      </c>
      <c r="BA13">
        <f t="shared" si="30"/>
        <v>0</v>
      </c>
      <c r="BB13">
        <f t="shared" si="31"/>
        <v>0</v>
      </c>
      <c r="BC13">
        <f t="shared" si="32"/>
        <v>0</v>
      </c>
      <c r="BD13">
        <f t="shared" si="33"/>
        <v>0</v>
      </c>
      <c r="BF13">
        <f t="shared" si="34"/>
        <v>-6.3747056557812209</v>
      </c>
      <c r="BT13" t="s">
        <v>288</v>
      </c>
      <c r="BU13">
        <v>0.74</v>
      </c>
      <c r="BW13" t="s">
        <v>117</v>
      </c>
      <c r="BX13" t="s">
        <v>121</v>
      </c>
      <c r="BY13">
        <v>0.05</v>
      </c>
      <c r="BZ13">
        <v>0.2</v>
      </c>
      <c r="CA13">
        <v>0.16</v>
      </c>
      <c r="CB13">
        <v>0.13</v>
      </c>
      <c r="CC13">
        <v>0.05</v>
      </c>
      <c r="CD13">
        <v>0.11</v>
      </c>
      <c r="CE13">
        <v>3</v>
      </c>
      <c r="CI13" t="s">
        <v>115</v>
      </c>
      <c r="CJ13">
        <v>0.03</v>
      </c>
      <c r="CK13">
        <v>0.05</v>
      </c>
      <c r="CL13">
        <v>0.05</v>
      </c>
      <c r="CM13">
        <v>0.05</v>
      </c>
      <c r="CN13">
        <v>0.05</v>
      </c>
      <c r="CO13">
        <v>0.05</v>
      </c>
    </row>
    <row r="14" spans="1:93" x14ac:dyDescent="0.2">
      <c r="I14" t="s">
        <v>119</v>
      </c>
      <c r="J14">
        <f>J13</f>
        <v>4</v>
      </c>
      <c r="K14">
        <f>K11</f>
        <v>0.65</v>
      </c>
      <c r="L14">
        <v>80</v>
      </c>
      <c r="M14">
        <v>0</v>
      </c>
      <c r="N14">
        <v>0</v>
      </c>
      <c r="O14">
        <f t="shared" si="0"/>
        <v>91.25</v>
      </c>
      <c r="T14">
        <f t="shared" si="1"/>
        <v>0</v>
      </c>
      <c r="U14">
        <f t="shared" si="2"/>
        <v>1</v>
      </c>
      <c r="V14">
        <f t="shared" si="3"/>
        <v>0.72</v>
      </c>
      <c r="W14">
        <f t="shared" si="4"/>
        <v>4.7000000000000002E-3</v>
      </c>
      <c r="X14">
        <f t="shared" si="5"/>
        <v>0</v>
      </c>
      <c r="Y14">
        <f t="shared" si="6"/>
        <v>0.24</v>
      </c>
      <c r="Z14">
        <f t="shared" si="7"/>
        <v>1.0999999999999999E-2</v>
      </c>
      <c r="AA14">
        <f t="shared" si="8"/>
        <v>0.21</v>
      </c>
      <c r="AB14">
        <f t="shared" si="9"/>
        <v>5.8999999999999999E-3</v>
      </c>
      <c r="AC14">
        <f t="shared" si="10"/>
        <v>0</v>
      </c>
      <c r="AD14">
        <f t="shared" si="11"/>
        <v>0</v>
      </c>
      <c r="AE14">
        <f t="shared" si="12"/>
        <v>7.1232876712328773E-3</v>
      </c>
      <c r="AF14">
        <f t="shared" si="13"/>
        <v>0</v>
      </c>
      <c r="AH14" t="e">
        <f t="shared" si="14"/>
        <v>#DIV/0!</v>
      </c>
      <c r="AI14">
        <v>0</v>
      </c>
      <c r="AJ14">
        <f t="shared" si="15"/>
        <v>0</v>
      </c>
      <c r="AK14">
        <v>9.5736986301369871E-4</v>
      </c>
      <c r="AL14">
        <f t="shared" si="16"/>
        <v>-9.5736986301369871E-4</v>
      </c>
      <c r="AM14">
        <f t="shared" si="17"/>
        <v>6.0000000000000001E-3</v>
      </c>
      <c r="AN14">
        <f t="shared" si="18"/>
        <v>1.5714285714285714</v>
      </c>
      <c r="AO14">
        <f t="shared" si="19"/>
        <v>1.3</v>
      </c>
      <c r="AP14">
        <f t="shared" si="20"/>
        <v>1</v>
      </c>
      <c r="AQ14">
        <f t="shared" si="21"/>
        <v>-1.4E-3</v>
      </c>
      <c r="AS14">
        <f t="shared" si="22"/>
        <v>0</v>
      </c>
      <c r="AT14">
        <f t="shared" si="23"/>
        <v>0</v>
      </c>
      <c r="AU14">
        <f t="shared" si="24"/>
        <v>0</v>
      </c>
      <c r="AV14">
        <f t="shared" si="25"/>
        <v>0</v>
      </c>
      <c r="AW14">
        <f t="shared" si="26"/>
        <v>0.08</v>
      </c>
      <c r="AX14">
        <f t="shared" si="27"/>
        <v>0</v>
      </c>
      <c r="AY14">
        <f t="shared" si="28"/>
        <v>0.24</v>
      </c>
      <c r="AZ14">
        <f t="shared" si="29"/>
        <v>0.6784</v>
      </c>
      <c r="BA14">
        <f t="shared" si="30"/>
        <v>0</v>
      </c>
      <c r="BB14">
        <f t="shared" si="31"/>
        <v>0</v>
      </c>
      <c r="BC14">
        <f t="shared" si="32"/>
        <v>0</v>
      </c>
      <c r="BD14">
        <f t="shared" si="33"/>
        <v>0</v>
      </c>
      <c r="BF14">
        <f t="shared" si="34"/>
        <v>-6.9888000000000003</v>
      </c>
      <c r="BT14" t="s">
        <v>289</v>
      </c>
      <c r="BU14">
        <v>0.69</v>
      </c>
      <c r="BW14" t="s">
        <v>119</v>
      </c>
      <c r="BX14" t="s">
        <v>121</v>
      </c>
      <c r="BY14">
        <v>0.04</v>
      </c>
      <c r="BZ14">
        <v>0.05</v>
      </c>
      <c r="CA14">
        <v>0.16</v>
      </c>
      <c r="CB14">
        <v>7.0000000000000007E-2</v>
      </c>
      <c r="CC14">
        <v>0.02</v>
      </c>
      <c r="CD14">
        <v>0.11</v>
      </c>
      <c r="CE14">
        <v>4</v>
      </c>
      <c r="CI14" t="s">
        <v>117</v>
      </c>
      <c r="CJ14">
        <v>0.02</v>
      </c>
      <c r="CK14">
        <v>0</v>
      </c>
      <c r="CL14">
        <v>0</v>
      </c>
      <c r="CM14">
        <v>0</v>
      </c>
      <c r="CN14">
        <v>0</v>
      </c>
      <c r="CO14">
        <v>0.2</v>
      </c>
    </row>
    <row r="15" spans="1:93" x14ac:dyDescent="0.2">
      <c r="H15" t="s">
        <v>121</v>
      </c>
      <c r="I15" t="s">
        <v>113</v>
      </c>
      <c r="J15">
        <v>3</v>
      </c>
      <c r="K15">
        <v>0.6</v>
      </c>
      <c r="L15">
        <v>200</v>
      </c>
      <c r="M15">
        <v>0</v>
      </c>
      <c r="N15">
        <v>0</v>
      </c>
      <c r="O15">
        <f t="shared" si="0"/>
        <v>91.25</v>
      </c>
      <c r="T15">
        <f t="shared" si="1"/>
        <v>0</v>
      </c>
      <c r="U15">
        <f t="shared" si="2"/>
        <v>1</v>
      </c>
      <c r="V15">
        <f t="shared" si="3"/>
        <v>0.72</v>
      </c>
      <c r="W15">
        <f t="shared" si="4"/>
        <v>4.7000000000000002E-3</v>
      </c>
      <c r="X15">
        <f t="shared" si="5"/>
        <v>0</v>
      </c>
      <c r="Y15">
        <f t="shared" si="6"/>
        <v>0.24</v>
      </c>
      <c r="Z15">
        <f t="shared" si="7"/>
        <v>1.0999999999999999E-2</v>
      </c>
      <c r="AA15">
        <f t="shared" si="8"/>
        <v>0.21</v>
      </c>
      <c r="AB15">
        <f t="shared" si="9"/>
        <v>5.8999999999999999E-3</v>
      </c>
      <c r="AC15">
        <f t="shared" si="10"/>
        <v>0</v>
      </c>
      <c r="AD15">
        <f t="shared" si="11"/>
        <v>0</v>
      </c>
      <c r="AE15">
        <f t="shared" si="12"/>
        <v>4.9315068493150684E-3</v>
      </c>
      <c r="AF15">
        <f t="shared" si="13"/>
        <v>0</v>
      </c>
      <c r="AH15" t="e">
        <f t="shared" si="14"/>
        <v>#DIV/0!</v>
      </c>
      <c r="AI15">
        <v>1</v>
      </c>
      <c r="AJ15">
        <f t="shared" si="15"/>
        <v>1.6</v>
      </c>
      <c r="AK15">
        <v>4.2927035527562628E-3</v>
      </c>
      <c r="AL15">
        <f t="shared" si="16"/>
        <v>7.2272964472437362E-3</v>
      </c>
      <c r="AM15">
        <f t="shared" si="17"/>
        <v>6.0000000000000001E-3</v>
      </c>
      <c r="AN15">
        <f t="shared" si="18"/>
        <v>1.5714285714285714</v>
      </c>
      <c r="AO15">
        <f t="shared" si="19"/>
        <v>1.3</v>
      </c>
      <c r="AP15">
        <f t="shared" si="20"/>
        <v>1</v>
      </c>
      <c r="AQ15">
        <f t="shared" si="21"/>
        <v>-1.4E-3</v>
      </c>
      <c r="AS15">
        <f t="shared" si="22"/>
        <v>0</v>
      </c>
      <c r="AT15">
        <f t="shared" si="23"/>
        <v>0</v>
      </c>
      <c r="AU15">
        <f t="shared" si="24"/>
        <v>0</v>
      </c>
      <c r="AV15">
        <f t="shared" si="25"/>
        <v>7.1999999999999995E-2</v>
      </c>
      <c r="AW15">
        <f t="shared" si="26"/>
        <v>0.08</v>
      </c>
      <c r="AX15">
        <f t="shared" si="27"/>
        <v>0</v>
      </c>
      <c r="AY15">
        <f t="shared" si="28"/>
        <v>0.24</v>
      </c>
      <c r="AZ15">
        <f t="shared" si="29"/>
        <v>0.6784</v>
      </c>
      <c r="BA15">
        <f t="shared" si="30"/>
        <v>0</v>
      </c>
      <c r="BB15">
        <f t="shared" si="31"/>
        <v>0</v>
      </c>
      <c r="BC15">
        <f t="shared" si="32"/>
        <v>0</v>
      </c>
      <c r="BD15">
        <f t="shared" si="33"/>
        <v>0</v>
      </c>
      <c r="BF15">
        <f t="shared" si="34"/>
        <v>131.8981601621982</v>
      </c>
      <c r="BT15" t="s">
        <v>290</v>
      </c>
      <c r="BU15">
        <v>0.73</v>
      </c>
      <c r="BW15" t="s">
        <v>113</v>
      </c>
      <c r="BX15" t="s">
        <v>126</v>
      </c>
      <c r="BY15">
        <v>7.0000000000000007E-2</v>
      </c>
      <c r="BZ15">
        <v>0</v>
      </c>
      <c r="CA15">
        <v>0</v>
      </c>
      <c r="CB15">
        <v>0.03</v>
      </c>
      <c r="CC15">
        <v>0.16</v>
      </c>
      <c r="CD15">
        <v>0.05</v>
      </c>
      <c r="CE15">
        <v>1</v>
      </c>
      <c r="CI15" t="s">
        <v>119</v>
      </c>
      <c r="CJ15">
        <v>-0.03</v>
      </c>
      <c r="CK15">
        <v>-0.05</v>
      </c>
      <c r="CL15">
        <v>-0.05</v>
      </c>
      <c r="CM15">
        <v>-0.03</v>
      </c>
      <c r="CN15">
        <v>-0.02</v>
      </c>
      <c r="CO15">
        <v>0.05</v>
      </c>
    </row>
    <row r="16" spans="1:93" x14ac:dyDescent="0.2">
      <c r="I16" t="s">
        <v>115</v>
      </c>
      <c r="J16">
        <f t="shared" ref="J16:K18" si="35">J15</f>
        <v>3</v>
      </c>
      <c r="K16">
        <f t="shared" si="35"/>
        <v>0.6</v>
      </c>
      <c r="L16">
        <v>210</v>
      </c>
      <c r="M16">
        <v>0</v>
      </c>
      <c r="N16">
        <v>0</v>
      </c>
      <c r="O16">
        <f t="shared" si="0"/>
        <v>91.25</v>
      </c>
      <c r="T16">
        <f t="shared" si="1"/>
        <v>0</v>
      </c>
      <c r="U16">
        <f t="shared" si="2"/>
        <v>1</v>
      </c>
      <c r="V16">
        <f t="shared" si="3"/>
        <v>0.72</v>
      </c>
      <c r="W16">
        <f t="shared" si="4"/>
        <v>4.7000000000000002E-3</v>
      </c>
      <c r="X16">
        <f t="shared" si="5"/>
        <v>0</v>
      </c>
      <c r="Y16">
        <f t="shared" si="6"/>
        <v>0.24</v>
      </c>
      <c r="Z16">
        <f t="shared" si="7"/>
        <v>1.0999999999999999E-2</v>
      </c>
      <c r="AA16">
        <f t="shared" si="8"/>
        <v>0.21</v>
      </c>
      <c r="AB16">
        <f t="shared" si="9"/>
        <v>5.8999999999999999E-3</v>
      </c>
      <c r="AC16">
        <f t="shared" si="10"/>
        <v>0</v>
      </c>
      <c r="AD16">
        <f t="shared" si="11"/>
        <v>0</v>
      </c>
      <c r="AE16">
        <f t="shared" si="12"/>
        <v>4.9315068493150684E-3</v>
      </c>
      <c r="AF16">
        <f t="shared" si="13"/>
        <v>0</v>
      </c>
      <c r="AH16" t="e">
        <f t="shared" si="14"/>
        <v>#DIV/0!</v>
      </c>
      <c r="AI16">
        <v>0</v>
      </c>
      <c r="AJ16">
        <f t="shared" si="15"/>
        <v>0</v>
      </c>
      <c r="AK16">
        <v>2.233380100205178E-3</v>
      </c>
      <c r="AL16">
        <f t="shared" si="16"/>
        <v>-2.233380100205178E-3</v>
      </c>
      <c r="AM16">
        <f t="shared" si="17"/>
        <v>6.0000000000000001E-3</v>
      </c>
      <c r="AN16">
        <f t="shared" si="18"/>
        <v>1.5714285714285714</v>
      </c>
      <c r="AO16">
        <f t="shared" si="19"/>
        <v>1.3</v>
      </c>
      <c r="AP16">
        <f t="shared" si="20"/>
        <v>1</v>
      </c>
      <c r="AQ16">
        <f t="shared" si="21"/>
        <v>-1.4E-3</v>
      </c>
      <c r="AS16">
        <f t="shared" si="22"/>
        <v>0</v>
      </c>
      <c r="AT16">
        <f t="shared" si="23"/>
        <v>0</v>
      </c>
      <c r="AU16">
        <f t="shared" si="24"/>
        <v>0</v>
      </c>
      <c r="AV16">
        <f t="shared" si="25"/>
        <v>0</v>
      </c>
      <c r="AW16">
        <f t="shared" si="26"/>
        <v>0.08</v>
      </c>
      <c r="AX16">
        <f t="shared" si="27"/>
        <v>0</v>
      </c>
      <c r="AY16">
        <f t="shared" si="28"/>
        <v>0.24</v>
      </c>
      <c r="AZ16">
        <f t="shared" si="29"/>
        <v>0.6784</v>
      </c>
      <c r="BA16">
        <f t="shared" si="30"/>
        <v>0</v>
      </c>
      <c r="BB16">
        <f t="shared" si="31"/>
        <v>0</v>
      </c>
      <c r="BC16">
        <f t="shared" si="32"/>
        <v>0</v>
      </c>
      <c r="BD16">
        <f t="shared" si="33"/>
        <v>0</v>
      </c>
      <c r="BF16">
        <f t="shared" si="34"/>
        <v>-42.797146170181719</v>
      </c>
      <c r="BT16" t="s">
        <v>291</v>
      </c>
      <c r="BU16">
        <v>0.76</v>
      </c>
      <c r="BW16" t="s">
        <v>115</v>
      </c>
      <c r="BX16" t="s">
        <v>126</v>
      </c>
      <c r="BY16">
        <v>0</v>
      </c>
      <c r="BZ16">
        <v>0.05</v>
      </c>
      <c r="CA16">
        <v>0</v>
      </c>
      <c r="CB16">
        <v>0</v>
      </c>
      <c r="CC16">
        <v>-0.05</v>
      </c>
      <c r="CD16">
        <v>-0.05</v>
      </c>
      <c r="CE16">
        <v>2</v>
      </c>
      <c r="CH16" t="s">
        <v>292</v>
      </c>
      <c r="CI16" t="s">
        <v>113</v>
      </c>
      <c r="CJ16">
        <v>0.11</v>
      </c>
      <c r="CK16">
        <v>0.11</v>
      </c>
      <c r="CL16">
        <v>0</v>
      </c>
      <c r="CM16">
        <v>0</v>
      </c>
      <c r="CN16">
        <v>0</v>
      </c>
      <c r="CO16">
        <v>0.11</v>
      </c>
    </row>
    <row r="17" spans="8:93" x14ac:dyDescent="0.2">
      <c r="I17" t="s">
        <v>117</v>
      </c>
      <c r="J17">
        <f t="shared" si="35"/>
        <v>3</v>
      </c>
      <c r="K17">
        <f t="shared" si="35"/>
        <v>0.6</v>
      </c>
      <c r="L17">
        <v>170</v>
      </c>
      <c r="M17">
        <v>0</v>
      </c>
      <c r="N17">
        <v>0</v>
      </c>
      <c r="O17">
        <f t="shared" si="0"/>
        <v>91.25</v>
      </c>
      <c r="T17">
        <f t="shared" si="1"/>
        <v>0</v>
      </c>
      <c r="U17">
        <f t="shared" si="2"/>
        <v>1</v>
      </c>
      <c r="V17">
        <f t="shared" si="3"/>
        <v>0.72</v>
      </c>
      <c r="W17">
        <f t="shared" si="4"/>
        <v>4.7000000000000002E-3</v>
      </c>
      <c r="X17">
        <f t="shared" si="5"/>
        <v>0</v>
      </c>
      <c r="Y17">
        <f t="shared" si="6"/>
        <v>0.24</v>
      </c>
      <c r="Z17">
        <f t="shared" si="7"/>
        <v>1.0999999999999999E-2</v>
      </c>
      <c r="AA17">
        <f t="shared" si="8"/>
        <v>0.21</v>
      </c>
      <c r="AB17">
        <f t="shared" si="9"/>
        <v>5.8999999999999999E-3</v>
      </c>
      <c r="AC17">
        <f t="shared" si="10"/>
        <v>0</v>
      </c>
      <c r="AD17">
        <f t="shared" si="11"/>
        <v>0</v>
      </c>
      <c r="AE17">
        <f t="shared" si="12"/>
        <v>4.9315068493150684E-3</v>
      </c>
      <c r="AF17">
        <f t="shared" si="13"/>
        <v>0</v>
      </c>
      <c r="AH17" t="e">
        <f t="shared" si="14"/>
        <v>#DIV/0!</v>
      </c>
      <c r="AI17">
        <v>0</v>
      </c>
      <c r="AJ17">
        <f t="shared" si="15"/>
        <v>0</v>
      </c>
      <c r="AK17">
        <v>1.5400455022570668E-3</v>
      </c>
      <c r="AL17">
        <f t="shared" si="16"/>
        <v>-1.5400455022570668E-3</v>
      </c>
      <c r="AM17">
        <f t="shared" si="17"/>
        <v>6.0000000000000001E-3</v>
      </c>
      <c r="AN17">
        <f t="shared" si="18"/>
        <v>1.5714285714285714</v>
      </c>
      <c r="AO17">
        <f t="shared" si="19"/>
        <v>1.3</v>
      </c>
      <c r="AP17">
        <f t="shared" si="20"/>
        <v>1</v>
      </c>
      <c r="AQ17">
        <f t="shared" si="21"/>
        <v>-1.4E-3</v>
      </c>
      <c r="AS17">
        <f t="shared" si="22"/>
        <v>0</v>
      </c>
      <c r="AT17">
        <f t="shared" si="23"/>
        <v>0</v>
      </c>
      <c r="AU17">
        <f t="shared" si="24"/>
        <v>0</v>
      </c>
      <c r="AV17">
        <f t="shared" si="25"/>
        <v>0</v>
      </c>
      <c r="AW17">
        <f t="shared" si="26"/>
        <v>0.08</v>
      </c>
      <c r="AX17">
        <f t="shared" si="27"/>
        <v>0</v>
      </c>
      <c r="AY17">
        <f t="shared" si="28"/>
        <v>0.24</v>
      </c>
      <c r="AZ17">
        <f t="shared" si="29"/>
        <v>0.6784</v>
      </c>
      <c r="BA17">
        <f t="shared" si="30"/>
        <v>0</v>
      </c>
      <c r="BB17">
        <f t="shared" si="31"/>
        <v>0</v>
      </c>
      <c r="BC17">
        <f t="shared" si="32"/>
        <v>0</v>
      </c>
      <c r="BD17">
        <f t="shared" si="33"/>
        <v>0</v>
      </c>
      <c r="BF17">
        <f t="shared" si="34"/>
        <v>-23.889955853762746</v>
      </c>
      <c r="BW17" t="s">
        <v>117</v>
      </c>
      <c r="BX17" t="s">
        <v>126</v>
      </c>
      <c r="BY17">
        <v>0</v>
      </c>
      <c r="BZ17">
        <v>0</v>
      </c>
      <c r="CA17">
        <v>0</v>
      </c>
      <c r="CB17">
        <v>0</v>
      </c>
      <c r="CC17">
        <v>-0.02</v>
      </c>
      <c r="CD17">
        <v>0.11</v>
      </c>
      <c r="CE17">
        <v>3</v>
      </c>
      <c r="CI17" t="s">
        <v>115</v>
      </c>
      <c r="CJ17">
        <v>-0.1</v>
      </c>
      <c r="CK17">
        <v>-0.1</v>
      </c>
      <c r="CL17">
        <v>0</v>
      </c>
      <c r="CM17">
        <v>0</v>
      </c>
      <c r="CN17">
        <v>0</v>
      </c>
      <c r="CO17">
        <v>0.05</v>
      </c>
    </row>
    <row r="18" spans="8:93" x14ac:dyDescent="0.2">
      <c r="I18" t="s">
        <v>119</v>
      </c>
      <c r="J18">
        <f t="shared" si="35"/>
        <v>3</v>
      </c>
      <c r="K18">
        <f t="shared" si="35"/>
        <v>0.6</v>
      </c>
      <c r="L18">
        <v>200</v>
      </c>
      <c r="M18">
        <v>0</v>
      </c>
      <c r="N18">
        <v>0</v>
      </c>
      <c r="O18">
        <f t="shared" si="0"/>
        <v>91.25</v>
      </c>
      <c r="T18">
        <f t="shared" si="1"/>
        <v>0</v>
      </c>
      <c r="U18">
        <f t="shared" si="2"/>
        <v>1</v>
      </c>
      <c r="V18">
        <f t="shared" si="3"/>
        <v>0.72</v>
      </c>
      <c r="W18">
        <f t="shared" si="4"/>
        <v>4.7000000000000002E-3</v>
      </c>
      <c r="X18">
        <f t="shared" si="5"/>
        <v>0</v>
      </c>
      <c r="Y18">
        <f t="shared" si="6"/>
        <v>0.24</v>
      </c>
      <c r="Z18">
        <f t="shared" si="7"/>
        <v>1.0999999999999999E-2</v>
      </c>
      <c r="AA18">
        <f t="shared" si="8"/>
        <v>0.21</v>
      </c>
      <c r="AB18">
        <f t="shared" si="9"/>
        <v>5.8999999999999999E-3</v>
      </c>
      <c r="AC18">
        <f t="shared" si="10"/>
        <v>0</v>
      </c>
      <c r="AD18">
        <f t="shared" si="11"/>
        <v>0</v>
      </c>
      <c r="AE18">
        <f t="shared" si="12"/>
        <v>4.9315068493150684E-3</v>
      </c>
      <c r="AF18">
        <f t="shared" si="13"/>
        <v>0</v>
      </c>
      <c r="AH18" t="e">
        <f t="shared" si="14"/>
        <v>#DIV/0!</v>
      </c>
      <c r="AI18">
        <v>0</v>
      </c>
      <c r="AJ18">
        <f t="shared" si="15"/>
        <v>0</v>
      </c>
      <c r="AK18">
        <v>1.3398080165132112E-3</v>
      </c>
      <c r="AL18">
        <f t="shared" si="16"/>
        <v>-1.3398080165132112E-3</v>
      </c>
      <c r="AM18">
        <f t="shared" si="17"/>
        <v>6.0000000000000001E-3</v>
      </c>
      <c r="AN18">
        <f t="shared" si="18"/>
        <v>1.5714285714285714</v>
      </c>
      <c r="AO18">
        <f t="shared" si="19"/>
        <v>1.3</v>
      </c>
      <c r="AP18">
        <f t="shared" si="20"/>
        <v>1</v>
      </c>
      <c r="AQ18">
        <f t="shared" si="21"/>
        <v>-1.4E-3</v>
      </c>
      <c r="AS18">
        <f t="shared" si="22"/>
        <v>0</v>
      </c>
      <c r="AT18">
        <f t="shared" si="23"/>
        <v>0</v>
      </c>
      <c r="AU18">
        <f t="shared" si="24"/>
        <v>0</v>
      </c>
      <c r="AV18">
        <f t="shared" si="25"/>
        <v>0</v>
      </c>
      <c r="AW18">
        <f t="shared" si="26"/>
        <v>0.08</v>
      </c>
      <c r="AX18">
        <f t="shared" si="27"/>
        <v>0</v>
      </c>
      <c r="AY18">
        <f t="shared" si="28"/>
        <v>0.24</v>
      </c>
      <c r="AZ18">
        <f t="shared" si="29"/>
        <v>0.6784</v>
      </c>
      <c r="BA18">
        <f t="shared" si="30"/>
        <v>0</v>
      </c>
      <c r="BB18">
        <f t="shared" si="31"/>
        <v>0</v>
      </c>
      <c r="BC18">
        <f t="shared" si="32"/>
        <v>0</v>
      </c>
      <c r="BD18">
        <f t="shared" si="33"/>
        <v>0</v>
      </c>
      <c r="BF18">
        <f t="shared" si="34"/>
        <v>-24.451496301366102</v>
      </c>
      <c r="BS18" t="s">
        <v>124</v>
      </c>
      <c r="BT18" t="s">
        <v>125</v>
      </c>
      <c r="BU18">
        <v>6.0000000000000001E-3</v>
      </c>
      <c r="BW18" t="s">
        <v>119</v>
      </c>
      <c r="BX18" t="s">
        <v>126</v>
      </c>
      <c r="BY18">
        <v>0.02</v>
      </c>
      <c r="BZ18">
        <v>-0.05</v>
      </c>
      <c r="CA18">
        <v>0</v>
      </c>
      <c r="CB18">
        <v>0.5</v>
      </c>
      <c r="CC18">
        <v>-0.03</v>
      </c>
      <c r="CD18">
        <v>0.05</v>
      </c>
      <c r="CE18">
        <v>4</v>
      </c>
      <c r="CI18" t="s">
        <v>117</v>
      </c>
      <c r="CJ18">
        <v>0</v>
      </c>
      <c r="CK18">
        <v>-0.1</v>
      </c>
      <c r="CL18">
        <v>0</v>
      </c>
      <c r="CM18">
        <v>0</v>
      </c>
      <c r="CN18">
        <v>0</v>
      </c>
      <c r="CO18">
        <v>0.16</v>
      </c>
    </row>
    <row r="19" spans="8:93" x14ac:dyDescent="0.2">
      <c r="H19" t="s">
        <v>126</v>
      </c>
      <c r="I19" t="s">
        <v>113</v>
      </c>
      <c r="J19">
        <v>2</v>
      </c>
      <c r="K19">
        <v>0.65</v>
      </c>
      <c r="L19">
        <v>100</v>
      </c>
      <c r="M19">
        <v>95</v>
      </c>
      <c r="N19">
        <v>105</v>
      </c>
      <c r="O19">
        <f t="shared" si="0"/>
        <v>91.25</v>
      </c>
      <c r="T19">
        <f t="shared" si="1"/>
        <v>0</v>
      </c>
      <c r="U19">
        <f t="shared" si="2"/>
        <v>1</v>
      </c>
      <c r="V19">
        <f t="shared" si="3"/>
        <v>0.72</v>
      </c>
      <c r="W19">
        <f t="shared" si="4"/>
        <v>4.7000000000000002E-3</v>
      </c>
      <c r="X19">
        <f t="shared" si="5"/>
        <v>0</v>
      </c>
      <c r="Y19">
        <f t="shared" si="6"/>
        <v>0.24</v>
      </c>
      <c r="Z19">
        <f t="shared" si="7"/>
        <v>1.0999999999999999E-2</v>
      </c>
      <c r="AA19">
        <f t="shared" si="8"/>
        <v>0.21</v>
      </c>
      <c r="AB19">
        <f t="shared" si="9"/>
        <v>5.8999999999999999E-3</v>
      </c>
      <c r="AC19">
        <f t="shared" si="10"/>
        <v>0.95</v>
      </c>
      <c r="AD19">
        <f t="shared" si="11"/>
        <v>1.52</v>
      </c>
      <c r="AE19">
        <f t="shared" si="12"/>
        <v>3.5616438356164386E-3</v>
      </c>
      <c r="AF19">
        <f t="shared" si="13"/>
        <v>0</v>
      </c>
      <c r="AH19" t="e">
        <f t="shared" si="14"/>
        <v>#DIV/0!</v>
      </c>
      <c r="AI19">
        <v>0</v>
      </c>
      <c r="AJ19">
        <f t="shared" si="15"/>
        <v>0</v>
      </c>
      <c r="AK19">
        <v>1.2305324245694275E-2</v>
      </c>
      <c r="AL19">
        <f t="shared" si="16"/>
        <v>-1.2305324245694275E-2</v>
      </c>
      <c r="AM19">
        <f t="shared" si="17"/>
        <v>6.0000000000000001E-3</v>
      </c>
      <c r="AN19">
        <f t="shared" si="18"/>
        <v>1.5714285714285714</v>
      </c>
      <c r="AO19">
        <f t="shared" si="19"/>
        <v>1.3</v>
      </c>
      <c r="AP19">
        <f t="shared" si="20"/>
        <v>1.2849999999999999</v>
      </c>
      <c r="AQ19">
        <f t="shared" si="21"/>
        <v>-1.4E-3</v>
      </c>
      <c r="AS19">
        <f t="shared" si="22"/>
        <v>0</v>
      </c>
      <c r="AT19">
        <f t="shared" si="23"/>
        <v>0</v>
      </c>
      <c r="AU19">
        <f t="shared" si="24"/>
        <v>0</v>
      </c>
      <c r="AV19">
        <f t="shared" si="25"/>
        <v>0</v>
      </c>
      <c r="AW19">
        <f t="shared" si="26"/>
        <v>0.08</v>
      </c>
      <c r="AX19">
        <f t="shared" si="27"/>
        <v>0</v>
      </c>
      <c r="AY19">
        <f t="shared" si="28"/>
        <v>0.24</v>
      </c>
      <c r="AZ19">
        <f t="shared" si="29"/>
        <v>0.6784</v>
      </c>
      <c r="BA19">
        <f t="shared" si="30"/>
        <v>0</v>
      </c>
      <c r="BB19">
        <f t="shared" si="31"/>
        <v>0</v>
      </c>
      <c r="BC19">
        <f t="shared" si="32"/>
        <v>0</v>
      </c>
      <c r="BD19">
        <f t="shared" si="33"/>
        <v>0</v>
      </c>
      <c r="BF19">
        <f t="shared" si="34"/>
        <v>-112.28608374196027</v>
      </c>
      <c r="BT19" t="s">
        <v>127</v>
      </c>
      <c r="BU19">
        <v>2E-3</v>
      </c>
      <c r="BW19" t="s">
        <v>113</v>
      </c>
      <c r="BX19" t="s">
        <v>129</v>
      </c>
      <c r="BY19">
        <v>0.05</v>
      </c>
      <c r="BZ19">
        <v>-0.03</v>
      </c>
      <c r="CA19">
        <v>0</v>
      </c>
      <c r="CB19">
        <v>0</v>
      </c>
      <c r="CC19">
        <v>0</v>
      </c>
      <c r="CD19">
        <v>0.05</v>
      </c>
      <c r="CE19">
        <v>1</v>
      </c>
      <c r="CI19" t="s">
        <v>119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0.16</v>
      </c>
    </row>
    <row r="20" spans="8:93" x14ac:dyDescent="0.2">
      <c r="I20" t="s">
        <v>115</v>
      </c>
      <c r="J20">
        <f t="shared" ref="J20:K22" si="36">J19</f>
        <v>2</v>
      </c>
      <c r="K20">
        <f t="shared" si="36"/>
        <v>0.65</v>
      </c>
      <c r="L20">
        <v>140</v>
      </c>
      <c r="M20">
        <v>0</v>
      </c>
      <c r="N20">
        <v>0</v>
      </c>
      <c r="O20">
        <f t="shared" si="0"/>
        <v>91.25</v>
      </c>
      <c r="T20">
        <f t="shared" si="1"/>
        <v>0</v>
      </c>
      <c r="U20">
        <f t="shared" si="2"/>
        <v>1</v>
      </c>
      <c r="V20">
        <f t="shared" si="3"/>
        <v>0.72</v>
      </c>
      <c r="W20">
        <f t="shared" si="4"/>
        <v>4.7000000000000002E-3</v>
      </c>
      <c r="X20">
        <f t="shared" si="5"/>
        <v>0</v>
      </c>
      <c r="Y20">
        <f t="shared" si="6"/>
        <v>0.24</v>
      </c>
      <c r="Z20">
        <f t="shared" si="7"/>
        <v>1.0999999999999999E-2</v>
      </c>
      <c r="AA20">
        <f t="shared" si="8"/>
        <v>0.21</v>
      </c>
      <c r="AB20">
        <f t="shared" si="9"/>
        <v>5.8999999999999999E-3</v>
      </c>
      <c r="AC20">
        <f t="shared" si="10"/>
        <v>0</v>
      </c>
      <c r="AD20">
        <f t="shared" si="11"/>
        <v>0</v>
      </c>
      <c r="AE20">
        <f t="shared" si="12"/>
        <v>3.5616438356164386E-3</v>
      </c>
      <c r="AF20">
        <f t="shared" si="13"/>
        <v>0</v>
      </c>
      <c r="AH20" t="e">
        <f t="shared" si="14"/>
        <v>#DIV/0!</v>
      </c>
      <c r="AI20">
        <v>0</v>
      </c>
      <c r="AJ20">
        <f t="shared" si="15"/>
        <v>0</v>
      </c>
      <c r="AK20">
        <v>4.7868493150684936E-4</v>
      </c>
      <c r="AL20">
        <f t="shared" si="16"/>
        <v>-4.7868493150684936E-4</v>
      </c>
      <c r="AM20">
        <f t="shared" si="17"/>
        <v>6.0000000000000001E-3</v>
      </c>
      <c r="AN20">
        <f t="shared" si="18"/>
        <v>1.5714285714285714</v>
      </c>
      <c r="AO20">
        <f t="shared" si="19"/>
        <v>1.3</v>
      </c>
      <c r="AP20">
        <f t="shared" si="20"/>
        <v>1</v>
      </c>
      <c r="AQ20">
        <f t="shared" si="21"/>
        <v>-1.4E-3</v>
      </c>
      <c r="AS20">
        <f t="shared" si="22"/>
        <v>0</v>
      </c>
      <c r="AT20">
        <f t="shared" si="23"/>
        <v>0</v>
      </c>
      <c r="AU20">
        <f t="shared" si="24"/>
        <v>0</v>
      </c>
      <c r="AV20">
        <f t="shared" si="25"/>
        <v>0</v>
      </c>
      <c r="AW20">
        <f t="shared" si="26"/>
        <v>0.08</v>
      </c>
      <c r="AX20">
        <f t="shared" si="27"/>
        <v>0</v>
      </c>
      <c r="AY20">
        <f t="shared" si="28"/>
        <v>0.24</v>
      </c>
      <c r="AZ20">
        <f t="shared" si="29"/>
        <v>0.6784</v>
      </c>
      <c r="BA20">
        <f t="shared" si="30"/>
        <v>0</v>
      </c>
      <c r="BB20">
        <f t="shared" si="31"/>
        <v>0</v>
      </c>
      <c r="BC20">
        <f t="shared" si="32"/>
        <v>0</v>
      </c>
      <c r="BD20">
        <f t="shared" si="33"/>
        <v>0</v>
      </c>
      <c r="BF20">
        <f t="shared" si="34"/>
        <v>-6.1152000000000006</v>
      </c>
      <c r="BS20" t="s">
        <v>128</v>
      </c>
      <c r="BT20">
        <v>0.6784</v>
      </c>
      <c r="BW20" t="s">
        <v>115</v>
      </c>
      <c r="BX20" t="s">
        <v>129</v>
      </c>
      <c r="BY20">
        <v>-0.05</v>
      </c>
      <c r="BZ20">
        <v>0.05</v>
      </c>
      <c r="CA20">
        <v>0</v>
      </c>
      <c r="CB20">
        <v>0</v>
      </c>
      <c r="CC20">
        <v>0</v>
      </c>
      <c r="CD20">
        <v>-0.05</v>
      </c>
      <c r="CE20">
        <v>2</v>
      </c>
      <c r="CH20" t="s">
        <v>293</v>
      </c>
      <c r="CI20" t="s">
        <v>113</v>
      </c>
      <c r="CJ20">
        <v>0.16</v>
      </c>
      <c r="CK20">
        <v>0.11</v>
      </c>
      <c r="CL20">
        <v>0.03</v>
      </c>
      <c r="CM20">
        <v>-0.02</v>
      </c>
      <c r="CN20">
        <v>0</v>
      </c>
      <c r="CO20">
        <v>0.15</v>
      </c>
    </row>
    <row r="21" spans="8:93" x14ac:dyDescent="0.2">
      <c r="I21" t="s">
        <v>117</v>
      </c>
      <c r="J21">
        <f t="shared" si="36"/>
        <v>2</v>
      </c>
      <c r="K21">
        <f t="shared" si="36"/>
        <v>0.65</v>
      </c>
      <c r="L21">
        <v>135</v>
      </c>
      <c r="M21">
        <v>0</v>
      </c>
      <c r="N21">
        <v>0</v>
      </c>
      <c r="O21">
        <f t="shared" si="0"/>
        <v>91.25</v>
      </c>
      <c r="T21">
        <f t="shared" si="1"/>
        <v>0</v>
      </c>
      <c r="U21">
        <f t="shared" si="2"/>
        <v>1</v>
      </c>
      <c r="V21">
        <f t="shared" si="3"/>
        <v>0.72</v>
      </c>
      <c r="W21">
        <f t="shared" si="4"/>
        <v>4.7000000000000002E-3</v>
      </c>
      <c r="X21">
        <f t="shared" si="5"/>
        <v>0</v>
      </c>
      <c r="Y21">
        <f t="shared" si="6"/>
        <v>0.24</v>
      </c>
      <c r="Z21">
        <f t="shared" si="7"/>
        <v>1.0999999999999999E-2</v>
      </c>
      <c r="AA21">
        <f t="shared" si="8"/>
        <v>0.21</v>
      </c>
      <c r="AB21">
        <f t="shared" si="9"/>
        <v>5.8999999999999999E-3</v>
      </c>
      <c r="AC21">
        <f t="shared" si="10"/>
        <v>0</v>
      </c>
      <c r="AD21">
        <f t="shared" si="11"/>
        <v>0</v>
      </c>
      <c r="AE21">
        <f t="shared" si="12"/>
        <v>3.5616438356164386E-3</v>
      </c>
      <c r="AF21">
        <f t="shared" si="13"/>
        <v>0</v>
      </c>
      <c r="AH21" t="e">
        <f t="shared" si="14"/>
        <v>#DIV/0!</v>
      </c>
      <c r="AI21">
        <v>0</v>
      </c>
      <c r="AJ21">
        <f t="shared" si="15"/>
        <v>0</v>
      </c>
      <c r="AK21">
        <v>4.7868493150684936E-4</v>
      </c>
      <c r="AL21">
        <f t="shared" si="16"/>
        <v>-4.7868493150684936E-4</v>
      </c>
      <c r="AM21">
        <f t="shared" si="17"/>
        <v>6.0000000000000001E-3</v>
      </c>
      <c r="AN21">
        <f t="shared" si="18"/>
        <v>1.5714285714285714</v>
      </c>
      <c r="AO21">
        <f t="shared" si="19"/>
        <v>1.3</v>
      </c>
      <c r="AP21">
        <f t="shared" si="20"/>
        <v>1</v>
      </c>
      <c r="AQ21">
        <f t="shared" si="21"/>
        <v>-1.4E-3</v>
      </c>
      <c r="AS21">
        <f t="shared" si="22"/>
        <v>0</v>
      </c>
      <c r="AT21">
        <f t="shared" si="23"/>
        <v>0</v>
      </c>
      <c r="AU21">
        <f t="shared" si="24"/>
        <v>0</v>
      </c>
      <c r="AV21">
        <f t="shared" si="25"/>
        <v>0</v>
      </c>
      <c r="AW21">
        <f t="shared" si="26"/>
        <v>0.08</v>
      </c>
      <c r="AX21">
        <f t="shared" si="27"/>
        <v>0</v>
      </c>
      <c r="AY21">
        <f t="shared" si="28"/>
        <v>0.24</v>
      </c>
      <c r="AZ21">
        <f t="shared" si="29"/>
        <v>0.6784</v>
      </c>
      <c r="BA21">
        <f t="shared" si="30"/>
        <v>0</v>
      </c>
      <c r="BB21">
        <f t="shared" si="31"/>
        <v>0</v>
      </c>
      <c r="BC21">
        <f t="shared" si="32"/>
        <v>0</v>
      </c>
      <c r="BD21">
        <f t="shared" si="33"/>
        <v>0</v>
      </c>
      <c r="BF21">
        <f t="shared" si="34"/>
        <v>-5.8967999999999998</v>
      </c>
      <c r="BW21" t="s">
        <v>117</v>
      </c>
      <c r="BX21" t="s">
        <v>129</v>
      </c>
      <c r="BY21">
        <v>-0.01</v>
      </c>
      <c r="BZ21">
        <v>0</v>
      </c>
      <c r="CA21">
        <v>0</v>
      </c>
      <c r="CB21">
        <v>0</v>
      </c>
      <c r="CC21">
        <v>0</v>
      </c>
      <c r="CD21">
        <v>-0.05</v>
      </c>
      <c r="CE21">
        <v>3</v>
      </c>
      <c r="CI21" t="s">
        <v>115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0.11</v>
      </c>
    </row>
    <row r="22" spans="8:93" x14ac:dyDescent="0.2">
      <c r="I22" t="s">
        <v>119</v>
      </c>
      <c r="J22">
        <f t="shared" si="36"/>
        <v>2</v>
      </c>
      <c r="K22">
        <f t="shared" si="36"/>
        <v>0.65</v>
      </c>
      <c r="L22">
        <v>130</v>
      </c>
      <c r="M22">
        <v>0</v>
      </c>
      <c r="N22">
        <v>0</v>
      </c>
      <c r="O22">
        <f t="shared" si="0"/>
        <v>91.25</v>
      </c>
      <c r="T22">
        <f t="shared" si="1"/>
        <v>0</v>
      </c>
      <c r="U22">
        <f t="shared" si="2"/>
        <v>1</v>
      </c>
      <c r="V22">
        <f t="shared" si="3"/>
        <v>0.72</v>
      </c>
      <c r="W22">
        <f t="shared" si="4"/>
        <v>4.7000000000000002E-3</v>
      </c>
      <c r="X22">
        <f t="shared" si="5"/>
        <v>0</v>
      </c>
      <c r="Y22">
        <f t="shared" si="6"/>
        <v>0.24</v>
      </c>
      <c r="Z22">
        <f t="shared" si="7"/>
        <v>1.0999999999999999E-2</v>
      </c>
      <c r="AA22">
        <f t="shared" si="8"/>
        <v>0.21</v>
      </c>
      <c r="AB22">
        <f t="shared" si="9"/>
        <v>5.8999999999999999E-3</v>
      </c>
      <c r="AC22">
        <f t="shared" si="10"/>
        <v>0</v>
      </c>
      <c r="AD22">
        <f t="shared" si="11"/>
        <v>0</v>
      </c>
      <c r="AE22">
        <f t="shared" si="12"/>
        <v>3.5616438356164386E-3</v>
      </c>
      <c r="AF22">
        <f t="shared" si="13"/>
        <v>0</v>
      </c>
      <c r="AH22" t="e">
        <f t="shared" si="14"/>
        <v>#DIV/0!</v>
      </c>
      <c r="AI22">
        <v>0</v>
      </c>
      <c r="AJ22">
        <f t="shared" si="15"/>
        <v>0</v>
      </c>
      <c r="AK22">
        <v>7.2777894310489225E-4</v>
      </c>
      <c r="AL22">
        <f t="shared" si="16"/>
        <v>-7.2777894310489225E-4</v>
      </c>
      <c r="AM22">
        <f t="shared" si="17"/>
        <v>6.0000000000000001E-3</v>
      </c>
      <c r="AN22">
        <f t="shared" si="18"/>
        <v>1.5714285714285714</v>
      </c>
      <c r="AO22">
        <f t="shared" si="19"/>
        <v>1.3</v>
      </c>
      <c r="AP22">
        <f t="shared" si="20"/>
        <v>1</v>
      </c>
      <c r="AQ22">
        <f t="shared" si="21"/>
        <v>-1.4E-3</v>
      </c>
      <c r="AS22">
        <f t="shared" si="22"/>
        <v>0</v>
      </c>
      <c r="AT22">
        <f t="shared" si="23"/>
        <v>0</v>
      </c>
      <c r="AU22">
        <f t="shared" si="24"/>
        <v>0</v>
      </c>
      <c r="AV22">
        <f t="shared" si="25"/>
        <v>0</v>
      </c>
      <c r="AW22">
        <f t="shared" si="26"/>
        <v>0.08</v>
      </c>
      <c r="AX22">
        <f t="shared" si="27"/>
        <v>0</v>
      </c>
      <c r="AY22">
        <f t="shared" si="28"/>
        <v>0.24</v>
      </c>
      <c r="AZ22">
        <f t="shared" si="29"/>
        <v>0.6784</v>
      </c>
      <c r="BA22">
        <f t="shared" si="30"/>
        <v>0</v>
      </c>
      <c r="BB22">
        <f t="shared" si="31"/>
        <v>0</v>
      </c>
      <c r="BC22">
        <f t="shared" si="32"/>
        <v>0</v>
      </c>
      <c r="BD22">
        <f t="shared" si="33"/>
        <v>0</v>
      </c>
      <c r="BF22">
        <f t="shared" si="34"/>
        <v>-8.6332777125817834</v>
      </c>
      <c r="BW22" t="s">
        <v>119</v>
      </c>
      <c r="BX22" t="s">
        <v>129</v>
      </c>
      <c r="BY22">
        <v>0.01</v>
      </c>
      <c r="BZ22">
        <v>-0.02</v>
      </c>
      <c r="CA22">
        <v>0</v>
      </c>
      <c r="CB22">
        <v>0</v>
      </c>
      <c r="CC22">
        <v>0</v>
      </c>
      <c r="CD22">
        <v>0.05</v>
      </c>
      <c r="CE22">
        <v>4</v>
      </c>
      <c r="CI22" t="s">
        <v>117</v>
      </c>
      <c r="CJ22">
        <v>-0.2</v>
      </c>
      <c r="CK22">
        <v>-0.1</v>
      </c>
      <c r="CL22">
        <v>0</v>
      </c>
      <c r="CM22">
        <v>0</v>
      </c>
      <c r="CN22">
        <v>0</v>
      </c>
      <c r="CO22">
        <v>0.13</v>
      </c>
    </row>
    <row r="23" spans="8:93" x14ac:dyDescent="0.2">
      <c r="H23" t="s">
        <v>129</v>
      </c>
      <c r="I23" t="s">
        <v>113</v>
      </c>
      <c r="J23">
        <v>2</v>
      </c>
      <c r="K23">
        <v>0.7</v>
      </c>
      <c r="L23">
        <v>200</v>
      </c>
      <c r="M23">
        <v>0</v>
      </c>
      <c r="N23">
        <v>0</v>
      </c>
      <c r="O23">
        <f t="shared" si="0"/>
        <v>91.25</v>
      </c>
      <c r="T23">
        <f t="shared" si="1"/>
        <v>0</v>
      </c>
      <c r="U23">
        <f t="shared" si="2"/>
        <v>1</v>
      </c>
      <c r="V23">
        <f t="shared" si="3"/>
        <v>0.72</v>
      </c>
      <c r="W23">
        <f t="shared" si="4"/>
        <v>4.7000000000000002E-3</v>
      </c>
      <c r="X23">
        <f t="shared" si="5"/>
        <v>0</v>
      </c>
      <c r="Y23">
        <f t="shared" si="6"/>
        <v>0.24</v>
      </c>
      <c r="Z23">
        <f t="shared" si="7"/>
        <v>1.0999999999999999E-2</v>
      </c>
      <c r="AA23">
        <f t="shared" si="8"/>
        <v>0.21</v>
      </c>
      <c r="AB23">
        <f t="shared" si="9"/>
        <v>5.8999999999999999E-3</v>
      </c>
      <c r="AC23">
        <f t="shared" si="10"/>
        <v>0</v>
      </c>
      <c r="AD23">
        <f t="shared" si="11"/>
        <v>0</v>
      </c>
      <c r="AE23">
        <f t="shared" si="12"/>
        <v>3.8356164383561643E-3</v>
      </c>
      <c r="AF23">
        <f t="shared" si="13"/>
        <v>0</v>
      </c>
      <c r="AH23" t="e">
        <f t="shared" si="14"/>
        <v>#DIV/0!</v>
      </c>
      <c r="AI23">
        <v>0</v>
      </c>
      <c r="AJ23">
        <f t="shared" si="15"/>
        <v>0</v>
      </c>
      <c r="AK23">
        <v>1.0761713957214488E-3</v>
      </c>
      <c r="AL23">
        <f t="shared" si="16"/>
        <v>-1.0761713957214488E-3</v>
      </c>
      <c r="AM23">
        <f t="shared" si="17"/>
        <v>6.0000000000000001E-3</v>
      </c>
      <c r="AN23">
        <f t="shared" si="18"/>
        <v>1.5714285714285714</v>
      </c>
      <c r="AO23">
        <f t="shared" si="19"/>
        <v>1.3</v>
      </c>
      <c r="AP23">
        <f t="shared" si="20"/>
        <v>1</v>
      </c>
      <c r="AQ23">
        <f t="shared" si="21"/>
        <v>-1.4E-3</v>
      </c>
      <c r="AS23">
        <f t="shared" si="22"/>
        <v>0</v>
      </c>
      <c r="AT23">
        <f t="shared" si="23"/>
        <v>0</v>
      </c>
      <c r="AU23">
        <f t="shared" si="24"/>
        <v>0</v>
      </c>
      <c r="AV23">
        <f t="shared" si="25"/>
        <v>0</v>
      </c>
      <c r="AW23">
        <f t="shared" si="26"/>
        <v>0.08</v>
      </c>
      <c r="AX23">
        <f t="shared" si="27"/>
        <v>0</v>
      </c>
      <c r="AY23">
        <f t="shared" si="28"/>
        <v>0.24</v>
      </c>
      <c r="AZ23">
        <f t="shared" si="29"/>
        <v>0.6784</v>
      </c>
      <c r="BA23">
        <f t="shared" si="30"/>
        <v>0</v>
      </c>
      <c r="BB23">
        <f t="shared" si="31"/>
        <v>0</v>
      </c>
      <c r="BC23">
        <f t="shared" si="32"/>
        <v>0</v>
      </c>
      <c r="BD23">
        <f t="shared" si="33"/>
        <v>0</v>
      </c>
      <c r="BF23">
        <f t="shared" si="34"/>
        <v>-19.640127971916439</v>
      </c>
      <c r="BW23" t="s">
        <v>113</v>
      </c>
      <c r="BX23" t="s">
        <v>131</v>
      </c>
      <c r="BY23">
        <v>7.0000000000000007E-2</v>
      </c>
      <c r="BZ23">
        <v>-0.02</v>
      </c>
      <c r="CA23">
        <v>0.11</v>
      </c>
      <c r="CB23">
        <v>0.16</v>
      </c>
      <c r="CC23">
        <v>0.11</v>
      </c>
      <c r="CD23">
        <v>0.11</v>
      </c>
      <c r="CE23">
        <v>1</v>
      </c>
      <c r="CI23" t="s">
        <v>119</v>
      </c>
      <c r="CJ23">
        <v>0</v>
      </c>
      <c r="CK23">
        <v>-0.1</v>
      </c>
      <c r="CL23">
        <v>0.5</v>
      </c>
      <c r="CM23">
        <v>0.02</v>
      </c>
      <c r="CN23">
        <v>0</v>
      </c>
      <c r="CO23">
        <v>7.0000000000000007E-2</v>
      </c>
    </row>
    <row r="24" spans="8:93" x14ac:dyDescent="0.2">
      <c r="I24" t="s">
        <v>115</v>
      </c>
      <c r="J24">
        <f t="shared" ref="J24:K26" si="37">J23</f>
        <v>2</v>
      </c>
      <c r="K24">
        <f t="shared" si="37"/>
        <v>0.7</v>
      </c>
      <c r="L24">
        <v>210</v>
      </c>
      <c r="M24">
        <v>0</v>
      </c>
      <c r="N24">
        <v>0</v>
      </c>
      <c r="O24">
        <f t="shared" si="0"/>
        <v>91.25</v>
      </c>
      <c r="T24">
        <f t="shared" si="1"/>
        <v>0</v>
      </c>
      <c r="U24">
        <f t="shared" si="2"/>
        <v>1</v>
      </c>
      <c r="V24">
        <f t="shared" si="3"/>
        <v>0.72</v>
      </c>
      <c r="W24">
        <f t="shared" si="4"/>
        <v>4.7000000000000002E-3</v>
      </c>
      <c r="X24">
        <f t="shared" si="5"/>
        <v>0</v>
      </c>
      <c r="Y24">
        <f t="shared" si="6"/>
        <v>0.24</v>
      </c>
      <c r="Z24">
        <f t="shared" si="7"/>
        <v>1.0999999999999999E-2</v>
      </c>
      <c r="AA24">
        <f t="shared" si="8"/>
        <v>0.21</v>
      </c>
      <c r="AB24">
        <f t="shared" si="9"/>
        <v>5.8999999999999999E-3</v>
      </c>
      <c r="AC24">
        <f t="shared" si="10"/>
        <v>0</v>
      </c>
      <c r="AD24">
        <f t="shared" si="11"/>
        <v>0</v>
      </c>
      <c r="AE24">
        <f t="shared" si="12"/>
        <v>3.8356164383561643E-3</v>
      </c>
      <c r="AF24">
        <f t="shared" si="13"/>
        <v>0</v>
      </c>
      <c r="AH24" t="e">
        <f t="shared" si="14"/>
        <v>#DIV/0!</v>
      </c>
      <c r="AI24">
        <v>0</v>
      </c>
      <c r="AJ24">
        <f t="shared" si="15"/>
        <v>0</v>
      </c>
      <c r="AK24">
        <v>-6.7008407966660379E-5</v>
      </c>
      <c r="AL24">
        <f t="shared" si="16"/>
        <v>6.7008407966660379E-5</v>
      </c>
      <c r="AM24">
        <f t="shared" si="17"/>
        <v>6.0000000000000001E-3</v>
      </c>
      <c r="AN24">
        <f t="shared" si="18"/>
        <v>1.5714285714285714</v>
      </c>
      <c r="AO24">
        <f t="shared" si="19"/>
        <v>1.3</v>
      </c>
      <c r="AP24">
        <f t="shared" si="20"/>
        <v>1</v>
      </c>
      <c r="AQ24">
        <f t="shared" si="21"/>
        <v>-1.4E-3</v>
      </c>
      <c r="AS24">
        <f t="shared" si="22"/>
        <v>0</v>
      </c>
      <c r="AT24">
        <f t="shared" si="23"/>
        <v>0</v>
      </c>
      <c r="AU24">
        <f t="shared" si="24"/>
        <v>0</v>
      </c>
      <c r="AV24">
        <f t="shared" si="25"/>
        <v>0</v>
      </c>
      <c r="AW24">
        <f t="shared" si="26"/>
        <v>0.08</v>
      </c>
      <c r="AX24">
        <f t="shared" si="27"/>
        <v>0</v>
      </c>
      <c r="AY24">
        <f t="shared" si="28"/>
        <v>0.24</v>
      </c>
      <c r="AZ24">
        <f t="shared" si="29"/>
        <v>0.6784</v>
      </c>
      <c r="BA24">
        <f t="shared" si="30"/>
        <v>0</v>
      </c>
      <c r="BB24">
        <f t="shared" si="31"/>
        <v>0</v>
      </c>
      <c r="BC24">
        <f t="shared" si="32"/>
        <v>0</v>
      </c>
      <c r="BD24">
        <f t="shared" si="33"/>
        <v>0</v>
      </c>
      <c r="BF24">
        <f t="shared" si="34"/>
        <v>1.2840486176611294</v>
      </c>
      <c r="BW24" t="s">
        <v>115</v>
      </c>
      <c r="BX24" t="s">
        <v>131</v>
      </c>
      <c r="BY24">
        <v>0</v>
      </c>
      <c r="BZ24">
        <v>0.03</v>
      </c>
      <c r="CA24">
        <v>-0.1</v>
      </c>
      <c r="CB24">
        <v>0</v>
      </c>
      <c r="CC24">
        <v>-0.05</v>
      </c>
      <c r="CD24">
        <v>-0.11</v>
      </c>
      <c r="CE24">
        <v>2</v>
      </c>
      <c r="CH24" t="s">
        <v>294</v>
      </c>
      <c r="CI24" t="s">
        <v>113</v>
      </c>
      <c r="CJ24">
        <v>0.11</v>
      </c>
      <c r="CK24">
        <v>0.11</v>
      </c>
      <c r="CL24">
        <v>0.16</v>
      </c>
      <c r="CM24">
        <v>0.11</v>
      </c>
      <c r="CN24">
        <v>0</v>
      </c>
      <c r="CO24">
        <v>0.15</v>
      </c>
    </row>
    <row r="25" spans="8:93" x14ac:dyDescent="0.2">
      <c r="I25" t="s">
        <v>117</v>
      </c>
      <c r="J25">
        <f t="shared" si="37"/>
        <v>2</v>
      </c>
      <c r="K25">
        <f t="shared" si="37"/>
        <v>0.7</v>
      </c>
      <c r="L25">
        <v>190</v>
      </c>
      <c r="M25">
        <v>0</v>
      </c>
      <c r="N25">
        <v>0</v>
      </c>
      <c r="O25">
        <f t="shared" si="0"/>
        <v>91.25</v>
      </c>
      <c r="T25">
        <f t="shared" si="1"/>
        <v>0</v>
      </c>
      <c r="U25">
        <f t="shared" si="2"/>
        <v>1</v>
      </c>
      <c r="V25">
        <f t="shared" si="3"/>
        <v>0.72</v>
      </c>
      <c r="W25">
        <f t="shared" si="4"/>
        <v>4.7000000000000002E-3</v>
      </c>
      <c r="X25">
        <f t="shared" si="5"/>
        <v>0</v>
      </c>
      <c r="Y25">
        <f t="shared" si="6"/>
        <v>0.24</v>
      </c>
      <c r="Z25">
        <f t="shared" si="7"/>
        <v>1.0999999999999999E-2</v>
      </c>
      <c r="AA25">
        <f t="shared" si="8"/>
        <v>0.21</v>
      </c>
      <c r="AB25">
        <f t="shared" si="9"/>
        <v>5.8999999999999999E-3</v>
      </c>
      <c r="AC25">
        <f t="shared" si="10"/>
        <v>0</v>
      </c>
      <c r="AD25">
        <f t="shared" si="11"/>
        <v>0</v>
      </c>
      <c r="AE25">
        <f t="shared" si="12"/>
        <v>3.8356164383561643E-3</v>
      </c>
      <c r="AF25">
        <f t="shared" si="13"/>
        <v>0</v>
      </c>
      <c r="AH25" t="e">
        <f t="shared" si="14"/>
        <v>#DIV/0!</v>
      </c>
      <c r="AI25">
        <v>0</v>
      </c>
      <c r="AJ25">
        <f t="shared" si="15"/>
        <v>0</v>
      </c>
      <c r="AK25">
        <v>3.9804023233659479E-4</v>
      </c>
      <c r="AL25">
        <f t="shared" si="16"/>
        <v>-3.9804023233659479E-4</v>
      </c>
      <c r="AM25">
        <f t="shared" si="17"/>
        <v>6.0000000000000001E-3</v>
      </c>
      <c r="AN25">
        <f t="shared" si="18"/>
        <v>1.5714285714285714</v>
      </c>
      <c r="AO25">
        <f t="shared" si="19"/>
        <v>1.3</v>
      </c>
      <c r="AP25">
        <f t="shared" si="20"/>
        <v>1</v>
      </c>
      <c r="AQ25">
        <f t="shared" si="21"/>
        <v>-1.4E-3</v>
      </c>
      <c r="AS25">
        <f t="shared" si="22"/>
        <v>0</v>
      </c>
      <c r="AT25">
        <f t="shared" si="23"/>
        <v>0</v>
      </c>
      <c r="AU25">
        <f t="shared" si="24"/>
        <v>0</v>
      </c>
      <c r="AV25">
        <f t="shared" si="25"/>
        <v>0</v>
      </c>
      <c r="AW25">
        <f t="shared" si="26"/>
        <v>0.08</v>
      </c>
      <c r="AX25">
        <f t="shared" si="27"/>
        <v>0</v>
      </c>
      <c r="AY25">
        <f t="shared" si="28"/>
        <v>0.24</v>
      </c>
      <c r="AZ25">
        <f t="shared" si="29"/>
        <v>0.6784</v>
      </c>
      <c r="BA25">
        <f t="shared" si="30"/>
        <v>0</v>
      </c>
      <c r="BB25">
        <f t="shared" si="31"/>
        <v>0</v>
      </c>
      <c r="BC25">
        <f t="shared" si="32"/>
        <v>0</v>
      </c>
      <c r="BD25">
        <f t="shared" si="33"/>
        <v>0</v>
      </c>
      <c r="BF25">
        <f t="shared" si="34"/>
        <v>-6.9010225281357123</v>
      </c>
      <c r="BR25" t="s">
        <v>130</v>
      </c>
      <c r="BW25" t="s">
        <v>117</v>
      </c>
      <c r="BX25" t="s">
        <v>131</v>
      </c>
      <c r="BY25">
        <v>-7.0000000000000007E-2</v>
      </c>
      <c r="BZ25">
        <v>0.02</v>
      </c>
      <c r="CA25">
        <v>0</v>
      </c>
      <c r="CB25">
        <v>-0.2</v>
      </c>
      <c r="CC25">
        <v>0</v>
      </c>
      <c r="CD25">
        <v>0</v>
      </c>
      <c r="CE25">
        <v>3</v>
      </c>
      <c r="CI25" t="s">
        <v>115</v>
      </c>
      <c r="CJ25">
        <v>-0.05</v>
      </c>
      <c r="CK25">
        <v>-0.05</v>
      </c>
      <c r="CL25">
        <v>-0.05</v>
      </c>
      <c r="CM25">
        <v>-0.05</v>
      </c>
      <c r="CN25">
        <v>0</v>
      </c>
      <c r="CO25">
        <v>7.0000000000000007E-2</v>
      </c>
    </row>
    <row r="26" spans="8:93" x14ac:dyDescent="0.2">
      <c r="I26" t="s">
        <v>119</v>
      </c>
      <c r="J26">
        <f t="shared" si="37"/>
        <v>2</v>
      </c>
      <c r="K26">
        <f t="shared" si="37"/>
        <v>0.7</v>
      </c>
      <c r="L26">
        <v>180</v>
      </c>
      <c r="M26">
        <v>0</v>
      </c>
      <c r="N26">
        <v>0</v>
      </c>
      <c r="O26">
        <f t="shared" si="0"/>
        <v>91.25</v>
      </c>
      <c r="T26">
        <f t="shared" si="1"/>
        <v>0</v>
      </c>
      <c r="U26">
        <f t="shared" si="2"/>
        <v>1</v>
      </c>
      <c r="V26">
        <f t="shared" si="3"/>
        <v>0.72</v>
      </c>
      <c r="W26">
        <f t="shared" si="4"/>
        <v>4.7000000000000002E-3</v>
      </c>
      <c r="X26">
        <f t="shared" si="5"/>
        <v>0</v>
      </c>
      <c r="Y26">
        <f t="shared" si="6"/>
        <v>0.24</v>
      </c>
      <c r="Z26">
        <f t="shared" si="7"/>
        <v>1.0999999999999999E-2</v>
      </c>
      <c r="AA26">
        <f t="shared" si="8"/>
        <v>0.21</v>
      </c>
      <c r="AB26">
        <f t="shared" si="9"/>
        <v>5.8999999999999999E-3</v>
      </c>
      <c r="AC26">
        <f t="shared" si="10"/>
        <v>0</v>
      </c>
      <c r="AD26">
        <f t="shared" si="11"/>
        <v>0</v>
      </c>
      <c r="AE26">
        <f t="shared" si="12"/>
        <v>3.8356164383561643E-3</v>
      </c>
      <c r="AF26">
        <f t="shared" si="13"/>
        <v>0</v>
      </c>
      <c r="AH26" t="e">
        <f t="shared" si="14"/>
        <v>#DIV/0!</v>
      </c>
      <c r="AI26">
        <v>0</v>
      </c>
      <c r="AJ26">
        <f t="shared" si="15"/>
        <v>0</v>
      </c>
      <c r="AK26">
        <v>6.3181847062017697E-4</v>
      </c>
      <c r="AL26">
        <f t="shared" si="16"/>
        <v>-6.3181847062017697E-4</v>
      </c>
      <c r="AM26">
        <f t="shared" si="17"/>
        <v>6.0000000000000001E-3</v>
      </c>
      <c r="AN26">
        <f t="shared" si="18"/>
        <v>1.5714285714285714</v>
      </c>
      <c r="AO26">
        <f t="shared" si="19"/>
        <v>1.3</v>
      </c>
      <c r="AP26">
        <f t="shared" si="20"/>
        <v>1</v>
      </c>
      <c r="AQ26">
        <f t="shared" si="21"/>
        <v>-1.4E-3</v>
      </c>
      <c r="AS26">
        <f t="shared" si="22"/>
        <v>0</v>
      </c>
      <c r="AT26">
        <f t="shared" si="23"/>
        <v>0</v>
      </c>
      <c r="AU26">
        <f t="shared" si="24"/>
        <v>0</v>
      </c>
      <c r="AV26">
        <f t="shared" si="25"/>
        <v>0</v>
      </c>
      <c r="AW26">
        <f t="shared" si="26"/>
        <v>0.08</v>
      </c>
      <c r="AX26">
        <f t="shared" si="27"/>
        <v>0</v>
      </c>
      <c r="AY26">
        <f t="shared" si="28"/>
        <v>0.24</v>
      </c>
      <c r="AZ26">
        <f t="shared" si="29"/>
        <v>0.6784</v>
      </c>
      <c r="BA26">
        <f t="shared" si="30"/>
        <v>0</v>
      </c>
      <c r="BB26">
        <f t="shared" si="31"/>
        <v>0</v>
      </c>
      <c r="BC26">
        <f t="shared" si="32"/>
        <v>0</v>
      </c>
      <c r="BD26">
        <f t="shared" si="33"/>
        <v>0</v>
      </c>
      <c r="BF26">
        <f t="shared" si="34"/>
        <v>-10.377618379936408</v>
      </c>
      <c r="BR26" t="s">
        <v>295</v>
      </c>
      <c r="BS26" t="s">
        <v>296</v>
      </c>
      <c r="BT26">
        <v>0.75</v>
      </c>
      <c r="BW26" t="s">
        <v>119</v>
      </c>
      <c r="BX26" t="s">
        <v>131</v>
      </c>
      <c r="BY26">
        <v>0</v>
      </c>
      <c r="BZ26">
        <v>-0.03</v>
      </c>
      <c r="CA26">
        <v>0</v>
      </c>
      <c r="CB26">
        <v>0</v>
      </c>
      <c r="CC26">
        <v>-0.05</v>
      </c>
      <c r="CD26">
        <v>0</v>
      </c>
      <c r="CE26">
        <v>4</v>
      </c>
      <c r="CI26" t="s">
        <v>117</v>
      </c>
      <c r="CJ26">
        <v>0</v>
      </c>
      <c r="CK26">
        <v>-0.03</v>
      </c>
      <c r="CL26">
        <v>-0.02</v>
      </c>
      <c r="CM26">
        <v>-0.02</v>
      </c>
      <c r="CN26">
        <v>0</v>
      </c>
      <c r="CO26">
        <v>0.05</v>
      </c>
    </row>
    <row r="27" spans="8:93" x14ac:dyDescent="0.2">
      <c r="H27" t="s">
        <v>131</v>
      </c>
      <c r="I27" t="s">
        <v>113</v>
      </c>
      <c r="J27">
        <v>1</v>
      </c>
      <c r="K27">
        <v>0.65</v>
      </c>
      <c r="L27">
        <v>50</v>
      </c>
      <c r="M27">
        <v>0</v>
      </c>
      <c r="N27">
        <v>0</v>
      </c>
      <c r="O27">
        <f t="shared" si="0"/>
        <v>91.25</v>
      </c>
      <c r="T27">
        <f t="shared" si="1"/>
        <v>0</v>
      </c>
      <c r="U27">
        <f t="shared" si="2"/>
        <v>1</v>
      </c>
      <c r="V27">
        <f t="shared" si="3"/>
        <v>0.72</v>
      </c>
      <c r="W27">
        <f t="shared" si="4"/>
        <v>4.7000000000000002E-3</v>
      </c>
      <c r="X27">
        <f t="shared" si="5"/>
        <v>0</v>
      </c>
      <c r="Y27">
        <f t="shared" si="6"/>
        <v>0.24</v>
      </c>
      <c r="Z27">
        <f t="shared" si="7"/>
        <v>1.0999999999999999E-2</v>
      </c>
      <c r="AA27">
        <f t="shared" si="8"/>
        <v>0.21</v>
      </c>
      <c r="AB27">
        <f t="shared" si="9"/>
        <v>5.8999999999999999E-3</v>
      </c>
      <c r="AC27">
        <f t="shared" si="10"/>
        <v>0</v>
      </c>
      <c r="AD27">
        <f t="shared" si="11"/>
        <v>0</v>
      </c>
      <c r="AE27">
        <f t="shared" si="12"/>
        <v>1.7808219178082193E-3</v>
      </c>
      <c r="AF27">
        <f t="shared" si="13"/>
        <v>0</v>
      </c>
      <c r="AH27" t="e">
        <f t="shared" si="14"/>
        <v>#DIV/0!</v>
      </c>
      <c r="AI27">
        <v>0</v>
      </c>
      <c r="AJ27">
        <f t="shared" si="15"/>
        <v>0</v>
      </c>
      <c r="AK27">
        <v>1.0297560621526452E-3</v>
      </c>
      <c r="AL27">
        <f t="shared" si="16"/>
        <v>-1.0297560621526452E-3</v>
      </c>
      <c r="AM27">
        <f t="shared" si="17"/>
        <v>6.0000000000000001E-3</v>
      </c>
      <c r="AN27">
        <f t="shared" si="18"/>
        <v>1.5714285714285714</v>
      </c>
      <c r="AO27">
        <f t="shared" si="19"/>
        <v>1.3</v>
      </c>
      <c r="AP27">
        <f t="shared" si="20"/>
        <v>1</v>
      </c>
      <c r="AQ27">
        <f t="shared" si="21"/>
        <v>-1.4E-3</v>
      </c>
      <c r="AS27">
        <f t="shared" si="22"/>
        <v>0</v>
      </c>
      <c r="AT27">
        <f t="shared" si="23"/>
        <v>0</v>
      </c>
      <c r="AU27">
        <f t="shared" si="24"/>
        <v>0</v>
      </c>
      <c r="AV27">
        <f t="shared" si="25"/>
        <v>0</v>
      </c>
      <c r="AW27">
        <f t="shared" si="26"/>
        <v>0.08</v>
      </c>
      <c r="AX27">
        <f t="shared" si="27"/>
        <v>0</v>
      </c>
      <c r="AY27">
        <f t="shared" si="28"/>
        <v>0.24</v>
      </c>
      <c r="AZ27">
        <f t="shared" si="29"/>
        <v>0.6784</v>
      </c>
      <c r="BA27">
        <f t="shared" si="30"/>
        <v>0</v>
      </c>
      <c r="BB27">
        <f t="shared" si="31"/>
        <v>0</v>
      </c>
      <c r="BC27">
        <f t="shared" si="32"/>
        <v>0</v>
      </c>
      <c r="BD27">
        <f t="shared" si="33"/>
        <v>0</v>
      </c>
      <c r="BF27">
        <f t="shared" si="34"/>
        <v>-4.6982620335714431</v>
      </c>
      <c r="BR27" t="s">
        <v>285</v>
      </c>
      <c r="BS27" t="s">
        <v>297</v>
      </c>
      <c r="BT27">
        <v>0.45</v>
      </c>
      <c r="BW27" t="s">
        <v>113</v>
      </c>
      <c r="BX27" t="s">
        <v>132</v>
      </c>
      <c r="BY27">
        <v>0.08</v>
      </c>
      <c r="BZ27">
        <v>0</v>
      </c>
      <c r="CA27">
        <v>0.11</v>
      </c>
      <c r="CB27">
        <v>0.11</v>
      </c>
      <c r="CC27">
        <v>0.11</v>
      </c>
      <c r="CD27">
        <v>0.13</v>
      </c>
      <c r="CE27">
        <v>1</v>
      </c>
      <c r="CI27" t="s">
        <v>119</v>
      </c>
      <c r="CJ27">
        <v>-0.05</v>
      </c>
      <c r="CK27">
        <v>-0.02</v>
      </c>
      <c r="CL27">
        <v>-0.03</v>
      </c>
      <c r="CM27">
        <v>-0.03</v>
      </c>
      <c r="CN27">
        <v>0</v>
      </c>
      <c r="CO27">
        <v>0.02</v>
      </c>
    </row>
    <row r="28" spans="8:93" x14ac:dyDescent="0.2">
      <c r="I28" t="s">
        <v>115</v>
      </c>
      <c r="J28">
        <f t="shared" ref="J28:K30" si="38">J27</f>
        <v>1</v>
      </c>
      <c r="K28">
        <f t="shared" si="38"/>
        <v>0.65</v>
      </c>
      <c r="L28">
        <v>55</v>
      </c>
      <c r="M28">
        <v>0</v>
      </c>
      <c r="N28">
        <v>0</v>
      </c>
      <c r="O28">
        <f t="shared" si="0"/>
        <v>91.25</v>
      </c>
      <c r="T28">
        <f t="shared" si="1"/>
        <v>0</v>
      </c>
      <c r="U28">
        <f t="shared" si="2"/>
        <v>1</v>
      </c>
      <c r="V28">
        <f t="shared" si="3"/>
        <v>0.72</v>
      </c>
      <c r="W28">
        <f t="shared" si="4"/>
        <v>4.7000000000000002E-3</v>
      </c>
      <c r="X28">
        <f t="shared" si="5"/>
        <v>0</v>
      </c>
      <c r="Y28">
        <f t="shared" si="6"/>
        <v>0.24</v>
      </c>
      <c r="Z28">
        <f t="shared" si="7"/>
        <v>1.0999999999999999E-2</v>
      </c>
      <c r="AA28">
        <f t="shared" si="8"/>
        <v>0.21</v>
      </c>
      <c r="AB28">
        <f t="shared" si="9"/>
        <v>5.8999999999999999E-3</v>
      </c>
      <c r="AC28">
        <f t="shared" si="10"/>
        <v>0</v>
      </c>
      <c r="AD28">
        <f t="shared" si="11"/>
        <v>0</v>
      </c>
      <c r="AE28">
        <f t="shared" si="12"/>
        <v>1.7808219178082193E-3</v>
      </c>
      <c r="AF28">
        <f t="shared" si="13"/>
        <v>0</v>
      </c>
      <c r="AH28" t="e">
        <f t="shared" si="14"/>
        <v>#DIV/0!</v>
      </c>
      <c r="AI28">
        <v>0</v>
      </c>
      <c r="AJ28">
        <f t="shared" si="15"/>
        <v>0</v>
      </c>
      <c r="AK28">
        <v>2.3934246575342468E-4</v>
      </c>
      <c r="AL28">
        <f t="shared" si="16"/>
        <v>-2.3934246575342468E-4</v>
      </c>
      <c r="AM28">
        <f t="shared" si="17"/>
        <v>6.0000000000000001E-3</v>
      </c>
      <c r="AN28">
        <f t="shared" si="18"/>
        <v>1.5714285714285714</v>
      </c>
      <c r="AO28">
        <f t="shared" si="19"/>
        <v>1.3</v>
      </c>
      <c r="AP28">
        <f t="shared" si="20"/>
        <v>1</v>
      </c>
      <c r="AQ28">
        <f t="shared" si="21"/>
        <v>-1.4E-3</v>
      </c>
      <c r="AS28">
        <f t="shared" si="22"/>
        <v>0</v>
      </c>
      <c r="AT28">
        <f t="shared" si="23"/>
        <v>0</v>
      </c>
      <c r="AU28">
        <f t="shared" si="24"/>
        <v>0</v>
      </c>
      <c r="AV28">
        <f t="shared" si="25"/>
        <v>0</v>
      </c>
      <c r="AW28">
        <f t="shared" si="26"/>
        <v>0.08</v>
      </c>
      <c r="AX28">
        <f t="shared" si="27"/>
        <v>0</v>
      </c>
      <c r="AY28">
        <f t="shared" si="28"/>
        <v>0.24</v>
      </c>
      <c r="AZ28">
        <f t="shared" si="29"/>
        <v>0.6784</v>
      </c>
      <c r="BA28">
        <f t="shared" si="30"/>
        <v>0</v>
      </c>
      <c r="BB28">
        <f t="shared" si="31"/>
        <v>0</v>
      </c>
      <c r="BC28">
        <f t="shared" si="32"/>
        <v>0</v>
      </c>
      <c r="BD28">
        <f t="shared" si="33"/>
        <v>0</v>
      </c>
      <c r="BF28">
        <f t="shared" si="34"/>
        <v>-1.2012</v>
      </c>
      <c r="BR28" t="s">
        <v>286</v>
      </c>
      <c r="BS28" t="s">
        <v>298</v>
      </c>
      <c r="BT28">
        <v>0.09</v>
      </c>
      <c r="BW28" t="s">
        <v>115</v>
      </c>
      <c r="BX28" t="s">
        <v>132</v>
      </c>
      <c r="BY28">
        <v>-0.08</v>
      </c>
      <c r="BZ28">
        <v>0.05</v>
      </c>
      <c r="CA28">
        <v>-0.1</v>
      </c>
      <c r="CB28">
        <v>0</v>
      </c>
      <c r="CC28">
        <v>-0.05</v>
      </c>
      <c r="CD28">
        <v>-0.05</v>
      </c>
      <c r="CE28">
        <v>2</v>
      </c>
      <c r="CH28" t="s">
        <v>299</v>
      </c>
      <c r="CI28" t="s">
        <v>113</v>
      </c>
      <c r="CJ28">
        <v>0.11</v>
      </c>
      <c r="CK28">
        <v>0.13</v>
      </c>
      <c r="CL28">
        <v>0.05</v>
      </c>
      <c r="CM28">
        <v>0.05</v>
      </c>
      <c r="CN28">
        <v>0.05</v>
      </c>
      <c r="CO28">
        <v>0.11</v>
      </c>
    </row>
    <row r="29" spans="8:93" x14ac:dyDescent="0.2">
      <c r="I29" t="s">
        <v>117</v>
      </c>
      <c r="J29">
        <f t="shared" si="38"/>
        <v>1</v>
      </c>
      <c r="K29">
        <f t="shared" si="38"/>
        <v>0.65</v>
      </c>
      <c r="L29">
        <v>60</v>
      </c>
      <c r="M29">
        <v>0</v>
      </c>
      <c r="N29">
        <v>0</v>
      </c>
      <c r="O29">
        <f t="shared" si="0"/>
        <v>91.25</v>
      </c>
      <c r="T29">
        <f t="shared" si="1"/>
        <v>0</v>
      </c>
      <c r="U29">
        <f t="shared" si="2"/>
        <v>1</v>
      </c>
      <c r="V29">
        <f t="shared" si="3"/>
        <v>0.72</v>
      </c>
      <c r="W29">
        <f t="shared" si="4"/>
        <v>4.7000000000000002E-3</v>
      </c>
      <c r="X29">
        <f t="shared" si="5"/>
        <v>0</v>
      </c>
      <c r="Y29">
        <f t="shared" si="6"/>
        <v>0.24</v>
      </c>
      <c r="Z29">
        <f t="shared" si="7"/>
        <v>1.0999999999999999E-2</v>
      </c>
      <c r="AA29">
        <f t="shared" si="8"/>
        <v>0.21</v>
      </c>
      <c r="AB29">
        <f t="shared" si="9"/>
        <v>5.8999999999999999E-3</v>
      </c>
      <c r="AC29">
        <f t="shared" si="10"/>
        <v>0</v>
      </c>
      <c r="AD29">
        <f t="shared" si="11"/>
        <v>0</v>
      </c>
      <c r="AE29">
        <f t="shared" si="12"/>
        <v>1.7808219178082193E-3</v>
      </c>
      <c r="AF29">
        <f t="shared" si="13"/>
        <v>0</v>
      </c>
      <c r="AH29" t="e">
        <f t="shared" si="14"/>
        <v>#DIV/0!</v>
      </c>
      <c r="AI29">
        <v>0</v>
      </c>
      <c r="AJ29">
        <f t="shared" si="15"/>
        <v>0</v>
      </c>
      <c r="AK29">
        <v>-5.8067645512978143E-4</v>
      </c>
      <c r="AL29">
        <f t="shared" si="16"/>
        <v>5.8067645512978143E-4</v>
      </c>
      <c r="AM29">
        <f t="shared" si="17"/>
        <v>6.0000000000000001E-3</v>
      </c>
      <c r="AN29">
        <f t="shared" si="18"/>
        <v>1.5714285714285714</v>
      </c>
      <c r="AO29">
        <f t="shared" si="19"/>
        <v>1.3</v>
      </c>
      <c r="AP29">
        <f t="shared" si="20"/>
        <v>1</v>
      </c>
      <c r="AQ29">
        <f t="shared" si="21"/>
        <v>-1.4E-3</v>
      </c>
      <c r="AS29">
        <f t="shared" si="22"/>
        <v>0</v>
      </c>
      <c r="AT29">
        <f t="shared" si="23"/>
        <v>0</v>
      </c>
      <c r="AU29">
        <f t="shared" si="24"/>
        <v>0</v>
      </c>
      <c r="AV29">
        <f t="shared" si="25"/>
        <v>0</v>
      </c>
      <c r="AW29">
        <f t="shared" si="26"/>
        <v>0.08</v>
      </c>
      <c r="AX29">
        <f t="shared" si="27"/>
        <v>0</v>
      </c>
      <c r="AY29">
        <f t="shared" si="28"/>
        <v>0.24</v>
      </c>
      <c r="AZ29">
        <f t="shared" si="29"/>
        <v>0.6784</v>
      </c>
      <c r="BA29">
        <f t="shared" si="30"/>
        <v>0</v>
      </c>
      <c r="BB29">
        <f t="shared" si="31"/>
        <v>0</v>
      </c>
      <c r="BC29">
        <f t="shared" si="32"/>
        <v>0</v>
      </c>
      <c r="BD29">
        <f t="shared" si="33"/>
        <v>0</v>
      </c>
      <c r="BF29">
        <f t="shared" si="34"/>
        <v>3.1792035918355532</v>
      </c>
      <c r="BR29" t="s">
        <v>288</v>
      </c>
      <c r="BS29" t="s">
        <v>300</v>
      </c>
      <c r="BT29">
        <v>0.26</v>
      </c>
      <c r="BW29" t="s">
        <v>117</v>
      </c>
      <c r="BX29" t="s">
        <v>132</v>
      </c>
      <c r="BY29">
        <v>0</v>
      </c>
      <c r="BZ29">
        <v>0</v>
      </c>
      <c r="CA29">
        <v>-0.1</v>
      </c>
      <c r="CB29">
        <v>-0.1</v>
      </c>
      <c r="CC29">
        <v>-0.03</v>
      </c>
      <c r="CD29">
        <v>-0.08</v>
      </c>
      <c r="CE29">
        <v>3</v>
      </c>
      <c r="CI29" t="s">
        <v>115</v>
      </c>
      <c r="CJ29">
        <v>-0.11</v>
      </c>
      <c r="CK29">
        <v>-0.05</v>
      </c>
      <c r="CL29">
        <v>-0.05</v>
      </c>
      <c r="CM29">
        <v>-0.05</v>
      </c>
      <c r="CN29">
        <v>-0.05</v>
      </c>
      <c r="CO29">
        <v>0</v>
      </c>
    </row>
    <row r="30" spans="8:93" x14ac:dyDescent="0.2">
      <c r="I30" t="s">
        <v>119</v>
      </c>
      <c r="J30">
        <f t="shared" si="38"/>
        <v>1</v>
      </c>
      <c r="K30">
        <f t="shared" si="38"/>
        <v>0.65</v>
      </c>
      <c r="L30">
        <v>65</v>
      </c>
      <c r="M30">
        <v>0</v>
      </c>
      <c r="N30">
        <v>0</v>
      </c>
      <c r="O30">
        <f t="shared" si="0"/>
        <v>91.25</v>
      </c>
      <c r="T30">
        <f t="shared" si="1"/>
        <v>0</v>
      </c>
      <c r="U30">
        <f t="shared" si="2"/>
        <v>1</v>
      </c>
      <c r="V30">
        <f t="shared" si="3"/>
        <v>0.72</v>
      </c>
      <c r="W30">
        <f t="shared" si="4"/>
        <v>4.7000000000000002E-3</v>
      </c>
      <c r="X30">
        <f t="shared" si="5"/>
        <v>0</v>
      </c>
      <c r="Y30">
        <f t="shared" si="6"/>
        <v>0.24</v>
      </c>
      <c r="Z30">
        <f t="shared" si="7"/>
        <v>1.0999999999999999E-2</v>
      </c>
      <c r="AA30">
        <f t="shared" si="8"/>
        <v>0.21</v>
      </c>
      <c r="AB30">
        <f t="shared" si="9"/>
        <v>5.8999999999999999E-3</v>
      </c>
      <c r="AC30">
        <f t="shared" si="10"/>
        <v>0</v>
      </c>
      <c r="AD30">
        <f t="shared" si="11"/>
        <v>0</v>
      </c>
      <c r="AE30">
        <f t="shared" si="12"/>
        <v>1.7808219178082193E-3</v>
      </c>
      <c r="AF30">
        <f t="shared" si="13"/>
        <v>0</v>
      </c>
      <c r="AH30" t="e">
        <f t="shared" si="14"/>
        <v>#DIV/0!</v>
      </c>
      <c r="AI30">
        <v>0</v>
      </c>
      <c r="AJ30">
        <f t="shared" si="15"/>
        <v>0</v>
      </c>
      <c r="AK30">
        <v>2.3934246575342468E-4</v>
      </c>
      <c r="AL30">
        <f t="shared" si="16"/>
        <v>-2.3934246575342468E-4</v>
      </c>
      <c r="AM30">
        <f t="shared" si="17"/>
        <v>6.0000000000000001E-3</v>
      </c>
      <c r="AN30">
        <f t="shared" si="18"/>
        <v>1.5714285714285714</v>
      </c>
      <c r="AO30">
        <f t="shared" si="19"/>
        <v>1.3</v>
      </c>
      <c r="AP30">
        <f t="shared" si="20"/>
        <v>1</v>
      </c>
      <c r="AQ30">
        <f t="shared" si="21"/>
        <v>-1.4E-3</v>
      </c>
      <c r="AS30">
        <f t="shared" si="22"/>
        <v>0</v>
      </c>
      <c r="AT30">
        <f t="shared" si="23"/>
        <v>0</v>
      </c>
      <c r="AU30">
        <f t="shared" si="24"/>
        <v>0</v>
      </c>
      <c r="AV30">
        <f t="shared" si="25"/>
        <v>0</v>
      </c>
      <c r="AW30">
        <f t="shared" si="26"/>
        <v>0.08</v>
      </c>
      <c r="AX30">
        <f t="shared" si="27"/>
        <v>0</v>
      </c>
      <c r="AY30">
        <f t="shared" si="28"/>
        <v>0.24</v>
      </c>
      <c r="AZ30">
        <f t="shared" si="29"/>
        <v>0.6784</v>
      </c>
      <c r="BA30">
        <f t="shared" si="30"/>
        <v>0</v>
      </c>
      <c r="BB30">
        <f t="shared" si="31"/>
        <v>0</v>
      </c>
      <c r="BC30">
        <f t="shared" si="32"/>
        <v>0</v>
      </c>
      <c r="BD30">
        <f t="shared" si="33"/>
        <v>0</v>
      </c>
      <c r="BF30">
        <f t="shared" si="34"/>
        <v>-1.4196000000000002</v>
      </c>
      <c r="BR30" t="s">
        <v>289</v>
      </c>
      <c r="BS30" t="s">
        <v>301</v>
      </c>
      <c r="BT30">
        <v>0.5</v>
      </c>
      <c r="BW30" t="s">
        <v>119</v>
      </c>
      <c r="BX30" t="s">
        <v>132</v>
      </c>
      <c r="BY30">
        <v>0</v>
      </c>
      <c r="BZ30">
        <v>-0.05</v>
      </c>
      <c r="CA30">
        <v>0</v>
      </c>
      <c r="CB30">
        <v>-0.1</v>
      </c>
      <c r="CC30">
        <v>-0.02</v>
      </c>
      <c r="CD30">
        <v>0</v>
      </c>
      <c r="CE30">
        <v>4</v>
      </c>
      <c r="CI30" t="s">
        <v>117</v>
      </c>
      <c r="CJ30">
        <v>0</v>
      </c>
      <c r="CK30">
        <v>-0.08</v>
      </c>
      <c r="CL30">
        <v>0.11</v>
      </c>
      <c r="CM30">
        <v>-0.05</v>
      </c>
      <c r="CN30">
        <v>-0.05</v>
      </c>
      <c r="CO30">
        <v>0.11</v>
      </c>
    </row>
    <row r="31" spans="8:93" x14ac:dyDescent="0.2">
      <c r="H31" t="s">
        <v>132</v>
      </c>
      <c r="I31" t="s">
        <v>113</v>
      </c>
      <c r="J31">
        <v>0.5</v>
      </c>
      <c r="K31">
        <v>0.65</v>
      </c>
      <c r="L31">
        <v>50</v>
      </c>
      <c r="M31">
        <v>0</v>
      </c>
      <c r="N31">
        <v>0</v>
      </c>
      <c r="O31">
        <f t="shared" si="0"/>
        <v>91.25</v>
      </c>
      <c r="T31">
        <f t="shared" si="1"/>
        <v>0</v>
      </c>
      <c r="U31">
        <f t="shared" si="2"/>
        <v>1</v>
      </c>
      <c r="V31">
        <f t="shared" si="3"/>
        <v>0.72</v>
      </c>
      <c r="W31">
        <f t="shared" si="4"/>
        <v>4.7000000000000002E-3</v>
      </c>
      <c r="X31">
        <f t="shared" si="5"/>
        <v>0</v>
      </c>
      <c r="Y31">
        <f t="shared" si="6"/>
        <v>0.24</v>
      </c>
      <c r="Z31">
        <f t="shared" si="7"/>
        <v>1.0999999999999999E-2</v>
      </c>
      <c r="AA31">
        <f t="shared" si="8"/>
        <v>0.21</v>
      </c>
      <c r="AB31">
        <f t="shared" si="9"/>
        <v>5.8999999999999999E-3</v>
      </c>
      <c r="AC31">
        <f t="shared" si="10"/>
        <v>0</v>
      </c>
      <c r="AD31">
        <f t="shared" si="11"/>
        <v>0</v>
      </c>
      <c r="AE31">
        <f t="shared" si="12"/>
        <v>8.9041095890410966E-4</v>
      </c>
      <c r="AF31">
        <f t="shared" si="13"/>
        <v>0</v>
      </c>
      <c r="AH31" t="e">
        <f t="shared" si="14"/>
        <v>#DIV/0!</v>
      </c>
      <c r="AI31">
        <v>0</v>
      </c>
      <c r="AJ31">
        <f t="shared" si="15"/>
        <v>0</v>
      </c>
      <c r="AK31">
        <v>1.0116016126962319E-3</v>
      </c>
      <c r="AL31">
        <f t="shared" si="16"/>
        <v>-1.0116016126962319E-3</v>
      </c>
      <c r="AM31">
        <f t="shared" si="17"/>
        <v>6.0000000000000001E-3</v>
      </c>
      <c r="AN31">
        <f t="shared" si="18"/>
        <v>1.5714285714285714</v>
      </c>
      <c r="AO31">
        <f t="shared" si="19"/>
        <v>1.3</v>
      </c>
      <c r="AP31">
        <f t="shared" si="20"/>
        <v>1</v>
      </c>
      <c r="AQ31">
        <f t="shared" si="21"/>
        <v>-1.4E-3</v>
      </c>
      <c r="AS31">
        <f t="shared" si="22"/>
        <v>0</v>
      </c>
      <c r="AT31">
        <f t="shared" si="23"/>
        <v>0</v>
      </c>
      <c r="AU31">
        <f t="shared" si="24"/>
        <v>0</v>
      </c>
      <c r="AV31">
        <f t="shared" si="25"/>
        <v>0</v>
      </c>
      <c r="AW31">
        <f t="shared" si="26"/>
        <v>0.08</v>
      </c>
      <c r="AX31">
        <f t="shared" si="27"/>
        <v>0</v>
      </c>
      <c r="AY31">
        <f t="shared" si="28"/>
        <v>0.24</v>
      </c>
      <c r="AZ31">
        <f t="shared" si="29"/>
        <v>0.6784</v>
      </c>
      <c r="BA31">
        <f t="shared" si="30"/>
        <v>0</v>
      </c>
      <c r="BB31">
        <f t="shared" si="31"/>
        <v>0</v>
      </c>
      <c r="BC31">
        <f t="shared" si="32"/>
        <v>0</v>
      </c>
      <c r="BD31">
        <f t="shared" si="33"/>
        <v>0</v>
      </c>
      <c r="BF31">
        <f t="shared" si="34"/>
        <v>-4.6154323579265579</v>
      </c>
      <c r="BR31" t="s">
        <v>290</v>
      </c>
      <c r="BS31" t="s">
        <v>302</v>
      </c>
      <c r="BT31">
        <v>0.83</v>
      </c>
      <c r="CI31" t="s">
        <v>119</v>
      </c>
      <c r="CJ31">
        <v>0</v>
      </c>
      <c r="CK31">
        <v>0</v>
      </c>
      <c r="CL31">
        <v>0.05</v>
      </c>
      <c r="CM31">
        <v>0.05</v>
      </c>
      <c r="CN31">
        <v>0.05</v>
      </c>
      <c r="CO31">
        <v>0.11</v>
      </c>
    </row>
    <row r="32" spans="8:93" x14ac:dyDescent="0.2">
      <c r="I32" t="s">
        <v>115</v>
      </c>
      <c r="J32">
        <f t="shared" ref="J32:K34" si="39">J31</f>
        <v>0.5</v>
      </c>
      <c r="K32">
        <f t="shared" si="39"/>
        <v>0.65</v>
      </c>
      <c r="L32">
        <v>100</v>
      </c>
      <c r="M32">
        <v>0</v>
      </c>
      <c r="N32">
        <v>0</v>
      </c>
      <c r="O32">
        <f t="shared" si="0"/>
        <v>91.25</v>
      </c>
      <c r="T32">
        <f t="shared" si="1"/>
        <v>0</v>
      </c>
      <c r="U32">
        <f t="shared" si="2"/>
        <v>1</v>
      </c>
      <c r="V32">
        <f t="shared" si="3"/>
        <v>0.72</v>
      </c>
      <c r="W32">
        <f t="shared" si="4"/>
        <v>4.7000000000000002E-3</v>
      </c>
      <c r="X32">
        <f t="shared" si="5"/>
        <v>0</v>
      </c>
      <c r="Y32">
        <f t="shared" si="6"/>
        <v>0.24</v>
      </c>
      <c r="Z32">
        <f t="shared" si="7"/>
        <v>1.0999999999999999E-2</v>
      </c>
      <c r="AA32">
        <f t="shared" si="8"/>
        <v>0.21</v>
      </c>
      <c r="AB32">
        <f t="shared" si="9"/>
        <v>5.8999999999999999E-3</v>
      </c>
      <c r="AC32">
        <f t="shared" si="10"/>
        <v>0</v>
      </c>
      <c r="AD32">
        <f t="shared" si="11"/>
        <v>0</v>
      </c>
      <c r="AE32">
        <f t="shared" si="12"/>
        <v>8.9041095890410966E-4</v>
      </c>
      <c r="AF32">
        <f t="shared" si="13"/>
        <v>0</v>
      </c>
      <c r="AH32" t="e">
        <f t="shared" si="14"/>
        <v>#DIV/0!</v>
      </c>
      <c r="AI32">
        <v>0</v>
      </c>
      <c r="AJ32">
        <f t="shared" si="15"/>
        <v>0</v>
      </c>
      <c r="AK32">
        <v>-8.1676849356428693E-4</v>
      </c>
      <c r="AL32">
        <f t="shared" si="16"/>
        <v>8.1676849356428693E-4</v>
      </c>
      <c r="AM32">
        <f t="shared" si="17"/>
        <v>6.0000000000000001E-3</v>
      </c>
      <c r="AN32">
        <f t="shared" si="18"/>
        <v>1.5714285714285714</v>
      </c>
      <c r="AO32">
        <f t="shared" si="19"/>
        <v>1.3</v>
      </c>
      <c r="AP32">
        <f t="shared" si="20"/>
        <v>1</v>
      </c>
      <c r="AQ32">
        <f t="shared" si="21"/>
        <v>-1.4E-3</v>
      </c>
      <c r="AS32">
        <f t="shared" si="22"/>
        <v>0</v>
      </c>
      <c r="AT32">
        <f t="shared" si="23"/>
        <v>0</v>
      </c>
      <c r="AU32">
        <f t="shared" si="24"/>
        <v>0</v>
      </c>
      <c r="AV32">
        <f t="shared" si="25"/>
        <v>0</v>
      </c>
      <c r="AW32">
        <f t="shared" si="26"/>
        <v>0.08</v>
      </c>
      <c r="AX32">
        <f t="shared" si="27"/>
        <v>0</v>
      </c>
      <c r="AY32">
        <f t="shared" si="28"/>
        <v>0.24</v>
      </c>
      <c r="AZ32">
        <f t="shared" si="29"/>
        <v>0.6784</v>
      </c>
      <c r="BA32">
        <f t="shared" si="30"/>
        <v>0</v>
      </c>
      <c r="BB32">
        <f t="shared" si="31"/>
        <v>0</v>
      </c>
      <c r="BC32">
        <f t="shared" si="32"/>
        <v>0</v>
      </c>
      <c r="BD32">
        <f t="shared" si="33"/>
        <v>0</v>
      </c>
      <c r="BF32">
        <f t="shared" si="34"/>
        <v>7.4530125037741177</v>
      </c>
      <c r="BR32" t="s">
        <v>291</v>
      </c>
      <c r="BS32" t="s">
        <v>303</v>
      </c>
      <c r="BT32">
        <v>0.41</v>
      </c>
    </row>
    <row r="33" spans="9:93" x14ac:dyDescent="0.2">
      <c r="I33" t="s">
        <v>117</v>
      </c>
      <c r="J33">
        <f t="shared" si="39"/>
        <v>0.5</v>
      </c>
      <c r="K33">
        <f t="shared" si="39"/>
        <v>0.65</v>
      </c>
      <c r="L33">
        <v>90</v>
      </c>
      <c r="M33">
        <v>0</v>
      </c>
      <c r="N33">
        <v>0</v>
      </c>
      <c r="O33">
        <f t="shared" si="0"/>
        <v>91.25</v>
      </c>
      <c r="T33">
        <f t="shared" si="1"/>
        <v>0</v>
      </c>
      <c r="U33">
        <f t="shared" si="2"/>
        <v>1</v>
      </c>
      <c r="V33">
        <f t="shared" si="3"/>
        <v>0.72</v>
      </c>
      <c r="W33">
        <f t="shared" si="4"/>
        <v>4.7000000000000002E-3</v>
      </c>
      <c r="X33">
        <f t="shared" si="5"/>
        <v>0</v>
      </c>
      <c r="Y33">
        <f t="shared" si="6"/>
        <v>0.24</v>
      </c>
      <c r="Z33">
        <f t="shared" si="7"/>
        <v>1.0999999999999999E-2</v>
      </c>
      <c r="AA33">
        <f t="shared" si="8"/>
        <v>0.21</v>
      </c>
      <c r="AB33">
        <f t="shared" si="9"/>
        <v>5.8999999999999999E-3</v>
      </c>
      <c r="AC33">
        <f t="shared" si="10"/>
        <v>0</v>
      </c>
      <c r="AD33">
        <f t="shared" si="11"/>
        <v>0</v>
      </c>
      <c r="AE33">
        <f t="shared" si="12"/>
        <v>8.9041095890410966E-4</v>
      </c>
      <c r="AF33">
        <f t="shared" si="13"/>
        <v>0</v>
      </c>
      <c r="AH33" t="e">
        <f t="shared" si="14"/>
        <v>#DIV/0!</v>
      </c>
      <c r="AI33">
        <v>0</v>
      </c>
      <c r="AJ33">
        <f t="shared" si="15"/>
        <v>0</v>
      </c>
      <c r="AK33">
        <v>1.1967123287671234E-4</v>
      </c>
      <c r="AL33">
        <f t="shared" si="16"/>
        <v>-1.1967123287671234E-4</v>
      </c>
      <c r="AM33">
        <f t="shared" si="17"/>
        <v>6.0000000000000001E-3</v>
      </c>
      <c r="AN33">
        <f t="shared" si="18"/>
        <v>1.5714285714285714</v>
      </c>
      <c r="AO33">
        <f t="shared" si="19"/>
        <v>1.3</v>
      </c>
      <c r="AP33">
        <f t="shared" si="20"/>
        <v>1</v>
      </c>
      <c r="AQ33">
        <f t="shared" si="21"/>
        <v>-1.4E-3</v>
      </c>
      <c r="AS33">
        <f t="shared" si="22"/>
        <v>0</v>
      </c>
      <c r="AT33">
        <f t="shared" si="23"/>
        <v>0</v>
      </c>
      <c r="AU33">
        <f t="shared" si="24"/>
        <v>0</v>
      </c>
      <c r="AV33">
        <f t="shared" si="25"/>
        <v>0</v>
      </c>
      <c r="AW33">
        <f t="shared" si="26"/>
        <v>0.08</v>
      </c>
      <c r="AX33">
        <f t="shared" si="27"/>
        <v>0</v>
      </c>
      <c r="AY33">
        <f t="shared" si="28"/>
        <v>0.24</v>
      </c>
      <c r="AZ33">
        <f t="shared" si="29"/>
        <v>0.6784</v>
      </c>
      <c r="BA33">
        <f t="shared" si="30"/>
        <v>0</v>
      </c>
      <c r="BB33">
        <f t="shared" si="31"/>
        <v>0</v>
      </c>
      <c r="BC33">
        <f t="shared" si="32"/>
        <v>0</v>
      </c>
      <c r="BD33">
        <f t="shared" si="33"/>
        <v>0</v>
      </c>
      <c r="BF33">
        <f t="shared" si="34"/>
        <v>-0.98280000000000001</v>
      </c>
    </row>
    <row r="34" spans="9:93" x14ac:dyDescent="0.2">
      <c r="I34" t="s">
        <v>119</v>
      </c>
      <c r="J34">
        <f t="shared" si="39"/>
        <v>0.5</v>
      </c>
      <c r="K34">
        <f t="shared" si="39"/>
        <v>0.65</v>
      </c>
      <c r="L34">
        <v>80</v>
      </c>
      <c r="M34">
        <v>0</v>
      </c>
      <c r="N34">
        <v>0</v>
      </c>
      <c r="O34">
        <f t="shared" si="0"/>
        <v>91.25</v>
      </c>
      <c r="T34">
        <f t="shared" si="1"/>
        <v>0</v>
      </c>
      <c r="U34">
        <f t="shared" si="2"/>
        <v>1</v>
      </c>
      <c r="V34">
        <f t="shared" si="3"/>
        <v>0.72</v>
      </c>
      <c r="W34">
        <f t="shared" si="4"/>
        <v>4.7000000000000002E-3</v>
      </c>
      <c r="X34">
        <f t="shared" si="5"/>
        <v>0</v>
      </c>
      <c r="Y34">
        <f t="shared" si="6"/>
        <v>0.24</v>
      </c>
      <c r="Z34">
        <f t="shared" si="7"/>
        <v>1.0999999999999999E-2</v>
      </c>
      <c r="AA34">
        <f t="shared" si="8"/>
        <v>0.21</v>
      </c>
      <c r="AB34">
        <f t="shared" si="9"/>
        <v>5.8999999999999999E-3</v>
      </c>
      <c r="AC34">
        <f t="shared" si="10"/>
        <v>0</v>
      </c>
      <c r="AD34">
        <f t="shared" si="11"/>
        <v>0</v>
      </c>
      <c r="AE34">
        <f t="shared" si="12"/>
        <v>8.9041095890410966E-4</v>
      </c>
      <c r="AF34">
        <f t="shared" si="13"/>
        <v>0</v>
      </c>
      <c r="AH34" t="e">
        <f t="shared" si="14"/>
        <v>#DIV/0!</v>
      </c>
      <c r="AI34">
        <v>0</v>
      </c>
      <c r="AJ34">
        <f t="shared" si="15"/>
        <v>0</v>
      </c>
      <c r="AK34">
        <v>1.1967123287671234E-4</v>
      </c>
      <c r="AL34">
        <f t="shared" si="16"/>
        <v>-1.1967123287671234E-4</v>
      </c>
      <c r="AM34">
        <f t="shared" si="17"/>
        <v>6.0000000000000001E-3</v>
      </c>
      <c r="AN34">
        <f t="shared" si="18"/>
        <v>1.5714285714285714</v>
      </c>
      <c r="AO34">
        <f t="shared" si="19"/>
        <v>1.3</v>
      </c>
      <c r="AP34">
        <f t="shared" si="20"/>
        <v>1</v>
      </c>
      <c r="AQ34">
        <f t="shared" si="21"/>
        <v>-1.4E-3</v>
      </c>
      <c r="AS34">
        <f t="shared" si="22"/>
        <v>0</v>
      </c>
      <c r="AT34">
        <f t="shared" si="23"/>
        <v>0</v>
      </c>
      <c r="AU34">
        <f t="shared" si="24"/>
        <v>0</v>
      </c>
      <c r="AV34">
        <f t="shared" si="25"/>
        <v>0</v>
      </c>
      <c r="AW34">
        <f t="shared" si="26"/>
        <v>0.08</v>
      </c>
      <c r="AX34">
        <f t="shared" si="27"/>
        <v>0</v>
      </c>
      <c r="AY34">
        <f t="shared" si="28"/>
        <v>0.24</v>
      </c>
      <c r="AZ34">
        <f t="shared" si="29"/>
        <v>0.6784</v>
      </c>
      <c r="BA34">
        <f t="shared" si="30"/>
        <v>0</v>
      </c>
      <c r="BB34">
        <f t="shared" si="31"/>
        <v>0</v>
      </c>
      <c r="BC34">
        <f t="shared" si="32"/>
        <v>0</v>
      </c>
      <c r="BD34">
        <f t="shared" si="33"/>
        <v>0</v>
      </c>
      <c r="BF34">
        <f t="shared" si="34"/>
        <v>-0.87360000000000004</v>
      </c>
    </row>
    <row r="36" spans="9:93" x14ac:dyDescent="0.2">
      <c r="BR36" t="s">
        <v>133</v>
      </c>
      <c r="BW36" t="s">
        <v>304</v>
      </c>
      <c r="BX36" t="s">
        <v>80</v>
      </c>
    </row>
    <row r="37" spans="9:93" x14ac:dyDescent="0.2">
      <c r="BR37" t="s">
        <v>134</v>
      </c>
      <c r="BS37">
        <v>5.8999999999999999E-3</v>
      </c>
      <c r="BW37" t="s">
        <v>255</v>
      </c>
      <c r="BX37" t="s">
        <v>74</v>
      </c>
      <c r="BY37" t="s">
        <v>110</v>
      </c>
      <c r="BZ37" t="s">
        <v>116</v>
      </c>
      <c r="CA37" t="s">
        <v>118</v>
      </c>
      <c r="CB37" t="s">
        <v>120</v>
      </c>
      <c r="CC37" t="s">
        <v>122</v>
      </c>
      <c r="CD37" t="s">
        <v>123</v>
      </c>
      <c r="CE37" t="s">
        <v>256</v>
      </c>
      <c r="CH37" t="s">
        <v>257</v>
      </c>
      <c r="CI37" t="s">
        <v>258</v>
      </c>
      <c r="CJ37" t="s">
        <v>259</v>
      </c>
      <c r="CK37" t="s">
        <v>260</v>
      </c>
      <c r="CL37" t="s">
        <v>261</v>
      </c>
      <c r="CM37" t="s">
        <v>262</v>
      </c>
      <c r="CN37" t="s">
        <v>263</v>
      </c>
      <c r="CO37" t="s">
        <v>264</v>
      </c>
    </row>
    <row r="38" spans="9:93" x14ac:dyDescent="0.2">
      <c r="BR38" t="s">
        <v>135</v>
      </c>
      <c r="BS38">
        <v>7.0000000000000001E-3</v>
      </c>
      <c r="BW38" t="s">
        <v>113</v>
      </c>
      <c r="BX38" t="s">
        <v>112</v>
      </c>
      <c r="BY38">
        <v>0.2</v>
      </c>
      <c r="BZ38">
        <v>0.08</v>
      </c>
      <c r="CA38">
        <v>0.16</v>
      </c>
      <c r="CB38">
        <v>0.2</v>
      </c>
      <c r="CC38">
        <v>0.16</v>
      </c>
      <c r="CD38">
        <v>0.18</v>
      </c>
      <c r="CE38">
        <v>1</v>
      </c>
      <c r="CH38" t="s">
        <v>72</v>
      </c>
      <c r="CI38" t="s">
        <v>255</v>
      </c>
      <c r="CJ38" t="s">
        <v>131</v>
      </c>
      <c r="CK38" t="s">
        <v>132</v>
      </c>
      <c r="CL38" t="s">
        <v>126</v>
      </c>
      <c r="CM38" t="s">
        <v>112</v>
      </c>
      <c r="CN38" t="s">
        <v>129</v>
      </c>
      <c r="CO38" t="s">
        <v>121</v>
      </c>
    </row>
    <row r="39" spans="9:93" x14ac:dyDescent="0.2">
      <c r="BR39" t="s">
        <v>136</v>
      </c>
      <c r="BS39">
        <v>1.8E-3</v>
      </c>
      <c r="BW39" t="s">
        <v>115</v>
      </c>
      <c r="BX39" t="s">
        <v>112</v>
      </c>
      <c r="BY39">
        <v>0.1</v>
      </c>
      <c r="BZ39">
        <v>0.1</v>
      </c>
      <c r="CA39">
        <v>7.0000000000000007E-2</v>
      </c>
      <c r="CB39">
        <v>7.0000000000000007E-2</v>
      </c>
      <c r="CC39">
        <v>7.0000000000000007E-2</v>
      </c>
      <c r="CD39">
        <v>0.06</v>
      </c>
      <c r="CE39">
        <v>2</v>
      </c>
      <c r="CH39" t="s">
        <v>110</v>
      </c>
      <c r="CI39" t="s">
        <v>113</v>
      </c>
      <c r="CJ39">
        <v>0.2</v>
      </c>
      <c r="CK39">
        <v>0.2</v>
      </c>
      <c r="CL39">
        <v>0.2</v>
      </c>
      <c r="CM39">
        <v>0.2</v>
      </c>
      <c r="CN39">
        <v>0.2</v>
      </c>
      <c r="CO39">
        <v>0.2</v>
      </c>
    </row>
    <row r="40" spans="9:93" x14ac:dyDescent="0.2">
      <c r="BR40" t="s">
        <v>137</v>
      </c>
      <c r="BS40">
        <v>2.8999999999999998E-3</v>
      </c>
      <c r="BW40" t="s">
        <v>117</v>
      </c>
      <c r="BX40" t="s">
        <v>112</v>
      </c>
      <c r="BY40">
        <v>0.12</v>
      </c>
      <c r="BZ40">
        <v>0.09</v>
      </c>
      <c r="CA40">
        <v>0.09</v>
      </c>
      <c r="CB40">
        <v>0.14000000000000001</v>
      </c>
      <c r="CC40">
        <v>0.13</v>
      </c>
      <c r="CD40">
        <v>0.16</v>
      </c>
      <c r="CE40">
        <v>3</v>
      </c>
      <c r="CI40" t="s">
        <v>115</v>
      </c>
      <c r="CJ40">
        <v>0.1</v>
      </c>
      <c r="CK40">
        <v>0.1</v>
      </c>
      <c r="CL40">
        <v>0.1</v>
      </c>
      <c r="CM40">
        <v>0.1</v>
      </c>
      <c r="CN40">
        <v>0.1</v>
      </c>
      <c r="CO40">
        <v>0.1</v>
      </c>
    </row>
    <row r="41" spans="9:93" x14ac:dyDescent="0.2">
      <c r="BR41" t="s">
        <v>139</v>
      </c>
      <c r="BS41">
        <v>8.0000000000000002E-3</v>
      </c>
      <c r="BW41" t="s">
        <v>119</v>
      </c>
      <c r="BX41" t="s">
        <v>112</v>
      </c>
      <c r="BY41">
        <v>0.18</v>
      </c>
      <c r="BZ41">
        <v>7.0000000000000007E-2</v>
      </c>
      <c r="CA41">
        <v>0.2</v>
      </c>
      <c r="CB41">
        <v>0.16</v>
      </c>
      <c r="CC41">
        <v>0.1</v>
      </c>
      <c r="CD41">
        <v>0.21</v>
      </c>
      <c r="CE41">
        <v>4</v>
      </c>
      <c r="CI41" t="s">
        <v>117</v>
      </c>
      <c r="CJ41">
        <v>0.12</v>
      </c>
      <c r="CK41">
        <v>0.12</v>
      </c>
      <c r="CL41">
        <v>0.12</v>
      </c>
      <c r="CM41">
        <v>0.12</v>
      </c>
      <c r="CN41">
        <v>0.12</v>
      </c>
      <c r="CO41">
        <v>0.12</v>
      </c>
    </row>
    <row r="42" spans="9:93" x14ac:dyDescent="0.2">
      <c r="BR42" t="s">
        <v>140</v>
      </c>
      <c r="BS42">
        <v>1.9900000000000001E-2</v>
      </c>
      <c r="BW42" t="s">
        <v>113</v>
      </c>
      <c r="BX42" t="s">
        <v>121</v>
      </c>
      <c r="BY42">
        <v>0.2</v>
      </c>
      <c r="BZ42">
        <v>0.08</v>
      </c>
      <c r="CA42">
        <v>0.16</v>
      </c>
      <c r="CB42">
        <v>0.2</v>
      </c>
      <c r="CC42">
        <v>0.16</v>
      </c>
      <c r="CD42">
        <v>0.18</v>
      </c>
      <c r="CE42">
        <v>1</v>
      </c>
      <c r="CI42" t="s">
        <v>119</v>
      </c>
      <c r="CJ42">
        <v>0.18</v>
      </c>
      <c r="CK42">
        <v>0.18</v>
      </c>
      <c r="CL42">
        <v>0.18</v>
      </c>
      <c r="CM42">
        <v>0.18</v>
      </c>
      <c r="CN42">
        <v>0.18</v>
      </c>
      <c r="CO42">
        <v>0.18</v>
      </c>
    </row>
    <row r="43" spans="9:93" x14ac:dyDescent="0.2">
      <c r="BR43" t="s">
        <v>141</v>
      </c>
      <c r="BS43">
        <v>5.3E-3</v>
      </c>
      <c r="BW43" t="s">
        <v>115</v>
      </c>
      <c r="BX43" t="s">
        <v>121</v>
      </c>
      <c r="BY43">
        <v>0.1</v>
      </c>
      <c r="BZ43">
        <v>0.1</v>
      </c>
      <c r="CA43">
        <v>7.0000000000000007E-2</v>
      </c>
      <c r="CB43">
        <v>7.0000000000000007E-2</v>
      </c>
      <c r="CC43">
        <v>7.0000000000000007E-2</v>
      </c>
      <c r="CD43">
        <v>0.06</v>
      </c>
      <c r="CE43">
        <v>2</v>
      </c>
      <c r="CH43" t="s">
        <v>287</v>
      </c>
      <c r="CI43" t="s">
        <v>113</v>
      </c>
      <c r="CJ43">
        <v>0.08</v>
      </c>
      <c r="CK43">
        <v>0.08</v>
      </c>
      <c r="CL43">
        <v>0.08</v>
      </c>
      <c r="CM43">
        <v>0.08</v>
      </c>
      <c r="CN43">
        <v>0.08</v>
      </c>
      <c r="CO43">
        <v>0.08</v>
      </c>
    </row>
    <row r="44" spans="9:93" x14ac:dyDescent="0.2">
      <c r="BR44" t="s">
        <v>142</v>
      </c>
      <c r="BS44">
        <v>6.4000000000000003E-3</v>
      </c>
      <c r="BW44" t="s">
        <v>117</v>
      </c>
      <c r="BX44" t="s">
        <v>121</v>
      </c>
      <c r="BY44">
        <v>0.12</v>
      </c>
      <c r="BZ44">
        <v>0.09</v>
      </c>
      <c r="CA44">
        <v>0.09</v>
      </c>
      <c r="CB44">
        <v>0.14000000000000001</v>
      </c>
      <c r="CC44">
        <v>0.13</v>
      </c>
      <c r="CD44">
        <v>0.16</v>
      </c>
      <c r="CE44">
        <v>3</v>
      </c>
      <c r="CI44" t="s">
        <v>115</v>
      </c>
      <c r="CJ44">
        <v>0.1</v>
      </c>
      <c r="CK44">
        <v>0.1</v>
      </c>
      <c r="CL44">
        <v>0.1</v>
      </c>
      <c r="CM44">
        <v>0.1</v>
      </c>
      <c r="CN44">
        <v>0.1</v>
      </c>
      <c r="CO44">
        <v>0.1</v>
      </c>
    </row>
    <row r="45" spans="9:93" x14ac:dyDescent="0.2">
      <c r="BR45" t="s">
        <v>143</v>
      </c>
      <c r="BS45">
        <v>2.5999999999999999E-3</v>
      </c>
      <c r="BW45" t="s">
        <v>119</v>
      </c>
      <c r="BX45" t="s">
        <v>121</v>
      </c>
      <c r="BY45">
        <v>0.18</v>
      </c>
      <c r="BZ45">
        <v>7.0000000000000007E-2</v>
      </c>
      <c r="CA45">
        <v>0.2</v>
      </c>
      <c r="CB45">
        <v>0.16</v>
      </c>
      <c r="CC45">
        <v>0.1</v>
      </c>
      <c r="CD45">
        <v>0.21</v>
      </c>
      <c r="CE45">
        <v>4</v>
      </c>
      <c r="CI45" t="s">
        <v>117</v>
      </c>
      <c r="CJ45">
        <v>0.09</v>
      </c>
      <c r="CK45">
        <v>0.09</v>
      </c>
      <c r="CL45">
        <v>0.09</v>
      </c>
      <c r="CM45">
        <v>0.09</v>
      </c>
      <c r="CN45">
        <v>0.09</v>
      </c>
      <c r="CO45">
        <v>0.09</v>
      </c>
    </row>
    <row r="46" spans="9:93" x14ac:dyDescent="0.2">
      <c r="BR46" t="s">
        <v>144</v>
      </c>
      <c r="BS46">
        <v>3.0000000000000001E-3</v>
      </c>
      <c r="BW46" t="s">
        <v>113</v>
      </c>
      <c r="BX46" t="s">
        <v>126</v>
      </c>
      <c r="BY46">
        <v>0.2</v>
      </c>
      <c r="BZ46">
        <v>0.08</v>
      </c>
      <c r="CA46">
        <v>0.16</v>
      </c>
      <c r="CB46">
        <v>0.2</v>
      </c>
      <c r="CC46">
        <v>0.16</v>
      </c>
      <c r="CD46">
        <v>0.18</v>
      </c>
      <c r="CE46">
        <v>1</v>
      </c>
      <c r="CI46" t="s">
        <v>119</v>
      </c>
      <c r="CJ46">
        <v>7.0000000000000007E-2</v>
      </c>
      <c r="CK46">
        <v>7.0000000000000007E-2</v>
      </c>
      <c r="CL46">
        <v>7.0000000000000007E-2</v>
      </c>
      <c r="CM46">
        <v>7.0000000000000007E-2</v>
      </c>
      <c r="CN46">
        <v>7.0000000000000007E-2</v>
      </c>
      <c r="CO46">
        <v>7.0000000000000007E-2</v>
      </c>
    </row>
    <row r="47" spans="9:93" x14ac:dyDescent="0.2">
      <c r="BR47" t="s">
        <v>145</v>
      </c>
      <c r="BS47">
        <v>5.0000000000000001E-3</v>
      </c>
      <c r="BW47" t="s">
        <v>115</v>
      </c>
      <c r="BX47" t="s">
        <v>126</v>
      </c>
      <c r="BY47">
        <v>0.1</v>
      </c>
      <c r="BZ47">
        <v>0.1</v>
      </c>
      <c r="CA47">
        <v>7.0000000000000007E-2</v>
      </c>
      <c r="CB47">
        <v>7.0000000000000007E-2</v>
      </c>
      <c r="CC47">
        <v>7.0000000000000007E-2</v>
      </c>
      <c r="CD47">
        <v>0.06</v>
      </c>
      <c r="CE47">
        <v>2</v>
      </c>
      <c r="CH47" t="s">
        <v>292</v>
      </c>
      <c r="CI47" t="s">
        <v>113</v>
      </c>
      <c r="CJ47">
        <v>0.16</v>
      </c>
      <c r="CK47">
        <v>0.16</v>
      </c>
      <c r="CL47">
        <v>0.16</v>
      </c>
      <c r="CM47">
        <v>0.16</v>
      </c>
      <c r="CN47">
        <v>0.16</v>
      </c>
      <c r="CO47">
        <v>0.16</v>
      </c>
    </row>
    <row r="48" spans="9:93" x14ac:dyDescent="0.2">
      <c r="BR48" t="s">
        <v>146</v>
      </c>
      <c r="BS48">
        <v>2.5999999999999999E-3</v>
      </c>
      <c r="BW48" t="s">
        <v>117</v>
      </c>
      <c r="BX48" t="s">
        <v>126</v>
      </c>
      <c r="BY48">
        <v>0.12</v>
      </c>
      <c r="BZ48">
        <v>0.09</v>
      </c>
      <c r="CA48">
        <v>0.09</v>
      </c>
      <c r="CB48">
        <v>0.14000000000000001</v>
      </c>
      <c r="CC48">
        <v>0.13</v>
      </c>
      <c r="CD48">
        <v>0.16</v>
      </c>
      <c r="CE48">
        <v>3</v>
      </c>
      <c r="CI48" t="s">
        <v>115</v>
      </c>
      <c r="CJ48">
        <v>7.0000000000000007E-2</v>
      </c>
      <c r="CK48">
        <v>7.0000000000000007E-2</v>
      </c>
      <c r="CL48">
        <v>7.0000000000000007E-2</v>
      </c>
      <c r="CM48">
        <v>7.0000000000000007E-2</v>
      </c>
      <c r="CN48">
        <v>7.0000000000000007E-2</v>
      </c>
      <c r="CO48">
        <v>7.0000000000000007E-2</v>
      </c>
    </row>
    <row r="49" spans="70:93" x14ac:dyDescent="0.2">
      <c r="BR49" t="s">
        <v>147</v>
      </c>
      <c r="BS49">
        <v>1.8E-3</v>
      </c>
      <c r="BW49" t="s">
        <v>119</v>
      </c>
      <c r="BX49" t="s">
        <v>126</v>
      </c>
      <c r="BY49">
        <v>0.18</v>
      </c>
      <c r="BZ49">
        <v>7.0000000000000007E-2</v>
      </c>
      <c r="CA49">
        <v>0.2</v>
      </c>
      <c r="CB49">
        <v>0.16</v>
      </c>
      <c r="CC49">
        <v>0.1</v>
      </c>
      <c r="CD49">
        <v>0.21</v>
      </c>
      <c r="CE49">
        <v>4</v>
      </c>
      <c r="CI49" t="s">
        <v>117</v>
      </c>
      <c r="CJ49">
        <v>0.09</v>
      </c>
      <c r="CK49">
        <v>0.09</v>
      </c>
      <c r="CL49">
        <v>0.09</v>
      </c>
      <c r="CM49">
        <v>0.09</v>
      </c>
      <c r="CN49">
        <v>0.09</v>
      </c>
      <c r="CO49">
        <v>0.09</v>
      </c>
    </row>
    <row r="50" spans="70:93" x14ac:dyDescent="0.2">
      <c r="BW50" t="s">
        <v>113</v>
      </c>
      <c r="BX50" t="s">
        <v>129</v>
      </c>
      <c r="BY50">
        <v>0.2</v>
      </c>
      <c r="BZ50">
        <v>0.08</v>
      </c>
      <c r="CA50">
        <v>0.16</v>
      </c>
      <c r="CB50">
        <v>0.2</v>
      </c>
      <c r="CC50">
        <v>0.16</v>
      </c>
      <c r="CD50">
        <v>0.18</v>
      </c>
      <c r="CE50">
        <v>1</v>
      </c>
      <c r="CI50" t="s">
        <v>119</v>
      </c>
      <c r="CJ50">
        <v>0.2</v>
      </c>
      <c r="CK50">
        <v>0.2</v>
      </c>
      <c r="CL50">
        <v>0.2</v>
      </c>
      <c r="CM50">
        <v>0.2</v>
      </c>
      <c r="CN50">
        <v>0.2</v>
      </c>
      <c r="CO50">
        <v>0.2</v>
      </c>
    </row>
    <row r="51" spans="70:93" x14ac:dyDescent="0.2">
      <c r="BW51" t="s">
        <v>115</v>
      </c>
      <c r="BX51" t="s">
        <v>129</v>
      </c>
      <c r="BY51">
        <v>0.1</v>
      </c>
      <c r="BZ51">
        <v>0.1</v>
      </c>
      <c r="CA51">
        <v>7.0000000000000007E-2</v>
      </c>
      <c r="CB51">
        <v>7.0000000000000007E-2</v>
      </c>
      <c r="CC51">
        <v>7.0000000000000007E-2</v>
      </c>
      <c r="CD51">
        <v>0.06</v>
      </c>
      <c r="CE51">
        <v>2</v>
      </c>
      <c r="CH51" t="s">
        <v>293</v>
      </c>
      <c r="CI51" t="s">
        <v>113</v>
      </c>
      <c r="CJ51">
        <v>0.2</v>
      </c>
      <c r="CK51">
        <v>0.2</v>
      </c>
      <c r="CL51">
        <v>0.2</v>
      </c>
      <c r="CM51">
        <v>0.2</v>
      </c>
      <c r="CN51">
        <v>0.2</v>
      </c>
      <c r="CO51">
        <v>0.2</v>
      </c>
    </row>
    <row r="52" spans="70:93" x14ac:dyDescent="0.2">
      <c r="BW52" t="s">
        <v>117</v>
      </c>
      <c r="BX52" t="s">
        <v>129</v>
      </c>
      <c r="BY52">
        <v>0.12</v>
      </c>
      <c r="BZ52">
        <v>0.09</v>
      </c>
      <c r="CA52">
        <v>0.09</v>
      </c>
      <c r="CB52">
        <v>0.14000000000000001</v>
      </c>
      <c r="CC52">
        <v>0.13</v>
      </c>
      <c r="CD52">
        <v>0.06</v>
      </c>
      <c r="CE52">
        <v>3</v>
      </c>
      <c r="CI52" t="s">
        <v>115</v>
      </c>
      <c r="CJ52">
        <v>7.0000000000000007E-2</v>
      </c>
      <c r="CK52">
        <v>7.0000000000000007E-2</v>
      </c>
      <c r="CL52">
        <v>7.0000000000000007E-2</v>
      </c>
      <c r="CM52">
        <v>7.0000000000000007E-2</v>
      </c>
      <c r="CN52">
        <v>7.0000000000000007E-2</v>
      </c>
      <c r="CO52">
        <v>7.0000000000000007E-2</v>
      </c>
    </row>
    <row r="53" spans="70:93" x14ac:dyDescent="0.2">
      <c r="BW53" t="s">
        <v>119</v>
      </c>
      <c r="BX53" t="s">
        <v>129</v>
      </c>
      <c r="BY53">
        <v>0.18</v>
      </c>
      <c r="BZ53">
        <v>7.0000000000000007E-2</v>
      </c>
      <c r="CA53">
        <v>0.2</v>
      </c>
      <c r="CB53">
        <v>0.16</v>
      </c>
      <c r="CC53">
        <v>0.1</v>
      </c>
      <c r="CD53">
        <v>0.21</v>
      </c>
      <c r="CE53">
        <v>4</v>
      </c>
      <c r="CI53" t="s">
        <v>117</v>
      </c>
      <c r="CJ53">
        <v>0.14000000000000001</v>
      </c>
      <c r="CK53">
        <v>0.14000000000000001</v>
      </c>
      <c r="CL53">
        <v>0.14000000000000001</v>
      </c>
      <c r="CM53">
        <v>0.14000000000000001</v>
      </c>
      <c r="CN53">
        <v>0.14000000000000001</v>
      </c>
      <c r="CO53">
        <v>0.14000000000000001</v>
      </c>
    </row>
    <row r="54" spans="70:93" x14ac:dyDescent="0.2">
      <c r="BW54" t="s">
        <v>113</v>
      </c>
      <c r="BX54" t="s">
        <v>131</v>
      </c>
      <c r="BY54">
        <v>0.2</v>
      </c>
      <c r="BZ54">
        <v>0.08</v>
      </c>
      <c r="CA54">
        <v>0.16</v>
      </c>
      <c r="CB54">
        <v>0.2</v>
      </c>
      <c r="CC54">
        <v>0.16</v>
      </c>
      <c r="CD54">
        <v>0.18</v>
      </c>
      <c r="CE54">
        <v>1</v>
      </c>
      <c r="CI54" t="s">
        <v>119</v>
      </c>
      <c r="CJ54">
        <v>0.16</v>
      </c>
      <c r="CK54">
        <v>0.16</v>
      </c>
      <c r="CL54">
        <v>0.16</v>
      </c>
      <c r="CM54">
        <v>0.16</v>
      </c>
      <c r="CN54">
        <v>0.16</v>
      </c>
      <c r="CO54">
        <v>0.16</v>
      </c>
    </row>
    <row r="55" spans="70:93" x14ac:dyDescent="0.2">
      <c r="BW55" t="s">
        <v>115</v>
      </c>
      <c r="BX55" t="s">
        <v>131</v>
      </c>
      <c r="BY55">
        <v>0.1</v>
      </c>
      <c r="BZ55">
        <v>0.1</v>
      </c>
      <c r="CA55">
        <v>7.0000000000000007E-2</v>
      </c>
      <c r="CB55">
        <v>7.0000000000000007E-2</v>
      </c>
      <c r="CC55">
        <v>7.0000000000000007E-2</v>
      </c>
      <c r="CD55">
        <v>0.06</v>
      </c>
      <c r="CE55">
        <v>2</v>
      </c>
      <c r="CH55" t="s">
        <v>294</v>
      </c>
      <c r="CI55" t="s">
        <v>113</v>
      </c>
      <c r="CJ55">
        <v>0.16</v>
      </c>
      <c r="CK55">
        <v>0.16</v>
      </c>
      <c r="CL55">
        <v>0.16</v>
      </c>
      <c r="CM55">
        <v>0.16</v>
      </c>
      <c r="CN55">
        <v>0.16</v>
      </c>
      <c r="CO55">
        <v>0.16</v>
      </c>
    </row>
    <row r="56" spans="70:93" x14ac:dyDescent="0.2">
      <c r="BW56" t="s">
        <v>117</v>
      </c>
      <c r="BX56" t="s">
        <v>131</v>
      </c>
      <c r="BY56">
        <v>0.12</v>
      </c>
      <c r="BZ56">
        <v>0.09</v>
      </c>
      <c r="CA56">
        <v>0.09</v>
      </c>
      <c r="CB56">
        <v>0.14000000000000001</v>
      </c>
      <c r="CC56">
        <v>0.13</v>
      </c>
      <c r="CD56">
        <v>0.06</v>
      </c>
      <c r="CE56">
        <v>3</v>
      </c>
      <c r="CI56" t="s">
        <v>115</v>
      </c>
      <c r="CJ56">
        <v>7.0000000000000007E-2</v>
      </c>
      <c r="CK56">
        <v>7.0000000000000007E-2</v>
      </c>
      <c r="CL56">
        <v>7.0000000000000007E-2</v>
      </c>
      <c r="CM56">
        <v>7.0000000000000007E-2</v>
      </c>
      <c r="CN56">
        <v>7.0000000000000007E-2</v>
      </c>
      <c r="CO56">
        <v>7.0000000000000007E-2</v>
      </c>
    </row>
    <row r="57" spans="70:93" x14ac:dyDescent="0.2">
      <c r="BW57" t="s">
        <v>119</v>
      </c>
      <c r="BX57" t="s">
        <v>131</v>
      </c>
      <c r="BY57">
        <v>0.18</v>
      </c>
      <c r="BZ57">
        <v>7.0000000000000007E-2</v>
      </c>
      <c r="CA57">
        <v>0.2</v>
      </c>
      <c r="CB57">
        <v>0.16</v>
      </c>
      <c r="CC57">
        <v>0.1</v>
      </c>
      <c r="CD57">
        <v>0.21</v>
      </c>
      <c r="CE57">
        <v>4</v>
      </c>
      <c r="CI57" t="s">
        <v>117</v>
      </c>
      <c r="CJ57">
        <v>0.13</v>
      </c>
      <c r="CK57">
        <v>0.13</v>
      </c>
      <c r="CL57">
        <v>0.13</v>
      </c>
      <c r="CM57">
        <v>0.13</v>
      </c>
      <c r="CN57">
        <v>0.13</v>
      </c>
      <c r="CO57">
        <v>0.13</v>
      </c>
    </row>
    <row r="58" spans="70:93" x14ac:dyDescent="0.2">
      <c r="BW58" t="s">
        <v>113</v>
      </c>
      <c r="BX58" t="s">
        <v>132</v>
      </c>
      <c r="BY58">
        <v>0.2</v>
      </c>
      <c r="BZ58">
        <v>0.08</v>
      </c>
      <c r="CA58">
        <v>0.16</v>
      </c>
      <c r="CB58">
        <v>0.2</v>
      </c>
      <c r="CC58">
        <v>0.16</v>
      </c>
      <c r="CD58">
        <v>0.18</v>
      </c>
      <c r="CE58">
        <v>1</v>
      </c>
      <c r="CI58" t="s">
        <v>119</v>
      </c>
      <c r="CJ58">
        <v>0.1</v>
      </c>
      <c r="CK58">
        <v>0.1</v>
      </c>
      <c r="CL58">
        <v>0.1</v>
      </c>
      <c r="CM58">
        <v>0.1</v>
      </c>
      <c r="CN58">
        <v>0.1</v>
      </c>
      <c r="CO58">
        <v>0.1</v>
      </c>
    </row>
    <row r="59" spans="70:93" x14ac:dyDescent="0.2">
      <c r="BW59" t="s">
        <v>115</v>
      </c>
      <c r="BX59" t="s">
        <v>132</v>
      </c>
      <c r="BY59">
        <v>0.1</v>
      </c>
      <c r="BZ59">
        <v>0.1</v>
      </c>
      <c r="CA59">
        <v>7.0000000000000007E-2</v>
      </c>
      <c r="CB59">
        <v>7.0000000000000007E-2</v>
      </c>
      <c r="CC59">
        <v>7.0000000000000007E-2</v>
      </c>
      <c r="CD59">
        <v>0.06</v>
      </c>
      <c r="CE59">
        <v>2</v>
      </c>
      <c r="CH59" t="s">
        <v>299</v>
      </c>
      <c r="CI59" t="s">
        <v>113</v>
      </c>
      <c r="CJ59">
        <v>0.18</v>
      </c>
      <c r="CK59">
        <v>0.18</v>
      </c>
      <c r="CL59">
        <v>0.18</v>
      </c>
      <c r="CM59">
        <v>0.18</v>
      </c>
      <c r="CN59">
        <v>0.18</v>
      </c>
      <c r="CO59">
        <v>0.18</v>
      </c>
    </row>
    <row r="60" spans="70:93" x14ac:dyDescent="0.2">
      <c r="BW60" t="s">
        <v>117</v>
      </c>
      <c r="BX60" t="s">
        <v>132</v>
      </c>
      <c r="BY60">
        <v>0.12</v>
      </c>
      <c r="BZ60">
        <v>0.09</v>
      </c>
      <c r="CA60">
        <v>0.09</v>
      </c>
      <c r="CB60">
        <v>0.14000000000000001</v>
      </c>
      <c r="CC60">
        <v>0.13</v>
      </c>
      <c r="CD60">
        <v>0.06</v>
      </c>
      <c r="CE60">
        <v>3</v>
      </c>
      <c r="CI60" t="s">
        <v>115</v>
      </c>
      <c r="CJ60">
        <v>0.06</v>
      </c>
      <c r="CK60">
        <v>0.06</v>
      </c>
      <c r="CL60">
        <v>0.06</v>
      </c>
      <c r="CM60">
        <v>0.06</v>
      </c>
      <c r="CN60">
        <v>0.06</v>
      </c>
      <c r="CO60">
        <v>0.06</v>
      </c>
    </row>
    <row r="61" spans="70:93" x14ac:dyDescent="0.2">
      <c r="BW61" t="s">
        <v>119</v>
      </c>
      <c r="BX61" t="s">
        <v>132</v>
      </c>
      <c r="BY61">
        <v>0.18</v>
      </c>
      <c r="BZ61">
        <v>7.0000000000000007E-2</v>
      </c>
      <c r="CA61">
        <v>0.2</v>
      </c>
      <c r="CB61">
        <v>0.16</v>
      </c>
      <c r="CC61">
        <v>0.1</v>
      </c>
      <c r="CD61">
        <v>0.21</v>
      </c>
      <c r="CE61">
        <v>4</v>
      </c>
      <c r="CI61" t="s">
        <v>117</v>
      </c>
      <c r="CJ61">
        <v>0.06</v>
      </c>
      <c r="CK61">
        <v>0.06</v>
      </c>
      <c r="CL61">
        <v>0.16</v>
      </c>
      <c r="CM61">
        <v>0.16</v>
      </c>
      <c r="CN61">
        <v>0.06</v>
      </c>
      <c r="CO61">
        <v>0.16</v>
      </c>
    </row>
    <row r="62" spans="70:93" x14ac:dyDescent="0.2">
      <c r="CI62" t="s">
        <v>119</v>
      </c>
      <c r="CJ62">
        <v>0.21</v>
      </c>
      <c r="CK62">
        <v>0.21</v>
      </c>
      <c r="CL62">
        <v>0.21</v>
      </c>
      <c r="CM62">
        <v>0.21</v>
      </c>
      <c r="CN62">
        <v>0.21</v>
      </c>
      <c r="CO62">
        <v>0.21</v>
      </c>
    </row>
    <row r="66" spans="75:93" x14ac:dyDescent="0.2">
      <c r="BW66" t="s">
        <v>305</v>
      </c>
      <c r="BX66" t="s">
        <v>82</v>
      </c>
      <c r="CH66" t="s">
        <v>257</v>
      </c>
      <c r="CI66" t="s">
        <v>258</v>
      </c>
      <c r="CJ66" t="s">
        <v>259</v>
      </c>
      <c r="CK66" t="s">
        <v>260</v>
      </c>
      <c r="CL66" t="s">
        <v>261</v>
      </c>
      <c r="CM66" t="s">
        <v>262</v>
      </c>
      <c r="CN66" t="s">
        <v>263</v>
      </c>
      <c r="CO66" t="s">
        <v>264</v>
      </c>
    </row>
    <row r="67" spans="75:93" x14ac:dyDescent="0.2">
      <c r="BW67" t="s">
        <v>255</v>
      </c>
      <c r="BX67" t="s">
        <v>74</v>
      </c>
      <c r="BY67" t="s">
        <v>110</v>
      </c>
      <c r="BZ67" t="s">
        <v>116</v>
      </c>
      <c r="CA67" t="s">
        <v>118</v>
      </c>
      <c r="CB67" t="s">
        <v>120</v>
      </c>
      <c r="CC67" t="s">
        <v>122</v>
      </c>
      <c r="CD67" t="s">
        <v>123</v>
      </c>
      <c r="CE67" t="s">
        <v>256</v>
      </c>
      <c r="CH67" t="s">
        <v>72</v>
      </c>
      <c r="CI67" t="s">
        <v>255</v>
      </c>
      <c r="CJ67" t="s">
        <v>131</v>
      </c>
      <c r="CK67" t="s">
        <v>132</v>
      </c>
      <c r="CL67" t="s">
        <v>126</v>
      </c>
      <c r="CM67" t="s">
        <v>112</v>
      </c>
      <c r="CN67" t="s">
        <v>129</v>
      </c>
      <c r="CO67" t="s">
        <v>121</v>
      </c>
    </row>
    <row r="68" spans="75:93" x14ac:dyDescent="0.2">
      <c r="BW68" t="s">
        <v>113</v>
      </c>
      <c r="BX68" t="s">
        <v>112</v>
      </c>
      <c r="BY68">
        <v>0.75</v>
      </c>
      <c r="BZ68">
        <v>0.51</v>
      </c>
      <c r="CA68">
        <v>0.7</v>
      </c>
      <c r="CB68">
        <v>0.75</v>
      </c>
      <c r="CC68">
        <v>0.7</v>
      </c>
      <c r="CD68">
        <v>0.73</v>
      </c>
      <c r="CE68">
        <v>1</v>
      </c>
      <c r="CH68" t="s">
        <v>110</v>
      </c>
      <c r="CI68" t="s">
        <v>113</v>
      </c>
      <c r="CJ68">
        <v>0.75</v>
      </c>
      <c r="CK68">
        <v>0.75</v>
      </c>
      <c r="CL68">
        <v>0.75</v>
      </c>
      <c r="CM68">
        <v>0.75</v>
      </c>
      <c r="CN68">
        <v>0.75</v>
      </c>
      <c r="CO68">
        <v>0.75</v>
      </c>
    </row>
    <row r="69" spans="75:93" x14ac:dyDescent="0.2">
      <c r="BW69" t="s">
        <v>115</v>
      </c>
      <c r="BX69" t="s">
        <v>112</v>
      </c>
      <c r="BY69">
        <v>0.61</v>
      </c>
      <c r="BZ69">
        <v>0.55000000000000004</v>
      </c>
      <c r="CA69">
        <v>0.55000000000000004</v>
      </c>
      <c r="CB69">
        <v>0.55000000000000004</v>
      </c>
      <c r="CC69">
        <v>0.55000000000000004</v>
      </c>
      <c r="CD69">
        <v>0.55000000000000004</v>
      </c>
      <c r="CE69">
        <v>2</v>
      </c>
      <c r="CI69" t="s">
        <v>115</v>
      </c>
      <c r="CJ69">
        <v>0.61</v>
      </c>
      <c r="CK69">
        <v>0.61</v>
      </c>
      <c r="CL69">
        <v>0.61</v>
      </c>
      <c r="CM69">
        <v>0.61</v>
      </c>
      <c r="CN69">
        <v>0.61</v>
      </c>
      <c r="CO69">
        <v>0.61</v>
      </c>
    </row>
    <row r="70" spans="75:93" x14ac:dyDescent="0.2">
      <c r="BW70" t="s">
        <v>117</v>
      </c>
      <c r="BX70" t="s">
        <v>112</v>
      </c>
      <c r="BY70">
        <v>0.64</v>
      </c>
      <c r="BZ70">
        <v>0.59</v>
      </c>
      <c r="CA70">
        <v>0.55000000000000004</v>
      </c>
      <c r="CB70">
        <v>0.67</v>
      </c>
      <c r="CC70">
        <v>0.65</v>
      </c>
      <c r="CD70">
        <v>0.7</v>
      </c>
      <c r="CE70">
        <v>3</v>
      </c>
      <c r="CI70" t="s">
        <v>117</v>
      </c>
      <c r="CJ70">
        <v>0.64</v>
      </c>
      <c r="CK70">
        <v>0.64</v>
      </c>
      <c r="CL70">
        <v>0.64</v>
      </c>
      <c r="CM70">
        <v>0.64</v>
      </c>
      <c r="CN70">
        <v>0.64</v>
      </c>
      <c r="CO70">
        <v>0.64</v>
      </c>
    </row>
    <row r="71" spans="75:93" x14ac:dyDescent="0.2">
      <c r="BW71" t="s">
        <v>119</v>
      </c>
      <c r="BX71" t="s">
        <v>112</v>
      </c>
      <c r="BY71">
        <v>0.72</v>
      </c>
      <c r="BZ71">
        <v>0.57999999999999996</v>
      </c>
      <c r="CA71">
        <v>0.75</v>
      </c>
      <c r="CB71">
        <v>0.7</v>
      </c>
      <c r="CC71">
        <v>0.6</v>
      </c>
      <c r="CD71">
        <v>0.76</v>
      </c>
      <c r="CE71">
        <v>4</v>
      </c>
      <c r="CI71" t="s">
        <v>119</v>
      </c>
      <c r="CJ71">
        <v>0.72</v>
      </c>
      <c r="CK71">
        <v>0.72</v>
      </c>
      <c r="CL71">
        <v>0.72</v>
      </c>
      <c r="CM71">
        <v>0.72</v>
      </c>
      <c r="CN71">
        <v>0.72</v>
      </c>
      <c r="CO71">
        <v>0.72</v>
      </c>
    </row>
    <row r="72" spans="75:93" x14ac:dyDescent="0.2">
      <c r="BW72" t="s">
        <v>113</v>
      </c>
      <c r="BX72" t="s">
        <v>121</v>
      </c>
      <c r="BY72">
        <v>0.75</v>
      </c>
      <c r="BZ72">
        <v>0.51</v>
      </c>
      <c r="CA72">
        <v>0.7</v>
      </c>
      <c r="CB72">
        <v>0.75</v>
      </c>
      <c r="CC72">
        <v>0.7</v>
      </c>
      <c r="CD72">
        <v>0.73</v>
      </c>
      <c r="CE72">
        <v>1</v>
      </c>
      <c r="CH72" t="s">
        <v>287</v>
      </c>
      <c r="CI72" t="s">
        <v>113</v>
      </c>
      <c r="CJ72">
        <v>0.51</v>
      </c>
      <c r="CK72">
        <v>0.51</v>
      </c>
      <c r="CL72">
        <v>0.51</v>
      </c>
      <c r="CM72">
        <v>0.51</v>
      </c>
      <c r="CN72">
        <v>0.51</v>
      </c>
      <c r="CO72">
        <v>0.51</v>
      </c>
    </row>
    <row r="73" spans="75:93" x14ac:dyDescent="0.2">
      <c r="BW73" t="s">
        <v>115</v>
      </c>
      <c r="BX73" t="s">
        <v>121</v>
      </c>
      <c r="BY73">
        <v>0.61</v>
      </c>
      <c r="BZ73">
        <v>0.55000000000000004</v>
      </c>
      <c r="CA73">
        <v>0.55000000000000004</v>
      </c>
      <c r="CB73">
        <v>0.55000000000000004</v>
      </c>
      <c r="CC73">
        <v>0.55000000000000004</v>
      </c>
      <c r="CD73">
        <v>0.55000000000000004</v>
      </c>
      <c r="CE73">
        <v>2</v>
      </c>
      <c r="CI73" t="s">
        <v>115</v>
      </c>
      <c r="CJ73">
        <v>0.55000000000000004</v>
      </c>
      <c r="CK73">
        <v>0.55000000000000004</v>
      </c>
      <c r="CL73">
        <v>0.55000000000000004</v>
      </c>
      <c r="CM73">
        <v>0.55000000000000004</v>
      </c>
      <c r="CN73">
        <v>0.55000000000000004</v>
      </c>
      <c r="CO73">
        <v>0.55000000000000004</v>
      </c>
    </row>
    <row r="74" spans="75:93" x14ac:dyDescent="0.2">
      <c r="BW74" t="s">
        <v>117</v>
      </c>
      <c r="BX74" t="s">
        <v>121</v>
      </c>
      <c r="BY74">
        <v>0.64</v>
      </c>
      <c r="BZ74">
        <v>0.59</v>
      </c>
      <c r="CA74">
        <v>0.55000000000000004</v>
      </c>
      <c r="CB74">
        <v>0.67</v>
      </c>
      <c r="CC74">
        <v>0.65</v>
      </c>
      <c r="CD74">
        <v>0.7</v>
      </c>
      <c r="CE74">
        <v>3</v>
      </c>
      <c r="CI74" t="s">
        <v>117</v>
      </c>
      <c r="CJ74">
        <v>0.59</v>
      </c>
      <c r="CK74">
        <v>0.59</v>
      </c>
      <c r="CL74">
        <v>0.59</v>
      </c>
      <c r="CM74">
        <v>0.59</v>
      </c>
      <c r="CN74">
        <v>0.59</v>
      </c>
      <c r="CO74">
        <v>0.59</v>
      </c>
    </row>
    <row r="75" spans="75:93" x14ac:dyDescent="0.2">
      <c r="BW75" t="s">
        <v>119</v>
      </c>
      <c r="BX75" t="s">
        <v>121</v>
      </c>
      <c r="BY75">
        <v>0.72</v>
      </c>
      <c r="BZ75">
        <v>0.57999999999999996</v>
      </c>
      <c r="CA75">
        <v>0.75</v>
      </c>
      <c r="CB75">
        <v>0.7</v>
      </c>
      <c r="CC75">
        <v>0.6</v>
      </c>
      <c r="CD75">
        <v>0.76</v>
      </c>
      <c r="CE75">
        <v>4</v>
      </c>
      <c r="CI75" t="s">
        <v>119</v>
      </c>
      <c r="CJ75">
        <v>0.57999999999999996</v>
      </c>
      <c r="CK75">
        <v>0.57999999999999996</v>
      </c>
      <c r="CL75">
        <v>0.57999999999999996</v>
      </c>
      <c r="CM75">
        <v>0.57999999999999996</v>
      </c>
      <c r="CN75">
        <v>0.57999999999999996</v>
      </c>
      <c r="CO75">
        <v>0.57999999999999996</v>
      </c>
    </row>
    <row r="76" spans="75:93" x14ac:dyDescent="0.2">
      <c r="BW76" t="s">
        <v>113</v>
      </c>
      <c r="BX76" t="s">
        <v>126</v>
      </c>
      <c r="BY76">
        <v>0.75</v>
      </c>
      <c r="BZ76">
        <v>0.51</v>
      </c>
      <c r="CA76">
        <v>0.7</v>
      </c>
      <c r="CB76">
        <v>0.75</v>
      </c>
      <c r="CC76">
        <v>0.7</v>
      </c>
      <c r="CD76">
        <v>0.73</v>
      </c>
      <c r="CE76">
        <v>1</v>
      </c>
      <c r="CH76" t="s">
        <v>292</v>
      </c>
      <c r="CI76" t="s">
        <v>113</v>
      </c>
      <c r="CJ76">
        <v>0.7</v>
      </c>
      <c r="CK76">
        <v>0.7</v>
      </c>
      <c r="CL76">
        <v>0.7</v>
      </c>
      <c r="CM76">
        <v>0.7</v>
      </c>
      <c r="CN76">
        <v>0.7</v>
      </c>
      <c r="CO76">
        <v>0.7</v>
      </c>
    </row>
    <row r="77" spans="75:93" x14ac:dyDescent="0.2">
      <c r="BW77" t="s">
        <v>115</v>
      </c>
      <c r="BX77" t="s">
        <v>126</v>
      </c>
      <c r="BY77">
        <v>0.61</v>
      </c>
      <c r="BZ77">
        <v>0.55000000000000004</v>
      </c>
      <c r="CA77">
        <v>0.55000000000000004</v>
      </c>
      <c r="CB77">
        <v>0.55000000000000004</v>
      </c>
      <c r="CC77">
        <v>0.55000000000000004</v>
      </c>
      <c r="CD77">
        <v>0.55000000000000004</v>
      </c>
      <c r="CE77">
        <v>2</v>
      </c>
      <c r="CI77" t="s">
        <v>115</v>
      </c>
      <c r="CJ77">
        <v>0.55000000000000004</v>
      </c>
      <c r="CK77">
        <v>0.55000000000000004</v>
      </c>
      <c r="CL77">
        <v>0.55000000000000004</v>
      </c>
      <c r="CM77">
        <v>0.55000000000000004</v>
      </c>
      <c r="CN77">
        <v>0.55000000000000004</v>
      </c>
      <c r="CO77">
        <v>0.55000000000000004</v>
      </c>
    </row>
    <row r="78" spans="75:93" x14ac:dyDescent="0.2">
      <c r="BW78" t="s">
        <v>117</v>
      </c>
      <c r="BX78" t="s">
        <v>126</v>
      </c>
      <c r="BY78">
        <v>0.64</v>
      </c>
      <c r="BZ78">
        <v>0.59</v>
      </c>
      <c r="CA78">
        <v>0.55000000000000004</v>
      </c>
      <c r="CB78">
        <v>0.67</v>
      </c>
      <c r="CC78">
        <v>0.65</v>
      </c>
      <c r="CD78">
        <v>0.7</v>
      </c>
      <c r="CE78">
        <v>3</v>
      </c>
      <c r="CI78" t="s">
        <v>117</v>
      </c>
      <c r="CJ78">
        <v>0.55000000000000004</v>
      </c>
      <c r="CK78">
        <v>0.55000000000000004</v>
      </c>
      <c r="CL78">
        <v>0.55000000000000004</v>
      </c>
      <c r="CM78">
        <v>0.55000000000000004</v>
      </c>
      <c r="CN78">
        <v>0.55000000000000004</v>
      </c>
      <c r="CO78">
        <v>0.55000000000000004</v>
      </c>
    </row>
    <row r="79" spans="75:93" x14ac:dyDescent="0.2">
      <c r="BW79" t="s">
        <v>119</v>
      </c>
      <c r="BX79" t="s">
        <v>126</v>
      </c>
      <c r="BY79">
        <v>0.72</v>
      </c>
      <c r="BZ79">
        <v>0.57999999999999996</v>
      </c>
      <c r="CA79">
        <v>0.75</v>
      </c>
      <c r="CB79">
        <v>0.7</v>
      </c>
      <c r="CC79">
        <v>0.6</v>
      </c>
      <c r="CD79">
        <v>0.76</v>
      </c>
      <c r="CE79">
        <v>4</v>
      </c>
      <c r="CI79" t="s">
        <v>119</v>
      </c>
      <c r="CJ79">
        <v>0.75</v>
      </c>
      <c r="CK79">
        <v>0.75</v>
      </c>
      <c r="CL79">
        <v>0.75</v>
      </c>
      <c r="CM79">
        <v>0.75</v>
      </c>
      <c r="CN79">
        <v>0.75</v>
      </c>
      <c r="CO79">
        <v>0.75</v>
      </c>
    </row>
    <row r="80" spans="75:93" x14ac:dyDescent="0.2">
      <c r="BW80" t="s">
        <v>113</v>
      </c>
      <c r="BX80" t="s">
        <v>129</v>
      </c>
      <c r="BY80">
        <v>0.75</v>
      </c>
      <c r="BZ80">
        <v>0.51</v>
      </c>
      <c r="CA80">
        <v>0.7</v>
      </c>
      <c r="CB80">
        <v>0.75</v>
      </c>
      <c r="CC80">
        <v>0.7</v>
      </c>
      <c r="CD80">
        <v>0.73</v>
      </c>
      <c r="CE80">
        <v>1</v>
      </c>
      <c r="CH80" t="s">
        <v>293</v>
      </c>
      <c r="CI80" t="s">
        <v>113</v>
      </c>
      <c r="CJ80">
        <v>0.75</v>
      </c>
      <c r="CK80">
        <v>0.75</v>
      </c>
      <c r="CL80">
        <v>0.75</v>
      </c>
      <c r="CM80">
        <v>0.75</v>
      </c>
      <c r="CN80">
        <v>0.75</v>
      </c>
      <c r="CO80">
        <v>0.75</v>
      </c>
    </row>
    <row r="81" spans="75:93" x14ac:dyDescent="0.2">
      <c r="BW81" t="s">
        <v>115</v>
      </c>
      <c r="BX81" t="s">
        <v>129</v>
      </c>
      <c r="BY81">
        <v>0.61</v>
      </c>
      <c r="BZ81">
        <v>0.55000000000000004</v>
      </c>
      <c r="CA81">
        <v>0.55000000000000004</v>
      </c>
      <c r="CB81">
        <v>0.55000000000000004</v>
      </c>
      <c r="CC81">
        <v>0.55000000000000004</v>
      </c>
      <c r="CD81">
        <v>0.55000000000000004</v>
      </c>
      <c r="CE81">
        <v>2</v>
      </c>
      <c r="CI81" t="s">
        <v>115</v>
      </c>
      <c r="CJ81">
        <v>0.55000000000000004</v>
      </c>
      <c r="CK81">
        <v>0.55000000000000004</v>
      </c>
      <c r="CL81">
        <v>0.55000000000000004</v>
      </c>
      <c r="CM81">
        <v>0.55000000000000004</v>
      </c>
      <c r="CN81">
        <v>0.55000000000000004</v>
      </c>
      <c r="CO81">
        <v>0.55000000000000004</v>
      </c>
    </row>
    <row r="82" spans="75:93" x14ac:dyDescent="0.2">
      <c r="BW82" t="s">
        <v>117</v>
      </c>
      <c r="BX82" t="s">
        <v>129</v>
      </c>
      <c r="BY82">
        <v>0.64</v>
      </c>
      <c r="BZ82">
        <v>0.59</v>
      </c>
      <c r="CA82">
        <v>0.55000000000000004</v>
      </c>
      <c r="CB82">
        <v>0.67</v>
      </c>
      <c r="CC82">
        <v>0.65</v>
      </c>
      <c r="CD82">
        <v>0.5</v>
      </c>
      <c r="CE82">
        <v>3</v>
      </c>
      <c r="CI82" t="s">
        <v>117</v>
      </c>
      <c r="CJ82">
        <v>0.67</v>
      </c>
      <c r="CK82">
        <v>0.67</v>
      </c>
      <c r="CL82">
        <v>0.67</v>
      </c>
      <c r="CM82">
        <v>0.67</v>
      </c>
      <c r="CN82">
        <v>0.67</v>
      </c>
      <c r="CO82">
        <v>0.67</v>
      </c>
    </row>
    <row r="83" spans="75:93" x14ac:dyDescent="0.2">
      <c r="BW83" t="s">
        <v>119</v>
      </c>
      <c r="BX83" t="s">
        <v>129</v>
      </c>
      <c r="BY83">
        <v>0.72</v>
      </c>
      <c r="BZ83">
        <v>0.57999999999999996</v>
      </c>
      <c r="CA83">
        <v>0.75</v>
      </c>
      <c r="CB83">
        <v>0.7</v>
      </c>
      <c r="CC83">
        <v>0.6</v>
      </c>
      <c r="CD83">
        <v>0.76</v>
      </c>
      <c r="CE83">
        <v>4</v>
      </c>
      <c r="CI83" t="s">
        <v>119</v>
      </c>
      <c r="CJ83">
        <v>0.7</v>
      </c>
      <c r="CK83">
        <v>0.7</v>
      </c>
      <c r="CL83">
        <v>0.7</v>
      </c>
      <c r="CM83">
        <v>0.7</v>
      </c>
      <c r="CN83">
        <v>0.7</v>
      </c>
      <c r="CO83">
        <v>0.7</v>
      </c>
    </row>
    <row r="84" spans="75:93" x14ac:dyDescent="0.2">
      <c r="BW84" t="s">
        <v>113</v>
      </c>
      <c r="BX84" t="s">
        <v>131</v>
      </c>
      <c r="BY84">
        <v>0.75</v>
      </c>
      <c r="BZ84">
        <v>0.51</v>
      </c>
      <c r="CA84">
        <v>0.7</v>
      </c>
      <c r="CB84">
        <v>0.75</v>
      </c>
      <c r="CC84">
        <v>0.7</v>
      </c>
      <c r="CD84">
        <v>0.73</v>
      </c>
      <c r="CE84">
        <v>1</v>
      </c>
      <c r="CH84" t="s">
        <v>294</v>
      </c>
      <c r="CI84" t="s">
        <v>113</v>
      </c>
      <c r="CJ84">
        <v>0.7</v>
      </c>
      <c r="CK84">
        <v>0.7</v>
      </c>
      <c r="CL84">
        <v>0.7</v>
      </c>
      <c r="CM84">
        <v>0.7</v>
      </c>
      <c r="CN84">
        <v>0.7</v>
      </c>
      <c r="CO84">
        <v>0.7</v>
      </c>
    </row>
    <row r="85" spans="75:93" x14ac:dyDescent="0.2">
      <c r="BW85" t="s">
        <v>115</v>
      </c>
      <c r="BX85" t="s">
        <v>131</v>
      </c>
      <c r="BY85">
        <v>0.61</v>
      </c>
      <c r="BZ85">
        <v>0.55000000000000004</v>
      </c>
      <c r="CA85">
        <v>0.55000000000000004</v>
      </c>
      <c r="CB85">
        <v>0.55000000000000004</v>
      </c>
      <c r="CC85">
        <v>0.55000000000000004</v>
      </c>
      <c r="CD85">
        <v>0.55000000000000004</v>
      </c>
      <c r="CE85">
        <v>2</v>
      </c>
      <c r="CI85" t="s">
        <v>115</v>
      </c>
      <c r="CJ85">
        <v>0.55000000000000004</v>
      </c>
      <c r="CK85">
        <v>0.55000000000000004</v>
      </c>
      <c r="CL85">
        <v>0.55000000000000004</v>
      </c>
      <c r="CM85">
        <v>0.55000000000000004</v>
      </c>
      <c r="CN85">
        <v>0.55000000000000004</v>
      </c>
      <c r="CO85">
        <v>0.55000000000000004</v>
      </c>
    </row>
    <row r="86" spans="75:93" x14ac:dyDescent="0.2">
      <c r="BW86" t="s">
        <v>117</v>
      </c>
      <c r="BX86" t="s">
        <v>131</v>
      </c>
      <c r="BY86">
        <v>0.64</v>
      </c>
      <c r="BZ86">
        <v>0.59</v>
      </c>
      <c r="CA86">
        <v>0.55000000000000004</v>
      </c>
      <c r="CB86">
        <v>0.67</v>
      </c>
      <c r="CC86">
        <v>0.65</v>
      </c>
      <c r="CD86">
        <v>0.5</v>
      </c>
      <c r="CE86">
        <v>3</v>
      </c>
      <c r="CI86" t="s">
        <v>117</v>
      </c>
      <c r="CJ86">
        <v>0.65</v>
      </c>
      <c r="CK86">
        <v>0.65</v>
      </c>
      <c r="CL86">
        <v>0.65</v>
      </c>
      <c r="CM86">
        <v>0.65</v>
      </c>
      <c r="CN86">
        <v>0.65</v>
      </c>
      <c r="CO86">
        <v>0.65</v>
      </c>
    </row>
    <row r="87" spans="75:93" x14ac:dyDescent="0.2">
      <c r="BW87" t="s">
        <v>119</v>
      </c>
      <c r="BX87" t="s">
        <v>131</v>
      </c>
      <c r="BY87">
        <v>0.72</v>
      </c>
      <c r="BZ87">
        <v>0.57999999999999996</v>
      </c>
      <c r="CA87">
        <v>0.75</v>
      </c>
      <c r="CB87">
        <v>0.7</v>
      </c>
      <c r="CC87">
        <v>0.6</v>
      </c>
      <c r="CD87">
        <v>0.76</v>
      </c>
      <c r="CE87">
        <v>4</v>
      </c>
      <c r="CI87" t="s">
        <v>119</v>
      </c>
      <c r="CJ87">
        <v>0.6</v>
      </c>
      <c r="CK87">
        <v>0.6</v>
      </c>
      <c r="CL87">
        <v>0.6</v>
      </c>
      <c r="CM87">
        <v>0.6</v>
      </c>
      <c r="CN87">
        <v>0.6</v>
      </c>
      <c r="CO87">
        <v>0.6</v>
      </c>
    </row>
    <row r="88" spans="75:93" x14ac:dyDescent="0.2">
      <c r="BW88" t="s">
        <v>113</v>
      </c>
      <c r="BX88" t="s">
        <v>132</v>
      </c>
      <c r="BY88">
        <v>0.75</v>
      </c>
      <c r="BZ88">
        <v>0.51</v>
      </c>
      <c r="CA88">
        <v>0.7</v>
      </c>
      <c r="CB88">
        <v>0.75</v>
      </c>
      <c r="CC88">
        <v>0.7</v>
      </c>
      <c r="CD88">
        <v>0.73</v>
      </c>
      <c r="CE88">
        <v>1</v>
      </c>
      <c r="CH88" t="s">
        <v>299</v>
      </c>
      <c r="CI88" t="s">
        <v>113</v>
      </c>
      <c r="CJ88">
        <v>0.73</v>
      </c>
      <c r="CK88">
        <v>0.73</v>
      </c>
      <c r="CL88">
        <v>0.73</v>
      </c>
      <c r="CM88">
        <v>0.73</v>
      </c>
      <c r="CN88">
        <v>0.73</v>
      </c>
      <c r="CO88">
        <v>0.73</v>
      </c>
    </row>
    <row r="89" spans="75:93" x14ac:dyDescent="0.2">
      <c r="BW89" t="s">
        <v>115</v>
      </c>
      <c r="BX89" t="s">
        <v>132</v>
      </c>
      <c r="BY89">
        <v>0.61</v>
      </c>
      <c r="BZ89">
        <v>0.55000000000000004</v>
      </c>
      <c r="CA89">
        <v>0.55000000000000004</v>
      </c>
      <c r="CB89">
        <v>0.55000000000000004</v>
      </c>
      <c r="CC89">
        <v>0.55000000000000004</v>
      </c>
      <c r="CD89">
        <v>0.55000000000000004</v>
      </c>
      <c r="CE89">
        <v>2</v>
      </c>
      <c r="CI89" t="s">
        <v>115</v>
      </c>
      <c r="CJ89">
        <v>0.55000000000000004</v>
      </c>
      <c r="CK89">
        <v>0.55000000000000004</v>
      </c>
      <c r="CL89">
        <v>0.55000000000000004</v>
      </c>
      <c r="CM89">
        <v>0.55000000000000004</v>
      </c>
      <c r="CN89">
        <v>0.55000000000000004</v>
      </c>
      <c r="CO89">
        <v>0.55000000000000004</v>
      </c>
    </row>
    <row r="90" spans="75:93" x14ac:dyDescent="0.2">
      <c r="BW90" t="s">
        <v>117</v>
      </c>
      <c r="BX90" t="s">
        <v>132</v>
      </c>
      <c r="BY90">
        <v>0.64</v>
      </c>
      <c r="BZ90">
        <v>0.59</v>
      </c>
      <c r="CA90">
        <v>0.55000000000000004</v>
      </c>
      <c r="CB90">
        <v>0.67</v>
      </c>
      <c r="CC90">
        <v>0.65</v>
      </c>
      <c r="CD90">
        <v>0.5</v>
      </c>
      <c r="CE90">
        <v>3</v>
      </c>
      <c r="CI90" t="s">
        <v>117</v>
      </c>
      <c r="CJ90">
        <v>0.5</v>
      </c>
      <c r="CK90">
        <v>0.5</v>
      </c>
      <c r="CL90">
        <v>0.7</v>
      </c>
      <c r="CM90">
        <v>0.7</v>
      </c>
      <c r="CN90">
        <v>0.5</v>
      </c>
      <c r="CO90">
        <v>0.7</v>
      </c>
    </row>
    <row r="91" spans="75:93" x14ac:dyDescent="0.2">
      <c r="BW91" t="s">
        <v>119</v>
      </c>
      <c r="BX91" t="s">
        <v>132</v>
      </c>
      <c r="BY91">
        <v>0.72</v>
      </c>
      <c r="BZ91">
        <v>0.57999999999999996</v>
      </c>
      <c r="CA91">
        <v>0.75</v>
      </c>
      <c r="CB91">
        <v>0.7</v>
      </c>
      <c r="CC91">
        <v>0.6</v>
      </c>
      <c r="CD91">
        <v>0.76</v>
      </c>
      <c r="CE91">
        <v>4</v>
      </c>
      <c r="CI91" t="s">
        <v>119</v>
      </c>
      <c r="CJ91">
        <v>0.76</v>
      </c>
      <c r="CK91">
        <v>0.76</v>
      </c>
      <c r="CL91">
        <v>0.76</v>
      </c>
      <c r="CM91">
        <v>0.76</v>
      </c>
      <c r="CN91">
        <v>0.76</v>
      </c>
      <c r="CO91">
        <v>0.76</v>
      </c>
    </row>
    <row r="94" spans="75:93" x14ac:dyDescent="0.2">
      <c r="BW94" t="s">
        <v>306</v>
      </c>
      <c r="BX94" t="s">
        <v>84</v>
      </c>
    </row>
    <row r="95" spans="75:93" x14ac:dyDescent="0.2">
      <c r="BW95" t="s">
        <v>255</v>
      </c>
      <c r="BX95" t="s">
        <v>74</v>
      </c>
      <c r="BY95" t="s">
        <v>110</v>
      </c>
      <c r="BZ95" t="s">
        <v>116</v>
      </c>
      <c r="CA95" t="s">
        <v>118</v>
      </c>
      <c r="CB95" t="s">
        <v>120</v>
      </c>
      <c r="CC95" t="s">
        <v>122</v>
      </c>
      <c r="CD95" t="s">
        <v>123</v>
      </c>
      <c r="CE95" t="s">
        <v>256</v>
      </c>
      <c r="CH95" t="s">
        <v>257</v>
      </c>
      <c r="CI95" t="s">
        <v>258</v>
      </c>
      <c r="CJ95" t="s">
        <v>259</v>
      </c>
      <c r="CK95" t="s">
        <v>260</v>
      </c>
      <c r="CL95" t="s">
        <v>261</v>
      </c>
      <c r="CM95" t="s">
        <v>262</v>
      </c>
      <c r="CN95" t="s">
        <v>263</v>
      </c>
      <c r="CO95" t="s">
        <v>264</v>
      </c>
    </row>
    <row r="96" spans="75:93" x14ac:dyDescent="0.2">
      <c r="BW96" t="s">
        <v>113</v>
      </c>
      <c r="BX96" t="s">
        <v>112</v>
      </c>
      <c r="BY96">
        <v>54</v>
      </c>
      <c r="BZ96">
        <v>40</v>
      </c>
      <c r="CA96">
        <v>55</v>
      </c>
      <c r="CB96">
        <v>50</v>
      </c>
      <c r="CC96">
        <v>55</v>
      </c>
      <c r="CD96">
        <v>55</v>
      </c>
      <c r="CE96">
        <v>1</v>
      </c>
      <c r="CH96" t="s">
        <v>72</v>
      </c>
      <c r="CI96" t="s">
        <v>255</v>
      </c>
      <c r="CJ96" t="s">
        <v>131</v>
      </c>
      <c r="CK96" t="s">
        <v>132</v>
      </c>
      <c r="CL96" t="s">
        <v>126</v>
      </c>
      <c r="CM96" t="s">
        <v>112</v>
      </c>
      <c r="CN96" t="s">
        <v>129</v>
      </c>
      <c r="CO96" t="s">
        <v>121</v>
      </c>
    </row>
    <row r="97" spans="75:93" x14ac:dyDescent="0.2">
      <c r="BW97" t="s">
        <v>115</v>
      </c>
      <c r="BX97" t="s">
        <v>112</v>
      </c>
      <c r="BY97">
        <v>49</v>
      </c>
      <c r="BZ97">
        <v>45</v>
      </c>
      <c r="CA97">
        <v>55</v>
      </c>
      <c r="CB97">
        <v>50</v>
      </c>
      <c r="CC97">
        <v>50</v>
      </c>
      <c r="CD97">
        <v>50</v>
      </c>
      <c r="CE97">
        <v>2</v>
      </c>
      <c r="CH97" t="s">
        <v>110</v>
      </c>
      <c r="CI97" t="s">
        <v>113</v>
      </c>
      <c r="CJ97">
        <v>75</v>
      </c>
      <c r="CK97">
        <v>62</v>
      </c>
      <c r="CL97">
        <v>44</v>
      </c>
      <c r="CM97">
        <v>54</v>
      </c>
      <c r="CN97">
        <v>56</v>
      </c>
      <c r="CO97">
        <v>20</v>
      </c>
    </row>
    <row r="98" spans="75:93" x14ac:dyDescent="0.2">
      <c r="BW98" t="s">
        <v>117</v>
      </c>
      <c r="BX98" t="s">
        <v>112</v>
      </c>
      <c r="BY98">
        <v>50</v>
      </c>
      <c r="BZ98">
        <v>45</v>
      </c>
      <c r="CA98">
        <v>55</v>
      </c>
      <c r="CB98">
        <v>50</v>
      </c>
      <c r="CC98">
        <v>48</v>
      </c>
      <c r="CD98">
        <v>45</v>
      </c>
      <c r="CE98">
        <v>3</v>
      </c>
      <c r="CI98" t="s">
        <v>115</v>
      </c>
      <c r="CJ98">
        <v>75</v>
      </c>
      <c r="CK98">
        <v>55</v>
      </c>
      <c r="CL98">
        <v>42</v>
      </c>
      <c r="CM98">
        <v>49</v>
      </c>
      <c r="CN98">
        <v>51</v>
      </c>
      <c r="CO98">
        <v>27</v>
      </c>
    </row>
    <row r="99" spans="75:93" x14ac:dyDescent="0.2">
      <c r="BW99" t="s">
        <v>119</v>
      </c>
      <c r="BX99" t="s">
        <v>112</v>
      </c>
      <c r="BY99">
        <v>50</v>
      </c>
      <c r="BZ99">
        <v>42</v>
      </c>
      <c r="CA99">
        <v>55</v>
      </c>
      <c r="CB99">
        <v>55</v>
      </c>
      <c r="CC99">
        <v>45</v>
      </c>
      <c r="CD99">
        <v>50</v>
      </c>
      <c r="CE99">
        <v>4</v>
      </c>
      <c r="CI99" t="s">
        <v>117</v>
      </c>
      <c r="CJ99">
        <v>69</v>
      </c>
      <c r="CK99">
        <v>55</v>
      </c>
      <c r="CL99">
        <v>43</v>
      </c>
      <c r="CM99">
        <v>50</v>
      </c>
      <c r="CN99">
        <v>50</v>
      </c>
      <c r="CO99">
        <v>32</v>
      </c>
    </row>
    <row r="100" spans="75:93" x14ac:dyDescent="0.2">
      <c r="BW100" t="s">
        <v>113</v>
      </c>
      <c r="BX100" t="s">
        <v>121</v>
      </c>
      <c r="BY100">
        <v>20</v>
      </c>
      <c r="BZ100">
        <v>20</v>
      </c>
      <c r="CA100">
        <v>40</v>
      </c>
      <c r="CB100">
        <v>14</v>
      </c>
      <c r="CC100">
        <v>22</v>
      </c>
      <c r="CD100">
        <v>30</v>
      </c>
      <c r="CE100">
        <v>1</v>
      </c>
      <c r="CI100" t="s">
        <v>119</v>
      </c>
      <c r="CJ100">
        <v>69</v>
      </c>
      <c r="CK100">
        <v>55</v>
      </c>
      <c r="CL100">
        <v>45</v>
      </c>
      <c r="CM100">
        <v>50</v>
      </c>
      <c r="CN100">
        <v>51</v>
      </c>
      <c r="CO100">
        <v>34</v>
      </c>
    </row>
    <row r="101" spans="75:93" x14ac:dyDescent="0.2">
      <c r="BW101" t="s">
        <v>115</v>
      </c>
      <c r="BX101" t="s">
        <v>121</v>
      </c>
      <c r="BY101">
        <v>27</v>
      </c>
      <c r="BZ101">
        <v>25</v>
      </c>
      <c r="CA101">
        <v>45</v>
      </c>
      <c r="CB101">
        <v>24</v>
      </c>
      <c r="CC101">
        <v>28</v>
      </c>
      <c r="CD101">
        <v>30</v>
      </c>
      <c r="CE101">
        <v>2</v>
      </c>
      <c r="CH101" t="s">
        <v>287</v>
      </c>
      <c r="CI101" t="s">
        <v>113</v>
      </c>
      <c r="CJ101">
        <v>58</v>
      </c>
      <c r="CK101">
        <v>50</v>
      </c>
      <c r="CL101">
        <v>35</v>
      </c>
      <c r="CM101">
        <v>40</v>
      </c>
      <c r="CN101">
        <v>45</v>
      </c>
      <c r="CO101">
        <v>20</v>
      </c>
    </row>
    <row r="102" spans="75:93" x14ac:dyDescent="0.2">
      <c r="BW102" t="s">
        <v>117</v>
      </c>
      <c r="BX102" t="s">
        <v>121</v>
      </c>
      <c r="BY102">
        <v>32</v>
      </c>
      <c r="BZ102">
        <v>20</v>
      </c>
      <c r="CA102">
        <v>20</v>
      </c>
      <c r="CB102">
        <v>36</v>
      </c>
      <c r="CC102">
        <v>33</v>
      </c>
      <c r="CD102">
        <v>10</v>
      </c>
      <c r="CE102">
        <v>3</v>
      </c>
      <c r="CI102" t="s">
        <v>115</v>
      </c>
      <c r="CJ102">
        <v>61</v>
      </c>
      <c r="CK102">
        <v>55</v>
      </c>
      <c r="CL102">
        <v>40</v>
      </c>
      <c r="CM102">
        <v>45</v>
      </c>
      <c r="CN102">
        <v>50</v>
      </c>
      <c r="CO102">
        <v>25</v>
      </c>
    </row>
    <row r="103" spans="75:93" x14ac:dyDescent="0.2">
      <c r="BW103" t="s">
        <v>119</v>
      </c>
      <c r="BX103" t="s">
        <v>121</v>
      </c>
      <c r="BY103">
        <v>34</v>
      </c>
      <c r="BZ103">
        <v>25</v>
      </c>
      <c r="CA103">
        <v>30</v>
      </c>
      <c r="CB103">
        <v>42</v>
      </c>
      <c r="CC103">
        <v>35</v>
      </c>
      <c r="CD103">
        <v>20</v>
      </c>
      <c r="CE103">
        <v>4</v>
      </c>
      <c r="CI103" t="s">
        <v>117</v>
      </c>
      <c r="CJ103">
        <v>63</v>
      </c>
      <c r="CK103">
        <v>55</v>
      </c>
      <c r="CL103">
        <v>40</v>
      </c>
      <c r="CM103">
        <v>45</v>
      </c>
      <c r="CN103">
        <v>50</v>
      </c>
      <c r="CO103">
        <v>20</v>
      </c>
    </row>
    <row r="104" spans="75:93" x14ac:dyDescent="0.2">
      <c r="BW104" t="s">
        <v>113</v>
      </c>
      <c r="BX104" t="s">
        <v>126</v>
      </c>
      <c r="BY104">
        <v>44</v>
      </c>
      <c r="BZ104">
        <v>35</v>
      </c>
      <c r="CA104">
        <v>52</v>
      </c>
      <c r="CB104">
        <v>45</v>
      </c>
      <c r="CC104">
        <v>50</v>
      </c>
      <c r="CD104">
        <v>50</v>
      </c>
      <c r="CE104">
        <v>1</v>
      </c>
      <c r="CI104" t="s">
        <v>119</v>
      </c>
      <c r="CJ104">
        <v>60</v>
      </c>
      <c r="CK104">
        <v>50</v>
      </c>
      <c r="CL104">
        <v>35</v>
      </c>
      <c r="CM104">
        <v>42</v>
      </c>
      <c r="CN104">
        <v>48</v>
      </c>
      <c r="CO104">
        <v>25</v>
      </c>
    </row>
    <row r="105" spans="75:93" x14ac:dyDescent="0.2">
      <c r="BW105" t="s">
        <v>115</v>
      </c>
      <c r="BX105" t="s">
        <v>126</v>
      </c>
      <c r="BY105">
        <v>42</v>
      </c>
      <c r="BZ105">
        <v>40</v>
      </c>
      <c r="CA105">
        <v>52</v>
      </c>
      <c r="CB105">
        <v>45</v>
      </c>
      <c r="CC105">
        <v>45</v>
      </c>
      <c r="CD105">
        <v>45</v>
      </c>
      <c r="CE105">
        <v>2</v>
      </c>
      <c r="CH105" t="s">
        <v>292</v>
      </c>
      <c r="CI105" t="s">
        <v>113</v>
      </c>
      <c r="CJ105">
        <v>80</v>
      </c>
      <c r="CK105">
        <v>70</v>
      </c>
      <c r="CL105">
        <v>52</v>
      </c>
      <c r="CM105">
        <v>55</v>
      </c>
      <c r="CN105">
        <v>55</v>
      </c>
      <c r="CO105">
        <v>40</v>
      </c>
    </row>
    <row r="106" spans="75:93" x14ac:dyDescent="0.2">
      <c r="BW106" t="s">
        <v>117</v>
      </c>
      <c r="BX106" t="s">
        <v>126</v>
      </c>
      <c r="BY106">
        <v>43</v>
      </c>
      <c r="BZ106">
        <v>40</v>
      </c>
      <c r="CA106">
        <v>52</v>
      </c>
      <c r="CB106">
        <v>45</v>
      </c>
      <c r="CC106">
        <v>43</v>
      </c>
      <c r="CD106">
        <v>40</v>
      </c>
      <c r="CE106">
        <v>3</v>
      </c>
      <c r="CI106" t="s">
        <v>115</v>
      </c>
      <c r="CJ106">
        <v>70</v>
      </c>
      <c r="CK106">
        <v>65</v>
      </c>
      <c r="CL106">
        <v>52</v>
      </c>
      <c r="CM106">
        <v>55</v>
      </c>
      <c r="CN106">
        <v>55</v>
      </c>
      <c r="CO106">
        <v>45</v>
      </c>
    </row>
    <row r="107" spans="75:93" x14ac:dyDescent="0.2">
      <c r="BW107" t="s">
        <v>119</v>
      </c>
      <c r="BX107" t="s">
        <v>126</v>
      </c>
      <c r="BY107">
        <v>45</v>
      </c>
      <c r="BZ107">
        <v>35</v>
      </c>
      <c r="CA107">
        <v>52</v>
      </c>
      <c r="CB107">
        <v>50</v>
      </c>
      <c r="CC107">
        <v>40</v>
      </c>
      <c r="CD107">
        <v>45</v>
      </c>
      <c r="CE107">
        <v>4</v>
      </c>
      <c r="CI107" t="s">
        <v>117</v>
      </c>
      <c r="CJ107">
        <v>70</v>
      </c>
      <c r="CK107">
        <v>60</v>
      </c>
      <c r="CL107">
        <v>52</v>
      </c>
      <c r="CM107">
        <v>55</v>
      </c>
      <c r="CN107">
        <v>55</v>
      </c>
      <c r="CO107">
        <v>20</v>
      </c>
    </row>
    <row r="108" spans="75:93" x14ac:dyDescent="0.2">
      <c r="BW108" t="s">
        <v>113</v>
      </c>
      <c r="BX108" t="s">
        <v>129</v>
      </c>
      <c r="BY108">
        <v>56</v>
      </c>
      <c r="BZ108">
        <v>45</v>
      </c>
      <c r="CA108">
        <v>55</v>
      </c>
      <c r="CB108">
        <v>50</v>
      </c>
      <c r="CC108">
        <v>50</v>
      </c>
      <c r="CD108">
        <v>55</v>
      </c>
      <c r="CE108">
        <v>1</v>
      </c>
      <c r="CI108" t="s">
        <v>119</v>
      </c>
      <c r="CJ108">
        <v>70</v>
      </c>
      <c r="CK108">
        <v>60</v>
      </c>
      <c r="CL108">
        <v>52</v>
      </c>
      <c r="CM108">
        <v>55</v>
      </c>
      <c r="CN108">
        <v>55</v>
      </c>
      <c r="CO108">
        <v>30</v>
      </c>
    </row>
    <row r="109" spans="75:93" x14ac:dyDescent="0.2">
      <c r="BW109" t="s">
        <v>115</v>
      </c>
      <c r="BX109" t="s">
        <v>129</v>
      </c>
      <c r="BY109">
        <v>51</v>
      </c>
      <c r="BZ109">
        <v>50</v>
      </c>
      <c r="CA109">
        <v>55</v>
      </c>
      <c r="CB109">
        <v>50</v>
      </c>
      <c r="CC109">
        <v>50</v>
      </c>
      <c r="CD109">
        <v>50</v>
      </c>
      <c r="CE109">
        <v>2</v>
      </c>
      <c r="CH109" t="s">
        <v>293</v>
      </c>
      <c r="CI109" t="s">
        <v>113</v>
      </c>
      <c r="CJ109">
        <v>90</v>
      </c>
      <c r="CK109">
        <v>55</v>
      </c>
      <c r="CL109">
        <v>45</v>
      </c>
      <c r="CM109">
        <v>50</v>
      </c>
      <c r="CN109">
        <v>50</v>
      </c>
      <c r="CO109">
        <v>14</v>
      </c>
    </row>
    <row r="110" spans="75:93" x14ac:dyDescent="0.2">
      <c r="BW110" t="s">
        <v>117</v>
      </c>
      <c r="BX110" t="s">
        <v>129</v>
      </c>
      <c r="BY110">
        <v>50</v>
      </c>
      <c r="BZ110">
        <v>50</v>
      </c>
      <c r="CA110">
        <v>55</v>
      </c>
      <c r="CB110">
        <v>50</v>
      </c>
      <c r="CC110">
        <v>50</v>
      </c>
      <c r="CD110">
        <v>45</v>
      </c>
      <c r="CE110">
        <v>3</v>
      </c>
      <c r="CI110" t="s">
        <v>115</v>
      </c>
      <c r="CJ110">
        <v>90</v>
      </c>
      <c r="CK110">
        <v>55</v>
      </c>
      <c r="CL110">
        <v>45</v>
      </c>
      <c r="CM110">
        <v>50</v>
      </c>
      <c r="CN110">
        <v>50</v>
      </c>
      <c r="CO110">
        <v>24</v>
      </c>
    </row>
    <row r="111" spans="75:93" x14ac:dyDescent="0.2">
      <c r="BW111" t="s">
        <v>119</v>
      </c>
      <c r="BX111" t="s">
        <v>129</v>
      </c>
      <c r="BY111">
        <v>51</v>
      </c>
      <c r="BZ111">
        <v>48</v>
      </c>
      <c r="CA111">
        <v>55</v>
      </c>
      <c r="CB111">
        <v>50</v>
      </c>
      <c r="CC111">
        <v>50</v>
      </c>
      <c r="CD111">
        <v>50</v>
      </c>
      <c r="CE111">
        <v>4</v>
      </c>
      <c r="CI111" t="s">
        <v>117</v>
      </c>
      <c r="CJ111">
        <v>75</v>
      </c>
      <c r="CK111">
        <v>50</v>
      </c>
      <c r="CL111">
        <v>45</v>
      </c>
      <c r="CM111">
        <v>50</v>
      </c>
      <c r="CN111">
        <v>50</v>
      </c>
      <c r="CO111">
        <v>36</v>
      </c>
    </row>
    <row r="112" spans="75:93" x14ac:dyDescent="0.2">
      <c r="BW112" t="s">
        <v>113</v>
      </c>
      <c r="BX112" t="s">
        <v>131</v>
      </c>
      <c r="BY112">
        <v>75</v>
      </c>
      <c r="BZ112">
        <v>58</v>
      </c>
      <c r="CA112">
        <v>80</v>
      </c>
      <c r="CB112">
        <v>90</v>
      </c>
      <c r="CC112">
        <v>70</v>
      </c>
      <c r="CD112">
        <v>75</v>
      </c>
      <c r="CE112">
        <v>1</v>
      </c>
      <c r="CI112" t="s">
        <v>119</v>
      </c>
      <c r="CJ112">
        <v>75</v>
      </c>
      <c r="CK112">
        <v>45</v>
      </c>
      <c r="CL112">
        <v>50</v>
      </c>
      <c r="CM112">
        <v>55</v>
      </c>
      <c r="CN112">
        <v>50</v>
      </c>
      <c r="CO112">
        <v>42</v>
      </c>
    </row>
    <row r="113" spans="75:93" x14ac:dyDescent="0.2">
      <c r="BW113" t="s">
        <v>115</v>
      </c>
      <c r="BX113" t="s">
        <v>131</v>
      </c>
      <c r="BY113">
        <v>75</v>
      </c>
      <c r="BZ113">
        <v>61</v>
      </c>
      <c r="CA113">
        <v>70</v>
      </c>
      <c r="CB113">
        <v>90</v>
      </c>
      <c r="CC113">
        <v>65</v>
      </c>
      <c r="CD113">
        <v>65</v>
      </c>
      <c r="CE113">
        <v>2</v>
      </c>
      <c r="CH113" t="s">
        <v>294</v>
      </c>
      <c r="CI113" t="s">
        <v>113</v>
      </c>
      <c r="CJ113">
        <v>70</v>
      </c>
      <c r="CK113">
        <v>60</v>
      </c>
      <c r="CL113">
        <v>50</v>
      </c>
      <c r="CM113">
        <v>55</v>
      </c>
      <c r="CN113">
        <v>50</v>
      </c>
      <c r="CO113">
        <v>22</v>
      </c>
    </row>
    <row r="114" spans="75:93" x14ac:dyDescent="0.2">
      <c r="BW114" t="s">
        <v>117</v>
      </c>
      <c r="BX114" t="s">
        <v>131</v>
      </c>
      <c r="BY114">
        <v>69</v>
      </c>
      <c r="BZ114">
        <v>63</v>
      </c>
      <c r="CA114">
        <v>70</v>
      </c>
      <c r="CB114">
        <v>75</v>
      </c>
      <c r="CC114">
        <v>65</v>
      </c>
      <c r="CD114">
        <v>65</v>
      </c>
      <c r="CE114">
        <v>3</v>
      </c>
      <c r="CI114" t="s">
        <v>115</v>
      </c>
      <c r="CJ114">
        <v>65</v>
      </c>
      <c r="CK114">
        <v>55</v>
      </c>
      <c r="CL114">
        <v>45</v>
      </c>
      <c r="CM114">
        <v>50</v>
      </c>
      <c r="CN114">
        <v>50</v>
      </c>
      <c r="CO114">
        <v>28</v>
      </c>
    </row>
    <row r="115" spans="75:93" x14ac:dyDescent="0.2">
      <c r="BW115" t="s">
        <v>119</v>
      </c>
      <c r="BX115" t="s">
        <v>131</v>
      </c>
      <c r="BY115">
        <v>69</v>
      </c>
      <c r="BZ115">
        <v>60</v>
      </c>
      <c r="CA115">
        <v>70</v>
      </c>
      <c r="CB115">
        <v>75</v>
      </c>
      <c r="CC115">
        <v>60</v>
      </c>
      <c r="CD115">
        <v>65</v>
      </c>
      <c r="CE115">
        <v>4</v>
      </c>
      <c r="CI115" t="s">
        <v>117</v>
      </c>
      <c r="CJ115">
        <v>65</v>
      </c>
      <c r="CK115">
        <v>52</v>
      </c>
      <c r="CL115">
        <v>43</v>
      </c>
      <c r="CM115">
        <v>48</v>
      </c>
      <c r="CN115">
        <v>50</v>
      </c>
      <c r="CO115">
        <v>33</v>
      </c>
    </row>
    <row r="116" spans="75:93" x14ac:dyDescent="0.2">
      <c r="BW116" t="s">
        <v>113</v>
      </c>
      <c r="BX116" t="s">
        <v>132</v>
      </c>
      <c r="BY116">
        <v>62</v>
      </c>
      <c r="BZ116">
        <v>50</v>
      </c>
      <c r="CA116">
        <v>70</v>
      </c>
      <c r="CB116">
        <v>55</v>
      </c>
      <c r="CC116">
        <v>60</v>
      </c>
      <c r="CD116">
        <v>60</v>
      </c>
      <c r="CE116">
        <v>1</v>
      </c>
      <c r="CI116" t="s">
        <v>119</v>
      </c>
      <c r="CJ116">
        <v>60</v>
      </c>
      <c r="CK116">
        <v>50</v>
      </c>
      <c r="CL116">
        <v>40</v>
      </c>
      <c r="CM116">
        <v>45</v>
      </c>
      <c r="CN116">
        <v>50</v>
      </c>
      <c r="CO116">
        <v>35</v>
      </c>
    </row>
    <row r="117" spans="75:93" x14ac:dyDescent="0.2">
      <c r="BW117" t="s">
        <v>115</v>
      </c>
      <c r="BX117" t="s">
        <v>132</v>
      </c>
      <c r="BY117">
        <v>55</v>
      </c>
      <c r="BZ117">
        <v>55</v>
      </c>
      <c r="CA117">
        <v>65</v>
      </c>
      <c r="CB117">
        <v>55</v>
      </c>
      <c r="CC117">
        <v>55</v>
      </c>
      <c r="CD117">
        <v>55</v>
      </c>
      <c r="CE117">
        <v>2</v>
      </c>
      <c r="CH117" t="s">
        <v>299</v>
      </c>
      <c r="CI117" t="s">
        <v>113</v>
      </c>
      <c r="CJ117">
        <v>75</v>
      </c>
      <c r="CK117">
        <v>60</v>
      </c>
      <c r="CL117">
        <v>50</v>
      </c>
      <c r="CM117">
        <v>55</v>
      </c>
      <c r="CN117">
        <v>55</v>
      </c>
      <c r="CO117">
        <v>30</v>
      </c>
    </row>
    <row r="118" spans="75:93" x14ac:dyDescent="0.2">
      <c r="BW118" t="s">
        <v>117</v>
      </c>
      <c r="BX118" t="s">
        <v>132</v>
      </c>
      <c r="BY118">
        <v>55</v>
      </c>
      <c r="BZ118">
        <v>55</v>
      </c>
      <c r="CA118">
        <v>60</v>
      </c>
      <c r="CB118">
        <v>50</v>
      </c>
      <c r="CC118">
        <v>52</v>
      </c>
      <c r="CD118">
        <v>48</v>
      </c>
      <c r="CE118">
        <v>3</v>
      </c>
      <c r="CI118" t="s">
        <v>115</v>
      </c>
      <c r="CJ118">
        <v>65</v>
      </c>
      <c r="CK118">
        <v>55</v>
      </c>
      <c r="CL118">
        <v>45</v>
      </c>
      <c r="CM118">
        <v>50</v>
      </c>
      <c r="CN118">
        <v>50</v>
      </c>
      <c r="CO118">
        <v>30</v>
      </c>
    </row>
    <row r="119" spans="75:93" x14ac:dyDescent="0.2">
      <c r="BW119" t="s">
        <v>119</v>
      </c>
      <c r="BX119" t="s">
        <v>132</v>
      </c>
      <c r="BY119">
        <v>55</v>
      </c>
      <c r="BZ119">
        <v>50</v>
      </c>
      <c r="CA119">
        <v>60</v>
      </c>
      <c r="CB119">
        <v>45</v>
      </c>
      <c r="CC119">
        <v>50</v>
      </c>
      <c r="CD119">
        <v>48</v>
      </c>
      <c r="CE119">
        <v>4</v>
      </c>
      <c r="CI119" t="s">
        <v>117</v>
      </c>
      <c r="CJ119">
        <v>65</v>
      </c>
      <c r="CK119">
        <v>48</v>
      </c>
      <c r="CL119">
        <v>40</v>
      </c>
      <c r="CM119">
        <v>45</v>
      </c>
      <c r="CN119">
        <v>45</v>
      </c>
      <c r="CO119">
        <v>10</v>
      </c>
    </row>
    <row r="120" spans="75:93" x14ac:dyDescent="0.2">
      <c r="CI120" t="s">
        <v>119</v>
      </c>
      <c r="CJ120">
        <v>65</v>
      </c>
      <c r="CK120">
        <v>48</v>
      </c>
      <c r="CL120">
        <v>45</v>
      </c>
      <c r="CM120">
        <v>50</v>
      </c>
      <c r="CN120">
        <v>50</v>
      </c>
      <c r="CO120">
        <v>20</v>
      </c>
    </row>
    <row r="128" spans="75:93" x14ac:dyDescent="0.2">
      <c r="CH128" t="s">
        <v>307</v>
      </c>
      <c r="CI128" t="s">
        <v>240</v>
      </c>
    </row>
    <row r="130" spans="49:93" x14ac:dyDescent="0.2">
      <c r="AW130" t="e" cm="1">
        <f t="array" ref="AW130">#REF!</f>
        <v>#REF!</v>
      </c>
      <c r="BW130" t="s">
        <v>255</v>
      </c>
      <c r="BX130" t="s">
        <v>74</v>
      </c>
      <c r="BY130" t="s">
        <v>110</v>
      </c>
      <c r="BZ130" t="s">
        <v>116</v>
      </c>
      <c r="CA130" t="s">
        <v>118</v>
      </c>
      <c r="CB130" t="s">
        <v>120</v>
      </c>
      <c r="CC130" t="s">
        <v>122</v>
      </c>
      <c r="CD130" t="s">
        <v>123</v>
      </c>
      <c r="CE130" t="s">
        <v>256</v>
      </c>
      <c r="CH130" t="s">
        <v>257</v>
      </c>
      <c r="CI130" t="s">
        <v>258</v>
      </c>
      <c r="CJ130" t="s">
        <v>259</v>
      </c>
      <c r="CK130" t="s">
        <v>260</v>
      </c>
      <c r="CL130" t="s">
        <v>261</v>
      </c>
      <c r="CM130" t="s">
        <v>262</v>
      </c>
      <c r="CN130" t="s">
        <v>263</v>
      </c>
      <c r="CO130" t="s">
        <v>264</v>
      </c>
    </row>
    <row r="131" spans="49:93" x14ac:dyDescent="0.2">
      <c r="BW131" t="s">
        <v>113</v>
      </c>
      <c r="BX131" t="s">
        <v>112</v>
      </c>
      <c r="BY131">
        <v>57</v>
      </c>
      <c r="BZ131">
        <v>50</v>
      </c>
      <c r="CA131">
        <v>60</v>
      </c>
      <c r="CB131">
        <v>55</v>
      </c>
      <c r="CC131">
        <v>50</v>
      </c>
      <c r="CD131">
        <v>60</v>
      </c>
      <c r="CE131">
        <v>1</v>
      </c>
      <c r="CH131" t="s">
        <v>72</v>
      </c>
      <c r="CI131" t="s">
        <v>255</v>
      </c>
      <c r="CJ131" t="s">
        <v>131</v>
      </c>
      <c r="CK131" t="s">
        <v>132</v>
      </c>
      <c r="CL131" t="s">
        <v>126</v>
      </c>
      <c r="CM131" t="s">
        <v>112</v>
      </c>
      <c r="CN131" t="s">
        <v>129</v>
      </c>
      <c r="CO131" t="s">
        <v>121</v>
      </c>
    </row>
    <row r="132" spans="49:93" x14ac:dyDescent="0.2">
      <c r="BW132" t="s">
        <v>115</v>
      </c>
      <c r="BX132" t="s">
        <v>112</v>
      </c>
      <c r="BY132">
        <v>57</v>
      </c>
      <c r="BZ132">
        <v>50</v>
      </c>
      <c r="CA132">
        <v>60</v>
      </c>
      <c r="CB132">
        <v>55</v>
      </c>
      <c r="CC132">
        <v>50</v>
      </c>
      <c r="CD132">
        <v>60</v>
      </c>
      <c r="CE132">
        <v>2</v>
      </c>
      <c r="CH132" t="s">
        <v>110</v>
      </c>
      <c r="CI132" t="s">
        <v>113</v>
      </c>
      <c r="CJ132" t="s">
        <v>308</v>
      </c>
      <c r="CK132" t="s">
        <v>309</v>
      </c>
      <c r="CL132" t="s">
        <v>310</v>
      </c>
      <c r="CM132" t="s">
        <v>310</v>
      </c>
      <c r="CN132" t="s">
        <v>310</v>
      </c>
      <c r="CO132">
        <v>60</v>
      </c>
    </row>
    <row r="133" spans="49:93" x14ac:dyDescent="0.2">
      <c r="BW133" t="s">
        <v>117</v>
      </c>
      <c r="BX133" t="s">
        <v>112</v>
      </c>
      <c r="BY133">
        <v>57</v>
      </c>
      <c r="BZ133">
        <v>50</v>
      </c>
      <c r="CA133">
        <v>60</v>
      </c>
      <c r="CB133">
        <v>55</v>
      </c>
      <c r="CC133">
        <v>50</v>
      </c>
      <c r="CD133">
        <v>60</v>
      </c>
      <c r="CE133">
        <v>3</v>
      </c>
      <c r="CH133" t="s">
        <v>110</v>
      </c>
      <c r="CI133" t="s">
        <v>115</v>
      </c>
      <c r="CJ133" t="s">
        <v>308</v>
      </c>
      <c r="CK133" t="s">
        <v>309</v>
      </c>
      <c r="CL133" t="s">
        <v>310</v>
      </c>
      <c r="CM133" t="s">
        <v>310</v>
      </c>
      <c r="CN133" t="s">
        <v>310</v>
      </c>
      <c r="CO133">
        <v>61</v>
      </c>
    </row>
    <row r="134" spans="49:93" x14ac:dyDescent="0.2">
      <c r="BW134" t="s">
        <v>119</v>
      </c>
      <c r="BX134" t="s">
        <v>112</v>
      </c>
      <c r="BY134">
        <v>57</v>
      </c>
      <c r="BZ134">
        <v>50</v>
      </c>
      <c r="CA134">
        <v>60</v>
      </c>
      <c r="CB134">
        <v>55</v>
      </c>
      <c r="CC134">
        <v>50</v>
      </c>
      <c r="CD134">
        <v>60</v>
      </c>
      <c r="CE134">
        <v>4</v>
      </c>
      <c r="CH134" t="s">
        <v>110</v>
      </c>
      <c r="CI134" t="s">
        <v>117</v>
      </c>
      <c r="CJ134" t="s">
        <v>308</v>
      </c>
      <c r="CK134" t="s">
        <v>309</v>
      </c>
      <c r="CL134" t="s">
        <v>310</v>
      </c>
      <c r="CM134" t="s">
        <v>310</v>
      </c>
      <c r="CN134" t="s">
        <v>310</v>
      </c>
      <c r="CO134">
        <v>62</v>
      </c>
    </row>
    <row r="135" spans="49:93" x14ac:dyDescent="0.2">
      <c r="BW135" t="s">
        <v>113</v>
      </c>
      <c r="BX135" t="s">
        <v>121</v>
      </c>
      <c r="BY135">
        <v>60</v>
      </c>
      <c r="BZ135">
        <v>55</v>
      </c>
      <c r="CA135">
        <v>66</v>
      </c>
      <c r="CB135">
        <v>60</v>
      </c>
      <c r="CC135">
        <v>55</v>
      </c>
      <c r="CD135">
        <v>66</v>
      </c>
      <c r="CE135">
        <v>1</v>
      </c>
      <c r="CH135" t="s">
        <v>110</v>
      </c>
      <c r="CI135" t="s">
        <v>119</v>
      </c>
      <c r="CJ135" t="s">
        <v>308</v>
      </c>
      <c r="CK135" t="s">
        <v>309</v>
      </c>
      <c r="CL135" t="s">
        <v>310</v>
      </c>
      <c r="CM135" t="s">
        <v>310</v>
      </c>
      <c r="CN135" t="s">
        <v>310</v>
      </c>
      <c r="CO135">
        <v>63</v>
      </c>
    </row>
    <row r="136" spans="49:93" x14ac:dyDescent="0.2">
      <c r="BW136" t="s">
        <v>115</v>
      </c>
      <c r="BX136" t="s">
        <v>121</v>
      </c>
      <c r="BY136">
        <v>61</v>
      </c>
      <c r="BZ136">
        <v>56</v>
      </c>
      <c r="CA136">
        <v>67</v>
      </c>
      <c r="CB136">
        <v>61</v>
      </c>
      <c r="CC136">
        <v>56</v>
      </c>
      <c r="CD136">
        <v>67</v>
      </c>
      <c r="CE136">
        <v>2</v>
      </c>
      <c r="CH136" t="s">
        <v>287</v>
      </c>
      <c r="CI136" t="s">
        <v>113</v>
      </c>
      <c r="CJ136" t="s">
        <v>311</v>
      </c>
      <c r="CK136" t="s">
        <v>312</v>
      </c>
      <c r="CL136" t="s">
        <v>313</v>
      </c>
      <c r="CM136" t="s">
        <v>313</v>
      </c>
      <c r="CN136" t="s">
        <v>313</v>
      </c>
      <c r="CO136">
        <v>55</v>
      </c>
    </row>
    <row r="137" spans="49:93" x14ac:dyDescent="0.2">
      <c r="BW137" t="s">
        <v>117</v>
      </c>
      <c r="BX137" t="s">
        <v>121</v>
      </c>
      <c r="BY137">
        <v>62</v>
      </c>
      <c r="BZ137">
        <v>57</v>
      </c>
      <c r="CA137">
        <v>68</v>
      </c>
      <c r="CB137">
        <v>62</v>
      </c>
      <c r="CC137">
        <v>57</v>
      </c>
      <c r="CD137">
        <v>68</v>
      </c>
      <c r="CE137">
        <v>3</v>
      </c>
      <c r="CH137" t="s">
        <v>287</v>
      </c>
      <c r="CI137" t="s">
        <v>115</v>
      </c>
      <c r="CJ137" t="s">
        <v>311</v>
      </c>
      <c r="CK137" t="s">
        <v>312</v>
      </c>
      <c r="CL137" t="s">
        <v>313</v>
      </c>
      <c r="CM137" t="s">
        <v>313</v>
      </c>
      <c r="CN137" t="s">
        <v>313</v>
      </c>
      <c r="CO137">
        <v>56</v>
      </c>
    </row>
    <row r="138" spans="49:93" x14ac:dyDescent="0.2">
      <c r="BW138" t="s">
        <v>119</v>
      </c>
      <c r="BX138" t="s">
        <v>121</v>
      </c>
      <c r="BY138">
        <v>63</v>
      </c>
      <c r="BZ138">
        <v>58</v>
      </c>
      <c r="CA138">
        <v>69</v>
      </c>
      <c r="CB138">
        <v>63</v>
      </c>
      <c r="CC138">
        <v>58</v>
      </c>
      <c r="CD138">
        <v>69</v>
      </c>
      <c r="CE138">
        <v>4</v>
      </c>
      <c r="CH138" t="s">
        <v>287</v>
      </c>
      <c r="CI138" t="s">
        <v>117</v>
      </c>
      <c r="CJ138" t="s">
        <v>311</v>
      </c>
      <c r="CK138" t="s">
        <v>312</v>
      </c>
      <c r="CL138" t="s">
        <v>313</v>
      </c>
      <c r="CM138" t="s">
        <v>313</v>
      </c>
      <c r="CN138" t="s">
        <v>313</v>
      </c>
      <c r="CO138">
        <v>57</v>
      </c>
    </row>
    <row r="139" spans="49:93" x14ac:dyDescent="0.2">
      <c r="BW139" t="s">
        <v>113</v>
      </c>
      <c r="BX139" t="s">
        <v>126</v>
      </c>
      <c r="BY139">
        <v>57</v>
      </c>
      <c r="BZ139">
        <v>50</v>
      </c>
      <c r="CA139">
        <v>60</v>
      </c>
      <c r="CB139">
        <v>55</v>
      </c>
      <c r="CC139">
        <v>50</v>
      </c>
      <c r="CD139">
        <v>60</v>
      </c>
      <c r="CE139">
        <v>1</v>
      </c>
      <c r="CH139" t="s">
        <v>287</v>
      </c>
      <c r="CI139" t="s">
        <v>119</v>
      </c>
      <c r="CJ139" t="s">
        <v>311</v>
      </c>
      <c r="CK139" t="s">
        <v>312</v>
      </c>
      <c r="CL139" t="s">
        <v>313</v>
      </c>
      <c r="CM139" t="s">
        <v>313</v>
      </c>
      <c r="CN139" t="s">
        <v>313</v>
      </c>
      <c r="CO139">
        <v>58</v>
      </c>
    </row>
    <row r="140" spans="49:93" x14ac:dyDescent="0.2">
      <c r="BW140" t="s">
        <v>115</v>
      </c>
      <c r="BX140" t="s">
        <v>126</v>
      </c>
      <c r="BY140">
        <v>57</v>
      </c>
      <c r="BZ140">
        <v>50</v>
      </c>
      <c r="CA140">
        <v>60</v>
      </c>
      <c r="CB140">
        <v>55</v>
      </c>
      <c r="CC140">
        <v>50</v>
      </c>
      <c r="CD140">
        <v>60</v>
      </c>
      <c r="CE140">
        <v>2</v>
      </c>
      <c r="CH140" t="s">
        <v>292</v>
      </c>
      <c r="CI140" t="s">
        <v>113</v>
      </c>
      <c r="CJ140" t="s">
        <v>314</v>
      </c>
      <c r="CK140" t="s">
        <v>315</v>
      </c>
      <c r="CL140" t="s">
        <v>312</v>
      </c>
      <c r="CM140" t="s">
        <v>312</v>
      </c>
      <c r="CN140" t="s">
        <v>312</v>
      </c>
      <c r="CO140">
        <v>66</v>
      </c>
    </row>
    <row r="141" spans="49:93" x14ac:dyDescent="0.2">
      <c r="BW141" t="s">
        <v>117</v>
      </c>
      <c r="BX141" t="s">
        <v>126</v>
      </c>
      <c r="BY141">
        <v>57</v>
      </c>
      <c r="BZ141">
        <v>50</v>
      </c>
      <c r="CA141">
        <v>60</v>
      </c>
      <c r="CB141">
        <v>55</v>
      </c>
      <c r="CC141">
        <v>50</v>
      </c>
      <c r="CD141">
        <v>60</v>
      </c>
      <c r="CE141">
        <v>3</v>
      </c>
      <c r="CH141" t="s">
        <v>292</v>
      </c>
      <c r="CI141" t="s">
        <v>115</v>
      </c>
      <c r="CJ141" t="s">
        <v>314</v>
      </c>
      <c r="CK141" t="s">
        <v>315</v>
      </c>
      <c r="CL141" t="s">
        <v>312</v>
      </c>
      <c r="CM141" t="s">
        <v>312</v>
      </c>
      <c r="CN141" t="s">
        <v>312</v>
      </c>
      <c r="CO141">
        <v>67</v>
      </c>
    </row>
    <row r="142" spans="49:93" x14ac:dyDescent="0.2">
      <c r="BW142" t="s">
        <v>119</v>
      </c>
      <c r="BX142" t="s">
        <v>126</v>
      </c>
      <c r="BY142">
        <v>57</v>
      </c>
      <c r="BZ142">
        <v>50</v>
      </c>
      <c r="CA142">
        <v>60</v>
      </c>
      <c r="CB142">
        <v>55</v>
      </c>
      <c r="CC142">
        <v>50</v>
      </c>
      <c r="CD142">
        <v>60</v>
      </c>
      <c r="CE142">
        <v>4</v>
      </c>
      <c r="CH142" t="s">
        <v>292</v>
      </c>
      <c r="CI142" t="s">
        <v>117</v>
      </c>
      <c r="CJ142" t="s">
        <v>314</v>
      </c>
      <c r="CK142" t="s">
        <v>315</v>
      </c>
      <c r="CL142" t="s">
        <v>312</v>
      </c>
      <c r="CM142" t="s">
        <v>312</v>
      </c>
      <c r="CN142" t="s">
        <v>312</v>
      </c>
      <c r="CO142">
        <v>68</v>
      </c>
    </row>
    <row r="143" spans="49:93" x14ac:dyDescent="0.2">
      <c r="BW143" t="s">
        <v>113</v>
      </c>
      <c r="BX143" t="s">
        <v>129</v>
      </c>
      <c r="BY143">
        <v>57</v>
      </c>
      <c r="BZ143">
        <v>50</v>
      </c>
      <c r="CA143">
        <v>60</v>
      </c>
      <c r="CB143">
        <v>55</v>
      </c>
      <c r="CC143">
        <v>50</v>
      </c>
      <c r="CD143">
        <v>60</v>
      </c>
      <c r="CE143">
        <v>1</v>
      </c>
      <c r="CH143" t="s">
        <v>292</v>
      </c>
      <c r="CI143" t="s">
        <v>119</v>
      </c>
      <c r="CJ143" t="s">
        <v>314</v>
      </c>
      <c r="CK143" t="s">
        <v>315</v>
      </c>
      <c r="CL143" t="s">
        <v>312</v>
      </c>
      <c r="CM143" t="s">
        <v>312</v>
      </c>
      <c r="CN143" t="s">
        <v>312</v>
      </c>
      <c r="CO143">
        <v>69</v>
      </c>
    </row>
    <row r="144" spans="49:93" x14ac:dyDescent="0.2">
      <c r="BW144" t="s">
        <v>115</v>
      </c>
      <c r="BX144" t="s">
        <v>129</v>
      </c>
      <c r="BY144">
        <v>57</v>
      </c>
      <c r="BZ144">
        <v>50</v>
      </c>
      <c r="CA144">
        <v>60</v>
      </c>
      <c r="CB144">
        <v>55</v>
      </c>
      <c r="CC144">
        <v>50</v>
      </c>
      <c r="CD144">
        <v>60</v>
      </c>
      <c r="CE144">
        <v>2</v>
      </c>
      <c r="CH144" t="s">
        <v>293</v>
      </c>
      <c r="CI144" t="s">
        <v>113</v>
      </c>
      <c r="CJ144" t="s">
        <v>316</v>
      </c>
      <c r="CK144" t="s">
        <v>317</v>
      </c>
      <c r="CL144" t="s">
        <v>318</v>
      </c>
      <c r="CM144" t="s">
        <v>318</v>
      </c>
      <c r="CN144" t="s">
        <v>318</v>
      </c>
      <c r="CO144">
        <v>60</v>
      </c>
    </row>
    <row r="145" spans="49:93" x14ac:dyDescent="0.2">
      <c r="BW145" t="s">
        <v>117</v>
      </c>
      <c r="BX145" t="s">
        <v>129</v>
      </c>
      <c r="BY145">
        <v>57</v>
      </c>
      <c r="BZ145">
        <v>50</v>
      </c>
      <c r="CA145">
        <v>60</v>
      </c>
      <c r="CB145">
        <v>55</v>
      </c>
      <c r="CC145">
        <v>50</v>
      </c>
      <c r="CD145">
        <v>60</v>
      </c>
      <c r="CE145">
        <v>3</v>
      </c>
      <c r="CH145" t="s">
        <v>293</v>
      </c>
      <c r="CI145" t="s">
        <v>115</v>
      </c>
      <c r="CJ145" t="s">
        <v>316</v>
      </c>
      <c r="CK145" t="s">
        <v>317</v>
      </c>
      <c r="CL145" t="s">
        <v>318</v>
      </c>
      <c r="CM145" t="s">
        <v>318</v>
      </c>
      <c r="CN145" t="s">
        <v>318</v>
      </c>
      <c r="CO145">
        <v>61</v>
      </c>
    </row>
    <row r="146" spans="49:93" x14ac:dyDescent="0.2">
      <c r="BW146" t="s">
        <v>119</v>
      </c>
      <c r="BX146" t="s">
        <v>129</v>
      </c>
      <c r="BY146">
        <v>57</v>
      </c>
      <c r="BZ146">
        <v>50</v>
      </c>
      <c r="CA146">
        <v>60</v>
      </c>
      <c r="CB146">
        <v>55</v>
      </c>
      <c r="CC146">
        <v>50</v>
      </c>
      <c r="CD146">
        <v>60</v>
      </c>
      <c r="CE146">
        <v>4</v>
      </c>
      <c r="CH146" t="s">
        <v>293</v>
      </c>
      <c r="CI146" t="s">
        <v>117</v>
      </c>
      <c r="CJ146" t="s">
        <v>316</v>
      </c>
      <c r="CK146" t="s">
        <v>317</v>
      </c>
      <c r="CL146" t="s">
        <v>318</v>
      </c>
      <c r="CM146" t="s">
        <v>318</v>
      </c>
      <c r="CN146" t="s">
        <v>318</v>
      </c>
      <c r="CO146">
        <v>62</v>
      </c>
    </row>
    <row r="147" spans="49:93" x14ac:dyDescent="0.2">
      <c r="BW147" t="s">
        <v>113</v>
      </c>
      <c r="BX147" t="s">
        <v>131</v>
      </c>
      <c r="BY147">
        <v>78</v>
      </c>
      <c r="BZ147">
        <v>70</v>
      </c>
      <c r="CA147">
        <v>84</v>
      </c>
      <c r="CB147">
        <v>77</v>
      </c>
      <c r="CC147">
        <v>70</v>
      </c>
      <c r="CD147">
        <v>84</v>
      </c>
      <c r="CE147">
        <v>1</v>
      </c>
      <c r="CH147" t="s">
        <v>293</v>
      </c>
      <c r="CI147" t="s">
        <v>119</v>
      </c>
      <c r="CJ147" t="s">
        <v>316</v>
      </c>
      <c r="CK147" t="s">
        <v>317</v>
      </c>
      <c r="CL147" t="s">
        <v>318</v>
      </c>
      <c r="CM147" t="s">
        <v>318</v>
      </c>
      <c r="CN147" t="s">
        <v>318</v>
      </c>
      <c r="CO147">
        <v>63</v>
      </c>
    </row>
    <row r="148" spans="49:93" x14ac:dyDescent="0.2">
      <c r="BW148" t="s">
        <v>115</v>
      </c>
      <c r="BX148" t="s">
        <v>131</v>
      </c>
      <c r="BY148">
        <v>78</v>
      </c>
      <c r="BZ148">
        <v>70</v>
      </c>
      <c r="CA148">
        <v>84</v>
      </c>
      <c r="CB148">
        <v>77</v>
      </c>
      <c r="CC148">
        <v>70</v>
      </c>
      <c r="CD148">
        <v>84</v>
      </c>
      <c r="CE148">
        <v>2</v>
      </c>
      <c r="CH148" t="s">
        <v>294</v>
      </c>
      <c r="CI148" t="s">
        <v>113</v>
      </c>
      <c r="CJ148" t="s">
        <v>311</v>
      </c>
      <c r="CK148" t="s">
        <v>312</v>
      </c>
      <c r="CL148" t="s">
        <v>313</v>
      </c>
      <c r="CM148" t="s">
        <v>313</v>
      </c>
      <c r="CN148" t="s">
        <v>313</v>
      </c>
      <c r="CO148">
        <v>55</v>
      </c>
    </row>
    <row r="149" spans="49:93" x14ac:dyDescent="0.2">
      <c r="BW149" t="s">
        <v>117</v>
      </c>
      <c r="BX149" t="s">
        <v>131</v>
      </c>
      <c r="BY149">
        <v>78</v>
      </c>
      <c r="BZ149">
        <v>70</v>
      </c>
      <c r="CA149">
        <v>84</v>
      </c>
      <c r="CB149">
        <v>77</v>
      </c>
      <c r="CC149">
        <v>70</v>
      </c>
      <c r="CD149">
        <v>84</v>
      </c>
      <c r="CE149">
        <v>3</v>
      </c>
      <c r="CH149" t="s">
        <v>294</v>
      </c>
      <c r="CI149" t="s">
        <v>115</v>
      </c>
      <c r="CJ149" t="s">
        <v>311</v>
      </c>
      <c r="CK149" t="s">
        <v>312</v>
      </c>
      <c r="CL149" t="s">
        <v>313</v>
      </c>
      <c r="CM149" t="s">
        <v>313</v>
      </c>
      <c r="CN149" t="s">
        <v>313</v>
      </c>
      <c r="CO149">
        <v>56</v>
      </c>
    </row>
    <row r="150" spans="49:93" x14ac:dyDescent="0.2">
      <c r="BW150" t="s">
        <v>119</v>
      </c>
      <c r="BX150" t="s">
        <v>131</v>
      </c>
      <c r="BY150">
        <v>78</v>
      </c>
      <c r="BZ150">
        <v>70</v>
      </c>
      <c r="CA150">
        <v>84</v>
      </c>
      <c r="CB150">
        <v>77</v>
      </c>
      <c r="CC150">
        <v>70</v>
      </c>
      <c r="CD150">
        <v>84</v>
      </c>
      <c r="CE150">
        <v>4</v>
      </c>
      <c r="CH150" t="s">
        <v>294</v>
      </c>
      <c r="CI150" t="s">
        <v>117</v>
      </c>
      <c r="CJ150" t="s">
        <v>311</v>
      </c>
      <c r="CK150" t="s">
        <v>312</v>
      </c>
      <c r="CL150" t="s">
        <v>313</v>
      </c>
      <c r="CM150" t="s">
        <v>313</v>
      </c>
      <c r="CN150" t="s">
        <v>313</v>
      </c>
      <c r="CO150">
        <v>57</v>
      </c>
    </row>
    <row r="151" spans="49:93" x14ac:dyDescent="0.2">
      <c r="BW151" t="s">
        <v>113</v>
      </c>
      <c r="BX151" t="s">
        <v>132</v>
      </c>
      <c r="BY151">
        <v>62</v>
      </c>
      <c r="BZ151">
        <v>60</v>
      </c>
      <c r="CA151">
        <v>72</v>
      </c>
      <c r="CB151">
        <v>66</v>
      </c>
      <c r="CC151">
        <v>60</v>
      </c>
      <c r="CD151">
        <v>72</v>
      </c>
      <c r="CE151">
        <v>1</v>
      </c>
      <c r="CH151" t="s">
        <v>294</v>
      </c>
      <c r="CI151" t="s">
        <v>119</v>
      </c>
      <c r="CJ151" t="s">
        <v>311</v>
      </c>
      <c r="CK151" t="s">
        <v>312</v>
      </c>
      <c r="CL151" t="s">
        <v>313</v>
      </c>
      <c r="CM151" t="s">
        <v>313</v>
      </c>
      <c r="CN151" t="s">
        <v>313</v>
      </c>
      <c r="CO151">
        <v>58</v>
      </c>
    </row>
    <row r="152" spans="49:93" x14ac:dyDescent="0.2">
      <c r="BW152" t="s">
        <v>115</v>
      </c>
      <c r="BX152" t="s">
        <v>132</v>
      </c>
      <c r="BY152">
        <v>62</v>
      </c>
      <c r="BZ152">
        <v>60</v>
      </c>
      <c r="CA152">
        <v>72</v>
      </c>
      <c r="CB152">
        <v>66</v>
      </c>
      <c r="CC152">
        <v>60</v>
      </c>
      <c r="CD152">
        <v>72</v>
      </c>
      <c r="CE152">
        <v>2</v>
      </c>
      <c r="CH152" t="s">
        <v>299</v>
      </c>
      <c r="CI152" t="s">
        <v>113</v>
      </c>
      <c r="CJ152" t="s">
        <v>314</v>
      </c>
      <c r="CK152" t="s">
        <v>315</v>
      </c>
      <c r="CL152" t="s">
        <v>312</v>
      </c>
      <c r="CM152" t="s">
        <v>312</v>
      </c>
      <c r="CN152" t="s">
        <v>312</v>
      </c>
      <c r="CO152">
        <v>66</v>
      </c>
    </row>
    <row r="153" spans="49:93" x14ac:dyDescent="0.2">
      <c r="BW153" t="s">
        <v>117</v>
      </c>
      <c r="BX153" t="s">
        <v>132</v>
      </c>
      <c r="BY153">
        <v>62</v>
      </c>
      <c r="BZ153">
        <v>60</v>
      </c>
      <c r="CA153">
        <v>72</v>
      </c>
      <c r="CB153">
        <v>66</v>
      </c>
      <c r="CC153">
        <v>60</v>
      </c>
      <c r="CD153">
        <v>72</v>
      </c>
      <c r="CE153">
        <v>3</v>
      </c>
      <c r="CH153" t="s">
        <v>299</v>
      </c>
      <c r="CI153" t="s">
        <v>115</v>
      </c>
      <c r="CJ153" t="s">
        <v>314</v>
      </c>
      <c r="CK153" t="s">
        <v>315</v>
      </c>
      <c r="CL153" t="s">
        <v>312</v>
      </c>
      <c r="CM153" t="s">
        <v>312</v>
      </c>
      <c r="CN153" t="s">
        <v>312</v>
      </c>
      <c r="CO153">
        <v>67</v>
      </c>
    </row>
    <row r="154" spans="49:93" x14ac:dyDescent="0.2">
      <c r="BW154" t="s">
        <v>119</v>
      </c>
      <c r="BX154" t="s">
        <v>132</v>
      </c>
      <c r="BY154">
        <v>62</v>
      </c>
      <c r="BZ154">
        <v>60</v>
      </c>
      <c r="CA154">
        <v>72</v>
      </c>
      <c r="CB154">
        <v>66</v>
      </c>
      <c r="CC154">
        <v>60</v>
      </c>
      <c r="CD154">
        <v>72</v>
      </c>
      <c r="CE154">
        <v>4</v>
      </c>
      <c r="CH154" t="s">
        <v>299</v>
      </c>
      <c r="CI154" t="s">
        <v>117</v>
      </c>
      <c r="CJ154" t="s">
        <v>314</v>
      </c>
      <c r="CK154" t="s">
        <v>315</v>
      </c>
      <c r="CL154" t="s">
        <v>312</v>
      </c>
      <c r="CM154" t="s">
        <v>312</v>
      </c>
      <c r="CN154" t="s">
        <v>312</v>
      </c>
      <c r="CO154">
        <v>68</v>
      </c>
    </row>
    <row r="155" spans="49:93" x14ac:dyDescent="0.2">
      <c r="CH155" t="s">
        <v>299</v>
      </c>
      <c r="CI155" t="s">
        <v>119</v>
      </c>
      <c r="CJ155" t="s">
        <v>314</v>
      </c>
      <c r="CK155" t="s">
        <v>315</v>
      </c>
      <c r="CL155" t="s">
        <v>312</v>
      </c>
      <c r="CM155" t="s">
        <v>312</v>
      </c>
      <c r="CN155" t="s">
        <v>312</v>
      </c>
      <c r="CO155">
        <v>69</v>
      </c>
    </row>
    <row r="156" spans="49:93" x14ac:dyDescent="0.2">
      <c r="AW156" t="e" cm="1">
        <f t="array" ref="AW156">#REF!</f>
        <v>#REF!</v>
      </c>
    </row>
    <row r="163" spans="49:93" x14ac:dyDescent="0.2">
      <c r="CH163" t="s">
        <v>319</v>
      </c>
    </row>
    <row r="164" spans="49:93" x14ac:dyDescent="0.2">
      <c r="CH164" t="s">
        <v>95</v>
      </c>
    </row>
    <row r="165" spans="49:93" x14ac:dyDescent="0.2">
      <c r="CH165" t="s">
        <v>257</v>
      </c>
      <c r="CI165" t="s">
        <v>258</v>
      </c>
      <c r="CJ165" t="s">
        <v>259</v>
      </c>
      <c r="CK165" t="s">
        <v>260</v>
      </c>
      <c r="CL165" t="s">
        <v>261</v>
      </c>
      <c r="CM165" t="s">
        <v>262</v>
      </c>
      <c r="CN165" t="s">
        <v>263</v>
      </c>
      <c r="CO165" t="s">
        <v>264</v>
      </c>
    </row>
    <row r="166" spans="49:93" x14ac:dyDescent="0.2">
      <c r="BW166" t="s">
        <v>255</v>
      </c>
      <c r="BX166" t="s">
        <v>74</v>
      </c>
      <c r="BY166" t="s">
        <v>110</v>
      </c>
      <c r="BZ166" t="s">
        <v>116</v>
      </c>
      <c r="CA166" t="s">
        <v>118</v>
      </c>
      <c r="CB166" t="s">
        <v>120</v>
      </c>
      <c r="CC166" t="s">
        <v>122</v>
      </c>
      <c r="CD166" t="s">
        <v>123</v>
      </c>
      <c r="CE166" t="s">
        <v>256</v>
      </c>
      <c r="CH166" t="s">
        <v>72</v>
      </c>
      <c r="CI166" t="s">
        <v>255</v>
      </c>
      <c r="CJ166" t="s">
        <v>131</v>
      </c>
      <c r="CK166" t="s">
        <v>132</v>
      </c>
      <c r="CL166" t="s">
        <v>126</v>
      </c>
      <c r="CM166" t="s">
        <v>112</v>
      </c>
      <c r="CN166" t="s">
        <v>129</v>
      </c>
      <c r="CO166" t="s">
        <v>121</v>
      </c>
    </row>
    <row r="167" spans="49:93" x14ac:dyDescent="0.2">
      <c r="BW167" t="s">
        <v>113</v>
      </c>
      <c r="BX167" t="s">
        <v>112</v>
      </c>
      <c r="BY167">
        <v>2.9</v>
      </c>
      <c r="BZ167">
        <v>1.5</v>
      </c>
      <c r="CA167">
        <v>4</v>
      </c>
      <c r="CB167">
        <v>2.5</v>
      </c>
      <c r="CC167">
        <v>3.2</v>
      </c>
      <c r="CD167">
        <v>3.5</v>
      </c>
      <c r="CE167">
        <v>1</v>
      </c>
      <c r="CH167" t="s">
        <v>110</v>
      </c>
      <c r="CI167" t="s">
        <v>113</v>
      </c>
      <c r="CJ167">
        <v>2.9</v>
      </c>
      <c r="CK167">
        <v>2.9</v>
      </c>
      <c r="CL167">
        <v>2.9</v>
      </c>
      <c r="CM167">
        <v>2.9</v>
      </c>
      <c r="CN167">
        <v>2.9</v>
      </c>
      <c r="CO167">
        <v>2.9</v>
      </c>
    </row>
    <row r="168" spans="49:93" x14ac:dyDescent="0.2">
      <c r="BW168" t="s">
        <v>115</v>
      </c>
      <c r="BX168" t="s">
        <v>112</v>
      </c>
      <c r="BY168">
        <v>2.5</v>
      </c>
      <c r="BZ168">
        <v>2</v>
      </c>
      <c r="CA168">
        <v>2.5</v>
      </c>
      <c r="CB168">
        <v>2.5</v>
      </c>
      <c r="CC168">
        <v>3</v>
      </c>
      <c r="CD168">
        <v>1.5</v>
      </c>
      <c r="CE168">
        <v>2</v>
      </c>
      <c r="CI168" t="s">
        <v>115</v>
      </c>
      <c r="CJ168">
        <v>2.5</v>
      </c>
      <c r="CK168">
        <v>2.5</v>
      </c>
      <c r="CL168">
        <v>2.5</v>
      </c>
      <c r="CM168">
        <v>2.5</v>
      </c>
      <c r="CN168">
        <v>2.5</v>
      </c>
      <c r="CO168">
        <v>2.5</v>
      </c>
    </row>
    <row r="169" spans="49:93" x14ac:dyDescent="0.2">
      <c r="BW169" t="s">
        <v>117</v>
      </c>
      <c r="BX169" t="s">
        <v>112</v>
      </c>
      <c r="BY169">
        <v>1.6</v>
      </c>
      <c r="BZ169">
        <v>2.2000000000000002</v>
      </c>
      <c r="CA169">
        <v>0.7</v>
      </c>
      <c r="CB169">
        <v>1.3</v>
      </c>
      <c r="CC169">
        <v>1.8</v>
      </c>
      <c r="CD169">
        <v>0.7</v>
      </c>
      <c r="CE169">
        <v>3</v>
      </c>
      <c r="CI169" t="s">
        <v>117</v>
      </c>
      <c r="CJ169">
        <v>1.6</v>
      </c>
      <c r="CK169">
        <v>1.6</v>
      </c>
      <c r="CL169">
        <v>1.6</v>
      </c>
      <c r="CM169">
        <v>1.6</v>
      </c>
      <c r="CN169">
        <v>1.6</v>
      </c>
      <c r="CO169">
        <v>1.6</v>
      </c>
    </row>
    <row r="170" spans="49:93" x14ac:dyDescent="0.2">
      <c r="BW170" t="s">
        <v>119</v>
      </c>
      <c r="BX170" t="s">
        <v>112</v>
      </c>
      <c r="BY170">
        <v>1.7</v>
      </c>
      <c r="BZ170">
        <v>1.7</v>
      </c>
      <c r="CA170">
        <v>0.9</v>
      </c>
      <c r="CB170">
        <v>0.8</v>
      </c>
      <c r="CC170">
        <v>1</v>
      </c>
      <c r="CD170">
        <v>1.2</v>
      </c>
      <c r="CE170">
        <v>4</v>
      </c>
      <c r="CI170" t="s">
        <v>119</v>
      </c>
      <c r="CJ170">
        <v>1.7</v>
      </c>
      <c r="CK170">
        <v>1.7</v>
      </c>
      <c r="CL170">
        <v>1.7</v>
      </c>
      <c r="CM170">
        <v>1.7</v>
      </c>
      <c r="CN170">
        <v>1.7</v>
      </c>
      <c r="CO170">
        <v>1.7</v>
      </c>
    </row>
    <row r="171" spans="49:93" x14ac:dyDescent="0.2">
      <c r="BW171" t="s">
        <v>113</v>
      </c>
      <c r="BX171" t="s">
        <v>121</v>
      </c>
      <c r="BY171">
        <v>2.9</v>
      </c>
      <c r="BZ171">
        <v>1.5</v>
      </c>
      <c r="CA171">
        <v>4</v>
      </c>
      <c r="CB171">
        <v>2.5</v>
      </c>
      <c r="CC171">
        <v>3.2</v>
      </c>
      <c r="CD171">
        <v>3.5</v>
      </c>
      <c r="CE171">
        <v>1</v>
      </c>
      <c r="CH171" t="s">
        <v>287</v>
      </c>
      <c r="CI171" t="s">
        <v>113</v>
      </c>
      <c r="CJ171">
        <v>1.5</v>
      </c>
      <c r="CK171">
        <v>1.5</v>
      </c>
      <c r="CL171">
        <v>1.5</v>
      </c>
      <c r="CM171">
        <v>1.5</v>
      </c>
      <c r="CN171">
        <v>1.5</v>
      </c>
      <c r="CO171">
        <v>1.5</v>
      </c>
    </row>
    <row r="172" spans="49:93" x14ac:dyDescent="0.2">
      <c r="AW172" t="e" cm="1">
        <f t="array" ref="AW172">#REF!</f>
        <v>#REF!</v>
      </c>
      <c r="BW172" t="s">
        <v>115</v>
      </c>
      <c r="BX172" t="s">
        <v>121</v>
      </c>
      <c r="BY172">
        <v>2.5</v>
      </c>
      <c r="BZ172">
        <v>2</v>
      </c>
      <c r="CA172">
        <v>2.5</v>
      </c>
      <c r="CB172">
        <v>2.5</v>
      </c>
      <c r="CC172">
        <v>3</v>
      </c>
      <c r="CD172">
        <v>1.5</v>
      </c>
      <c r="CE172">
        <v>2</v>
      </c>
      <c r="CI172" t="s">
        <v>115</v>
      </c>
      <c r="CJ172">
        <v>2</v>
      </c>
      <c r="CK172">
        <v>2</v>
      </c>
      <c r="CL172">
        <v>2</v>
      </c>
      <c r="CM172">
        <v>2</v>
      </c>
      <c r="CN172">
        <v>2</v>
      </c>
      <c r="CO172">
        <v>2</v>
      </c>
    </row>
    <row r="173" spans="49:93" x14ac:dyDescent="0.2">
      <c r="AW173" t="e" cm="1">
        <f t="array" ref="AW173">#REF!</f>
        <v>#REF!</v>
      </c>
      <c r="BW173" t="s">
        <v>117</v>
      </c>
      <c r="BX173" t="s">
        <v>121</v>
      </c>
      <c r="BY173">
        <v>1.6</v>
      </c>
      <c r="BZ173">
        <v>2.2000000000000002</v>
      </c>
      <c r="CA173">
        <v>0.7</v>
      </c>
      <c r="CB173">
        <v>1.3</v>
      </c>
      <c r="CC173">
        <v>1.8</v>
      </c>
      <c r="CD173">
        <v>0.7</v>
      </c>
      <c r="CE173">
        <v>3</v>
      </c>
      <c r="CI173" t="s">
        <v>117</v>
      </c>
      <c r="CJ173">
        <v>2.2000000000000002</v>
      </c>
      <c r="CK173">
        <v>2.2000000000000002</v>
      </c>
      <c r="CL173">
        <v>2.2000000000000002</v>
      </c>
      <c r="CM173">
        <v>2.2000000000000002</v>
      </c>
      <c r="CN173">
        <v>2.2000000000000002</v>
      </c>
      <c r="CO173">
        <v>2.2000000000000002</v>
      </c>
    </row>
    <row r="174" spans="49:93" x14ac:dyDescent="0.2">
      <c r="AW174" t="e" cm="1">
        <f t="array" ref="AW174">#REF!</f>
        <v>#REF!</v>
      </c>
      <c r="BW174" t="s">
        <v>119</v>
      </c>
      <c r="BX174" t="s">
        <v>121</v>
      </c>
      <c r="BY174">
        <v>1.7</v>
      </c>
      <c r="BZ174">
        <v>1.7</v>
      </c>
      <c r="CA174">
        <v>0.9</v>
      </c>
      <c r="CB174">
        <v>0.8</v>
      </c>
      <c r="CC174">
        <v>1</v>
      </c>
      <c r="CD174">
        <v>1.2</v>
      </c>
      <c r="CE174">
        <v>4</v>
      </c>
      <c r="CI174" t="s">
        <v>119</v>
      </c>
      <c r="CJ174">
        <v>1.7</v>
      </c>
      <c r="CK174">
        <v>1.7</v>
      </c>
      <c r="CL174">
        <v>1.7</v>
      </c>
      <c r="CM174">
        <v>1.7</v>
      </c>
      <c r="CN174">
        <v>1.7</v>
      </c>
      <c r="CO174">
        <v>1.7</v>
      </c>
    </row>
    <row r="175" spans="49:93" x14ac:dyDescent="0.2">
      <c r="BW175" t="s">
        <v>113</v>
      </c>
      <c r="BX175" t="s">
        <v>126</v>
      </c>
      <c r="BY175">
        <v>2.9</v>
      </c>
      <c r="BZ175">
        <v>1.5</v>
      </c>
      <c r="CA175">
        <v>4</v>
      </c>
      <c r="CB175">
        <v>2.5</v>
      </c>
      <c r="CC175">
        <v>3.2</v>
      </c>
      <c r="CD175">
        <v>3.5</v>
      </c>
      <c r="CE175">
        <v>1</v>
      </c>
      <c r="CH175" t="s">
        <v>292</v>
      </c>
      <c r="CI175" t="s">
        <v>113</v>
      </c>
      <c r="CJ175">
        <v>4</v>
      </c>
      <c r="CK175">
        <v>4</v>
      </c>
      <c r="CL175">
        <v>4</v>
      </c>
      <c r="CM175">
        <v>4</v>
      </c>
      <c r="CN175">
        <v>4</v>
      </c>
      <c r="CO175">
        <v>4</v>
      </c>
    </row>
    <row r="176" spans="49:93" x14ac:dyDescent="0.2">
      <c r="AW176" t="e" cm="1">
        <f t="array" ref="AW176">#REF!</f>
        <v>#REF!</v>
      </c>
      <c r="BW176" t="s">
        <v>115</v>
      </c>
      <c r="BX176" t="s">
        <v>126</v>
      </c>
      <c r="BY176">
        <v>2.5</v>
      </c>
      <c r="BZ176">
        <v>2</v>
      </c>
      <c r="CA176">
        <v>2.5</v>
      </c>
      <c r="CB176">
        <v>2.5</v>
      </c>
      <c r="CC176">
        <v>3</v>
      </c>
      <c r="CD176">
        <v>1.5</v>
      </c>
      <c r="CE176">
        <v>2</v>
      </c>
      <c r="CI176" t="s">
        <v>115</v>
      </c>
      <c r="CJ176">
        <v>2.5</v>
      </c>
      <c r="CK176">
        <v>2.5</v>
      </c>
      <c r="CL176">
        <v>2.5</v>
      </c>
      <c r="CM176">
        <v>2.5</v>
      </c>
      <c r="CN176">
        <v>2.5</v>
      </c>
      <c r="CO176">
        <v>2.5</v>
      </c>
    </row>
    <row r="177" spans="75:93" x14ac:dyDescent="0.2">
      <c r="BW177" t="s">
        <v>117</v>
      </c>
      <c r="BX177" t="s">
        <v>126</v>
      </c>
      <c r="BY177">
        <v>1.6</v>
      </c>
      <c r="BZ177">
        <v>2.2000000000000002</v>
      </c>
      <c r="CA177">
        <v>0.7</v>
      </c>
      <c r="CB177">
        <v>1.3</v>
      </c>
      <c r="CC177">
        <v>1.8</v>
      </c>
      <c r="CD177">
        <v>0.7</v>
      </c>
      <c r="CE177">
        <v>3</v>
      </c>
      <c r="CI177" t="s">
        <v>117</v>
      </c>
      <c r="CJ177">
        <v>0.7</v>
      </c>
      <c r="CK177">
        <v>0.7</v>
      </c>
      <c r="CL177">
        <v>0.7</v>
      </c>
      <c r="CM177">
        <v>0.7</v>
      </c>
      <c r="CN177">
        <v>0.7</v>
      </c>
      <c r="CO177">
        <v>0.7</v>
      </c>
    </row>
    <row r="178" spans="75:93" x14ac:dyDescent="0.2">
      <c r="BW178" t="s">
        <v>119</v>
      </c>
      <c r="BX178" t="s">
        <v>126</v>
      </c>
      <c r="BY178">
        <v>1.7</v>
      </c>
      <c r="BZ178">
        <v>1.7</v>
      </c>
      <c r="CA178">
        <v>0.9</v>
      </c>
      <c r="CB178">
        <v>0.8</v>
      </c>
      <c r="CC178">
        <v>1</v>
      </c>
      <c r="CD178">
        <v>1.2</v>
      </c>
      <c r="CE178">
        <v>4</v>
      </c>
      <c r="CI178" t="s">
        <v>119</v>
      </c>
      <c r="CJ178">
        <v>0.9</v>
      </c>
      <c r="CK178">
        <v>0.9</v>
      </c>
      <c r="CL178">
        <v>0.9</v>
      </c>
      <c r="CM178">
        <v>0.9</v>
      </c>
      <c r="CN178">
        <v>0.9</v>
      </c>
      <c r="CO178">
        <v>0.9</v>
      </c>
    </row>
    <row r="179" spans="75:93" x14ac:dyDescent="0.2">
      <c r="BW179" t="s">
        <v>113</v>
      </c>
      <c r="BX179" t="s">
        <v>129</v>
      </c>
      <c r="BY179">
        <v>2.9</v>
      </c>
      <c r="BZ179">
        <v>1.5</v>
      </c>
      <c r="CA179">
        <v>4</v>
      </c>
      <c r="CB179">
        <v>2.5</v>
      </c>
      <c r="CC179">
        <v>3.2</v>
      </c>
      <c r="CD179">
        <v>3.5</v>
      </c>
      <c r="CE179">
        <v>1</v>
      </c>
      <c r="CH179" t="s">
        <v>293</v>
      </c>
      <c r="CI179" t="s">
        <v>113</v>
      </c>
      <c r="CJ179">
        <v>2.5</v>
      </c>
      <c r="CK179">
        <v>2.5</v>
      </c>
      <c r="CL179">
        <v>2.5</v>
      </c>
      <c r="CM179">
        <v>2.5</v>
      </c>
      <c r="CN179">
        <v>2.5</v>
      </c>
      <c r="CO179">
        <v>2.5</v>
      </c>
    </row>
    <row r="180" spans="75:93" x14ac:dyDescent="0.2">
      <c r="BW180" t="s">
        <v>115</v>
      </c>
      <c r="BX180" t="s">
        <v>129</v>
      </c>
      <c r="BY180">
        <v>2.5</v>
      </c>
      <c r="BZ180">
        <v>2</v>
      </c>
      <c r="CA180">
        <v>2.5</v>
      </c>
      <c r="CB180">
        <v>2.5</v>
      </c>
      <c r="CC180">
        <v>3</v>
      </c>
      <c r="CD180">
        <v>1.5</v>
      </c>
      <c r="CE180">
        <v>2</v>
      </c>
      <c r="CI180" t="s">
        <v>115</v>
      </c>
      <c r="CJ180">
        <v>2.5</v>
      </c>
      <c r="CK180">
        <v>2.5</v>
      </c>
      <c r="CL180">
        <v>2.5</v>
      </c>
      <c r="CM180">
        <v>2.5</v>
      </c>
      <c r="CN180">
        <v>2.5</v>
      </c>
      <c r="CO180">
        <v>2.5</v>
      </c>
    </row>
    <row r="181" spans="75:93" x14ac:dyDescent="0.2">
      <c r="BW181" t="s">
        <v>117</v>
      </c>
      <c r="BX181" t="s">
        <v>129</v>
      </c>
      <c r="BY181">
        <v>1.6</v>
      </c>
      <c r="BZ181">
        <v>2.2000000000000002</v>
      </c>
      <c r="CA181">
        <v>0.7</v>
      </c>
      <c r="CB181">
        <v>1.3</v>
      </c>
      <c r="CC181">
        <v>1.8</v>
      </c>
      <c r="CD181">
        <v>0.7</v>
      </c>
      <c r="CE181">
        <v>3</v>
      </c>
      <c r="CI181" t="s">
        <v>117</v>
      </c>
      <c r="CJ181">
        <v>1.3</v>
      </c>
      <c r="CK181">
        <v>1.3</v>
      </c>
      <c r="CL181">
        <v>1.3</v>
      </c>
      <c r="CM181">
        <v>1.3</v>
      </c>
      <c r="CN181">
        <v>1.3</v>
      </c>
      <c r="CO181">
        <v>1.3</v>
      </c>
    </row>
    <row r="182" spans="75:93" x14ac:dyDescent="0.2">
      <c r="BW182" t="s">
        <v>119</v>
      </c>
      <c r="BX182" t="s">
        <v>129</v>
      </c>
      <c r="BY182">
        <v>1.7</v>
      </c>
      <c r="BZ182">
        <v>1.7</v>
      </c>
      <c r="CA182">
        <v>0.9</v>
      </c>
      <c r="CB182">
        <v>0.8</v>
      </c>
      <c r="CC182">
        <v>1</v>
      </c>
      <c r="CD182">
        <v>1.2</v>
      </c>
      <c r="CE182">
        <v>4</v>
      </c>
      <c r="CI182" t="s">
        <v>119</v>
      </c>
      <c r="CJ182">
        <v>0.8</v>
      </c>
      <c r="CK182">
        <v>0.8</v>
      </c>
      <c r="CL182">
        <v>0.8</v>
      </c>
      <c r="CM182">
        <v>0.8</v>
      </c>
      <c r="CN182">
        <v>0.8</v>
      </c>
      <c r="CO182">
        <v>0.8</v>
      </c>
    </row>
    <row r="183" spans="75:93" x14ac:dyDescent="0.2">
      <c r="BW183" t="s">
        <v>113</v>
      </c>
      <c r="BX183" t="s">
        <v>131</v>
      </c>
      <c r="BY183">
        <v>2.9</v>
      </c>
      <c r="BZ183">
        <v>1.5</v>
      </c>
      <c r="CA183">
        <v>4</v>
      </c>
      <c r="CB183">
        <v>2.5</v>
      </c>
      <c r="CC183">
        <v>3.2</v>
      </c>
      <c r="CD183">
        <v>3.5</v>
      </c>
      <c r="CE183">
        <v>1</v>
      </c>
      <c r="CH183" t="s">
        <v>294</v>
      </c>
      <c r="CI183" t="s">
        <v>113</v>
      </c>
      <c r="CJ183">
        <v>3.2</v>
      </c>
      <c r="CK183">
        <v>3.2</v>
      </c>
      <c r="CL183">
        <v>3.2</v>
      </c>
      <c r="CM183">
        <v>3.2</v>
      </c>
      <c r="CN183">
        <v>3.2</v>
      </c>
      <c r="CO183">
        <v>3.2</v>
      </c>
    </row>
    <row r="184" spans="75:93" x14ac:dyDescent="0.2">
      <c r="BW184" t="s">
        <v>115</v>
      </c>
      <c r="BX184" t="s">
        <v>131</v>
      </c>
      <c r="BY184">
        <v>2.5</v>
      </c>
      <c r="BZ184">
        <v>2</v>
      </c>
      <c r="CA184">
        <v>2.5</v>
      </c>
      <c r="CB184">
        <v>2.5</v>
      </c>
      <c r="CC184">
        <v>3</v>
      </c>
      <c r="CD184">
        <v>1.5</v>
      </c>
      <c r="CE184">
        <v>2</v>
      </c>
      <c r="CI184" t="s">
        <v>115</v>
      </c>
      <c r="CJ184">
        <v>3</v>
      </c>
      <c r="CK184">
        <v>3</v>
      </c>
      <c r="CL184">
        <v>3</v>
      </c>
      <c r="CM184">
        <v>3</v>
      </c>
      <c r="CN184">
        <v>3</v>
      </c>
      <c r="CO184">
        <v>3</v>
      </c>
    </row>
    <row r="185" spans="75:93" x14ac:dyDescent="0.2">
      <c r="BW185" t="s">
        <v>117</v>
      </c>
      <c r="BX185" t="s">
        <v>131</v>
      </c>
      <c r="BY185">
        <v>1.6</v>
      </c>
      <c r="BZ185">
        <v>2.2000000000000002</v>
      </c>
      <c r="CA185">
        <v>0.7</v>
      </c>
      <c r="CB185">
        <v>1.3</v>
      </c>
      <c r="CC185">
        <v>1.8</v>
      </c>
      <c r="CD185">
        <v>0.7</v>
      </c>
      <c r="CE185">
        <v>3</v>
      </c>
      <c r="CI185" t="s">
        <v>117</v>
      </c>
      <c r="CJ185">
        <v>1.8</v>
      </c>
      <c r="CK185">
        <v>1.8</v>
      </c>
      <c r="CL185">
        <v>1.8</v>
      </c>
      <c r="CM185">
        <v>1.8</v>
      </c>
      <c r="CN185">
        <v>1.8</v>
      </c>
      <c r="CO185">
        <v>1.8</v>
      </c>
    </row>
    <row r="186" spans="75:93" x14ac:dyDescent="0.2">
      <c r="BW186" t="s">
        <v>119</v>
      </c>
      <c r="BX186" t="s">
        <v>131</v>
      </c>
      <c r="BY186">
        <v>1.7</v>
      </c>
      <c r="BZ186">
        <v>1.7</v>
      </c>
      <c r="CA186">
        <v>0.9</v>
      </c>
      <c r="CB186">
        <v>0.8</v>
      </c>
      <c r="CC186">
        <v>1</v>
      </c>
      <c r="CD186">
        <v>1.2</v>
      </c>
      <c r="CE186">
        <v>4</v>
      </c>
      <c r="CI186" t="s">
        <v>119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</row>
    <row r="187" spans="75:93" x14ac:dyDescent="0.2">
      <c r="BW187" t="s">
        <v>113</v>
      </c>
      <c r="BX187" t="s">
        <v>132</v>
      </c>
      <c r="BY187">
        <v>2.9</v>
      </c>
      <c r="BZ187">
        <v>1.5</v>
      </c>
      <c r="CA187">
        <v>4</v>
      </c>
      <c r="CB187">
        <v>2.5</v>
      </c>
      <c r="CC187">
        <v>3.2</v>
      </c>
      <c r="CD187">
        <v>3.5</v>
      </c>
      <c r="CE187">
        <v>1</v>
      </c>
      <c r="CH187" t="s">
        <v>299</v>
      </c>
      <c r="CI187" t="s">
        <v>113</v>
      </c>
      <c r="CJ187">
        <v>3.5</v>
      </c>
      <c r="CK187">
        <v>3.5</v>
      </c>
      <c r="CL187">
        <v>3.5</v>
      </c>
      <c r="CM187">
        <v>3.5</v>
      </c>
      <c r="CN187">
        <v>3.5</v>
      </c>
      <c r="CO187">
        <v>3.5</v>
      </c>
    </row>
    <row r="188" spans="75:93" x14ac:dyDescent="0.2">
      <c r="BW188" t="s">
        <v>115</v>
      </c>
      <c r="BX188" t="s">
        <v>132</v>
      </c>
      <c r="BY188">
        <v>2.5</v>
      </c>
      <c r="BZ188">
        <v>2</v>
      </c>
      <c r="CA188">
        <v>2.5</v>
      </c>
      <c r="CB188">
        <v>2.5</v>
      </c>
      <c r="CC188">
        <v>3</v>
      </c>
      <c r="CD188">
        <v>1.5</v>
      </c>
      <c r="CE188">
        <v>2</v>
      </c>
      <c r="CI188" t="s">
        <v>115</v>
      </c>
      <c r="CJ188">
        <v>1.5</v>
      </c>
      <c r="CK188">
        <v>1.5</v>
      </c>
      <c r="CL188">
        <v>1.5</v>
      </c>
      <c r="CM188">
        <v>1.5</v>
      </c>
      <c r="CN188">
        <v>1.5</v>
      </c>
      <c r="CO188">
        <v>1.5</v>
      </c>
    </row>
    <row r="189" spans="75:93" x14ac:dyDescent="0.2">
      <c r="BW189" t="s">
        <v>117</v>
      </c>
      <c r="BX189" t="s">
        <v>132</v>
      </c>
      <c r="BY189">
        <v>1.6</v>
      </c>
      <c r="BZ189">
        <v>2.2000000000000002</v>
      </c>
      <c r="CA189">
        <v>0.7</v>
      </c>
      <c r="CB189">
        <v>1.3</v>
      </c>
      <c r="CC189">
        <v>1.8</v>
      </c>
      <c r="CD189">
        <v>0.7</v>
      </c>
      <c r="CE189">
        <v>3</v>
      </c>
      <c r="CI189" t="s">
        <v>117</v>
      </c>
      <c r="CJ189">
        <v>0.7</v>
      </c>
      <c r="CK189">
        <v>0.7</v>
      </c>
      <c r="CL189">
        <v>0.7</v>
      </c>
      <c r="CM189">
        <v>0.7</v>
      </c>
      <c r="CN189">
        <v>0.7</v>
      </c>
      <c r="CO189">
        <v>0.7</v>
      </c>
    </row>
    <row r="190" spans="75:93" x14ac:dyDescent="0.2">
      <c r="BW190" t="s">
        <v>119</v>
      </c>
      <c r="BX190" t="s">
        <v>132</v>
      </c>
      <c r="BY190">
        <v>1.7</v>
      </c>
      <c r="BZ190">
        <v>1.7</v>
      </c>
      <c r="CA190">
        <v>0.9</v>
      </c>
      <c r="CB190">
        <v>0.8</v>
      </c>
      <c r="CC190">
        <v>1</v>
      </c>
      <c r="CD190">
        <v>1.2</v>
      </c>
      <c r="CE190">
        <v>4</v>
      </c>
      <c r="CI190" t="s">
        <v>119</v>
      </c>
      <c r="CJ190">
        <v>1.2</v>
      </c>
      <c r="CK190">
        <v>1.2</v>
      </c>
      <c r="CL190">
        <v>1.2</v>
      </c>
      <c r="CM190">
        <v>1.2</v>
      </c>
      <c r="CN190">
        <v>1.2</v>
      </c>
      <c r="CO190">
        <v>1.2</v>
      </c>
    </row>
  </sheetData>
  <pageMargins left="0.7" right="0.7" top="0.75" bottom="0.75" header="0.3" footer="0.3"/>
  <ignoredErrors>
    <ignoredError sqref="A1:CO11 A175:CO190 A173:AW173 BF173:CO173 A157:CO172 A156:AW156 BC156:CO156 A174:AW174 BC174:CO174 A154:CO155 A130:AW130 BF130:CO130 A131:AV153 BF131:CO153 A35:CO129 A12:O34 T12:AF34 AH12:AQ34 AS12:CO3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190"/>
  <sheetViews>
    <sheetView workbookViewId="0"/>
  </sheetViews>
  <sheetFormatPr baseColWidth="10" defaultRowHeight="16" x14ac:dyDescent="0.2"/>
  <sheetData>
    <row r="1" spans="1:93" x14ac:dyDescent="0.2">
      <c r="M1" t="s">
        <v>0</v>
      </c>
      <c r="N1" t="s">
        <v>0</v>
      </c>
      <c r="AC1" t="s">
        <v>1</v>
      </c>
      <c r="AP1" t="s">
        <v>0</v>
      </c>
      <c r="AS1" t="s">
        <v>0</v>
      </c>
      <c r="AT1" t="s">
        <v>0</v>
      </c>
      <c r="AU1" t="s">
        <v>2</v>
      </c>
      <c r="BQ1">
        <v>1084</v>
      </c>
      <c r="BR1" t="s">
        <v>3</v>
      </c>
      <c r="BS1">
        <v>0.24</v>
      </c>
      <c r="BU1" t="s">
        <v>4</v>
      </c>
      <c r="BV1">
        <v>1.3</v>
      </c>
    </row>
    <row r="2" spans="1:93" x14ac:dyDescent="0.2">
      <c r="AD2" t="s">
        <v>164</v>
      </c>
      <c r="AE2" t="s">
        <v>249</v>
      </c>
      <c r="AF2" t="s">
        <v>166</v>
      </c>
      <c r="AH2" t="s">
        <v>167</v>
      </c>
      <c r="AJ2" t="s">
        <v>5</v>
      </c>
      <c r="AK2" t="s">
        <v>250</v>
      </c>
      <c r="AL2" t="s">
        <v>251</v>
      </c>
      <c r="AV2" t="s">
        <v>6</v>
      </c>
      <c r="AX2" t="s">
        <v>7</v>
      </c>
      <c r="BA2" t="s">
        <v>8</v>
      </c>
      <c r="BC2" t="s">
        <v>8</v>
      </c>
      <c r="BD2" t="s">
        <v>9</v>
      </c>
      <c r="BF2" t="s">
        <v>170</v>
      </c>
      <c r="BH2" t="s">
        <v>162</v>
      </c>
      <c r="BI2" t="s">
        <v>172</v>
      </c>
      <c r="BJ2" t="s">
        <v>252</v>
      </c>
      <c r="BK2" t="s">
        <v>163</v>
      </c>
      <c r="BL2" t="s">
        <v>161</v>
      </c>
      <c r="BQ2">
        <v>1087</v>
      </c>
      <c r="BR2" t="s">
        <v>10</v>
      </c>
      <c r="BS2">
        <v>0.08</v>
      </c>
    </row>
    <row r="3" spans="1:93" x14ac:dyDescent="0.2">
      <c r="J3" t="s">
        <v>181</v>
      </c>
      <c r="K3" t="s">
        <v>182</v>
      </c>
      <c r="L3" t="s">
        <v>11</v>
      </c>
      <c r="M3">
        <v>342</v>
      </c>
      <c r="N3">
        <v>323</v>
      </c>
      <c r="O3" t="s">
        <v>12</v>
      </c>
      <c r="P3" t="s">
        <v>253</v>
      </c>
      <c r="Q3" t="s">
        <v>13</v>
      </c>
      <c r="R3" t="s">
        <v>14</v>
      </c>
      <c r="S3" t="s">
        <v>15</v>
      </c>
      <c r="U3" t="s">
        <v>16</v>
      </c>
      <c r="W3" t="s">
        <v>17</v>
      </c>
      <c r="X3" t="s">
        <v>173</v>
      </c>
      <c r="Y3" t="s">
        <v>174</v>
      </c>
      <c r="Z3" t="s">
        <v>195</v>
      </c>
      <c r="AA3" t="s">
        <v>176</v>
      </c>
      <c r="AB3" t="s">
        <v>178</v>
      </c>
      <c r="AC3" t="s">
        <v>18</v>
      </c>
      <c r="AD3" t="s">
        <v>183</v>
      </c>
      <c r="AE3" t="s">
        <v>184</v>
      </c>
      <c r="AF3" t="s">
        <v>185</v>
      </c>
      <c r="AG3" t="s">
        <v>186</v>
      </c>
      <c r="AH3" t="s">
        <v>187</v>
      </c>
      <c r="AI3" t="s">
        <v>19</v>
      </c>
      <c r="AJ3" t="s">
        <v>20</v>
      </c>
      <c r="AK3" t="s">
        <v>188</v>
      </c>
      <c r="AL3" t="s">
        <v>189</v>
      </c>
      <c r="AM3" t="s">
        <v>191</v>
      </c>
      <c r="AN3" t="s">
        <v>192</v>
      </c>
      <c r="AO3">
        <v>351</v>
      </c>
      <c r="AP3">
        <v>314</v>
      </c>
      <c r="AQ3">
        <v>302</v>
      </c>
      <c r="AR3">
        <v>349</v>
      </c>
      <c r="AS3">
        <v>308</v>
      </c>
      <c r="AT3">
        <v>296</v>
      </c>
      <c r="AU3" t="s">
        <v>21</v>
      </c>
      <c r="AV3" t="s">
        <v>22</v>
      </c>
      <c r="AW3" t="s">
        <v>23</v>
      </c>
      <c r="AX3" t="s">
        <v>24</v>
      </c>
      <c r="AY3" t="s">
        <v>25</v>
      </c>
      <c r="AZ3" t="s">
        <v>26</v>
      </c>
      <c r="BA3" t="s">
        <v>27</v>
      </c>
      <c r="BC3" t="s">
        <v>27</v>
      </c>
      <c r="BD3" t="s">
        <v>28</v>
      </c>
      <c r="BF3" t="s">
        <v>190</v>
      </c>
      <c r="BH3" t="s">
        <v>177</v>
      </c>
      <c r="BI3" t="s">
        <v>194</v>
      </c>
      <c r="BJ3" t="s">
        <v>193</v>
      </c>
      <c r="BK3" t="s">
        <v>179</v>
      </c>
      <c r="BL3" t="s">
        <v>175</v>
      </c>
      <c r="BR3" t="s">
        <v>29</v>
      </c>
      <c r="BS3">
        <v>91.25</v>
      </c>
    </row>
    <row r="4" spans="1:93" x14ac:dyDescent="0.2">
      <c r="J4" t="s">
        <v>30</v>
      </c>
      <c r="K4" t="s">
        <v>30</v>
      </c>
      <c r="L4" t="s">
        <v>30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U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32</v>
      </c>
      <c r="AE4" t="s">
        <v>32</v>
      </c>
      <c r="AF4" t="s">
        <v>32</v>
      </c>
      <c r="AG4" t="s">
        <v>31</v>
      </c>
      <c r="AH4" t="s">
        <v>32</v>
      </c>
      <c r="AI4" t="s">
        <v>32</v>
      </c>
      <c r="AJ4" t="s">
        <v>32</v>
      </c>
      <c r="AK4" t="s">
        <v>32</v>
      </c>
      <c r="AL4" t="s">
        <v>32</v>
      </c>
      <c r="AM4" t="s">
        <v>31</v>
      </c>
      <c r="AN4" t="s">
        <v>31</v>
      </c>
      <c r="AO4" t="s">
        <v>31</v>
      </c>
      <c r="AP4" t="s">
        <v>32</v>
      </c>
      <c r="AQ4" t="s">
        <v>32</v>
      </c>
      <c r="AR4" t="s">
        <v>31</v>
      </c>
      <c r="AS4" t="s">
        <v>32</v>
      </c>
      <c r="AT4" t="s">
        <v>32</v>
      </c>
      <c r="AU4" t="s">
        <v>32</v>
      </c>
      <c r="AV4" t="s">
        <v>32</v>
      </c>
      <c r="AW4" t="s">
        <v>31</v>
      </c>
      <c r="AX4" t="s">
        <v>32</v>
      </c>
      <c r="AY4" t="s">
        <v>31</v>
      </c>
      <c r="AZ4" t="s">
        <v>31</v>
      </c>
      <c r="BA4" t="s">
        <v>32</v>
      </c>
      <c r="BC4" t="s">
        <v>32</v>
      </c>
      <c r="BD4" t="s">
        <v>32</v>
      </c>
      <c r="BF4" t="s">
        <v>32</v>
      </c>
      <c r="BH4" t="s">
        <v>32</v>
      </c>
      <c r="BI4" t="s">
        <v>32</v>
      </c>
      <c r="BJ4" t="s">
        <v>32</v>
      </c>
      <c r="BK4" t="s">
        <v>32</v>
      </c>
      <c r="BL4" t="s">
        <v>32</v>
      </c>
      <c r="BQ4">
        <v>1094</v>
      </c>
      <c r="BR4" t="s">
        <v>33</v>
      </c>
      <c r="BS4">
        <v>0.24</v>
      </c>
    </row>
    <row r="5" spans="1:93" x14ac:dyDescent="0.2">
      <c r="J5" t="s">
        <v>34</v>
      </c>
      <c r="K5" t="s">
        <v>34</v>
      </c>
      <c r="L5" t="s">
        <v>34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U5" t="s">
        <v>34</v>
      </c>
      <c r="W5" t="s">
        <v>30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  <c r="AE5" t="s">
        <v>34</v>
      </c>
      <c r="AF5" t="s">
        <v>34</v>
      </c>
      <c r="AG5" t="s">
        <v>34</v>
      </c>
      <c r="AH5" t="s">
        <v>34</v>
      </c>
      <c r="AI5" t="s">
        <v>34</v>
      </c>
      <c r="AJ5" t="s">
        <v>34</v>
      </c>
      <c r="AK5" t="s">
        <v>34</v>
      </c>
      <c r="AL5" t="s">
        <v>34</v>
      </c>
      <c r="AM5" t="s">
        <v>34</v>
      </c>
      <c r="AN5" t="s">
        <v>34</v>
      </c>
      <c r="AR5" t="s">
        <v>30</v>
      </c>
      <c r="AU5" t="s">
        <v>34</v>
      </c>
      <c r="AV5" t="s">
        <v>34</v>
      </c>
      <c r="AW5" t="s">
        <v>34</v>
      </c>
      <c r="AX5" t="s">
        <v>34</v>
      </c>
      <c r="AY5" t="s">
        <v>34</v>
      </c>
      <c r="AZ5" t="s">
        <v>34</v>
      </c>
      <c r="BA5" t="s">
        <v>34</v>
      </c>
      <c r="BC5" t="s">
        <v>34</v>
      </c>
      <c r="BD5" t="s">
        <v>34</v>
      </c>
      <c r="BF5" t="s">
        <v>34</v>
      </c>
      <c r="BH5" t="s">
        <v>34</v>
      </c>
      <c r="BI5" t="s">
        <v>34</v>
      </c>
      <c r="BJ5" t="s">
        <v>34</v>
      </c>
      <c r="BK5" t="s">
        <v>34</v>
      </c>
      <c r="BL5" t="s">
        <v>34</v>
      </c>
      <c r="BQ5">
        <v>1093</v>
      </c>
      <c r="BR5" t="s">
        <v>35</v>
      </c>
      <c r="BS5">
        <v>0.21</v>
      </c>
      <c r="BW5" t="s">
        <v>254</v>
      </c>
      <c r="BX5" t="s">
        <v>234</v>
      </c>
    </row>
    <row r="6" spans="1:93" x14ac:dyDescent="0.2">
      <c r="BQ6">
        <v>1095</v>
      </c>
      <c r="BR6" t="s">
        <v>36</v>
      </c>
      <c r="BS6">
        <v>1.0999999999999999E-2</v>
      </c>
      <c r="BW6" t="s">
        <v>255</v>
      </c>
      <c r="BX6" t="s">
        <v>74</v>
      </c>
      <c r="BY6" t="s">
        <v>110</v>
      </c>
      <c r="BZ6" t="s">
        <v>287</v>
      </c>
      <c r="CA6" t="s">
        <v>292</v>
      </c>
      <c r="CB6" t="s">
        <v>293</v>
      </c>
      <c r="CC6" t="s">
        <v>294</v>
      </c>
      <c r="CD6" t="s">
        <v>299</v>
      </c>
      <c r="CE6" t="s">
        <v>256</v>
      </c>
      <c r="CH6" t="s">
        <v>257</v>
      </c>
      <c r="CI6" t="s">
        <v>258</v>
      </c>
      <c r="CJ6" t="s">
        <v>259</v>
      </c>
      <c r="CK6" t="s">
        <v>260</v>
      </c>
      <c r="CL6" t="s">
        <v>261</v>
      </c>
      <c r="CM6" t="s">
        <v>262</v>
      </c>
      <c r="CN6" t="s">
        <v>263</v>
      </c>
      <c r="CO6" t="s">
        <v>264</v>
      </c>
    </row>
    <row r="7" spans="1:93" x14ac:dyDescent="0.2">
      <c r="BQ7">
        <v>1088</v>
      </c>
      <c r="BR7" t="s">
        <v>37</v>
      </c>
      <c r="BS7">
        <f>44/28</f>
        <v>1.5714285714285714</v>
      </c>
      <c r="BW7" t="s">
        <v>113</v>
      </c>
      <c r="BX7" t="s">
        <v>112</v>
      </c>
      <c r="BY7">
        <v>0.04</v>
      </c>
      <c r="BZ7">
        <v>-0.02</v>
      </c>
      <c r="CA7">
        <v>0</v>
      </c>
      <c r="CB7">
        <v>-0.02</v>
      </c>
      <c r="CC7">
        <v>0.11</v>
      </c>
      <c r="CD7">
        <v>0.05</v>
      </c>
      <c r="CE7">
        <v>1</v>
      </c>
      <c r="CH7" t="s">
        <v>72</v>
      </c>
      <c r="CI7" t="s">
        <v>255</v>
      </c>
      <c r="CJ7" t="s">
        <v>131</v>
      </c>
      <c r="CK7" t="s">
        <v>132</v>
      </c>
      <c r="CL7" t="s">
        <v>126</v>
      </c>
      <c r="CM7" t="s">
        <v>112</v>
      </c>
      <c r="CN7" t="s">
        <v>129</v>
      </c>
      <c r="CO7" t="s">
        <v>121</v>
      </c>
    </row>
    <row r="8" spans="1:93" x14ac:dyDescent="0.2">
      <c r="J8" t="s">
        <v>201</v>
      </c>
      <c r="K8" t="s">
        <v>40</v>
      </c>
      <c r="L8" t="s">
        <v>38</v>
      </c>
      <c r="O8" t="s">
        <v>39</v>
      </c>
      <c r="P8" t="s">
        <v>41</v>
      </c>
      <c r="Q8" t="s">
        <v>40</v>
      </c>
      <c r="R8" t="s">
        <v>40</v>
      </c>
      <c r="S8" t="s">
        <v>41</v>
      </c>
      <c r="U8" t="s">
        <v>40</v>
      </c>
      <c r="W8" t="s">
        <v>40</v>
      </c>
      <c r="X8" t="s">
        <v>40</v>
      </c>
      <c r="Y8" t="s">
        <v>40</v>
      </c>
      <c r="Z8" t="s">
        <v>200</v>
      </c>
      <c r="AA8" t="s">
        <v>265</v>
      </c>
      <c r="AB8" t="s">
        <v>204</v>
      </c>
      <c r="AC8" t="s">
        <v>40</v>
      </c>
      <c r="AD8" t="s">
        <v>44</v>
      </c>
      <c r="AE8" t="s">
        <v>44</v>
      </c>
      <c r="AF8" t="s">
        <v>41</v>
      </c>
      <c r="AG8" t="s">
        <v>41</v>
      </c>
      <c r="AH8" t="s">
        <v>40</v>
      </c>
      <c r="AI8" t="s">
        <v>40</v>
      </c>
      <c r="AJ8" t="s">
        <v>42</v>
      </c>
      <c r="AK8" t="s">
        <v>203</v>
      </c>
      <c r="AL8" t="s">
        <v>203</v>
      </c>
      <c r="AM8" t="s">
        <v>266</v>
      </c>
      <c r="AN8" t="s">
        <v>40</v>
      </c>
      <c r="AU8" t="s">
        <v>43</v>
      </c>
      <c r="AV8" t="s">
        <v>44</v>
      </c>
      <c r="AW8" t="s">
        <v>40</v>
      </c>
      <c r="AX8" t="s">
        <v>44</v>
      </c>
      <c r="AY8" t="s">
        <v>45</v>
      </c>
      <c r="AZ8" t="s">
        <v>46</v>
      </c>
      <c r="BA8" t="s">
        <v>47</v>
      </c>
      <c r="BC8" t="s">
        <v>47</v>
      </c>
      <c r="BD8" t="s">
        <v>48</v>
      </c>
      <c r="BF8" t="s">
        <v>199</v>
      </c>
      <c r="BH8" t="s">
        <v>199</v>
      </c>
      <c r="BI8" t="s">
        <v>199</v>
      </c>
      <c r="BJ8" t="s">
        <v>197</v>
      </c>
      <c r="BK8" t="s">
        <v>197</v>
      </c>
      <c r="BL8" t="s">
        <v>197</v>
      </c>
      <c r="BW8" t="s">
        <v>115</v>
      </c>
      <c r="BX8" t="s">
        <v>112</v>
      </c>
      <c r="BY8">
        <v>-0.05</v>
      </c>
      <c r="BZ8">
        <v>0.05</v>
      </c>
      <c r="CA8">
        <v>0</v>
      </c>
      <c r="CB8">
        <v>0</v>
      </c>
      <c r="CC8">
        <v>-0.05</v>
      </c>
      <c r="CD8">
        <v>-0.05</v>
      </c>
      <c r="CE8">
        <v>2</v>
      </c>
      <c r="CH8" t="s">
        <v>110</v>
      </c>
      <c r="CI8" t="s">
        <v>113</v>
      </c>
      <c r="CJ8">
        <v>7.0000000000000007E-2</v>
      </c>
      <c r="CK8">
        <v>0.08</v>
      </c>
      <c r="CL8">
        <v>7.0000000000000007E-2</v>
      </c>
      <c r="CM8">
        <v>0.04</v>
      </c>
      <c r="CN8">
        <v>0.05</v>
      </c>
      <c r="CO8">
        <v>0.16</v>
      </c>
    </row>
    <row r="9" spans="1:93" x14ac:dyDescent="0.2">
      <c r="J9" t="s">
        <v>267</v>
      </c>
      <c r="K9" t="s">
        <v>268</v>
      </c>
      <c r="L9" t="s">
        <v>49</v>
      </c>
      <c r="M9" t="s">
        <v>50</v>
      </c>
      <c r="N9" t="s">
        <v>51</v>
      </c>
      <c r="O9" t="s">
        <v>52</v>
      </c>
      <c r="P9" t="s">
        <v>212</v>
      </c>
      <c r="Q9" t="s">
        <v>53</v>
      </c>
      <c r="R9" t="s">
        <v>54</v>
      </c>
      <c r="S9" t="s">
        <v>55</v>
      </c>
      <c r="U9" t="s">
        <v>56</v>
      </c>
      <c r="W9" t="s">
        <v>57</v>
      </c>
      <c r="X9" t="s">
        <v>205</v>
      </c>
      <c r="Y9" t="s">
        <v>206</v>
      </c>
      <c r="Z9" t="s">
        <v>269</v>
      </c>
      <c r="AA9" t="s">
        <v>270</v>
      </c>
      <c r="AB9" t="s">
        <v>271</v>
      </c>
      <c r="AC9" t="s">
        <v>58</v>
      </c>
      <c r="AD9" t="s">
        <v>215</v>
      </c>
      <c r="AE9" t="s">
        <v>216</v>
      </c>
      <c r="AF9" t="s">
        <v>217</v>
      </c>
      <c r="AG9" t="s">
        <v>218</v>
      </c>
      <c r="AH9" t="s">
        <v>219</v>
      </c>
      <c r="AI9" t="s">
        <v>59</v>
      </c>
      <c r="AJ9" t="s">
        <v>60</v>
      </c>
      <c r="AK9" t="s">
        <v>272</v>
      </c>
      <c r="AL9" t="s">
        <v>273</v>
      </c>
      <c r="AM9" t="s">
        <v>274</v>
      </c>
      <c r="AN9" t="s">
        <v>275</v>
      </c>
      <c r="AU9" t="s">
        <v>61</v>
      </c>
      <c r="AV9" t="s">
        <v>62</v>
      </c>
      <c r="AW9" t="s">
        <v>63</v>
      </c>
      <c r="AX9" t="s">
        <v>64</v>
      </c>
      <c r="AY9" t="s">
        <v>65</v>
      </c>
      <c r="AZ9" t="s">
        <v>66</v>
      </c>
      <c r="BA9" t="s">
        <v>67</v>
      </c>
      <c r="BC9" t="s">
        <v>67</v>
      </c>
      <c r="BD9" t="s">
        <v>68</v>
      </c>
      <c r="BF9" t="s">
        <v>276</v>
      </c>
      <c r="BH9" t="s">
        <v>277</v>
      </c>
      <c r="BI9" t="s">
        <v>278</v>
      </c>
      <c r="BJ9" t="s">
        <v>279</v>
      </c>
      <c r="BK9" t="s">
        <v>280</v>
      </c>
      <c r="BL9" t="s">
        <v>207</v>
      </c>
      <c r="BS9" t="s">
        <v>69</v>
      </c>
      <c r="BU9" t="s">
        <v>70</v>
      </c>
      <c r="BW9" t="s">
        <v>117</v>
      </c>
      <c r="BX9" t="s">
        <v>112</v>
      </c>
      <c r="BY9">
        <v>0.01</v>
      </c>
      <c r="BZ9">
        <v>0</v>
      </c>
      <c r="CA9">
        <v>0</v>
      </c>
      <c r="CB9">
        <v>0</v>
      </c>
      <c r="CC9">
        <v>-0.02</v>
      </c>
      <c r="CD9">
        <v>-0.05</v>
      </c>
      <c r="CE9">
        <v>3</v>
      </c>
      <c r="CI9" t="s">
        <v>115</v>
      </c>
      <c r="CJ9">
        <v>0</v>
      </c>
      <c r="CK9">
        <v>-0.08</v>
      </c>
      <c r="CL9">
        <v>0</v>
      </c>
      <c r="CM9">
        <v>-0.05</v>
      </c>
      <c r="CN9">
        <v>-0.05</v>
      </c>
      <c r="CO9">
        <v>0.08</v>
      </c>
    </row>
    <row r="10" spans="1:93" x14ac:dyDescent="0.2">
      <c r="A10" t="s">
        <v>71</v>
      </c>
      <c r="B10" t="s">
        <v>72</v>
      </c>
      <c r="C10" t="s">
        <v>72</v>
      </c>
      <c r="D10" t="s">
        <v>73</v>
      </c>
      <c r="E10" t="s">
        <v>281</v>
      </c>
      <c r="F10" t="s">
        <v>282</v>
      </c>
      <c r="G10" t="s">
        <v>283</v>
      </c>
      <c r="H10" t="s">
        <v>74</v>
      </c>
      <c r="J10" t="s">
        <v>235</v>
      </c>
      <c r="K10" t="s">
        <v>236</v>
      </c>
      <c r="L10" t="s">
        <v>76</v>
      </c>
      <c r="M10" t="s">
        <v>77</v>
      </c>
      <c r="N10" t="s">
        <v>78</v>
      </c>
      <c r="O10" t="s">
        <v>29</v>
      </c>
      <c r="P10" t="s">
        <v>234</v>
      </c>
      <c r="Q10" t="s">
        <v>80</v>
      </c>
      <c r="R10" t="s">
        <v>82</v>
      </c>
      <c r="S10" t="s">
        <v>84</v>
      </c>
      <c r="T10" t="s">
        <v>85</v>
      </c>
      <c r="U10" t="s">
        <v>86</v>
      </c>
      <c r="V10" t="s">
        <v>87</v>
      </c>
      <c r="W10" t="s">
        <v>88</v>
      </c>
      <c r="X10" t="s">
        <v>229</v>
      </c>
      <c r="Y10" t="s">
        <v>33</v>
      </c>
      <c r="Z10" t="s">
        <v>248</v>
      </c>
      <c r="AA10" t="s">
        <v>231</v>
      </c>
      <c r="AB10" t="s">
        <v>133</v>
      </c>
      <c r="AC10" t="s">
        <v>89</v>
      </c>
      <c r="AD10" t="s">
        <v>237</v>
      </c>
      <c r="AE10" t="s">
        <v>238</v>
      </c>
      <c r="AF10" t="s">
        <v>239</v>
      </c>
      <c r="AG10" t="s">
        <v>240</v>
      </c>
      <c r="AH10" t="s">
        <v>241</v>
      </c>
      <c r="AI10" t="s">
        <v>90</v>
      </c>
      <c r="AJ10" t="s">
        <v>91</v>
      </c>
      <c r="AK10" t="s">
        <v>284</v>
      </c>
      <c r="AL10" t="s">
        <v>243</v>
      </c>
      <c r="AM10" t="s">
        <v>124</v>
      </c>
      <c r="AN10" t="s">
        <v>37</v>
      </c>
      <c r="AO10" t="s">
        <v>4</v>
      </c>
      <c r="AP10" t="s">
        <v>92</v>
      </c>
      <c r="AQ10" t="s">
        <v>93</v>
      </c>
      <c r="AR10" t="s">
        <v>95</v>
      </c>
      <c r="AS10" t="s">
        <v>96</v>
      </c>
      <c r="AT10" t="s">
        <v>97</v>
      </c>
      <c r="AU10" t="s">
        <v>98</v>
      </c>
      <c r="AV10" t="s">
        <v>99</v>
      </c>
      <c r="AW10" t="s">
        <v>10</v>
      </c>
      <c r="AX10" t="s">
        <v>100</v>
      </c>
      <c r="AY10" t="s">
        <v>101</v>
      </c>
      <c r="AZ10" t="s">
        <v>102</v>
      </c>
      <c r="BA10" t="s">
        <v>103</v>
      </c>
      <c r="BB10" t="s">
        <v>104</v>
      </c>
      <c r="BC10" t="s">
        <v>105</v>
      </c>
      <c r="BD10" t="s">
        <v>106</v>
      </c>
      <c r="BE10" t="s">
        <v>106</v>
      </c>
      <c r="BF10" t="s">
        <v>244</v>
      </c>
      <c r="BG10" t="s">
        <v>244</v>
      </c>
      <c r="BH10" t="s">
        <v>232</v>
      </c>
      <c r="BI10" t="s">
        <v>247</v>
      </c>
      <c r="BJ10" t="s">
        <v>246</v>
      </c>
      <c r="BK10" t="s">
        <v>233</v>
      </c>
      <c r="BL10" t="s">
        <v>230</v>
      </c>
      <c r="BR10" t="s">
        <v>107</v>
      </c>
      <c r="BS10">
        <v>4.7000000000000002E-3</v>
      </c>
      <c r="BT10" t="s">
        <v>108</v>
      </c>
      <c r="BU10">
        <v>0.72</v>
      </c>
      <c r="BW10" t="s">
        <v>119</v>
      </c>
      <c r="BX10" t="s">
        <v>112</v>
      </c>
      <c r="BY10">
        <v>0</v>
      </c>
      <c r="BZ10">
        <v>-0.03</v>
      </c>
      <c r="CA10">
        <v>0</v>
      </c>
      <c r="CB10">
        <v>0.02</v>
      </c>
      <c r="CC10">
        <v>-0.03</v>
      </c>
      <c r="CD10">
        <v>0.05</v>
      </c>
      <c r="CE10">
        <v>4</v>
      </c>
      <c r="CI10" t="s">
        <v>117</v>
      </c>
      <c r="CJ10">
        <v>-7.0000000000000007E-2</v>
      </c>
      <c r="CK10">
        <v>0</v>
      </c>
      <c r="CL10">
        <v>0</v>
      </c>
      <c r="CM10">
        <v>0.01</v>
      </c>
      <c r="CN10">
        <v>-0.01</v>
      </c>
      <c r="CO10">
        <v>0.05</v>
      </c>
    </row>
    <row r="11" spans="1:93" x14ac:dyDescent="0.2">
      <c r="A11" t="s">
        <v>109</v>
      </c>
      <c r="B11" t="s">
        <v>108</v>
      </c>
      <c r="C11" t="s">
        <v>110</v>
      </c>
      <c r="D11" t="s">
        <v>111</v>
      </c>
      <c r="E11" t="s">
        <v>111</v>
      </c>
      <c r="F11" t="s">
        <v>134</v>
      </c>
      <c r="G11" t="s">
        <v>125</v>
      </c>
      <c r="H11" t="s">
        <v>112</v>
      </c>
      <c r="I11" t="s">
        <v>113</v>
      </c>
      <c r="J11">
        <v>4</v>
      </c>
      <c r="K11">
        <v>0.65</v>
      </c>
      <c r="L11">
        <v>100</v>
      </c>
      <c r="M11">
        <v>95</v>
      </c>
      <c r="N11">
        <v>90</v>
      </c>
      <c r="O11">
        <f t="shared" ref="O11:O34" si="0">$BS$3</f>
        <v>91.25</v>
      </c>
      <c r="P11" t="e" cm="1">
        <f t="array" aca="1" ref="P11" ca="1">_xludf.DROP(_xludf.XLOOKUP($C11,#REF!,#REF!),1)</f>
        <v>#NAME?</v>
      </c>
      <c r="Q11" t="e" cm="1">
        <f t="array" aca="1" ref="Q11" ca="1">_xludf.DROP(_xludf.XLOOKUP($C11,#REF!,#REF!),1)</f>
        <v>#NAME?</v>
      </c>
      <c r="R11" t="e" cm="1">
        <f t="array" aca="1" ref="R11" ca="1">_xludf.DROP(_xludf.XLOOKUP($C11,#REF!,#REF!),1)</f>
        <v>#NAME?</v>
      </c>
      <c r="S11" t="e" cm="1">
        <f t="array" aca="1" ref="S11" ca="1">_xludf.DROP(_xludf.XLOOKUP($C11,#REF!,#REF!),1)</f>
        <v>#NAME?</v>
      </c>
      <c r="T11">
        <f t="shared" ref="T11:T34" si="1">1-U11</f>
        <v>0</v>
      </c>
      <c r="U11">
        <f t="shared" ref="U11:U34" si="2">IF($D$11="yes", 1, VLOOKUP(B11, $BR$26:$BT$32, 1))</f>
        <v>1</v>
      </c>
      <c r="V11">
        <f t="shared" ref="V11:V34" si="3">VLOOKUP($B$11,$BT$10:$BU$16, 2, FALSE)</f>
        <v>0.72</v>
      </c>
      <c r="W11">
        <f t="shared" ref="W11:W34" si="4">$BS$10</f>
        <v>4.7000000000000002E-3</v>
      </c>
      <c r="X11">
        <f t="shared" ref="X11:X34" si="5">IF(E11="yes",1,0)</f>
        <v>1</v>
      </c>
      <c r="Y11">
        <f t="shared" ref="Y11:Y34" si="6">$BS$4</f>
        <v>0.24</v>
      </c>
      <c r="Z11">
        <f t="shared" ref="Z11:Z34" si="7">$BS$6</f>
        <v>1.0999999999999999E-2</v>
      </c>
      <c r="AA11">
        <f t="shared" ref="AA11:AA34" si="8">$BS$5</f>
        <v>0.21</v>
      </c>
      <c r="AB11">
        <f t="shared" ref="AB11:AB34" si="9">VLOOKUP($F$11,$BR$37:$BS$49,2,FALSE)</f>
        <v>5.8999999999999999E-3</v>
      </c>
      <c r="AC11">
        <f t="shared" ref="AC11:AC34" si="10">(M11/100)*(MIN(N11,100)/100)</f>
        <v>0.85499999999999998</v>
      </c>
      <c r="AD11">
        <f t="shared" ref="AD11:AD34" si="11">AC11 * 1.6</f>
        <v>1.3680000000000001</v>
      </c>
      <c r="AE11">
        <f t="shared" ref="AE11:AE34" si="12">J11 * K11 / 365</f>
        <v>7.1232876712328773E-3</v>
      </c>
      <c r="AF11" t="e">
        <f t="shared" ref="AF11:AF34" ca="1" si="13">P11 * 0.92</f>
        <v>#NAME?</v>
      </c>
      <c r="AG11" t="e" cm="1">
        <f t="array" aca="1" ref="AG11" ca="1">_xludf.DROP(_xludf.XLOOKUP($C11,#REF!,#REF!),1)</f>
        <v>#NAME?</v>
      </c>
      <c r="AH11" t="e">
        <f t="shared" ref="AH11:AH34" ca="1" si="14">S11 / AG11</f>
        <v>#NAME?</v>
      </c>
      <c r="AI11">
        <v>0</v>
      </c>
      <c r="AJ11">
        <f t="shared" ref="AJ11:AJ34" si="15">1.6 * AI11</f>
        <v>0</v>
      </c>
      <c r="AK11" t="e">
        <f ca="1">(0.045*AD11+AE11*0.84+
      (AF11*
          (
              (212 - 4*(AF11*1000/(4*AG11^0.75)-1))-((140 - 4 * (AF11*1000/(4*AG11^0.75)-1))/(1+EXP(-6*(AH11-0.4))))
          )
      )*10^-3
)/6.25</f>
        <v>#NAME?</v>
      </c>
      <c r="AL11" t="e">
        <f t="shared" ref="AL11:AL34" ca="1" si="16">(AV11 / 6.25 ) - AK11</f>
        <v>#NAME?</v>
      </c>
      <c r="AM11">
        <f t="shared" ref="AM11:AM34" si="17">IF($G$11="wet",$BU$18,$BU$19)</f>
        <v>6.0000000000000001E-3</v>
      </c>
      <c r="AN11">
        <f t="shared" ref="AN11:AN34" si="18">$BS$7</f>
        <v>1.5714285714285714</v>
      </c>
      <c r="AO11">
        <f t="shared" ref="AO11:AO34" si="19">$BV$1</f>
        <v>1.3</v>
      </c>
      <c r="AP11">
        <f t="shared" ref="AP11:AP34" si="20">AC11*AO11+(1-AC11)</f>
        <v>1.2565</v>
      </c>
      <c r="AQ11" t="e">
        <f t="shared" ref="AQ11:AQ34" ca="1" si="21">(0.795*R11)-0.0014</f>
        <v>#NAME?</v>
      </c>
      <c r="AR11" t="e" cm="1">
        <f t="array" aca="1" ref="AR11" ca="1">_xludf.DROP(_xludf.XLOOKUP($C11,#REF!,#REF!),1)</f>
        <v>#NAME?</v>
      </c>
      <c r="AS11" t="e">
        <f t="shared" ref="AS11:AS34" ca="1" si="22">1 - EXP(-2*(AR11^2))</f>
        <v>#NAME?</v>
      </c>
      <c r="AT11" t="e">
        <f t="shared" ref="AT11:AT34" ca="1" si="23">(104.7*AQ11+0.307*S11-15)*(S11^0.75)*10^-3</f>
        <v>#NAME?</v>
      </c>
      <c r="AU11" t="e">
        <f t="shared" ref="AU11:AU34" ca="1" si="24">AT11*AS11*AP11</f>
        <v>#NAME?</v>
      </c>
      <c r="AV11" t="e">
        <f t="shared" ref="AV11:AV34" ca="1" si="25">(AU11 * Q11) + (0.045 * AJ11)</f>
        <v>#NAME?</v>
      </c>
      <c r="AW11">
        <f t="shared" ref="AW11:AW34" si="26">$BS$2</f>
        <v>0.08</v>
      </c>
      <c r="AX11" t="e">
        <f t="shared" ref="AX11:AX34" ca="1" si="27">(AU11 * ((1 - R11) + (0.04 * AU11))) * ( 1 - AW11 )</f>
        <v>#NAME?</v>
      </c>
      <c r="AY11">
        <f t="shared" ref="AY11:AY34" si="28">$BS$1</f>
        <v>0.24</v>
      </c>
      <c r="AZ11">
        <f t="shared" ref="AZ11:AZ34" si="29">$BT$20</f>
        <v>0.6784</v>
      </c>
      <c r="BA11" t="e">
        <f t="shared" ref="BA11:BA34" ca="1" si="30">AX11 * AY11 * T11 * V11 * AZ11</f>
        <v>#NAME?</v>
      </c>
      <c r="BB11" t="e">
        <f t="shared" ref="BB11:BB34" ca="1" si="31">AX11*AY11*U11*W11*AZ11</f>
        <v>#NAME?</v>
      </c>
      <c r="BC11" t="e">
        <f t="shared" ref="BC11:BC34" ca="1" si="32">BA11+BB11</f>
        <v>#NAME?</v>
      </c>
      <c r="BD11" t="e">
        <f t="shared" ref="BD11:BD34" ca="1" si="33">L11*BC11*O11</f>
        <v>#NAME?</v>
      </c>
      <c r="BE11" t="e">
        <f ca="1">SUM(BD11:BD34)*10^-3</f>
        <v>#NAME?</v>
      </c>
      <c r="BF11" t="e">
        <f t="shared" ref="BF11:BF34" ca="1" si="34">L11*AL11*O11</f>
        <v>#NAME?</v>
      </c>
      <c r="BG11" t="e">
        <f ca="1">SUM(BF11:BF34)</f>
        <v>#NAME?</v>
      </c>
      <c r="BH11" t="e">
        <f ca="1">BF11 * AA11</f>
        <v>#NAME?</v>
      </c>
      <c r="BI11" t="e">
        <f ca="1">BF11 * X11 * Y11</f>
        <v>#NAME?</v>
      </c>
      <c r="BJ11" t="e">
        <f ca="1">BF11 * AM11 * AN11 * 10^-3</f>
        <v>#NAME?</v>
      </c>
      <c r="BK11" t="e">
        <f ca="1">BH11 * AB11 * AN11 * 10^-3</f>
        <v>#NAME?</v>
      </c>
      <c r="BL11" t="e">
        <f ca="1">BI11 * Z11 * AN11 * 10^-3</f>
        <v>#NAME?</v>
      </c>
      <c r="BT11" t="s">
        <v>285</v>
      </c>
      <c r="BU11">
        <v>0.75</v>
      </c>
      <c r="BW11" t="s">
        <v>113</v>
      </c>
      <c r="BX11" t="s">
        <v>121</v>
      </c>
      <c r="BY11">
        <v>0.16</v>
      </c>
      <c r="BZ11">
        <v>0.2</v>
      </c>
      <c r="CA11">
        <v>0.11</v>
      </c>
      <c r="CB11">
        <v>0.15</v>
      </c>
      <c r="CC11">
        <v>0.15</v>
      </c>
      <c r="CD11">
        <v>0.11</v>
      </c>
      <c r="CE11">
        <v>1</v>
      </c>
      <c r="CI11" t="s">
        <v>119</v>
      </c>
      <c r="CJ11">
        <v>0</v>
      </c>
      <c r="CK11">
        <v>0</v>
      </c>
      <c r="CL11">
        <v>0.02</v>
      </c>
      <c r="CM11">
        <v>0</v>
      </c>
      <c r="CN11">
        <v>0.01</v>
      </c>
      <c r="CO11">
        <v>0.04</v>
      </c>
    </row>
    <row r="12" spans="1:93" x14ac:dyDescent="0.2">
      <c r="I12" t="s">
        <v>115</v>
      </c>
      <c r="J12">
        <f>J11</f>
        <v>4</v>
      </c>
      <c r="K12">
        <f>K11</f>
        <v>0.65</v>
      </c>
      <c r="L12">
        <v>70</v>
      </c>
      <c r="M12">
        <v>0</v>
      </c>
      <c r="N12">
        <v>0</v>
      </c>
      <c r="O12">
        <f t="shared" si="0"/>
        <v>91.25</v>
      </c>
      <c r="T12">
        <f t="shared" si="1"/>
        <v>0</v>
      </c>
      <c r="U12">
        <f t="shared" si="2"/>
        <v>1</v>
      </c>
      <c r="V12">
        <f t="shared" si="3"/>
        <v>0.72</v>
      </c>
      <c r="W12">
        <f t="shared" si="4"/>
        <v>4.7000000000000002E-3</v>
      </c>
      <c r="X12">
        <f t="shared" si="5"/>
        <v>0</v>
      </c>
      <c r="Y12">
        <f t="shared" si="6"/>
        <v>0.24</v>
      </c>
      <c r="Z12">
        <f t="shared" si="7"/>
        <v>1.0999999999999999E-2</v>
      </c>
      <c r="AA12">
        <f t="shared" si="8"/>
        <v>0.21</v>
      </c>
      <c r="AB12">
        <f t="shared" si="9"/>
        <v>5.8999999999999999E-3</v>
      </c>
      <c r="AC12">
        <f t="shared" si="10"/>
        <v>0</v>
      </c>
      <c r="AD12">
        <f t="shared" si="11"/>
        <v>0</v>
      </c>
      <c r="AE12">
        <f t="shared" si="12"/>
        <v>7.1232876712328773E-3</v>
      </c>
      <c r="AF12">
        <f t="shared" si="13"/>
        <v>0</v>
      </c>
      <c r="AH12" t="e">
        <f t="shared" si="14"/>
        <v>#DIV/0!</v>
      </c>
      <c r="AI12">
        <v>0</v>
      </c>
      <c r="AJ12">
        <f t="shared" si="15"/>
        <v>0</v>
      </c>
      <c r="AK12" t="e">
        <f>(0.045*AD12+AE12*0.84+
      (AF12*
          (
              (212 - 4*(AF12*1000/(4*AG12^0.75)-1))-((140 - 4 * (AF12*1000/(4*AG12^0.75)-1))/(1+EXP(-6*(AH12-0.4))))
          )
      )*10^-3
)/6.25</f>
        <v>#DIV/0!</v>
      </c>
      <c r="AL12" t="e">
        <f t="shared" si="16"/>
        <v>#DIV/0!</v>
      </c>
      <c r="AM12">
        <f t="shared" si="17"/>
        <v>6.0000000000000001E-3</v>
      </c>
      <c r="AN12">
        <f t="shared" si="18"/>
        <v>1.5714285714285714</v>
      </c>
      <c r="AO12">
        <f t="shared" si="19"/>
        <v>1.3</v>
      </c>
      <c r="AP12">
        <f t="shared" si="20"/>
        <v>1</v>
      </c>
      <c r="AQ12">
        <f t="shared" si="21"/>
        <v>-1.4E-3</v>
      </c>
      <c r="AS12">
        <f t="shared" si="22"/>
        <v>0</v>
      </c>
      <c r="AT12">
        <f t="shared" si="23"/>
        <v>0</v>
      </c>
      <c r="AU12">
        <f t="shared" si="24"/>
        <v>0</v>
      </c>
      <c r="AV12">
        <f t="shared" si="25"/>
        <v>0</v>
      </c>
      <c r="AW12">
        <f t="shared" si="26"/>
        <v>0.08</v>
      </c>
      <c r="AX12">
        <f t="shared" si="27"/>
        <v>0</v>
      </c>
      <c r="AY12">
        <f t="shared" si="28"/>
        <v>0.24</v>
      </c>
      <c r="AZ12">
        <f t="shared" si="29"/>
        <v>0.6784</v>
      </c>
      <c r="BA12">
        <f t="shared" si="30"/>
        <v>0</v>
      </c>
      <c r="BB12">
        <f t="shared" si="31"/>
        <v>0</v>
      </c>
      <c r="BC12">
        <f t="shared" si="32"/>
        <v>0</v>
      </c>
      <c r="BD12">
        <f t="shared" si="33"/>
        <v>0</v>
      </c>
      <c r="BF12" t="e">
        <f t="shared" si="34"/>
        <v>#DIV/0!</v>
      </c>
      <c r="BT12" t="s">
        <v>286</v>
      </c>
      <c r="BU12">
        <v>0.78</v>
      </c>
      <c r="BW12" t="s">
        <v>115</v>
      </c>
      <c r="BX12" t="s">
        <v>121</v>
      </c>
      <c r="BY12">
        <v>0.08</v>
      </c>
      <c r="BZ12">
        <v>0.05</v>
      </c>
      <c r="CA12">
        <v>0.05</v>
      </c>
      <c r="CB12">
        <v>0.11</v>
      </c>
      <c r="CC12">
        <v>7.0000000000000007E-2</v>
      </c>
      <c r="CD12">
        <v>0</v>
      </c>
      <c r="CE12">
        <v>2</v>
      </c>
      <c r="CH12" t="s">
        <v>287</v>
      </c>
      <c r="CI12" t="s">
        <v>113</v>
      </c>
      <c r="CJ12">
        <v>-0.02</v>
      </c>
      <c r="CK12">
        <v>0</v>
      </c>
      <c r="CL12">
        <v>0</v>
      </c>
      <c r="CM12">
        <v>-0.02</v>
      </c>
      <c r="CN12">
        <v>-0.03</v>
      </c>
      <c r="CO12">
        <v>0.2</v>
      </c>
    </row>
    <row r="13" spans="1:93" x14ac:dyDescent="0.2">
      <c r="I13" t="s">
        <v>117</v>
      </c>
      <c r="J13">
        <f>J12</f>
        <v>4</v>
      </c>
      <c r="K13">
        <f>K11</f>
        <v>0.65</v>
      </c>
      <c r="L13">
        <v>65</v>
      </c>
      <c r="M13">
        <v>0</v>
      </c>
      <c r="N13">
        <v>0</v>
      </c>
      <c r="O13">
        <f t="shared" si="0"/>
        <v>91.25</v>
      </c>
      <c r="T13">
        <f t="shared" si="1"/>
        <v>0</v>
      </c>
      <c r="U13">
        <f t="shared" si="2"/>
        <v>1</v>
      </c>
      <c r="V13">
        <f t="shared" si="3"/>
        <v>0.72</v>
      </c>
      <c r="W13">
        <f t="shared" si="4"/>
        <v>4.7000000000000002E-3</v>
      </c>
      <c r="X13">
        <f t="shared" si="5"/>
        <v>0</v>
      </c>
      <c r="Y13">
        <f t="shared" si="6"/>
        <v>0.24</v>
      </c>
      <c r="Z13">
        <f t="shared" si="7"/>
        <v>1.0999999999999999E-2</v>
      </c>
      <c r="AA13">
        <f t="shared" si="8"/>
        <v>0.21</v>
      </c>
      <c r="AB13">
        <f t="shared" si="9"/>
        <v>5.8999999999999999E-3</v>
      </c>
      <c r="AC13">
        <f t="shared" si="10"/>
        <v>0</v>
      </c>
      <c r="AD13">
        <f t="shared" si="11"/>
        <v>0</v>
      </c>
      <c r="AE13">
        <f t="shared" si="12"/>
        <v>7.1232876712328773E-3</v>
      </c>
      <c r="AF13">
        <f t="shared" si="13"/>
        <v>0</v>
      </c>
      <c r="AH13" t="e">
        <f t="shared" si="14"/>
        <v>#DIV/0!</v>
      </c>
      <c r="AI13">
        <v>0</v>
      </c>
      <c r="AJ13">
        <f t="shared" si="15"/>
        <v>0</v>
      </c>
      <c r="AK13">
        <v>1.0747659693624819E-3</v>
      </c>
      <c r="AL13">
        <f t="shared" si="16"/>
        <v>-1.0747659693624819E-3</v>
      </c>
      <c r="AM13">
        <f t="shared" si="17"/>
        <v>6.0000000000000001E-3</v>
      </c>
      <c r="AN13">
        <f t="shared" si="18"/>
        <v>1.5714285714285714</v>
      </c>
      <c r="AO13">
        <f t="shared" si="19"/>
        <v>1.3</v>
      </c>
      <c r="AP13">
        <f t="shared" si="20"/>
        <v>1</v>
      </c>
      <c r="AQ13">
        <f t="shared" si="21"/>
        <v>-1.4E-3</v>
      </c>
      <c r="AS13">
        <f t="shared" si="22"/>
        <v>0</v>
      </c>
      <c r="AT13">
        <f t="shared" si="23"/>
        <v>0</v>
      </c>
      <c r="AU13">
        <f t="shared" si="24"/>
        <v>0</v>
      </c>
      <c r="AV13">
        <f t="shared" si="25"/>
        <v>0</v>
      </c>
      <c r="AW13">
        <f t="shared" si="26"/>
        <v>0.08</v>
      </c>
      <c r="AX13">
        <f t="shared" si="27"/>
        <v>0</v>
      </c>
      <c r="AY13">
        <f t="shared" si="28"/>
        <v>0.24</v>
      </c>
      <c r="AZ13">
        <f t="shared" si="29"/>
        <v>0.6784</v>
      </c>
      <c r="BA13">
        <f t="shared" si="30"/>
        <v>0</v>
      </c>
      <c r="BB13">
        <f t="shared" si="31"/>
        <v>0</v>
      </c>
      <c r="BC13">
        <f t="shared" si="32"/>
        <v>0</v>
      </c>
      <c r="BD13">
        <f t="shared" si="33"/>
        <v>0</v>
      </c>
      <c r="BF13">
        <f t="shared" si="34"/>
        <v>-6.3747056557812209</v>
      </c>
      <c r="BT13" t="s">
        <v>288</v>
      </c>
      <c r="BU13">
        <v>0.74</v>
      </c>
      <c r="BW13" t="s">
        <v>117</v>
      </c>
      <c r="BX13" t="s">
        <v>121</v>
      </c>
      <c r="BY13">
        <v>0.05</v>
      </c>
      <c r="BZ13">
        <v>0.2</v>
      </c>
      <c r="CA13">
        <v>0.16</v>
      </c>
      <c r="CB13">
        <v>0.13</v>
      </c>
      <c r="CC13">
        <v>0.05</v>
      </c>
      <c r="CD13">
        <v>0.11</v>
      </c>
      <c r="CE13">
        <v>3</v>
      </c>
      <c r="CI13" t="s">
        <v>115</v>
      </c>
      <c r="CJ13">
        <v>0.03</v>
      </c>
      <c r="CK13">
        <v>0.05</v>
      </c>
      <c r="CL13">
        <v>0.05</v>
      </c>
      <c r="CM13">
        <v>0.05</v>
      </c>
      <c r="CN13">
        <v>0.05</v>
      </c>
      <c r="CO13">
        <v>0.05</v>
      </c>
    </row>
    <row r="14" spans="1:93" x14ac:dyDescent="0.2">
      <c r="I14" t="s">
        <v>119</v>
      </c>
      <c r="J14">
        <f>J13</f>
        <v>4</v>
      </c>
      <c r="K14">
        <f>K11</f>
        <v>0.65</v>
      </c>
      <c r="L14">
        <v>80</v>
      </c>
      <c r="M14">
        <v>0</v>
      </c>
      <c r="N14">
        <v>0</v>
      </c>
      <c r="O14">
        <f t="shared" si="0"/>
        <v>91.25</v>
      </c>
      <c r="T14">
        <f t="shared" si="1"/>
        <v>0</v>
      </c>
      <c r="U14">
        <f t="shared" si="2"/>
        <v>1</v>
      </c>
      <c r="V14">
        <f t="shared" si="3"/>
        <v>0.72</v>
      </c>
      <c r="W14">
        <f t="shared" si="4"/>
        <v>4.7000000000000002E-3</v>
      </c>
      <c r="X14">
        <f t="shared" si="5"/>
        <v>0</v>
      </c>
      <c r="Y14">
        <f t="shared" si="6"/>
        <v>0.24</v>
      </c>
      <c r="Z14">
        <f t="shared" si="7"/>
        <v>1.0999999999999999E-2</v>
      </c>
      <c r="AA14">
        <f t="shared" si="8"/>
        <v>0.21</v>
      </c>
      <c r="AB14">
        <f t="shared" si="9"/>
        <v>5.8999999999999999E-3</v>
      </c>
      <c r="AC14">
        <f t="shared" si="10"/>
        <v>0</v>
      </c>
      <c r="AD14">
        <f t="shared" si="11"/>
        <v>0</v>
      </c>
      <c r="AE14">
        <f t="shared" si="12"/>
        <v>7.1232876712328773E-3</v>
      </c>
      <c r="AF14">
        <f t="shared" si="13"/>
        <v>0</v>
      </c>
      <c r="AH14" t="e">
        <f t="shared" si="14"/>
        <v>#DIV/0!</v>
      </c>
      <c r="AI14">
        <v>0</v>
      </c>
      <c r="AJ14">
        <f t="shared" si="15"/>
        <v>0</v>
      </c>
      <c r="AK14">
        <v>9.5736986301369871E-4</v>
      </c>
      <c r="AL14">
        <f t="shared" si="16"/>
        <v>-9.5736986301369871E-4</v>
      </c>
      <c r="AM14">
        <f t="shared" si="17"/>
        <v>6.0000000000000001E-3</v>
      </c>
      <c r="AN14">
        <f t="shared" si="18"/>
        <v>1.5714285714285714</v>
      </c>
      <c r="AO14">
        <f t="shared" si="19"/>
        <v>1.3</v>
      </c>
      <c r="AP14">
        <f t="shared" si="20"/>
        <v>1</v>
      </c>
      <c r="AQ14">
        <f t="shared" si="21"/>
        <v>-1.4E-3</v>
      </c>
      <c r="AS14">
        <f t="shared" si="22"/>
        <v>0</v>
      </c>
      <c r="AT14">
        <f t="shared" si="23"/>
        <v>0</v>
      </c>
      <c r="AU14">
        <f t="shared" si="24"/>
        <v>0</v>
      </c>
      <c r="AV14">
        <f t="shared" si="25"/>
        <v>0</v>
      </c>
      <c r="AW14">
        <f t="shared" si="26"/>
        <v>0.08</v>
      </c>
      <c r="AX14">
        <f t="shared" si="27"/>
        <v>0</v>
      </c>
      <c r="AY14">
        <f t="shared" si="28"/>
        <v>0.24</v>
      </c>
      <c r="AZ14">
        <f t="shared" si="29"/>
        <v>0.6784</v>
      </c>
      <c r="BA14">
        <f t="shared" si="30"/>
        <v>0</v>
      </c>
      <c r="BB14">
        <f t="shared" si="31"/>
        <v>0</v>
      </c>
      <c r="BC14">
        <f t="shared" si="32"/>
        <v>0</v>
      </c>
      <c r="BD14">
        <f t="shared" si="33"/>
        <v>0</v>
      </c>
      <c r="BF14">
        <f t="shared" si="34"/>
        <v>-6.9888000000000003</v>
      </c>
      <c r="BT14" t="s">
        <v>289</v>
      </c>
      <c r="BU14">
        <v>0.69</v>
      </c>
      <c r="BW14" t="s">
        <v>119</v>
      </c>
      <c r="BX14" t="s">
        <v>121</v>
      </c>
      <c r="BY14">
        <v>0.04</v>
      </c>
      <c r="BZ14">
        <v>0.05</v>
      </c>
      <c r="CA14">
        <v>0.16</v>
      </c>
      <c r="CB14">
        <v>7.0000000000000007E-2</v>
      </c>
      <c r="CC14">
        <v>0.02</v>
      </c>
      <c r="CD14">
        <v>0.11</v>
      </c>
      <c r="CE14">
        <v>4</v>
      </c>
      <c r="CI14" t="s">
        <v>117</v>
      </c>
      <c r="CJ14">
        <v>0.02</v>
      </c>
      <c r="CK14">
        <v>0</v>
      </c>
      <c r="CL14">
        <v>0</v>
      </c>
      <c r="CM14">
        <v>0</v>
      </c>
      <c r="CN14">
        <v>0</v>
      </c>
      <c r="CO14">
        <v>0.2</v>
      </c>
    </row>
    <row r="15" spans="1:93" x14ac:dyDescent="0.2">
      <c r="H15" t="s">
        <v>121</v>
      </c>
      <c r="I15" t="s">
        <v>113</v>
      </c>
      <c r="J15">
        <v>3</v>
      </c>
      <c r="K15">
        <v>0.6</v>
      </c>
      <c r="L15">
        <v>200</v>
      </c>
      <c r="M15">
        <v>0</v>
      </c>
      <c r="N15">
        <v>0</v>
      </c>
      <c r="O15">
        <f t="shared" si="0"/>
        <v>91.25</v>
      </c>
      <c r="T15">
        <f t="shared" si="1"/>
        <v>0</v>
      </c>
      <c r="U15">
        <f t="shared" si="2"/>
        <v>1</v>
      </c>
      <c r="V15">
        <f t="shared" si="3"/>
        <v>0.72</v>
      </c>
      <c r="W15">
        <f t="shared" si="4"/>
        <v>4.7000000000000002E-3</v>
      </c>
      <c r="X15">
        <f t="shared" si="5"/>
        <v>0</v>
      </c>
      <c r="Y15">
        <f t="shared" si="6"/>
        <v>0.24</v>
      </c>
      <c r="Z15">
        <f t="shared" si="7"/>
        <v>1.0999999999999999E-2</v>
      </c>
      <c r="AA15">
        <f t="shared" si="8"/>
        <v>0.21</v>
      </c>
      <c r="AB15">
        <f t="shared" si="9"/>
        <v>5.8999999999999999E-3</v>
      </c>
      <c r="AC15">
        <f t="shared" si="10"/>
        <v>0</v>
      </c>
      <c r="AD15">
        <f t="shared" si="11"/>
        <v>0</v>
      </c>
      <c r="AE15">
        <f t="shared" si="12"/>
        <v>4.9315068493150684E-3</v>
      </c>
      <c r="AF15">
        <f t="shared" si="13"/>
        <v>0</v>
      </c>
      <c r="AH15" t="e">
        <f t="shared" si="14"/>
        <v>#DIV/0!</v>
      </c>
      <c r="AI15">
        <v>1</v>
      </c>
      <c r="AJ15">
        <f t="shared" si="15"/>
        <v>1.6</v>
      </c>
      <c r="AK15">
        <v>4.2927035527562628E-3</v>
      </c>
      <c r="AL15">
        <f t="shared" si="16"/>
        <v>7.2272964472437362E-3</v>
      </c>
      <c r="AM15">
        <f t="shared" si="17"/>
        <v>6.0000000000000001E-3</v>
      </c>
      <c r="AN15">
        <f t="shared" si="18"/>
        <v>1.5714285714285714</v>
      </c>
      <c r="AO15">
        <f t="shared" si="19"/>
        <v>1.3</v>
      </c>
      <c r="AP15">
        <f t="shared" si="20"/>
        <v>1</v>
      </c>
      <c r="AQ15">
        <f t="shared" si="21"/>
        <v>-1.4E-3</v>
      </c>
      <c r="AS15">
        <f t="shared" si="22"/>
        <v>0</v>
      </c>
      <c r="AT15">
        <f t="shared" si="23"/>
        <v>0</v>
      </c>
      <c r="AU15">
        <f t="shared" si="24"/>
        <v>0</v>
      </c>
      <c r="AV15">
        <f t="shared" si="25"/>
        <v>7.1999999999999995E-2</v>
      </c>
      <c r="AW15">
        <f t="shared" si="26"/>
        <v>0.08</v>
      </c>
      <c r="AX15">
        <f t="shared" si="27"/>
        <v>0</v>
      </c>
      <c r="AY15">
        <f t="shared" si="28"/>
        <v>0.24</v>
      </c>
      <c r="AZ15">
        <f t="shared" si="29"/>
        <v>0.6784</v>
      </c>
      <c r="BA15">
        <f t="shared" si="30"/>
        <v>0</v>
      </c>
      <c r="BB15">
        <f t="shared" si="31"/>
        <v>0</v>
      </c>
      <c r="BC15">
        <f t="shared" si="32"/>
        <v>0</v>
      </c>
      <c r="BD15">
        <f t="shared" si="33"/>
        <v>0</v>
      </c>
      <c r="BF15">
        <f t="shared" si="34"/>
        <v>131.8981601621982</v>
      </c>
      <c r="BT15" t="s">
        <v>290</v>
      </c>
      <c r="BU15">
        <v>0.73</v>
      </c>
      <c r="BW15" t="s">
        <v>113</v>
      </c>
      <c r="BX15" t="s">
        <v>126</v>
      </c>
      <c r="BY15">
        <v>7.0000000000000007E-2</v>
      </c>
      <c r="BZ15">
        <v>0</v>
      </c>
      <c r="CA15">
        <v>0</v>
      </c>
      <c r="CB15">
        <v>0.03</v>
      </c>
      <c r="CC15">
        <v>0.16</v>
      </c>
      <c r="CD15">
        <v>0.05</v>
      </c>
      <c r="CE15">
        <v>1</v>
      </c>
      <c r="CI15" t="s">
        <v>119</v>
      </c>
      <c r="CJ15">
        <v>-0.03</v>
      </c>
      <c r="CK15">
        <v>-0.05</v>
      </c>
      <c r="CL15">
        <v>-0.05</v>
      </c>
      <c r="CM15">
        <v>-0.03</v>
      </c>
      <c r="CN15">
        <v>-0.02</v>
      </c>
      <c r="CO15">
        <v>0.05</v>
      </c>
    </row>
    <row r="16" spans="1:93" x14ac:dyDescent="0.2">
      <c r="I16" t="s">
        <v>115</v>
      </c>
      <c r="J16">
        <f t="shared" ref="J16:K18" si="35">J15</f>
        <v>3</v>
      </c>
      <c r="K16">
        <f t="shared" si="35"/>
        <v>0.6</v>
      </c>
      <c r="L16">
        <v>210</v>
      </c>
      <c r="M16">
        <v>0</v>
      </c>
      <c r="N16">
        <v>0</v>
      </c>
      <c r="O16">
        <f t="shared" si="0"/>
        <v>91.25</v>
      </c>
      <c r="T16">
        <f t="shared" si="1"/>
        <v>0</v>
      </c>
      <c r="U16">
        <f t="shared" si="2"/>
        <v>1</v>
      </c>
      <c r="V16">
        <f t="shared" si="3"/>
        <v>0.72</v>
      </c>
      <c r="W16">
        <f t="shared" si="4"/>
        <v>4.7000000000000002E-3</v>
      </c>
      <c r="X16">
        <f t="shared" si="5"/>
        <v>0</v>
      </c>
      <c r="Y16">
        <f t="shared" si="6"/>
        <v>0.24</v>
      </c>
      <c r="Z16">
        <f t="shared" si="7"/>
        <v>1.0999999999999999E-2</v>
      </c>
      <c r="AA16">
        <f t="shared" si="8"/>
        <v>0.21</v>
      </c>
      <c r="AB16">
        <f t="shared" si="9"/>
        <v>5.8999999999999999E-3</v>
      </c>
      <c r="AC16">
        <f t="shared" si="10"/>
        <v>0</v>
      </c>
      <c r="AD16">
        <f t="shared" si="11"/>
        <v>0</v>
      </c>
      <c r="AE16">
        <f t="shared" si="12"/>
        <v>4.9315068493150684E-3</v>
      </c>
      <c r="AF16">
        <f t="shared" si="13"/>
        <v>0</v>
      </c>
      <c r="AH16" t="e">
        <f t="shared" si="14"/>
        <v>#DIV/0!</v>
      </c>
      <c r="AI16">
        <v>0</v>
      </c>
      <c r="AJ16">
        <f t="shared" si="15"/>
        <v>0</v>
      </c>
      <c r="AK16">
        <v>2.233380100205178E-3</v>
      </c>
      <c r="AL16">
        <f t="shared" si="16"/>
        <v>-2.233380100205178E-3</v>
      </c>
      <c r="AM16">
        <f t="shared" si="17"/>
        <v>6.0000000000000001E-3</v>
      </c>
      <c r="AN16">
        <f t="shared" si="18"/>
        <v>1.5714285714285714</v>
      </c>
      <c r="AO16">
        <f t="shared" si="19"/>
        <v>1.3</v>
      </c>
      <c r="AP16">
        <f t="shared" si="20"/>
        <v>1</v>
      </c>
      <c r="AQ16">
        <f t="shared" si="21"/>
        <v>-1.4E-3</v>
      </c>
      <c r="AS16">
        <f t="shared" si="22"/>
        <v>0</v>
      </c>
      <c r="AT16">
        <f t="shared" si="23"/>
        <v>0</v>
      </c>
      <c r="AU16">
        <f t="shared" si="24"/>
        <v>0</v>
      </c>
      <c r="AV16">
        <f t="shared" si="25"/>
        <v>0</v>
      </c>
      <c r="AW16">
        <f t="shared" si="26"/>
        <v>0.08</v>
      </c>
      <c r="AX16">
        <f t="shared" si="27"/>
        <v>0</v>
      </c>
      <c r="AY16">
        <f t="shared" si="28"/>
        <v>0.24</v>
      </c>
      <c r="AZ16">
        <f t="shared" si="29"/>
        <v>0.6784</v>
      </c>
      <c r="BA16">
        <f t="shared" si="30"/>
        <v>0</v>
      </c>
      <c r="BB16">
        <f t="shared" si="31"/>
        <v>0</v>
      </c>
      <c r="BC16">
        <f t="shared" si="32"/>
        <v>0</v>
      </c>
      <c r="BD16">
        <f t="shared" si="33"/>
        <v>0</v>
      </c>
      <c r="BF16">
        <f t="shared" si="34"/>
        <v>-42.797146170181719</v>
      </c>
      <c r="BT16" t="s">
        <v>291</v>
      </c>
      <c r="BU16">
        <v>0.76</v>
      </c>
      <c r="BW16" t="s">
        <v>115</v>
      </c>
      <c r="BX16" t="s">
        <v>126</v>
      </c>
      <c r="BY16">
        <v>0</v>
      </c>
      <c r="BZ16">
        <v>0.05</v>
      </c>
      <c r="CA16">
        <v>0</v>
      </c>
      <c r="CB16">
        <v>0</v>
      </c>
      <c r="CC16">
        <v>-0.05</v>
      </c>
      <c r="CD16">
        <v>-0.05</v>
      </c>
      <c r="CE16">
        <v>2</v>
      </c>
      <c r="CH16" t="s">
        <v>292</v>
      </c>
      <c r="CI16" t="s">
        <v>113</v>
      </c>
      <c r="CJ16">
        <v>0.11</v>
      </c>
      <c r="CK16">
        <v>0.11</v>
      </c>
      <c r="CL16">
        <v>0</v>
      </c>
      <c r="CM16">
        <v>0</v>
      </c>
      <c r="CN16">
        <v>0</v>
      </c>
      <c r="CO16">
        <v>0.11</v>
      </c>
    </row>
    <row r="17" spans="8:93" x14ac:dyDescent="0.2">
      <c r="I17" t="s">
        <v>117</v>
      </c>
      <c r="J17">
        <f t="shared" si="35"/>
        <v>3</v>
      </c>
      <c r="K17">
        <f t="shared" si="35"/>
        <v>0.6</v>
      </c>
      <c r="L17">
        <v>170</v>
      </c>
      <c r="M17">
        <v>0</v>
      </c>
      <c r="N17">
        <v>0</v>
      </c>
      <c r="O17">
        <f t="shared" si="0"/>
        <v>91.25</v>
      </c>
      <c r="T17">
        <f t="shared" si="1"/>
        <v>0</v>
      </c>
      <c r="U17">
        <f t="shared" si="2"/>
        <v>1</v>
      </c>
      <c r="V17">
        <f t="shared" si="3"/>
        <v>0.72</v>
      </c>
      <c r="W17">
        <f t="shared" si="4"/>
        <v>4.7000000000000002E-3</v>
      </c>
      <c r="X17">
        <f t="shared" si="5"/>
        <v>0</v>
      </c>
      <c r="Y17">
        <f t="shared" si="6"/>
        <v>0.24</v>
      </c>
      <c r="Z17">
        <f t="shared" si="7"/>
        <v>1.0999999999999999E-2</v>
      </c>
      <c r="AA17">
        <f t="shared" si="8"/>
        <v>0.21</v>
      </c>
      <c r="AB17">
        <f t="shared" si="9"/>
        <v>5.8999999999999999E-3</v>
      </c>
      <c r="AC17">
        <f t="shared" si="10"/>
        <v>0</v>
      </c>
      <c r="AD17">
        <f t="shared" si="11"/>
        <v>0</v>
      </c>
      <c r="AE17">
        <f t="shared" si="12"/>
        <v>4.9315068493150684E-3</v>
      </c>
      <c r="AF17">
        <f t="shared" si="13"/>
        <v>0</v>
      </c>
      <c r="AH17" t="e">
        <f t="shared" si="14"/>
        <v>#DIV/0!</v>
      </c>
      <c r="AI17">
        <v>0</v>
      </c>
      <c r="AJ17">
        <f t="shared" si="15"/>
        <v>0</v>
      </c>
      <c r="AK17">
        <v>1.5400455022570668E-3</v>
      </c>
      <c r="AL17">
        <f t="shared" si="16"/>
        <v>-1.5400455022570668E-3</v>
      </c>
      <c r="AM17">
        <f t="shared" si="17"/>
        <v>6.0000000000000001E-3</v>
      </c>
      <c r="AN17">
        <f t="shared" si="18"/>
        <v>1.5714285714285714</v>
      </c>
      <c r="AO17">
        <f t="shared" si="19"/>
        <v>1.3</v>
      </c>
      <c r="AP17">
        <f t="shared" si="20"/>
        <v>1</v>
      </c>
      <c r="AQ17">
        <f t="shared" si="21"/>
        <v>-1.4E-3</v>
      </c>
      <c r="AS17">
        <f t="shared" si="22"/>
        <v>0</v>
      </c>
      <c r="AT17">
        <f t="shared" si="23"/>
        <v>0</v>
      </c>
      <c r="AU17">
        <f t="shared" si="24"/>
        <v>0</v>
      </c>
      <c r="AV17">
        <f t="shared" si="25"/>
        <v>0</v>
      </c>
      <c r="AW17">
        <f t="shared" si="26"/>
        <v>0.08</v>
      </c>
      <c r="AX17">
        <f t="shared" si="27"/>
        <v>0</v>
      </c>
      <c r="AY17">
        <f t="shared" si="28"/>
        <v>0.24</v>
      </c>
      <c r="AZ17">
        <f t="shared" si="29"/>
        <v>0.6784</v>
      </c>
      <c r="BA17">
        <f t="shared" si="30"/>
        <v>0</v>
      </c>
      <c r="BB17">
        <f t="shared" si="31"/>
        <v>0</v>
      </c>
      <c r="BC17">
        <f t="shared" si="32"/>
        <v>0</v>
      </c>
      <c r="BD17">
        <f t="shared" si="33"/>
        <v>0</v>
      </c>
      <c r="BF17">
        <f t="shared" si="34"/>
        <v>-23.889955853762746</v>
      </c>
      <c r="BW17" t="s">
        <v>117</v>
      </c>
      <c r="BX17" t="s">
        <v>126</v>
      </c>
      <c r="BY17">
        <v>0</v>
      </c>
      <c r="BZ17">
        <v>0</v>
      </c>
      <c r="CA17">
        <v>0</v>
      </c>
      <c r="CB17">
        <v>0</v>
      </c>
      <c r="CC17">
        <v>-0.02</v>
      </c>
      <c r="CD17">
        <v>0.11</v>
      </c>
      <c r="CE17">
        <v>3</v>
      </c>
      <c r="CI17" t="s">
        <v>115</v>
      </c>
      <c r="CJ17">
        <v>-0.1</v>
      </c>
      <c r="CK17">
        <v>-0.1</v>
      </c>
      <c r="CL17">
        <v>0</v>
      </c>
      <c r="CM17">
        <v>0</v>
      </c>
      <c r="CN17">
        <v>0</v>
      </c>
      <c r="CO17">
        <v>0.05</v>
      </c>
    </row>
    <row r="18" spans="8:93" x14ac:dyDescent="0.2">
      <c r="I18" t="s">
        <v>119</v>
      </c>
      <c r="J18">
        <f t="shared" si="35"/>
        <v>3</v>
      </c>
      <c r="K18">
        <f t="shared" si="35"/>
        <v>0.6</v>
      </c>
      <c r="L18">
        <v>200</v>
      </c>
      <c r="M18">
        <v>0</v>
      </c>
      <c r="N18">
        <v>0</v>
      </c>
      <c r="O18">
        <f t="shared" si="0"/>
        <v>91.25</v>
      </c>
      <c r="T18">
        <f t="shared" si="1"/>
        <v>0</v>
      </c>
      <c r="U18">
        <f t="shared" si="2"/>
        <v>1</v>
      </c>
      <c r="V18">
        <f t="shared" si="3"/>
        <v>0.72</v>
      </c>
      <c r="W18">
        <f t="shared" si="4"/>
        <v>4.7000000000000002E-3</v>
      </c>
      <c r="X18">
        <f t="shared" si="5"/>
        <v>0</v>
      </c>
      <c r="Y18">
        <f t="shared" si="6"/>
        <v>0.24</v>
      </c>
      <c r="Z18">
        <f t="shared" si="7"/>
        <v>1.0999999999999999E-2</v>
      </c>
      <c r="AA18">
        <f t="shared" si="8"/>
        <v>0.21</v>
      </c>
      <c r="AB18">
        <f t="shared" si="9"/>
        <v>5.8999999999999999E-3</v>
      </c>
      <c r="AC18">
        <f t="shared" si="10"/>
        <v>0</v>
      </c>
      <c r="AD18">
        <f t="shared" si="11"/>
        <v>0</v>
      </c>
      <c r="AE18">
        <f t="shared" si="12"/>
        <v>4.9315068493150684E-3</v>
      </c>
      <c r="AF18">
        <f t="shared" si="13"/>
        <v>0</v>
      </c>
      <c r="AH18" t="e">
        <f t="shared" si="14"/>
        <v>#DIV/0!</v>
      </c>
      <c r="AI18">
        <v>0</v>
      </c>
      <c r="AJ18">
        <f t="shared" si="15"/>
        <v>0</v>
      </c>
      <c r="AK18">
        <v>1.3398080165132112E-3</v>
      </c>
      <c r="AL18">
        <f t="shared" si="16"/>
        <v>-1.3398080165132112E-3</v>
      </c>
      <c r="AM18">
        <f t="shared" si="17"/>
        <v>6.0000000000000001E-3</v>
      </c>
      <c r="AN18">
        <f t="shared" si="18"/>
        <v>1.5714285714285714</v>
      </c>
      <c r="AO18">
        <f t="shared" si="19"/>
        <v>1.3</v>
      </c>
      <c r="AP18">
        <f t="shared" si="20"/>
        <v>1</v>
      </c>
      <c r="AQ18">
        <f t="shared" si="21"/>
        <v>-1.4E-3</v>
      </c>
      <c r="AS18">
        <f t="shared" si="22"/>
        <v>0</v>
      </c>
      <c r="AT18">
        <f t="shared" si="23"/>
        <v>0</v>
      </c>
      <c r="AU18">
        <f t="shared" si="24"/>
        <v>0</v>
      </c>
      <c r="AV18">
        <f t="shared" si="25"/>
        <v>0</v>
      </c>
      <c r="AW18">
        <f t="shared" si="26"/>
        <v>0.08</v>
      </c>
      <c r="AX18">
        <f t="shared" si="27"/>
        <v>0</v>
      </c>
      <c r="AY18">
        <f t="shared" si="28"/>
        <v>0.24</v>
      </c>
      <c r="AZ18">
        <f t="shared" si="29"/>
        <v>0.6784</v>
      </c>
      <c r="BA18">
        <f t="shared" si="30"/>
        <v>0</v>
      </c>
      <c r="BB18">
        <f t="shared" si="31"/>
        <v>0</v>
      </c>
      <c r="BC18">
        <f t="shared" si="32"/>
        <v>0</v>
      </c>
      <c r="BD18">
        <f t="shared" si="33"/>
        <v>0</v>
      </c>
      <c r="BF18">
        <f t="shared" si="34"/>
        <v>-24.451496301366102</v>
      </c>
      <c r="BS18" t="s">
        <v>124</v>
      </c>
      <c r="BT18" t="s">
        <v>125</v>
      </c>
      <c r="BU18">
        <v>6.0000000000000001E-3</v>
      </c>
      <c r="BW18" t="s">
        <v>119</v>
      </c>
      <c r="BX18" t="s">
        <v>126</v>
      </c>
      <c r="BY18">
        <v>0.02</v>
      </c>
      <c r="BZ18">
        <v>-0.05</v>
      </c>
      <c r="CA18">
        <v>0</v>
      </c>
      <c r="CB18">
        <v>0.5</v>
      </c>
      <c r="CC18">
        <v>-0.03</v>
      </c>
      <c r="CD18">
        <v>0.05</v>
      </c>
      <c r="CE18">
        <v>4</v>
      </c>
      <c r="CI18" t="s">
        <v>117</v>
      </c>
      <c r="CJ18">
        <v>0</v>
      </c>
      <c r="CK18">
        <v>-0.1</v>
      </c>
      <c r="CL18">
        <v>0</v>
      </c>
      <c r="CM18">
        <v>0</v>
      </c>
      <c r="CN18">
        <v>0</v>
      </c>
      <c r="CO18">
        <v>0.16</v>
      </c>
    </row>
    <row r="19" spans="8:93" x14ac:dyDescent="0.2">
      <c r="H19" t="s">
        <v>126</v>
      </c>
      <c r="I19" t="s">
        <v>113</v>
      </c>
      <c r="J19">
        <v>2</v>
      </c>
      <c r="K19">
        <v>0.65</v>
      </c>
      <c r="L19">
        <v>100</v>
      </c>
      <c r="M19">
        <v>95</v>
      </c>
      <c r="N19">
        <v>105</v>
      </c>
      <c r="O19">
        <f t="shared" si="0"/>
        <v>91.25</v>
      </c>
      <c r="T19">
        <f t="shared" si="1"/>
        <v>0</v>
      </c>
      <c r="U19">
        <f t="shared" si="2"/>
        <v>1</v>
      </c>
      <c r="V19">
        <f t="shared" si="3"/>
        <v>0.72</v>
      </c>
      <c r="W19">
        <f t="shared" si="4"/>
        <v>4.7000000000000002E-3</v>
      </c>
      <c r="X19">
        <f t="shared" si="5"/>
        <v>0</v>
      </c>
      <c r="Y19">
        <f t="shared" si="6"/>
        <v>0.24</v>
      </c>
      <c r="Z19">
        <f t="shared" si="7"/>
        <v>1.0999999999999999E-2</v>
      </c>
      <c r="AA19">
        <f t="shared" si="8"/>
        <v>0.21</v>
      </c>
      <c r="AB19">
        <f t="shared" si="9"/>
        <v>5.8999999999999999E-3</v>
      </c>
      <c r="AC19">
        <f t="shared" si="10"/>
        <v>0.95</v>
      </c>
      <c r="AD19">
        <f t="shared" si="11"/>
        <v>1.52</v>
      </c>
      <c r="AE19">
        <f t="shared" si="12"/>
        <v>3.5616438356164386E-3</v>
      </c>
      <c r="AF19">
        <f t="shared" si="13"/>
        <v>0</v>
      </c>
      <c r="AH19" t="e">
        <f t="shared" si="14"/>
        <v>#DIV/0!</v>
      </c>
      <c r="AI19">
        <v>0</v>
      </c>
      <c r="AJ19">
        <f t="shared" si="15"/>
        <v>0</v>
      </c>
      <c r="AK19">
        <v>1.2305324245694275E-2</v>
      </c>
      <c r="AL19">
        <f t="shared" si="16"/>
        <v>-1.2305324245694275E-2</v>
      </c>
      <c r="AM19">
        <f t="shared" si="17"/>
        <v>6.0000000000000001E-3</v>
      </c>
      <c r="AN19">
        <f t="shared" si="18"/>
        <v>1.5714285714285714</v>
      </c>
      <c r="AO19">
        <f t="shared" si="19"/>
        <v>1.3</v>
      </c>
      <c r="AP19">
        <f t="shared" si="20"/>
        <v>1.2849999999999999</v>
      </c>
      <c r="AQ19">
        <f t="shared" si="21"/>
        <v>-1.4E-3</v>
      </c>
      <c r="AS19">
        <f t="shared" si="22"/>
        <v>0</v>
      </c>
      <c r="AT19">
        <f t="shared" si="23"/>
        <v>0</v>
      </c>
      <c r="AU19">
        <f t="shared" si="24"/>
        <v>0</v>
      </c>
      <c r="AV19">
        <f t="shared" si="25"/>
        <v>0</v>
      </c>
      <c r="AW19">
        <f t="shared" si="26"/>
        <v>0.08</v>
      </c>
      <c r="AX19">
        <f t="shared" si="27"/>
        <v>0</v>
      </c>
      <c r="AY19">
        <f t="shared" si="28"/>
        <v>0.24</v>
      </c>
      <c r="AZ19">
        <f t="shared" si="29"/>
        <v>0.6784</v>
      </c>
      <c r="BA19">
        <f t="shared" si="30"/>
        <v>0</v>
      </c>
      <c r="BB19">
        <f t="shared" si="31"/>
        <v>0</v>
      </c>
      <c r="BC19">
        <f t="shared" si="32"/>
        <v>0</v>
      </c>
      <c r="BD19">
        <f t="shared" si="33"/>
        <v>0</v>
      </c>
      <c r="BF19">
        <f t="shared" si="34"/>
        <v>-112.28608374196027</v>
      </c>
      <c r="BT19" t="s">
        <v>127</v>
      </c>
      <c r="BU19">
        <v>2E-3</v>
      </c>
      <c r="BW19" t="s">
        <v>113</v>
      </c>
      <c r="BX19" t="s">
        <v>129</v>
      </c>
      <c r="BY19">
        <v>0.05</v>
      </c>
      <c r="BZ19">
        <v>-0.03</v>
      </c>
      <c r="CA19">
        <v>0</v>
      </c>
      <c r="CB19">
        <v>0</v>
      </c>
      <c r="CC19">
        <v>0</v>
      </c>
      <c r="CD19">
        <v>0.05</v>
      </c>
      <c r="CE19">
        <v>1</v>
      </c>
      <c r="CI19" t="s">
        <v>119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0.16</v>
      </c>
    </row>
    <row r="20" spans="8:93" x14ac:dyDescent="0.2">
      <c r="I20" t="s">
        <v>115</v>
      </c>
      <c r="J20">
        <f t="shared" ref="J20:K22" si="36">J19</f>
        <v>2</v>
      </c>
      <c r="K20">
        <f t="shared" si="36"/>
        <v>0.65</v>
      </c>
      <c r="L20">
        <v>140</v>
      </c>
      <c r="M20">
        <v>0</v>
      </c>
      <c r="N20">
        <v>0</v>
      </c>
      <c r="O20">
        <f t="shared" si="0"/>
        <v>91.25</v>
      </c>
      <c r="T20">
        <f t="shared" si="1"/>
        <v>0</v>
      </c>
      <c r="U20">
        <f t="shared" si="2"/>
        <v>1</v>
      </c>
      <c r="V20">
        <f t="shared" si="3"/>
        <v>0.72</v>
      </c>
      <c r="W20">
        <f t="shared" si="4"/>
        <v>4.7000000000000002E-3</v>
      </c>
      <c r="X20">
        <f t="shared" si="5"/>
        <v>0</v>
      </c>
      <c r="Y20">
        <f t="shared" si="6"/>
        <v>0.24</v>
      </c>
      <c r="Z20">
        <f t="shared" si="7"/>
        <v>1.0999999999999999E-2</v>
      </c>
      <c r="AA20">
        <f t="shared" si="8"/>
        <v>0.21</v>
      </c>
      <c r="AB20">
        <f t="shared" si="9"/>
        <v>5.8999999999999999E-3</v>
      </c>
      <c r="AC20">
        <f t="shared" si="10"/>
        <v>0</v>
      </c>
      <c r="AD20">
        <f t="shared" si="11"/>
        <v>0</v>
      </c>
      <c r="AE20">
        <f t="shared" si="12"/>
        <v>3.5616438356164386E-3</v>
      </c>
      <c r="AF20">
        <f t="shared" si="13"/>
        <v>0</v>
      </c>
      <c r="AH20" t="e">
        <f t="shared" si="14"/>
        <v>#DIV/0!</v>
      </c>
      <c r="AI20">
        <v>0</v>
      </c>
      <c r="AJ20">
        <f t="shared" si="15"/>
        <v>0</v>
      </c>
      <c r="AK20">
        <v>4.7868493150684936E-4</v>
      </c>
      <c r="AL20">
        <f t="shared" si="16"/>
        <v>-4.7868493150684936E-4</v>
      </c>
      <c r="AM20">
        <f t="shared" si="17"/>
        <v>6.0000000000000001E-3</v>
      </c>
      <c r="AN20">
        <f t="shared" si="18"/>
        <v>1.5714285714285714</v>
      </c>
      <c r="AO20">
        <f t="shared" si="19"/>
        <v>1.3</v>
      </c>
      <c r="AP20">
        <f t="shared" si="20"/>
        <v>1</v>
      </c>
      <c r="AQ20">
        <f t="shared" si="21"/>
        <v>-1.4E-3</v>
      </c>
      <c r="AS20">
        <f t="shared" si="22"/>
        <v>0</v>
      </c>
      <c r="AT20">
        <f t="shared" si="23"/>
        <v>0</v>
      </c>
      <c r="AU20">
        <f t="shared" si="24"/>
        <v>0</v>
      </c>
      <c r="AV20">
        <f t="shared" si="25"/>
        <v>0</v>
      </c>
      <c r="AW20">
        <f t="shared" si="26"/>
        <v>0.08</v>
      </c>
      <c r="AX20">
        <f t="shared" si="27"/>
        <v>0</v>
      </c>
      <c r="AY20">
        <f t="shared" si="28"/>
        <v>0.24</v>
      </c>
      <c r="AZ20">
        <f t="shared" si="29"/>
        <v>0.6784</v>
      </c>
      <c r="BA20">
        <f t="shared" si="30"/>
        <v>0</v>
      </c>
      <c r="BB20">
        <f t="shared" si="31"/>
        <v>0</v>
      </c>
      <c r="BC20">
        <f t="shared" si="32"/>
        <v>0</v>
      </c>
      <c r="BD20">
        <f t="shared" si="33"/>
        <v>0</v>
      </c>
      <c r="BF20">
        <f t="shared" si="34"/>
        <v>-6.1152000000000006</v>
      </c>
      <c r="BS20" t="s">
        <v>128</v>
      </c>
      <c r="BT20">
        <v>0.6784</v>
      </c>
      <c r="BW20" t="s">
        <v>115</v>
      </c>
      <c r="BX20" t="s">
        <v>129</v>
      </c>
      <c r="BY20">
        <v>-0.05</v>
      </c>
      <c r="BZ20">
        <v>0.05</v>
      </c>
      <c r="CA20">
        <v>0</v>
      </c>
      <c r="CB20">
        <v>0</v>
      </c>
      <c r="CC20">
        <v>0</v>
      </c>
      <c r="CD20">
        <v>-0.05</v>
      </c>
      <c r="CE20">
        <v>2</v>
      </c>
      <c r="CH20" t="s">
        <v>293</v>
      </c>
      <c r="CI20" t="s">
        <v>113</v>
      </c>
      <c r="CJ20">
        <v>0.16</v>
      </c>
      <c r="CK20">
        <v>0.11</v>
      </c>
      <c r="CL20">
        <v>0.03</v>
      </c>
      <c r="CM20">
        <v>-0.02</v>
      </c>
      <c r="CN20">
        <v>0</v>
      </c>
      <c r="CO20">
        <v>0.15</v>
      </c>
    </row>
    <row r="21" spans="8:93" x14ac:dyDescent="0.2">
      <c r="I21" t="s">
        <v>117</v>
      </c>
      <c r="J21">
        <f t="shared" si="36"/>
        <v>2</v>
      </c>
      <c r="K21">
        <f t="shared" si="36"/>
        <v>0.65</v>
      </c>
      <c r="L21">
        <v>135</v>
      </c>
      <c r="M21">
        <v>0</v>
      </c>
      <c r="N21">
        <v>0</v>
      </c>
      <c r="O21">
        <f t="shared" si="0"/>
        <v>91.25</v>
      </c>
      <c r="T21">
        <f t="shared" si="1"/>
        <v>0</v>
      </c>
      <c r="U21">
        <f t="shared" si="2"/>
        <v>1</v>
      </c>
      <c r="V21">
        <f t="shared" si="3"/>
        <v>0.72</v>
      </c>
      <c r="W21">
        <f t="shared" si="4"/>
        <v>4.7000000000000002E-3</v>
      </c>
      <c r="X21">
        <f t="shared" si="5"/>
        <v>0</v>
      </c>
      <c r="Y21">
        <f t="shared" si="6"/>
        <v>0.24</v>
      </c>
      <c r="Z21">
        <f t="shared" si="7"/>
        <v>1.0999999999999999E-2</v>
      </c>
      <c r="AA21">
        <f t="shared" si="8"/>
        <v>0.21</v>
      </c>
      <c r="AB21">
        <f t="shared" si="9"/>
        <v>5.8999999999999999E-3</v>
      </c>
      <c r="AC21">
        <f t="shared" si="10"/>
        <v>0</v>
      </c>
      <c r="AD21">
        <f t="shared" si="11"/>
        <v>0</v>
      </c>
      <c r="AE21">
        <f t="shared" si="12"/>
        <v>3.5616438356164386E-3</v>
      </c>
      <c r="AF21">
        <f t="shared" si="13"/>
        <v>0</v>
      </c>
      <c r="AH21" t="e">
        <f t="shared" si="14"/>
        <v>#DIV/0!</v>
      </c>
      <c r="AI21">
        <v>0</v>
      </c>
      <c r="AJ21">
        <f t="shared" si="15"/>
        <v>0</v>
      </c>
      <c r="AK21">
        <v>4.7868493150684936E-4</v>
      </c>
      <c r="AL21">
        <f t="shared" si="16"/>
        <v>-4.7868493150684936E-4</v>
      </c>
      <c r="AM21">
        <f t="shared" si="17"/>
        <v>6.0000000000000001E-3</v>
      </c>
      <c r="AN21">
        <f t="shared" si="18"/>
        <v>1.5714285714285714</v>
      </c>
      <c r="AO21">
        <f t="shared" si="19"/>
        <v>1.3</v>
      </c>
      <c r="AP21">
        <f t="shared" si="20"/>
        <v>1</v>
      </c>
      <c r="AQ21">
        <f t="shared" si="21"/>
        <v>-1.4E-3</v>
      </c>
      <c r="AS21">
        <f t="shared" si="22"/>
        <v>0</v>
      </c>
      <c r="AT21">
        <f t="shared" si="23"/>
        <v>0</v>
      </c>
      <c r="AU21">
        <f t="shared" si="24"/>
        <v>0</v>
      </c>
      <c r="AV21">
        <f t="shared" si="25"/>
        <v>0</v>
      </c>
      <c r="AW21">
        <f t="shared" si="26"/>
        <v>0.08</v>
      </c>
      <c r="AX21">
        <f t="shared" si="27"/>
        <v>0</v>
      </c>
      <c r="AY21">
        <f t="shared" si="28"/>
        <v>0.24</v>
      </c>
      <c r="AZ21">
        <f t="shared" si="29"/>
        <v>0.6784</v>
      </c>
      <c r="BA21">
        <f t="shared" si="30"/>
        <v>0</v>
      </c>
      <c r="BB21">
        <f t="shared" si="31"/>
        <v>0</v>
      </c>
      <c r="BC21">
        <f t="shared" si="32"/>
        <v>0</v>
      </c>
      <c r="BD21">
        <f t="shared" si="33"/>
        <v>0</v>
      </c>
      <c r="BF21">
        <f t="shared" si="34"/>
        <v>-5.8967999999999998</v>
      </c>
      <c r="BW21" t="s">
        <v>117</v>
      </c>
      <c r="BX21" t="s">
        <v>129</v>
      </c>
      <c r="BY21">
        <v>-0.01</v>
      </c>
      <c r="BZ21">
        <v>0</v>
      </c>
      <c r="CA21">
        <v>0</v>
      </c>
      <c r="CB21">
        <v>0</v>
      </c>
      <c r="CC21">
        <v>0</v>
      </c>
      <c r="CD21">
        <v>-0.05</v>
      </c>
      <c r="CE21">
        <v>3</v>
      </c>
      <c r="CI21" t="s">
        <v>115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0.11</v>
      </c>
    </row>
    <row r="22" spans="8:93" x14ac:dyDescent="0.2">
      <c r="I22" t="s">
        <v>119</v>
      </c>
      <c r="J22">
        <f t="shared" si="36"/>
        <v>2</v>
      </c>
      <c r="K22">
        <f t="shared" si="36"/>
        <v>0.65</v>
      </c>
      <c r="L22">
        <v>130</v>
      </c>
      <c r="M22">
        <v>0</v>
      </c>
      <c r="N22">
        <v>0</v>
      </c>
      <c r="O22">
        <f t="shared" si="0"/>
        <v>91.25</v>
      </c>
      <c r="T22">
        <f t="shared" si="1"/>
        <v>0</v>
      </c>
      <c r="U22">
        <f t="shared" si="2"/>
        <v>1</v>
      </c>
      <c r="V22">
        <f t="shared" si="3"/>
        <v>0.72</v>
      </c>
      <c r="W22">
        <f t="shared" si="4"/>
        <v>4.7000000000000002E-3</v>
      </c>
      <c r="X22">
        <f t="shared" si="5"/>
        <v>0</v>
      </c>
      <c r="Y22">
        <f t="shared" si="6"/>
        <v>0.24</v>
      </c>
      <c r="Z22">
        <f t="shared" si="7"/>
        <v>1.0999999999999999E-2</v>
      </c>
      <c r="AA22">
        <f t="shared" si="8"/>
        <v>0.21</v>
      </c>
      <c r="AB22">
        <f t="shared" si="9"/>
        <v>5.8999999999999999E-3</v>
      </c>
      <c r="AC22">
        <f t="shared" si="10"/>
        <v>0</v>
      </c>
      <c r="AD22">
        <f t="shared" si="11"/>
        <v>0</v>
      </c>
      <c r="AE22">
        <f t="shared" si="12"/>
        <v>3.5616438356164386E-3</v>
      </c>
      <c r="AF22">
        <f t="shared" si="13"/>
        <v>0</v>
      </c>
      <c r="AH22" t="e">
        <f t="shared" si="14"/>
        <v>#DIV/0!</v>
      </c>
      <c r="AI22">
        <v>0</v>
      </c>
      <c r="AJ22">
        <f t="shared" si="15"/>
        <v>0</v>
      </c>
      <c r="AK22">
        <v>7.2777894310489225E-4</v>
      </c>
      <c r="AL22">
        <f t="shared" si="16"/>
        <v>-7.2777894310489225E-4</v>
      </c>
      <c r="AM22">
        <f t="shared" si="17"/>
        <v>6.0000000000000001E-3</v>
      </c>
      <c r="AN22">
        <f t="shared" si="18"/>
        <v>1.5714285714285714</v>
      </c>
      <c r="AO22">
        <f t="shared" si="19"/>
        <v>1.3</v>
      </c>
      <c r="AP22">
        <f t="shared" si="20"/>
        <v>1</v>
      </c>
      <c r="AQ22">
        <f t="shared" si="21"/>
        <v>-1.4E-3</v>
      </c>
      <c r="AS22">
        <f t="shared" si="22"/>
        <v>0</v>
      </c>
      <c r="AT22">
        <f t="shared" si="23"/>
        <v>0</v>
      </c>
      <c r="AU22">
        <f t="shared" si="24"/>
        <v>0</v>
      </c>
      <c r="AV22">
        <f t="shared" si="25"/>
        <v>0</v>
      </c>
      <c r="AW22">
        <f t="shared" si="26"/>
        <v>0.08</v>
      </c>
      <c r="AX22">
        <f t="shared" si="27"/>
        <v>0</v>
      </c>
      <c r="AY22">
        <f t="shared" si="28"/>
        <v>0.24</v>
      </c>
      <c r="AZ22">
        <f t="shared" si="29"/>
        <v>0.6784</v>
      </c>
      <c r="BA22">
        <f t="shared" si="30"/>
        <v>0</v>
      </c>
      <c r="BB22">
        <f t="shared" si="31"/>
        <v>0</v>
      </c>
      <c r="BC22">
        <f t="shared" si="32"/>
        <v>0</v>
      </c>
      <c r="BD22">
        <f t="shared" si="33"/>
        <v>0</v>
      </c>
      <c r="BF22">
        <f t="shared" si="34"/>
        <v>-8.6332777125817834</v>
      </c>
      <c r="BW22" t="s">
        <v>119</v>
      </c>
      <c r="BX22" t="s">
        <v>129</v>
      </c>
      <c r="BY22">
        <v>0.01</v>
      </c>
      <c r="BZ22">
        <v>-0.02</v>
      </c>
      <c r="CA22">
        <v>0</v>
      </c>
      <c r="CB22">
        <v>0</v>
      </c>
      <c r="CC22">
        <v>0</v>
      </c>
      <c r="CD22">
        <v>0.05</v>
      </c>
      <c r="CE22">
        <v>4</v>
      </c>
      <c r="CI22" t="s">
        <v>117</v>
      </c>
      <c r="CJ22">
        <v>-0.2</v>
      </c>
      <c r="CK22">
        <v>-0.1</v>
      </c>
      <c r="CL22">
        <v>0</v>
      </c>
      <c r="CM22">
        <v>0</v>
      </c>
      <c r="CN22">
        <v>0</v>
      </c>
      <c r="CO22">
        <v>0.13</v>
      </c>
    </row>
    <row r="23" spans="8:93" x14ac:dyDescent="0.2">
      <c r="H23" t="s">
        <v>129</v>
      </c>
      <c r="I23" t="s">
        <v>113</v>
      </c>
      <c r="J23">
        <v>2</v>
      </c>
      <c r="K23">
        <v>0.7</v>
      </c>
      <c r="L23">
        <v>200</v>
      </c>
      <c r="M23">
        <v>0</v>
      </c>
      <c r="N23">
        <v>0</v>
      </c>
      <c r="O23">
        <f t="shared" si="0"/>
        <v>91.25</v>
      </c>
      <c r="T23">
        <f t="shared" si="1"/>
        <v>0</v>
      </c>
      <c r="U23">
        <f t="shared" si="2"/>
        <v>1</v>
      </c>
      <c r="V23">
        <f t="shared" si="3"/>
        <v>0.72</v>
      </c>
      <c r="W23">
        <f t="shared" si="4"/>
        <v>4.7000000000000002E-3</v>
      </c>
      <c r="X23">
        <f t="shared" si="5"/>
        <v>0</v>
      </c>
      <c r="Y23">
        <f t="shared" si="6"/>
        <v>0.24</v>
      </c>
      <c r="Z23">
        <f t="shared" si="7"/>
        <v>1.0999999999999999E-2</v>
      </c>
      <c r="AA23">
        <f t="shared" si="8"/>
        <v>0.21</v>
      </c>
      <c r="AB23">
        <f t="shared" si="9"/>
        <v>5.8999999999999999E-3</v>
      </c>
      <c r="AC23">
        <f t="shared" si="10"/>
        <v>0</v>
      </c>
      <c r="AD23">
        <f t="shared" si="11"/>
        <v>0</v>
      </c>
      <c r="AE23">
        <f t="shared" si="12"/>
        <v>3.8356164383561643E-3</v>
      </c>
      <c r="AF23">
        <f t="shared" si="13"/>
        <v>0</v>
      </c>
      <c r="AH23" t="e">
        <f t="shared" si="14"/>
        <v>#DIV/0!</v>
      </c>
      <c r="AI23">
        <v>0</v>
      </c>
      <c r="AJ23">
        <f t="shared" si="15"/>
        <v>0</v>
      </c>
      <c r="AK23">
        <v>1.0761713957214488E-3</v>
      </c>
      <c r="AL23">
        <f t="shared" si="16"/>
        <v>-1.0761713957214488E-3</v>
      </c>
      <c r="AM23">
        <f t="shared" si="17"/>
        <v>6.0000000000000001E-3</v>
      </c>
      <c r="AN23">
        <f t="shared" si="18"/>
        <v>1.5714285714285714</v>
      </c>
      <c r="AO23">
        <f t="shared" si="19"/>
        <v>1.3</v>
      </c>
      <c r="AP23">
        <f t="shared" si="20"/>
        <v>1</v>
      </c>
      <c r="AQ23">
        <f t="shared" si="21"/>
        <v>-1.4E-3</v>
      </c>
      <c r="AS23">
        <f t="shared" si="22"/>
        <v>0</v>
      </c>
      <c r="AT23">
        <f t="shared" si="23"/>
        <v>0</v>
      </c>
      <c r="AU23">
        <f t="shared" si="24"/>
        <v>0</v>
      </c>
      <c r="AV23">
        <f t="shared" si="25"/>
        <v>0</v>
      </c>
      <c r="AW23">
        <f t="shared" si="26"/>
        <v>0.08</v>
      </c>
      <c r="AX23">
        <f t="shared" si="27"/>
        <v>0</v>
      </c>
      <c r="AY23">
        <f t="shared" si="28"/>
        <v>0.24</v>
      </c>
      <c r="AZ23">
        <f t="shared" si="29"/>
        <v>0.6784</v>
      </c>
      <c r="BA23">
        <f t="shared" si="30"/>
        <v>0</v>
      </c>
      <c r="BB23">
        <f t="shared" si="31"/>
        <v>0</v>
      </c>
      <c r="BC23">
        <f t="shared" si="32"/>
        <v>0</v>
      </c>
      <c r="BD23">
        <f t="shared" si="33"/>
        <v>0</v>
      </c>
      <c r="BF23">
        <f t="shared" si="34"/>
        <v>-19.640127971916439</v>
      </c>
      <c r="BW23" t="s">
        <v>113</v>
      </c>
      <c r="BX23" t="s">
        <v>131</v>
      </c>
      <c r="BY23">
        <v>7.0000000000000007E-2</v>
      </c>
      <c r="BZ23">
        <v>-0.02</v>
      </c>
      <c r="CA23">
        <v>0.11</v>
      </c>
      <c r="CB23">
        <v>0.16</v>
      </c>
      <c r="CC23">
        <v>0.11</v>
      </c>
      <c r="CD23">
        <v>0.11</v>
      </c>
      <c r="CE23">
        <v>1</v>
      </c>
      <c r="CI23" t="s">
        <v>119</v>
      </c>
      <c r="CJ23">
        <v>0</v>
      </c>
      <c r="CK23">
        <v>-0.1</v>
      </c>
      <c r="CL23">
        <v>0.5</v>
      </c>
      <c r="CM23">
        <v>0.02</v>
      </c>
      <c r="CN23">
        <v>0</v>
      </c>
      <c r="CO23">
        <v>7.0000000000000007E-2</v>
      </c>
    </row>
    <row r="24" spans="8:93" x14ac:dyDescent="0.2">
      <c r="I24" t="s">
        <v>115</v>
      </c>
      <c r="J24">
        <f t="shared" ref="J24:K26" si="37">J23</f>
        <v>2</v>
      </c>
      <c r="K24">
        <f t="shared" si="37"/>
        <v>0.7</v>
      </c>
      <c r="L24">
        <v>210</v>
      </c>
      <c r="M24">
        <v>0</v>
      </c>
      <c r="N24">
        <v>0</v>
      </c>
      <c r="O24">
        <f t="shared" si="0"/>
        <v>91.25</v>
      </c>
      <c r="T24">
        <f t="shared" si="1"/>
        <v>0</v>
      </c>
      <c r="U24">
        <f t="shared" si="2"/>
        <v>1</v>
      </c>
      <c r="V24">
        <f t="shared" si="3"/>
        <v>0.72</v>
      </c>
      <c r="W24">
        <f t="shared" si="4"/>
        <v>4.7000000000000002E-3</v>
      </c>
      <c r="X24">
        <f t="shared" si="5"/>
        <v>0</v>
      </c>
      <c r="Y24">
        <f t="shared" si="6"/>
        <v>0.24</v>
      </c>
      <c r="Z24">
        <f t="shared" si="7"/>
        <v>1.0999999999999999E-2</v>
      </c>
      <c r="AA24">
        <f t="shared" si="8"/>
        <v>0.21</v>
      </c>
      <c r="AB24">
        <f t="shared" si="9"/>
        <v>5.8999999999999999E-3</v>
      </c>
      <c r="AC24">
        <f t="shared" si="10"/>
        <v>0</v>
      </c>
      <c r="AD24">
        <f t="shared" si="11"/>
        <v>0</v>
      </c>
      <c r="AE24">
        <f t="shared" si="12"/>
        <v>3.8356164383561643E-3</v>
      </c>
      <c r="AF24">
        <f t="shared" si="13"/>
        <v>0</v>
      </c>
      <c r="AH24" t="e">
        <f t="shared" si="14"/>
        <v>#DIV/0!</v>
      </c>
      <c r="AI24">
        <v>0</v>
      </c>
      <c r="AJ24">
        <f t="shared" si="15"/>
        <v>0</v>
      </c>
      <c r="AK24">
        <v>-6.7008407966660379E-5</v>
      </c>
      <c r="AL24">
        <f t="shared" si="16"/>
        <v>6.7008407966660379E-5</v>
      </c>
      <c r="AM24">
        <f t="shared" si="17"/>
        <v>6.0000000000000001E-3</v>
      </c>
      <c r="AN24">
        <f t="shared" si="18"/>
        <v>1.5714285714285714</v>
      </c>
      <c r="AO24">
        <f t="shared" si="19"/>
        <v>1.3</v>
      </c>
      <c r="AP24">
        <f t="shared" si="20"/>
        <v>1</v>
      </c>
      <c r="AQ24">
        <f t="shared" si="21"/>
        <v>-1.4E-3</v>
      </c>
      <c r="AS24">
        <f t="shared" si="22"/>
        <v>0</v>
      </c>
      <c r="AT24">
        <f t="shared" si="23"/>
        <v>0</v>
      </c>
      <c r="AU24">
        <f t="shared" si="24"/>
        <v>0</v>
      </c>
      <c r="AV24">
        <f t="shared" si="25"/>
        <v>0</v>
      </c>
      <c r="AW24">
        <f t="shared" si="26"/>
        <v>0.08</v>
      </c>
      <c r="AX24">
        <f t="shared" si="27"/>
        <v>0</v>
      </c>
      <c r="AY24">
        <f t="shared" si="28"/>
        <v>0.24</v>
      </c>
      <c r="AZ24">
        <f t="shared" si="29"/>
        <v>0.6784</v>
      </c>
      <c r="BA24">
        <f t="shared" si="30"/>
        <v>0</v>
      </c>
      <c r="BB24">
        <f t="shared" si="31"/>
        <v>0</v>
      </c>
      <c r="BC24">
        <f t="shared" si="32"/>
        <v>0</v>
      </c>
      <c r="BD24">
        <f t="shared" si="33"/>
        <v>0</v>
      </c>
      <c r="BF24">
        <f t="shared" si="34"/>
        <v>1.2840486176611294</v>
      </c>
      <c r="BW24" t="s">
        <v>115</v>
      </c>
      <c r="BX24" t="s">
        <v>131</v>
      </c>
      <c r="BY24">
        <v>0</v>
      </c>
      <c r="BZ24">
        <v>0.03</v>
      </c>
      <c r="CA24">
        <v>-0.1</v>
      </c>
      <c r="CB24">
        <v>0</v>
      </c>
      <c r="CC24">
        <v>-0.05</v>
      </c>
      <c r="CD24">
        <v>-0.11</v>
      </c>
      <c r="CE24">
        <v>2</v>
      </c>
      <c r="CH24" t="s">
        <v>294</v>
      </c>
      <c r="CI24" t="s">
        <v>113</v>
      </c>
      <c r="CJ24">
        <v>0.11</v>
      </c>
      <c r="CK24">
        <v>0.11</v>
      </c>
      <c r="CL24">
        <v>0.16</v>
      </c>
      <c r="CM24">
        <v>0.11</v>
      </c>
      <c r="CN24">
        <v>0</v>
      </c>
      <c r="CO24">
        <v>0.15</v>
      </c>
    </row>
    <row r="25" spans="8:93" x14ac:dyDescent="0.2">
      <c r="I25" t="s">
        <v>117</v>
      </c>
      <c r="J25">
        <f t="shared" si="37"/>
        <v>2</v>
      </c>
      <c r="K25">
        <f t="shared" si="37"/>
        <v>0.7</v>
      </c>
      <c r="L25">
        <v>190</v>
      </c>
      <c r="M25">
        <v>0</v>
      </c>
      <c r="N25">
        <v>0</v>
      </c>
      <c r="O25">
        <f t="shared" si="0"/>
        <v>91.25</v>
      </c>
      <c r="T25">
        <f t="shared" si="1"/>
        <v>0</v>
      </c>
      <c r="U25">
        <f t="shared" si="2"/>
        <v>1</v>
      </c>
      <c r="V25">
        <f t="shared" si="3"/>
        <v>0.72</v>
      </c>
      <c r="W25">
        <f t="shared" si="4"/>
        <v>4.7000000000000002E-3</v>
      </c>
      <c r="X25">
        <f t="shared" si="5"/>
        <v>0</v>
      </c>
      <c r="Y25">
        <f t="shared" si="6"/>
        <v>0.24</v>
      </c>
      <c r="Z25">
        <f t="shared" si="7"/>
        <v>1.0999999999999999E-2</v>
      </c>
      <c r="AA25">
        <f t="shared" si="8"/>
        <v>0.21</v>
      </c>
      <c r="AB25">
        <f t="shared" si="9"/>
        <v>5.8999999999999999E-3</v>
      </c>
      <c r="AC25">
        <f t="shared" si="10"/>
        <v>0</v>
      </c>
      <c r="AD25">
        <f t="shared" si="11"/>
        <v>0</v>
      </c>
      <c r="AE25">
        <f t="shared" si="12"/>
        <v>3.8356164383561643E-3</v>
      </c>
      <c r="AF25">
        <f t="shared" si="13"/>
        <v>0</v>
      </c>
      <c r="AH25" t="e">
        <f t="shared" si="14"/>
        <v>#DIV/0!</v>
      </c>
      <c r="AI25">
        <v>0</v>
      </c>
      <c r="AJ25">
        <f t="shared" si="15"/>
        <v>0</v>
      </c>
      <c r="AK25">
        <v>3.9804023233659479E-4</v>
      </c>
      <c r="AL25">
        <f t="shared" si="16"/>
        <v>-3.9804023233659479E-4</v>
      </c>
      <c r="AM25">
        <f t="shared" si="17"/>
        <v>6.0000000000000001E-3</v>
      </c>
      <c r="AN25">
        <f t="shared" si="18"/>
        <v>1.5714285714285714</v>
      </c>
      <c r="AO25">
        <f t="shared" si="19"/>
        <v>1.3</v>
      </c>
      <c r="AP25">
        <f t="shared" si="20"/>
        <v>1</v>
      </c>
      <c r="AQ25">
        <f t="shared" si="21"/>
        <v>-1.4E-3</v>
      </c>
      <c r="AS25">
        <f t="shared" si="22"/>
        <v>0</v>
      </c>
      <c r="AT25">
        <f t="shared" si="23"/>
        <v>0</v>
      </c>
      <c r="AU25">
        <f t="shared" si="24"/>
        <v>0</v>
      </c>
      <c r="AV25">
        <f t="shared" si="25"/>
        <v>0</v>
      </c>
      <c r="AW25">
        <f t="shared" si="26"/>
        <v>0.08</v>
      </c>
      <c r="AX25">
        <f t="shared" si="27"/>
        <v>0</v>
      </c>
      <c r="AY25">
        <f t="shared" si="28"/>
        <v>0.24</v>
      </c>
      <c r="AZ25">
        <f t="shared" si="29"/>
        <v>0.6784</v>
      </c>
      <c r="BA25">
        <f t="shared" si="30"/>
        <v>0</v>
      </c>
      <c r="BB25">
        <f t="shared" si="31"/>
        <v>0</v>
      </c>
      <c r="BC25">
        <f t="shared" si="32"/>
        <v>0</v>
      </c>
      <c r="BD25">
        <f t="shared" si="33"/>
        <v>0</v>
      </c>
      <c r="BF25">
        <f t="shared" si="34"/>
        <v>-6.9010225281357123</v>
      </c>
      <c r="BR25" t="s">
        <v>130</v>
      </c>
      <c r="BW25" t="s">
        <v>117</v>
      </c>
      <c r="BX25" t="s">
        <v>131</v>
      </c>
      <c r="BY25">
        <v>-7.0000000000000007E-2</v>
      </c>
      <c r="BZ25">
        <v>0.02</v>
      </c>
      <c r="CA25">
        <v>0</v>
      </c>
      <c r="CB25">
        <v>-0.2</v>
      </c>
      <c r="CC25">
        <v>0</v>
      </c>
      <c r="CD25">
        <v>0</v>
      </c>
      <c r="CE25">
        <v>3</v>
      </c>
      <c r="CI25" t="s">
        <v>115</v>
      </c>
      <c r="CJ25">
        <v>-0.05</v>
      </c>
      <c r="CK25">
        <v>-0.05</v>
      </c>
      <c r="CL25">
        <v>-0.05</v>
      </c>
      <c r="CM25">
        <v>-0.05</v>
      </c>
      <c r="CN25">
        <v>0</v>
      </c>
      <c r="CO25">
        <v>7.0000000000000007E-2</v>
      </c>
    </row>
    <row r="26" spans="8:93" x14ac:dyDescent="0.2">
      <c r="I26" t="s">
        <v>119</v>
      </c>
      <c r="J26">
        <f t="shared" si="37"/>
        <v>2</v>
      </c>
      <c r="K26">
        <f t="shared" si="37"/>
        <v>0.7</v>
      </c>
      <c r="L26">
        <v>180</v>
      </c>
      <c r="M26">
        <v>0</v>
      </c>
      <c r="N26">
        <v>0</v>
      </c>
      <c r="O26">
        <f t="shared" si="0"/>
        <v>91.25</v>
      </c>
      <c r="T26">
        <f t="shared" si="1"/>
        <v>0</v>
      </c>
      <c r="U26">
        <f t="shared" si="2"/>
        <v>1</v>
      </c>
      <c r="V26">
        <f t="shared" si="3"/>
        <v>0.72</v>
      </c>
      <c r="W26">
        <f t="shared" si="4"/>
        <v>4.7000000000000002E-3</v>
      </c>
      <c r="X26">
        <f t="shared" si="5"/>
        <v>0</v>
      </c>
      <c r="Y26">
        <f t="shared" si="6"/>
        <v>0.24</v>
      </c>
      <c r="Z26">
        <f t="shared" si="7"/>
        <v>1.0999999999999999E-2</v>
      </c>
      <c r="AA26">
        <f t="shared" si="8"/>
        <v>0.21</v>
      </c>
      <c r="AB26">
        <f t="shared" si="9"/>
        <v>5.8999999999999999E-3</v>
      </c>
      <c r="AC26">
        <f t="shared" si="10"/>
        <v>0</v>
      </c>
      <c r="AD26">
        <f t="shared" si="11"/>
        <v>0</v>
      </c>
      <c r="AE26">
        <f t="shared" si="12"/>
        <v>3.8356164383561643E-3</v>
      </c>
      <c r="AF26">
        <f t="shared" si="13"/>
        <v>0</v>
      </c>
      <c r="AH26" t="e">
        <f t="shared" si="14"/>
        <v>#DIV/0!</v>
      </c>
      <c r="AI26">
        <v>0</v>
      </c>
      <c r="AJ26">
        <f t="shared" si="15"/>
        <v>0</v>
      </c>
      <c r="AK26">
        <v>6.3181847062017697E-4</v>
      </c>
      <c r="AL26">
        <f t="shared" si="16"/>
        <v>-6.3181847062017697E-4</v>
      </c>
      <c r="AM26">
        <f t="shared" si="17"/>
        <v>6.0000000000000001E-3</v>
      </c>
      <c r="AN26">
        <f t="shared" si="18"/>
        <v>1.5714285714285714</v>
      </c>
      <c r="AO26">
        <f t="shared" si="19"/>
        <v>1.3</v>
      </c>
      <c r="AP26">
        <f t="shared" si="20"/>
        <v>1</v>
      </c>
      <c r="AQ26">
        <f t="shared" si="21"/>
        <v>-1.4E-3</v>
      </c>
      <c r="AS26">
        <f t="shared" si="22"/>
        <v>0</v>
      </c>
      <c r="AT26">
        <f t="shared" si="23"/>
        <v>0</v>
      </c>
      <c r="AU26">
        <f t="shared" si="24"/>
        <v>0</v>
      </c>
      <c r="AV26">
        <f t="shared" si="25"/>
        <v>0</v>
      </c>
      <c r="AW26">
        <f t="shared" si="26"/>
        <v>0.08</v>
      </c>
      <c r="AX26">
        <f t="shared" si="27"/>
        <v>0</v>
      </c>
      <c r="AY26">
        <f t="shared" si="28"/>
        <v>0.24</v>
      </c>
      <c r="AZ26">
        <f t="shared" si="29"/>
        <v>0.6784</v>
      </c>
      <c r="BA26">
        <f t="shared" si="30"/>
        <v>0</v>
      </c>
      <c r="BB26">
        <f t="shared" si="31"/>
        <v>0</v>
      </c>
      <c r="BC26">
        <f t="shared" si="32"/>
        <v>0</v>
      </c>
      <c r="BD26">
        <f t="shared" si="33"/>
        <v>0</v>
      </c>
      <c r="BF26">
        <f t="shared" si="34"/>
        <v>-10.377618379936408</v>
      </c>
      <c r="BR26" t="s">
        <v>295</v>
      </c>
      <c r="BS26" t="s">
        <v>296</v>
      </c>
      <c r="BT26">
        <v>0.75</v>
      </c>
      <c r="BW26" t="s">
        <v>119</v>
      </c>
      <c r="BX26" t="s">
        <v>131</v>
      </c>
      <c r="BY26">
        <v>0</v>
      </c>
      <c r="BZ26">
        <v>-0.03</v>
      </c>
      <c r="CA26">
        <v>0</v>
      </c>
      <c r="CB26">
        <v>0</v>
      </c>
      <c r="CC26">
        <v>-0.05</v>
      </c>
      <c r="CD26">
        <v>0</v>
      </c>
      <c r="CE26">
        <v>4</v>
      </c>
      <c r="CI26" t="s">
        <v>117</v>
      </c>
      <c r="CJ26">
        <v>0</v>
      </c>
      <c r="CK26">
        <v>-0.03</v>
      </c>
      <c r="CL26">
        <v>-0.02</v>
      </c>
      <c r="CM26">
        <v>-0.02</v>
      </c>
      <c r="CN26">
        <v>0</v>
      </c>
      <c r="CO26">
        <v>0.05</v>
      </c>
    </row>
    <row r="27" spans="8:93" x14ac:dyDescent="0.2">
      <c r="H27" t="s">
        <v>131</v>
      </c>
      <c r="I27" t="s">
        <v>113</v>
      </c>
      <c r="J27">
        <v>1</v>
      </c>
      <c r="K27">
        <v>0.65</v>
      </c>
      <c r="L27">
        <v>50</v>
      </c>
      <c r="M27">
        <v>0</v>
      </c>
      <c r="N27">
        <v>0</v>
      </c>
      <c r="O27">
        <f t="shared" si="0"/>
        <v>91.25</v>
      </c>
      <c r="T27">
        <f t="shared" si="1"/>
        <v>0</v>
      </c>
      <c r="U27">
        <f t="shared" si="2"/>
        <v>1</v>
      </c>
      <c r="V27">
        <f t="shared" si="3"/>
        <v>0.72</v>
      </c>
      <c r="W27">
        <f t="shared" si="4"/>
        <v>4.7000000000000002E-3</v>
      </c>
      <c r="X27">
        <f t="shared" si="5"/>
        <v>0</v>
      </c>
      <c r="Y27">
        <f t="shared" si="6"/>
        <v>0.24</v>
      </c>
      <c r="Z27">
        <f t="shared" si="7"/>
        <v>1.0999999999999999E-2</v>
      </c>
      <c r="AA27">
        <f t="shared" si="8"/>
        <v>0.21</v>
      </c>
      <c r="AB27">
        <f t="shared" si="9"/>
        <v>5.8999999999999999E-3</v>
      </c>
      <c r="AC27">
        <f t="shared" si="10"/>
        <v>0</v>
      </c>
      <c r="AD27">
        <f t="shared" si="11"/>
        <v>0</v>
      </c>
      <c r="AE27">
        <f t="shared" si="12"/>
        <v>1.7808219178082193E-3</v>
      </c>
      <c r="AF27">
        <f t="shared" si="13"/>
        <v>0</v>
      </c>
      <c r="AH27" t="e">
        <f t="shared" si="14"/>
        <v>#DIV/0!</v>
      </c>
      <c r="AI27">
        <v>0</v>
      </c>
      <c r="AJ27">
        <f t="shared" si="15"/>
        <v>0</v>
      </c>
      <c r="AK27">
        <v>1.0297560621526452E-3</v>
      </c>
      <c r="AL27">
        <f t="shared" si="16"/>
        <v>-1.0297560621526452E-3</v>
      </c>
      <c r="AM27">
        <f t="shared" si="17"/>
        <v>6.0000000000000001E-3</v>
      </c>
      <c r="AN27">
        <f t="shared" si="18"/>
        <v>1.5714285714285714</v>
      </c>
      <c r="AO27">
        <f t="shared" si="19"/>
        <v>1.3</v>
      </c>
      <c r="AP27">
        <f t="shared" si="20"/>
        <v>1</v>
      </c>
      <c r="AQ27">
        <f t="shared" si="21"/>
        <v>-1.4E-3</v>
      </c>
      <c r="AS27">
        <f t="shared" si="22"/>
        <v>0</v>
      </c>
      <c r="AT27">
        <f t="shared" si="23"/>
        <v>0</v>
      </c>
      <c r="AU27">
        <f t="shared" si="24"/>
        <v>0</v>
      </c>
      <c r="AV27">
        <f t="shared" si="25"/>
        <v>0</v>
      </c>
      <c r="AW27">
        <f t="shared" si="26"/>
        <v>0.08</v>
      </c>
      <c r="AX27">
        <f t="shared" si="27"/>
        <v>0</v>
      </c>
      <c r="AY27">
        <f t="shared" si="28"/>
        <v>0.24</v>
      </c>
      <c r="AZ27">
        <f t="shared" si="29"/>
        <v>0.6784</v>
      </c>
      <c r="BA27">
        <f t="shared" si="30"/>
        <v>0</v>
      </c>
      <c r="BB27">
        <f t="shared" si="31"/>
        <v>0</v>
      </c>
      <c r="BC27">
        <f t="shared" si="32"/>
        <v>0</v>
      </c>
      <c r="BD27">
        <f t="shared" si="33"/>
        <v>0</v>
      </c>
      <c r="BF27">
        <f t="shared" si="34"/>
        <v>-4.6982620335714431</v>
      </c>
      <c r="BR27" t="s">
        <v>285</v>
      </c>
      <c r="BS27" t="s">
        <v>297</v>
      </c>
      <c r="BT27">
        <v>0.45</v>
      </c>
      <c r="BW27" t="s">
        <v>113</v>
      </c>
      <c r="BX27" t="s">
        <v>132</v>
      </c>
      <c r="BY27">
        <v>0.08</v>
      </c>
      <c r="BZ27">
        <v>0</v>
      </c>
      <c r="CA27">
        <v>0.11</v>
      </c>
      <c r="CB27">
        <v>0.11</v>
      </c>
      <c r="CC27">
        <v>0.11</v>
      </c>
      <c r="CD27">
        <v>0.13</v>
      </c>
      <c r="CE27">
        <v>1</v>
      </c>
      <c r="CI27" t="s">
        <v>119</v>
      </c>
      <c r="CJ27">
        <v>-0.05</v>
      </c>
      <c r="CK27">
        <v>-0.02</v>
      </c>
      <c r="CL27">
        <v>-0.03</v>
      </c>
      <c r="CM27">
        <v>-0.03</v>
      </c>
      <c r="CN27">
        <v>0</v>
      </c>
      <c r="CO27">
        <v>0.02</v>
      </c>
    </row>
    <row r="28" spans="8:93" x14ac:dyDescent="0.2">
      <c r="I28" t="s">
        <v>115</v>
      </c>
      <c r="J28">
        <f t="shared" ref="J28:K30" si="38">J27</f>
        <v>1</v>
      </c>
      <c r="K28">
        <f t="shared" si="38"/>
        <v>0.65</v>
      </c>
      <c r="L28">
        <v>55</v>
      </c>
      <c r="M28">
        <v>0</v>
      </c>
      <c r="N28">
        <v>0</v>
      </c>
      <c r="O28">
        <f t="shared" si="0"/>
        <v>91.25</v>
      </c>
      <c r="T28">
        <f t="shared" si="1"/>
        <v>0</v>
      </c>
      <c r="U28">
        <f t="shared" si="2"/>
        <v>1</v>
      </c>
      <c r="V28">
        <f t="shared" si="3"/>
        <v>0.72</v>
      </c>
      <c r="W28">
        <f t="shared" si="4"/>
        <v>4.7000000000000002E-3</v>
      </c>
      <c r="X28">
        <f t="shared" si="5"/>
        <v>0</v>
      </c>
      <c r="Y28">
        <f t="shared" si="6"/>
        <v>0.24</v>
      </c>
      <c r="Z28">
        <f t="shared" si="7"/>
        <v>1.0999999999999999E-2</v>
      </c>
      <c r="AA28">
        <f t="shared" si="8"/>
        <v>0.21</v>
      </c>
      <c r="AB28">
        <f t="shared" si="9"/>
        <v>5.8999999999999999E-3</v>
      </c>
      <c r="AC28">
        <f t="shared" si="10"/>
        <v>0</v>
      </c>
      <c r="AD28">
        <f t="shared" si="11"/>
        <v>0</v>
      </c>
      <c r="AE28">
        <f t="shared" si="12"/>
        <v>1.7808219178082193E-3</v>
      </c>
      <c r="AF28">
        <f t="shared" si="13"/>
        <v>0</v>
      </c>
      <c r="AH28" t="e">
        <f t="shared" si="14"/>
        <v>#DIV/0!</v>
      </c>
      <c r="AI28">
        <v>0</v>
      </c>
      <c r="AJ28">
        <f t="shared" si="15"/>
        <v>0</v>
      </c>
      <c r="AK28">
        <v>2.3934246575342468E-4</v>
      </c>
      <c r="AL28">
        <f t="shared" si="16"/>
        <v>-2.3934246575342468E-4</v>
      </c>
      <c r="AM28">
        <f t="shared" si="17"/>
        <v>6.0000000000000001E-3</v>
      </c>
      <c r="AN28">
        <f t="shared" si="18"/>
        <v>1.5714285714285714</v>
      </c>
      <c r="AO28">
        <f t="shared" si="19"/>
        <v>1.3</v>
      </c>
      <c r="AP28">
        <f t="shared" si="20"/>
        <v>1</v>
      </c>
      <c r="AQ28">
        <f t="shared" si="21"/>
        <v>-1.4E-3</v>
      </c>
      <c r="AS28">
        <f t="shared" si="22"/>
        <v>0</v>
      </c>
      <c r="AT28">
        <f t="shared" si="23"/>
        <v>0</v>
      </c>
      <c r="AU28">
        <f t="shared" si="24"/>
        <v>0</v>
      </c>
      <c r="AV28">
        <f t="shared" si="25"/>
        <v>0</v>
      </c>
      <c r="AW28">
        <f t="shared" si="26"/>
        <v>0.08</v>
      </c>
      <c r="AX28">
        <f t="shared" si="27"/>
        <v>0</v>
      </c>
      <c r="AY28">
        <f t="shared" si="28"/>
        <v>0.24</v>
      </c>
      <c r="AZ28">
        <f t="shared" si="29"/>
        <v>0.6784</v>
      </c>
      <c r="BA28">
        <f t="shared" si="30"/>
        <v>0</v>
      </c>
      <c r="BB28">
        <f t="shared" si="31"/>
        <v>0</v>
      </c>
      <c r="BC28">
        <f t="shared" si="32"/>
        <v>0</v>
      </c>
      <c r="BD28">
        <f t="shared" si="33"/>
        <v>0</v>
      </c>
      <c r="BF28">
        <f t="shared" si="34"/>
        <v>-1.2012</v>
      </c>
      <c r="BR28" t="s">
        <v>286</v>
      </c>
      <c r="BS28" t="s">
        <v>298</v>
      </c>
      <c r="BT28">
        <v>0.09</v>
      </c>
      <c r="BW28" t="s">
        <v>115</v>
      </c>
      <c r="BX28" t="s">
        <v>132</v>
      </c>
      <c r="BY28">
        <v>-0.08</v>
      </c>
      <c r="BZ28">
        <v>0.05</v>
      </c>
      <c r="CA28">
        <v>-0.1</v>
      </c>
      <c r="CB28">
        <v>0</v>
      </c>
      <c r="CC28">
        <v>-0.05</v>
      </c>
      <c r="CD28">
        <v>-0.05</v>
      </c>
      <c r="CE28">
        <v>2</v>
      </c>
      <c r="CH28" t="s">
        <v>299</v>
      </c>
      <c r="CI28" t="s">
        <v>113</v>
      </c>
      <c r="CJ28">
        <v>0.11</v>
      </c>
      <c r="CK28">
        <v>0.13</v>
      </c>
      <c r="CL28">
        <v>0.05</v>
      </c>
      <c r="CM28">
        <v>0.05</v>
      </c>
      <c r="CN28">
        <v>0.05</v>
      </c>
      <c r="CO28">
        <v>0.11</v>
      </c>
    </row>
    <row r="29" spans="8:93" x14ac:dyDescent="0.2">
      <c r="I29" t="s">
        <v>117</v>
      </c>
      <c r="J29">
        <f t="shared" si="38"/>
        <v>1</v>
      </c>
      <c r="K29">
        <f t="shared" si="38"/>
        <v>0.65</v>
      </c>
      <c r="L29">
        <v>60</v>
      </c>
      <c r="M29">
        <v>0</v>
      </c>
      <c r="N29">
        <v>0</v>
      </c>
      <c r="O29">
        <f t="shared" si="0"/>
        <v>91.25</v>
      </c>
      <c r="T29">
        <f t="shared" si="1"/>
        <v>0</v>
      </c>
      <c r="U29">
        <f t="shared" si="2"/>
        <v>1</v>
      </c>
      <c r="V29">
        <f t="shared" si="3"/>
        <v>0.72</v>
      </c>
      <c r="W29">
        <f t="shared" si="4"/>
        <v>4.7000000000000002E-3</v>
      </c>
      <c r="X29">
        <f t="shared" si="5"/>
        <v>0</v>
      </c>
      <c r="Y29">
        <f t="shared" si="6"/>
        <v>0.24</v>
      </c>
      <c r="Z29">
        <f t="shared" si="7"/>
        <v>1.0999999999999999E-2</v>
      </c>
      <c r="AA29">
        <f t="shared" si="8"/>
        <v>0.21</v>
      </c>
      <c r="AB29">
        <f t="shared" si="9"/>
        <v>5.8999999999999999E-3</v>
      </c>
      <c r="AC29">
        <f t="shared" si="10"/>
        <v>0</v>
      </c>
      <c r="AD29">
        <f t="shared" si="11"/>
        <v>0</v>
      </c>
      <c r="AE29">
        <f t="shared" si="12"/>
        <v>1.7808219178082193E-3</v>
      </c>
      <c r="AF29">
        <f t="shared" si="13"/>
        <v>0</v>
      </c>
      <c r="AH29" t="e">
        <f t="shared" si="14"/>
        <v>#DIV/0!</v>
      </c>
      <c r="AI29">
        <v>0</v>
      </c>
      <c r="AJ29">
        <f t="shared" si="15"/>
        <v>0</v>
      </c>
      <c r="AK29">
        <v>-5.8067645512978143E-4</v>
      </c>
      <c r="AL29">
        <f t="shared" si="16"/>
        <v>5.8067645512978143E-4</v>
      </c>
      <c r="AM29">
        <f t="shared" si="17"/>
        <v>6.0000000000000001E-3</v>
      </c>
      <c r="AN29">
        <f t="shared" si="18"/>
        <v>1.5714285714285714</v>
      </c>
      <c r="AO29">
        <f t="shared" si="19"/>
        <v>1.3</v>
      </c>
      <c r="AP29">
        <f t="shared" si="20"/>
        <v>1</v>
      </c>
      <c r="AQ29">
        <f t="shared" si="21"/>
        <v>-1.4E-3</v>
      </c>
      <c r="AS29">
        <f t="shared" si="22"/>
        <v>0</v>
      </c>
      <c r="AT29">
        <f t="shared" si="23"/>
        <v>0</v>
      </c>
      <c r="AU29">
        <f t="shared" si="24"/>
        <v>0</v>
      </c>
      <c r="AV29">
        <f t="shared" si="25"/>
        <v>0</v>
      </c>
      <c r="AW29">
        <f t="shared" si="26"/>
        <v>0.08</v>
      </c>
      <c r="AX29">
        <f t="shared" si="27"/>
        <v>0</v>
      </c>
      <c r="AY29">
        <f t="shared" si="28"/>
        <v>0.24</v>
      </c>
      <c r="AZ29">
        <f t="shared" si="29"/>
        <v>0.6784</v>
      </c>
      <c r="BA29">
        <f t="shared" si="30"/>
        <v>0</v>
      </c>
      <c r="BB29">
        <f t="shared" si="31"/>
        <v>0</v>
      </c>
      <c r="BC29">
        <f t="shared" si="32"/>
        <v>0</v>
      </c>
      <c r="BD29">
        <f t="shared" si="33"/>
        <v>0</v>
      </c>
      <c r="BF29">
        <f t="shared" si="34"/>
        <v>3.1792035918355532</v>
      </c>
      <c r="BR29" t="s">
        <v>288</v>
      </c>
      <c r="BS29" t="s">
        <v>300</v>
      </c>
      <c r="BT29">
        <v>0.26</v>
      </c>
      <c r="BW29" t="s">
        <v>117</v>
      </c>
      <c r="BX29" t="s">
        <v>132</v>
      </c>
      <c r="BY29">
        <v>0</v>
      </c>
      <c r="BZ29">
        <v>0</v>
      </c>
      <c r="CA29">
        <v>-0.1</v>
      </c>
      <c r="CB29">
        <v>-0.1</v>
      </c>
      <c r="CC29">
        <v>-0.03</v>
      </c>
      <c r="CD29">
        <v>-0.08</v>
      </c>
      <c r="CE29">
        <v>3</v>
      </c>
      <c r="CI29" t="s">
        <v>115</v>
      </c>
      <c r="CJ29">
        <v>-0.11</v>
      </c>
      <c r="CK29">
        <v>-0.05</v>
      </c>
      <c r="CL29">
        <v>-0.05</v>
      </c>
      <c r="CM29">
        <v>-0.05</v>
      </c>
      <c r="CN29">
        <v>-0.05</v>
      </c>
      <c r="CO29">
        <v>0</v>
      </c>
    </row>
    <row r="30" spans="8:93" x14ac:dyDescent="0.2">
      <c r="I30" t="s">
        <v>119</v>
      </c>
      <c r="J30">
        <f t="shared" si="38"/>
        <v>1</v>
      </c>
      <c r="K30">
        <f t="shared" si="38"/>
        <v>0.65</v>
      </c>
      <c r="L30">
        <v>65</v>
      </c>
      <c r="M30">
        <v>0</v>
      </c>
      <c r="N30">
        <v>0</v>
      </c>
      <c r="O30">
        <f t="shared" si="0"/>
        <v>91.25</v>
      </c>
      <c r="T30">
        <f t="shared" si="1"/>
        <v>0</v>
      </c>
      <c r="U30">
        <f t="shared" si="2"/>
        <v>1</v>
      </c>
      <c r="V30">
        <f t="shared" si="3"/>
        <v>0.72</v>
      </c>
      <c r="W30">
        <f t="shared" si="4"/>
        <v>4.7000000000000002E-3</v>
      </c>
      <c r="X30">
        <f t="shared" si="5"/>
        <v>0</v>
      </c>
      <c r="Y30">
        <f t="shared" si="6"/>
        <v>0.24</v>
      </c>
      <c r="Z30">
        <f t="shared" si="7"/>
        <v>1.0999999999999999E-2</v>
      </c>
      <c r="AA30">
        <f t="shared" si="8"/>
        <v>0.21</v>
      </c>
      <c r="AB30">
        <f t="shared" si="9"/>
        <v>5.8999999999999999E-3</v>
      </c>
      <c r="AC30">
        <f t="shared" si="10"/>
        <v>0</v>
      </c>
      <c r="AD30">
        <f t="shared" si="11"/>
        <v>0</v>
      </c>
      <c r="AE30">
        <f t="shared" si="12"/>
        <v>1.7808219178082193E-3</v>
      </c>
      <c r="AF30">
        <f t="shared" si="13"/>
        <v>0</v>
      </c>
      <c r="AH30" t="e">
        <f t="shared" si="14"/>
        <v>#DIV/0!</v>
      </c>
      <c r="AI30">
        <v>0</v>
      </c>
      <c r="AJ30">
        <f t="shared" si="15"/>
        <v>0</v>
      </c>
      <c r="AK30">
        <v>2.3934246575342468E-4</v>
      </c>
      <c r="AL30">
        <f t="shared" si="16"/>
        <v>-2.3934246575342468E-4</v>
      </c>
      <c r="AM30">
        <f t="shared" si="17"/>
        <v>6.0000000000000001E-3</v>
      </c>
      <c r="AN30">
        <f t="shared" si="18"/>
        <v>1.5714285714285714</v>
      </c>
      <c r="AO30">
        <f t="shared" si="19"/>
        <v>1.3</v>
      </c>
      <c r="AP30">
        <f t="shared" si="20"/>
        <v>1</v>
      </c>
      <c r="AQ30">
        <f t="shared" si="21"/>
        <v>-1.4E-3</v>
      </c>
      <c r="AS30">
        <f t="shared" si="22"/>
        <v>0</v>
      </c>
      <c r="AT30">
        <f t="shared" si="23"/>
        <v>0</v>
      </c>
      <c r="AU30">
        <f t="shared" si="24"/>
        <v>0</v>
      </c>
      <c r="AV30">
        <f t="shared" si="25"/>
        <v>0</v>
      </c>
      <c r="AW30">
        <f t="shared" si="26"/>
        <v>0.08</v>
      </c>
      <c r="AX30">
        <f t="shared" si="27"/>
        <v>0</v>
      </c>
      <c r="AY30">
        <f t="shared" si="28"/>
        <v>0.24</v>
      </c>
      <c r="AZ30">
        <f t="shared" si="29"/>
        <v>0.6784</v>
      </c>
      <c r="BA30">
        <f t="shared" si="30"/>
        <v>0</v>
      </c>
      <c r="BB30">
        <f t="shared" si="31"/>
        <v>0</v>
      </c>
      <c r="BC30">
        <f t="shared" si="32"/>
        <v>0</v>
      </c>
      <c r="BD30">
        <f t="shared" si="33"/>
        <v>0</v>
      </c>
      <c r="BF30">
        <f t="shared" si="34"/>
        <v>-1.4196000000000002</v>
      </c>
      <c r="BR30" t="s">
        <v>289</v>
      </c>
      <c r="BS30" t="s">
        <v>301</v>
      </c>
      <c r="BT30">
        <v>0.5</v>
      </c>
      <c r="BW30" t="s">
        <v>119</v>
      </c>
      <c r="BX30" t="s">
        <v>132</v>
      </c>
      <c r="BY30">
        <v>0</v>
      </c>
      <c r="BZ30">
        <v>-0.05</v>
      </c>
      <c r="CA30">
        <v>0</v>
      </c>
      <c r="CB30">
        <v>-0.1</v>
      </c>
      <c r="CC30">
        <v>-0.02</v>
      </c>
      <c r="CD30">
        <v>0</v>
      </c>
      <c r="CE30">
        <v>4</v>
      </c>
      <c r="CI30" t="s">
        <v>117</v>
      </c>
      <c r="CJ30">
        <v>0</v>
      </c>
      <c r="CK30">
        <v>-0.08</v>
      </c>
      <c r="CL30">
        <v>0.11</v>
      </c>
      <c r="CM30">
        <v>-0.05</v>
      </c>
      <c r="CN30">
        <v>-0.05</v>
      </c>
      <c r="CO30">
        <v>0.11</v>
      </c>
    </row>
    <row r="31" spans="8:93" x14ac:dyDescent="0.2">
      <c r="H31" t="s">
        <v>132</v>
      </c>
      <c r="I31" t="s">
        <v>113</v>
      </c>
      <c r="J31">
        <v>0.5</v>
      </c>
      <c r="K31">
        <v>0.65</v>
      </c>
      <c r="L31">
        <v>50</v>
      </c>
      <c r="M31">
        <v>0</v>
      </c>
      <c r="N31">
        <v>0</v>
      </c>
      <c r="O31">
        <f t="shared" si="0"/>
        <v>91.25</v>
      </c>
      <c r="T31">
        <f t="shared" si="1"/>
        <v>0</v>
      </c>
      <c r="U31">
        <f t="shared" si="2"/>
        <v>1</v>
      </c>
      <c r="V31">
        <f t="shared" si="3"/>
        <v>0.72</v>
      </c>
      <c r="W31">
        <f t="shared" si="4"/>
        <v>4.7000000000000002E-3</v>
      </c>
      <c r="X31">
        <f t="shared" si="5"/>
        <v>0</v>
      </c>
      <c r="Y31">
        <f t="shared" si="6"/>
        <v>0.24</v>
      </c>
      <c r="Z31">
        <f t="shared" si="7"/>
        <v>1.0999999999999999E-2</v>
      </c>
      <c r="AA31">
        <f t="shared" si="8"/>
        <v>0.21</v>
      </c>
      <c r="AB31">
        <f t="shared" si="9"/>
        <v>5.8999999999999999E-3</v>
      </c>
      <c r="AC31">
        <f t="shared" si="10"/>
        <v>0</v>
      </c>
      <c r="AD31">
        <f t="shared" si="11"/>
        <v>0</v>
      </c>
      <c r="AE31">
        <f t="shared" si="12"/>
        <v>8.9041095890410966E-4</v>
      </c>
      <c r="AF31">
        <f t="shared" si="13"/>
        <v>0</v>
      </c>
      <c r="AH31" t="e">
        <f t="shared" si="14"/>
        <v>#DIV/0!</v>
      </c>
      <c r="AI31">
        <v>0</v>
      </c>
      <c r="AJ31">
        <f t="shared" si="15"/>
        <v>0</v>
      </c>
      <c r="AK31">
        <v>1.0116016126962319E-3</v>
      </c>
      <c r="AL31">
        <f t="shared" si="16"/>
        <v>-1.0116016126962319E-3</v>
      </c>
      <c r="AM31">
        <f t="shared" si="17"/>
        <v>6.0000000000000001E-3</v>
      </c>
      <c r="AN31">
        <f t="shared" si="18"/>
        <v>1.5714285714285714</v>
      </c>
      <c r="AO31">
        <f t="shared" si="19"/>
        <v>1.3</v>
      </c>
      <c r="AP31">
        <f t="shared" si="20"/>
        <v>1</v>
      </c>
      <c r="AQ31">
        <f t="shared" si="21"/>
        <v>-1.4E-3</v>
      </c>
      <c r="AS31">
        <f t="shared" si="22"/>
        <v>0</v>
      </c>
      <c r="AT31">
        <f t="shared" si="23"/>
        <v>0</v>
      </c>
      <c r="AU31">
        <f t="shared" si="24"/>
        <v>0</v>
      </c>
      <c r="AV31">
        <f t="shared" si="25"/>
        <v>0</v>
      </c>
      <c r="AW31">
        <f t="shared" si="26"/>
        <v>0.08</v>
      </c>
      <c r="AX31">
        <f t="shared" si="27"/>
        <v>0</v>
      </c>
      <c r="AY31">
        <f t="shared" si="28"/>
        <v>0.24</v>
      </c>
      <c r="AZ31">
        <f t="shared" si="29"/>
        <v>0.6784</v>
      </c>
      <c r="BA31">
        <f t="shared" si="30"/>
        <v>0</v>
      </c>
      <c r="BB31">
        <f t="shared" si="31"/>
        <v>0</v>
      </c>
      <c r="BC31">
        <f t="shared" si="32"/>
        <v>0</v>
      </c>
      <c r="BD31">
        <f t="shared" si="33"/>
        <v>0</v>
      </c>
      <c r="BF31">
        <f t="shared" si="34"/>
        <v>-4.6154323579265579</v>
      </c>
      <c r="BR31" t="s">
        <v>290</v>
      </c>
      <c r="BS31" t="s">
        <v>302</v>
      </c>
      <c r="BT31">
        <v>0.83</v>
      </c>
      <c r="CI31" t="s">
        <v>119</v>
      </c>
      <c r="CJ31">
        <v>0</v>
      </c>
      <c r="CK31">
        <v>0</v>
      </c>
      <c r="CL31">
        <v>0.05</v>
      </c>
      <c r="CM31">
        <v>0.05</v>
      </c>
      <c r="CN31">
        <v>0.05</v>
      </c>
      <c r="CO31">
        <v>0.11</v>
      </c>
    </row>
    <row r="32" spans="8:93" x14ac:dyDescent="0.2">
      <c r="I32" t="s">
        <v>115</v>
      </c>
      <c r="J32">
        <f t="shared" ref="J32:K34" si="39">J31</f>
        <v>0.5</v>
      </c>
      <c r="K32">
        <f t="shared" si="39"/>
        <v>0.65</v>
      </c>
      <c r="L32">
        <v>100</v>
      </c>
      <c r="M32">
        <v>0</v>
      </c>
      <c r="N32">
        <v>0</v>
      </c>
      <c r="O32">
        <f t="shared" si="0"/>
        <v>91.25</v>
      </c>
      <c r="T32">
        <f t="shared" si="1"/>
        <v>0</v>
      </c>
      <c r="U32">
        <f t="shared" si="2"/>
        <v>1</v>
      </c>
      <c r="V32">
        <f t="shared" si="3"/>
        <v>0.72</v>
      </c>
      <c r="W32">
        <f t="shared" si="4"/>
        <v>4.7000000000000002E-3</v>
      </c>
      <c r="X32">
        <f t="shared" si="5"/>
        <v>0</v>
      </c>
      <c r="Y32">
        <f t="shared" si="6"/>
        <v>0.24</v>
      </c>
      <c r="Z32">
        <f t="shared" si="7"/>
        <v>1.0999999999999999E-2</v>
      </c>
      <c r="AA32">
        <f t="shared" si="8"/>
        <v>0.21</v>
      </c>
      <c r="AB32">
        <f t="shared" si="9"/>
        <v>5.8999999999999999E-3</v>
      </c>
      <c r="AC32">
        <f t="shared" si="10"/>
        <v>0</v>
      </c>
      <c r="AD32">
        <f t="shared" si="11"/>
        <v>0</v>
      </c>
      <c r="AE32">
        <f t="shared" si="12"/>
        <v>8.9041095890410966E-4</v>
      </c>
      <c r="AF32">
        <f t="shared" si="13"/>
        <v>0</v>
      </c>
      <c r="AH32" t="e">
        <f t="shared" si="14"/>
        <v>#DIV/0!</v>
      </c>
      <c r="AI32">
        <v>0</v>
      </c>
      <c r="AJ32">
        <f t="shared" si="15"/>
        <v>0</v>
      </c>
      <c r="AK32">
        <v>-8.1676849356428693E-4</v>
      </c>
      <c r="AL32">
        <f t="shared" si="16"/>
        <v>8.1676849356428693E-4</v>
      </c>
      <c r="AM32">
        <f t="shared" si="17"/>
        <v>6.0000000000000001E-3</v>
      </c>
      <c r="AN32">
        <f t="shared" si="18"/>
        <v>1.5714285714285714</v>
      </c>
      <c r="AO32">
        <f t="shared" si="19"/>
        <v>1.3</v>
      </c>
      <c r="AP32">
        <f t="shared" si="20"/>
        <v>1</v>
      </c>
      <c r="AQ32">
        <f t="shared" si="21"/>
        <v>-1.4E-3</v>
      </c>
      <c r="AS32">
        <f t="shared" si="22"/>
        <v>0</v>
      </c>
      <c r="AT32">
        <f t="shared" si="23"/>
        <v>0</v>
      </c>
      <c r="AU32">
        <f t="shared" si="24"/>
        <v>0</v>
      </c>
      <c r="AV32">
        <f t="shared" si="25"/>
        <v>0</v>
      </c>
      <c r="AW32">
        <f t="shared" si="26"/>
        <v>0.08</v>
      </c>
      <c r="AX32">
        <f t="shared" si="27"/>
        <v>0</v>
      </c>
      <c r="AY32">
        <f t="shared" si="28"/>
        <v>0.24</v>
      </c>
      <c r="AZ32">
        <f t="shared" si="29"/>
        <v>0.6784</v>
      </c>
      <c r="BA32">
        <f t="shared" si="30"/>
        <v>0</v>
      </c>
      <c r="BB32">
        <f t="shared" si="31"/>
        <v>0</v>
      </c>
      <c r="BC32">
        <f t="shared" si="32"/>
        <v>0</v>
      </c>
      <c r="BD32">
        <f t="shared" si="33"/>
        <v>0</v>
      </c>
      <c r="BF32">
        <f t="shared" si="34"/>
        <v>7.4530125037741177</v>
      </c>
      <c r="BR32" t="s">
        <v>291</v>
      </c>
      <c r="BS32" t="s">
        <v>303</v>
      </c>
      <c r="BT32">
        <v>0.41</v>
      </c>
    </row>
    <row r="33" spans="9:93" x14ac:dyDescent="0.2">
      <c r="I33" t="s">
        <v>117</v>
      </c>
      <c r="J33">
        <f t="shared" si="39"/>
        <v>0.5</v>
      </c>
      <c r="K33">
        <f t="shared" si="39"/>
        <v>0.65</v>
      </c>
      <c r="L33">
        <v>90</v>
      </c>
      <c r="M33">
        <v>0</v>
      </c>
      <c r="N33">
        <v>0</v>
      </c>
      <c r="O33">
        <f t="shared" si="0"/>
        <v>91.25</v>
      </c>
      <c r="T33">
        <f t="shared" si="1"/>
        <v>0</v>
      </c>
      <c r="U33">
        <f t="shared" si="2"/>
        <v>1</v>
      </c>
      <c r="V33">
        <f t="shared" si="3"/>
        <v>0.72</v>
      </c>
      <c r="W33">
        <f t="shared" si="4"/>
        <v>4.7000000000000002E-3</v>
      </c>
      <c r="X33">
        <f t="shared" si="5"/>
        <v>0</v>
      </c>
      <c r="Y33">
        <f t="shared" si="6"/>
        <v>0.24</v>
      </c>
      <c r="Z33">
        <f t="shared" si="7"/>
        <v>1.0999999999999999E-2</v>
      </c>
      <c r="AA33">
        <f t="shared" si="8"/>
        <v>0.21</v>
      </c>
      <c r="AB33">
        <f t="shared" si="9"/>
        <v>5.8999999999999999E-3</v>
      </c>
      <c r="AC33">
        <f t="shared" si="10"/>
        <v>0</v>
      </c>
      <c r="AD33">
        <f t="shared" si="11"/>
        <v>0</v>
      </c>
      <c r="AE33">
        <f t="shared" si="12"/>
        <v>8.9041095890410966E-4</v>
      </c>
      <c r="AF33">
        <f t="shared" si="13"/>
        <v>0</v>
      </c>
      <c r="AH33" t="e">
        <f t="shared" si="14"/>
        <v>#DIV/0!</v>
      </c>
      <c r="AI33">
        <v>0</v>
      </c>
      <c r="AJ33">
        <f t="shared" si="15"/>
        <v>0</v>
      </c>
      <c r="AK33">
        <v>1.1967123287671234E-4</v>
      </c>
      <c r="AL33">
        <f t="shared" si="16"/>
        <v>-1.1967123287671234E-4</v>
      </c>
      <c r="AM33">
        <f t="shared" si="17"/>
        <v>6.0000000000000001E-3</v>
      </c>
      <c r="AN33">
        <f t="shared" si="18"/>
        <v>1.5714285714285714</v>
      </c>
      <c r="AO33">
        <f t="shared" si="19"/>
        <v>1.3</v>
      </c>
      <c r="AP33">
        <f t="shared" si="20"/>
        <v>1</v>
      </c>
      <c r="AQ33">
        <f t="shared" si="21"/>
        <v>-1.4E-3</v>
      </c>
      <c r="AS33">
        <f t="shared" si="22"/>
        <v>0</v>
      </c>
      <c r="AT33">
        <f t="shared" si="23"/>
        <v>0</v>
      </c>
      <c r="AU33">
        <f t="shared" si="24"/>
        <v>0</v>
      </c>
      <c r="AV33">
        <f t="shared" si="25"/>
        <v>0</v>
      </c>
      <c r="AW33">
        <f t="shared" si="26"/>
        <v>0.08</v>
      </c>
      <c r="AX33">
        <f t="shared" si="27"/>
        <v>0</v>
      </c>
      <c r="AY33">
        <f t="shared" si="28"/>
        <v>0.24</v>
      </c>
      <c r="AZ33">
        <f t="shared" si="29"/>
        <v>0.6784</v>
      </c>
      <c r="BA33">
        <f t="shared" si="30"/>
        <v>0</v>
      </c>
      <c r="BB33">
        <f t="shared" si="31"/>
        <v>0</v>
      </c>
      <c r="BC33">
        <f t="shared" si="32"/>
        <v>0</v>
      </c>
      <c r="BD33">
        <f t="shared" si="33"/>
        <v>0</v>
      </c>
      <c r="BF33">
        <f t="shared" si="34"/>
        <v>-0.98280000000000001</v>
      </c>
    </row>
    <row r="34" spans="9:93" x14ac:dyDescent="0.2">
      <c r="I34" t="s">
        <v>119</v>
      </c>
      <c r="J34">
        <f t="shared" si="39"/>
        <v>0.5</v>
      </c>
      <c r="K34">
        <f t="shared" si="39"/>
        <v>0.65</v>
      </c>
      <c r="L34">
        <v>80</v>
      </c>
      <c r="M34">
        <v>0</v>
      </c>
      <c r="N34">
        <v>0</v>
      </c>
      <c r="O34">
        <f t="shared" si="0"/>
        <v>91.25</v>
      </c>
      <c r="T34">
        <f t="shared" si="1"/>
        <v>0</v>
      </c>
      <c r="U34">
        <f t="shared" si="2"/>
        <v>1</v>
      </c>
      <c r="V34">
        <f t="shared" si="3"/>
        <v>0.72</v>
      </c>
      <c r="W34">
        <f t="shared" si="4"/>
        <v>4.7000000000000002E-3</v>
      </c>
      <c r="X34">
        <f t="shared" si="5"/>
        <v>0</v>
      </c>
      <c r="Y34">
        <f t="shared" si="6"/>
        <v>0.24</v>
      </c>
      <c r="Z34">
        <f t="shared" si="7"/>
        <v>1.0999999999999999E-2</v>
      </c>
      <c r="AA34">
        <f t="shared" si="8"/>
        <v>0.21</v>
      </c>
      <c r="AB34">
        <f t="shared" si="9"/>
        <v>5.8999999999999999E-3</v>
      </c>
      <c r="AC34">
        <f t="shared" si="10"/>
        <v>0</v>
      </c>
      <c r="AD34">
        <f t="shared" si="11"/>
        <v>0</v>
      </c>
      <c r="AE34">
        <f t="shared" si="12"/>
        <v>8.9041095890410966E-4</v>
      </c>
      <c r="AF34">
        <f t="shared" si="13"/>
        <v>0</v>
      </c>
      <c r="AH34" t="e">
        <f t="shared" si="14"/>
        <v>#DIV/0!</v>
      </c>
      <c r="AI34">
        <v>0</v>
      </c>
      <c r="AJ34">
        <f t="shared" si="15"/>
        <v>0</v>
      </c>
      <c r="AK34">
        <v>1.1967123287671234E-4</v>
      </c>
      <c r="AL34">
        <f t="shared" si="16"/>
        <v>-1.1967123287671234E-4</v>
      </c>
      <c r="AM34">
        <f t="shared" si="17"/>
        <v>6.0000000000000001E-3</v>
      </c>
      <c r="AN34">
        <f t="shared" si="18"/>
        <v>1.5714285714285714</v>
      </c>
      <c r="AO34">
        <f t="shared" si="19"/>
        <v>1.3</v>
      </c>
      <c r="AP34">
        <f t="shared" si="20"/>
        <v>1</v>
      </c>
      <c r="AQ34">
        <f t="shared" si="21"/>
        <v>-1.4E-3</v>
      </c>
      <c r="AS34">
        <f t="shared" si="22"/>
        <v>0</v>
      </c>
      <c r="AT34">
        <f t="shared" si="23"/>
        <v>0</v>
      </c>
      <c r="AU34">
        <f t="shared" si="24"/>
        <v>0</v>
      </c>
      <c r="AV34">
        <f t="shared" si="25"/>
        <v>0</v>
      </c>
      <c r="AW34">
        <f t="shared" si="26"/>
        <v>0.08</v>
      </c>
      <c r="AX34">
        <f t="shared" si="27"/>
        <v>0</v>
      </c>
      <c r="AY34">
        <f t="shared" si="28"/>
        <v>0.24</v>
      </c>
      <c r="AZ34">
        <f t="shared" si="29"/>
        <v>0.6784</v>
      </c>
      <c r="BA34">
        <f t="shared" si="30"/>
        <v>0</v>
      </c>
      <c r="BB34">
        <f t="shared" si="31"/>
        <v>0</v>
      </c>
      <c r="BC34">
        <f t="shared" si="32"/>
        <v>0</v>
      </c>
      <c r="BD34">
        <f t="shared" si="33"/>
        <v>0</v>
      </c>
      <c r="BF34">
        <f t="shared" si="34"/>
        <v>-0.87360000000000004</v>
      </c>
    </row>
    <row r="36" spans="9:93" x14ac:dyDescent="0.2">
      <c r="BR36" t="s">
        <v>133</v>
      </c>
      <c r="BW36" t="s">
        <v>304</v>
      </c>
      <c r="BX36" t="s">
        <v>80</v>
      </c>
    </row>
    <row r="37" spans="9:93" x14ac:dyDescent="0.2">
      <c r="BR37" t="s">
        <v>134</v>
      </c>
      <c r="BS37">
        <v>5.8999999999999999E-3</v>
      </c>
      <c r="BW37" t="s">
        <v>255</v>
      </c>
      <c r="BX37" t="s">
        <v>74</v>
      </c>
      <c r="BY37" t="s">
        <v>110</v>
      </c>
      <c r="BZ37" t="s">
        <v>287</v>
      </c>
      <c r="CA37" t="s">
        <v>292</v>
      </c>
      <c r="CB37" t="s">
        <v>293</v>
      </c>
      <c r="CC37" t="s">
        <v>294</v>
      </c>
      <c r="CD37" t="s">
        <v>299</v>
      </c>
      <c r="CE37" t="s">
        <v>256</v>
      </c>
      <c r="CH37" t="s">
        <v>257</v>
      </c>
      <c r="CI37" t="s">
        <v>258</v>
      </c>
      <c r="CJ37" t="s">
        <v>259</v>
      </c>
      <c r="CK37" t="s">
        <v>260</v>
      </c>
      <c r="CL37" t="s">
        <v>261</v>
      </c>
      <c r="CM37" t="s">
        <v>262</v>
      </c>
      <c r="CN37" t="s">
        <v>263</v>
      </c>
      <c r="CO37" t="s">
        <v>264</v>
      </c>
    </row>
    <row r="38" spans="9:93" x14ac:dyDescent="0.2">
      <c r="BR38" t="s">
        <v>135</v>
      </c>
      <c r="BS38">
        <v>7.0000000000000001E-3</v>
      </c>
      <c r="BW38" t="s">
        <v>113</v>
      </c>
      <c r="BX38" t="s">
        <v>112</v>
      </c>
      <c r="BY38">
        <v>0.2</v>
      </c>
      <c r="BZ38">
        <v>0.08</v>
      </c>
      <c r="CA38">
        <v>0.16</v>
      </c>
      <c r="CB38">
        <v>0.2</v>
      </c>
      <c r="CC38">
        <v>0.16</v>
      </c>
      <c r="CD38">
        <v>0.18</v>
      </c>
      <c r="CE38">
        <v>1</v>
      </c>
      <c r="CH38" t="s">
        <v>72</v>
      </c>
      <c r="CI38" t="s">
        <v>255</v>
      </c>
      <c r="CJ38" t="s">
        <v>131</v>
      </c>
      <c r="CK38" t="s">
        <v>132</v>
      </c>
      <c r="CL38" t="s">
        <v>126</v>
      </c>
      <c r="CM38" t="s">
        <v>112</v>
      </c>
      <c r="CN38" t="s">
        <v>129</v>
      </c>
      <c r="CO38" t="s">
        <v>121</v>
      </c>
    </row>
    <row r="39" spans="9:93" x14ac:dyDescent="0.2">
      <c r="BR39" t="s">
        <v>136</v>
      </c>
      <c r="BS39">
        <v>1.8E-3</v>
      </c>
      <c r="BW39" t="s">
        <v>115</v>
      </c>
      <c r="BX39" t="s">
        <v>112</v>
      </c>
      <c r="BY39">
        <v>0.1</v>
      </c>
      <c r="BZ39">
        <v>0.1</v>
      </c>
      <c r="CA39">
        <v>7.0000000000000007E-2</v>
      </c>
      <c r="CB39">
        <v>7.0000000000000007E-2</v>
      </c>
      <c r="CC39">
        <v>7.0000000000000007E-2</v>
      </c>
      <c r="CD39">
        <v>0.06</v>
      </c>
      <c r="CE39">
        <v>2</v>
      </c>
      <c r="CH39" t="s">
        <v>110</v>
      </c>
      <c r="CI39" t="s">
        <v>113</v>
      </c>
      <c r="CJ39">
        <v>0.2</v>
      </c>
      <c r="CK39">
        <v>0.2</v>
      </c>
      <c r="CL39">
        <v>0.2</v>
      </c>
      <c r="CM39">
        <v>0.2</v>
      </c>
      <c r="CN39">
        <v>0.2</v>
      </c>
      <c r="CO39">
        <v>0.2</v>
      </c>
    </row>
    <row r="40" spans="9:93" x14ac:dyDescent="0.2">
      <c r="BR40" t="s">
        <v>137</v>
      </c>
      <c r="BS40">
        <v>2.8999999999999998E-3</v>
      </c>
      <c r="BW40" t="s">
        <v>117</v>
      </c>
      <c r="BX40" t="s">
        <v>112</v>
      </c>
      <c r="BY40">
        <v>0.12</v>
      </c>
      <c r="BZ40">
        <v>0.09</v>
      </c>
      <c r="CA40">
        <v>0.09</v>
      </c>
      <c r="CB40">
        <v>0.14000000000000001</v>
      </c>
      <c r="CC40">
        <v>0.13</v>
      </c>
      <c r="CD40">
        <v>0.16</v>
      </c>
      <c r="CE40">
        <v>3</v>
      </c>
      <c r="CI40" t="s">
        <v>115</v>
      </c>
      <c r="CJ40">
        <v>0.1</v>
      </c>
      <c r="CK40">
        <v>0.1</v>
      </c>
      <c r="CL40">
        <v>0.1</v>
      </c>
      <c r="CM40">
        <v>0.1</v>
      </c>
      <c r="CN40">
        <v>0.1</v>
      </c>
      <c r="CO40">
        <v>0.1</v>
      </c>
    </row>
    <row r="41" spans="9:93" x14ac:dyDescent="0.2">
      <c r="BR41" t="s">
        <v>139</v>
      </c>
      <c r="BS41">
        <v>8.0000000000000002E-3</v>
      </c>
      <c r="BW41" t="s">
        <v>119</v>
      </c>
      <c r="BX41" t="s">
        <v>112</v>
      </c>
      <c r="BY41">
        <v>0.18</v>
      </c>
      <c r="BZ41">
        <v>7.0000000000000007E-2</v>
      </c>
      <c r="CA41">
        <v>0.2</v>
      </c>
      <c r="CB41">
        <v>0.16</v>
      </c>
      <c r="CC41">
        <v>0.1</v>
      </c>
      <c r="CD41">
        <v>0.21</v>
      </c>
      <c r="CE41">
        <v>4</v>
      </c>
      <c r="CI41" t="s">
        <v>117</v>
      </c>
      <c r="CJ41">
        <v>0.12</v>
      </c>
      <c r="CK41">
        <v>0.12</v>
      </c>
      <c r="CL41">
        <v>0.12</v>
      </c>
      <c r="CM41">
        <v>0.12</v>
      </c>
      <c r="CN41">
        <v>0.12</v>
      </c>
      <c r="CO41">
        <v>0.12</v>
      </c>
    </row>
    <row r="42" spans="9:93" x14ac:dyDescent="0.2">
      <c r="BR42" t="s">
        <v>140</v>
      </c>
      <c r="BS42">
        <v>1.9900000000000001E-2</v>
      </c>
      <c r="BW42" t="s">
        <v>113</v>
      </c>
      <c r="BX42" t="s">
        <v>121</v>
      </c>
      <c r="BY42">
        <v>0.2</v>
      </c>
      <c r="BZ42">
        <v>0.08</v>
      </c>
      <c r="CA42">
        <v>0.16</v>
      </c>
      <c r="CB42">
        <v>0.2</v>
      </c>
      <c r="CC42">
        <v>0.16</v>
      </c>
      <c r="CD42">
        <v>0.18</v>
      </c>
      <c r="CE42">
        <v>1</v>
      </c>
      <c r="CI42" t="s">
        <v>119</v>
      </c>
      <c r="CJ42">
        <v>0.18</v>
      </c>
      <c r="CK42">
        <v>0.18</v>
      </c>
      <c r="CL42">
        <v>0.18</v>
      </c>
      <c r="CM42">
        <v>0.18</v>
      </c>
      <c r="CN42">
        <v>0.18</v>
      </c>
      <c r="CO42">
        <v>0.18</v>
      </c>
    </row>
    <row r="43" spans="9:93" x14ac:dyDescent="0.2">
      <c r="BR43" t="s">
        <v>141</v>
      </c>
      <c r="BS43">
        <v>5.3E-3</v>
      </c>
      <c r="BW43" t="s">
        <v>115</v>
      </c>
      <c r="BX43" t="s">
        <v>121</v>
      </c>
      <c r="BY43">
        <v>0.1</v>
      </c>
      <c r="BZ43">
        <v>0.1</v>
      </c>
      <c r="CA43">
        <v>7.0000000000000007E-2</v>
      </c>
      <c r="CB43">
        <v>7.0000000000000007E-2</v>
      </c>
      <c r="CC43">
        <v>7.0000000000000007E-2</v>
      </c>
      <c r="CD43">
        <v>0.06</v>
      </c>
      <c r="CE43">
        <v>2</v>
      </c>
      <c r="CH43" t="s">
        <v>287</v>
      </c>
      <c r="CI43" t="s">
        <v>113</v>
      </c>
      <c r="CJ43">
        <v>0.08</v>
      </c>
      <c r="CK43">
        <v>0.08</v>
      </c>
      <c r="CL43">
        <v>0.08</v>
      </c>
      <c r="CM43">
        <v>0.08</v>
      </c>
      <c r="CN43">
        <v>0.08</v>
      </c>
      <c r="CO43">
        <v>0.08</v>
      </c>
    </row>
    <row r="44" spans="9:93" x14ac:dyDescent="0.2">
      <c r="BR44" t="s">
        <v>142</v>
      </c>
      <c r="BS44">
        <v>6.4000000000000003E-3</v>
      </c>
      <c r="BW44" t="s">
        <v>117</v>
      </c>
      <c r="BX44" t="s">
        <v>121</v>
      </c>
      <c r="BY44">
        <v>0.12</v>
      </c>
      <c r="BZ44">
        <v>0.09</v>
      </c>
      <c r="CA44">
        <v>0.09</v>
      </c>
      <c r="CB44">
        <v>0.14000000000000001</v>
      </c>
      <c r="CC44">
        <v>0.13</v>
      </c>
      <c r="CD44">
        <v>0.16</v>
      </c>
      <c r="CE44">
        <v>3</v>
      </c>
      <c r="CI44" t="s">
        <v>115</v>
      </c>
      <c r="CJ44">
        <v>0.1</v>
      </c>
      <c r="CK44">
        <v>0.1</v>
      </c>
      <c r="CL44">
        <v>0.1</v>
      </c>
      <c r="CM44">
        <v>0.1</v>
      </c>
      <c r="CN44">
        <v>0.1</v>
      </c>
      <c r="CO44">
        <v>0.1</v>
      </c>
    </row>
    <row r="45" spans="9:93" x14ac:dyDescent="0.2">
      <c r="BR45" t="s">
        <v>143</v>
      </c>
      <c r="BS45">
        <v>2.5999999999999999E-3</v>
      </c>
      <c r="BW45" t="s">
        <v>119</v>
      </c>
      <c r="BX45" t="s">
        <v>121</v>
      </c>
      <c r="BY45">
        <v>0.18</v>
      </c>
      <c r="BZ45">
        <v>7.0000000000000007E-2</v>
      </c>
      <c r="CA45">
        <v>0.2</v>
      </c>
      <c r="CB45">
        <v>0.16</v>
      </c>
      <c r="CC45">
        <v>0.1</v>
      </c>
      <c r="CD45">
        <v>0.21</v>
      </c>
      <c r="CE45">
        <v>4</v>
      </c>
      <c r="CI45" t="s">
        <v>117</v>
      </c>
      <c r="CJ45">
        <v>0.09</v>
      </c>
      <c r="CK45">
        <v>0.09</v>
      </c>
      <c r="CL45">
        <v>0.09</v>
      </c>
      <c r="CM45">
        <v>0.09</v>
      </c>
      <c r="CN45">
        <v>0.09</v>
      </c>
      <c r="CO45">
        <v>0.09</v>
      </c>
    </row>
    <row r="46" spans="9:93" x14ac:dyDescent="0.2">
      <c r="BR46" t="s">
        <v>144</v>
      </c>
      <c r="BS46">
        <v>3.0000000000000001E-3</v>
      </c>
      <c r="BW46" t="s">
        <v>113</v>
      </c>
      <c r="BX46" t="s">
        <v>126</v>
      </c>
      <c r="BY46">
        <v>0.2</v>
      </c>
      <c r="BZ46">
        <v>0.08</v>
      </c>
      <c r="CA46">
        <v>0.16</v>
      </c>
      <c r="CB46">
        <v>0.2</v>
      </c>
      <c r="CC46">
        <v>0.16</v>
      </c>
      <c r="CD46">
        <v>0.18</v>
      </c>
      <c r="CE46">
        <v>1</v>
      </c>
      <c r="CI46" t="s">
        <v>119</v>
      </c>
      <c r="CJ46">
        <v>7.0000000000000007E-2</v>
      </c>
      <c r="CK46">
        <v>7.0000000000000007E-2</v>
      </c>
      <c r="CL46">
        <v>7.0000000000000007E-2</v>
      </c>
      <c r="CM46">
        <v>7.0000000000000007E-2</v>
      </c>
      <c r="CN46">
        <v>7.0000000000000007E-2</v>
      </c>
      <c r="CO46">
        <v>7.0000000000000007E-2</v>
      </c>
    </row>
    <row r="47" spans="9:93" x14ac:dyDescent="0.2">
      <c r="BR47" t="s">
        <v>145</v>
      </c>
      <c r="BS47">
        <v>5.0000000000000001E-3</v>
      </c>
      <c r="BW47" t="s">
        <v>115</v>
      </c>
      <c r="BX47" t="s">
        <v>126</v>
      </c>
      <c r="BY47">
        <v>0.1</v>
      </c>
      <c r="BZ47">
        <v>0.1</v>
      </c>
      <c r="CA47">
        <v>7.0000000000000007E-2</v>
      </c>
      <c r="CB47">
        <v>7.0000000000000007E-2</v>
      </c>
      <c r="CC47">
        <v>7.0000000000000007E-2</v>
      </c>
      <c r="CD47">
        <v>0.06</v>
      </c>
      <c r="CE47">
        <v>2</v>
      </c>
      <c r="CH47" t="s">
        <v>292</v>
      </c>
      <c r="CI47" t="s">
        <v>113</v>
      </c>
      <c r="CJ47">
        <v>0.16</v>
      </c>
      <c r="CK47">
        <v>0.16</v>
      </c>
      <c r="CL47">
        <v>0.16</v>
      </c>
      <c r="CM47">
        <v>0.16</v>
      </c>
      <c r="CN47">
        <v>0.16</v>
      </c>
      <c r="CO47">
        <v>0.16</v>
      </c>
    </row>
    <row r="48" spans="9:93" x14ac:dyDescent="0.2">
      <c r="BR48" t="s">
        <v>146</v>
      </c>
      <c r="BS48">
        <v>2.5999999999999999E-3</v>
      </c>
      <c r="BW48" t="s">
        <v>117</v>
      </c>
      <c r="BX48" t="s">
        <v>126</v>
      </c>
      <c r="BY48">
        <v>0.12</v>
      </c>
      <c r="BZ48">
        <v>0.09</v>
      </c>
      <c r="CA48">
        <v>0.09</v>
      </c>
      <c r="CB48">
        <v>0.14000000000000001</v>
      </c>
      <c r="CC48">
        <v>0.13</v>
      </c>
      <c r="CD48">
        <v>0.16</v>
      </c>
      <c r="CE48">
        <v>3</v>
      </c>
      <c r="CI48" t="s">
        <v>115</v>
      </c>
      <c r="CJ48">
        <v>7.0000000000000007E-2</v>
      </c>
      <c r="CK48">
        <v>7.0000000000000007E-2</v>
      </c>
      <c r="CL48">
        <v>7.0000000000000007E-2</v>
      </c>
      <c r="CM48">
        <v>7.0000000000000007E-2</v>
      </c>
      <c r="CN48">
        <v>7.0000000000000007E-2</v>
      </c>
      <c r="CO48">
        <v>7.0000000000000007E-2</v>
      </c>
    </row>
    <row r="49" spans="70:93" x14ac:dyDescent="0.2">
      <c r="BR49" t="s">
        <v>147</v>
      </c>
      <c r="BS49">
        <v>1.8E-3</v>
      </c>
      <c r="BW49" t="s">
        <v>119</v>
      </c>
      <c r="BX49" t="s">
        <v>126</v>
      </c>
      <c r="BY49">
        <v>0.18</v>
      </c>
      <c r="BZ49">
        <v>7.0000000000000007E-2</v>
      </c>
      <c r="CA49">
        <v>0.2</v>
      </c>
      <c r="CB49">
        <v>0.16</v>
      </c>
      <c r="CC49">
        <v>0.1</v>
      </c>
      <c r="CD49">
        <v>0.21</v>
      </c>
      <c r="CE49">
        <v>4</v>
      </c>
      <c r="CI49" t="s">
        <v>117</v>
      </c>
      <c r="CJ49">
        <v>0.09</v>
      </c>
      <c r="CK49">
        <v>0.09</v>
      </c>
      <c r="CL49">
        <v>0.09</v>
      </c>
      <c r="CM49">
        <v>0.09</v>
      </c>
      <c r="CN49">
        <v>0.09</v>
      </c>
      <c r="CO49">
        <v>0.09</v>
      </c>
    </row>
    <row r="50" spans="70:93" x14ac:dyDescent="0.2">
      <c r="BW50" t="s">
        <v>113</v>
      </c>
      <c r="BX50" t="s">
        <v>129</v>
      </c>
      <c r="BY50">
        <v>0.2</v>
      </c>
      <c r="BZ50">
        <v>0.08</v>
      </c>
      <c r="CA50">
        <v>0.16</v>
      </c>
      <c r="CB50">
        <v>0.2</v>
      </c>
      <c r="CC50">
        <v>0.16</v>
      </c>
      <c r="CD50">
        <v>0.18</v>
      </c>
      <c r="CE50">
        <v>1</v>
      </c>
      <c r="CI50" t="s">
        <v>119</v>
      </c>
      <c r="CJ50">
        <v>0.2</v>
      </c>
      <c r="CK50">
        <v>0.2</v>
      </c>
      <c r="CL50">
        <v>0.2</v>
      </c>
      <c r="CM50">
        <v>0.2</v>
      </c>
      <c r="CN50">
        <v>0.2</v>
      </c>
      <c r="CO50">
        <v>0.2</v>
      </c>
    </row>
    <row r="51" spans="70:93" x14ac:dyDescent="0.2">
      <c r="BW51" t="s">
        <v>115</v>
      </c>
      <c r="BX51" t="s">
        <v>129</v>
      </c>
      <c r="BY51">
        <v>0.1</v>
      </c>
      <c r="BZ51">
        <v>0.1</v>
      </c>
      <c r="CA51">
        <v>7.0000000000000007E-2</v>
      </c>
      <c r="CB51">
        <v>7.0000000000000007E-2</v>
      </c>
      <c r="CC51">
        <v>7.0000000000000007E-2</v>
      </c>
      <c r="CD51">
        <v>0.06</v>
      </c>
      <c r="CE51">
        <v>2</v>
      </c>
      <c r="CH51" t="s">
        <v>293</v>
      </c>
      <c r="CI51" t="s">
        <v>113</v>
      </c>
      <c r="CJ51">
        <v>0.2</v>
      </c>
      <c r="CK51">
        <v>0.2</v>
      </c>
      <c r="CL51">
        <v>0.2</v>
      </c>
      <c r="CM51">
        <v>0.2</v>
      </c>
      <c r="CN51">
        <v>0.2</v>
      </c>
      <c r="CO51">
        <v>0.2</v>
      </c>
    </row>
    <row r="52" spans="70:93" x14ac:dyDescent="0.2">
      <c r="BW52" t="s">
        <v>117</v>
      </c>
      <c r="BX52" t="s">
        <v>129</v>
      </c>
      <c r="BY52">
        <v>0.12</v>
      </c>
      <c r="BZ52">
        <v>0.09</v>
      </c>
      <c r="CA52">
        <v>0.09</v>
      </c>
      <c r="CB52">
        <v>0.14000000000000001</v>
      </c>
      <c r="CC52">
        <v>0.13</v>
      </c>
      <c r="CD52">
        <v>0.06</v>
      </c>
      <c r="CE52">
        <v>3</v>
      </c>
      <c r="CI52" t="s">
        <v>115</v>
      </c>
      <c r="CJ52">
        <v>7.0000000000000007E-2</v>
      </c>
      <c r="CK52">
        <v>7.0000000000000007E-2</v>
      </c>
      <c r="CL52">
        <v>7.0000000000000007E-2</v>
      </c>
      <c r="CM52">
        <v>7.0000000000000007E-2</v>
      </c>
      <c r="CN52">
        <v>7.0000000000000007E-2</v>
      </c>
      <c r="CO52">
        <v>7.0000000000000007E-2</v>
      </c>
    </row>
    <row r="53" spans="70:93" x14ac:dyDescent="0.2">
      <c r="BW53" t="s">
        <v>119</v>
      </c>
      <c r="BX53" t="s">
        <v>129</v>
      </c>
      <c r="BY53">
        <v>0.18</v>
      </c>
      <c r="BZ53">
        <v>7.0000000000000007E-2</v>
      </c>
      <c r="CA53">
        <v>0.2</v>
      </c>
      <c r="CB53">
        <v>0.16</v>
      </c>
      <c r="CC53">
        <v>0.1</v>
      </c>
      <c r="CD53">
        <v>0.21</v>
      </c>
      <c r="CE53">
        <v>4</v>
      </c>
      <c r="CI53" t="s">
        <v>117</v>
      </c>
      <c r="CJ53">
        <v>0.14000000000000001</v>
      </c>
      <c r="CK53">
        <v>0.14000000000000001</v>
      </c>
      <c r="CL53">
        <v>0.14000000000000001</v>
      </c>
      <c r="CM53">
        <v>0.14000000000000001</v>
      </c>
      <c r="CN53">
        <v>0.14000000000000001</v>
      </c>
      <c r="CO53">
        <v>0.14000000000000001</v>
      </c>
    </row>
    <row r="54" spans="70:93" x14ac:dyDescent="0.2">
      <c r="BW54" t="s">
        <v>113</v>
      </c>
      <c r="BX54" t="s">
        <v>131</v>
      </c>
      <c r="BY54">
        <v>0.2</v>
      </c>
      <c r="BZ54">
        <v>0.08</v>
      </c>
      <c r="CA54">
        <v>0.16</v>
      </c>
      <c r="CB54">
        <v>0.2</v>
      </c>
      <c r="CC54">
        <v>0.16</v>
      </c>
      <c r="CD54">
        <v>0.18</v>
      </c>
      <c r="CE54">
        <v>1</v>
      </c>
      <c r="CI54" t="s">
        <v>119</v>
      </c>
      <c r="CJ54">
        <v>0.16</v>
      </c>
      <c r="CK54">
        <v>0.16</v>
      </c>
      <c r="CL54">
        <v>0.16</v>
      </c>
      <c r="CM54">
        <v>0.16</v>
      </c>
      <c r="CN54">
        <v>0.16</v>
      </c>
      <c r="CO54">
        <v>0.16</v>
      </c>
    </row>
    <row r="55" spans="70:93" x14ac:dyDescent="0.2">
      <c r="BW55" t="s">
        <v>115</v>
      </c>
      <c r="BX55" t="s">
        <v>131</v>
      </c>
      <c r="BY55">
        <v>0.1</v>
      </c>
      <c r="BZ55">
        <v>0.1</v>
      </c>
      <c r="CA55">
        <v>7.0000000000000007E-2</v>
      </c>
      <c r="CB55">
        <v>7.0000000000000007E-2</v>
      </c>
      <c r="CC55">
        <v>7.0000000000000007E-2</v>
      </c>
      <c r="CD55">
        <v>0.06</v>
      </c>
      <c r="CE55">
        <v>2</v>
      </c>
      <c r="CH55" t="s">
        <v>294</v>
      </c>
      <c r="CI55" t="s">
        <v>113</v>
      </c>
      <c r="CJ55">
        <v>0.16</v>
      </c>
      <c r="CK55">
        <v>0.16</v>
      </c>
      <c r="CL55">
        <v>0.16</v>
      </c>
      <c r="CM55">
        <v>0.16</v>
      </c>
      <c r="CN55">
        <v>0.16</v>
      </c>
      <c r="CO55">
        <v>0.16</v>
      </c>
    </row>
    <row r="56" spans="70:93" x14ac:dyDescent="0.2">
      <c r="BW56" t="s">
        <v>117</v>
      </c>
      <c r="BX56" t="s">
        <v>131</v>
      </c>
      <c r="BY56">
        <v>0.12</v>
      </c>
      <c r="BZ56">
        <v>0.09</v>
      </c>
      <c r="CA56">
        <v>0.09</v>
      </c>
      <c r="CB56">
        <v>0.14000000000000001</v>
      </c>
      <c r="CC56">
        <v>0.13</v>
      </c>
      <c r="CD56">
        <v>0.06</v>
      </c>
      <c r="CE56">
        <v>3</v>
      </c>
      <c r="CI56" t="s">
        <v>115</v>
      </c>
      <c r="CJ56">
        <v>7.0000000000000007E-2</v>
      </c>
      <c r="CK56">
        <v>7.0000000000000007E-2</v>
      </c>
      <c r="CL56">
        <v>7.0000000000000007E-2</v>
      </c>
      <c r="CM56">
        <v>7.0000000000000007E-2</v>
      </c>
      <c r="CN56">
        <v>7.0000000000000007E-2</v>
      </c>
      <c r="CO56">
        <v>7.0000000000000007E-2</v>
      </c>
    </row>
    <row r="57" spans="70:93" x14ac:dyDescent="0.2">
      <c r="BW57" t="s">
        <v>119</v>
      </c>
      <c r="BX57" t="s">
        <v>131</v>
      </c>
      <c r="BY57">
        <v>0.18</v>
      </c>
      <c r="BZ57">
        <v>7.0000000000000007E-2</v>
      </c>
      <c r="CA57">
        <v>0.2</v>
      </c>
      <c r="CB57">
        <v>0.16</v>
      </c>
      <c r="CC57">
        <v>0.1</v>
      </c>
      <c r="CD57">
        <v>0.21</v>
      </c>
      <c r="CE57">
        <v>4</v>
      </c>
      <c r="CI57" t="s">
        <v>117</v>
      </c>
      <c r="CJ57">
        <v>0.13</v>
      </c>
      <c r="CK57">
        <v>0.13</v>
      </c>
      <c r="CL57">
        <v>0.13</v>
      </c>
      <c r="CM57">
        <v>0.13</v>
      </c>
      <c r="CN57">
        <v>0.13</v>
      </c>
      <c r="CO57">
        <v>0.13</v>
      </c>
    </row>
    <row r="58" spans="70:93" x14ac:dyDescent="0.2">
      <c r="BW58" t="s">
        <v>113</v>
      </c>
      <c r="BX58" t="s">
        <v>132</v>
      </c>
      <c r="BY58">
        <v>0.2</v>
      </c>
      <c r="BZ58">
        <v>0.08</v>
      </c>
      <c r="CA58">
        <v>0.16</v>
      </c>
      <c r="CB58">
        <v>0.2</v>
      </c>
      <c r="CC58">
        <v>0.16</v>
      </c>
      <c r="CD58">
        <v>0.18</v>
      </c>
      <c r="CE58">
        <v>1</v>
      </c>
      <c r="CI58" t="s">
        <v>119</v>
      </c>
      <c r="CJ58">
        <v>0.1</v>
      </c>
      <c r="CK58">
        <v>0.1</v>
      </c>
      <c r="CL58">
        <v>0.1</v>
      </c>
      <c r="CM58">
        <v>0.1</v>
      </c>
      <c r="CN58">
        <v>0.1</v>
      </c>
      <c r="CO58">
        <v>0.1</v>
      </c>
    </row>
    <row r="59" spans="70:93" x14ac:dyDescent="0.2">
      <c r="BW59" t="s">
        <v>115</v>
      </c>
      <c r="BX59" t="s">
        <v>132</v>
      </c>
      <c r="BY59">
        <v>0.1</v>
      </c>
      <c r="BZ59">
        <v>0.1</v>
      </c>
      <c r="CA59">
        <v>7.0000000000000007E-2</v>
      </c>
      <c r="CB59">
        <v>7.0000000000000007E-2</v>
      </c>
      <c r="CC59">
        <v>7.0000000000000007E-2</v>
      </c>
      <c r="CD59">
        <v>0.06</v>
      </c>
      <c r="CE59">
        <v>2</v>
      </c>
      <c r="CH59" t="s">
        <v>299</v>
      </c>
      <c r="CI59" t="s">
        <v>113</v>
      </c>
      <c r="CJ59">
        <v>0.18</v>
      </c>
      <c r="CK59">
        <v>0.18</v>
      </c>
      <c r="CL59">
        <v>0.18</v>
      </c>
      <c r="CM59">
        <v>0.18</v>
      </c>
      <c r="CN59">
        <v>0.18</v>
      </c>
      <c r="CO59">
        <v>0.18</v>
      </c>
    </row>
    <row r="60" spans="70:93" x14ac:dyDescent="0.2">
      <c r="BW60" t="s">
        <v>117</v>
      </c>
      <c r="BX60" t="s">
        <v>132</v>
      </c>
      <c r="BY60">
        <v>0.12</v>
      </c>
      <c r="BZ60">
        <v>0.09</v>
      </c>
      <c r="CA60">
        <v>0.09</v>
      </c>
      <c r="CB60">
        <v>0.14000000000000001</v>
      </c>
      <c r="CC60">
        <v>0.13</v>
      </c>
      <c r="CD60">
        <v>0.06</v>
      </c>
      <c r="CE60">
        <v>3</v>
      </c>
      <c r="CI60" t="s">
        <v>115</v>
      </c>
      <c r="CJ60">
        <v>0.06</v>
      </c>
      <c r="CK60">
        <v>0.06</v>
      </c>
      <c r="CL60">
        <v>0.06</v>
      </c>
      <c r="CM60">
        <v>0.06</v>
      </c>
      <c r="CN60">
        <v>0.06</v>
      </c>
      <c r="CO60">
        <v>0.06</v>
      </c>
    </row>
    <row r="61" spans="70:93" x14ac:dyDescent="0.2">
      <c r="BW61" t="s">
        <v>119</v>
      </c>
      <c r="BX61" t="s">
        <v>132</v>
      </c>
      <c r="BY61">
        <v>0.18</v>
      </c>
      <c r="BZ61">
        <v>7.0000000000000007E-2</v>
      </c>
      <c r="CA61">
        <v>0.2</v>
      </c>
      <c r="CB61">
        <v>0.16</v>
      </c>
      <c r="CC61">
        <v>0.1</v>
      </c>
      <c r="CD61">
        <v>0.21</v>
      </c>
      <c r="CE61">
        <v>4</v>
      </c>
      <c r="CI61" t="s">
        <v>117</v>
      </c>
      <c r="CJ61">
        <v>0.06</v>
      </c>
      <c r="CK61">
        <v>0.06</v>
      </c>
      <c r="CL61">
        <v>0.16</v>
      </c>
      <c r="CM61">
        <v>0.16</v>
      </c>
      <c r="CN61">
        <v>0.06</v>
      </c>
      <c r="CO61">
        <v>0.16</v>
      </c>
    </row>
    <row r="62" spans="70:93" x14ac:dyDescent="0.2">
      <c r="CI62" t="s">
        <v>119</v>
      </c>
      <c r="CJ62">
        <v>0.21</v>
      </c>
      <c r="CK62">
        <v>0.21</v>
      </c>
      <c r="CL62">
        <v>0.21</v>
      </c>
      <c r="CM62">
        <v>0.21</v>
      </c>
      <c r="CN62">
        <v>0.21</v>
      </c>
      <c r="CO62">
        <v>0.21</v>
      </c>
    </row>
    <row r="66" spans="75:93" x14ac:dyDescent="0.2">
      <c r="BW66" t="s">
        <v>305</v>
      </c>
      <c r="BX66" t="s">
        <v>82</v>
      </c>
      <c r="CH66" t="s">
        <v>257</v>
      </c>
      <c r="CI66" t="s">
        <v>258</v>
      </c>
      <c r="CJ66" t="s">
        <v>259</v>
      </c>
      <c r="CK66" t="s">
        <v>260</v>
      </c>
      <c r="CL66" t="s">
        <v>261</v>
      </c>
      <c r="CM66" t="s">
        <v>262</v>
      </c>
      <c r="CN66" t="s">
        <v>263</v>
      </c>
      <c r="CO66" t="s">
        <v>264</v>
      </c>
    </row>
    <row r="67" spans="75:93" x14ac:dyDescent="0.2">
      <c r="BW67" t="s">
        <v>255</v>
      </c>
      <c r="BX67" t="s">
        <v>74</v>
      </c>
      <c r="BY67" t="s">
        <v>110</v>
      </c>
      <c r="BZ67" t="s">
        <v>287</v>
      </c>
      <c r="CA67" t="s">
        <v>292</v>
      </c>
      <c r="CB67" t="s">
        <v>293</v>
      </c>
      <c r="CC67" t="s">
        <v>294</v>
      </c>
      <c r="CD67" t="s">
        <v>299</v>
      </c>
      <c r="CE67" t="s">
        <v>256</v>
      </c>
      <c r="CH67" t="s">
        <v>72</v>
      </c>
      <c r="CI67" t="s">
        <v>255</v>
      </c>
      <c r="CJ67" t="s">
        <v>131</v>
      </c>
      <c r="CK67" t="s">
        <v>132</v>
      </c>
      <c r="CL67" t="s">
        <v>126</v>
      </c>
      <c r="CM67" t="s">
        <v>112</v>
      </c>
      <c r="CN67" t="s">
        <v>129</v>
      </c>
      <c r="CO67" t="s">
        <v>121</v>
      </c>
    </row>
    <row r="68" spans="75:93" x14ac:dyDescent="0.2">
      <c r="BW68" t="s">
        <v>113</v>
      </c>
      <c r="BX68" t="s">
        <v>112</v>
      </c>
      <c r="BY68">
        <v>0.75</v>
      </c>
      <c r="BZ68">
        <v>0.51</v>
      </c>
      <c r="CA68">
        <v>0.7</v>
      </c>
      <c r="CB68">
        <v>0.75</v>
      </c>
      <c r="CC68">
        <v>0.7</v>
      </c>
      <c r="CD68">
        <v>0.73</v>
      </c>
      <c r="CE68">
        <v>1</v>
      </c>
      <c r="CH68" t="s">
        <v>110</v>
      </c>
      <c r="CI68" t="s">
        <v>113</v>
      </c>
      <c r="CJ68">
        <v>0.75</v>
      </c>
      <c r="CK68">
        <v>0.75</v>
      </c>
      <c r="CL68">
        <v>0.75</v>
      </c>
      <c r="CM68">
        <v>0.75</v>
      </c>
      <c r="CN68">
        <v>0.75</v>
      </c>
      <c r="CO68">
        <v>0.75</v>
      </c>
    </row>
    <row r="69" spans="75:93" x14ac:dyDescent="0.2">
      <c r="BW69" t="s">
        <v>115</v>
      </c>
      <c r="BX69" t="s">
        <v>112</v>
      </c>
      <c r="BY69">
        <v>0.61</v>
      </c>
      <c r="BZ69">
        <v>0.55000000000000004</v>
      </c>
      <c r="CA69">
        <v>0.55000000000000004</v>
      </c>
      <c r="CB69">
        <v>0.55000000000000004</v>
      </c>
      <c r="CC69">
        <v>0.55000000000000004</v>
      </c>
      <c r="CD69">
        <v>0.55000000000000004</v>
      </c>
      <c r="CE69">
        <v>2</v>
      </c>
      <c r="CI69" t="s">
        <v>115</v>
      </c>
      <c r="CJ69">
        <v>0.61</v>
      </c>
      <c r="CK69">
        <v>0.61</v>
      </c>
      <c r="CL69">
        <v>0.61</v>
      </c>
      <c r="CM69">
        <v>0.61</v>
      </c>
      <c r="CN69">
        <v>0.61</v>
      </c>
      <c r="CO69">
        <v>0.61</v>
      </c>
    </row>
    <row r="70" spans="75:93" x14ac:dyDescent="0.2">
      <c r="BW70" t="s">
        <v>117</v>
      </c>
      <c r="BX70" t="s">
        <v>112</v>
      </c>
      <c r="BY70">
        <v>0.64</v>
      </c>
      <c r="BZ70">
        <v>0.59</v>
      </c>
      <c r="CA70">
        <v>0.55000000000000004</v>
      </c>
      <c r="CB70">
        <v>0.67</v>
      </c>
      <c r="CC70">
        <v>0.65</v>
      </c>
      <c r="CD70">
        <v>0.7</v>
      </c>
      <c r="CE70">
        <v>3</v>
      </c>
      <c r="CI70" t="s">
        <v>117</v>
      </c>
      <c r="CJ70">
        <v>0.64</v>
      </c>
      <c r="CK70">
        <v>0.64</v>
      </c>
      <c r="CL70">
        <v>0.64</v>
      </c>
      <c r="CM70">
        <v>0.64</v>
      </c>
      <c r="CN70">
        <v>0.64</v>
      </c>
      <c r="CO70">
        <v>0.64</v>
      </c>
    </row>
    <row r="71" spans="75:93" x14ac:dyDescent="0.2">
      <c r="BW71" t="s">
        <v>119</v>
      </c>
      <c r="BX71" t="s">
        <v>112</v>
      </c>
      <c r="BY71">
        <v>0.72</v>
      </c>
      <c r="BZ71">
        <v>0.57999999999999996</v>
      </c>
      <c r="CA71">
        <v>0.75</v>
      </c>
      <c r="CB71">
        <v>0.7</v>
      </c>
      <c r="CC71">
        <v>0.6</v>
      </c>
      <c r="CD71">
        <v>0.76</v>
      </c>
      <c r="CE71">
        <v>4</v>
      </c>
      <c r="CI71" t="s">
        <v>119</v>
      </c>
      <c r="CJ71">
        <v>0.72</v>
      </c>
      <c r="CK71">
        <v>0.72</v>
      </c>
      <c r="CL71">
        <v>0.72</v>
      </c>
      <c r="CM71">
        <v>0.72</v>
      </c>
      <c r="CN71">
        <v>0.72</v>
      </c>
      <c r="CO71">
        <v>0.72</v>
      </c>
    </row>
    <row r="72" spans="75:93" x14ac:dyDescent="0.2">
      <c r="BW72" t="s">
        <v>113</v>
      </c>
      <c r="BX72" t="s">
        <v>121</v>
      </c>
      <c r="BY72">
        <v>0.75</v>
      </c>
      <c r="BZ72">
        <v>0.51</v>
      </c>
      <c r="CA72">
        <v>0.7</v>
      </c>
      <c r="CB72">
        <v>0.75</v>
      </c>
      <c r="CC72">
        <v>0.7</v>
      </c>
      <c r="CD72">
        <v>0.73</v>
      </c>
      <c r="CE72">
        <v>1</v>
      </c>
      <c r="CH72" t="s">
        <v>287</v>
      </c>
      <c r="CI72" t="s">
        <v>113</v>
      </c>
      <c r="CJ72">
        <v>0.51</v>
      </c>
      <c r="CK72">
        <v>0.51</v>
      </c>
      <c r="CL72">
        <v>0.51</v>
      </c>
      <c r="CM72">
        <v>0.51</v>
      </c>
      <c r="CN72">
        <v>0.51</v>
      </c>
      <c r="CO72">
        <v>0.51</v>
      </c>
    </row>
    <row r="73" spans="75:93" x14ac:dyDescent="0.2">
      <c r="BW73" t="s">
        <v>115</v>
      </c>
      <c r="BX73" t="s">
        <v>121</v>
      </c>
      <c r="BY73">
        <v>0.61</v>
      </c>
      <c r="BZ73">
        <v>0.55000000000000004</v>
      </c>
      <c r="CA73">
        <v>0.55000000000000004</v>
      </c>
      <c r="CB73">
        <v>0.55000000000000004</v>
      </c>
      <c r="CC73">
        <v>0.55000000000000004</v>
      </c>
      <c r="CD73">
        <v>0.55000000000000004</v>
      </c>
      <c r="CE73">
        <v>2</v>
      </c>
      <c r="CI73" t="s">
        <v>115</v>
      </c>
      <c r="CJ73">
        <v>0.55000000000000004</v>
      </c>
      <c r="CK73">
        <v>0.55000000000000004</v>
      </c>
      <c r="CL73">
        <v>0.55000000000000004</v>
      </c>
      <c r="CM73">
        <v>0.55000000000000004</v>
      </c>
      <c r="CN73">
        <v>0.55000000000000004</v>
      </c>
      <c r="CO73">
        <v>0.55000000000000004</v>
      </c>
    </row>
    <row r="74" spans="75:93" x14ac:dyDescent="0.2">
      <c r="BW74" t="s">
        <v>117</v>
      </c>
      <c r="BX74" t="s">
        <v>121</v>
      </c>
      <c r="BY74">
        <v>0.64</v>
      </c>
      <c r="BZ74">
        <v>0.59</v>
      </c>
      <c r="CA74">
        <v>0.55000000000000004</v>
      </c>
      <c r="CB74">
        <v>0.67</v>
      </c>
      <c r="CC74">
        <v>0.65</v>
      </c>
      <c r="CD74">
        <v>0.7</v>
      </c>
      <c r="CE74">
        <v>3</v>
      </c>
      <c r="CI74" t="s">
        <v>117</v>
      </c>
      <c r="CJ74">
        <v>0.59</v>
      </c>
      <c r="CK74">
        <v>0.59</v>
      </c>
      <c r="CL74">
        <v>0.59</v>
      </c>
      <c r="CM74">
        <v>0.59</v>
      </c>
      <c r="CN74">
        <v>0.59</v>
      </c>
      <c r="CO74">
        <v>0.59</v>
      </c>
    </row>
    <row r="75" spans="75:93" x14ac:dyDescent="0.2">
      <c r="BW75" t="s">
        <v>119</v>
      </c>
      <c r="BX75" t="s">
        <v>121</v>
      </c>
      <c r="BY75">
        <v>0.72</v>
      </c>
      <c r="BZ75">
        <v>0.57999999999999996</v>
      </c>
      <c r="CA75">
        <v>0.75</v>
      </c>
      <c r="CB75">
        <v>0.7</v>
      </c>
      <c r="CC75">
        <v>0.6</v>
      </c>
      <c r="CD75">
        <v>0.76</v>
      </c>
      <c r="CE75">
        <v>4</v>
      </c>
      <c r="CI75" t="s">
        <v>119</v>
      </c>
      <c r="CJ75">
        <v>0.57999999999999996</v>
      </c>
      <c r="CK75">
        <v>0.57999999999999996</v>
      </c>
      <c r="CL75">
        <v>0.57999999999999996</v>
      </c>
      <c r="CM75">
        <v>0.57999999999999996</v>
      </c>
      <c r="CN75">
        <v>0.57999999999999996</v>
      </c>
      <c r="CO75">
        <v>0.57999999999999996</v>
      </c>
    </row>
    <row r="76" spans="75:93" x14ac:dyDescent="0.2">
      <c r="BW76" t="s">
        <v>113</v>
      </c>
      <c r="BX76" t="s">
        <v>126</v>
      </c>
      <c r="BY76">
        <v>0.75</v>
      </c>
      <c r="BZ76">
        <v>0.51</v>
      </c>
      <c r="CA76">
        <v>0.7</v>
      </c>
      <c r="CB76">
        <v>0.75</v>
      </c>
      <c r="CC76">
        <v>0.7</v>
      </c>
      <c r="CD76">
        <v>0.73</v>
      </c>
      <c r="CE76">
        <v>1</v>
      </c>
      <c r="CH76" t="s">
        <v>292</v>
      </c>
      <c r="CI76" t="s">
        <v>113</v>
      </c>
      <c r="CJ76">
        <v>0.7</v>
      </c>
      <c r="CK76">
        <v>0.7</v>
      </c>
      <c r="CL76">
        <v>0.7</v>
      </c>
      <c r="CM76">
        <v>0.7</v>
      </c>
      <c r="CN76">
        <v>0.7</v>
      </c>
      <c r="CO76">
        <v>0.7</v>
      </c>
    </row>
    <row r="77" spans="75:93" x14ac:dyDescent="0.2">
      <c r="BW77" t="s">
        <v>115</v>
      </c>
      <c r="BX77" t="s">
        <v>126</v>
      </c>
      <c r="BY77">
        <v>0.61</v>
      </c>
      <c r="BZ77">
        <v>0.55000000000000004</v>
      </c>
      <c r="CA77">
        <v>0.55000000000000004</v>
      </c>
      <c r="CB77">
        <v>0.55000000000000004</v>
      </c>
      <c r="CC77">
        <v>0.55000000000000004</v>
      </c>
      <c r="CD77">
        <v>0.55000000000000004</v>
      </c>
      <c r="CE77">
        <v>2</v>
      </c>
      <c r="CI77" t="s">
        <v>115</v>
      </c>
      <c r="CJ77">
        <v>0.55000000000000004</v>
      </c>
      <c r="CK77">
        <v>0.55000000000000004</v>
      </c>
      <c r="CL77">
        <v>0.55000000000000004</v>
      </c>
      <c r="CM77">
        <v>0.55000000000000004</v>
      </c>
      <c r="CN77">
        <v>0.55000000000000004</v>
      </c>
      <c r="CO77">
        <v>0.55000000000000004</v>
      </c>
    </row>
    <row r="78" spans="75:93" x14ac:dyDescent="0.2">
      <c r="BW78" t="s">
        <v>117</v>
      </c>
      <c r="BX78" t="s">
        <v>126</v>
      </c>
      <c r="BY78">
        <v>0.64</v>
      </c>
      <c r="BZ78">
        <v>0.59</v>
      </c>
      <c r="CA78">
        <v>0.55000000000000004</v>
      </c>
      <c r="CB78">
        <v>0.67</v>
      </c>
      <c r="CC78">
        <v>0.65</v>
      </c>
      <c r="CD78">
        <v>0.7</v>
      </c>
      <c r="CE78">
        <v>3</v>
      </c>
      <c r="CI78" t="s">
        <v>117</v>
      </c>
      <c r="CJ78">
        <v>0.55000000000000004</v>
      </c>
      <c r="CK78">
        <v>0.55000000000000004</v>
      </c>
      <c r="CL78">
        <v>0.55000000000000004</v>
      </c>
      <c r="CM78">
        <v>0.55000000000000004</v>
      </c>
      <c r="CN78">
        <v>0.55000000000000004</v>
      </c>
      <c r="CO78">
        <v>0.55000000000000004</v>
      </c>
    </row>
    <row r="79" spans="75:93" x14ac:dyDescent="0.2">
      <c r="BW79" t="s">
        <v>119</v>
      </c>
      <c r="BX79" t="s">
        <v>126</v>
      </c>
      <c r="BY79">
        <v>0.72</v>
      </c>
      <c r="BZ79">
        <v>0.57999999999999996</v>
      </c>
      <c r="CA79">
        <v>0.75</v>
      </c>
      <c r="CB79">
        <v>0.7</v>
      </c>
      <c r="CC79">
        <v>0.6</v>
      </c>
      <c r="CD79">
        <v>0.76</v>
      </c>
      <c r="CE79">
        <v>4</v>
      </c>
      <c r="CI79" t="s">
        <v>119</v>
      </c>
      <c r="CJ79">
        <v>0.75</v>
      </c>
      <c r="CK79">
        <v>0.75</v>
      </c>
      <c r="CL79">
        <v>0.75</v>
      </c>
      <c r="CM79">
        <v>0.75</v>
      </c>
      <c r="CN79">
        <v>0.75</v>
      </c>
      <c r="CO79">
        <v>0.75</v>
      </c>
    </row>
    <row r="80" spans="75:93" x14ac:dyDescent="0.2">
      <c r="BW80" t="s">
        <v>113</v>
      </c>
      <c r="BX80" t="s">
        <v>129</v>
      </c>
      <c r="BY80">
        <v>0.75</v>
      </c>
      <c r="BZ80">
        <v>0.51</v>
      </c>
      <c r="CA80">
        <v>0.7</v>
      </c>
      <c r="CB80">
        <v>0.75</v>
      </c>
      <c r="CC80">
        <v>0.7</v>
      </c>
      <c r="CD80">
        <v>0.73</v>
      </c>
      <c r="CE80">
        <v>1</v>
      </c>
      <c r="CH80" t="s">
        <v>293</v>
      </c>
      <c r="CI80" t="s">
        <v>113</v>
      </c>
      <c r="CJ80">
        <v>0.75</v>
      </c>
      <c r="CK80">
        <v>0.75</v>
      </c>
      <c r="CL80">
        <v>0.75</v>
      </c>
      <c r="CM80">
        <v>0.75</v>
      </c>
      <c r="CN80">
        <v>0.75</v>
      </c>
      <c r="CO80">
        <v>0.75</v>
      </c>
    </row>
    <row r="81" spans="75:93" x14ac:dyDescent="0.2">
      <c r="BW81" t="s">
        <v>115</v>
      </c>
      <c r="BX81" t="s">
        <v>129</v>
      </c>
      <c r="BY81">
        <v>0.61</v>
      </c>
      <c r="BZ81">
        <v>0.55000000000000004</v>
      </c>
      <c r="CA81">
        <v>0.55000000000000004</v>
      </c>
      <c r="CB81">
        <v>0.55000000000000004</v>
      </c>
      <c r="CC81">
        <v>0.55000000000000004</v>
      </c>
      <c r="CD81">
        <v>0.55000000000000004</v>
      </c>
      <c r="CE81">
        <v>2</v>
      </c>
      <c r="CI81" t="s">
        <v>115</v>
      </c>
      <c r="CJ81">
        <v>0.55000000000000004</v>
      </c>
      <c r="CK81">
        <v>0.55000000000000004</v>
      </c>
      <c r="CL81">
        <v>0.55000000000000004</v>
      </c>
      <c r="CM81">
        <v>0.55000000000000004</v>
      </c>
      <c r="CN81">
        <v>0.55000000000000004</v>
      </c>
      <c r="CO81">
        <v>0.55000000000000004</v>
      </c>
    </row>
    <row r="82" spans="75:93" x14ac:dyDescent="0.2">
      <c r="BW82" t="s">
        <v>117</v>
      </c>
      <c r="BX82" t="s">
        <v>129</v>
      </c>
      <c r="BY82">
        <v>0.64</v>
      </c>
      <c r="BZ82">
        <v>0.59</v>
      </c>
      <c r="CA82">
        <v>0.55000000000000004</v>
      </c>
      <c r="CB82">
        <v>0.67</v>
      </c>
      <c r="CC82">
        <v>0.65</v>
      </c>
      <c r="CD82">
        <v>0.5</v>
      </c>
      <c r="CE82">
        <v>3</v>
      </c>
      <c r="CI82" t="s">
        <v>117</v>
      </c>
      <c r="CJ82">
        <v>0.67</v>
      </c>
      <c r="CK82">
        <v>0.67</v>
      </c>
      <c r="CL82">
        <v>0.67</v>
      </c>
      <c r="CM82">
        <v>0.67</v>
      </c>
      <c r="CN82">
        <v>0.67</v>
      </c>
      <c r="CO82">
        <v>0.67</v>
      </c>
    </row>
    <row r="83" spans="75:93" x14ac:dyDescent="0.2">
      <c r="BW83" t="s">
        <v>119</v>
      </c>
      <c r="BX83" t="s">
        <v>129</v>
      </c>
      <c r="BY83">
        <v>0.72</v>
      </c>
      <c r="BZ83">
        <v>0.57999999999999996</v>
      </c>
      <c r="CA83">
        <v>0.75</v>
      </c>
      <c r="CB83">
        <v>0.7</v>
      </c>
      <c r="CC83">
        <v>0.6</v>
      </c>
      <c r="CD83">
        <v>0.76</v>
      </c>
      <c r="CE83">
        <v>4</v>
      </c>
      <c r="CI83" t="s">
        <v>119</v>
      </c>
      <c r="CJ83">
        <v>0.7</v>
      </c>
      <c r="CK83">
        <v>0.7</v>
      </c>
      <c r="CL83">
        <v>0.7</v>
      </c>
      <c r="CM83">
        <v>0.7</v>
      </c>
      <c r="CN83">
        <v>0.7</v>
      </c>
      <c r="CO83">
        <v>0.7</v>
      </c>
    </row>
    <row r="84" spans="75:93" x14ac:dyDescent="0.2">
      <c r="BW84" t="s">
        <v>113</v>
      </c>
      <c r="BX84" t="s">
        <v>131</v>
      </c>
      <c r="BY84">
        <v>0.75</v>
      </c>
      <c r="BZ84">
        <v>0.51</v>
      </c>
      <c r="CA84">
        <v>0.7</v>
      </c>
      <c r="CB84">
        <v>0.75</v>
      </c>
      <c r="CC84">
        <v>0.7</v>
      </c>
      <c r="CD84">
        <v>0.73</v>
      </c>
      <c r="CE84">
        <v>1</v>
      </c>
      <c r="CH84" t="s">
        <v>294</v>
      </c>
      <c r="CI84" t="s">
        <v>113</v>
      </c>
      <c r="CJ84">
        <v>0.7</v>
      </c>
      <c r="CK84">
        <v>0.7</v>
      </c>
      <c r="CL84">
        <v>0.7</v>
      </c>
      <c r="CM84">
        <v>0.7</v>
      </c>
      <c r="CN84">
        <v>0.7</v>
      </c>
      <c r="CO84">
        <v>0.7</v>
      </c>
    </row>
    <row r="85" spans="75:93" x14ac:dyDescent="0.2">
      <c r="BW85" t="s">
        <v>115</v>
      </c>
      <c r="BX85" t="s">
        <v>131</v>
      </c>
      <c r="BY85">
        <v>0.61</v>
      </c>
      <c r="BZ85">
        <v>0.55000000000000004</v>
      </c>
      <c r="CA85">
        <v>0.55000000000000004</v>
      </c>
      <c r="CB85">
        <v>0.55000000000000004</v>
      </c>
      <c r="CC85">
        <v>0.55000000000000004</v>
      </c>
      <c r="CD85">
        <v>0.55000000000000004</v>
      </c>
      <c r="CE85">
        <v>2</v>
      </c>
      <c r="CI85" t="s">
        <v>115</v>
      </c>
      <c r="CJ85">
        <v>0.55000000000000004</v>
      </c>
      <c r="CK85">
        <v>0.55000000000000004</v>
      </c>
      <c r="CL85">
        <v>0.55000000000000004</v>
      </c>
      <c r="CM85">
        <v>0.55000000000000004</v>
      </c>
      <c r="CN85">
        <v>0.55000000000000004</v>
      </c>
      <c r="CO85">
        <v>0.55000000000000004</v>
      </c>
    </row>
    <row r="86" spans="75:93" x14ac:dyDescent="0.2">
      <c r="BW86" t="s">
        <v>117</v>
      </c>
      <c r="BX86" t="s">
        <v>131</v>
      </c>
      <c r="BY86">
        <v>0.64</v>
      </c>
      <c r="BZ86">
        <v>0.59</v>
      </c>
      <c r="CA86">
        <v>0.55000000000000004</v>
      </c>
      <c r="CB86">
        <v>0.67</v>
      </c>
      <c r="CC86">
        <v>0.65</v>
      </c>
      <c r="CD86">
        <v>0.5</v>
      </c>
      <c r="CE86">
        <v>3</v>
      </c>
      <c r="CI86" t="s">
        <v>117</v>
      </c>
      <c r="CJ86">
        <v>0.65</v>
      </c>
      <c r="CK86">
        <v>0.65</v>
      </c>
      <c r="CL86">
        <v>0.65</v>
      </c>
      <c r="CM86">
        <v>0.65</v>
      </c>
      <c r="CN86">
        <v>0.65</v>
      </c>
      <c r="CO86">
        <v>0.65</v>
      </c>
    </row>
    <row r="87" spans="75:93" x14ac:dyDescent="0.2">
      <c r="BW87" t="s">
        <v>119</v>
      </c>
      <c r="BX87" t="s">
        <v>131</v>
      </c>
      <c r="BY87">
        <v>0.72</v>
      </c>
      <c r="BZ87">
        <v>0.57999999999999996</v>
      </c>
      <c r="CA87">
        <v>0.75</v>
      </c>
      <c r="CB87">
        <v>0.7</v>
      </c>
      <c r="CC87">
        <v>0.6</v>
      </c>
      <c r="CD87">
        <v>0.76</v>
      </c>
      <c r="CE87">
        <v>4</v>
      </c>
      <c r="CI87" t="s">
        <v>119</v>
      </c>
      <c r="CJ87">
        <v>0.6</v>
      </c>
      <c r="CK87">
        <v>0.6</v>
      </c>
      <c r="CL87">
        <v>0.6</v>
      </c>
      <c r="CM87">
        <v>0.6</v>
      </c>
      <c r="CN87">
        <v>0.6</v>
      </c>
      <c r="CO87">
        <v>0.6</v>
      </c>
    </row>
    <row r="88" spans="75:93" x14ac:dyDescent="0.2">
      <c r="BW88" t="s">
        <v>113</v>
      </c>
      <c r="BX88" t="s">
        <v>132</v>
      </c>
      <c r="BY88">
        <v>0.75</v>
      </c>
      <c r="BZ88">
        <v>0.51</v>
      </c>
      <c r="CA88">
        <v>0.7</v>
      </c>
      <c r="CB88">
        <v>0.75</v>
      </c>
      <c r="CC88">
        <v>0.7</v>
      </c>
      <c r="CD88">
        <v>0.73</v>
      </c>
      <c r="CE88">
        <v>1</v>
      </c>
      <c r="CH88" t="s">
        <v>299</v>
      </c>
      <c r="CI88" t="s">
        <v>113</v>
      </c>
      <c r="CJ88">
        <v>0.73</v>
      </c>
      <c r="CK88">
        <v>0.73</v>
      </c>
      <c r="CL88">
        <v>0.73</v>
      </c>
      <c r="CM88">
        <v>0.73</v>
      </c>
      <c r="CN88">
        <v>0.73</v>
      </c>
      <c r="CO88">
        <v>0.73</v>
      </c>
    </row>
    <row r="89" spans="75:93" x14ac:dyDescent="0.2">
      <c r="BW89" t="s">
        <v>115</v>
      </c>
      <c r="BX89" t="s">
        <v>132</v>
      </c>
      <c r="BY89">
        <v>0.61</v>
      </c>
      <c r="BZ89">
        <v>0.55000000000000004</v>
      </c>
      <c r="CA89">
        <v>0.55000000000000004</v>
      </c>
      <c r="CB89">
        <v>0.55000000000000004</v>
      </c>
      <c r="CC89">
        <v>0.55000000000000004</v>
      </c>
      <c r="CD89">
        <v>0.55000000000000004</v>
      </c>
      <c r="CE89">
        <v>2</v>
      </c>
      <c r="CI89" t="s">
        <v>115</v>
      </c>
      <c r="CJ89">
        <v>0.55000000000000004</v>
      </c>
      <c r="CK89">
        <v>0.55000000000000004</v>
      </c>
      <c r="CL89">
        <v>0.55000000000000004</v>
      </c>
      <c r="CM89">
        <v>0.55000000000000004</v>
      </c>
      <c r="CN89">
        <v>0.55000000000000004</v>
      </c>
      <c r="CO89">
        <v>0.55000000000000004</v>
      </c>
    </row>
    <row r="90" spans="75:93" x14ac:dyDescent="0.2">
      <c r="BW90" t="s">
        <v>117</v>
      </c>
      <c r="BX90" t="s">
        <v>132</v>
      </c>
      <c r="BY90">
        <v>0.64</v>
      </c>
      <c r="BZ90">
        <v>0.59</v>
      </c>
      <c r="CA90">
        <v>0.55000000000000004</v>
      </c>
      <c r="CB90">
        <v>0.67</v>
      </c>
      <c r="CC90">
        <v>0.65</v>
      </c>
      <c r="CD90">
        <v>0.5</v>
      </c>
      <c r="CE90">
        <v>3</v>
      </c>
      <c r="CI90" t="s">
        <v>117</v>
      </c>
      <c r="CJ90">
        <v>0.5</v>
      </c>
      <c r="CK90">
        <v>0.5</v>
      </c>
      <c r="CL90">
        <v>0.7</v>
      </c>
      <c r="CM90">
        <v>0.7</v>
      </c>
      <c r="CN90">
        <v>0.5</v>
      </c>
      <c r="CO90">
        <v>0.7</v>
      </c>
    </row>
    <row r="91" spans="75:93" x14ac:dyDescent="0.2">
      <c r="BW91" t="s">
        <v>119</v>
      </c>
      <c r="BX91" t="s">
        <v>132</v>
      </c>
      <c r="BY91">
        <v>0.72</v>
      </c>
      <c r="BZ91">
        <v>0.57999999999999996</v>
      </c>
      <c r="CA91">
        <v>0.75</v>
      </c>
      <c r="CB91">
        <v>0.7</v>
      </c>
      <c r="CC91">
        <v>0.6</v>
      </c>
      <c r="CD91">
        <v>0.76</v>
      </c>
      <c r="CE91">
        <v>4</v>
      </c>
      <c r="CI91" t="s">
        <v>119</v>
      </c>
      <c r="CJ91">
        <v>0.76</v>
      </c>
      <c r="CK91">
        <v>0.76</v>
      </c>
      <c r="CL91">
        <v>0.76</v>
      </c>
      <c r="CM91">
        <v>0.76</v>
      </c>
      <c r="CN91">
        <v>0.76</v>
      </c>
      <c r="CO91">
        <v>0.76</v>
      </c>
    </row>
    <row r="94" spans="75:93" x14ac:dyDescent="0.2">
      <c r="BW94" t="s">
        <v>306</v>
      </c>
      <c r="BX94" t="s">
        <v>84</v>
      </c>
    </row>
    <row r="95" spans="75:93" x14ac:dyDescent="0.2">
      <c r="BW95" t="s">
        <v>255</v>
      </c>
      <c r="BX95" t="s">
        <v>74</v>
      </c>
      <c r="BY95" t="s">
        <v>110</v>
      </c>
      <c r="BZ95" t="s">
        <v>287</v>
      </c>
      <c r="CA95" t="s">
        <v>292</v>
      </c>
      <c r="CB95" t="s">
        <v>293</v>
      </c>
      <c r="CC95" t="s">
        <v>294</v>
      </c>
      <c r="CD95" t="s">
        <v>299</v>
      </c>
      <c r="CE95" t="s">
        <v>256</v>
      </c>
      <c r="CH95" t="s">
        <v>257</v>
      </c>
      <c r="CI95" t="s">
        <v>258</v>
      </c>
      <c r="CJ95" t="s">
        <v>259</v>
      </c>
      <c r="CK95" t="s">
        <v>260</v>
      </c>
      <c r="CL95" t="s">
        <v>261</v>
      </c>
      <c r="CM95" t="s">
        <v>262</v>
      </c>
      <c r="CN95" t="s">
        <v>263</v>
      </c>
      <c r="CO95" t="s">
        <v>264</v>
      </c>
    </row>
    <row r="96" spans="75:93" x14ac:dyDescent="0.2">
      <c r="BW96" t="s">
        <v>113</v>
      </c>
      <c r="BX96" t="s">
        <v>112</v>
      </c>
      <c r="BY96">
        <v>54</v>
      </c>
      <c r="BZ96">
        <v>40</v>
      </c>
      <c r="CA96">
        <v>55</v>
      </c>
      <c r="CB96">
        <v>50</v>
      </c>
      <c r="CC96">
        <v>55</v>
      </c>
      <c r="CD96">
        <v>55</v>
      </c>
      <c r="CE96">
        <v>1</v>
      </c>
      <c r="CH96" t="s">
        <v>72</v>
      </c>
      <c r="CI96" t="s">
        <v>255</v>
      </c>
      <c r="CJ96" t="s">
        <v>131</v>
      </c>
      <c r="CK96" t="s">
        <v>132</v>
      </c>
      <c r="CL96" t="s">
        <v>126</v>
      </c>
      <c r="CM96" t="s">
        <v>112</v>
      </c>
      <c r="CN96" t="s">
        <v>129</v>
      </c>
      <c r="CO96" t="s">
        <v>121</v>
      </c>
    </row>
    <row r="97" spans="75:93" x14ac:dyDescent="0.2">
      <c r="BW97" t="s">
        <v>115</v>
      </c>
      <c r="BX97" t="s">
        <v>112</v>
      </c>
      <c r="BY97">
        <v>49</v>
      </c>
      <c r="BZ97">
        <v>45</v>
      </c>
      <c r="CA97">
        <v>55</v>
      </c>
      <c r="CB97">
        <v>50</v>
      </c>
      <c r="CC97">
        <v>50</v>
      </c>
      <c r="CD97">
        <v>50</v>
      </c>
      <c r="CE97">
        <v>2</v>
      </c>
      <c r="CH97" t="s">
        <v>110</v>
      </c>
      <c r="CI97" t="s">
        <v>113</v>
      </c>
      <c r="CJ97">
        <v>75</v>
      </c>
      <c r="CK97">
        <v>62</v>
      </c>
      <c r="CL97">
        <v>44</v>
      </c>
      <c r="CM97">
        <v>54</v>
      </c>
      <c r="CN97">
        <v>56</v>
      </c>
      <c r="CO97">
        <v>20</v>
      </c>
    </row>
    <row r="98" spans="75:93" x14ac:dyDescent="0.2">
      <c r="BW98" t="s">
        <v>117</v>
      </c>
      <c r="BX98" t="s">
        <v>112</v>
      </c>
      <c r="BY98">
        <v>50</v>
      </c>
      <c r="BZ98">
        <v>45</v>
      </c>
      <c r="CA98">
        <v>55</v>
      </c>
      <c r="CB98">
        <v>50</v>
      </c>
      <c r="CC98">
        <v>48</v>
      </c>
      <c r="CD98">
        <v>45</v>
      </c>
      <c r="CE98">
        <v>3</v>
      </c>
      <c r="CI98" t="s">
        <v>115</v>
      </c>
      <c r="CJ98">
        <v>75</v>
      </c>
      <c r="CK98">
        <v>55</v>
      </c>
      <c r="CL98">
        <v>42</v>
      </c>
      <c r="CM98">
        <v>49</v>
      </c>
      <c r="CN98">
        <v>51</v>
      </c>
      <c r="CO98">
        <v>27</v>
      </c>
    </row>
    <row r="99" spans="75:93" x14ac:dyDescent="0.2">
      <c r="BW99" t="s">
        <v>119</v>
      </c>
      <c r="BX99" t="s">
        <v>112</v>
      </c>
      <c r="BY99">
        <v>50</v>
      </c>
      <c r="BZ99">
        <v>42</v>
      </c>
      <c r="CA99">
        <v>55</v>
      </c>
      <c r="CB99">
        <v>55</v>
      </c>
      <c r="CC99">
        <v>45</v>
      </c>
      <c r="CD99">
        <v>50</v>
      </c>
      <c r="CE99">
        <v>4</v>
      </c>
      <c r="CI99" t="s">
        <v>117</v>
      </c>
      <c r="CJ99">
        <v>69</v>
      </c>
      <c r="CK99">
        <v>55</v>
      </c>
      <c r="CL99">
        <v>43</v>
      </c>
      <c r="CM99">
        <v>50</v>
      </c>
      <c r="CN99">
        <v>50</v>
      </c>
      <c r="CO99">
        <v>32</v>
      </c>
    </row>
    <row r="100" spans="75:93" x14ac:dyDescent="0.2">
      <c r="BW100" t="s">
        <v>113</v>
      </c>
      <c r="BX100" t="s">
        <v>121</v>
      </c>
      <c r="BY100">
        <v>20</v>
      </c>
      <c r="BZ100">
        <v>20</v>
      </c>
      <c r="CA100">
        <v>40</v>
      </c>
      <c r="CB100">
        <v>14</v>
      </c>
      <c r="CC100">
        <v>22</v>
      </c>
      <c r="CD100">
        <v>30</v>
      </c>
      <c r="CE100">
        <v>1</v>
      </c>
      <c r="CI100" t="s">
        <v>119</v>
      </c>
      <c r="CJ100">
        <v>69</v>
      </c>
      <c r="CK100">
        <v>55</v>
      </c>
      <c r="CL100">
        <v>45</v>
      </c>
      <c r="CM100">
        <v>50</v>
      </c>
      <c r="CN100">
        <v>51</v>
      </c>
      <c r="CO100">
        <v>34</v>
      </c>
    </row>
    <row r="101" spans="75:93" x14ac:dyDescent="0.2">
      <c r="BW101" t="s">
        <v>115</v>
      </c>
      <c r="BX101" t="s">
        <v>121</v>
      </c>
      <c r="BY101">
        <v>27</v>
      </c>
      <c r="BZ101">
        <v>25</v>
      </c>
      <c r="CA101">
        <v>45</v>
      </c>
      <c r="CB101">
        <v>24</v>
      </c>
      <c r="CC101">
        <v>28</v>
      </c>
      <c r="CD101">
        <v>30</v>
      </c>
      <c r="CE101">
        <v>2</v>
      </c>
      <c r="CH101" t="s">
        <v>287</v>
      </c>
      <c r="CI101" t="s">
        <v>113</v>
      </c>
      <c r="CJ101">
        <v>58</v>
      </c>
      <c r="CK101">
        <v>50</v>
      </c>
      <c r="CL101">
        <v>35</v>
      </c>
      <c r="CM101">
        <v>40</v>
      </c>
      <c r="CN101">
        <v>45</v>
      </c>
      <c r="CO101">
        <v>20</v>
      </c>
    </row>
    <row r="102" spans="75:93" x14ac:dyDescent="0.2">
      <c r="BW102" t="s">
        <v>117</v>
      </c>
      <c r="BX102" t="s">
        <v>121</v>
      </c>
      <c r="BY102">
        <v>32</v>
      </c>
      <c r="BZ102">
        <v>20</v>
      </c>
      <c r="CA102">
        <v>20</v>
      </c>
      <c r="CB102">
        <v>36</v>
      </c>
      <c r="CC102">
        <v>33</v>
      </c>
      <c r="CD102">
        <v>10</v>
      </c>
      <c r="CE102">
        <v>3</v>
      </c>
      <c r="CI102" t="s">
        <v>115</v>
      </c>
      <c r="CJ102">
        <v>61</v>
      </c>
      <c r="CK102">
        <v>55</v>
      </c>
      <c r="CL102">
        <v>40</v>
      </c>
      <c r="CM102">
        <v>45</v>
      </c>
      <c r="CN102">
        <v>50</v>
      </c>
      <c r="CO102">
        <v>25</v>
      </c>
    </row>
    <row r="103" spans="75:93" x14ac:dyDescent="0.2">
      <c r="BW103" t="s">
        <v>119</v>
      </c>
      <c r="BX103" t="s">
        <v>121</v>
      </c>
      <c r="BY103">
        <v>34</v>
      </c>
      <c r="BZ103">
        <v>25</v>
      </c>
      <c r="CA103">
        <v>30</v>
      </c>
      <c r="CB103">
        <v>42</v>
      </c>
      <c r="CC103">
        <v>35</v>
      </c>
      <c r="CD103">
        <v>20</v>
      </c>
      <c r="CE103">
        <v>4</v>
      </c>
      <c r="CI103" t="s">
        <v>117</v>
      </c>
      <c r="CJ103">
        <v>63</v>
      </c>
      <c r="CK103">
        <v>55</v>
      </c>
      <c r="CL103">
        <v>40</v>
      </c>
      <c r="CM103">
        <v>45</v>
      </c>
      <c r="CN103">
        <v>50</v>
      </c>
      <c r="CO103">
        <v>20</v>
      </c>
    </row>
    <row r="104" spans="75:93" x14ac:dyDescent="0.2">
      <c r="BW104" t="s">
        <v>113</v>
      </c>
      <c r="BX104" t="s">
        <v>126</v>
      </c>
      <c r="BY104">
        <v>44</v>
      </c>
      <c r="BZ104">
        <v>35</v>
      </c>
      <c r="CA104">
        <v>52</v>
      </c>
      <c r="CB104">
        <v>45</v>
      </c>
      <c r="CC104">
        <v>50</v>
      </c>
      <c r="CD104">
        <v>50</v>
      </c>
      <c r="CE104">
        <v>1</v>
      </c>
      <c r="CI104" t="s">
        <v>119</v>
      </c>
      <c r="CJ104">
        <v>60</v>
      </c>
      <c r="CK104">
        <v>50</v>
      </c>
      <c r="CL104">
        <v>35</v>
      </c>
      <c r="CM104">
        <v>42</v>
      </c>
      <c r="CN104">
        <v>48</v>
      </c>
      <c r="CO104">
        <v>25</v>
      </c>
    </row>
    <row r="105" spans="75:93" x14ac:dyDescent="0.2">
      <c r="BW105" t="s">
        <v>115</v>
      </c>
      <c r="BX105" t="s">
        <v>126</v>
      </c>
      <c r="BY105">
        <v>42</v>
      </c>
      <c r="BZ105">
        <v>40</v>
      </c>
      <c r="CA105">
        <v>52</v>
      </c>
      <c r="CB105">
        <v>45</v>
      </c>
      <c r="CC105">
        <v>45</v>
      </c>
      <c r="CD105">
        <v>45</v>
      </c>
      <c r="CE105">
        <v>2</v>
      </c>
      <c r="CH105" t="s">
        <v>292</v>
      </c>
      <c r="CI105" t="s">
        <v>113</v>
      </c>
      <c r="CJ105">
        <v>80</v>
      </c>
      <c r="CK105">
        <v>70</v>
      </c>
      <c r="CL105">
        <v>52</v>
      </c>
      <c r="CM105">
        <v>55</v>
      </c>
      <c r="CN105">
        <v>55</v>
      </c>
      <c r="CO105">
        <v>40</v>
      </c>
    </row>
    <row r="106" spans="75:93" x14ac:dyDescent="0.2">
      <c r="BW106" t="s">
        <v>117</v>
      </c>
      <c r="BX106" t="s">
        <v>126</v>
      </c>
      <c r="BY106">
        <v>43</v>
      </c>
      <c r="BZ106">
        <v>40</v>
      </c>
      <c r="CA106">
        <v>52</v>
      </c>
      <c r="CB106">
        <v>45</v>
      </c>
      <c r="CC106">
        <v>43</v>
      </c>
      <c r="CD106">
        <v>40</v>
      </c>
      <c r="CE106">
        <v>3</v>
      </c>
      <c r="CI106" t="s">
        <v>115</v>
      </c>
      <c r="CJ106">
        <v>70</v>
      </c>
      <c r="CK106">
        <v>65</v>
      </c>
      <c r="CL106">
        <v>52</v>
      </c>
      <c r="CM106">
        <v>55</v>
      </c>
      <c r="CN106">
        <v>55</v>
      </c>
      <c r="CO106">
        <v>45</v>
      </c>
    </row>
    <row r="107" spans="75:93" x14ac:dyDescent="0.2">
      <c r="BW107" t="s">
        <v>119</v>
      </c>
      <c r="BX107" t="s">
        <v>126</v>
      </c>
      <c r="BY107">
        <v>45</v>
      </c>
      <c r="BZ107">
        <v>35</v>
      </c>
      <c r="CA107">
        <v>52</v>
      </c>
      <c r="CB107">
        <v>50</v>
      </c>
      <c r="CC107">
        <v>40</v>
      </c>
      <c r="CD107">
        <v>45</v>
      </c>
      <c r="CE107">
        <v>4</v>
      </c>
      <c r="CI107" t="s">
        <v>117</v>
      </c>
      <c r="CJ107">
        <v>70</v>
      </c>
      <c r="CK107">
        <v>60</v>
      </c>
      <c r="CL107">
        <v>52</v>
      </c>
      <c r="CM107">
        <v>55</v>
      </c>
      <c r="CN107">
        <v>55</v>
      </c>
      <c r="CO107">
        <v>20</v>
      </c>
    </row>
    <row r="108" spans="75:93" x14ac:dyDescent="0.2">
      <c r="BW108" t="s">
        <v>113</v>
      </c>
      <c r="BX108" t="s">
        <v>129</v>
      </c>
      <c r="BY108">
        <v>56</v>
      </c>
      <c r="BZ108">
        <v>45</v>
      </c>
      <c r="CA108">
        <v>55</v>
      </c>
      <c r="CB108">
        <v>50</v>
      </c>
      <c r="CC108">
        <v>50</v>
      </c>
      <c r="CD108">
        <v>55</v>
      </c>
      <c r="CE108">
        <v>1</v>
      </c>
      <c r="CI108" t="s">
        <v>119</v>
      </c>
      <c r="CJ108">
        <v>70</v>
      </c>
      <c r="CK108">
        <v>60</v>
      </c>
      <c r="CL108">
        <v>52</v>
      </c>
      <c r="CM108">
        <v>55</v>
      </c>
      <c r="CN108">
        <v>55</v>
      </c>
      <c r="CO108">
        <v>30</v>
      </c>
    </row>
    <row r="109" spans="75:93" x14ac:dyDescent="0.2">
      <c r="BW109" t="s">
        <v>115</v>
      </c>
      <c r="BX109" t="s">
        <v>129</v>
      </c>
      <c r="BY109">
        <v>51</v>
      </c>
      <c r="BZ109">
        <v>50</v>
      </c>
      <c r="CA109">
        <v>55</v>
      </c>
      <c r="CB109">
        <v>50</v>
      </c>
      <c r="CC109">
        <v>50</v>
      </c>
      <c r="CD109">
        <v>50</v>
      </c>
      <c r="CE109">
        <v>2</v>
      </c>
      <c r="CH109" t="s">
        <v>293</v>
      </c>
      <c r="CI109" t="s">
        <v>113</v>
      </c>
      <c r="CJ109">
        <v>90</v>
      </c>
      <c r="CK109">
        <v>55</v>
      </c>
      <c r="CL109">
        <v>45</v>
      </c>
      <c r="CM109">
        <v>50</v>
      </c>
      <c r="CN109">
        <v>50</v>
      </c>
      <c r="CO109">
        <v>14</v>
      </c>
    </row>
    <row r="110" spans="75:93" x14ac:dyDescent="0.2">
      <c r="BW110" t="s">
        <v>117</v>
      </c>
      <c r="BX110" t="s">
        <v>129</v>
      </c>
      <c r="BY110">
        <v>50</v>
      </c>
      <c r="BZ110">
        <v>50</v>
      </c>
      <c r="CA110">
        <v>55</v>
      </c>
      <c r="CB110">
        <v>50</v>
      </c>
      <c r="CC110">
        <v>50</v>
      </c>
      <c r="CD110">
        <v>45</v>
      </c>
      <c r="CE110">
        <v>3</v>
      </c>
      <c r="CI110" t="s">
        <v>115</v>
      </c>
      <c r="CJ110">
        <v>90</v>
      </c>
      <c r="CK110">
        <v>55</v>
      </c>
      <c r="CL110">
        <v>45</v>
      </c>
      <c r="CM110">
        <v>50</v>
      </c>
      <c r="CN110">
        <v>50</v>
      </c>
      <c r="CO110">
        <v>24</v>
      </c>
    </row>
    <row r="111" spans="75:93" x14ac:dyDescent="0.2">
      <c r="BW111" t="s">
        <v>119</v>
      </c>
      <c r="BX111" t="s">
        <v>129</v>
      </c>
      <c r="BY111">
        <v>51</v>
      </c>
      <c r="BZ111">
        <v>48</v>
      </c>
      <c r="CA111">
        <v>55</v>
      </c>
      <c r="CB111">
        <v>50</v>
      </c>
      <c r="CC111">
        <v>50</v>
      </c>
      <c r="CD111">
        <v>50</v>
      </c>
      <c r="CE111">
        <v>4</v>
      </c>
      <c r="CI111" t="s">
        <v>117</v>
      </c>
      <c r="CJ111">
        <v>75</v>
      </c>
      <c r="CK111">
        <v>50</v>
      </c>
      <c r="CL111">
        <v>45</v>
      </c>
      <c r="CM111">
        <v>50</v>
      </c>
      <c r="CN111">
        <v>50</v>
      </c>
      <c r="CO111">
        <v>36</v>
      </c>
    </row>
    <row r="112" spans="75:93" x14ac:dyDescent="0.2">
      <c r="BW112" t="s">
        <v>113</v>
      </c>
      <c r="BX112" t="s">
        <v>131</v>
      </c>
      <c r="BY112">
        <v>75</v>
      </c>
      <c r="BZ112">
        <v>58</v>
      </c>
      <c r="CA112">
        <v>80</v>
      </c>
      <c r="CB112">
        <v>90</v>
      </c>
      <c r="CC112">
        <v>70</v>
      </c>
      <c r="CD112">
        <v>75</v>
      </c>
      <c r="CE112">
        <v>1</v>
      </c>
      <c r="CI112" t="s">
        <v>119</v>
      </c>
      <c r="CJ112">
        <v>75</v>
      </c>
      <c r="CK112">
        <v>45</v>
      </c>
      <c r="CL112">
        <v>50</v>
      </c>
      <c r="CM112">
        <v>55</v>
      </c>
      <c r="CN112">
        <v>50</v>
      </c>
      <c r="CO112">
        <v>42</v>
      </c>
    </row>
    <row r="113" spans="75:93" x14ac:dyDescent="0.2">
      <c r="BW113" t="s">
        <v>115</v>
      </c>
      <c r="BX113" t="s">
        <v>131</v>
      </c>
      <c r="BY113">
        <v>75</v>
      </c>
      <c r="BZ113">
        <v>61</v>
      </c>
      <c r="CA113">
        <v>70</v>
      </c>
      <c r="CB113">
        <v>90</v>
      </c>
      <c r="CC113">
        <v>65</v>
      </c>
      <c r="CD113">
        <v>65</v>
      </c>
      <c r="CE113">
        <v>2</v>
      </c>
      <c r="CH113" t="s">
        <v>294</v>
      </c>
      <c r="CI113" t="s">
        <v>113</v>
      </c>
      <c r="CJ113">
        <v>70</v>
      </c>
      <c r="CK113">
        <v>60</v>
      </c>
      <c r="CL113">
        <v>50</v>
      </c>
      <c r="CM113">
        <v>55</v>
      </c>
      <c r="CN113">
        <v>50</v>
      </c>
      <c r="CO113">
        <v>22</v>
      </c>
    </row>
    <row r="114" spans="75:93" x14ac:dyDescent="0.2">
      <c r="BW114" t="s">
        <v>117</v>
      </c>
      <c r="BX114" t="s">
        <v>131</v>
      </c>
      <c r="BY114">
        <v>69</v>
      </c>
      <c r="BZ114">
        <v>63</v>
      </c>
      <c r="CA114">
        <v>70</v>
      </c>
      <c r="CB114">
        <v>75</v>
      </c>
      <c r="CC114">
        <v>65</v>
      </c>
      <c r="CD114">
        <v>65</v>
      </c>
      <c r="CE114">
        <v>3</v>
      </c>
      <c r="CI114" t="s">
        <v>115</v>
      </c>
      <c r="CJ114">
        <v>65</v>
      </c>
      <c r="CK114">
        <v>55</v>
      </c>
      <c r="CL114">
        <v>45</v>
      </c>
      <c r="CM114">
        <v>50</v>
      </c>
      <c r="CN114">
        <v>50</v>
      </c>
      <c r="CO114">
        <v>28</v>
      </c>
    </row>
    <row r="115" spans="75:93" x14ac:dyDescent="0.2">
      <c r="BW115" t="s">
        <v>119</v>
      </c>
      <c r="BX115" t="s">
        <v>131</v>
      </c>
      <c r="BY115">
        <v>69</v>
      </c>
      <c r="BZ115">
        <v>60</v>
      </c>
      <c r="CA115">
        <v>70</v>
      </c>
      <c r="CB115">
        <v>75</v>
      </c>
      <c r="CC115">
        <v>60</v>
      </c>
      <c r="CD115">
        <v>65</v>
      </c>
      <c r="CE115">
        <v>4</v>
      </c>
      <c r="CI115" t="s">
        <v>117</v>
      </c>
      <c r="CJ115">
        <v>65</v>
      </c>
      <c r="CK115">
        <v>52</v>
      </c>
      <c r="CL115">
        <v>43</v>
      </c>
      <c r="CM115">
        <v>48</v>
      </c>
      <c r="CN115">
        <v>50</v>
      </c>
      <c r="CO115">
        <v>33</v>
      </c>
    </row>
    <row r="116" spans="75:93" x14ac:dyDescent="0.2">
      <c r="BW116" t="s">
        <v>113</v>
      </c>
      <c r="BX116" t="s">
        <v>132</v>
      </c>
      <c r="BY116">
        <v>62</v>
      </c>
      <c r="BZ116">
        <v>50</v>
      </c>
      <c r="CA116">
        <v>70</v>
      </c>
      <c r="CB116">
        <v>55</v>
      </c>
      <c r="CC116">
        <v>60</v>
      </c>
      <c r="CD116">
        <v>60</v>
      </c>
      <c r="CE116">
        <v>1</v>
      </c>
      <c r="CI116" t="s">
        <v>119</v>
      </c>
      <c r="CJ116">
        <v>60</v>
      </c>
      <c r="CK116">
        <v>50</v>
      </c>
      <c r="CL116">
        <v>40</v>
      </c>
      <c r="CM116">
        <v>45</v>
      </c>
      <c r="CN116">
        <v>50</v>
      </c>
      <c r="CO116">
        <v>35</v>
      </c>
    </row>
    <row r="117" spans="75:93" x14ac:dyDescent="0.2">
      <c r="BW117" t="s">
        <v>115</v>
      </c>
      <c r="BX117" t="s">
        <v>132</v>
      </c>
      <c r="BY117">
        <v>55</v>
      </c>
      <c r="BZ117">
        <v>55</v>
      </c>
      <c r="CA117">
        <v>65</v>
      </c>
      <c r="CB117">
        <v>55</v>
      </c>
      <c r="CC117">
        <v>55</v>
      </c>
      <c r="CD117">
        <v>55</v>
      </c>
      <c r="CE117">
        <v>2</v>
      </c>
      <c r="CH117" t="s">
        <v>299</v>
      </c>
      <c r="CI117" t="s">
        <v>113</v>
      </c>
      <c r="CJ117">
        <v>75</v>
      </c>
      <c r="CK117">
        <v>60</v>
      </c>
      <c r="CL117">
        <v>50</v>
      </c>
      <c r="CM117">
        <v>55</v>
      </c>
      <c r="CN117">
        <v>55</v>
      </c>
      <c r="CO117">
        <v>30</v>
      </c>
    </row>
    <row r="118" spans="75:93" x14ac:dyDescent="0.2">
      <c r="BW118" t="s">
        <v>117</v>
      </c>
      <c r="BX118" t="s">
        <v>132</v>
      </c>
      <c r="BY118">
        <v>55</v>
      </c>
      <c r="BZ118">
        <v>55</v>
      </c>
      <c r="CA118">
        <v>60</v>
      </c>
      <c r="CB118">
        <v>50</v>
      </c>
      <c r="CC118">
        <v>52</v>
      </c>
      <c r="CD118">
        <v>48</v>
      </c>
      <c r="CE118">
        <v>3</v>
      </c>
      <c r="CI118" t="s">
        <v>115</v>
      </c>
      <c r="CJ118">
        <v>65</v>
      </c>
      <c r="CK118">
        <v>55</v>
      </c>
      <c r="CL118">
        <v>45</v>
      </c>
      <c r="CM118">
        <v>50</v>
      </c>
      <c r="CN118">
        <v>50</v>
      </c>
      <c r="CO118">
        <v>30</v>
      </c>
    </row>
    <row r="119" spans="75:93" x14ac:dyDescent="0.2">
      <c r="BW119" t="s">
        <v>119</v>
      </c>
      <c r="BX119" t="s">
        <v>132</v>
      </c>
      <c r="BY119">
        <v>55</v>
      </c>
      <c r="BZ119">
        <v>50</v>
      </c>
      <c r="CA119">
        <v>60</v>
      </c>
      <c r="CB119">
        <v>45</v>
      </c>
      <c r="CC119">
        <v>50</v>
      </c>
      <c r="CD119">
        <v>48</v>
      </c>
      <c r="CE119">
        <v>4</v>
      </c>
      <c r="CI119" t="s">
        <v>117</v>
      </c>
      <c r="CJ119">
        <v>65</v>
      </c>
      <c r="CK119">
        <v>48</v>
      </c>
      <c r="CL119">
        <v>40</v>
      </c>
      <c r="CM119">
        <v>45</v>
      </c>
      <c r="CN119">
        <v>45</v>
      </c>
      <c r="CO119">
        <v>10</v>
      </c>
    </row>
    <row r="120" spans="75:93" x14ac:dyDescent="0.2">
      <c r="CI120" t="s">
        <v>119</v>
      </c>
      <c r="CJ120">
        <v>65</v>
      </c>
      <c r="CK120">
        <v>48</v>
      </c>
      <c r="CL120">
        <v>45</v>
      </c>
      <c r="CM120">
        <v>50</v>
      </c>
      <c r="CN120">
        <v>50</v>
      </c>
      <c r="CO120">
        <v>20</v>
      </c>
    </row>
    <row r="128" spans="75:93" x14ac:dyDescent="0.2">
      <c r="CH128" t="s">
        <v>307</v>
      </c>
      <c r="CI128" t="s">
        <v>240</v>
      </c>
    </row>
    <row r="130" spans="49:93" x14ac:dyDescent="0.2">
      <c r="AW130" t="e" cm="1">
        <f t="array" ref="AW130">#REF!</f>
        <v>#REF!</v>
      </c>
      <c r="BW130" t="s">
        <v>255</v>
      </c>
      <c r="BX130" t="s">
        <v>74</v>
      </c>
      <c r="BY130" t="s">
        <v>110</v>
      </c>
      <c r="BZ130" t="s">
        <v>287</v>
      </c>
      <c r="CA130" t="s">
        <v>292</v>
      </c>
      <c r="CB130" t="s">
        <v>293</v>
      </c>
      <c r="CC130" t="s">
        <v>294</v>
      </c>
      <c r="CD130" t="s">
        <v>299</v>
      </c>
      <c r="CE130" t="s">
        <v>256</v>
      </c>
      <c r="CH130" t="s">
        <v>257</v>
      </c>
      <c r="CI130" t="s">
        <v>258</v>
      </c>
      <c r="CJ130" t="s">
        <v>259</v>
      </c>
      <c r="CK130" t="s">
        <v>260</v>
      </c>
      <c r="CL130" t="s">
        <v>261</v>
      </c>
      <c r="CM130" t="s">
        <v>262</v>
      </c>
      <c r="CN130" t="s">
        <v>263</v>
      </c>
      <c r="CO130" t="s">
        <v>264</v>
      </c>
    </row>
    <row r="131" spans="49:93" x14ac:dyDescent="0.2">
      <c r="BW131" t="s">
        <v>113</v>
      </c>
      <c r="BX131" t="s">
        <v>112</v>
      </c>
      <c r="BY131">
        <v>57</v>
      </c>
      <c r="BZ131">
        <v>50</v>
      </c>
      <c r="CA131">
        <v>60</v>
      </c>
      <c r="CB131">
        <v>55</v>
      </c>
      <c r="CC131">
        <v>50</v>
      </c>
      <c r="CD131">
        <v>60</v>
      </c>
      <c r="CE131">
        <v>1</v>
      </c>
      <c r="CH131" t="s">
        <v>72</v>
      </c>
      <c r="CI131" t="s">
        <v>255</v>
      </c>
      <c r="CJ131" t="s">
        <v>131</v>
      </c>
      <c r="CK131" t="s">
        <v>132</v>
      </c>
      <c r="CL131" t="s">
        <v>126</v>
      </c>
      <c r="CM131" t="s">
        <v>112</v>
      </c>
      <c r="CN131" t="s">
        <v>129</v>
      </c>
      <c r="CO131" t="s">
        <v>121</v>
      </c>
    </row>
    <row r="132" spans="49:93" x14ac:dyDescent="0.2">
      <c r="BW132" t="s">
        <v>115</v>
      </c>
      <c r="BX132" t="s">
        <v>112</v>
      </c>
      <c r="BY132">
        <v>57</v>
      </c>
      <c r="BZ132">
        <v>50</v>
      </c>
      <c r="CA132">
        <v>60</v>
      </c>
      <c r="CB132">
        <v>55</v>
      </c>
      <c r="CC132">
        <v>50</v>
      </c>
      <c r="CD132">
        <v>60</v>
      </c>
      <c r="CE132">
        <v>2</v>
      </c>
      <c r="CH132" t="s">
        <v>110</v>
      </c>
      <c r="CI132" t="s">
        <v>113</v>
      </c>
      <c r="CJ132" t="s">
        <v>308</v>
      </c>
      <c r="CK132" t="s">
        <v>309</v>
      </c>
      <c r="CL132" t="s">
        <v>310</v>
      </c>
      <c r="CM132" t="s">
        <v>310</v>
      </c>
      <c r="CN132" t="s">
        <v>310</v>
      </c>
      <c r="CO132">
        <v>60</v>
      </c>
    </row>
    <row r="133" spans="49:93" x14ac:dyDescent="0.2">
      <c r="BW133" t="s">
        <v>117</v>
      </c>
      <c r="BX133" t="s">
        <v>112</v>
      </c>
      <c r="BY133">
        <v>57</v>
      </c>
      <c r="BZ133">
        <v>50</v>
      </c>
      <c r="CA133">
        <v>60</v>
      </c>
      <c r="CB133">
        <v>55</v>
      </c>
      <c r="CC133">
        <v>50</v>
      </c>
      <c r="CD133">
        <v>60</v>
      </c>
      <c r="CE133">
        <v>3</v>
      </c>
      <c r="CH133" t="s">
        <v>110</v>
      </c>
      <c r="CI133" t="s">
        <v>115</v>
      </c>
      <c r="CJ133" t="s">
        <v>308</v>
      </c>
      <c r="CK133" t="s">
        <v>309</v>
      </c>
      <c r="CL133" t="s">
        <v>310</v>
      </c>
      <c r="CM133" t="s">
        <v>310</v>
      </c>
      <c r="CN133" t="s">
        <v>310</v>
      </c>
      <c r="CO133">
        <v>61</v>
      </c>
    </row>
    <row r="134" spans="49:93" x14ac:dyDescent="0.2">
      <c r="BW134" t="s">
        <v>119</v>
      </c>
      <c r="BX134" t="s">
        <v>112</v>
      </c>
      <c r="BY134">
        <v>57</v>
      </c>
      <c r="BZ134">
        <v>50</v>
      </c>
      <c r="CA134">
        <v>60</v>
      </c>
      <c r="CB134">
        <v>55</v>
      </c>
      <c r="CC134">
        <v>50</v>
      </c>
      <c r="CD134">
        <v>60</v>
      </c>
      <c r="CE134">
        <v>4</v>
      </c>
      <c r="CH134" t="s">
        <v>110</v>
      </c>
      <c r="CI134" t="s">
        <v>117</v>
      </c>
      <c r="CJ134" t="s">
        <v>308</v>
      </c>
      <c r="CK134" t="s">
        <v>309</v>
      </c>
      <c r="CL134" t="s">
        <v>310</v>
      </c>
      <c r="CM134" t="s">
        <v>310</v>
      </c>
      <c r="CN134" t="s">
        <v>310</v>
      </c>
      <c r="CO134">
        <v>62</v>
      </c>
    </row>
    <row r="135" spans="49:93" x14ac:dyDescent="0.2">
      <c r="BW135" t="s">
        <v>113</v>
      </c>
      <c r="BX135" t="s">
        <v>121</v>
      </c>
      <c r="BY135">
        <v>60</v>
      </c>
      <c r="BZ135">
        <v>55</v>
      </c>
      <c r="CA135">
        <v>66</v>
      </c>
      <c r="CB135">
        <v>60</v>
      </c>
      <c r="CC135">
        <v>55</v>
      </c>
      <c r="CD135">
        <v>66</v>
      </c>
      <c r="CE135">
        <v>1</v>
      </c>
      <c r="CH135" t="s">
        <v>110</v>
      </c>
      <c r="CI135" t="s">
        <v>119</v>
      </c>
      <c r="CJ135" t="s">
        <v>308</v>
      </c>
      <c r="CK135" t="s">
        <v>309</v>
      </c>
      <c r="CL135" t="s">
        <v>310</v>
      </c>
      <c r="CM135" t="s">
        <v>310</v>
      </c>
      <c r="CN135" t="s">
        <v>310</v>
      </c>
      <c r="CO135">
        <v>63</v>
      </c>
    </row>
    <row r="136" spans="49:93" x14ac:dyDescent="0.2">
      <c r="BW136" t="s">
        <v>115</v>
      </c>
      <c r="BX136" t="s">
        <v>121</v>
      </c>
      <c r="BY136">
        <v>61</v>
      </c>
      <c r="BZ136">
        <v>56</v>
      </c>
      <c r="CA136">
        <v>67</v>
      </c>
      <c r="CB136">
        <v>61</v>
      </c>
      <c r="CC136">
        <v>56</v>
      </c>
      <c r="CD136">
        <v>67</v>
      </c>
      <c r="CE136">
        <v>2</v>
      </c>
      <c r="CH136" t="s">
        <v>287</v>
      </c>
      <c r="CI136" t="s">
        <v>113</v>
      </c>
      <c r="CJ136" t="s">
        <v>311</v>
      </c>
      <c r="CK136" t="s">
        <v>312</v>
      </c>
      <c r="CL136" t="s">
        <v>313</v>
      </c>
      <c r="CM136" t="s">
        <v>313</v>
      </c>
      <c r="CN136" t="s">
        <v>313</v>
      </c>
      <c r="CO136">
        <v>55</v>
      </c>
    </row>
    <row r="137" spans="49:93" x14ac:dyDescent="0.2">
      <c r="BW137" t="s">
        <v>117</v>
      </c>
      <c r="BX137" t="s">
        <v>121</v>
      </c>
      <c r="BY137">
        <v>62</v>
      </c>
      <c r="BZ137">
        <v>57</v>
      </c>
      <c r="CA137">
        <v>68</v>
      </c>
      <c r="CB137">
        <v>62</v>
      </c>
      <c r="CC137">
        <v>57</v>
      </c>
      <c r="CD137">
        <v>68</v>
      </c>
      <c r="CE137">
        <v>3</v>
      </c>
      <c r="CH137" t="s">
        <v>287</v>
      </c>
      <c r="CI137" t="s">
        <v>115</v>
      </c>
      <c r="CJ137" t="s">
        <v>311</v>
      </c>
      <c r="CK137" t="s">
        <v>312</v>
      </c>
      <c r="CL137" t="s">
        <v>313</v>
      </c>
      <c r="CM137" t="s">
        <v>313</v>
      </c>
      <c r="CN137" t="s">
        <v>313</v>
      </c>
      <c r="CO137">
        <v>56</v>
      </c>
    </row>
    <row r="138" spans="49:93" x14ac:dyDescent="0.2">
      <c r="BW138" t="s">
        <v>119</v>
      </c>
      <c r="BX138" t="s">
        <v>121</v>
      </c>
      <c r="BY138">
        <v>63</v>
      </c>
      <c r="BZ138">
        <v>58</v>
      </c>
      <c r="CA138">
        <v>69</v>
      </c>
      <c r="CB138">
        <v>63</v>
      </c>
      <c r="CC138">
        <v>58</v>
      </c>
      <c r="CD138">
        <v>69</v>
      </c>
      <c r="CE138">
        <v>4</v>
      </c>
      <c r="CH138" t="s">
        <v>287</v>
      </c>
      <c r="CI138" t="s">
        <v>117</v>
      </c>
      <c r="CJ138" t="s">
        <v>311</v>
      </c>
      <c r="CK138" t="s">
        <v>312</v>
      </c>
      <c r="CL138" t="s">
        <v>313</v>
      </c>
      <c r="CM138" t="s">
        <v>313</v>
      </c>
      <c r="CN138" t="s">
        <v>313</v>
      </c>
      <c r="CO138">
        <v>57</v>
      </c>
    </row>
    <row r="139" spans="49:93" x14ac:dyDescent="0.2">
      <c r="BW139" t="s">
        <v>113</v>
      </c>
      <c r="BX139" t="s">
        <v>126</v>
      </c>
      <c r="BY139">
        <v>57</v>
      </c>
      <c r="BZ139">
        <v>50</v>
      </c>
      <c r="CA139">
        <v>60</v>
      </c>
      <c r="CB139">
        <v>55</v>
      </c>
      <c r="CC139">
        <v>50</v>
      </c>
      <c r="CD139">
        <v>60</v>
      </c>
      <c r="CE139">
        <v>1</v>
      </c>
      <c r="CH139" t="s">
        <v>287</v>
      </c>
      <c r="CI139" t="s">
        <v>119</v>
      </c>
      <c r="CJ139" t="s">
        <v>311</v>
      </c>
      <c r="CK139" t="s">
        <v>312</v>
      </c>
      <c r="CL139" t="s">
        <v>313</v>
      </c>
      <c r="CM139" t="s">
        <v>313</v>
      </c>
      <c r="CN139" t="s">
        <v>313</v>
      </c>
      <c r="CO139">
        <v>58</v>
      </c>
    </row>
    <row r="140" spans="49:93" x14ac:dyDescent="0.2">
      <c r="BW140" t="s">
        <v>115</v>
      </c>
      <c r="BX140" t="s">
        <v>126</v>
      </c>
      <c r="BY140">
        <v>57</v>
      </c>
      <c r="BZ140">
        <v>50</v>
      </c>
      <c r="CA140">
        <v>60</v>
      </c>
      <c r="CB140">
        <v>55</v>
      </c>
      <c r="CC140">
        <v>50</v>
      </c>
      <c r="CD140">
        <v>60</v>
      </c>
      <c r="CE140">
        <v>2</v>
      </c>
      <c r="CH140" t="s">
        <v>292</v>
      </c>
      <c r="CI140" t="s">
        <v>113</v>
      </c>
      <c r="CJ140" t="s">
        <v>314</v>
      </c>
      <c r="CK140" t="s">
        <v>315</v>
      </c>
      <c r="CL140" t="s">
        <v>312</v>
      </c>
      <c r="CM140" t="s">
        <v>312</v>
      </c>
      <c r="CN140" t="s">
        <v>312</v>
      </c>
      <c r="CO140">
        <v>66</v>
      </c>
    </row>
    <row r="141" spans="49:93" x14ac:dyDescent="0.2">
      <c r="BW141" t="s">
        <v>117</v>
      </c>
      <c r="BX141" t="s">
        <v>126</v>
      </c>
      <c r="BY141">
        <v>57</v>
      </c>
      <c r="BZ141">
        <v>50</v>
      </c>
      <c r="CA141">
        <v>60</v>
      </c>
      <c r="CB141">
        <v>55</v>
      </c>
      <c r="CC141">
        <v>50</v>
      </c>
      <c r="CD141">
        <v>60</v>
      </c>
      <c r="CE141">
        <v>3</v>
      </c>
      <c r="CH141" t="s">
        <v>292</v>
      </c>
      <c r="CI141" t="s">
        <v>115</v>
      </c>
      <c r="CJ141" t="s">
        <v>314</v>
      </c>
      <c r="CK141" t="s">
        <v>315</v>
      </c>
      <c r="CL141" t="s">
        <v>312</v>
      </c>
      <c r="CM141" t="s">
        <v>312</v>
      </c>
      <c r="CN141" t="s">
        <v>312</v>
      </c>
      <c r="CO141">
        <v>67</v>
      </c>
    </row>
    <row r="142" spans="49:93" x14ac:dyDescent="0.2">
      <c r="BW142" t="s">
        <v>119</v>
      </c>
      <c r="BX142" t="s">
        <v>126</v>
      </c>
      <c r="BY142">
        <v>57</v>
      </c>
      <c r="BZ142">
        <v>50</v>
      </c>
      <c r="CA142">
        <v>60</v>
      </c>
      <c r="CB142">
        <v>55</v>
      </c>
      <c r="CC142">
        <v>50</v>
      </c>
      <c r="CD142">
        <v>60</v>
      </c>
      <c r="CE142">
        <v>4</v>
      </c>
      <c r="CH142" t="s">
        <v>292</v>
      </c>
      <c r="CI142" t="s">
        <v>117</v>
      </c>
      <c r="CJ142" t="s">
        <v>314</v>
      </c>
      <c r="CK142" t="s">
        <v>315</v>
      </c>
      <c r="CL142" t="s">
        <v>312</v>
      </c>
      <c r="CM142" t="s">
        <v>312</v>
      </c>
      <c r="CN142" t="s">
        <v>312</v>
      </c>
      <c r="CO142">
        <v>68</v>
      </c>
    </row>
    <row r="143" spans="49:93" x14ac:dyDescent="0.2">
      <c r="BW143" t="s">
        <v>113</v>
      </c>
      <c r="BX143" t="s">
        <v>129</v>
      </c>
      <c r="BY143">
        <v>57</v>
      </c>
      <c r="BZ143">
        <v>50</v>
      </c>
      <c r="CA143">
        <v>60</v>
      </c>
      <c r="CB143">
        <v>55</v>
      </c>
      <c r="CC143">
        <v>50</v>
      </c>
      <c r="CD143">
        <v>60</v>
      </c>
      <c r="CE143">
        <v>1</v>
      </c>
      <c r="CH143" t="s">
        <v>292</v>
      </c>
      <c r="CI143" t="s">
        <v>119</v>
      </c>
      <c r="CJ143" t="s">
        <v>314</v>
      </c>
      <c r="CK143" t="s">
        <v>315</v>
      </c>
      <c r="CL143" t="s">
        <v>312</v>
      </c>
      <c r="CM143" t="s">
        <v>312</v>
      </c>
      <c r="CN143" t="s">
        <v>312</v>
      </c>
      <c r="CO143">
        <v>69</v>
      </c>
    </row>
    <row r="144" spans="49:93" x14ac:dyDescent="0.2">
      <c r="BW144" t="s">
        <v>115</v>
      </c>
      <c r="BX144" t="s">
        <v>129</v>
      </c>
      <c r="BY144">
        <v>57</v>
      </c>
      <c r="BZ144">
        <v>50</v>
      </c>
      <c r="CA144">
        <v>60</v>
      </c>
      <c r="CB144">
        <v>55</v>
      </c>
      <c r="CC144">
        <v>50</v>
      </c>
      <c r="CD144">
        <v>60</v>
      </c>
      <c r="CE144">
        <v>2</v>
      </c>
      <c r="CH144" t="s">
        <v>293</v>
      </c>
      <c r="CI144" t="s">
        <v>113</v>
      </c>
      <c r="CJ144" t="s">
        <v>316</v>
      </c>
      <c r="CK144" t="s">
        <v>317</v>
      </c>
      <c r="CL144" t="s">
        <v>318</v>
      </c>
      <c r="CM144" t="s">
        <v>318</v>
      </c>
      <c r="CN144" t="s">
        <v>318</v>
      </c>
      <c r="CO144">
        <v>60</v>
      </c>
    </row>
    <row r="145" spans="49:93" x14ac:dyDescent="0.2">
      <c r="BW145" t="s">
        <v>117</v>
      </c>
      <c r="BX145" t="s">
        <v>129</v>
      </c>
      <c r="BY145">
        <v>57</v>
      </c>
      <c r="BZ145">
        <v>50</v>
      </c>
      <c r="CA145">
        <v>60</v>
      </c>
      <c r="CB145">
        <v>55</v>
      </c>
      <c r="CC145">
        <v>50</v>
      </c>
      <c r="CD145">
        <v>60</v>
      </c>
      <c r="CE145">
        <v>3</v>
      </c>
      <c r="CH145" t="s">
        <v>293</v>
      </c>
      <c r="CI145" t="s">
        <v>115</v>
      </c>
      <c r="CJ145" t="s">
        <v>316</v>
      </c>
      <c r="CK145" t="s">
        <v>317</v>
      </c>
      <c r="CL145" t="s">
        <v>318</v>
      </c>
      <c r="CM145" t="s">
        <v>318</v>
      </c>
      <c r="CN145" t="s">
        <v>318</v>
      </c>
      <c r="CO145">
        <v>61</v>
      </c>
    </row>
    <row r="146" spans="49:93" x14ac:dyDescent="0.2">
      <c r="BW146" t="s">
        <v>119</v>
      </c>
      <c r="BX146" t="s">
        <v>129</v>
      </c>
      <c r="BY146">
        <v>57</v>
      </c>
      <c r="BZ146">
        <v>50</v>
      </c>
      <c r="CA146">
        <v>60</v>
      </c>
      <c r="CB146">
        <v>55</v>
      </c>
      <c r="CC146">
        <v>50</v>
      </c>
      <c r="CD146">
        <v>60</v>
      </c>
      <c r="CE146">
        <v>4</v>
      </c>
      <c r="CH146" t="s">
        <v>293</v>
      </c>
      <c r="CI146" t="s">
        <v>117</v>
      </c>
      <c r="CJ146" t="s">
        <v>316</v>
      </c>
      <c r="CK146" t="s">
        <v>317</v>
      </c>
      <c r="CL146" t="s">
        <v>318</v>
      </c>
      <c r="CM146" t="s">
        <v>318</v>
      </c>
      <c r="CN146" t="s">
        <v>318</v>
      </c>
      <c r="CO146">
        <v>62</v>
      </c>
    </row>
    <row r="147" spans="49:93" x14ac:dyDescent="0.2">
      <c r="BW147" t="s">
        <v>113</v>
      </c>
      <c r="BX147" t="s">
        <v>131</v>
      </c>
      <c r="BY147">
        <v>78</v>
      </c>
      <c r="BZ147">
        <v>70</v>
      </c>
      <c r="CA147">
        <v>84</v>
      </c>
      <c r="CB147">
        <v>77</v>
      </c>
      <c r="CC147">
        <v>70</v>
      </c>
      <c r="CD147">
        <v>84</v>
      </c>
      <c r="CE147">
        <v>1</v>
      </c>
      <c r="CH147" t="s">
        <v>293</v>
      </c>
      <c r="CI147" t="s">
        <v>119</v>
      </c>
      <c r="CJ147" t="s">
        <v>316</v>
      </c>
      <c r="CK147" t="s">
        <v>317</v>
      </c>
      <c r="CL147" t="s">
        <v>318</v>
      </c>
      <c r="CM147" t="s">
        <v>318</v>
      </c>
      <c r="CN147" t="s">
        <v>318</v>
      </c>
      <c r="CO147">
        <v>63</v>
      </c>
    </row>
    <row r="148" spans="49:93" x14ac:dyDescent="0.2">
      <c r="BW148" t="s">
        <v>115</v>
      </c>
      <c r="BX148" t="s">
        <v>131</v>
      </c>
      <c r="BY148">
        <v>78</v>
      </c>
      <c r="BZ148">
        <v>70</v>
      </c>
      <c r="CA148">
        <v>84</v>
      </c>
      <c r="CB148">
        <v>77</v>
      </c>
      <c r="CC148">
        <v>70</v>
      </c>
      <c r="CD148">
        <v>84</v>
      </c>
      <c r="CE148">
        <v>2</v>
      </c>
      <c r="CH148" t="s">
        <v>294</v>
      </c>
      <c r="CI148" t="s">
        <v>113</v>
      </c>
      <c r="CJ148" t="s">
        <v>311</v>
      </c>
      <c r="CK148" t="s">
        <v>312</v>
      </c>
      <c r="CL148" t="s">
        <v>313</v>
      </c>
      <c r="CM148" t="s">
        <v>313</v>
      </c>
      <c r="CN148" t="s">
        <v>313</v>
      </c>
      <c r="CO148">
        <v>55</v>
      </c>
    </row>
    <row r="149" spans="49:93" x14ac:dyDescent="0.2">
      <c r="BW149" t="s">
        <v>117</v>
      </c>
      <c r="BX149" t="s">
        <v>131</v>
      </c>
      <c r="BY149">
        <v>78</v>
      </c>
      <c r="BZ149">
        <v>70</v>
      </c>
      <c r="CA149">
        <v>84</v>
      </c>
      <c r="CB149">
        <v>77</v>
      </c>
      <c r="CC149">
        <v>70</v>
      </c>
      <c r="CD149">
        <v>84</v>
      </c>
      <c r="CE149">
        <v>3</v>
      </c>
      <c r="CH149" t="s">
        <v>294</v>
      </c>
      <c r="CI149" t="s">
        <v>115</v>
      </c>
      <c r="CJ149" t="s">
        <v>311</v>
      </c>
      <c r="CK149" t="s">
        <v>312</v>
      </c>
      <c r="CL149" t="s">
        <v>313</v>
      </c>
      <c r="CM149" t="s">
        <v>313</v>
      </c>
      <c r="CN149" t="s">
        <v>313</v>
      </c>
      <c r="CO149">
        <v>56</v>
      </c>
    </row>
    <row r="150" spans="49:93" x14ac:dyDescent="0.2">
      <c r="BW150" t="s">
        <v>119</v>
      </c>
      <c r="BX150" t="s">
        <v>131</v>
      </c>
      <c r="BY150">
        <v>78</v>
      </c>
      <c r="BZ150">
        <v>70</v>
      </c>
      <c r="CA150">
        <v>84</v>
      </c>
      <c r="CB150">
        <v>77</v>
      </c>
      <c r="CC150">
        <v>70</v>
      </c>
      <c r="CD150">
        <v>84</v>
      </c>
      <c r="CE150">
        <v>4</v>
      </c>
      <c r="CH150" t="s">
        <v>294</v>
      </c>
      <c r="CI150" t="s">
        <v>117</v>
      </c>
      <c r="CJ150" t="s">
        <v>311</v>
      </c>
      <c r="CK150" t="s">
        <v>312</v>
      </c>
      <c r="CL150" t="s">
        <v>313</v>
      </c>
      <c r="CM150" t="s">
        <v>313</v>
      </c>
      <c r="CN150" t="s">
        <v>313</v>
      </c>
      <c r="CO150">
        <v>57</v>
      </c>
    </row>
    <row r="151" spans="49:93" x14ac:dyDescent="0.2">
      <c r="BW151" t="s">
        <v>113</v>
      </c>
      <c r="BX151" t="s">
        <v>132</v>
      </c>
      <c r="BY151">
        <v>62</v>
      </c>
      <c r="BZ151">
        <v>60</v>
      </c>
      <c r="CA151">
        <v>72</v>
      </c>
      <c r="CB151">
        <v>66</v>
      </c>
      <c r="CC151">
        <v>60</v>
      </c>
      <c r="CD151">
        <v>72</v>
      </c>
      <c r="CE151">
        <v>1</v>
      </c>
      <c r="CH151" t="s">
        <v>294</v>
      </c>
      <c r="CI151" t="s">
        <v>119</v>
      </c>
      <c r="CJ151" t="s">
        <v>311</v>
      </c>
      <c r="CK151" t="s">
        <v>312</v>
      </c>
      <c r="CL151" t="s">
        <v>313</v>
      </c>
      <c r="CM151" t="s">
        <v>313</v>
      </c>
      <c r="CN151" t="s">
        <v>313</v>
      </c>
      <c r="CO151">
        <v>58</v>
      </c>
    </row>
    <row r="152" spans="49:93" x14ac:dyDescent="0.2">
      <c r="BW152" t="s">
        <v>115</v>
      </c>
      <c r="BX152" t="s">
        <v>132</v>
      </c>
      <c r="BY152">
        <v>62</v>
      </c>
      <c r="BZ152">
        <v>60</v>
      </c>
      <c r="CA152">
        <v>72</v>
      </c>
      <c r="CB152">
        <v>66</v>
      </c>
      <c r="CC152">
        <v>60</v>
      </c>
      <c r="CD152">
        <v>72</v>
      </c>
      <c r="CE152">
        <v>2</v>
      </c>
      <c r="CH152" t="s">
        <v>299</v>
      </c>
      <c r="CI152" t="s">
        <v>113</v>
      </c>
      <c r="CJ152" t="s">
        <v>314</v>
      </c>
      <c r="CK152" t="s">
        <v>315</v>
      </c>
      <c r="CL152" t="s">
        <v>312</v>
      </c>
      <c r="CM152" t="s">
        <v>312</v>
      </c>
      <c r="CN152" t="s">
        <v>312</v>
      </c>
      <c r="CO152">
        <v>66</v>
      </c>
    </row>
    <row r="153" spans="49:93" x14ac:dyDescent="0.2">
      <c r="BW153" t="s">
        <v>117</v>
      </c>
      <c r="BX153" t="s">
        <v>132</v>
      </c>
      <c r="BY153">
        <v>62</v>
      </c>
      <c r="BZ153">
        <v>60</v>
      </c>
      <c r="CA153">
        <v>72</v>
      </c>
      <c r="CB153">
        <v>66</v>
      </c>
      <c r="CC153">
        <v>60</v>
      </c>
      <c r="CD153">
        <v>72</v>
      </c>
      <c r="CE153">
        <v>3</v>
      </c>
      <c r="CH153" t="s">
        <v>299</v>
      </c>
      <c r="CI153" t="s">
        <v>115</v>
      </c>
      <c r="CJ153" t="s">
        <v>314</v>
      </c>
      <c r="CK153" t="s">
        <v>315</v>
      </c>
      <c r="CL153" t="s">
        <v>312</v>
      </c>
      <c r="CM153" t="s">
        <v>312</v>
      </c>
      <c r="CN153" t="s">
        <v>312</v>
      </c>
      <c r="CO153">
        <v>67</v>
      </c>
    </row>
    <row r="154" spans="49:93" x14ac:dyDescent="0.2">
      <c r="BW154" t="s">
        <v>119</v>
      </c>
      <c r="BX154" t="s">
        <v>132</v>
      </c>
      <c r="BY154">
        <v>62</v>
      </c>
      <c r="BZ154">
        <v>60</v>
      </c>
      <c r="CA154">
        <v>72</v>
      </c>
      <c r="CB154">
        <v>66</v>
      </c>
      <c r="CC154">
        <v>60</v>
      </c>
      <c r="CD154">
        <v>72</v>
      </c>
      <c r="CE154">
        <v>4</v>
      </c>
      <c r="CH154" t="s">
        <v>299</v>
      </c>
      <c r="CI154" t="s">
        <v>117</v>
      </c>
      <c r="CJ154" t="s">
        <v>314</v>
      </c>
      <c r="CK154" t="s">
        <v>315</v>
      </c>
      <c r="CL154" t="s">
        <v>312</v>
      </c>
      <c r="CM154" t="s">
        <v>312</v>
      </c>
      <c r="CN154" t="s">
        <v>312</v>
      </c>
      <c r="CO154">
        <v>68</v>
      </c>
    </row>
    <row r="155" spans="49:93" x14ac:dyDescent="0.2">
      <c r="CH155" t="s">
        <v>299</v>
      </c>
      <c r="CI155" t="s">
        <v>119</v>
      </c>
      <c r="CJ155" t="s">
        <v>314</v>
      </c>
      <c r="CK155" t="s">
        <v>315</v>
      </c>
      <c r="CL155" t="s">
        <v>312</v>
      </c>
      <c r="CM155" t="s">
        <v>312</v>
      </c>
      <c r="CN155" t="s">
        <v>312</v>
      </c>
      <c r="CO155">
        <v>69</v>
      </c>
    </row>
    <row r="156" spans="49:93" x14ac:dyDescent="0.2">
      <c r="AW156" t="e" cm="1">
        <f t="array" ref="AW156">#REF!</f>
        <v>#REF!</v>
      </c>
    </row>
    <row r="163" spans="49:93" x14ac:dyDescent="0.2">
      <c r="CH163" t="s">
        <v>319</v>
      </c>
    </row>
    <row r="164" spans="49:93" x14ac:dyDescent="0.2">
      <c r="CH164" t="s">
        <v>95</v>
      </c>
    </row>
    <row r="165" spans="49:93" x14ac:dyDescent="0.2">
      <c r="CH165" t="s">
        <v>257</v>
      </c>
      <c r="CI165" t="s">
        <v>258</v>
      </c>
      <c r="CJ165" t="s">
        <v>259</v>
      </c>
      <c r="CK165" t="s">
        <v>260</v>
      </c>
      <c r="CL165" t="s">
        <v>261</v>
      </c>
      <c r="CM165" t="s">
        <v>262</v>
      </c>
      <c r="CN165" t="s">
        <v>263</v>
      </c>
      <c r="CO165" t="s">
        <v>264</v>
      </c>
    </row>
    <row r="166" spans="49:93" x14ac:dyDescent="0.2">
      <c r="BW166" t="s">
        <v>255</v>
      </c>
      <c r="BX166" t="s">
        <v>74</v>
      </c>
      <c r="BY166" t="s">
        <v>110</v>
      </c>
      <c r="BZ166" t="s">
        <v>287</v>
      </c>
      <c r="CA166" t="s">
        <v>292</v>
      </c>
      <c r="CB166" t="s">
        <v>293</v>
      </c>
      <c r="CC166" t="s">
        <v>294</v>
      </c>
      <c r="CD166" t="s">
        <v>299</v>
      </c>
      <c r="CE166" t="s">
        <v>256</v>
      </c>
      <c r="CH166" t="s">
        <v>72</v>
      </c>
      <c r="CI166" t="s">
        <v>255</v>
      </c>
      <c r="CJ166" t="s">
        <v>131</v>
      </c>
      <c r="CK166" t="s">
        <v>132</v>
      </c>
      <c r="CL166" t="s">
        <v>126</v>
      </c>
      <c r="CM166" t="s">
        <v>112</v>
      </c>
      <c r="CN166" t="s">
        <v>129</v>
      </c>
      <c r="CO166" t="s">
        <v>121</v>
      </c>
    </row>
    <row r="167" spans="49:93" x14ac:dyDescent="0.2">
      <c r="BW167" t="s">
        <v>113</v>
      </c>
      <c r="BX167" t="s">
        <v>112</v>
      </c>
      <c r="BY167">
        <v>2.9</v>
      </c>
      <c r="BZ167">
        <v>1.5</v>
      </c>
      <c r="CA167">
        <v>4</v>
      </c>
      <c r="CB167">
        <v>2.5</v>
      </c>
      <c r="CC167">
        <v>3.2</v>
      </c>
      <c r="CD167">
        <v>3.5</v>
      </c>
      <c r="CE167">
        <v>1</v>
      </c>
      <c r="CH167" t="s">
        <v>110</v>
      </c>
      <c r="CI167" t="s">
        <v>113</v>
      </c>
      <c r="CJ167">
        <v>2.9</v>
      </c>
      <c r="CK167">
        <v>2.9</v>
      </c>
      <c r="CL167">
        <v>2.9</v>
      </c>
      <c r="CM167">
        <v>2.9</v>
      </c>
      <c r="CN167">
        <v>2.9</v>
      </c>
      <c r="CO167">
        <v>2.9</v>
      </c>
    </row>
    <row r="168" spans="49:93" x14ac:dyDescent="0.2">
      <c r="BW168" t="s">
        <v>115</v>
      </c>
      <c r="BX168" t="s">
        <v>112</v>
      </c>
      <c r="BY168">
        <v>2.5</v>
      </c>
      <c r="BZ168">
        <v>2</v>
      </c>
      <c r="CA168">
        <v>2.5</v>
      </c>
      <c r="CB168">
        <v>2.5</v>
      </c>
      <c r="CC168">
        <v>3</v>
      </c>
      <c r="CD168">
        <v>1.5</v>
      </c>
      <c r="CE168">
        <v>2</v>
      </c>
      <c r="CI168" t="s">
        <v>115</v>
      </c>
      <c r="CJ168">
        <v>2.5</v>
      </c>
      <c r="CK168">
        <v>2.5</v>
      </c>
      <c r="CL168">
        <v>2.5</v>
      </c>
      <c r="CM168">
        <v>2.5</v>
      </c>
      <c r="CN168">
        <v>2.5</v>
      </c>
      <c r="CO168">
        <v>2.5</v>
      </c>
    </row>
    <row r="169" spans="49:93" x14ac:dyDescent="0.2">
      <c r="BW169" t="s">
        <v>117</v>
      </c>
      <c r="BX169" t="s">
        <v>112</v>
      </c>
      <c r="BY169">
        <v>1.6</v>
      </c>
      <c r="BZ169">
        <v>2.2000000000000002</v>
      </c>
      <c r="CA169">
        <v>0.7</v>
      </c>
      <c r="CB169">
        <v>1.3</v>
      </c>
      <c r="CC169">
        <v>1.8</v>
      </c>
      <c r="CD169">
        <v>0.7</v>
      </c>
      <c r="CE169">
        <v>3</v>
      </c>
      <c r="CI169" t="s">
        <v>117</v>
      </c>
      <c r="CJ169">
        <v>1.6</v>
      </c>
      <c r="CK169">
        <v>1.6</v>
      </c>
      <c r="CL169">
        <v>1.6</v>
      </c>
      <c r="CM169">
        <v>1.6</v>
      </c>
      <c r="CN169">
        <v>1.6</v>
      </c>
      <c r="CO169">
        <v>1.6</v>
      </c>
    </row>
    <row r="170" spans="49:93" x14ac:dyDescent="0.2">
      <c r="BW170" t="s">
        <v>119</v>
      </c>
      <c r="BX170" t="s">
        <v>112</v>
      </c>
      <c r="BY170">
        <v>1.7</v>
      </c>
      <c r="BZ170">
        <v>1.7</v>
      </c>
      <c r="CA170">
        <v>0.9</v>
      </c>
      <c r="CB170">
        <v>0.8</v>
      </c>
      <c r="CC170">
        <v>1</v>
      </c>
      <c r="CD170">
        <v>1.2</v>
      </c>
      <c r="CE170">
        <v>4</v>
      </c>
      <c r="CI170" t="s">
        <v>119</v>
      </c>
      <c r="CJ170">
        <v>1.7</v>
      </c>
      <c r="CK170">
        <v>1.7</v>
      </c>
      <c r="CL170">
        <v>1.7</v>
      </c>
      <c r="CM170">
        <v>1.7</v>
      </c>
      <c r="CN170">
        <v>1.7</v>
      </c>
      <c r="CO170">
        <v>1.7</v>
      </c>
    </row>
    <row r="171" spans="49:93" x14ac:dyDescent="0.2">
      <c r="BW171" t="s">
        <v>113</v>
      </c>
      <c r="BX171" t="s">
        <v>121</v>
      </c>
      <c r="BY171">
        <v>2.9</v>
      </c>
      <c r="BZ171">
        <v>1.5</v>
      </c>
      <c r="CA171">
        <v>4</v>
      </c>
      <c r="CB171">
        <v>2.5</v>
      </c>
      <c r="CC171">
        <v>3.2</v>
      </c>
      <c r="CD171">
        <v>3.5</v>
      </c>
      <c r="CE171">
        <v>1</v>
      </c>
      <c r="CH171" t="s">
        <v>287</v>
      </c>
      <c r="CI171" t="s">
        <v>113</v>
      </c>
      <c r="CJ171">
        <v>1.5</v>
      </c>
      <c r="CK171">
        <v>1.5</v>
      </c>
      <c r="CL171">
        <v>1.5</v>
      </c>
      <c r="CM171">
        <v>1.5</v>
      </c>
      <c r="CN171">
        <v>1.5</v>
      </c>
      <c r="CO171">
        <v>1.5</v>
      </c>
    </row>
    <row r="172" spans="49:93" x14ac:dyDescent="0.2">
      <c r="AW172" t="e" cm="1">
        <f t="array" ref="AW172">#REF!</f>
        <v>#REF!</v>
      </c>
      <c r="BW172" t="s">
        <v>115</v>
      </c>
      <c r="BX172" t="s">
        <v>121</v>
      </c>
      <c r="BY172">
        <v>2.5</v>
      </c>
      <c r="BZ172">
        <v>2</v>
      </c>
      <c r="CA172">
        <v>2.5</v>
      </c>
      <c r="CB172">
        <v>2.5</v>
      </c>
      <c r="CC172">
        <v>3</v>
      </c>
      <c r="CD172">
        <v>1.5</v>
      </c>
      <c r="CE172">
        <v>2</v>
      </c>
      <c r="CI172" t="s">
        <v>115</v>
      </c>
      <c r="CJ172">
        <v>2</v>
      </c>
      <c r="CK172">
        <v>2</v>
      </c>
      <c r="CL172">
        <v>2</v>
      </c>
      <c r="CM172">
        <v>2</v>
      </c>
      <c r="CN172">
        <v>2</v>
      </c>
      <c r="CO172">
        <v>2</v>
      </c>
    </row>
    <row r="173" spans="49:93" x14ac:dyDescent="0.2">
      <c r="AW173" t="e" cm="1">
        <f t="array" ref="AW173">#REF!</f>
        <v>#REF!</v>
      </c>
      <c r="BW173" t="s">
        <v>117</v>
      </c>
      <c r="BX173" t="s">
        <v>121</v>
      </c>
      <c r="BY173">
        <v>1.6</v>
      </c>
      <c r="BZ173">
        <v>2.2000000000000002</v>
      </c>
      <c r="CA173">
        <v>0.7</v>
      </c>
      <c r="CB173">
        <v>1.3</v>
      </c>
      <c r="CC173">
        <v>1.8</v>
      </c>
      <c r="CD173">
        <v>0.7</v>
      </c>
      <c r="CE173">
        <v>3</v>
      </c>
      <c r="CI173" t="s">
        <v>117</v>
      </c>
      <c r="CJ173">
        <v>2.2000000000000002</v>
      </c>
      <c r="CK173">
        <v>2.2000000000000002</v>
      </c>
      <c r="CL173">
        <v>2.2000000000000002</v>
      </c>
      <c r="CM173">
        <v>2.2000000000000002</v>
      </c>
      <c r="CN173">
        <v>2.2000000000000002</v>
      </c>
      <c r="CO173">
        <v>2.2000000000000002</v>
      </c>
    </row>
    <row r="174" spans="49:93" x14ac:dyDescent="0.2">
      <c r="AW174" t="e" cm="1">
        <f t="array" ref="AW174">#REF!</f>
        <v>#REF!</v>
      </c>
      <c r="BW174" t="s">
        <v>119</v>
      </c>
      <c r="BX174" t="s">
        <v>121</v>
      </c>
      <c r="BY174">
        <v>1.7</v>
      </c>
      <c r="BZ174">
        <v>1.7</v>
      </c>
      <c r="CA174">
        <v>0.9</v>
      </c>
      <c r="CB174">
        <v>0.8</v>
      </c>
      <c r="CC174">
        <v>1</v>
      </c>
      <c r="CD174">
        <v>1.2</v>
      </c>
      <c r="CE174">
        <v>4</v>
      </c>
      <c r="CI174" t="s">
        <v>119</v>
      </c>
      <c r="CJ174">
        <v>1.7</v>
      </c>
      <c r="CK174">
        <v>1.7</v>
      </c>
      <c r="CL174">
        <v>1.7</v>
      </c>
      <c r="CM174">
        <v>1.7</v>
      </c>
      <c r="CN174">
        <v>1.7</v>
      </c>
      <c r="CO174">
        <v>1.7</v>
      </c>
    </row>
    <row r="175" spans="49:93" x14ac:dyDescent="0.2">
      <c r="BW175" t="s">
        <v>113</v>
      </c>
      <c r="BX175" t="s">
        <v>126</v>
      </c>
      <c r="BY175">
        <v>2.9</v>
      </c>
      <c r="BZ175">
        <v>1.5</v>
      </c>
      <c r="CA175">
        <v>4</v>
      </c>
      <c r="CB175">
        <v>2.5</v>
      </c>
      <c r="CC175">
        <v>3.2</v>
      </c>
      <c r="CD175">
        <v>3.5</v>
      </c>
      <c r="CE175">
        <v>1</v>
      </c>
      <c r="CH175" t="s">
        <v>292</v>
      </c>
      <c r="CI175" t="s">
        <v>113</v>
      </c>
      <c r="CJ175">
        <v>4</v>
      </c>
      <c r="CK175">
        <v>4</v>
      </c>
      <c r="CL175">
        <v>4</v>
      </c>
      <c r="CM175">
        <v>4</v>
      </c>
      <c r="CN175">
        <v>4</v>
      </c>
      <c r="CO175">
        <v>4</v>
      </c>
    </row>
    <row r="176" spans="49:93" x14ac:dyDescent="0.2">
      <c r="AW176" t="e" cm="1">
        <f t="array" ref="AW176">#REF!</f>
        <v>#REF!</v>
      </c>
      <c r="BW176" t="s">
        <v>115</v>
      </c>
      <c r="BX176" t="s">
        <v>126</v>
      </c>
      <c r="BY176">
        <v>2.5</v>
      </c>
      <c r="BZ176">
        <v>2</v>
      </c>
      <c r="CA176">
        <v>2.5</v>
      </c>
      <c r="CB176">
        <v>2.5</v>
      </c>
      <c r="CC176">
        <v>3</v>
      </c>
      <c r="CD176">
        <v>1.5</v>
      </c>
      <c r="CE176">
        <v>2</v>
      </c>
      <c r="CI176" t="s">
        <v>115</v>
      </c>
      <c r="CJ176">
        <v>2.5</v>
      </c>
      <c r="CK176">
        <v>2.5</v>
      </c>
      <c r="CL176">
        <v>2.5</v>
      </c>
      <c r="CM176">
        <v>2.5</v>
      </c>
      <c r="CN176">
        <v>2.5</v>
      </c>
      <c r="CO176">
        <v>2.5</v>
      </c>
    </row>
    <row r="177" spans="75:93" x14ac:dyDescent="0.2">
      <c r="BW177" t="s">
        <v>117</v>
      </c>
      <c r="BX177" t="s">
        <v>126</v>
      </c>
      <c r="BY177">
        <v>1.6</v>
      </c>
      <c r="BZ177">
        <v>2.2000000000000002</v>
      </c>
      <c r="CA177">
        <v>0.7</v>
      </c>
      <c r="CB177">
        <v>1.3</v>
      </c>
      <c r="CC177">
        <v>1.8</v>
      </c>
      <c r="CD177">
        <v>0.7</v>
      </c>
      <c r="CE177">
        <v>3</v>
      </c>
      <c r="CI177" t="s">
        <v>117</v>
      </c>
      <c r="CJ177">
        <v>0.7</v>
      </c>
      <c r="CK177">
        <v>0.7</v>
      </c>
      <c r="CL177">
        <v>0.7</v>
      </c>
      <c r="CM177">
        <v>0.7</v>
      </c>
      <c r="CN177">
        <v>0.7</v>
      </c>
      <c r="CO177">
        <v>0.7</v>
      </c>
    </row>
    <row r="178" spans="75:93" x14ac:dyDescent="0.2">
      <c r="BW178" t="s">
        <v>119</v>
      </c>
      <c r="BX178" t="s">
        <v>126</v>
      </c>
      <c r="BY178">
        <v>1.7</v>
      </c>
      <c r="BZ178">
        <v>1.7</v>
      </c>
      <c r="CA178">
        <v>0.9</v>
      </c>
      <c r="CB178">
        <v>0.8</v>
      </c>
      <c r="CC178">
        <v>1</v>
      </c>
      <c r="CD178">
        <v>1.2</v>
      </c>
      <c r="CE178">
        <v>4</v>
      </c>
      <c r="CI178" t="s">
        <v>119</v>
      </c>
      <c r="CJ178">
        <v>0.9</v>
      </c>
      <c r="CK178">
        <v>0.9</v>
      </c>
      <c r="CL178">
        <v>0.9</v>
      </c>
      <c r="CM178">
        <v>0.9</v>
      </c>
      <c r="CN178">
        <v>0.9</v>
      </c>
      <c r="CO178">
        <v>0.9</v>
      </c>
    </row>
    <row r="179" spans="75:93" x14ac:dyDescent="0.2">
      <c r="BW179" t="s">
        <v>113</v>
      </c>
      <c r="BX179" t="s">
        <v>129</v>
      </c>
      <c r="BY179">
        <v>2.9</v>
      </c>
      <c r="BZ179">
        <v>1.5</v>
      </c>
      <c r="CA179">
        <v>4</v>
      </c>
      <c r="CB179">
        <v>2.5</v>
      </c>
      <c r="CC179">
        <v>3.2</v>
      </c>
      <c r="CD179">
        <v>3.5</v>
      </c>
      <c r="CE179">
        <v>1</v>
      </c>
      <c r="CH179" t="s">
        <v>293</v>
      </c>
      <c r="CI179" t="s">
        <v>113</v>
      </c>
      <c r="CJ179">
        <v>2.5</v>
      </c>
      <c r="CK179">
        <v>2.5</v>
      </c>
      <c r="CL179">
        <v>2.5</v>
      </c>
      <c r="CM179">
        <v>2.5</v>
      </c>
      <c r="CN179">
        <v>2.5</v>
      </c>
      <c r="CO179">
        <v>2.5</v>
      </c>
    </row>
    <row r="180" spans="75:93" x14ac:dyDescent="0.2">
      <c r="BW180" t="s">
        <v>115</v>
      </c>
      <c r="BX180" t="s">
        <v>129</v>
      </c>
      <c r="BY180">
        <v>2.5</v>
      </c>
      <c r="BZ180">
        <v>2</v>
      </c>
      <c r="CA180">
        <v>2.5</v>
      </c>
      <c r="CB180">
        <v>2.5</v>
      </c>
      <c r="CC180">
        <v>3</v>
      </c>
      <c r="CD180">
        <v>1.5</v>
      </c>
      <c r="CE180">
        <v>2</v>
      </c>
      <c r="CI180" t="s">
        <v>115</v>
      </c>
      <c r="CJ180">
        <v>2.5</v>
      </c>
      <c r="CK180">
        <v>2.5</v>
      </c>
      <c r="CL180">
        <v>2.5</v>
      </c>
      <c r="CM180">
        <v>2.5</v>
      </c>
      <c r="CN180">
        <v>2.5</v>
      </c>
      <c r="CO180">
        <v>2.5</v>
      </c>
    </row>
    <row r="181" spans="75:93" x14ac:dyDescent="0.2">
      <c r="BW181" t="s">
        <v>117</v>
      </c>
      <c r="BX181" t="s">
        <v>129</v>
      </c>
      <c r="BY181">
        <v>1.6</v>
      </c>
      <c r="BZ181">
        <v>2.2000000000000002</v>
      </c>
      <c r="CA181">
        <v>0.7</v>
      </c>
      <c r="CB181">
        <v>1.3</v>
      </c>
      <c r="CC181">
        <v>1.8</v>
      </c>
      <c r="CD181">
        <v>0.7</v>
      </c>
      <c r="CE181">
        <v>3</v>
      </c>
      <c r="CI181" t="s">
        <v>117</v>
      </c>
      <c r="CJ181">
        <v>1.3</v>
      </c>
      <c r="CK181">
        <v>1.3</v>
      </c>
      <c r="CL181">
        <v>1.3</v>
      </c>
      <c r="CM181">
        <v>1.3</v>
      </c>
      <c r="CN181">
        <v>1.3</v>
      </c>
      <c r="CO181">
        <v>1.3</v>
      </c>
    </row>
    <row r="182" spans="75:93" x14ac:dyDescent="0.2">
      <c r="BW182" t="s">
        <v>119</v>
      </c>
      <c r="BX182" t="s">
        <v>129</v>
      </c>
      <c r="BY182">
        <v>1.7</v>
      </c>
      <c r="BZ182">
        <v>1.7</v>
      </c>
      <c r="CA182">
        <v>0.9</v>
      </c>
      <c r="CB182">
        <v>0.8</v>
      </c>
      <c r="CC182">
        <v>1</v>
      </c>
      <c r="CD182">
        <v>1.2</v>
      </c>
      <c r="CE182">
        <v>4</v>
      </c>
      <c r="CI182" t="s">
        <v>119</v>
      </c>
      <c r="CJ182">
        <v>0.8</v>
      </c>
      <c r="CK182">
        <v>0.8</v>
      </c>
      <c r="CL182">
        <v>0.8</v>
      </c>
      <c r="CM182">
        <v>0.8</v>
      </c>
      <c r="CN182">
        <v>0.8</v>
      </c>
      <c r="CO182">
        <v>0.8</v>
      </c>
    </row>
    <row r="183" spans="75:93" x14ac:dyDescent="0.2">
      <c r="BW183" t="s">
        <v>113</v>
      </c>
      <c r="BX183" t="s">
        <v>131</v>
      </c>
      <c r="BY183">
        <v>2.9</v>
      </c>
      <c r="BZ183">
        <v>1.5</v>
      </c>
      <c r="CA183">
        <v>4</v>
      </c>
      <c r="CB183">
        <v>2.5</v>
      </c>
      <c r="CC183">
        <v>3.2</v>
      </c>
      <c r="CD183">
        <v>3.5</v>
      </c>
      <c r="CE183">
        <v>1</v>
      </c>
      <c r="CH183" t="s">
        <v>294</v>
      </c>
      <c r="CI183" t="s">
        <v>113</v>
      </c>
      <c r="CJ183">
        <v>3.2</v>
      </c>
      <c r="CK183">
        <v>3.2</v>
      </c>
      <c r="CL183">
        <v>3.2</v>
      </c>
      <c r="CM183">
        <v>3.2</v>
      </c>
      <c r="CN183">
        <v>3.2</v>
      </c>
      <c r="CO183">
        <v>3.2</v>
      </c>
    </row>
    <row r="184" spans="75:93" x14ac:dyDescent="0.2">
      <c r="BW184" t="s">
        <v>115</v>
      </c>
      <c r="BX184" t="s">
        <v>131</v>
      </c>
      <c r="BY184">
        <v>2.5</v>
      </c>
      <c r="BZ184">
        <v>2</v>
      </c>
      <c r="CA184">
        <v>2.5</v>
      </c>
      <c r="CB184">
        <v>2.5</v>
      </c>
      <c r="CC184">
        <v>3</v>
      </c>
      <c r="CD184">
        <v>1.5</v>
      </c>
      <c r="CE184">
        <v>2</v>
      </c>
      <c r="CI184" t="s">
        <v>115</v>
      </c>
      <c r="CJ184">
        <v>3</v>
      </c>
      <c r="CK184">
        <v>3</v>
      </c>
      <c r="CL184">
        <v>3</v>
      </c>
      <c r="CM184">
        <v>3</v>
      </c>
      <c r="CN184">
        <v>3</v>
      </c>
      <c r="CO184">
        <v>3</v>
      </c>
    </row>
    <row r="185" spans="75:93" x14ac:dyDescent="0.2">
      <c r="BW185" t="s">
        <v>117</v>
      </c>
      <c r="BX185" t="s">
        <v>131</v>
      </c>
      <c r="BY185">
        <v>1.6</v>
      </c>
      <c r="BZ185">
        <v>2.2000000000000002</v>
      </c>
      <c r="CA185">
        <v>0.7</v>
      </c>
      <c r="CB185">
        <v>1.3</v>
      </c>
      <c r="CC185">
        <v>1.8</v>
      </c>
      <c r="CD185">
        <v>0.7</v>
      </c>
      <c r="CE185">
        <v>3</v>
      </c>
      <c r="CI185" t="s">
        <v>117</v>
      </c>
      <c r="CJ185">
        <v>1.8</v>
      </c>
      <c r="CK185">
        <v>1.8</v>
      </c>
      <c r="CL185">
        <v>1.8</v>
      </c>
      <c r="CM185">
        <v>1.8</v>
      </c>
      <c r="CN185">
        <v>1.8</v>
      </c>
      <c r="CO185">
        <v>1.8</v>
      </c>
    </row>
    <row r="186" spans="75:93" x14ac:dyDescent="0.2">
      <c r="BW186" t="s">
        <v>119</v>
      </c>
      <c r="BX186" t="s">
        <v>131</v>
      </c>
      <c r="BY186">
        <v>1.7</v>
      </c>
      <c r="BZ186">
        <v>1.7</v>
      </c>
      <c r="CA186">
        <v>0.9</v>
      </c>
      <c r="CB186">
        <v>0.8</v>
      </c>
      <c r="CC186">
        <v>1</v>
      </c>
      <c r="CD186">
        <v>1.2</v>
      </c>
      <c r="CE186">
        <v>4</v>
      </c>
      <c r="CI186" t="s">
        <v>119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</row>
    <row r="187" spans="75:93" x14ac:dyDescent="0.2">
      <c r="BW187" t="s">
        <v>113</v>
      </c>
      <c r="BX187" t="s">
        <v>132</v>
      </c>
      <c r="BY187">
        <v>2.9</v>
      </c>
      <c r="BZ187">
        <v>1.5</v>
      </c>
      <c r="CA187">
        <v>4</v>
      </c>
      <c r="CB187">
        <v>2.5</v>
      </c>
      <c r="CC187">
        <v>3.2</v>
      </c>
      <c r="CD187">
        <v>3.5</v>
      </c>
      <c r="CE187">
        <v>1</v>
      </c>
      <c r="CH187" t="s">
        <v>299</v>
      </c>
      <c r="CI187" t="s">
        <v>113</v>
      </c>
      <c r="CJ187">
        <v>3.5</v>
      </c>
      <c r="CK187">
        <v>3.5</v>
      </c>
      <c r="CL187">
        <v>3.5</v>
      </c>
      <c r="CM187">
        <v>3.5</v>
      </c>
      <c r="CN187">
        <v>3.5</v>
      </c>
      <c r="CO187">
        <v>3.5</v>
      </c>
    </row>
    <row r="188" spans="75:93" x14ac:dyDescent="0.2">
      <c r="BW188" t="s">
        <v>115</v>
      </c>
      <c r="BX188" t="s">
        <v>132</v>
      </c>
      <c r="BY188">
        <v>2.5</v>
      </c>
      <c r="BZ188">
        <v>2</v>
      </c>
      <c r="CA188">
        <v>2.5</v>
      </c>
      <c r="CB188">
        <v>2.5</v>
      </c>
      <c r="CC188">
        <v>3</v>
      </c>
      <c r="CD188">
        <v>1.5</v>
      </c>
      <c r="CE188">
        <v>2</v>
      </c>
      <c r="CI188" t="s">
        <v>115</v>
      </c>
      <c r="CJ188">
        <v>1.5</v>
      </c>
      <c r="CK188">
        <v>1.5</v>
      </c>
      <c r="CL188">
        <v>1.5</v>
      </c>
      <c r="CM188">
        <v>1.5</v>
      </c>
      <c r="CN188">
        <v>1.5</v>
      </c>
      <c r="CO188">
        <v>1.5</v>
      </c>
    </row>
    <row r="189" spans="75:93" x14ac:dyDescent="0.2">
      <c r="BW189" t="s">
        <v>117</v>
      </c>
      <c r="BX189" t="s">
        <v>132</v>
      </c>
      <c r="BY189">
        <v>1.6</v>
      </c>
      <c r="BZ189">
        <v>2.2000000000000002</v>
      </c>
      <c r="CA189">
        <v>0.7</v>
      </c>
      <c r="CB189">
        <v>1.3</v>
      </c>
      <c r="CC189">
        <v>1.8</v>
      </c>
      <c r="CD189">
        <v>0.7</v>
      </c>
      <c r="CE189">
        <v>3</v>
      </c>
      <c r="CI189" t="s">
        <v>117</v>
      </c>
      <c r="CJ189">
        <v>0.7</v>
      </c>
      <c r="CK189">
        <v>0.7</v>
      </c>
      <c r="CL189">
        <v>0.7</v>
      </c>
      <c r="CM189">
        <v>0.7</v>
      </c>
      <c r="CN189">
        <v>0.7</v>
      </c>
      <c r="CO189">
        <v>0.7</v>
      </c>
    </row>
    <row r="190" spans="75:93" x14ac:dyDescent="0.2">
      <c r="BW190" t="s">
        <v>119</v>
      </c>
      <c r="BX190" t="s">
        <v>132</v>
      </c>
      <c r="BY190">
        <v>1.7</v>
      </c>
      <c r="BZ190">
        <v>1.7</v>
      </c>
      <c r="CA190">
        <v>0.9</v>
      </c>
      <c r="CB190">
        <v>0.8</v>
      </c>
      <c r="CC190">
        <v>1</v>
      </c>
      <c r="CD190">
        <v>1.2</v>
      </c>
      <c r="CE190">
        <v>4</v>
      </c>
      <c r="CI190" t="s">
        <v>119</v>
      </c>
      <c r="CJ190">
        <v>1.2</v>
      </c>
      <c r="CK190">
        <v>1.2</v>
      </c>
      <c r="CL190">
        <v>1.2</v>
      </c>
      <c r="CM190">
        <v>1.2</v>
      </c>
      <c r="CN190">
        <v>1.2</v>
      </c>
      <c r="CO190">
        <v>1.2</v>
      </c>
    </row>
  </sheetData>
  <pageMargins left="0.7" right="0.7" top="0.75" bottom="0.75" header="0.3" footer="0.3"/>
  <ignoredErrors>
    <ignoredError sqref="A1:CO11 A35:CO129 A12:O34 T12:AF34 A175:CO190 A174:AW174 BC174:CO174 A173:AW173 BF173:CO173 A157:CO172 A156:AW156 BC156:CO156 AH12:AQ34 A154:CO155 A130:AW130 BF130:CO130 A131:AV153 BF131:CO153 AS12:CO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4.4.1.1 (original)</vt:lpstr>
      <vt:lpstr>4.4.1.1</vt:lpstr>
      <vt:lpstr>Tables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2026-05-06T08:28:28Z</dcterms:created>
  <dcterms:modified xsi:type="dcterms:W3CDTF">2026-06-02T04:28:29Z</dcterms:modified>
</cp:coreProperties>
</file>