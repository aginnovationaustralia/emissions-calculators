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4.4.1.1 (original)" sheetId="1" r:id="rId1"/>
    <sheet name="4.4.1.1" sheetId="2" r:id="rId2"/>
    <sheet name="Tables" sheetId="3" r:id="rId3"/>
    <sheet name="Backup" sheetId="4" r:id="rId4"/>
  </sheets>
  <definedNames>
    <definedName name="ExternalData_1" localSheetId="3" hidden="1">Backup!$BW$6:$CE$30</definedName>
    <definedName name="ExternalData_1" localSheetId="2" hidden="1">Tables!$BW$6:$CE$30</definedName>
    <definedName name="ExternalData_2" localSheetId="3" hidden="1">Backup!$BW$37:$CE$61</definedName>
    <definedName name="ExternalData_2" localSheetId="2" hidden="1">Tables!$BW$37:$CE$61</definedName>
    <definedName name="ExternalData_4" localSheetId="3" hidden="1">Backup!$BW$95:$CE$119</definedName>
    <definedName name="ExternalData_4" localSheetId="2" hidden="1">Tables!$BW$95:$CE$119</definedName>
    <definedName name="ExternalData_5" localSheetId="3" hidden="1">Backup!$BW$130:$CE$154</definedName>
    <definedName name="ExternalData_5" localSheetId="2" hidden="1">Tables!$BW$130:$CE$154</definedName>
    <definedName name="ExternalData_7" localSheetId="3" hidden="1">Backup!$BW$166:$CE$190</definedName>
    <definedName name="ExternalData_7" localSheetId="2" hidden="1">Tables!$BW$166:$CE$190</definedName>
    <definedName name="ExternalData_8" localSheetId="3" hidden="1">Backup!$BW$67:$CE$91</definedName>
    <definedName name="ExternalData_8" localSheetId="2" hidden="1">Tables!$BW$67:$CE$91</definedName>
    <definedName name="TableLWG" localSheetId="0">#REF!</definedName>
    <definedName name="TableLWG" localSheetId="3">TableLWG235[]</definedName>
    <definedName name="TableLWG">TableLWG2[]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78"/>
  <sheetViews>
    <sheetView workbookViewId="0" rightToLeft="0"/>
  </sheetViews>
  <sheetData>
    <row r="1">
      <c r="I1" t="str">
        <v>3.4.1</v>
      </c>
      <c r="J1" t="str">
        <v>3.4.1</v>
      </c>
      <c r="V1" t="str">
        <v>3.4.1 321</v>
      </c>
      <c r="Z1" t="str">
        <v>3.4.1</v>
      </c>
      <c r="AD1" t="str">
        <v>3.4.1</v>
      </c>
      <c r="AE1" t="str">
        <v>3.4.1</v>
      </c>
      <c r="AF1" t="str">
        <v>Ch 3.4.1</v>
      </c>
      <c r="AT1">
        <v>1084</v>
      </c>
      <c r="AU1" t="str">
        <v>Bo</v>
      </c>
      <c r="AV1">
        <v>0.19</v>
      </c>
      <c r="AX1" t="str">
        <v>FAk</v>
      </c>
      <c r="AY1">
        <v>1.3</v>
      </c>
    </row>
    <row r="2">
      <c r="X2" t="str">
        <v>1.6 * PLjk=6</v>
      </c>
      <c r="AG2" t="str">
        <v>(Ijk * CPjk) + (0.045 * MCjk=6)</v>
      </c>
      <c r="AI2" t="str">
        <v>(Ijk * ((1 - DMDjk) + (0.04 * Ijk))) * ( 1 - A )</v>
      </c>
      <c r="AL2" t="str">
        <v>VSjk * BO * MMSm * MCFim * 𝜌</v>
      </c>
      <c r="AN2" t="str">
        <v>VSjk * BO * MMSm * MCFim * 𝜌</v>
      </c>
      <c r="AO2" t="str">
        <v>SUM SUM SUM (Njk * Mjkm * Dj) * 10^-3</v>
      </c>
      <c r="AT2">
        <v>1087</v>
      </c>
      <c r="AU2" t="str">
        <v>A</v>
      </c>
      <c r="AV2">
        <v>0.08</v>
      </c>
    </row>
    <row r="3">
      <c r="H3" t="str">
        <v>1071</v>
      </c>
      <c r="I3">
        <v>342</v>
      </c>
      <c r="J3">
        <v>323</v>
      </c>
      <c r="L3" t="str">
        <v>1075</v>
      </c>
      <c r="M3" t="str">
        <v>1078</v>
      </c>
      <c r="O3" t="str">
        <v>1077</v>
      </c>
      <c r="Q3" t="str">
        <v>1081</v>
      </c>
      <c r="S3" t="str">
        <v>1085</v>
      </c>
      <c r="U3" t="str">
        <v>1082</v>
      </c>
      <c r="V3" t="str">
        <v>1004</v>
      </c>
      <c r="W3" t="str">
        <v>990</v>
      </c>
      <c r="X3" t="str">
        <v>988</v>
      </c>
      <c r="Y3">
        <v>351</v>
      </c>
      <c r="Z3">
        <v>314</v>
      </c>
      <c r="AA3">
        <v>302</v>
      </c>
      <c r="AC3">
        <v>349</v>
      </c>
      <c r="AD3">
        <v>308</v>
      </c>
      <c r="AE3">
        <v>296</v>
      </c>
      <c r="AF3" t="str">
        <v>946</v>
      </c>
      <c r="AG3" t="str">
        <v>983</v>
      </c>
      <c r="AH3" t="str">
        <v>1087</v>
      </c>
      <c r="AI3" t="str">
        <v>945</v>
      </c>
      <c r="AJ3" t="str">
        <v>1084</v>
      </c>
      <c r="AK3" t="str">
        <v>1086</v>
      </c>
      <c r="AL3" t="str">
        <v>930</v>
      </c>
      <c r="AN3" t="str">
        <v>930</v>
      </c>
      <c r="AO3" t="str">
        <v>922</v>
      </c>
      <c r="AU3" t="str">
        <v>Dj</v>
      </c>
      <c r="AV3">
        <v>91.25</v>
      </c>
    </row>
    <row r="4">
      <c r="H4" t="str">
        <v>input</v>
      </c>
      <c r="L4" t="str">
        <v>constant</v>
      </c>
      <c r="M4" t="str">
        <v>constant</v>
      </c>
      <c r="O4" t="str">
        <v>constant</v>
      </c>
      <c r="Q4" t="str">
        <v>constant</v>
      </c>
      <c r="S4" t="str">
        <v>constant</v>
      </c>
      <c r="U4" t="str">
        <v>constant</v>
      </c>
      <c r="V4" t="str">
        <v>constant</v>
      </c>
      <c r="W4" t="str">
        <v>expression</v>
      </c>
      <c r="X4" t="str">
        <v>expression</v>
      </c>
      <c r="Y4" t="str">
        <v>constant</v>
      </c>
      <c r="Z4" t="str">
        <v>expression</v>
      </c>
      <c r="AA4" t="str">
        <v>expression</v>
      </c>
      <c r="AC4" t="str">
        <v>constant</v>
      </c>
      <c r="AD4" t="str">
        <v>expression</v>
      </c>
      <c r="AE4" t="str">
        <v>expression</v>
      </c>
      <c r="AF4" t="str">
        <v>expression</v>
      </c>
      <c r="AG4" t="str">
        <v>expression</v>
      </c>
      <c r="AH4" t="str">
        <v>constant</v>
      </c>
      <c r="AI4" t="str">
        <v>expression</v>
      </c>
      <c r="AJ4" t="str">
        <v>constant</v>
      </c>
      <c r="AK4" t="str">
        <v>constant</v>
      </c>
      <c r="AL4" t="str">
        <v>expression</v>
      </c>
      <c r="AN4" t="str">
        <v>expression</v>
      </c>
      <c r="AO4" t="str">
        <v>expression</v>
      </c>
      <c r="AT4">
        <v>1094</v>
      </c>
      <c r="AU4" t="str">
        <v>FracLEACH</v>
      </c>
      <c r="AV4">
        <v>0.24</v>
      </c>
    </row>
    <row r="5">
      <c r="H5" t="str">
        <v/>
      </c>
      <c r="L5" t="str">
        <v>input</v>
      </c>
      <c r="M5" t="str">
        <v>input</v>
      </c>
      <c r="O5" t="str">
        <v>input</v>
      </c>
      <c r="Q5" t="str">
        <v>input</v>
      </c>
      <c r="S5" t="str">
        <v/>
      </c>
      <c r="U5" t="str">
        <v>input</v>
      </c>
      <c r="V5" t="str">
        <v/>
      </c>
      <c r="W5" t="str">
        <v/>
      </c>
      <c r="X5" t="str">
        <v/>
      </c>
      <c r="AC5" t="str">
        <v>input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N5" t="str">
        <v/>
      </c>
      <c r="AO5" t="str">
        <v/>
      </c>
      <c r="AT5">
        <v>1093</v>
      </c>
      <c r="AU5" t="str">
        <v>FracGASMSoil</v>
      </c>
      <c r="AV5">
        <v>0.21</v>
      </c>
    </row>
    <row r="6">
      <c r="AT6">
        <v>1095</v>
      </c>
      <c r="AU6" t="str">
        <v>EFLeach</v>
      </c>
      <c r="AV6">
        <v>0.011</v>
      </c>
    </row>
    <row r="7">
      <c r="AT7">
        <v>1088</v>
      </c>
      <c r="AU7" t="str">
        <v>CN2O</v>
      </c>
      <c r="AV7">
        <f>44/28</f>
        <v>1.5714285714285714</v>
      </c>
    </row>
    <row r="8">
      <c r="H8" t="str">
        <v>head</v>
      </c>
      <c r="L8" t="str">
        <v>days</v>
      </c>
      <c r="M8" t="str">
        <v>d</v>
      </c>
      <c r="O8" t="str">
        <v>d</v>
      </c>
      <c r="Q8" t="str">
        <v>kg</v>
      </c>
      <c r="S8" t="str">
        <v>d</v>
      </c>
      <c r="U8" t="str">
        <v>d</v>
      </c>
      <c r="V8" t="str">
        <v>d</v>
      </c>
      <c r="W8" t="str">
        <v>d</v>
      </c>
      <c r="X8" t="str">
        <v>kg / head / day</v>
      </c>
      <c r="AF8" t="str">
        <v>kg DM/head/day</v>
      </c>
      <c r="AG8" t="str">
        <v>kg/head/day</v>
      </c>
      <c r="AH8" t="str">
        <v>d</v>
      </c>
      <c r="AI8" t="str">
        <v>kg/head/day</v>
      </c>
      <c r="AJ8" t="str">
        <v>m3 CH4/kgVS</v>
      </c>
      <c r="AK8" t="str">
        <v>kg/m3</v>
      </c>
      <c r="AL8" t="str">
        <v>kg CH4/head/day</v>
      </c>
      <c r="AN8" t="str">
        <v>kg CH4/head/day</v>
      </c>
      <c r="AO8" t="str">
        <v>kg CH4</v>
      </c>
    </row>
    <row r="9">
      <c r="H9" t="str">
        <v>number of sheep in each time period and class</v>
      </c>
      <c r="I9" t="str">
        <v>Lambing rate</v>
      </c>
      <c r="J9" t="str">
        <v>Lamb marking rate</v>
      </c>
      <c r="L9" t="str">
        <v>number of days in each time period</v>
      </c>
      <c r="M9" t="str">
        <v>crude protein content of feed intake</v>
      </c>
      <c r="O9" t="str">
        <v>dry matter digestibility</v>
      </c>
      <c r="Q9" t="str">
        <v>liveweight</v>
      </c>
      <c r="S9" t="str">
        <v>fraction of waste in each MMS</v>
      </c>
      <c r="U9" t="str">
        <v>methane conversion factor for temperate zone and MMS</v>
      </c>
      <c r="V9" t="str">
        <v>proportion of ewes lactating each season or time period</v>
      </c>
      <c r="W9" t="str">
        <v>Proportion of lambs born in the time period</v>
      </c>
      <c r="X9" t="str">
        <v>Milk intake</v>
      </c>
      <c r="AF9" t="str">
        <v>dry matter intake</v>
      </c>
      <c r="AG9" t="str">
        <v>crude protein intake</v>
      </c>
      <c r="AH9" t="str">
        <v>ash content of feed intake</v>
      </c>
      <c r="AI9" t="str">
        <v>volatile solid production</v>
      </c>
      <c r="AJ9" t="str">
        <v>emisions potential</v>
      </c>
      <c r="AK9" t="str">
        <v>density of methane</v>
      </c>
      <c r="AL9" t="str">
        <v>methane produced from manure</v>
      </c>
      <c r="AN9" t="str">
        <v>methane produced from manure</v>
      </c>
      <c r="AO9" t="str">
        <v>annual methane production from manure</v>
      </c>
      <c r="AV9" t="str">
        <v>MCF</v>
      </c>
      <c r="AX9" t="str">
        <v>Lagoon</v>
      </c>
    </row>
    <row r="10">
      <c r="A10" t="str">
        <v>Scenario</v>
      </c>
      <c r="B10" t="str">
        <v>State</v>
      </c>
      <c r="C10" t="str">
        <v>State</v>
      </c>
      <c r="D10" t="str">
        <v>No unfenced water</v>
      </c>
      <c r="E10" t="str">
        <v>Class</v>
      </c>
      <c r="G10" t="str">
        <v>Month</v>
      </c>
      <c r="H10" t="str">
        <v>Njk</v>
      </c>
      <c r="I10" t="str">
        <v>LR</v>
      </c>
      <c r="J10" t="str">
        <v>LMR</v>
      </c>
      <c r="K10" t="str">
        <v>Custom Dj</v>
      </c>
      <c r="L10" t="str">
        <v>Dj</v>
      </c>
      <c r="M10" t="str">
        <v>CPjk</v>
      </c>
      <c r="N10" t="str">
        <v>Custom DMD</v>
      </c>
      <c r="O10" t="str">
        <v>DMDjk</v>
      </c>
      <c r="P10" t="str">
        <v>Custom liveweight</v>
      </c>
      <c r="Q10" t="str">
        <v>Wjk</v>
      </c>
      <c r="R10" t="str">
        <v>MMSm=1</v>
      </c>
      <c r="S10" t="str">
        <v>MMSm=14</v>
      </c>
      <c r="T10" t="str">
        <v>MCFim=1</v>
      </c>
      <c r="U10" t="str">
        <v>MCFim=14</v>
      </c>
      <c r="V10" t="str">
        <v>LEjk=3,4</v>
      </c>
      <c r="W10" t="str">
        <v>PLjk=6</v>
      </c>
      <c r="X10" t="str">
        <v>MCjk=6</v>
      </c>
      <c r="Y10" t="str">
        <v>FAk</v>
      </c>
      <c r="Z10" t="str">
        <v>MAjk</v>
      </c>
      <c r="AA10" t="str">
        <v>qmjk</v>
      </c>
      <c r="AB10" t="str">
        <v>Custom DMA</v>
      </c>
      <c r="AC10" t="str">
        <v>DMAjk</v>
      </c>
      <c r="AD10" t="str">
        <v>RIjk</v>
      </c>
      <c r="AE10" t="str">
        <v>PIjk</v>
      </c>
      <c r="AF10" t="str">
        <v>Ijk</v>
      </c>
      <c r="AG10" t="str">
        <v>CPIjk</v>
      </c>
      <c r="AH10" t="str">
        <v>A</v>
      </c>
      <c r="AI10" t="str">
        <v>VSjk</v>
      </c>
      <c r="AJ10" t="str">
        <v>BO</v>
      </c>
      <c r="AK10" t="str">
        <v>𝜌</v>
      </c>
      <c r="AL10" t="str">
        <v>Mjkm=1</v>
      </c>
      <c r="AM10" t="str">
        <v>Mjkm=14</v>
      </c>
      <c r="AN10" t="str">
        <v>Mjk</v>
      </c>
      <c r="AO10" t="str">
        <v>ECH4</v>
      </c>
      <c r="AP10" t="str">
        <v>ECH4</v>
      </c>
      <c r="AU10" t="str">
        <v>PRP</v>
      </c>
      <c r="AV10">
        <v>0.0047</v>
      </c>
      <c r="AW10" t="str">
        <v>ACT</v>
      </c>
      <c r="AX10">
        <v>0.72</v>
      </c>
    </row>
    <row r="11">
      <c r="A11" t="str">
        <v>Baseline</v>
      </c>
      <c r="B11" t="str">
        <v>ACT</v>
      </c>
      <c r="C11" t="str">
        <v>ACT/NSW</v>
      </c>
      <c r="D11" t="str">
        <v>yes</v>
      </c>
      <c r="E11" t="str">
        <v>Breeding ewes</v>
      </c>
      <c r="F11" t="str">
        <v>Spring</v>
      </c>
      <c r="H11">
        <v>100</v>
      </c>
      <c r="I11">
        <v>95</v>
      </c>
      <c r="J11">
        <v>90</v>
      </c>
      <c r="L11">
        <f>$AV$3</f>
        <v>91.25</v>
      </c>
      <c r="M11" cm="1">
        <f t="array" ref="M11:M34">DROP(XLOOKUP($C11,QueryCP[[#Headers],[ACT/NSW]:[WA]],QueryCP[[#All],[ACT/NSW]:[WA]]),1)</f>
        <v>0.2</v>
      </c>
      <c r="O11" cm="1">
        <f t="array" ref="O11:O34">DROP(XLOOKUP($C11,QueryDMD[[#Headers],[ACT/NSW]:[WA]],QueryDMD[[#All],[ACT/NSW]:[WA]]),1)</f>
        <v>0.75</v>
      </c>
      <c r="Q11" cm="1">
        <f t="array" ref="Q11:Q34">DROP(XLOOKUP($C11,QueryW[[#Headers],[ACT/NSW]:[WA]],QueryW[[#All],[ACT/NSW]:[WA]]),1)</f>
        <v>54</v>
      </c>
      <c r="R11">
        <f>1-S11</f>
        <v>0</v>
      </c>
      <c r="S11">
        <f>IF($D$11="yes", 1, VLOOKUP($B$11, $AU$26:$AW$32, 1))</f>
        <v>1</v>
      </c>
      <c r="T11">
        <f>VLOOKUP($B$11,$AW$10:$AX$16, 2, FALSE)</f>
        <v>0.72</v>
      </c>
      <c r="U11">
        <f>$AV$10</f>
        <v>0.0047</v>
      </c>
      <c r="V11">
        <f>(I11/100)*(MIN(J11,100)/100)</f>
        <v>0.855</v>
      </c>
      <c r="W11">
        <v>0</v>
      </c>
      <c r="X11">
        <f>1.6 * W11</f>
        <v>0</v>
      </c>
      <c r="Y11">
        <f>$AY$1</f>
        <v>1.3</v>
      </c>
      <c r="Z11">
        <f>V11*Y11+(1-V11)</f>
        <v>1.2565</v>
      </c>
      <c r="AA11">
        <f>(0.795*O11)-0.0014</f>
        <v>0.5948500000000001</v>
      </c>
      <c r="AC11" cm="1">
        <f t="array" ref="AC11:AC34">DROP(XLOOKUP($C11,QueryDMA[[#Headers],[ACT/NSW]:[WA]],QueryDMA[[#All],[ACT/NSW]:[WA]]),1)</f>
        <v>2.9</v>
      </c>
      <c r="AD11">
        <f>1 - EXP(-2*(AC11^2))</f>
        <v>0.9999999504359468</v>
      </c>
      <c r="AE11">
        <f>(104.7*AA11+0.307*Q11-15)*(Q11^0.75)*10^-3</f>
        <v>1.2720847291262878</v>
      </c>
      <c r="AF11">
        <f>AE11*AD11*Z11</f>
        <v>1.5983743829252637</v>
      </c>
      <c r="AG11">
        <f>(AF11 * M11) + (0.045 * X11)</f>
        <v>0.3196748765850528</v>
      </c>
      <c r="AH11">
        <f>$AV$2</f>
        <v>0.08</v>
      </c>
      <c r="AI11">
        <f>(AF11 * ((1 - O11) + (0.04 * AF11))) * ( 1 - AH11 )</f>
        <v>0.46164277265490583</v>
      </c>
      <c r="AJ11">
        <f>$AV$1</f>
        <v>0.19</v>
      </c>
      <c r="AK11">
        <f>$AW$20</f>
        <v>0.6784</v>
      </c>
      <c r="AL11">
        <f>AI11 * AJ11 * R11 * T11 * AK11</f>
        <v>0</v>
      </c>
      <c r="AM11">
        <f>AI11*AJ11*S11*U11*AK11</f>
        <v>0.0002796683620733957</v>
      </c>
      <c r="AN11">
        <f>AL11+AM11</f>
        <v>0.0002796683620733957</v>
      </c>
      <c r="AO11">
        <f>H11*AN11*L11</f>
        <v>2.5519738039197355</v>
      </c>
      <c r="AP11">
        <f>SUM(AO11:AO34)*10^-3</f>
        <v>0.05390699692226904</v>
      </c>
      <c r="AW11" t="str">
        <v>NSW</v>
      </c>
      <c r="AX11">
        <v>0.75</v>
      </c>
    </row>
    <row r="12">
      <c r="F12" t="str">
        <v>Summer</v>
      </c>
      <c r="H12">
        <v>70</v>
      </c>
      <c r="I12">
        <v>0</v>
      </c>
      <c r="J12">
        <v>0</v>
      </c>
      <c r="L12">
        <f>$AV$3</f>
        <v>91.25</v>
      </c>
      <c r="M12">
        <v>0.1</v>
      </c>
      <c r="O12">
        <v>0.61</v>
      </c>
      <c r="Q12">
        <v>49</v>
      </c>
      <c r="R12">
        <f>1-S12</f>
        <v>0</v>
      </c>
      <c r="S12">
        <f>IF($D$11="yes", 1, VLOOKUP($B$11, $AU$26:$AW$32, 1))</f>
        <v>1</v>
      </c>
      <c r="T12">
        <f>VLOOKUP($B$11,$AW$10:$AX$16, 2, FALSE)</f>
        <v>0.72</v>
      </c>
      <c r="U12">
        <f>$AV$10</f>
        <v>0.0047</v>
      </c>
      <c r="V12">
        <f>(I12/100)*(MIN(J12,100)/100)</f>
        <v>0</v>
      </c>
      <c r="W12">
        <v>0</v>
      </c>
      <c r="X12">
        <f>1.6 * W12</f>
        <v>0</v>
      </c>
      <c r="Y12">
        <f>$AY$1</f>
        <v>1.3</v>
      </c>
      <c r="Z12">
        <f>V12*Y12+(1-V12)</f>
        <v>1</v>
      </c>
      <c r="AA12">
        <f>(0.795*O12)-0.0014</f>
        <v>0.48355</v>
      </c>
      <c r="AC12">
        <v>2.5</v>
      </c>
      <c r="AD12">
        <f>1 - EXP(-2*(AC12^2))</f>
        <v>0.999996273346828</v>
      </c>
      <c r="AE12">
        <f>(104.7*AA12+0.307*Q12-15)*(Q12^0.75)*10^-3</f>
        <v>0.9384342188990358</v>
      </c>
      <c r="AF12">
        <f>AE12*AD12*Z12</f>
        <v>0.9384307216801772</v>
      </c>
      <c r="AG12">
        <f>(AF12 * M12) + (0.045 * X12)</f>
        <v>0.09384307216801772</v>
      </c>
      <c r="AH12">
        <f>$AV$2</f>
        <v>0.08</v>
      </c>
      <c r="AI12">
        <f>(AF12 * ((1 - O12) + (0.04 * AF12))) * ( 1 - AH12 )</f>
        <v>0.3691169446125166</v>
      </c>
      <c r="AJ12">
        <f>$AV$1</f>
        <v>0.19</v>
      </c>
      <c r="AK12">
        <f>$AW$20</f>
        <v>0.6784</v>
      </c>
      <c r="AL12">
        <f>AI12 * AJ12 * R12 * T12 * AK12</f>
        <v>0</v>
      </c>
      <c r="AM12">
        <f>AI12*AJ12*S12*U12*AK12</f>
        <v>0.00022361517915604222</v>
      </c>
      <c r="AN12">
        <f>AL12+AM12</f>
        <v>0.00022361517915604222</v>
      </c>
      <c r="AO12">
        <f>H12*AN12*L12</f>
        <v>1.4283419568592195</v>
      </c>
      <c r="AW12" t="str">
        <v>QLD</v>
      </c>
      <c r="AX12">
        <v>0.78</v>
      </c>
    </row>
    <row r="13">
      <c r="F13" t="str">
        <v>Autumn</v>
      </c>
      <c r="H13">
        <v>65</v>
      </c>
      <c r="I13">
        <v>0</v>
      </c>
      <c r="J13">
        <v>0</v>
      </c>
      <c r="L13">
        <f>$AV$3</f>
        <v>91.25</v>
      </c>
      <c r="M13">
        <v>0.12</v>
      </c>
      <c r="O13">
        <v>0.64</v>
      </c>
      <c r="Q13">
        <v>50</v>
      </c>
      <c r="R13">
        <f>1-S13</f>
        <v>0</v>
      </c>
      <c r="S13">
        <f>IF($D$11="yes", 1, VLOOKUP($B$11, $AU$26:$AW$32, 1))</f>
        <v>1</v>
      </c>
      <c r="T13">
        <f>VLOOKUP($B$11,$AW$10:$AX$16, 2, FALSE)</f>
        <v>0.72</v>
      </c>
      <c r="U13">
        <f>$AV$10</f>
        <v>0.0047</v>
      </c>
      <c r="V13">
        <f>(I13/100)*(MIN(J13,100)/100)</f>
        <v>0</v>
      </c>
      <c r="W13">
        <v>0</v>
      </c>
      <c r="X13">
        <f>1.6 * W13</f>
        <v>0</v>
      </c>
      <c r="Y13">
        <f>$AY$1</f>
        <v>1.3</v>
      </c>
      <c r="Z13">
        <f>V13*Y13+(1-V13)</f>
        <v>1</v>
      </c>
      <c r="AA13">
        <f>(0.795*O13)-0.0014</f>
        <v>0.5074000000000001</v>
      </c>
      <c r="AC13">
        <v>1.6</v>
      </c>
      <c r="AD13">
        <f>1 - EXP(-2*(AC13^2))</f>
        <v>0.994023977104994</v>
      </c>
      <c r="AE13">
        <f>(104.7*AA13+0.307*Q13-15)*(Q13^0.75)*10^-3</f>
        <v>1.0054871153505722</v>
      </c>
      <c r="AF13">
        <f>AE13*AD13*Z13</f>
        <v>0.9994783013286037</v>
      </c>
      <c r="AG13">
        <f>(AF13 * M13) + (0.045 * X13)</f>
        <v>0.11993739615943244</v>
      </c>
      <c r="AH13">
        <f>$AV$2</f>
        <v>0.08</v>
      </c>
      <c r="AI13">
        <f>(AF13 * ((1 - O13) + (0.04 * AF13))) * ( 1 - AH13 )</f>
        <v>0.3677888263936565</v>
      </c>
      <c r="AJ13">
        <f>$AV$1</f>
        <v>0.19</v>
      </c>
      <c r="AK13">
        <f>$AW$20</f>
        <v>0.6784</v>
      </c>
      <c r="AL13">
        <f>AI13 * AJ13 * R13 * T13 * AK13</f>
        <v>0</v>
      </c>
      <c r="AM13">
        <f>AI13*AJ13*S13*U13*AK13</f>
        <v>0.00022281059026413275</v>
      </c>
      <c r="AN13">
        <f>AL13+AM13</f>
        <v>0.00022281059026413275</v>
      </c>
      <c r="AO13">
        <f>H13*AN13*L13</f>
        <v>1.3215453135041375</v>
      </c>
      <c r="AW13" t="str">
        <v>SA</v>
      </c>
      <c r="AX13">
        <v>0.74</v>
      </c>
    </row>
    <row r="14">
      <c r="F14" t="str">
        <v>Winter</v>
      </c>
      <c r="H14">
        <v>80</v>
      </c>
      <c r="I14">
        <v>0</v>
      </c>
      <c r="J14">
        <v>0</v>
      </c>
      <c r="L14">
        <f>$AV$3</f>
        <v>91.25</v>
      </c>
      <c r="M14">
        <v>0.18</v>
      </c>
      <c r="O14">
        <v>0.72</v>
      </c>
      <c r="Q14">
        <v>50</v>
      </c>
      <c r="R14">
        <f>1-S14</f>
        <v>0</v>
      </c>
      <c r="S14">
        <f>IF($D$11="yes", 1, VLOOKUP($B$11, $AU$26:$AW$32, 1))</f>
        <v>1</v>
      </c>
      <c r="T14">
        <f>VLOOKUP($B$11,$AW$10:$AX$16, 2, FALSE)</f>
        <v>0.72</v>
      </c>
      <c r="U14">
        <f>$AV$10</f>
        <v>0.0047</v>
      </c>
      <c r="V14">
        <f>(I14/100)*(MIN(J14,100)/100)</f>
        <v>0</v>
      </c>
      <c r="W14">
        <v>0</v>
      </c>
      <c r="X14">
        <f>1.6 * W14</f>
        <v>0</v>
      </c>
      <c r="Y14">
        <f>$AY$1</f>
        <v>1.3</v>
      </c>
      <c r="Z14">
        <f>V14*Y14+(1-V14)</f>
        <v>1</v>
      </c>
      <c r="AA14">
        <f>(0.795*O14)-0.0014</f>
        <v>0.5710000000000001</v>
      </c>
      <c r="AC14">
        <v>1.7</v>
      </c>
      <c r="AD14">
        <f>1 - EXP(-2*(AC14^2))</f>
        <v>0.9969112845917633</v>
      </c>
      <c r="AE14">
        <f>(104.7*AA14+0.307*Q14-15)*(Q14^0.75)*10^-3</f>
        <v>1.1306948910936463</v>
      </c>
      <c r="AF14">
        <f>AE14*AD14*Z14</f>
        <v>1.1272024963615108</v>
      </c>
      <c r="AG14">
        <f>(AF14 * M14) + (0.045 * X14)</f>
        <v>0.20289644934507195</v>
      </c>
      <c r="AH14">
        <f>$AV$2</f>
        <v>0.08</v>
      </c>
      <c r="AI14">
        <f>(AF14 * ((1 - O14) + (0.04 * AF14))) * ( 1 - AH14 )</f>
        <v>0.3371249082778985</v>
      </c>
      <c r="AJ14">
        <f>$AV$1</f>
        <v>0.19</v>
      </c>
      <c r="AK14">
        <f>$AW$20</f>
        <v>0.6784</v>
      </c>
      <c r="AL14">
        <f>AI14 * AJ14 * R14 * T14 * AK14</f>
        <v>0</v>
      </c>
      <c r="AM14">
        <f>AI14*AJ14*S14*U14*AK14</f>
        <v>0.00020423404523372364</v>
      </c>
      <c r="AN14">
        <f>AL14+AM14</f>
        <v>0.00020423404523372364</v>
      </c>
      <c r="AO14">
        <f>H14*AN14*L14</f>
        <v>1.4909085302061826</v>
      </c>
      <c r="AW14" t="str">
        <v>TAS</v>
      </c>
      <c r="AX14">
        <v>0.69</v>
      </c>
    </row>
    <row r="15">
      <c r="E15" t="str">
        <v>Lambs and hoggets</v>
      </c>
      <c r="F15" t="str">
        <v>Spring</v>
      </c>
      <c r="H15">
        <v>200</v>
      </c>
      <c r="I15">
        <v>0</v>
      </c>
      <c r="J15">
        <v>0</v>
      </c>
      <c r="L15">
        <f>$AV$3</f>
        <v>91.25</v>
      </c>
      <c r="M15">
        <v>0.2</v>
      </c>
      <c r="O15">
        <v>0.75</v>
      </c>
      <c r="Q15">
        <v>20</v>
      </c>
      <c r="R15">
        <f>1-S15</f>
        <v>0</v>
      </c>
      <c r="S15">
        <f>IF($D$11="yes", 1, VLOOKUP($B$11, $AU$26:$AW$32, 1))</f>
        <v>1</v>
      </c>
      <c r="T15">
        <f>VLOOKUP($B$11,$AW$10:$AX$16, 2, FALSE)</f>
        <v>0.72</v>
      </c>
      <c r="U15">
        <f>$AV$10</f>
        <v>0.0047</v>
      </c>
      <c r="V15">
        <f>(I15/100)*(MIN(J15,100)/100)</f>
        <v>0</v>
      </c>
      <c r="W15">
        <v>1</v>
      </c>
      <c r="X15">
        <f>1.6 * W15</f>
        <v>1.6</v>
      </c>
      <c r="Y15">
        <f>$AY$1</f>
        <v>1.3</v>
      </c>
      <c r="Z15">
        <f>V15*Y15+(1-V15)</f>
        <v>1</v>
      </c>
      <c r="AA15">
        <f>(0.795*O15)-0.0014</f>
        <v>0.5948500000000001</v>
      </c>
      <c r="AC15">
        <v>2.9</v>
      </c>
      <c r="AD15">
        <f>1 - EXP(-2*(AC15^2))</f>
        <v>0.9999999504359468</v>
      </c>
      <c r="AE15">
        <f>(104.7*AA15+0.307*Q15-15)*(Q15^0.75)*10^-3</f>
        <v>0.5052226861752882</v>
      </c>
      <c r="AF15">
        <f>AE15*AD15*Z15</f>
        <v>0.5052226611344041</v>
      </c>
      <c r="AG15">
        <f>(AF15 * M15) + (0.045 * X15)</f>
        <v>0.17304453222688082</v>
      </c>
      <c r="AH15">
        <f>$AV$2</f>
        <v>0.08</v>
      </c>
      <c r="AI15">
        <f>(AF15 * ((1 - O15) + (0.04 * AF15))) * ( 1 - AH15 )</f>
        <v>0.12559440975442615</v>
      </c>
      <c r="AJ15">
        <f>$AV$1</f>
        <v>0.19</v>
      </c>
      <c r="AK15">
        <f>$AW$20</f>
        <v>0.6784</v>
      </c>
      <c r="AL15">
        <f>AI15 * AJ15 * R15 * T15 * AK15</f>
        <v>0</v>
      </c>
      <c r="AM15">
        <f>AI15*AJ15*S15*U15*AK15</f>
        <v>0.00007608650008662061</v>
      </c>
      <c r="AN15">
        <f>AL15+AM15</f>
        <v>0.00007608650008662061</v>
      </c>
      <c r="AO15">
        <f>H15*AN15*L15</f>
        <v>1.388578626580826</v>
      </c>
      <c r="AW15" t="str">
        <v>VIC</v>
      </c>
      <c r="AX15">
        <v>0.73</v>
      </c>
    </row>
    <row r="16">
      <c r="F16" t="str">
        <v>Summer</v>
      </c>
      <c r="H16">
        <v>210</v>
      </c>
      <c r="I16">
        <v>0</v>
      </c>
      <c r="J16">
        <v>0</v>
      </c>
      <c r="L16">
        <f>$AV$3</f>
        <v>91.25</v>
      </c>
      <c r="M16">
        <v>0.1</v>
      </c>
      <c r="O16">
        <v>0.61</v>
      </c>
      <c r="Q16">
        <v>27</v>
      </c>
      <c r="R16">
        <f>1-S16</f>
        <v>0</v>
      </c>
      <c r="S16">
        <f>IF($D$11="yes", 1, VLOOKUP($B$11, $AU$26:$AW$32, 1))</f>
        <v>1</v>
      </c>
      <c r="T16">
        <f>VLOOKUP($B$11,$AW$10:$AX$16, 2, FALSE)</f>
        <v>0.72</v>
      </c>
      <c r="U16">
        <f>$AV$10</f>
        <v>0.0047</v>
      </c>
      <c r="V16">
        <f>(I16/100)*(MIN(J16,100)/100)</f>
        <v>0</v>
      </c>
      <c r="W16">
        <v>0</v>
      </c>
      <c r="X16">
        <f>1.6 * W16</f>
        <v>0</v>
      </c>
      <c r="Y16">
        <f>$AY$1</f>
        <v>1.3</v>
      </c>
      <c r="Z16">
        <f>V16*Y16+(1-V16)</f>
        <v>1</v>
      </c>
      <c r="AA16">
        <f>(0.795*O16)-0.0014</f>
        <v>0.48355</v>
      </c>
      <c r="AC16">
        <v>2.5</v>
      </c>
      <c r="AD16">
        <f>1 - EXP(-2*(AC16^2))</f>
        <v>0.999996273346828</v>
      </c>
      <c r="AE16">
        <f>(104.7*AA16+0.307*Q16-15)*(Q16^0.75)*10^-3</f>
        <v>0.5201784707716849</v>
      </c>
      <c r="AF16">
        <f>AE16*AD16*Z16</f>
        <v>0.5201765322469367</v>
      </c>
      <c r="AG16">
        <f>(AF16 * M16) + (0.045 * X16)</f>
        <v>0.05201765322469368</v>
      </c>
      <c r="AH16">
        <f>$AV$2</f>
        <v>0.08</v>
      </c>
      <c r="AI16">
        <f>(AF16 * ((1 - O16) + (0.04 * AF16))) * ( 1 - AH16 )</f>
        <v>0.1965968171591774</v>
      </c>
      <c r="AJ16">
        <f>$AV$1</f>
        <v>0.19</v>
      </c>
      <c r="AK16">
        <f>$AW$20</f>
        <v>0.6784</v>
      </c>
      <c r="AL16">
        <f>AI16 * AJ16 * R16 * T16 * AK16</f>
        <v>0</v>
      </c>
      <c r="AM16">
        <f>AI16*AJ16*S16*U16*AK16</f>
        <v>0.00011910055371938185</v>
      </c>
      <c r="AN16">
        <f>AL16+AM16</f>
        <v>0.00011910055371938185</v>
      </c>
      <c r="AO16">
        <f>H16*AN16*L16</f>
        <v>2.2822643606476545</v>
      </c>
      <c r="AW16" t="str">
        <v>WA</v>
      </c>
      <c r="AX16">
        <v>0.76</v>
      </c>
    </row>
    <row r="17">
      <c r="F17" t="str">
        <v>Autumn</v>
      </c>
      <c r="H17">
        <v>170</v>
      </c>
      <c r="I17">
        <v>0</v>
      </c>
      <c r="J17">
        <v>0</v>
      </c>
      <c r="L17">
        <f>$AV$3</f>
        <v>91.25</v>
      </c>
      <c r="M17">
        <v>0.12</v>
      </c>
      <c r="O17">
        <v>0.64</v>
      </c>
      <c r="Q17">
        <v>32</v>
      </c>
      <c r="R17">
        <f>1-S17</f>
        <v>0</v>
      </c>
      <c r="S17">
        <f>IF($D$11="yes", 1, VLOOKUP($B$11, $AU$26:$AW$32, 1))</f>
        <v>1</v>
      </c>
      <c r="T17">
        <f>VLOOKUP($B$11,$AW$10:$AX$16, 2, FALSE)</f>
        <v>0.72</v>
      </c>
      <c r="U17">
        <f>$AV$10</f>
        <v>0.0047</v>
      </c>
      <c r="V17">
        <f>(I17/100)*(MIN(J17,100)/100)</f>
        <v>0</v>
      </c>
      <c r="W17">
        <v>0</v>
      </c>
      <c r="X17">
        <f>1.6 * W17</f>
        <v>0</v>
      </c>
      <c r="Y17">
        <f>$AY$1</f>
        <v>1.3</v>
      </c>
      <c r="Z17">
        <f>V17*Y17+(1-V17)</f>
        <v>1</v>
      </c>
      <c r="AA17">
        <f>(0.795*O17)-0.0014</f>
        <v>0.5074000000000001</v>
      </c>
      <c r="AC17">
        <v>1.6</v>
      </c>
      <c r="AD17">
        <f>1 - EXP(-2*(AC17^2))</f>
        <v>0.994023977104994</v>
      </c>
      <c r="AE17">
        <f>(104.7*AA17+0.307*Q17-15)*(Q17^0.75)*10^-3</f>
        <v>0.6451193154846241</v>
      </c>
      <c r="AF17">
        <f>AE17*AD17*Z17</f>
        <v>0.6412640676852774</v>
      </c>
      <c r="AG17">
        <f>(AF17 * M17) + (0.045 * X17)</f>
        <v>0.07695168812223328</v>
      </c>
      <c r="AH17">
        <f>$AV$2</f>
        <v>0.08</v>
      </c>
      <c r="AI17">
        <f>(AF17 * ((1 - O17) + (0.04 * AF17))) * ( 1 - AH17 )</f>
        <v>0.22751954066312097</v>
      </c>
      <c r="AJ17">
        <f>$AV$1</f>
        <v>0.19</v>
      </c>
      <c r="AK17">
        <f>$AW$20</f>
        <v>0.6784</v>
      </c>
      <c r="AL17">
        <f>AI17 * AJ17 * R17 * T17 * AK17</f>
        <v>0</v>
      </c>
      <c r="AM17">
        <f>AI17*AJ17*S17*U17*AK17</f>
        <v>0.0001378338859525741</v>
      </c>
      <c r="AN17">
        <f>AL17+AM17</f>
        <v>0.0001378338859525741</v>
      </c>
      <c r="AO17">
        <f>H17*AN17*L17</f>
        <v>2.1381481558393056</v>
      </c>
    </row>
    <row r="18">
      <c r="F18" t="str">
        <v>Winter</v>
      </c>
      <c r="H18">
        <v>200</v>
      </c>
      <c r="I18">
        <v>0</v>
      </c>
      <c r="J18">
        <v>0</v>
      </c>
      <c r="L18">
        <f>$AV$3</f>
        <v>91.25</v>
      </c>
      <c r="M18">
        <v>0.18</v>
      </c>
      <c r="O18">
        <v>0.72</v>
      </c>
      <c r="Q18">
        <v>34</v>
      </c>
      <c r="R18">
        <f>1-S18</f>
        <v>0</v>
      </c>
      <c r="S18">
        <f>IF($D$11="yes", 1, VLOOKUP($B$11, $AU$26:$AW$32, 1))</f>
        <v>1</v>
      </c>
      <c r="T18">
        <f>VLOOKUP($B$11,$AW$10:$AX$16, 2, FALSE)</f>
        <v>0.72</v>
      </c>
      <c r="U18">
        <f>$AV$10</f>
        <v>0.0047</v>
      </c>
      <c r="V18">
        <f>(I18/100)*(MIN(J18,100)/100)</f>
        <v>0</v>
      </c>
      <c r="W18">
        <v>0</v>
      </c>
      <c r="X18">
        <f>1.6 * W18</f>
        <v>0</v>
      </c>
      <c r="Y18">
        <f>$AY$1</f>
        <v>1.3</v>
      </c>
      <c r="Z18">
        <f>V18*Y18+(1-V18)</f>
        <v>1</v>
      </c>
      <c r="AA18">
        <f>(0.795*O18)-0.0014</f>
        <v>0.5710000000000001</v>
      </c>
      <c r="AC18">
        <v>1.7</v>
      </c>
      <c r="AD18">
        <f>1 - EXP(-2*(AC18^2))</f>
        <v>0.9969112845917633</v>
      </c>
      <c r="AE18">
        <f>(104.7*AA18+0.307*Q18-15)*(Q18^0.75)*10^-3</f>
        <v>0.7775332321362358</v>
      </c>
      <c r="AF18">
        <f>AE18*AD18*Z18</f>
        <v>0.7751316532617205</v>
      </c>
      <c r="AG18">
        <f>(AF18 * M18) + (0.045 * X18)</f>
        <v>0.1395236975871097</v>
      </c>
      <c r="AH18">
        <f>$AV$2</f>
        <v>0.08</v>
      </c>
      <c r="AI18">
        <f>(AF18 * ((1 - O18) + (0.04 * AF18))) * ( 1 - AH18 )</f>
        <v>0.22178442402010679</v>
      </c>
      <c r="AJ18">
        <f>$AV$1</f>
        <v>0.19</v>
      </c>
      <c r="AK18">
        <f>$AW$20</f>
        <v>0.6784</v>
      </c>
      <c r="AL18">
        <f>AI18 * AJ18 * R18 * T18 * AK18</f>
        <v>0</v>
      </c>
      <c r="AM18">
        <f>AI18*AJ18*S18*U18*AK18</f>
        <v>0.00013435948805692974</v>
      </c>
      <c r="AN18">
        <f>AL18+AM18</f>
        <v>0.00013435948805692974</v>
      </c>
      <c r="AO18">
        <f>H18*AN18*L18</f>
        <v>2.4520606570389676</v>
      </c>
      <c r="AV18" t="str">
        <v>EFPRP</v>
      </c>
      <c r="AW18" t="str">
        <v>wet</v>
      </c>
      <c r="AX18">
        <v>0.006</v>
      </c>
    </row>
    <row r="19">
      <c r="E19" t="str">
        <v>Maiden ewes</v>
      </c>
      <c r="F19" t="str">
        <v>Spring</v>
      </c>
      <c r="H19">
        <v>100</v>
      </c>
      <c r="I19">
        <v>95</v>
      </c>
      <c r="J19">
        <v>92</v>
      </c>
      <c r="L19">
        <f>$AV$3</f>
        <v>91.25</v>
      </c>
      <c r="M19">
        <v>0.2</v>
      </c>
      <c r="O19">
        <v>0.75</v>
      </c>
      <c r="Q19">
        <v>44</v>
      </c>
      <c r="R19">
        <f>1-S19</f>
        <v>0</v>
      </c>
      <c r="S19">
        <f>IF($D$11="yes", 1, VLOOKUP($B$11, $AU$26:$AW$32, 1))</f>
        <v>1</v>
      </c>
      <c r="T19">
        <f>VLOOKUP($B$11,$AW$10:$AX$16, 2, FALSE)</f>
        <v>0.72</v>
      </c>
      <c r="U19">
        <f>$AV$10</f>
        <v>0.0047</v>
      </c>
      <c r="V19">
        <f>(I19/100)*(MIN(J19,100)/100)</f>
        <v>0.874</v>
      </c>
      <c r="W19">
        <v>0</v>
      </c>
      <c r="X19">
        <f>1.6 * W19</f>
        <v>0</v>
      </c>
      <c r="Y19">
        <f>$AY$1</f>
        <v>1.3</v>
      </c>
      <c r="Z19">
        <f>V19*Y19+(1-V19)</f>
        <v>1.2622</v>
      </c>
      <c r="AA19">
        <f>(0.795*O19)-0.0014</f>
        <v>0.5948500000000001</v>
      </c>
      <c r="AC19">
        <v>2.9</v>
      </c>
      <c r="AD19">
        <f>1 - EXP(-2*(AC19^2))</f>
        <v>0.9999999504359468</v>
      </c>
      <c r="AE19">
        <f>(104.7*AA19+0.307*Q19-15)*(Q19^0.75)*10^-3</f>
        <v>1.0385156413271623</v>
      </c>
      <c r="AF19">
        <f>AE19*AD19*Z19</f>
        <v>1.3108143775138676</v>
      </c>
      <c r="AG19">
        <f>(AF19 * M19) + (0.045 * X19)</f>
        <v>0.26216287550277356</v>
      </c>
      <c r="AH19">
        <f>$AV$2</f>
        <v>0.08</v>
      </c>
      <c r="AI19">
        <f>(AF19 * ((1 - O19) + (0.04 * AF19))) * ( 1 - AH19 )</f>
        <v>0.3647183302567217</v>
      </c>
      <c r="AJ19">
        <f>$AV$1</f>
        <v>0.19</v>
      </c>
      <c r="AK19">
        <f>$AW$20</f>
        <v>0.6784</v>
      </c>
      <c r="AL19">
        <f>AI19 * AJ19 * R19 * T19 * AK19</f>
        <v>0</v>
      </c>
      <c r="AM19">
        <f>AI19*AJ19*S19*U19*AK19</f>
        <v>0.00022095044931482087</v>
      </c>
      <c r="AN19">
        <f>AL19+AM19</f>
        <v>0.00022095044931482087</v>
      </c>
      <c r="AO19">
        <f>H19*AN19*L19</f>
        <v>2.0161728499977403</v>
      </c>
      <c r="AW19" t="str">
        <v>dry</v>
      </c>
      <c r="AX19">
        <v>0.002</v>
      </c>
    </row>
    <row r="20">
      <c r="F20" t="str">
        <v>Summer</v>
      </c>
      <c r="H20">
        <v>140</v>
      </c>
      <c r="I20">
        <v>0</v>
      </c>
      <c r="J20">
        <v>0</v>
      </c>
      <c r="L20">
        <f>$AV$3</f>
        <v>91.25</v>
      </c>
      <c r="M20">
        <v>0.1</v>
      </c>
      <c r="O20">
        <v>0.61</v>
      </c>
      <c r="Q20">
        <v>42</v>
      </c>
      <c r="R20">
        <f>1-S20</f>
        <v>0</v>
      </c>
      <c r="S20">
        <f>IF($D$11="yes", 1, VLOOKUP($B$11, $AU$26:$AW$32, 1))</f>
        <v>1</v>
      </c>
      <c r="T20">
        <f>VLOOKUP($B$11,$AW$10:$AX$16, 2, FALSE)</f>
        <v>0.72</v>
      </c>
      <c r="U20">
        <f>$AV$10</f>
        <v>0.0047</v>
      </c>
      <c r="V20">
        <f>(I20/100)*(MIN(J20,100)/100)</f>
        <v>0</v>
      </c>
      <c r="W20">
        <v>0</v>
      </c>
      <c r="X20">
        <f>1.6 * W20</f>
        <v>0</v>
      </c>
      <c r="Y20">
        <f>$AY$1</f>
        <v>1.3</v>
      </c>
      <c r="Z20">
        <f>V20*Y20+(1-V20)</f>
        <v>1</v>
      </c>
      <c r="AA20">
        <f>(0.795*O20)-0.0014</f>
        <v>0.48355</v>
      </c>
      <c r="AC20">
        <v>2.5</v>
      </c>
      <c r="AD20">
        <f>1 - EXP(-2*(AC20^2))</f>
        <v>0.999996273346828</v>
      </c>
      <c r="AE20">
        <f>(104.7*AA20+0.307*Q20-15)*(Q20^0.75)*10^-3</f>
        <v>0.8005212076839457</v>
      </c>
      <c r="AF20">
        <f>AE20*AD20*Z20</f>
        <v>0.8005182244190479</v>
      </c>
      <c r="AG20">
        <f>(AF20 * M20) + (0.045 * X20)</f>
        <v>0.08005182244190479</v>
      </c>
      <c r="AH20">
        <f>$AV$2</f>
        <v>0.08</v>
      </c>
      <c r="AI20">
        <f>(AF20 * ((1 - O20) + (0.04 * AF20))) * ( 1 - AH20 )</f>
        <v>0.3108084618582289</v>
      </c>
      <c r="AJ20">
        <f>$AV$1</f>
        <v>0.19</v>
      </c>
      <c r="AK20">
        <f>$AW$20</f>
        <v>0.6784</v>
      </c>
      <c r="AL20">
        <f>AI20 * AJ20 * R20 * T20 * AK20</f>
        <v>0</v>
      </c>
      <c r="AM20">
        <f>AI20*AJ20*S20*U20*AK20</f>
        <v>0.00018829124724848792</v>
      </c>
      <c r="AN20">
        <f>AL20+AM20</f>
        <v>0.00018829124724848792</v>
      </c>
      <c r="AO20">
        <f>H20*AN20*L20</f>
        <v>2.4054206835994334</v>
      </c>
      <c r="AV20" t="str">
        <v>p</v>
      </c>
      <c r="AW20">
        <v>0.6784</v>
      </c>
    </row>
    <row r="21">
      <c r="F21" t="str">
        <v>Autumn</v>
      </c>
      <c r="H21">
        <v>135</v>
      </c>
      <c r="I21">
        <v>0</v>
      </c>
      <c r="J21">
        <v>0</v>
      </c>
      <c r="L21">
        <f>$AV$3</f>
        <v>91.25</v>
      </c>
      <c r="M21">
        <v>0.12</v>
      </c>
      <c r="O21">
        <v>0.64</v>
      </c>
      <c r="Q21">
        <v>43</v>
      </c>
      <c r="R21">
        <f>1-S21</f>
        <v>0</v>
      </c>
      <c r="S21">
        <f>IF($D$11="yes", 1, VLOOKUP($B$11, $AU$26:$AW$32, 1))</f>
        <v>1</v>
      </c>
      <c r="T21">
        <f>VLOOKUP($B$11,$AW$10:$AX$16, 2, FALSE)</f>
        <v>0.72</v>
      </c>
      <c r="U21">
        <f>$AV$10</f>
        <v>0.0047</v>
      </c>
      <c r="V21">
        <f>(I21/100)*(MIN(J21,100)/100)</f>
        <v>0</v>
      </c>
      <c r="W21">
        <v>0</v>
      </c>
      <c r="X21">
        <f>1.6 * W21</f>
        <v>0</v>
      </c>
      <c r="Y21">
        <f>$AY$1</f>
        <v>1.3</v>
      </c>
      <c r="Z21">
        <f>V21*Y21+(1-V21)</f>
        <v>1</v>
      </c>
      <c r="AA21">
        <f>(0.795*O21)-0.0014</f>
        <v>0.5074000000000001</v>
      </c>
      <c r="AC21">
        <v>1.6</v>
      </c>
      <c r="AD21">
        <f>1 - EXP(-2*(AC21^2))</f>
        <v>0.994023977104994</v>
      </c>
      <c r="AE21">
        <f>(104.7*AA21+0.307*Q21-15)*(Q21^0.75)*10^-3</f>
        <v>0.8618603467709415</v>
      </c>
      <c r="AF21">
        <f>AE21*AD21*Z21</f>
        <v>0.8567098496063406</v>
      </c>
      <c r="AG21">
        <f>(AF21 * M21) + (0.045 * X21)</f>
        <v>0.10280518195276087</v>
      </c>
      <c r="AH21">
        <f>$AV$2</f>
        <v>0.08</v>
      </c>
      <c r="AI21">
        <f>(AF21 * ((1 - O21) + (0.04 * AF21))) * ( 1 - AH21 )</f>
        <v>0.31075172719360067</v>
      </c>
      <c r="AJ21">
        <f>$AV$1</f>
        <v>0.19</v>
      </c>
      <c r="AK21">
        <f>$AW$20</f>
        <v>0.6784</v>
      </c>
      <c r="AL21">
        <f>AI21 * AJ21 * R21 * T21 * AK21</f>
        <v>0</v>
      </c>
      <c r="AM21">
        <f>AI21*AJ21*S21*U21*AK21</f>
        <v>0.00018825687675322786</v>
      </c>
      <c r="AN21">
        <f>AL21+AM21</f>
        <v>0.00018825687675322786</v>
      </c>
      <c r="AO21">
        <f>H21*AN21*L21</f>
        <v>2.3190894005038256</v>
      </c>
    </row>
    <row r="22">
      <c r="F22" t="str">
        <v>Winter</v>
      </c>
      <c r="H22">
        <v>130</v>
      </c>
      <c r="I22">
        <v>0</v>
      </c>
      <c r="J22">
        <v>0</v>
      </c>
      <c r="L22">
        <f>$AV$3</f>
        <v>91.25</v>
      </c>
      <c r="M22">
        <v>0.18</v>
      </c>
      <c r="O22">
        <v>0.72</v>
      </c>
      <c r="Q22">
        <v>45</v>
      </c>
      <c r="R22">
        <f>1-S22</f>
        <v>0</v>
      </c>
      <c r="S22">
        <f>IF($D$11="yes", 1, VLOOKUP($B$11, $AU$26:$AW$32, 1))</f>
        <v>1</v>
      </c>
      <c r="T22">
        <f>VLOOKUP($B$11,$AW$10:$AX$16, 2, FALSE)</f>
        <v>0.72</v>
      </c>
      <c r="U22">
        <f>$AV$10</f>
        <v>0.0047</v>
      </c>
      <c r="V22">
        <f>(I22/100)*(MIN(J22,100)/100)</f>
        <v>0</v>
      </c>
      <c r="W22">
        <v>0</v>
      </c>
      <c r="X22">
        <f>1.6 * W22</f>
        <v>0</v>
      </c>
      <c r="Y22">
        <f>$AY$1</f>
        <v>1.3</v>
      </c>
      <c r="Z22">
        <f>V22*Y22+(1-V22)</f>
        <v>1</v>
      </c>
      <c r="AA22">
        <f>(0.795*O22)-0.0014</f>
        <v>0.5710000000000001</v>
      </c>
      <c r="AC22">
        <v>1.7</v>
      </c>
      <c r="AD22">
        <f>1 - EXP(-2*(AC22^2))</f>
        <v>0.9969112845917633</v>
      </c>
      <c r="AE22">
        <f>(104.7*AA22+0.307*Q22-15)*(Q22^0.75)*10^-3</f>
        <v>1.0181162441707754</v>
      </c>
      <c r="AF22">
        <f>AE22*AD22*Z22</f>
        <v>1.014971572840029</v>
      </c>
      <c r="AG22">
        <f>(AF22 * M22) + (0.045 * X22)</f>
        <v>0.18269488311120521</v>
      </c>
      <c r="AH22">
        <f>$AV$2</f>
        <v>0.08</v>
      </c>
      <c r="AI22">
        <f>(AF22 * ((1 - O22) + (0.04 * AF22))) * ( 1 - AH22 )</f>
        <v>0.29936683357077126</v>
      </c>
      <c r="AJ22">
        <f>$AV$1</f>
        <v>0.19</v>
      </c>
      <c r="AK22">
        <f>$AW$20</f>
        <v>0.6784</v>
      </c>
      <c r="AL22">
        <f>AI22 * AJ22 * R22 * T22 * AK22</f>
        <v>0</v>
      </c>
      <c r="AM22">
        <f>AI22*AJ22*S22*U22*AK22</f>
        <v>0.00018135978068570922</v>
      </c>
      <c r="AN22">
        <f>AL22+AM22</f>
        <v>0.00018135978068570922</v>
      </c>
      <c r="AO22">
        <f>H22*AN22*L22</f>
        <v>2.1513803983842257</v>
      </c>
    </row>
    <row r="23">
      <c r="E23" t="str">
        <v>Other ewes</v>
      </c>
      <c r="F23" t="str">
        <v>Spring</v>
      </c>
      <c r="H23">
        <v>200</v>
      </c>
      <c r="I23">
        <v>0</v>
      </c>
      <c r="J23">
        <v>0</v>
      </c>
      <c r="L23">
        <f>$AV$3</f>
        <v>91.25</v>
      </c>
      <c r="M23">
        <v>0.2</v>
      </c>
      <c r="O23">
        <v>0.75</v>
      </c>
      <c r="Q23">
        <v>56</v>
      </c>
      <c r="R23">
        <f>1-S23</f>
        <v>0</v>
      </c>
      <c r="S23">
        <f>IF($D$11="yes", 1, VLOOKUP($B$11, $AU$26:$AW$32, 1))</f>
        <v>1</v>
      </c>
      <c r="T23">
        <f>VLOOKUP($B$11,$AW$10:$AX$16, 2, FALSE)</f>
        <v>0.72</v>
      </c>
      <c r="U23">
        <f>$AV$10</f>
        <v>0.0047</v>
      </c>
      <c r="V23">
        <f>(I23/100)*(MIN(J23,100)/100)</f>
        <v>0</v>
      </c>
      <c r="W23">
        <v>0</v>
      </c>
      <c r="X23">
        <f>1.6 * W23</f>
        <v>0</v>
      </c>
      <c r="Y23">
        <f>$AY$1</f>
        <v>1.3</v>
      </c>
      <c r="Z23">
        <f>V23*Y23+(1-V23)</f>
        <v>1</v>
      </c>
      <c r="AA23">
        <f>(0.795*O23)-0.0014</f>
        <v>0.5948500000000001</v>
      </c>
      <c r="AC23">
        <v>2.9</v>
      </c>
      <c r="AD23">
        <f>1 - EXP(-2*(AC23^2))</f>
        <v>0.9999999504359468</v>
      </c>
      <c r="AE23">
        <f>(104.7*AA23+0.307*Q23-15)*(Q23^0.75)*10^-3</f>
        <v>1.3198285488795851</v>
      </c>
      <c r="AF23">
        <f>AE23*AD23*Z23</f>
        <v>1.3198284834635328</v>
      </c>
      <c r="AG23">
        <f>(AF23 * M23) + (0.045 * X23)</f>
        <v>0.2639656966927066</v>
      </c>
      <c r="AH23">
        <f>$AV$2</f>
        <v>0.08</v>
      </c>
      <c r="AI23">
        <f>(AF23 * ((1 - O23) + (0.04 * AF23))) * ( 1 - AH23 )</f>
        <v>0.3676642091046412</v>
      </c>
      <c r="AJ23">
        <f>$AV$1</f>
        <v>0.19</v>
      </c>
      <c r="AK23">
        <f>$AW$20</f>
        <v>0.6784</v>
      </c>
      <c r="AL23">
        <f>AI23 * AJ23 * R23 * T23 * AK23</f>
        <v>0</v>
      </c>
      <c r="AM23">
        <f>AI23*AJ23*S23*U23*AK23</f>
        <v>0.00022273509571473364</v>
      </c>
      <c r="AN23">
        <f>AL23+AM23</f>
        <v>0.00022273509571473364</v>
      </c>
      <c r="AO23">
        <f>H23*AN23*L23</f>
        <v>4.06491549679389</v>
      </c>
    </row>
    <row r="24">
      <c r="F24" t="str">
        <v>Summer</v>
      </c>
      <c r="H24">
        <v>210</v>
      </c>
      <c r="I24">
        <v>0</v>
      </c>
      <c r="J24">
        <v>0</v>
      </c>
      <c r="L24">
        <f>$AV$3</f>
        <v>91.25</v>
      </c>
      <c r="M24">
        <v>0.1</v>
      </c>
      <c r="O24">
        <v>0.61</v>
      </c>
      <c r="Q24">
        <v>51</v>
      </c>
      <c r="R24">
        <f>1-S24</f>
        <v>0</v>
      </c>
      <c r="S24">
        <f>IF($D$11="yes", 1, VLOOKUP($B$11, $AU$26:$AW$32, 1))</f>
        <v>1</v>
      </c>
      <c r="T24">
        <f>VLOOKUP($B$11,$AW$10:$AX$16, 2, FALSE)</f>
        <v>0.72</v>
      </c>
      <c r="U24">
        <f>$AV$10</f>
        <v>0.0047</v>
      </c>
      <c r="V24">
        <f>(I24/100)*(MIN(J24,100)/100)</f>
        <v>0</v>
      </c>
      <c r="W24">
        <v>0</v>
      </c>
      <c r="X24">
        <f>1.6 * W24</f>
        <v>0</v>
      </c>
      <c r="Y24">
        <f>$AY$1</f>
        <v>1.3</v>
      </c>
      <c r="Z24">
        <f>V24*Y24+(1-V24)</f>
        <v>1</v>
      </c>
      <c r="AA24">
        <f>(0.795*O24)-0.0014</f>
        <v>0.48355</v>
      </c>
      <c r="AC24">
        <v>2.5</v>
      </c>
      <c r="AD24">
        <f>1 - EXP(-2*(AC24^2))</f>
        <v>0.999996273346828</v>
      </c>
      <c r="AE24">
        <f>(104.7*AA24+0.307*Q24-15)*(Q24^0.75)*10^-3</f>
        <v>0.9787354625697015</v>
      </c>
      <c r="AF24">
        <f>AE24*AD24*Z24</f>
        <v>0.9787318151620853</v>
      </c>
      <c r="AG24">
        <f>(AF24 * M24) + (0.045 * X24)</f>
        <v>0.09787318151620854</v>
      </c>
      <c r="AH24">
        <f>$AV$2</f>
        <v>0.08</v>
      </c>
      <c r="AI24">
        <f>(AF24 * ((1 - O24) + (0.04 * AF24))) * ( 1 - AH24 )</f>
        <v>0.38642028282934154</v>
      </c>
      <c r="AJ24">
        <f>$AV$1</f>
        <v>0.19</v>
      </c>
      <c r="AK24">
        <f>$AW$20</f>
        <v>0.6784</v>
      </c>
      <c r="AL24">
        <f>AI24 * AJ24 * R24 * T24 * AK24</f>
        <v>0</v>
      </c>
      <c r="AM24">
        <f>AI24*AJ24*S24*U24*AK24</f>
        <v>0.00023409773524518283</v>
      </c>
      <c r="AN24">
        <f>AL24+AM24</f>
        <v>0.00023409773524518283</v>
      </c>
      <c r="AO24">
        <f>H24*AN24*L24</f>
        <v>4.485897851635816</v>
      </c>
    </row>
    <row r="25">
      <c r="F25" t="str">
        <v>Autumn</v>
      </c>
      <c r="H25">
        <v>190</v>
      </c>
      <c r="I25">
        <v>0</v>
      </c>
      <c r="J25">
        <v>0</v>
      </c>
      <c r="L25">
        <f>$AV$3</f>
        <v>91.25</v>
      </c>
      <c r="M25">
        <v>0.12</v>
      </c>
      <c r="O25">
        <v>0.64</v>
      </c>
      <c r="Q25">
        <v>50</v>
      </c>
      <c r="R25">
        <f>1-S25</f>
        <v>0</v>
      </c>
      <c r="S25">
        <f>IF($D$11="yes", 1, VLOOKUP($B$11, $AU$26:$AW$32, 1))</f>
        <v>1</v>
      </c>
      <c r="T25">
        <f>VLOOKUP($B$11,$AW$10:$AX$16, 2, FALSE)</f>
        <v>0.72</v>
      </c>
      <c r="U25">
        <f>$AV$10</f>
        <v>0.0047</v>
      </c>
      <c r="V25">
        <f>(I25/100)*(MIN(J25,100)/100)</f>
        <v>0</v>
      </c>
      <c r="W25">
        <v>0</v>
      </c>
      <c r="X25">
        <f>1.6 * W25</f>
        <v>0</v>
      </c>
      <c r="Y25">
        <f>$AY$1</f>
        <v>1.3</v>
      </c>
      <c r="Z25">
        <f>V25*Y25+(1-V25)</f>
        <v>1</v>
      </c>
      <c r="AA25">
        <f>(0.795*O25)-0.0014</f>
        <v>0.5074000000000001</v>
      </c>
      <c r="AC25">
        <v>1.6</v>
      </c>
      <c r="AD25">
        <f>1 - EXP(-2*(AC25^2))</f>
        <v>0.994023977104994</v>
      </c>
      <c r="AE25">
        <f>(104.7*AA25+0.307*Q25-15)*(Q25^0.75)*10^-3</f>
        <v>1.0054871153505722</v>
      </c>
      <c r="AF25">
        <f>AE25*AD25*Z25</f>
        <v>0.9994783013286037</v>
      </c>
      <c r="AG25">
        <f>(AF25 * M25) + (0.045 * X25)</f>
        <v>0.11993739615943244</v>
      </c>
      <c r="AH25">
        <f>$AV$2</f>
        <v>0.08</v>
      </c>
      <c r="AI25">
        <f>(AF25 * ((1 - O25) + (0.04 * AF25))) * ( 1 - AH25 )</f>
        <v>0.3677888263936565</v>
      </c>
      <c r="AJ25">
        <f>$AV$1</f>
        <v>0.19</v>
      </c>
      <c r="AK25">
        <f>$AW$20</f>
        <v>0.6784</v>
      </c>
      <c r="AL25">
        <f>AI25 * AJ25 * R25 * T25 * AK25</f>
        <v>0</v>
      </c>
      <c r="AM25">
        <f>AI25*AJ25*S25*U25*AK25</f>
        <v>0.00022281059026413275</v>
      </c>
      <c r="AN25">
        <f>AL25+AM25</f>
        <v>0.00022281059026413275</v>
      </c>
      <c r="AO25">
        <f>H25*AN25*L25</f>
        <v>3.8629786087044016</v>
      </c>
      <c r="AU25" t="str">
        <v>MMS</v>
      </c>
    </row>
    <row r="26">
      <c r="F26" t="str">
        <v>Winter</v>
      </c>
      <c r="H26">
        <v>180</v>
      </c>
      <c r="I26">
        <v>0</v>
      </c>
      <c r="J26">
        <v>0</v>
      </c>
      <c r="L26">
        <f>$AV$3</f>
        <v>91.25</v>
      </c>
      <c r="M26">
        <v>0.18</v>
      </c>
      <c r="O26">
        <v>0.72</v>
      </c>
      <c r="Q26">
        <v>51</v>
      </c>
      <c r="R26">
        <f>1-S26</f>
        <v>0</v>
      </c>
      <c r="S26">
        <f>IF($D$11="yes", 1, VLOOKUP($B$11, $AU$26:$AW$32, 1))</f>
        <v>1</v>
      </c>
      <c r="T26">
        <f>VLOOKUP($B$11,$AW$10:$AX$16, 2, FALSE)</f>
        <v>0.72</v>
      </c>
      <c r="U26">
        <f>$AV$10</f>
        <v>0.0047</v>
      </c>
      <c r="V26">
        <f>(I26/100)*(MIN(J26,100)/100)</f>
        <v>0</v>
      </c>
      <c r="W26">
        <v>0</v>
      </c>
      <c r="X26">
        <f>1.6 * W26</f>
        <v>0</v>
      </c>
      <c r="Y26">
        <f>$AY$1</f>
        <v>1.3</v>
      </c>
      <c r="Z26">
        <f>V26*Y26+(1-V26)</f>
        <v>1</v>
      </c>
      <c r="AA26">
        <f>(0.795*O26)-0.0014</f>
        <v>0.5710000000000001</v>
      </c>
      <c r="AC26">
        <v>1.7</v>
      </c>
      <c r="AD26">
        <f>1 - EXP(-2*(AC26^2))</f>
        <v>0.9969112845917633</v>
      </c>
      <c r="AE26">
        <f>(104.7*AA26+0.307*Q26-15)*(Q26^0.75)*10^-3</f>
        <v>1.153472161767915</v>
      </c>
      <c r="AF26">
        <f>AE26*AD26*Z26</f>
        <v>1.1499094145288902</v>
      </c>
      <c r="AG26">
        <f>(AF26 * M26) + (0.045 * X26)</f>
        <v>0.20698369461520022</v>
      </c>
      <c r="AH26">
        <f>$AV$2</f>
        <v>0.08</v>
      </c>
      <c r="AI26">
        <f>(AF26 * ((1 - O26) + (0.04 * AF26))) * ( 1 - AH26 )</f>
        <v>0.34487699833033825</v>
      </c>
      <c r="AJ26">
        <f>$AV$1</f>
        <v>0.19</v>
      </c>
      <c r="AK26">
        <f>$AW$20</f>
        <v>0.6784</v>
      </c>
      <c r="AL26">
        <f>AI26 * AJ26 * R26 * T26 * AK26</f>
        <v>0</v>
      </c>
      <c r="AM26">
        <f>AI26*AJ26*S26*U26*AK26</f>
        <v>0.0002089303482109002</v>
      </c>
      <c r="AN26">
        <f>AL26+AM26</f>
        <v>0.0002089303482109002</v>
      </c>
      <c r="AO26">
        <f>H26*AN26*L26</f>
        <v>3.4316809693640358</v>
      </c>
      <c r="AU26" t="str">
        <v>ACT</v>
      </c>
      <c r="AV26">
        <v>99.25</v>
      </c>
      <c r="AW26">
        <v>0.75</v>
      </c>
    </row>
    <row r="27">
      <c r="E27" t="str">
        <v>Rams</v>
      </c>
      <c r="F27" t="str">
        <v>Spring</v>
      </c>
      <c r="H27">
        <v>50</v>
      </c>
      <c r="I27">
        <v>0</v>
      </c>
      <c r="J27">
        <v>0</v>
      </c>
      <c r="L27">
        <f>$AV$3</f>
        <v>91.25</v>
      </c>
      <c r="M27">
        <v>0.2</v>
      </c>
      <c r="O27">
        <v>0.75</v>
      </c>
      <c r="Q27">
        <v>75</v>
      </c>
      <c r="R27">
        <f>1-S27</f>
        <v>0</v>
      </c>
      <c r="S27">
        <f>IF($D$11="yes", 1, VLOOKUP($B$11, $AU$26:$AW$32, 1))</f>
        <v>1</v>
      </c>
      <c r="T27">
        <f>VLOOKUP($B$11,$AW$10:$AX$16, 2, FALSE)</f>
        <v>0.72</v>
      </c>
      <c r="U27">
        <f>$AV$10</f>
        <v>0.0047</v>
      </c>
      <c r="V27">
        <f>(I27/100)*(MIN(J27,100)/100)</f>
        <v>0</v>
      </c>
      <c r="W27">
        <v>0</v>
      </c>
      <c r="X27">
        <f>1.6 * W27</f>
        <v>0</v>
      </c>
      <c r="Y27">
        <f>$AY$1</f>
        <v>1.3</v>
      </c>
      <c r="Z27">
        <f>V27*Y27+(1-V27)</f>
        <v>1</v>
      </c>
      <c r="AA27">
        <f>(0.795*O27)-0.0014</f>
        <v>0.5948500000000001</v>
      </c>
      <c r="AC27">
        <v>2.9</v>
      </c>
      <c r="AD27">
        <f>1 - EXP(-2*(AC27^2))</f>
        <v>0.9999999504359468</v>
      </c>
      <c r="AE27">
        <f>(104.7*AA27+0.307*Q27-15)*(Q27^0.75)*10^-3</f>
        <v>1.791789845612274</v>
      </c>
      <c r="AF27">
        <f>AE27*AD27*Z27</f>
        <v>1.7917897568039067</v>
      </c>
      <c r="AG27">
        <f>(AF27 * M27) + (0.045 * X27)</f>
        <v>0.35835795136078136</v>
      </c>
      <c r="AH27">
        <f>$AV$2</f>
        <v>0.08</v>
      </c>
      <c r="AI27">
        <f>(AF27 * ((1 - O27) + (0.04 * AF27))) * ( 1 - AH27 )</f>
        <v>0.530258431664115</v>
      </c>
      <c r="AJ27">
        <f>$AV$1</f>
        <v>0.19</v>
      </c>
      <c r="AK27">
        <f>$AW$20</f>
        <v>0.6784</v>
      </c>
      <c r="AL27">
        <f>AI27 * AJ27 * R27 * T27 * AK27</f>
        <v>0</v>
      </c>
      <c r="AM27">
        <f>AI27*AJ27*S27*U27*AK27</f>
        <v>0.0003212364967965555</v>
      </c>
      <c r="AN27">
        <f>AL27+AM27</f>
        <v>0.0003212364967965555</v>
      </c>
      <c r="AO27">
        <f>H27*AN27*L27</f>
        <v>1.4656415166342844</v>
      </c>
      <c r="AU27" t="str">
        <v>NSW</v>
      </c>
      <c r="AV27">
        <v>99.55</v>
      </c>
      <c r="AW27">
        <v>0.45</v>
      </c>
    </row>
    <row r="28">
      <c r="F28" t="str">
        <v>Summer</v>
      </c>
      <c r="H28">
        <v>55</v>
      </c>
      <c r="I28">
        <v>0</v>
      </c>
      <c r="J28">
        <v>0</v>
      </c>
      <c r="L28">
        <f>$AV$3</f>
        <v>91.25</v>
      </c>
      <c r="M28">
        <v>0.1</v>
      </c>
      <c r="O28">
        <v>0.61</v>
      </c>
      <c r="Q28">
        <v>75</v>
      </c>
      <c r="R28">
        <f>1-S28</f>
        <v>0</v>
      </c>
      <c r="S28">
        <f>IF($D$11="yes", 1, VLOOKUP($B$11, $AU$26:$AW$32, 1))</f>
        <v>1</v>
      </c>
      <c r="T28">
        <f>VLOOKUP($B$11,$AW$10:$AX$16, 2, FALSE)</f>
        <v>0.72</v>
      </c>
      <c r="U28">
        <f>$AV$10</f>
        <v>0.0047</v>
      </c>
      <c r="V28">
        <f>(I28/100)*(MIN(J28,100)/100)</f>
        <v>0</v>
      </c>
      <c r="W28">
        <v>0</v>
      </c>
      <c r="X28">
        <f>1.6 * W28</f>
        <v>0</v>
      </c>
      <c r="Y28">
        <f>$AY$1</f>
        <v>1.3</v>
      </c>
      <c r="Z28">
        <f>V28*Y28+(1-V28)</f>
        <v>1</v>
      </c>
      <c r="AA28">
        <f>(0.795*O28)-0.0014</f>
        <v>0.48355</v>
      </c>
      <c r="AC28">
        <v>2.5</v>
      </c>
      <c r="AD28">
        <f>1 - EXP(-2*(AC28^2))</f>
        <v>0.999996273346828</v>
      </c>
      <c r="AE28">
        <f>(104.7*AA28+0.307*Q28-15)*(Q28^0.75)*10^-3</f>
        <v>1.4948026034112167</v>
      </c>
      <c r="AF28">
        <f>AE28*AD28*Z28</f>
        <v>1.494797032800353</v>
      </c>
      <c r="AG28">
        <f>(AF28 * M28) + (0.045 * X28)</f>
        <v>0.14947970328003532</v>
      </c>
      <c r="AH28">
        <f>$AV$2</f>
        <v>0.08</v>
      </c>
      <c r="AI28">
        <f>(AF28 * ((1 - O28) + (0.04 * AF28))) * ( 1 - AH28 )</f>
        <v>0.6185597639978564</v>
      </c>
      <c r="AJ28">
        <f>$AV$1</f>
        <v>0.19</v>
      </c>
      <c r="AK28">
        <f>$AW$20</f>
        <v>0.6784</v>
      </c>
      <c r="AL28">
        <f>AI28 * AJ28 * R28 * T28 * AK28</f>
        <v>0</v>
      </c>
      <c r="AM28">
        <f>AI28*AJ28*S28*U28*AK28</f>
        <v>0.00037473043289925815</v>
      </c>
      <c r="AN28">
        <f>AL28+AM28</f>
        <v>0.00037473043289925815</v>
      </c>
      <c r="AO28">
        <f>H28*AN28*L28</f>
        <v>1.8806783601131516</v>
      </c>
      <c r="AU28" t="str">
        <v>QLD</v>
      </c>
      <c r="AV28">
        <v>99.91</v>
      </c>
      <c r="AW28">
        <v>0.09</v>
      </c>
    </row>
    <row r="29">
      <c r="F29" t="str">
        <v>Autumn</v>
      </c>
      <c r="H29">
        <v>60</v>
      </c>
      <c r="I29">
        <v>0</v>
      </c>
      <c r="J29">
        <v>0</v>
      </c>
      <c r="L29">
        <f>$AV$3</f>
        <v>91.25</v>
      </c>
      <c r="M29">
        <v>0.12</v>
      </c>
      <c r="O29">
        <v>0.64</v>
      </c>
      <c r="Q29">
        <v>69</v>
      </c>
      <c r="R29">
        <f>1-S29</f>
        <v>0</v>
      </c>
      <c r="S29">
        <f>IF($D$11="yes", 1, VLOOKUP($B$11, $AU$26:$AW$32, 1))</f>
        <v>1</v>
      </c>
      <c r="T29">
        <f>VLOOKUP($B$11,$AW$10:$AX$16, 2, FALSE)</f>
        <v>0.72</v>
      </c>
      <c r="U29">
        <f>$AV$10</f>
        <v>0.0047</v>
      </c>
      <c r="V29">
        <f>(I29/100)*(MIN(J29,100)/100)</f>
        <v>0</v>
      </c>
      <c r="W29">
        <v>0</v>
      </c>
      <c r="X29">
        <f>1.6 * W29</f>
        <v>0</v>
      </c>
      <c r="Y29">
        <f>$AY$1</f>
        <v>1.3</v>
      </c>
      <c r="Z29">
        <f>V29*Y29+(1-V29)</f>
        <v>1</v>
      </c>
      <c r="AA29">
        <f>(0.795*O29)-0.0014</f>
        <v>0.5074000000000001</v>
      </c>
      <c r="AC29">
        <v>1.6</v>
      </c>
      <c r="AD29">
        <f>1 - EXP(-2*(AC29^2))</f>
        <v>0.994023977104994</v>
      </c>
      <c r="AE29">
        <f>(104.7*AA29+0.307*Q29-15)*(Q29^0.75)*10^-3</f>
        <v>1.4198696820048529</v>
      </c>
      <c r="AF29">
        <f>AE29*AD29*Z29</f>
        <v>1.411384508277267</v>
      </c>
      <c r="AG29">
        <f>(AF29 * M29) + (0.045 * X29)</f>
        <v>0.16936614099327202</v>
      </c>
      <c r="AH29">
        <f>$AV$2</f>
        <v>0.08</v>
      </c>
      <c r="AI29">
        <f>(AF29 * ((1 - O29) + (0.04 * AF29))) * ( 1 - AH29 )</f>
        <v>0.5407563784129771</v>
      </c>
      <c r="AJ29">
        <f>$AV$1</f>
        <v>0.19</v>
      </c>
      <c r="AK29">
        <f>$AW$20</f>
        <v>0.6784</v>
      </c>
      <c r="AL29">
        <f>AI29 * AJ29 * R29 * T29 * AK29</f>
        <v>0</v>
      </c>
      <c r="AM29">
        <f>AI29*AJ29*S29*U29*AK29</f>
        <v>0.00032759627051401975</v>
      </c>
      <c r="AN29">
        <f>AL29+AM29</f>
        <v>0.00032759627051401975</v>
      </c>
      <c r="AO29">
        <f>H29*AN29*L29</f>
        <v>1.7935895810642581</v>
      </c>
      <c r="AU29" t="str">
        <v>SA</v>
      </c>
      <c r="AV29">
        <v>99.74</v>
      </c>
      <c r="AW29">
        <v>0.26</v>
      </c>
    </row>
    <row r="30">
      <c r="F30" t="str">
        <v>Winter</v>
      </c>
      <c r="H30">
        <v>65</v>
      </c>
      <c r="I30">
        <v>0</v>
      </c>
      <c r="J30">
        <v>0</v>
      </c>
      <c r="L30">
        <f>$AV$3</f>
        <v>91.25</v>
      </c>
      <c r="M30">
        <v>0.18</v>
      </c>
      <c r="O30">
        <v>0.72</v>
      </c>
      <c r="Q30">
        <v>69</v>
      </c>
      <c r="R30">
        <f>1-S30</f>
        <v>0</v>
      </c>
      <c r="S30">
        <f>IF($D$11="yes", 1, VLOOKUP($B$11, $AU$26:$AW$32, 1))</f>
        <v>1</v>
      </c>
      <c r="T30">
        <f>VLOOKUP($B$11,$AW$10:$AX$16, 2, FALSE)</f>
        <v>0.72</v>
      </c>
      <c r="U30">
        <f>$AV$10</f>
        <v>0.0047</v>
      </c>
      <c r="V30">
        <f>(I30/100)*(MIN(J30,100)/100)</f>
        <v>0</v>
      </c>
      <c r="W30">
        <v>0</v>
      </c>
      <c r="X30">
        <f>1.6 * W30</f>
        <v>0</v>
      </c>
      <c r="Y30">
        <f>$AY$1</f>
        <v>1.3</v>
      </c>
      <c r="Z30">
        <f>V30*Y30+(1-V30)</f>
        <v>1</v>
      </c>
      <c r="AA30">
        <f>(0.795*O30)-0.0014</f>
        <v>0.5710000000000001</v>
      </c>
      <c r="AC30">
        <v>1.7</v>
      </c>
      <c r="AD30">
        <f>1 - EXP(-2*(AC30^2))</f>
        <v>0.9969112845917633</v>
      </c>
      <c r="AE30">
        <f>(104.7*AA30+0.307*Q30-15)*(Q30^0.75)*10^-3</f>
        <v>1.5792888783210146</v>
      </c>
      <c r="AF30">
        <f>AE30*AD30*Z30</f>
        <v>1.5744109044284875</v>
      </c>
      <c r="AG30">
        <f>(AF30 * M30) + (0.045 * X30)</f>
        <v>0.28339396279712775</v>
      </c>
      <c r="AH30">
        <f>$AV$2</f>
        <v>0.08</v>
      </c>
      <c r="AI30">
        <f>(AF30 * ((1 - O30) + (0.04 * AF30))) * ( 1 - AH30 )</f>
        <v>0.49678697379296494</v>
      </c>
      <c r="AJ30">
        <f>$AV$1</f>
        <v>0.19</v>
      </c>
      <c r="AK30">
        <f>$AW$20</f>
        <v>0.6784</v>
      </c>
      <c r="AL30">
        <f>AI30 * AJ30 * R30 * T30 * AK30</f>
        <v>0</v>
      </c>
      <c r="AM30">
        <f>AI30*AJ30*S30*U30*AK30</f>
        <v>0.0003009591127378846</v>
      </c>
      <c r="AN30">
        <f>AL30+AM30</f>
        <v>0.0003009591127378846</v>
      </c>
      <c r="AO30">
        <f>H30*AN30*L30</f>
        <v>1.785063737426578</v>
      </c>
      <c r="AU30" t="str">
        <v>TAS</v>
      </c>
      <c r="AV30">
        <v>99.5</v>
      </c>
      <c r="AW30">
        <v>0.5</v>
      </c>
    </row>
    <row r="31">
      <c r="E31" t="str">
        <v>Wethers</v>
      </c>
      <c r="F31" t="str">
        <v>Spring</v>
      </c>
      <c r="H31">
        <v>50</v>
      </c>
      <c r="I31">
        <v>0</v>
      </c>
      <c r="J31">
        <v>0</v>
      </c>
      <c r="L31">
        <f>$AV$3</f>
        <v>91.25</v>
      </c>
      <c r="M31">
        <v>0.2</v>
      </c>
      <c r="O31">
        <v>0.75</v>
      </c>
      <c r="Q31">
        <v>62</v>
      </c>
      <c r="R31">
        <f>1-S31</f>
        <v>0</v>
      </c>
      <c r="S31">
        <f>IF($D$11="yes", 1, VLOOKUP($B$11, $AU$26:$AW$32, 1))</f>
        <v>1</v>
      </c>
      <c r="T31">
        <f>VLOOKUP($B$11,$AW$10:$AX$16, 2, FALSE)</f>
        <v>0.72</v>
      </c>
      <c r="U31">
        <f>$AV$10</f>
        <v>0.0047</v>
      </c>
      <c r="V31">
        <f>(I31/100)*(MIN(J31,100)/100)</f>
        <v>0</v>
      </c>
      <c r="W31">
        <v>0</v>
      </c>
      <c r="X31">
        <f>1.6 * W31</f>
        <v>0</v>
      </c>
      <c r="Y31">
        <f>$AY$1</f>
        <v>1.3</v>
      </c>
      <c r="Z31">
        <f>V31*Y31+(1-V31)</f>
        <v>1</v>
      </c>
      <c r="AA31">
        <f>(0.795*O31)-0.0014</f>
        <v>0.5948500000000001</v>
      </c>
      <c r="AC31">
        <v>2.9</v>
      </c>
      <c r="AD31">
        <f>1 - EXP(-2*(AC31^2))</f>
        <v>0.9999999504359468</v>
      </c>
      <c r="AE31">
        <f>(104.7*AA31+0.307*Q31-15)*(Q31^0.75)*10^-3</f>
        <v>1.465224589945933</v>
      </c>
      <c r="AF31">
        <f>AE31*AD31*Z31</f>
        <v>1.4652245173234635</v>
      </c>
      <c r="AG31">
        <f>(AF31 * M31) + (0.045 * X31)</f>
        <v>0.2930449034646927</v>
      </c>
      <c r="AH31">
        <f>$AV$2</f>
        <v>0.08</v>
      </c>
      <c r="AI31">
        <f>(AF31 * ((1 - O31) + (0.04 * AF31))) * ( 1 - AH31 )</f>
        <v>0.41600692919529714</v>
      </c>
      <c r="AJ31">
        <f>$AV$1</f>
        <v>0.19</v>
      </c>
      <c r="AK31">
        <f>$AW$20</f>
        <v>0.6784</v>
      </c>
      <c r="AL31">
        <f>AI31 * AJ31 * R31 * T31 * AK31</f>
        <v>0</v>
      </c>
      <c r="AM31">
        <f>AI31*AJ31*S31*U31*AK31</f>
        <v>0.000252021656984118</v>
      </c>
      <c r="AN31">
        <f>AL31+AM31</f>
        <v>0.000252021656984118</v>
      </c>
      <c r="AO31">
        <f>H31*AN31*L31</f>
        <v>1.1498488099900384</v>
      </c>
      <c r="AU31" t="str">
        <v>VIC</v>
      </c>
      <c r="AV31">
        <v>99.17</v>
      </c>
      <c r="AW31">
        <v>0.83</v>
      </c>
    </row>
    <row r="32">
      <c r="F32" t="str">
        <v>Summer</v>
      </c>
      <c r="H32">
        <v>100</v>
      </c>
      <c r="I32">
        <v>0</v>
      </c>
      <c r="J32">
        <v>0</v>
      </c>
      <c r="L32">
        <f>$AV$3</f>
        <v>91.25</v>
      </c>
      <c r="M32">
        <v>0.1</v>
      </c>
      <c r="O32">
        <v>0.61</v>
      </c>
      <c r="Q32">
        <v>55</v>
      </c>
      <c r="R32">
        <f>1-S32</f>
        <v>0</v>
      </c>
      <c r="S32">
        <f>IF($D$11="yes", 1, VLOOKUP($B$11, $AU$26:$AW$32, 1))</f>
        <v>1</v>
      </c>
      <c r="T32">
        <f>VLOOKUP($B$11,$AW$10:$AX$16, 2, FALSE)</f>
        <v>0.72</v>
      </c>
      <c r="U32">
        <f>$AV$10</f>
        <v>0.0047</v>
      </c>
      <c r="V32">
        <f>(I32/100)*(MIN(J32,100)/100)</f>
        <v>0</v>
      </c>
      <c r="W32">
        <v>0</v>
      </c>
      <c r="X32">
        <f>1.6 * W32</f>
        <v>0</v>
      </c>
      <c r="Y32">
        <f>$AY$1</f>
        <v>1.3</v>
      </c>
      <c r="Z32">
        <f>V32*Y32+(1-V32)</f>
        <v>1</v>
      </c>
      <c r="AA32">
        <f>(0.795*O32)-0.0014</f>
        <v>0.48355</v>
      </c>
      <c r="AC32">
        <v>2.5</v>
      </c>
      <c r="AD32">
        <f>1 - EXP(-2*(AC32^2))</f>
        <v>0.999996273346828</v>
      </c>
      <c r="AE32">
        <f>(104.7*AA32+0.307*Q32-15)*(Q32^0.75)*10^-3</f>
        <v>1.0605624381175847</v>
      </c>
      <c r="AF32">
        <f>AE32*AD32*Z32</f>
        <v>1.0605584857692105</v>
      </c>
      <c r="AG32">
        <f>(AF32 * M32) + (0.045 * X32)</f>
        <v>0.10605584857692106</v>
      </c>
      <c r="AH32">
        <f>$AV$2</f>
        <v>0.08</v>
      </c>
      <c r="AI32">
        <f>(AF32 * ((1 - O32) + (0.04 * AF32))) * ( 1 - AH32 )</f>
        <v>0.42192044699791736</v>
      </c>
      <c r="AJ32">
        <f>$AV$1</f>
        <v>0.19</v>
      </c>
      <c r="AK32">
        <f>$AW$20</f>
        <v>0.6784</v>
      </c>
      <c r="AL32">
        <f>AI32 * AJ32 * R32 * T32 * AK32</f>
        <v>0</v>
      </c>
      <c r="AM32">
        <f>AI32*AJ32*S32*U32*AK32</f>
        <v>0.00025560413230034477</v>
      </c>
      <c r="AN32">
        <f>AL32+AM32</f>
        <v>0.00025560413230034477</v>
      </c>
      <c r="AO32">
        <f>H32*AN32*L32</f>
        <v>2.3323877072406463</v>
      </c>
      <c r="AU32" t="str">
        <v>WA</v>
      </c>
      <c r="AV32">
        <v>99.59</v>
      </c>
      <c r="AW32">
        <v>0.41</v>
      </c>
    </row>
    <row r="33">
      <c r="F33" t="str">
        <v>Autumn</v>
      </c>
      <c r="H33">
        <v>90</v>
      </c>
      <c r="I33">
        <v>0</v>
      </c>
      <c r="J33">
        <v>0</v>
      </c>
      <c r="L33">
        <f>$AV$3</f>
        <v>91.25</v>
      </c>
      <c r="M33">
        <v>0.12</v>
      </c>
      <c r="O33">
        <v>0.64</v>
      </c>
      <c r="Q33">
        <v>55</v>
      </c>
      <c r="R33">
        <f>1-S33</f>
        <v>0</v>
      </c>
      <c r="S33">
        <f>IF($D$11="yes", 1, VLOOKUP($B$11, $AU$26:$AW$32, 1))</f>
        <v>1</v>
      </c>
      <c r="T33">
        <f>VLOOKUP($B$11,$AW$10:$AX$16, 2, FALSE)</f>
        <v>0.72</v>
      </c>
      <c r="U33">
        <f>$AV$10</f>
        <v>0.0047</v>
      </c>
      <c r="V33">
        <f>(I33/100)*(MIN(J33,100)/100)</f>
        <v>0</v>
      </c>
      <c r="W33">
        <v>0</v>
      </c>
      <c r="X33">
        <f>1.6 * W33</f>
        <v>0</v>
      </c>
      <c r="Y33">
        <f>$AY$1</f>
        <v>1.3</v>
      </c>
      <c r="Z33">
        <f>V33*Y33+(1-V33)</f>
        <v>1</v>
      </c>
      <c r="AA33">
        <f>(0.795*O33)-0.0014</f>
        <v>0.5074000000000001</v>
      </c>
      <c r="AC33">
        <v>1.6</v>
      </c>
      <c r="AD33">
        <f>1 - EXP(-2*(AC33^2))</f>
        <v>0.994023977104994</v>
      </c>
      <c r="AE33">
        <f>(104.7*AA33+0.307*Q33-15)*(Q33^0.75)*10^-3</f>
        <v>1.1109945415495692</v>
      </c>
      <c r="AF33">
        <f>AE33*AD33*Z33</f>
        <v>1.1043552127330423</v>
      </c>
      <c r="AG33">
        <f>(AF33 * M33) + (0.045 * X33)</f>
        <v>0.13252262552796507</v>
      </c>
      <c r="AH33">
        <f>$AV$2</f>
        <v>0.08</v>
      </c>
      <c r="AI33">
        <f>(AF33 * ((1 - O33) + (0.04 * AF33))) * ( 1 - AH33 )</f>
        <v>0.41064374249795926</v>
      </c>
      <c r="AJ33">
        <f>$AV$1</f>
        <v>0.19</v>
      </c>
      <c r="AK33">
        <f>$AW$20</f>
        <v>0.6784</v>
      </c>
      <c r="AL33">
        <f>AI33 * AJ33 * R33 * T33 * AK33</f>
        <v>0</v>
      </c>
      <c r="AM33">
        <f>AI33*AJ33*S33*U33*AK33</f>
        <v>0.0002487725784151797</v>
      </c>
      <c r="AN33">
        <f>AL33+AM33</f>
        <v>0.0002487725784151797</v>
      </c>
      <c r="AO33">
        <f>H33*AN33*L33</f>
        <v>2.0430448002346635</v>
      </c>
    </row>
    <row r="34">
      <c r="F34" t="str">
        <v>Winter</v>
      </c>
      <c r="H34">
        <v>80</v>
      </c>
      <c r="I34">
        <v>0</v>
      </c>
      <c r="J34">
        <v>0</v>
      </c>
      <c r="L34">
        <f>$AV$3</f>
        <v>91.25</v>
      </c>
      <c r="M34">
        <v>0.18</v>
      </c>
      <c r="O34">
        <v>0.72</v>
      </c>
      <c r="Q34">
        <v>55</v>
      </c>
      <c r="R34">
        <f>1-S34</f>
        <v>0</v>
      </c>
      <c r="S34">
        <f>IF($D$11="yes", 1, VLOOKUP($B$11, $AU$26:$AW$32, 1))</f>
        <v>1</v>
      </c>
      <c r="T34">
        <f>VLOOKUP($B$11,$AW$10:$AX$16, 2, FALSE)</f>
        <v>0.72</v>
      </c>
      <c r="U34">
        <f>$AV$10</f>
        <v>0.0047</v>
      </c>
      <c r="V34">
        <f>(I34/100)*(MIN(J34,100)/100)</f>
        <v>0</v>
      </c>
      <c r="W34">
        <v>0</v>
      </c>
      <c r="X34">
        <f>1.6 * W34</f>
        <v>0</v>
      </c>
      <c r="Y34">
        <f>$AY$1</f>
        <v>1.3</v>
      </c>
      <c r="Z34">
        <f>V34*Y34+(1-V34)</f>
        <v>1</v>
      </c>
      <c r="AA34">
        <f>(0.795*O34)-0.0014</f>
        <v>0.5710000000000001</v>
      </c>
      <c r="AC34">
        <v>1.7</v>
      </c>
      <c r="AD34">
        <f>1 - EXP(-2*(AC34^2))</f>
        <v>0.9969112845917633</v>
      </c>
      <c r="AE34">
        <f>(104.7*AA34+0.307*Q34-15)*(Q34^0.75)*10^-3</f>
        <v>1.245480150701528</v>
      </c>
      <c r="AF34">
        <f>AE34*AD34*Z34</f>
        <v>1.2416332169694033</v>
      </c>
      <c r="AG34">
        <f>(AF34 * M34) + (0.045 * X34)</f>
        <v>0.2234939790544926</v>
      </c>
      <c r="AH34">
        <f>$AV$2</f>
        <v>0.08</v>
      </c>
      <c r="AI34">
        <f>(AF34 * ((1 - O34) + (0.04 * AF34))) * ( 1 - AH34 )</f>
        <v>0.37657754876504823</v>
      </c>
      <c r="AJ34">
        <f>$AV$1</f>
        <v>0.19</v>
      </c>
      <c r="AK34">
        <f>$AW$20</f>
        <v>0.6784</v>
      </c>
      <c r="AL34">
        <f>AI34 * AJ34 * R34 * T34 * AK34</f>
        <v>0</v>
      </c>
      <c r="AM34">
        <f>AI34*AJ34*S34*U34*AK34</f>
        <v>0.0002281348967104124</v>
      </c>
      <c r="AN34">
        <f>AL34+AM34</f>
        <v>0.0002281348967104124</v>
      </c>
      <c r="AO34">
        <f>H34*AN34*L34</f>
        <v>1.6653847459860105</v>
      </c>
    </row>
    <row r="36">
      <c r="AU36" t="str">
        <v>EFN2O</v>
      </c>
    </row>
    <row r="37">
      <c r="AU37" t="str">
        <v>Irrigated pasture</v>
      </c>
      <c r="AV37">
        <v>0.0059</v>
      </c>
    </row>
    <row r="38">
      <c r="AU38" t="str">
        <v>Irrigated crop</v>
      </c>
      <c r="AV38">
        <v>0.007</v>
      </c>
    </row>
    <row r="39">
      <c r="AU39" t="str">
        <v>Non-irrigated pasture</v>
      </c>
      <c r="AV39">
        <v>0.0018</v>
      </c>
    </row>
    <row r="40">
      <c r="AU40" t="str">
        <v>Non-irrigated crop (low rainfall)</v>
      </c>
      <c r="AV40">
        <v>0.0029</v>
      </c>
    </row>
    <row r="41">
      <c r="A41" t="str">
        <v>NSW</v>
      </c>
      <c r="B41" t="str">
        <v>NSW</v>
      </c>
      <c r="C41" t="str">
        <v>ACT/NSW</v>
      </c>
      <c r="D41" t="str">
        <v>no</v>
      </c>
      <c r="E41" t="str">
        <v>Breeding ewes</v>
      </c>
      <c r="F41" t="str">
        <v>Spring</v>
      </c>
      <c r="H41">
        <v>100</v>
      </c>
      <c r="I41">
        <v>95</v>
      </c>
      <c r="J41">
        <v>90</v>
      </c>
      <c r="L41">
        <f>$AV$3</f>
        <v>91.25</v>
      </c>
      <c r="M41" cm="1">
        <f t="array" ref="M41:M64">DROP(XLOOKUP($C41,QueryCP[[#Headers],[ACT/NSW]:[WA]],QueryCP[[#All],[ACT/NSW]:[WA]]),1)</f>
        <v>0.2</v>
      </c>
      <c r="O41" cm="1">
        <f t="array" ref="O41:O64">DROP(XLOOKUP($C41,QueryDMD[[#Headers],[ACT/NSW]:[WA]],QueryDMD[[#All],[ACT/NSW]:[WA]]),1)</f>
        <v>0.75</v>
      </c>
      <c r="Q41" cm="1">
        <f t="array" ref="Q41:Q64">DROP(XLOOKUP($C41,QueryW[[#Headers],[ACT/NSW]:[WA]],QueryW[[#All],[ACT/NSW]:[WA]]),1)</f>
        <v>54</v>
      </c>
      <c r="R41">
        <f>1-S41</f>
        <v>0.0045000000000000595</v>
      </c>
      <c r="S41">
        <f>IF($D41="yes", 1, VLOOKUP($B41, $AU$26:$AW$32, 2, FALSE)/100)</f>
        <v>0.9954999999999999</v>
      </c>
      <c r="T41">
        <f>VLOOKUP($B41,$AW$10:$AX$16, 2, FALSE)</f>
        <v>0.75</v>
      </c>
      <c r="U41">
        <f>$AV$10</f>
        <v>0.0047</v>
      </c>
      <c r="V41">
        <f>(I41/100)*(MIN(J41,100)/100)</f>
        <v>0.855</v>
      </c>
      <c r="W41">
        <v>0</v>
      </c>
      <c r="X41">
        <f>1.6 * W41</f>
        <v>0</v>
      </c>
      <c r="Y41">
        <f>$AY$1</f>
        <v>1.3</v>
      </c>
      <c r="Z41">
        <f>V41*Y41+(1-V41)</f>
        <v>1.2565</v>
      </c>
      <c r="AA41">
        <f>(0.795*O41)-0.0014</f>
        <v>0.5948500000000001</v>
      </c>
      <c r="AC41" cm="1">
        <f t="array" ref="AC41:AC64">DROP(XLOOKUP($C41,QueryDMA[[#Headers],[ACT/NSW]:[WA]],QueryDMA[[#All],[ACT/NSW]:[WA]]),1)</f>
        <v>2.9</v>
      </c>
      <c r="AD41">
        <f>1 - EXP(-2*(AC41^2))</f>
        <v>0.9999999504359468</v>
      </c>
      <c r="AE41">
        <f>(104.7*AA41+0.307*Q41-15)*(Q41^0.75)*10^-3</f>
        <v>1.2720847291262878</v>
      </c>
      <c r="AF41">
        <f>AE41*AD41*Z41</f>
        <v>1.5983743829252637</v>
      </c>
      <c r="AG41">
        <f>(AF41 * M41) + (0.045 * X41)</f>
        <v>0.3196748765850528</v>
      </c>
      <c r="AH41">
        <f>$AV$2</f>
        <v>0.08</v>
      </c>
      <c r="AI41">
        <f>(AF41 * ((1 - O41) + (0.04 * AF41))) * ( 1 - AH41 )</f>
        <v>0.46164277265490583</v>
      </c>
      <c r="AJ41">
        <f>$AV$1</f>
        <v>0.19</v>
      </c>
      <c r="AK41">
        <f>$AW$20</f>
        <v>0.6784</v>
      </c>
      <c r="AL41">
        <f>AI41 * AJ41 * R41 * T41 * AK41</f>
        <v>0.00020082568553143039</v>
      </c>
      <c r="AM41">
        <f>AI41*AJ41*S41*U41*AK41</f>
        <v>0.0002784098544440654</v>
      </c>
      <c r="AN41">
        <f>AL41+AM41</f>
        <v>0.0004792355399754958</v>
      </c>
      <c r="AO41">
        <f>H41*AN41*L41</f>
        <v>4.373024302276399</v>
      </c>
      <c r="AP41">
        <f>SUM(AO41:AO64)*10^-3</f>
        <v>0.0923742270558338</v>
      </c>
      <c r="AU41" t="str">
        <v>Non-irrigated crop (high rainfall)</v>
      </c>
      <c r="AV41">
        <v>0.008</v>
      </c>
    </row>
    <row r="42">
      <c r="F42" t="str">
        <v>Summer</v>
      </c>
      <c r="H42">
        <v>70</v>
      </c>
      <c r="I42">
        <v>0</v>
      </c>
      <c r="J42">
        <v>0</v>
      </c>
      <c r="L42">
        <f>$AV$3</f>
        <v>91.25</v>
      </c>
      <c r="M42">
        <v>0.1</v>
      </c>
      <c r="O42">
        <v>0.61</v>
      </c>
      <c r="Q42">
        <v>49</v>
      </c>
      <c r="R42">
        <f>1-S42</f>
        <v>0.0045000000000000595</v>
      </c>
      <c r="S42">
        <f>S41</f>
        <v>0.9954999999999999</v>
      </c>
      <c r="T42">
        <f>T41</f>
        <v>0.75</v>
      </c>
      <c r="U42">
        <f>$AV$10</f>
        <v>0.0047</v>
      </c>
      <c r="V42">
        <f>(I42/100)*(MIN(J42,100)/100)</f>
        <v>0</v>
      </c>
      <c r="W42">
        <v>0</v>
      </c>
      <c r="X42">
        <f>1.6 * W42</f>
        <v>0</v>
      </c>
      <c r="Y42">
        <f>$AY$1</f>
        <v>1.3</v>
      </c>
      <c r="Z42">
        <f>V42*Y42+(1-V42)</f>
        <v>1</v>
      </c>
      <c r="AA42">
        <f>(0.795*O42)-0.0014</f>
        <v>0.48355</v>
      </c>
      <c r="AC42">
        <v>2.5</v>
      </c>
      <c r="AD42">
        <f>1 - EXP(-2*(AC42^2))</f>
        <v>0.999996273346828</v>
      </c>
      <c r="AE42">
        <f>(104.7*AA42+0.307*Q42-15)*(Q42^0.75)*10^-3</f>
        <v>0.9384342188990358</v>
      </c>
      <c r="AF42">
        <f>AE42*AD42*Z42</f>
        <v>0.9384307216801772</v>
      </c>
      <c r="AG42">
        <f>(AF42 * M42) + (0.045 * X42)</f>
        <v>0.09384307216801772</v>
      </c>
      <c r="AH42">
        <f>$AV$2</f>
        <v>0.08</v>
      </c>
      <c r="AI42">
        <f>(AF42 * ((1 - O42) + (0.04 * AF42))) * ( 1 - AH42 )</f>
        <v>0.3691169446125166</v>
      </c>
      <c r="AJ42">
        <f>$AV$1</f>
        <v>0.19</v>
      </c>
      <c r="AK42">
        <f>$AW$20</f>
        <v>0.6784</v>
      </c>
      <c r="AL42">
        <f>AI42 * AJ42 * R42 * T42 * AK42</f>
        <v>0.00016057472971311754</v>
      </c>
      <c r="AM42">
        <f>AI42*AJ42*S42*U42*AK42</f>
        <v>0.00022260891084984003</v>
      </c>
      <c r="AN42">
        <f>AL42+AM42</f>
        <v>0.00038318364056295754</v>
      </c>
      <c r="AO42">
        <f>H42*AN42*L42</f>
        <v>2.4475855040958914</v>
      </c>
      <c r="AU42" t="str">
        <v>Sugar</v>
      </c>
      <c r="AV42">
        <v>0.0199</v>
      </c>
    </row>
    <row r="43">
      <c r="F43" t="str">
        <v>Autumn</v>
      </c>
      <c r="H43">
        <v>65</v>
      </c>
      <c r="I43">
        <v>0</v>
      </c>
      <c r="J43">
        <v>0</v>
      </c>
      <c r="L43">
        <f>$AV$3</f>
        <v>91.25</v>
      </c>
      <c r="M43">
        <v>0.12</v>
      </c>
      <c r="O43">
        <v>0.64</v>
      </c>
      <c r="Q43">
        <v>50</v>
      </c>
      <c r="R43">
        <f>1-S43</f>
        <v>0.0045000000000000595</v>
      </c>
      <c r="S43">
        <f>S41</f>
        <v>0.9954999999999999</v>
      </c>
      <c r="T43">
        <f>T41</f>
        <v>0.75</v>
      </c>
      <c r="U43">
        <f>$AV$10</f>
        <v>0.0047</v>
      </c>
      <c r="V43">
        <f>(I43/100)*(MIN(J43,100)/100)</f>
        <v>0</v>
      </c>
      <c r="W43">
        <v>0</v>
      </c>
      <c r="X43">
        <f>1.6 * W43</f>
        <v>0</v>
      </c>
      <c r="Y43">
        <f>$AY$1</f>
        <v>1.3</v>
      </c>
      <c r="Z43">
        <f>V43*Y43+(1-V43)</f>
        <v>1</v>
      </c>
      <c r="AA43">
        <f>(0.795*O43)-0.0014</f>
        <v>0.5074000000000001</v>
      </c>
      <c r="AC43">
        <v>1.6</v>
      </c>
      <c r="AD43">
        <f>1 - EXP(-2*(AC43^2))</f>
        <v>0.994023977104994</v>
      </c>
      <c r="AE43">
        <f>(104.7*AA43+0.307*Q43-15)*(Q43^0.75)*10^-3</f>
        <v>1.0054871153505722</v>
      </c>
      <c r="AF43">
        <f>AE43*AD43*Z43</f>
        <v>0.9994783013286037</v>
      </c>
      <c r="AG43">
        <f>(AF43 * M43) + (0.045 * X43)</f>
        <v>0.11993739615943244</v>
      </c>
      <c r="AH43">
        <f>$AV$2</f>
        <v>0.08</v>
      </c>
      <c r="AI43">
        <f>(AF43 * ((1 - O43) + (0.04 * AF43))) * ( 1 - AH43 )</f>
        <v>0.3677888263936565</v>
      </c>
      <c r="AJ43">
        <f>$AV$1</f>
        <v>0.19</v>
      </c>
      <c r="AK43">
        <f>$AW$20</f>
        <v>0.6784</v>
      </c>
      <c r="AL43">
        <f>AI43 * AJ43 * R43 * T43 * AK43</f>
        <v>0.00015999696641307614</v>
      </c>
      <c r="AM43">
        <f>AI43*AJ43*S43*U43*AK43</f>
        <v>0.00022180794260794414</v>
      </c>
      <c r="AN43">
        <f>AL43+AM43</f>
        <v>0.00038180490902102026</v>
      </c>
      <c r="AO43">
        <f>H43*AN43*L43</f>
        <v>2.2645803666309265</v>
      </c>
      <c r="AU43" t="str">
        <v>Cotton</v>
      </c>
      <c r="AV43">
        <v>0.0053</v>
      </c>
    </row>
    <row r="44">
      <c r="F44" t="str">
        <v>Winter</v>
      </c>
      <c r="H44">
        <v>80</v>
      </c>
      <c r="I44">
        <v>0</v>
      </c>
      <c r="J44">
        <v>0</v>
      </c>
      <c r="L44">
        <f>$AV$3</f>
        <v>91.25</v>
      </c>
      <c r="M44">
        <v>0.18</v>
      </c>
      <c r="O44">
        <v>0.72</v>
      </c>
      <c r="Q44">
        <v>50</v>
      </c>
      <c r="R44">
        <f>1-S44</f>
        <v>0.0045000000000000595</v>
      </c>
      <c r="S44">
        <f>S41</f>
        <v>0.9954999999999999</v>
      </c>
      <c r="T44">
        <f>T41</f>
        <v>0.75</v>
      </c>
      <c r="U44">
        <f>$AV$10</f>
        <v>0.0047</v>
      </c>
      <c r="V44">
        <f>(I44/100)*(MIN(J44,100)/100)</f>
        <v>0</v>
      </c>
      <c r="W44">
        <v>0</v>
      </c>
      <c r="X44">
        <f>1.6 * W44</f>
        <v>0</v>
      </c>
      <c r="Y44">
        <f>$AY$1</f>
        <v>1.3</v>
      </c>
      <c r="Z44">
        <f>V44*Y44+(1-V44)</f>
        <v>1</v>
      </c>
      <c r="AA44">
        <f>(0.795*O44)-0.0014</f>
        <v>0.5710000000000001</v>
      </c>
      <c r="AC44">
        <v>1.7</v>
      </c>
      <c r="AD44">
        <f>1 - EXP(-2*(AC44^2))</f>
        <v>0.9969112845917633</v>
      </c>
      <c r="AE44">
        <f>(104.7*AA44+0.307*Q44-15)*(Q44^0.75)*10^-3</f>
        <v>1.1306948910936463</v>
      </c>
      <c r="AF44">
        <f>AE44*AD44*Z44</f>
        <v>1.1272024963615108</v>
      </c>
      <c r="AG44">
        <f>(AF44 * M44) + (0.045 * X44)</f>
        <v>0.20289644934507195</v>
      </c>
      <c r="AH44">
        <f>$AV$2</f>
        <v>0.08</v>
      </c>
      <c r="AI44">
        <f>(AF44 * ((1 - O44) + (0.04 * AF44))) * ( 1 - AH44 )</f>
        <v>0.3371249082778985</v>
      </c>
      <c r="AJ44">
        <f>$AV$1</f>
        <v>0.19</v>
      </c>
      <c r="AK44">
        <f>$AW$20</f>
        <v>0.6784</v>
      </c>
      <c r="AL44">
        <f>AI44 * AJ44 * R44 * T44 * AK44</f>
        <v>0.00014665742609868643</v>
      </c>
      <c r="AM44">
        <f>AI44*AJ44*S44*U44*AK44</f>
        <v>0.00020331499203017186</v>
      </c>
      <c r="AN44">
        <f>AL44+AM44</f>
        <v>0.0003499724181288583</v>
      </c>
      <c r="AO44">
        <f>H44*AN44*L44</f>
        <v>2.554798652340666</v>
      </c>
      <c r="AU44" t="str">
        <v>Horticultural crops</v>
      </c>
      <c r="AV44">
        <v>0.0064</v>
      </c>
    </row>
    <row r="45">
      <c r="E45" t="str">
        <v>Lambs and hoggets</v>
      </c>
      <c r="F45" t="str">
        <v>Spring</v>
      </c>
      <c r="H45">
        <v>200</v>
      </c>
      <c r="I45">
        <v>0</v>
      </c>
      <c r="J45">
        <v>0</v>
      </c>
      <c r="L45">
        <f>$AV$3</f>
        <v>91.25</v>
      </c>
      <c r="M45">
        <v>0.2</v>
      </c>
      <c r="O45">
        <v>0.75</v>
      </c>
      <c r="Q45">
        <v>20</v>
      </c>
      <c r="R45">
        <f>1-S45</f>
        <v>0.0045000000000000595</v>
      </c>
      <c r="S45">
        <f>S41</f>
        <v>0.9954999999999999</v>
      </c>
      <c r="T45">
        <f>T41</f>
        <v>0.75</v>
      </c>
      <c r="U45">
        <f>$AV$10</f>
        <v>0.0047</v>
      </c>
      <c r="V45">
        <f>(I45/100)*(MIN(J45,100)/100)</f>
        <v>0</v>
      </c>
      <c r="W45">
        <v>1</v>
      </c>
      <c r="X45">
        <f>1.6 * W45</f>
        <v>1.6</v>
      </c>
      <c r="Y45">
        <f>$AY$1</f>
        <v>1.3</v>
      </c>
      <c r="Z45">
        <f>V45*Y45+(1-V45)</f>
        <v>1</v>
      </c>
      <c r="AA45">
        <f>(0.795*O45)-0.0014</f>
        <v>0.5948500000000001</v>
      </c>
      <c r="AC45">
        <v>2.9</v>
      </c>
      <c r="AD45">
        <f>1 - EXP(-2*(AC45^2))</f>
        <v>0.9999999504359468</v>
      </c>
      <c r="AE45">
        <f>(104.7*AA45+0.307*Q45-15)*(Q45^0.75)*10^-3</f>
        <v>0.5052226861752882</v>
      </c>
      <c r="AF45">
        <f>AE45*AD45*Z45</f>
        <v>0.5052226611344041</v>
      </c>
      <c r="AG45">
        <f>(AF45 * M45) + (0.045 * X45)</f>
        <v>0.17304453222688082</v>
      </c>
      <c r="AH45">
        <f>$AV$2</f>
        <v>0.08</v>
      </c>
      <c r="AI45">
        <f>(AF45 * ((1 - O45) + (0.04 * AF45))) * ( 1 - AH45 )</f>
        <v>0.12559440975442615</v>
      </c>
      <c r="AJ45">
        <f>$AV$1</f>
        <v>0.19</v>
      </c>
      <c r="AK45">
        <f>$AW$20</f>
        <v>0.6784</v>
      </c>
      <c r="AL45">
        <f>AI45 * AJ45 * R45 * T45 * AK45</f>
        <v>0.00005463658250901021</v>
      </c>
      <c r="AM45">
        <f>AI45*AJ45*S45*U45*AK45</f>
        <v>0.0000757441108362308</v>
      </c>
      <c r="AN45">
        <f>AL45+AM45</f>
        <v>0.000130380693345241</v>
      </c>
      <c r="AO45">
        <f>H45*AN45*L45</f>
        <v>2.379447653550648</v>
      </c>
      <c r="AU45" t="str">
        <v xml:space="preserve">Aquaculture </v>
      </c>
      <c r="AV45">
        <v>0.0026</v>
      </c>
    </row>
    <row r="46">
      <c r="F46" t="str">
        <v>Summer</v>
      </c>
      <c r="H46">
        <v>210</v>
      </c>
      <c r="I46">
        <v>0</v>
      </c>
      <c r="J46">
        <v>0</v>
      </c>
      <c r="L46">
        <f>$AV$3</f>
        <v>91.25</v>
      </c>
      <c r="M46">
        <v>0.1</v>
      </c>
      <c r="O46">
        <v>0.61</v>
      </c>
      <c r="Q46">
        <v>27</v>
      </c>
      <c r="R46">
        <f>1-S46</f>
        <v>0.0045000000000000595</v>
      </c>
      <c r="S46">
        <f>S41</f>
        <v>0.9954999999999999</v>
      </c>
      <c r="T46">
        <f>T41</f>
        <v>0.75</v>
      </c>
      <c r="U46">
        <f>$AV$10</f>
        <v>0.0047</v>
      </c>
      <c r="V46">
        <f>(I46/100)*(MIN(J46,100)/100)</f>
        <v>0</v>
      </c>
      <c r="W46">
        <v>0</v>
      </c>
      <c r="X46">
        <f>1.6 * W46</f>
        <v>0</v>
      </c>
      <c r="Y46">
        <f>$AY$1</f>
        <v>1.3</v>
      </c>
      <c r="Z46">
        <f>V46*Y46+(1-V46)</f>
        <v>1</v>
      </c>
      <c r="AA46">
        <f>(0.795*O46)-0.0014</f>
        <v>0.48355</v>
      </c>
      <c r="AC46">
        <v>2.5</v>
      </c>
      <c r="AD46">
        <f>1 - EXP(-2*(AC46^2))</f>
        <v>0.999996273346828</v>
      </c>
      <c r="AE46">
        <f>(104.7*AA46+0.307*Q46-15)*(Q46^0.75)*10^-3</f>
        <v>0.5201784707716849</v>
      </c>
      <c r="AF46">
        <f>AE46*AD46*Z46</f>
        <v>0.5201765322469367</v>
      </c>
      <c r="AG46">
        <f>(AF46 * M46) + (0.045 * X46)</f>
        <v>0.05201765322469368</v>
      </c>
      <c r="AH46">
        <f>$AV$2</f>
        <v>0.08</v>
      </c>
      <c r="AI46">
        <f>(AF46 * ((1 - O46) + (0.04 * AF46))) * ( 1 - AH46 )</f>
        <v>0.1965968171591774</v>
      </c>
      <c r="AJ46">
        <f>$AV$1</f>
        <v>0.19</v>
      </c>
      <c r="AK46">
        <f>$AW$20</f>
        <v>0.6784</v>
      </c>
      <c r="AL46">
        <f>AI46 * AJ46 * R46 * T46 * AK46</f>
        <v>0.00008552433378785512</v>
      </c>
      <c r="AM46">
        <f>AI46*AJ46*S46*U46*AK46</f>
        <v>0.00011856460122764464</v>
      </c>
      <c r="AN46">
        <f>AL46+AM46</f>
        <v>0.00020408893501549976</v>
      </c>
      <c r="AO46">
        <f>H46*AN46*L46</f>
        <v>3.9108542172345144</v>
      </c>
      <c r="AU46" t="str">
        <v>Rice (continuous flooding)</v>
      </c>
      <c r="AV46">
        <v>0.003</v>
      </c>
    </row>
    <row r="47">
      <c r="F47" t="str">
        <v>Autumn</v>
      </c>
      <c r="H47">
        <v>170</v>
      </c>
      <c r="I47">
        <v>0</v>
      </c>
      <c r="J47">
        <v>0</v>
      </c>
      <c r="L47">
        <f>$AV$3</f>
        <v>91.25</v>
      </c>
      <c r="M47">
        <v>0.12</v>
      </c>
      <c r="O47">
        <v>0.64</v>
      </c>
      <c r="Q47">
        <v>32</v>
      </c>
      <c r="R47">
        <f>1-S47</f>
        <v>0.0045000000000000595</v>
      </c>
      <c r="S47">
        <f>S41</f>
        <v>0.9954999999999999</v>
      </c>
      <c r="T47">
        <f>T41</f>
        <v>0.75</v>
      </c>
      <c r="U47">
        <f>$AV$10</f>
        <v>0.0047</v>
      </c>
      <c r="V47">
        <f>(I47/100)*(MIN(J47,100)/100)</f>
        <v>0</v>
      </c>
      <c r="W47">
        <v>0</v>
      </c>
      <c r="X47">
        <f>1.6 * W47</f>
        <v>0</v>
      </c>
      <c r="Y47">
        <f>$AY$1</f>
        <v>1.3</v>
      </c>
      <c r="Z47">
        <f>V47*Y47+(1-V47)</f>
        <v>1</v>
      </c>
      <c r="AA47">
        <f>(0.795*O47)-0.0014</f>
        <v>0.5074000000000001</v>
      </c>
      <c r="AC47">
        <v>1.6</v>
      </c>
      <c r="AD47">
        <f>1 - EXP(-2*(AC47^2))</f>
        <v>0.994023977104994</v>
      </c>
      <c r="AE47">
        <f>(104.7*AA47+0.307*Q47-15)*(Q47^0.75)*10^-3</f>
        <v>0.6451193154846241</v>
      </c>
      <c r="AF47">
        <f>AE47*AD47*Z47</f>
        <v>0.6412640676852774</v>
      </c>
      <c r="AG47">
        <f>(AF47 * M47) + (0.045 * X47)</f>
        <v>0.07695168812223328</v>
      </c>
      <c r="AH47">
        <f>$AV$2</f>
        <v>0.08</v>
      </c>
      <c r="AI47">
        <f>(AF47 * ((1 - O47) + (0.04 * AF47))) * ( 1 - AH47 )</f>
        <v>0.22751954066312097</v>
      </c>
      <c r="AJ47">
        <f>$AV$1</f>
        <v>0.19</v>
      </c>
      <c r="AK47">
        <f>$AW$20</f>
        <v>0.6784</v>
      </c>
      <c r="AL47">
        <f>AI47 * AJ47 * R47 * T47 * AK47</f>
        <v>0.00009897646065743485</v>
      </c>
      <c r="AM47">
        <f>AI47*AJ47*S47*U47*AK47</f>
        <v>0.00013721363346578752</v>
      </c>
      <c r="AN47">
        <f>AL47+AM47</f>
        <v>0.00023619009412322237</v>
      </c>
      <c r="AO47">
        <f>H47*AN47*L47</f>
        <v>3.663898835086487</v>
      </c>
      <c r="AU47" t="str">
        <v>Rice (single and multiple drainage, or alternate wetting and drying)</v>
      </c>
      <c r="AV47">
        <v>0.005</v>
      </c>
    </row>
    <row r="48">
      <c r="F48" t="str">
        <v>Winter</v>
      </c>
      <c r="H48">
        <v>200</v>
      </c>
      <c r="I48">
        <v>0</v>
      </c>
      <c r="J48">
        <v>0</v>
      </c>
      <c r="L48">
        <f>$AV$3</f>
        <v>91.25</v>
      </c>
      <c r="M48">
        <v>0.18</v>
      </c>
      <c r="O48">
        <v>0.72</v>
      </c>
      <c r="Q48">
        <v>34</v>
      </c>
      <c r="R48">
        <f>1-S48</f>
        <v>0.0045000000000000595</v>
      </c>
      <c r="S48">
        <f>S41</f>
        <v>0.9954999999999999</v>
      </c>
      <c r="T48">
        <f>T41</f>
        <v>0.75</v>
      </c>
      <c r="U48">
        <f>$AV$10</f>
        <v>0.0047</v>
      </c>
      <c r="V48">
        <f>(I48/100)*(MIN(J48,100)/100)</f>
        <v>0</v>
      </c>
      <c r="W48">
        <v>0</v>
      </c>
      <c r="X48">
        <f>1.6 * W48</f>
        <v>0</v>
      </c>
      <c r="Y48">
        <f>$AY$1</f>
        <v>1.3</v>
      </c>
      <c r="Z48">
        <f>V48*Y48+(1-V48)</f>
        <v>1</v>
      </c>
      <c r="AA48">
        <f>(0.795*O48)-0.0014</f>
        <v>0.5710000000000001</v>
      </c>
      <c r="AC48">
        <v>1.7</v>
      </c>
      <c r="AD48">
        <f>1 - EXP(-2*(AC48^2))</f>
        <v>0.9969112845917633</v>
      </c>
      <c r="AE48">
        <f>(104.7*AA48+0.307*Q48-15)*(Q48^0.75)*10^-3</f>
        <v>0.7775332321362358</v>
      </c>
      <c r="AF48">
        <f>AE48*AD48*Z48</f>
        <v>0.7751316532617205</v>
      </c>
      <c r="AG48">
        <f>(AF48 * M48) + (0.045 * X48)</f>
        <v>0.1395236975871097</v>
      </c>
      <c r="AH48">
        <f>$AV$2</f>
        <v>0.08</v>
      </c>
      <c r="AI48">
        <f>(AF48 * ((1 - O48) + (0.04 * AF48))) * ( 1 - AH48 )</f>
        <v>0.22178442402010679</v>
      </c>
      <c r="AJ48">
        <f>$AV$1</f>
        <v>0.19</v>
      </c>
      <c r="AK48">
        <f>$AW$20</f>
        <v>0.6784</v>
      </c>
      <c r="AL48">
        <f>AI48 * AJ48 * R48 * T48 * AK48</f>
        <v>0.00009648154727492423</v>
      </c>
      <c r="AM48">
        <f>AI48*AJ48*S48*U48*AK48</f>
        <v>0.00013375487036067354</v>
      </c>
      <c r="AN48">
        <f>AL48+AM48</f>
        <v>0.00023023641763559777</v>
      </c>
      <c r="AO48">
        <f>H48*AN48*L48</f>
        <v>4.2018146218496595</v>
      </c>
      <c r="AU48" t="str">
        <v>Aquaculture</v>
      </c>
      <c r="AV48">
        <v>0.0026</v>
      </c>
    </row>
    <row r="49">
      <c r="E49" t="str">
        <v>Maiden ewes</v>
      </c>
      <c r="F49" t="str">
        <v>Spring</v>
      </c>
      <c r="H49">
        <v>100</v>
      </c>
      <c r="I49">
        <v>95</v>
      </c>
      <c r="J49">
        <v>92</v>
      </c>
      <c r="L49">
        <f>$AV$3</f>
        <v>91.25</v>
      </c>
      <c r="M49">
        <v>0.2</v>
      </c>
      <c r="O49">
        <v>0.75</v>
      </c>
      <c r="Q49">
        <v>44</v>
      </c>
      <c r="R49">
        <f>1-S49</f>
        <v>0.0045000000000000595</v>
      </c>
      <c r="S49">
        <f>S41</f>
        <v>0.9954999999999999</v>
      </c>
      <c r="T49">
        <f>T41</f>
        <v>0.75</v>
      </c>
      <c r="U49">
        <f>$AV$10</f>
        <v>0.0047</v>
      </c>
      <c r="V49">
        <f>(I49/100)*(MIN(J49,100)/100)</f>
        <v>0.874</v>
      </c>
      <c r="W49">
        <v>0</v>
      </c>
      <c r="X49">
        <f>1.6 * W49</f>
        <v>0</v>
      </c>
      <c r="Y49">
        <f>$AY$1</f>
        <v>1.3</v>
      </c>
      <c r="Z49">
        <f>V49*Y49+(1-V49)</f>
        <v>1.2622</v>
      </c>
      <c r="AA49">
        <f>(0.795*O49)-0.0014</f>
        <v>0.5948500000000001</v>
      </c>
      <c r="AC49">
        <v>2.9</v>
      </c>
      <c r="AD49">
        <f>1 - EXP(-2*(AC49^2))</f>
        <v>0.9999999504359468</v>
      </c>
      <c r="AE49">
        <f>(104.7*AA49+0.307*Q49-15)*(Q49^0.75)*10^-3</f>
        <v>1.0385156413271623</v>
      </c>
      <c r="AF49">
        <f>AE49*AD49*Z49</f>
        <v>1.3108143775138676</v>
      </c>
      <c r="AG49">
        <f>(AF49 * M49) + (0.045 * X49)</f>
        <v>0.26216287550277356</v>
      </c>
      <c r="AH49">
        <f>$AV$2</f>
        <v>0.08</v>
      </c>
      <c r="AI49">
        <f>(AF49 * ((1 - O49) + (0.04 * AF49))) * ( 1 - AH49 )</f>
        <v>0.3647183302567217</v>
      </c>
      <c r="AJ49">
        <f>$AV$1</f>
        <v>0.19</v>
      </c>
      <c r="AK49">
        <f>$AW$20</f>
        <v>0.6784</v>
      </c>
      <c r="AL49">
        <f>AI49 * AJ49 * R49 * T49 * AK49</f>
        <v>0.00015866122690160218</v>
      </c>
      <c r="AM49">
        <f>AI49*AJ49*S49*U49*AK49</f>
        <v>0.00021995617229290414</v>
      </c>
      <c r="AN49">
        <f>AL49+AM49</f>
        <v>0.0003786173991945063</v>
      </c>
      <c r="AO49">
        <f>H49*AN49*L49</f>
        <v>3.45488376764987</v>
      </c>
      <c r="AU49" t="str">
        <v>Forestry</v>
      </c>
      <c r="AV49">
        <v>0.0018</v>
      </c>
    </row>
    <row r="50">
      <c r="F50" t="str">
        <v>Summer</v>
      </c>
      <c r="H50">
        <v>140</v>
      </c>
      <c r="I50">
        <v>0</v>
      </c>
      <c r="J50">
        <v>0</v>
      </c>
      <c r="L50">
        <f>$AV$3</f>
        <v>91.25</v>
      </c>
      <c r="M50">
        <v>0.1</v>
      </c>
      <c r="O50">
        <v>0.61</v>
      </c>
      <c r="Q50">
        <v>42</v>
      </c>
      <c r="R50">
        <f>1-S50</f>
        <v>0.0045000000000000595</v>
      </c>
      <c r="S50">
        <f>S41</f>
        <v>0.9954999999999999</v>
      </c>
      <c r="T50">
        <f>T41</f>
        <v>0.75</v>
      </c>
      <c r="U50">
        <f>$AV$10</f>
        <v>0.0047</v>
      </c>
      <c r="V50">
        <f>(I50/100)*(MIN(J50,100)/100)</f>
        <v>0</v>
      </c>
      <c r="W50">
        <v>0</v>
      </c>
      <c r="X50">
        <f>1.6 * W50</f>
        <v>0</v>
      </c>
      <c r="Y50">
        <f>$AY$1</f>
        <v>1.3</v>
      </c>
      <c r="Z50">
        <f>V50*Y50+(1-V50)</f>
        <v>1</v>
      </c>
      <c r="AA50">
        <f>(0.795*O50)-0.0014</f>
        <v>0.48355</v>
      </c>
      <c r="AC50">
        <v>2.5</v>
      </c>
      <c r="AD50">
        <f>1 - EXP(-2*(AC50^2))</f>
        <v>0.999996273346828</v>
      </c>
      <c r="AE50">
        <f>(104.7*AA50+0.307*Q50-15)*(Q50^0.75)*10^-3</f>
        <v>0.8005212076839457</v>
      </c>
      <c r="AF50">
        <f>AE50*AD50*Z50</f>
        <v>0.8005182244190479</v>
      </c>
      <c r="AG50">
        <f>(AF50 * M50) + (0.045 * X50)</f>
        <v>0.08005182244190479</v>
      </c>
      <c r="AH50">
        <f>$AV$2</f>
        <v>0.08</v>
      </c>
      <c r="AI50">
        <f>(AF50 * ((1 - O50) + (0.04 * AF50))) * ( 1 - AH50 )</f>
        <v>0.3108084618582289</v>
      </c>
      <c r="AJ50">
        <f>$AV$1</f>
        <v>0.19</v>
      </c>
      <c r="AK50">
        <f>$AW$20</f>
        <v>0.6784</v>
      </c>
      <c r="AL50">
        <f>AI50 * AJ50 * R50 * T50 * AK50</f>
        <v>0.00013520914031141595</v>
      </c>
      <c r="AM50">
        <f>AI50*AJ50*S50*U50*AK50</f>
        <v>0.0001874439366358697</v>
      </c>
      <c r="AN50">
        <f>AL50+AM50</f>
        <v>0.0003226530769472857</v>
      </c>
      <c r="AO50">
        <f>H50*AN50*L50</f>
        <v>4.121893058001574</v>
      </c>
    </row>
    <row r="51">
      <c r="F51" t="str">
        <v>Autumn</v>
      </c>
      <c r="H51">
        <v>135</v>
      </c>
      <c r="I51">
        <v>0</v>
      </c>
      <c r="J51">
        <v>0</v>
      </c>
      <c r="L51">
        <f>$AV$3</f>
        <v>91.25</v>
      </c>
      <c r="M51">
        <v>0.12</v>
      </c>
      <c r="O51">
        <v>0.64</v>
      </c>
      <c r="Q51">
        <v>43</v>
      </c>
      <c r="R51">
        <f>1-S51</f>
        <v>0.0045000000000000595</v>
      </c>
      <c r="S51">
        <f>S41</f>
        <v>0.9954999999999999</v>
      </c>
      <c r="T51">
        <f>T41</f>
        <v>0.75</v>
      </c>
      <c r="U51">
        <f>$AV$10</f>
        <v>0.0047</v>
      </c>
      <c r="V51">
        <f>(I51/100)*(MIN(J51,100)/100)</f>
        <v>0</v>
      </c>
      <c r="W51">
        <v>0</v>
      </c>
      <c r="X51">
        <f>1.6 * W51</f>
        <v>0</v>
      </c>
      <c r="Y51">
        <f>$AY$1</f>
        <v>1.3</v>
      </c>
      <c r="Z51">
        <f>V51*Y51+(1-V51)</f>
        <v>1</v>
      </c>
      <c r="AA51">
        <f>(0.795*O51)-0.0014</f>
        <v>0.5074000000000001</v>
      </c>
      <c r="AC51">
        <v>1.6</v>
      </c>
      <c r="AD51">
        <f>1 - EXP(-2*(AC51^2))</f>
        <v>0.994023977104994</v>
      </c>
      <c r="AE51">
        <f>(104.7*AA51+0.307*Q51-15)*(Q51^0.75)*10^-3</f>
        <v>0.8618603467709415</v>
      </c>
      <c r="AF51">
        <f>AE51*AD51*Z51</f>
        <v>0.8567098496063406</v>
      </c>
      <c r="AG51">
        <f>(AF51 * M51) + (0.045 * X51)</f>
        <v>0.10280518195276087</v>
      </c>
      <c r="AH51">
        <f>$AV$2</f>
        <v>0.08</v>
      </c>
      <c r="AI51">
        <f>(AF51 * ((1 - O51) + (0.04 * AF51))) * ( 1 - AH51 )</f>
        <v>0.31075172719360067</v>
      </c>
      <c r="AJ51">
        <f>$AV$1</f>
        <v>0.19</v>
      </c>
      <c r="AK51">
        <f>$AW$20</f>
        <v>0.6784</v>
      </c>
      <c r="AL51">
        <f>AI51 * AJ51 * R51 * T51 * AK51</f>
        <v>0.00013518445937067073</v>
      </c>
      <c r="AM51">
        <f>AI51*AJ51*S51*U51*AK51</f>
        <v>0.0001874097208078383</v>
      </c>
      <c r="AN51">
        <f>AL51+AM51</f>
        <v>0.00032259418017850904</v>
      </c>
      <c r="AO51">
        <f>H51*AN51*L51</f>
        <v>3.9739570570740086</v>
      </c>
    </row>
    <row r="52">
      <c r="F52" t="str">
        <v>Winter</v>
      </c>
      <c r="H52">
        <v>130</v>
      </c>
      <c r="I52">
        <v>0</v>
      </c>
      <c r="J52">
        <v>0</v>
      </c>
      <c r="L52">
        <f>$AV$3</f>
        <v>91.25</v>
      </c>
      <c r="M52">
        <v>0.18</v>
      </c>
      <c r="O52">
        <v>0.72</v>
      </c>
      <c r="Q52">
        <v>45</v>
      </c>
      <c r="R52">
        <f>1-S52</f>
        <v>0.0045000000000000595</v>
      </c>
      <c r="S52">
        <f>S41</f>
        <v>0.9954999999999999</v>
      </c>
      <c r="T52">
        <f>T41</f>
        <v>0.75</v>
      </c>
      <c r="U52">
        <f>$AV$10</f>
        <v>0.0047</v>
      </c>
      <c r="V52">
        <f>(I52/100)*(MIN(J52,100)/100)</f>
        <v>0</v>
      </c>
      <c r="W52">
        <v>0</v>
      </c>
      <c r="X52">
        <f>1.6 * W52</f>
        <v>0</v>
      </c>
      <c r="Y52">
        <f>$AY$1</f>
        <v>1.3</v>
      </c>
      <c r="Z52">
        <f>V52*Y52+(1-V52)</f>
        <v>1</v>
      </c>
      <c r="AA52">
        <f>(0.795*O52)-0.0014</f>
        <v>0.5710000000000001</v>
      </c>
      <c r="AC52">
        <v>1.7</v>
      </c>
      <c r="AD52">
        <f>1 - EXP(-2*(AC52^2))</f>
        <v>0.9969112845917633</v>
      </c>
      <c r="AE52">
        <f>(104.7*AA52+0.307*Q52-15)*(Q52^0.75)*10^-3</f>
        <v>1.0181162441707754</v>
      </c>
      <c r="AF52">
        <f>AE52*AD52*Z52</f>
        <v>1.014971572840029</v>
      </c>
      <c r="AG52">
        <f>(AF52 * M52) + (0.045 * X52)</f>
        <v>0.18269488311120521</v>
      </c>
      <c r="AH52">
        <f>$AV$2</f>
        <v>0.08</v>
      </c>
      <c r="AI52">
        <f>(AF52 * ((1 - O52) + (0.04 * AF52))) * ( 1 - AH52 )</f>
        <v>0.29936683357077126</v>
      </c>
      <c r="AJ52">
        <f>$AV$1</f>
        <v>0.19</v>
      </c>
      <c r="AK52">
        <f>$AW$20</f>
        <v>0.6784</v>
      </c>
      <c r="AL52">
        <f>AI52 * AJ52 * R52 * T52 * AK52</f>
        <v>0.0001302317574072929</v>
      </c>
      <c r="AM52">
        <f>AI52*AJ52*S52*U52*AK52</f>
        <v>0.0001805436616726235</v>
      </c>
      <c r="AN52">
        <f>AL52+AM52</f>
        <v>0.0003107754190799164</v>
      </c>
      <c r="AO52">
        <f>H52*AN52*L52</f>
        <v>3.686573408835508</v>
      </c>
    </row>
    <row r="53">
      <c r="E53" t="str">
        <v>Other ewes</v>
      </c>
      <c r="F53" t="str">
        <v>Spring</v>
      </c>
      <c r="H53">
        <v>200</v>
      </c>
      <c r="I53">
        <v>0</v>
      </c>
      <c r="J53">
        <v>0</v>
      </c>
      <c r="L53">
        <f>$AV$3</f>
        <v>91.25</v>
      </c>
      <c r="M53">
        <v>0.2</v>
      </c>
      <c r="O53">
        <v>0.75</v>
      </c>
      <c r="Q53">
        <v>56</v>
      </c>
      <c r="R53">
        <f>1-S53</f>
        <v>0.0045000000000000595</v>
      </c>
      <c r="S53">
        <f>S41</f>
        <v>0.9954999999999999</v>
      </c>
      <c r="T53">
        <f>T41</f>
        <v>0.75</v>
      </c>
      <c r="U53">
        <f>$AV$10</f>
        <v>0.0047</v>
      </c>
      <c r="V53">
        <f>(I53/100)*(MIN(J53,100)/100)</f>
        <v>0</v>
      </c>
      <c r="W53">
        <v>0</v>
      </c>
      <c r="X53">
        <f>1.6 * W53</f>
        <v>0</v>
      </c>
      <c r="Y53">
        <f>$AY$1</f>
        <v>1.3</v>
      </c>
      <c r="Z53">
        <f>V53*Y53+(1-V53)</f>
        <v>1</v>
      </c>
      <c r="AA53">
        <f>(0.795*O53)-0.0014</f>
        <v>0.5948500000000001</v>
      </c>
      <c r="AC53">
        <v>2.9</v>
      </c>
      <c r="AD53">
        <f>1 - EXP(-2*(AC53^2))</f>
        <v>0.9999999504359468</v>
      </c>
      <c r="AE53">
        <f>(104.7*AA53+0.307*Q53-15)*(Q53^0.75)*10^-3</f>
        <v>1.3198285488795851</v>
      </c>
      <c r="AF53">
        <f>AE53*AD53*Z53</f>
        <v>1.3198284834635328</v>
      </c>
      <c r="AG53">
        <f>(AF53 * M53) + (0.045 * X53)</f>
        <v>0.2639656966927066</v>
      </c>
      <c r="AH53">
        <f>$AV$2</f>
        <v>0.08</v>
      </c>
      <c r="AI53">
        <f>(AF53 * ((1 - O53) + (0.04 * AF53))) * ( 1 - AH53 )</f>
        <v>0.3676642091046412</v>
      </c>
      <c r="AJ53">
        <f>$AV$1</f>
        <v>0.19</v>
      </c>
      <c r="AK53">
        <f>$AW$20</f>
        <v>0.6784</v>
      </c>
      <c r="AL53">
        <f>AI53 * AJ53 * R53 * T53 * AK53</f>
        <v>0.00015994275490153958</v>
      </c>
      <c r="AM53">
        <f>AI53*AJ53*S53*U53*AK53</f>
        <v>0.00022173278778401734</v>
      </c>
      <c r="AN53">
        <f>AL53+AM53</f>
        <v>0.0003816755426855569</v>
      </c>
      <c r="AO53">
        <f>H53*AN53*L53</f>
        <v>6.965578654011414</v>
      </c>
    </row>
    <row r="54">
      <c r="F54" t="str">
        <v>Summer</v>
      </c>
      <c r="H54">
        <v>210</v>
      </c>
      <c r="I54">
        <v>0</v>
      </c>
      <c r="J54">
        <v>0</v>
      </c>
      <c r="L54">
        <f>$AV$3</f>
        <v>91.25</v>
      </c>
      <c r="M54">
        <v>0.1</v>
      </c>
      <c r="O54">
        <v>0.61</v>
      </c>
      <c r="Q54">
        <v>51</v>
      </c>
      <c r="R54">
        <f>1-S54</f>
        <v>0.0045000000000000595</v>
      </c>
      <c r="S54">
        <f>S41</f>
        <v>0.9954999999999999</v>
      </c>
      <c r="T54">
        <f>T41</f>
        <v>0.75</v>
      </c>
      <c r="U54">
        <f>$AV$10</f>
        <v>0.0047</v>
      </c>
      <c r="V54">
        <f>(I54/100)*(MIN(J54,100)/100)</f>
        <v>0</v>
      </c>
      <c r="W54">
        <v>0</v>
      </c>
      <c r="X54">
        <f>1.6 * W54</f>
        <v>0</v>
      </c>
      <c r="Y54">
        <f>$AY$1</f>
        <v>1.3</v>
      </c>
      <c r="Z54">
        <f>V54*Y54+(1-V54)</f>
        <v>1</v>
      </c>
      <c r="AA54">
        <f>(0.795*O54)-0.0014</f>
        <v>0.48355</v>
      </c>
      <c r="AC54">
        <v>2.5</v>
      </c>
      <c r="AD54">
        <f>1 - EXP(-2*(AC54^2))</f>
        <v>0.999996273346828</v>
      </c>
      <c r="AE54">
        <f>(104.7*AA54+0.307*Q54-15)*(Q54^0.75)*10^-3</f>
        <v>0.9787354625697015</v>
      </c>
      <c r="AF54">
        <f>AE54*AD54*Z54</f>
        <v>0.9787318151620853</v>
      </c>
      <c r="AG54">
        <f>(AF54 * M54) + (0.045 * X54)</f>
        <v>0.09787318151620854</v>
      </c>
      <c r="AH54">
        <f>$AV$2</f>
        <v>0.08</v>
      </c>
      <c r="AI54">
        <f>(AF54 * ((1 - O54) + (0.04 * AF54))) * ( 1 - AH54 )</f>
        <v>0.38642028282934154</v>
      </c>
      <c r="AJ54">
        <f>$AV$1</f>
        <v>0.19</v>
      </c>
      <c r="AK54">
        <f>$AW$20</f>
        <v>0.6784</v>
      </c>
      <c r="AL54">
        <f>AI54 * AJ54 * R54 * T54 * AK54</f>
        <v>0.00016810209711755372</v>
      </c>
      <c r="AM54">
        <f>AI54*AJ54*S54*U54*AK54</f>
        <v>0.0002330442954365795</v>
      </c>
      <c r="AN54">
        <f>AL54+AM54</f>
        <v>0.0004011463925541332</v>
      </c>
      <c r="AO54">
        <f>H54*AN54*L54</f>
        <v>7.686967747318578</v>
      </c>
    </row>
    <row r="55">
      <c r="F55" t="str">
        <v>Autumn</v>
      </c>
      <c r="H55">
        <v>190</v>
      </c>
      <c r="I55">
        <v>0</v>
      </c>
      <c r="J55">
        <v>0</v>
      </c>
      <c r="L55">
        <f>$AV$3</f>
        <v>91.25</v>
      </c>
      <c r="M55">
        <v>0.12</v>
      </c>
      <c r="O55">
        <v>0.64</v>
      </c>
      <c r="Q55">
        <v>50</v>
      </c>
      <c r="R55">
        <f>1-S55</f>
        <v>0.0045000000000000595</v>
      </c>
      <c r="S55">
        <f>S41</f>
        <v>0.9954999999999999</v>
      </c>
      <c r="T55">
        <f>T41</f>
        <v>0.75</v>
      </c>
      <c r="U55">
        <f>$AV$10</f>
        <v>0.0047</v>
      </c>
      <c r="V55">
        <f>(I55/100)*(MIN(J55,100)/100)</f>
        <v>0</v>
      </c>
      <c r="W55">
        <v>0</v>
      </c>
      <c r="X55">
        <f>1.6 * W55</f>
        <v>0</v>
      </c>
      <c r="Y55">
        <f>$AY$1</f>
        <v>1.3</v>
      </c>
      <c r="Z55">
        <f>V55*Y55+(1-V55)</f>
        <v>1</v>
      </c>
      <c r="AA55">
        <f>(0.795*O55)-0.0014</f>
        <v>0.5074000000000001</v>
      </c>
      <c r="AC55">
        <v>1.6</v>
      </c>
      <c r="AD55">
        <f>1 - EXP(-2*(AC55^2))</f>
        <v>0.994023977104994</v>
      </c>
      <c r="AE55">
        <f>(104.7*AA55+0.307*Q55-15)*(Q55^0.75)*10^-3</f>
        <v>1.0054871153505722</v>
      </c>
      <c r="AF55">
        <f>AE55*AD55*Z55</f>
        <v>0.9994783013286037</v>
      </c>
      <c r="AG55">
        <f>(AF55 * M55) + (0.045 * X55)</f>
        <v>0.11993739615943244</v>
      </c>
      <c r="AH55">
        <f>$AV$2</f>
        <v>0.08</v>
      </c>
      <c r="AI55">
        <f>(AF55 * ((1 - O55) + (0.04 * AF55))) * ( 1 - AH55 )</f>
        <v>0.3677888263936565</v>
      </c>
      <c r="AJ55">
        <f>$AV$1</f>
        <v>0.19</v>
      </c>
      <c r="AK55">
        <f>$AW$20</f>
        <v>0.6784</v>
      </c>
      <c r="AL55">
        <f>AI55 * AJ55 * R55 * T55 * AK55</f>
        <v>0.00015999696641307614</v>
      </c>
      <c r="AM55">
        <f>AI55*AJ55*S55*U55*AK55</f>
        <v>0.00022180794260794414</v>
      </c>
      <c r="AN55">
        <f>AL55+AM55</f>
        <v>0.00038180490902102026</v>
      </c>
      <c r="AO55">
        <f>H55*AN55*L55</f>
        <v>6.619542610151939</v>
      </c>
    </row>
    <row r="56">
      <c r="F56" t="str">
        <v>Winter</v>
      </c>
      <c r="H56">
        <v>180</v>
      </c>
      <c r="I56">
        <v>0</v>
      </c>
      <c r="J56">
        <v>0</v>
      </c>
      <c r="L56">
        <f>$AV$3</f>
        <v>91.25</v>
      </c>
      <c r="M56">
        <v>0.18</v>
      </c>
      <c r="O56">
        <v>0.72</v>
      </c>
      <c r="Q56">
        <v>51</v>
      </c>
      <c r="R56">
        <f>1-S56</f>
        <v>0.0045000000000000595</v>
      </c>
      <c r="S56">
        <f>S41</f>
        <v>0.9954999999999999</v>
      </c>
      <c r="T56">
        <f>T41</f>
        <v>0.75</v>
      </c>
      <c r="U56">
        <f>$AV$10</f>
        <v>0.0047</v>
      </c>
      <c r="V56">
        <f>(I56/100)*(MIN(J56,100)/100)</f>
        <v>0</v>
      </c>
      <c r="W56">
        <v>0</v>
      </c>
      <c r="X56">
        <f>1.6 * W56</f>
        <v>0</v>
      </c>
      <c r="Y56">
        <f>$AY$1</f>
        <v>1.3</v>
      </c>
      <c r="Z56">
        <f>V56*Y56+(1-V56)</f>
        <v>1</v>
      </c>
      <c r="AA56">
        <f>(0.795*O56)-0.0014</f>
        <v>0.5710000000000001</v>
      </c>
      <c r="AC56">
        <v>1.7</v>
      </c>
      <c r="AD56">
        <f>1 - EXP(-2*(AC56^2))</f>
        <v>0.9969112845917633</v>
      </c>
      <c r="AE56">
        <f>(104.7*AA56+0.307*Q56-15)*(Q56^0.75)*10^-3</f>
        <v>1.153472161767915</v>
      </c>
      <c r="AF56">
        <f>AE56*AD56*Z56</f>
        <v>1.1499094145288902</v>
      </c>
      <c r="AG56">
        <f>(AF56 * M56) + (0.045 * X56)</f>
        <v>0.20698369461520022</v>
      </c>
      <c r="AH56">
        <f>$AV$2</f>
        <v>0.08</v>
      </c>
      <c r="AI56">
        <f>(AF56 * ((1 - O56) + (0.04 * AF56))) * ( 1 - AH56 )</f>
        <v>0.34487699833033825</v>
      </c>
      <c r="AJ56">
        <f>$AV$1</f>
        <v>0.19</v>
      </c>
      <c r="AK56">
        <f>$AW$20</f>
        <v>0.6784</v>
      </c>
      <c r="AL56">
        <f>AI56 * AJ56 * R56 * T56 * AK56</f>
        <v>0.00015002977132165903</v>
      </c>
      <c r="AM56">
        <f>AI56*AJ56*S56*U56*AK56</f>
        <v>0.00020799016164395117</v>
      </c>
      <c r="AN56">
        <f>AL56+AM56</f>
        <v>0.0003580199329656102</v>
      </c>
      <c r="AO56">
        <f>H56*AN56*L56</f>
        <v>5.8804773989601475</v>
      </c>
    </row>
    <row r="57">
      <c r="E57" t="str">
        <v>Rams</v>
      </c>
      <c r="F57" t="str">
        <v>Spring</v>
      </c>
      <c r="H57">
        <v>50</v>
      </c>
      <c r="I57">
        <v>0</v>
      </c>
      <c r="J57">
        <v>0</v>
      </c>
      <c r="L57">
        <f>$AV$3</f>
        <v>91.25</v>
      </c>
      <c r="M57">
        <v>0.2</v>
      </c>
      <c r="O57">
        <v>0.75</v>
      </c>
      <c r="Q57">
        <v>75</v>
      </c>
      <c r="R57">
        <f>1-S57</f>
        <v>0.0045000000000000595</v>
      </c>
      <c r="S57">
        <f>S41</f>
        <v>0.9954999999999999</v>
      </c>
      <c r="T57">
        <f>T41</f>
        <v>0.75</v>
      </c>
      <c r="U57">
        <f>$AV$10</f>
        <v>0.0047</v>
      </c>
      <c r="V57">
        <f>(I57/100)*(MIN(J57,100)/100)</f>
        <v>0</v>
      </c>
      <c r="W57">
        <v>0</v>
      </c>
      <c r="X57">
        <f>1.6 * W57</f>
        <v>0</v>
      </c>
      <c r="Y57">
        <f>$AY$1</f>
        <v>1.3</v>
      </c>
      <c r="Z57">
        <f>V57*Y57+(1-V57)</f>
        <v>1</v>
      </c>
      <c r="AA57">
        <f>(0.795*O57)-0.0014</f>
        <v>0.5948500000000001</v>
      </c>
      <c r="AC57">
        <v>2.9</v>
      </c>
      <c r="AD57">
        <f>1 - EXP(-2*(AC57^2))</f>
        <v>0.9999999504359468</v>
      </c>
      <c r="AE57">
        <f>(104.7*AA57+0.307*Q57-15)*(Q57^0.75)*10^-3</f>
        <v>1.791789845612274</v>
      </c>
      <c r="AF57">
        <f>AE57*AD57*Z57</f>
        <v>1.7917897568039067</v>
      </c>
      <c r="AG57">
        <f>(AF57 * M57) + (0.045 * X57)</f>
        <v>0.35835795136078136</v>
      </c>
      <c r="AH57">
        <f>$AV$2</f>
        <v>0.08</v>
      </c>
      <c r="AI57">
        <f>(AF57 * ((1 - O57) + (0.04 * AF57))) * ( 1 - AH57 )</f>
        <v>0.530258431664115</v>
      </c>
      <c r="AJ57">
        <f>$AV$1</f>
        <v>0.19</v>
      </c>
      <c r="AK57">
        <f>$AW$20</f>
        <v>0.6784</v>
      </c>
      <c r="AL57">
        <f>AI57 * AJ57 * R57 * T57 * AK57</f>
        <v>0.000230675143976253</v>
      </c>
      <c r="AM57">
        <f>AI57*AJ57*S57*U57*AK57</f>
        <v>0.000319790932560971</v>
      </c>
      <c r="AN57">
        <f>AL57+AM57</f>
        <v>0.000550466076537224</v>
      </c>
      <c r="AO57">
        <f>H57*AN57*L57</f>
        <v>2.5115014742010846</v>
      </c>
    </row>
    <row r="58">
      <c r="F58" t="str">
        <v>Summer</v>
      </c>
      <c r="H58">
        <v>55</v>
      </c>
      <c r="I58">
        <v>0</v>
      </c>
      <c r="J58">
        <v>0</v>
      </c>
      <c r="L58">
        <f>$AV$3</f>
        <v>91.25</v>
      </c>
      <c r="M58">
        <v>0.1</v>
      </c>
      <c r="O58">
        <v>0.61</v>
      </c>
      <c r="Q58">
        <v>75</v>
      </c>
      <c r="R58">
        <f>1-S58</f>
        <v>0.0045000000000000595</v>
      </c>
      <c r="S58">
        <f>S41</f>
        <v>0.9954999999999999</v>
      </c>
      <c r="T58">
        <f>T41</f>
        <v>0.75</v>
      </c>
      <c r="U58">
        <f>$AV$10</f>
        <v>0.0047</v>
      </c>
      <c r="V58">
        <f>(I58/100)*(MIN(J58,100)/100)</f>
        <v>0</v>
      </c>
      <c r="W58">
        <v>0</v>
      </c>
      <c r="X58">
        <f>1.6 * W58</f>
        <v>0</v>
      </c>
      <c r="Y58">
        <f>$AY$1</f>
        <v>1.3</v>
      </c>
      <c r="Z58">
        <f>V58*Y58+(1-V58)</f>
        <v>1</v>
      </c>
      <c r="AA58">
        <f>(0.795*O58)-0.0014</f>
        <v>0.48355</v>
      </c>
      <c r="AC58">
        <v>2.5</v>
      </c>
      <c r="AD58">
        <f>1 - EXP(-2*(AC58^2))</f>
        <v>0.999996273346828</v>
      </c>
      <c r="AE58">
        <f>(104.7*AA58+0.307*Q58-15)*(Q58^0.75)*10^-3</f>
        <v>1.4948026034112167</v>
      </c>
      <c r="AF58">
        <f>AE58*AD58*Z58</f>
        <v>1.494797032800353</v>
      </c>
      <c r="AG58">
        <f>(AF58 * M58) + (0.045 * X58)</f>
        <v>0.14947970328003532</v>
      </c>
      <c r="AH58">
        <f>$AV$2</f>
        <v>0.08</v>
      </c>
      <c r="AI58">
        <f>(AF58 * ((1 - O58) + (0.04 * AF58))) * ( 1 - AH58 )</f>
        <v>0.6185597639978564</v>
      </c>
      <c r="AJ58">
        <f>$AV$1</f>
        <v>0.19</v>
      </c>
      <c r="AK58">
        <f>$AW$20</f>
        <v>0.6784</v>
      </c>
      <c r="AL58">
        <f>AI58 * AJ58 * R58 * T58 * AK58</f>
        <v>0.000269088342773407</v>
      </c>
      <c r="AM58">
        <f>AI58*AJ58*S58*U58*AK58</f>
        <v>0.0003730441459512115</v>
      </c>
      <c r="AN58">
        <f>AL58+AM58</f>
        <v>0.0006421324887246185</v>
      </c>
      <c r="AO58">
        <f>H58*AN58*L58</f>
        <v>3.2227024277866794</v>
      </c>
    </row>
    <row r="59">
      <c r="F59" t="str">
        <v>Autumn</v>
      </c>
      <c r="H59">
        <v>60</v>
      </c>
      <c r="I59">
        <v>0</v>
      </c>
      <c r="J59">
        <v>0</v>
      </c>
      <c r="L59">
        <f>$AV$3</f>
        <v>91.25</v>
      </c>
      <c r="M59">
        <v>0.12</v>
      </c>
      <c r="O59">
        <v>0.64</v>
      </c>
      <c r="Q59">
        <v>69</v>
      </c>
      <c r="R59">
        <f>1-S59</f>
        <v>0.0045000000000000595</v>
      </c>
      <c r="S59">
        <f>S41</f>
        <v>0.9954999999999999</v>
      </c>
      <c r="T59">
        <f>T41</f>
        <v>0.75</v>
      </c>
      <c r="U59">
        <f>$AV$10</f>
        <v>0.0047</v>
      </c>
      <c r="V59">
        <f>(I59/100)*(MIN(J59,100)/100)</f>
        <v>0</v>
      </c>
      <c r="W59">
        <v>0</v>
      </c>
      <c r="X59">
        <f>1.6 * W59</f>
        <v>0</v>
      </c>
      <c r="Y59">
        <f>$AY$1</f>
        <v>1.3</v>
      </c>
      <c r="Z59">
        <f>V59*Y59+(1-V59)</f>
        <v>1</v>
      </c>
      <c r="AA59">
        <f>(0.795*O59)-0.0014</f>
        <v>0.5074000000000001</v>
      </c>
      <c r="AC59">
        <v>1.6</v>
      </c>
      <c r="AD59">
        <f>1 - EXP(-2*(AC59^2))</f>
        <v>0.994023977104994</v>
      </c>
      <c r="AE59">
        <f>(104.7*AA59+0.307*Q59-15)*(Q59^0.75)*10^-3</f>
        <v>1.4198696820048529</v>
      </c>
      <c r="AF59">
        <f>AE59*AD59*Z59</f>
        <v>1.411384508277267</v>
      </c>
      <c r="AG59">
        <f>(AF59 * M59) + (0.045 * X59)</f>
        <v>0.16936614099327202</v>
      </c>
      <c r="AH59">
        <f>$AV$2</f>
        <v>0.08</v>
      </c>
      <c r="AI59">
        <f>(AF59 * ((1 - O59) + (0.04 * AF59))) * ( 1 - AH59 )</f>
        <v>0.5407563784129771</v>
      </c>
      <c r="AJ59">
        <f>$AV$1</f>
        <v>0.19</v>
      </c>
      <c r="AK59">
        <f>$AW$20</f>
        <v>0.6784</v>
      </c>
      <c r="AL59">
        <f>AI59 * AJ59 * R59 * T59 * AK59</f>
        <v>0.00023524200276273005</v>
      </c>
      <c r="AM59">
        <f>AI59*AJ59*S59*U59*AK59</f>
        <v>0.0003261220872967067</v>
      </c>
      <c r="AN59">
        <f>AL59+AM59</f>
        <v>0.0005613640900594368</v>
      </c>
      <c r="AO59">
        <f>H59*AN59*L59</f>
        <v>3.073468393075416</v>
      </c>
    </row>
    <row r="60">
      <c r="F60" t="str">
        <v>Winter</v>
      </c>
      <c r="H60">
        <v>65</v>
      </c>
      <c r="I60">
        <v>0</v>
      </c>
      <c r="J60">
        <v>0</v>
      </c>
      <c r="L60">
        <f>$AV$3</f>
        <v>91.25</v>
      </c>
      <c r="M60">
        <v>0.18</v>
      </c>
      <c r="O60">
        <v>0.72</v>
      </c>
      <c r="Q60">
        <v>69</v>
      </c>
      <c r="R60">
        <f>1-S60</f>
        <v>0.0045000000000000595</v>
      </c>
      <c r="S60">
        <f>S41</f>
        <v>0.9954999999999999</v>
      </c>
      <c r="T60">
        <f>T41</f>
        <v>0.75</v>
      </c>
      <c r="U60">
        <f>$AV$10</f>
        <v>0.0047</v>
      </c>
      <c r="V60">
        <f>(I60/100)*(MIN(J60,100)/100)</f>
        <v>0</v>
      </c>
      <c r="W60">
        <v>0</v>
      </c>
      <c r="X60">
        <f>1.6 * W60</f>
        <v>0</v>
      </c>
      <c r="Y60">
        <f>$AY$1</f>
        <v>1.3</v>
      </c>
      <c r="Z60">
        <f>V60*Y60+(1-V60)</f>
        <v>1</v>
      </c>
      <c r="AA60">
        <f>(0.795*O60)-0.0014</f>
        <v>0.5710000000000001</v>
      </c>
      <c r="AC60">
        <v>1.7</v>
      </c>
      <c r="AD60">
        <f>1 - EXP(-2*(AC60^2))</f>
        <v>0.9969112845917633</v>
      </c>
      <c r="AE60">
        <f>(104.7*AA60+0.307*Q60-15)*(Q60^0.75)*10^-3</f>
        <v>1.5792888783210146</v>
      </c>
      <c r="AF60">
        <f>AE60*AD60*Z60</f>
        <v>1.5744109044284875</v>
      </c>
      <c r="AG60">
        <f>(AF60 * M60) + (0.045 * X60)</f>
        <v>0.28339396279712775</v>
      </c>
      <c r="AH60">
        <f>$AV$2</f>
        <v>0.08</v>
      </c>
      <c r="AI60">
        <f>(AF60 * ((1 - O60) + (0.04 * AF60))) * ( 1 - AH60 )</f>
        <v>0.49678697379296494</v>
      </c>
      <c r="AJ60">
        <f>$AV$1</f>
        <v>0.19</v>
      </c>
      <c r="AK60">
        <f>$AW$20</f>
        <v>0.6784</v>
      </c>
      <c r="AL60">
        <f>AI60 * AJ60 * R60 * T60 * AK60</f>
        <v>0.00021611425648731364</v>
      </c>
      <c r="AM60">
        <f>AI60*AJ60*S60*U60*AK60</f>
        <v>0.00029960479673056415</v>
      </c>
      <c r="AN60">
        <f>AL60+AM60</f>
        <v>0.0005157190532178778</v>
      </c>
      <c r="AO60">
        <f>H60*AN60*L60</f>
        <v>3.058858634398538</v>
      </c>
    </row>
    <row r="61">
      <c r="E61" t="str">
        <v>Wethers</v>
      </c>
      <c r="F61" t="str">
        <v>Spring</v>
      </c>
      <c r="H61">
        <v>50</v>
      </c>
      <c r="I61">
        <v>0</v>
      </c>
      <c r="J61">
        <v>0</v>
      </c>
      <c r="L61">
        <f>$AV$3</f>
        <v>91.25</v>
      </c>
      <c r="M61">
        <v>0.2</v>
      </c>
      <c r="O61">
        <v>0.75</v>
      </c>
      <c r="Q61">
        <v>62</v>
      </c>
      <c r="R61">
        <f>1-S61</f>
        <v>0.0045000000000000595</v>
      </c>
      <c r="S61">
        <f>S41</f>
        <v>0.9954999999999999</v>
      </c>
      <c r="T61">
        <f>T41</f>
        <v>0.75</v>
      </c>
      <c r="U61">
        <f>$AV$10</f>
        <v>0.0047</v>
      </c>
      <c r="V61">
        <f>(I61/100)*(MIN(J61,100)/100)</f>
        <v>0</v>
      </c>
      <c r="W61">
        <v>0</v>
      </c>
      <c r="X61">
        <f>1.6 * W61</f>
        <v>0</v>
      </c>
      <c r="Y61">
        <f>$AY$1</f>
        <v>1.3</v>
      </c>
      <c r="Z61">
        <f>V61*Y61+(1-V61)</f>
        <v>1</v>
      </c>
      <c r="AA61">
        <f>(0.795*O61)-0.0014</f>
        <v>0.5948500000000001</v>
      </c>
      <c r="AC61">
        <v>2.9</v>
      </c>
      <c r="AD61">
        <f>1 - EXP(-2*(AC61^2))</f>
        <v>0.9999999504359468</v>
      </c>
      <c r="AE61">
        <f>(104.7*AA61+0.307*Q61-15)*(Q61^0.75)*10^-3</f>
        <v>1.465224589945933</v>
      </c>
      <c r="AF61">
        <f>AE61*AD61*Z61</f>
        <v>1.4652245173234635</v>
      </c>
      <c r="AG61">
        <f>(AF61 * M61) + (0.045 * X61)</f>
        <v>0.2930449034646927</v>
      </c>
      <c r="AH61">
        <f>$AV$2</f>
        <v>0.08</v>
      </c>
      <c r="AI61">
        <f>(AF61 * ((1 - O61) + (0.04 * AF61))) * ( 1 - AH61 )</f>
        <v>0.41600692919529714</v>
      </c>
      <c r="AJ61">
        <f>$AV$1</f>
        <v>0.19</v>
      </c>
      <c r="AK61">
        <f>$AW$20</f>
        <v>0.6784</v>
      </c>
      <c r="AL61">
        <f>AI61 * AJ61 * R61 * T61 * AK61</f>
        <v>0.00018097299836625734</v>
      </c>
      <c r="AM61">
        <f>AI61*AJ61*S61*U61*AK61</f>
        <v>0.00025088755952768947</v>
      </c>
      <c r="AN61">
        <f>AL61+AM61</f>
        <v>0.0004318605578939468</v>
      </c>
      <c r="AO61">
        <f>H61*AN61*L61</f>
        <v>1.9703637953911324</v>
      </c>
    </row>
    <row r="62">
      <c r="F62" t="str">
        <v>Summer</v>
      </c>
      <c r="H62">
        <v>100</v>
      </c>
      <c r="I62">
        <v>0</v>
      </c>
      <c r="J62">
        <v>0</v>
      </c>
      <c r="L62">
        <f>$AV$3</f>
        <v>91.25</v>
      </c>
      <c r="M62">
        <v>0.1</v>
      </c>
      <c r="O62">
        <v>0.61</v>
      </c>
      <c r="Q62">
        <v>55</v>
      </c>
      <c r="R62">
        <f>1-S62</f>
        <v>0.0045000000000000595</v>
      </c>
      <c r="S62">
        <f>S41</f>
        <v>0.9954999999999999</v>
      </c>
      <c r="T62">
        <f>T41</f>
        <v>0.75</v>
      </c>
      <c r="U62">
        <f>$AV$10</f>
        <v>0.0047</v>
      </c>
      <c r="V62">
        <f>(I62/100)*(MIN(J62,100)/100)</f>
        <v>0</v>
      </c>
      <c r="W62">
        <v>0</v>
      </c>
      <c r="X62">
        <f>1.6 * W62</f>
        <v>0</v>
      </c>
      <c r="Y62">
        <f>$AY$1</f>
        <v>1.3</v>
      </c>
      <c r="Z62">
        <f>V62*Y62+(1-V62)</f>
        <v>1</v>
      </c>
      <c r="AA62">
        <f>(0.795*O62)-0.0014</f>
        <v>0.48355</v>
      </c>
      <c r="AC62">
        <v>2.5</v>
      </c>
      <c r="AD62">
        <f>1 - EXP(-2*(AC62^2))</f>
        <v>0.999996273346828</v>
      </c>
      <c r="AE62">
        <f>(104.7*AA62+0.307*Q62-15)*(Q62^0.75)*10^-3</f>
        <v>1.0605624381175847</v>
      </c>
      <c r="AF62">
        <f>AE62*AD62*Z62</f>
        <v>1.0605584857692105</v>
      </c>
      <c r="AG62">
        <f>(AF62 * M62) + (0.045 * X62)</f>
        <v>0.10605584857692106</v>
      </c>
      <c r="AH62">
        <f>$AV$2</f>
        <v>0.08</v>
      </c>
      <c r="AI62">
        <f>(AF62 * ((1 - O62) + (0.04 * AF62))) * ( 1 - AH62 )</f>
        <v>0.42192044699791736</v>
      </c>
      <c r="AJ62">
        <f>$AV$1</f>
        <v>0.19</v>
      </c>
      <c r="AK62">
        <f>$AW$20</f>
        <v>0.6784</v>
      </c>
      <c r="AL62">
        <f>AI62 * AJ62 * R62 * T62 * AK62</f>
        <v>0.00018354552053482444</v>
      </c>
      <c r="AM62">
        <f>AI62*AJ62*S62*U62*AK62</f>
        <v>0.0002544539137049932</v>
      </c>
      <c r="AN62">
        <f>AL62+AM62</f>
        <v>0.0004379994342398176</v>
      </c>
      <c r="AO62">
        <f>H62*AN62*L62</f>
        <v>3.9967448374383356</v>
      </c>
    </row>
    <row r="63">
      <c r="F63" t="str">
        <v>Autumn</v>
      </c>
      <c r="H63">
        <v>90</v>
      </c>
      <c r="I63">
        <v>0</v>
      </c>
      <c r="J63">
        <v>0</v>
      </c>
      <c r="L63">
        <f>$AV$3</f>
        <v>91.25</v>
      </c>
      <c r="M63">
        <v>0.12</v>
      </c>
      <c r="O63">
        <v>0.64</v>
      </c>
      <c r="Q63">
        <v>55</v>
      </c>
      <c r="R63">
        <f>1-S63</f>
        <v>0.0045000000000000595</v>
      </c>
      <c r="S63">
        <f>S41</f>
        <v>0.9954999999999999</v>
      </c>
      <c r="T63">
        <f>T41</f>
        <v>0.75</v>
      </c>
      <c r="U63">
        <f>$AV$10</f>
        <v>0.0047</v>
      </c>
      <c r="V63">
        <f>(I63/100)*(MIN(J63,100)/100)</f>
        <v>0</v>
      </c>
      <c r="W63">
        <v>0</v>
      </c>
      <c r="X63">
        <f>1.6 * W63</f>
        <v>0</v>
      </c>
      <c r="Y63">
        <f>$AY$1</f>
        <v>1.3</v>
      </c>
      <c r="Z63">
        <f>V63*Y63+(1-V63)</f>
        <v>1</v>
      </c>
      <c r="AA63">
        <f>(0.795*O63)-0.0014</f>
        <v>0.5074000000000001</v>
      </c>
      <c r="AC63">
        <v>1.6</v>
      </c>
      <c r="AD63">
        <f>1 - EXP(-2*(AC63^2))</f>
        <v>0.994023977104994</v>
      </c>
      <c r="AE63">
        <f>(104.7*AA63+0.307*Q63-15)*(Q63^0.75)*10^-3</f>
        <v>1.1109945415495692</v>
      </c>
      <c r="AF63">
        <f>AE63*AD63*Z63</f>
        <v>1.1043552127330423</v>
      </c>
      <c r="AG63">
        <f>(AF63 * M63) + (0.045 * X63)</f>
        <v>0.13252262552796507</v>
      </c>
      <c r="AH63">
        <f>$AV$2</f>
        <v>0.08</v>
      </c>
      <c r="AI63">
        <f>(AF63 * ((1 - O63) + (0.04 * AF63))) * ( 1 - AH63 )</f>
        <v>0.41064374249795926</v>
      </c>
      <c r="AJ63">
        <f>$AV$1</f>
        <v>0.19</v>
      </c>
      <c r="AK63">
        <f>$AW$20</f>
        <v>0.6784</v>
      </c>
      <c r="AL63">
        <f>AI63 * AJ63 * R63 * T63 * AK63</f>
        <v>0.00017863988343643457</v>
      </c>
      <c r="AM63">
        <f>AI63*AJ63*S63*U63*AK63</f>
        <v>0.00024765310181231137</v>
      </c>
      <c r="AN63">
        <f>AL63+AM63</f>
        <v>0.00042629298524874597</v>
      </c>
      <c r="AO63">
        <f>H63*AN63*L63</f>
        <v>3.500931141355326</v>
      </c>
    </row>
    <row r="64">
      <c r="F64" t="str">
        <v>Winter</v>
      </c>
      <c r="H64">
        <v>80</v>
      </c>
      <c r="I64">
        <v>0</v>
      </c>
      <c r="J64">
        <v>0</v>
      </c>
      <c r="L64">
        <f>$AV$3</f>
        <v>91.25</v>
      </c>
      <c r="M64">
        <v>0.18</v>
      </c>
      <c r="O64">
        <v>0.72</v>
      </c>
      <c r="Q64">
        <v>55</v>
      </c>
      <c r="R64">
        <f>1-S64</f>
        <v>0.0045000000000000595</v>
      </c>
      <c r="S64">
        <f>S41</f>
        <v>0.9954999999999999</v>
      </c>
      <c r="T64">
        <f>T41</f>
        <v>0.75</v>
      </c>
      <c r="U64">
        <f>$AV$10</f>
        <v>0.0047</v>
      </c>
      <c r="V64">
        <f>(I64/100)*(MIN(J64,100)/100)</f>
        <v>0</v>
      </c>
      <c r="W64">
        <v>0</v>
      </c>
      <c r="X64">
        <f>1.6 * W64</f>
        <v>0</v>
      </c>
      <c r="Y64">
        <f>$AY$1</f>
        <v>1.3</v>
      </c>
      <c r="Z64">
        <f>V64*Y64+(1-V64)</f>
        <v>1</v>
      </c>
      <c r="AA64">
        <f>(0.795*O64)-0.0014</f>
        <v>0.5710000000000001</v>
      </c>
      <c r="AC64">
        <v>1.7</v>
      </c>
      <c r="AD64">
        <f>1 - EXP(-2*(AC64^2))</f>
        <v>0.9969112845917633</v>
      </c>
      <c r="AE64">
        <f>(104.7*AA64+0.307*Q64-15)*(Q64^0.75)*10^-3</f>
        <v>1.245480150701528</v>
      </c>
      <c r="AF64">
        <f>AE64*AD64*Z64</f>
        <v>1.2416332169694033</v>
      </c>
      <c r="AG64">
        <f>(AF64 * M64) + (0.045 * X64)</f>
        <v>0.2234939790544926</v>
      </c>
      <c r="AH64">
        <f>$AV$2</f>
        <v>0.08</v>
      </c>
      <c r="AI64">
        <f>(AF64 * ((1 - O64) + (0.04 * AF64))) * ( 1 - AH64 )</f>
        <v>0.37657754876504823</v>
      </c>
      <c r="AJ64">
        <f>$AV$1</f>
        <v>0.19</v>
      </c>
      <c r="AK64">
        <f>$AW$20</f>
        <v>0.6784</v>
      </c>
      <c r="AL64">
        <f>AI64 * AJ64 * R64 * T64 * AK64</f>
        <v>0.00016382027157396851</v>
      </c>
      <c r="AM64">
        <f>AI64*AJ64*S64*U64*AK64</f>
        <v>0.00022710828967521554</v>
      </c>
      <c r="AN64">
        <f>AL64+AM64</f>
        <v>0.0003909285612491841</v>
      </c>
      <c r="AO64">
        <f>H64*AN64*L64</f>
        <v>2.8537784971190434</v>
      </c>
    </row>
    <row r="71">
      <c r="A71" t="str">
        <v>QLD</v>
      </c>
      <c r="B71" t="str">
        <v>QLD</v>
      </c>
      <c r="C71" t="str">
        <v>QLD</v>
      </c>
      <c r="D71" t="str">
        <v>yes</v>
      </c>
      <c r="E71" t="str">
        <v>Breeding ewes</v>
      </c>
      <c r="F71" t="str">
        <v>Spring</v>
      </c>
      <c r="H71">
        <v>100</v>
      </c>
      <c r="I71">
        <v>95</v>
      </c>
      <c r="J71">
        <v>90</v>
      </c>
      <c r="L71">
        <f>$AV$3</f>
        <v>91.25</v>
      </c>
      <c r="M71" cm="1">
        <f t="array" ref="M71:M94">DROP(XLOOKUP($C71,QueryCP[[#Headers],[ACT/NSW]:[WA]],QueryCP[[#All],[ACT/NSW]:[WA]]),1)</f>
        <v>0.08</v>
      </c>
      <c r="O71" cm="1">
        <f t="array" ref="O71:O94">DROP(XLOOKUP($C71,QueryDMD[[#Headers],[ACT/NSW]:[WA]],QueryDMD[[#All],[ACT/NSW]:[WA]]),1)</f>
        <v>0.51</v>
      </c>
      <c r="Q71" cm="1">
        <f t="array" ref="Q71:Q94">DROP(XLOOKUP($C71,QueryW[[#Headers],[ACT/NSW]:[WA]],QueryW[[#All],[ACT/NSW]:[WA]]),1)</f>
        <v>40</v>
      </c>
      <c r="R71">
        <f>1-S71</f>
        <v>0</v>
      </c>
      <c r="S71">
        <f>IF($D71="yes", 1, VLOOKUP($B71, $AU$26:$AW$32, 2)/100)</f>
        <v>1</v>
      </c>
      <c r="T71">
        <f>VLOOKUP($B71,$AW$10:$AX$16, 2, FALSE)</f>
        <v>0.78</v>
      </c>
      <c r="U71">
        <f>$AV$10</f>
        <v>0.0047</v>
      </c>
      <c r="V71">
        <f>(I71/100)*(MIN(J71,100)/100)</f>
        <v>0.855</v>
      </c>
      <c r="W71">
        <v>0</v>
      </c>
      <c r="X71">
        <f>1.6 * W71</f>
        <v>0</v>
      </c>
      <c r="Y71">
        <f>$AY$1</f>
        <v>1.3</v>
      </c>
      <c r="Z71">
        <f>V71*Y71+(1-V71)</f>
        <v>1.2565</v>
      </c>
      <c r="AA71">
        <f>(0.795*O71)-0.0014</f>
        <v>0.40405</v>
      </c>
      <c r="AC71" cm="1">
        <f t="array" ref="AC71:AC94">DROP(XLOOKUP($C71,QueryDMA[[#Headers],[ACT/NSW]:[WA]],QueryDMA[[#All],[ACT/NSW]:[WA]]),1)</f>
        <v>1.5</v>
      </c>
      <c r="AD71">
        <f>1 - EXP(-2*(AC71^2))</f>
        <v>0.9888910034617577</v>
      </c>
      <c r="AE71">
        <f>(104.7*AA71+0.307*Q71-15)*(Q71^0.75)*10^-3</f>
        <v>0.629600487239809</v>
      </c>
      <c r="AF71">
        <f>AE71*AD71*Z71</f>
        <v>0.7823047626826757</v>
      </c>
      <c r="AG71">
        <f>(AF71 * M71) + (0.045 * X71)</f>
        <v>0.06258438101461405</v>
      </c>
      <c r="AH71">
        <f>$AV$2</f>
        <v>0.08</v>
      </c>
      <c r="AI71">
        <f>(AF71 * ((1 - O71) + (0.04 * AF71))) * ( 1 - AH71 )</f>
        <v>0.37518461431249894</v>
      </c>
      <c r="AJ71">
        <f>$AV$1</f>
        <v>0.19</v>
      </c>
      <c r="AK71">
        <f>$AW$20</f>
        <v>0.6784</v>
      </c>
      <c r="AL71">
        <f>AI71 * AJ71 * R71 * T71 * AK71</f>
        <v>0</v>
      </c>
      <c r="AM71">
        <f>AI71*AJ71*S71*U71*AK71</f>
        <v>0.00022729104141819216</v>
      </c>
      <c r="AN71">
        <f>AL71+AM71</f>
        <v>0.00022729104141819216</v>
      </c>
      <c r="AO71">
        <f>H71*AN71*L71</f>
        <v>2.0740307529410034</v>
      </c>
      <c r="AP71">
        <f>SUM(AO71:AO94)*10^-3</f>
        <v>0.050519802937549436</v>
      </c>
    </row>
    <row r="72">
      <c r="F72" t="str">
        <v>Summer</v>
      </c>
      <c r="H72">
        <v>70</v>
      </c>
      <c r="I72">
        <v>0</v>
      </c>
      <c r="J72">
        <v>0</v>
      </c>
      <c r="L72">
        <f>$AV$3</f>
        <v>91.25</v>
      </c>
      <c r="M72">
        <v>0.1</v>
      </c>
      <c r="O72">
        <v>0.55</v>
      </c>
      <c r="Q72">
        <v>45</v>
      </c>
      <c r="R72">
        <f>1-S72</f>
        <v>0</v>
      </c>
      <c r="S72">
        <f>S71</f>
        <v>1</v>
      </c>
      <c r="T72">
        <f>T71</f>
        <v>0.78</v>
      </c>
      <c r="U72">
        <f>$AV$10</f>
        <v>0.0047</v>
      </c>
      <c r="V72">
        <f>(I72/100)*(MIN(J72,100)/100)</f>
        <v>0</v>
      </c>
      <c r="W72">
        <v>0</v>
      </c>
      <c r="X72">
        <f>1.6 * W72</f>
        <v>0</v>
      </c>
      <c r="Y72">
        <f>$AY$1</f>
        <v>1.3</v>
      </c>
      <c r="Z72">
        <f>V72*Y72+(1-V72)</f>
        <v>1</v>
      </c>
      <c r="AA72">
        <f>(0.795*O72)-0.0014</f>
        <v>0.43585000000000007</v>
      </c>
      <c r="AC72">
        <v>2</v>
      </c>
      <c r="AD72">
        <f>1 - EXP(-2*(AC72^2))</f>
        <v>0.9996645373720975</v>
      </c>
      <c r="AE72">
        <f>(104.7*AA72+0.307*Q72-15)*(Q72^0.75)*10^-3</f>
        <v>0.7722651660948706</v>
      </c>
      <c r="AF72">
        <f>AE72*AD72*Z72</f>
        <v>0.7720060999928149</v>
      </c>
      <c r="AG72">
        <f>(AF72 * M72) + (0.045 * X72)</f>
        <v>0.0772006099992815</v>
      </c>
      <c r="AH72">
        <f>$AV$2</f>
        <v>0.08</v>
      </c>
      <c r="AI72">
        <f>(AF72 * ((1 - O72) + (0.04 * AF72))) * ( 1 - AH72 )</f>
        <v>0.3415430831951064</v>
      </c>
      <c r="AJ72">
        <f>$AV$1</f>
        <v>0.19</v>
      </c>
      <c r="AK72">
        <f>$AW$20</f>
        <v>0.6784</v>
      </c>
      <c r="AL72">
        <f>AI72 * AJ72 * R72 * T72 * AK72</f>
        <v>0</v>
      </c>
      <c r="AM72">
        <f>AI72*AJ72*S72*U72*AK72</f>
        <v>0.0002069106250821273</v>
      </c>
      <c r="AN72">
        <f>AL72+AM72</f>
        <v>0.0002069106250821273</v>
      </c>
      <c r="AO72">
        <f>H72*AN72*L72</f>
        <v>1.321641617712088</v>
      </c>
    </row>
    <row r="73">
      <c r="F73" t="str">
        <v>Autumn</v>
      </c>
      <c r="H73">
        <v>65</v>
      </c>
      <c r="I73">
        <v>0</v>
      </c>
      <c r="J73">
        <v>0</v>
      </c>
      <c r="L73">
        <f>$AV$3</f>
        <v>91.25</v>
      </c>
      <c r="M73">
        <v>0.09</v>
      </c>
      <c r="O73">
        <v>0.59</v>
      </c>
      <c r="Q73">
        <v>45</v>
      </c>
      <c r="R73">
        <f>1-S73</f>
        <v>0</v>
      </c>
      <c r="S73">
        <f>S71</f>
        <v>1</v>
      </c>
      <c r="T73">
        <f>T71</f>
        <v>0.78</v>
      </c>
      <c r="U73">
        <f>$AV$10</f>
        <v>0.0047</v>
      </c>
      <c r="V73">
        <f>(I73/100)*(MIN(J73,100)/100)</f>
        <v>0</v>
      </c>
      <c r="W73">
        <v>0</v>
      </c>
      <c r="X73">
        <f>1.6 * W73</f>
        <v>0</v>
      </c>
      <c r="Y73">
        <f>$AY$1</f>
        <v>1.3</v>
      </c>
      <c r="Z73">
        <f>V73*Y73+(1-V73)</f>
        <v>1</v>
      </c>
      <c r="AA73">
        <f>(0.795*O73)-0.0014</f>
        <v>0.46765</v>
      </c>
      <c r="AC73">
        <v>2.2</v>
      </c>
      <c r="AD73">
        <f>1 - EXP(-2*(AC73^2))</f>
        <v>0.9999374784962252</v>
      </c>
      <c r="AE73">
        <f>(104.7*AA73+0.307*Q73-15)*(Q73^0.75)*10^-3</f>
        <v>0.8301124785833186</v>
      </c>
      <c r="AF73">
        <f>AE73*AD73*Z73</f>
        <v>0.8300605787028553</v>
      </c>
      <c r="AG73">
        <f>(AF73 * M73) + (0.045 * X73)</f>
        <v>0.07470545208325698</v>
      </c>
      <c r="AH73">
        <f>$AV$2</f>
        <v>0.08</v>
      </c>
      <c r="AI73">
        <f>(AF73 * ((1 - O73) + (0.04 * AF73))) * ( 1 - AH73 )</f>
        <v>0.33845407105356495</v>
      </c>
      <c r="AJ73">
        <f>$AV$1</f>
        <v>0.19</v>
      </c>
      <c r="AK73">
        <f>$AW$20</f>
        <v>0.6784</v>
      </c>
      <c r="AL73">
        <f>AI73 * AJ73 * R73 * T73 * AK73</f>
        <v>0</v>
      </c>
      <c r="AM73">
        <f>AI73*AJ73*S73*U73*AK73</f>
        <v>0.00020503926692984546</v>
      </c>
      <c r="AN73">
        <f>AL73+AM73</f>
        <v>0.00020503926692984546</v>
      </c>
      <c r="AO73">
        <f>H73*AN73*L73</f>
        <v>1.2161391519776459</v>
      </c>
    </row>
    <row r="74">
      <c r="F74" t="str">
        <v>Winter</v>
      </c>
      <c r="H74">
        <v>80</v>
      </c>
      <c r="I74">
        <v>0</v>
      </c>
      <c r="J74">
        <v>0</v>
      </c>
      <c r="L74">
        <f>$AV$3</f>
        <v>91.25</v>
      </c>
      <c r="M74">
        <v>0.07</v>
      </c>
      <c r="O74">
        <v>0.58</v>
      </c>
      <c r="Q74">
        <v>42</v>
      </c>
      <c r="R74">
        <f>1-S74</f>
        <v>0</v>
      </c>
      <c r="S74">
        <f>S71</f>
        <v>1</v>
      </c>
      <c r="T74">
        <f>T71</f>
        <v>0.78</v>
      </c>
      <c r="U74">
        <f>$AV$10</f>
        <v>0.0047</v>
      </c>
      <c r="V74">
        <f>(I74/100)*(MIN(J74,100)/100)</f>
        <v>0</v>
      </c>
      <c r="W74">
        <v>0</v>
      </c>
      <c r="X74">
        <f>1.6 * W74</f>
        <v>0</v>
      </c>
      <c r="Y74">
        <f>$AY$1</f>
        <v>1.3</v>
      </c>
      <c r="Z74">
        <f>V74*Y74+(1-V74)</f>
        <v>1</v>
      </c>
      <c r="AA74">
        <f>(0.795*O74)-0.0014</f>
        <v>0.4597</v>
      </c>
      <c r="AC74">
        <v>1.7</v>
      </c>
      <c r="AD74">
        <f>1 - EXP(-2*(AC74^2))</f>
        <v>0.9969112845917633</v>
      </c>
      <c r="AE74">
        <f>(104.7*AA74+0.307*Q74-15)*(Q74^0.75)*10^-3</f>
        <v>0.7593235966549482</v>
      </c>
      <c r="AF74">
        <f>AE74*AD74*Z74</f>
        <v>0.7569782621621223</v>
      </c>
      <c r="AG74">
        <f>(AF74 * M74) + (0.045 * X74)</f>
        <v>0.05298847835134857</v>
      </c>
      <c r="AH74">
        <f>$AV$2</f>
        <v>0.08</v>
      </c>
      <c r="AI74">
        <f>(AF74 * ((1 - O74) + (0.04 * AF74))) * ( 1 - AH74 )</f>
        <v>0.3135833925888484</v>
      </c>
      <c r="AJ74">
        <f>$AV$1</f>
        <v>0.19</v>
      </c>
      <c r="AK74">
        <f>$AW$20</f>
        <v>0.6784</v>
      </c>
      <c r="AL74">
        <f>AI74 * AJ74 * R74 * T74 * AK74</f>
        <v>0</v>
      </c>
      <c r="AM74">
        <f>AI74*AJ74*S74*U74*AK74</f>
        <v>0.00018997233136432135</v>
      </c>
      <c r="AN74">
        <f>AL74+AM74</f>
        <v>0.00018997233136432135</v>
      </c>
      <c r="AO74">
        <f>H74*AN74*L74</f>
        <v>1.386798018959546</v>
      </c>
    </row>
    <row r="75">
      <c r="E75" t="str">
        <v>Lambs and hoggets</v>
      </c>
      <c r="F75" t="str">
        <v>Spring</v>
      </c>
      <c r="H75">
        <v>200</v>
      </c>
      <c r="I75">
        <v>0</v>
      </c>
      <c r="J75">
        <v>0</v>
      </c>
      <c r="L75">
        <f>$AV$3</f>
        <v>91.25</v>
      </c>
      <c r="M75">
        <v>0.08</v>
      </c>
      <c r="O75">
        <v>0.51</v>
      </c>
      <c r="Q75">
        <v>20</v>
      </c>
      <c r="R75">
        <f>1-S75</f>
        <v>0</v>
      </c>
      <c r="S75">
        <f>S71</f>
        <v>1</v>
      </c>
      <c r="T75">
        <f>T71</f>
        <v>0.78</v>
      </c>
      <c r="U75">
        <f>$AV$10</f>
        <v>0.0047</v>
      </c>
      <c r="V75">
        <f>(I75/100)*(MIN(J75,100)/100)</f>
        <v>0</v>
      </c>
      <c r="W75">
        <v>1</v>
      </c>
      <c r="X75">
        <f>1.6 * W75</f>
        <v>1.6</v>
      </c>
      <c r="Y75">
        <f>$AY$1</f>
        <v>1.3</v>
      </c>
      <c r="Z75">
        <f>V75*Y75+(1-V75)</f>
        <v>1</v>
      </c>
      <c r="AA75">
        <f>(0.795*O75)-0.0014</f>
        <v>0.40405</v>
      </c>
      <c r="AC75">
        <v>1.5</v>
      </c>
      <c r="AD75">
        <f>1 - EXP(-2*(AC75^2))</f>
        <v>0.9888910034617577</v>
      </c>
      <c r="AE75">
        <f>(104.7*AA75+0.307*Q75-15)*(Q75^0.75)*10^-3</f>
        <v>0.31629415472458533</v>
      </c>
      <c r="AF75">
        <f>AE75*AD75*Z75</f>
        <v>0.31278044405468364</v>
      </c>
      <c r="AG75">
        <f>(AF75 * M75) + (0.045 * X75)</f>
        <v>0.09702243552437469</v>
      </c>
      <c r="AH75">
        <f>$AV$2</f>
        <v>0.08</v>
      </c>
      <c r="AI75">
        <f>(AF75 * ((1 - O75) + (0.04 * AF75))) * ( 1 - AH75 )</f>
        <v>0.14460162728738746</v>
      </c>
      <c r="AJ75">
        <f>$AV$1</f>
        <v>0.19</v>
      </c>
      <c r="AK75">
        <f>$AW$20</f>
        <v>0.6784</v>
      </c>
      <c r="AL75">
        <f>AI75 * AJ75 * R75 * T75 * AK75</f>
        <v>0</v>
      </c>
      <c r="AM75">
        <f>AI75*AJ75*S75*U75*AK75</f>
        <v>0.00008760128534892494</v>
      </c>
      <c r="AN75">
        <f>AL75+AM75</f>
        <v>0.00008760128534892494</v>
      </c>
      <c r="AO75">
        <f>H75*AN75*L75</f>
        <v>1.5987234576178802</v>
      </c>
    </row>
    <row r="76">
      <c r="F76" t="str">
        <v>Summer</v>
      </c>
      <c r="H76">
        <v>210</v>
      </c>
      <c r="I76">
        <v>0</v>
      </c>
      <c r="J76">
        <v>0</v>
      </c>
      <c r="L76">
        <f>$AV$3</f>
        <v>91.25</v>
      </c>
      <c r="M76">
        <v>0.1</v>
      </c>
      <c r="O76">
        <v>0.55</v>
      </c>
      <c r="Q76">
        <v>25</v>
      </c>
      <c r="R76">
        <f>1-S76</f>
        <v>0</v>
      </c>
      <c r="S76">
        <f>S71</f>
        <v>1</v>
      </c>
      <c r="T76">
        <f>T71</f>
        <v>0.78</v>
      </c>
      <c r="U76">
        <f>$AV$10</f>
        <v>0.0047</v>
      </c>
      <c r="V76">
        <f>(I76/100)*(MIN(J76,100)/100)</f>
        <v>0</v>
      </c>
      <c r="W76">
        <v>0</v>
      </c>
      <c r="X76">
        <f>1.6 * W76</f>
        <v>0</v>
      </c>
      <c r="Y76">
        <f>$AY$1</f>
        <v>1.3</v>
      </c>
      <c r="Z76">
        <f>V76*Y76+(1-V76)</f>
        <v>1</v>
      </c>
      <c r="AA76">
        <f>(0.795*O76)-0.0014</f>
        <v>0.43585000000000007</v>
      </c>
      <c r="AC76">
        <v>2</v>
      </c>
      <c r="AD76">
        <f>1 - EXP(-2*(AC76^2))</f>
        <v>0.9996645373720975</v>
      </c>
      <c r="AE76">
        <f>(104.7*AA76+0.307*Q76-15)*(Q76^0.75)*10^-3</f>
        <v>0.428301994678554</v>
      </c>
      <c r="AF76">
        <f>AE76*AD76*Z76</f>
        <v>0.4281583153658833</v>
      </c>
      <c r="AG76">
        <f>(AF76 * M76) + (0.045 * X76)</f>
        <v>0.04281583153658833</v>
      </c>
      <c r="AH76">
        <f>$AV$2</f>
        <v>0.08</v>
      </c>
      <c r="AI76">
        <f>(AF76 * ((1 - O76) + (0.04 * AF76))) * ( 1 - AH76 )</f>
        <v>0.18400370174449945</v>
      </c>
      <c r="AJ76">
        <f>$AV$1</f>
        <v>0.19</v>
      </c>
      <c r="AK76">
        <f>$AW$20</f>
        <v>0.6784</v>
      </c>
      <c r="AL76">
        <f>AI76 * AJ76 * R76 * T76 * AK76</f>
        <v>0</v>
      </c>
      <c r="AM76">
        <f>AI76*AJ76*S76*U76*AK76</f>
        <v>0.0001114715033582773</v>
      </c>
      <c r="AN76">
        <f>AL76+AM76</f>
        <v>0.0001114715033582773</v>
      </c>
      <c r="AO76">
        <f>H76*AN76*L76</f>
        <v>2.136072683102989</v>
      </c>
    </row>
    <row r="77">
      <c r="F77" t="str">
        <v>Autumn</v>
      </c>
      <c r="H77">
        <v>170</v>
      </c>
      <c r="I77">
        <v>0</v>
      </c>
      <c r="J77">
        <v>0</v>
      </c>
      <c r="L77">
        <f>$AV$3</f>
        <v>91.25</v>
      </c>
      <c r="M77">
        <v>0.09</v>
      </c>
      <c r="O77">
        <v>0.59</v>
      </c>
      <c r="Q77">
        <v>20</v>
      </c>
      <c r="R77">
        <f>1-S77</f>
        <v>0</v>
      </c>
      <c r="S77">
        <f>S71</f>
        <v>1</v>
      </c>
      <c r="T77">
        <f>T71</f>
        <v>0.78</v>
      </c>
      <c r="U77">
        <f>$AV$10</f>
        <v>0.0047</v>
      </c>
      <c r="V77">
        <f>(I77/100)*(MIN(J77,100)/100)</f>
        <v>0</v>
      </c>
      <c r="W77">
        <v>0</v>
      </c>
      <c r="X77">
        <f>1.6 * W77</f>
        <v>0</v>
      </c>
      <c r="Y77">
        <f>$AY$1</f>
        <v>1.3</v>
      </c>
      <c r="Z77">
        <f>V77*Y77+(1-V77)</f>
        <v>1</v>
      </c>
      <c r="AA77">
        <f>(0.795*O77)-0.0014</f>
        <v>0.46765</v>
      </c>
      <c r="AC77">
        <v>2.2</v>
      </c>
      <c r="AD77">
        <f>1 - EXP(-2*(AC77^2))</f>
        <v>0.9999374784962252</v>
      </c>
      <c r="AE77">
        <f>(104.7*AA77+0.307*Q77-15)*(Q77^0.75)*10^-3</f>
        <v>0.3792703318748196</v>
      </c>
      <c r="AF77">
        <f>AE77*AD77*Z77</f>
        <v>0.37924661932333364</v>
      </c>
      <c r="AG77">
        <f>(AF77 * M77) + (0.045 * X77)</f>
        <v>0.03413219573910003</v>
      </c>
      <c r="AH77">
        <f>$AV$2</f>
        <v>0.08</v>
      </c>
      <c r="AI77">
        <f>(AF77 * ((1 - O77) + (0.04 * AF77))) * ( 1 - AH77 )</f>
        <v>0.1483446951450304</v>
      </c>
      <c r="AJ77">
        <f>$AV$1</f>
        <v>0.19</v>
      </c>
      <c r="AK77">
        <f>$AW$20</f>
        <v>0.6784</v>
      </c>
      <c r="AL77">
        <f>AI77 * AJ77 * R77 * T77 * AK77</f>
        <v>0</v>
      </c>
      <c r="AM77">
        <f>AI77*AJ77*S77*U77*AK77</f>
        <v>0.00008986887777944505</v>
      </c>
      <c r="AN77">
        <f>AL77+AM77</f>
        <v>0.00008986887777944505</v>
      </c>
      <c r="AO77">
        <f>H77*AN77*L77</f>
        <v>1.3940909665536414</v>
      </c>
    </row>
    <row r="78">
      <c r="F78" t="str">
        <v>Winter</v>
      </c>
      <c r="H78">
        <v>200</v>
      </c>
      <c r="I78">
        <v>0</v>
      </c>
      <c r="J78">
        <v>0</v>
      </c>
      <c r="L78">
        <f>$AV$3</f>
        <v>91.25</v>
      </c>
      <c r="M78">
        <v>0.07</v>
      </c>
      <c r="O78">
        <v>0.58</v>
      </c>
      <c r="Q78">
        <v>25</v>
      </c>
      <c r="R78">
        <f>1-S78</f>
        <v>0</v>
      </c>
      <c r="S78">
        <f>S71</f>
        <v>1</v>
      </c>
      <c r="T78">
        <f>T71</f>
        <v>0.78</v>
      </c>
      <c r="U78">
        <f>$AV$10</f>
        <v>0.0047</v>
      </c>
      <c r="V78">
        <f>(I78/100)*(MIN(J78,100)/100)</f>
        <v>0</v>
      </c>
      <c r="W78">
        <v>0</v>
      </c>
      <c r="X78">
        <f>1.6 * W78</f>
        <v>0</v>
      </c>
      <c r="Y78">
        <f>$AY$1</f>
        <v>1.3</v>
      </c>
      <c r="Z78">
        <f>V78*Y78+(1-V78)</f>
        <v>1</v>
      </c>
      <c r="AA78">
        <f>(0.795*O78)-0.0014</f>
        <v>0.4597</v>
      </c>
      <c r="AC78">
        <v>1.7</v>
      </c>
      <c r="AD78">
        <f>1 - EXP(-2*(AC78^2))</f>
        <v>0.9969112845917633</v>
      </c>
      <c r="AE78">
        <f>(104.7*AA78+0.307*Q78-15)*(Q78^0.75)*10^-3</f>
        <v>0.45622036550992806</v>
      </c>
      <c r="AF78">
        <f>AE78*AD78*Z78</f>
        <v>0.4548112306374261</v>
      </c>
      <c r="AG78">
        <f>(AF78 * M78) + (0.045 * X78)</f>
        <v>0.03183678614461983</v>
      </c>
      <c r="AH78">
        <f>$AV$2</f>
        <v>0.08</v>
      </c>
      <c r="AI78">
        <f>(AF78 * ((1 - O78) + (0.04 * AF78))) * ( 1 - AH78 )</f>
        <v>0.1833512593212141</v>
      </c>
      <c r="AJ78">
        <f>$AV$1</f>
        <v>0.19</v>
      </c>
      <c r="AK78">
        <f>$AW$20</f>
        <v>0.6784</v>
      </c>
      <c r="AL78">
        <f>AI78 * AJ78 * R78 * T78 * AK78</f>
        <v>0</v>
      </c>
      <c r="AM78">
        <f>AI78*AJ78*S78*U78*AK78</f>
        <v>0.00011107624643089592</v>
      </c>
      <c r="AN78">
        <f>AL78+AM78</f>
        <v>0.00011107624643089592</v>
      </c>
      <c r="AO78">
        <f>H78*AN78*L78</f>
        <v>2.0271414973638504</v>
      </c>
    </row>
    <row r="79">
      <c r="E79" t="str">
        <v>Maiden ewes</v>
      </c>
      <c r="F79" t="str">
        <v>Spring</v>
      </c>
      <c r="H79">
        <v>100</v>
      </c>
      <c r="I79">
        <v>95</v>
      </c>
      <c r="J79">
        <v>92</v>
      </c>
      <c r="L79">
        <f>$AV$3</f>
        <v>91.25</v>
      </c>
      <c r="M79">
        <v>0.08</v>
      </c>
      <c r="O79">
        <v>0.51</v>
      </c>
      <c r="Q79">
        <v>35</v>
      </c>
      <c r="R79">
        <f>1-S79</f>
        <v>0</v>
      </c>
      <c r="S79">
        <f>S71</f>
        <v>1</v>
      </c>
      <c r="T79">
        <f>T71</f>
        <v>0.78</v>
      </c>
      <c r="U79">
        <f>$AV$10</f>
        <v>0.0047</v>
      </c>
      <c r="V79">
        <f>(I79/100)*(MIN(J79,100)/100)</f>
        <v>0.874</v>
      </c>
      <c r="W79">
        <v>0</v>
      </c>
      <c r="X79">
        <f>1.6 * W79</f>
        <v>0</v>
      </c>
      <c r="Y79">
        <f>$AY$1</f>
        <v>1.3</v>
      </c>
      <c r="Z79">
        <f>V79*Y79+(1-V79)</f>
        <v>1.2622</v>
      </c>
      <c r="AA79">
        <f>(0.795*O79)-0.0014</f>
        <v>0.40405</v>
      </c>
      <c r="AC79">
        <v>1.5</v>
      </c>
      <c r="AD79">
        <f>1 - EXP(-2*(AC79^2))</f>
        <v>0.9888910034617577</v>
      </c>
      <c r="AE79">
        <f>(104.7*AA79+0.307*Q79-15)*(Q79^0.75)*10^-3</f>
        <v>0.5475133082693564</v>
      </c>
      <c r="AF79">
        <f>AE79*AD79*Z79</f>
        <v>0.6833941890437806</v>
      </c>
      <c r="AG79">
        <f>(AF79 * M79) + (0.045 * X79)</f>
        <v>0.054671535123502445</v>
      </c>
      <c r="AH79">
        <f>$AV$2</f>
        <v>0.08</v>
      </c>
      <c r="AI79">
        <f>(AF79 * ((1 - O79) + (0.04 * AF79))) * ( 1 - AH79 )</f>
        <v>0.3252607167493084</v>
      </c>
      <c r="AJ79">
        <f>$AV$1</f>
        <v>0.19</v>
      </c>
      <c r="AK79">
        <f>$AW$20</f>
        <v>0.6784</v>
      </c>
      <c r="AL79">
        <f>AI79 * AJ79 * R79 * T79 * AK79</f>
        <v>0</v>
      </c>
      <c r="AM79">
        <f>AI79*AJ79*S79*U79*AK79</f>
        <v>0.00019704658512675863</v>
      </c>
      <c r="AN79">
        <f>AL79+AM79</f>
        <v>0.00019704658512675863</v>
      </c>
      <c r="AO79">
        <f>H79*AN79*L79</f>
        <v>1.7980500892816726</v>
      </c>
    </row>
    <row r="80">
      <c r="F80" t="str">
        <v>Summer</v>
      </c>
      <c r="H80">
        <v>140</v>
      </c>
      <c r="I80">
        <v>0</v>
      </c>
      <c r="J80">
        <v>0</v>
      </c>
      <c r="L80">
        <f>$AV$3</f>
        <v>91.25</v>
      </c>
      <c r="M80">
        <v>0.1</v>
      </c>
      <c r="O80">
        <v>0.55</v>
      </c>
      <c r="Q80">
        <v>40</v>
      </c>
      <c r="R80">
        <f>1-S80</f>
        <v>0</v>
      </c>
      <c r="S80">
        <f>S71</f>
        <v>1</v>
      </c>
      <c r="T80">
        <f>T71</f>
        <v>0.78</v>
      </c>
      <c r="U80">
        <f>$AV$10</f>
        <v>0.0047</v>
      </c>
      <c r="V80">
        <f>(I80/100)*(MIN(J80,100)/100)</f>
        <v>0</v>
      </c>
      <c r="W80">
        <v>0</v>
      </c>
      <c r="X80">
        <f>1.6 * W80</f>
        <v>0</v>
      </c>
      <c r="Y80">
        <f>$AY$1</f>
        <v>1.3</v>
      </c>
      <c r="Z80">
        <f>V80*Y80+(1-V80)</f>
        <v>1</v>
      </c>
      <c r="AA80">
        <f>(0.795*O80)-0.0014</f>
        <v>0.43585000000000007</v>
      </c>
      <c r="AC80">
        <v>2</v>
      </c>
      <c r="AD80">
        <f>1 - EXP(-2*(AC80^2))</f>
        <v>0.9996645373720975</v>
      </c>
      <c r="AE80">
        <f>(104.7*AA80+0.307*Q80-15)*(Q80^0.75)*10^-3</f>
        <v>0.682556928851824</v>
      </c>
      <c r="AF80">
        <f>AE80*AD80*Z80</f>
        <v>0.6823279565107783</v>
      </c>
      <c r="AG80">
        <f>(AF80 * M80) + (0.045 * X80)</f>
        <v>0.06823279565107783</v>
      </c>
      <c r="AH80">
        <f>$AV$2</f>
        <v>0.08</v>
      </c>
      <c r="AI80">
        <f>(AF80 * ((1 - O80) + (0.04 * AF80))) * ( 1 - AH80 )</f>
        <v>0.2996168029961534</v>
      </c>
      <c r="AJ80">
        <f>$AV$1</f>
        <v>0.19</v>
      </c>
      <c r="AK80">
        <f>$AW$20</f>
        <v>0.6784</v>
      </c>
      <c r="AL80">
        <f>AI80 * AJ80 * R80 * T80 * AK80</f>
        <v>0</v>
      </c>
      <c r="AM80">
        <f>AI80*AJ80*S80*U80*AK80</f>
        <v>0.00018151121496326329</v>
      </c>
      <c r="AN80">
        <f>AL80+AM80</f>
        <v>0.00018151121496326329</v>
      </c>
      <c r="AO80">
        <f>H80*AN80*L80</f>
        <v>2.3188057711556884</v>
      </c>
    </row>
    <row r="81">
      <c r="F81" t="str">
        <v>Autumn</v>
      </c>
      <c r="H81">
        <v>135</v>
      </c>
      <c r="I81">
        <v>0</v>
      </c>
      <c r="J81">
        <v>0</v>
      </c>
      <c r="L81">
        <f>$AV$3</f>
        <v>91.25</v>
      </c>
      <c r="M81">
        <v>0.09</v>
      </c>
      <c r="O81">
        <v>0.59</v>
      </c>
      <c r="Q81">
        <v>40</v>
      </c>
      <c r="R81">
        <f>1-S81</f>
        <v>0</v>
      </c>
      <c r="S81">
        <f>S71</f>
        <v>1</v>
      </c>
      <c r="T81">
        <f>T71</f>
        <v>0.78</v>
      </c>
      <c r="U81">
        <f>$AV$10</f>
        <v>0.0047</v>
      </c>
      <c r="V81">
        <f>(I81/100)*(MIN(J81,100)/100)</f>
        <v>0</v>
      </c>
      <c r="W81">
        <v>0</v>
      </c>
      <c r="X81">
        <f>1.6 * W81</f>
        <v>0</v>
      </c>
      <c r="Y81">
        <f>$AY$1</f>
        <v>1.3</v>
      </c>
      <c r="Z81">
        <f>V81*Y81+(1-V81)</f>
        <v>1</v>
      </c>
      <c r="AA81">
        <f>(0.795*O81)-0.0014</f>
        <v>0.46765</v>
      </c>
      <c r="AC81">
        <v>2.2</v>
      </c>
      <c r="AD81">
        <f>1 - EXP(-2*(AC81^2))</f>
        <v>0.9999374784962252</v>
      </c>
      <c r="AE81">
        <f>(104.7*AA81+0.307*Q81-15)*(Q81^0.75)*10^-3</f>
        <v>0.7355133704638387</v>
      </c>
      <c r="AF81">
        <f>AE81*AD81*Z81</f>
        <v>0.7354673850618708</v>
      </c>
      <c r="AG81">
        <f>(AF81 * M81) + (0.045 * X81)</f>
        <v>0.06619206465556837</v>
      </c>
      <c r="AH81">
        <f>$AV$2</f>
        <v>0.08</v>
      </c>
      <c r="AI81">
        <f>(AF81 * ((1 - O81) + (0.04 * AF81))) * ( 1 - AH81 )</f>
        <v>0.29732386934656035</v>
      </c>
      <c r="AJ81">
        <f>$AV$1</f>
        <v>0.19</v>
      </c>
      <c r="AK81">
        <f>$AW$20</f>
        <v>0.6784</v>
      </c>
      <c r="AL81">
        <f>AI81 * AJ81 * R81 * T81 * AK81</f>
        <v>0</v>
      </c>
      <c r="AM81">
        <f>AI81*AJ81*S81*U81*AK81</f>
        <v>0.00018012213007748295</v>
      </c>
      <c r="AN81">
        <f>AL81+AM81</f>
        <v>0.00018012213007748295</v>
      </c>
      <c r="AO81">
        <f>H81*AN81*L81</f>
        <v>2.218879489891993</v>
      </c>
    </row>
    <row r="82">
      <c r="F82" t="str">
        <v>Winter</v>
      </c>
      <c r="H82">
        <v>130</v>
      </c>
      <c r="I82">
        <v>0</v>
      </c>
      <c r="J82">
        <v>0</v>
      </c>
      <c r="L82">
        <f>$AV$3</f>
        <v>91.25</v>
      </c>
      <c r="M82">
        <v>0.07</v>
      </c>
      <c r="O82">
        <v>0.58</v>
      </c>
      <c r="Q82">
        <v>35</v>
      </c>
      <c r="R82">
        <f>1-S82</f>
        <v>0</v>
      </c>
      <c r="S82">
        <f>S71</f>
        <v>1</v>
      </c>
      <c r="T82">
        <f>T71</f>
        <v>0.78</v>
      </c>
      <c r="U82">
        <f>$AV$10</f>
        <v>0.0047</v>
      </c>
      <c r="V82">
        <f>(I82/100)*(MIN(J82,100)/100)</f>
        <v>0</v>
      </c>
      <c r="W82">
        <v>0</v>
      </c>
      <c r="X82">
        <f>1.6 * W82</f>
        <v>0</v>
      </c>
      <c r="Y82">
        <f>$AY$1</f>
        <v>1.3</v>
      </c>
      <c r="Z82">
        <f>V82*Y82+(1-V82)</f>
        <v>1</v>
      </c>
      <c r="AA82">
        <f>(0.795*O82)-0.0014</f>
        <v>0.4597</v>
      </c>
      <c r="AC82">
        <v>1.7</v>
      </c>
      <c r="AD82">
        <f>1 - EXP(-2*(AC82^2))</f>
        <v>0.9969112845917633</v>
      </c>
      <c r="AE82">
        <f>(104.7*AA82+0.307*Q82-15)*(Q82^0.75)*10^-3</f>
        <v>0.6313555503620495</v>
      </c>
      <c r="AF82">
        <f>AE82*AD82*Z82</f>
        <v>0.6294054727455705</v>
      </c>
      <c r="AG82">
        <f>(AF82 * M82) + (0.045 * X82)</f>
        <v>0.044058383092189936</v>
      </c>
      <c r="AH82">
        <f>$AV$2</f>
        <v>0.08</v>
      </c>
      <c r="AI82">
        <f>(AF82 * ((1 - O82) + (0.04 * AF82))) * ( 1 - AH82 )</f>
        <v>0.2577806406365808</v>
      </c>
      <c r="AJ82">
        <f>$AV$1</f>
        <v>0.19</v>
      </c>
      <c r="AK82">
        <f>$AW$20</f>
        <v>0.6784</v>
      </c>
      <c r="AL82">
        <f>AI82 * AJ82 * R82 * T82 * AK82</f>
        <v>0</v>
      </c>
      <c r="AM82">
        <f>AI82*AJ82*S82*U82*AK82</f>
        <v>0.0001561663992408158</v>
      </c>
      <c r="AN82">
        <f>AL82+AM82</f>
        <v>0.0001561663992408158</v>
      </c>
      <c r="AO82">
        <f>H82*AN82*L82</f>
        <v>1.8525239109941771</v>
      </c>
    </row>
    <row r="83">
      <c r="E83" t="str">
        <v>Other ewes</v>
      </c>
      <c r="F83" t="str">
        <v>Spring</v>
      </c>
      <c r="H83">
        <v>200</v>
      </c>
      <c r="I83">
        <v>0</v>
      </c>
      <c r="J83">
        <v>0</v>
      </c>
      <c r="L83">
        <f>$AV$3</f>
        <v>91.25</v>
      </c>
      <c r="M83">
        <v>0.08</v>
      </c>
      <c r="O83">
        <v>0.51</v>
      </c>
      <c r="Q83">
        <v>45</v>
      </c>
      <c r="R83">
        <f>1-S83</f>
        <v>0</v>
      </c>
      <c r="S83">
        <f>S71</f>
        <v>1</v>
      </c>
      <c r="T83">
        <f>T71</f>
        <v>0.78</v>
      </c>
      <c r="U83">
        <f>$AV$10</f>
        <v>0.0047</v>
      </c>
      <c r="V83">
        <f>(I83/100)*(MIN(J83,100)/100)</f>
        <v>0</v>
      </c>
      <c r="W83">
        <v>0</v>
      </c>
      <c r="X83">
        <f>1.6 * W83</f>
        <v>0</v>
      </c>
      <c r="Y83">
        <f>$AY$1</f>
        <v>1.3</v>
      </c>
      <c r="Z83">
        <f>V83*Y83+(1-V83)</f>
        <v>1</v>
      </c>
      <c r="AA83">
        <f>(0.795*O83)-0.0014</f>
        <v>0.40405</v>
      </c>
      <c r="AC83">
        <v>1.5</v>
      </c>
      <c r="AD83">
        <f>1 - EXP(-2*(AC83^2))</f>
        <v>0.9888910034617577</v>
      </c>
      <c r="AE83">
        <f>(104.7*AA83+0.307*Q83-15)*(Q83^0.75)*10^-3</f>
        <v>0.7144178536064223</v>
      </c>
      <c r="AF83">
        <f>AE83*AD83*Z83</f>
        <v>0.7064813881438501</v>
      </c>
      <c r="AG83">
        <f>(AF83 * M83) + (0.045 * X83)</f>
        <v>0.05651851105150801</v>
      </c>
      <c r="AH83">
        <f>$AV$2</f>
        <v>0.08</v>
      </c>
      <c r="AI83">
        <f>(AF83 * ((1 - O83) + (0.04 * AF83))) * ( 1 - AH83 )</f>
        <v>0.3368492768012544</v>
      </c>
      <c r="AJ83">
        <f>$AV$1</f>
        <v>0.19</v>
      </c>
      <c r="AK83">
        <f>$AW$20</f>
        <v>0.6784</v>
      </c>
      <c r="AL83">
        <f>AI83 * AJ83 * R83 * T83 * AK83</f>
        <v>0</v>
      </c>
      <c r="AM83">
        <f>AI83*AJ83*S83*U83*AK83</f>
        <v>0.00020406706459810014</v>
      </c>
      <c r="AN83">
        <f>AL83+AM83</f>
        <v>0.00020406706459810014</v>
      </c>
      <c r="AO83">
        <f>H83*AN83*L83</f>
        <v>3.7242239289153276</v>
      </c>
    </row>
    <row r="84">
      <c r="F84" t="str">
        <v>Summer</v>
      </c>
      <c r="H84">
        <v>210</v>
      </c>
      <c r="I84">
        <v>0</v>
      </c>
      <c r="J84">
        <v>0</v>
      </c>
      <c r="L84">
        <f>$AV$3</f>
        <v>91.25</v>
      </c>
      <c r="M84">
        <v>0.1</v>
      </c>
      <c r="O84">
        <v>0.55</v>
      </c>
      <c r="Q84">
        <v>50</v>
      </c>
      <c r="R84">
        <f>1-S84</f>
        <v>0</v>
      </c>
      <c r="S84">
        <f>S71</f>
        <v>1</v>
      </c>
      <c r="T84">
        <f>T71</f>
        <v>0.78</v>
      </c>
      <c r="U84">
        <f>$AV$10</f>
        <v>0.0047</v>
      </c>
      <c r="V84">
        <f>(I84/100)*(MIN(J84,100)/100)</f>
        <v>0</v>
      </c>
      <c r="W84">
        <v>0</v>
      </c>
      <c r="X84">
        <f>1.6 * W84</f>
        <v>0</v>
      </c>
      <c r="Y84">
        <f>$AY$1</f>
        <v>1.3</v>
      </c>
      <c r="Z84">
        <f>V84*Y84+(1-V84)</f>
        <v>1</v>
      </c>
      <c r="AA84">
        <f>(0.795*O84)-0.0014</f>
        <v>0.43585000000000007</v>
      </c>
      <c r="AC84">
        <v>2</v>
      </c>
      <c r="AD84">
        <f>1 - EXP(-2*(AC84^2))</f>
        <v>0.9996645373720975</v>
      </c>
      <c r="AE84">
        <f>(104.7*AA84+0.307*Q84-15)*(Q84^0.75)*10^-3</f>
        <v>0.8646283676396137</v>
      </c>
      <c r="AF84">
        <f>AE84*AD84*Z84</f>
        <v>0.8643383171352462</v>
      </c>
      <c r="AG84">
        <f>(AF84 * M84) + (0.045 * X84)</f>
        <v>0.08643383171352463</v>
      </c>
      <c r="AH84">
        <f>$AV$2</f>
        <v>0.08</v>
      </c>
      <c r="AI84">
        <f>(AF84 * ((1 - O84) + (0.04 * AF84))) * ( 1 - AH84 )</f>
        <v>0.3853286340280213</v>
      </c>
      <c r="AJ84">
        <f>$AV$1</f>
        <v>0.19</v>
      </c>
      <c r="AK84">
        <f>$AW$20</f>
        <v>0.6784</v>
      </c>
      <c r="AL84">
        <f>AI84 * AJ84 * R84 * T84 * AK84</f>
        <v>0</v>
      </c>
      <c r="AM84">
        <f>AI84*AJ84*S84*U84*AK84</f>
        <v>0.00023343640217487642</v>
      </c>
      <c r="AN84">
        <f>AL84+AM84</f>
        <v>0.00023343640217487642</v>
      </c>
      <c r="AO84">
        <f>H84*AN84*L84</f>
        <v>4.473225056676069</v>
      </c>
    </row>
    <row r="85">
      <c r="F85" t="str">
        <v>Autumn</v>
      </c>
      <c r="H85">
        <v>190</v>
      </c>
      <c r="I85">
        <v>0</v>
      </c>
      <c r="J85">
        <v>0</v>
      </c>
      <c r="L85">
        <f>$AV$3</f>
        <v>91.25</v>
      </c>
      <c r="M85">
        <v>0.09</v>
      </c>
      <c r="O85">
        <v>0.59</v>
      </c>
      <c r="Q85">
        <v>50</v>
      </c>
      <c r="R85">
        <f>1-S85</f>
        <v>0</v>
      </c>
      <c r="S85">
        <f>S71</f>
        <v>1</v>
      </c>
      <c r="T85">
        <f>T71</f>
        <v>0.78</v>
      </c>
      <c r="U85">
        <f>$AV$10</f>
        <v>0.0047</v>
      </c>
      <c r="V85">
        <f>(I85/100)*(MIN(J85,100)/100)</f>
        <v>0</v>
      </c>
      <c r="W85">
        <v>0</v>
      </c>
      <c r="X85">
        <f>1.6 * W85</f>
        <v>0</v>
      </c>
      <c r="Y85">
        <f>$AY$1</f>
        <v>1.3</v>
      </c>
      <c r="Z85">
        <f>V85*Y85+(1-V85)</f>
        <v>1</v>
      </c>
      <c r="AA85">
        <f>(0.795*O85)-0.0014</f>
        <v>0.46765</v>
      </c>
      <c r="AC85">
        <v>2.2</v>
      </c>
      <c r="AD85">
        <f>1 - EXP(-2*(AC85^2))</f>
        <v>0.9999374784962252</v>
      </c>
      <c r="AE85">
        <f>(104.7*AA85+0.307*Q85-15)*(Q85^0.75)*10^-3</f>
        <v>0.9272322555111506</v>
      </c>
      <c r="AF85">
        <f>AE85*AD85*Z85</f>
        <v>0.9271742835561876</v>
      </c>
      <c r="AG85">
        <f>(AF85 * M85) + (0.045 * X85)</f>
        <v>0.08344568552005688</v>
      </c>
      <c r="AH85">
        <f>$AV$2</f>
        <v>0.08</v>
      </c>
      <c r="AI85">
        <f>(AF85 * ((1 - O85) + (0.04 * AF85))) * ( 1 - AH85 )</f>
        <v>0.3813653389542298</v>
      </c>
      <c r="AJ85">
        <f>$AV$1</f>
        <v>0.19</v>
      </c>
      <c r="AK85">
        <f>$AW$20</f>
        <v>0.6784</v>
      </c>
      <c r="AL85">
        <f>AI85 * AJ85 * R85 * T85 * AK85</f>
        <v>0</v>
      </c>
      <c r="AM85">
        <f>AI85*AJ85*S85*U85*AK85</f>
        <v>0.00023103539363026872</v>
      </c>
      <c r="AN85">
        <f>AL85+AM85</f>
        <v>0.00023103539363026872</v>
      </c>
      <c r="AO85">
        <f>H85*AN85*L85</f>
        <v>4.005576137064784</v>
      </c>
    </row>
    <row r="86">
      <c r="F86" t="str">
        <v>Winter</v>
      </c>
      <c r="H86">
        <v>180</v>
      </c>
      <c r="I86">
        <v>0</v>
      </c>
      <c r="J86">
        <v>0</v>
      </c>
      <c r="L86">
        <f>$AV$3</f>
        <v>91.25</v>
      </c>
      <c r="M86">
        <v>0.07</v>
      </c>
      <c r="O86">
        <v>0.58</v>
      </c>
      <c r="Q86">
        <v>48</v>
      </c>
      <c r="R86">
        <f>1-S86</f>
        <v>0</v>
      </c>
      <c r="S86">
        <f>S71</f>
        <v>1</v>
      </c>
      <c r="T86">
        <f>T71</f>
        <v>0.78</v>
      </c>
      <c r="U86">
        <f>$AV$10</f>
        <v>0.0047</v>
      </c>
      <c r="V86">
        <f>(I86/100)*(MIN(J86,100)/100)</f>
        <v>0</v>
      </c>
      <c r="W86">
        <v>0</v>
      </c>
      <c r="X86">
        <f>1.6 * W86</f>
        <v>0</v>
      </c>
      <c r="Y86">
        <f>$AY$1</f>
        <v>1.3</v>
      </c>
      <c r="Z86">
        <f>V86*Y86+(1-V86)</f>
        <v>1</v>
      </c>
      <c r="AA86">
        <f>(0.795*O86)-0.0014</f>
        <v>0.4597</v>
      </c>
      <c r="AC86">
        <v>1.7</v>
      </c>
      <c r="AD86">
        <f>1 - EXP(-2*(AC86^2))</f>
        <v>0.9969112845917633</v>
      </c>
      <c r="AE86">
        <f>(104.7*AA86+0.307*Q86-15)*(Q86^0.75)*10^-3</f>
        <v>0.8728978375788883</v>
      </c>
      <c r="AF86">
        <f>AE86*AD86*Z86</f>
        <v>0.8702017045781418</v>
      </c>
      <c r="AG86">
        <f>(AF86 * M86) + (0.045 * X86)</f>
        <v>0.06091411932046993</v>
      </c>
      <c r="AH86">
        <f>$AV$2</f>
        <v>0.08</v>
      </c>
      <c r="AI86">
        <f>(AF86 * ((1 - O86) + (0.04 * AF86))) * ( 1 - AH86 )</f>
        <v>0.3641127756937399</v>
      </c>
      <c r="AJ86">
        <f>$AV$1</f>
        <v>0.19</v>
      </c>
      <c r="AK86">
        <f>$AW$20</f>
        <v>0.6784</v>
      </c>
      <c r="AL86">
        <f>AI86 * AJ86 * R86 * T86 * AK86</f>
        <v>0</v>
      </c>
      <c r="AM86">
        <f>AI86*AJ86*S86*U86*AK86</f>
        <v>0.00022058359757835542</v>
      </c>
      <c r="AN86">
        <f>AL86+AM86</f>
        <v>0.00022058359757835542</v>
      </c>
      <c r="AO86">
        <f>H86*AN86*L86</f>
        <v>3.623085590224488</v>
      </c>
    </row>
    <row r="87">
      <c r="E87" t="str">
        <v>Rams</v>
      </c>
      <c r="F87" t="str">
        <v>Spring</v>
      </c>
      <c r="H87">
        <v>50</v>
      </c>
      <c r="I87">
        <v>0</v>
      </c>
      <c r="J87">
        <v>0</v>
      </c>
      <c r="L87">
        <f>$AV$3</f>
        <v>91.25</v>
      </c>
      <c r="M87">
        <v>0.08</v>
      </c>
      <c r="O87">
        <v>0.51</v>
      </c>
      <c r="Q87">
        <v>58</v>
      </c>
      <c r="R87">
        <f>1-S87</f>
        <v>0</v>
      </c>
      <c r="S87">
        <f>S71</f>
        <v>1</v>
      </c>
      <c r="T87">
        <f>T71</f>
        <v>0.78</v>
      </c>
      <c r="U87">
        <f>$AV$10</f>
        <v>0.0047</v>
      </c>
      <c r="V87">
        <f>(I87/100)*(MIN(J87,100)/100)</f>
        <v>0</v>
      </c>
      <c r="W87">
        <v>0</v>
      </c>
      <c r="X87">
        <f>1.6 * W87</f>
        <v>0</v>
      </c>
      <c r="Y87">
        <f>$AY$1</f>
        <v>1.3</v>
      </c>
      <c r="Z87">
        <f>V87*Y87+(1-V87)</f>
        <v>1</v>
      </c>
      <c r="AA87">
        <f>(0.795*O87)-0.0014</f>
        <v>0.40405</v>
      </c>
      <c r="AC87">
        <v>1.5</v>
      </c>
      <c r="AD87">
        <f>1 - EXP(-2*(AC87^2))</f>
        <v>0.9888910034617577</v>
      </c>
      <c r="AE87">
        <f>(104.7*AA87+0.307*Q87-15)*(Q87^0.75)*10^-3</f>
        <v>0.9480781970671834</v>
      </c>
      <c r="AF87">
        <f>AE87*AD87*Z87</f>
        <v>0.9375459996579811</v>
      </c>
      <c r="AG87">
        <f>(AF87 * M87) + (0.045 * X87)</f>
        <v>0.07500367997263849</v>
      </c>
      <c r="AH87">
        <f>$AV$2</f>
        <v>0.08</v>
      </c>
      <c r="AI87">
        <f>(AF87 * ((1 - O87) + (0.04 * AF87))) * ( 1 - AH87 )</f>
        <v>0.45499266070008626</v>
      </c>
      <c r="AJ87">
        <f>$AV$1</f>
        <v>0.19</v>
      </c>
      <c r="AK87">
        <f>$AW$20</f>
        <v>0.6784</v>
      </c>
      <c r="AL87">
        <f>AI87 * AJ87 * R87 * T87 * AK87</f>
        <v>0</v>
      </c>
      <c r="AM87">
        <f>AI87*AJ87*S87*U87*AK87</f>
        <v>0.00027563964976991213</v>
      </c>
      <c r="AN87">
        <f>AL87+AM87</f>
        <v>0.00027563964976991213</v>
      </c>
      <c r="AO87">
        <f>H87*AN87*L87</f>
        <v>1.2576059020752242</v>
      </c>
    </row>
    <row r="88">
      <c r="F88" t="str">
        <v>Summer</v>
      </c>
      <c r="H88">
        <v>55</v>
      </c>
      <c r="I88">
        <v>0</v>
      </c>
      <c r="J88">
        <v>0</v>
      </c>
      <c r="L88">
        <f>$AV$3</f>
        <v>91.25</v>
      </c>
      <c r="M88">
        <v>0.1</v>
      </c>
      <c r="O88">
        <v>0.55</v>
      </c>
      <c r="Q88">
        <v>61</v>
      </c>
      <c r="R88">
        <f>1-S88</f>
        <v>0</v>
      </c>
      <c r="S88">
        <f>S71</f>
        <v>1</v>
      </c>
      <c r="T88">
        <f>T71</f>
        <v>0.78</v>
      </c>
      <c r="U88">
        <f>$AV$10</f>
        <v>0.0047</v>
      </c>
      <c r="V88">
        <f>(I88/100)*(MIN(J88,100)/100)</f>
        <v>0</v>
      </c>
      <c r="W88">
        <v>0</v>
      </c>
      <c r="X88">
        <f>1.6 * W88</f>
        <v>0</v>
      </c>
      <c r="Y88">
        <f>$AY$1</f>
        <v>1.3</v>
      </c>
      <c r="Z88">
        <f>V88*Y88+(1-V88)</f>
        <v>1</v>
      </c>
      <c r="AA88">
        <f>(0.795*O88)-0.0014</f>
        <v>0.43585000000000007</v>
      </c>
      <c r="AC88">
        <v>2</v>
      </c>
      <c r="AD88">
        <f>1 - EXP(-2*(AC88^2))</f>
        <v>0.9996645373720975</v>
      </c>
      <c r="AE88">
        <f>(104.7*AA88+0.307*Q88-15)*(Q88^0.75)*10^-3</f>
        <v>1.0773997799878814</v>
      </c>
      <c r="AF88">
        <f>AE88*AD88*Z88</f>
        <v>1.0770383526263851</v>
      </c>
      <c r="AG88">
        <f>(AF88 * M88) + (0.045 * X88)</f>
        <v>0.10770383526263852</v>
      </c>
      <c r="AH88">
        <f>$AV$2</f>
        <v>0.08</v>
      </c>
      <c r="AI88">
        <f>(AF88 * ((1 - O88) + (0.04 * AF88))) * ( 1 - AH88 )</f>
        <v>0.4885823053467596</v>
      </c>
      <c r="AJ88">
        <f>$AV$1</f>
        <v>0.19</v>
      </c>
      <c r="AK88">
        <f>$AW$20</f>
        <v>0.6784</v>
      </c>
      <c r="AL88">
        <f>AI88 * AJ88 * R88 * T88 * AK88</f>
        <v>0</v>
      </c>
      <c r="AM88">
        <f>AI88*AJ88*S88*U88*AK88</f>
        <v>0.00029598863270088687</v>
      </c>
      <c r="AN88">
        <f>AL88+AM88</f>
        <v>0.00029598863270088687</v>
      </c>
      <c r="AO88">
        <f>H88*AN88*L88</f>
        <v>1.485492950367576</v>
      </c>
    </row>
    <row r="89">
      <c r="F89" t="str">
        <v>Autumn</v>
      </c>
      <c r="H89">
        <v>60</v>
      </c>
      <c r="I89">
        <v>0</v>
      </c>
      <c r="J89">
        <v>0</v>
      </c>
      <c r="L89">
        <f>$AV$3</f>
        <v>91.25</v>
      </c>
      <c r="M89">
        <v>0.09</v>
      </c>
      <c r="O89">
        <v>0.59</v>
      </c>
      <c r="Q89">
        <v>63</v>
      </c>
      <c r="R89">
        <f>1-S89</f>
        <v>0</v>
      </c>
      <c r="S89">
        <f>S71</f>
        <v>1</v>
      </c>
      <c r="T89">
        <f>T71</f>
        <v>0.78</v>
      </c>
      <c r="U89">
        <f>$AV$10</f>
        <v>0.0047</v>
      </c>
      <c r="V89">
        <f>(I89/100)*(MIN(J89,100)/100)</f>
        <v>0</v>
      </c>
      <c r="W89">
        <v>0</v>
      </c>
      <c r="X89">
        <f>1.6 * W89</f>
        <v>0</v>
      </c>
      <c r="Y89">
        <f>$AY$1</f>
        <v>1.3</v>
      </c>
      <c r="Z89">
        <f>V89*Y89+(1-V89)</f>
        <v>1</v>
      </c>
      <c r="AA89">
        <f>(0.795*O89)-0.0014</f>
        <v>0.46765</v>
      </c>
      <c r="AC89">
        <v>2.2</v>
      </c>
      <c r="AD89">
        <f>1 - EXP(-2*(AC89^2))</f>
        <v>0.9999374784962252</v>
      </c>
      <c r="AE89">
        <f>(104.7*AA89+0.307*Q89-15)*(Q89^0.75)*10^-3</f>
        <v>1.1919686844423474</v>
      </c>
      <c r="AF89">
        <f>AE89*AD89*Z89</f>
        <v>1.1918941607677436</v>
      </c>
      <c r="AG89">
        <f>(AF89 * M89) + (0.045 * X89)</f>
        <v>0.10727047446909692</v>
      </c>
      <c r="AH89">
        <f>$AV$2</f>
        <v>0.08</v>
      </c>
      <c r="AI89">
        <f>(AF89 * ((1 - O89) + (0.04 * AF89))) * ( 1 - AH89 )</f>
        <v>0.5018609876509714</v>
      </c>
      <c r="AJ89">
        <f>$AV$1</f>
        <v>0.19</v>
      </c>
      <c r="AK89">
        <f>$AW$20</f>
        <v>0.6784</v>
      </c>
      <c r="AL89">
        <f>AI89 * AJ89 * R89 * T89 * AK89</f>
        <v>0</v>
      </c>
      <c r="AM89">
        <f>AI89*AJ89*S89*U89*AK89</f>
        <v>0.0003040330071620202</v>
      </c>
      <c r="AN89">
        <f>AL89+AM89</f>
        <v>0.0003040330071620202</v>
      </c>
      <c r="AO89">
        <f>H89*AN89*L89</f>
        <v>1.6645807142120606</v>
      </c>
    </row>
    <row r="90">
      <c r="F90" t="str">
        <v>Winter</v>
      </c>
      <c r="H90">
        <v>65</v>
      </c>
      <c r="I90">
        <v>0</v>
      </c>
      <c r="J90">
        <v>0</v>
      </c>
      <c r="L90">
        <f>$AV$3</f>
        <v>91.25</v>
      </c>
      <c r="M90">
        <v>0.07</v>
      </c>
      <c r="O90">
        <v>0.58</v>
      </c>
      <c r="Q90">
        <v>60</v>
      </c>
      <c r="R90">
        <f>1-S90</f>
        <v>0</v>
      </c>
      <c r="S90">
        <f>S71</f>
        <v>1</v>
      </c>
      <c r="T90">
        <f>T71</f>
        <v>0.78</v>
      </c>
      <c r="U90">
        <f>$AV$10</f>
        <v>0.0047</v>
      </c>
      <c r="V90">
        <f>(I90/100)*(MIN(J90,100)/100)</f>
        <v>0</v>
      </c>
      <c r="W90">
        <v>0</v>
      </c>
      <c r="X90">
        <f>1.6 * W90</f>
        <v>0</v>
      </c>
      <c r="Y90">
        <f>$AY$1</f>
        <v>1.3</v>
      </c>
      <c r="Z90">
        <f>V90*Y90+(1-V90)</f>
        <v>1</v>
      </c>
      <c r="AA90">
        <f>(0.795*O90)-0.0014</f>
        <v>0.4597</v>
      </c>
      <c r="AC90">
        <v>1.7</v>
      </c>
      <c r="AD90">
        <f>1 - EXP(-2*(AC90^2))</f>
        <v>0.9969112845917633</v>
      </c>
      <c r="AE90">
        <f>(104.7*AA90+0.307*Q90-15)*(Q90^0.75)*10^-3</f>
        <v>1.1113403376673825</v>
      </c>
      <c r="AF90">
        <f>AE90*AD90*Z90</f>
        <v>1.1079077236426342</v>
      </c>
      <c r="AG90">
        <f>(AF90 * M90) + (0.045 * X90)</f>
        <v>0.0775535406549844</v>
      </c>
      <c r="AH90">
        <f>$AV$2</f>
        <v>0.08</v>
      </c>
      <c r="AI90">
        <f>(AF90 * ((1 - O90) + (0.04 * AF90))) * ( 1 - AH90 )</f>
        <v>0.47326605490265167</v>
      </c>
      <c r="AJ90">
        <f>$AV$1</f>
        <v>0.19</v>
      </c>
      <c r="AK90">
        <f>$AW$20</f>
        <v>0.6784</v>
      </c>
      <c r="AL90">
        <f>AI90 * AJ90 * R90 * T90 * AK90</f>
        <v>0</v>
      </c>
      <c r="AM90">
        <f>AI90*AJ90*S90*U90*AK90</f>
        <v>0.0002867098766398413</v>
      </c>
      <c r="AN90">
        <f>AL90+AM90</f>
        <v>0.0002867098766398413</v>
      </c>
      <c r="AO90">
        <f>H90*AN90*L90</f>
        <v>1.7005479558200585</v>
      </c>
    </row>
    <row r="91">
      <c r="E91" t="str">
        <v>Wethers</v>
      </c>
      <c r="F91" t="str">
        <v>Spring</v>
      </c>
      <c r="H91">
        <v>50</v>
      </c>
      <c r="I91">
        <v>0</v>
      </c>
      <c r="J91">
        <v>0</v>
      </c>
      <c r="L91">
        <f>$AV$3</f>
        <v>91.25</v>
      </c>
      <c r="M91">
        <v>0.08</v>
      </c>
      <c r="O91">
        <v>0.51</v>
      </c>
      <c r="Q91">
        <v>50</v>
      </c>
      <c r="R91">
        <f>1-S91</f>
        <v>0</v>
      </c>
      <c r="S91">
        <f>S71</f>
        <v>1</v>
      </c>
      <c r="T91">
        <f>T71</f>
        <v>0.78</v>
      </c>
      <c r="U91">
        <f>$AV$10</f>
        <v>0.0047</v>
      </c>
      <c r="V91">
        <f>(I91/100)*(MIN(J91,100)/100)</f>
        <v>0</v>
      </c>
      <c r="W91">
        <v>0</v>
      </c>
      <c r="X91">
        <f>1.6 * W91</f>
        <v>0</v>
      </c>
      <c r="Y91">
        <f>$AY$1</f>
        <v>1.3</v>
      </c>
      <c r="Z91">
        <f>V91*Y91+(1-V91)</f>
        <v>1</v>
      </c>
      <c r="AA91">
        <f>(0.795*O91)-0.0014</f>
        <v>0.40405</v>
      </c>
      <c r="AC91">
        <v>1.5</v>
      </c>
      <c r="AD91">
        <f>1 - EXP(-2*(AC91^2))</f>
        <v>0.9888910034617577</v>
      </c>
      <c r="AE91">
        <f>(104.7*AA91+0.307*Q91-15)*(Q91^0.75)*10^-3</f>
        <v>0.8020244797680766</v>
      </c>
      <c r="AF91">
        <f>AE91*AD91*Z91</f>
        <v>0.7931147925987474</v>
      </c>
      <c r="AG91">
        <f>(AF91 * M91) + (0.045 * X91)</f>
        <v>0.06344918340789979</v>
      </c>
      <c r="AH91">
        <f>$AV$2</f>
        <v>0.08</v>
      </c>
      <c r="AI91">
        <f>(AF91 * ((1 - O91) + (0.04 * AF91))) * ( 1 - AH91 )</f>
        <v>0.38068449203550886</v>
      </c>
      <c r="AJ91">
        <f>$AV$1</f>
        <v>0.19</v>
      </c>
      <c r="AK91">
        <f>$AW$20</f>
        <v>0.6784</v>
      </c>
      <c r="AL91">
        <f>AI91 * AJ91 * R91 * T91 * AK91</f>
        <v>0</v>
      </c>
      <c r="AM91">
        <f>AI91*AJ91*S91*U91*AK91</f>
        <v>0.0002306229289414221</v>
      </c>
      <c r="AN91">
        <f>AL91+AM91</f>
        <v>0.0002306229289414221</v>
      </c>
      <c r="AO91">
        <f>H91*AN91*L91</f>
        <v>1.0522171132952383</v>
      </c>
    </row>
    <row r="92">
      <c r="F92" t="str">
        <v>Summer</v>
      </c>
      <c r="H92">
        <v>100</v>
      </c>
      <c r="I92">
        <v>0</v>
      </c>
      <c r="J92">
        <v>0</v>
      </c>
      <c r="L92">
        <f>$AV$3</f>
        <v>91.25</v>
      </c>
      <c r="M92">
        <v>0.1</v>
      </c>
      <c r="O92">
        <v>0.55</v>
      </c>
      <c r="Q92">
        <v>55</v>
      </c>
      <c r="R92">
        <f>1-S92</f>
        <v>0</v>
      </c>
      <c r="S92">
        <f>S71</f>
        <v>1</v>
      </c>
      <c r="T92">
        <f>T71</f>
        <v>0.78</v>
      </c>
      <c r="U92">
        <f>$AV$10</f>
        <v>0.0047</v>
      </c>
      <c r="V92">
        <f>(I92/100)*(MIN(J92,100)/100)</f>
        <v>0</v>
      </c>
      <c r="W92">
        <v>0</v>
      </c>
      <c r="X92">
        <f>1.6 * W92</f>
        <v>0</v>
      </c>
      <c r="Y92">
        <f>$AY$1</f>
        <v>1.3</v>
      </c>
      <c r="Z92">
        <f>V92*Y92+(1-V92)</f>
        <v>1</v>
      </c>
      <c r="AA92">
        <f>(0.795*O92)-0.0014</f>
        <v>0.43585000000000007</v>
      </c>
      <c r="AC92">
        <v>2</v>
      </c>
      <c r="AD92">
        <f>1 - EXP(-2*(AC92^2))</f>
        <v>0.9996645373720975</v>
      </c>
      <c r="AE92">
        <f>(104.7*AA92+0.307*Q92-15)*(Q92^0.75)*10^-3</f>
        <v>0.9596982312536153</v>
      </c>
      <c r="AF92">
        <f>AE92*AD92*Z92</f>
        <v>0.9593762883629656</v>
      </c>
      <c r="AG92">
        <f>(AF92 * M92) + (0.045 * X92)</f>
        <v>0.09593762883629657</v>
      </c>
      <c r="AH92">
        <f>$AV$2</f>
        <v>0.08</v>
      </c>
      <c r="AI92">
        <f>(AF92 * ((1 - O92) + (0.04 * AF92))) * ( 1 - AH92 )</f>
        <v>0.4310526087286378</v>
      </c>
      <c r="AJ92">
        <f>$AV$1</f>
        <v>0.19</v>
      </c>
      <c r="AK92">
        <f>$AW$20</f>
        <v>0.6784</v>
      </c>
      <c r="AL92">
        <f>AI92 * AJ92 * R92 * T92 * AK92</f>
        <v>0</v>
      </c>
      <c r="AM92">
        <f>AI92*AJ92*S92*U92*AK92</f>
        <v>0.00026113649815702656</v>
      </c>
      <c r="AN92">
        <f>AL92+AM92</f>
        <v>0.00026113649815702656</v>
      </c>
      <c r="AO92">
        <f>H92*AN92*L92</f>
        <v>2.3828705456828674</v>
      </c>
    </row>
    <row r="93">
      <c r="F93" t="str">
        <v>Autumn</v>
      </c>
      <c r="H93">
        <v>90</v>
      </c>
      <c r="I93">
        <v>0</v>
      </c>
      <c r="J93">
        <v>0</v>
      </c>
      <c r="L93">
        <f>$AV$3</f>
        <v>91.25</v>
      </c>
      <c r="M93">
        <v>0.09</v>
      </c>
      <c r="O93">
        <v>0.59</v>
      </c>
      <c r="Q93">
        <v>55</v>
      </c>
      <c r="R93">
        <f>1-S93</f>
        <v>0</v>
      </c>
      <c r="S93">
        <f>S71</f>
        <v>1</v>
      </c>
      <c r="T93">
        <f>T71</f>
        <v>0.78</v>
      </c>
      <c r="U93">
        <f>$AV$10</f>
        <v>0.0047</v>
      </c>
      <c r="V93">
        <f>(I93/100)*(MIN(J93,100)/100)</f>
        <v>0</v>
      </c>
      <c r="W93">
        <v>0</v>
      </c>
      <c r="X93">
        <f>1.6 * W93</f>
        <v>0</v>
      </c>
      <c r="Y93">
        <f>$AY$1</f>
        <v>1.3</v>
      </c>
      <c r="Z93">
        <f>V93*Y93+(1-V93)</f>
        <v>1</v>
      </c>
      <c r="AA93">
        <f>(0.795*O93)-0.0014</f>
        <v>0.46765</v>
      </c>
      <c r="AC93">
        <v>2.2</v>
      </c>
      <c r="AD93">
        <f>1 - EXP(-2*(AC93^2))</f>
        <v>0.9999374784962252</v>
      </c>
      <c r="AE93">
        <f>(104.7*AA93+0.307*Q93-15)*(Q93^0.75)*10^-3</f>
        <v>1.0269410358295947</v>
      </c>
      <c r="AF93">
        <f>AE93*AD93*Z93</f>
        <v>1.0268768299317466</v>
      </c>
      <c r="AG93">
        <f>(AF93 * M93) + (0.045 * X93)</f>
        <v>0.09241891469385718</v>
      </c>
      <c r="AH93">
        <f>$AV$2</f>
        <v>0.08</v>
      </c>
      <c r="AI93">
        <f>(AF93 * ((1 - O93) + (0.04 * AF93))) * ( 1 - AH93 )</f>
        <v>0.4261426579279597</v>
      </c>
      <c r="AJ93">
        <f>$AV$1</f>
        <v>0.19</v>
      </c>
      <c r="AK93">
        <f>$AW$20</f>
        <v>0.6784</v>
      </c>
      <c r="AL93">
        <f>AI93 * AJ93 * R93 * T93 * AK93</f>
        <v>0</v>
      </c>
      <c r="AM93">
        <f>AI93*AJ93*S93*U93*AK93</f>
        <v>0.0002581619949705268</v>
      </c>
      <c r="AN93">
        <f>AL93+AM93</f>
        <v>0.0002581619949705268</v>
      </c>
      <c r="AO93">
        <f>H93*AN93*L93</f>
        <v>2.120155383695451</v>
      </c>
    </row>
    <row r="94">
      <c r="F94" t="str">
        <v>Winter</v>
      </c>
      <c r="H94">
        <v>80</v>
      </c>
      <c r="I94">
        <v>0</v>
      </c>
      <c r="J94">
        <v>0</v>
      </c>
      <c r="L94">
        <f>$AV$3</f>
        <v>91.25</v>
      </c>
      <c r="M94">
        <v>0.07</v>
      </c>
      <c r="O94">
        <v>0.58</v>
      </c>
      <c r="Q94">
        <v>50</v>
      </c>
      <c r="R94">
        <f>1-S94</f>
        <v>0</v>
      </c>
      <c r="S94">
        <f>S71</f>
        <v>1</v>
      </c>
      <c r="T94">
        <f>T71</f>
        <v>0.78</v>
      </c>
      <c r="U94">
        <f>$AV$10</f>
        <v>0.0047</v>
      </c>
      <c r="V94">
        <f>(I94/100)*(MIN(J94,100)/100)</f>
        <v>0</v>
      </c>
      <c r="W94">
        <v>0</v>
      </c>
      <c r="X94">
        <f>1.6 * W94</f>
        <v>0</v>
      </c>
      <c r="Y94">
        <f>$AY$1</f>
        <v>1.3</v>
      </c>
      <c r="Z94">
        <f>V94*Y94+(1-V94)</f>
        <v>1</v>
      </c>
      <c r="AA94">
        <f>(0.795*O94)-0.0014</f>
        <v>0.4597</v>
      </c>
      <c r="AC94">
        <v>1.7</v>
      </c>
      <c r="AD94">
        <f>1 - EXP(-2*(AC94^2))</f>
        <v>0.9969112845917633</v>
      </c>
      <c r="AE94">
        <f>(104.7*AA94+0.307*Q94-15)*(Q94^0.75)*10^-3</f>
        <v>0.9115812835432663</v>
      </c>
      <c r="AF94">
        <f>AE94*AD94*Z94</f>
        <v>0.908765668386926</v>
      </c>
      <c r="AG94">
        <f>(AF94 * M94) + (0.045 * X94)</f>
        <v>0.06361359678708482</v>
      </c>
      <c r="AH94">
        <f>$AV$2</f>
        <v>0.08</v>
      </c>
      <c r="AI94">
        <f>(AF94 * ((1 - O94) + (0.04 * AF94))) * ( 1 - AH94 )</f>
        <v>0.38153851973813374</v>
      </c>
      <c r="AJ94">
        <f>$AV$1</f>
        <v>0.19</v>
      </c>
      <c r="AK94">
        <f>$AW$20</f>
        <v>0.6784</v>
      </c>
      <c r="AL94">
        <f>AI94 * AJ94 * R94 * T94 * AK94</f>
        <v>0</v>
      </c>
      <c r="AM94">
        <f>AI94*AJ94*S94*U94*AK94</f>
        <v>0.0002311403084887825</v>
      </c>
      <c r="AN94">
        <f>AL94+AM94</f>
        <v>0.0002311403084887825</v>
      </c>
      <c r="AO94">
        <f>H94*AN94*L94</f>
        <v>1.6873242519681124</v>
      </c>
    </row>
    <row r="101">
      <c r="A101" t="str">
        <v>SA</v>
      </c>
      <c r="B101" t="str">
        <v>SA</v>
      </c>
      <c r="C101" t="str">
        <v>SA</v>
      </c>
      <c r="D101" t="str">
        <v>no</v>
      </c>
      <c r="E101" t="str">
        <v>Breeding ewes</v>
      </c>
      <c r="F101" t="str">
        <v>Spring</v>
      </c>
      <c r="H101">
        <v>100</v>
      </c>
      <c r="I101">
        <v>95</v>
      </c>
      <c r="J101">
        <v>90</v>
      </c>
      <c r="L101">
        <f>$AV$3</f>
        <v>91.25</v>
      </c>
      <c r="M101" cm="1">
        <f t="array" ref="M101:M124">DROP(XLOOKUP($C101,QueryCP[[#Headers],[ACT/NSW]:[WA]],QueryCP[[#All],[ACT/NSW]:[WA]]),1)</f>
        <v>0.16</v>
      </c>
      <c r="O101" cm="1">
        <f t="array" ref="O101:O124">DROP(XLOOKUP($C101,QueryDMD[[#Headers],[ACT/NSW]:[WA]],QueryDMD[[#All],[ACT/NSW]:[WA]]),1)</f>
        <v>0.7</v>
      </c>
      <c r="Q101" cm="1">
        <f t="array" ref="Q101:Q124">DROP(XLOOKUP($C101,QueryW[[#Headers],[ACT/NSW]:[WA]],QueryW[[#All],[ACT/NSW]:[WA]]),1)</f>
        <v>55</v>
      </c>
      <c r="R101">
        <f>1-S101</f>
        <v>0.0026000000000000467</v>
      </c>
      <c r="S101">
        <f>IF($D101="yes", 1, VLOOKUP($B101, $AU$26:$AW$32, 2)/100)</f>
        <v>0.9974</v>
      </c>
      <c r="T101">
        <f>VLOOKUP($B101,$AW$10:$AX$16, 2, FALSE)</f>
        <v>0.74</v>
      </c>
      <c r="U101">
        <f>$AV$10</f>
        <v>0.0047</v>
      </c>
      <c r="V101">
        <f>(I101/100)*(MIN(J101,100)/100)</f>
        <v>0.855</v>
      </c>
      <c r="W101">
        <v>0</v>
      </c>
      <c r="X101">
        <f>1.6 * W101</f>
        <v>0</v>
      </c>
      <c r="Y101">
        <f>$AY$1</f>
        <v>1.3</v>
      </c>
      <c r="Z101">
        <f>V101*Y101+(1-V101)</f>
        <v>1.2565</v>
      </c>
      <c r="AA101">
        <f>(0.795*O101)-0.0014</f>
        <v>0.5551</v>
      </c>
      <c r="AC101" cm="1">
        <f t="array" ref="AC101:AC124">DROP(XLOOKUP($C101,QueryDMA[[#Headers],[ACT/NSW]:[WA]],QueryDMA[[#All],[ACT/NSW]:[WA]]),1)</f>
        <v>4</v>
      </c>
      <c r="AD101">
        <f>1 - EXP(-2*(AC101^2))</f>
        <v>0.9999999999999873</v>
      </c>
      <c r="AE101">
        <f>(104.7*AA101+0.307*Q101-15)*(Q101^0.75)*10^-3</f>
        <v>1.2118587484135388</v>
      </c>
      <c r="AF101">
        <f>AE101*AD101*Z101</f>
        <v>1.5227005173815922</v>
      </c>
      <c r="AG101">
        <f>(AF101 * M101) + (0.045 * X101)</f>
        <v>0.24363208278105475</v>
      </c>
      <c r="AH101">
        <f>$AV$2</f>
        <v>0.08</v>
      </c>
      <c r="AI101">
        <f>(AF101 * ((1 - O101) + (0.04 * AF101))) * ( 1 - AH101 )</f>
        <v>0.5055904434526569</v>
      </c>
      <c r="AJ101">
        <f>$AV$1</f>
        <v>0.19</v>
      </c>
      <c r="AK101">
        <f>$AW$20</f>
        <v>0.6784</v>
      </c>
      <c r="AL101">
        <f>AI101 * AJ101 * R101 * T101 * AK101</f>
        <v>0.00012538435907780477</v>
      </c>
      <c r="AM101">
        <f>AI101*AJ101*S101*U101*AK101</f>
        <v>0.00030549599313811914</v>
      </c>
      <c r="AN101">
        <f>AL101+AM101</f>
        <v>0.0004308803522159239</v>
      </c>
      <c r="AO101">
        <f>H101*AN101*L101</f>
        <v>3.9317832139703053</v>
      </c>
      <c r="AP101">
        <f>SUM(AO101:AO124)*10^-3</f>
        <v>0.07527651387558523</v>
      </c>
    </row>
    <row r="102">
      <c r="F102" t="str">
        <v>Summer</v>
      </c>
      <c r="H102">
        <v>70</v>
      </c>
      <c r="I102">
        <v>0</v>
      </c>
      <c r="J102">
        <v>0</v>
      </c>
      <c r="L102">
        <f>$AV$3</f>
        <v>91.25</v>
      </c>
      <c r="M102">
        <v>0.07</v>
      </c>
      <c r="O102">
        <v>0.55</v>
      </c>
      <c r="Q102">
        <v>55</v>
      </c>
      <c r="R102">
        <f>1-S102</f>
        <v>0.0026000000000000467</v>
      </c>
      <c r="S102">
        <f>S101</f>
        <v>0.9974</v>
      </c>
      <c r="T102">
        <f>T101</f>
        <v>0.74</v>
      </c>
      <c r="U102">
        <f>$AV$10</f>
        <v>0.0047</v>
      </c>
      <c r="V102">
        <f>(I102/100)*(MIN(J102,100)/100)</f>
        <v>0</v>
      </c>
      <c r="W102">
        <v>0</v>
      </c>
      <c r="X102">
        <f>1.6 * W102</f>
        <v>0</v>
      </c>
      <c r="Y102">
        <f>$AY$1</f>
        <v>1.3</v>
      </c>
      <c r="Z102">
        <f>V102*Y102+(1-V102)</f>
        <v>1</v>
      </c>
      <c r="AA102">
        <f>(0.795*O102)-0.0014</f>
        <v>0.43585000000000007</v>
      </c>
      <c r="AC102">
        <v>2.5</v>
      </c>
      <c r="AD102">
        <f>1 - EXP(-2*(AC102^2))</f>
        <v>0.999996273346828</v>
      </c>
      <c r="AE102">
        <f>(104.7*AA102+0.307*Q102-15)*(Q102^0.75)*10^-3</f>
        <v>0.9596982312536153</v>
      </c>
      <c r="AF102">
        <f>AE102*AD102*Z102</f>
        <v>0.9596946547911576</v>
      </c>
      <c r="AG102">
        <f>(AF102 * M102) + (0.045 * X102)</f>
        <v>0.06717862583538103</v>
      </c>
      <c r="AH102">
        <f>$AV$2</f>
        <v>0.08</v>
      </c>
      <c r="AI102">
        <f>(AF102 * ((1 - O102) + (0.04 * AF102))) * ( 1 - AH102 )</f>
        <v>0.43120689604353685</v>
      </c>
      <c r="AJ102">
        <f>$AV$1</f>
        <v>0.19</v>
      </c>
      <c r="AK102">
        <f>$AW$20</f>
        <v>0.6784</v>
      </c>
      <c r="AL102">
        <f>AI102 * AJ102 * R102 * T102 * AK102</f>
        <v>0.00010693754399535288</v>
      </c>
      <c r="AM102">
        <f>AI102*AJ102*S102*U102*AK102</f>
        <v>0.00026055076922584526</v>
      </c>
      <c r="AN102">
        <f>AL102+AM102</f>
        <v>0.0003674883132211981</v>
      </c>
      <c r="AO102">
        <f>H102*AN102*L102</f>
        <v>2.347331600700403</v>
      </c>
    </row>
    <row r="103">
      <c r="F103" t="str">
        <v>Autumn</v>
      </c>
      <c r="H103">
        <v>65</v>
      </c>
      <c r="I103">
        <v>0</v>
      </c>
      <c r="J103">
        <v>0</v>
      </c>
      <c r="L103">
        <f>$AV$3</f>
        <v>91.25</v>
      </c>
      <c r="M103">
        <v>0.09</v>
      </c>
      <c r="O103">
        <v>0.55</v>
      </c>
      <c r="Q103">
        <v>55</v>
      </c>
      <c r="R103">
        <f>1-S103</f>
        <v>0.0026000000000000467</v>
      </c>
      <c r="S103">
        <f>S101</f>
        <v>0.9974</v>
      </c>
      <c r="T103">
        <f>T101</f>
        <v>0.74</v>
      </c>
      <c r="U103">
        <f>$AV$10</f>
        <v>0.0047</v>
      </c>
      <c r="V103">
        <f>(I103/100)*(MIN(J103,100)/100)</f>
        <v>0</v>
      </c>
      <c r="W103">
        <v>0</v>
      </c>
      <c r="X103">
        <f>1.6 * W103</f>
        <v>0</v>
      </c>
      <c r="Y103">
        <f>$AY$1</f>
        <v>1.3</v>
      </c>
      <c r="Z103">
        <f>V103*Y103+(1-V103)</f>
        <v>1</v>
      </c>
      <c r="AA103">
        <f>(0.795*O103)-0.0014</f>
        <v>0.43585000000000007</v>
      </c>
      <c r="AC103">
        <v>0.7</v>
      </c>
      <c r="AD103">
        <f>1 - EXP(-2*(AC103^2))</f>
        <v>0.6246889011486004</v>
      </c>
      <c r="AE103">
        <f>(104.7*AA103+0.307*Q103-15)*(Q103^0.75)*10^-3</f>
        <v>0.9596982312536153</v>
      </c>
      <c r="AF103">
        <f>AE103*AD103*Z103</f>
        <v>0.5995128335160763</v>
      </c>
      <c r="AG103">
        <f>(AF103 * M103) + (0.045 * X103)</f>
        <v>0.05395615501644686</v>
      </c>
      <c r="AH103">
        <f>$AV$2</f>
        <v>0.08</v>
      </c>
      <c r="AI103">
        <f>(AF103 * ((1 - O103) + (0.04 * AF103))) * ( 1 - AH103 )</f>
        <v>0.26142480853751304</v>
      </c>
      <c r="AJ103">
        <f>$AV$1</f>
        <v>0.19</v>
      </c>
      <c r="AK103">
        <f>$AW$20</f>
        <v>0.6784</v>
      </c>
      <c r="AL103">
        <f>AI103 * AJ103 * R103 * T103 * AK103</f>
        <v>0.00006483228172128862</v>
      </c>
      <c r="AM103">
        <f>AI103*AJ103*S103*U103*AK103</f>
        <v>0.00015796230436975934</v>
      </c>
      <c r="AN103">
        <f>AL103+AM103</f>
        <v>0.00022279458609104796</v>
      </c>
      <c r="AO103">
        <f>H103*AN103*L103</f>
        <v>1.3214503887525282</v>
      </c>
    </row>
    <row r="104">
      <c r="F104" t="str">
        <v>Winter</v>
      </c>
      <c r="H104">
        <v>80</v>
      </c>
      <c r="I104">
        <v>0</v>
      </c>
      <c r="J104">
        <v>0</v>
      </c>
      <c r="L104">
        <f>$AV$3</f>
        <v>91.25</v>
      </c>
      <c r="M104">
        <v>0.2</v>
      </c>
      <c r="O104">
        <v>0.75</v>
      </c>
      <c r="Q104">
        <v>55</v>
      </c>
      <c r="R104">
        <f>1-S104</f>
        <v>0.0026000000000000467</v>
      </c>
      <c r="S104">
        <f>S101</f>
        <v>0.9974</v>
      </c>
      <c r="T104">
        <f>T101</f>
        <v>0.74</v>
      </c>
      <c r="U104">
        <f>$AV$10</f>
        <v>0.0047</v>
      </c>
      <c r="V104">
        <f>(I104/100)*(MIN(J104,100)/100)</f>
        <v>0</v>
      </c>
      <c r="W104">
        <v>0</v>
      </c>
      <c r="X104">
        <f>1.6 * W104</f>
        <v>0</v>
      </c>
      <c r="Y104">
        <f>$AY$1</f>
        <v>1.3</v>
      </c>
      <c r="Z104">
        <f>V104*Y104+(1-V104)</f>
        <v>1</v>
      </c>
      <c r="AA104">
        <f>(0.795*O104)-0.0014</f>
        <v>0.5948500000000001</v>
      </c>
      <c r="AC104">
        <v>0.9</v>
      </c>
      <c r="AD104">
        <f>1 - EXP(-2*(AC104^2))</f>
        <v>0.8021013009163853</v>
      </c>
      <c r="AE104">
        <f>(104.7*AA104+0.307*Q104-15)*(Q104^0.75)*10^-3</f>
        <v>1.295912254133513</v>
      </c>
      <c r="AF104">
        <f>AE104*AD104*Z104</f>
        <v>1.0394529049139762</v>
      </c>
      <c r="AG104">
        <f>(AF104 * M104) + (0.045 * X104)</f>
        <v>0.20789058098279525</v>
      </c>
      <c r="AH104">
        <f>$AV$2</f>
        <v>0.08</v>
      </c>
      <c r="AI104">
        <f>(AF104 * ((1 - O104) + (0.04 * AF104))) * ( 1 - AH104 )</f>
        <v>0.27883518229866955</v>
      </c>
      <c r="AJ104">
        <f>$AV$1</f>
        <v>0.19</v>
      </c>
      <c r="AK104">
        <f>$AW$20</f>
        <v>0.6784</v>
      </c>
      <c r="AL104">
        <f>AI104 * AJ104 * R104 * T104 * AK104</f>
        <v>0.00006914998310116459</v>
      </c>
      <c r="AM104">
        <f>AI104*AJ104*S104*U104*AK104</f>
        <v>0.00016848228055196026</v>
      </c>
      <c r="AN104">
        <f>AL104+AM104</f>
        <v>0.00023763226365312485</v>
      </c>
      <c r="AO104">
        <f>H104*AN104*L104</f>
        <v>1.7347155246678114</v>
      </c>
    </row>
    <row r="105">
      <c r="E105" t="str">
        <v>Lambs and hoggets</v>
      </c>
      <c r="F105" t="str">
        <v>Spring</v>
      </c>
      <c r="H105">
        <v>200</v>
      </c>
      <c r="I105">
        <v>0</v>
      </c>
      <c r="J105">
        <v>0</v>
      </c>
      <c r="L105">
        <f>$AV$3</f>
        <v>91.25</v>
      </c>
      <c r="M105">
        <v>0.16</v>
      </c>
      <c r="O105">
        <v>0.7</v>
      </c>
      <c r="Q105">
        <v>40</v>
      </c>
      <c r="R105">
        <f>1-S105</f>
        <v>0.0026000000000000467</v>
      </c>
      <c r="S105">
        <f>S101</f>
        <v>0.9974</v>
      </c>
      <c r="T105">
        <f>T101</f>
        <v>0.74</v>
      </c>
      <c r="U105">
        <f>$AV$10</f>
        <v>0.0047</v>
      </c>
      <c r="V105">
        <f>(I105/100)*(MIN(J105,100)/100)</f>
        <v>0</v>
      </c>
      <c r="W105">
        <v>1</v>
      </c>
      <c r="X105">
        <f>1.6 * W105</f>
        <v>1.6</v>
      </c>
      <c r="Y105">
        <f>$AY$1</f>
        <v>1.3</v>
      </c>
      <c r="Z105">
        <f>V105*Y105+(1-V105)</f>
        <v>1</v>
      </c>
      <c r="AA105">
        <f>(0.795*O105)-0.0014</f>
        <v>0.5551</v>
      </c>
      <c r="AC105">
        <v>4</v>
      </c>
      <c r="AD105">
        <f>1 - EXP(-2*(AC105^2))</f>
        <v>0.9999999999999873</v>
      </c>
      <c r="AE105">
        <f>(104.7*AA105+0.307*Q105-15)*(Q105^0.75)*10^-3</f>
        <v>0.8811435848968797</v>
      </c>
      <c r="AF105">
        <f>AE105*AD105*Z105</f>
        <v>0.8811435848968686</v>
      </c>
      <c r="AG105">
        <f>(AF105 * M105) + (0.045 * X105)</f>
        <v>0.212982973583499</v>
      </c>
      <c r="AH105">
        <f>$AV$2</f>
        <v>0.08</v>
      </c>
      <c r="AI105">
        <f>(AF105 * ((1 - O105) + (0.04 * AF105))) * ( 1 - AH105 )</f>
        <v>0.2717676652646763</v>
      </c>
      <c r="AJ105">
        <f>$AV$1</f>
        <v>0.19</v>
      </c>
      <c r="AK105">
        <f>$AW$20</f>
        <v>0.6784</v>
      </c>
      <c r="AL105">
        <f>AI105 * AJ105 * R105 * T105 * AK105</f>
        <v>0.00006739726782528401</v>
      </c>
      <c r="AM105">
        <f>AI105*AJ105*S105*U105*AK105</f>
        <v>0.00016421183168711234</v>
      </c>
      <c r="AN105">
        <f>AL105+AM105</f>
        <v>0.00023160909951239634</v>
      </c>
      <c r="AO105">
        <f>H105*AN105*L105</f>
        <v>4.226866066101233</v>
      </c>
    </row>
    <row r="106">
      <c r="F106" t="str">
        <v>Summer</v>
      </c>
      <c r="H106">
        <v>210</v>
      </c>
      <c r="I106">
        <v>0</v>
      </c>
      <c r="J106">
        <v>0</v>
      </c>
      <c r="L106">
        <f>$AV$3</f>
        <v>91.25</v>
      </c>
      <c r="M106">
        <v>0.07</v>
      </c>
      <c r="O106">
        <v>0.55</v>
      </c>
      <c r="Q106">
        <v>45</v>
      </c>
      <c r="R106">
        <f>1-S106</f>
        <v>0.0026000000000000467</v>
      </c>
      <c r="S106">
        <f>S101</f>
        <v>0.9974</v>
      </c>
      <c r="T106">
        <f>T101</f>
        <v>0.74</v>
      </c>
      <c r="U106">
        <f>$AV$10</f>
        <v>0.0047</v>
      </c>
      <c r="V106">
        <f>(I106/100)*(MIN(J106,100)/100)</f>
        <v>0</v>
      </c>
      <c r="W106">
        <v>0</v>
      </c>
      <c r="X106">
        <f>1.6 * W106</f>
        <v>0</v>
      </c>
      <c r="Y106">
        <f>$AY$1</f>
        <v>1.3</v>
      </c>
      <c r="Z106">
        <f>V106*Y106+(1-V106)</f>
        <v>1</v>
      </c>
      <c r="AA106">
        <f>(0.795*O106)-0.0014</f>
        <v>0.43585000000000007</v>
      </c>
      <c r="AC106">
        <v>2.5</v>
      </c>
      <c r="AD106">
        <f>1 - EXP(-2*(AC106^2))</f>
        <v>0.999996273346828</v>
      </c>
      <c r="AE106">
        <f>(104.7*AA106+0.307*Q106-15)*(Q106^0.75)*10^-3</f>
        <v>0.7722651660948706</v>
      </c>
      <c r="AF106">
        <f>AE106*AD106*Z106</f>
        <v>0.7722622881304397</v>
      </c>
      <c r="AG106">
        <f>(AF106 * M106) + (0.045 * X106)</f>
        <v>0.054058360169130786</v>
      </c>
      <c r="AH106">
        <f>$AV$2</f>
        <v>0.08</v>
      </c>
      <c r="AI106">
        <f>(AF106 * ((1 - O106) + (0.04 * AF106))) * ( 1 - AH106 )</f>
        <v>0.34166370401940144</v>
      </c>
      <c r="AJ106">
        <f>$AV$1</f>
        <v>0.19</v>
      </c>
      <c r="AK106">
        <f>$AW$20</f>
        <v>0.6784</v>
      </c>
      <c r="AL106">
        <f>AI106 * AJ106 * R106 * T106 * AK106</f>
        <v>0.00008473119914228141</v>
      </c>
      <c r="AM106">
        <f>AI106*AJ106*S106*U106*AK106</f>
        <v>0.00020644554091226448</v>
      </c>
      <c r="AN106">
        <f>AL106+AM106</f>
        <v>0.0002911767400545459</v>
      </c>
      <c r="AO106">
        <f>H106*AN106*L106</f>
        <v>5.579674281295236</v>
      </c>
    </row>
    <row r="107">
      <c r="F107" t="str">
        <v>Autumn</v>
      </c>
      <c r="H107">
        <v>170</v>
      </c>
      <c r="I107">
        <v>0</v>
      </c>
      <c r="J107">
        <v>0</v>
      </c>
      <c r="L107">
        <f>$AV$3</f>
        <v>91.25</v>
      </c>
      <c r="M107">
        <v>0.09</v>
      </c>
      <c r="O107">
        <v>0.55</v>
      </c>
      <c r="Q107">
        <v>20</v>
      </c>
      <c r="R107">
        <f>1-S107</f>
        <v>0.0026000000000000467</v>
      </c>
      <c r="S107">
        <f>S101</f>
        <v>0.9974</v>
      </c>
      <c r="T107">
        <f>T101</f>
        <v>0.74</v>
      </c>
      <c r="U107">
        <f>$AV$10</f>
        <v>0.0047</v>
      </c>
      <c r="V107">
        <f>(I107/100)*(MIN(J107,100)/100)</f>
        <v>0</v>
      </c>
      <c r="W107">
        <v>0</v>
      </c>
      <c r="X107">
        <f>1.6 * W107</f>
        <v>0</v>
      </c>
      <c r="Y107">
        <f>$AY$1</f>
        <v>1.3</v>
      </c>
      <c r="Z107">
        <f>V107*Y107+(1-V107)</f>
        <v>1</v>
      </c>
      <c r="AA107">
        <f>(0.795*O107)-0.0014</f>
        <v>0.43585000000000007</v>
      </c>
      <c r="AC107">
        <v>0.7</v>
      </c>
      <c r="AD107">
        <f>1 - EXP(-2*(AC107^2))</f>
        <v>0.6246889011486004</v>
      </c>
      <c r="AE107">
        <f>(104.7*AA107+0.307*Q107-15)*(Q107^0.75)*10^-3</f>
        <v>0.34778224329970253</v>
      </c>
      <c r="AF107">
        <f>AE107*AD107*Z107</f>
        <v>0.21725570740588637</v>
      </c>
      <c r="AG107">
        <f>(AF107 * M107) + (0.045 * X107)</f>
        <v>0.019553013666529773</v>
      </c>
      <c r="AH107">
        <f>$AV$2</f>
        <v>0.08</v>
      </c>
      <c r="AI107">
        <f>(AF107 * ((1 - O107) + (0.04 * AF107))) * ( 1 - AH107 )</f>
        <v>0.09168082442637285</v>
      </c>
      <c r="AJ107">
        <f>$AV$1</f>
        <v>0.19</v>
      </c>
      <c r="AK107">
        <f>$AW$20</f>
        <v>0.6784</v>
      </c>
      <c r="AL107">
        <f>AI107 * AJ107 * R107 * T107 * AK107</f>
        <v>0.00002273646893308402</v>
      </c>
      <c r="AM107">
        <f>AI107*AJ107*S107*U107*AK107</f>
        <v>0.00005539686296004715</v>
      </c>
      <c r="AN107">
        <f>AL107+AM107</f>
        <v>0.00007813333189313117</v>
      </c>
      <c r="AO107">
        <f>H107*AN107*L107</f>
        <v>1.2120433109921973</v>
      </c>
    </row>
    <row r="108">
      <c r="F108" t="str">
        <v>Winter</v>
      </c>
      <c r="H108">
        <v>200</v>
      </c>
      <c r="I108">
        <v>0</v>
      </c>
      <c r="J108">
        <v>0</v>
      </c>
      <c r="L108">
        <f>$AV$3</f>
        <v>91.25</v>
      </c>
      <c r="M108">
        <v>0.2</v>
      </c>
      <c r="O108">
        <v>0.75</v>
      </c>
      <c r="Q108">
        <v>30</v>
      </c>
      <c r="R108">
        <f>1-S108</f>
        <v>0.0026000000000000467</v>
      </c>
      <c r="S108">
        <f>S101</f>
        <v>0.9974</v>
      </c>
      <c r="T108">
        <f>T101</f>
        <v>0.74</v>
      </c>
      <c r="U108">
        <f>$AV$10</f>
        <v>0.0047</v>
      </c>
      <c r="V108">
        <f>(I108/100)*(MIN(J108,100)/100)</f>
        <v>0</v>
      </c>
      <c r="W108">
        <v>0</v>
      </c>
      <c r="X108">
        <f>1.6 * W108</f>
        <v>0</v>
      </c>
      <c r="Y108">
        <f>$AY$1</f>
        <v>1.3</v>
      </c>
      <c r="Z108">
        <f>V108*Y108+(1-V108)</f>
        <v>1</v>
      </c>
      <c r="AA108">
        <f>(0.795*O108)-0.0014</f>
        <v>0.5948500000000001</v>
      </c>
      <c r="AC108">
        <v>0.9</v>
      </c>
      <c r="AD108">
        <f>1 - EXP(-2*(AC108^2))</f>
        <v>0.8021013009163853</v>
      </c>
      <c r="AE108">
        <f>(104.7*AA108+0.307*Q108-15)*(Q108^0.75)*10^-3</f>
        <v>0.7241334805348005</v>
      </c>
      <c r="AF108">
        <f>AE108*AD108*Z108</f>
        <v>0.5808284067740735</v>
      </c>
      <c r="AG108">
        <f>(AF108 * M108) + (0.045 * X108)</f>
        <v>0.11616568135481471</v>
      </c>
      <c r="AH108">
        <f>$AV$2</f>
        <v>0.08</v>
      </c>
      <c r="AI108">
        <f>(AF108 * ((1 - O108) + (0.04 * AF108))) * ( 1 - AH108 )</f>
        <v>0.146005441840695</v>
      </c>
      <c r="AJ108">
        <f>$AV$1</f>
        <v>0.19</v>
      </c>
      <c r="AK108">
        <f>$AW$20</f>
        <v>0.6784</v>
      </c>
      <c r="AL108">
        <f>AI108 * AJ108 * R108 * T108 * AK108</f>
        <v>0.000036208751538203234</v>
      </c>
      <c r="AM108">
        <f>AI108*AJ108*S108*U108*AK108</f>
        <v>0.00008822175742502874</v>
      </c>
      <c r="AN108">
        <f>AL108+AM108</f>
        <v>0.00012443050896323197</v>
      </c>
      <c r="AO108">
        <f>H108*AN108*L108</f>
        <v>2.270856788578983</v>
      </c>
    </row>
    <row r="109">
      <c r="E109" t="str">
        <v>Maiden ewes</v>
      </c>
      <c r="F109" t="str">
        <v>Spring</v>
      </c>
      <c r="H109">
        <v>100</v>
      </c>
      <c r="I109">
        <v>95</v>
      </c>
      <c r="J109">
        <v>92</v>
      </c>
      <c r="L109">
        <f>$AV$3</f>
        <v>91.25</v>
      </c>
      <c r="M109">
        <v>0.16</v>
      </c>
      <c r="O109">
        <v>0.7</v>
      </c>
      <c r="Q109">
        <v>52</v>
      </c>
      <c r="R109">
        <f>1-S109</f>
        <v>0.0026000000000000467</v>
      </c>
      <c r="S109">
        <f>S101</f>
        <v>0.9974</v>
      </c>
      <c r="T109">
        <f>T101</f>
        <v>0.74</v>
      </c>
      <c r="U109">
        <f>$AV$10</f>
        <v>0.0047</v>
      </c>
      <c r="V109">
        <f>(I109/100)*(MIN(J109,100)/100)</f>
        <v>0.874</v>
      </c>
      <c r="W109">
        <v>0</v>
      </c>
      <c r="X109">
        <f>1.6 * W109</f>
        <v>0</v>
      </c>
      <c r="Y109">
        <f>$AY$1</f>
        <v>1.3</v>
      </c>
      <c r="Z109">
        <f>V109*Y109+(1-V109)</f>
        <v>1.2622</v>
      </c>
      <c r="AA109">
        <f>(0.795*O109)-0.0014</f>
        <v>0.5551</v>
      </c>
      <c r="AC109">
        <v>4</v>
      </c>
      <c r="AD109">
        <f>1 - EXP(-2*(AC109^2))</f>
        <v>0.9999999999999873</v>
      </c>
      <c r="AE109">
        <f>(104.7*AA109+0.307*Q109-15)*(Q109^0.75)*10^-3</f>
        <v>1.1441022143482507</v>
      </c>
      <c r="AF109">
        <f>AE109*AD109*Z109</f>
        <v>1.4440858149503437</v>
      </c>
      <c r="AG109">
        <f>(AF109 * M109) + (0.045 * X109)</f>
        <v>0.231053730392055</v>
      </c>
      <c r="AH109">
        <f>$AV$2</f>
        <v>0.08</v>
      </c>
      <c r="AI109">
        <f>(AF109 * ((1 - O109) + (0.04 * AF109))) * ( 1 - AH109 )</f>
        <v>0.4753098102729163</v>
      </c>
      <c r="AJ109">
        <f>$AV$1</f>
        <v>0.19</v>
      </c>
      <c r="AK109">
        <f>$AW$20</f>
        <v>0.6784</v>
      </c>
      <c r="AL109">
        <f>AI109 * AJ109 * R109 * T109 * AK109</f>
        <v>0.0001178748860787025</v>
      </c>
      <c r="AM109">
        <f>AI109*AJ109*S109*U109*AK109</f>
        <v>0.0002871993417162214</v>
      </c>
      <c r="AN109">
        <f>AL109+AM109</f>
        <v>0.00040507422779492393</v>
      </c>
      <c r="AO109">
        <f>H109*AN109*L109</f>
        <v>3.696302328628681</v>
      </c>
    </row>
    <row r="110">
      <c r="F110" t="str">
        <v>Summer</v>
      </c>
      <c r="H110">
        <v>140</v>
      </c>
      <c r="I110">
        <v>0</v>
      </c>
      <c r="J110">
        <v>0</v>
      </c>
      <c r="L110">
        <f>$AV$3</f>
        <v>91.25</v>
      </c>
      <c r="M110">
        <v>0.07</v>
      </c>
      <c r="O110">
        <v>0.55</v>
      </c>
      <c r="Q110">
        <v>52</v>
      </c>
      <c r="R110">
        <f>1-S110</f>
        <v>0.0026000000000000467</v>
      </c>
      <c r="S110">
        <f>S101</f>
        <v>0.9974</v>
      </c>
      <c r="T110">
        <f>T101</f>
        <v>0.74</v>
      </c>
      <c r="U110">
        <f>$AV$10</f>
        <v>0.0047</v>
      </c>
      <c r="V110">
        <f>(I110/100)*(MIN(J110,100)/100)</f>
        <v>0</v>
      </c>
      <c r="W110">
        <v>0</v>
      </c>
      <c r="X110">
        <f>1.6 * W110</f>
        <v>0</v>
      </c>
      <c r="Y110">
        <f>$AY$1</f>
        <v>1.3</v>
      </c>
      <c r="Z110">
        <f>V110*Y110+(1-V110)</f>
        <v>1</v>
      </c>
      <c r="AA110">
        <f>(0.795*O110)-0.0014</f>
        <v>0.43585000000000007</v>
      </c>
      <c r="AC110">
        <v>2.5</v>
      </c>
      <c r="AD110">
        <f>1 - EXP(-2*(AC110^2))</f>
        <v>0.999996273346828</v>
      </c>
      <c r="AE110">
        <f>(104.7*AA110+0.307*Q110-15)*(Q110^0.75)*10^-3</f>
        <v>0.9023293380915269</v>
      </c>
      <c r="AF110">
        <f>AE110*AD110*Z110</f>
        <v>0.9023259754230369</v>
      </c>
      <c r="AG110">
        <f>(AF110 * M110) + (0.045 * X110)</f>
        <v>0.06316281827961259</v>
      </c>
      <c r="AH110">
        <f>$AV$2</f>
        <v>0.08</v>
      </c>
      <c r="AI110">
        <f>(AF110 * ((1 - O110) + (0.04 * AF110))) * ( 1 - AH110 )</f>
        <v>0.40352522553110864</v>
      </c>
      <c r="AJ110">
        <f>$AV$1</f>
        <v>0.19</v>
      </c>
      <c r="AK110">
        <f>$AW$20</f>
        <v>0.6784</v>
      </c>
      <c r="AL110">
        <f>AI110 * AJ110 * R110 * T110 * AK110</f>
        <v>0.00010007260309239297</v>
      </c>
      <c r="AM110">
        <f>AI110*AJ110*S110*U110*AK110</f>
        <v>0.00024382450484638747</v>
      </c>
      <c r="AN110">
        <f>AL110+AM110</f>
        <v>0.00034389710793878044</v>
      </c>
      <c r="AO110">
        <f>H110*AN110*L110</f>
        <v>4.39328555391792</v>
      </c>
    </row>
    <row r="111">
      <c r="F111" t="str">
        <v>Autumn</v>
      </c>
      <c r="H111">
        <v>135</v>
      </c>
      <c r="I111">
        <v>0</v>
      </c>
      <c r="J111">
        <v>0</v>
      </c>
      <c r="L111">
        <f>$AV$3</f>
        <v>91.25</v>
      </c>
      <c r="M111">
        <v>0.09</v>
      </c>
      <c r="O111">
        <v>0.55</v>
      </c>
      <c r="Q111">
        <v>52</v>
      </c>
      <c r="R111">
        <f>1-S111</f>
        <v>0.0026000000000000467</v>
      </c>
      <c r="S111">
        <f>S101</f>
        <v>0.9974</v>
      </c>
      <c r="T111">
        <f>T101</f>
        <v>0.74</v>
      </c>
      <c r="U111">
        <f>$AV$10</f>
        <v>0.0047</v>
      </c>
      <c r="V111">
        <f>(I111/100)*(MIN(J111,100)/100)</f>
        <v>0</v>
      </c>
      <c r="W111">
        <v>0</v>
      </c>
      <c r="X111">
        <f>1.6 * W111</f>
        <v>0</v>
      </c>
      <c r="Y111">
        <f>$AY$1</f>
        <v>1.3</v>
      </c>
      <c r="Z111">
        <f>V111*Y111+(1-V111)</f>
        <v>1</v>
      </c>
      <c r="AA111">
        <f>(0.795*O111)-0.0014</f>
        <v>0.43585000000000007</v>
      </c>
      <c r="AC111">
        <v>0.7</v>
      </c>
      <c r="AD111">
        <f>1 - EXP(-2*(AC111^2))</f>
        <v>0.6246889011486004</v>
      </c>
      <c r="AE111">
        <f>(104.7*AA111+0.307*Q111-15)*(Q111^0.75)*10^-3</f>
        <v>0.9023293380915269</v>
      </c>
      <c r="AF111">
        <f>AE111*AD111*Z111</f>
        <v>0.56367512268654</v>
      </c>
      <c r="AG111">
        <f>(AF111 * M111) + (0.045 * X111)</f>
        <v>0.05073076104178859</v>
      </c>
      <c r="AH111">
        <f>$AV$2</f>
        <v>0.08</v>
      </c>
      <c r="AI111">
        <f>(AF111 * ((1 - O111) + (0.04 * AF111))) * ( 1 - AH111 )</f>
        <v>0.24505395168906077</v>
      </c>
      <c r="AJ111">
        <f>$AV$1</f>
        <v>0.19</v>
      </c>
      <c r="AK111">
        <f>$AW$20</f>
        <v>0.6784</v>
      </c>
      <c r="AL111">
        <f>AI111 * AJ111 * R111 * T111 * AK111</f>
        <v>0.000060772376277902046</v>
      </c>
      <c r="AM111">
        <f>AI111*AJ111*S111*U111*AK111</f>
        <v>0.00014807044182329446</v>
      </c>
      <c r="AN111">
        <f>AL111+AM111</f>
        <v>0.0002088428181011965</v>
      </c>
      <c r="AO111">
        <f>H111*AN111*L111</f>
        <v>2.5726824654841147</v>
      </c>
    </row>
    <row r="112">
      <c r="F112" t="str">
        <v>Winter</v>
      </c>
      <c r="H112">
        <v>130</v>
      </c>
      <c r="I112">
        <v>0</v>
      </c>
      <c r="J112">
        <v>0</v>
      </c>
      <c r="L112">
        <f>$AV$3</f>
        <v>91.25</v>
      </c>
      <c r="M112">
        <v>0.2</v>
      </c>
      <c r="O112">
        <v>0.75</v>
      </c>
      <c r="Q112">
        <v>52</v>
      </c>
      <c r="R112">
        <f>1-S112</f>
        <v>0.0026000000000000467</v>
      </c>
      <c r="S112">
        <f>S101</f>
        <v>0.9974</v>
      </c>
      <c r="T112">
        <f>T101</f>
        <v>0.74</v>
      </c>
      <c r="U112">
        <f>$AV$10</f>
        <v>0.0047</v>
      </c>
      <c r="V112">
        <f>(I112/100)*(MIN(J112,100)/100)</f>
        <v>0</v>
      </c>
      <c r="W112">
        <v>0</v>
      </c>
      <c r="X112">
        <f>1.6 * W112</f>
        <v>0</v>
      </c>
      <c r="Y112">
        <f>$AY$1</f>
        <v>1.3</v>
      </c>
      <c r="Z112">
        <f>V112*Y112+(1-V112)</f>
        <v>1</v>
      </c>
      <c r="AA112">
        <f>(0.795*O112)-0.0014</f>
        <v>0.5948500000000001</v>
      </c>
      <c r="AC112">
        <v>0.9</v>
      </c>
      <c r="AD112">
        <f>1 - EXP(-2*(AC112^2))</f>
        <v>0.8021013009163853</v>
      </c>
      <c r="AE112">
        <f>(104.7*AA112+0.307*Q112-15)*(Q112^0.75)*10^-3</f>
        <v>1.224693173100492</v>
      </c>
      <c r="AF112">
        <f>AE112*AD112*Z112</f>
        <v>0.9823279873673205</v>
      </c>
      <c r="AG112">
        <f>(AF112 * M112) + (0.045 * X112)</f>
        <v>0.19646559747346412</v>
      </c>
      <c r="AH112">
        <f>$AV$2</f>
        <v>0.08</v>
      </c>
      <c r="AI112">
        <f>(AF112 * ((1 - O112) + (0.04 * AF112))) * ( 1 - AH112 )</f>
        <v>0.26144626960584055</v>
      </c>
      <c r="AJ112">
        <f>$AV$1</f>
        <v>0.19</v>
      </c>
      <c r="AK112">
        <f>$AW$20</f>
        <v>0.6784</v>
      </c>
      <c r="AL112">
        <f>AI112 * AJ112 * R112 * T112 * AK112</f>
        <v>0.00006483760397832931</v>
      </c>
      <c r="AM112">
        <f>AI112*AJ112*S112*U112*AK112</f>
        <v>0.00015797527192179165</v>
      </c>
      <c r="AN112">
        <f>AL112+AM112</f>
        <v>0.00022281287590012095</v>
      </c>
      <c r="AO112">
        <f>H112*AN112*L112</f>
        <v>2.643117740365185</v>
      </c>
    </row>
    <row r="113">
      <c r="E113" t="str">
        <v>Other ewes</v>
      </c>
      <c r="F113" t="str">
        <v>Spring</v>
      </c>
      <c r="H113">
        <v>200</v>
      </c>
      <c r="I113">
        <v>0</v>
      </c>
      <c r="J113">
        <v>0</v>
      </c>
      <c r="L113">
        <f>$AV$3</f>
        <v>91.25</v>
      </c>
      <c r="M113">
        <v>0.16</v>
      </c>
      <c r="O113">
        <v>0.7</v>
      </c>
      <c r="Q113">
        <v>55</v>
      </c>
      <c r="R113">
        <f>1-S113</f>
        <v>0.0026000000000000467</v>
      </c>
      <c r="S113">
        <f>S101</f>
        <v>0.9974</v>
      </c>
      <c r="T113">
        <f>T101</f>
        <v>0.74</v>
      </c>
      <c r="U113">
        <f>$AV$10</f>
        <v>0.0047</v>
      </c>
      <c r="V113">
        <f>(I113/100)*(MIN(J113,100)/100)</f>
        <v>0</v>
      </c>
      <c r="W113">
        <v>0</v>
      </c>
      <c r="X113">
        <f>1.6 * W113</f>
        <v>0</v>
      </c>
      <c r="Y113">
        <f>$AY$1</f>
        <v>1.3</v>
      </c>
      <c r="Z113">
        <f>V113*Y113+(1-V113)</f>
        <v>1</v>
      </c>
      <c r="AA113">
        <f>(0.795*O113)-0.0014</f>
        <v>0.5551</v>
      </c>
      <c r="AC113">
        <v>4</v>
      </c>
      <c r="AD113">
        <f>1 - EXP(-2*(AC113^2))</f>
        <v>0.9999999999999873</v>
      </c>
      <c r="AE113">
        <f>(104.7*AA113+0.307*Q113-15)*(Q113^0.75)*10^-3</f>
        <v>1.2118587484135388</v>
      </c>
      <c r="AF113">
        <f>AE113*AD113*Z113</f>
        <v>1.2118587484135235</v>
      </c>
      <c r="AG113">
        <f>(AF113 * M113) + (0.045 * X113)</f>
        <v>0.19389739974616377</v>
      </c>
      <c r="AH113">
        <f>$AV$2</f>
        <v>0.08</v>
      </c>
      <c r="AI113">
        <f>(AF113 * ((1 - O113) + (0.04 * AF113))) * ( 1 - AH113 )</f>
        <v>0.38851755440284774</v>
      </c>
      <c r="AJ113">
        <f>$AV$1</f>
        <v>0.19</v>
      </c>
      <c r="AK113">
        <f>$AW$20</f>
        <v>0.6784</v>
      </c>
      <c r="AL113">
        <f>AI113 * AJ113 * R113 * T113 * AK113</f>
        <v>0.00009635076212400514</v>
      </c>
      <c r="AM113">
        <f>AI113*AJ113*S113*U113*AK113</f>
        <v>0.00023475632831063448</v>
      </c>
      <c r="AN113">
        <f>AL113+AM113</f>
        <v>0.0003311070904346396</v>
      </c>
      <c r="AO113">
        <f>H113*AN113*L113</f>
        <v>6.042704400432173</v>
      </c>
    </row>
    <row r="114">
      <c r="F114" t="str">
        <v>Summer</v>
      </c>
      <c r="H114">
        <v>210</v>
      </c>
      <c r="I114">
        <v>0</v>
      </c>
      <c r="J114">
        <v>0</v>
      </c>
      <c r="L114">
        <f>$AV$3</f>
        <v>91.25</v>
      </c>
      <c r="M114">
        <v>0.07</v>
      </c>
      <c r="O114">
        <v>0.55</v>
      </c>
      <c r="Q114">
        <v>55</v>
      </c>
      <c r="R114">
        <f>1-S114</f>
        <v>0.0026000000000000467</v>
      </c>
      <c r="S114">
        <f>S101</f>
        <v>0.9974</v>
      </c>
      <c r="T114">
        <f>T101</f>
        <v>0.74</v>
      </c>
      <c r="U114">
        <f>$AV$10</f>
        <v>0.0047</v>
      </c>
      <c r="V114">
        <f>(I114/100)*(MIN(J114,100)/100)</f>
        <v>0</v>
      </c>
      <c r="W114">
        <v>0</v>
      </c>
      <c r="X114">
        <f>1.6 * W114</f>
        <v>0</v>
      </c>
      <c r="Y114">
        <f>$AY$1</f>
        <v>1.3</v>
      </c>
      <c r="Z114">
        <f>V114*Y114+(1-V114)</f>
        <v>1</v>
      </c>
      <c r="AA114">
        <f>(0.795*O114)-0.0014</f>
        <v>0.43585000000000007</v>
      </c>
      <c r="AC114">
        <v>2.5</v>
      </c>
      <c r="AD114">
        <f>1 - EXP(-2*(AC114^2))</f>
        <v>0.999996273346828</v>
      </c>
      <c r="AE114">
        <f>(104.7*AA114+0.307*Q114-15)*(Q114^0.75)*10^-3</f>
        <v>0.9596982312536153</v>
      </c>
      <c r="AF114">
        <f>AE114*AD114*Z114</f>
        <v>0.9596946547911576</v>
      </c>
      <c r="AG114">
        <f>(AF114 * M114) + (0.045 * X114)</f>
        <v>0.06717862583538103</v>
      </c>
      <c r="AH114">
        <f>$AV$2</f>
        <v>0.08</v>
      </c>
      <c r="AI114">
        <f>(AF114 * ((1 - O114) + (0.04 * AF114))) * ( 1 - AH114 )</f>
        <v>0.43120689604353685</v>
      </c>
      <c r="AJ114">
        <f>$AV$1</f>
        <v>0.19</v>
      </c>
      <c r="AK114">
        <f>$AW$20</f>
        <v>0.6784</v>
      </c>
      <c r="AL114">
        <f>AI114 * AJ114 * R114 * T114 * AK114</f>
        <v>0.00010693754399535288</v>
      </c>
      <c r="AM114">
        <f>AI114*AJ114*S114*U114*AK114</f>
        <v>0.00026055076922584526</v>
      </c>
      <c r="AN114">
        <f>AL114+AM114</f>
        <v>0.0003674883132211981</v>
      </c>
      <c r="AO114">
        <f>H114*AN114*L114</f>
        <v>7.041994802101209</v>
      </c>
    </row>
    <row r="115">
      <c r="F115" t="str">
        <v>Autumn</v>
      </c>
      <c r="H115">
        <v>190</v>
      </c>
      <c r="I115">
        <v>0</v>
      </c>
      <c r="J115">
        <v>0</v>
      </c>
      <c r="L115">
        <f>$AV$3</f>
        <v>91.25</v>
      </c>
      <c r="M115">
        <v>0.09</v>
      </c>
      <c r="O115">
        <v>0.55</v>
      </c>
      <c r="Q115">
        <v>55</v>
      </c>
      <c r="R115">
        <f>1-S115</f>
        <v>0.0026000000000000467</v>
      </c>
      <c r="S115">
        <f>S101</f>
        <v>0.9974</v>
      </c>
      <c r="T115">
        <f>T101</f>
        <v>0.74</v>
      </c>
      <c r="U115">
        <f>$AV$10</f>
        <v>0.0047</v>
      </c>
      <c r="V115">
        <f>(I115/100)*(MIN(J115,100)/100)</f>
        <v>0</v>
      </c>
      <c r="W115">
        <v>0</v>
      </c>
      <c r="X115">
        <f>1.6 * W115</f>
        <v>0</v>
      </c>
      <c r="Y115">
        <f>$AY$1</f>
        <v>1.3</v>
      </c>
      <c r="Z115">
        <f>V115*Y115+(1-V115)</f>
        <v>1</v>
      </c>
      <c r="AA115">
        <f>(0.795*O115)-0.0014</f>
        <v>0.43585000000000007</v>
      </c>
      <c r="AC115">
        <v>0.7</v>
      </c>
      <c r="AD115">
        <f>1 - EXP(-2*(AC115^2))</f>
        <v>0.6246889011486004</v>
      </c>
      <c r="AE115">
        <f>(104.7*AA115+0.307*Q115-15)*(Q115^0.75)*10^-3</f>
        <v>0.9596982312536153</v>
      </c>
      <c r="AF115">
        <f>AE115*AD115*Z115</f>
        <v>0.5995128335160763</v>
      </c>
      <c r="AG115">
        <f>(AF115 * M115) + (0.045 * X115)</f>
        <v>0.05395615501644686</v>
      </c>
      <c r="AH115">
        <f>$AV$2</f>
        <v>0.08</v>
      </c>
      <c r="AI115">
        <f>(AF115 * ((1 - O115) + (0.04 * AF115))) * ( 1 - AH115 )</f>
        <v>0.26142480853751304</v>
      </c>
      <c r="AJ115">
        <f>$AV$1</f>
        <v>0.19</v>
      </c>
      <c r="AK115">
        <f>$AW$20</f>
        <v>0.6784</v>
      </c>
      <c r="AL115">
        <f>AI115 * AJ115 * R115 * T115 * AK115</f>
        <v>0.00006483228172128862</v>
      </c>
      <c r="AM115">
        <f>AI115*AJ115*S115*U115*AK115</f>
        <v>0.00015796230436975934</v>
      </c>
      <c r="AN115">
        <f>AL115+AM115</f>
        <v>0.00022279458609104796</v>
      </c>
      <c r="AO115">
        <f>H115*AN115*L115</f>
        <v>3.8627011363535444</v>
      </c>
    </row>
    <row r="116">
      <c r="F116" t="str">
        <v>Winter</v>
      </c>
      <c r="H116">
        <v>180</v>
      </c>
      <c r="I116">
        <v>0</v>
      </c>
      <c r="J116">
        <v>0</v>
      </c>
      <c r="L116">
        <f>$AV$3</f>
        <v>91.25</v>
      </c>
      <c r="M116">
        <v>0.2</v>
      </c>
      <c r="O116">
        <v>0.75</v>
      </c>
      <c r="Q116">
        <v>55</v>
      </c>
      <c r="R116">
        <f>1-S116</f>
        <v>0.0026000000000000467</v>
      </c>
      <c r="S116">
        <f>S101</f>
        <v>0.9974</v>
      </c>
      <c r="T116">
        <f>T101</f>
        <v>0.74</v>
      </c>
      <c r="U116">
        <f>$AV$10</f>
        <v>0.0047</v>
      </c>
      <c r="V116">
        <f>(I116/100)*(MIN(J116,100)/100)</f>
        <v>0</v>
      </c>
      <c r="W116">
        <v>0</v>
      </c>
      <c r="X116">
        <f>1.6 * W116</f>
        <v>0</v>
      </c>
      <c r="Y116">
        <f>$AY$1</f>
        <v>1.3</v>
      </c>
      <c r="Z116">
        <f>V116*Y116+(1-V116)</f>
        <v>1</v>
      </c>
      <c r="AA116">
        <f>(0.795*O116)-0.0014</f>
        <v>0.5948500000000001</v>
      </c>
      <c r="AC116">
        <v>0.9</v>
      </c>
      <c r="AD116">
        <f>1 - EXP(-2*(AC116^2))</f>
        <v>0.8021013009163853</v>
      </c>
      <c r="AE116">
        <f>(104.7*AA116+0.307*Q116-15)*(Q116^0.75)*10^-3</f>
        <v>1.295912254133513</v>
      </c>
      <c r="AF116">
        <f>AE116*AD116*Z116</f>
        <v>1.0394529049139762</v>
      </c>
      <c r="AG116">
        <f>(AF116 * M116) + (0.045 * X116)</f>
        <v>0.20789058098279525</v>
      </c>
      <c r="AH116">
        <f>$AV$2</f>
        <v>0.08</v>
      </c>
      <c r="AI116">
        <f>(AF116 * ((1 - O116) + (0.04 * AF116))) * ( 1 - AH116 )</f>
        <v>0.27883518229866955</v>
      </c>
      <c r="AJ116">
        <f>$AV$1</f>
        <v>0.19</v>
      </c>
      <c r="AK116">
        <f>$AW$20</f>
        <v>0.6784</v>
      </c>
      <c r="AL116">
        <f>AI116 * AJ116 * R116 * T116 * AK116</f>
        <v>0.00006914998310116459</v>
      </c>
      <c r="AM116">
        <f>AI116*AJ116*S116*U116*AK116</f>
        <v>0.00016848228055196026</v>
      </c>
      <c r="AN116">
        <f>AL116+AM116</f>
        <v>0.00023763226365312485</v>
      </c>
      <c r="AO116">
        <f>H116*AN116*L116</f>
        <v>3.9031099305025756</v>
      </c>
    </row>
    <row r="117">
      <c r="E117" t="str">
        <v>Rams</v>
      </c>
      <c r="F117" t="str">
        <v>Spring</v>
      </c>
      <c r="H117">
        <v>50</v>
      </c>
      <c r="I117">
        <v>0</v>
      </c>
      <c r="J117">
        <v>0</v>
      </c>
      <c r="L117">
        <f>$AV$3</f>
        <v>91.25</v>
      </c>
      <c r="M117">
        <v>0.16</v>
      </c>
      <c r="O117">
        <v>0.7</v>
      </c>
      <c r="Q117">
        <v>80</v>
      </c>
      <c r="R117">
        <f>1-S117</f>
        <v>0.0026000000000000467</v>
      </c>
      <c r="S117">
        <f>S101</f>
        <v>0.9974</v>
      </c>
      <c r="T117">
        <f>T101</f>
        <v>0.74</v>
      </c>
      <c r="U117">
        <f>$AV$10</f>
        <v>0.0047</v>
      </c>
      <c r="V117">
        <f>(I117/100)*(MIN(J117,100)/100)</f>
        <v>0</v>
      </c>
      <c r="W117">
        <v>0</v>
      </c>
      <c r="X117">
        <f>1.6 * W117</f>
        <v>0</v>
      </c>
      <c r="Y117">
        <f>$AY$1</f>
        <v>1.3</v>
      </c>
      <c r="Z117">
        <f>V117*Y117+(1-V117)</f>
        <v>1</v>
      </c>
      <c r="AA117">
        <f>(0.795*O117)-0.0014</f>
        <v>0.5551</v>
      </c>
      <c r="AC117">
        <v>4</v>
      </c>
      <c r="AD117">
        <f>1 - EXP(-2*(AC117^2))</f>
        <v>0.9999999999999873</v>
      </c>
      <c r="AE117">
        <f>(104.7*AA117+0.307*Q117-15)*(Q117^0.75)*10^-3</f>
        <v>1.8103862015316043</v>
      </c>
      <c r="AF117">
        <f>AE117*AD117*Z117</f>
        <v>1.8103862015315815</v>
      </c>
      <c r="AG117">
        <f>(AF117 * M117) + (0.045 * X117)</f>
        <v>0.28966179224505306</v>
      </c>
      <c r="AH117">
        <f>$AV$2</f>
        <v>0.08</v>
      </c>
      <c r="AI117">
        <f>(AF117 * ((1 - O117) + (0.04 * AF117))) * ( 1 - AH117 )</f>
        <v>0.6202785253347275</v>
      </c>
      <c r="AJ117">
        <f>$AV$1</f>
        <v>0.19</v>
      </c>
      <c r="AK117">
        <f>$AW$20</f>
        <v>0.6784</v>
      </c>
      <c r="AL117">
        <f>AI117 * AJ117 * R117 * T117 * AK117</f>
        <v>0.00015382653362217542</v>
      </c>
      <c r="AM117">
        <f>AI117*AJ117*S117*U117*AK117</f>
        <v>0.00037479467140506676</v>
      </c>
      <c r="AN117">
        <f>AL117+AM117</f>
        <v>0.0005286212050272422</v>
      </c>
      <c r="AO117">
        <f>H117*AN117*L117</f>
        <v>2.4118342479367927</v>
      </c>
    </row>
    <row r="118">
      <c r="F118" t="str">
        <v>Summer</v>
      </c>
      <c r="H118">
        <v>55</v>
      </c>
      <c r="I118">
        <v>0</v>
      </c>
      <c r="J118">
        <v>0</v>
      </c>
      <c r="L118">
        <f>$AV$3</f>
        <v>91.25</v>
      </c>
      <c r="M118">
        <v>0.07</v>
      </c>
      <c r="O118">
        <v>0.55</v>
      </c>
      <c r="Q118">
        <v>70</v>
      </c>
      <c r="R118">
        <f>1-S118</f>
        <v>0.0026000000000000467</v>
      </c>
      <c r="S118">
        <f>S101</f>
        <v>0.9974</v>
      </c>
      <c r="T118">
        <f>T101</f>
        <v>0.74</v>
      </c>
      <c r="U118">
        <f>$AV$10</f>
        <v>0.0047</v>
      </c>
      <c r="V118">
        <f>(I118/100)*(MIN(J118,100)/100)</f>
        <v>0</v>
      </c>
      <c r="W118">
        <v>0</v>
      </c>
      <c r="X118">
        <f>1.6 * W118</f>
        <v>0</v>
      </c>
      <c r="Y118">
        <f>$AY$1</f>
        <v>1.3</v>
      </c>
      <c r="Z118">
        <f>V118*Y118+(1-V118)</f>
        <v>1</v>
      </c>
      <c r="AA118">
        <f>(0.795*O118)-0.0014</f>
        <v>0.43585000000000007</v>
      </c>
      <c r="AC118">
        <v>2.5</v>
      </c>
      <c r="AD118">
        <f>1 - EXP(-2*(AC118^2))</f>
        <v>0.999996273346828</v>
      </c>
      <c r="AE118">
        <f>(104.7*AA118+0.307*Q118-15)*(Q118^0.75)*10^-3</f>
        <v>1.2614122912776211</v>
      </c>
      <c r="AF118">
        <f>AE118*AD118*Z118</f>
        <v>1.2614075904315045</v>
      </c>
      <c r="AG118">
        <f>(AF118 * M118) + (0.045 * X118)</f>
        <v>0.08829853133020532</v>
      </c>
      <c r="AH118">
        <f>$AV$2</f>
        <v>0.08</v>
      </c>
      <c r="AI118">
        <f>(AF118 * ((1 - O118) + (0.04 * AF118))) * ( 1 - AH118 )</f>
        <v>0.5807770296571371</v>
      </c>
      <c r="AJ118">
        <f>$AV$1</f>
        <v>0.19</v>
      </c>
      <c r="AK118">
        <f>$AW$20</f>
        <v>0.6784</v>
      </c>
      <c r="AL118">
        <f>AI118 * AJ118 * R118 * T118 * AK118</f>
        <v>0.0001440303244922591</v>
      </c>
      <c r="AM118">
        <f>AI118*AJ118*S118*U118*AK118</f>
        <v>0.0003509264420729263</v>
      </c>
      <c r="AN118">
        <f>AL118+AM118</f>
        <v>0.0004949567665651854</v>
      </c>
      <c r="AO118">
        <f>H118*AN118*L118</f>
        <v>2.4840642721990243</v>
      </c>
    </row>
    <row r="119">
      <c r="F119" t="str">
        <v>Autumn</v>
      </c>
      <c r="H119">
        <v>60</v>
      </c>
      <c r="I119">
        <v>0</v>
      </c>
      <c r="J119">
        <v>0</v>
      </c>
      <c r="L119">
        <f>$AV$3</f>
        <v>91.25</v>
      </c>
      <c r="M119">
        <v>0.09</v>
      </c>
      <c r="O119">
        <v>0.55</v>
      </c>
      <c r="Q119">
        <v>70</v>
      </c>
      <c r="R119">
        <f>1-S119</f>
        <v>0.0026000000000000467</v>
      </c>
      <c r="S119">
        <f>S101</f>
        <v>0.9974</v>
      </c>
      <c r="T119">
        <f>T101</f>
        <v>0.74</v>
      </c>
      <c r="U119">
        <f>$AV$10</f>
        <v>0.0047</v>
      </c>
      <c r="V119">
        <f>(I119/100)*(MIN(J119,100)/100)</f>
        <v>0</v>
      </c>
      <c r="W119">
        <v>0</v>
      </c>
      <c r="X119">
        <f>1.6 * W119</f>
        <v>0</v>
      </c>
      <c r="Y119">
        <f>$AY$1</f>
        <v>1.3</v>
      </c>
      <c r="Z119">
        <f>V119*Y119+(1-V119)</f>
        <v>1</v>
      </c>
      <c r="AA119">
        <f>(0.795*O119)-0.0014</f>
        <v>0.43585000000000007</v>
      </c>
      <c r="AC119">
        <v>0.7</v>
      </c>
      <c r="AD119">
        <f>1 - EXP(-2*(AC119^2))</f>
        <v>0.6246889011486004</v>
      </c>
      <c r="AE119">
        <f>(104.7*AA119+0.307*Q119-15)*(Q119^0.75)*10^-3</f>
        <v>1.2614122912776211</v>
      </c>
      <c r="AF119">
        <f>AE119*AD119*Z119</f>
        <v>0.7879902581335554</v>
      </c>
      <c r="AG119">
        <f>(AF119 * M119) + (0.045 * X119)</f>
        <v>0.07091912323201999</v>
      </c>
      <c r="AH119">
        <f>$AV$2</f>
        <v>0.08</v>
      </c>
      <c r="AI119">
        <f>(AF119 * ((1 - O119) + (0.04 * AF119))) * ( 1 - AH119 )</f>
        <v>0.3490781410737046</v>
      </c>
      <c r="AJ119">
        <f>$AV$1</f>
        <v>0.19</v>
      </c>
      <c r="AK119">
        <f>$AW$20</f>
        <v>0.6784</v>
      </c>
      <c r="AL119">
        <f>AI119 * AJ119 * R119 * T119 * AK119</f>
        <v>0.00008656994916221446</v>
      </c>
      <c r="AM119">
        <f>AI119*AJ119*S119*U119*AK119</f>
        <v>0.00021092561137403245</v>
      </c>
      <c r="AN119">
        <f>AL119+AM119</f>
        <v>0.0002974955605362469</v>
      </c>
      <c r="AO119">
        <f>H119*AN119*L119</f>
        <v>1.6287881939359519</v>
      </c>
    </row>
    <row r="120">
      <c r="F120" t="str">
        <v>Winter</v>
      </c>
      <c r="H120">
        <v>65</v>
      </c>
      <c r="I120">
        <v>0</v>
      </c>
      <c r="J120">
        <v>0</v>
      </c>
      <c r="L120">
        <f>$AV$3</f>
        <v>91.25</v>
      </c>
      <c r="M120">
        <v>0.2</v>
      </c>
      <c r="O120">
        <v>0.75</v>
      </c>
      <c r="Q120">
        <v>70</v>
      </c>
      <c r="R120">
        <f>1-S120</f>
        <v>0.0026000000000000467</v>
      </c>
      <c r="S120">
        <f>S101</f>
        <v>0.9974</v>
      </c>
      <c r="T120">
        <f>T101</f>
        <v>0.74</v>
      </c>
      <c r="U120">
        <f>$AV$10</f>
        <v>0.0047</v>
      </c>
      <c r="V120">
        <f>(I120/100)*(MIN(J120,100)/100)</f>
        <v>0</v>
      </c>
      <c r="W120">
        <v>0</v>
      </c>
      <c r="X120">
        <f>1.6 * W120</f>
        <v>0</v>
      </c>
      <c r="Y120">
        <f>$AY$1</f>
        <v>1.3</v>
      </c>
      <c r="Z120">
        <f>V120*Y120+(1-V120)</f>
        <v>1</v>
      </c>
      <c r="AA120">
        <f>(0.795*O120)-0.0014</f>
        <v>0.5948500000000001</v>
      </c>
      <c r="AC120">
        <v>0.9</v>
      </c>
      <c r="AD120">
        <f>1 - EXP(-2*(AC120^2))</f>
        <v>0.8021013009163853</v>
      </c>
      <c r="AE120">
        <f>(104.7*AA120+0.307*Q120-15)*(Q120^0.75)*10^-3</f>
        <v>1.6642845245495062</v>
      </c>
      <c r="AF120">
        <f>AE120*AD120*Z120</f>
        <v>1.3349247822361667</v>
      </c>
      <c r="AG120">
        <f>(AF120 * M120) + (0.045 * X120)</f>
        <v>0.26698495644723336</v>
      </c>
      <c r="AH120">
        <f>$AV$2</f>
        <v>0.08</v>
      </c>
      <c r="AI120">
        <f>(AF120 * ((1 - O120) + (0.04 * AF120))) * ( 1 - AH120 )</f>
        <v>0.372611189525919</v>
      </c>
      <c r="AJ120">
        <f>$AV$1</f>
        <v>0.19</v>
      </c>
      <c r="AK120">
        <f>$AW$20</f>
        <v>0.6784</v>
      </c>
      <c r="AL120">
        <f>AI120 * AJ120 * R120 * T120 * AK120</f>
        <v>0.00009240604878699728</v>
      </c>
      <c r="AM120">
        <f>AI120*AJ120*S120*U120*AK120</f>
        <v>0.00022514512857728809</v>
      </c>
      <c r="AN120">
        <f>AL120+AM120</f>
        <v>0.0003175511773642854</v>
      </c>
      <c r="AO120">
        <f>H120*AN120*L120</f>
        <v>1.8834754207419178</v>
      </c>
    </row>
    <row r="121">
      <c r="E121" t="str">
        <v>Wethers</v>
      </c>
      <c r="F121" t="str">
        <v>Spring</v>
      </c>
      <c r="H121">
        <v>50</v>
      </c>
      <c r="I121">
        <v>0</v>
      </c>
      <c r="J121">
        <v>0</v>
      </c>
      <c r="L121">
        <f>$AV$3</f>
        <v>91.25</v>
      </c>
      <c r="M121">
        <v>0.16</v>
      </c>
      <c r="O121">
        <v>0.7</v>
      </c>
      <c r="Q121">
        <v>70</v>
      </c>
      <c r="R121">
        <f>1-S121</f>
        <v>0.0026000000000000467</v>
      </c>
      <c r="S121">
        <f>S101</f>
        <v>0.9974</v>
      </c>
      <c r="T121">
        <f>T101</f>
        <v>0.74</v>
      </c>
      <c r="U121">
        <f>$AV$10</f>
        <v>0.0047</v>
      </c>
      <c r="V121">
        <f>(I121/100)*(MIN(J121,100)/100)</f>
        <v>0</v>
      </c>
      <c r="W121">
        <v>0</v>
      </c>
      <c r="X121">
        <f>1.6 * W121</f>
        <v>0</v>
      </c>
      <c r="Y121">
        <f>$AY$1</f>
        <v>1.3</v>
      </c>
      <c r="Z121">
        <f>V121*Y121+(1-V121)</f>
        <v>1</v>
      </c>
      <c r="AA121">
        <f>(0.795*O121)-0.0014</f>
        <v>0.5551</v>
      </c>
      <c r="AC121">
        <v>4</v>
      </c>
      <c r="AD121">
        <f>1 - EXP(-2*(AC121^2))</f>
        <v>0.9999999999999873</v>
      </c>
      <c r="AE121">
        <f>(104.7*AA121+0.307*Q121-15)*(Q121^0.75)*10^-3</f>
        <v>1.5635664662315347</v>
      </c>
      <c r="AF121">
        <f>AE121*AD121*Z121</f>
        <v>1.563566466231515</v>
      </c>
      <c r="AG121">
        <f>(AF121 * M121) + (0.045 * X121)</f>
        <v>0.2501706345970424</v>
      </c>
      <c r="AH121">
        <f>$AV$2</f>
        <v>0.08</v>
      </c>
      <c r="AI121">
        <f>(AF121 * ((1 - O121) + (0.04 * AF121))) * ( 1 - AH121 )</f>
        <v>0.5215107801510107</v>
      </c>
      <c r="AJ121">
        <f>$AV$1</f>
        <v>0.19</v>
      </c>
      <c r="AK121">
        <f>$AW$20</f>
        <v>0.6784</v>
      </c>
      <c r="AL121">
        <f>AI121 * AJ121 * R121 * T121 * AK121</f>
        <v>0.00012933253736929746</v>
      </c>
      <c r="AM121">
        <f>AI121*AJ121*S121*U121*AK121</f>
        <v>0.0003151156351502258</v>
      </c>
      <c r="AN121">
        <f>AL121+AM121</f>
        <v>0.00044444817251952326</v>
      </c>
      <c r="AO121">
        <f>H121*AN121*L121</f>
        <v>2.027794787120325</v>
      </c>
    </row>
    <row r="122">
      <c r="F122" t="str">
        <v>Summer</v>
      </c>
      <c r="H122">
        <v>100</v>
      </c>
      <c r="I122">
        <v>0</v>
      </c>
      <c r="J122">
        <v>0</v>
      </c>
      <c r="L122">
        <f>$AV$3</f>
        <v>91.25</v>
      </c>
      <c r="M122">
        <v>0.07</v>
      </c>
      <c r="O122">
        <v>0.55</v>
      </c>
      <c r="Q122">
        <v>65</v>
      </c>
      <c r="R122">
        <f>1-S122</f>
        <v>0.0026000000000000467</v>
      </c>
      <c r="S122">
        <f>S101</f>
        <v>0.9974</v>
      </c>
      <c r="T122">
        <f>T101</f>
        <v>0.74</v>
      </c>
      <c r="U122">
        <f>$AV$10</f>
        <v>0.0047</v>
      </c>
      <c r="V122">
        <f>(I122/100)*(MIN(J122,100)/100)</f>
        <v>0</v>
      </c>
      <c r="W122">
        <v>0</v>
      </c>
      <c r="X122">
        <f>1.6 * W122</f>
        <v>0</v>
      </c>
      <c r="Y122">
        <f>$AY$1</f>
        <v>1.3</v>
      </c>
      <c r="Z122">
        <f>V122*Y122+(1-V122)</f>
        <v>1</v>
      </c>
      <c r="AA122">
        <f>(0.795*O122)-0.0014</f>
        <v>0.43585000000000007</v>
      </c>
      <c r="AC122">
        <v>2.5</v>
      </c>
      <c r="AD122">
        <f>1 - EXP(-2*(AC122^2))</f>
        <v>0.999996273346828</v>
      </c>
      <c r="AE122">
        <f>(104.7*AA122+0.307*Q122-15)*(Q122^0.75)*10^-3</f>
        <v>1.1580752413958724</v>
      </c>
      <c r="AF122">
        <f>AE122*AD122*Z122</f>
        <v>1.1580709256511006</v>
      </c>
      <c r="AG122">
        <f>(AF122 * M122) + (0.045 * X122)</f>
        <v>0.08106496479557705</v>
      </c>
      <c r="AH122">
        <f>$AV$2</f>
        <v>0.08</v>
      </c>
      <c r="AI122">
        <f>(AF122 * ((1 - O122) + (0.04 * AF122))) * ( 1 - AH122 )</f>
        <v>0.5287948835128087</v>
      </c>
      <c r="AJ122">
        <f>$AV$1</f>
        <v>0.19</v>
      </c>
      <c r="AK122">
        <f>$AW$20</f>
        <v>0.6784</v>
      </c>
      <c r="AL122">
        <f>AI122 * AJ122 * R122 * T122 * AK122</f>
        <v>0.00013113896516733602</v>
      </c>
      <c r="AM122">
        <f>AI122*AJ122*S122*U122*AK122</f>
        <v>0.0003195169532911245</v>
      </c>
      <c r="AN122">
        <f>AL122+AM122</f>
        <v>0.0004506559184584605</v>
      </c>
      <c r="AO122">
        <f>H122*AN122*L122</f>
        <v>4.112235255933452</v>
      </c>
    </row>
    <row r="123">
      <c r="F123" t="str">
        <v>Autumn</v>
      </c>
      <c r="H123">
        <v>90</v>
      </c>
      <c r="I123">
        <v>0</v>
      </c>
      <c r="J123">
        <v>0</v>
      </c>
      <c r="L123">
        <f>$AV$3</f>
        <v>91.25</v>
      </c>
      <c r="M123">
        <v>0.09</v>
      </c>
      <c r="O123">
        <v>0.55</v>
      </c>
      <c r="Q123">
        <v>60</v>
      </c>
      <c r="R123">
        <f>1-S123</f>
        <v>0.0026000000000000467</v>
      </c>
      <c r="S123">
        <f>S101</f>
        <v>0.9974</v>
      </c>
      <c r="T123">
        <f>T101</f>
        <v>0.74</v>
      </c>
      <c r="U123">
        <f>$AV$10</f>
        <v>0.0047</v>
      </c>
      <c r="V123">
        <f>(I123/100)*(MIN(J123,100)/100)</f>
        <v>0</v>
      </c>
      <c r="W123">
        <v>0</v>
      </c>
      <c r="X123">
        <f>1.6 * W123</f>
        <v>0</v>
      </c>
      <c r="Y123">
        <f>$AY$1</f>
        <v>1.3</v>
      </c>
      <c r="Z123">
        <f>V123*Y123+(1-V123)</f>
        <v>1</v>
      </c>
      <c r="AA123">
        <f>(0.795*O123)-0.0014</f>
        <v>0.43585000000000007</v>
      </c>
      <c r="AC123">
        <v>0.7</v>
      </c>
      <c r="AD123">
        <f>1 - EXP(-2*(AC123^2))</f>
        <v>0.6246889011486004</v>
      </c>
      <c r="AE123">
        <f>(104.7*AA123+0.307*Q123-15)*(Q123^0.75)*10^-3</f>
        <v>1.0575073475796353</v>
      </c>
      <c r="AF123">
        <f>AE123*AD123*Z123</f>
        <v>0.6606131029160934</v>
      </c>
      <c r="AG123">
        <f>(AF123 * M123) + (0.045 * X123)</f>
        <v>0.05945517926244841</v>
      </c>
      <c r="AH123">
        <f>$AV$2</f>
        <v>0.08</v>
      </c>
      <c r="AI123">
        <f>(AF123 * ((1 - O123) + (0.04 * AF123))) * ( 1 - AH123 )</f>
        <v>0.28955370052745766</v>
      </c>
      <c r="AJ123">
        <f>$AV$1</f>
        <v>0.19</v>
      </c>
      <c r="AK123">
        <f>$AW$20</f>
        <v>0.6784</v>
      </c>
      <c r="AL123">
        <f>AI123 * AJ123 * R123 * T123 * AK123</f>
        <v>0.00007180813171885342</v>
      </c>
      <c r="AM123">
        <f>AI123*AJ123*S123*U123*AK123</f>
        <v>0.00017495879610654924</v>
      </c>
      <c r="AN123">
        <f>AL123+AM123</f>
        <v>0.00024676692782540265</v>
      </c>
      <c r="AO123">
        <f>H123*AN123*L123</f>
        <v>2.0265733947661193</v>
      </c>
    </row>
    <row r="124">
      <c r="F124" t="str">
        <v>Winter</v>
      </c>
      <c r="H124">
        <v>80</v>
      </c>
      <c r="I124">
        <v>0</v>
      </c>
      <c r="J124">
        <v>0</v>
      </c>
      <c r="L124">
        <f>$AV$3</f>
        <v>91.25</v>
      </c>
      <c r="M124">
        <v>0.2</v>
      </c>
      <c r="O124">
        <v>0.75</v>
      </c>
      <c r="Q124">
        <v>60</v>
      </c>
      <c r="R124">
        <f>1-S124</f>
        <v>0.0026000000000000467</v>
      </c>
      <c r="S124">
        <f>S101</f>
        <v>0.9974</v>
      </c>
      <c r="T124">
        <f>T101</f>
        <v>0.74</v>
      </c>
      <c r="U124">
        <f>$AV$10</f>
        <v>0.0047</v>
      </c>
      <c r="V124">
        <f>(I124/100)*(MIN(J124,100)/100)</f>
        <v>0</v>
      </c>
      <c r="W124">
        <v>0</v>
      </c>
      <c r="X124">
        <f>1.6 * W124</f>
        <v>0</v>
      </c>
      <c r="Y124">
        <f>$AY$1</f>
        <v>1.3</v>
      </c>
      <c r="Z124">
        <f>V124*Y124+(1-V124)</f>
        <v>1</v>
      </c>
      <c r="AA124">
        <f>(0.795*O124)-0.0014</f>
        <v>0.5948500000000001</v>
      </c>
      <c r="AC124">
        <v>0.9</v>
      </c>
      <c r="AD124">
        <f>1 - EXP(-2*(AC124^2))</f>
        <v>0.8021013009163853</v>
      </c>
      <c r="AE124">
        <f>(104.7*AA124+0.307*Q124-15)*(Q124^0.75)*10^-3</f>
        <v>1.4163939481646182</v>
      </c>
      <c r="AF124">
        <f>AE124*AD124*Z124</f>
        <v>1.1360914284329355</v>
      </c>
      <c r="AG124">
        <f>(AF124 * M124) + (0.045 * X124)</f>
        <v>0.2272182856865871</v>
      </c>
      <c r="AH124">
        <f>$AV$2</f>
        <v>0.08</v>
      </c>
      <c r="AI124">
        <f>(AF124 * ((1 - O124) + (0.04 * AF124))) * ( 1 - AH124 )</f>
        <v>0.30879892594189856</v>
      </c>
      <c r="AJ124">
        <f>$AV$1</f>
        <v>0.19</v>
      </c>
      <c r="AK124">
        <f>$AW$20</f>
        <v>0.6784</v>
      </c>
      <c r="AL124">
        <f>AI124 * AJ124 * R124 * T124 * AK124</f>
        <v>0.00007658086879319157</v>
      </c>
      <c r="AM124">
        <f>AI124*AJ124*S124*U124*AK124</f>
        <v>0.0001865874558790754</v>
      </c>
      <c r="AN124">
        <f>AL124+AM124</f>
        <v>0.000263168324672267</v>
      </c>
      <c r="AO124">
        <f>H124*AN124*L124</f>
        <v>1.921128770107549</v>
      </c>
    </row>
    <row r="131">
      <c r="A131" t="str">
        <v>TAS</v>
      </c>
      <c r="B131" t="str">
        <v>TAS</v>
      </c>
      <c r="C131" t="str">
        <v>TAS</v>
      </c>
      <c r="D131" t="str">
        <v>yes</v>
      </c>
      <c r="E131" t="str">
        <v>Breeding ewes</v>
      </c>
      <c r="F131" t="str">
        <v>Spring</v>
      </c>
      <c r="H131">
        <v>100</v>
      </c>
      <c r="I131">
        <v>95</v>
      </c>
      <c r="J131">
        <v>90</v>
      </c>
      <c r="L131">
        <f>$AV$3</f>
        <v>91.25</v>
      </c>
      <c r="M131" cm="1">
        <f t="array" ref="M131:M154">DROP(XLOOKUP($C131,QueryCP[[#Headers],[ACT/NSW]:[WA]],QueryCP[[#All],[ACT/NSW]:[WA]]),1)</f>
        <v>0.2</v>
      </c>
      <c r="O131" cm="1">
        <f t="array" ref="O131:O154">DROP(XLOOKUP($C131,QueryDMD[[#Headers],[ACT/NSW]:[WA]],QueryDMD[[#All],[ACT/NSW]:[WA]]),1)</f>
        <v>0.75</v>
      </c>
      <c r="Q131" cm="1">
        <f t="array" ref="Q131:Q154">DROP(XLOOKUP($C131,QueryW[[#Headers],[ACT/NSW]:[WA]],QueryW[[#All],[ACT/NSW]:[WA]]),1)</f>
        <v>50</v>
      </c>
      <c r="R131">
        <f>1-S131</f>
        <v>0</v>
      </c>
      <c r="S131">
        <f>IF($D131="yes", 1, VLOOKUP($B131, $AU$26:$AW$32, 2)/100)</f>
        <v>1</v>
      </c>
      <c r="T131">
        <f>VLOOKUP($B131,$AW$10:$AX$16, 2, FALSE)</f>
        <v>0.69</v>
      </c>
      <c r="U131">
        <f>$AV$10</f>
        <v>0.0047</v>
      </c>
      <c r="V131">
        <f>(I131/100)*(MIN(J131,100)/100)</f>
        <v>0.855</v>
      </c>
      <c r="W131">
        <v>0</v>
      </c>
      <c r="X131">
        <f>1.6 * W131</f>
        <v>0</v>
      </c>
      <c r="Y131">
        <f>$AY$1</f>
        <v>1.3</v>
      </c>
      <c r="Z131">
        <f>V131*Y131+(1-V131)</f>
        <v>1.2565</v>
      </c>
      <c r="AA131">
        <f>(0.795*O131)-0.0014</f>
        <v>0.5948500000000001</v>
      </c>
      <c r="AC131" cm="1">
        <f t="array" ref="AC131:AC154">DROP(XLOOKUP($C131,QueryDMA[[#Headers],[ACT/NSW]:[WA]],QueryDMA[[#All],[ACT/NSW]:[WA]]),1)</f>
        <v>2.5</v>
      </c>
      <c r="AD131">
        <f>1 - EXP(-2*(AC131^2))</f>
        <v>0.999996273346828</v>
      </c>
      <c r="AE131">
        <f>(104.7*AA131+0.307*Q131-15)*(Q131^0.75)*10^-3</f>
        <v>1.177647806997299</v>
      </c>
      <c r="AF131">
        <f>AE131*AD131*Z131</f>
        <v>1.4797089551094849</v>
      </c>
      <c r="AG131">
        <f>(AF131 * M131) + (0.045 * X131)</f>
        <v>0.295941791021897</v>
      </c>
      <c r="AH131">
        <f>$AV$2</f>
        <v>0.08</v>
      </c>
      <c r="AI131">
        <f>(AF131 * ((1 - O131) + (0.04 * AF131))) * ( 1 - AH131 )</f>
        <v>0.42090807985456985</v>
      </c>
      <c r="AJ131">
        <f>$AV$1</f>
        <v>0.19</v>
      </c>
      <c r="AK131">
        <f>$AW$20</f>
        <v>0.6784</v>
      </c>
      <c r="AL131">
        <f>AI131 * AJ131 * R131 * T131 * AK131</f>
        <v>0</v>
      </c>
      <c r="AM131">
        <f>AI131*AJ131*S131*U131*AK131</f>
        <v>0.0002549908289463928</v>
      </c>
      <c r="AN131">
        <f>AL131+AM131</f>
        <v>0.0002549908289463928</v>
      </c>
      <c r="AO131">
        <f>H131*AN131*L131</f>
        <v>2.3267913141358343</v>
      </c>
      <c r="AP131">
        <f>SUM(AO131:AO154)*10^-3</f>
        <v>0.05033423980222152</v>
      </c>
    </row>
    <row r="132">
      <c r="F132" t="str">
        <v>Summer</v>
      </c>
      <c r="H132">
        <v>70</v>
      </c>
      <c r="I132">
        <v>0</v>
      </c>
      <c r="J132">
        <v>0</v>
      </c>
      <c r="L132">
        <f>$AV$3</f>
        <v>91.25</v>
      </c>
      <c r="M132">
        <v>0.07</v>
      </c>
      <c r="O132">
        <v>0.55</v>
      </c>
      <c r="Q132">
        <v>50</v>
      </c>
      <c r="R132">
        <f>1-S132</f>
        <v>0</v>
      </c>
      <c r="S132">
        <f>S131</f>
        <v>1</v>
      </c>
      <c r="T132">
        <f>T131</f>
        <v>0.69</v>
      </c>
      <c r="U132">
        <f>$AV$10</f>
        <v>0.0047</v>
      </c>
      <c r="V132">
        <f>(I132/100)*(MIN(J132,100)/100)</f>
        <v>0</v>
      </c>
      <c r="W132">
        <v>0</v>
      </c>
      <c r="X132">
        <f>1.6 * W132</f>
        <v>0</v>
      </c>
      <c r="Y132">
        <f>$AY$1</f>
        <v>1.3</v>
      </c>
      <c r="Z132">
        <f>V132*Y132+(1-V132)</f>
        <v>1</v>
      </c>
      <c r="AA132">
        <f>(0.795*O132)-0.0014</f>
        <v>0.43585000000000007</v>
      </c>
      <c r="AC132">
        <v>2.5</v>
      </c>
      <c r="AD132">
        <f>1 - EXP(-2*(AC132^2))</f>
        <v>0.999996273346828</v>
      </c>
      <c r="AE132">
        <f>(104.7*AA132+0.307*Q132-15)*(Q132^0.75)*10^-3</f>
        <v>0.8646283676396137</v>
      </c>
      <c r="AF132">
        <f>AE132*AD132*Z132</f>
        <v>0.8646251454695648</v>
      </c>
      <c r="AG132">
        <f>(AF132 * M132) + (0.045 * X132)</f>
        <v>0.06052376018286954</v>
      </c>
      <c r="AH132">
        <f>$AV$2</f>
        <v>0.08</v>
      </c>
      <c r="AI132">
        <f>(AF132 * ((1 - O132) + (0.04 * AF132))) * ( 1 - AH132 )</f>
        <v>0.38546563065656003</v>
      </c>
      <c r="AJ132">
        <f>$AV$1</f>
        <v>0.19</v>
      </c>
      <c r="AK132">
        <f>$AW$20</f>
        <v>0.6784</v>
      </c>
      <c r="AL132">
        <f>AI132 * AJ132 * R132 * T132 * AK132</f>
        <v>0</v>
      </c>
      <c r="AM132">
        <f>AI132*AJ132*S132*U132*AK132</f>
        <v>0.00023351939626680747</v>
      </c>
      <c r="AN132">
        <f>AL132+AM132</f>
        <v>0.00023351939626680747</v>
      </c>
      <c r="AO132">
        <f>H132*AN132*L132</f>
        <v>1.4916051436542326</v>
      </c>
    </row>
    <row r="133">
      <c r="F133" t="str">
        <v>Autumn</v>
      </c>
      <c r="H133">
        <v>65</v>
      </c>
      <c r="I133">
        <v>0</v>
      </c>
      <c r="J133">
        <v>0</v>
      </c>
      <c r="L133">
        <f>$AV$3</f>
        <v>91.25</v>
      </c>
      <c r="M133">
        <v>0.14</v>
      </c>
      <c r="O133">
        <v>0.67</v>
      </c>
      <c r="Q133">
        <v>50</v>
      </c>
      <c r="R133">
        <f>1-S133</f>
        <v>0</v>
      </c>
      <c r="S133">
        <f>S131</f>
        <v>1</v>
      </c>
      <c r="T133">
        <f>T131</f>
        <v>0.69</v>
      </c>
      <c r="U133">
        <f>$AV$10</f>
        <v>0.0047</v>
      </c>
      <c r="V133">
        <f>(I133/100)*(MIN(J133,100)/100)</f>
        <v>0</v>
      </c>
      <c r="W133">
        <v>0</v>
      </c>
      <c r="X133">
        <f>1.6 * W133</f>
        <v>0</v>
      </c>
      <c r="Y133">
        <f>$AY$1</f>
        <v>1.3</v>
      </c>
      <c r="Z133">
        <f>V133*Y133+(1-V133)</f>
        <v>1</v>
      </c>
      <c r="AA133">
        <f>(0.795*O133)-0.0014</f>
        <v>0.5312500000000001</v>
      </c>
      <c r="AC133">
        <v>1.3</v>
      </c>
      <c r="AD133">
        <f>1 - EXP(-2*(AC133^2))</f>
        <v>0.9659525452654006</v>
      </c>
      <c r="AE133">
        <f>(104.7*AA133+0.307*Q133-15)*(Q133^0.75)*10^-3</f>
        <v>1.052440031254225</v>
      </c>
      <c r="AF133">
        <f>AE133*AD133*Z133</f>
        <v>1.0166071269292165</v>
      </c>
      <c r="AG133">
        <f>(AF133 * M133) + (0.045 * X133)</f>
        <v>0.14232499777009033</v>
      </c>
      <c r="AH133">
        <f>$AV$2</f>
        <v>0.08</v>
      </c>
      <c r="AI133">
        <f>(AF133 * ((1 - O133) + (0.04 * AF133))) * ( 1 - AH133 )</f>
        <v>0.34667435759496673</v>
      </c>
      <c r="AJ133">
        <f>$AV$1</f>
        <v>0.19</v>
      </c>
      <c r="AK133">
        <f>$AW$20</f>
        <v>0.6784</v>
      </c>
      <c r="AL133">
        <f>AI133 * AJ133 * R133 * T133 * AK133</f>
        <v>0</v>
      </c>
      <c r="AM133">
        <f>AI133*AJ133*S133*U133*AK133</f>
        <v>0.00021001920858383592</v>
      </c>
      <c r="AN133">
        <f>AL133+AM133</f>
        <v>0.00021001920858383592</v>
      </c>
      <c r="AO133">
        <f>H133*AN133*L133</f>
        <v>1.245676430912877</v>
      </c>
    </row>
    <row r="134">
      <c r="F134" t="str">
        <v>Winter</v>
      </c>
      <c r="H134">
        <v>80</v>
      </c>
      <c r="I134">
        <v>0</v>
      </c>
      <c r="J134">
        <v>0</v>
      </c>
      <c r="L134">
        <f>$AV$3</f>
        <v>91.25</v>
      </c>
      <c r="M134">
        <v>0.16</v>
      </c>
      <c r="O134">
        <v>0.7</v>
      </c>
      <c r="Q134">
        <v>55</v>
      </c>
      <c r="R134">
        <f>1-S134</f>
        <v>0</v>
      </c>
      <c r="S134">
        <f>S131</f>
        <v>1</v>
      </c>
      <c r="T134">
        <f>T131</f>
        <v>0.69</v>
      </c>
      <c r="U134">
        <f>$AV$10</f>
        <v>0.0047</v>
      </c>
      <c r="V134">
        <f>(I134/100)*(MIN(J134,100)/100)</f>
        <v>0</v>
      </c>
      <c r="W134">
        <v>0</v>
      </c>
      <c r="X134">
        <f>1.6 * W134</f>
        <v>0</v>
      </c>
      <c r="Y134">
        <f>$AY$1</f>
        <v>1.3</v>
      </c>
      <c r="Z134">
        <f>V134*Y134+(1-V134)</f>
        <v>1</v>
      </c>
      <c r="AA134">
        <f>(0.795*O134)-0.0014</f>
        <v>0.5551</v>
      </c>
      <c r="AC134">
        <v>0.8</v>
      </c>
      <c r="AD134">
        <f>1 - EXP(-2*(AC134^2))</f>
        <v>0.7219626995468059</v>
      </c>
      <c r="AE134">
        <f>(104.7*AA134+0.307*Q134-15)*(Q134^0.75)*10^-3</f>
        <v>1.2118587484135388</v>
      </c>
      <c r="AF134">
        <f>AE134*AD134*Z134</f>
        <v>0.8749168134740519</v>
      </c>
      <c r="AG134">
        <f>(AF134 * M134) + (0.045 * X134)</f>
        <v>0.1399866901558483</v>
      </c>
      <c r="AH134">
        <f>$AV$2</f>
        <v>0.08</v>
      </c>
      <c r="AI134">
        <f>(AF134 * ((1 - O134) + (0.04 * AF134))) * ( 1 - AH134 )</f>
        <v>0.2696466835612233</v>
      </c>
      <c r="AJ134">
        <f>$AV$1</f>
        <v>0.19</v>
      </c>
      <c r="AK134">
        <f>$AW$20</f>
        <v>0.6784</v>
      </c>
      <c r="AL134">
        <f>AI134 * AJ134 * R134 * T134 * AK134</f>
        <v>0</v>
      </c>
      <c r="AM134">
        <f>AI134*AJ134*S134*U134*AK134</f>
        <v>0.00016335498094424496</v>
      </c>
      <c r="AN134">
        <f>AL134+AM134</f>
        <v>0.00016335498094424496</v>
      </c>
      <c r="AO134">
        <f>H134*AN134*L134</f>
        <v>1.1924913608929884</v>
      </c>
    </row>
    <row r="135">
      <c r="E135" t="str">
        <v>Lambs and hoggets</v>
      </c>
      <c r="F135" t="str">
        <v>Spring</v>
      </c>
      <c r="H135">
        <v>200</v>
      </c>
      <c r="I135">
        <v>0</v>
      </c>
      <c r="J135">
        <v>0</v>
      </c>
      <c r="L135">
        <f>$AV$3</f>
        <v>91.25</v>
      </c>
      <c r="M135">
        <v>0.2</v>
      </c>
      <c r="O135">
        <v>0.75</v>
      </c>
      <c r="Q135">
        <v>14</v>
      </c>
      <c r="R135">
        <f>1-S135</f>
        <v>0</v>
      </c>
      <c r="S135">
        <f>S131</f>
        <v>1</v>
      </c>
      <c r="T135">
        <f>T131</f>
        <v>0.69</v>
      </c>
      <c r="U135">
        <f>$AV$10</f>
        <v>0.0047</v>
      </c>
      <c r="V135">
        <f>(I135/100)*(MIN(J135,100)/100)</f>
        <v>0</v>
      </c>
      <c r="W135">
        <v>1</v>
      </c>
      <c r="X135">
        <f>1.6 * W135</f>
        <v>1.6</v>
      </c>
      <c r="Y135">
        <f>$AY$1</f>
        <v>1.3</v>
      </c>
      <c r="Z135">
        <f>V135*Y135+(1-V135)</f>
        <v>1</v>
      </c>
      <c r="AA135">
        <f>(0.795*O135)-0.0014</f>
        <v>0.5948500000000001</v>
      </c>
      <c r="AC135">
        <v>2.5</v>
      </c>
      <c r="AD135">
        <f>1 - EXP(-2*(AC135^2))</f>
        <v>0.999996273346828</v>
      </c>
      <c r="AE135">
        <f>(104.7*AA135+0.307*Q135-15)*(Q135^0.75)*10^-3</f>
        <v>0.3733079325984448</v>
      </c>
      <c r="AF135">
        <f>AE135*AD135*Z135</f>
        <v>0.3733065414092536</v>
      </c>
      <c r="AG135">
        <f>(AF135 * M135) + (0.045 * X135)</f>
        <v>0.14666130828185073</v>
      </c>
      <c r="AH135">
        <f>$AV$2</f>
        <v>0.08</v>
      </c>
      <c r="AI135">
        <f>(AF135 * ((1 - O135) + (0.04 * AF135))) * ( 1 - AH135 )</f>
        <v>0.09098887060213728</v>
      </c>
      <c r="AJ135">
        <f>$AV$1</f>
        <v>0.19</v>
      </c>
      <c r="AK135">
        <f>$AW$20</f>
        <v>0.6784</v>
      </c>
      <c r="AL135">
        <f>AI135 * AJ135 * R135 * T135 * AK135</f>
        <v>0</v>
      </c>
      <c r="AM135">
        <f>AI135*AJ135*S135*U135*AK135</f>
        <v>0.000055122076886125516</v>
      </c>
      <c r="AN135">
        <f>AL135+AM135</f>
        <v>0.000055122076886125516</v>
      </c>
      <c r="AO135">
        <f>H135*AN135*L135</f>
        <v>1.0059779031717906</v>
      </c>
    </row>
    <row r="136">
      <c r="F136" t="str">
        <v>Summer</v>
      </c>
      <c r="H136">
        <v>210</v>
      </c>
      <c r="I136">
        <v>0</v>
      </c>
      <c r="J136">
        <v>0</v>
      </c>
      <c r="L136">
        <f>$AV$3</f>
        <v>91.25</v>
      </c>
      <c r="M136">
        <v>0.07</v>
      </c>
      <c r="O136">
        <v>0.55</v>
      </c>
      <c r="Q136">
        <v>24</v>
      </c>
      <c r="R136">
        <f>1-S136</f>
        <v>0</v>
      </c>
      <c r="S136">
        <f>S131</f>
        <v>1</v>
      </c>
      <c r="T136">
        <f>T131</f>
        <v>0.69</v>
      </c>
      <c r="U136">
        <f>$AV$10</f>
        <v>0.0047</v>
      </c>
      <c r="V136">
        <f>(I136/100)*(MIN(J136,100)/100)</f>
        <v>0</v>
      </c>
      <c r="W136">
        <v>0</v>
      </c>
      <c r="X136">
        <f>1.6 * W136</f>
        <v>0</v>
      </c>
      <c r="Y136">
        <f>$AY$1</f>
        <v>1.3</v>
      </c>
      <c r="Z136">
        <f>V136*Y136+(1-V136)</f>
        <v>1</v>
      </c>
      <c r="AA136">
        <f>(0.795*O136)-0.0014</f>
        <v>0.43585000000000007</v>
      </c>
      <c r="AC136">
        <v>2.5</v>
      </c>
      <c r="AD136">
        <f>1 - EXP(-2*(AC136^2))</f>
        <v>0.999996273346828</v>
      </c>
      <c r="AE136">
        <f>(104.7*AA136+0.307*Q136-15)*(Q136^0.75)*10^-3</f>
        <v>0.4120587242660342</v>
      </c>
      <c r="AF136">
        <f>AE136*AD136*Z136</f>
        <v>0.4120571886660823</v>
      </c>
      <c r="AG136">
        <f>(AF136 * M136) + (0.045 * X136)</f>
        <v>0.028844003206625765</v>
      </c>
      <c r="AH136">
        <f>$AV$2</f>
        <v>0.08</v>
      </c>
      <c r="AI136">
        <f>(AF136 * ((1 - O136) + (0.04 * AF136))) * ( 1 - AH136 )</f>
        <v>0.1768399895714734</v>
      </c>
      <c r="AJ136">
        <f>$AV$1</f>
        <v>0.19</v>
      </c>
      <c r="AK136">
        <f>$AW$20</f>
        <v>0.6784</v>
      </c>
      <c r="AL136">
        <f>AI136 * AJ136 * R136 * T136 * AK136</f>
        <v>0</v>
      </c>
      <c r="AM136">
        <f>AI136*AJ136*S136*U136*AK136</f>
        <v>0.00010713164629028178</v>
      </c>
      <c r="AN136">
        <f>AL136+AM136</f>
        <v>0.00010713164629028178</v>
      </c>
      <c r="AO136">
        <f>H136*AN136*L136</f>
        <v>2.0529101720375245</v>
      </c>
    </row>
    <row r="137">
      <c r="F137" t="str">
        <v>Autumn</v>
      </c>
      <c r="H137">
        <v>170</v>
      </c>
      <c r="I137">
        <v>0</v>
      </c>
      <c r="J137">
        <v>0</v>
      </c>
      <c r="L137">
        <f>$AV$3</f>
        <v>91.25</v>
      </c>
      <c r="M137">
        <v>0.14</v>
      </c>
      <c r="O137">
        <v>0.67</v>
      </c>
      <c r="Q137">
        <v>36</v>
      </c>
      <c r="R137">
        <f>1-S137</f>
        <v>0</v>
      </c>
      <c r="S137">
        <f>S131</f>
        <v>1</v>
      </c>
      <c r="T137">
        <f>T131</f>
        <v>0.69</v>
      </c>
      <c r="U137">
        <f>$AV$10</f>
        <v>0.0047</v>
      </c>
      <c r="V137">
        <f>(I137/100)*(MIN(J137,100)/100)</f>
        <v>0</v>
      </c>
      <c r="W137">
        <v>0</v>
      </c>
      <c r="X137">
        <f>1.6 * W137</f>
        <v>0</v>
      </c>
      <c r="Y137">
        <f>$AY$1</f>
        <v>1.3</v>
      </c>
      <c r="Z137">
        <f>V137*Y137+(1-V137)</f>
        <v>1</v>
      </c>
      <c r="AA137">
        <f>(0.795*O137)-0.0014</f>
        <v>0.5312500000000001</v>
      </c>
      <c r="AC137">
        <v>1.3</v>
      </c>
      <c r="AD137">
        <f>1 - EXP(-2*(AC137^2))</f>
        <v>0.9659525452654006</v>
      </c>
      <c r="AE137">
        <f>(104.7*AA137+0.307*Q137-15)*(Q137^0.75)*10^-3</f>
        <v>0.7594477606941609</v>
      </c>
      <c r="AF137">
        <f>AE137*AD137*Z137</f>
        <v>0.7335904974386336</v>
      </c>
      <c r="AG137">
        <f>(AF137 * M137) + (0.045 * X137)</f>
        <v>0.10270266964140871</v>
      </c>
      <c r="AH137">
        <f>$AV$2</f>
        <v>0.08</v>
      </c>
      <c r="AI137">
        <f>(AF137 * ((1 - O137) + (0.04 * AF137))) * ( 1 - AH137 )</f>
        <v>0.2425221796822764</v>
      </c>
      <c r="AJ137">
        <f>$AV$1</f>
        <v>0.19</v>
      </c>
      <c r="AK137">
        <f>$AW$20</f>
        <v>0.6784</v>
      </c>
      <c r="AL137">
        <f>AI137 * AJ137 * R137 * T137 * AK137</f>
        <v>0</v>
      </c>
      <c r="AM137">
        <f>AI137*AJ137*S137*U137*AK137</f>
        <v>0.0001469226526999355</v>
      </c>
      <c r="AN137">
        <f>AL137+AM137</f>
        <v>0.0001469226526999355</v>
      </c>
      <c r="AO137">
        <f>H137*AN137*L137</f>
        <v>2.2791376500077494</v>
      </c>
    </row>
    <row r="138">
      <c r="F138" t="str">
        <v>Winter</v>
      </c>
      <c r="H138">
        <v>200</v>
      </c>
      <c r="I138">
        <v>0</v>
      </c>
      <c r="J138">
        <v>0</v>
      </c>
      <c r="L138">
        <f>$AV$3</f>
        <v>91.25</v>
      </c>
      <c r="M138">
        <v>0.16</v>
      </c>
      <c r="O138">
        <v>0.7</v>
      </c>
      <c r="Q138">
        <v>42</v>
      </c>
      <c r="R138">
        <f>1-S138</f>
        <v>0</v>
      </c>
      <c r="S138">
        <f>S131</f>
        <v>1</v>
      </c>
      <c r="T138">
        <f>T131</f>
        <v>0.69</v>
      </c>
      <c r="U138">
        <f>$AV$10</f>
        <v>0.0047</v>
      </c>
      <c r="V138">
        <f>(I138/100)*(MIN(J138,100)/100)</f>
        <v>0</v>
      </c>
      <c r="W138">
        <v>0</v>
      </c>
      <c r="X138">
        <f>1.6 * W138</f>
        <v>0</v>
      </c>
      <c r="Y138">
        <f>$AY$1</f>
        <v>1.3</v>
      </c>
      <c r="Z138">
        <f>V138*Y138+(1-V138)</f>
        <v>1</v>
      </c>
      <c r="AA138">
        <f>(0.795*O138)-0.0014</f>
        <v>0.5551</v>
      </c>
      <c r="AC138">
        <v>0.8</v>
      </c>
      <c r="AD138">
        <f>1 - EXP(-2*(AC138^2))</f>
        <v>0.7219626995468059</v>
      </c>
      <c r="AE138">
        <f>(104.7*AA138+0.307*Q138-15)*(Q138^0.75)*10^-3</f>
        <v>0.9241140407709385</v>
      </c>
      <c r="AF138">
        <f>AE138*AD138*Z138</f>
        <v>0.6671758675640939</v>
      </c>
      <c r="AG138">
        <f>(AF138 * M138) + (0.045 * X138)</f>
        <v>0.10674813881025502</v>
      </c>
      <c r="AH138">
        <f>$AV$2</f>
        <v>0.08</v>
      </c>
      <c r="AI138">
        <f>(AF138 * ((1 - O138) + (0.04 * AF138))) * ( 1 - AH138 )</f>
        <v>0.2005210893356543</v>
      </c>
      <c r="AJ138">
        <f>$AV$1</f>
        <v>0.19</v>
      </c>
      <c r="AK138">
        <f>$AW$20</f>
        <v>0.6784</v>
      </c>
      <c r="AL138">
        <f>AI138 * AJ138 * R138 * T138 * AK138</f>
        <v>0</v>
      </c>
      <c r="AM138">
        <f>AI138*AJ138*S138*U138*AK138</f>
        <v>0.00012147792175573995</v>
      </c>
      <c r="AN138">
        <f>AL138+AM138</f>
        <v>0.00012147792175573995</v>
      </c>
      <c r="AO138">
        <f>H138*AN138*L138</f>
        <v>2.216972072042254</v>
      </c>
    </row>
    <row r="139">
      <c r="E139" t="str">
        <v>Maiden ewes</v>
      </c>
      <c r="F139" t="str">
        <v>Spring</v>
      </c>
      <c r="H139">
        <v>100</v>
      </c>
      <c r="I139">
        <v>95</v>
      </c>
      <c r="J139">
        <v>92</v>
      </c>
      <c r="L139">
        <f>$AV$3</f>
        <v>91.25</v>
      </c>
      <c r="M139">
        <v>0.2</v>
      </c>
      <c r="O139">
        <v>0.75</v>
      </c>
      <c r="Q139">
        <v>45</v>
      </c>
      <c r="R139">
        <f>1-S139</f>
        <v>0</v>
      </c>
      <c r="S139">
        <f>S131</f>
        <v>1</v>
      </c>
      <c r="T139">
        <f>T131</f>
        <v>0.69</v>
      </c>
      <c r="U139">
        <f>$AV$10</f>
        <v>0.0047</v>
      </c>
      <c r="V139">
        <f>(I139/100)*(MIN(J139,100)/100)</f>
        <v>0.874</v>
      </c>
      <c r="W139">
        <v>0</v>
      </c>
      <c r="X139">
        <f>1.6 * W139</f>
        <v>0</v>
      </c>
      <c r="Y139">
        <f>$AY$1</f>
        <v>1.3</v>
      </c>
      <c r="Z139">
        <f>V139*Y139+(1-V139)</f>
        <v>1.2622</v>
      </c>
      <c r="AA139">
        <f>(0.795*O139)-0.0014</f>
        <v>0.5948500000000001</v>
      </c>
      <c r="AC139">
        <v>2.5</v>
      </c>
      <c r="AD139">
        <f>1 - EXP(-2*(AC139^2))</f>
        <v>0.999996273346828</v>
      </c>
      <c r="AE139">
        <f>(104.7*AA139+0.307*Q139-15)*(Q139^0.75)*10^-3</f>
        <v>1.0615017285371116</v>
      </c>
      <c r="AF139">
        <f>AE139*AD139*Z139</f>
        <v>1.3398224886872072</v>
      </c>
      <c r="AG139">
        <f>(AF139 * M139) + (0.045 * X139)</f>
        <v>0.26796449773744146</v>
      </c>
      <c r="AH139">
        <f>$AV$2</f>
        <v>0.08</v>
      </c>
      <c r="AI139">
        <f>(AF139 * ((1 - O139) + (0.04 * AF139))) * ( 1 - AH139 )</f>
        <v>0.3742197466819226</v>
      </c>
      <c r="AJ139">
        <f>$AV$1</f>
        <v>0.19</v>
      </c>
      <c r="AK139">
        <f>$AW$20</f>
        <v>0.6784</v>
      </c>
      <c r="AL139">
        <f>AI139 * AJ139 * R139 * T139 * AK139</f>
        <v>0</v>
      </c>
      <c r="AM139">
        <f>AI139*AJ139*S139*U139*AK139</f>
        <v>0.0002267065138010716</v>
      </c>
      <c r="AN139">
        <f>AL139+AM139</f>
        <v>0.0002267065138010716</v>
      </c>
      <c r="AO139">
        <f>H139*AN139*L139</f>
        <v>2.068696938434778</v>
      </c>
    </row>
    <row r="140">
      <c r="F140" t="str">
        <v>Summer</v>
      </c>
      <c r="H140">
        <v>140</v>
      </c>
      <c r="I140">
        <v>0</v>
      </c>
      <c r="J140">
        <v>0</v>
      </c>
      <c r="L140">
        <f>$AV$3</f>
        <v>91.25</v>
      </c>
      <c r="M140">
        <v>0.07</v>
      </c>
      <c r="O140">
        <v>0.55</v>
      </c>
      <c r="Q140">
        <v>45</v>
      </c>
      <c r="R140">
        <f>1-S140</f>
        <v>0</v>
      </c>
      <c r="S140">
        <f>S131</f>
        <v>1</v>
      </c>
      <c r="T140">
        <f>T131</f>
        <v>0.69</v>
      </c>
      <c r="U140">
        <f>$AV$10</f>
        <v>0.0047</v>
      </c>
      <c r="V140">
        <f>(I140/100)*(MIN(J140,100)/100)</f>
        <v>0</v>
      </c>
      <c r="W140">
        <v>0</v>
      </c>
      <c r="X140">
        <f>1.6 * W140</f>
        <v>0</v>
      </c>
      <c r="Y140">
        <f>$AY$1</f>
        <v>1.3</v>
      </c>
      <c r="Z140">
        <f>V140*Y140+(1-V140)</f>
        <v>1</v>
      </c>
      <c r="AA140">
        <f>(0.795*O140)-0.0014</f>
        <v>0.43585000000000007</v>
      </c>
      <c r="AC140">
        <v>2.5</v>
      </c>
      <c r="AD140">
        <f>1 - EXP(-2*(AC140^2))</f>
        <v>0.999996273346828</v>
      </c>
      <c r="AE140">
        <f>(104.7*AA140+0.307*Q140-15)*(Q140^0.75)*10^-3</f>
        <v>0.7722651660948706</v>
      </c>
      <c r="AF140">
        <f>AE140*AD140*Z140</f>
        <v>0.7722622881304397</v>
      </c>
      <c r="AG140">
        <f>(AF140 * M140) + (0.045 * X140)</f>
        <v>0.054058360169130786</v>
      </c>
      <c r="AH140">
        <f>$AV$2</f>
        <v>0.08</v>
      </c>
      <c r="AI140">
        <f>(AF140 * ((1 - O140) + (0.04 * AF140))) * ( 1 - AH140 )</f>
        <v>0.34166370401940144</v>
      </c>
      <c r="AJ140">
        <f>$AV$1</f>
        <v>0.19</v>
      </c>
      <c r="AK140">
        <f>$AW$20</f>
        <v>0.6784</v>
      </c>
      <c r="AL140">
        <f>AI140 * AJ140 * R140 * T140 * AK140</f>
        <v>0</v>
      </c>
      <c r="AM140">
        <f>AI140*AJ140*S140*U140*AK140</f>
        <v>0.0002069836985284384</v>
      </c>
      <c r="AN140">
        <f>AL140+AM140</f>
        <v>0.0002069836985284384</v>
      </c>
      <c r="AO140">
        <f>H140*AN140*L140</f>
        <v>2.6442167487008006</v>
      </c>
    </row>
    <row r="141">
      <c r="F141" t="str">
        <v>Autumn</v>
      </c>
      <c r="H141">
        <v>135</v>
      </c>
      <c r="I141">
        <v>0</v>
      </c>
      <c r="J141">
        <v>0</v>
      </c>
      <c r="L141">
        <f>$AV$3</f>
        <v>91.25</v>
      </c>
      <c r="M141">
        <v>0.14</v>
      </c>
      <c r="O141">
        <v>0.67</v>
      </c>
      <c r="Q141">
        <v>45</v>
      </c>
      <c r="R141">
        <f>1-S141</f>
        <v>0</v>
      </c>
      <c r="S141">
        <f>S131</f>
        <v>1</v>
      </c>
      <c r="T141">
        <f>T131</f>
        <v>0.69</v>
      </c>
      <c r="U141">
        <f>$AV$10</f>
        <v>0.0047</v>
      </c>
      <c r="V141">
        <f>(I141/100)*(MIN(J141,100)/100)</f>
        <v>0</v>
      </c>
      <c r="W141">
        <v>0</v>
      </c>
      <c r="X141">
        <f>1.6 * W141</f>
        <v>0</v>
      </c>
      <c r="Y141">
        <f>$AY$1</f>
        <v>1.3</v>
      </c>
      <c r="Z141">
        <f>V141*Y141+(1-V141)</f>
        <v>1</v>
      </c>
      <c r="AA141">
        <f>(0.795*O141)-0.0014</f>
        <v>0.5312500000000001</v>
      </c>
      <c r="AC141">
        <v>1.3</v>
      </c>
      <c r="AD141">
        <f>1 - EXP(-2*(AC141^2))</f>
        <v>0.9659525452654006</v>
      </c>
      <c r="AE141">
        <f>(104.7*AA141+0.307*Q141-15)*(Q141^0.75)*10^-3</f>
        <v>0.9458071035602154</v>
      </c>
      <c r="AF141">
        <f>AE141*AD141*Z141</f>
        <v>0.9136047790140864</v>
      </c>
      <c r="AG141">
        <f>(AF141 * M141) + (0.045 * X141)</f>
        <v>0.12790466906197212</v>
      </c>
      <c r="AH141">
        <f>$AV$2</f>
        <v>0.08</v>
      </c>
      <c r="AI141">
        <f>(AF141 * ((1 - O141) + (0.04 * AF141))) * ( 1 - AH141 )</f>
        <v>0.30808640278301214</v>
      </c>
      <c r="AJ141">
        <f>$AV$1</f>
        <v>0.19</v>
      </c>
      <c r="AK141">
        <f>$AW$20</f>
        <v>0.6784</v>
      </c>
      <c r="AL141">
        <f>AI141 * AJ141 * R141 * T141 * AK141</f>
        <v>0</v>
      </c>
      <c r="AM141">
        <f>AI141*AJ141*S141*U141*AK141</f>
        <v>0.00018664219337365993</v>
      </c>
      <c r="AN141">
        <f>AL141+AM141</f>
        <v>0.00018664219337365993</v>
      </c>
      <c r="AO141">
        <f>H141*AN141*L141</f>
        <v>2.2991985196217732</v>
      </c>
    </row>
    <row r="142">
      <c r="F142" t="str">
        <v>Winter</v>
      </c>
      <c r="H142">
        <v>130</v>
      </c>
      <c r="I142">
        <v>0</v>
      </c>
      <c r="J142">
        <v>0</v>
      </c>
      <c r="L142">
        <f>$AV$3</f>
        <v>91.25</v>
      </c>
      <c r="M142">
        <v>0.16</v>
      </c>
      <c r="O142">
        <v>0.7</v>
      </c>
      <c r="Q142">
        <v>50</v>
      </c>
      <c r="R142">
        <f>1-S142</f>
        <v>0</v>
      </c>
      <c r="S142">
        <f>S131</f>
        <v>1</v>
      </c>
      <c r="T142">
        <f>T131</f>
        <v>0.69</v>
      </c>
      <c r="U142">
        <f>$AV$10</f>
        <v>0.0047</v>
      </c>
      <c r="V142">
        <f>(I142/100)*(MIN(J142,100)/100)</f>
        <v>0</v>
      </c>
      <c r="W142">
        <v>0</v>
      </c>
      <c r="X142">
        <f>1.6 * W142</f>
        <v>0</v>
      </c>
      <c r="Y142">
        <f>$AY$1</f>
        <v>1.3</v>
      </c>
      <c r="Z142">
        <f>V142*Y142+(1-V142)</f>
        <v>1</v>
      </c>
      <c r="AA142">
        <f>(0.795*O142)-0.0014</f>
        <v>0.5551</v>
      </c>
      <c r="AC142">
        <v>0.8</v>
      </c>
      <c r="AD142">
        <f>1 - EXP(-2*(AC142^2))</f>
        <v>0.7219626995468059</v>
      </c>
      <c r="AE142">
        <f>(104.7*AA142+0.307*Q142-15)*(Q142^0.75)*10^-3</f>
        <v>1.0993929471578776</v>
      </c>
      <c r="AF142">
        <f>AE142*AD142*Z142</f>
        <v>0.7937206999928202</v>
      </c>
      <c r="AG142">
        <f>(AF142 * M142) + (0.045 * X142)</f>
        <v>0.12699531199885125</v>
      </c>
      <c r="AH142">
        <f>$AV$2</f>
        <v>0.08</v>
      </c>
      <c r="AI142">
        <f>(AF142 * ((1 - O142) + (0.04 * AF142))) * ( 1 - AH142 )</f>
        <v>0.24225063902319144</v>
      </c>
      <c r="AJ142">
        <f>$AV$1</f>
        <v>0.19</v>
      </c>
      <c r="AK142">
        <f>$AW$20</f>
        <v>0.6784</v>
      </c>
      <c r="AL142">
        <f>AI142 * AJ142 * R142 * T142 * AK142</f>
        <v>0</v>
      </c>
      <c r="AM142">
        <f>AI142*AJ142*S142*U142*AK142</f>
        <v>0.00014675815032740645</v>
      </c>
      <c r="AN142">
        <f>AL142+AM142</f>
        <v>0.00014675815032740645</v>
      </c>
      <c r="AO142">
        <f>H142*AN142*L142</f>
        <v>1.740918558258859</v>
      </c>
    </row>
    <row r="143">
      <c r="E143" t="str">
        <v>Other ewes</v>
      </c>
      <c r="F143" t="str">
        <v>Spring</v>
      </c>
      <c r="H143">
        <v>200</v>
      </c>
      <c r="I143">
        <v>0</v>
      </c>
      <c r="J143">
        <v>0</v>
      </c>
      <c r="L143">
        <f>$AV$3</f>
        <v>91.25</v>
      </c>
      <c r="M143">
        <v>0.2</v>
      </c>
      <c r="O143">
        <v>0.75</v>
      </c>
      <c r="Q143">
        <v>50</v>
      </c>
      <c r="R143">
        <f>1-S143</f>
        <v>0</v>
      </c>
      <c r="S143">
        <f>S131</f>
        <v>1</v>
      </c>
      <c r="T143">
        <f>T131</f>
        <v>0.69</v>
      </c>
      <c r="U143">
        <f>$AV$10</f>
        <v>0.0047</v>
      </c>
      <c r="V143">
        <f>(I143/100)*(MIN(J143,100)/100)</f>
        <v>0</v>
      </c>
      <c r="W143">
        <v>0</v>
      </c>
      <c r="X143">
        <f>1.6 * W143</f>
        <v>0</v>
      </c>
      <c r="Y143">
        <f>$AY$1</f>
        <v>1.3</v>
      </c>
      <c r="Z143">
        <f>V143*Y143+(1-V143)</f>
        <v>1</v>
      </c>
      <c r="AA143">
        <f>(0.795*O143)-0.0014</f>
        <v>0.5948500000000001</v>
      </c>
      <c r="AC143">
        <v>2.5</v>
      </c>
      <c r="AD143">
        <f>1 - EXP(-2*(AC143^2))</f>
        <v>0.999996273346828</v>
      </c>
      <c r="AE143">
        <f>(104.7*AA143+0.307*Q143-15)*(Q143^0.75)*10^-3</f>
        <v>1.177647806997299</v>
      </c>
      <c r="AF143">
        <f>AE143*AD143*Z143</f>
        <v>1.1776434183123636</v>
      </c>
      <c r="AG143">
        <f>(AF143 * M143) + (0.045 * X143)</f>
        <v>0.23552868366247273</v>
      </c>
      <c r="AH143">
        <f>$AV$2</f>
        <v>0.08</v>
      </c>
      <c r="AI143">
        <f>(AF143 * ((1 - O143) + (0.04 * AF143))) * ( 1 - AH143 )</f>
        <v>0.3218938461733986</v>
      </c>
      <c r="AJ143">
        <f>$AV$1</f>
        <v>0.19</v>
      </c>
      <c r="AK143">
        <f>$AW$20</f>
        <v>0.6784</v>
      </c>
      <c r="AL143">
        <f>AI143 * AJ143 * R143 * T143 * AK143</f>
        <v>0</v>
      </c>
      <c r="AM143">
        <f>AI143*AJ143*S143*U143*AK143</f>
        <v>0.00019500689722292205</v>
      </c>
      <c r="AN143">
        <f>AL143+AM143</f>
        <v>0.00019500689722292205</v>
      </c>
      <c r="AO143">
        <f>H143*AN143*L143</f>
        <v>3.5588758743183275</v>
      </c>
    </row>
    <row r="144">
      <c r="F144" t="str">
        <v>Summer</v>
      </c>
      <c r="H144">
        <v>210</v>
      </c>
      <c r="I144">
        <v>0</v>
      </c>
      <c r="J144">
        <v>0</v>
      </c>
      <c r="L144">
        <f>$AV$3</f>
        <v>91.25</v>
      </c>
      <c r="M144">
        <v>0.07</v>
      </c>
      <c r="O144">
        <v>0.55</v>
      </c>
      <c r="Q144">
        <v>50</v>
      </c>
      <c r="R144">
        <f>1-S144</f>
        <v>0</v>
      </c>
      <c r="S144">
        <f>S131</f>
        <v>1</v>
      </c>
      <c r="T144">
        <f>T131</f>
        <v>0.69</v>
      </c>
      <c r="U144">
        <f>$AV$10</f>
        <v>0.0047</v>
      </c>
      <c r="V144">
        <f>(I144/100)*(MIN(J144,100)/100)</f>
        <v>0</v>
      </c>
      <c r="W144">
        <v>0</v>
      </c>
      <c r="X144">
        <f>1.6 * W144</f>
        <v>0</v>
      </c>
      <c r="Y144">
        <f>$AY$1</f>
        <v>1.3</v>
      </c>
      <c r="Z144">
        <f>V144*Y144+(1-V144)</f>
        <v>1</v>
      </c>
      <c r="AA144">
        <f>(0.795*O144)-0.0014</f>
        <v>0.43585000000000007</v>
      </c>
      <c r="AC144">
        <v>2.5</v>
      </c>
      <c r="AD144">
        <f>1 - EXP(-2*(AC144^2))</f>
        <v>0.999996273346828</v>
      </c>
      <c r="AE144">
        <f>(104.7*AA144+0.307*Q144-15)*(Q144^0.75)*10^-3</f>
        <v>0.8646283676396137</v>
      </c>
      <c r="AF144">
        <f>AE144*AD144*Z144</f>
        <v>0.8646251454695648</v>
      </c>
      <c r="AG144">
        <f>(AF144 * M144) + (0.045 * X144)</f>
        <v>0.06052376018286954</v>
      </c>
      <c r="AH144">
        <f>$AV$2</f>
        <v>0.08</v>
      </c>
      <c r="AI144">
        <f>(AF144 * ((1 - O144) + (0.04 * AF144))) * ( 1 - AH144 )</f>
        <v>0.38546563065656003</v>
      </c>
      <c r="AJ144">
        <f>$AV$1</f>
        <v>0.19</v>
      </c>
      <c r="AK144">
        <f>$AW$20</f>
        <v>0.6784</v>
      </c>
      <c r="AL144">
        <f>AI144 * AJ144 * R144 * T144 * AK144</f>
        <v>0</v>
      </c>
      <c r="AM144">
        <f>AI144*AJ144*S144*U144*AK144</f>
        <v>0.00023351939626680747</v>
      </c>
      <c r="AN144">
        <f>AL144+AM144</f>
        <v>0.00023351939626680747</v>
      </c>
      <c r="AO144">
        <f>H144*AN144*L144</f>
        <v>4.474815430962698</v>
      </c>
    </row>
    <row r="145">
      <c r="F145" t="str">
        <v>Autumn</v>
      </c>
      <c r="H145">
        <v>190</v>
      </c>
      <c r="I145">
        <v>0</v>
      </c>
      <c r="J145">
        <v>0</v>
      </c>
      <c r="L145">
        <f>$AV$3</f>
        <v>91.25</v>
      </c>
      <c r="M145">
        <v>0.14</v>
      </c>
      <c r="O145">
        <v>0.67</v>
      </c>
      <c r="Q145">
        <v>50</v>
      </c>
      <c r="R145">
        <f>1-S145</f>
        <v>0</v>
      </c>
      <c r="S145">
        <f>S131</f>
        <v>1</v>
      </c>
      <c r="T145">
        <f>T131</f>
        <v>0.69</v>
      </c>
      <c r="U145">
        <f>$AV$10</f>
        <v>0.0047</v>
      </c>
      <c r="V145">
        <f>(I145/100)*(MIN(J145,100)/100)</f>
        <v>0</v>
      </c>
      <c r="W145">
        <v>0</v>
      </c>
      <c r="X145">
        <f>1.6 * W145</f>
        <v>0</v>
      </c>
      <c r="Y145">
        <f>$AY$1</f>
        <v>1.3</v>
      </c>
      <c r="Z145">
        <f>V145*Y145+(1-V145)</f>
        <v>1</v>
      </c>
      <c r="AA145">
        <f>(0.795*O145)-0.0014</f>
        <v>0.5312500000000001</v>
      </c>
      <c r="AC145">
        <v>1.3</v>
      </c>
      <c r="AD145">
        <f>1 - EXP(-2*(AC145^2))</f>
        <v>0.9659525452654006</v>
      </c>
      <c r="AE145">
        <f>(104.7*AA145+0.307*Q145-15)*(Q145^0.75)*10^-3</f>
        <v>1.052440031254225</v>
      </c>
      <c r="AF145">
        <f>AE145*AD145*Z145</f>
        <v>1.0166071269292165</v>
      </c>
      <c r="AG145">
        <f>(AF145 * M145) + (0.045 * X145)</f>
        <v>0.14232499777009033</v>
      </c>
      <c r="AH145">
        <f>$AV$2</f>
        <v>0.08</v>
      </c>
      <c r="AI145">
        <f>(AF145 * ((1 - O145) + (0.04 * AF145))) * ( 1 - AH145 )</f>
        <v>0.34667435759496673</v>
      </c>
      <c r="AJ145">
        <f>$AV$1</f>
        <v>0.19</v>
      </c>
      <c r="AK145">
        <f>$AW$20</f>
        <v>0.6784</v>
      </c>
      <c r="AL145">
        <f>AI145 * AJ145 * R145 * T145 * AK145</f>
        <v>0</v>
      </c>
      <c r="AM145">
        <f>AI145*AJ145*S145*U145*AK145</f>
        <v>0.00021001920858383592</v>
      </c>
      <c r="AN145">
        <f>AL145+AM145</f>
        <v>0.00021001920858383592</v>
      </c>
      <c r="AO145">
        <f>H145*AN145*L145</f>
        <v>3.641208028822255</v>
      </c>
    </row>
    <row r="146">
      <c r="F146" t="str">
        <v>Winter</v>
      </c>
      <c r="H146">
        <v>180</v>
      </c>
      <c r="I146">
        <v>0</v>
      </c>
      <c r="J146">
        <v>0</v>
      </c>
      <c r="L146">
        <f>$AV$3</f>
        <v>91.25</v>
      </c>
      <c r="M146">
        <v>0.16</v>
      </c>
      <c r="O146">
        <v>0.7</v>
      </c>
      <c r="Q146">
        <v>50</v>
      </c>
      <c r="R146">
        <f>1-S146</f>
        <v>0</v>
      </c>
      <c r="S146">
        <f>S131</f>
        <v>1</v>
      </c>
      <c r="T146">
        <f>T131</f>
        <v>0.69</v>
      </c>
      <c r="U146">
        <f>$AV$10</f>
        <v>0.0047</v>
      </c>
      <c r="V146">
        <f>(I146/100)*(MIN(J146,100)/100)</f>
        <v>0</v>
      </c>
      <c r="W146">
        <v>0</v>
      </c>
      <c r="X146">
        <f>1.6 * W146</f>
        <v>0</v>
      </c>
      <c r="Y146">
        <f>$AY$1</f>
        <v>1.3</v>
      </c>
      <c r="Z146">
        <f>V146*Y146+(1-V146)</f>
        <v>1</v>
      </c>
      <c r="AA146">
        <f>(0.795*O146)-0.0014</f>
        <v>0.5551</v>
      </c>
      <c r="AC146">
        <v>0.8</v>
      </c>
      <c r="AD146">
        <f>1 - EXP(-2*(AC146^2))</f>
        <v>0.7219626995468059</v>
      </c>
      <c r="AE146">
        <f>(104.7*AA146+0.307*Q146-15)*(Q146^0.75)*10^-3</f>
        <v>1.0993929471578776</v>
      </c>
      <c r="AF146">
        <f>AE146*AD146*Z146</f>
        <v>0.7937206999928202</v>
      </c>
      <c r="AG146">
        <f>(AF146 * M146) + (0.045 * X146)</f>
        <v>0.12699531199885125</v>
      </c>
      <c r="AH146">
        <f>$AV$2</f>
        <v>0.08</v>
      </c>
      <c r="AI146">
        <f>(AF146 * ((1 - O146) + (0.04 * AF146))) * ( 1 - AH146 )</f>
        <v>0.24225063902319144</v>
      </c>
      <c r="AJ146">
        <f>$AV$1</f>
        <v>0.19</v>
      </c>
      <c r="AK146">
        <f>$AW$20</f>
        <v>0.6784</v>
      </c>
      <c r="AL146">
        <f>AI146 * AJ146 * R146 * T146 * AK146</f>
        <v>0</v>
      </c>
      <c r="AM146">
        <f>AI146*AJ146*S146*U146*AK146</f>
        <v>0.00014675815032740645</v>
      </c>
      <c r="AN146">
        <f>AL146+AM146</f>
        <v>0.00014675815032740645</v>
      </c>
      <c r="AO146">
        <f>H146*AN146*L146</f>
        <v>2.410502619127651</v>
      </c>
    </row>
    <row r="147">
      <c r="E147" t="str">
        <v>Rams</v>
      </c>
      <c r="F147" t="str">
        <v>Spring</v>
      </c>
      <c r="H147">
        <v>50</v>
      </c>
      <c r="I147">
        <v>0</v>
      </c>
      <c r="J147">
        <v>0</v>
      </c>
      <c r="L147">
        <f>$AV$3</f>
        <v>91.25</v>
      </c>
      <c r="M147">
        <v>0.2</v>
      </c>
      <c r="O147">
        <v>0.75</v>
      </c>
      <c r="Q147">
        <v>90</v>
      </c>
      <c r="R147">
        <f>1-S147</f>
        <v>0</v>
      </c>
      <c r="S147">
        <f>S131</f>
        <v>1</v>
      </c>
      <c r="T147">
        <f>T131</f>
        <v>0.69</v>
      </c>
      <c r="U147">
        <f>$AV$10</f>
        <v>0.0047</v>
      </c>
      <c r="V147">
        <f>(I147/100)*(MIN(J147,100)/100)</f>
        <v>0</v>
      </c>
      <c r="W147">
        <v>0</v>
      </c>
      <c r="X147">
        <f>1.6 * W147</f>
        <v>0</v>
      </c>
      <c r="Y147">
        <f>$AY$1</f>
        <v>1.3</v>
      </c>
      <c r="Z147">
        <f>V147*Y147+(1-V147)</f>
        <v>1</v>
      </c>
      <c r="AA147">
        <f>(0.795*O147)-0.0014</f>
        <v>0.5948500000000001</v>
      </c>
      <c r="AC147">
        <v>2.5</v>
      </c>
      <c r="AD147">
        <f>1 - EXP(-2*(AC147^2))</f>
        <v>0.999996273346828</v>
      </c>
      <c r="AE147">
        <f>(104.7*AA147+0.307*Q147-15)*(Q147^0.75)*10^-3</f>
        <v>2.188901849330922</v>
      </c>
      <c r="AF147">
        <f>AE147*AD147*Z147</f>
        <v>2.188893692052902</v>
      </c>
      <c r="AG147">
        <f>(AF147 * M147) + (0.045 * X147)</f>
        <v>0.4377787384105804</v>
      </c>
      <c r="AH147">
        <f>$AV$2</f>
        <v>0.08</v>
      </c>
      <c r="AI147">
        <f>(AF147 * ((1 - O147) + (0.04 * AF147))) * ( 1 - AH147 )</f>
        <v>0.679763755072178</v>
      </c>
      <c r="AJ147">
        <f>$AV$1</f>
        <v>0.19</v>
      </c>
      <c r="AK147">
        <f>$AW$20</f>
        <v>0.6784</v>
      </c>
      <c r="AL147">
        <f>AI147 * AJ147 * R147 * T147 * AK147</f>
        <v>0</v>
      </c>
      <c r="AM147">
        <f>AI147*AJ147*S147*U147*AK147</f>
        <v>0.00041180849617678233</v>
      </c>
      <c r="AN147">
        <f>AL147+AM147</f>
        <v>0.00041180849617678233</v>
      </c>
      <c r="AO147">
        <f>H147*AN147*L147</f>
        <v>1.8788762638065695</v>
      </c>
    </row>
    <row r="148">
      <c r="F148" t="str">
        <v>Summer</v>
      </c>
      <c r="H148">
        <v>55</v>
      </c>
      <c r="I148">
        <v>0</v>
      </c>
      <c r="J148">
        <v>0</v>
      </c>
      <c r="L148">
        <f>$AV$3</f>
        <v>91.25</v>
      </c>
      <c r="M148">
        <v>0.07</v>
      </c>
      <c r="O148">
        <v>0.55</v>
      </c>
      <c r="Q148">
        <v>90</v>
      </c>
      <c r="R148">
        <f>1-S148</f>
        <v>0</v>
      </c>
      <c r="S148">
        <f>S131</f>
        <v>1</v>
      </c>
      <c r="T148">
        <f>T131</f>
        <v>0.69</v>
      </c>
      <c r="U148">
        <f>$AV$10</f>
        <v>0.0047</v>
      </c>
      <c r="V148">
        <f>(I148/100)*(MIN(J148,100)/100)</f>
        <v>0</v>
      </c>
      <c r="W148">
        <v>0</v>
      </c>
      <c r="X148">
        <f>1.6 * W148</f>
        <v>0</v>
      </c>
      <c r="Y148">
        <f>$AY$1</f>
        <v>1.3</v>
      </c>
      <c r="Z148">
        <f>V148*Y148+(1-V148)</f>
        <v>1</v>
      </c>
      <c r="AA148">
        <f>(0.795*O148)-0.0014</f>
        <v>0.43585000000000007</v>
      </c>
      <c r="AC148">
        <v>2.5</v>
      </c>
      <c r="AD148">
        <f>1 - EXP(-2*(AC148^2))</f>
        <v>0.999996273346828</v>
      </c>
      <c r="AE148">
        <f>(104.7*AA148+0.307*Q148-15)*(Q148^0.75)*10^-3</f>
        <v>1.7024658722949466</v>
      </c>
      <c r="AF148">
        <f>AE148*AD148*Z148</f>
        <v>1.7024595277951033</v>
      </c>
      <c r="AG148">
        <f>(AF148 * M148) + (0.045 * X148)</f>
        <v>0.11917216694565724</v>
      </c>
      <c r="AH148">
        <f>$AV$2</f>
        <v>0.08</v>
      </c>
      <c r="AI148">
        <f>(AF148 * ((1 - O148) + (0.04 * AF148))) * ( 1 - AH148 )</f>
        <v>0.8114782032382888</v>
      </c>
      <c r="AJ148">
        <f>$AV$1</f>
        <v>0.19</v>
      </c>
      <c r="AK148">
        <f>$AW$20</f>
        <v>0.6784</v>
      </c>
      <c r="AL148">
        <f>AI148 * AJ148 * R148 * T148 * AK148</f>
        <v>0</v>
      </c>
      <c r="AM148">
        <f>AI148*AJ148*S148*U148*AK148</f>
        <v>0.0004916025840776316</v>
      </c>
      <c r="AN148">
        <f>AL148+AM148</f>
        <v>0.0004916025840776316</v>
      </c>
      <c r="AO148">
        <f>H148*AN148*L148</f>
        <v>2.4672304688396136</v>
      </c>
    </row>
    <row r="149">
      <c r="F149" t="str">
        <v>Autumn</v>
      </c>
      <c r="H149">
        <v>60</v>
      </c>
      <c r="I149">
        <v>0</v>
      </c>
      <c r="J149">
        <v>0</v>
      </c>
      <c r="L149">
        <f>$AV$3</f>
        <v>91.25</v>
      </c>
      <c r="M149">
        <v>0.14</v>
      </c>
      <c r="O149">
        <v>0.67</v>
      </c>
      <c r="Q149">
        <v>75</v>
      </c>
      <c r="R149">
        <f>1-S149</f>
        <v>0</v>
      </c>
      <c r="S149">
        <f>S131</f>
        <v>1</v>
      </c>
      <c r="T149">
        <f>T131</f>
        <v>0.69</v>
      </c>
      <c r="U149">
        <f>$AV$10</f>
        <v>0.0047</v>
      </c>
      <c r="V149">
        <f>(I149/100)*(MIN(J149,100)/100)</f>
        <v>0</v>
      </c>
      <c r="W149">
        <v>0</v>
      </c>
      <c r="X149">
        <f>1.6 * W149</f>
        <v>0</v>
      </c>
      <c r="Y149">
        <f>$AY$1</f>
        <v>1.3</v>
      </c>
      <c r="Z149">
        <f>V149*Y149+(1-V149)</f>
        <v>1</v>
      </c>
      <c r="AA149">
        <f>(0.795*O149)-0.0014</f>
        <v>0.5312500000000001</v>
      </c>
      <c r="AC149">
        <v>1.3</v>
      </c>
      <c r="AD149">
        <f>1 - EXP(-2*(AC149^2))</f>
        <v>0.9659525452654006</v>
      </c>
      <c r="AE149">
        <f>(104.7*AA149+0.307*Q149-15)*(Q149^0.75)*10^-3</f>
        <v>1.622082850068813</v>
      </c>
      <c r="AF149">
        <f>AE149*AD149*Z149</f>
        <v>1.566855057655325</v>
      </c>
      <c r="AG149">
        <f>(AF149 * M149) + (0.045 * X149)</f>
        <v>0.21935970807174554</v>
      </c>
      <c r="AH149">
        <f>$AV$2</f>
        <v>0.08</v>
      </c>
      <c r="AI149">
        <f>(AF149 * ((1 - O149) + (0.04 * AF149))) * ( 1 - AH149 )</f>
        <v>0.5660424751027193</v>
      </c>
      <c r="AJ149">
        <f>$AV$1</f>
        <v>0.19</v>
      </c>
      <c r="AK149">
        <f>$AW$20</f>
        <v>0.6784</v>
      </c>
      <c r="AL149">
        <f>AI149 * AJ149 * R149 * T149 * AK149</f>
        <v>0</v>
      </c>
      <c r="AM149">
        <f>AI149*AJ149*S149*U149*AK149</f>
        <v>0.0003429148710929485</v>
      </c>
      <c r="AN149">
        <f>AL149+AM149</f>
        <v>0.0003429148710929485</v>
      </c>
      <c r="AO149">
        <f>H149*AN149*L149</f>
        <v>1.8774589192338933</v>
      </c>
    </row>
    <row r="150">
      <c r="F150" t="str">
        <v>Winter</v>
      </c>
      <c r="H150">
        <v>65</v>
      </c>
      <c r="I150">
        <v>0</v>
      </c>
      <c r="J150">
        <v>0</v>
      </c>
      <c r="L150">
        <f>$AV$3</f>
        <v>91.25</v>
      </c>
      <c r="M150">
        <v>0.16</v>
      </c>
      <c r="O150">
        <v>0.7</v>
      </c>
      <c r="Q150">
        <v>75</v>
      </c>
      <c r="R150">
        <f>1-S150</f>
        <v>0</v>
      </c>
      <c r="S150">
        <f>S131</f>
        <v>1</v>
      </c>
      <c r="T150">
        <f>T131</f>
        <v>0.69</v>
      </c>
      <c r="U150">
        <f>$AV$10</f>
        <v>0.0047</v>
      </c>
      <c r="V150">
        <f>(I150/100)*(MIN(J150,100)/100)</f>
        <v>0</v>
      </c>
      <c r="W150">
        <v>0</v>
      </c>
      <c r="X150">
        <f>1.6 * W150</f>
        <v>0</v>
      </c>
      <c r="Y150">
        <f>$AY$1</f>
        <v>1.3</v>
      </c>
      <c r="Z150">
        <f>V150*Y150+(1-V150)</f>
        <v>1</v>
      </c>
      <c r="AA150">
        <f>(0.795*O150)-0.0014</f>
        <v>0.5551</v>
      </c>
      <c r="AC150">
        <v>0.8</v>
      </c>
      <c r="AD150">
        <f>1 - EXP(-2*(AC150^2))</f>
        <v>0.7219626995468059</v>
      </c>
      <c r="AE150">
        <f>(104.7*AA150+0.307*Q150-15)*(Q150^0.75)*10^-3</f>
        <v>1.6857229733976102</v>
      </c>
      <c r="AF150">
        <f>AE150*AD150*Z150</f>
        <v>1.2170291085622071</v>
      </c>
      <c r="AG150">
        <f>(AF150 * M150) + (0.045 * X150)</f>
        <v>0.19472465736995315</v>
      </c>
      <c r="AH150">
        <f>$AV$2</f>
        <v>0.08</v>
      </c>
      <c r="AI150">
        <f>(AF150 * ((1 - O150) + (0.04 * AF150))) * ( 1 - AH150 )</f>
        <v>0.39040671648319736</v>
      </c>
      <c r="AJ150">
        <f>$AV$1</f>
        <v>0.19</v>
      </c>
      <c r="AK150">
        <f>$AW$20</f>
        <v>0.6784</v>
      </c>
      <c r="AL150">
        <f>AI150 * AJ150 * R150 * T150 * AK150</f>
        <v>0</v>
      </c>
      <c r="AM150">
        <f>AI150*AJ150*S150*U150*AK150</f>
        <v>0.0002365127614007456</v>
      </c>
      <c r="AN150">
        <f>AL150+AM150</f>
        <v>0.0002365127614007456</v>
      </c>
      <c r="AO150">
        <f>H150*AN150*L150</f>
        <v>1.4028163160581724</v>
      </c>
    </row>
    <row r="151">
      <c r="E151" t="str">
        <v>Wethers</v>
      </c>
      <c r="F151" t="str">
        <v>Spring</v>
      </c>
      <c r="H151">
        <v>50</v>
      </c>
      <c r="I151">
        <v>0</v>
      </c>
      <c r="J151">
        <v>0</v>
      </c>
      <c r="L151">
        <f>$AV$3</f>
        <v>91.25</v>
      </c>
      <c r="M151">
        <v>0.2</v>
      </c>
      <c r="O151">
        <v>0.75</v>
      </c>
      <c r="Q151">
        <v>55</v>
      </c>
      <c r="R151">
        <f>1-S151</f>
        <v>0</v>
      </c>
      <c r="S151">
        <f>S131</f>
        <v>1</v>
      </c>
      <c r="T151">
        <f>T131</f>
        <v>0.69</v>
      </c>
      <c r="U151">
        <f>$AV$10</f>
        <v>0.0047</v>
      </c>
      <c r="V151">
        <f>(I151/100)*(MIN(J151,100)/100)</f>
        <v>0</v>
      </c>
      <c r="W151">
        <v>0</v>
      </c>
      <c r="X151">
        <f>1.6 * W151</f>
        <v>0</v>
      </c>
      <c r="Y151">
        <f>$AY$1</f>
        <v>1.3</v>
      </c>
      <c r="Z151">
        <f>V151*Y151+(1-V151)</f>
        <v>1</v>
      </c>
      <c r="AA151">
        <f>(0.795*O151)-0.0014</f>
        <v>0.5948500000000001</v>
      </c>
      <c r="AC151">
        <v>2.5</v>
      </c>
      <c r="AD151">
        <f>1 - EXP(-2*(AC151^2))</f>
        <v>0.999996273346828</v>
      </c>
      <c r="AE151">
        <f>(104.7*AA151+0.307*Q151-15)*(Q151^0.75)*10^-3</f>
        <v>1.295912254133513</v>
      </c>
      <c r="AF151">
        <f>AE151*AD151*Z151</f>
        <v>1.2959074247180005</v>
      </c>
      <c r="AG151">
        <f>(AF151 * M151) + (0.045 * X151)</f>
        <v>0.2591814849436001</v>
      </c>
      <c r="AH151">
        <f>$AV$2</f>
        <v>0.08</v>
      </c>
      <c r="AI151">
        <f>(AF151 * ((1 - O151) + (0.04 * AF151))) * ( 1 - AH151 )</f>
        <v>0.35985974645170415</v>
      </c>
      <c r="AJ151">
        <f>$AV$1</f>
        <v>0.19</v>
      </c>
      <c r="AK151">
        <f>$AW$20</f>
        <v>0.6784</v>
      </c>
      <c r="AL151">
        <f>AI151 * AJ151 * R151 * T151 * AK151</f>
        <v>0</v>
      </c>
      <c r="AM151">
        <f>AI151*AJ151*S151*U151*AK151</f>
        <v>0.0002180070648296026</v>
      </c>
      <c r="AN151">
        <f>AL151+AM151</f>
        <v>0.0002180070648296026</v>
      </c>
      <c r="AO151">
        <f>H151*AN151*L151</f>
        <v>0.994657233285062</v>
      </c>
    </row>
    <row r="152">
      <c r="F152" t="str">
        <v>Summer</v>
      </c>
      <c r="H152">
        <v>100</v>
      </c>
      <c r="I152">
        <v>0</v>
      </c>
      <c r="J152">
        <v>0</v>
      </c>
      <c r="L152">
        <f>$AV$3</f>
        <v>91.25</v>
      </c>
      <c r="M152">
        <v>0.07</v>
      </c>
      <c r="O152">
        <v>0.55</v>
      </c>
      <c r="Q152">
        <v>55</v>
      </c>
      <c r="R152">
        <f>1-S152</f>
        <v>0</v>
      </c>
      <c r="S152">
        <f>S131</f>
        <v>1</v>
      </c>
      <c r="T152">
        <f>T131</f>
        <v>0.69</v>
      </c>
      <c r="U152">
        <f>$AV$10</f>
        <v>0.0047</v>
      </c>
      <c r="V152">
        <f>(I152/100)*(MIN(J152,100)/100)</f>
        <v>0</v>
      </c>
      <c r="W152">
        <v>0</v>
      </c>
      <c r="X152">
        <f>1.6 * W152</f>
        <v>0</v>
      </c>
      <c r="Y152">
        <f>$AY$1</f>
        <v>1.3</v>
      </c>
      <c r="Z152">
        <f>V152*Y152+(1-V152)</f>
        <v>1</v>
      </c>
      <c r="AA152">
        <f>(0.795*O152)-0.0014</f>
        <v>0.43585000000000007</v>
      </c>
      <c r="AC152">
        <v>2.5</v>
      </c>
      <c r="AD152">
        <f>1 - EXP(-2*(AC152^2))</f>
        <v>0.999996273346828</v>
      </c>
      <c r="AE152">
        <f>(104.7*AA152+0.307*Q152-15)*(Q152^0.75)*10^-3</f>
        <v>0.9596982312536153</v>
      </c>
      <c r="AF152">
        <f>AE152*AD152*Z152</f>
        <v>0.9596946547911576</v>
      </c>
      <c r="AG152">
        <f>(AF152 * M152) + (0.045 * X152)</f>
        <v>0.06717862583538103</v>
      </c>
      <c r="AH152">
        <f>$AV$2</f>
        <v>0.08</v>
      </c>
      <c r="AI152">
        <f>(AF152 * ((1 - O152) + (0.04 * AF152))) * ( 1 - AH152 )</f>
        <v>0.43120689604353685</v>
      </c>
      <c r="AJ152">
        <f>$AV$1</f>
        <v>0.19</v>
      </c>
      <c r="AK152">
        <f>$AW$20</f>
        <v>0.6784</v>
      </c>
      <c r="AL152">
        <f>AI152 * AJ152 * R152 * T152 * AK152</f>
        <v>0</v>
      </c>
      <c r="AM152">
        <f>AI152*AJ152*S152*U152*AK152</f>
        <v>0.0002612299671404103</v>
      </c>
      <c r="AN152">
        <f>AL152+AM152</f>
        <v>0.0002612299671404103</v>
      </c>
      <c r="AO152">
        <f>H152*AN152*L152</f>
        <v>2.3837234501562445</v>
      </c>
    </row>
    <row r="153">
      <c r="F153" t="str">
        <v>Autumn</v>
      </c>
      <c r="H153">
        <v>90</v>
      </c>
      <c r="I153">
        <v>0</v>
      </c>
      <c r="J153">
        <v>0</v>
      </c>
      <c r="L153">
        <f>$AV$3</f>
        <v>91.25</v>
      </c>
      <c r="M153">
        <v>0.14</v>
      </c>
      <c r="O153">
        <v>0.67</v>
      </c>
      <c r="Q153">
        <v>50</v>
      </c>
      <c r="R153">
        <f>1-S153</f>
        <v>0</v>
      </c>
      <c r="S153">
        <f>S131</f>
        <v>1</v>
      </c>
      <c r="T153">
        <f>T131</f>
        <v>0.69</v>
      </c>
      <c r="U153">
        <f>$AV$10</f>
        <v>0.0047</v>
      </c>
      <c r="V153">
        <f>(I153/100)*(MIN(J153,100)/100)</f>
        <v>0</v>
      </c>
      <c r="W153">
        <v>0</v>
      </c>
      <c r="X153">
        <f>1.6 * W153</f>
        <v>0</v>
      </c>
      <c r="Y153">
        <f>$AY$1</f>
        <v>1.3</v>
      </c>
      <c r="Z153">
        <f>V153*Y153+(1-V153)</f>
        <v>1</v>
      </c>
      <c r="AA153">
        <f>(0.795*O153)-0.0014</f>
        <v>0.5312500000000001</v>
      </c>
      <c r="AC153">
        <v>1.3</v>
      </c>
      <c r="AD153">
        <f>1 - EXP(-2*(AC153^2))</f>
        <v>0.9659525452654006</v>
      </c>
      <c r="AE153">
        <f>(104.7*AA153+0.307*Q153-15)*(Q153^0.75)*10^-3</f>
        <v>1.052440031254225</v>
      </c>
      <c r="AF153">
        <f>AE153*AD153*Z153</f>
        <v>1.0166071269292165</v>
      </c>
      <c r="AG153">
        <f>(AF153 * M153) + (0.045 * X153)</f>
        <v>0.14232499777009033</v>
      </c>
      <c r="AH153">
        <f>$AV$2</f>
        <v>0.08</v>
      </c>
      <c r="AI153">
        <f>(AF153 * ((1 - O153) + (0.04 * AF153))) * ( 1 - AH153 )</f>
        <v>0.34667435759496673</v>
      </c>
      <c r="AJ153">
        <f>$AV$1</f>
        <v>0.19</v>
      </c>
      <c r="AK153">
        <f>$AW$20</f>
        <v>0.6784</v>
      </c>
      <c r="AL153">
        <f>AI153 * AJ153 * R153 * T153 * AK153</f>
        <v>0</v>
      </c>
      <c r="AM153">
        <f>AI153*AJ153*S153*U153*AK153</f>
        <v>0.00021001920858383592</v>
      </c>
      <c r="AN153">
        <f>AL153+AM153</f>
        <v>0.00021001920858383592</v>
      </c>
      <c r="AO153">
        <f>H153*AN153*L153</f>
        <v>1.7247827504947524</v>
      </c>
    </row>
    <row r="154">
      <c r="F154" t="str">
        <v>Winter</v>
      </c>
      <c r="H154">
        <v>80</v>
      </c>
      <c r="I154">
        <v>0</v>
      </c>
      <c r="J154">
        <v>0</v>
      </c>
      <c r="L154">
        <f>$AV$3</f>
        <v>91.25</v>
      </c>
      <c r="M154">
        <v>0.16</v>
      </c>
      <c r="O154">
        <v>0.7</v>
      </c>
      <c r="Q154">
        <v>45</v>
      </c>
      <c r="R154">
        <f>1-S154</f>
        <v>0</v>
      </c>
      <c r="S154">
        <f>S131</f>
        <v>1</v>
      </c>
      <c r="T154">
        <f>T131</f>
        <v>0.69</v>
      </c>
      <c r="U154">
        <f>$AV$10</f>
        <v>0.0047</v>
      </c>
      <c r="V154">
        <f>(I154/100)*(MIN(J154,100)/100)</f>
        <v>0</v>
      </c>
      <c r="W154">
        <v>0</v>
      </c>
      <c r="X154">
        <f>1.6 * W154</f>
        <v>0</v>
      </c>
      <c r="Y154">
        <f>$AY$1</f>
        <v>1.3</v>
      </c>
      <c r="Z154">
        <f>V154*Y154+(1-V154)</f>
        <v>1</v>
      </c>
      <c r="AA154">
        <f>(0.795*O154)-0.0014</f>
        <v>0.5551</v>
      </c>
      <c r="AC154">
        <v>0.8</v>
      </c>
      <c r="AD154">
        <f>1 - EXP(-2*(AC154^2))</f>
        <v>0.7219626995468059</v>
      </c>
      <c r="AE154">
        <f>(104.7*AA154+0.307*Q154-15)*(Q154^0.75)*10^-3</f>
        <v>0.9891925879265512</v>
      </c>
      <c r="AF154">
        <f>AE154*AD154*Z154</f>
        <v>0.7141601511511441</v>
      </c>
      <c r="AG154">
        <f>(AF154 * M154) + (0.045 * X154)</f>
        <v>0.11426562418418305</v>
      </c>
      <c r="AH154">
        <f>$AV$2</f>
        <v>0.08</v>
      </c>
      <c r="AI154">
        <f>(AF154 * ((1 - O154) + (0.04 * AF154))) * ( 1 - AH154 )</f>
        <v>0.21587711146862967</v>
      </c>
      <c r="AJ154">
        <f>$AV$1</f>
        <v>0.19</v>
      </c>
      <c r="AK154">
        <f>$AW$20</f>
        <v>0.6784</v>
      </c>
      <c r="AL154">
        <f>AI154 * AJ154 * R154 * T154 * AK154</f>
        <v>0</v>
      </c>
      <c r="AM154">
        <f>AI154*AJ154*S154*U154*AK154</f>
        <v>0.0001307807719513443</v>
      </c>
      <c r="AN154">
        <f>AL154+AM154</f>
        <v>0.0001307807719513443</v>
      </c>
      <c r="AO154">
        <f>H154*AN154*L154</f>
        <v>0.9546996352448134</v>
      </c>
    </row>
    <row r="161">
      <c r="A161" t="str">
        <v>VIC</v>
      </c>
      <c r="B161" t="str">
        <v>VIC</v>
      </c>
      <c r="C161" t="str">
        <v>VIC</v>
      </c>
      <c r="D161" t="str">
        <v>no</v>
      </c>
      <c r="E161" t="str">
        <v>Breeding ewes</v>
      </c>
      <c r="F161" t="str">
        <v>Spring</v>
      </c>
      <c r="H161">
        <v>100</v>
      </c>
      <c r="I161">
        <v>95</v>
      </c>
      <c r="J161">
        <v>90</v>
      </c>
      <c r="L161">
        <f>$AV$3</f>
        <v>91.25</v>
      </c>
      <c r="M161" cm="1">
        <f t="array" ref="M161:M184">DROP(XLOOKUP($C161,QueryCP[[#Headers],[ACT/NSW]:[WA]],QueryCP[[#All],[ACT/NSW]:[WA]]),1)</f>
        <v>0.16</v>
      </c>
      <c r="O161" cm="1">
        <f t="array" ref="O161:O184">DROP(XLOOKUP($C161,QueryDMD[[#Headers],[ACT/NSW]:[WA]],QueryDMD[[#All],[ACT/NSW]:[WA]]),1)</f>
        <v>0.7</v>
      </c>
      <c r="Q161" cm="1">
        <f t="array" ref="Q161:Q184">DROP(XLOOKUP($C161,QueryW[[#Headers],[ACT/NSW]:[WA]],QueryW[[#All],[ACT/NSW]:[WA]]),1)</f>
        <v>55</v>
      </c>
      <c r="R161">
        <f>1-S161</f>
        <v>0.008299999999999974</v>
      </c>
      <c r="S161">
        <f>IF($D161="yes", 1, VLOOKUP($B161, $AU$26:$AW$32, 2)/100)</f>
        <v>0.9917</v>
      </c>
      <c r="T161">
        <f>VLOOKUP($B161,$AW$10:$AX$16, 2, FALSE)</f>
        <v>0.73</v>
      </c>
      <c r="U161">
        <f>$AV$10</f>
        <v>0.0047</v>
      </c>
      <c r="V161">
        <f>(I161/100)*(MIN(J161,100)/100)</f>
        <v>0.855</v>
      </c>
      <c r="W161">
        <v>0</v>
      </c>
      <c r="X161">
        <f>1.6 * W161</f>
        <v>0</v>
      </c>
      <c r="Y161">
        <f>$AY$1</f>
        <v>1.3</v>
      </c>
      <c r="Z161">
        <f>V161*Y161+(1-V161)</f>
        <v>1.2565</v>
      </c>
      <c r="AA161">
        <f>(0.795*O161)-0.0014</f>
        <v>0.5551</v>
      </c>
      <c r="AC161" cm="1">
        <f t="array" ref="AC161:AC184">DROP(XLOOKUP($C161,QueryDMA[[#Headers],[ACT/NSW]:[WA]],QueryDMA[[#All],[ACT/NSW]:[WA]]),1)</f>
        <v>3.2</v>
      </c>
      <c r="AD161">
        <f>1 - EXP(-2*(AC161^2))</f>
        <v>0.9999999987245923</v>
      </c>
      <c r="AE161">
        <f>(104.7*AA161+0.307*Q161-15)*(Q161^0.75)*10^-3</f>
        <v>1.2118587484135388</v>
      </c>
      <c r="AF161">
        <f>AE161*AD161*Z161</f>
        <v>1.5227005154395477</v>
      </c>
      <c r="AG161">
        <f>(AF161 * M161) + (0.045 * X161)</f>
        <v>0.24363208247032764</v>
      </c>
      <c r="AH161">
        <f>$AV$2</f>
        <v>0.08</v>
      </c>
      <c r="AI161">
        <f>(AF161 * ((1 - O161) + (0.04 * AF161))) * ( 1 - AH161 )</f>
        <v>0.5055904426990063</v>
      </c>
      <c r="AJ161">
        <f>$AV$1</f>
        <v>0.19</v>
      </c>
      <c r="AK161">
        <f>$AW$20</f>
        <v>0.6784</v>
      </c>
      <c r="AL161">
        <f>AI161 * AJ161 * R161 * T161 * AK161</f>
        <v>0.0003948564607692112</v>
      </c>
      <c r="AM161">
        <f>AI161*AJ161*S161*U161*AK161</f>
        <v>0.00030375012627177617</v>
      </c>
      <c r="AN161">
        <f>AL161+AM161</f>
        <v>0.0006986065870409874</v>
      </c>
      <c r="AO161">
        <f>H161*AN161*L161</f>
        <v>6.374785106749011</v>
      </c>
      <c r="AP161">
        <f>SUM(AO161:AO184)*10^-3</f>
        <v>0.12146276071325623</v>
      </c>
    </row>
    <row r="162">
      <c r="F162" t="str">
        <v>Summer</v>
      </c>
      <c r="H162">
        <v>70</v>
      </c>
      <c r="I162">
        <v>0</v>
      </c>
      <c r="J162">
        <v>0</v>
      </c>
      <c r="L162">
        <f>$AV$3</f>
        <v>91.25</v>
      </c>
      <c r="M162">
        <v>0.07</v>
      </c>
      <c r="O162">
        <v>0.55</v>
      </c>
      <c r="Q162">
        <v>50</v>
      </c>
      <c r="R162">
        <f>1-S162</f>
        <v>0.008299999999999974</v>
      </c>
      <c r="S162">
        <f>S161</f>
        <v>0.9917</v>
      </c>
      <c r="T162">
        <f>T161</f>
        <v>0.73</v>
      </c>
      <c r="U162">
        <f>$AV$10</f>
        <v>0.0047</v>
      </c>
      <c r="V162">
        <f>(I162/100)*(MIN(J162,100)/100)</f>
        <v>0</v>
      </c>
      <c r="W162">
        <v>0</v>
      </c>
      <c r="X162">
        <f>1.6 * W162</f>
        <v>0</v>
      </c>
      <c r="Y162">
        <f>$AY$1</f>
        <v>1.3</v>
      </c>
      <c r="Z162">
        <f>V162*Y162+(1-V162)</f>
        <v>1</v>
      </c>
      <c r="AA162">
        <f>(0.795*O162)-0.0014</f>
        <v>0.43585000000000007</v>
      </c>
      <c r="AC162">
        <v>3</v>
      </c>
      <c r="AD162">
        <f>1 - EXP(-2*(AC162^2))</f>
        <v>0.9999999847700203</v>
      </c>
      <c r="AE162">
        <f>(104.7*AA162+0.307*Q162-15)*(Q162^0.75)*10^-3</f>
        <v>0.8646283676396137</v>
      </c>
      <c r="AF162">
        <f>AE162*AD162*Z162</f>
        <v>0.8646283544713412</v>
      </c>
      <c r="AG162">
        <f>(AF162 * M162) + (0.045 * X162)</f>
        <v>0.06052398481299389</v>
      </c>
      <c r="AH162">
        <f>$AV$2</f>
        <v>0.08</v>
      </c>
      <c r="AI162">
        <f>(AF162 * ((1 - O162) + (0.04 * AF162))) * ( 1 - AH162 )</f>
        <v>0.38546716339302944</v>
      </c>
      <c r="AJ162">
        <f>$AV$1</f>
        <v>0.19</v>
      </c>
      <c r="AK162">
        <f>$AW$20</f>
        <v>0.6784</v>
      </c>
      <c r="AL162">
        <f>AI162 * AJ162 * R162 * T162 * AK162</f>
        <v>0.00030104247831031633</v>
      </c>
      <c r="AM162">
        <f>AI162*AJ162*S162*U162*AK162</f>
        <v>0.0002315821061197567</v>
      </c>
      <c r="AN162">
        <f>AL162+AM162</f>
        <v>0.000532624584430073</v>
      </c>
      <c r="AO162">
        <f>H162*AN162*L162</f>
        <v>3.4021395330470914</v>
      </c>
    </row>
    <row r="163">
      <c r="F163" t="str">
        <v>Autumn</v>
      </c>
      <c r="H163">
        <v>65</v>
      </c>
      <c r="I163">
        <v>0</v>
      </c>
      <c r="J163">
        <v>0</v>
      </c>
      <c r="L163">
        <f>$AV$3</f>
        <v>91.25</v>
      </c>
      <c r="M163">
        <v>0.13</v>
      </c>
      <c r="O163">
        <v>0.65</v>
      </c>
      <c r="Q163">
        <v>48</v>
      </c>
      <c r="R163">
        <f>1-S163</f>
        <v>0.008299999999999974</v>
      </c>
      <c r="S163">
        <f>S161</f>
        <v>0.9917</v>
      </c>
      <c r="T163">
        <f>T161</f>
        <v>0.73</v>
      </c>
      <c r="U163">
        <f>$AV$10</f>
        <v>0.0047</v>
      </c>
      <c r="V163">
        <f>(I163/100)*(MIN(J163,100)/100)</f>
        <v>0</v>
      </c>
      <c r="W163">
        <v>0</v>
      </c>
      <c r="X163">
        <f>1.6 * W163</f>
        <v>0</v>
      </c>
      <c r="Y163">
        <f>$AY$1</f>
        <v>1.3</v>
      </c>
      <c r="Z163">
        <f>V163*Y163+(1-V163)</f>
        <v>1</v>
      </c>
      <c r="AA163">
        <f>(0.795*O163)-0.0014</f>
        <v>0.5153500000000001</v>
      </c>
      <c r="AC163">
        <v>1.8</v>
      </c>
      <c r="AD163">
        <f>1 - EXP(-2*(AC163^2))</f>
        <v>0.9984661893206755</v>
      </c>
      <c r="AE163">
        <f>(104.7*AA163+0.307*Q163-15)*(Q163^0.75)*10^-3</f>
        <v>0.9791512235007697</v>
      </c>
      <c r="AF163">
        <f>AE163*AD163*Z163</f>
        <v>0.9776493908974906</v>
      </c>
      <c r="AG163">
        <f>(AF163 * M163) + (0.045 * X163)</f>
        <v>0.12709442081667377</v>
      </c>
      <c r="AH163">
        <f>$AV$2</f>
        <v>0.08</v>
      </c>
      <c r="AI163">
        <f>(AF163 * ((1 - O163) + (0.04 * AF163))) * ( 1 - AH163 )</f>
        <v>0.3499764824690102</v>
      </c>
      <c r="AJ163">
        <f>$AV$1</f>
        <v>0.19</v>
      </c>
      <c r="AK163">
        <f>$AW$20</f>
        <v>0.6784</v>
      </c>
      <c r="AL163">
        <f>AI163 * AJ163 * R163 * T163 * AK163</f>
        <v>0.0002733249356583276</v>
      </c>
      <c r="AM163">
        <f>AI163*AJ163*S163*U163*AK163</f>
        <v>0.00021025990953195452</v>
      </c>
      <c r="AN163">
        <f>AL163+AM163</f>
        <v>0.00048358484519028214</v>
      </c>
      <c r="AO163">
        <f>H163*AN163*L163</f>
        <v>2.8682626130348607</v>
      </c>
    </row>
    <row r="164">
      <c r="F164" t="str">
        <v>Winter</v>
      </c>
      <c r="H164">
        <v>80</v>
      </c>
      <c r="I164">
        <v>0</v>
      </c>
      <c r="J164">
        <v>0</v>
      </c>
      <c r="L164">
        <f>$AV$3</f>
        <v>91.25</v>
      </c>
      <c r="M164">
        <v>0.1</v>
      </c>
      <c r="O164">
        <v>0.6</v>
      </c>
      <c r="Q164">
        <v>45</v>
      </c>
      <c r="R164">
        <f>1-S164</f>
        <v>0.008299999999999974</v>
      </c>
      <c r="S164">
        <f>S161</f>
        <v>0.9917</v>
      </c>
      <c r="T164">
        <f>T161</f>
        <v>0.73</v>
      </c>
      <c r="U164">
        <f>$AV$10</f>
        <v>0.0047</v>
      </c>
      <c r="V164">
        <f>(I164/100)*(MIN(J164,100)/100)</f>
        <v>0</v>
      </c>
      <c r="W164">
        <v>0</v>
      </c>
      <c r="X164">
        <f>1.6 * W164</f>
        <v>0</v>
      </c>
      <c r="Y164">
        <f>$AY$1</f>
        <v>1.3</v>
      </c>
      <c r="Z164">
        <f>V164*Y164+(1-V164)</f>
        <v>1</v>
      </c>
      <c r="AA164">
        <f>(0.795*O164)-0.0014</f>
        <v>0.47559999999999997</v>
      </c>
      <c r="AC164">
        <v>1</v>
      </c>
      <c r="AD164">
        <f>1 - EXP(-2*(AC164^2))</f>
        <v>0.8646647167633873</v>
      </c>
      <c r="AE164">
        <f>(104.7*AA164+0.307*Q164-15)*(Q164^0.75)*10^-3</f>
        <v>0.8445743067054305</v>
      </c>
      <c r="AF164">
        <f>AE164*AD164*Z164</f>
        <v>0.7302736036930852</v>
      </c>
      <c r="AG164">
        <f>(AF164 * M164) + (0.045 * X164)</f>
        <v>0.07302736036930853</v>
      </c>
      <c r="AH164">
        <f>$AV$2</f>
        <v>0.08</v>
      </c>
      <c r="AI164">
        <f>(AF164 * ((1 - O164) + (0.04 * AF164))) * ( 1 - AH164 )</f>
        <v>0.28836610909308796</v>
      </c>
      <c r="AJ164">
        <f>$AV$1</f>
        <v>0.19</v>
      </c>
      <c r="AK164">
        <f>$AW$20</f>
        <v>0.6784</v>
      </c>
      <c r="AL164">
        <f>AI164 * AJ164 * R164 * T164 * AK164</f>
        <v>0.00022520841302783737</v>
      </c>
      <c r="AM164">
        <f>AI164*AJ164*S164*U164*AK164</f>
        <v>0.0001732454466147257</v>
      </c>
      <c r="AN164">
        <f>AL164+AM164</f>
        <v>0.0003984538596425631</v>
      </c>
      <c r="AO164">
        <f>H164*AN164*L164</f>
        <v>2.90871317539071</v>
      </c>
    </row>
    <row r="165">
      <c r="E165" t="str">
        <v>Lambs and hoggets</v>
      </c>
      <c r="F165" t="str">
        <v>Spring</v>
      </c>
      <c r="H165">
        <v>200</v>
      </c>
      <c r="I165">
        <v>0</v>
      </c>
      <c r="J165">
        <v>0</v>
      </c>
      <c r="L165">
        <f>$AV$3</f>
        <v>91.25</v>
      </c>
      <c r="M165">
        <v>0.16</v>
      </c>
      <c r="O165">
        <v>0.7</v>
      </c>
      <c r="Q165">
        <v>22</v>
      </c>
      <c r="R165">
        <f>1-S165</f>
        <v>0.008299999999999974</v>
      </c>
      <c r="S165">
        <f>S161</f>
        <v>0.9917</v>
      </c>
      <c r="T165">
        <f>T161</f>
        <v>0.73</v>
      </c>
      <c r="U165">
        <f>$AV$10</f>
        <v>0.0047</v>
      </c>
      <c r="V165">
        <f>(I165/100)*(MIN(J165,100)/100)</f>
        <v>0</v>
      </c>
      <c r="W165">
        <v>1</v>
      </c>
      <c r="X165">
        <f>1.6 * W165</f>
        <v>1.6</v>
      </c>
      <c r="Y165">
        <f>$AY$1</f>
        <v>1.3</v>
      </c>
      <c r="Z165">
        <f>V165*Y165+(1-V165)</f>
        <v>1</v>
      </c>
      <c r="AA165">
        <f>(0.795*O165)-0.0014</f>
        <v>0.5551</v>
      </c>
      <c r="AC165">
        <v>3.2</v>
      </c>
      <c r="AD165">
        <f>1 - EXP(-2*(AC165^2))</f>
        <v>0.9999999987245923</v>
      </c>
      <c r="AE165">
        <f>(104.7*AA165+0.307*Q165-15)*(Q165^0.75)*10^-3</f>
        <v>0.5066198971454788</v>
      </c>
      <c r="AF165">
        <f>AE165*AD165*Z165</f>
        <v>0.5066198964993319</v>
      </c>
      <c r="AG165">
        <f>(AF165 * M165) + (0.045 * X165)</f>
        <v>0.1530591834398931</v>
      </c>
      <c r="AH165">
        <f>$AV$2</f>
        <v>0.08</v>
      </c>
      <c r="AI165">
        <f>(AF165 * ((1 - O165) + (0.04 * AF165))) * ( 1 - AH165 )</f>
        <v>0.14927231631248258</v>
      </c>
      <c r="AJ165">
        <f>$AV$1</f>
        <v>0.19</v>
      </c>
      <c r="AK165">
        <f>$AW$20</f>
        <v>0.6784</v>
      </c>
      <c r="AL165">
        <f>AI165 * AJ165 * R165 * T165 * AK165</f>
        <v>0.00011657882256500357</v>
      </c>
      <c r="AM165">
        <f>AI165*AJ165*S165*U165*AK165</f>
        <v>0.0000896802650911467</v>
      </c>
      <c r="AN165">
        <f>AL165+AM165</f>
        <v>0.00020625908765615027</v>
      </c>
      <c r="AO165">
        <f>H165*AN165*L165</f>
        <v>3.7642283497247426</v>
      </c>
    </row>
    <row r="166">
      <c r="F166" t="str">
        <v>Summer</v>
      </c>
      <c r="H166">
        <v>210</v>
      </c>
      <c r="I166">
        <v>0</v>
      </c>
      <c r="J166">
        <v>0</v>
      </c>
      <c r="L166">
        <f>$AV$3</f>
        <v>91.25</v>
      </c>
      <c r="M166">
        <v>0.07</v>
      </c>
      <c r="O166">
        <v>0.55</v>
      </c>
      <c r="Q166">
        <v>28</v>
      </c>
      <c r="R166">
        <f>1-S166</f>
        <v>0.008299999999999974</v>
      </c>
      <c r="S166">
        <f>S161</f>
        <v>0.9917</v>
      </c>
      <c r="T166">
        <f>T161</f>
        <v>0.73</v>
      </c>
      <c r="U166">
        <f>$AV$10</f>
        <v>0.0047</v>
      </c>
      <c r="V166">
        <f>(I166/100)*(MIN(J166,100)/100)</f>
        <v>0</v>
      </c>
      <c r="W166">
        <v>0</v>
      </c>
      <c r="X166">
        <f>1.6 * W166</f>
        <v>0</v>
      </c>
      <c r="Y166">
        <f>$AY$1</f>
        <v>1.3</v>
      </c>
      <c r="Z166">
        <f>V166*Y166+(1-V166)</f>
        <v>1</v>
      </c>
      <c r="AA166">
        <f>(0.795*O166)-0.0014</f>
        <v>0.43585000000000007</v>
      </c>
      <c r="AC166">
        <v>3</v>
      </c>
      <c r="AD166">
        <f>1 - EXP(-2*(AC166^2))</f>
        <v>0.9999999847700203</v>
      </c>
      <c r="AE166">
        <f>(104.7*AA166+0.307*Q166-15)*(Q166^0.75)*10^-3</f>
        <v>0.47750864762612716</v>
      </c>
      <c r="AF166">
        <f>AE166*AD166*Z166</f>
        <v>0.4775086403536801</v>
      </c>
      <c r="AG166">
        <f>(AF166 * M166) + (0.045 * X166)</f>
        <v>0.033425604824757614</v>
      </c>
      <c r="AH166">
        <f>$AV$2</f>
        <v>0.08</v>
      </c>
      <c r="AI166">
        <f>(AF166 * ((1 - O166) + (0.04 * AF166))) * ( 1 - AH166 )</f>
        <v>0.20607951076576064</v>
      </c>
      <c r="AJ166">
        <f>$AV$1</f>
        <v>0.19</v>
      </c>
      <c r="AK166">
        <f>$AW$20</f>
        <v>0.6784</v>
      </c>
      <c r="AL166">
        <f>AI166 * AJ166 * R166 * T166 * AK166</f>
        <v>0.00016094415437054054</v>
      </c>
      <c r="AM166">
        <f>AI166*AJ166*S166*U166*AK166</f>
        <v>0.0001238090599240053</v>
      </c>
      <c r="AN166">
        <f>AL166+AM166</f>
        <v>0.00028475321429454587</v>
      </c>
      <c r="AO166">
        <f>H166*AN166*L166</f>
        <v>5.456583468919235</v>
      </c>
    </row>
    <row r="167">
      <c r="F167" t="str">
        <v>Autumn</v>
      </c>
      <c r="H167">
        <v>170</v>
      </c>
      <c r="I167">
        <v>0</v>
      </c>
      <c r="J167">
        <v>0</v>
      </c>
      <c r="L167">
        <f>$AV$3</f>
        <v>91.25</v>
      </c>
      <c r="M167">
        <v>0.13</v>
      </c>
      <c r="O167">
        <v>0.65</v>
      </c>
      <c r="Q167">
        <v>33</v>
      </c>
      <c r="R167">
        <f>1-S167</f>
        <v>0.008299999999999974</v>
      </c>
      <c r="S167">
        <f>S161</f>
        <v>0.9917</v>
      </c>
      <c r="T167">
        <f>T161</f>
        <v>0.73</v>
      </c>
      <c r="U167">
        <f>$AV$10</f>
        <v>0.0047</v>
      </c>
      <c r="V167">
        <f>(I167/100)*(MIN(J167,100)/100)</f>
        <v>0</v>
      </c>
      <c r="W167">
        <v>0</v>
      </c>
      <c r="X167">
        <f>1.6 * W167</f>
        <v>0</v>
      </c>
      <c r="Y167">
        <f>$AY$1</f>
        <v>1.3</v>
      </c>
      <c r="Z167">
        <f>V167*Y167+(1-V167)</f>
        <v>1</v>
      </c>
      <c r="AA167">
        <f>(0.795*O167)-0.0014</f>
        <v>0.5153500000000001</v>
      </c>
      <c r="AC167">
        <v>1.8</v>
      </c>
      <c r="AD167">
        <f>1 - EXP(-2*(AC167^2))</f>
        <v>0.9984661893206755</v>
      </c>
      <c r="AE167">
        <f>(104.7*AA167+0.307*Q167-15)*(Q167^0.75)*10^-3</f>
        <v>0.6758682973922607</v>
      </c>
      <c r="AF167">
        <f>AE167*AD167*Z167</f>
        <v>0.6748316433799036</v>
      </c>
      <c r="AG167">
        <f>(AF167 * M167) + (0.045 * X167)</f>
        <v>0.08772811363938747</v>
      </c>
      <c r="AH167">
        <f>$AV$2</f>
        <v>0.08</v>
      </c>
      <c r="AI167">
        <f>(AF167 * ((1 - O167) + (0.04 * AF167))) * ( 1 - AH167 )</f>
        <v>0.23405442625450001</v>
      </c>
      <c r="AJ167">
        <f>$AV$1</f>
        <v>0.19</v>
      </c>
      <c r="AK167">
        <f>$AW$20</f>
        <v>0.6784</v>
      </c>
      <c r="AL167">
        <f>AI167 * AJ167 * R167 * T167 * AK167</f>
        <v>0.00018279202803926314</v>
      </c>
      <c r="AM167">
        <f>AI167*AJ167*S167*U167*AK167</f>
        <v>0.00014061591265402342</v>
      </c>
      <c r="AN167">
        <f>AL167+AM167</f>
        <v>0.00032340794069328656</v>
      </c>
      <c r="AO167">
        <f>H167*AN167*L167</f>
        <v>5.016865680004608</v>
      </c>
    </row>
    <row r="168">
      <c r="F168" t="str">
        <v>Winter</v>
      </c>
      <c r="H168">
        <v>200</v>
      </c>
      <c r="I168">
        <v>0</v>
      </c>
      <c r="J168">
        <v>0</v>
      </c>
      <c r="L168">
        <f>$AV$3</f>
        <v>91.25</v>
      </c>
      <c r="M168">
        <v>0.1</v>
      </c>
      <c r="O168">
        <v>0.6</v>
      </c>
      <c r="Q168">
        <v>35</v>
      </c>
      <c r="R168">
        <f>1-S168</f>
        <v>0.008299999999999974</v>
      </c>
      <c r="S168">
        <f>S161</f>
        <v>0.9917</v>
      </c>
      <c r="T168">
        <f>T161</f>
        <v>0.73</v>
      </c>
      <c r="U168">
        <f>$AV$10</f>
        <v>0.0047</v>
      </c>
      <c r="V168">
        <f>(I168/100)*(MIN(J168,100)/100)</f>
        <v>0</v>
      </c>
      <c r="W168">
        <v>0</v>
      </c>
      <c r="X168">
        <f>1.6 * W168</f>
        <v>0</v>
      </c>
      <c r="Y168">
        <f>$AY$1</f>
        <v>1.3</v>
      </c>
      <c r="Z168">
        <f>V168*Y168+(1-V168)</f>
        <v>1</v>
      </c>
      <c r="AA168">
        <f>(0.795*O168)-0.0014</f>
        <v>0.47559999999999997</v>
      </c>
      <c r="AC168">
        <v>1</v>
      </c>
      <c r="AD168">
        <f>1 - EXP(-2*(AC168^2))</f>
        <v>0.8646647167633873</v>
      </c>
      <c r="AE168">
        <f>(104.7*AA168+0.307*Q168-15)*(Q168^0.75)*10^-3</f>
        <v>0.6553104766742477</v>
      </c>
      <c r="AF168">
        <f>AE168*AD168*Z168</f>
        <v>0.5666238477056187</v>
      </c>
      <c r="AG168">
        <f>(AF168 * M168) + (0.045 * X168)</f>
        <v>0.056662384770561874</v>
      </c>
      <c r="AH168">
        <f>$AV$2</f>
        <v>0.08</v>
      </c>
      <c r="AI168">
        <f>(AF168 * ((1 - O168) + (0.04 * AF168))) * ( 1 - AH168 )</f>
        <v>0.2203326790758926</v>
      </c>
      <c r="AJ168">
        <f>$AV$1</f>
        <v>0.19</v>
      </c>
      <c r="AK168">
        <f>$AW$20</f>
        <v>0.6784</v>
      </c>
      <c r="AL168">
        <f>AI168 * AJ168 * R168 * T168 * AK168</f>
        <v>0.0001720756060721248</v>
      </c>
      <c r="AM168">
        <f>AI168*AJ168*S168*U168*AK168</f>
        <v>0.00013237212067108688</v>
      </c>
      <c r="AN168">
        <f>AL168+AM168</f>
        <v>0.0003044477267432117</v>
      </c>
      <c r="AO168">
        <f>H168*AN168*L168</f>
        <v>5.556171013063613</v>
      </c>
    </row>
    <row r="169">
      <c r="E169" t="str">
        <v>Maiden ewes</v>
      </c>
      <c r="F169" t="str">
        <v>Spring</v>
      </c>
      <c r="H169">
        <v>100</v>
      </c>
      <c r="I169">
        <v>95</v>
      </c>
      <c r="J169">
        <v>92</v>
      </c>
      <c r="L169">
        <f>$AV$3</f>
        <v>91.25</v>
      </c>
      <c r="M169">
        <v>0.16</v>
      </c>
      <c r="O169">
        <v>0.7</v>
      </c>
      <c r="Q169">
        <v>50</v>
      </c>
      <c r="R169">
        <f>1-S169</f>
        <v>0.008299999999999974</v>
      </c>
      <c r="S169">
        <f>S161</f>
        <v>0.9917</v>
      </c>
      <c r="T169">
        <f>T161</f>
        <v>0.73</v>
      </c>
      <c r="U169">
        <f>$AV$10</f>
        <v>0.0047</v>
      </c>
      <c r="V169">
        <f>(I169/100)*(MIN(J169,100)/100)</f>
        <v>0.874</v>
      </c>
      <c r="W169">
        <v>0</v>
      </c>
      <c r="X169">
        <f>1.6 * W169</f>
        <v>0</v>
      </c>
      <c r="Y169">
        <f>$AY$1</f>
        <v>1.3</v>
      </c>
      <c r="Z169">
        <f>V169*Y169+(1-V169)</f>
        <v>1.2622</v>
      </c>
      <c r="AA169">
        <f>(0.795*O169)-0.0014</f>
        <v>0.5551</v>
      </c>
      <c r="AC169">
        <v>3.2</v>
      </c>
      <c r="AD169">
        <f>1 - EXP(-2*(AC169^2))</f>
        <v>0.9999999987245923</v>
      </c>
      <c r="AE169">
        <f>(104.7*AA169+0.307*Q169-15)*(Q169^0.75)*10^-3</f>
        <v>1.0993929471578776</v>
      </c>
      <c r="AF169">
        <f>AE169*AD169*Z169</f>
        <v>1.387653776132849</v>
      </c>
      <c r="AG169">
        <f>(AF169 * M169) + (0.045 * X169)</f>
        <v>0.22202460418125583</v>
      </c>
      <c r="AH169">
        <f>$AV$2</f>
        <v>0.08</v>
      </c>
      <c r="AI169">
        <f>(AF169 * ((1 - O169) + (0.04 * AF169))) * ( 1 - AH169 )</f>
        <v>0.4538538967015662</v>
      </c>
      <c r="AJ169">
        <f>$AV$1</f>
        <v>0.19</v>
      </c>
      <c r="AK169">
        <f>$AW$20</f>
        <v>0.6784</v>
      </c>
      <c r="AL169">
        <f>AI169 * AJ169 * R169 * T169 * AK169</f>
        <v>0.0003544512083757548</v>
      </c>
      <c r="AM169">
        <f>AI169*AJ169*S169*U169*AK169</f>
        <v>0.0002726676906630326</v>
      </c>
      <c r="AN169">
        <f>AL169+AM169</f>
        <v>0.0006271188990387874</v>
      </c>
      <c r="AO169">
        <f>H169*AN169*L169</f>
        <v>5.722459953728936</v>
      </c>
    </row>
    <row r="170">
      <c r="F170" t="str">
        <v>Summer</v>
      </c>
      <c r="H170">
        <v>140</v>
      </c>
      <c r="I170">
        <v>0</v>
      </c>
      <c r="J170">
        <v>0</v>
      </c>
      <c r="L170">
        <f>$AV$3</f>
        <v>91.25</v>
      </c>
      <c r="M170">
        <v>0.07</v>
      </c>
      <c r="O170">
        <v>0.55</v>
      </c>
      <c r="Q170">
        <v>45</v>
      </c>
      <c r="R170">
        <f>1-S170</f>
        <v>0.008299999999999974</v>
      </c>
      <c r="S170">
        <f>S161</f>
        <v>0.9917</v>
      </c>
      <c r="T170">
        <f>T161</f>
        <v>0.73</v>
      </c>
      <c r="U170">
        <f>$AV$10</f>
        <v>0.0047</v>
      </c>
      <c r="V170">
        <f>(I170/100)*(MIN(J170,100)/100)</f>
        <v>0</v>
      </c>
      <c r="W170">
        <v>0</v>
      </c>
      <c r="X170">
        <f>1.6 * W170</f>
        <v>0</v>
      </c>
      <c r="Y170">
        <f>$AY$1</f>
        <v>1.3</v>
      </c>
      <c r="Z170">
        <f>V170*Y170+(1-V170)</f>
        <v>1</v>
      </c>
      <c r="AA170">
        <f>(0.795*O170)-0.0014</f>
        <v>0.43585000000000007</v>
      </c>
      <c r="AC170">
        <v>3</v>
      </c>
      <c r="AD170">
        <f>1 - EXP(-2*(AC170^2))</f>
        <v>0.9999999847700203</v>
      </c>
      <c r="AE170">
        <f>(104.7*AA170+0.307*Q170-15)*(Q170^0.75)*10^-3</f>
        <v>0.7722651660948706</v>
      </c>
      <c r="AF170">
        <f>AE170*AD170*Z170</f>
        <v>0.7722651543332878</v>
      </c>
      <c r="AG170">
        <f>(AF170 * M170) + (0.045 * X170)</f>
        <v>0.05405856080333015</v>
      </c>
      <c r="AH170">
        <f>$AV$2</f>
        <v>0.08</v>
      </c>
      <c r="AI170">
        <f>(AF170 * ((1 - O170) + (0.04 * AF170))) * ( 1 - AH170 )</f>
        <v>0.34166505353836607</v>
      </c>
      <c r="AJ170">
        <f>$AV$1</f>
        <v>0.19</v>
      </c>
      <c r="AK170">
        <f>$AW$20</f>
        <v>0.6784</v>
      </c>
      <c r="AL170">
        <f>AI170 * AJ170 * R170 * T170 * AK170</f>
        <v>0.00026683386871099855</v>
      </c>
      <c r="AM170">
        <f>AI170*AJ170*S170*U170*AK170</f>
        <v>0.00020526654459866004</v>
      </c>
      <c r="AN170">
        <f>AL170+AM170</f>
        <v>0.00047210041330965856</v>
      </c>
      <c r="AO170">
        <f>H170*AN170*L170</f>
        <v>6.0310827800308875</v>
      </c>
    </row>
    <row r="171">
      <c r="F171" t="str">
        <v>Autumn</v>
      </c>
      <c r="H171">
        <v>135</v>
      </c>
      <c r="I171">
        <v>0</v>
      </c>
      <c r="J171">
        <v>0</v>
      </c>
      <c r="L171">
        <f>$AV$3</f>
        <v>91.25</v>
      </c>
      <c r="M171">
        <v>0.13</v>
      </c>
      <c r="O171">
        <v>0.65</v>
      </c>
      <c r="Q171">
        <v>43</v>
      </c>
      <c r="R171">
        <f>1-S171</f>
        <v>0.008299999999999974</v>
      </c>
      <c r="S171">
        <f>S161</f>
        <v>0.9917</v>
      </c>
      <c r="T171">
        <f>T161</f>
        <v>0.73</v>
      </c>
      <c r="U171">
        <f>$AV$10</f>
        <v>0.0047</v>
      </c>
      <c r="V171">
        <f>(I171/100)*(MIN(J171,100)/100)</f>
        <v>0</v>
      </c>
      <c r="W171">
        <v>0</v>
      </c>
      <c r="X171">
        <f>1.6 * W171</f>
        <v>0</v>
      </c>
      <c r="Y171">
        <f>$AY$1</f>
        <v>1.3</v>
      </c>
      <c r="Z171">
        <f>V171*Y171+(1-V171)</f>
        <v>1</v>
      </c>
      <c r="AA171">
        <f>(0.795*O171)-0.0014</f>
        <v>0.5153500000000001</v>
      </c>
      <c r="AC171">
        <v>1.8</v>
      </c>
      <c r="AD171">
        <f>1 - EXP(-2*(AC171^2))</f>
        <v>0.9984661893206755</v>
      </c>
      <c r="AE171">
        <f>(104.7*AA171+0.307*Q171-15)*(Q171^0.75)*10^-3</f>
        <v>0.8758373849677308</v>
      </c>
      <c r="AF171">
        <f>AE171*AD171*Z171</f>
        <v>0.8744940162333157</v>
      </c>
      <c r="AG171">
        <f>(AF171 * M171) + (0.045 * X171)</f>
        <v>0.11368422211033104</v>
      </c>
      <c r="AH171">
        <f>$AV$2</f>
        <v>0.08</v>
      </c>
      <c r="AI171">
        <f>(AF171 * ((1 - O171) + (0.04 * AF171))) * ( 1 - AH171 )</f>
        <v>0.3097294972940734</v>
      </c>
      <c r="AJ171">
        <f>$AV$1</f>
        <v>0.19</v>
      </c>
      <c r="AK171">
        <f>$AW$20</f>
        <v>0.6784</v>
      </c>
      <c r="AL171">
        <f>AI171 * AJ171 * R171 * T171 * AK171</f>
        <v>0.00024189281040301033</v>
      </c>
      <c r="AM171">
        <f>AI171*AJ171*S171*U171*AK171</f>
        <v>0.0001860802063641411</v>
      </c>
      <c r="AN171">
        <f>AL171+AM171</f>
        <v>0.0004279730167671514</v>
      </c>
      <c r="AO171">
        <f>H171*AN171*L171</f>
        <v>5.272092600300346</v>
      </c>
    </row>
    <row r="172">
      <c r="F172" t="str">
        <v>Winter</v>
      </c>
      <c r="H172">
        <v>130</v>
      </c>
      <c r="I172">
        <v>0</v>
      </c>
      <c r="J172">
        <v>0</v>
      </c>
      <c r="L172">
        <f>$AV$3</f>
        <v>91.25</v>
      </c>
      <c r="M172">
        <v>0.1</v>
      </c>
      <c r="O172">
        <v>0.6</v>
      </c>
      <c r="Q172">
        <v>40</v>
      </c>
      <c r="R172">
        <f>1-S172</f>
        <v>0.008299999999999974</v>
      </c>
      <c r="S172">
        <f>S161</f>
        <v>0.9917</v>
      </c>
      <c r="T172">
        <f>T161</f>
        <v>0.73</v>
      </c>
      <c r="U172">
        <f>$AV$10</f>
        <v>0.0047</v>
      </c>
      <c r="V172">
        <f>(I172/100)*(MIN(J172,100)/100)</f>
        <v>0</v>
      </c>
      <c r="W172">
        <v>0</v>
      </c>
      <c r="X172">
        <f>1.6 * W172</f>
        <v>0</v>
      </c>
      <c r="Y172">
        <f>$AY$1</f>
        <v>1.3</v>
      </c>
      <c r="Z172">
        <f>V172*Y172+(1-V172)</f>
        <v>1</v>
      </c>
      <c r="AA172">
        <f>(0.795*O172)-0.0014</f>
        <v>0.47559999999999997</v>
      </c>
      <c r="AC172">
        <v>1</v>
      </c>
      <c r="AD172">
        <f>1 - EXP(-2*(AC172^2))</f>
        <v>0.8646647167633873</v>
      </c>
      <c r="AE172">
        <f>(104.7*AA172+0.307*Q172-15)*(Q172^0.75)*10^-3</f>
        <v>0.7487524808668423</v>
      </c>
      <c r="AF172">
        <f>AE172*AD172*Z172</f>
        <v>0.6474198517946118</v>
      </c>
      <c r="AG172">
        <f>(AF172 * M172) + (0.045 * X172)</f>
        <v>0.06474198517946118</v>
      </c>
      <c r="AH172">
        <f>$AV$2</f>
        <v>0.08</v>
      </c>
      <c r="AI172">
        <f>(AF172 * ((1 - O172) + (0.04 * AF172))) * ( 1 - AH172 )</f>
        <v>0.2536753161539346</v>
      </c>
      <c r="AJ172">
        <f>$AV$1</f>
        <v>0.19</v>
      </c>
      <c r="AK172">
        <f>$AW$20</f>
        <v>0.6784</v>
      </c>
      <c r="AL172">
        <f>AI172 * AJ172 * R172 * T172 * AK172</f>
        <v>0.0001981155675853724</v>
      </c>
      <c r="AM172">
        <f>AI172*AJ172*S172*U172*AK172</f>
        <v>0.00015240380910377092</v>
      </c>
      <c r="AN172">
        <f>AL172+AM172</f>
        <v>0.0003505193766891433</v>
      </c>
      <c r="AO172">
        <f>H172*AN172*L172</f>
        <v>4.158036105974962</v>
      </c>
    </row>
    <row r="173">
      <c r="E173" t="str">
        <v>Other ewes</v>
      </c>
      <c r="F173" t="str">
        <v>Spring</v>
      </c>
      <c r="H173">
        <v>200</v>
      </c>
      <c r="I173">
        <v>0</v>
      </c>
      <c r="J173">
        <v>0</v>
      </c>
      <c r="L173">
        <f>$AV$3</f>
        <v>91.25</v>
      </c>
      <c r="M173">
        <v>0.16</v>
      </c>
      <c r="O173">
        <v>0.7</v>
      </c>
      <c r="Q173">
        <v>50</v>
      </c>
      <c r="R173">
        <f>1-S173</f>
        <v>0.008299999999999974</v>
      </c>
      <c r="S173">
        <f>S161</f>
        <v>0.9917</v>
      </c>
      <c r="T173">
        <f>T161</f>
        <v>0.73</v>
      </c>
      <c r="U173">
        <f>$AV$10</f>
        <v>0.0047</v>
      </c>
      <c r="V173">
        <f>(I173/100)*(MIN(J173,100)/100)</f>
        <v>0</v>
      </c>
      <c r="W173">
        <v>0</v>
      </c>
      <c r="X173">
        <f>1.6 * W173</f>
        <v>0</v>
      </c>
      <c r="Y173">
        <f>$AY$1</f>
        <v>1.3</v>
      </c>
      <c r="Z173">
        <f>V173*Y173+(1-V173)</f>
        <v>1</v>
      </c>
      <c r="AA173">
        <f>(0.795*O173)-0.0014</f>
        <v>0.5551</v>
      </c>
      <c r="AC173">
        <v>3.2</v>
      </c>
      <c r="AD173">
        <f>1 - EXP(-2*(AC173^2))</f>
        <v>0.9999999987245923</v>
      </c>
      <c r="AE173">
        <f>(104.7*AA173+0.307*Q173-15)*(Q173^0.75)*10^-3</f>
        <v>1.0993929471578776</v>
      </c>
      <c r="AF173">
        <f>AE173*AD173*Z173</f>
        <v>1.0993929457557035</v>
      </c>
      <c r="AG173">
        <f>(AF173 * M173) + (0.045 * X173)</f>
        <v>0.17590287132091256</v>
      </c>
      <c r="AH173">
        <f>$AV$2</f>
        <v>0.08</v>
      </c>
      <c r="AI173">
        <f>(AF173 * ((1 - O173) + (0.04 * AF173))) * ( 1 - AH173 )</f>
        <v>0.34791131947830267</v>
      </c>
      <c r="AJ173">
        <f>$AV$1</f>
        <v>0.19</v>
      </c>
      <c r="AK173">
        <f>$AW$20</f>
        <v>0.6784</v>
      </c>
      <c r="AL173">
        <f>AI173 * AJ173 * R173 * T173 * AK173</f>
        <v>0.000271712082881544</v>
      </c>
      <c r="AM173">
        <f>AI173*AJ173*S173*U173*AK173</f>
        <v>0.00020901919478297603</v>
      </c>
      <c r="AN173">
        <f>AL173+AM173</f>
        <v>0.00048073127766452004</v>
      </c>
      <c r="AO173">
        <f>H173*AN173*L173</f>
        <v>8.773345817377491</v>
      </c>
    </row>
    <row r="174">
      <c r="F174" t="str">
        <v>Summer</v>
      </c>
      <c r="H174">
        <v>210</v>
      </c>
      <c r="I174">
        <v>0</v>
      </c>
      <c r="J174">
        <v>0</v>
      </c>
      <c r="L174">
        <f>$AV$3</f>
        <v>91.25</v>
      </c>
      <c r="M174">
        <v>0.07</v>
      </c>
      <c r="O174">
        <v>0.55</v>
      </c>
      <c r="Q174">
        <v>50</v>
      </c>
      <c r="R174">
        <f>1-S174</f>
        <v>0.008299999999999974</v>
      </c>
      <c r="S174">
        <f>S161</f>
        <v>0.9917</v>
      </c>
      <c r="T174">
        <f>T161</f>
        <v>0.73</v>
      </c>
      <c r="U174">
        <f>$AV$10</f>
        <v>0.0047</v>
      </c>
      <c r="V174">
        <f>(I174/100)*(MIN(J174,100)/100)</f>
        <v>0</v>
      </c>
      <c r="W174">
        <v>0</v>
      </c>
      <c r="X174">
        <f>1.6 * W174</f>
        <v>0</v>
      </c>
      <c r="Y174">
        <f>$AY$1</f>
        <v>1.3</v>
      </c>
      <c r="Z174">
        <f>V174*Y174+(1-V174)</f>
        <v>1</v>
      </c>
      <c r="AA174">
        <f>(0.795*O174)-0.0014</f>
        <v>0.43585000000000007</v>
      </c>
      <c r="AC174">
        <v>3</v>
      </c>
      <c r="AD174">
        <f>1 - EXP(-2*(AC174^2))</f>
        <v>0.9999999847700203</v>
      </c>
      <c r="AE174">
        <f>(104.7*AA174+0.307*Q174-15)*(Q174^0.75)*10^-3</f>
        <v>0.8646283676396137</v>
      </c>
      <c r="AF174">
        <f>AE174*AD174*Z174</f>
        <v>0.8646283544713412</v>
      </c>
      <c r="AG174">
        <f>(AF174 * M174) + (0.045 * X174)</f>
        <v>0.06052398481299389</v>
      </c>
      <c r="AH174">
        <f>$AV$2</f>
        <v>0.08</v>
      </c>
      <c r="AI174">
        <f>(AF174 * ((1 - O174) + (0.04 * AF174))) * ( 1 - AH174 )</f>
        <v>0.38546716339302944</v>
      </c>
      <c r="AJ174">
        <f>$AV$1</f>
        <v>0.19</v>
      </c>
      <c r="AK174">
        <f>$AW$20</f>
        <v>0.6784</v>
      </c>
      <c r="AL174">
        <f>AI174 * AJ174 * R174 * T174 * AK174</f>
        <v>0.00030104247831031633</v>
      </c>
      <c r="AM174">
        <f>AI174*AJ174*S174*U174*AK174</f>
        <v>0.0002315821061197567</v>
      </c>
      <c r="AN174">
        <f>AL174+AM174</f>
        <v>0.000532624584430073</v>
      </c>
      <c r="AO174">
        <f>H174*AN174*L174</f>
        <v>10.206418599141273</v>
      </c>
    </row>
    <row r="175">
      <c r="F175" t="str">
        <v>Autumn</v>
      </c>
      <c r="H175">
        <v>190</v>
      </c>
      <c r="I175">
        <v>0</v>
      </c>
      <c r="J175">
        <v>0</v>
      </c>
      <c r="L175">
        <f>$AV$3</f>
        <v>91.25</v>
      </c>
      <c r="M175">
        <v>0.13</v>
      </c>
      <c r="O175">
        <v>0.65</v>
      </c>
      <c r="Q175">
        <v>50</v>
      </c>
      <c r="R175">
        <f>1-S175</f>
        <v>0.008299999999999974</v>
      </c>
      <c r="S175">
        <f>S161</f>
        <v>0.9917</v>
      </c>
      <c r="T175">
        <f>T161</f>
        <v>0.73</v>
      </c>
      <c r="U175">
        <f>$AV$10</f>
        <v>0.0047</v>
      </c>
      <c r="V175">
        <f>(I175/100)*(MIN(J175,100)/100)</f>
        <v>0</v>
      </c>
      <c r="W175">
        <v>0</v>
      </c>
      <c r="X175">
        <f>1.6 * W175</f>
        <v>0</v>
      </c>
      <c r="Y175">
        <f>$AY$1</f>
        <v>1.3</v>
      </c>
      <c r="Z175">
        <f>V175*Y175+(1-V175)</f>
        <v>1</v>
      </c>
      <c r="AA175">
        <f>(0.795*O175)-0.0014</f>
        <v>0.5153500000000001</v>
      </c>
      <c r="AC175">
        <v>1.8</v>
      </c>
      <c r="AD175">
        <f>1 - EXP(-2*(AC175^2))</f>
        <v>0.9984661893206755</v>
      </c>
      <c r="AE175">
        <f>(104.7*AA175+0.307*Q175-15)*(Q175^0.75)*10^-3</f>
        <v>1.0211380873184563</v>
      </c>
      <c r="AF175">
        <f>AE175*AD175*Z175</f>
        <v>1.0195718548150623</v>
      </c>
      <c r="AG175">
        <f>(AF175 * M175) + (0.045 * X175)</f>
        <v>0.13254434112595812</v>
      </c>
      <c r="AH175">
        <f>$AV$2</f>
        <v>0.08</v>
      </c>
      <c r="AI175">
        <f>(AF175 * ((1 - O175) + (0.04 * AF175))) * ( 1 - AH175 )</f>
        <v>0.3665567222808719</v>
      </c>
      <c r="AJ175">
        <f>$AV$1</f>
        <v>0.19</v>
      </c>
      <c r="AK175">
        <f>$AW$20</f>
        <v>0.6784</v>
      </c>
      <c r="AL175">
        <f>AI175 * AJ175 * R175 * T175 * AK175</f>
        <v>0.00028627378567192246</v>
      </c>
      <c r="AM175">
        <f>AI175*AJ175*S175*U175*AK175</f>
        <v>0.00022022103520035946</v>
      </c>
      <c r="AN175">
        <f>AL175+AM175</f>
        <v>0.000506494820872282</v>
      </c>
      <c r="AO175">
        <f>H175*AN175*L175</f>
        <v>8.781353956873188</v>
      </c>
    </row>
    <row r="176">
      <c r="F176" t="str">
        <v>Winter</v>
      </c>
      <c r="H176">
        <v>180</v>
      </c>
      <c r="I176">
        <v>0</v>
      </c>
      <c r="J176">
        <v>0</v>
      </c>
      <c r="L176">
        <f>$AV$3</f>
        <v>91.25</v>
      </c>
      <c r="M176">
        <v>0.1</v>
      </c>
      <c r="O176">
        <v>0.6</v>
      </c>
      <c r="Q176">
        <v>50</v>
      </c>
      <c r="R176">
        <f>1-S176</f>
        <v>0.008299999999999974</v>
      </c>
      <c r="S176">
        <f>S161</f>
        <v>0.9917</v>
      </c>
      <c r="T176">
        <f>T161</f>
        <v>0.73</v>
      </c>
      <c r="U176">
        <f>$AV$10</f>
        <v>0.0047</v>
      </c>
      <c r="V176">
        <f>(I176/100)*(MIN(J176,100)/100)</f>
        <v>0</v>
      </c>
      <c r="W176">
        <v>0</v>
      </c>
      <c r="X176">
        <f>1.6 * W176</f>
        <v>0</v>
      </c>
      <c r="Y176">
        <f>$AY$1</f>
        <v>1.3</v>
      </c>
      <c r="Z176">
        <f>V176*Y176+(1-V176)</f>
        <v>1</v>
      </c>
      <c r="AA176">
        <f>(0.795*O176)-0.0014</f>
        <v>0.47559999999999997</v>
      </c>
      <c r="AC176">
        <v>1</v>
      </c>
      <c r="AD176">
        <f>1 - EXP(-2*(AC176^2))</f>
        <v>0.8646647167633873</v>
      </c>
      <c r="AE176">
        <f>(104.7*AA176+0.307*Q176-15)*(Q176^0.75)*10^-3</f>
        <v>0.9428832274790347</v>
      </c>
      <c r="AF176">
        <f>AE176*AD176*Z176</f>
        <v>0.8152778588291081</v>
      </c>
      <c r="AG176">
        <f>(AF176 * M176) + (0.045 * X176)</f>
        <v>0.08152778588291082</v>
      </c>
      <c r="AH176">
        <f>$AV$2</f>
        <v>0.08</v>
      </c>
      <c r="AI176">
        <f>(AF176 * ((1 - O176) + (0.04 * AF176))) * ( 1 - AH176 )</f>
        <v>0.3244824019742805</v>
      </c>
      <c r="AJ176">
        <f>$AV$1</f>
        <v>0.19</v>
      </c>
      <c r="AK176">
        <f>$AW$20</f>
        <v>0.6784</v>
      </c>
      <c r="AL176">
        <f>AI176 * AJ176 * R176 * T176 * AK176</f>
        <v>0.00025341454664666813</v>
      </c>
      <c r="AM176">
        <f>AI176*AJ176*S176*U176*AK176</f>
        <v>0.00019494350021037423</v>
      </c>
      <c r="AN176">
        <f>AL176+AM176</f>
        <v>0.0004483580468570424</v>
      </c>
      <c r="AO176">
        <f>H176*AN176*L176</f>
        <v>7.364280919626921</v>
      </c>
    </row>
    <row r="177">
      <c r="E177" t="str">
        <v>Rams</v>
      </c>
      <c r="F177" t="str">
        <v>Spring</v>
      </c>
      <c r="H177">
        <v>50</v>
      </c>
      <c r="I177">
        <v>0</v>
      </c>
      <c r="J177">
        <v>0</v>
      </c>
      <c r="L177">
        <f>$AV$3</f>
        <v>91.25</v>
      </c>
      <c r="M177">
        <v>0.16</v>
      </c>
      <c r="O177">
        <v>0.7</v>
      </c>
      <c r="Q177">
        <v>70</v>
      </c>
      <c r="R177">
        <f>1-S177</f>
        <v>0.008299999999999974</v>
      </c>
      <c r="S177">
        <f>S161</f>
        <v>0.9917</v>
      </c>
      <c r="T177">
        <f>T161</f>
        <v>0.73</v>
      </c>
      <c r="U177">
        <f>$AV$10</f>
        <v>0.0047</v>
      </c>
      <c r="V177">
        <f>(I177/100)*(MIN(J177,100)/100)</f>
        <v>0</v>
      </c>
      <c r="W177">
        <v>0</v>
      </c>
      <c r="X177">
        <f>1.6 * W177</f>
        <v>0</v>
      </c>
      <c r="Y177">
        <f>$AY$1</f>
        <v>1.3</v>
      </c>
      <c r="Z177">
        <f>V177*Y177+(1-V177)</f>
        <v>1</v>
      </c>
      <c r="AA177">
        <f>(0.795*O177)-0.0014</f>
        <v>0.5551</v>
      </c>
      <c r="AC177">
        <v>3.2</v>
      </c>
      <c r="AD177">
        <f>1 - EXP(-2*(AC177^2))</f>
        <v>0.9999999987245923</v>
      </c>
      <c r="AE177">
        <f>(104.7*AA177+0.307*Q177-15)*(Q177^0.75)*10^-3</f>
        <v>1.5635664662315347</v>
      </c>
      <c r="AF177">
        <f>AE177*AD177*Z177</f>
        <v>1.5635664642373501</v>
      </c>
      <c r="AG177">
        <f>(AF177 * M177) + (0.045 * X177)</f>
        <v>0.25017063427797603</v>
      </c>
      <c r="AH177">
        <f>$AV$2</f>
        <v>0.08</v>
      </c>
      <c r="AI177">
        <f>(AF177 * ((1 - O177) + (0.04 * AF177))) * ( 1 - AH177 )</f>
        <v>0.5215107793711358</v>
      </c>
      <c r="AJ177">
        <f>$AV$1</f>
        <v>0.19</v>
      </c>
      <c r="AK177">
        <f>$AW$20</f>
        <v>0.6784</v>
      </c>
      <c r="AL177">
        <f>AI177 * AJ177 * R177 * T177 * AK177</f>
        <v>0.0004072899390585817</v>
      </c>
      <c r="AM177">
        <f>AI177*AJ177*S177*U177*AK177</f>
        <v>0.0003133147933739338</v>
      </c>
      <c r="AN177">
        <f>AL177+AM177</f>
        <v>0.0007206047324325155</v>
      </c>
      <c r="AO177">
        <f>H177*AN177*L177</f>
        <v>3.287759091723352</v>
      </c>
    </row>
    <row r="178">
      <c r="F178" t="str">
        <v>Summer</v>
      </c>
      <c r="H178">
        <v>55</v>
      </c>
      <c r="I178">
        <v>0</v>
      </c>
      <c r="J178">
        <v>0</v>
      </c>
      <c r="L178">
        <f>$AV$3</f>
        <v>91.25</v>
      </c>
      <c r="M178">
        <v>0.07</v>
      </c>
      <c r="O178">
        <v>0.55</v>
      </c>
      <c r="Q178">
        <v>65</v>
      </c>
      <c r="R178">
        <f>1-S178</f>
        <v>0.008299999999999974</v>
      </c>
      <c r="S178">
        <f>S161</f>
        <v>0.9917</v>
      </c>
      <c r="T178">
        <f>T161</f>
        <v>0.73</v>
      </c>
      <c r="U178">
        <f>$AV$10</f>
        <v>0.0047</v>
      </c>
      <c r="V178">
        <f>(I178/100)*(MIN(J178,100)/100)</f>
        <v>0</v>
      </c>
      <c r="W178">
        <v>0</v>
      </c>
      <c r="X178">
        <f>1.6 * W178</f>
        <v>0</v>
      </c>
      <c r="Y178">
        <f>$AY$1</f>
        <v>1.3</v>
      </c>
      <c r="Z178">
        <f>V178*Y178+(1-V178)</f>
        <v>1</v>
      </c>
      <c r="AA178">
        <f>(0.795*O178)-0.0014</f>
        <v>0.43585000000000007</v>
      </c>
      <c r="AC178">
        <v>3</v>
      </c>
      <c r="AD178">
        <f>1 - EXP(-2*(AC178^2))</f>
        <v>0.9999999847700203</v>
      </c>
      <c r="AE178">
        <f>(104.7*AA178+0.307*Q178-15)*(Q178^0.75)*10^-3</f>
        <v>1.1580752413958724</v>
      </c>
      <c r="AF178">
        <f>AE178*AD178*Z178</f>
        <v>1.15807522375841</v>
      </c>
      <c r="AG178">
        <f>(AF178 * M178) + (0.045 * X178)</f>
        <v>0.0810652656630887</v>
      </c>
      <c r="AH178">
        <f>$AV$2</f>
        <v>0.08</v>
      </c>
      <c r="AI178">
        <f>(AF178 * ((1 - O178) + (0.04 * AF178))) * ( 1 - AH178 )</f>
        <v>0.5287970292748795</v>
      </c>
      <c r="AJ178">
        <f>$AV$1</f>
        <v>0.19</v>
      </c>
      <c r="AK178">
        <f>$AW$20</f>
        <v>0.6784</v>
      </c>
      <c r="AL178">
        <f>AI178 * AJ178 * R178 * T178 * AK178</f>
        <v>0.0004129803608037274</v>
      </c>
      <c r="AM178">
        <f>AI178*AJ178*S178*U178*AK178</f>
        <v>0.00031769224820969987</v>
      </c>
      <c r="AN178">
        <f>AL178+AM178</f>
        <v>0.0007306726090134273</v>
      </c>
      <c r="AO178">
        <f>H178*AN178*L178</f>
        <v>3.6670631564861385</v>
      </c>
    </row>
    <row r="179">
      <c r="F179" t="str">
        <v>Autumn</v>
      </c>
      <c r="H179">
        <v>60</v>
      </c>
      <c r="I179">
        <v>0</v>
      </c>
      <c r="J179">
        <v>0</v>
      </c>
      <c r="L179">
        <f>$AV$3</f>
        <v>91.25</v>
      </c>
      <c r="M179">
        <v>0.13</v>
      </c>
      <c r="O179">
        <v>0.65</v>
      </c>
      <c r="Q179">
        <v>65</v>
      </c>
      <c r="R179">
        <f>1-S179</f>
        <v>0.008299999999999974</v>
      </c>
      <c r="S179">
        <f>S161</f>
        <v>0.9917</v>
      </c>
      <c r="T179">
        <f>T161</f>
        <v>0.73</v>
      </c>
      <c r="U179">
        <f>$AV$10</f>
        <v>0.0047</v>
      </c>
      <c r="V179">
        <f>(I179/100)*(MIN(J179,100)/100)</f>
        <v>0</v>
      </c>
      <c r="W179">
        <v>0</v>
      </c>
      <c r="X179">
        <f>1.6 * W179</f>
        <v>0</v>
      </c>
      <c r="Y179">
        <f>$AY$1</f>
        <v>1.3</v>
      </c>
      <c r="Z179">
        <f>V179*Y179+(1-V179)</f>
        <v>1</v>
      </c>
      <c r="AA179">
        <f>(0.795*O179)-0.0014</f>
        <v>0.5153500000000001</v>
      </c>
      <c r="AC179">
        <v>1.8</v>
      </c>
      <c r="AD179">
        <f>1 - EXP(-2*(AC179^2))</f>
        <v>0.9984661893206755</v>
      </c>
      <c r="AE179">
        <f>(104.7*AA179+0.307*Q179-15)*(Q179^0.75)*10^-3</f>
        <v>1.3486207988995054</v>
      </c>
      <c r="AF179">
        <f>AE179*AD179*Z179</f>
        <v>1.3465522699157941</v>
      </c>
      <c r="AG179">
        <f>(AF179 * M179) + (0.045 * X179)</f>
        <v>0.17505179508905325</v>
      </c>
      <c r="AH179">
        <f>$AV$2</f>
        <v>0.08</v>
      </c>
      <c r="AI179">
        <f>(AF179 * ((1 - O179) + (0.04 * AF179))) * ( 1 - AH179 )</f>
        <v>0.5003157018875316</v>
      </c>
      <c r="AJ179">
        <f>$AV$1</f>
        <v>0.19</v>
      </c>
      <c r="AK179">
        <f>$AW$20</f>
        <v>0.6784</v>
      </c>
      <c r="AL179">
        <f>AI179 * AJ179 * R179 * T179 * AK179</f>
        <v>0.0003907369891328896</v>
      </c>
      <c r="AM179">
        <f>AI179*AJ179*S179*U179*AK179</f>
        <v>0.0003005811518366914</v>
      </c>
      <c r="AN179">
        <f>AL179+AM179</f>
        <v>0.0006913181409695811</v>
      </c>
      <c r="AO179">
        <f>H179*AN179*L179</f>
        <v>3.7849668218084562</v>
      </c>
    </row>
    <row r="180">
      <c r="F180" t="str">
        <v>Winter</v>
      </c>
      <c r="H180">
        <v>65</v>
      </c>
      <c r="I180">
        <v>0</v>
      </c>
      <c r="J180">
        <v>0</v>
      </c>
      <c r="L180">
        <f>$AV$3</f>
        <v>91.25</v>
      </c>
      <c r="M180">
        <v>0.1</v>
      </c>
      <c r="O180">
        <v>0.6</v>
      </c>
      <c r="Q180">
        <v>60</v>
      </c>
      <c r="R180">
        <f>1-S180</f>
        <v>0.008299999999999974</v>
      </c>
      <c r="S180">
        <f>S161</f>
        <v>0.9917</v>
      </c>
      <c r="T180">
        <f>T161</f>
        <v>0.73</v>
      </c>
      <c r="U180">
        <f>$AV$10</f>
        <v>0.0047</v>
      </c>
      <c r="V180">
        <f>(I180/100)*(MIN(J180,100)/100)</f>
        <v>0</v>
      </c>
      <c r="W180">
        <v>0</v>
      </c>
      <c r="X180">
        <f>1.6 * W180</f>
        <v>0</v>
      </c>
      <c r="Y180">
        <f>$AY$1</f>
        <v>1.3</v>
      </c>
      <c r="Z180">
        <f>V180*Y180+(1-V180)</f>
        <v>1</v>
      </c>
      <c r="AA180">
        <f>(0.795*O180)-0.0014</f>
        <v>0.47559999999999997</v>
      </c>
      <c r="AC180">
        <v>1</v>
      </c>
      <c r="AD180">
        <f>1 - EXP(-2*(AC180^2))</f>
        <v>0.8646647167633873</v>
      </c>
      <c r="AE180">
        <f>(104.7*AA180+0.307*Q180-15)*(Q180^0.75)*10^-3</f>
        <v>1.1472289977258807</v>
      </c>
      <c r="AF180">
        <f>AE180*AD180*Z180</f>
        <v>0.9919684363813933</v>
      </c>
      <c r="AG180">
        <f>(AF180 * M180) + (0.045 * X180)</f>
        <v>0.09919684363813934</v>
      </c>
      <c r="AH180">
        <f>$AV$2</f>
        <v>0.08</v>
      </c>
      <c r="AI180">
        <f>(AF180 * ((1 - O180) + (0.04 * AF180))) * ( 1 - AH180 )</f>
        <v>0.40125563532734443</v>
      </c>
      <c r="AJ180">
        <f>$AV$1</f>
        <v>0.19</v>
      </c>
      <c r="AK180">
        <f>$AW$20</f>
        <v>0.6784</v>
      </c>
      <c r="AL180">
        <f>AI180 * AJ180 * R180 * T180 * AK180</f>
        <v>0.0003133729727628174</v>
      </c>
      <c r="AM180">
        <f>AI180*AJ180*S180*U180*AK180</f>
        <v>0.00024106755113348225</v>
      </c>
      <c r="AN180">
        <f>AL180+AM180</f>
        <v>0.0005544405238962996</v>
      </c>
      <c r="AO180">
        <f>H180*AN180*L180</f>
        <v>3.288525357359927</v>
      </c>
    </row>
    <row r="181">
      <c r="E181" t="str">
        <v>Wethers</v>
      </c>
      <c r="F181" t="str">
        <v>Spring</v>
      </c>
      <c r="H181">
        <v>50</v>
      </c>
      <c r="I181">
        <v>0</v>
      </c>
      <c r="J181">
        <v>0</v>
      </c>
      <c r="L181">
        <f>$AV$3</f>
        <v>91.25</v>
      </c>
      <c r="M181">
        <v>0.16</v>
      </c>
      <c r="O181">
        <v>0.7</v>
      </c>
      <c r="Q181">
        <v>60</v>
      </c>
      <c r="R181">
        <f>1-S181</f>
        <v>0.008299999999999974</v>
      </c>
      <c r="S181">
        <f>S161</f>
        <v>0.9917</v>
      </c>
      <c r="T181">
        <f>T161</f>
        <v>0.73</v>
      </c>
      <c r="U181">
        <f>$AV$10</f>
        <v>0.0047</v>
      </c>
      <c r="V181">
        <f>(I181/100)*(MIN(J181,100)/100)</f>
        <v>0</v>
      </c>
      <c r="W181">
        <v>0</v>
      </c>
      <c r="X181">
        <f>1.6 * W181</f>
        <v>0</v>
      </c>
      <c r="Y181">
        <f>$AY$1</f>
        <v>1.3</v>
      </c>
      <c r="Z181">
        <f>V181*Y181+(1-V181)</f>
        <v>1</v>
      </c>
      <c r="AA181">
        <f>(0.795*O181)-0.0014</f>
        <v>0.5551</v>
      </c>
      <c r="AC181">
        <v>3.2</v>
      </c>
      <c r="AD181">
        <f>1 - EXP(-2*(AC181^2))</f>
        <v>0.9999999987245923</v>
      </c>
      <c r="AE181">
        <f>(104.7*AA181+0.307*Q181-15)*(Q181^0.75)*10^-3</f>
        <v>1.3266722980183725</v>
      </c>
      <c r="AF181">
        <f>AE181*AD181*Z181</f>
        <v>1.3266722963263244</v>
      </c>
      <c r="AG181">
        <f>(AF181 * M181) + (0.045 * X181)</f>
        <v>0.21226756741221192</v>
      </c>
      <c r="AH181">
        <f>$AV$2</f>
        <v>0.08</v>
      </c>
      <c r="AI181">
        <f>(AF181 * ((1 - O181) + (0.04 * AF181))) * ( 1 - AH181 )</f>
        <v>0.4309317390377689</v>
      </c>
      <c r="AJ181">
        <f>$AV$1</f>
        <v>0.19</v>
      </c>
      <c r="AK181">
        <f>$AW$20</f>
        <v>0.6784</v>
      </c>
      <c r="AL181">
        <f>AI181 * AJ181 * R181 * T181 * AK181</f>
        <v>0.0003365494418787382</v>
      </c>
      <c r="AM181">
        <f>AI181*AJ181*S181*U181*AK181</f>
        <v>0.0002588964487708178</v>
      </c>
      <c r="AN181">
        <f>AL181+AM181</f>
        <v>0.0005954458906495561</v>
      </c>
      <c r="AO181">
        <f>H181*AN181*L181</f>
        <v>2.7167218760885996</v>
      </c>
    </row>
    <row r="182">
      <c r="F182" t="str">
        <v>Summer</v>
      </c>
      <c r="H182">
        <v>100</v>
      </c>
      <c r="I182">
        <v>0</v>
      </c>
      <c r="J182">
        <v>0</v>
      </c>
      <c r="L182">
        <f>$AV$3</f>
        <v>91.25</v>
      </c>
      <c r="M182">
        <v>0.07</v>
      </c>
      <c r="O182">
        <v>0.55</v>
      </c>
      <c r="Q182">
        <v>55</v>
      </c>
      <c r="R182">
        <f>1-S182</f>
        <v>0.008299999999999974</v>
      </c>
      <c r="S182">
        <f>S161</f>
        <v>0.9917</v>
      </c>
      <c r="T182">
        <f>T161</f>
        <v>0.73</v>
      </c>
      <c r="U182">
        <f>$AV$10</f>
        <v>0.0047</v>
      </c>
      <c r="V182">
        <f>(I182/100)*(MIN(J182,100)/100)</f>
        <v>0</v>
      </c>
      <c r="W182">
        <v>0</v>
      </c>
      <c r="X182">
        <f>1.6 * W182</f>
        <v>0</v>
      </c>
      <c r="Y182">
        <f>$AY$1</f>
        <v>1.3</v>
      </c>
      <c r="Z182">
        <f>V182*Y182+(1-V182)</f>
        <v>1</v>
      </c>
      <c r="AA182">
        <f>(0.795*O182)-0.0014</f>
        <v>0.43585000000000007</v>
      </c>
      <c r="AC182">
        <v>3</v>
      </c>
      <c r="AD182">
        <f>1 - EXP(-2*(AC182^2))</f>
        <v>0.9999999847700203</v>
      </c>
      <c r="AE182">
        <f>(104.7*AA182+0.307*Q182-15)*(Q182^0.75)*10^-3</f>
        <v>0.9596982312536153</v>
      </c>
      <c r="AF182">
        <f>AE182*AD182*Z182</f>
        <v>0.9596982166374307</v>
      </c>
      <c r="AG182">
        <f>(AF182 * M182) + (0.045 * X182)</f>
        <v>0.06717887516462015</v>
      </c>
      <c r="AH182">
        <f>$AV$2</f>
        <v>0.08</v>
      </c>
      <c r="AI182">
        <f>(AF182 * ((1 - O182) + (0.04 * AF182))) * ( 1 - AH182 )</f>
        <v>0.43120862223412426</v>
      </c>
      <c r="AJ182">
        <f>$AV$1</f>
        <v>0.19</v>
      </c>
      <c r="AK182">
        <f>$AW$20</f>
        <v>0.6784</v>
      </c>
      <c r="AL182">
        <f>AI182 * AJ182 * R182 * T182 * AK182</f>
        <v>0.00033676568235665495</v>
      </c>
      <c r="AM182">
        <f>AI182*AJ182*S182*U182*AK182</f>
        <v>0.0002590627954790477</v>
      </c>
      <c r="AN182">
        <f>AL182+AM182</f>
        <v>0.0005958284778357027</v>
      </c>
      <c r="AO182">
        <f>H182*AN182*L182</f>
        <v>5.436934860250787</v>
      </c>
    </row>
    <row r="183">
      <c r="F183" t="str">
        <v>Autumn</v>
      </c>
      <c r="H183">
        <v>90</v>
      </c>
      <c r="I183">
        <v>0</v>
      </c>
      <c r="J183">
        <v>0</v>
      </c>
      <c r="L183">
        <f>$AV$3</f>
        <v>91.25</v>
      </c>
      <c r="M183">
        <v>0.13</v>
      </c>
      <c r="O183">
        <v>0.65</v>
      </c>
      <c r="Q183">
        <v>52</v>
      </c>
      <c r="R183">
        <f>1-S183</f>
        <v>0.008299999999999974</v>
      </c>
      <c r="S183">
        <f>S161</f>
        <v>0.9917</v>
      </c>
      <c r="T183">
        <f>T161</f>
        <v>0.73</v>
      </c>
      <c r="U183">
        <f>$AV$10</f>
        <v>0.0047</v>
      </c>
      <c r="V183">
        <f>(I183/100)*(MIN(J183,100)/100)</f>
        <v>0</v>
      </c>
      <c r="W183">
        <v>0</v>
      </c>
      <c r="X183">
        <f>1.6 * W183</f>
        <v>0</v>
      </c>
      <c r="Y183">
        <f>$AY$1</f>
        <v>1.3</v>
      </c>
      <c r="Z183">
        <f>V183*Y183+(1-V183)</f>
        <v>1</v>
      </c>
      <c r="AA183">
        <f>(0.795*O183)-0.0014</f>
        <v>0.5153500000000001</v>
      </c>
      <c r="AC183">
        <v>1.8</v>
      </c>
      <c r="AD183">
        <f>1 - EXP(-2*(AC183^2))</f>
        <v>0.9984661893206755</v>
      </c>
      <c r="AE183">
        <f>(104.7*AA183+0.307*Q183-15)*(Q183^0.75)*10^-3</f>
        <v>1.0635112555960096</v>
      </c>
      <c r="AF183">
        <f>AE183*AD183*Z183</f>
        <v>1.0618800306745946</v>
      </c>
      <c r="AG183">
        <f>(AF183 * M183) + (0.045 * X183)</f>
        <v>0.1380444039876973</v>
      </c>
      <c r="AH183">
        <f>$AV$2</f>
        <v>0.08</v>
      </c>
      <c r="AI183">
        <f>(AF183 * ((1 - O183) + (0.04 * AF183))) * ( 1 - AH183 )</f>
        <v>0.383420652420493</v>
      </c>
      <c r="AJ183">
        <f>$AV$1</f>
        <v>0.19</v>
      </c>
      <c r="AK183">
        <f>$AW$20</f>
        <v>0.6784</v>
      </c>
      <c r="AL183">
        <f>AI183 * AJ183 * R183 * T183 * AK183</f>
        <v>0.00029944419240279937</v>
      </c>
      <c r="AM183">
        <f>AI183*AJ183*S183*U183*AK183</f>
        <v>0.00023035259718559638</v>
      </c>
      <c r="AN183">
        <f>AL183+AM183</f>
        <v>0.0005297967895883958</v>
      </c>
      <c r="AO183">
        <f>H183*AN183*L183</f>
        <v>4.350956134494701</v>
      </c>
    </row>
    <row r="184">
      <c r="F184" t="str">
        <v>Winter</v>
      </c>
      <c r="H184">
        <v>80</v>
      </c>
      <c r="I184">
        <v>0</v>
      </c>
      <c r="J184">
        <v>0</v>
      </c>
      <c r="L184">
        <f>$AV$3</f>
        <v>91.25</v>
      </c>
      <c r="M184">
        <v>0.1</v>
      </c>
      <c r="O184">
        <v>0.6</v>
      </c>
      <c r="Q184">
        <v>50</v>
      </c>
      <c r="R184">
        <f>1-S184</f>
        <v>0.008299999999999974</v>
      </c>
      <c r="S184">
        <f>S161</f>
        <v>0.9917</v>
      </c>
      <c r="T184">
        <f>T161</f>
        <v>0.73</v>
      </c>
      <c r="U184">
        <f>$AV$10</f>
        <v>0.0047</v>
      </c>
      <c r="V184">
        <f>(I184/100)*(MIN(J184,100)/100)</f>
        <v>0</v>
      </c>
      <c r="W184">
        <v>0</v>
      </c>
      <c r="X184">
        <f>1.6 * W184</f>
        <v>0</v>
      </c>
      <c r="Y184">
        <f>$AY$1</f>
        <v>1.3</v>
      </c>
      <c r="Z184">
        <f>V184*Y184+(1-V184)</f>
        <v>1</v>
      </c>
      <c r="AA184">
        <f>(0.795*O184)-0.0014</f>
        <v>0.47559999999999997</v>
      </c>
      <c r="AC184">
        <v>1</v>
      </c>
      <c r="AD184">
        <f>1 - EXP(-2*(AC184^2))</f>
        <v>0.8646647167633873</v>
      </c>
      <c r="AE184">
        <f>(104.7*AA184+0.307*Q184-15)*(Q184^0.75)*10^-3</f>
        <v>0.9428832274790347</v>
      </c>
      <c r="AF184">
        <f>AE184*AD184*Z184</f>
        <v>0.8152778588291081</v>
      </c>
      <c r="AG184">
        <f>(AF184 * M184) + (0.045 * X184)</f>
        <v>0.08152778588291082</v>
      </c>
      <c r="AH184">
        <f>$AV$2</f>
        <v>0.08</v>
      </c>
      <c r="AI184">
        <f>(AF184 * ((1 - O184) + (0.04 * AF184))) * ( 1 - AH184 )</f>
        <v>0.3244824019742805</v>
      </c>
      <c r="AJ184">
        <f>$AV$1</f>
        <v>0.19</v>
      </c>
      <c r="AK184">
        <f>$AW$20</f>
        <v>0.6784</v>
      </c>
      <c r="AL184">
        <f>AI184 * AJ184 * R184 * T184 * AK184</f>
        <v>0.00025341454664666813</v>
      </c>
      <c r="AM184">
        <f>AI184*AJ184*S184*U184*AK184</f>
        <v>0.00019494350021037423</v>
      </c>
      <c r="AN184">
        <f>AL184+AM184</f>
        <v>0.0004483580468570424</v>
      </c>
      <c r="AO184">
        <f>H184*AN184*L184</f>
        <v>3.2730137420564094</v>
      </c>
    </row>
    <row r="191">
      <c r="A191" t="str">
        <v>WA</v>
      </c>
      <c r="B191" t="str">
        <v>WA</v>
      </c>
      <c r="C191" t="str">
        <v>WA</v>
      </c>
      <c r="D191" t="str">
        <v>yes</v>
      </c>
      <c r="E191" t="str">
        <v>Breeding ewes</v>
      </c>
      <c r="F191" t="str">
        <v>Spring</v>
      </c>
      <c r="H191">
        <v>100</v>
      </c>
      <c r="I191">
        <v>95</v>
      </c>
      <c r="J191">
        <v>90</v>
      </c>
      <c r="L191">
        <f>$AV$3</f>
        <v>91.25</v>
      </c>
      <c r="M191" cm="1">
        <f t="array" ref="M191:M214">DROP(XLOOKUP($C191,QueryCP[[#Headers],[ACT/NSW]:[WA]],QueryCP[[#All],[ACT/NSW]:[WA]]),1)</f>
        <v>0.18</v>
      </c>
      <c r="O191" cm="1">
        <f t="array" ref="O191:O214">DROP(XLOOKUP($C191,QueryDMD[[#Headers],[ACT/NSW]:[WA]],QueryDMD[[#All],[ACT/NSW]:[WA]]),1)</f>
        <v>0.73</v>
      </c>
      <c r="Q191" cm="1">
        <f t="array" ref="Q191:Q214">DROP(XLOOKUP($C191,QueryW[[#Headers],[ACT/NSW]:[WA]],QueryW[[#All],[ACT/NSW]:[WA]]),1)</f>
        <v>55</v>
      </c>
      <c r="R191">
        <f>1-S191</f>
        <v>0</v>
      </c>
      <c r="S191">
        <f>IF($D191="yes", 1, VLOOKUP($B191, $AU$26:$AW$32, 2)/100)</f>
        <v>1</v>
      </c>
      <c r="T191">
        <f>VLOOKUP($B191,$AW$10:$AX$16, 2, FALSE)</f>
        <v>0.76</v>
      </c>
      <c r="U191">
        <f>$AV$10</f>
        <v>0.0047</v>
      </c>
      <c r="V191">
        <f>(I191/100)*(MIN(J191,100)/100)</f>
        <v>0.855</v>
      </c>
      <c r="W191">
        <v>0</v>
      </c>
      <c r="X191">
        <f>1.6 * W191</f>
        <v>0</v>
      </c>
      <c r="Y191">
        <f>$AY$1</f>
        <v>1.3</v>
      </c>
      <c r="Z191">
        <f>V191*Y191+(1-V191)</f>
        <v>1.2565</v>
      </c>
      <c r="AA191">
        <f>(0.795*O191)-0.0014</f>
        <v>0.5789500000000001</v>
      </c>
      <c r="AC191" cm="1">
        <f t="array" ref="AC191:AC214">DROP(XLOOKUP($C191,QueryDMA[[#Headers],[ACT/NSW]:[WA]],QueryDMA[[#All],[ACT/NSW]:[WA]]),1)</f>
        <v>3.5</v>
      </c>
      <c r="AD191">
        <f>1 - EXP(-2*(AC191^2))</f>
        <v>0.9999999999771026</v>
      </c>
      <c r="AE191">
        <f>(104.7*AA191+0.307*Q191-15)*(Q191^0.75)*10^-3</f>
        <v>1.2622908518455234</v>
      </c>
      <c r="AF191">
        <f>AE191*AD191*Z191</f>
        <v>1.5860684553075832</v>
      </c>
      <c r="AG191">
        <f>(AF191 * M191) + (0.045 * X191)</f>
        <v>0.28549232195536495</v>
      </c>
      <c r="AH191">
        <f>$AV$2</f>
        <v>0.08</v>
      </c>
      <c r="AI191">
        <f>(AF191 * ((1 - O191) + (0.04 * AF191))) * ( 1 - AH191 )</f>
        <v>0.4865539680315254</v>
      </c>
      <c r="AJ191">
        <f>$AV$1</f>
        <v>0.19</v>
      </c>
      <c r="AK191">
        <f>$AW$20</f>
        <v>0.6784</v>
      </c>
      <c r="AL191">
        <f>AI191 * AJ191 * R191 * T191 * AK191</f>
        <v>0</v>
      </c>
      <c r="AM191">
        <f>AI191*AJ191*S191*U191*AK191</f>
        <v>0.00029475984323794005</v>
      </c>
      <c r="AN191">
        <f>AL191+AM191</f>
        <v>0.00029475984323794005</v>
      </c>
      <c r="AO191">
        <f>H191*AN191*L191</f>
        <v>2.689683569546203</v>
      </c>
      <c r="AP191">
        <f>SUM(AO191:AO214)*10^-3</f>
        <v>0.04577588251216725</v>
      </c>
    </row>
    <row r="192">
      <c r="F192" t="str">
        <v>Summer</v>
      </c>
      <c r="H192">
        <v>70</v>
      </c>
      <c r="I192">
        <v>0</v>
      </c>
      <c r="J192">
        <v>0</v>
      </c>
      <c r="L192">
        <f>$AV$3</f>
        <v>91.25</v>
      </c>
      <c r="M192">
        <v>0.06</v>
      </c>
      <c r="O192">
        <v>0.55</v>
      </c>
      <c r="Q192">
        <v>50</v>
      </c>
      <c r="R192">
        <f>1-S192</f>
        <v>0</v>
      </c>
      <c r="S192">
        <f>S191</f>
        <v>1</v>
      </c>
      <c r="T192">
        <f>T191</f>
        <v>0.76</v>
      </c>
      <c r="U192">
        <f>$AV$10</f>
        <v>0.0047</v>
      </c>
      <c r="V192">
        <f>(I192/100)*(MIN(J192,100)/100)</f>
        <v>0</v>
      </c>
      <c r="W192">
        <v>0</v>
      </c>
      <c r="X192">
        <f>1.6 * W192</f>
        <v>0</v>
      </c>
      <c r="Y192">
        <f>$AY$1</f>
        <v>1.3</v>
      </c>
      <c r="Z192">
        <f>V192*Y192+(1-V192)</f>
        <v>1</v>
      </c>
      <c r="AA192">
        <f>(0.795*O192)-0.0014</f>
        <v>0.43585000000000007</v>
      </c>
      <c r="AC192">
        <v>1.5</v>
      </c>
      <c r="AD192">
        <f>1 - EXP(-2*(AC192^2))</f>
        <v>0.9888910034617577</v>
      </c>
      <c r="AE192">
        <f>(104.7*AA192+0.307*Q192-15)*(Q192^0.75)*10^-3</f>
        <v>0.8646283676396137</v>
      </c>
      <c r="AF192">
        <f>AE192*AD192*Z192</f>
        <v>0.8550232140966392</v>
      </c>
      <c r="AG192">
        <f>(AF192 * M192) + (0.045 * X192)</f>
        <v>0.05130139284579835</v>
      </c>
      <c r="AH192">
        <f>$AV$2</f>
        <v>0.08</v>
      </c>
      <c r="AI192">
        <f>(AF192 * ((1 - O192) + (0.04 * AF192))) * ( 1 - AH192 )</f>
        <v>0.38088279147251325</v>
      </c>
      <c r="AJ192">
        <f>$AV$1</f>
        <v>0.19</v>
      </c>
      <c r="AK192">
        <f>$AW$20</f>
        <v>0.6784</v>
      </c>
      <c r="AL192">
        <f>AI192 * AJ192 * R192 * T192 * AK192</f>
        <v>0</v>
      </c>
      <c r="AM192">
        <f>AI192*AJ192*S192*U192*AK192</f>
        <v>0.00023074306096131303</v>
      </c>
      <c r="AN192">
        <f>AL192+AM192</f>
        <v>0.00023074306096131303</v>
      </c>
      <c r="AO192">
        <f>H192*AN192*L192</f>
        <v>1.473871301890387</v>
      </c>
    </row>
    <row r="193">
      <c r="F193" t="str">
        <v>Autumn</v>
      </c>
      <c r="H193">
        <v>65</v>
      </c>
      <c r="I193">
        <v>0</v>
      </c>
      <c r="J193">
        <v>0</v>
      </c>
      <c r="L193">
        <f>$AV$3</f>
        <v>91.25</v>
      </c>
      <c r="M193">
        <v>0.16</v>
      </c>
      <c r="O193">
        <v>0.7</v>
      </c>
      <c r="Q193">
        <v>45</v>
      </c>
      <c r="R193">
        <f>1-S193</f>
        <v>0</v>
      </c>
      <c r="S193">
        <f>S191</f>
        <v>1</v>
      </c>
      <c r="T193">
        <f>T191</f>
        <v>0.76</v>
      </c>
      <c r="U193">
        <f>$AV$10</f>
        <v>0.0047</v>
      </c>
      <c r="V193">
        <f>(I193/100)*(MIN(J193,100)/100)</f>
        <v>0</v>
      </c>
      <c r="W193">
        <v>0</v>
      </c>
      <c r="X193">
        <f>1.6 * W193</f>
        <v>0</v>
      </c>
      <c r="Y193">
        <f>$AY$1</f>
        <v>1.3</v>
      </c>
      <c r="Z193">
        <f>V193*Y193+(1-V193)</f>
        <v>1</v>
      </c>
      <c r="AA193">
        <f>(0.795*O193)-0.0014</f>
        <v>0.5551</v>
      </c>
      <c r="AC193">
        <v>0.7</v>
      </c>
      <c r="AD193">
        <f>1 - EXP(-2*(AC193^2))</f>
        <v>0.6246889011486004</v>
      </c>
      <c r="AE193">
        <f>(104.7*AA193+0.307*Q193-15)*(Q193^0.75)*10^-3</f>
        <v>0.9891925879265512</v>
      </c>
      <c r="AF193">
        <f>AE193*AD193*Z193</f>
        <v>0.6179376307761776</v>
      </c>
      <c r="AG193">
        <f>(AF193 * M193) + (0.045 * X193)</f>
        <v>0.09887002092418841</v>
      </c>
      <c r="AH193">
        <f>$AV$2</f>
        <v>0.08</v>
      </c>
      <c r="AI193">
        <f>(AF193 * ((1 - O193) + (0.04 * AF193))) * ( 1 - AH193 )</f>
        <v>0.18460275258570238</v>
      </c>
      <c r="AJ193">
        <f>$AV$1</f>
        <v>0.19</v>
      </c>
      <c r="AK193">
        <f>$AW$20</f>
        <v>0.6784</v>
      </c>
      <c r="AL193">
        <f>AI193 * AJ193 * R193 * T193 * AK193</f>
        <v>0</v>
      </c>
      <c r="AM193">
        <f>AI193*AJ193*S193*U193*AK193</f>
        <v>0.00011183441506724749</v>
      </c>
      <c r="AN193">
        <f>AL193+AM193</f>
        <v>0.00011183441506724749</v>
      </c>
      <c r="AO193">
        <f>H193*AN193*L193</f>
        <v>0.6633178743676117</v>
      </c>
    </row>
    <row r="194">
      <c r="F194" t="str">
        <v>Winter</v>
      </c>
      <c r="H194">
        <v>80</v>
      </c>
      <c r="I194">
        <v>0</v>
      </c>
      <c r="J194">
        <v>0</v>
      </c>
      <c r="L194">
        <f>$AV$3</f>
        <v>91.25</v>
      </c>
      <c r="M194">
        <v>0.21</v>
      </c>
      <c r="O194">
        <v>0.76</v>
      </c>
      <c r="Q194">
        <v>50</v>
      </c>
      <c r="R194">
        <f>1-S194</f>
        <v>0</v>
      </c>
      <c r="S194">
        <f>S191</f>
        <v>1</v>
      </c>
      <c r="T194">
        <f>T191</f>
        <v>0.76</v>
      </c>
      <c r="U194">
        <f>$AV$10</f>
        <v>0.0047</v>
      </c>
      <c r="V194">
        <f>(I194/100)*(MIN(J194,100)/100)</f>
        <v>0</v>
      </c>
      <c r="W194">
        <v>0</v>
      </c>
      <c r="X194">
        <f>1.6 * W194</f>
        <v>0</v>
      </c>
      <c r="Y194">
        <f>$AY$1</f>
        <v>1.3</v>
      </c>
      <c r="Z194">
        <f>V194*Y194+(1-V194)</f>
        <v>1</v>
      </c>
      <c r="AA194">
        <f>(0.795*O194)-0.0014</f>
        <v>0.6028000000000001</v>
      </c>
      <c r="AC194">
        <v>1.2</v>
      </c>
      <c r="AD194">
        <f>1 - EXP(-2*(AC194^2))</f>
        <v>0.9438652371658662</v>
      </c>
      <c r="AE194">
        <f>(104.7*AA194+0.307*Q194-15)*(Q194^0.75)*10^-3</f>
        <v>1.1932987789651837</v>
      </c>
      <c r="AF194">
        <f>AE194*AD194*Z194</f>
        <v>1.1263132350177116</v>
      </c>
      <c r="AG194">
        <f>(AF194 * M194) + (0.045 * X194)</f>
        <v>0.23652577935371943</v>
      </c>
      <c r="AH194">
        <f>$AV$2</f>
        <v>0.08</v>
      </c>
      <c r="AI194">
        <f>(AF194 * ((1 - O194) + (0.04 * AF194))) * ( 1 - AH194 )</f>
        <v>0.29537376161614987</v>
      </c>
      <c r="AJ194">
        <f>$AV$1</f>
        <v>0.19</v>
      </c>
      <c r="AK194">
        <f>$AW$20</f>
        <v>0.6784</v>
      </c>
      <c r="AL194">
        <f>AI194 * AJ194 * R194 * T194 * AK194</f>
        <v>0</v>
      </c>
      <c r="AM194">
        <f>AI194*AJ194*S194*U194*AK194</f>
        <v>0.00017894073297319371</v>
      </c>
      <c r="AN194">
        <f>AL194+AM194</f>
        <v>0.00017894073297319371</v>
      </c>
      <c r="AO194">
        <f>H194*AN194*L194</f>
        <v>1.306267350704314</v>
      </c>
    </row>
    <row r="195">
      <c r="E195" t="str">
        <v>Lambs and hoggets</v>
      </c>
      <c r="F195" t="str">
        <v>Spring</v>
      </c>
      <c r="H195">
        <v>200</v>
      </c>
      <c r="I195">
        <v>0</v>
      </c>
      <c r="J195">
        <v>0</v>
      </c>
      <c r="L195">
        <f>$AV$3</f>
        <v>91.25</v>
      </c>
      <c r="M195">
        <v>0.18</v>
      </c>
      <c r="O195">
        <v>0.73</v>
      </c>
      <c r="Q195">
        <v>30</v>
      </c>
      <c r="R195">
        <f>1-S195</f>
        <v>0</v>
      </c>
      <c r="S195">
        <f>S191</f>
        <v>1</v>
      </c>
      <c r="T195">
        <f>T191</f>
        <v>0.76</v>
      </c>
      <c r="U195">
        <f>$AV$10</f>
        <v>0.0047</v>
      </c>
      <c r="V195">
        <f>(I195/100)*(MIN(J195,100)/100)</f>
        <v>0</v>
      </c>
      <c r="W195">
        <v>1</v>
      </c>
      <c r="X195">
        <f>1.6 * W195</f>
        <v>1.6</v>
      </c>
      <c r="Y195">
        <f>$AY$1</f>
        <v>1.3</v>
      </c>
      <c r="Z195">
        <f>V195*Y195+(1-V195)</f>
        <v>1</v>
      </c>
      <c r="AA195">
        <f>(0.795*O195)-0.0014</f>
        <v>0.5789500000000001</v>
      </c>
      <c r="AC195">
        <v>3.5</v>
      </c>
      <c r="AD195">
        <f>1 - EXP(-2*(AC195^2))</f>
        <v>0.9999999999771026</v>
      </c>
      <c r="AE195">
        <f>(104.7*AA195+0.307*Q195-15)*(Q195^0.75)*10^-3</f>
        <v>0.7027939555900604</v>
      </c>
      <c r="AF195">
        <f>AE195*AD195*Z195</f>
        <v>0.7027939555739683</v>
      </c>
      <c r="AG195">
        <f>(AF195 * M195) + (0.045 * X195)</f>
        <v>0.19850291200331427</v>
      </c>
      <c r="AH195">
        <f>$AV$2</f>
        <v>0.08</v>
      </c>
      <c r="AI195">
        <f>(AF195 * ((1 - O195) + (0.04 * AF195))) * ( 1 - AH195 )</f>
        <v>0.19275025042345378</v>
      </c>
      <c r="AJ195">
        <f>$AV$1</f>
        <v>0.19</v>
      </c>
      <c r="AK195">
        <f>$AW$20</f>
        <v>0.6784</v>
      </c>
      <c r="AL195">
        <f>AI195 * AJ195 * R195 * T195 * AK195</f>
        <v>0</v>
      </c>
      <c r="AM195">
        <f>AI195*AJ195*S195*U195*AK195</f>
        <v>0.00011677026050933304</v>
      </c>
      <c r="AN195">
        <f>AL195+AM195</f>
        <v>0.00011677026050933304</v>
      </c>
      <c r="AO195">
        <f>H195*AN195*L195</f>
        <v>2.131057254295328</v>
      </c>
    </row>
    <row r="196">
      <c r="F196" t="str">
        <v>Summer</v>
      </c>
      <c r="H196">
        <v>210</v>
      </c>
      <c r="I196">
        <v>0</v>
      </c>
      <c r="J196">
        <v>0</v>
      </c>
      <c r="L196">
        <f>$AV$3</f>
        <v>91.25</v>
      </c>
      <c r="M196">
        <v>0.06</v>
      </c>
      <c r="O196">
        <v>0.55</v>
      </c>
      <c r="Q196">
        <v>30</v>
      </c>
      <c r="R196">
        <f>1-S196</f>
        <v>0</v>
      </c>
      <c r="S196">
        <f>S191</f>
        <v>1</v>
      </c>
      <c r="T196">
        <f>T191</f>
        <v>0.76</v>
      </c>
      <c r="U196">
        <f>$AV$10</f>
        <v>0.0047</v>
      </c>
      <c r="V196">
        <f>(I196/100)*(MIN(J196,100)/100)</f>
        <v>0</v>
      </c>
      <c r="W196">
        <v>0</v>
      </c>
      <c r="X196">
        <f>1.6 * W196</f>
        <v>0</v>
      </c>
      <c r="Y196">
        <f>$AY$1</f>
        <v>1.3</v>
      </c>
      <c r="Z196">
        <f>V196*Y196+(1-V196)</f>
        <v>1</v>
      </c>
      <c r="AA196">
        <f>(0.795*O196)-0.0014</f>
        <v>0.43585000000000007</v>
      </c>
      <c r="AC196">
        <v>1.5</v>
      </c>
      <c r="AD196">
        <f>1 - EXP(-2*(AC196^2))</f>
        <v>0.9888910034617577</v>
      </c>
      <c r="AE196">
        <f>(104.7*AA196+0.307*Q196-15)*(Q196^0.75)*10^-3</f>
        <v>0.5107382310873998</v>
      </c>
      <c r="AF196">
        <f>AE196*AD196*Z196</f>
        <v>0.505064441846302</v>
      </c>
      <c r="AG196">
        <f>(AF196 * M196) + (0.045 * X196)</f>
        <v>0.030303866510778116</v>
      </c>
      <c r="AH196">
        <f>$AV$2</f>
        <v>0.08</v>
      </c>
      <c r="AI196">
        <f>(AF196 * ((1 - O196) + (0.04 * AF196))) * ( 1 - AH196 )</f>
        <v>0.21848399425173362</v>
      </c>
      <c r="AJ196">
        <f>$AV$1</f>
        <v>0.19</v>
      </c>
      <c r="AK196">
        <f>$AW$20</f>
        <v>0.6784</v>
      </c>
      <c r="AL196">
        <f>AI196 * AJ196 * R196 * T196 * AK196</f>
        <v>0</v>
      </c>
      <c r="AM196">
        <f>AI196*AJ196*S196*U196*AK196</f>
        <v>0.00013236005073843587</v>
      </c>
      <c r="AN196">
        <f>AL196+AM196</f>
        <v>0.00013236005073843587</v>
      </c>
      <c r="AO196">
        <f>H196*AN196*L196</f>
        <v>2.5363494722752775</v>
      </c>
    </row>
    <row r="197">
      <c r="F197" t="str">
        <v>Autumn</v>
      </c>
      <c r="H197">
        <v>170</v>
      </c>
      <c r="I197">
        <v>0</v>
      </c>
      <c r="J197">
        <v>0</v>
      </c>
      <c r="L197">
        <f>$AV$3</f>
        <v>91.25</v>
      </c>
      <c r="M197">
        <v>0.16</v>
      </c>
      <c r="O197">
        <v>0.7</v>
      </c>
      <c r="Q197">
        <v>10</v>
      </c>
      <c r="R197">
        <f>1-S197</f>
        <v>0</v>
      </c>
      <c r="S197">
        <f>S191</f>
        <v>1</v>
      </c>
      <c r="T197">
        <f>T191</f>
        <v>0.76</v>
      </c>
      <c r="U197">
        <f>$AV$10</f>
        <v>0.0047</v>
      </c>
      <c r="V197">
        <f>(I197/100)*(MIN(J197,100)/100)</f>
        <v>0</v>
      </c>
      <c r="W197">
        <v>0</v>
      </c>
      <c r="X197">
        <f>1.6 * W197</f>
        <v>0</v>
      </c>
      <c r="Y197">
        <f>$AY$1</f>
        <v>1.3</v>
      </c>
      <c r="Z197">
        <f>V197*Y197+(1-V197)</f>
        <v>1</v>
      </c>
      <c r="AA197">
        <f>(0.795*O197)-0.0014</f>
        <v>0.5551</v>
      </c>
      <c r="AC197">
        <v>0.7</v>
      </c>
      <c r="AD197">
        <f>1 - EXP(-2*(AC197^2))</f>
        <v>0.6246889011486004</v>
      </c>
      <c r="AE197">
        <f>(104.7*AA197+0.307*Q197-15)*(Q197^0.75)*10^-3</f>
        <v>0.2597396659897728</v>
      </c>
      <c r="AF197">
        <f>AE197*AD197*Z197</f>
        <v>0.1622564865318557</v>
      </c>
      <c r="AG197">
        <f>(AF197 * M197) + (0.045 * X197)</f>
        <v>0.025961037845096912</v>
      </c>
      <c r="AH197">
        <f>$AV$2</f>
        <v>0.08</v>
      </c>
      <c r="AI197">
        <f>(AF197 * ((1 - O197) + (0.04 * AF197))) * ( 1 - AH197 )</f>
        <v>0.04575163004390935</v>
      </c>
      <c r="AJ197">
        <f>$AV$1</f>
        <v>0.19</v>
      </c>
      <c r="AK197">
        <f>$AW$20</f>
        <v>0.6784</v>
      </c>
      <c r="AL197">
        <f>AI197 * AJ197 * R197 * T197 * AK197</f>
        <v>0</v>
      </c>
      <c r="AM197">
        <f>AI197*AJ197*S197*U197*AK197</f>
        <v>0.000027716849898856777</v>
      </c>
      <c r="AN197">
        <f>AL197+AM197</f>
        <v>0.000027716849898856777</v>
      </c>
      <c r="AO197">
        <f>H197*AN197*L197</f>
        <v>0.4299576340560157</v>
      </c>
    </row>
    <row r="198">
      <c r="F198" t="str">
        <v>Winter</v>
      </c>
      <c r="H198">
        <v>200</v>
      </c>
      <c r="I198">
        <v>0</v>
      </c>
      <c r="J198">
        <v>0</v>
      </c>
      <c r="L198">
        <f>$AV$3</f>
        <v>91.25</v>
      </c>
      <c r="M198">
        <v>0.21</v>
      </c>
      <c r="O198">
        <v>0.76</v>
      </c>
      <c r="Q198">
        <v>20</v>
      </c>
      <c r="R198">
        <f>1-S198</f>
        <v>0</v>
      </c>
      <c r="S198">
        <f>S191</f>
        <v>1</v>
      </c>
      <c r="T198">
        <f>T191</f>
        <v>0.76</v>
      </c>
      <c r="U198">
        <f>$AV$10</f>
        <v>0.0047</v>
      </c>
      <c r="V198">
        <f>(I198/100)*(MIN(J198,100)/100)</f>
        <v>0</v>
      </c>
      <c r="W198">
        <v>0</v>
      </c>
      <c r="X198">
        <f>1.6 * W198</f>
        <v>0</v>
      </c>
      <c r="Y198">
        <f>$AY$1</f>
        <v>1.3</v>
      </c>
      <c r="Z198">
        <f>V198*Y198+(1-V198)</f>
        <v>1</v>
      </c>
      <c r="AA198">
        <f>(0.795*O198)-0.0014</f>
        <v>0.6028000000000001</v>
      </c>
      <c r="AC198">
        <v>1.2</v>
      </c>
      <c r="AD198">
        <f>1 - EXP(-2*(AC198^2))</f>
        <v>0.9438652371658662</v>
      </c>
      <c r="AE198">
        <f>(104.7*AA198+0.307*Q198-15)*(Q198^0.75)*10^-3</f>
        <v>0.5130947083190674</v>
      </c>
      <c r="AF198">
        <f>AE198*AD198*Z198</f>
        <v>0.48429225855612756</v>
      </c>
      <c r="AG198">
        <f>(AF198 * M198) + (0.045 * X198)</f>
        <v>0.10170137429678679</v>
      </c>
      <c r="AH198">
        <f>$AV$2</f>
        <v>0.08</v>
      </c>
      <c r="AI198">
        <f>(AF198 * ((1 - O198) + (0.04 * AF198))) * ( 1 - AH198 )</f>
        <v>0.11556276558365712</v>
      </c>
      <c r="AJ198">
        <f>$AV$1</f>
        <v>0.19</v>
      </c>
      <c r="AK198">
        <f>$AW$20</f>
        <v>0.6784</v>
      </c>
      <c r="AL198">
        <f>AI198 * AJ198 * R198 * T198 * AK198</f>
        <v>0</v>
      </c>
      <c r="AM198">
        <f>AI198*AJ198*S198*U198*AK198</f>
        <v>0.00007000921769355402</v>
      </c>
      <c r="AN198">
        <f>AL198+AM198</f>
        <v>0.00007000921769355402</v>
      </c>
      <c r="AO198">
        <f>H198*AN198*L198</f>
        <v>1.2776682229073608</v>
      </c>
    </row>
    <row r="199">
      <c r="E199" t="str">
        <v>Maiden ewes</v>
      </c>
      <c r="F199" t="str">
        <v>Spring</v>
      </c>
      <c r="H199">
        <v>100</v>
      </c>
      <c r="I199">
        <v>95</v>
      </c>
      <c r="J199">
        <v>92</v>
      </c>
      <c r="L199">
        <f>$AV$3</f>
        <v>91.25</v>
      </c>
      <c r="M199">
        <v>0.18</v>
      </c>
      <c r="O199">
        <v>0.73</v>
      </c>
      <c r="Q199">
        <v>50</v>
      </c>
      <c r="R199">
        <f>1-S199</f>
        <v>0</v>
      </c>
      <c r="S199">
        <f>S191</f>
        <v>1</v>
      </c>
      <c r="T199">
        <f>T191</f>
        <v>0.76</v>
      </c>
      <c r="U199">
        <f>$AV$10</f>
        <v>0.0047</v>
      </c>
      <c r="V199">
        <f>(I199/100)*(MIN(J199,100)/100)</f>
        <v>0.874</v>
      </c>
      <c r="W199">
        <v>0</v>
      </c>
      <c r="X199">
        <f>1.6 * W199</f>
        <v>0</v>
      </c>
      <c r="Y199">
        <f>$AY$1</f>
        <v>1.3</v>
      </c>
      <c r="Z199">
        <f>V199*Y199+(1-V199)</f>
        <v>1.2622</v>
      </c>
      <c r="AA199">
        <f>(0.795*O199)-0.0014</f>
        <v>0.5789500000000001</v>
      </c>
      <c r="AC199">
        <v>3.5</v>
      </c>
      <c r="AD199">
        <f>1 - EXP(-2*(AC199^2))</f>
        <v>0.9999999999771026</v>
      </c>
      <c r="AE199">
        <f>(104.7*AA199+0.307*Q199-15)*(Q199^0.75)*10^-3</f>
        <v>1.1463458630615306</v>
      </c>
      <c r="AF199">
        <f>AE199*AD199*Z199</f>
        <v>1.4469177483231332</v>
      </c>
      <c r="AG199">
        <f>(AF199 * M199) + (0.045 * X199)</f>
        <v>0.26044519469816396</v>
      </c>
      <c r="AH199">
        <f>$AV$2</f>
        <v>0.08</v>
      </c>
      <c r="AI199">
        <f>(AF199 * ((1 - O199) + (0.04 * AF199))) * ( 1 - AH199 )</f>
        <v>0.4364577803946458</v>
      </c>
      <c r="AJ199">
        <f>$AV$1</f>
        <v>0.19</v>
      </c>
      <c r="AK199">
        <f>$AW$20</f>
        <v>0.6784</v>
      </c>
      <c r="AL199">
        <f>AI199 * AJ199 * R199 * T199 * AK199</f>
        <v>0</v>
      </c>
      <c r="AM199">
        <f>AI199*AJ199*S199*U199*AK199</f>
        <v>0.00026441101169021687</v>
      </c>
      <c r="AN199">
        <f>AL199+AM199</f>
        <v>0.00026441101169021687</v>
      </c>
      <c r="AO199">
        <f>H199*AN199*L199</f>
        <v>2.412750481673229</v>
      </c>
    </row>
    <row r="200">
      <c r="F200" t="str">
        <v>Summer</v>
      </c>
      <c r="H200">
        <v>140</v>
      </c>
      <c r="I200">
        <v>0</v>
      </c>
      <c r="J200">
        <v>0</v>
      </c>
      <c r="L200">
        <f>$AV$3</f>
        <v>91.25</v>
      </c>
      <c r="M200">
        <v>0.06</v>
      </c>
      <c r="O200">
        <v>0.55</v>
      </c>
      <c r="Q200">
        <v>45</v>
      </c>
      <c r="R200">
        <f>1-S200</f>
        <v>0</v>
      </c>
      <c r="S200">
        <f>S191</f>
        <v>1</v>
      </c>
      <c r="T200">
        <f>T191</f>
        <v>0.76</v>
      </c>
      <c r="U200">
        <f>$AV$10</f>
        <v>0.0047</v>
      </c>
      <c r="V200">
        <f>(I200/100)*(MIN(J200,100)/100)</f>
        <v>0</v>
      </c>
      <c r="W200">
        <v>0</v>
      </c>
      <c r="X200">
        <f>1.6 * W200</f>
        <v>0</v>
      </c>
      <c r="Y200">
        <f>$AY$1</f>
        <v>1.3</v>
      </c>
      <c r="Z200">
        <f>V200*Y200+(1-V200)</f>
        <v>1</v>
      </c>
      <c r="AA200">
        <f>(0.795*O200)-0.0014</f>
        <v>0.43585000000000007</v>
      </c>
      <c r="AC200">
        <v>1.5</v>
      </c>
      <c r="AD200">
        <f>1 - EXP(-2*(AC200^2))</f>
        <v>0.9888910034617577</v>
      </c>
      <c r="AE200">
        <f>(104.7*AA200+0.307*Q200-15)*(Q200^0.75)*10^-3</f>
        <v>0.7722651660948706</v>
      </c>
      <c r="AF200">
        <f>AE200*AD200*Z200</f>
        <v>0.7636860750381176</v>
      </c>
      <c r="AG200">
        <f>(AF200 * M200) + (0.045 * X200)</f>
        <v>0.04582116450228706</v>
      </c>
      <c r="AH200">
        <f>$AV$2</f>
        <v>0.08</v>
      </c>
      <c r="AI200">
        <f>(AF200 * ((1 - O200) + (0.04 * AF200))) * ( 1 - AH200 )</f>
        <v>0.33762839936620287</v>
      </c>
      <c r="AJ200">
        <f>$AV$1</f>
        <v>0.19</v>
      </c>
      <c r="AK200">
        <f>$AW$20</f>
        <v>0.6784</v>
      </c>
      <c r="AL200">
        <f>AI200 * AJ200 * R200 * T200 * AK200</f>
        <v>0</v>
      </c>
      <c r="AM200">
        <f>AI200*AJ200*S200*U200*AK200</f>
        <v>0.00020453906577411863</v>
      </c>
      <c r="AN200">
        <f>AL200+AM200</f>
        <v>0.00020453906577411863</v>
      </c>
      <c r="AO200">
        <f>H200*AN200*L200</f>
        <v>2.6129865652643653</v>
      </c>
    </row>
    <row r="201">
      <c r="F201" t="str">
        <v>Autumn</v>
      </c>
      <c r="H201">
        <v>135</v>
      </c>
      <c r="I201">
        <v>0</v>
      </c>
      <c r="J201">
        <v>0</v>
      </c>
      <c r="L201">
        <f>$AV$3</f>
        <v>91.25</v>
      </c>
      <c r="M201">
        <v>0.16</v>
      </c>
      <c r="O201">
        <v>0.7</v>
      </c>
      <c r="Q201">
        <v>40</v>
      </c>
      <c r="R201">
        <f>1-S201</f>
        <v>0</v>
      </c>
      <c r="S201">
        <f>S191</f>
        <v>1</v>
      </c>
      <c r="T201">
        <f>T191</f>
        <v>0.76</v>
      </c>
      <c r="U201">
        <f>$AV$10</f>
        <v>0.0047</v>
      </c>
      <c r="V201">
        <f>(I201/100)*(MIN(J201,100)/100)</f>
        <v>0</v>
      </c>
      <c r="W201">
        <v>0</v>
      </c>
      <c r="X201">
        <f>1.6 * W201</f>
        <v>0</v>
      </c>
      <c r="Y201">
        <f>$AY$1</f>
        <v>1.3</v>
      </c>
      <c r="Z201">
        <f>V201*Y201+(1-V201)</f>
        <v>1</v>
      </c>
      <c r="AA201">
        <f>(0.795*O201)-0.0014</f>
        <v>0.5551</v>
      </c>
      <c r="AC201">
        <v>0.7</v>
      </c>
      <c r="AD201">
        <f>1 - EXP(-2*(AC201^2))</f>
        <v>0.6246889011486004</v>
      </c>
      <c r="AE201">
        <f>(104.7*AA201+0.307*Q201-15)*(Q201^0.75)*10^-3</f>
        <v>0.8811435848968797</v>
      </c>
      <c r="AF201">
        <f>AE201*AD201*Z201</f>
        <v>0.5504406178033703</v>
      </c>
      <c r="AG201">
        <f>(AF201 * M201) + (0.045 * X201)</f>
        <v>0.08807049884853925</v>
      </c>
      <c r="AH201">
        <f>$AV$2</f>
        <v>0.08</v>
      </c>
      <c r="AI201">
        <f>(AF201 * ((1 - O201) + (0.04 * AF201))) * ( 1 - AH201 )</f>
        <v>0.16307145386691163</v>
      </c>
      <c r="AJ201">
        <f>$AV$1</f>
        <v>0.19</v>
      </c>
      <c r="AK201">
        <f>$AW$20</f>
        <v>0.6784</v>
      </c>
      <c r="AL201">
        <f>AI201 * AJ201 * R201 * T201 * AK201</f>
        <v>0</v>
      </c>
      <c r="AM201">
        <f>AI201*AJ201*S201*U201*AK201</f>
        <v>0.00009879051315285838</v>
      </c>
      <c r="AN201">
        <f>AL201+AM201</f>
        <v>0.00009879051315285838</v>
      </c>
      <c r="AO201">
        <f>H201*AN201*L201</f>
        <v>1.216975633901774</v>
      </c>
    </row>
    <row r="202">
      <c r="F202" t="str">
        <v>Winter</v>
      </c>
      <c r="H202">
        <v>130</v>
      </c>
      <c r="I202">
        <v>0</v>
      </c>
      <c r="J202">
        <v>0</v>
      </c>
      <c r="L202">
        <f>$AV$3</f>
        <v>91.25</v>
      </c>
      <c r="M202">
        <v>0.21</v>
      </c>
      <c r="O202">
        <v>0.76</v>
      </c>
      <c r="Q202">
        <v>45</v>
      </c>
      <c r="R202">
        <f>1-S202</f>
        <v>0</v>
      </c>
      <c r="S202">
        <f>S191</f>
        <v>1</v>
      </c>
      <c r="T202">
        <f>T191</f>
        <v>0.76</v>
      </c>
      <c r="U202">
        <f>$AV$10</f>
        <v>0.0047</v>
      </c>
      <c r="V202">
        <f>(I202/100)*(MIN(J202,100)/100)</f>
        <v>0</v>
      </c>
      <c r="W202">
        <v>0</v>
      </c>
      <c r="X202">
        <f>1.6 * W202</f>
        <v>0</v>
      </c>
      <c r="Y202">
        <f>$AY$1</f>
        <v>1.3</v>
      </c>
      <c r="Z202">
        <f>V202*Y202+(1-V202)</f>
        <v>1</v>
      </c>
      <c r="AA202">
        <f>(0.795*O202)-0.0014</f>
        <v>0.6028000000000001</v>
      </c>
      <c r="AC202">
        <v>1.2</v>
      </c>
      <c r="AD202">
        <f>1 - EXP(-2*(AC202^2))</f>
        <v>0.9438652371658662</v>
      </c>
      <c r="AE202">
        <f>(104.7*AA202+0.307*Q202-15)*(Q202^0.75)*10^-3</f>
        <v>1.0759635566592238</v>
      </c>
      <c r="AF202">
        <f>AE202*AD202*Z202</f>
        <v>1.0155645975879872</v>
      </c>
      <c r="AG202">
        <f>(AF202 * M202) + (0.045 * X202)</f>
        <v>0.2132685654934773</v>
      </c>
      <c r="AH202">
        <f>$AV$2</f>
        <v>0.08</v>
      </c>
      <c r="AI202">
        <f>(AF202 * ((1 - O202) + (0.04 * AF202))) * ( 1 - AH202 )</f>
        <v>0.26219113257639265</v>
      </c>
      <c r="AJ202">
        <f>$AV$1</f>
        <v>0.19</v>
      </c>
      <c r="AK202">
        <f>$AW$20</f>
        <v>0.6784</v>
      </c>
      <c r="AL202">
        <f>AI202 * AJ202 * R202 * T202 * AK202</f>
        <v>0</v>
      </c>
      <c r="AM202">
        <f>AI202*AJ202*S202*U202*AK202</f>
        <v>0.00015883832465546355</v>
      </c>
      <c r="AN202">
        <f>AL202+AM202</f>
        <v>0.00015883832465546355</v>
      </c>
      <c r="AO202">
        <f>H202*AN202*L202</f>
        <v>1.8842196262254365</v>
      </c>
    </row>
    <row r="203">
      <c r="E203" t="str">
        <v>Other ewes</v>
      </c>
      <c r="F203" t="str">
        <v>Spring</v>
      </c>
      <c r="H203">
        <v>200</v>
      </c>
      <c r="I203">
        <v>0</v>
      </c>
      <c r="J203">
        <v>0</v>
      </c>
      <c r="L203">
        <f>$AV$3</f>
        <v>91.25</v>
      </c>
      <c r="M203">
        <v>0.18</v>
      </c>
      <c r="O203">
        <v>0.73</v>
      </c>
      <c r="Q203">
        <v>55</v>
      </c>
      <c r="R203">
        <f>1-S203</f>
        <v>0</v>
      </c>
      <c r="S203">
        <f>S191</f>
        <v>1</v>
      </c>
      <c r="T203">
        <f>T191</f>
        <v>0.76</v>
      </c>
      <c r="U203">
        <f>$AV$10</f>
        <v>0.0047</v>
      </c>
      <c r="V203">
        <f>(I203/100)*(MIN(J203,100)/100)</f>
        <v>0</v>
      </c>
      <c r="W203">
        <v>0</v>
      </c>
      <c r="X203">
        <f>1.6 * W203</f>
        <v>0</v>
      </c>
      <c r="Y203">
        <f>$AY$1</f>
        <v>1.3</v>
      </c>
      <c r="Z203">
        <f>V203*Y203+(1-V203)</f>
        <v>1</v>
      </c>
      <c r="AA203">
        <f>(0.795*O203)-0.0014</f>
        <v>0.5789500000000001</v>
      </c>
      <c r="AC203">
        <v>3.5</v>
      </c>
      <c r="AD203">
        <f>1 - EXP(-2*(AC203^2))</f>
        <v>0.9999999999771026</v>
      </c>
      <c r="AE203">
        <f>(104.7*AA203+0.307*Q203-15)*(Q203^0.75)*10^-3</f>
        <v>1.2622908518455234</v>
      </c>
      <c r="AF203">
        <f>AE203*AD203*Z203</f>
        <v>1.2622908518166203</v>
      </c>
      <c r="AG203">
        <f>(AF203 * M203) + (0.045 * X203)</f>
        <v>0.22721235332699163</v>
      </c>
      <c r="AH203">
        <f>$AV$2</f>
        <v>0.08</v>
      </c>
      <c r="AI203">
        <f>(AF203 * ((1 - O203) + (0.04 * AF203))) * ( 1 - AH203 )</f>
        <v>0.3721893651517899</v>
      </c>
      <c r="AJ203">
        <f>$AV$1</f>
        <v>0.19</v>
      </c>
      <c r="AK203">
        <f>$AW$20</f>
        <v>0.6784</v>
      </c>
      <c r="AL203">
        <f>AI203 * AJ203 * R203 * T203 * AK203</f>
        <v>0</v>
      </c>
      <c r="AM203">
        <f>AI203*AJ203*S203*U203*AK203</f>
        <v>0.00022547648592984403</v>
      </c>
      <c r="AN203">
        <f>AL203+AM203</f>
        <v>0.00022547648592984403</v>
      </c>
      <c r="AO203">
        <f>H203*AN203*L203</f>
        <v>4.114945868219654</v>
      </c>
    </row>
    <row r="204">
      <c r="F204" t="str">
        <v>Summer</v>
      </c>
      <c r="H204">
        <v>210</v>
      </c>
      <c r="I204">
        <v>0</v>
      </c>
      <c r="J204">
        <v>0</v>
      </c>
      <c r="L204">
        <f>$AV$3</f>
        <v>91.25</v>
      </c>
      <c r="M204">
        <v>0.06</v>
      </c>
      <c r="O204">
        <v>0.55</v>
      </c>
      <c r="Q204">
        <v>50</v>
      </c>
      <c r="R204">
        <f>1-S204</f>
        <v>0</v>
      </c>
      <c r="S204">
        <f>S191</f>
        <v>1</v>
      </c>
      <c r="T204">
        <f>T191</f>
        <v>0.76</v>
      </c>
      <c r="U204">
        <f>$AV$10</f>
        <v>0.0047</v>
      </c>
      <c r="V204">
        <f>(I204/100)*(MIN(J204,100)/100)</f>
        <v>0</v>
      </c>
      <c r="W204">
        <v>0</v>
      </c>
      <c r="X204">
        <f>1.6 * W204</f>
        <v>0</v>
      </c>
      <c r="Y204">
        <f>$AY$1</f>
        <v>1.3</v>
      </c>
      <c r="Z204">
        <f>V204*Y204+(1-V204)</f>
        <v>1</v>
      </c>
      <c r="AA204">
        <f>(0.795*O204)-0.0014</f>
        <v>0.43585000000000007</v>
      </c>
      <c r="AC204">
        <v>1.5</v>
      </c>
      <c r="AD204">
        <f>1 - EXP(-2*(AC204^2))</f>
        <v>0.9888910034617577</v>
      </c>
      <c r="AE204">
        <f>(104.7*AA204+0.307*Q204-15)*(Q204^0.75)*10^-3</f>
        <v>0.8646283676396137</v>
      </c>
      <c r="AF204">
        <f>AE204*AD204*Z204</f>
        <v>0.8550232140966392</v>
      </c>
      <c r="AG204">
        <f>(AF204 * M204) + (0.045 * X204)</f>
        <v>0.05130139284579835</v>
      </c>
      <c r="AH204">
        <f>$AV$2</f>
        <v>0.08</v>
      </c>
      <c r="AI204">
        <f>(AF204 * ((1 - O204) + (0.04 * AF204))) * ( 1 - AH204 )</f>
        <v>0.38088279147251325</v>
      </c>
      <c r="AJ204">
        <f>$AV$1</f>
        <v>0.19</v>
      </c>
      <c r="AK204">
        <f>$AW$20</f>
        <v>0.6784</v>
      </c>
      <c r="AL204">
        <f>AI204 * AJ204 * R204 * T204 * AK204</f>
        <v>0</v>
      </c>
      <c r="AM204">
        <f>AI204*AJ204*S204*U204*AK204</f>
        <v>0.00023074306096131303</v>
      </c>
      <c r="AN204">
        <f>AL204+AM204</f>
        <v>0.00023074306096131303</v>
      </c>
      <c r="AO204">
        <f>H204*AN204*L204</f>
        <v>4.421613905671161</v>
      </c>
    </row>
    <row r="205">
      <c r="F205" t="str">
        <v>Autumn</v>
      </c>
      <c r="H205">
        <v>190</v>
      </c>
      <c r="I205">
        <v>0</v>
      </c>
      <c r="J205">
        <v>0</v>
      </c>
      <c r="L205">
        <f>$AV$3</f>
        <v>91.25</v>
      </c>
      <c r="M205">
        <v>0.06</v>
      </c>
      <c r="O205">
        <v>0.5</v>
      </c>
      <c r="Q205">
        <v>45</v>
      </c>
      <c r="R205">
        <f>1-S205</f>
        <v>0</v>
      </c>
      <c r="S205">
        <f>S191</f>
        <v>1</v>
      </c>
      <c r="T205">
        <f>T191</f>
        <v>0.76</v>
      </c>
      <c r="U205">
        <f>$AV$10</f>
        <v>0.0047</v>
      </c>
      <c r="V205">
        <f>(I205/100)*(MIN(J205,100)/100)</f>
        <v>0</v>
      </c>
      <c r="W205">
        <v>0</v>
      </c>
      <c r="X205">
        <f>1.6 * W205</f>
        <v>0</v>
      </c>
      <c r="Y205">
        <f>$AY$1</f>
        <v>1.3</v>
      </c>
      <c r="Z205">
        <f>V205*Y205+(1-V205)</f>
        <v>1</v>
      </c>
      <c r="AA205">
        <f>(0.795*O205)-0.0014</f>
        <v>0.3961</v>
      </c>
      <c r="AC205">
        <v>0.7</v>
      </c>
      <c r="AD205">
        <f>1 - EXP(-2*(AC205^2))</f>
        <v>0.6246889011486004</v>
      </c>
      <c r="AE205">
        <f>(104.7*AA205+0.307*Q205-15)*(Q205^0.75)*10^-3</f>
        <v>0.6999560254843102</v>
      </c>
      <c r="AF205">
        <f>AE205*AD205*Z205</f>
        <v>0.4372547604121355</v>
      </c>
      <c r="AG205">
        <f>(AF205 * M205) + (0.045 * X205)</f>
        <v>0.02623528562472813</v>
      </c>
      <c r="AH205">
        <f>$AV$2</f>
        <v>0.08</v>
      </c>
      <c r="AI205">
        <f>(AF205 * ((1 - O205) + (0.04 * AF205))) * ( 1 - AH205 )</f>
        <v>0.2081730452880955</v>
      </c>
      <c r="AJ205">
        <f>$AV$1</f>
        <v>0.19</v>
      </c>
      <c r="AK205">
        <f>$AW$20</f>
        <v>0.6784</v>
      </c>
      <c r="AL205">
        <f>AI205 * AJ205 * R205 * T205 * AK205</f>
        <v>0</v>
      </c>
      <c r="AM205">
        <f>AI205*AJ205*S205*U205*AK205</f>
        <v>0.00012611356237363547</v>
      </c>
      <c r="AN205">
        <f>AL205+AM205</f>
        <v>0.00012611356237363547</v>
      </c>
      <c r="AO205">
        <f>H205*AN205*L205</f>
        <v>2.186493887652905</v>
      </c>
    </row>
    <row r="206">
      <c r="F206" t="str">
        <v>Winter</v>
      </c>
      <c r="H206">
        <v>180</v>
      </c>
      <c r="I206">
        <v>0</v>
      </c>
      <c r="J206">
        <v>0</v>
      </c>
      <c r="L206">
        <f>$AV$3</f>
        <v>91.25</v>
      </c>
      <c r="M206">
        <v>0.21</v>
      </c>
      <c r="O206">
        <v>0.76</v>
      </c>
      <c r="Q206">
        <v>50</v>
      </c>
      <c r="R206">
        <f>1-S206</f>
        <v>0</v>
      </c>
      <c r="S206">
        <f>S191</f>
        <v>1</v>
      </c>
      <c r="T206">
        <f>T191</f>
        <v>0.76</v>
      </c>
      <c r="U206">
        <f>$AV$10</f>
        <v>0.0047</v>
      </c>
      <c r="V206">
        <f>(I206/100)*(MIN(J206,100)/100)</f>
        <v>0</v>
      </c>
      <c r="W206">
        <v>0</v>
      </c>
      <c r="X206">
        <f>1.6 * W206</f>
        <v>0</v>
      </c>
      <c r="Y206">
        <f>$AY$1</f>
        <v>1.3</v>
      </c>
      <c r="Z206">
        <f>V206*Y206+(1-V206)</f>
        <v>1</v>
      </c>
      <c r="AA206">
        <f>(0.795*O206)-0.0014</f>
        <v>0.6028000000000001</v>
      </c>
      <c r="AC206">
        <v>1.2</v>
      </c>
      <c r="AD206">
        <f>1 - EXP(-2*(AC206^2))</f>
        <v>0.9438652371658662</v>
      </c>
      <c r="AE206">
        <f>(104.7*AA206+0.307*Q206-15)*(Q206^0.75)*10^-3</f>
        <v>1.1932987789651837</v>
      </c>
      <c r="AF206">
        <f>AE206*AD206*Z206</f>
        <v>1.1263132350177116</v>
      </c>
      <c r="AG206">
        <f>(AF206 * M206) + (0.045 * X206)</f>
        <v>0.23652577935371943</v>
      </c>
      <c r="AH206">
        <f>$AV$2</f>
        <v>0.08</v>
      </c>
      <c r="AI206">
        <f>(AF206 * ((1 - O206) + (0.04 * AF206))) * ( 1 - AH206 )</f>
        <v>0.29537376161614987</v>
      </c>
      <c r="AJ206">
        <f>$AV$1</f>
        <v>0.19</v>
      </c>
      <c r="AK206">
        <f>$AW$20</f>
        <v>0.6784</v>
      </c>
      <c r="AL206">
        <f>AI206 * AJ206 * R206 * T206 * AK206</f>
        <v>0</v>
      </c>
      <c r="AM206">
        <f>AI206*AJ206*S206*U206*AK206</f>
        <v>0.00017894073297319371</v>
      </c>
      <c r="AN206">
        <f>AL206+AM206</f>
        <v>0.00017894073297319371</v>
      </c>
      <c r="AO206">
        <f>H206*AN206*L206</f>
        <v>2.9391015390847066</v>
      </c>
    </row>
    <row r="207">
      <c r="E207" t="str">
        <v>Rams</v>
      </c>
      <c r="F207" t="str">
        <v>Spring</v>
      </c>
      <c r="H207">
        <v>50</v>
      </c>
      <c r="I207">
        <v>0</v>
      </c>
      <c r="J207">
        <v>0</v>
      </c>
      <c r="L207">
        <f>$AV$3</f>
        <v>91.25</v>
      </c>
      <c r="M207">
        <v>0.18</v>
      </c>
      <c r="O207">
        <v>0.73</v>
      </c>
      <c r="Q207">
        <v>75</v>
      </c>
      <c r="R207">
        <f>1-S207</f>
        <v>0</v>
      </c>
      <c r="S207">
        <f>S191</f>
        <v>1</v>
      </c>
      <c r="T207">
        <f>T191</f>
        <v>0.76</v>
      </c>
      <c r="U207">
        <f>$AV$10</f>
        <v>0.0047</v>
      </c>
      <c r="V207">
        <f>(I207/100)*(MIN(J207,100)/100)</f>
        <v>0</v>
      </c>
      <c r="W207">
        <v>0</v>
      </c>
      <c r="X207">
        <f>1.6 * W207</f>
        <v>0</v>
      </c>
      <c r="Y207">
        <f>$AY$1</f>
        <v>1.3</v>
      </c>
      <c r="Z207">
        <f>V207*Y207+(1-V207)</f>
        <v>1</v>
      </c>
      <c r="AA207">
        <f>(0.795*O207)-0.0014</f>
        <v>0.5789500000000001</v>
      </c>
      <c r="AC207">
        <v>3.5</v>
      </c>
      <c r="AD207">
        <f>1 - EXP(-2*(AC207^2))</f>
        <v>0.9999999999771026</v>
      </c>
      <c r="AE207">
        <f>(104.7*AA207+0.307*Q207-15)*(Q207^0.75)*10^-3</f>
        <v>1.7493630967264082</v>
      </c>
      <c r="AF207">
        <f>AE207*AD207*Z207</f>
        <v>1.7493630966863525</v>
      </c>
      <c r="AG207">
        <f>(AF207 * M207) + (0.045 * X207)</f>
        <v>0.31488535740354345</v>
      </c>
      <c r="AH207">
        <f>$AV$2</f>
        <v>0.08</v>
      </c>
      <c r="AI207">
        <f>(AF207 * ((1 - O207) + (0.04 * AF207))) * ( 1 - AH207 )</f>
        <v>0.5471597749978587</v>
      </c>
      <c r="AJ207">
        <f>$AV$1</f>
        <v>0.19</v>
      </c>
      <c r="AK207">
        <f>$AW$20</f>
        <v>0.6784</v>
      </c>
      <c r="AL207">
        <f>AI207 * AJ207 * R207 * T207 * AK207</f>
        <v>0</v>
      </c>
      <c r="AM207">
        <f>AI207*AJ207*S207*U207*AK207</f>
        <v>0.0003314755198831828</v>
      </c>
      <c r="AN207">
        <f>AL207+AM207</f>
        <v>0.0003314755198831828</v>
      </c>
      <c r="AO207">
        <f>H207*AN207*L207</f>
        <v>1.5123570594670215</v>
      </c>
    </row>
    <row r="208">
      <c r="F208" t="str">
        <v>Summer</v>
      </c>
      <c r="H208">
        <v>55</v>
      </c>
      <c r="I208">
        <v>0</v>
      </c>
      <c r="J208">
        <v>0</v>
      </c>
      <c r="L208">
        <f>$AV$3</f>
        <v>91.25</v>
      </c>
      <c r="M208">
        <v>0.06</v>
      </c>
      <c r="O208">
        <v>0.55</v>
      </c>
      <c r="Q208">
        <v>65</v>
      </c>
      <c r="R208">
        <f>1-S208</f>
        <v>0</v>
      </c>
      <c r="S208">
        <f>S191</f>
        <v>1</v>
      </c>
      <c r="T208">
        <f>T191</f>
        <v>0.76</v>
      </c>
      <c r="U208">
        <f>$AV$10</f>
        <v>0.0047</v>
      </c>
      <c r="V208">
        <f>(I208/100)*(MIN(J208,100)/100)</f>
        <v>0</v>
      </c>
      <c r="W208">
        <v>0</v>
      </c>
      <c r="X208">
        <f>1.6 * W208</f>
        <v>0</v>
      </c>
      <c r="Y208">
        <f>$AY$1</f>
        <v>1.3</v>
      </c>
      <c r="Z208">
        <f>V208*Y208+(1-V208)</f>
        <v>1</v>
      </c>
      <c r="AA208">
        <f>(0.795*O208)-0.0014</f>
        <v>0.43585000000000007</v>
      </c>
      <c r="AC208">
        <v>1.5</v>
      </c>
      <c r="AD208">
        <f>1 - EXP(-2*(AC208^2))</f>
        <v>0.9888910034617577</v>
      </c>
      <c r="AE208">
        <f>(104.7*AA208+0.307*Q208-15)*(Q208^0.75)*10^-3</f>
        <v>1.1580752413958724</v>
      </c>
      <c r="AF208">
        <f>AE208*AD208*Z208</f>
        <v>1.1452101875481815</v>
      </c>
      <c r="AG208">
        <f>(AF208 * M208) + (0.045 * X208)</f>
        <v>0.06871261125289088</v>
      </c>
      <c r="AH208">
        <f>$AV$2</f>
        <v>0.08</v>
      </c>
      <c r="AI208">
        <f>(AF208 * ((1 - O208) + (0.04 * AF208))) * ( 1 - AH208 )</f>
        <v>0.5223804521957875</v>
      </c>
      <c r="AJ208">
        <f>$AV$1</f>
        <v>0.19</v>
      </c>
      <c r="AK208">
        <f>$AW$20</f>
        <v>0.6784</v>
      </c>
      <c r="AL208">
        <f>AI208 * AJ208 * R208 * T208 * AK208</f>
        <v>0</v>
      </c>
      <c r="AM208">
        <f>AI208*AJ208*S208*U208*AK208</f>
        <v>0.0003164639286012727</v>
      </c>
      <c r="AN208">
        <f>AL208+AM208</f>
        <v>0.0003164639286012727</v>
      </c>
      <c r="AO208">
        <f>H208*AN208*L208</f>
        <v>1.5882533416676372</v>
      </c>
    </row>
    <row r="209">
      <c r="F209" t="str">
        <v>Autumn</v>
      </c>
      <c r="H209">
        <v>60</v>
      </c>
      <c r="I209">
        <v>0</v>
      </c>
      <c r="J209">
        <v>0</v>
      </c>
      <c r="L209">
        <f>$AV$3</f>
        <v>91.25</v>
      </c>
      <c r="M209">
        <v>0.06</v>
      </c>
      <c r="O209">
        <v>0.5</v>
      </c>
      <c r="Q209">
        <v>65</v>
      </c>
      <c r="R209">
        <f>1-S209</f>
        <v>0</v>
      </c>
      <c r="S209">
        <f>S191</f>
        <v>1</v>
      </c>
      <c r="T209">
        <f>T191</f>
        <v>0.76</v>
      </c>
      <c r="U209">
        <f>$AV$10</f>
        <v>0.0047</v>
      </c>
      <c r="V209">
        <f>(I209/100)*(MIN(J209,100)/100)</f>
        <v>0</v>
      </c>
      <c r="W209">
        <v>0</v>
      </c>
      <c r="X209">
        <f>1.6 * W209</f>
        <v>0</v>
      </c>
      <c r="Y209">
        <f>$AY$1</f>
        <v>1.3</v>
      </c>
      <c r="Z209">
        <f>V209*Y209+(1-V209)</f>
        <v>1</v>
      </c>
      <c r="AA209">
        <f>(0.795*O209)-0.0014</f>
        <v>0.3961</v>
      </c>
      <c r="AC209">
        <v>0.7</v>
      </c>
      <c r="AD209">
        <f>1 - EXP(-2*(AC209^2))</f>
        <v>0.6246889011486004</v>
      </c>
      <c r="AE209">
        <f>(104.7*AA209+0.307*Q209-15)*(Q209^0.75)*10^-3</f>
        <v>1.0628024626440558</v>
      </c>
      <c r="AF209">
        <f>AE209*AD209*Z209</f>
        <v>0.6639209025271416</v>
      </c>
      <c r="AG209">
        <f>(AF209 * M209) + (0.045 * X209)</f>
        <v>0.039835254151628495</v>
      </c>
      <c r="AH209">
        <f>$AV$2</f>
        <v>0.08</v>
      </c>
      <c r="AI209">
        <f>(AF209 * ((1 - O209) + (0.04 * AF209))) * ( 1 - AH209 )</f>
        <v>0.3216247226675835</v>
      </c>
      <c r="AJ209">
        <f>$AV$1</f>
        <v>0.19</v>
      </c>
      <c r="AK209">
        <f>$AW$20</f>
        <v>0.6784</v>
      </c>
      <c r="AL209">
        <f>AI209 * AJ209 * R209 * T209 * AK209</f>
        <v>0</v>
      </c>
      <c r="AM209">
        <f>AI209*AJ209*S209*U209*AK209</f>
        <v>0.00019484385918891597</v>
      </c>
      <c r="AN209">
        <f>AL209+AM209</f>
        <v>0.00019484385918891597</v>
      </c>
      <c r="AO209">
        <f>H209*AN209*L209</f>
        <v>1.066770129059315</v>
      </c>
    </row>
    <row r="210">
      <c r="F210" t="str">
        <v>Winter</v>
      </c>
      <c r="H210">
        <v>65</v>
      </c>
      <c r="I210">
        <v>0</v>
      </c>
      <c r="J210">
        <v>0</v>
      </c>
      <c r="L210">
        <f>$AV$3</f>
        <v>91.25</v>
      </c>
      <c r="M210">
        <v>0.21</v>
      </c>
      <c r="O210">
        <v>0.76</v>
      </c>
      <c r="Q210">
        <v>65</v>
      </c>
      <c r="R210">
        <f>1-S210</f>
        <v>0</v>
      </c>
      <c r="S210">
        <f>S191</f>
        <v>1</v>
      </c>
      <c r="T210">
        <f>T191</f>
        <v>0.76</v>
      </c>
      <c r="U210">
        <f>$AV$10</f>
        <v>0.0047</v>
      </c>
      <c r="V210">
        <f>(I210/100)*(MIN(J210,100)/100)</f>
        <v>0</v>
      </c>
      <c r="W210">
        <v>0</v>
      </c>
      <c r="X210">
        <f>1.6 * W210</f>
        <v>0</v>
      </c>
      <c r="Y210">
        <f>$AY$1</f>
        <v>1.3</v>
      </c>
      <c r="Z210">
        <f>V210*Y210+(1-V210)</f>
        <v>1</v>
      </c>
      <c r="AA210">
        <f>(0.795*O210)-0.0014</f>
        <v>0.6028000000000001</v>
      </c>
      <c r="AC210">
        <v>1.2</v>
      </c>
      <c r="AD210">
        <f>1 - EXP(-2*(AC210^2))</f>
        <v>0.9438652371658662</v>
      </c>
      <c r="AE210">
        <f>(104.7*AA210+0.307*Q210-15)*(Q210^0.75)*10^-3</f>
        <v>1.5582209121535018</v>
      </c>
      <c r="AF210">
        <f>AE210*AD210*Z210</f>
        <v>1.4707505508065775</v>
      </c>
      <c r="AG210">
        <f>(AF210 * M210) + (0.045 * X210)</f>
        <v>0.30885761566938125</v>
      </c>
      <c r="AH210">
        <f>$AV$2</f>
        <v>0.08</v>
      </c>
      <c r="AI210">
        <f>(AF210 * ((1 - O210) + (0.04 * AF210))) * ( 1 - AH210 )</f>
        <v>0.4043440659413733</v>
      </c>
      <c r="AJ210">
        <f>$AV$1</f>
        <v>0.19</v>
      </c>
      <c r="AK210">
        <f>$AW$20</f>
        <v>0.6784</v>
      </c>
      <c r="AL210">
        <f>AI210 * AJ210 * R210 * T210 * AK210</f>
        <v>0</v>
      </c>
      <c r="AM210">
        <f>AI210*AJ210*S210*U210*AK210</f>
        <v>0.0002449561638008225</v>
      </c>
      <c r="AN210">
        <f>AL210+AM210</f>
        <v>0.0002449561638008225</v>
      </c>
      <c r="AO210">
        <f>H210*AN210*L210</f>
        <v>1.4528962465436284</v>
      </c>
    </row>
    <row r="211">
      <c r="E211" t="str">
        <v>Wethers</v>
      </c>
      <c r="F211" t="str">
        <v>Spring</v>
      </c>
      <c r="H211">
        <v>50</v>
      </c>
      <c r="I211">
        <v>0</v>
      </c>
      <c r="J211">
        <v>0</v>
      </c>
      <c r="L211">
        <f>$AV$3</f>
        <v>91.25</v>
      </c>
      <c r="M211">
        <v>0.18</v>
      </c>
      <c r="O211">
        <v>0.73</v>
      </c>
      <c r="Q211">
        <v>60</v>
      </c>
      <c r="R211">
        <f>1-S211</f>
        <v>0</v>
      </c>
      <c r="S211">
        <f>S191</f>
        <v>1</v>
      </c>
      <c r="T211">
        <f>T191</f>
        <v>0.76</v>
      </c>
      <c r="U211">
        <f>$AV$10</f>
        <v>0.0047</v>
      </c>
      <c r="V211">
        <f>(I211/100)*(MIN(J211,100)/100)</f>
        <v>0</v>
      </c>
      <c r="W211">
        <v>0</v>
      </c>
      <c r="X211">
        <f>1.6 * W211</f>
        <v>0</v>
      </c>
      <c r="Y211">
        <f>$AY$1</f>
        <v>1.3</v>
      </c>
      <c r="Z211">
        <f>V211*Y211+(1-V211)</f>
        <v>1</v>
      </c>
      <c r="AA211">
        <f>(0.795*O211)-0.0014</f>
        <v>0.5789500000000001</v>
      </c>
      <c r="AC211">
        <v>3.5</v>
      </c>
      <c r="AD211">
        <f>1 - EXP(-2*(AC211^2))</f>
        <v>0.9999999999771026</v>
      </c>
      <c r="AE211">
        <f>(104.7*AA211+0.307*Q211-15)*(Q211^0.75)*10^-3</f>
        <v>1.38050528810612</v>
      </c>
      <c r="AF211">
        <f>AE211*AD211*Z211</f>
        <v>1.3805052880745101</v>
      </c>
      <c r="AG211">
        <f>(AF211 * M211) + (0.045 * X211)</f>
        <v>0.2484909518534118</v>
      </c>
      <c r="AH211">
        <f>$AV$2</f>
        <v>0.08</v>
      </c>
      <c r="AI211">
        <f>(AF211 * ((1 - O211) + (0.04 * AF211))) * ( 1 - AH211 )</f>
        <v>0.41305076405249036</v>
      </c>
      <c r="AJ211">
        <f>$AV$1</f>
        <v>0.19</v>
      </c>
      <c r="AK211">
        <f>$AW$20</f>
        <v>0.6784</v>
      </c>
      <c r="AL211">
        <f>AI211 * AJ211 * R211 * T211 * AK211</f>
        <v>0</v>
      </c>
      <c r="AM211">
        <f>AI211*AJ211*S211*U211*AK211</f>
        <v>0.00025023077903155606</v>
      </c>
      <c r="AN211">
        <f>AL211+AM211</f>
        <v>0.00025023077903155606</v>
      </c>
      <c r="AO211">
        <f>H211*AN211*L211</f>
        <v>1.1416779293314745</v>
      </c>
    </row>
    <row r="212">
      <c r="F212" t="str">
        <v>Summer</v>
      </c>
      <c r="H212">
        <v>100</v>
      </c>
      <c r="I212">
        <v>0</v>
      </c>
      <c r="J212">
        <v>0</v>
      </c>
      <c r="L212">
        <f>$AV$3</f>
        <v>91.25</v>
      </c>
      <c r="M212">
        <v>0.06</v>
      </c>
      <c r="O212">
        <v>0.55</v>
      </c>
      <c r="Q212">
        <v>55</v>
      </c>
      <c r="R212">
        <f>1-S212</f>
        <v>0</v>
      </c>
      <c r="S212">
        <f>S191</f>
        <v>1</v>
      </c>
      <c r="T212">
        <f>T191</f>
        <v>0.76</v>
      </c>
      <c r="U212">
        <f>$AV$10</f>
        <v>0.0047</v>
      </c>
      <c r="V212">
        <f>(I212/100)*(MIN(J212,100)/100)</f>
        <v>0</v>
      </c>
      <c r="W212">
        <v>0</v>
      </c>
      <c r="X212">
        <f>1.6 * W212</f>
        <v>0</v>
      </c>
      <c r="Y212">
        <f>$AY$1</f>
        <v>1.3</v>
      </c>
      <c r="Z212">
        <f>V212*Y212+(1-V212)</f>
        <v>1</v>
      </c>
      <c r="AA212">
        <f>(0.795*O212)-0.0014</f>
        <v>0.43585000000000007</v>
      </c>
      <c r="AC212">
        <v>1.5</v>
      </c>
      <c r="AD212">
        <f>1 - EXP(-2*(AC212^2))</f>
        <v>0.9888910034617577</v>
      </c>
      <c r="AE212">
        <f>(104.7*AA212+0.307*Q212-15)*(Q212^0.75)*10^-3</f>
        <v>0.9596982312536153</v>
      </c>
      <c r="AF212">
        <f>AE212*AD212*Z212</f>
        <v>0.9490369469248616</v>
      </c>
      <c r="AG212">
        <f>(AF212 * M212) + (0.045 * X212)</f>
        <v>0.05694221681549169</v>
      </c>
      <c r="AH212">
        <f>$AV$2</f>
        <v>0.08</v>
      </c>
      <c r="AI212">
        <f>(AF212 * ((1 - O212) + (0.04 * AF212))) * ( 1 - AH212 )</f>
        <v>0.4260459934868201</v>
      </c>
      <c r="AJ212">
        <f>$AV$1</f>
        <v>0.19</v>
      </c>
      <c r="AK212">
        <f>$AW$20</f>
        <v>0.6784</v>
      </c>
      <c r="AL212">
        <f>AI212 * AJ212 * R212 * T212 * AK212</f>
        <v>0</v>
      </c>
      <c r="AM212">
        <f>AI212*AJ212*S212*U212*AK212</f>
        <v>0.0002581034345694427</v>
      </c>
      <c r="AN212">
        <f>AL212+AM212</f>
        <v>0.0002581034345694427</v>
      </c>
      <c r="AO212">
        <f>H212*AN212*L212</f>
        <v>2.3551938404461645</v>
      </c>
    </row>
    <row r="213">
      <c r="F213" t="str">
        <v>Autumn</v>
      </c>
      <c r="H213">
        <v>90</v>
      </c>
      <c r="I213">
        <v>0</v>
      </c>
      <c r="J213">
        <v>0</v>
      </c>
      <c r="L213">
        <f>$AV$3</f>
        <v>91.25</v>
      </c>
      <c r="M213">
        <v>0.06</v>
      </c>
      <c r="O213">
        <v>0.5</v>
      </c>
      <c r="Q213">
        <v>48</v>
      </c>
      <c r="R213">
        <f>1-S213</f>
        <v>0</v>
      </c>
      <c r="S213">
        <f>S191</f>
        <v>1</v>
      </c>
      <c r="T213">
        <f>T191</f>
        <v>0.76</v>
      </c>
      <c r="U213">
        <f>$AV$10</f>
        <v>0.0047</v>
      </c>
      <c r="V213">
        <f>(I213/100)*(MIN(J213,100)/100)</f>
        <v>0</v>
      </c>
      <c r="W213">
        <v>0</v>
      </c>
      <c r="X213">
        <f>1.6 * W213</f>
        <v>0</v>
      </c>
      <c r="Y213">
        <f>$AY$1</f>
        <v>1.3</v>
      </c>
      <c r="Z213">
        <f>V213*Y213+(1-V213)</f>
        <v>1</v>
      </c>
      <c r="AA213">
        <f>(0.795*O213)-0.0014</f>
        <v>0.3961</v>
      </c>
      <c r="AC213">
        <v>0.7</v>
      </c>
      <c r="AD213">
        <f>1 - EXP(-2*(AC213^2))</f>
        <v>0.6246889011486004</v>
      </c>
      <c r="AE213">
        <f>(104.7*AA213+0.307*Q213-15)*(Q213^0.75)*10^-3</f>
        <v>0.7514653965253099</v>
      </c>
      <c r="AF213">
        <f>AE213*AD213*Z213</f>
        <v>0.4694320928065931</v>
      </c>
      <c r="AG213">
        <f>(AF213 * M213) + (0.045 * X213)</f>
        <v>0.028165925568395585</v>
      </c>
      <c r="AH213">
        <f>$AV$2</f>
        <v>0.08</v>
      </c>
      <c r="AI213">
        <f>(AF213 * ((1 - O213) + (0.04 * AF213))) * ( 1 - AH213 )</f>
        <v>0.22404824951408225</v>
      </c>
      <c r="AJ213">
        <f>$AV$1</f>
        <v>0.19</v>
      </c>
      <c r="AK213">
        <f>$AW$20</f>
        <v>0.6784</v>
      </c>
      <c r="AL213">
        <f>AI213 * AJ213 * R213 * T213 * AK213</f>
        <v>0</v>
      </c>
      <c r="AM213">
        <f>AI213*AJ213*S213*U213*AK213</f>
        <v>0.0001357309388960256</v>
      </c>
      <c r="AN213">
        <f>AL213+AM213</f>
        <v>0.0001357309388960256</v>
      </c>
      <c r="AO213">
        <f>H213*AN213*L213</f>
        <v>1.1146903356836102</v>
      </c>
    </row>
    <row r="214">
      <c r="F214" t="str">
        <v>Winter</v>
      </c>
      <c r="H214">
        <v>80</v>
      </c>
      <c r="I214">
        <v>0</v>
      </c>
      <c r="J214">
        <v>0</v>
      </c>
      <c r="L214">
        <f>$AV$3</f>
        <v>91.25</v>
      </c>
      <c r="M214">
        <v>0.21</v>
      </c>
      <c r="O214">
        <v>0.76</v>
      </c>
      <c r="Q214">
        <v>48</v>
      </c>
      <c r="R214">
        <f>1-S214</f>
        <v>0</v>
      </c>
      <c r="S214">
        <f>S191</f>
        <v>1</v>
      </c>
      <c r="T214">
        <f>T191</f>
        <v>0.76</v>
      </c>
      <c r="U214">
        <f>$AV$10</f>
        <v>0.0047</v>
      </c>
      <c r="V214">
        <f>(I214/100)*(MIN(J214,100)/100)</f>
        <v>0</v>
      </c>
      <c r="W214">
        <v>0</v>
      </c>
      <c r="X214">
        <f>1.6 * W214</f>
        <v>0</v>
      </c>
      <c r="Y214">
        <f>$AY$1</f>
        <v>1.3</v>
      </c>
      <c r="Z214">
        <f>V214*Y214+(1-V214)</f>
        <v>1</v>
      </c>
      <c r="AA214">
        <f>(0.795*O214)-0.0014</f>
        <v>0.6028000000000001</v>
      </c>
      <c r="AC214">
        <v>1.2</v>
      </c>
      <c r="AD214">
        <f>1 - EXP(-2*(AC214^2))</f>
        <v>0.9438652371658662</v>
      </c>
      <c r="AE214">
        <f>(104.7*AA214+0.307*Q214-15)*(Q214^0.75)*10^-3</f>
        <v>1.14612082994944</v>
      </c>
      <c r="AF214">
        <f>AE214*AD214*Z214</f>
        <v>1.0817836089809678</v>
      </c>
      <c r="AG214">
        <f>(AF214 * M214) + (0.045 * X214)</f>
        <v>0.22717455788600324</v>
      </c>
      <c r="AH214">
        <f>$AV$2</f>
        <v>0.08</v>
      </c>
      <c r="AI214">
        <f>(AF214 * ((1 - O214) + (0.04 * AF214))) * ( 1 - AH214 )</f>
        <v>0.2819232334440816</v>
      </c>
      <c r="AJ214">
        <f>$AV$1</f>
        <v>0.19</v>
      </c>
      <c r="AK214">
        <f>$AW$20</f>
        <v>0.6784</v>
      </c>
      <c r="AL214">
        <f>AI214 * AJ214 * R214 * T214 * AK214</f>
        <v>0</v>
      </c>
      <c r="AM214">
        <f>AI214*AJ214*S214*U214*AK214</f>
        <v>0.00017079225236063924</v>
      </c>
      <c r="AN214">
        <f>AL214+AM214</f>
        <v>0.00017079225236063924</v>
      </c>
      <c r="AO214">
        <f>H214*AN214*L214</f>
        <v>1.2467834422326665</v>
      </c>
    </row>
    <row r="231">
      <c r="A231" t="str">
        <v>VIC</v>
      </c>
      <c r="B231" t="str">
        <v>VIC</v>
      </c>
      <c r="C231" t="str">
        <v>VIC</v>
      </c>
      <c r="D231" t="str">
        <v>no</v>
      </c>
      <c r="E231" t="str">
        <v>Breeding Ewes</v>
      </c>
      <c r="F231" t="str">
        <v>Summer</v>
      </c>
      <c r="G231" t="str">
        <v>January</v>
      </c>
      <c r="H231">
        <v>100</v>
      </c>
      <c r="I231">
        <v>0</v>
      </c>
      <c r="J231">
        <v>0</v>
      </c>
      <c r="L231">
        <v>31</v>
      </c>
      <c r="M231">
        <f>Tables!CC39</f>
        <v>0.07</v>
      </c>
      <c r="N231">
        <v>0.5</v>
      </c>
      <c r="O231">
        <v>0.5</v>
      </c>
      <c r="Q231">
        <f>Tables!CC97</f>
        <v>50</v>
      </c>
      <c r="R231">
        <f>1-S231</f>
        <v>0.008299999999999974</v>
      </c>
      <c r="S231">
        <f>IF($D231="yes", 1, VLOOKUP($B231, $AU$26:$AW$32, 2)/100)</f>
        <v>0.9917</v>
      </c>
      <c r="T231">
        <f>VLOOKUP($B231,$AW$10:$AX$16, 2, FALSE)</f>
        <v>0.73</v>
      </c>
      <c r="U231">
        <f>$AV$10</f>
        <v>0.0047</v>
      </c>
      <c r="V231">
        <f>(I231/100)*(MIN(J231,100)/100)</f>
        <v>0</v>
      </c>
      <c r="W231">
        <v>0</v>
      </c>
      <c r="X231">
        <f>1.6 * W231</f>
        <v>0</v>
      </c>
      <c r="Y231">
        <f>$AY$1</f>
        <v>1.3</v>
      </c>
      <c r="Z231">
        <f>V231*Y231+(1-V231)</f>
        <v>1</v>
      </c>
      <c r="AA231">
        <f>(0.795*O231)-0.0014</f>
        <v>0.3961</v>
      </c>
      <c r="AC231">
        <f>Tables!CC168</f>
        <v>3</v>
      </c>
      <c r="AD231">
        <f>1 - EXP(-2*(AC231^2))</f>
        <v>0.9999999847700203</v>
      </c>
      <c r="AE231">
        <f>(104.7*AA231+0.307*Q231-15)*(Q231^0.75)*10^-3</f>
        <v>0.7863735078001921</v>
      </c>
      <c r="AF231">
        <f>AE231*AD231*Z231</f>
        <v>0.7863734958237395</v>
      </c>
      <c r="AG231">
        <f>(AF231 * M231) + (0.045 * X231)</f>
        <v>0.05504614470766177</v>
      </c>
      <c r="AH231">
        <f>$AV$2</f>
        <v>0.08</v>
      </c>
      <c r="AI231">
        <f>(AF231 * ((1 - O231) + (0.04 * AF231))) * ( 1 - AH231 )</f>
        <v>0.38448831259649313</v>
      </c>
      <c r="AJ231">
        <f>$AV$1</f>
        <v>0.19</v>
      </c>
      <c r="AK231">
        <f>$AW$20</f>
        <v>0.6784</v>
      </c>
      <c r="AL231">
        <f>AI231 * AJ231 * R231 * T231 * AK231</f>
        <v>0.0003002780145695103</v>
      </c>
      <c r="AM231">
        <f>AI231*AJ231*S231*U231*AK231</f>
        <v>0.0002309940292339242</v>
      </c>
      <c r="AN231">
        <f>AL231+AM231</f>
        <v>0.0005312720438034346</v>
      </c>
      <c r="AO231">
        <f>H231*AN231*L231</f>
        <v>1.6469433357906471</v>
      </c>
      <c r="AP231">
        <f>SUM(AO231:AO278)*10^-3</f>
        <v>0.044522267073324906</v>
      </c>
    </row>
    <row r="232">
      <c r="F232" t="str">
        <v>Summer</v>
      </c>
      <c r="G232" t="str">
        <v>February</v>
      </c>
      <c r="H232">
        <v>95</v>
      </c>
      <c r="I232">
        <v>0</v>
      </c>
      <c r="J232">
        <v>0</v>
      </c>
      <c r="L232">
        <v>28</v>
      </c>
      <c r="M232">
        <f>Tables!CC39</f>
        <v>0.07</v>
      </c>
      <c r="N232">
        <v>0.45</v>
      </c>
      <c r="O232">
        <v>0.45</v>
      </c>
      <c r="Q232">
        <f>Tables!CC97</f>
        <v>50</v>
      </c>
      <c r="R232">
        <f>1-S232</f>
        <v>0.008299999999999974</v>
      </c>
      <c r="S232">
        <f>S231</f>
        <v>0.9917</v>
      </c>
      <c r="T232">
        <f>T231</f>
        <v>0.73</v>
      </c>
      <c r="U232">
        <f>$AV$10</f>
        <v>0.0047</v>
      </c>
      <c r="V232">
        <f>(I232/100)*(MIN(J232,100)/100)</f>
        <v>0</v>
      </c>
      <c r="W232">
        <v>0</v>
      </c>
      <c r="X232">
        <f>1.6 * W232</f>
        <v>0</v>
      </c>
      <c r="Y232">
        <f>$AY$1</f>
        <v>1.3</v>
      </c>
      <c r="Z232">
        <f>V232*Y232+(1-V232)</f>
        <v>1</v>
      </c>
      <c r="AA232">
        <f>(0.795*O232)-0.0014</f>
        <v>0.35635</v>
      </c>
      <c r="AC232">
        <f>Tables!CC168</f>
        <v>3</v>
      </c>
      <c r="AD232">
        <f>1 - EXP(-2*(AC232^2))</f>
        <v>0.9999999847700203</v>
      </c>
      <c r="AE232">
        <f>(104.7*AA232+0.307*Q232-15)*(Q232^0.75)*10^-3</f>
        <v>0.7081186479607708</v>
      </c>
      <c r="AF232">
        <f>AE232*AD232*Z232</f>
        <v>0.7081186371761382</v>
      </c>
      <c r="AG232">
        <f>(AF232 * M232) + (0.045 * X232)</f>
        <v>0.04956830460232968</v>
      </c>
      <c r="AH232">
        <f>$AV$2</f>
        <v>0.08</v>
      </c>
      <c r="AI232">
        <f>(AF232 * ((1 - O232) + (0.04 * AF232))) * ( 1 - AH232 )</f>
        <v>0.3767607281699618</v>
      </c>
      <c r="AJ232">
        <f>$AV$1</f>
        <v>0.19</v>
      </c>
      <c r="AK232">
        <f>$AW$20</f>
        <v>0.6784</v>
      </c>
      <c r="AL232">
        <f>AI232 * AJ232 * R232 * T232 * AK232</f>
        <v>0.00029424291900744497</v>
      </c>
      <c r="AM232">
        <f>AI232*AJ232*S232*U232*AK232</f>
        <v>0.00022635142813410056</v>
      </c>
      <c r="AN232">
        <f>AL232+AM232</f>
        <v>0.0005205943471415455</v>
      </c>
      <c r="AO232">
        <f>H232*AN232*L232</f>
        <v>1.3847809633965111</v>
      </c>
    </row>
    <row r="233">
      <c r="F233" t="str">
        <v>Autumn</v>
      </c>
      <c r="G233" t="str">
        <v>March</v>
      </c>
      <c r="H233">
        <v>90</v>
      </c>
      <c r="I233">
        <v>0</v>
      </c>
      <c r="J233">
        <v>0</v>
      </c>
      <c r="L233">
        <v>31</v>
      </c>
      <c r="M233">
        <f>Tables!CC40</f>
        <v>0.13</v>
      </c>
      <c r="N233">
        <v>0.4</v>
      </c>
      <c r="O233">
        <v>0.4</v>
      </c>
      <c r="Q233">
        <f>Tables!CC98</f>
        <v>48</v>
      </c>
      <c r="R233">
        <f>1-S233</f>
        <v>0.008299999999999974</v>
      </c>
      <c r="S233">
        <f>S231</f>
        <v>0.9917</v>
      </c>
      <c r="T233">
        <f>T231</f>
        <v>0.73</v>
      </c>
      <c r="U233">
        <f>$AV$10</f>
        <v>0.0047</v>
      </c>
      <c r="V233">
        <f>(I233/100)*(MIN(J233,100)/100)</f>
        <v>0</v>
      </c>
      <c r="W233">
        <v>0</v>
      </c>
      <c r="X233">
        <f>1.6 * W233</f>
        <v>0</v>
      </c>
      <c r="Y233">
        <f>$AY$1</f>
        <v>1.3</v>
      </c>
      <c r="Z233">
        <f>V233*Y233+(1-V233)</f>
        <v>1</v>
      </c>
      <c r="AA233">
        <f>(0.795*O233)-0.0014</f>
        <v>0.31660000000000005</v>
      </c>
      <c r="AC233">
        <f>Tables!CC169</f>
        <v>1.8</v>
      </c>
      <c r="AD233">
        <f>1 - EXP(-2*(AC233^2))</f>
        <v>0.9984661893206755</v>
      </c>
      <c r="AE233">
        <f>(104.7*AA233+0.307*Q233-15)*(Q233^0.75)*10^-3</f>
        <v>0.5996748452083367</v>
      </c>
      <c r="AF233">
        <f>AE233*AD233*Z233</f>
        <v>0.5987550575266339</v>
      </c>
      <c r="AG233">
        <f>(AF233 * M233) + (0.045 * X233)</f>
        <v>0.07783815747846241</v>
      </c>
      <c r="AH233">
        <f>$AV$2</f>
        <v>0.08</v>
      </c>
      <c r="AI233">
        <f>(AF233 * ((1 - O233) + (0.04 * AF233))) * ( 1 - AH233 )</f>
        <v>0.3437058721307269</v>
      </c>
      <c r="AJ233">
        <f>$AV$1</f>
        <v>0.19</v>
      </c>
      <c r="AK233">
        <f>$AW$20</f>
        <v>0.6784</v>
      </c>
      <c r="AL233">
        <f>AI233 * AJ233 * R233 * T233 * AK233</f>
        <v>0.0002684277089785278</v>
      </c>
      <c r="AM233">
        <f>AI233*AJ233*S233*U233*AK233</f>
        <v>0.000206492633647769</v>
      </c>
      <c r="AN233">
        <f>AL233+AM233</f>
        <v>0.0004749203426262968</v>
      </c>
      <c r="AO233">
        <f>H233*AN233*L233</f>
        <v>1.325027755927368</v>
      </c>
    </row>
    <row r="234">
      <c r="F234" t="str">
        <v>Autumn</v>
      </c>
      <c r="G234" t="str">
        <v>April</v>
      </c>
      <c r="H234">
        <v>130</v>
      </c>
      <c r="I234">
        <v>0</v>
      </c>
      <c r="J234">
        <v>0</v>
      </c>
      <c r="L234">
        <v>30</v>
      </c>
      <c r="M234">
        <f>Tables!CC40</f>
        <v>0.13</v>
      </c>
      <c r="N234">
        <v>0.45</v>
      </c>
      <c r="O234">
        <v>0.45</v>
      </c>
      <c r="Q234">
        <f>Tables!CC98</f>
        <v>48</v>
      </c>
      <c r="R234">
        <f>1-S234</f>
        <v>0.008299999999999974</v>
      </c>
      <c r="S234">
        <f>S231</f>
        <v>0.9917</v>
      </c>
      <c r="T234">
        <f>T231</f>
        <v>0.73</v>
      </c>
      <c r="U234">
        <f>$AV$10</f>
        <v>0.0047</v>
      </c>
      <c r="V234">
        <f>(I234/100)*(MIN(J234,100)/100)</f>
        <v>0</v>
      </c>
      <c r="W234">
        <v>0</v>
      </c>
      <c r="X234">
        <f>1.6 * W234</f>
        <v>0</v>
      </c>
      <c r="Y234">
        <f>$AY$1</f>
        <v>1.3</v>
      </c>
      <c r="Z234">
        <f>V234*Y234+(1-V234)</f>
        <v>1</v>
      </c>
      <c r="AA234">
        <f>(0.795*O234)-0.0014</f>
        <v>0.35635</v>
      </c>
      <c r="AC234">
        <f>Tables!CC169</f>
        <v>1.8</v>
      </c>
      <c r="AD234">
        <f>1 - EXP(-2*(AC234^2))</f>
        <v>0.9984661893206755</v>
      </c>
      <c r="AE234">
        <f>(104.7*AA234+0.307*Q234-15)*(Q234^0.75)*10^-3</f>
        <v>0.6755701208668231</v>
      </c>
      <c r="AF234">
        <f>AE234*AD234*Z234</f>
        <v>0.674533924200805</v>
      </c>
      <c r="AG234">
        <f>(AF234 * M234) + (0.045 * X234)</f>
        <v>0.08768941014610467</v>
      </c>
      <c r="AH234">
        <f>$AV$2</f>
        <v>0.08</v>
      </c>
      <c r="AI234">
        <f>(AF234 * ((1 - O234) + (0.04 * AF234))) * ( 1 - AH234 )</f>
        <v>0.35805801899384415</v>
      </c>
      <c r="AJ234">
        <f>$AV$1</f>
        <v>0.19</v>
      </c>
      <c r="AK234">
        <f>$AW$20</f>
        <v>0.6784</v>
      </c>
      <c r="AL234">
        <f>AI234 * AJ234 * R234 * T234 * AK234</f>
        <v>0.00027963646103593994</v>
      </c>
      <c r="AM234">
        <f>AI234*AJ234*S234*U234*AK234</f>
        <v>0.00021511515902358636</v>
      </c>
      <c r="AN234">
        <f>AL234+AM234</f>
        <v>0.0004947516200595263</v>
      </c>
      <c r="AO234">
        <f>H234*AN234*L234</f>
        <v>1.9295313182321525</v>
      </c>
    </row>
    <row r="235">
      <c r="F235" t="str">
        <v>Autumn</v>
      </c>
      <c r="G235" t="str">
        <v>May</v>
      </c>
      <c r="H235">
        <v>130</v>
      </c>
      <c r="I235">
        <v>0</v>
      </c>
      <c r="J235">
        <v>0</v>
      </c>
      <c r="L235">
        <v>31</v>
      </c>
      <c r="M235">
        <f>Tables!CC40</f>
        <v>0.13</v>
      </c>
      <c r="N235">
        <v>0.46</v>
      </c>
      <c r="O235">
        <v>0.46</v>
      </c>
      <c r="Q235">
        <f>Tables!CC98</f>
        <v>48</v>
      </c>
      <c r="R235">
        <f>1-S235</f>
        <v>0.008299999999999974</v>
      </c>
      <c r="S235">
        <f>S231</f>
        <v>0.9917</v>
      </c>
      <c r="T235">
        <f>T231</f>
        <v>0.73</v>
      </c>
      <c r="U235">
        <f>$AV$10</f>
        <v>0.0047</v>
      </c>
      <c r="V235">
        <f>(I235/100)*(MIN(J235,100)/100)</f>
        <v>0</v>
      </c>
      <c r="W235">
        <v>1</v>
      </c>
      <c r="X235">
        <f>1.6 * W235</f>
        <v>1.6</v>
      </c>
      <c r="Y235">
        <f>$AY$1</f>
        <v>1.3</v>
      </c>
      <c r="Z235">
        <f>V235*Y235+(1-V235)</f>
        <v>1</v>
      </c>
      <c r="AA235">
        <f>(0.795*O235)-0.0014</f>
        <v>0.3643</v>
      </c>
      <c r="AC235">
        <f>Tables!CC169</f>
        <v>1.8</v>
      </c>
      <c r="AD235">
        <f>1 - EXP(-2*(AC235^2))</f>
        <v>0.9984661893206755</v>
      </c>
      <c r="AE235">
        <f>(104.7*AA235+0.307*Q235-15)*(Q235^0.75)*10^-3</f>
        <v>0.6907491759985206</v>
      </c>
      <c r="AF235">
        <f>AE235*AD235*Z235</f>
        <v>0.6896896975356395</v>
      </c>
      <c r="AG235">
        <f>(AF235 * M235) + (0.045 * X235)</f>
        <v>0.1616596606796331</v>
      </c>
      <c r="AH235">
        <f>$AV$2</f>
        <v>0.08</v>
      </c>
      <c r="AI235">
        <f>(AF235 * ((1 - O235) + (0.04 * AF235))) * ( 1 - AH235 )</f>
        <v>0.36014256687874</v>
      </c>
      <c r="AJ235">
        <f>$AV$1</f>
        <v>0.19</v>
      </c>
      <c r="AK235">
        <f>$AW$20</f>
        <v>0.6784</v>
      </c>
      <c r="AL235">
        <f>AI235 * AJ235 * R235 * T235 * AK235</f>
        <v>0.0002812644530441353</v>
      </c>
      <c r="AM235">
        <f>AI235*AJ235*S235*U235*AK235</f>
        <v>0.0002163675198868111</v>
      </c>
      <c r="AN235">
        <f>AL235+AM235</f>
        <v>0.0004976319729309464</v>
      </c>
      <c r="AO235">
        <f>H235*AN235*L235</f>
        <v>2.005456850911714</v>
      </c>
    </row>
    <row r="236">
      <c r="F236" t="str">
        <v>Winter</v>
      </c>
      <c r="G236" t="str">
        <v>June</v>
      </c>
      <c r="H236">
        <v>125</v>
      </c>
      <c r="I236">
        <v>0</v>
      </c>
      <c r="J236">
        <v>0</v>
      </c>
      <c r="K236">
        <v>25</v>
      </c>
      <c r="L236">
        <v>25</v>
      </c>
      <c r="M236">
        <f>Tables!CC41</f>
        <v>0.1</v>
      </c>
      <c r="N236">
        <v>0.51</v>
      </c>
      <c r="O236">
        <v>0.51</v>
      </c>
      <c r="Q236">
        <f>Tables!CC99</f>
        <v>45</v>
      </c>
      <c r="R236">
        <f>1-S236</f>
        <v>0.008299999999999974</v>
      </c>
      <c r="S236">
        <f>S231</f>
        <v>0.9917</v>
      </c>
      <c r="T236">
        <f>T231</f>
        <v>0.73</v>
      </c>
      <c r="U236">
        <f>$AV$10</f>
        <v>0.0047</v>
      </c>
      <c r="V236">
        <f>(I236/100)*(MIN(J236,100)/100)</f>
        <v>0</v>
      </c>
      <c r="W236">
        <v>0</v>
      </c>
      <c r="X236">
        <f>1.6 * W236</f>
        <v>0</v>
      </c>
      <c r="Y236">
        <f>$AY$1</f>
        <v>1.3</v>
      </c>
      <c r="Z236">
        <f>V236*Y236+(1-V236)</f>
        <v>1</v>
      </c>
      <c r="AA236">
        <f>(0.795*O236)-0.0014</f>
        <v>0.40405</v>
      </c>
      <c r="AC236">
        <f>Tables!CC170</f>
        <v>1</v>
      </c>
      <c r="AD236">
        <f>1 - EXP(-2*(AC236^2))</f>
        <v>0.8646647167633873</v>
      </c>
      <c r="AE236">
        <f>(104.7*AA236+0.307*Q236-15)*(Q236^0.75)*10^-3</f>
        <v>0.7144178536064223</v>
      </c>
      <c r="AF236">
        <f>AE236*AD236*Z236</f>
        <v>0.6177319110393042</v>
      </c>
      <c r="AG236">
        <f>(AF236 * M236) + (0.045 * X236)</f>
        <v>0.061773191103930425</v>
      </c>
      <c r="AH236">
        <f>$AV$2</f>
        <v>0.08</v>
      </c>
      <c r="AI236">
        <f>(AF236 * ((1 - O236) + (0.04 * AF236))) * ( 1 - AH236 )</f>
        <v>0.2925161573686371</v>
      </c>
      <c r="AJ236">
        <f>$AV$1</f>
        <v>0.19</v>
      </c>
      <c r="AK236">
        <f>$AW$20</f>
        <v>0.6784</v>
      </c>
      <c r="AL236">
        <f>AI236 * AJ236 * R236 * T236 * AK236</f>
        <v>0.0002284495213157175</v>
      </c>
      <c r="AM236">
        <f>AI236*AJ236*S236*U236*AK236</f>
        <v>0.00017573872493106937</v>
      </c>
      <c r="AN236">
        <f>AL236+AM236</f>
        <v>0.00040418824624678684</v>
      </c>
      <c r="AO236">
        <f>H236*AN236*L236</f>
        <v>1.263088269521209</v>
      </c>
    </row>
    <row r="237">
      <c r="F237" t="str">
        <v>Winter</v>
      </c>
      <c r="G237" t="str">
        <v>July</v>
      </c>
      <c r="H237">
        <v>120</v>
      </c>
      <c r="I237">
        <v>0</v>
      </c>
      <c r="J237">
        <v>0</v>
      </c>
      <c r="L237">
        <v>31</v>
      </c>
      <c r="M237">
        <f>Tables!CC41</f>
        <v>0.1</v>
      </c>
      <c r="N237">
        <v>0.45</v>
      </c>
      <c r="O237">
        <v>0.45</v>
      </c>
      <c r="Q237">
        <f>Tables!CC99</f>
        <v>45</v>
      </c>
      <c r="R237">
        <f>1-S237</f>
        <v>0.008299999999999974</v>
      </c>
      <c r="S237">
        <f>S231</f>
        <v>0.9917</v>
      </c>
      <c r="T237">
        <f>T231</f>
        <v>0.73</v>
      </c>
      <c r="U237">
        <f>$AV$10</f>
        <v>0.0047</v>
      </c>
      <c r="V237">
        <f>(I237/100)*(MIN(J237,100)/100)</f>
        <v>0</v>
      </c>
      <c r="W237">
        <v>0</v>
      </c>
      <c r="X237">
        <f>1.6 * W237</f>
        <v>0</v>
      </c>
      <c r="Y237">
        <f>$AY$1</f>
        <v>1.3</v>
      </c>
      <c r="Z237">
        <f>V237*Y237+(1-V237)</f>
        <v>1</v>
      </c>
      <c r="AA237">
        <f>(0.795*O237)-0.0014</f>
        <v>0.35635</v>
      </c>
      <c r="AC237">
        <f>Tables!CC170</f>
        <v>1</v>
      </c>
      <c r="AD237">
        <f>1 - EXP(-2*(AC237^2))</f>
        <v>0.8646647167633873</v>
      </c>
      <c r="AE237">
        <f>(104.7*AA237+0.307*Q237-15)*(Q237^0.75)*10^-3</f>
        <v>0.62764688487375</v>
      </c>
      <c r="AF237">
        <f>AE237*AD237*Z237</f>
        <v>0.5427041159367834</v>
      </c>
      <c r="AG237">
        <f>(AF237 * M237) + (0.045 * X237)</f>
        <v>0.05427041159367834</v>
      </c>
      <c r="AH237">
        <f>$AV$2</f>
        <v>0.08</v>
      </c>
      <c r="AI237">
        <f>(AF237 * ((1 - O237) + (0.04 * AF237))) * ( 1 - AH237 )</f>
        <v>0.2854469041383464</v>
      </c>
      <c r="AJ237">
        <f>$AV$1</f>
        <v>0.19</v>
      </c>
      <c r="AK237">
        <f>$AW$20</f>
        <v>0.6784</v>
      </c>
      <c r="AL237">
        <f>AI237 * AJ237 * R237 * T237 * AK237</f>
        <v>0.00022292856982009026</v>
      </c>
      <c r="AM237">
        <f>AI237*AJ237*S237*U237*AK237</f>
        <v>0.00017149163800061823</v>
      </c>
      <c r="AN237">
        <f>AL237+AM237</f>
        <v>0.0003944202078207085</v>
      </c>
      <c r="AO237">
        <f>H237*AN237*L237</f>
        <v>1.4672431730930358</v>
      </c>
    </row>
    <row r="238">
      <c r="F238" t="str">
        <v>Winter</v>
      </c>
      <c r="G238" t="str">
        <v>August</v>
      </c>
      <c r="H238">
        <v>115</v>
      </c>
      <c r="I238">
        <v>0</v>
      </c>
      <c r="J238">
        <v>0</v>
      </c>
      <c r="L238">
        <v>31</v>
      </c>
      <c r="M238">
        <f>Tables!CC41</f>
        <v>0.1</v>
      </c>
      <c r="N238">
        <v>0.44</v>
      </c>
      <c r="O238">
        <v>0.44</v>
      </c>
      <c r="Q238">
        <f>Tables!CC99</f>
        <v>45</v>
      </c>
      <c r="R238">
        <f>1-S238</f>
        <v>0.008299999999999974</v>
      </c>
      <c r="S238">
        <f>S231</f>
        <v>0.9917</v>
      </c>
      <c r="T238">
        <f>T231</f>
        <v>0.73</v>
      </c>
      <c r="U238">
        <f>$AV$10</f>
        <v>0.0047</v>
      </c>
      <c r="V238">
        <f>(I238/100)*(MIN(J238,100)/100)</f>
        <v>0</v>
      </c>
      <c r="W238">
        <v>0</v>
      </c>
      <c r="X238">
        <f>1.6 * W238</f>
        <v>0</v>
      </c>
      <c r="Y238">
        <f>$AY$1</f>
        <v>1.3</v>
      </c>
      <c r="Z238">
        <f>V238*Y238+(1-V238)</f>
        <v>1</v>
      </c>
      <c r="AA238">
        <f>(0.795*O238)-0.0014</f>
        <v>0.3484</v>
      </c>
      <c r="AC238">
        <f>Tables!CC170</f>
        <v>1</v>
      </c>
      <c r="AD238">
        <f>1 - EXP(-2*(AC238^2))</f>
        <v>0.8646647167633873</v>
      </c>
      <c r="AE238">
        <f>(104.7*AA238+0.307*Q238-15)*(Q238^0.75)*10^-3</f>
        <v>0.6131850567516378</v>
      </c>
      <c r="AF238">
        <f>AE238*AD238*Z238</f>
        <v>0.5301994834196965</v>
      </c>
      <c r="AG238">
        <f>(AF238 * M238) + (0.045 * X238)</f>
        <v>0.05301994834196965</v>
      </c>
      <c r="AH238">
        <f>$AV$2</f>
        <v>0.08</v>
      </c>
      <c r="AI238">
        <f>(AF238 * ((1 - O238) + (0.04 * AF238))) * ( 1 - AH238 )</f>
        <v>0.2835036767714689</v>
      </c>
      <c r="AJ238">
        <f>$AV$1</f>
        <v>0.19</v>
      </c>
      <c r="AK238">
        <f>$AW$20</f>
        <v>0.6784</v>
      </c>
      <c r="AL238">
        <f>AI238 * AJ238 * R238 * T238 * AK238</f>
        <v>0.0002214109464321578</v>
      </c>
      <c r="AM238">
        <f>AI238*AJ238*S238*U238*AK238</f>
        <v>0.00017032418009751223</v>
      </c>
      <c r="AN238">
        <f>AL238+AM238</f>
        <v>0.00039173512652967003</v>
      </c>
      <c r="AO238">
        <f>H238*AN238*L238</f>
        <v>1.3965357260782736</v>
      </c>
    </row>
    <row r="239">
      <c r="F239" t="str">
        <v>Spring</v>
      </c>
      <c r="G239" t="str">
        <v>September</v>
      </c>
      <c r="H239">
        <v>110</v>
      </c>
      <c r="I239">
        <v>32</v>
      </c>
      <c r="J239">
        <v>28</v>
      </c>
      <c r="K239">
        <v>24</v>
      </c>
      <c r="L239">
        <v>24</v>
      </c>
      <c r="M239">
        <f>Tables!CC38</f>
        <v>0.16</v>
      </c>
      <c r="N239">
        <v>0.65</v>
      </c>
      <c r="O239">
        <v>0.65</v>
      </c>
      <c r="Q239">
        <f>Tables!CC96</f>
        <v>55</v>
      </c>
      <c r="R239">
        <f>1-S239</f>
        <v>0.008299999999999974</v>
      </c>
      <c r="S239">
        <f>S231</f>
        <v>0.9917</v>
      </c>
      <c r="T239">
        <f>T231</f>
        <v>0.73</v>
      </c>
      <c r="U239">
        <f>$AV$10</f>
        <v>0.0047</v>
      </c>
      <c r="V239">
        <f>(I239/100)*(MIN(J239,100)/100)</f>
        <v>0.08960000000000001</v>
      </c>
      <c r="W239">
        <v>0</v>
      </c>
      <c r="X239">
        <f>1.6 * W239</f>
        <v>0</v>
      </c>
      <c r="Y239">
        <f>$AY$1</f>
        <v>1.3</v>
      </c>
      <c r="Z239">
        <f>V239*Y239+(1-V239)</f>
        <v>1.02688</v>
      </c>
      <c r="AA239">
        <f>(0.795*O239)-0.0014</f>
        <v>0.5153500000000001</v>
      </c>
      <c r="AC239">
        <f>Tables!CC167</f>
        <v>3.2</v>
      </c>
      <c r="AD239">
        <f>1 - EXP(-2*(AC239^2))</f>
        <v>0.9999999987245923</v>
      </c>
      <c r="AE239">
        <f>(104.7*AA239+0.307*Q239-15)*(Q239^0.75)*10^-3</f>
        <v>1.1278052426935643</v>
      </c>
      <c r="AF239">
        <f>AE239*AD239*Z239</f>
        <v>1.1581206461400915</v>
      </c>
      <c r="AG239">
        <f>(AF239 * M239) + (0.045 * X239)</f>
        <v>0.18529930338241463</v>
      </c>
      <c r="AH239">
        <f>$AV$2</f>
        <v>0.08</v>
      </c>
      <c r="AI239">
        <f>(AF239 * ((1 - O239) + (0.04 * AF239))) * ( 1 - AH239 )</f>
        <v>0.4222726063184961</v>
      </c>
      <c r="AJ239">
        <f>$AV$1</f>
        <v>0.19</v>
      </c>
      <c r="AK239">
        <f>$AW$20</f>
        <v>0.6784</v>
      </c>
      <c r="AL239">
        <f>AI239 * AJ239 * R239 * T239 * AK239</f>
        <v>0.00032978682492614995</v>
      </c>
      <c r="AM239">
        <f>AI239*AJ239*S239*U239*AK239</f>
        <v>0.00025369418932374</v>
      </c>
      <c r="AN239">
        <f>AL239+AM239</f>
        <v>0.00058348101424989</v>
      </c>
      <c r="AO239">
        <f>H239*AN239*L239</f>
        <v>1.5403898776197096</v>
      </c>
    </row>
    <row r="240">
      <c r="F240" t="str">
        <v>Spring</v>
      </c>
      <c r="G240" t="str">
        <v>October</v>
      </c>
      <c r="H240">
        <v>105</v>
      </c>
      <c r="I240">
        <v>30</v>
      </c>
      <c r="J240">
        <v>28</v>
      </c>
      <c r="L240">
        <v>31</v>
      </c>
      <c r="M240">
        <f>Tables!CC38</f>
        <v>0.16</v>
      </c>
      <c r="N240">
        <v>0.66</v>
      </c>
      <c r="O240">
        <v>0.66</v>
      </c>
      <c r="Q240">
        <f>Tables!CC96</f>
        <v>55</v>
      </c>
      <c r="R240">
        <f>1-S240</f>
        <v>0.008299999999999974</v>
      </c>
      <c r="S240">
        <f>S231</f>
        <v>0.9917</v>
      </c>
      <c r="T240">
        <f>T231</f>
        <v>0.73</v>
      </c>
      <c r="U240">
        <f>$AV$10</f>
        <v>0.0047</v>
      </c>
      <c r="V240">
        <f>(I240/100)*(MIN(J240,100)/100)</f>
        <v>0.084</v>
      </c>
      <c r="W240">
        <v>0</v>
      </c>
      <c r="X240">
        <f>1.6 * W240</f>
        <v>0</v>
      </c>
      <c r="Y240">
        <f>$AY$1</f>
        <v>1.3</v>
      </c>
      <c r="Z240">
        <f>V240*Y240+(1-V240)</f>
        <v>1.0252000000000001</v>
      </c>
      <c r="AA240">
        <f>(0.795*O240)-0.0014</f>
        <v>0.5233000000000001</v>
      </c>
      <c r="AC240">
        <f>Tables!CC167</f>
        <v>3.2</v>
      </c>
      <c r="AD240">
        <f>1 - EXP(-2*(AC240^2))</f>
        <v>0.9999999987245923</v>
      </c>
      <c r="AE240">
        <f>(104.7*AA240+0.307*Q240-15)*(Q240^0.75)*10^-3</f>
        <v>1.1446159438375592</v>
      </c>
      <c r="AF240">
        <f>AE240*AD240*Z240</f>
        <v>1.1734602641256255</v>
      </c>
      <c r="AG240">
        <f>(AF240 * M240) + (0.045 * X240)</f>
        <v>0.18775364226010008</v>
      </c>
      <c r="AH240">
        <f>$AV$2</f>
        <v>0.08</v>
      </c>
      <c r="AI240">
        <f>(AF240 * ((1 - O240) + (0.04 * AF240))) * ( 1 - AH240 )</f>
        <v>0.4177323015050252</v>
      </c>
      <c r="AJ240">
        <f>$AV$1</f>
        <v>0.19</v>
      </c>
      <c r="AK240">
        <f>$AW$20</f>
        <v>0.6784</v>
      </c>
      <c r="AL240">
        <f>AI240 * AJ240 * R240 * T240 * AK240</f>
        <v>0.00032624093375010213</v>
      </c>
      <c r="AM240">
        <f>AI240*AJ240*S240*U240*AK240</f>
        <v>0.0002509664515266369</v>
      </c>
      <c r="AN240">
        <f>AL240+AM240</f>
        <v>0.000577207385276739</v>
      </c>
      <c r="AO240">
        <f>H240*AN240*L240</f>
        <v>1.8788100390757856</v>
      </c>
    </row>
    <row r="241">
      <c r="F241" t="str">
        <v>Spring</v>
      </c>
      <c r="G241" t="str">
        <v>November</v>
      </c>
      <c r="H241">
        <v>105</v>
      </c>
      <c r="I241">
        <v>35</v>
      </c>
      <c r="J241">
        <v>32</v>
      </c>
      <c r="L241">
        <v>30</v>
      </c>
      <c r="M241">
        <f>Tables!CC38</f>
        <v>0.16</v>
      </c>
      <c r="N241">
        <v>0.62</v>
      </c>
      <c r="O241">
        <v>0.62</v>
      </c>
      <c r="Q241">
        <f>Tables!CC96</f>
        <v>55</v>
      </c>
      <c r="R241">
        <f>1-S241</f>
        <v>0.008299999999999974</v>
      </c>
      <c r="S241">
        <f>S231</f>
        <v>0.9917</v>
      </c>
      <c r="T241">
        <f>T231</f>
        <v>0.73</v>
      </c>
      <c r="U241">
        <f>$AV$10</f>
        <v>0.0047</v>
      </c>
      <c r="V241">
        <f>(I241/100)*(MIN(J241,100)/100)</f>
        <v>0.11199999999999999</v>
      </c>
      <c r="W241">
        <v>0</v>
      </c>
      <c r="X241">
        <f>1.6 * W241</f>
        <v>0</v>
      </c>
      <c r="Y241">
        <f>$AY$1</f>
        <v>1.3</v>
      </c>
      <c r="Z241">
        <f>V241*Y241+(1-V241)</f>
        <v>1.0336</v>
      </c>
      <c r="AA241">
        <f>(0.795*O241)-0.0014</f>
        <v>0.4915</v>
      </c>
      <c r="AC241">
        <f>Tables!CC167</f>
        <v>3.2</v>
      </c>
      <c r="AD241">
        <f>1 - EXP(-2*(AC241^2))</f>
        <v>0.9999999987245923</v>
      </c>
      <c r="AE241">
        <f>(104.7*AA241+0.307*Q241-15)*(Q241^0.75)*10^-3</f>
        <v>1.0773731392615793</v>
      </c>
      <c r="AF241">
        <f>AE241*AD241*Z241</f>
        <v>1.113572875320509</v>
      </c>
      <c r="AG241">
        <f>(AF241 * M241) + (0.045 * X241)</f>
        <v>0.17817166005128143</v>
      </c>
      <c r="AH241">
        <f>$AV$2</f>
        <v>0.08</v>
      </c>
      <c r="AI241">
        <f>(AF241 * ((1 - O241) + (0.04 * AF241))) * ( 1 - AH241 )</f>
        <v>0.4349387166023547</v>
      </c>
      <c r="AJ241">
        <f>$AV$1</f>
        <v>0.19</v>
      </c>
      <c r="AK241">
        <f>$AW$20</f>
        <v>0.6784</v>
      </c>
      <c r="AL241">
        <f>AI241 * AJ241 * R241 * T241 * AK241</f>
        <v>0.0003396788146791571</v>
      </c>
      <c r="AM241">
        <f>AI241*AJ241*S241*U241*AK241</f>
        <v>0.0002613037726409324</v>
      </c>
      <c r="AN241">
        <f>AL241+AM241</f>
        <v>0.0006009825873200895</v>
      </c>
      <c r="AO241">
        <f>H241*AN241*L241</f>
        <v>1.893095150058282</v>
      </c>
    </row>
    <row r="242">
      <c r="F242" t="str">
        <v>Summer</v>
      </c>
      <c r="G242" t="str">
        <v>December</v>
      </c>
      <c r="H242">
        <v>100</v>
      </c>
      <c r="I242">
        <v>0</v>
      </c>
      <c r="J242">
        <v>0</v>
      </c>
      <c r="L242">
        <v>31</v>
      </c>
      <c r="M242">
        <f>Tables!CC39</f>
        <v>0.07</v>
      </c>
      <c r="N242">
        <v>0.6</v>
      </c>
      <c r="O242">
        <v>0.6</v>
      </c>
      <c r="Q242">
        <f>Tables!CC97</f>
        <v>50</v>
      </c>
      <c r="R242">
        <f>1-S242</f>
        <v>0.008299999999999974</v>
      </c>
      <c r="S242">
        <f>S231</f>
        <v>0.9917</v>
      </c>
      <c r="T242">
        <f>T231</f>
        <v>0.73</v>
      </c>
      <c r="U242">
        <f>$AV$10</f>
        <v>0.0047</v>
      </c>
      <c r="V242">
        <f>(I242/100)*(MIN(J242,100)/100)</f>
        <v>0</v>
      </c>
      <c r="W242">
        <v>0</v>
      </c>
      <c r="X242">
        <f>1.6 * W242</f>
        <v>0</v>
      </c>
      <c r="Y242">
        <f>$AY$1</f>
        <v>1.3</v>
      </c>
      <c r="Z242">
        <f>V242*Y242+(1-V242)</f>
        <v>1</v>
      </c>
      <c r="AA242">
        <f>(0.795*O242)-0.0014</f>
        <v>0.47559999999999997</v>
      </c>
      <c r="AC242">
        <f>Tables!CC168</f>
        <v>3</v>
      </c>
      <c r="AD242">
        <f>1 - EXP(-2*(AC242^2))</f>
        <v>0.9999999847700203</v>
      </c>
      <c r="AE242">
        <f>(104.7*AA242+0.307*Q242-15)*(Q242^0.75)*10^-3</f>
        <v>0.9428832274790347</v>
      </c>
      <c r="AF242">
        <f>AE242*AD242*Z242</f>
        <v>0.9428832131189423</v>
      </c>
      <c r="AG242">
        <f>(AF242 * M242) + (0.045 * X242)</f>
        <v>0.06600182491832597</v>
      </c>
      <c r="AH242">
        <f>$AV$2</f>
        <v>0.08</v>
      </c>
      <c r="AI242">
        <f>(AF242 * ((1 - O242) + (0.04 * AF242))) * ( 1 - AH242 )</f>
        <v>0.37969728055957</v>
      </c>
      <c r="AJ242">
        <f>$AV$1</f>
        <v>0.19</v>
      </c>
      <c r="AK242">
        <f>$AW$20</f>
        <v>0.6784</v>
      </c>
      <c r="AL242">
        <f>AI242 * AJ242 * R242 * T242 * AK242</f>
        <v>0.0002965363102298625</v>
      </c>
      <c r="AM242">
        <f>AI242*AJ242*S242*U242*AK242</f>
        <v>0.0002281156587915978</v>
      </c>
      <c r="AN242">
        <f>AL242+AM242</f>
        <v>0.0005246519690214603</v>
      </c>
      <c r="AO242">
        <f>H242*AN242*L242</f>
        <v>1.6264211039665268</v>
      </c>
    </row>
    <row r="243">
      <c r="E243" t="str">
        <v>Lambs and hoggets</v>
      </c>
      <c r="F243" t="str">
        <v>Summer</v>
      </c>
      <c r="G243" t="str">
        <v>January</v>
      </c>
      <c r="H243">
        <v>40</v>
      </c>
      <c r="I243">
        <v>0</v>
      </c>
      <c r="J243">
        <v>0</v>
      </c>
      <c r="L243">
        <v>31</v>
      </c>
      <c r="M243">
        <f>Tables!CC43</f>
        <v>0.07</v>
      </c>
      <c r="O243">
        <f>Tables!CC73</f>
        <v>0.55</v>
      </c>
      <c r="Q243">
        <f>Tables!CC101</f>
        <v>28</v>
      </c>
      <c r="R243">
        <f>1-S243</f>
        <v>0.008299999999999974</v>
      </c>
      <c r="S243">
        <f>S231</f>
        <v>0.9917</v>
      </c>
      <c r="T243">
        <f>T231</f>
        <v>0.73</v>
      </c>
      <c r="U243">
        <f>$AV$10</f>
        <v>0.0047</v>
      </c>
      <c r="V243">
        <f>(I243/100)*(MIN(J243,100)/100)</f>
        <v>0</v>
      </c>
      <c r="W243">
        <v>0</v>
      </c>
      <c r="X243">
        <f>1.6 * W243</f>
        <v>0</v>
      </c>
      <c r="Y243">
        <f>$AY$1</f>
        <v>1.3</v>
      </c>
      <c r="Z243">
        <f>V243*Y243+(1-V243)</f>
        <v>1</v>
      </c>
      <c r="AA243">
        <f>(0.795*O243)-0.0014</f>
        <v>0.43585000000000007</v>
      </c>
      <c r="AB243">
        <v>2.8</v>
      </c>
      <c r="AC243">
        <v>2.8</v>
      </c>
      <c r="AD243">
        <f>1 - EXP(-2*(AC243^2))</f>
        <v>0.9999998450246864</v>
      </c>
      <c r="AE243">
        <f>(104.7*AA243+0.307*Q243-15)*(Q243^0.75)*10^-3</f>
        <v>0.47750864762612716</v>
      </c>
      <c r="AF243">
        <f>AE243*AD243*Z243</f>
        <v>0.47750857362407473</v>
      </c>
      <c r="AG243">
        <f>(AF243 * M243) + (0.045 * X243)</f>
        <v>0.03342560015368523</v>
      </c>
      <c r="AH243">
        <f>$AV$2</f>
        <v>0.08</v>
      </c>
      <c r="AI243">
        <f>(AF243 * ((1 - O243) + (0.04 * AF243))) * ( 1 - AH243 )</f>
        <v>0.2060794807945165</v>
      </c>
      <c r="AJ243">
        <f>$AV$1</f>
        <v>0.19</v>
      </c>
      <c r="AK243">
        <f>$AW$20</f>
        <v>0.6784</v>
      </c>
      <c r="AL243">
        <f>AI243 * AJ243 * R243 * T243 * AK243</f>
        <v>0.0001609441309635724</v>
      </c>
      <c r="AM243">
        <f>AI243*AJ243*S243*U243*AK243</f>
        <v>0.00012380904191779232</v>
      </c>
      <c r="AN243">
        <f>AL243+AM243</f>
        <v>0.0002847531728813647</v>
      </c>
      <c r="AO243">
        <f>H243*AN243*L243</f>
        <v>0.3530939343728922</v>
      </c>
    </row>
    <row r="244">
      <c r="F244" t="str">
        <v>Summer</v>
      </c>
      <c r="G244" t="str">
        <v>February</v>
      </c>
      <c r="H244">
        <v>40</v>
      </c>
      <c r="I244">
        <v>0</v>
      </c>
      <c r="J244">
        <v>0</v>
      </c>
      <c r="L244">
        <v>28</v>
      </c>
      <c r="M244">
        <f>Tables!CC43</f>
        <v>0.07</v>
      </c>
      <c r="O244">
        <f>Tables!CC73</f>
        <v>0.55</v>
      </c>
      <c r="Q244">
        <f>Tables!CC101</f>
        <v>28</v>
      </c>
      <c r="R244">
        <f>1-S244</f>
        <v>0.008299999999999974</v>
      </c>
      <c r="S244">
        <f>S231</f>
        <v>0.9917</v>
      </c>
      <c r="T244">
        <f>T231</f>
        <v>0.73</v>
      </c>
      <c r="U244">
        <f>$AV$10</f>
        <v>0.0047</v>
      </c>
      <c r="V244">
        <f>(I244/100)*(MIN(J244,100)/100)</f>
        <v>0</v>
      </c>
      <c r="W244">
        <v>0</v>
      </c>
      <c r="X244">
        <f>1.6 * W244</f>
        <v>0</v>
      </c>
      <c r="Y244">
        <f>$AY$1</f>
        <v>1.3</v>
      </c>
      <c r="Z244">
        <f>V244*Y244+(1-V244)</f>
        <v>1</v>
      </c>
      <c r="AA244">
        <f>(0.795*O244)-0.0014</f>
        <v>0.43585000000000007</v>
      </c>
      <c r="AB244">
        <v>2.7</v>
      </c>
      <c r="AC244">
        <v>2.7</v>
      </c>
      <c r="AD244">
        <f>1 - EXP(-2*(AC244^2))</f>
        <v>0.9999995344284284</v>
      </c>
      <c r="AE244">
        <f>(104.7*AA244+0.307*Q244-15)*(Q244^0.75)*10^-3</f>
        <v>0.47750864762612716</v>
      </c>
      <c r="AF244">
        <f>AE244*AD244*Z244</f>
        <v>0.47750842531167564</v>
      </c>
      <c r="AG244">
        <f>(AF244 * M244) + (0.045 * X244)</f>
        <v>0.033425589771817296</v>
      </c>
      <c r="AH244">
        <f>$AV$2</f>
        <v>0.08</v>
      </c>
      <c r="AI244">
        <f>(AF244 * ((1 - O244) + (0.04 * AF244))) * ( 1 - AH244 )</f>
        <v>0.20607941418079953</v>
      </c>
      <c r="AJ244">
        <f>$AV$1</f>
        <v>0.19</v>
      </c>
      <c r="AK244">
        <f>$AW$20</f>
        <v>0.6784</v>
      </c>
      <c r="AL244">
        <f>AI244 * AJ244 * R244 * T244 * AK244</f>
        <v>0.00016094407893953419</v>
      </c>
      <c r="AM244">
        <f>AI244*AJ244*S244*U244*AK244</f>
        <v>0.0001238090018974058</v>
      </c>
      <c r="AN244">
        <f>AL244+AM244</f>
        <v>0.00028475308083694</v>
      </c>
      <c r="AO244">
        <f>H244*AN244*L244</f>
        <v>0.3189234505373728</v>
      </c>
    </row>
    <row r="245">
      <c r="F245" t="str">
        <v>Autumn</v>
      </c>
      <c r="G245" t="str">
        <v>March</v>
      </c>
      <c r="H245">
        <v>40</v>
      </c>
      <c r="I245">
        <v>0</v>
      </c>
      <c r="J245">
        <v>0</v>
      </c>
      <c r="L245">
        <v>31</v>
      </c>
      <c r="M245">
        <f>Tables!CC44</f>
        <v>0.13</v>
      </c>
      <c r="O245">
        <f>Tables!CC74</f>
        <v>0.65</v>
      </c>
      <c r="Q245">
        <f>Tables!CC102</f>
        <v>33</v>
      </c>
      <c r="R245">
        <f>1-S245</f>
        <v>0.008299999999999974</v>
      </c>
      <c r="S245">
        <f>S231</f>
        <v>0.9917</v>
      </c>
      <c r="T245">
        <f>T231</f>
        <v>0.73</v>
      </c>
      <c r="U245">
        <f>$AV$10</f>
        <v>0.0047</v>
      </c>
      <c r="V245">
        <f>(I245/100)*(MIN(J245,100)/100)</f>
        <v>0</v>
      </c>
      <c r="W245">
        <v>0</v>
      </c>
      <c r="X245">
        <f>1.6 * W245</f>
        <v>0</v>
      </c>
      <c r="Y245">
        <f>$AY$1</f>
        <v>1.3</v>
      </c>
      <c r="Z245">
        <f>V245*Y245+(1-V245)</f>
        <v>1</v>
      </c>
      <c r="AA245">
        <f>(0.795*O245)-0.0014</f>
        <v>0.5153500000000001</v>
      </c>
      <c r="AB245">
        <v>2.4</v>
      </c>
      <c r="AC245">
        <v>2.4</v>
      </c>
      <c r="AD245">
        <f>1 - EXP(-2*(AC245^2))</f>
        <v>0.9999900704956941</v>
      </c>
      <c r="AE245">
        <f>(104.7*AA245+0.307*Q245-15)*(Q245^0.75)*10^-3</f>
        <v>0.6758682973922607</v>
      </c>
      <c r="AF245">
        <f>AE245*AD245*Z245</f>
        <v>0.6758615863550915</v>
      </c>
      <c r="AG245">
        <f>(AF245 * M245) + (0.045 * X245)</f>
        <v>0.0878620062261619</v>
      </c>
      <c r="AH245">
        <f>$AV$2</f>
        <v>0.08</v>
      </c>
      <c r="AI245">
        <f>(AF245 * ((1 - O245) + (0.04 * AF245))) * ( 1 - AH245 )</f>
        <v>0.23443726173424295</v>
      </c>
      <c r="AJ245">
        <f>$AV$1</f>
        <v>0.19</v>
      </c>
      <c r="AK245">
        <f>$AW$20</f>
        <v>0.6784</v>
      </c>
      <c r="AL245">
        <f>AI245 * AJ245 * R245 * T245 * AK245</f>
        <v>0.00018309101522300263</v>
      </c>
      <c r="AM245">
        <f>AI245*AJ245*S245*U245*AK245</f>
        <v>0.00014084591368943155</v>
      </c>
      <c r="AN245">
        <f>AL245+AM245</f>
        <v>0.0003239369289124342</v>
      </c>
      <c r="AO245">
        <f>H245*AN245*L245</f>
        <v>0.40168179185141845</v>
      </c>
    </row>
    <row r="246">
      <c r="F246" t="str">
        <v>Autumn</v>
      </c>
      <c r="G246" t="str">
        <v>April</v>
      </c>
      <c r="H246">
        <v>35</v>
      </c>
      <c r="I246">
        <v>0</v>
      </c>
      <c r="J246">
        <v>0</v>
      </c>
      <c r="L246">
        <v>30</v>
      </c>
      <c r="M246">
        <f>Tables!CC44</f>
        <v>0.13</v>
      </c>
      <c r="O246">
        <f>Tables!CC74</f>
        <v>0.65</v>
      </c>
      <c r="Q246">
        <f>Tables!CC102</f>
        <v>33</v>
      </c>
      <c r="R246">
        <f>1-S246</f>
        <v>0.008299999999999974</v>
      </c>
      <c r="S246">
        <f>S231</f>
        <v>0.9917</v>
      </c>
      <c r="T246">
        <f>T231</f>
        <v>0.73</v>
      </c>
      <c r="U246">
        <f>$AV$10</f>
        <v>0.0047</v>
      </c>
      <c r="V246">
        <f>(I246/100)*(MIN(J246,100)/100)</f>
        <v>0</v>
      </c>
      <c r="W246">
        <v>0</v>
      </c>
      <c r="X246">
        <f>1.6 * W246</f>
        <v>0</v>
      </c>
      <c r="Y246">
        <f>$AY$1</f>
        <v>1.3</v>
      </c>
      <c r="Z246">
        <f>V246*Y246+(1-V246)</f>
        <v>1</v>
      </c>
      <c r="AA246">
        <f>(0.795*O246)-0.0014</f>
        <v>0.5153500000000001</v>
      </c>
      <c r="AB246">
        <v>2.2</v>
      </c>
      <c r="AC246">
        <v>2.2</v>
      </c>
      <c r="AD246">
        <f>1 - EXP(-2*(AC246^2))</f>
        <v>0.9999374784962252</v>
      </c>
      <c r="AE246">
        <f>(104.7*AA246+0.307*Q246-15)*(Q246^0.75)*10^-3</f>
        <v>0.6758682973922607</v>
      </c>
      <c r="AF246">
        <f>AE246*AD246*Z246</f>
        <v>0.675826041089954</v>
      </c>
      <c r="AG246">
        <f>(AF246 * M246) + (0.045 * X246)</f>
        <v>0.08785738534169403</v>
      </c>
      <c r="AH246">
        <f>$AV$2</f>
        <v>0.08</v>
      </c>
      <c r="AI246">
        <f>(AF246 * ((1 - O246) + (0.04 * AF246))) * ( 1 - AH246 )</f>
        <v>0.23442404806256897</v>
      </c>
      <c r="AJ246">
        <f>$AV$1</f>
        <v>0.19</v>
      </c>
      <c r="AK246">
        <f>$AW$20</f>
        <v>0.6784</v>
      </c>
      <c r="AL246">
        <f>AI246 * AJ246 * R246 * T246 * AK246</f>
        <v>0.0001830806955982821</v>
      </c>
      <c r="AM246">
        <f>AI246*AJ246*S246*U246*AK246</f>
        <v>0.00014083797514055776</v>
      </c>
      <c r="AN246">
        <f>AL246+AM246</f>
        <v>0.0003239186707388399</v>
      </c>
      <c r="AO246">
        <f>H246*AN246*L246</f>
        <v>0.3401146042757819</v>
      </c>
    </row>
    <row r="247">
      <c r="F247" t="str">
        <v>Autumn</v>
      </c>
      <c r="G247" t="str">
        <v>May</v>
      </c>
      <c r="H247">
        <v>35</v>
      </c>
      <c r="I247">
        <v>0</v>
      </c>
      <c r="J247">
        <v>0</v>
      </c>
      <c r="L247">
        <v>31</v>
      </c>
      <c r="M247">
        <f>Tables!CC44</f>
        <v>0.13</v>
      </c>
      <c r="O247">
        <f>Tables!CC74</f>
        <v>0.65</v>
      </c>
      <c r="Q247">
        <f>Tables!CC102</f>
        <v>33</v>
      </c>
      <c r="R247">
        <f>1-S247</f>
        <v>0.008299999999999974</v>
      </c>
      <c r="S247">
        <f>S231</f>
        <v>0.9917</v>
      </c>
      <c r="T247">
        <f>T231</f>
        <v>0.73</v>
      </c>
      <c r="U247">
        <f>$AV$10</f>
        <v>0.0047</v>
      </c>
      <c r="V247">
        <f>(I247/100)*(MIN(J247,100)/100)</f>
        <v>0</v>
      </c>
      <c r="W247">
        <v>0</v>
      </c>
      <c r="X247">
        <f>1.6 * W247</f>
        <v>0</v>
      </c>
      <c r="Y247">
        <f>$AY$1</f>
        <v>1.3</v>
      </c>
      <c r="Z247">
        <f>V247*Y247+(1-V247)</f>
        <v>1</v>
      </c>
      <c r="AA247">
        <f>(0.795*O247)-0.0014</f>
        <v>0.5153500000000001</v>
      </c>
      <c r="AB247">
        <v>1.9</v>
      </c>
      <c r="AC247">
        <v>1.9</v>
      </c>
      <c r="AD247">
        <f>1 - EXP(-2*(AC247^2))</f>
        <v>0.9992681975811195</v>
      </c>
      <c r="AE247">
        <f>(104.7*AA247+0.307*Q247-15)*(Q247^0.75)*10^-3</f>
        <v>0.6758682973922607</v>
      </c>
      <c r="AF247">
        <f>AE247*AD247*Z247</f>
        <v>0.6753736953373844</v>
      </c>
      <c r="AG247">
        <f>(AF247 * M247) + (0.045 * X247)</f>
        <v>0.08779858039385999</v>
      </c>
      <c r="AH247">
        <f>$AV$2</f>
        <v>0.08</v>
      </c>
      <c r="AI247">
        <f>(AF247 * ((1 - O247) + (0.04 * AF247))) * ( 1 - AH247 )</f>
        <v>0.234255900222053</v>
      </c>
      <c r="AJ247">
        <f>$AV$1</f>
        <v>0.19</v>
      </c>
      <c r="AK247">
        <f>$AW$20</f>
        <v>0.6784</v>
      </c>
      <c r="AL247">
        <f>AI247 * AJ247 * R247 * T247 * AK247</f>
        <v>0.00018294937535251617</v>
      </c>
      <c r="AM247">
        <f>AI247*AJ247*S247*U247*AK247</f>
        <v>0.0001407369547820312</v>
      </c>
      <c r="AN247">
        <f>AL247+AM247</f>
        <v>0.00032368633013454736</v>
      </c>
      <c r="AO247">
        <f>H247*AN247*L247</f>
        <v>0.35119966819598386</v>
      </c>
    </row>
    <row r="248">
      <c r="F248" t="str">
        <v>Winter</v>
      </c>
      <c r="G248" t="str">
        <v>June</v>
      </c>
      <c r="H248">
        <v>35</v>
      </c>
      <c r="I248">
        <v>0</v>
      </c>
      <c r="J248">
        <v>0</v>
      </c>
      <c r="L248">
        <v>30</v>
      </c>
      <c r="M248">
        <f>Tables!CC45</f>
        <v>0.1</v>
      </c>
      <c r="O248">
        <f>Tables!CC75</f>
        <v>0.6</v>
      </c>
      <c r="Q248">
        <f>Tables!CC103</f>
        <v>35</v>
      </c>
      <c r="R248">
        <f>1-S248</f>
        <v>0.008299999999999974</v>
      </c>
      <c r="S248">
        <f>S231</f>
        <v>0.9917</v>
      </c>
      <c r="T248">
        <f>T231</f>
        <v>0.73</v>
      </c>
      <c r="U248">
        <f>$AV$10</f>
        <v>0.0047</v>
      </c>
      <c r="V248">
        <f>(I248/100)*(MIN(J248,100)/100)</f>
        <v>0</v>
      </c>
      <c r="W248">
        <v>0</v>
      </c>
      <c r="X248">
        <f>1.6 * W248</f>
        <v>0</v>
      </c>
      <c r="Y248">
        <f>$AY$1</f>
        <v>1.3</v>
      </c>
      <c r="Z248">
        <f>V248*Y248+(1-V248)</f>
        <v>1</v>
      </c>
      <c r="AA248">
        <f>(0.795*O248)-0.0014</f>
        <v>0.47559999999999997</v>
      </c>
      <c r="AB248">
        <v>1.4</v>
      </c>
      <c r="AC248">
        <v>1.4</v>
      </c>
      <c r="AD248">
        <f>1 - EXP(-2*(AC248^2))</f>
        <v>0.9801589052556297</v>
      </c>
      <c r="AE248">
        <f>(104.7*AA248+0.307*Q248-15)*(Q248^0.75)*10^-3</f>
        <v>0.6553104766742477</v>
      </c>
      <c r="AF248">
        <f>AE248*AD248*Z248</f>
        <v>0.6423083994195754</v>
      </c>
      <c r="AG248">
        <f>(AF248 * M248) + (0.045 * X248)</f>
        <v>0.06423083994195754</v>
      </c>
      <c r="AH248">
        <f>$AV$2</f>
        <v>0.08</v>
      </c>
      <c r="AI248">
        <f>(AF248 * ((1 - O248) + (0.04 * AF248))) * ( 1 - AH248 )</f>
        <v>0.2515517019291134</v>
      </c>
      <c r="AJ248">
        <f>$AV$1</f>
        <v>0.19</v>
      </c>
      <c r="AK248">
        <f>$AW$20</f>
        <v>0.6784</v>
      </c>
      <c r="AL248">
        <f>AI248 * AJ248 * R248 * T248 * AK248</f>
        <v>0.00019645706551326883</v>
      </c>
      <c r="AM248">
        <f>AI248*AJ248*S248*U248*AK248</f>
        <v>0.00015112797784893445</v>
      </c>
      <c r="AN248">
        <f>AL248+AM248</f>
        <v>0.0003475850433622033</v>
      </c>
      <c r="AO248">
        <f>H248*AN248*L248</f>
        <v>0.36496429553031345</v>
      </c>
    </row>
    <row r="249">
      <c r="F249" t="str">
        <v>Winter</v>
      </c>
      <c r="G249" t="str">
        <v>July</v>
      </c>
      <c r="H249">
        <v>80</v>
      </c>
      <c r="I249">
        <v>0</v>
      </c>
      <c r="J249">
        <v>0</v>
      </c>
      <c r="L249">
        <v>31</v>
      </c>
      <c r="M249">
        <f>Tables!CC45</f>
        <v>0.1</v>
      </c>
      <c r="O249">
        <f>Tables!CC75</f>
        <v>0.6</v>
      </c>
      <c r="Q249">
        <f>Tables!CC103</f>
        <v>35</v>
      </c>
      <c r="R249">
        <f>1-S249</f>
        <v>0.008299999999999974</v>
      </c>
      <c r="S249">
        <f>S231</f>
        <v>0.9917</v>
      </c>
      <c r="T249">
        <f>T231</f>
        <v>0.73</v>
      </c>
      <c r="U249">
        <f>$AV$10</f>
        <v>0.0047</v>
      </c>
      <c r="V249">
        <f>(I249/100)*(MIN(J249,100)/100)</f>
        <v>0</v>
      </c>
      <c r="W249">
        <v>0</v>
      </c>
      <c r="X249">
        <f>1.6 * W249</f>
        <v>0</v>
      </c>
      <c r="Y249">
        <f>$AY$1</f>
        <v>1.3</v>
      </c>
      <c r="Z249">
        <f>V249*Y249+(1-V249)</f>
        <v>1</v>
      </c>
      <c r="AA249">
        <f>(0.795*O249)-0.0014</f>
        <v>0.47559999999999997</v>
      </c>
      <c r="AB249">
        <v>1.3</v>
      </c>
      <c r="AC249">
        <v>1.3</v>
      </c>
      <c r="AD249">
        <f>1 - EXP(-2*(AC249^2))</f>
        <v>0.9659525452654006</v>
      </c>
      <c r="AE249">
        <f>(104.7*AA249+0.307*Q249-15)*(Q249^0.75)*10^-3</f>
        <v>0.6553104766742477</v>
      </c>
      <c r="AF249">
        <f>AE249*AD249*Z249</f>
        <v>0.6329988228825725</v>
      </c>
      <c r="AG249">
        <f>(AF249 * M249) + (0.045 * X249)</f>
        <v>0.06329988228825725</v>
      </c>
      <c r="AH249">
        <f>$AV$2</f>
        <v>0.08</v>
      </c>
      <c r="AI249">
        <f>(AF249 * ((1 - O249) + (0.04 * AF249))) * ( 1 - AH249 )</f>
        <v>0.2476888671803493</v>
      </c>
      <c r="AJ249">
        <f>$AV$1</f>
        <v>0.19</v>
      </c>
      <c r="AK249">
        <f>$AW$20</f>
        <v>0.6784</v>
      </c>
      <c r="AL249">
        <f>AI249 * AJ249 * R249 * T249 * AK249</f>
        <v>0.00019344026549368985</v>
      </c>
      <c r="AM249">
        <f>AI249*AJ249*S249*U249*AK249</f>
        <v>0.00014880725252738674</v>
      </c>
      <c r="AN249">
        <f>AL249+AM249</f>
        <v>0.0003422475180210766</v>
      </c>
      <c r="AO249">
        <f>H249*AN249*L249</f>
        <v>0.8487738446922699</v>
      </c>
    </row>
    <row r="250">
      <c r="F250" t="str">
        <v>Winter</v>
      </c>
      <c r="G250" t="str">
        <v>August</v>
      </c>
      <c r="H250">
        <v>90</v>
      </c>
      <c r="I250">
        <v>0</v>
      </c>
      <c r="J250">
        <v>0</v>
      </c>
      <c r="L250">
        <v>31</v>
      </c>
      <c r="M250">
        <f>Tables!CC45</f>
        <v>0.1</v>
      </c>
      <c r="O250">
        <f>Tables!CC75</f>
        <v>0.6</v>
      </c>
      <c r="Q250">
        <f>Tables!CC103</f>
        <v>35</v>
      </c>
      <c r="R250">
        <f>1-S250</f>
        <v>0.008299999999999974</v>
      </c>
      <c r="S250">
        <f>S231</f>
        <v>0.9917</v>
      </c>
      <c r="T250">
        <f>T231</f>
        <v>0.73</v>
      </c>
      <c r="U250">
        <f>$AV$10</f>
        <v>0.0047</v>
      </c>
      <c r="V250">
        <f>(I250/100)*(MIN(J250,100)/100)</f>
        <v>0</v>
      </c>
      <c r="W250">
        <v>0</v>
      </c>
      <c r="X250">
        <f>1.6 * W250</f>
        <v>0</v>
      </c>
      <c r="Y250">
        <f>$AY$1</f>
        <v>1.3</v>
      </c>
      <c r="Z250">
        <f>V250*Y250+(1-V250)</f>
        <v>1</v>
      </c>
      <c r="AA250">
        <f>(0.795*O250)-0.0014</f>
        <v>0.47559999999999997</v>
      </c>
      <c r="AB250">
        <v>1.1</v>
      </c>
      <c r="AC250">
        <v>1.1</v>
      </c>
      <c r="AD250">
        <f>1 - EXP(-2*(AC250^2))</f>
        <v>0.9110783825406137</v>
      </c>
      <c r="AE250">
        <f>(104.7*AA250+0.307*Q250-15)*(Q250^0.75)*10^-3</f>
        <v>0.6553104766742477</v>
      </c>
      <c r="AF250">
        <f>AE250*AD250*Z250</f>
        <v>0.5970392091502922</v>
      </c>
      <c r="AG250">
        <f>(AF250 * M250) + (0.045 * X250)</f>
        <v>0.05970392091502922</v>
      </c>
      <c r="AH250">
        <f>$AV$2</f>
        <v>0.08</v>
      </c>
      <c r="AI250">
        <f>(AF250 * ((1 - O250) + (0.04 * AF250))) * ( 1 - AH250 )</f>
        <v>0.23282800304257883</v>
      </c>
      <c r="AJ250">
        <f>$AV$1</f>
        <v>0.19</v>
      </c>
      <c r="AK250">
        <f>$AW$20</f>
        <v>0.6784</v>
      </c>
      <c r="AL250">
        <f>AI250 * AJ250 * R250 * T250 * AK250</f>
        <v>0.0001818342149795873</v>
      </c>
      <c r="AM250">
        <f>AI250*AJ250*S250*U250*AK250</f>
        <v>0.00013987909847791867</v>
      </c>
      <c r="AN250">
        <f>AL250+AM250</f>
        <v>0.000321713313457506</v>
      </c>
      <c r="AO250">
        <f>H250*AN250*L250</f>
        <v>0.8975801445464417</v>
      </c>
    </row>
    <row r="251">
      <c r="F251" t="str">
        <v>Spring</v>
      </c>
      <c r="G251" t="str">
        <v>September</v>
      </c>
      <c r="H251">
        <v>90</v>
      </c>
      <c r="I251">
        <v>0</v>
      </c>
      <c r="J251">
        <v>0</v>
      </c>
      <c r="K251">
        <v>20</v>
      </c>
      <c r="L251">
        <v>20</v>
      </c>
      <c r="M251">
        <f>Tables!CC42</f>
        <v>0.16</v>
      </c>
      <c r="O251">
        <f>Tables!CC72</f>
        <v>0.7</v>
      </c>
      <c r="Q251">
        <f>Tables!CC100</f>
        <v>22</v>
      </c>
      <c r="R251">
        <f>1-S251</f>
        <v>0.008299999999999974</v>
      </c>
      <c r="S251">
        <f>S231</f>
        <v>0.9917</v>
      </c>
      <c r="T251">
        <f>T231</f>
        <v>0.73</v>
      </c>
      <c r="U251">
        <f>$AV$10</f>
        <v>0.0047</v>
      </c>
      <c r="V251">
        <f>(I251/100)*(MIN(J251,100)/100)</f>
        <v>0</v>
      </c>
      <c r="W251">
        <v>0</v>
      </c>
      <c r="X251">
        <f>1.6 * W251</f>
        <v>0</v>
      </c>
      <c r="Y251">
        <f>$AY$1</f>
        <v>1.3</v>
      </c>
      <c r="Z251">
        <f>V251*Y251+(1-V251)</f>
        <v>1</v>
      </c>
      <c r="AA251">
        <f>(0.795*O251)-0.0014</f>
        <v>0.5551</v>
      </c>
      <c r="AC251">
        <f>Tables!CC171</f>
        <v>3.2</v>
      </c>
      <c r="AD251">
        <f>1 - EXP(-2*(AC251^2))</f>
        <v>0.9999999987245923</v>
      </c>
      <c r="AE251">
        <f>(104.7*AA251+0.307*Q251-15)*(Q251^0.75)*10^-3</f>
        <v>0.5066198971454788</v>
      </c>
      <c r="AF251">
        <f>AE251*AD251*Z251</f>
        <v>0.5066198964993319</v>
      </c>
      <c r="AG251">
        <f>(AF251 * M251) + (0.045 * X251)</f>
        <v>0.08105918343989311</v>
      </c>
      <c r="AH251">
        <f>$AV$2</f>
        <v>0.08</v>
      </c>
      <c r="AI251">
        <f>(AF251 * ((1 - O251) + (0.04 * AF251))) * ( 1 - AH251 )</f>
        <v>0.14927231631248258</v>
      </c>
      <c r="AJ251">
        <f>$AV$1</f>
        <v>0.19</v>
      </c>
      <c r="AK251">
        <f>$AW$20</f>
        <v>0.6784</v>
      </c>
      <c r="AL251">
        <f>AI251 * AJ251 * R251 * T251 * AK251</f>
        <v>0.00011657882256500357</v>
      </c>
      <c r="AM251">
        <f>AI251*AJ251*S251*U251*AK251</f>
        <v>0.0000896802650911467</v>
      </c>
      <c r="AN251">
        <f>AL251+AM251</f>
        <v>0.00020625908765615027</v>
      </c>
      <c r="AO251">
        <f>H251*AN251*L251</f>
        <v>0.3712663577810705</v>
      </c>
    </row>
    <row r="252">
      <c r="F252" t="str">
        <v>Spring</v>
      </c>
      <c r="G252" t="str">
        <v>October</v>
      </c>
      <c r="H252">
        <v>95</v>
      </c>
      <c r="I252">
        <v>0</v>
      </c>
      <c r="J252">
        <v>0</v>
      </c>
      <c r="L252">
        <v>31</v>
      </c>
      <c r="M252">
        <f>Tables!CC42</f>
        <v>0.16</v>
      </c>
      <c r="O252">
        <f>Tables!CC72</f>
        <v>0.7</v>
      </c>
      <c r="Q252">
        <f>Tables!CC100</f>
        <v>22</v>
      </c>
      <c r="R252">
        <f>1-S252</f>
        <v>0.008299999999999974</v>
      </c>
      <c r="S252">
        <f>S231</f>
        <v>0.9917</v>
      </c>
      <c r="T252">
        <f>T231</f>
        <v>0.73</v>
      </c>
      <c r="U252">
        <f>$AV$10</f>
        <v>0.0047</v>
      </c>
      <c r="V252">
        <f>(I252/100)*(MIN(J252,100)/100)</f>
        <v>0</v>
      </c>
      <c r="W252">
        <v>0</v>
      </c>
      <c r="X252">
        <f>1.6 * W252</f>
        <v>0</v>
      </c>
      <c r="Y252">
        <f>$AY$1</f>
        <v>1.3</v>
      </c>
      <c r="Z252">
        <f>V252*Y252+(1-V252)</f>
        <v>1</v>
      </c>
      <c r="AA252">
        <f>(0.795*O252)-0.0014</f>
        <v>0.5551</v>
      </c>
      <c r="AC252">
        <f>Tables!CC171</f>
        <v>3.2</v>
      </c>
      <c r="AD252">
        <f>1 - EXP(-2*(AC252^2))</f>
        <v>0.9999999987245923</v>
      </c>
      <c r="AE252">
        <f>(104.7*AA252+0.307*Q252-15)*(Q252^0.75)*10^-3</f>
        <v>0.5066198971454788</v>
      </c>
      <c r="AF252">
        <f>AE252*AD252*Z252</f>
        <v>0.5066198964993319</v>
      </c>
      <c r="AG252">
        <f>(AF252 * M252) + (0.045 * X252)</f>
        <v>0.08105918343989311</v>
      </c>
      <c r="AH252">
        <f>$AV$2</f>
        <v>0.08</v>
      </c>
      <c r="AI252">
        <f>(AF252 * ((1 - O252) + (0.04 * AF252))) * ( 1 - AH252 )</f>
        <v>0.14927231631248258</v>
      </c>
      <c r="AJ252">
        <f>$AV$1</f>
        <v>0.19</v>
      </c>
      <c r="AK252">
        <f>$AW$20</f>
        <v>0.6784</v>
      </c>
      <c r="AL252">
        <f>AI252 * AJ252 * R252 * T252 * AK252</f>
        <v>0.00011657882256500357</v>
      </c>
      <c r="AM252">
        <f>AI252*AJ252*S252*U252*AK252</f>
        <v>0.0000896802650911467</v>
      </c>
      <c r="AN252">
        <f>AL252+AM252</f>
        <v>0.00020625908765615027</v>
      </c>
      <c r="AO252">
        <f>H252*AN252*L252</f>
        <v>0.6074330131473625</v>
      </c>
    </row>
    <row r="253">
      <c r="F253" t="str">
        <v>Spring</v>
      </c>
      <c r="G253" t="str">
        <v>November</v>
      </c>
      <c r="H253">
        <v>90</v>
      </c>
      <c r="I253">
        <v>0</v>
      </c>
      <c r="J253">
        <v>0</v>
      </c>
      <c r="L253">
        <v>30</v>
      </c>
      <c r="M253">
        <f>Tables!CC42</f>
        <v>0.16</v>
      </c>
      <c r="O253">
        <f>Tables!CC72</f>
        <v>0.7</v>
      </c>
      <c r="Q253">
        <f>Tables!CC100</f>
        <v>22</v>
      </c>
      <c r="R253">
        <f>1-S253</f>
        <v>0.008299999999999974</v>
      </c>
      <c r="S253">
        <f>S231</f>
        <v>0.9917</v>
      </c>
      <c r="T253">
        <f>T231</f>
        <v>0.73</v>
      </c>
      <c r="U253">
        <f>$AV$10</f>
        <v>0.0047</v>
      </c>
      <c r="V253">
        <f>(I253/100)*(MIN(J253,100)/100)</f>
        <v>0</v>
      </c>
      <c r="W253">
        <v>0</v>
      </c>
      <c r="X253">
        <f>1.6 * W253</f>
        <v>0</v>
      </c>
      <c r="Y253">
        <f>$AY$1</f>
        <v>1.3</v>
      </c>
      <c r="Z253">
        <f>V253*Y253+(1-V253)</f>
        <v>1</v>
      </c>
      <c r="AA253">
        <f>(0.795*O253)-0.0014</f>
        <v>0.5551</v>
      </c>
      <c r="AC253">
        <f>Tables!CC171</f>
        <v>3.2</v>
      </c>
      <c r="AD253">
        <f>1 - EXP(-2*(AC253^2))</f>
        <v>0.9999999987245923</v>
      </c>
      <c r="AE253">
        <f>(104.7*AA253+0.307*Q253-15)*(Q253^0.75)*10^-3</f>
        <v>0.5066198971454788</v>
      </c>
      <c r="AF253">
        <f>AE253*AD253*Z253</f>
        <v>0.5066198964993319</v>
      </c>
      <c r="AG253">
        <f>(AF253 * M253) + (0.045 * X253)</f>
        <v>0.08105918343989311</v>
      </c>
      <c r="AH253">
        <f>$AV$2</f>
        <v>0.08</v>
      </c>
      <c r="AI253">
        <f>(AF253 * ((1 - O253) + (0.04 * AF253))) * ( 1 - AH253 )</f>
        <v>0.14927231631248258</v>
      </c>
      <c r="AJ253">
        <f>$AV$1</f>
        <v>0.19</v>
      </c>
      <c r="AK253">
        <f>$AW$20</f>
        <v>0.6784</v>
      </c>
      <c r="AL253">
        <f>AI253 * AJ253 * R253 * T253 * AK253</f>
        <v>0.00011657882256500357</v>
      </c>
      <c r="AM253">
        <f>AI253*AJ253*S253*U253*AK253</f>
        <v>0.0000896802650911467</v>
      </c>
      <c r="AN253">
        <f>AL253+AM253</f>
        <v>0.00020625908765615027</v>
      </c>
      <c r="AO253">
        <f>H253*AN253*L253</f>
        <v>0.5568995366716057</v>
      </c>
    </row>
    <row r="254">
      <c r="F254" t="str">
        <v>Summer</v>
      </c>
      <c r="G254" t="str">
        <v>December</v>
      </c>
      <c r="H254">
        <v>60</v>
      </c>
      <c r="I254">
        <v>0</v>
      </c>
      <c r="J254">
        <v>0</v>
      </c>
      <c r="L254">
        <v>31</v>
      </c>
      <c r="M254">
        <f>Tables!CC43</f>
        <v>0.07</v>
      </c>
      <c r="O254">
        <f>Tables!CC73</f>
        <v>0.55</v>
      </c>
      <c r="Q254">
        <f>Tables!CC101</f>
        <v>28</v>
      </c>
      <c r="R254">
        <f>$R$231</f>
        <v>0.008299999999999974</v>
      </c>
      <c r="S254">
        <f>$S$231</f>
        <v>0.9917</v>
      </c>
      <c r="T254">
        <f>$T$231</f>
        <v>0.73</v>
      </c>
      <c r="U254">
        <f>$AV$10</f>
        <v>0.0047</v>
      </c>
      <c r="V254">
        <f>(I254/100)*(MIN(J254,100)/100)</f>
        <v>0</v>
      </c>
      <c r="W254">
        <v>0</v>
      </c>
      <c r="X254">
        <f>1.6 * W254</f>
        <v>0</v>
      </c>
      <c r="Y254">
        <f>$AY$1</f>
        <v>1.3</v>
      </c>
      <c r="Z254">
        <f>V254*Y254+(1-V254)</f>
        <v>1</v>
      </c>
      <c r="AA254">
        <f>(0.795*O254)-0.0014</f>
        <v>0.43585000000000007</v>
      </c>
      <c r="AC254">
        <f>Tables!CC172</f>
        <v>3</v>
      </c>
      <c r="AD254">
        <f>1 - EXP(-2*(AC254^2))</f>
        <v>0.9999999847700203</v>
      </c>
      <c r="AE254">
        <f>(104.7*AA254+0.307*Q254-15)*(Q254^0.75)*10^-3</f>
        <v>0.47750864762612716</v>
      </c>
      <c r="AF254">
        <f>AE254*AD254*Z254</f>
        <v>0.4775086403536801</v>
      </c>
      <c r="AG254">
        <f>(AF254 * M254) + (0.045 * X254)</f>
        <v>0.033425604824757614</v>
      </c>
      <c r="AH254">
        <f>$AV$2</f>
        <v>0.08</v>
      </c>
      <c r="AI254">
        <f>(AF254 * ((1 - O254) + (0.04 * AF254))) * ( 1 - AH254 )</f>
        <v>0.20607951076576064</v>
      </c>
      <c r="AJ254">
        <f>$AV$1</f>
        <v>0.19</v>
      </c>
      <c r="AK254">
        <f>$AW$20</f>
        <v>0.6784</v>
      </c>
      <c r="AL254">
        <f>AI254 * AJ254 * R254 * T254 * AK254</f>
        <v>0.00016094415437054054</v>
      </c>
      <c r="AM254">
        <f>AI254*AJ254*S254*U254*AK254</f>
        <v>0.0001238090599240053</v>
      </c>
      <c r="AN254">
        <f>AL254+AM254</f>
        <v>0.00028475321429454587</v>
      </c>
      <c r="AO254">
        <f>H254*AN254*L254</f>
        <v>0.5296409785878553</v>
      </c>
    </row>
    <row r="255">
      <c r="E255" t="str">
        <v>Rams</v>
      </c>
      <c r="F255" t="str">
        <v>Summer</v>
      </c>
      <c r="G255" t="str">
        <v>January</v>
      </c>
      <c r="H255">
        <v>20</v>
      </c>
      <c r="I255">
        <v>0</v>
      </c>
      <c r="J255">
        <v>0</v>
      </c>
      <c r="L255">
        <v>31</v>
      </c>
      <c r="M255">
        <f>Tables!CC47</f>
        <v>0.07</v>
      </c>
      <c r="O255">
        <f>Tables!CC85</f>
        <v>0.55</v>
      </c>
      <c r="P255">
        <v>66</v>
      </c>
      <c r="Q255">
        <v>66</v>
      </c>
      <c r="R255">
        <f>$R$231</f>
        <v>0.008299999999999974</v>
      </c>
      <c r="S255">
        <f>$S$231</f>
        <v>0.9917</v>
      </c>
      <c r="T255">
        <f>$T$231</f>
        <v>0.73</v>
      </c>
      <c r="U255">
        <f>$AV$10</f>
        <v>0.0047</v>
      </c>
      <c r="V255">
        <f>(I255/100)*(MIN(J255,100)/100)</f>
        <v>0</v>
      </c>
      <c r="W255">
        <v>0</v>
      </c>
      <c r="X255">
        <f>1.6 * W255</f>
        <v>0</v>
      </c>
      <c r="Y255">
        <f>$AY$1</f>
        <v>1.3</v>
      </c>
      <c r="Z255">
        <f>V255*Y255+(1-V255)</f>
        <v>1</v>
      </c>
      <c r="AA255">
        <f>(0.795*O255)-0.0014</f>
        <v>0.43585000000000007</v>
      </c>
      <c r="AC255">
        <f>Tables!CC184</f>
        <v>3</v>
      </c>
      <c r="AD255">
        <f>1 - EXP(-2*(AC255^2))</f>
        <v>0.9999999847700203</v>
      </c>
      <c r="AE255">
        <f>(104.7*AA255+0.307*Q255-15)*(Q255^0.75)*10^-3</f>
        <v>1.1785209149153895</v>
      </c>
      <c r="AF255">
        <f>AE255*AD255*Z255</f>
        <v>1.1785208969665397</v>
      </c>
      <c r="AG255">
        <f>(AF255 * M255) + (0.045 * X255)</f>
        <v>0.08249646278765779</v>
      </c>
      <c r="AH255">
        <f>$AV$2</f>
        <v>0.08</v>
      </c>
      <c r="AI255">
        <f>(AF255 * ((1 - O255) + (0.04 * AF255))) * ( 1 - AH255 )</f>
        <v>0.5390195947129423</v>
      </c>
      <c r="AJ255">
        <f>$AV$1</f>
        <v>0.19</v>
      </c>
      <c r="AK255">
        <f>$AW$20</f>
        <v>0.6784</v>
      </c>
      <c r="AL255">
        <f>AI255 * AJ255 * R255 * T255 * AK255</f>
        <v>0.0004209639887918422</v>
      </c>
      <c r="AM255">
        <f>AI255*AJ255*S255*U255*AK255</f>
        <v>0.0003238337914043398</v>
      </c>
      <c r="AN255">
        <f>AL255+AM255</f>
        <v>0.0007447977801961819</v>
      </c>
      <c r="AO255">
        <f>H255*AN255*L255</f>
        <v>0.4617746237216328</v>
      </c>
    </row>
    <row r="256">
      <c r="F256" t="str">
        <v>Summer</v>
      </c>
      <c r="G256" t="str">
        <v>February</v>
      </c>
      <c r="H256">
        <v>15</v>
      </c>
      <c r="I256">
        <v>0</v>
      </c>
      <c r="J256">
        <v>0</v>
      </c>
      <c r="L256">
        <v>28</v>
      </c>
      <c r="M256">
        <f>Tables!CC47</f>
        <v>0.07</v>
      </c>
      <c r="O256">
        <f>Tables!CC85</f>
        <v>0.55</v>
      </c>
      <c r="P256">
        <v>67</v>
      </c>
      <c r="Q256">
        <v>67</v>
      </c>
      <c r="R256">
        <f>$R$231</f>
        <v>0.008299999999999974</v>
      </c>
      <c r="S256">
        <f>$S$231</f>
        <v>0.9917</v>
      </c>
      <c r="T256">
        <f>$T$231</f>
        <v>0.73</v>
      </c>
      <c r="U256">
        <f>$AV$10</f>
        <v>0.0047</v>
      </c>
      <c r="V256">
        <f>(I256/100)*(MIN(J256,100)/100)</f>
        <v>0</v>
      </c>
      <c r="W256">
        <v>0</v>
      </c>
      <c r="X256">
        <f>1.6 * W256</f>
        <v>0</v>
      </c>
      <c r="Y256">
        <f>$AY$1</f>
        <v>1.3</v>
      </c>
      <c r="Z256">
        <f>V256*Y256+(1-V256)</f>
        <v>1</v>
      </c>
      <c r="AA256">
        <f>(0.795*O256)-0.0014</f>
        <v>0.43585000000000007</v>
      </c>
      <c r="AC256">
        <f>Tables!CC184</f>
        <v>3</v>
      </c>
      <c r="AD256">
        <f>1 - EXP(-2*(AC256^2))</f>
        <v>0.9999999847700203</v>
      </c>
      <c r="AE256">
        <f>(104.7*AA256+0.307*Q256-15)*(Q256^0.75)*10^-3</f>
        <v>1.199077422939921</v>
      </c>
      <c r="AF256">
        <f>AE256*AD256*Z256</f>
        <v>1.1990774046779962</v>
      </c>
      <c r="AG256">
        <f>(AF256 * M256) + (0.045 * X256)</f>
        <v>0.08393541832745974</v>
      </c>
      <c r="AH256">
        <f>$AV$2</f>
        <v>0.08</v>
      </c>
      <c r="AI256">
        <f>(AF256 * ((1 - O256) + (0.04 * AF256))) * ( 1 - AH256 )</f>
        <v>0.5493285932413534</v>
      </c>
      <c r="AJ256">
        <f>$AV$1</f>
        <v>0.19</v>
      </c>
      <c r="AK256">
        <f>$AW$20</f>
        <v>0.6784</v>
      </c>
      <c r="AL256">
        <f>AI256 * AJ256 * R256 * T256 * AK256</f>
        <v>0.00042901511936953545</v>
      </c>
      <c r="AM256">
        <f>AI256*AJ256*S256*U256*AK256</f>
        <v>0.0003300272621274496</v>
      </c>
      <c r="AN256">
        <f>AL256+AM256</f>
        <v>0.0007590423814969851</v>
      </c>
      <c r="AO256">
        <f>H256*AN256*L256</f>
        <v>0.3187978002287337</v>
      </c>
    </row>
    <row r="257">
      <c r="F257" t="str">
        <v>Autumn</v>
      </c>
      <c r="G257" t="str">
        <v>March</v>
      </c>
      <c r="H257">
        <v>10</v>
      </c>
      <c r="I257">
        <v>0</v>
      </c>
      <c r="J257">
        <v>0</v>
      </c>
      <c r="L257">
        <v>31</v>
      </c>
      <c r="M257">
        <f>Tables!CC48</f>
        <v>0.13</v>
      </c>
      <c r="O257">
        <f>Tables!CC78</f>
        <v>0.65</v>
      </c>
      <c r="P257">
        <v>68</v>
      </c>
      <c r="Q257">
        <v>68</v>
      </c>
      <c r="R257">
        <f>$R$231</f>
        <v>0.008299999999999974</v>
      </c>
      <c r="S257">
        <f>$S$231</f>
        <v>0.9917</v>
      </c>
      <c r="T257">
        <f>$T$231</f>
        <v>0.73</v>
      </c>
      <c r="U257">
        <f>$AV$10</f>
        <v>0.0047</v>
      </c>
      <c r="V257">
        <f>(I257/100)*(MIN(J257,100)/100)</f>
        <v>0</v>
      </c>
      <c r="W257">
        <v>0</v>
      </c>
      <c r="X257">
        <f>1.6 * W257</f>
        <v>0</v>
      </c>
      <c r="Y257">
        <f>$AY$1</f>
        <v>1.3</v>
      </c>
      <c r="Z257">
        <f>V257*Y257+(1-V257)</f>
        <v>1</v>
      </c>
      <c r="AA257">
        <f>(0.795*O257)-0.0014</f>
        <v>0.5153500000000001</v>
      </c>
      <c r="AC257">
        <f>Tables!CC185</f>
        <v>1.8</v>
      </c>
      <c r="AD257">
        <f>1 - EXP(-2*(AC257^2))</f>
        <v>0.9984661893206755</v>
      </c>
      <c r="AE257">
        <f>(104.7*AA257+0.307*Q257-15)*(Q257^0.75)*10^-3</f>
        <v>1.4168488294882187</v>
      </c>
      <c r="AF257">
        <f>AE257*AD257*Z257</f>
        <v>1.4146756516225614</v>
      </c>
      <c r="AG257">
        <f>(AF257 * M257) + (0.045 * X257)</f>
        <v>0.18390783471093297</v>
      </c>
      <c r="AH257">
        <f>$AV$2</f>
        <v>0.08</v>
      </c>
      <c r="AI257">
        <f>(AF257 * ((1 - O257) + (0.04 * AF257))) * ( 1 - AH257 )</f>
        <v>0.5291736647564736</v>
      </c>
      <c r="AJ257">
        <f>$AV$1</f>
        <v>0.19</v>
      </c>
      <c r="AK257">
        <f>$AW$20</f>
        <v>0.6784</v>
      </c>
      <c r="AL257">
        <f>AI257 * AJ257 * R257 * T257 * AK257</f>
        <v>0.0004132745059075558</v>
      </c>
      <c r="AM257">
        <f>AI257*AJ257*S257*U257*AK257</f>
        <v>0.00031791852439182455</v>
      </c>
      <c r="AN257">
        <f>AL257+AM257</f>
        <v>0.0007311930302993804</v>
      </c>
      <c r="AO257">
        <f>H257*AN257*L257</f>
        <v>0.22666983939280794</v>
      </c>
    </row>
    <row r="258">
      <c r="F258" t="str">
        <v>Autumn</v>
      </c>
      <c r="G258" t="str">
        <v>April</v>
      </c>
      <c r="H258">
        <v>25</v>
      </c>
      <c r="I258">
        <v>0</v>
      </c>
      <c r="J258">
        <v>0</v>
      </c>
      <c r="L258">
        <v>30</v>
      </c>
      <c r="M258">
        <f>Tables!CC48</f>
        <v>0.13</v>
      </c>
      <c r="O258">
        <f>Tables!CC78</f>
        <v>0.65</v>
      </c>
      <c r="P258">
        <v>67</v>
      </c>
      <c r="Q258">
        <v>67</v>
      </c>
      <c r="R258">
        <f>$R$231</f>
        <v>0.008299999999999974</v>
      </c>
      <c r="S258">
        <f>$S$231</f>
        <v>0.9917</v>
      </c>
      <c r="T258">
        <f>$T$231</f>
        <v>0.73</v>
      </c>
      <c r="U258">
        <f>$AV$10</f>
        <v>0.0047</v>
      </c>
      <c r="V258">
        <f>(I258/100)*(MIN(J258,100)/100)</f>
        <v>0</v>
      </c>
      <c r="W258">
        <v>0</v>
      </c>
      <c r="X258">
        <f>1.6 * W258</f>
        <v>0</v>
      </c>
      <c r="Y258">
        <f>$AY$1</f>
        <v>1.3</v>
      </c>
      <c r="Z258">
        <f>V258*Y258+(1-V258)</f>
        <v>1</v>
      </c>
      <c r="AA258">
        <f>(0.795*O258)-0.0014</f>
        <v>0.5153500000000001</v>
      </c>
      <c r="AC258">
        <f>Tables!CC185</f>
        <v>1.8</v>
      </c>
      <c r="AD258">
        <f>1 - EXP(-2*(AC258^2))</f>
        <v>0.9984661893206755</v>
      </c>
      <c r="AE258">
        <f>(104.7*AA258+0.307*Q258-15)*(Q258^0.75)*10^-3</f>
        <v>1.3940034864345587</v>
      </c>
      <c r="AF258">
        <f>AE258*AD258*Z258</f>
        <v>1.3918653490000499</v>
      </c>
      <c r="AG258">
        <f>(AF258 * M258) + (0.045 * X258)</f>
        <v>0.18094249537000648</v>
      </c>
      <c r="AH258">
        <f>$AV$2</f>
        <v>0.08</v>
      </c>
      <c r="AI258">
        <f>(AF258 * ((1 - O258) + (0.04 * AF258))) * ( 1 - AH258 )</f>
        <v>0.5194728830887068</v>
      </c>
      <c r="AJ258">
        <f>$AV$1</f>
        <v>0.19</v>
      </c>
      <c r="AK258">
        <f>$AW$20</f>
        <v>0.6784</v>
      </c>
      <c r="AL258">
        <f>AI258 * AJ258 * R258 * T258 * AK258</f>
        <v>0.0004056983810591879</v>
      </c>
      <c r="AM258">
        <f>AI258*AJ258*S258*U258*AK258</f>
        <v>0.00031209045999885634</v>
      </c>
      <c r="AN258">
        <f>AL258+AM258</f>
        <v>0.0007177888410580442</v>
      </c>
      <c r="AO258">
        <f>H258*AN258*L258</f>
        <v>0.5383416307935331</v>
      </c>
    </row>
    <row r="259">
      <c r="F259" t="str">
        <v>Autumn</v>
      </c>
      <c r="G259" t="str">
        <v>May</v>
      </c>
      <c r="H259">
        <v>25</v>
      </c>
      <c r="I259">
        <v>0</v>
      </c>
      <c r="J259">
        <v>0</v>
      </c>
      <c r="L259">
        <v>31</v>
      </c>
      <c r="M259">
        <f>Tables!CC48</f>
        <v>0.13</v>
      </c>
      <c r="O259">
        <f>Tables!CC78</f>
        <v>0.65</v>
      </c>
      <c r="Q259">
        <f>Tables!CC114</f>
        <v>65</v>
      </c>
      <c r="R259">
        <f>$R$231</f>
        <v>0.008299999999999974</v>
      </c>
      <c r="S259">
        <f>$S$231</f>
        <v>0.9917</v>
      </c>
      <c r="T259">
        <f>$T$231</f>
        <v>0.73</v>
      </c>
      <c r="U259">
        <f>$AV$10</f>
        <v>0.0047</v>
      </c>
      <c r="V259">
        <f>(I259/100)*(MIN(J259,100)/100)</f>
        <v>0</v>
      </c>
      <c r="W259">
        <v>0</v>
      </c>
      <c r="X259">
        <f>1.6 * W259</f>
        <v>0</v>
      </c>
      <c r="Y259">
        <f>$AY$1</f>
        <v>1.3</v>
      </c>
      <c r="Z259">
        <f>V259*Y259+(1-V259)</f>
        <v>1</v>
      </c>
      <c r="AA259">
        <f>(0.795*O259)-0.0014</f>
        <v>0.5153500000000001</v>
      </c>
      <c r="AC259">
        <f>Tables!CC185</f>
        <v>1.8</v>
      </c>
      <c r="AD259">
        <f>1 - EXP(-2*(AC259^2))</f>
        <v>0.9984661893206755</v>
      </c>
      <c r="AE259">
        <f>(104.7*AA259+0.307*Q259-15)*(Q259^0.75)*10^-3</f>
        <v>1.3486207988995054</v>
      </c>
      <c r="AF259">
        <f>AE259*AD259*Z259</f>
        <v>1.3465522699157941</v>
      </c>
      <c r="AG259">
        <f>(AF259 * M259) + (0.045 * X259)</f>
        <v>0.17505179508905325</v>
      </c>
      <c r="AH259">
        <f>$AV$2</f>
        <v>0.08</v>
      </c>
      <c r="AI259">
        <f>(AF259 * ((1 - O259) + (0.04 * AF259))) * ( 1 - AH259 )</f>
        <v>0.5003157018875316</v>
      </c>
      <c r="AJ259">
        <f>$AV$1</f>
        <v>0.19</v>
      </c>
      <c r="AK259">
        <f>$AW$20</f>
        <v>0.6784</v>
      </c>
      <c r="AL259">
        <f>AI259 * AJ259 * R259 * T259 * AK259</f>
        <v>0.0003907369891328896</v>
      </c>
      <c r="AM259">
        <f>AI259*AJ259*S259*U259*AK259</f>
        <v>0.0003005811518366914</v>
      </c>
      <c r="AN259">
        <f>AL259+AM259</f>
        <v>0.0006913181409695811</v>
      </c>
      <c r="AO259">
        <f>H259*AN259*L259</f>
        <v>0.5357715592514254</v>
      </c>
    </row>
    <row r="260">
      <c r="F260" t="str">
        <v>Winter</v>
      </c>
      <c r="G260" t="str">
        <v>June</v>
      </c>
      <c r="H260">
        <v>22</v>
      </c>
      <c r="I260">
        <v>0</v>
      </c>
      <c r="J260">
        <v>0</v>
      </c>
      <c r="L260">
        <v>30</v>
      </c>
      <c r="M260">
        <f>Tables!CC49</f>
        <v>0.1</v>
      </c>
      <c r="O260">
        <f>Tables!CC79</f>
        <v>0.6</v>
      </c>
      <c r="Q260">
        <f>Tables!CC115</f>
        <v>60</v>
      </c>
      <c r="R260">
        <f>$R$231</f>
        <v>0.008299999999999974</v>
      </c>
      <c r="S260">
        <f>$S$231</f>
        <v>0.9917</v>
      </c>
      <c r="T260">
        <f>$T$231</f>
        <v>0.73</v>
      </c>
      <c r="U260">
        <f>$AV$10</f>
        <v>0.0047</v>
      </c>
      <c r="V260">
        <f>(I260/100)*(MIN(J260,100)/100)</f>
        <v>0</v>
      </c>
      <c r="W260">
        <v>0</v>
      </c>
      <c r="X260">
        <f>1.6 * W260</f>
        <v>0</v>
      </c>
      <c r="Y260">
        <f>$AY$1</f>
        <v>1.3</v>
      </c>
      <c r="Z260">
        <f>V260*Y260+(1-V260)</f>
        <v>1</v>
      </c>
      <c r="AA260">
        <f>(0.795*O260)-0.0014</f>
        <v>0.47559999999999997</v>
      </c>
      <c r="AC260">
        <f>Tables!CC186</f>
        <v>1</v>
      </c>
      <c r="AD260">
        <f>1 - EXP(-2*(AC260^2))</f>
        <v>0.8646647167633873</v>
      </c>
      <c r="AE260">
        <f>(104.7*AA260+0.307*Q260-15)*(Q260^0.75)*10^-3</f>
        <v>1.1472289977258807</v>
      </c>
      <c r="AF260">
        <f>AE260*AD260*Z260</f>
        <v>0.9919684363813933</v>
      </c>
      <c r="AG260">
        <f>(AF260 * M260) + (0.045 * X260)</f>
        <v>0.09919684363813934</v>
      </c>
      <c r="AH260">
        <f>$AV$2</f>
        <v>0.08</v>
      </c>
      <c r="AI260">
        <f>(AF260 * ((1 - O260) + (0.04 * AF260))) * ( 1 - AH260 )</f>
        <v>0.40125563532734443</v>
      </c>
      <c r="AJ260">
        <f>$AV$1</f>
        <v>0.19</v>
      </c>
      <c r="AK260">
        <f>$AW$20</f>
        <v>0.6784</v>
      </c>
      <c r="AL260">
        <f>AI260 * AJ260 * R260 * T260 * AK260</f>
        <v>0.0003133729727628174</v>
      </c>
      <c r="AM260">
        <f>AI260*AJ260*S260*U260*AK260</f>
        <v>0.00024106755113348225</v>
      </c>
      <c r="AN260">
        <f>AL260+AM260</f>
        <v>0.0005544405238962996</v>
      </c>
      <c r="AO260">
        <f>H260*AN260*L260</f>
        <v>0.36593074577155776</v>
      </c>
    </row>
    <row r="261">
      <c r="F261" t="str">
        <v>Winter</v>
      </c>
      <c r="G261" t="str">
        <v>July</v>
      </c>
      <c r="H261">
        <v>22</v>
      </c>
      <c r="I261">
        <v>0</v>
      </c>
      <c r="J261">
        <v>0</v>
      </c>
      <c r="L261">
        <v>31</v>
      </c>
      <c r="M261">
        <f>Tables!CC49</f>
        <v>0.1</v>
      </c>
      <c r="O261">
        <f>Tables!CC79</f>
        <v>0.6</v>
      </c>
      <c r="Q261">
        <f>Tables!CC115</f>
        <v>60</v>
      </c>
      <c r="R261">
        <f>$R$231</f>
        <v>0.008299999999999974</v>
      </c>
      <c r="S261">
        <f>$S$231</f>
        <v>0.9917</v>
      </c>
      <c r="T261">
        <f>$T$231</f>
        <v>0.73</v>
      </c>
      <c r="U261">
        <f>$AV$10</f>
        <v>0.0047</v>
      </c>
      <c r="V261">
        <f>(I261/100)*(MIN(J261,100)/100)</f>
        <v>0</v>
      </c>
      <c r="W261">
        <v>0</v>
      </c>
      <c r="X261">
        <f>1.6 * W261</f>
        <v>0</v>
      </c>
      <c r="Y261">
        <f>$AY$1</f>
        <v>1.3</v>
      </c>
      <c r="Z261">
        <f>V261*Y261+(1-V261)</f>
        <v>1</v>
      </c>
      <c r="AA261">
        <f>(0.795*O261)-0.0014</f>
        <v>0.47559999999999997</v>
      </c>
      <c r="AC261">
        <f>Tables!CC186</f>
        <v>1</v>
      </c>
      <c r="AD261">
        <f>1 - EXP(-2*(AC261^2))</f>
        <v>0.8646647167633873</v>
      </c>
      <c r="AE261">
        <f>(104.7*AA261+0.307*Q261-15)*(Q261^0.75)*10^-3</f>
        <v>1.1472289977258807</v>
      </c>
      <c r="AF261">
        <f>AE261*AD261*Z261</f>
        <v>0.9919684363813933</v>
      </c>
      <c r="AG261">
        <f>(AF261 * M261) + (0.045 * X261)</f>
        <v>0.09919684363813934</v>
      </c>
      <c r="AH261">
        <f>$AV$2</f>
        <v>0.08</v>
      </c>
      <c r="AI261">
        <f>(AF261 * ((1 - O261) + (0.04 * AF261))) * ( 1 - AH261 )</f>
        <v>0.40125563532734443</v>
      </c>
      <c r="AJ261">
        <f>$AV$1</f>
        <v>0.19</v>
      </c>
      <c r="AK261">
        <f>$AW$20</f>
        <v>0.6784</v>
      </c>
      <c r="AL261">
        <f>AI261 * AJ261 * R261 * T261 * AK261</f>
        <v>0.0003133729727628174</v>
      </c>
      <c r="AM261">
        <f>AI261*AJ261*S261*U261*AK261</f>
        <v>0.00024106755113348225</v>
      </c>
      <c r="AN261">
        <f>AL261+AM261</f>
        <v>0.0005544405238962996</v>
      </c>
      <c r="AO261">
        <f>H261*AN261*L261</f>
        <v>0.37812843729727635</v>
      </c>
    </row>
    <row r="262">
      <c r="F262" t="str">
        <v>Winter</v>
      </c>
      <c r="G262" t="str">
        <v>August</v>
      </c>
      <c r="H262">
        <v>20</v>
      </c>
      <c r="I262">
        <v>0</v>
      </c>
      <c r="J262">
        <v>0</v>
      </c>
      <c r="L262">
        <v>31</v>
      </c>
      <c r="M262">
        <f>Tables!CC49</f>
        <v>0.1</v>
      </c>
      <c r="O262">
        <f>Tables!CC79</f>
        <v>0.6</v>
      </c>
      <c r="Q262">
        <f>Tables!CC115</f>
        <v>60</v>
      </c>
      <c r="R262">
        <f>$R$231</f>
        <v>0.008299999999999974</v>
      </c>
      <c r="S262">
        <f>$S$231</f>
        <v>0.9917</v>
      </c>
      <c r="T262">
        <f>$T$231</f>
        <v>0.73</v>
      </c>
      <c r="U262">
        <f>$AV$10</f>
        <v>0.0047</v>
      </c>
      <c r="V262">
        <f>(I262/100)*(MIN(J262,100)/100)</f>
        <v>0</v>
      </c>
      <c r="W262">
        <v>0</v>
      </c>
      <c r="X262">
        <f>1.6 * W262</f>
        <v>0</v>
      </c>
      <c r="Y262">
        <f>$AY$1</f>
        <v>1.3</v>
      </c>
      <c r="Z262">
        <f>V262*Y262+(1-V262)</f>
        <v>1</v>
      </c>
      <c r="AA262">
        <f>(0.795*O262)-0.0014</f>
        <v>0.47559999999999997</v>
      </c>
      <c r="AC262">
        <f>Tables!CC186</f>
        <v>1</v>
      </c>
      <c r="AD262">
        <f>1 - EXP(-2*(AC262^2))</f>
        <v>0.8646647167633873</v>
      </c>
      <c r="AE262">
        <f>(104.7*AA262+0.307*Q262-15)*(Q262^0.75)*10^-3</f>
        <v>1.1472289977258807</v>
      </c>
      <c r="AF262">
        <f>AE262*AD262*Z262</f>
        <v>0.9919684363813933</v>
      </c>
      <c r="AG262">
        <f>(AF262 * M262) + (0.045 * X262)</f>
        <v>0.09919684363813934</v>
      </c>
      <c r="AH262">
        <f>$AV$2</f>
        <v>0.08</v>
      </c>
      <c r="AI262">
        <f>(AF262 * ((1 - O262) + (0.04 * AF262))) * ( 1 - AH262 )</f>
        <v>0.40125563532734443</v>
      </c>
      <c r="AJ262">
        <f>$AV$1</f>
        <v>0.19</v>
      </c>
      <c r="AK262">
        <f>$AW$20</f>
        <v>0.6784</v>
      </c>
      <c r="AL262">
        <f>AI262 * AJ262 * R262 * T262 * AK262</f>
        <v>0.0003133729727628174</v>
      </c>
      <c r="AM262">
        <f>AI262*AJ262*S262*U262*AK262</f>
        <v>0.00024106755113348225</v>
      </c>
      <c r="AN262">
        <f>AL262+AM262</f>
        <v>0.0005544405238962996</v>
      </c>
      <c r="AO262">
        <f>H262*AN262*L262</f>
        <v>0.34375312481570575</v>
      </c>
    </row>
    <row r="263">
      <c r="F263" t="str">
        <v>Spring</v>
      </c>
      <c r="G263" t="str">
        <v>September</v>
      </c>
      <c r="H263">
        <v>18</v>
      </c>
      <c r="I263">
        <v>0</v>
      </c>
      <c r="J263">
        <v>0</v>
      </c>
      <c r="L263">
        <v>30</v>
      </c>
      <c r="M263">
        <f>Tables!CC46</f>
        <v>0.16</v>
      </c>
      <c r="O263">
        <f>Tables!CC76</f>
        <v>0.7</v>
      </c>
      <c r="Q263">
        <f>Tables!CC112</f>
        <v>70</v>
      </c>
      <c r="R263">
        <f>$R$231</f>
        <v>0.008299999999999974</v>
      </c>
      <c r="S263">
        <f>$S$231</f>
        <v>0.9917</v>
      </c>
      <c r="T263">
        <f>$T$231</f>
        <v>0.73</v>
      </c>
      <c r="U263">
        <f>$AV$10</f>
        <v>0.0047</v>
      </c>
      <c r="V263">
        <f>(I263/100)*(MIN(J263,100)/100)</f>
        <v>0</v>
      </c>
      <c r="W263">
        <v>0</v>
      </c>
      <c r="X263">
        <f>1.6 * W263</f>
        <v>0</v>
      </c>
      <c r="Y263">
        <f>$AY$1</f>
        <v>1.3</v>
      </c>
      <c r="Z263">
        <f>V263*Y263+(1-V263)</f>
        <v>1</v>
      </c>
      <c r="AA263">
        <f>(0.795*O263)-0.0014</f>
        <v>0.5551</v>
      </c>
      <c r="AC263">
        <f>Tables!CC183</f>
        <v>3.2</v>
      </c>
      <c r="AD263">
        <f>1 - EXP(-2*(AC263^2))</f>
        <v>0.9999999987245923</v>
      </c>
      <c r="AE263">
        <f>(104.7*AA263+0.307*Q263-15)*(Q263^0.75)*10^-3</f>
        <v>1.5635664662315347</v>
      </c>
      <c r="AF263">
        <f>AE263*AD263*Z263</f>
        <v>1.5635664642373501</v>
      </c>
      <c r="AG263">
        <f>(AF263 * M263) + (0.045 * X263)</f>
        <v>0.25017063427797603</v>
      </c>
      <c r="AH263">
        <f>$AV$2</f>
        <v>0.08</v>
      </c>
      <c r="AI263">
        <f>(AF263 * ((1 - O263) + (0.04 * AF263))) * ( 1 - AH263 )</f>
        <v>0.5215107793711358</v>
      </c>
      <c r="AJ263">
        <f>$AV$1</f>
        <v>0.19</v>
      </c>
      <c r="AK263">
        <f>$AW$20</f>
        <v>0.6784</v>
      </c>
      <c r="AL263">
        <f>AI263 * AJ263 * R263 * T263 * AK263</f>
        <v>0.0004072899390585817</v>
      </c>
      <c r="AM263">
        <f>AI263*AJ263*S263*U263*AK263</f>
        <v>0.0003133147933739338</v>
      </c>
      <c r="AN263">
        <f>AL263+AM263</f>
        <v>0.0007206047324325155</v>
      </c>
      <c r="AO263">
        <f>H263*AN263*L263</f>
        <v>0.38912655551355835</v>
      </c>
    </row>
    <row r="264">
      <c r="F264" t="str">
        <v>Spring</v>
      </c>
      <c r="G264" t="str">
        <v>October</v>
      </c>
      <c r="H264">
        <v>18</v>
      </c>
      <c r="I264">
        <v>0</v>
      </c>
      <c r="J264">
        <v>0</v>
      </c>
      <c r="L264">
        <v>31</v>
      </c>
      <c r="M264">
        <f>Tables!CC46</f>
        <v>0.16</v>
      </c>
      <c r="O264">
        <f>Tables!CC76</f>
        <v>0.7</v>
      </c>
      <c r="Q264">
        <f>Tables!CC112</f>
        <v>70</v>
      </c>
      <c r="R264">
        <f>$R$231</f>
        <v>0.008299999999999974</v>
      </c>
      <c r="S264">
        <f>$S$231</f>
        <v>0.9917</v>
      </c>
      <c r="T264">
        <f>$T$231</f>
        <v>0.73</v>
      </c>
      <c r="U264">
        <f>$AV$10</f>
        <v>0.0047</v>
      </c>
      <c r="V264">
        <f>(I264/100)*(MIN(J264,100)/100)</f>
        <v>0</v>
      </c>
      <c r="W264">
        <v>0</v>
      </c>
      <c r="X264">
        <f>1.6 * W264</f>
        <v>0</v>
      </c>
      <c r="Y264">
        <f>$AY$1</f>
        <v>1.3</v>
      </c>
      <c r="Z264">
        <f>V264*Y264+(1-V264)</f>
        <v>1</v>
      </c>
      <c r="AA264">
        <f>(0.795*O264)-0.0014</f>
        <v>0.5551</v>
      </c>
      <c r="AC264">
        <f>Tables!CC183</f>
        <v>3.2</v>
      </c>
      <c r="AD264">
        <f>1 - EXP(-2*(AC264^2))</f>
        <v>0.9999999987245923</v>
      </c>
      <c r="AE264">
        <f>(104.7*AA264+0.307*Q264-15)*(Q264^0.75)*10^-3</f>
        <v>1.5635664662315347</v>
      </c>
      <c r="AF264">
        <f>AE264*AD264*Z264</f>
        <v>1.5635664642373501</v>
      </c>
      <c r="AG264">
        <f>(AF264 * M264) + (0.045 * X264)</f>
        <v>0.25017063427797603</v>
      </c>
      <c r="AH264">
        <f>$AV$2</f>
        <v>0.08</v>
      </c>
      <c r="AI264">
        <f>(AF264 * ((1 - O264) + (0.04 * AF264))) * ( 1 - AH264 )</f>
        <v>0.5215107793711358</v>
      </c>
      <c r="AJ264">
        <f>$AV$1</f>
        <v>0.19</v>
      </c>
      <c r="AK264">
        <f>$AW$20</f>
        <v>0.6784</v>
      </c>
      <c r="AL264">
        <f>AI264 * AJ264 * R264 * T264 * AK264</f>
        <v>0.0004072899390585817</v>
      </c>
      <c r="AM264">
        <f>AI264*AJ264*S264*U264*AK264</f>
        <v>0.0003133147933739338</v>
      </c>
      <c r="AN264">
        <f>AL264+AM264</f>
        <v>0.0007206047324325155</v>
      </c>
      <c r="AO264">
        <f>H264*AN264*L264</f>
        <v>0.40209744069734366</v>
      </c>
    </row>
    <row r="265">
      <c r="F265" t="str">
        <v>Spring</v>
      </c>
      <c r="G265" t="str">
        <v>November</v>
      </c>
      <c r="H265">
        <v>19</v>
      </c>
      <c r="I265">
        <v>0</v>
      </c>
      <c r="J265">
        <v>0</v>
      </c>
      <c r="L265">
        <v>30</v>
      </c>
      <c r="M265">
        <f>Tables!CC46</f>
        <v>0.16</v>
      </c>
      <c r="O265">
        <f>Tables!CC76</f>
        <v>0.7</v>
      </c>
      <c r="Q265">
        <f>Tables!CC112</f>
        <v>70</v>
      </c>
      <c r="R265">
        <f>$R$231</f>
        <v>0.008299999999999974</v>
      </c>
      <c r="S265">
        <f>$S$231</f>
        <v>0.9917</v>
      </c>
      <c r="T265">
        <f>$T$231</f>
        <v>0.73</v>
      </c>
      <c r="U265">
        <f>$AV$10</f>
        <v>0.0047</v>
      </c>
      <c r="V265">
        <f>(I265/100)*(MIN(J265,100)/100)</f>
        <v>0</v>
      </c>
      <c r="W265">
        <v>0</v>
      </c>
      <c r="X265">
        <f>1.6 * W265</f>
        <v>0</v>
      </c>
      <c r="Y265">
        <f>$AY$1</f>
        <v>1.3</v>
      </c>
      <c r="Z265">
        <f>V265*Y265+(1-V265)</f>
        <v>1</v>
      </c>
      <c r="AA265">
        <f>(0.795*O265)-0.0014</f>
        <v>0.5551</v>
      </c>
      <c r="AC265">
        <f>Tables!CC183</f>
        <v>3.2</v>
      </c>
      <c r="AD265">
        <f>1 - EXP(-2*(AC265^2))</f>
        <v>0.9999999987245923</v>
      </c>
      <c r="AE265">
        <f>(104.7*AA265+0.307*Q265-15)*(Q265^0.75)*10^-3</f>
        <v>1.5635664662315347</v>
      </c>
      <c r="AF265">
        <f>AE265*AD265*Z265</f>
        <v>1.5635664642373501</v>
      </c>
      <c r="AG265">
        <f>(AF265 * M265) + (0.045 * X265)</f>
        <v>0.25017063427797603</v>
      </c>
      <c r="AH265">
        <f>$AV$2</f>
        <v>0.08</v>
      </c>
      <c r="AI265">
        <f>(AF265 * ((1 - O265) + (0.04 * AF265))) * ( 1 - AH265 )</f>
        <v>0.5215107793711358</v>
      </c>
      <c r="AJ265">
        <f>$AV$1</f>
        <v>0.19</v>
      </c>
      <c r="AK265">
        <f>$AW$20</f>
        <v>0.6784</v>
      </c>
      <c r="AL265">
        <f>AI265 * AJ265 * R265 * T265 * AK265</f>
        <v>0.0004072899390585817</v>
      </c>
      <c r="AM265">
        <f>AI265*AJ265*S265*U265*AK265</f>
        <v>0.0003133147933739338</v>
      </c>
      <c r="AN265">
        <f>AL265+AM265</f>
        <v>0.0007206047324325155</v>
      </c>
      <c r="AO265">
        <f>H265*AN265*L265</f>
        <v>0.4107446974865338</v>
      </c>
    </row>
    <row r="266">
      <c r="F266" t="str">
        <v>Summer</v>
      </c>
      <c r="G266" t="str">
        <v>December</v>
      </c>
      <c r="H266">
        <v>20</v>
      </c>
      <c r="I266">
        <v>0</v>
      </c>
      <c r="J266">
        <v>0</v>
      </c>
      <c r="L266">
        <v>31</v>
      </c>
      <c r="M266">
        <f>Tables!CC47</f>
        <v>0.07</v>
      </c>
      <c r="O266">
        <f>Tables!CC77</f>
        <v>0.55</v>
      </c>
      <c r="Q266">
        <f>Tables!CC113</f>
        <v>65</v>
      </c>
      <c r="R266">
        <f>$R$231</f>
        <v>0.008299999999999974</v>
      </c>
      <c r="S266">
        <f>$S$231</f>
        <v>0.9917</v>
      </c>
      <c r="T266">
        <f>$T$231</f>
        <v>0.73</v>
      </c>
      <c r="U266">
        <f>$AV$10</f>
        <v>0.0047</v>
      </c>
      <c r="V266">
        <f>(I266/100)*(MIN(J266,100)/100)</f>
        <v>0</v>
      </c>
      <c r="W266">
        <v>0</v>
      </c>
      <c r="X266">
        <f>1.6 * W266</f>
        <v>0</v>
      </c>
      <c r="Y266">
        <f>$AY$1</f>
        <v>1.3</v>
      </c>
      <c r="Z266">
        <f>V266*Y266+(1-V266)</f>
        <v>1</v>
      </c>
      <c r="AA266">
        <f>(0.795*O266)-0.0014</f>
        <v>0.43585000000000007</v>
      </c>
      <c r="AC266">
        <f>Tables!CC184</f>
        <v>3</v>
      </c>
      <c r="AD266">
        <f>1 - EXP(-2*(AC266^2))</f>
        <v>0.9999999847700203</v>
      </c>
      <c r="AE266">
        <f>(104.7*AA266+0.307*Q266-15)*(Q266^0.75)*10^-3</f>
        <v>1.1580752413958724</v>
      </c>
      <c r="AF266">
        <f>AE266*AD266*Z266</f>
        <v>1.15807522375841</v>
      </c>
      <c r="AG266">
        <f>(AF266 * M266) + (0.045 * X266)</f>
        <v>0.0810652656630887</v>
      </c>
      <c r="AH266">
        <f>$AV$2</f>
        <v>0.08</v>
      </c>
      <c r="AI266">
        <f>(AF266 * ((1 - O266) + (0.04 * AF266))) * ( 1 - AH266 )</f>
        <v>0.5287970292748795</v>
      </c>
      <c r="AJ266">
        <f>$AV$1</f>
        <v>0.19</v>
      </c>
      <c r="AK266">
        <f>$AW$20</f>
        <v>0.6784</v>
      </c>
      <c r="AL266">
        <f>AI266 * AJ266 * R266 * T266 * AK266</f>
        <v>0.0004129803608037274</v>
      </c>
      <c r="AM266">
        <f>AI266*AJ266*S266*U266*AK266</f>
        <v>0.00031769224820969987</v>
      </c>
      <c r="AN266">
        <f>AL266+AM266</f>
        <v>0.0007306726090134273</v>
      </c>
      <c r="AO266">
        <f>H266*AN266*L266</f>
        <v>0.4530170175883249</v>
      </c>
    </row>
    <row r="267">
      <c r="E267" t="str">
        <v>Wethers</v>
      </c>
      <c r="F267" t="str">
        <v>Summer</v>
      </c>
      <c r="G267" t="str">
        <v>January</v>
      </c>
      <c r="H267">
        <v>80</v>
      </c>
      <c r="I267">
        <v>0</v>
      </c>
      <c r="J267">
        <v>0</v>
      </c>
      <c r="L267">
        <v>31</v>
      </c>
      <c r="M267">
        <f>Tables!CC59</f>
        <v>0.07</v>
      </c>
      <c r="O267">
        <f>Tables!CC89</f>
        <v>0.55</v>
      </c>
      <c r="Q267">
        <f>Tables!CC117</f>
        <v>55</v>
      </c>
      <c r="R267">
        <f>$R$231</f>
        <v>0.008299999999999974</v>
      </c>
      <c r="S267">
        <f>$S$231</f>
        <v>0.9917</v>
      </c>
      <c r="T267">
        <f>$T$231</f>
        <v>0.73</v>
      </c>
      <c r="U267">
        <f>$AV$10</f>
        <v>0.0047</v>
      </c>
      <c r="V267">
        <f>(I267/100)*(MIN(J267,100)/100)</f>
        <v>0</v>
      </c>
      <c r="W267">
        <v>0</v>
      </c>
      <c r="X267">
        <f>1.6 * W267</f>
        <v>0</v>
      </c>
      <c r="Y267">
        <f>$AY$1</f>
        <v>1.3</v>
      </c>
      <c r="Z267">
        <f>V267*Y267+(1-V267)</f>
        <v>1</v>
      </c>
      <c r="AA267">
        <f>(0.795*O267)-0.0014</f>
        <v>0.43585000000000007</v>
      </c>
      <c r="AC267">
        <f>Tables!CC188</f>
        <v>3</v>
      </c>
      <c r="AD267">
        <f>1 - EXP(-2*(AC267^2))</f>
        <v>0.9999999847700203</v>
      </c>
      <c r="AE267">
        <f>(104.7*AA267+0.307*Q267-15)*(Q267^0.75)*10^-3</f>
        <v>0.9596982312536153</v>
      </c>
      <c r="AF267">
        <f>AE267*AD267*Z267</f>
        <v>0.9596982166374307</v>
      </c>
      <c r="AG267">
        <f>(AF267 * M267) + (0.045 * X267)</f>
        <v>0.06717887516462015</v>
      </c>
      <c r="AH267">
        <f>$AV$2</f>
        <v>0.08</v>
      </c>
      <c r="AI267">
        <f>(AF267 * ((1 - O267) + (0.04 * AF267))) * ( 1 - AH267 )</f>
        <v>0.43120862223412426</v>
      </c>
      <c r="AJ267">
        <f>$AV$1</f>
        <v>0.19</v>
      </c>
      <c r="AK267">
        <f>$AW$20</f>
        <v>0.6784</v>
      </c>
      <c r="AL267">
        <f>AI267 * AJ267 * R267 * T267 * AK267</f>
        <v>0.00033676568235665495</v>
      </c>
      <c r="AM267">
        <f>AI267*AJ267*S267*U267*AK267</f>
        <v>0.0002590627954790477</v>
      </c>
      <c r="AN267">
        <f>AL267+AM267</f>
        <v>0.0005958284778357027</v>
      </c>
      <c r="AO267">
        <f>H267*AN267*L267</f>
        <v>1.4776546250325429</v>
      </c>
    </row>
    <row r="268">
      <c r="F268" t="str">
        <v>Summer</v>
      </c>
      <c r="G268" t="str">
        <v>February</v>
      </c>
      <c r="H268">
        <v>80</v>
      </c>
      <c r="I268">
        <v>0</v>
      </c>
      <c r="J268">
        <v>0</v>
      </c>
      <c r="L268">
        <v>28</v>
      </c>
      <c r="M268">
        <f>Tables!CC59</f>
        <v>0.07</v>
      </c>
      <c r="O268">
        <f>Tables!CC89</f>
        <v>0.55</v>
      </c>
      <c r="Q268">
        <f>Tables!CC117</f>
        <v>55</v>
      </c>
      <c r="R268">
        <f>$R$231</f>
        <v>0.008299999999999974</v>
      </c>
      <c r="S268">
        <f>$S$231</f>
        <v>0.9917</v>
      </c>
      <c r="T268">
        <f>$T$231</f>
        <v>0.73</v>
      </c>
      <c r="U268">
        <f>$AV$10</f>
        <v>0.0047</v>
      </c>
      <c r="V268">
        <f>(I268/100)*(MIN(J268,100)/100)</f>
        <v>0</v>
      </c>
      <c r="W268">
        <v>0</v>
      </c>
      <c r="X268">
        <f>1.6 * W268</f>
        <v>0</v>
      </c>
      <c r="Y268">
        <f>$AY$1</f>
        <v>1.3</v>
      </c>
      <c r="Z268">
        <f>V268*Y268+(1-V268)</f>
        <v>1</v>
      </c>
      <c r="AA268">
        <f>(0.795*O268)-0.0014</f>
        <v>0.43585000000000007</v>
      </c>
      <c r="AC268">
        <f>Tables!CC188</f>
        <v>3</v>
      </c>
      <c r="AD268">
        <f>1 - EXP(-2*(AC268^2))</f>
        <v>0.9999999847700203</v>
      </c>
      <c r="AE268">
        <f>(104.7*AA268+0.307*Q268-15)*(Q268^0.75)*10^-3</f>
        <v>0.9596982312536153</v>
      </c>
      <c r="AF268">
        <f>AE268*AD268*Z268</f>
        <v>0.9596982166374307</v>
      </c>
      <c r="AG268">
        <f>(AF268 * M268) + (0.045 * X268)</f>
        <v>0.06717887516462015</v>
      </c>
      <c r="AH268">
        <f>$AV$2</f>
        <v>0.08</v>
      </c>
      <c r="AI268">
        <f>(AF268 * ((1 - O268) + (0.04 * AF268))) * ( 1 - AH268 )</f>
        <v>0.43120862223412426</v>
      </c>
      <c r="AJ268">
        <f>$AV$1</f>
        <v>0.19</v>
      </c>
      <c r="AK268">
        <f>$AW$20</f>
        <v>0.6784</v>
      </c>
      <c r="AL268">
        <f>AI268 * AJ268 * R268 * T268 * AK268</f>
        <v>0.00033676568235665495</v>
      </c>
      <c r="AM268">
        <f>AI268*AJ268*S268*U268*AK268</f>
        <v>0.0002590627954790477</v>
      </c>
      <c r="AN268">
        <f>AL268+AM268</f>
        <v>0.0005958284778357027</v>
      </c>
      <c r="AO268">
        <f>H268*AN268*L268</f>
        <v>1.3346557903519742</v>
      </c>
    </row>
    <row r="269">
      <c r="F269" t="str">
        <v>Autumn</v>
      </c>
      <c r="G269" t="str">
        <v>March</v>
      </c>
      <c r="H269">
        <v>78</v>
      </c>
      <c r="I269">
        <v>0</v>
      </c>
      <c r="J269">
        <v>0</v>
      </c>
      <c r="L269">
        <v>31</v>
      </c>
      <c r="M269">
        <f>Tables!CC60</f>
        <v>0.13</v>
      </c>
      <c r="O269">
        <f>Tables!CC90</f>
        <v>0.65</v>
      </c>
      <c r="Q269">
        <f>Tables!CC118</f>
        <v>52</v>
      </c>
      <c r="R269">
        <f>$R$231</f>
        <v>0.008299999999999974</v>
      </c>
      <c r="S269">
        <f>$S$231</f>
        <v>0.9917</v>
      </c>
      <c r="T269">
        <f>$T$231</f>
        <v>0.73</v>
      </c>
      <c r="U269">
        <f>$AV$10</f>
        <v>0.0047</v>
      </c>
      <c r="V269">
        <f>(I269/100)*(MIN(J269,100)/100)</f>
        <v>0</v>
      </c>
      <c r="W269">
        <v>0</v>
      </c>
      <c r="X269">
        <f>1.6 * W269</f>
        <v>0</v>
      </c>
      <c r="Y269">
        <f>$AY$1</f>
        <v>1.3</v>
      </c>
      <c r="Z269">
        <f>V269*Y269+(1-V269)</f>
        <v>1</v>
      </c>
      <c r="AA269">
        <f>(0.795*O269)-0.0014</f>
        <v>0.5153500000000001</v>
      </c>
      <c r="AC269">
        <f>Tables!CC189</f>
        <v>1.8</v>
      </c>
      <c r="AD269">
        <f>1 - EXP(-2*(AC269^2))</f>
        <v>0.9984661893206755</v>
      </c>
      <c r="AE269">
        <f>(104.7*AA269+0.307*Q269-15)*(Q269^0.75)*10^-3</f>
        <v>1.0635112555960096</v>
      </c>
      <c r="AF269">
        <f>AE269*AD269*Z269</f>
        <v>1.0618800306745946</v>
      </c>
      <c r="AG269">
        <f>(AF269 * M269) + (0.045 * X269)</f>
        <v>0.1380444039876973</v>
      </c>
      <c r="AH269">
        <f>$AV$2</f>
        <v>0.08</v>
      </c>
      <c r="AI269">
        <f>(AF269 * ((1 - O269) + (0.04 * AF269))) * ( 1 - AH269 )</f>
        <v>0.383420652420493</v>
      </c>
      <c r="AJ269">
        <f>$AV$1</f>
        <v>0.19</v>
      </c>
      <c r="AK269">
        <f>$AW$20</f>
        <v>0.6784</v>
      </c>
      <c r="AL269">
        <f>AI269 * AJ269 * R269 * T269 * AK269</f>
        <v>0.00029944419240279937</v>
      </c>
      <c r="AM269">
        <f>AI269*AJ269*S269*U269*AK269</f>
        <v>0.00023035259718559638</v>
      </c>
      <c r="AN269">
        <f>AL269+AM269</f>
        <v>0.0005297967895883958</v>
      </c>
      <c r="AO269">
        <f>H269*AN269*L269</f>
        <v>1.281048637224741</v>
      </c>
    </row>
    <row r="270">
      <c r="F270" t="str">
        <v>Autumn</v>
      </c>
      <c r="G270" t="str">
        <v>April</v>
      </c>
      <c r="H270">
        <v>78</v>
      </c>
      <c r="I270">
        <v>0</v>
      </c>
      <c r="J270">
        <v>0</v>
      </c>
      <c r="L270">
        <v>30</v>
      </c>
      <c r="M270">
        <f>Tables!CC60</f>
        <v>0.13</v>
      </c>
      <c r="O270">
        <f>Tables!CC90</f>
        <v>0.65</v>
      </c>
      <c r="Q270">
        <f>Tables!CC118</f>
        <v>52</v>
      </c>
      <c r="R270">
        <f>$R$231</f>
        <v>0.008299999999999974</v>
      </c>
      <c r="S270">
        <f>$S$231</f>
        <v>0.9917</v>
      </c>
      <c r="T270">
        <f>$T$231</f>
        <v>0.73</v>
      </c>
      <c r="U270">
        <f>$AV$10</f>
        <v>0.0047</v>
      </c>
      <c r="V270">
        <f>(I270/100)*(MIN(J270,100)/100)</f>
        <v>0</v>
      </c>
      <c r="W270">
        <v>0</v>
      </c>
      <c r="X270">
        <f>1.6 * W270</f>
        <v>0</v>
      </c>
      <c r="Y270">
        <f>$AY$1</f>
        <v>1.3</v>
      </c>
      <c r="Z270">
        <f>V270*Y270+(1-V270)</f>
        <v>1</v>
      </c>
      <c r="AA270">
        <f>(0.795*O270)-0.0014</f>
        <v>0.5153500000000001</v>
      </c>
      <c r="AC270">
        <f>Tables!CC189</f>
        <v>1.8</v>
      </c>
      <c r="AD270">
        <f>1 - EXP(-2*(AC270^2))</f>
        <v>0.9984661893206755</v>
      </c>
      <c r="AE270">
        <f>(104.7*AA270+0.307*Q270-15)*(Q270^0.75)*10^-3</f>
        <v>1.0635112555960096</v>
      </c>
      <c r="AF270">
        <f>AE270*AD270*Z270</f>
        <v>1.0618800306745946</v>
      </c>
      <c r="AG270">
        <f>(AF270 * M270) + (0.045 * X270)</f>
        <v>0.1380444039876973</v>
      </c>
      <c r="AH270">
        <f>$AV$2</f>
        <v>0.08</v>
      </c>
      <c r="AI270">
        <f>(AF270 * ((1 - O270) + (0.04 * AF270))) * ( 1 - AH270 )</f>
        <v>0.383420652420493</v>
      </c>
      <c r="AJ270">
        <f>$AV$1</f>
        <v>0.19</v>
      </c>
      <c r="AK270">
        <f>$AW$20</f>
        <v>0.6784</v>
      </c>
      <c r="AL270">
        <f>AI270 * AJ270 * R270 * T270 * AK270</f>
        <v>0.00029944419240279937</v>
      </c>
      <c r="AM270">
        <f>AI270*AJ270*S270*U270*AK270</f>
        <v>0.00023035259718559638</v>
      </c>
      <c r="AN270">
        <f>AL270+AM270</f>
        <v>0.0005297967895883958</v>
      </c>
      <c r="AO270">
        <f>H270*AN270*L270</f>
        <v>1.239724487636846</v>
      </c>
    </row>
    <row r="271">
      <c r="F271" t="str">
        <v>Autumn</v>
      </c>
      <c r="G271" t="str">
        <v>May</v>
      </c>
      <c r="H271">
        <v>76</v>
      </c>
      <c r="I271">
        <v>0</v>
      </c>
      <c r="J271">
        <v>0</v>
      </c>
      <c r="L271">
        <v>31</v>
      </c>
      <c r="M271">
        <f>Tables!CC60</f>
        <v>0.13</v>
      </c>
      <c r="O271">
        <f>Tables!CC90</f>
        <v>0.65</v>
      </c>
      <c r="Q271">
        <f>Tables!CC118</f>
        <v>52</v>
      </c>
      <c r="R271">
        <f>$R$231</f>
        <v>0.008299999999999974</v>
      </c>
      <c r="S271">
        <f>$S$231</f>
        <v>0.9917</v>
      </c>
      <c r="T271">
        <f>$T$231</f>
        <v>0.73</v>
      </c>
      <c r="U271">
        <f>$AV$10</f>
        <v>0.0047</v>
      </c>
      <c r="V271">
        <f>(I271/100)*(MIN(J271,100)/100)</f>
        <v>0</v>
      </c>
      <c r="W271">
        <v>0</v>
      </c>
      <c r="X271">
        <f>1.6 * W271</f>
        <v>0</v>
      </c>
      <c r="Y271">
        <f>$AY$1</f>
        <v>1.3</v>
      </c>
      <c r="Z271">
        <f>V271*Y271+(1-V271)</f>
        <v>1</v>
      </c>
      <c r="AA271">
        <f>(0.795*O271)-0.0014</f>
        <v>0.5153500000000001</v>
      </c>
      <c r="AC271">
        <f>Tables!CC189</f>
        <v>1.8</v>
      </c>
      <c r="AD271">
        <f>1 - EXP(-2*(AC271^2))</f>
        <v>0.9984661893206755</v>
      </c>
      <c r="AE271">
        <f>(104.7*AA271+0.307*Q271-15)*(Q271^0.75)*10^-3</f>
        <v>1.0635112555960096</v>
      </c>
      <c r="AF271">
        <f>AE271*AD271*Z271</f>
        <v>1.0618800306745946</v>
      </c>
      <c r="AG271">
        <f>(AF271 * M271) + (0.045 * X271)</f>
        <v>0.1380444039876973</v>
      </c>
      <c r="AH271">
        <f>$AV$2</f>
        <v>0.08</v>
      </c>
      <c r="AI271">
        <f>(AF271 * ((1 - O271) + (0.04 * AF271))) * ( 1 - AH271 )</f>
        <v>0.383420652420493</v>
      </c>
      <c r="AJ271">
        <f>$AV$1</f>
        <v>0.19</v>
      </c>
      <c r="AK271">
        <f>$AW$20</f>
        <v>0.6784</v>
      </c>
      <c r="AL271">
        <f>AI271 * AJ271 * R271 * T271 * AK271</f>
        <v>0.00029944419240279937</v>
      </c>
      <c r="AM271">
        <f>AI271*AJ271*S271*U271*AK271</f>
        <v>0.00023035259718559638</v>
      </c>
      <c r="AN271">
        <f>AL271+AM271</f>
        <v>0.0005297967895883958</v>
      </c>
      <c r="AO271">
        <f>H271*AN271*L271</f>
        <v>1.2482012362702606</v>
      </c>
    </row>
    <row r="272">
      <c r="F272" t="str">
        <v>Winter</v>
      </c>
      <c r="G272" t="str">
        <v>June</v>
      </c>
      <c r="H272">
        <v>90</v>
      </c>
      <c r="I272">
        <v>0</v>
      </c>
      <c r="J272">
        <v>0</v>
      </c>
      <c r="L272">
        <v>30</v>
      </c>
      <c r="M272">
        <f>Tables!CC61</f>
        <v>0.1</v>
      </c>
      <c r="O272">
        <f>Tables!CC91</f>
        <v>0.6</v>
      </c>
      <c r="Q272">
        <f>Tables!CC119</f>
        <v>50</v>
      </c>
      <c r="R272">
        <f>$R$231</f>
        <v>0.008299999999999974</v>
      </c>
      <c r="S272">
        <f>$S$231</f>
        <v>0.9917</v>
      </c>
      <c r="T272">
        <f>$T$231</f>
        <v>0.73</v>
      </c>
      <c r="U272">
        <f>$AV$10</f>
        <v>0.0047</v>
      </c>
      <c r="V272">
        <f>(I272/100)*(MIN(J272,100)/100)</f>
        <v>0</v>
      </c>
      <c r="W272">
        <v>0</v>
      </c>
      <c r="X272">
        <f>1.6 * W272</f>
        <v>0</v>
      </c>
      <c r="Y272">
        <f>$AY$1</f>
        <v>1.3</v>
      </c>
      <c r="Z272">
        <f>V272*Y272+(1-V272)</f>
        <v>1</v>
      </c>
      <c r="AA272">
        <f>(0.795*O272)-0.0014</f>
        <v>0.47559999999999997</v>
      </c>
      <c r="AC272">
        <f>Tables!CC190</f>
        <v>1</v>
      </c>
      <c r="AD272">
        <f>1 - EXP(-2*(AC272^2))</f>
        <v>0.8646647167633873</v>
      </c>
      <c r="AE272">
        <f>(104.7*AA272+0.307*Q272-15)*(Q272^0.75)*10^-3</f>
        <v>0.9428832274790347</v>
      </c>
      <c r="AF272">
        <f>AE272*AD272*Z272</f>
        <v>0.8152778588291081</v>
      </c>
      <c r="AG272">
        <f>(AF272 * M272) + (0.045 * X272)</f>
        <v>0.08152778588291082</v>
      </c>
      <c r="AH272">
        <f>$AV$2</f>
        <v>0.08</v>
      </c>
      <c r="AI272">
        <f>(AF272 * ((1 - O272) + (0.04 * AF272))) * ( 1 - AH272 )</f>
        <v>0.3244824019742805</v>
      </c>
      <c r="AJ272">
        <f>$AV$1</f>
        <v>0.19</v>
      </c>
      <c r="AK272">
        <f>$AW$20</f>
        <v>0.6784</v>
      </c>
      <c r="AL272">
        <f>AI272 * AJ272 * R272 * T272 * AK272</f>
        <v>0.00025341454664666813</v>
      </c>
      <c r="AM272">
        <f>AI272*AJ272*S272*U272*AK272</f>
        <v>0.00019494350021037423</v>
      </c>
      <c r="AN272">
        <f>AL272+AM272</f>
        <v>0.0004483580468570424</v>
      </c>
      <c r="AO272">
        <f>H272*AN272*L272</f>
        <v>1.2105667265140145</v>
      </c>
    </row>
    <row r="273">
      <c r="F273" t="str">
        <v>Winter</v>
      </c>
      <c r="G273" t="str">
        <v>July</v>
      </c>
      <c r="H273">
        <v>90</v>
      </c>
      <c r="I273">
        <v>0</v>
      </c>
      <c r="J273">
        <v>0</v>
      </c>
      <c r="L273">
        <v>31</v>
      </c>
      <c r="M273">
        <f>Tables!CC61</f>
        <v>0.1</v>
      </c>
      <c r="O273">
        <f>Tables!CC91</f>
        <v>0.6</v>
      </c>
      <c r="Q273">
        <f>Tables!CC119</f>
        <v>50</v>
      </c>
      <c r="R273">
        <f>$R$231</f>
        <v>0.008299999999999974</v>
      </c>
      <c r="S273">
        <f>$S$231</f>
        <v>0.9917</v>
      </c>
      <c r="T273">
        <f>$T$231</f>
        <v>0.73</v>
      </c>
      <c r="U273">
        <f>$AV$10</f>
        <v>0.0047</v>
      </c>
      <c r="V273">
        <f>(I273/100)*(MIN(J273,100)/100)</f>
        <v>0</v>
      </c>
      <c r="W273">
        <v>0</v>
      </c>
      <c r="X273">
        <f>1.6 * W273</f>
        <v>0</v>
      </c>
      <c r="Y273">
        <f>$AY$1</f>
        <v>1.3</v>
      </c>
      <c r="Z273">
        <f>V273*Y273+(1-V273)</f>
        <v>1</v>
      </c>
      <c r="AA273">
        <f>(0.795*O273)-0.0014</f>
        <v>0.47559999999999997</v>
      </c>
      <c r="AC273">
        <f>Tables!CC190</f>
        <v>1</v>
      </c>
      <c r="AD273">
        <f>1 - EXP(-2*(AC273^2))</f>
        <v>0.8646647167633873</v>
      </c>
      <c r="AE273">
        <f>(104.7*AA273+0.307*Q273-15)*(Q273^0.75)*10^-3</f>
        <v>0.9428832274790347</v>
      </c>
      <c r="AF273">
        <f>AE273*AD273*Z273</f>
        <v>0.8152778588291081</v>
      </c>
      <c r="AG273">
        <f>(AF273 * M273) + (0.045 * X273)</f>
        <v>0.08152778588291082</v>
      </c>
      <c r="AH273">
        <f>$AV$2</f>
        <v>0.08</v>
      </c>
      <c r="AI273">
        <f>(AF273 * ((1 - O273) + (0.04 * AF273))) * ( 1 - AH273 )</f>
        <v>0.3244824019742805</v>
      </c>
      <c r="AJ273">
        <f>$AV$1</f>
        <v>0.19</v>
      </c>
      <c r="AK273">
        <f>$AW$20</f>
        <v>0.6784</v>
      </c>
      <c r="AL273">
        <f>AI273 * AJ273 * R273 * T273 * AK273</f>
        <v>0.00025341454664666813</v>
      </c>
      <c r="AM273">
        <f>AI273*AJ273*S273*U273*AK273</f>
        <v>0.00019494350021037423</v>
      </c>
      <c r="AN273">
        <f>AL273+AM273</f>
        <v>0.0004483580468570424</v>
      </c>
      <c r="AO273">
        <f>H273*AN273*L273</f>
        <v>1.2509189507311482</v>
      </c>
    </row>
    <row r="274">
      <c r="F274" t="str">
        <v>Winter</v>
      </c>
      <c r="G274" t="str">
        <v>August</v>
      </c>
      <c r="H274">
        <v>85</v>
      </c>
      <c r="I274">
        <v>0</v>
      </c>
      <c r="J274">
        <v>0</v>
      </c>
      <c r="L274">
        <v>31</v>
      </c>
      <c r="M274">
        <f>Tables!CC61</f>
        <v>0.1</v>
      </c>
      <c r="O274">
        <f>Tables!CC91</f>
        <v>0.6</v>
      </c>
      <c r="Q274">
        <f>Tables!CC119</f>
        <v>50</v>
      </c>
      <c r="R274">
        <f>$R$231</f>
        <v>0.008299999999999974</v>
      </c>
      <c r="S274">
        <f>$S$231</f>
        <v>0.9917</v>
      </c>
      <c r="T274">
        <f>$T$231</f>
        <v>0.73</v>
      </c>
      <c r="U274">
        <f>$AV$10</f>
        <v>0.0047</v>
      </c>
      <c r="V274">
        <f>(I274/100)*(MIN(J274,100)/100)</f>
        <v>0</v>
      </c>
      <c r="W274">
        <v>0</v>
      </c>
      <c r="X274">
        <f>1.6 * W274</f>
        <v>0</v>
      </c>
      <c r="Y274">
        <f>$AY$1</f>
        <v>1.3</v>
      </c>
      <c r="Z274">
        <f>V274*Y274+(1-V274)</f>
        <v>1</v>
      </c>
      <c r="AA274">
        <f>(0.795*O274)-0.0014</f>
        <v>0.47559999999999997</v>
      </c>
      <c r="AC274">
        <f>Tables!CC190</f>
        <v>1</v>
      </c>
      <c r="AD274">
        <f>1 - EXP(-2*(AC274^2))</f>
        <v>0.8646647167633873</v>
      </c>
      <c r="AE274">
        <f>(104.7*AA274+0.307*Q274-15)*(Q274^0.75)*10^-3</f>
        <v>0.9428832274790347</v>
      </c>
      <c r="AF274">
        <f>AE274*AD274*Z274</f>
        <v>0.8152778588291081</v>
      </c>
      <c r="AG274">
        <f>(AF274 * M274) + (0.045 * X274)</f>
        <v>0.08152778588291082</v>
      </c>
      <c r="AH274">
        <f>$AV$2</f>
        <v>0.08</v>
      </c>
      <c r="AI274">
        <f>(AF274 * ((1 - O274) + (0.04 * AF274))) * ( 1 - AH274 )</f>
        <v>0.3244824019742805</v>
      </c>
      <c r="AJ274">
        <f>$AV$1</f>
        <v>0.19</v>
      </c>
      <c r="AK274">
        <f>$AW$20</f>
        <v>0.6784</v>
      </c>
      <c r="AL274">
        <f>AI274 * AJ274 * R274 * T274 * AK274</f>
        <v>0.00025341454664666813</v>
      </c>
      <c r="AM274">
        <f>AI274*AJ274*S274*U274*AK274</f>
        <v>0.00019494350021037423</v>
      </c>
      <c r="AN274">
        <f>AL274+AM274</f>
        <v>0.0004483580468570424</v>
      </c>
      <c r="AO274">
        <f>H274*AN274*L274</f>
        <v>1.1814234534683066</v>
      </c>
    </row>
    <row r="275">
      <c r="F275" t="str">
        <v>Spring</v>
      </c>
      <c r="G275" t="str">
        <v>September</v>
      </c>
      <c r="H275">
        <v>85</v>
      </c>
      <c r="I275">
        <v>0</v>
      </c>
      <c r="J275">
        <v>0</v>
      </c>
      <c r="K275">
        <v>18</v>
      </c>
      <c r="L275">
        <v>18</v>
      </c>
      <c r="M275">
        <f>Tables!CC58</f>
        <v>0.16</v>
      </c>
      <c r="O275">
        <f>Tables!CC88</f>
        <v>0.7</v>
      </c>
      <c r="Q275">
        <f>Tables!CC116</f>
        <v>60</v>
      </c>
      <c r="R275">
        <f>$R$231</f>
        <v>0.008299999999999974</v>
      </c>
      <c r="S275">
        <f>$S$231</f>
        <v>0.9917</v>
      </c>
      <c r="T275">
        <f>$T$231</f>
        <v>0.73</v>
      </c>
      <c r="U275">
        <f>$AV$10</f>
        <v>0.0047</v>
      </c>
      <c r="V275">
        <f>(I275/100)*(MIN(J275,100)/100)</f>
        <v>0</v>
      </c>
      <c r="W275">
        <v>0</v>
      </c>
      <c r="X275">
        <f>1.6 * W275</f>
        <v>0</v>
      </c>
      <c r="Y275">
        <f>$AY$1</f>
        <v>1.3</v>
      </c>
      <c r="Z275">
        <f>V275*Y275+(1-V275)</f>
        <v>1</v>
      </c>
      <c r="AA275">
        <f>(0.795*O275)-0.0014</f>
        <v>0.5551</v>
      </c>
      <c r="AC275">
        <f>Tables!CC187</f>
        <v>3.2</v>
      </c>
      <c r="AD275">
        <f>1 - EXP(-2*(AC275^2))</f>
        <v>0.9999999987245923</v>
      </c>
      <c r="AE275">
        <f>(104.7*AA275+0.307*Q275-15)*(Q275^0.75)*10^-3</f>
        <v>1.3266722980183725</v>
      </c>
      <c r="AF275">
        <f>AE275*AD275*Z275</f>
        <v>1.3266722963263244</v>
      </c>
      <c r="AG275">
        <f>(AF275 * M275) + (0.045 * X275)</f>
        <v>0.21226756741221192</v>
      </c>
      <c r="AH275">
        <f>$AV$2</f>
        <v>0.08</v>
      </c>
      <c r="AI275">
        <f>(AF275 * ((1 - O275) + (0.04 * AF275))) * ( 1 - AH275 )</f>
        <v>0.4309317390377689</v>
      </c>
      <c r="AJ275">
        <f>$AV$1</f>
        <v>0.19</v>
      </c>
      <c r="AK275">
        <f>$AW$20</f>
        <v>0.6784</v>
      </c>
      <c r="AL275">
        <f>AI275 * AJ275 * R275 * T275 * AK275</f>
        <v>0.0003365494418787382</v>
      </c>
      <c r="AM275">
        <f>AI275*AJ275*S275*U275*AK275</f>
        <v>0.0002588964487708178</v>
      </c>
      <c r="AN275">
        <f>AL275+AM275</f>
        <v>0.0005954458906495561</v>
      </c>
      <c r="AO275">
        <f>H275*AN275*L275</f>
        <v>0.9110322126938208</v>
      </c>
    </row>
    <row r="276">
      <c r="F276" t="str">
        <v>Spring</v>
      </c>
      <c r="G276" t="str">
        <v>October</v>
      </c>
      <c r="H276">
        <v>75</v>
      </c>
      <c r="I276">
        <v>0</v>
      </c>
      <c r="J276">
        <v>0</v>
      </c>
      <c r="K276">
        <v>20</v>
      </c>
      <c r="L276">
        <v>20</v>
      </c>
      <c r="M276">
        <f>Tables!CC58</f>
        <v>0.16</v>
      </c>
      <c r="O276">
        <f>Tables!CC88</f>
        <v>0.7</v>
      </c>
      <c r="Q276">
        <f>Tables!CC116</f>
        <v>60</v>
      </c>
      <c r="R276">
        <f>$R$231</f>
        <v>0.008299999999999974</v>
      </c>
      <c r="S276">
        <f>$S$231</f>
        <v>0.9917</v>
      </c>
      <c r="T276">
        <f>$T$231</f>
        <v>0.73</v>
      </c>
      <c r="U276">
        <f>$AV$10</f>
        <v>0.0047</v>
      </c>
      <c r="V276">
        <f>(I276/100)*(MIN(J276,100)/100)</f>
        <v>0</v>
      </c>
      <c r="W276">
        <v>0</v>
      </c>
      <c r="X276">
        <f>1.6 * W276</f>
        <v>0</v>
      </c>
      <c r="Y276">
        <f>$AY$1</f>
        <v>1.3</v>
      </c>
      <c r="Z276">
        <f>V276*Y276+(1-V276)</f>
        <v>1</v>
      </c>
      <c r="AA276">
        <f>(0.795*O276)-0.0014</f>
        <v>0.5551</v>
      </c>
      <c r="AC276">
        <f>Tables!CC187</f>
        <v>3.2</v>
      </c>
      <c r="AD276">
        <f>1 - EXP(-2*(AC276^2))</f>
        <v>0.9999999987245923</v>
      </c>
      <c r="AE276">
        <f>(104.7*AA276+0.307*Q276-15)*(Q276^0.75)*10^-3</f>
        <v>1.3266722980183725</v>
      </c>
      <c r="AF276">
        <f>AE276*AD276*Z276</f>
        <v>1.3266722963263244</v>
      </c>
      <c r="AG276">
        <f>(AF276 * M276) + (0.045 * X276)</f>
        <v>0.21226756741221192</v>
      </c>
      <c r="AH276">
        <f>$AV$2</f>
        <v>0.08</v>
      </c>
      <c r="AI276">
        <f>(AF276 * ((1 - O276) + (0.04 * AF276))) * ( 1 - AH276 )</f>
        <v>0.4309317390377689</v>
      </c>
      <c r="AJ276">
        <f>$AV$1</f>
        <v>0.19</v>
      </c>
      <c r="AK276">
        <f>$AW$20</f>
        <v>0.6784</v>
      </c>
      <c r="AL276">
        <f>AI276 * AJ276 * R276 * T276 * AK276</f>
        <v>0.0003365494418787382</v>
      </c>
      <c r="AM276">
        <f>AI276*AJ276*S276*U276*AK276</f>
        <v>0.0002588964487708178</v>
      </c>
      <c r="AN276">
        <f>AL276+AM276</f>
        <v>0.0005954458906495561</v>
      </c>
      <c r="AO276">
        <f>H276*AN276*L276</f>
        <v>0.893168835974334</v>
      </c>
    </row>
    <row r="277">
      <c r="F277" t="str">
        <v>Spring</v>
      </c>
      <c r="G277" t="str">
        <v>November</v>
      </c>
      <c r="H277">
        <v>75</v>
      </c>
      <c r="I277">
        <v>0</v>
      </c>
      <c r="J277">
        <v>0</v>
      </c>
      <c r="K277">
        <v>20</v>
      </c>
      <c r="L277">
        <v>20</v>
      </c>
      <c r="M277">
        <f>Tables!CC58</f>
        <v>0.16</v>
      </c>
      <c r="O277">
        <f>Tables!CC88</f>
        <v>0.7</v>
      </c>
      <c r="Q277">
        <f>Tables!CC116</f>
        <v>60</v>
      </c>
      <c r="R277">
        <f>$R$231</f>
        <v>0.008299999999999974</v>
      </c>
      <c r="S277">
        <f>$S$231</f>
        <v>0.9917</v>
      </c>
      <c r="T277">
        <f>$T$231</f>
        <v>0.73</v>
      </c>
      <c r="U277">
        <f>$AV$10</f>
        <v>0.0047</v>
      </c>
      <c r="V277">
        <f>(I277/100)*(MIN(J277,100)/100)</f>
        <v>0</v>
      </c>
      <c r="W277">
        <v>0</v>
      </c>
      <c r="X277">
        <f>1.6 * W277</f>
        <v>0</v>
      </c>
      <c r="Y277">
        <f>$AY$1</f>
        <v>1.3</v>
      </c>
      <c r="Z277">
        <f>V277*Y277+(1-V277)</f>
        <v>1</v>
      </c>
      <c r="AA277">
        <f>(0.795*O277)-0.0014</f>
        <v>0.5551</v>
      </c>
      <c r="AC277">
        <f>Tables!CC187</f>
        <v>3.2</v>
      </c>
      <c r="AD277">
        <f>1 - EXP(-2*(AC277^2))</f>
        <v>0.9999999987245923</v>
      </c>
      <c r="AE277">
        <f>(104.7*AA277+0.307*Q277-15)*(Q277^0.75)*10^-3</f>
        <v>1.3266722980183725</v>
      </c>
      <c r="AF277">
        <f>AE277*AD277*Z277</f>
        <v>1.3266722963263244</v>
      </c>
      <c r="AG277">
        <f>(AF277 * M277) + (0.045 * X277)</f>
        <v>0.21226756741221192</v>
      </c>
      <c r="AH277">
        <f>$AV$2</f>
        <v>0.08</v>
      </c>
      <c r="AI277">
        <f>(AF277 * ((1 - O277) + (0.04 * AF277))) * ( 1 - AH277 )</f>
        <v>0.4309317390377689</v>
      </c>
      <c r="AJ277">
        <f>$AV$1</f>
        <v>0.19</v>
      </c>
      <c r="AK277">
        <f>$AW$20</f>
        <v>0.6784</v>
      </c>
      <c r="AL277">
        <f>AI277 * AJ277 * R277 * T277 * AK277</f>
        <v>0.0003365494418787382</v>
      </c>
      <c r="AM277">
        <f>AI277*AJ277*S277*U277*AK277</f>
        <v>0.0002588964487708178</v>
      </c>
      <c r="AN277">
        <f>AL277+AM277</f>
        <v>0.0005954458906495561</v>
      </c>
      <c r="AO277">
        <f>H277*AN277*L277</f>
        <v>0.893168835974334</v>
      </c>
    </row>
    <row r="278">
      <c r="F278" t="str">
        <v>Summer</v>
      </c>
      <c r="G278" t="str">
        <v>December</v>
      </c>
      <c r="H278">
        <v>80</v>
      </c>
      <c r="I278">
        <v>0</v>
      </c>
      <c r="J278">
        <v>0</v>
      </c>
      <c r="L278">
        <v>31</v>
      </c>
      <c r="M278">
        <f>Tables!CC59</f>
        <v>0.07</v>
      </c>
      <c r="O278">
        <f>Tables!CC89</f>
        <v>0.55</v>
      </c>
      <c r="Q278">
        <f>Tables!CC117</f>
        <v>55</v>
      </c>
      <c r="R278">
        <f>$R$231</f>
        <v>0.008299999999999974</v>
      </c>
      <c r="S278">
        <f>$S$231</f>
        <v>0.9917</v>
      </c>
      <c r="T278">
        <f>$T$231</f>
        <v>0.73</v>
      </c>
      <c r="U278">
        <f>$AV$10</f>
        <v>0.0047</v>
      </c>
      <c r="V278">
        <f>(I278/100)*(MIN(J278,100)/100)</f>
        <v>0</v>
      </c>
      <c r="W278">
        <v>0</v>
      </c>
      <c r="X278">
        <f>1.6 * W278</f>
        <v>0</v>
      </c>
      <c r="Y278">
        <f>$AY$1</f>
        <v>1.3</v>
      </c>
      <c r="Z278">
        <f>V278*Y278+(1-V278)</f>
        <v>1</v>
      </c>
      <c r="AA278">
        <f>(0.795*O278)-0.0014</f>
        <v>0.43585000000000007</v>
      </c>
      <c r="AC278">
        <f>Tables!CC188</f>
        <v>3</v>
      </c>
      <c r="AD278">
        <f>1 - EXP(-2*(AC278^2))</f>
        <v>0.9999999847700203</v>
      </c>
      <c r="AE278">
        <f>(104.7*AA278+0.307*Q278-15)*(Q278^0.75)*10^-3</f>
        <v>0.9596982312536153</v>
      </c>
      <c r="AF278">
        <f>AE278*AD278*Z278</f>
        <v>0.9596982166374307</v>
      </c>
      <c r="AG278">
        <f>(AF278 * M278) + (0.045 * X278)</f>
        <v>0.06717887516462015</v>
      </c>
      <c r="AH278">
        <f>$AV$2</f>
        <v>0.08</v>
      </c>
      <c r="AI278">
        <f>(AF278 * ((1 - O278) + (0.04 * AF278))) * ( 1 - AH278 )</f>
        <v>0.43120862223412426</v>
      </c>
      <c r="AJ278">
        <f>$AV$1</f>
        <v>0.19</v>
      </c>
      <c r="AK278">
        <f>$AW$20</f>
        <v>0.6784</v>
      </c>
      <c r="AL278">
        <f>AI278 * AJ278 * R278 * T278 * AK278</f>
        <v>0.00033676568235665495</v>
      </c>
      <c r="AM278">
        <f>AI278*AJ278*S278*U278*AK278</f>
        <v>0.0002590627954790477</v>
      </c>
      <c r="AN278">
        <f>AL278+AM278</f>
        <v>0.0005958284778357027</v>
      </c>
      <c r="AO278">
        <f>H278*AN278*L278</f>
        <v>1.4776546250325429</v>
      </c>
    </row>
  </sheetData>
  <pageMargins left="0.7" right="0.7" top="0.75" bottom="0.75" header="0.3" footer="0.3"/>
  <ignoredErrors>
    <ignoredError numberStoredAsText="1" sqref="A1:BR2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AO11"/>
  <sheetViews>
    <sheetView workbookViewId="0" rightToLeft="0"/>
  </sheetViews>
  <sheetData>
    <row r="2">
      <c r="K2" t="str">
        <v>(Ijk * CPjk) + (0.045 * MCjk=6)</v>
      </c>
      <c r="M2" t="str">
        <v>(Ijk * ((1 - DMDjk) + (0.04 * Ijk))) * ( 1 - A )</v>
      </c>
      <c r="P2" t="str">
        <v>VSjk * BO * MMSm * MCFim * 𝜌</v>
      </c>
      <c r="R2" t="str">
        <v>SUM SUM SUM (Njk * Mjkm * Dj) * 10^-3</v>
      </c>
      <c r="T2" t="str">
        <v>Mleach * EFleach * CN2O * 10^-3</v>
      </c>
      <c r="V2" t="str">
        <v>AE * FracGASMsoil</v>
      </c>
      <c r="X2" t="str">
        <v>Mvol * EFN2O * CN2O * 10^-3</v>
      </c>
      <c r="AB2" t="str">
        <v>LEjk=3,4 * 1.6</v>
      </c>
      <c r="AC2" t="str">
        <v>(GWk * Yk) / 365</v>
      </c>
      <c r="AD2" t="str">
        <v>LWGjk * 0.92</v>
      </c>
      <c r="AF2" t="str">
        <v>Wjk / SRWk</v>
      </c>
      <c r="AG2" t="str">
        <v>((0.045 * MPjk=3,4) + (WPk * 0.84)  + (EBGjk * ((212 - 4 * ((EBGjk * 1000)/(4* SRWk^0.75) - 1)) - ((140 - 4 * (((EBGjk * 1000)/4 * SRWk ^0.75) - 1))/(1 + e ^ (-6 * (Zjk - 0.4)))))) * 10^-3) / 6.25</v>
      </c>
      <c r="AH2" t="str">
        <v>1.6 * PLjk=6</v>
      </c>
      <c r="AI2" t="str">
        <v>(CPIjk  / 6.25 ) - NRjk</v>
      </c>
      <c r="AJ2" t="str">
        <v>SUM SUM (Njk * NEjk * Dj)</v>
      </c>
      <c r="AM2" t="str">
        <v>AE * EFprp * CN2O * 10^-3</v>
      </c>
      <c r="AN2" t="str">
        <v>AE * FracWet * FracLEACH</v>
      </c>
    </row>
    <row r="3">
      <c r="A3" t="str">
        <v>1071</v>
      </c>
      <c r="B3" t="str">
        <v>1075</v>
      </c>
      <c r="C3" t="str">
        <v>1078</v>
      </c>
      <c r="D3" t="str">
        <v>1077</v>
      </c>
      <c r="E3" t="str">
        <v>1081</v>
      </c>
      <c r="F3" t="str">
        <v>1085</v>
      </c>
      <c r="G3" t="str">
        <v>1082</v>
      </c>
      <c r="H3" t="str">
        <v/>
      </c>
      <c r="I3" t="str">
        <v>990</v>
      </c>
      <c r="J3" t="str">
        <v/>
      </c>
      <c r="K3" t="str">
        <v>983</v>
      </c>
      <c r="L3" t="str">
        <v>1087</v>
      </c>
      <c r="M3" t="str">
        <v>945</v>
      </c>
      <c r="N3" t="str">
        <v>1084</v>
      </c>
      <c r="O3" t="str">
        <v>1086</v>
      </c>
      <c r="P3" t="str">
        <v>930</v>
      </c>
      <c r="Q3" t="str">
        <v>1092</v>
      </c>
      <c r="R3" t="str">
        <v>922</v>
      </c>
      <c r="S3" t="str">
        <v>1094</v>
      </c>
      <c r="T3" t="str">
        <v>1056</v>
      </c>
      <c r="U3" t="str">
        <v>1093</v>
      </c>
      <c r="V3" t="str">
        <v>1045</v>
      </c>
      <c r="W3" t="str">
        <v>1091</v>
      </c>
      <c r="X3" t="str">
        <v>1037</v>
      </c>
      <c r="Y3" t="str">
        <v>1080</v>
      </c>
      <c r="Z3" t="str">
        <v>1072</v>
      </c>
      <c r="AA3" t="str">
        <v>1073</v>
      </c>
      <c r="AB3" t="str">
        <v>1003</v>
      </c>
      <c r="AC3" t="str">
        <v>1011</v>
      </c>
      <c r="AD3" t="str">
        <v>1017</v>
      </c>
      <c r="AE3" t="str">
        <v>1089</v>
      </c>
      <c r="AF3" t="str">
        <v>1021</v>
      </c>
      <c r="AG3" t="str">
        <v>994</v>
      </c>
      <c r="AH3" t="str">
        <v>988</v>
      </c>
      <c r="AI3" t="str">
        <v>978</v>
      </c>
      <c r="AJ3" t="str">
        <v>970</v>
      </c>
      <c r="AK3" t="str">
        <v>1090</v>
      </c>
      <c r="AL3" t="str">
        <v>1088</v>
      </c>
      <c r="AM3" t="str">
        <v>963</v>
      </c>
      <c r="AN3" t="str">
        <v>1062</v>
      </c>
      <c r="AO3" t="str">
        <v>1095</v>
      </c>
    </row>
    <row r="4">
      <c r="A4" t="str">
        <v>input</v>
      </c>
      <c r="B4" t="str">
        <v>input</v>
      </c>
      <c r="C4" t="str">
        <v>constant</v>
      </c>
      <c r="D4" t="str">
        <v>constant</v>
      </c>
      <c r="E4" t="str">
        <v>constant</v>
      </c>
      <c r="F4" t="str">
        <v>constant</v>
      </c>
      <c r="G4" t="str">
        <v>constant</v>
      </c>
      <c r="H4" t="str">
        <v>unknown</v>
      </c>
      <c r="I4" t="str">
        <v>input</v>
      </c>
      <c r="J4" t="str">
        <v>unknown</v>
      </c>
      <c r="K4" t="str">
        <v>expression</v>
      </c>
      <c r="L4" t="str">
        <v>constant</v>
      </c>
      <c r="M4" t="str">
        <v>expression</v>
      </c>
      <c r="N4" t="str">
        <v>constant</v>
      </c>
      <c r="O4" t="str">
        <v>constant</v>
      </c>
      <c r="P4" t="str">
        <v>expression</v>
      </c>
      <c r="Q4" t="str">
        <v>constant</v>
      </c>
      <c r="R4" t="str">
        <v>expression</v>
      </c>
      <c r="S4" t="str">
        <v>constant</v>
      </c>
      <c r="T4" t="str">
        <v>expression</v>
      </c>
      <c r="U4" t="str">
        <v>constant</v>
      </c>
      <c r="V4" t="str">
        <v>expression</v>
      </c>
      <c r="W4" t="str">
        <v>constant</v>
      </c>
      <c r="X4" t="str">
        <v>expression</v>
      </c>
      <c r="Y4" t="str">
        <v>constant</v>
      </c>
      <c r="Z4" t="str">
        <v>input</v>
      </c>
      <c r="AA4" t="str">
        <v>input</v>
      </c>
      <c r="AB4" t="str">
        <v>expression</v>
      </c>
      <c r="AC4" t="str">
        <v>expression</v>
      </c>
      <c r="AD4" t="str">
        <v>expression</v>
      </c>
      <c r="AE4" t="str">
        <v>constant</v>
      </c>
      <c r="AF4" t="str">
        <v>expression</v>
      </c>
      <c r="AG4" t="str">
        <v>expression</v>
      </c>
      <c r="AH4" t="str">
        <v>expression</v>
      </c>
      <c r="AI4" t="str">
        <v>expression</v>
      </c>
      <c r="AJ4" t="str">
        <v>expression</v>
      </c>
      <c r="AK4" t="str">
        <v>constant</v>
      </c>
      <c r="AL4" t="str">
        <v>constant</v>
      </c>
      <c r="AM4" t="str">
        <v>expression</v>
      </c>
      <c r="AN4" t="str">
        <v>expression</v>
      </c>
      <c r="AO4" t="str">
        <v>constant</v>
      </c>
    </row>
    <row r="5">
      <c r="A5" t="str">
        <v/>
      </c>
      <c r="B5" t="str">
        <v>input</v>
      </c>
      <c r="C5" t="str">
        <v>input</v>
      </c>
      <c r="D5" t="str">
        <v>input</v>
      </c>
      <c r="E5" t="str">
        <v>input</v>
      </c>
      <c r="F5" t="str">
        <v/>
      </c>
      <c r="G5" t="str">
        <v>input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input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</row>
    <row r="8">
      <c r="A8" t="str">
        <v>head</v>
      </c>
      <c r="B8" t="str">
        <v>days</v>
      </c>
      <c r="C8" t="str">
        <v>fraction</v>
      </c>
      <c r="D8" t="str">
        <v>fraction</v>
      </c>
      <c r="E8" t="str">
        <v>kg</v>
      </c>
      <c r="F8" t="str">
        <v>fraction</v>
      </c>
      <c r="G8" t="str">
        <v>fraction</v>
      </c>
      <c r="H8" t="str">
        <v/>
      </c>
      <c r="I8" t="str">
        <v>d</v>
      </c>
      <c r="J8" t="str">
        <v/>
      </c>
      <c r="K8" t="str">
        <v>kg / head / day</v>
      </c>
      <c r="L8" t="str">
        <v>fraction</v>
      </c>
      <c r="M8" t="str">
        <v>kg / head / day</v>
      </c>
      <c r="N8" t="str">
        <v>m3 CH4 / head / day</v>
      </c>
      <c r="O8" t="str">
        <v>kg / m3</v>
      </c>
      <c r="P8" t="str">
        <v>kg CH4 / head / day</v>
      </c>
      <c r="Q8" t="str">
        <v>fraction</v>
      </c>
      <c r="R8" t="str">
        <v>kg H4</v>
      </c>
      <c r="S8" t="str">
        <v>fraction</v>
      </c>
      <c r="T8" t="str">
        <v>t N2O</v>
      </c>
      <c r="U8" t="str">
        <v>kg NH3-N + NOx-N / kg N</v>
      </c>
      <c r="V8" t="str">
        <v>kg N</v>
      </c>
      <c r="W8" t="str">
        <v>kg N2O-N / kg N</v>
      </c>
      <c r="X8" t="str">
        <v>t N2O</v>
      </c>
      <c r="Y8" t="str">
        <v>kg</v>
      </c>
      <c r="Z8" t="str">
        <v>kg / head</v>
      </c>
      <c r="AA8" t="str">
        <v>fraction</v>
      </c>
      <c r="AB8" t="str">
        <v>kg/head/day</v>
      </c>
      <c r="AC8" t="str">
        <v>kg/head/day</v>
      </c>
      <c r="AD8" t="str">
        <v>kg</v>
      </c>
      <c r="AE8" t="str">
        <v>kg</v>
      </c>
      <c r="AF8" t="str">
        <v>d</v>
      </c>
      <c r="AG8" t="str">
        <v>kg N / head / day</v>
      </c>
      <c r="AH8" t="str">
        <v>kg / head / day</v>
      </c>
      <c r="AI8" t="str">
        <v>kg N/head/day</v>
      </c>
      <c r="AJ8" t="str">
        <v>kg N</v>
      </c>
      <c r="AK8" t="str">
        <v>kg N2O-N/kg N</v>
      </c>
      <c r="AL8" t="str">
        <v>d</v>
      </c>
      <c r="AM8" t="str">
        <v>t N2O</v>
      </c>
      <c r="AN8" t="str">
        <v>kg N</v>
      </c>
      <c r="AO8" t="str">
        <v>kg N2O-N / kg N</v>
      </c>
    </row>
    <row r="9">
      <c r="A9" t="str">
        <v>number of sheep in each time-period and input class</v>
      </c>
      <c r="B9" t="str">
        <v>number of days in each time-period</v>
      </c>
      <c r="C9" t="str">
        <v>crude protein content of feed intake expressed as a fraction</v>
      </c>
      <c r="D9" t="str">
        <v>dry matter digestibility expressed as a fraction</v>
      </c>
      <c r="E9" t="str">
        <v>Liveweight of livestock per time period and sheep class</v>
      </c>
      <c r="F9" t="str">
        <v>fraction of waste in each MMS</v>
      </c>
      <c r="G9" t="str">
        <v>methane conversion factor for temperature zone and MMS</v>
      </c>
      <c r="H9" t="str">
        <v>proportion of ewes lactating each season or time period</v>
      </c>
      <c r="I9" t="str">
        <v>proportion of lambs born in the time-period</v>
      </c>
      <c r="J9" t="str">
        <v>dry matter intake as calculated</v>
      </c>
      <c r="K9" t="str">
        <v>crude protein intake</v>
      </c>
      <c r="L9" t="str">
        <v>ash content of feed intake</v>
      </c>
      <c r="M9" t="str">
        <v>volatile solid production in each time-period and class</v>
      </c>
      <c r="N9" t="str">
        <v>emissions potential</v>
      </c>
      <c r="O9" t="str">
        <v>density of methane</v>
      </c>
      <c r="P9" t="str">
        <v>daily methane produced from the manure in each time-period</v>
      </c>
      <c r="Q9" t="str">
        <v>fraction of N that is available for leaching and runoff</v>
      </c>
      <c r="R9" t="str">
        <v>Total annual methane production from manure management</v>
      </c>
      <c r="S9" t="str">
        <v>fraction of all N that is lost through leaching and runoff</v>
      </c>
      <c r="T9" t="str">
        <v>Leaching and runoff emissions from urine and dung deposited on pasture</v>
      </c>
      <c r="U9" t="str">
        <v>fraction of nitrogen volatilised from urine and faeces deposited on pasture</v>
      </c>
      <c r="V9" t="str">
        <v>mass of nitrogen volatilised from urine and faeces deposited on pasture</v>
      </c>
      <c r="W9" t="str">
        <v>nitrous oxide emission factor for atmospheric deposition</v>
      </c>
      <c r="X9" t="str">
        <v>Annual atmospheric deposition emissions from urine and dung deposited on pasture</v>
      </c>
      <c r="Y9" t="str">
        <v>liveweight gain</v>
      </c>
      <c r="Z9" t="str">
        <v>greasy wool production per sheep class</v>
      </c>
      <c r="AA9" t="str">
        <v>average clean wool yield per sheep class</v>
      </c>
      <c r="AB9" t="str">
        <v>milk production</v>
      </c>
      <c r="AC9" t="str">
        <v>clean wool production</v>
      </c>
      <c r="AD9" t="str">
        <v>empty body gain</v>
      </c>
      <c r="AE9" t="str">
        <v>standard reference weight</v>
      </c>
      <c r="AF9" t="str">
        <v>relative size</v>
      </c>
      <c r="AG9" t="str">
        <v>the amount of nitrogen retained by the body</v>
      </c>
      <c r="AH9" t="str">
        <v>milk intake for sheep</v>
      </c>
      <c r="AI9" t="str">
        <v>nitrogen excreted in each time-period and by each class</v>
      </c>
      <c r="AJ9" t="str">
        <v>total mass of nitrogen excreted on PRP by sheep</v>
      </c>
      <c r="AK9" t="str">
        <v>emission factor for nitrous oxide from urine and dung deposited to soil</v>
      </c>
      <c r="AL9" t="str">
        <v>factor to convert elemental mass of nitrous oxide to molecular mass</v>
      </c>
      <c r="AM9" t="str">
        <v>Total annual direct nitrous oxide emissions from agricultural soils from deposition of urine and dung</v>
      </c>
      <c r="AN9" t="str">
        <v>mass of nitrogen lost to leaching and runoff</v>
      </c>
      <c r="AO9" t="str">
        <v>emission factor for leaching and run off</v>
      </c>
    </row>
    <row r="10">
      <c r="A10" t="str">
        <v>Njk</v>
      </c>
      <c r="B10" t="str">
        <v>Dj</v>
      </c>
      <c r="C10" t="str">
        <v>CPjk</v>
      </c>
      <c r="D10" t="str">
        <v>DMDjk</v>
      </c>
      <c r="E10" t="str">
        <v>Wjk</v>
      </c>
      <c r="F10" t="str">
        <v>MMSm</v>
      </c>
      <c r="G10" t="str">
        <v>MCFim</v>
      </c>
      <c r="H10" t="str">
        <v>LEjk=3,4</v>
      </c>
      <c r="I10" t="str">
        <v>PLjk=6</v>
      </c>
      <c r="J10" t="str">
        <v>Ijk</v>
      </c>
      <c r="K10" t="str">
        <v>CPIjk</v>
      </c>
      <c r="L10" t="str">
        <v>A</v>
      </c>
      <c r="M10" t="str">
        <v>VSjk</v>
      </c>
      <c r="N10" t="str">
        <v>BO</v>
      </c>
      <c r="O10" t="str">
        <v>𝜌</v>
      </c>
      <c r="P10" t="str">
        <v>Mjkm</v>
      </c>
      <c r="Q10" t="str">
        <v>FracWet</v>
      </c>
      <c r="R10" t="str">
        <v>ECH4</v>
      </c>
      <c r="S10" t="str">
        <v>FracLEACH</v>
      </c>
      <c r="T10" t="str">
        <v>ESN2O,leach</v>
      </c>
      <c r="U10" t="str">
        <v>FracGASMsoil</v>
      </c>
      <c r="V10" t="str">
        <v>Mvol</v>
      </c>
      <c r="W10" t="str">
        <v>EFN2O</v>
      </c>
      <c r="X10" t="str">
        <v>EN2O,ad</v>
      </c>
      <c r="Y10" t="str">
        <v>LWGjk</v>
      </c>
      <c r="Z10" t="str">
        <v>GWk</v>
      </c>
      <c r="AA10" t="str">
        <v>Yk</v>
      </c>
      <c r="AB10" t="str">
        <v>MPjk=3,4</v>
      </c>
      <c r="AC10" t="str">
        <v>WPk</v>
      </c>
      <c r="AD10" t="str">
        <v>EBGjk</v>
      </c>
      <c r="AE10" t="str">
        <v>SRWk</v>
      </c>
      <c r="AF10" t="str">
        <v>Zjk</v>
      </c>
      <c r="AG10" t="str">
        <v>NRijk</v>
      </c>
      <c r="AH10" t="str">
        <v>MCjk=6</v>
      </c>
      <c r="AI10" t="str">
        <v>NEjk</v>
      </c>
      <c r="AJ10" t="str">
        <v>AE</v>
      </c>
      <c r="AK10" t="str">
        <v>EFprp</v>
      </c>
      <c r="AL10" t="str">
        <v>CN2O</v>
      </c>
      <c r="AM10" t="str">
        <v>EN2O,dir</v>
      </c>
      <c r="AN10" t="str">
        <v>Mleach</v>
      </c>
      <c r="AO10" t="str">
        <v>EFleach</v>
      </c>
    </row>
    <row r="11">
      <c r="K11">
        <f>=(J11 * C11) + (0.045 * AH11)</f>
      </c>
      <c r="M11">
        <f>=(J11 * ((1 - D11) + (0.04 * J11))) * ( 1 - L11 )</f>
      </c>
      <c r="P11">
        <f>=M11 * N11 * F11 * G11 * O11</f>
      </c>
      <c r="R11">
        <f>=SUM SUM SUM (A11 * P11 * B11) * 10^-3</f>
      </c>
      <c r="T11">
        <f>=AN11 * AO11 * AL11 * 10^-3</f>
      </c>
      <c r="V11">
        <f>=AJ11 * U11</f>
      </c>
      <c r="X11">
        <f>=V11 * W11 * AL11 * 10^-3</f>
      </c>
      <c r="AB11">
        <f>=H11 * 1.6</f>
      </c>
      <c r="AC11">
        <f>=(Z11 * AA11) / 365</f>
      </c>
      <c r="AD11">
        <f>=Y11 * 0.92</f>
      </c>
      <c r="AF11">
        <f>=E11 / AE11</f>
      </c>
      <c r="AG11">
        <f>=((0.045 * AB11) + (AC11 * 0.84)  + (AD11 * ((212 - 4 * ((AD11 * 1000)/(4* AE11^0.75) - 1)) - ((140 - 4 * (((AD11 * 1000)/4 * AE11 ^0.75) - 1))/(1 + e ^ (-6 * (AF11 - 0.4)))))) * 10^-3) / 6.25</f>
      </c>
      <c r="AH11">
        <f>=1.6 * I11</f>
      </c>
      <c r="AI11">
        <f>=(K11  / 6.25 ) - NRjk</f>
      </c>
      <c r="AJ11">
        <f>=SUM SUM (A11 * AI11 * B11)</f>
      </c>
      <c r="AM11">
        <f>=AJ11 * AK11 * AL11 * 10^-3</f>
      </c>
      <c r="AN11">
        <f>=AJ11 * Q11 * S11</f>
      </c>
    </row>
  </sheetData>
  <pageMargins left="0.7" right="0.7" top="0.75" bottom="0.75" header="0.3" footer="0.3"/>
  <ignoredErrors>
    <ignoredError numberStoredAsText="1" sqref="A2:AO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O190"/>
  <sheetViews>
    <sheetView workbookViewId="0" rightToLeft="0"/>
  </sheetViews>
  <sheetData>
    <row r="1">
      <c r="M1" t="str">
        <v>3.4.1</v>
      </c>
      <c r="N1" t="str">
        <v>3.4.1</v>
      </c>
      <c r="AC1" t="str">
        <v>3.4.1 321</v>
      </c>
      <c r="AP1" t="str">
        <v>3.4.1</v>
      </c>
      <c r="AS1" t="str">
        <v>3.4.1</v>
      </c>
      <c r="AT1" t="str">
        <v>3.4.1</v>
      </c>
      <c r="AU1" t="str">
        <v>Ch 3.4.1</v>
      </c>
      <c r="BQ1">
        <v>1084</v>
      </c>
      <c r="BR1" t="str">
        <v>Bo</v>
      </c>
      <c r="BS1">
        <v>0.24</v>
      </c>
      <c r="BU1" t="str">
        <v>FAk</v>
      </c>
      <c r="BV1">
        <v>1.3</v>
      </c>
    </row>
    <row r="2">
      <c r="AD2" t="str">
        <v>LEjk=3,4 * 1.6</v>
      </c>
      <c r="AE2" t="str">
        <v>GWk * Yk / 365</v>
      </c>
      <c r="AF2" t="str">
        <v>LWGjk * 0.92</v>
      </c>
      <c r="AH2" t="str">
        <v>Wjk / SRWk</v>
      </c>
      <c r="AJ2" t="str">
        <v>1.6 * PLjk=6</v>
      </c>
      <c r="AK2" t="str">
        <v>((0.045 * MPjk=3,4) + (WPk * 0.84) + (EBGjk * ((212 - 4 * ((EBGjk * 1000) / (4 * SRWk ^0.75) - 1)) - (140 - 4 * (EBGjk * 1000)) / (1 + e^-6 * (Zjk - 0.4)) * 10^-3) / 6.25</v>
      </c>
      <c r="AL2" t="str">
        <v>(CPIjk ÷ 6.25 ) - NRjk</v>
      </c>
      <c r="AV2" t="str">
        <v>(Ijk * CPjk) + (0.045 * MCjk=6)</v>
      </c>
      <c r="AX2" t="str">
        <v>(Ijk * ((1 - DMDjk) + (0.04 * Ijk))) * ( 1 - A )</v>
      </c>
      <c r="BA2" t="str">
        <v>VSjk * BO * MMSm * MCFim * 𝜌</v>
      </c>
      <c r="BC2" t="str">
        <v>VSjk * BO * MMSm * MCFim * 𝜌</v>
      </c>
      <c r="BD2" t="str">
        <v>SUM SUM SUM (Njk * Mjkm * Dj) * 10^-3</v>
      </c>
      <c r="BF2" t="str">
        <v>SUM SUM (Njk * NEjk * Dj)</v>
      </c>
      <c r="BH2" t="str">
        <v>AE * FracGASMsoil</v>
      </c>
      <c r="BI2" t="str">
        <v>AE * FracWet * FracLEACH</v>
      </c>
      <c r="BJ2" t="str">
        <v>AE * EFPRP * CN2O * 10^-3</v>
      </c>
      <c r="BK2" t="str">
        <v>Mvol * EFN2O * CN2O * 10^-3</v>
      </c>
      <c r="BL2" t="str">
        <v>Mleach * EFleach * CN2O * 10^-3</v>
      </c>
      <c r="BQ2">
        <v>1087</v>
      </c>
      <c r="BR2" t="str">
        <v>A</v>
      </c>
      <c r="BS2">
        <v>0.08</v>
      </c>
    </row>
    <row r="3">
      <c r="J3" t="str">
        <v>1072</v>
      </c>
      <c r="K3" t="str">
        <v>1073</v>
      </c>
      <c r="L3" t="str">
        <v>1071</v>
      </c>
      <c r="M3">
        <v>342</v>
      </c>
      <c r="N3">
        <v>323</v>
      </c>
      <c r="O3" t="str">
        <v>1075</v>
      </c>
      <c r="P3" t="str">
        <v>1079</v>
      </c>
      <c r="Q3" t="str">
        <v>1078</v>
      </c>
      <c r="R3" t="str">
        <v>1077</v>
      </c>
      <c r="S3" t="str">
        <v>1081</v>
      </c>
      <c r="U3" t="str">
        <v>1085</v>
      </c>
      <c r="W3" t="str">
        <v>1082</v>
      </c>
      <c r="X3" t="str">
        <v>1092</v>
      </c>
      <c r="Y3" t="str">
        <v>1094</v>
      </c>
      <c r="Z3" t="str">
        <v>1095</v>
      </c>
      <c r="AA3" t="str">
        <v>1093</v>
      </c>
      <c r="AB3" t="str">
        <v>1091</v>
      </c>
      <c r="AC3" t="str">
        <v>1004</v>
      </c>
      <c r="AD3" t="str">
        <v>1003</v>
      </c>
      <c r="AE3" t="str">
        <v>1011</v>
      </c>
      <c r="AF3" t="str">
        <v>1017</v>
      </c>
      <c r="AG3" t="str">
        <v>1089</v>
      </c>
      <c r="AH3" t="str">
        <v>1021</v>
      </c>
      <c r="AI3" t="str">
        <v>990</v>
      </c>
      <c r="AJ3" t="str">
        <v>988</v>
      </c>
      <c r="AK3" t="str">
        <v>994</v>
      </c>
      <c r="AL3" t="str">
        <v>978</v>
      </c>
      <c r="AM3" t="str">
        <v>1090</v>
      </c>
      <c r="AN3" t="str">
        <v>1088</v>
      </c>
      <c r="AO3">
        <v>351</v>
      </c>
      <c r="AP3">
        <v>314</v>
      </c>
      <c r="AQ3">
        <v>302</v>
      </c>
      <c r="AR3">
        <v>349</v>
      </c>
      <c r="AS3">
        <v>308</v>
      </c>
      <c r="AT3">
        <v>296</v>
      </c>
      <c r="AU3" t="str">
        <v>946</v>
      </c>
      <c r="AV3" t="str">
        <v>983</v>
      </c>
      <c r="AW3" t="str">
        <v>1087</v>
      </c>
      <c r="AX3" t="str">
        <v>945</v>
      </c>
      <c r="AY3" t="str">
        <v>1084</v>
      </c>
      <c r="AZ3" t="str">
        <v>1086</v>
      </c>
      <c r="BA3" t="str">
        <v>930</v>
      </c>
      <c r="BC3" t="str">
        <v>930</v>
      </c>
      <c r="BD3" t="str">
        <v>922</v>
      </c>
      <c r="BF3" t="str">
        <v>970</v>
      </c>
      <c r="BH3" t="str">
        <v>1045</v>
      </c>
      <c r="BI3" t="str">
        <v>1062</v>
      </c>
      <c r="BJ3" t="str">
        <v>963</v>
      </c>
      <c r="BK3" t="str">
        <v>1037</v>
      </c>
      <c r="BL3" t="str">
        <v>1056</v>
      </c>
      <c r="BR3" t="str">
        <v>Dj</v>
      </c>
      <c r="BS3">
        <v>91.25</v>
      </c>
    </row>
    <row r="4">
      <c r="J4" t="str">
        <v>input</v>
      </c>
      <c r="K4" t="str">
        <v>input</v>
      </c>
      <c r="L4" t="str">
        <v>input</v>
      </c>
      <c r="O4" t="str">
        <v>constant</v>
      </c>
      <c r="P4" t="str">
        <v>constant</v>
      </c>
      <c r="Q4" t="str">
        <v>constant</v>
      </c>
      <c r="R4" t="str">
        <v>constant</v>
      </c>
      <c r="S4" t="str">
        <v>constant</v>
      </c>
      <c r="U4" t="str">
        <v>constant</v>
      </c>
      <c r="W4" t="str">
        <v>constant</v>
      </c>
      <c r="X4" t="str">
        <v>constant</v>
      </c>
      <c r="Y4" t="str">
        <v>constant</v>
      </c>
      <c r="Z4" t="str">
        <v>constant</v>
      </c>
      <c r="AA4" t="str">
        <v>constant</v>
      </c>
      <c r="AB4" t="str">
        <v>constant</v>
      </c>
      <c r="AC4" t="str">
        <v>constant</v>
      </c>
      <c r="AD4" t="str">
        <v>expression</v>
      </c>
      <c r="AE4" t="str">
        <v>expression</v>
      </c>
      <c r="AF4" t="str">
        <v>expression</v>
      </c>
      <c r="AG4" t="str">
        <v>constant</v>
      </c>
      <c r="AH4" t="str">
        <v>expression</v>
      </c>
      <c r="AI4" t="str">
        <v>expression</v>
      </c>
      <c r="AJ4" t="str">
        <v>expression</v>
      </c>
      <c r="AK4" t="str">
        <v>expression</v>
      </c>
      <c r="AL4" t="str">
        <v>expression</v>
      </c>
      <c r="AM4" t="str">
        <v>constant</v>
      </c>
      <c r="AN4" t="str">
        <v>constant</v>
      </c>
      <c r="AO4" t="str">
        <v>constant</v>
      </c>
      <c r="AP4" t="str">
        <v>expression</v>
      </c>
      <c r="AQ4" t="str">
        <v>expression</v>
      </c>
      <c r="AR4" t="str">
        <v>constant</v>
      </c>
      <c r="AS4" t="str">
        <v>expression</v>
      </c>
      <c r="AT4" t="str">
        <v>expression</v>
      </c>
      <c r="AU4" t="str">
        <v>expression</v>
      </c>
      <c r="AV4" t="str">
        <v>expression</v>
      </c>
      <c r="AW4" t="str">
        <v>constant</v>
      </c>
      <c r="AX4" t="str">
        <v>expression</v>
      </c>
      <c r="AY4" t="str">
        <v>constant</v>
      </c>
      <c r="AZ4" t="str">
        <v>constant</v>
      </c>
      <c r="BA4" t="str">
        <v>expression</v>
      </c>
      <c r="BC4" t="str">
        <v>expression</v>
      </c>
      <c r="BD4" t="str">
        <v>expression</v>
      </c>
      <c r="BF4" t="str">
        <v>expression</v>
      </c>
      <c r="BH4" t="str">
        <v>expression</v>
      </c>
      <c r="BI4" t="str">
        <v>expression</v>
      </c>
      <c r="BJ4" t="str">
        <v>expression</v>
      </c>
      <c r="BK4" t="str">
        <v>expression</v>
      </c>
      <c r="BL4" t="str">
        <v>expression</v>
      </c>
      <c r="BQ4">
        <v>1094</v>
      </c>
      <c r="BR4" t="str">
        <v>FracLEACH</v>
      </c>
      <c r="BS4">
        <v>0.24</v>
      </c>
    </row>
    <row r="5">
      <c r="J5" t="str">
        <v/>
      </c>
      <c r="K5" t="str">
        <v/>
      </c>
      <c r="L5" t="str">
        <v/>
      </c>
      <c r="O5" t="str">
        <v>input</v>
      </c>
      <c r="P5" t="str">
        <v>input</v>
      </c>
      <c r="Q5" t="str">
        <v>input</v>
      </c>
      <c r="R5" t="str">
        <v>input</v>
      </c>
      <c r="S5" t="str">
        <v>input</v>
      </c>
      <c r="U5" t="str">
        <v/>
      </c>
      <c r="W5" t="str">
        <v>input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R5" t="str">
        <v>input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C5" t="str">
        <v/>
      </c>
      <c r="BD5" t="str">
        <v/>
      </c>
      <c r="BF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Q5">
        <v>1093</v>
      </c>
      <c r="BR5" t="str">
        <v>FracGASMSoil</v>
      </c>
      <c r="BS5">
        <v>0.21</v>
      </c>
      <c r="BW5" t="str">
        <v>A.1.4.5</v>
      </c>
      <c r="BX5" t="str">
        <v>LWGjk</v>
      </c>
    </row>
    <row r="6">
      <c r="BQ6">
        <v>1095</v>
      </c>
      <c r="BR6" t="str">
        <v>EFLeach</v>
      </c>
      <c r="BS6">
        <v>0.011</v>
      </c>
      <c r="BW6" t="str">
        <v>Season</v>
      </c>
      <c r="BX6" t="str">
        <v>Class</v>
      </c>
      <c r="BY6" t="str">
        <v>ACT/NSW</v>
      </c>
      <c r="BZ6" t="str">
        <v>QLD</v>
      </c>
      <c r="CA6" t="str">
        <v>SA</v>
      </c>
      <c r="CB6" t="str">
        <v>TAS</v>
      </c>
      <c r="CC6" t="str">
        <v>VIC</v>
      </c>
      <c r="CD6" t="str">
        <v>WA</v>
      </c>
      <c r="CE6" t="str">
        <v>SeasonOrder</v>
      </c>
      <c r="CH6" t="str">
        <v>Column1</v>
      </c>
      <c r="CI6" t="str">
        <v>Column2</v>
      </c>
      <c r="CJ6" t="str">
        <v>Column3</v>
      </c>
      <c r="CK6" t="str">
        <v>Column4</v>
      </c>
      <c r="CL6" t="str">
        <v>Column5</v>
      </c>
      <c r="CM6" t="str">
        <v>Column6</v>
      </c>
      <c r="CN6" t="str">
        <v>Column7</v>
      </c>
      <c r="CO6" t="str">
        <v>Column8</v>
      </c>
    </row>
    <row r="7">
      <c r="BQ7">
        <v>1088</v>
      </c>
      <c r="BR7" t="str">
        <v>CN2O</v>
      </c>
      <c r="BS7">
        <f>44/28</f>
        <v>1.5714285714285714</v>
      </c>
      <c r="BW7" t="str">
        <v>Spring</v>
      </c>
      <c r="BX7" t="str">
        <v>Breeding ewes</v>
      </c>
      <c r="BY7">
        <v>0.04</v>
      </c>
      <c r="BZ7">
        <v>-0.02</v>
      </c>
      <c r="CA7">
        <v>0</v>
      </c>
      <c r="CB7">
        <v>-0.02</v>
      </c>
      <c r="CC7">
        <v>0.11</v>
      </c>
      <c r="CD7">
        <v>0.05</v>
      </c>
      <c r="CE7">
        <v>1</v>
      </c>
      <c r="CH7" t="str">
        <v>State</v>
      </c>
      <c r="CI7" t="str">
        <v>Season</v>
      </c>
      <c r="CJ7" t="str">
        <v>Rams</v>
      </c>
      <c r="CK7" t="str">
        <v>Wethers</v>
      </c>
      <c r="CL7" t="str">
        <v>Maiden ewes</v>
      </c>
      <c r="CM7" t="str">
        <v>Breeding ewes</v>
      </c>
      <c r="CN7" t="str">
        <v>Other ewes</v>
      </c>
      <c r="CO7" t="str">
        <v>Lambs and hoggets</v>
      </c>
    </row>
    <row r="8">
      <c r="J8" t="str">
        <v>kg / head</v>
      </c>
      <c r="K8" t="str">
        <v>d</v>
      </c>
      <c r="L8" t="str">
        <v>head</v>
      </c>
      <c r="O8" t="str">
        <v>days</v>
      </c>
      <c r="P8" t="str">
        <v>kg</v>
      </c>
      <c r="Q8" t="str">
        <v>d</v>
      </c>
      <c r="R8" t="str">
        <v>d</v>
      </c>
      <c r="S8" t="str">
        <v>kg</v>
      </c>
      <c r="U8" t="str">
        <v>d</v>
      </c>
      <c r="W8" t="str">
        <v>d</v>
      </c>
      <c r="X8" t="str">
        <v>d</v>
      </c>
      <c r="Y8" t="str">
        <v>d</v>
      </c>
      <c r="Z8" t="str">
        <v>kg N2O-N / kg N</v>
      </c>
      <c r="AA8" t="str">
        <v>kg volatilised N/kg N</v>
      </c>
      <c r="AB8" t="str">
        <v>kg N2O-N/kg N</v>
      </c>
      <c r="AC8" t="str">
        <v>d</v>
      </c>
      <c r="AD8" t="str">
        <v>kg/head/day</v>
      </c>
      <c r="AE8" t="str">
        <v>kg/head/day</v>
      </c>
      <c r="AF8" t="str">
        <v>kg</v>
      </c>
      <c r="AG8" t="str">
        <v>kg</v>
      </c>
      <c r="AH8" t="str">
        <v>d</v>
      </c>
      <c r="AI8" t="str">
        <v>d</v>
      </c>
      <c r="AJ8" t="str">
        <v>kg / head / day</v>
      </c>
      <c r="AK8" t="str">
        <v>kg N/head/day</v>
      </c>
      <c r="AL8" t="str">
        <v>kg N/head/day</v>
      </c>
      <c r="AM8" t="str">
        <v>kg N2O-N/kg N deposited</v>
      </c>
      <c r="AN8" t="str">
        <v>d</v>
      </c>
      <c r="AU8" t="str">
        <v>kg DM/head/day</v>
      </c>
      <c r="AV8" t="str">
        <v>kg/head/day</v>
      </c>
      <c r="AW8" t="str">
        <v>d</v>
      </c>
      <c r="AX8" t="str">
        <v>kg/head/day</v>
      </c>
      <c r="AY8" t="str">
        <v>m3 CH4/kgVS</v>
      </c>
      <c r="AZ8" t="str">
        <v>kg/m3</v>
      </c>
      <c r="BA8" t="str">
        <v>kg CH4/head/day</v>
      </c>
      <c r="BC8" t="str">
        <v>kg CH4/head/day</v>
      </c>
      <c r="BD8" t="str">
        <v>kg CH4</v>
      </c>
      <c r="BF8" t="str">
        <v>kg N</v>
      </c>
      <c r="BH8" t="str">
        <v>kg N</v>
      </c>
      <c r="BI8" t="str">
        <v>kg N</v>
      </c>
      <c r="BJ8" t="str">
        <v>t N2O</v>
      </c>
      <c r="BK8" t="str">
        <v>t N2O</v>
      </c>
      <c r="BL8" t="str">
        <v>t N2O</v>
      </c>
      <c r="BW8" t="str">
        <v>Summer</v>
      </c>
      <c r="BX8" t="str">
        <v>Breeding ewes</v>
      </c>
      <c r="BY8">
        <v>-0.05</v>
      </c>
      <c r="BZ8">
        <v>0.05</v>
      </c>
      <c r="CA8">
        <v>0</v>
      </c>
      <c r="CB8">
        <v>0</v>
      </c>
      <c r="CC8">
        <v>-0.05</v>
      </c>
      <c r="CD8">
        <v>-0.05</v>
      </c>
      <c r="CE8">
        <v>2</v>
      </c>
      <c r="CH8" t="str">
        <v>ACT/NSW</v>
      </c>
      <c r="CI8" t="str">
        <v>Spring</v>
      </c>
      <c r="CJ8">
        <v>0.07</v>
      </c>
      <c r="CK8">
        <v>0.08</v>
      </c>
      <c r="CL8">
        <v>0.07</v>
      </c>
      <c r="CM8">
        <v>0.04</v>
      </c>
      <c r="CN8">
        <v>0.05</v>
      </c>
      <c r="CO8">
        <v>0.16</v>
      </c>
    </row>
    <row r="9">
      <c r="J9" t="str">
        <v>greasy wool production per class</v>
      </c>
      <c r="K9" t="str">
        <v>average clean wool yield per class</v>
      </c>
      <c r="L9" t="str">
        <v>number of sheep in each time period and class</v>
      </c>
      <c r="M9" t="str">
        <v>Lambing rate</v>
      </c>
      <c r="N9" t="str">
        <v>Lamb marking rate</v>
      </c>
      <c r="O9" t="str">
        <v>number of days in each time period</v>
      </c>
      <c r="P9" t="str">
        <v>liveweight gain</v>
      </c>
      <c r="Q9" t="str">
        <v>crude protein content of feed intake</v>
      </c>
      <c r="R9" t="str">
        <v>dry matter digestibility</v>
      </c>
      <c r="S9" t="str">
        <v>liveweight</v>
      </c>
      <c r="U9" t="str">
        <v>fraction of waste in each MMS</v>
      </c>
      <c r="W9" t="str">
        <v>methane conversion factor for temperate zone and MMS</v>
      </c>
      <c r="X9" t="str">
        <v>fraction of N that is available for leaching and runoff</v>
      </c>
      <c r="Y9" t="str">
        <v>fraction of all N that is lost through leaching and runoff</v>
      </c>
      <c r="Z9" t="str">
        <v>emissions factor for leaching and runoff</v>
      </c>
      <c r="AA9" t="str">
        <v>fraction of nitrogen volatilised from urine and dung on pasture</v>
      </c>
      <c r="AB9" t="str">
        <v>NO2 emission factor for atmospheric deposition</v>
      </c>
      <c r="AC9" t="str">
        <v>proportion of ewes lactating each season or time period</v>
      </c>
      <c r="AD9" t="str">
        <v>milk production</v>
      </c>
      <c r="AE9" t="str">
        <v>clean wool production</v>
      </c>
      <c r="AF9" t="str">
        <v>empty body gain</v>
      </c>
      <c r="AG9" t="str">
        <v>standard reference weight</v>
      </c>
      <c r="AH9" t="str">
        <v>relative size</v>
      </c>
      <c r="AI9" t="str">
        <v>Proportion of lambs born in the time period</v>
      </c>
      <c r="AJ9" t="str">
        <v>Milk intake</v>
      </c>
      <c r="AK9" t="str">
        <v>amount of nitrogen retained by the body</v>
      </c>
      <c r="AL9" t="str">
        <v>Nitrogen excreted in each time period</v>
      </c>
      <c r="AM9" t="str">
        <v>Emissions factor for nitrous oxide from urine and dung</v>
      </c>
      <c r="AN9" t="str">
        <v>Factor to convert elemental mass of NO2 to molecular mass</v>
      </c>
      <c r="AU9" t="str">
        <v>dry matter intake</v>
      </c>
      <c r="AV9" t="str">
        <v>crude protein intake</v>
      </c>
      <c r="AW9" t="str">
        <v>ash content of feed intake</v>
      </c>
      <c r="AX9" t="str">
        <v>volatile solid production</v>
      </c>
      <c r="AY9" t="str">
        <v>emisions potential</v>
      </c>
      <c r="AZ9" t="str">
        <v>density of methane</v>
      </c>
      <c r="BA9" t="str">
        <v>methane produced from manure</v>
      </c>
      <c r="BC9" t="str">
        <v>methane produced from manure</v>
      </c>
      <c r="BD9" t="str">
        <v>annual methane production from manure</v>
      </c>
      <c r="BF9" t="str">
        <v>Total mass of nitrogen excreted on PRP</v>
      </c>
      <c r="BH9" t="str">
        <v>Mass of nitrogen volatilised</v>
      </c>
      <c r="BI9" t="str">
        <v>mass of nitrogen lost ot leaching and runoff</v>
      </c>
      <c r="BJ9" t="str">
        <v>annual direct NO2 from soils from deposition of urine and dung</v>
      </c>
      <c r="BK9" t="str">
        <v>annual atmospheric deposition emissions from urine and dung on pasture</v>
      </c>
      <c r="BL9" t="str">
        <v>Leaching and runoff emissions from urine and dung deposited on pasture</v>
      </c>
      <c r="BS9" t="str">
        <v>MCF</v>
      </c>
      <c r="BU9" t="str">
        <v>Lagoon</v>
      </c>
      <c r="BW9" t="str">
        <v>Autumn</v>
      </c>
      <c r="BX9" t="str">
        <v>Breeding ewes</v>
      </c>
      <c r="BY9">
        <v>0.01</v>
      </c>
      <c r="BZ9">
        <v>0</v>
      </c>
      <c r="CA9">
        <v>0</v>
      </c>
      <c r="CB9">
        <v>0</v>
      </c>
      <c r="CC9">
        <v>-0.02</v>
      </c>
      <c r="CD9">
        <v>-0.05</v>
      </c>
      <c r="CE9">
        <v>3</v>
      </c>
      <c r="CI9" t="str">
        <v>Summer</v>
      </c>
      <c r="CJ9">
        <v>0</v>
      </c>
      <c r="CK9">
        <v>-0.08</v>
      </c>
      <c r="CL9">
        <v>0</v>
      </c>
      <c r="CM9">
        <v>-0.05</v>
      </c>
      <c r="CN9">
        <v>-0.05</v>
      </c>
      <c r="CO9">
        <v>0.08</v>
      </c>
    </row>
    <row r="10">
      <c r="A10" t="str">
        <v>Scenario</v>
      </c>
      <c r="B10" t="str">
        <v>State</v>
      </c>
      <c r="C10" t="str">
        <v>State</v>
      </c>
      <c r="D10" t="str">
        <v>No unfenced water</v>
      </c>
      <c r="E10" t="str">
        <v>Leaching zone</v>
      </c>
      <c r="F10" t="str">
        <v>Production system</v>
      </c>
      <c r="G10" t="str">
        <v>Climate zone</v>
      </c>
      <c r="H10" t="str">
        <v>Class</v>
      </c>
      <c r="J10" t="str">
        <v>GWk</v>
      </c>
      <c r="K10" t="str">
        <v>Yk</v>
      </c>
      <c r="L10" t="str">
        <v>Njk</v>
      </c>
      <c r="M10" t="str">
        <v>LR</v>
      </c>
      <c r="N10" t="str">
        <v>LMR</v>
      </c>
      <c r="O10" t="str">
        <v>Dj</v>
      </c>
      <c r="P10" t="str">
        <v>LWGjk</v>
      </c>
      <c r="Q10" t="str">
        <v>CPjk</v>
      </c>
      <c r="R10" t="str">
        <v>DMDjk</v>
      </c>
      <c r="S10" t="str">
        <v>Wjk</v>
      </c>
      <c r="T10" t="str">
        <v>MMSm=1</v>
      </c>
      <c r="U10" t="str">
        <v>MMSm=14</v>
      </c>
      <c r="V10" t="str">
        <v>MCFim=1</v>
      </c>
      <c r="W10" t="str">
        <v>MCFim=14</v>
      </c>
      <c r="X10" t="str">
        <v>FracWet</v>
      </c>
      <c r="Y10" t="str">
        <v>FracLEACH</v>
      </c>
      <c r="Z10" t="str">
        <v>EFleach</v>
      </c>
      <c r="AA10" t="str">
        <v>FracGASMsoil</v>
      </c>
      <c r="AB10" t="str">
        <v>EFN2O</v>
      </c>
      <c r="AC10" t="str">
        <v>LEjk=3,4</v>
      </c>
      <c r="AD10" t="str">
        <v>MPjk=3,4</v>
      </c>
      <c r="AE10" t="str">
        <v>WPk</v>
      </c>
      <c r="AF10" t="str">
        <v>EBGjk</v>
      </c>
      <c r="AG10" t="str">
        <v>SRWk</v>
      </c>
      <c r="AH10" t="str">
        <v>Zjk</v>
      </c>
      <c r="AI10" t="str">
        <v>PLjk=6</v>
      </c>
      <c r="AJ10" t="str">
        <v>MCjk=6</v>
      </c>
      <c r="AK10" t="str">
        <v>NRjk</v>
      </c>
      <c r="AL10" t="str">
        <v>NEjk</v>
      </c>
      <c r="AM10" t="str">
        <v>EFPRP</v>
      </c>
      <c r="AN10" t="str">
        <v>CN2O</v>
      </c>
      <c r="AO10" t="str">
        <v>FAk</v>
      </c>
      <c r="AP10" t="str">
        <v>MAjk</v>
      </c>
      <c r="AQ10" t="str">
        <v>qmjk</v>
      </c>
      <c r="AR10" t="str">
        <v>DMAjk</v>
      </c>
      <c r="AS10" t="str">
        <v>RIjk</v>
      </c>
      <c r="AT10" t="str">
        <v>PIjk</v>
      </c>
      <c r="AU10" t="str">
        <v>Ijk</v>
      </c>
      <c r="AV10" t="str">
        <v>CPIjk</v>
      </c>
      <c r="AW10" t="str">
        <v>A</v>
      </c>
      <c r="AX10" t="str">
        <v>VSjk</v>
      </c>
      <c r="AY10" t="str">
        <v>BO</v>
      </c>
      <c r="AZ10" t="str">
        <v>𝜌</v>
      </c>
      <c r="BA10" t="str">
        <v>Mjkm=1</v>
      </c>
      <c r="BB10" t="str">
        <v>Mjkm=14</v>
      </c>
      <c r="BC10" t="str">
        <v>Mjk</v>
      </c>
      <c r="BD10" t="str">
        <v>ECH4</v>
      </c>
      <c r="BE10" t="str">
        <v>ECH4</v>
      </c>
      <c r="BF10" t="str">
        <v>AE</v>
      </c>
      <c r="BG10" t="str">
        <v>AE</v>
      </c>
      <c r="BH10" t="str">
        <v>Mvol</v>
      </c>
      <c r="BI10" t="str">
        <v>Mleach</v>
      </c>
      <c r="BJ10" t="str">
        <v>EN2O,dir</v>
      </c>
      <c r="BK10" t="str">
        <v>EN2O,ad</v>
      </c>
      <c r="BL10" t="str">
        <v>ESN2O,leach</v>
      </c>
      <c r="BR10" t="str">
        <v>PRP</v>
      </c>
      <c r="BS10">
        <v>0.0047</v>
      </c>
      <c r="BT10" t="str">
        <v>ACT</v>
      </c>
      <c r="BU10">
        <v>0.72</v>
      </c>
      <c r="BW10" t="str">
        <v>Winter</v>
      </c>
      <c r="BX10" t="str">
        <v>Breeding ewes</v>
      </c>
      <c r="BY10">
        <v>0</v>
      </c>
      <c r="BZ10">
        <v>-0.03</v>
      </c>
      <c r="CA10">
        <v>0</v>
      </c>
      <c r="CB10">
        <v>0.02</v>
      </c>
      <c r="CC10">
        <v>-0.03</v>
      </c>
      <c r="CD10">
        <v>0.05</v>
      </c>
      <c r="CE10">
        <v>4</v>
      </c>
      <c r="CI10" t="str">
        <v>Autumn</v>
      </c>
      <c r="CJ10">
        <v>-0.07</v>
      </c>
      <c r="CK10">
        <v>0</v>
      </c>
      <c r="CL10">
        <v>0</v>
      </c>
      <c r="CM10">
        <v>0.01</v>
      </c>
      <c r="CN10">
        <v>-0.01</v>
      </c>
      <c r="CO10">
        <v>0.05</v>
      </c>
    </row>
    <row r="11" xml:space="preserve">
      <c r="A11" t="str">
        <v>Baseline</v>
      </c>
      <c r="B11" t="str">
        <v>ACT</v>
      </c>
      <c r="C11" t="str">
        <v>ACT/NSW</v>
      </c>
      <c r="D11" t="str">
        <v>yes</v>
      </c>
      <c r="E11" t="str">
        <v>yes</v>
      </c>
      <c r="F11" t="str">
        <v>Irrigated pasture</v>
      </c>
      <c r="G11" t="str">
        <v>wet</v>
      </c>
      <c r="H11" t="str">
        <v>Breeding ewes</v>
      </c>
      <c r="I11" t="str">
        <v>Spring</v>
      </c>
      <c r="J11">
        <v>4</v>
      </c>
      <c r="K11">
        <v>0.65</v>
      </c>
      <c r="L11">
        <v>100</v>
      </c>
      <c r="M11">
        <v>95</v>
      </c>
      <c r="N11">
        <v>90</v>
      </c>
      <c r="O11">
        <f>$BS$3</f>
        <v>91.25</v>
      </c>
      <c r="P11" cm="1">
        <f t="array" ref="P11:P34">DROP(XLOOKUP($C11,TableLWG2_1[[#Headers],[ACT/NSW]:[WA]],TableLWG2_1[[#All],[ACT/NSW]:[WA]]),1)</f>
        <v>0.04</v>
      </c>
      <c r="Q11" cm="1">
        <f t="array" ref="Q11:Q34">DROP(XLOOKUP($C11,QueryCP[[#Headers],[ACT/NSW]:[WA]],QueryCP[[#All],[ACT/NSW]:[WA]]),1)</f>
        <v>0.2</v>
      </c>
      <c r="R11" cm="1">
        <f t="array" ref="R11:R34">DROP(XLOOKUP($C11,QueryDMD[[#Headers],[ACT/NSW]:[WA]],QueryDMD[[#All],[ACT/NSW]:[WA]]),1)</f>
        <v>0.75</v>
      </c>
      <c r="S11" cm="1">
        <f t="array" ref="S11:S34">DROP(XLOOKUP($C11,QueryW[[#Headers],[ACT/NSW]:[WA]],QueryW[[#All],[ACT/NSW]:[WA]]),1)</f>
        <v>54</v>
      </c>
      <c r="T11">
        <f>1-U11</f>
        <v>0</v>
      </c>
      <c r="U11">
        <f>IF($D$11="yes", 1, VLOOKUP(B11, $BR$26:$BT$32, 1))</f>
        <v>1</v>
      </c>
      <c r="V11">
        <f>VLOOKUP($B$11,$BT$10:$BU$16, 2, FALSE)</f>
        <v>0.72</v>
      </c>
      <c r="W11">
        <f>$BS$10</f>
        <v>0.0047</v>
      </c>
      <c r="X11">
        <f>IF(E11="yes",1,0)</f>
        <v>1</v>
      </c>
      <c r="Y11">
        <f>$BS$4</f>
        <v>0.24</v>
      </c>
      <c r="Z11">
        <f>$BS$6</f>
        <v>0.011</v>
      </c>
      <c r="AA11">
        <f>$BS$5</f>
        <v>0.21</v>
      </c>
      <c r="AB11">
        <f>VLOOKUP($F$11,$BR$37:$BS$49,2,FALSE)</f>
        <v>0.0059</v>
      </c>
      <c r="AC11">
        <f>(M11/100)*(MIN(N11,100)/100)</f>
        <v>0.855</v>
      </c>
      <c r="AD11">
        <f>AC11 * 1.6</f>
        <v>1.368</v>
      </c>
      <c r="AE11">
        <f>J11 * K11 / 365</f>
        <v>0.007123287671232877</v>
      </c>
      <c r="AF11">
        <f>P11 * 0.92</f>
        <v>0.0368</v>
      </c>
      <c r="AG11" cm="1">
        <f t="array" ref="AG11:AG34">DROP(XLOOKUP($C11,QuerySRW[[#Headers],[ACT/NSW]:[WA]],QuerySRW[[#All],[ACT/NSW]:[WA]]),1)</f>
        <v>57</v>
      </c>
      <c r="AH11">
        <f>S11 / AG11</f>
        <v>0.9473684210526315</v>
      </c>
      <c r="AI11">
        <v>0</v>
      </c>
      <c r="AJ11">
        <f>1.6 * AI11</f>
        <v>0</v>
      </c>
      <c r="AK11" xml:space="preserve">
        <f xml:space="preserve">(0.045*AD11+AE11*0.84+
      (AF11*
          (
              (212 - 4*(AF11*1000/(4*AG11^0.75)-1))-((140 - 4 * (AF11*1000/(4*AG11^0.75)-1))/(1+EXP(-6*(AH11-0.4))))
          )
      )*10^-3
)/6.25</f>
        <v>0.011261151088387938</v>
      </c>
      <c r="AL11">
        <f>(AV11 / 6.25 ) - AK11</f>
        <v>0.0398868291652205</v>
      </c>
      <c r="AM11">
        <f>IF($G$11="wet",$BU$18,$BU$19)</f>
        <v>0.006</v>
      </c>
      <c r="AN11">
        <f>$BS$7</f>
        <v>1.5714285714285714</v>
      </c>
      <c r="AO11">
        <f>$BV$1</f>
        <v>1.3</v>
      </c>
      <c r="AP11">
        <f>AC11*AO11+(1-AC11)</f>
        <v>1.2565</v>
      </c>
      <c r="AQ11">
        <f>(0.795*R11)-0.0014</f>
        <v>0.5948500000000001</v>
      </c>
      <c r="AR11" cm="1">
        <f t="array" ref="AR11:AR34">DROP(XLOOKUP($C11,QueryDMA[[#Headers],[ACT/NSW]:[WA]],QueryDMA[[#All],[ACT/NSW]:[WA]]),1)</f>
        <v>2.9</v>
      </c>
      <c r="AS11">
        <f>1 - EXP(-2*(AR11^2))</f>
        <v>0.9999999504359468</v>
      </c>
      <c r="AT11">
        <f>(104.7*AQ11+0.307*S11-15)*(S11^0.75)*10^-3</f>
        <v>1.2720847291262878</v>
      </c>
      <c r="AU11">
        <f>AT11*AS11*AP11</f>
        <v>1.5983743829252637</v>
      </c>
      <c r="AV11">
        <f>(AU11 * Q11) + (0.045 * AJ11)</f>
        <v>0.3196748765850528</v>
      </c>
      <c r="AW11">
        <f>$BS$2</f>
        <v>0.08</v>
      </c>
      <c r="AX11">
        <f>(AU11 * ((1 - R11) + (0.04 * AU11))) * ( 1 - AW11 )</f>
        <v>0.46164277265490583</v>
      </c>
      <c r="AY11">
        <f>$BS$1</f>
        <v>0.24</v>
      </c>
      <c r="AZ11">
        <f>$BT$20</f>
        <v>0.6784</v>
      </c>
      <c r="BA11">
        <f>AX11 * AY11 * T11 * V11 * AZ11</f>
        <v>0</v>
      </c>
      <c r="BB11">
        <f>AX11*AY11*U11*W11*AZ11</f>
        <v>0.0003532652994611314</v>
      </c>
      <c r="BC11">
        <f>BA11+BB11</f>
        <v>0.0003532652994611314</v>
      </c>
      <c r="BD11">
        <f>L11*BC11*O11</f>
        <v>3.223545857582824</v>
      </c>
      <c r="BE11">
        <f>SUM(BD11:BD34)*10^-3</f>
        <v>0.06814717206467437</v>
      </c>
      <c r="BF11">
        <f>L11*AL11*O11</f>
        <v>363.96731613263705</v>
      </c>
      <c r="BG11">
        <f>SUM(BF11:BF34)</f>
        <v>6370.048237553447</v>
      </c>
      <c r="BH11">
        <f>BF11 * AA11</f>
        <v>76.43313638785378</v>
      </c>
      <c r="BI11">
        <f>BF11 * X11 * Y11</f>
        <v>87.35215587183289</v>
      </c>
      <c r="BJ11">
        <f>BF11 * AM11 * AN11 * 10^-3</f>
        <v>0.0034316918378220064</v>
      </c>
      <c r="BK11">
        <f>BH11 * AB11 * AN11 * 10^-3</f>
        <v>0.0007086443645102443</v>
      </c>
      <c r="BL11">
        <f>BI11 * Z11 * AN11 * 10^-3</f>
        <v>0.0015099444086416828</v>
      </c>
      <c r="BT11" t="str">
        <v xml:space="preserve">NSW </v>
      </c>
      <c r="BU11">
        <v>0.75</v>
      </c>
      <c r="BW11" t="str">
        <v>Spring</v>
      </c>
      <c r="BX11" t="str">
        <v>Lambs and hoggets</v>
      </c>
      <c r="BY11">
        <v>0.16</v>
      </c>
      <c r="BZ11">
        <v>0.2</v>
      </c>
      <c r="CA11">
        <v>0.11</v>
      </c>
      <c r="CB11">
        <v>0.15</v>
      </c>
      <c r="CC11">
        <v>0.15</v>
      </c>
      <c r="CD11">
        <v>0.11</v>
      </c>
      <c r="CE11">
        <v>1</v>
      </c>
      <c r="CI11" t="str">
        <v>Winter</v>
      </c>
      <c r="CJ11">
        <v>0</v>
      </c>
      <c r="CK11">
        <v>0</v>
      </c>
      <c r="CL11">
        <v>0.02</v>
      </c>
      <c r="CM11">
        <v>0</v>
      </c>
      <c r="CN11">
        <v>0.01</v>
      </c>
      <c r="CO11">
        <v>0.04</v>
      </c>
    </row>
    <row r="12" xml:space="preserve">
      <c r="I12" t="str">
        <v>Summer</v>
      </c>
      <c r="J12">
        <f>J11</f>
        <v>4</v>
      </c>
      <c r="K12">
        <f>K11</f>
        <v>0.65</v>
      </c>
      <c r="L12">
        <v>70</v>
      </c>
      <c r="M12">
        <v>0</v>
      </c>
      <c r="N12">
        <v>0</v>
      </c>
      <c r="O12">
        <f>$BS$3</f>
        <v>91.25</v>
      </c>
      <c r="P12">
        <v>-0.05</v>
      </c>
      <c r="Q12">
        <v>0.1</v>
      </c>
      <c r="R12">
        <v>0.61</v>
      </c>
      <c r="S12">
        <v>49</v>
      </c>
      <c r="T12">
        <f>1-U12</f>
        <v>0</v>
      </c>
      <c r="U12">
        <f>IF($D$11="yes", 1, VLOOKUP(B12, $BR$26:$BT$32, 1))</f>
        <v>1</v>
      </c>
      <c r="V12">
        <f>VLOOKUP($B$11,$BT$10:$BU$16, 2, FALSE)</f>
        <v>0.72</v>
      </c>
      <c r="W12">
        <f>$BS$10</f>
        <v>0.0047</v>
      </c>
      <c r="X12">
        <f>IF(E12="yes",1,0)</f>
        <v>0</v>
      </c>
      <c r="Y12">
        <f>$BS$4</f>
        <v>0.24</v>
      </c>
      <c r="Z12">
        <f>$BS$6</f>
        <v>0.011</v>
      </c>
      <c r="AA12">
        <f>$BS$5</f>
        <v>0.21</v>
      </c>
      <c r="AB12">
        <f>VLOOKUP($F$11,$BR$37:$BS$49,2,FALSE)</f>
        <v>0.0059</v>
      </c>
      <c r="AC12">
        <f>(M12/100)*(MIN(N12,100)/100)</f>
        <v>0</v>
      </c>
      <c r="AD12">
        <f>AC12 * 1.6</f>
        <v>0</v>
      </c>
      <c r="AE12">
        <f>J12 * K12 / 365</f>
        <v>0.007123287671232877</v>
      </c>
      <c r="AF12">
        <f>P12 * 0.92</f>
        <v>-0.046000000000000006</v>
      </c>
      <c r="AG12">
        <v>57</v>
      </c>
      <c r="AH12">
        <f>S12 / AG12</f>
        <v>0.8596491228070176</v>
      </c>
      <c r="AI12">
        <v>0</v>
      </c>
      <c r="AJ12">
        <f>1.6 * AI12</f>
        <v>0</v>
      </c>
      <c r="AK12" xml:space="preserve">
        <f xml:space="preserve">(0.045*AD12+AE12*0.84+
      (AF12*
          (
              (212 - 4*(AF12*1000/(4*AG12^0.75)-1))-((140 - 4 * (AF12*1000/(4*AG12^0.75)-1))/(1+EXP(-6*(AH12-0.4))))
          )
      )*10^-3
)/6.25</f>
        <v>0.00036326515165143006</v>
      </c>
      <c r="AL12">
        <f>(AV12 / 6.25 ) - AK12</f>
        <v>0.014651626395231406</v>
      </c>
      <c r="AM12">
        <f>IF($G$11="wet",$BU$18,$BU$19)</f>
        <v>0.006</v>
      </c>
      <c r="AN12">
        <f>$BS$7</f>
        <v>1.5714285714285714</v>
      </c>
      <c r="AO12">
        <f>$BV$1</f>
        <v>1.3</v>
      </c>
      <c r="AP12">
        <f>AC12*AO12+(1-AC12)</f>
        <v>1</v>
      </c>
      <c r="AQ12">
        <f>(0.795*R12)-0.0014</f>
        <v>0.48355</v>
      </c>
      <c r="AR12">
        <v>2.5</v>
      </c>
      <c r="AS12">
        <f>1 - EXP(-2*(AR12^2))</f>
        <v>0.999996273346828</v>
      </c>
      <c r="AT12">
        <f>(104.7*AQ12+0.307*S12-15)*(S12^0.75)*10^-3</f>
        <v>0.9384342188990358</v>
      </c>
      <c r="AU12">
        <f>AT12*AS12*AP12</f>
        <v>0.9384307216801772</v>
      </c>
      <c r="AV12">
        <f>(AU12 * Q12) + (0.045 * AJ12)</f>
        <v>0.09384307216801772</v>
      </c>
      <c r="AW12">
        <f>$BS$2</f>
        <v>0.08</v>
      </c>
      <c r="AX12">
        <f>(AU12 * ((1 - R12) + (0.04 * AU12))) * ( 1 - AW12 )</f>
        <v>0.3691169446125166</v>
      </c>
      <c r="AY12">
        <f>$BS$1</f>
        <v>0.24</v>
      </c>
      <c r="AZ12">
        <f>$BT$20</f>
        <v>0.6784</v>
      </c>
      <c r="BA12">
        <f>AX12 * AY12 * T12 * V12 * AZ12</f>
        <v>0</v>
      </c>
      <c r="BB12">
        <f>AX12*AY12*U12*W12*AZ12</f>
        <v>0.00028246127893394806</v>
      </c>
      <c r="BC12">
        <f>BA12+BB12</f>
        <v>0.00028246127893394806</v>
      </c>
      <c r="BD12">
        <f>L12*BC12*O12</f>
        <v>1.8042214191905934</v>
      </c>
      <c r="BF12">
        <f>L12*AL12*O12</f>
        <v>93.5872635995406</v>
      </c>
      <c r="BT12" t="str">
        <v xml:space="preserve">QLD </v>
      </c>
      <c r="BU12">
        <v>0.78</v>
      </c>
      <c r="BW12" t="str">
        <v>Summer</v>
      </c>
      <c r="BX12" t="str">
        <v>Lambs and hoggets</v>
      </c>
      <c r="BY12">
        <v>0.08</v>
      </c>
      <c r="BZ12">
        <v>0.05</v>
      </c>
      <c r="CA12">
        <v>0.05</v>
      </c>
      <c r="CB12">
        <v>0.11</v>
      </c>
      <c r="CC12">
        <v>0.07</v>
      </c>
      <c r="CD12">
        <v>0</v>
      </c>
      <c r="CE12">
        <v>2</v>
      </c>
      <c r="CH12" t="str">
        <v>Queensland</v>
      </c>
      <c r="CI12" t="str">
        <v>Spring</v>
      </c>
      <c r="CJ12">
        <v>-0.02</v>
      </c>
      <c r="CK12">
        <v>0</v>
      </c>
      <c r="CL12">
        <v>0</v>
      </c>
      <c r="CM12">
        <v>-0.02</v>
      </c>
      <c r="CN12">
        <v>-0.03</v>
      </c>
      <c r="CO12">
        <v>0.2</v>
      </c>
    </row>
    <row r="13" xml:space="preserve">
      <c r="I13" t="str">
        <v>Autumn</v>
      </c>
      <c r="J13">
        <f>J12</f>
        <v>4</v>
      </c>
      <c r="K13">
        <f>K11</f>
        <v>0.65</v>
      </c>
      <c r="L13">
        <v>65</v>
      </c>
      <c r="M13">
        <v>0</v>
      </c>
      <c r="N13">
        <v>0</v>
      </c>
      <c r="O13">
        <f>$BS$3</f>
        <v>91.25</v>
      </c>
      <c r="P13">
        <v>0.01</v>
      </c>
      <c r="Q13">
        <v>0.12</v>
      </c>
      <c r="R13">
        <v>0.64</v>
      </c>
      <c r="S13">
        <v>50</v>
      </c>
      <c r="T13">
        <f>1-U13</f>
        <v>0</v>
      </c>
      <c r="U13">
        <f>IF($D$11="yes", 1, VLOOKUP(B13, $BR$26:$BT$32, 1))</f>
        <v>1</v>
      </c>
      <c r="V13">
        <f>VLOOKUP($B$11,$BT$10:$BU$16, 2, FALSE)</f>
        <v>0.72</v>
      </c>
      <c r="W13">
        <f>$BS$10</f>
        <v>0.0047</v>
      </c>
      <c r="X13">
        <f>IF(E13="yes",1,0)</f>
        <v>0</v>
      </c>
      <c r="Y13">
        <f>$BS$4</f>
        <v>0.24</v>
      </c>
      <c r="Z13">
        <f>$BS$6</f>
        <v>0.011</v>
      </c>
      <c r="AA13">
        <f>$BS$5</f>
        <v>0.21</v>
      </c>
      <c r="AB13">
        <f>VLOOKUP($F$11,$BR$37:$BS$49,2,FALSE)</f>
        <v>0.0059</v>
      </c>
      <c r="AC13">
        <f>(M13/100)*(MIN(N13,100)/100)</f>
        <v>0</v>
      </c>
      <c r="AD13">
        <f>AC13 * 1.6</f>
        <v>0</v>
      </c>
      <c r="AE13">
        <f>J13 * K13 / 365</f>
        <v>0.007123287671232877</v>
      </c>
      <c r="AF13">
        <f>P13 * 0.92</f>
        <v>0.0092</v>
      </c>
      <c r="AG13">
        <v>57</v>
      </c>
      <c r="AH13">
        <f>S13 / AG13</f>
        <v>0.8771929824561403</v>
      </c>
      <c r="AI13">
        <v>0</v>
      </c>
      <c r="AJ13">
        <f>1.6 * AI13</f>
        <v>0</v>
      </c>
      <c r="AK13" xml:space="preserve">
        <f xml:space="preserve">(0.045*AD13+AE13*0.84+_x000d_
      (AF13*_x000d_
          (_x000d_
              (212 - 4*(AF13*1000/(4*AG13^0.75)-1))-((140 - 4 * (AF13*1000/(4*AG13^0.75)-1))/(1+EXP(-6*(AH13-0.4))))_x000d_
          )_x000d_
      )*10^-3_x000d_
)/6.25</f>
        <v>0.0010747659693624819</v>
      </c>
      <c r="AL13">
        <f>(AV13 / 6.25 ) - AK13</f>
        <v>0.01811521741614671</v>
      </c>
      <c r="AM13">
        <f>IF($G$11="wet",$BU$18,$BU$19)</f>
        <v>0.006</v>
      </c>
      <c r="AN13">
        <f>$BS$7</f>
        <v>1.5714285714285714</v>
      </c>
      <c r="AO13">
        <f>$BV$1</f>
        <v>1.3</v>
      </c>
      <c r="AP13">
        <f>AC13*AO13+(1-AC13)</f>
        <v>1</v>
      </c>
      <c r="AQ13">
        <f>(0.795*R13)-0.0014</f>
        <v>0.5074000000000001</v>
      </c>
      <c r="AR13">
        <v>1.6</v>
      </c>
      <c r="AS13">
        <f>1 - EXP(-2*(AR13^2))</f>
        <v>0.994023977104994</v>
      </c>
      <c r="AT13">
        <f>(104.7*AQ13+0.307*S13-15)*(S13^0.75)*10^-3</f>
        <v>1.0054871153505722</v>
      </c>
      <c r="AU13">
        <f>AT13*AS13*AP13</f>
        <v>0.9994783013286037</v>
      </c>
      <c r="AV13">
        <f>(AU13 * Q13) + (0.045 * AJ13)</f>
        <v>0.11993739615943244</v>
      </c>
      <c r="AW13">
        <f>$BS$2</f>
        <v>0.08</v>
      </c>
      <c r="AX13">
        <f>(AU13 * ((1 - R13) + (0.04 * AU13))) * ( 1 - AW13 )</f>
        <v>0.3677888263936565</v>
      </c>
      <c r="AY13">
        <f>$BS$1</f>
        <v>0.24</v>
      </c>
      <c r="AZ13">
        <f>$BT$20</f>
        <v>0.6784</v>
      </c>
      <c r="BA13">
        <f>AX13 * AY13 * T13 * V13 * AZ13</f>
        <v>0</v>
      </c>
      <c r="BB13">
        <f>AX13*AY13*U13*W13*AZ13</f>
        <v>0.000281444956123115</v>
      </c>
      <c r="BC13">
        <f>BA13+BB13</f>
        <v>0.000281444956123115</v>
      </c>
      <c r="BD13">
        <f>L13*BC13*O13</f>
        <v>1.6693203960052256</v>
      </c>
      <c r="BF13">
        <f>L13*AL13*O13</f>
        <v>107.44588329952018</v>
      </c>
      <c r="BT13" t="str">
        <v xml:space="preserve">SA </v>
      </c>
      <c r="BU13">
        <v>0.74</v>
      </c>
      <c r="BW13" t="str">
        <v>Autumn</v>
      </c>
      <c r="BX13" t="str">
        <v>Lambs and hoggets</v>
      </c>
      <c r="BY13">
        <v>0.05</v>
      </c>
      <c r="BZ13">
        <v>0.2</v>
      </c>
      <c r="CA13">
        <v>0.16</v>
      </c>
      <c r="CB13">
        <v>0.13</v>
      </c>
      <c r="CC13">
        <v>0.05</v>
      </c>
      <c r="CD13">
        <v>0.11</v>
      </c>
      <c r="CE13">
        <v>3</v>
      </c>
      <c r="CI13" t="str">
        <v>Summer</v>
      </c>
      <c r="CJ13">
        <v>0.03</v>
      </c>
      <c r="CK13">
        <v>0.05</v>
      </c>
      <c r="CL13">
        <v>0.05</v>
      </c>
      <c r="CM13">
        <v>0.05</v>
      </c>
      <c r="CN13">
        <v>0.05</v>
      </c>
      <c r="CO13">
        <v>0.05</v>
      </c>
    </row>
    <row r="14" xml:space="preserve">
      <c r="I14" t="str">
        <v>Winter</v>
      </c>
      <c r="J14">
        <f>J13</f>
        <v>4</v>
      </c>
      <c r="K14">
        <f>K11</f>
        <v>0.65</v>
      </c>
      <c r="L14">
        <v>80</v>
      </c>
      <c r="M14">
        <v>0</v>
      </c>
      <c r="N14">
        <v>0</v>
      </c>
      <c r="O14">
        <f>$BS$3</f>
        <v>91.25</v>
      </c>
      <c r="P14">
        <v>0</v>
      </c>
      <c r="Q14">
        <v>0.18</v>
      </c>
      <c r="R14">
        <v>0.72</v>
      </c>
      <c r="S14">
        <v>50</v>
      </c>
      <c r="T14">
        <f>1-U14</f>
        <v>0</v>
      </c>
      <c r="U14">
        <f>IF($D$11="yes", 1, VLOOKUP(B14, $BR$26:$BT$32, 1))</f>
        <v>1</v>
      </c>
      <c r="V14">
        <f>VLOOKUP($B$11,$BT$10:$BU$16, 2, FALSE)</f>
        <v>0.72</v>
      </c>
      <c r="W14">
        <f>$BS$10</f>
        <v>0.0047</v>
      </c>
      <c r="X14">
        <f>IF(E14="yes",1,0)</f>
        <v>0</v>
      </c>
      <c r="Y14">
        <f>$BS$4</f>
        <v>0.24</v>
      </c>
      <c r="Z14">
        <f>$BS$6</f>
        <v>0.011</v>
      </c>
      <c r="AA14">
        <f>$BS$5</f>
        <v>0.21</v>
      </c>
      <c r="AB14">
        <f>VLOOKUP($F$11,$BR$37:$BS$49,2,FALSE)</f>
        <v>0.0059</v>
      </c>
      <c r="AC14">
        <f>(M14/100)*(MIN(N14,100)/100)</f>
        <v>0</v>
      </c>
      <c r="AD14">
        <f>AC14 * 1.6</f>
        <v>0</v>
      </c>
      <c r="AE14">
        <f>J14 * K14 / 365</f>
        <v>0.007123287671232877</v>
      </c>
      <c r="AF14">
        <f>P14 * 0.92</f>
        <v>0</v>
      </c>
      <c r="AG14">
        <v>57</v>
      </c>
      <c r="AH14">
        <f>S14 / AG14</f>
        <v>0.8771929824561403</v>
      </c>
      <c r="AI14">
        <v>0</v>
      </c>
      <c r="AJ14">
        <f>1.6 * AI14</f>
        <v>0</v>
      </c>
      <c r="AK14" xml:space="preserve">
        <f xml:space="preserve">(0.045*AD14+AE14*0.84+_x000d_
      (AF14*_x000d_
          (_x000d_
              (212 - 4*(AF14*1000/(4*AG14^0.75)-1))-((140 - 4 * (AF14*1000/(4*AG14^0.75)-1))/(1+EXP(-6*(AH14-0.4))))_x000d_
          )_x000d_
      )*10^-3_x000d_
)/6.25</f>
        <v>0.0009573698630136987</v>
      </c>
      <c r="AL14">
        <f>(AV14 / 6.25 ) - AK14</f>
        <v>0.03150606203219781</v>
      </c>
      <c r="AM14">
        <f>IF($G$11="wet",$BU$18,$BU$19)</f>
        <v>0.006</v>
      </c>
      <c r="AN14">
        <f>$BS$7</f>
        <v>1.5714285714285714</v>
      </c>
      <c r="AO14">
        <f>$BV$1</f>
        <v>1.3</v>
      </c>
      <c r="AP14">
        <f>AC14*AO14+(1-AC14)</f>
        <v>1</v>
      </c>
      <c r="AQ14">
        <f>(0.795*R14)-0.0014</f>
        <v>0.5710000000000001</v>
      </c>
      <c r="AR14">
        <v>1.7</v>
      </c>
      <c r="AS14">
        <f>1 - EXP(-2*(AR14^2))</f>
        <v>0.9969112845917633</v>
      </c>
      <c r="AT14">
        <f>(104.7*AQ14+0.307*S14-15)*(S14^0.75)*10^-3</f>
        <v>1.1306948910936463</v>
      </c>
      <c r="AU14">
        <f>AT14*AS14*AP14</f>
        <v>1.1272024963615108</v>
      </c>
      <c r="AV14">
        <f>(AU14 * Q14) + (0.045 * AJ14)</f>
        <v>0.20289644934507195</v>
      </c>
      <c r="AW14">
        <f>$BS$2</f>
        <v>0.08</v>
      </c>
      <c r="AX14">
        <f>(AU14 * ((1 - R14) + (0.04 * AU14))) * ( 1 - AW14 )</f>
        <v>0.3371249082778985</v>
      </c>
      <c r="AY14">
        <f>$BS$1</f>
        <v>0.24</v>
      </c>
      <c r="AZ14">
        <f>$BT$20</f>
        <v>0.6784</v>
      </c>
      <c r="BA14">
        <f>AX14 * AY14 * T14 * V14 * AZ14</f>
        <v>0</v>
      </c>
      <c r="BB14">
        <f>AX14*AY14*U14*W14*AZ14</f>
        <v>0.00025797984661101933</v>
      </c>
      <c r="BC14">
        <f>BA14+BB14</f>
        <v>0.00025797984661101933</v>
      </c>
      <c r="BD14">
        <f>L14*BC14*O14</f>
        <v>1.8832528802604411</v>
      </c>
      <c r="BF14">
        <f>L14*AL14*O14</f>
        <v>229.994252835044</v>
      </c>
      <c r="BT14" t="str">
        <v xml:space="preserve">TAS </v>
      </c>
      <c r="BU14">
        <v>0.69</v>
      </c>
      <c r="BW14" t="str">
        <v>Winter</v>
      </c>
      <c r="BX14" t="str">
        <v>Lambs and hoggets</v>
      </c>
      <c r="BY14">
        <v>0.04</v>
      </c>
      <c r="BZ14">
        <v>0.05</v>
      </c>
      <c r="CA14">
        <v>0.16</v>
      </c>
      <c r="CB14">
        <v>0.07</v>
      </c>
      <c r="CC14">
        <v>0.02</v>
      </c>
      <c r="CD14">
        <v>0.11</v>
      </c>
      <c r="CE14">
        <v>4</v>
      </c>
      <c r="CI14" t="str">
        <v>Autumn</v>
      </c>
      <c r="CJ14">
        <v>0.02</v>
      </c>
      <c r="CK14">
        <v>0</v>
      </c>
      <c r="CL14">
        <v>0</v>
      </c>
      <c r="CM14">
        <v>0</v>
      </c>
      <c r="CN14">
        <v>0</v>
      </c>
      <c r="CO14">
        <v>0.2</v>
      </c>
    </row>
    <row r="15" xml:space="preserve">
      <c r="H15" t="str">
        <v>Lambs and hoggets</v>
      </c>
      <c r="I15" t="str">
        <v>Spring</v>
      </c>
      <c r="J15">
        <v>3</v>
      </c>
      <c r="K15">
        <v>0.6</v>
      </c>
      <c r="L15">
        <v>200</v>
      </c>
      <c r="M15">
        <v>0</v>
      </c>
      <c r="N15">
        <v>0</v>
      </c>
      <c r="O15">
        <f>$BS$3</f>
        <v>91.25</v>
      </c>
      <c r="P15">
        <v>0.16</v>
      </c>
      <c r="Q15">
        <v>0.2</v>
      </c>
      <c r="R15">
        <v>0.75</v>
      </c>
      <c r="S15">
        <v>20</v>
      </c>
      <c r="T15">
        <f>1-U15</f>
        <v>0</v>
      </c>
      <c r="U15">
        <f>IF($D$11="yes", 1, VLOOKUP(B15, $BR$26:$BT$32, 1))</f>
        <v>1</v>
      </c>
      <c r="V15">
        <f>VLOOKUP($B$11,$BT$10:$BU$16, 2, FALSE)</f>
        <v>0.72</v>
      </c>
      <c r="W15">
        <f>$BS$10</f>
        <v>0.0047</v>
      </c>
      <c r="X15">
        <f>IF(E15="yes",1,0)</f>
        <v>0</v>
      </c>
      <c r="Y15">
        <f>$BS$4</f>
        <v>0.24</v>
      </c>
      <c r="Z15">
        <f>$BS$6</f>
        <v>0.011</v>
      </c>
      <c r="AA15">
        <f>$BS$5</f>
        <v>0.21</v>
      </c>
      <c r="AB15">
        <f>VLOOKUP($F$11,$BR$37:$BS$49,2,FALSE)</f>
        <v>0.0059</v>
      </c>
      <c r="AC15">
        <f>(M15/100)*(MIN(N15,100)/100)</f>
        <v>0</v>
      </c>
      <c r="AD15">
        <f>AC15 * 1.6</f>
        <v>0</v>
      </c>
      <c r="AE15">
        <f>J15 * K15 / 365</f>
        <v>0.004931506849315068</v>
      </c>
      <c r="AF15">
        <f>P15 * 0.92</f>
        <v>0.1472</v>
      </c>
      <c r="AG15">
        <v>60</v>
      </c>
      <c r="AH15">
        <f>S15 / AG15</f>
        <v>0.3333333333333333</v>
      </c>
      <c r="AI15">
        <v>1</v>
      </c>
      <c r="AJ15">
        <f>1.6 * AI15</f>
        <v>1.6</v>
      </c>
      <c r="AK15" xml:space="preserve">
        <f xml:space="preserve">(0.045*AD15+AE15*0.84+_x000d_
      (AF15*_x000d_
          (_x000d_
              (212 - 4*(AF15*1000/(4*AG15^0.75)-1))-((140 - 4 * (AF15*1000/(4*AG15^0.75)-1))/(1+EXP(-6*(AH15-0.4))))_x000d_
          )_x000d_
      )*10^-3_x000d_
)/6.25</f>
        <v>0.004292703552756263</v>
      </c>
      <c r="AL15">
        <f>(AV15 / 6.25 ) - AK15</f>
        <v>0.023394421603544668</v>
      </c>
      <c r="AM15">
        <f>IF($G$11="wet",$BU$18,$BU$19)</f>
        <v>0.006</v>
      </c>
      <c r="AN15">
        <f>$BS$7</f>
        <v>1.5714285714285714</v>
      </c>
      <c r="AO15">
        <f>$BV$1</f>
        <v>1.3</v>
      </c>
      <c r="AP15">
        <f>AC15*AO15+(1-AC15)</f>
        <v>1</v>
      </c>
      <c r="AQ15">
        <f>(0.795*R15)-0.0014</f>
        <v>0.5948500000000001</v>
      </c>
      <c r="AR15">
        <v>2.9</v>
      </c>
      <c r="AS15">
        <f>1 - EXP(-2*(AR15^2))</f>
        <v>0.9999999504359468</v>
      </c>
      <c r="AT15">
        <f>(104.7*AQ15+0.307*S15-15)*(S15^0.75)*10^-3</f>
        <v>0.5052226861752882</v>
      </c>
      <c r="AU15">
        <f>AT15*AS15*AP15</f>
        <v>0.5052226611344041</v>
      </c>
      <c r="AV15">
        <f>(AU15 * Q15) + (0.045 * AJ15)</f>
        <v>0.17304453222688082</v>
      </c>
      <c r="AW15">
        <f>$BS$2</f>
        <v>0.08</v>
      </c>
      <c r="AX15">
        <f>(AU15 * ((1 - R15) + (0.04 * AU15))) * ( 1 - AW15 )</f>
        <v>0.12559440975442615</v>
      </c>
      <c r="AY15">
        <f>$BS$1</f>
        <v>0.24</v>
      </c>
      <c r="AZ15">
        <f>$BT$20</f>
        <v>0.6784</v>
      </c>
      <c r="BA15">
        <f>AX15 * AY15 * T15 * V15 * AZ15</f>
        <v>0</v>
      </c>
      <c r="BB15">
        <f>AX15*AY15*U15*W15*AZ15</f>
        <v>0.00009610926326731025</v>
      </c>
      <c r="BC15">
        <f>BA15+BB15</f>
        <v>0.00009610926326731025</v>
      </c>
      <c r="BD15">
        <f>L15*BC15*O15</f>
        <v>1.753994054628412</v>
      </c>
      <c r="BF15">
        <f>L15*AL15*O15</f>
        <v>426.94819426469013</v>
      </c>
      <c r="BT15" t="str">
        <v xml:space="preserve">VIC </v>
      </c>
      <c r="BU15">
        <v>0.73</v>
      </c>
      <c r="BW15" t="str">
        <v>Spring</v>
      </c>
      <c r="BX15" t="str">
        <v>Maiden ewes</v>
      </c>
      <c r="BY15">
        <v>0.07</v>
      </c>
      <c r="BZ15">
        <v>0</v>
      </c>
      <c r="CA15">
        <v>0</v>
      </c>
      <c r="CB15">
        <v>0.03</v>
      </c>
      <c r="CC15">
        <v>0.16</v>
      </c>
      <c r="CD15">
        <v>0.05</v>
      </c>
      <c r="CE15">
        <v>1</v>
      </c>
      <c r="CI15" t="str">
        <v>Winter</v>
      </c>
      <c r="CJ15">
        <v>-0.03</v>
      </c>
      <c r="CK15">
        <v>-0.05</v>
      </c>
      <c r="CL15">
        <v>-0.05</v>
      </c>
      <c r="CM15">
        <v>-0.03</v>
      </c>
      <c r="CN15">
        <v>-0.02</v>
      </c>
      <c r="CO15">
        <v>0.05</v>
      </c>
    </row>
    <row r="16" xml:space="preserve">
      <c r="I16" t="str">
        <v>Summer</v>
      </c>
      <c r="J16">
        <f>J15</f>
        <v>3</v>
      </c>
      <c r="K16">
        <f>K15</f>
        <v>0.6</v>
      </c>
      <c r="L16">
        <v>210</v>
      </c>
      <c r="M16">
        <v>0</v>
      </c>
      <c r="N16">
        <v>0</v>
      </c>
      <c r="O16">
        <f>$BS$3</f>
        <v>91.25</v>
      </c>
      <c r="P16">
        <v>0.08</v>
      </c>
      <c r="Q16">
        <v>0.1</v>
      </c>
      <c r="R16">
        <v>0.61</v>
      </c>
      <c r="S16">
        <v>27</v>
      </c>
      <c r="T16">
        <f>1-U16</f>
        <v>0</v>
      </c>
      <c r="U16">
        <f>IF($D$11="yes", 1, VLOOKUP(B16, $BR$26:$BT$32, 1))</f>
        <v>1</v>
      </c>
      <c r="V16">
        <f>VLOOKUP($B$11,$BT$10:$BU$16, 2, FALSE)</f>
        <v>0.72</v>
      </c>
      <c r="W16">
        <f>$BS$10</f>
        <v>0.0047</v>
      </c>
      <c r="X16">
        <f>IF(E16="yes",1,0)</f>
        <v>0</v>
      </c>
      <c r="Y16">
        <f>$BS$4</f>
        <v>0.24</v>
      </c>
      <c r="Z16">
        <f>$BS$6</f>
        <v>0.011</v>
      </c>
      <c r="AA16">
        <f>$BS$5</f>
        <v>0.21</v>
      </c>
      <c r="AB16">
        <f>VLOOKUP($F$11,$BR$37:$BS$49,2,FALSE)</f>
        <v>0.0059</v>
      </c>
      <c r="AC16">
        <f>(M16/100)*(MIN(N16,100)/100)</f>
        <v>0</v>
      </c>
      <c r="AD16">
        <f>AC16 * 1.6</f>
        <v>0</v>
      </c>
      <c r="AE16">
        <f>J16 * K16 / 365</f>
        <v>0.004931506849315068</v>
      </c>
      <c r="AF16">
        <f>P16 * 0.92</f>
        <v>0.0736</v>
      </c>
      <c r="AG16">
        <v>61</v>
      </c>
      <c r="AH16">
        <f>S16 / AG16</f>
        <v>0.4426229508196721</v>
      </c>
      <c r="AI16">
        <v>0</v>
      </c>
      <c r="AJ16">
        <f>1.6 * AI16</f>
        <v>0</v>
      </c>
      <c r="AK16" xml:space="preserve">
        <f xml:space="preserve">(0.045*AD16+AE16*0.84+_x000d_
      (AF16*_x000d_
          (_x000d_
              (212 - 4*(AF16*1000/(4*AG16^0.75)-1))-((140 - 4 * (AF16*1000/(4*AG16^0.75)-1))/(1+EXP(-6*(AH16-0.4))))_x000d_
          )_x000d_
      )*10^-3_x000d_
)/6.25</f>
        <v>0.002233380100205178</v>
      </c>
      <c r="AL16">
        <f>(AV16 / 6.25 ) - AK16</f>
        <v>0.0060894444157458105</v>
      </c>
      <c r="AM16">
        <f>IF($G$11="wet",$BU$18,$BU$19)</f>
        <v>0.006</v>
      </c>
      <c r="AN16">
        <f>$BS$7</f>
        <v>1.5714285714285714</v>
      </c>
      <c r="AO16">
        <f>$BV$1</f>
        <v>1.3</v>
      </c>
      <c r="AP16">
        <f>AC16*AO16+(1-AC16)</f>
        <v>1</v>
      </c>
      <c r="AQ16">
        <f>(0.795*R16)-0.0014</f>
        <v>0.48355</v>
      </c>
      <c r="AR16">
        <v>2.5</v>
      </c>
      <c r="AS16">
        <f>1 - EXP(-2*(AR16^2))</f>
        <v>0.999996273346828</v>
      </c>
      <c r="AT16">
        <f>(104.7*AQ16+0.307*S16-15)*(S16^0.75)*10^-3</f>
        <v>0.5201784707716849</v>
      </c>
      <c r="AU16">
        <f>AT16*AS16*AP16</f>
        <v>0.5201765322469367</v>
      </c>
      <c r="AV16">
        <f>(AU16 * Q16) + (0.045 * AJ16)</f>
        <v>0.05201765322469368</v>
      </c>
      <c r="AW16">
        <f>$BS$2</f>
        <v>0.08</v>
      </c>
      <c r="AX16">
        <f>(AU16 * ((1 - R16) + (0.04 * AU16))) * ( 1 - AW16 )</f>
        <v>0.1965968171591774</v>
      </c>
      <c r="AY16">
        <f>$BS$1</f>
        <v>0.24</v>
      </c>
      <c r="AZ16">
        <f>$BT$20</f>
        <v>0.6784</v>
      </c>
      <c r="BA16">
        <f>AX16 * AY16 * T16 * V16 * AZ16</f>
        <v>0</v>
      </c>
      <c r="BB16">
        <f>AX16*AY16*U16*W16*AZ16</f>
        <v>0.00015044280469816656</v>
      </c>
      <c r="BC16">
        <f>BA16+BB16</f>
        <v>0.00015044280469816656</v>
      </c>
      <c r="BD16">
        <f>L16*BC16*O16</f>
        <v>2.882860245028617</v>
      </c>
      <c r="BF16">
        <f>L16*AL16*O16</f>
        <v>116.6889786167291</v>
      </c>
      <c r="BT16" t="str">
        <v xml:space="preserve">WA </v>
      </c>
      <c r="BU16">
        <v>0.76</v>
      </c>
      <c r="BW16" t="str">
        <v>Summer</v>
      </c>
      <c r="BX16" t="str">
        <v>Maiden ewes</v>
      </c>
      <c r="BY16">
        <v>0</v>
      </c>
      <c r="BZ16">
        <v>0.05</v>
      </c>
      <c r="CA16">
        <v>0</v>
      </c>
      <c r="CB16">
        <v>0</v>
      </c>
      <c r="CC16">
        <v>-0.05</v>
      </c>
      <c r="CD16">
        <v>-0.05</v>
      </c>
      <c r="CE16">
        <v>2</v>
      </c>
      <c r="CH16" t="str">
        <v>South Australia</v>
      </c>
      <c r="CI16" t="str">
        <v>Spring</v>
      </c>
      <c r="CJ16">
        <v>0.11</v>
      </c>
      <c r="CK16">
        <v>0.11</v>
      </c>
      <c r="CL16">
        <v>0</v>
      </c>
      <c r="CM16">
        <v>0</v>
      </c>
      <c r="CN16">
        <v>0</v>
      </c>
      <c r="CO16">
        <v>0.11</v>
      </c>
    </row>
    <row r="17" xml:space="preserve">
      <c r="I17" t="str">
        <v>Autumn</v>
      </c>
      <c r="J17">
        <f>J16</f>
        <v>3</v>
      </c>
      <c r="K17">
        <f>K16</f>
        <v>0.6</v>
      </c>
      <c r="L17">
        <v>170</v>
      </c>
      <c r="M17">
        <v>0</v>
      </c>
      <c r="N17">
        <v>0</v>
      </c>
      <c r="O17">
        <f>$BS$3</f>
        <v>91.25</v>
      </c>
      <c r="P17">
        <v>0.05</v>
      </c>
      <c r="Q17">
        <v>0.12</v>
      </c>
      <c r="R17">
        <v>0.64</v>
      </c>
      <c r="S17">
        <v>32</v>
      </c>
      <c r="T17">
        <f>1-U17</f>
        <v>0</v>
      </c>
      <c r="U17">
        <f>IF($D$11="yes", 1, VLOOKUP(B17, $BR$26:$BT$32, 1))</f>
        <v>1</v>
      </c>
      <c r="V17">
        <f>VLOOKUP($B$11,$BT$10:$BU$16, 2, FALSE)</f>
        <v>0.72</v>
      </c>
      <c r="W17">
        <f>$BS$10</f>
        <v>0.0047</v>
      </c>
      <c r="X17">
        <f>IF(E17="yes",1,0)</f>
        <v>0</v>
      </c>
      <c r="Y17">
        <f>$BS$4</f>
        <v>0.24</v>
      </c>
      <c r="Z17">
        <f>$BS$6</f>
        <v>0.011</v>
      </c>
      <c r="AA17">
        <f>$BS$5</f>
        <v>0.21</v>
      </c>
      <c r="AB17">
        <f>VLOOKUP($F$11,$BR$37:$BS$49,2,FALSE)</f>
        <v>0.0059</v>
      </c>
      <c r="AC17">
        <f>(M17/100)*(MIN(N17,100)/100)</f>
        <v>0</v>
      </c>
      <c r="AD17">
        <f>AC17 * 1.6</f>
        <v>0</v>
      </c>
      <c r="AE17">
        <f>J17 * K17 / 365</f>
        <v>0.004931506849315068</v>
      </c>
      <c r="AF17">
        <f>P17 * 0.92</f>
        <v>0.046000000000000006</v>
      </c>
      <c r="AG17">
        <v>62</v>
      </c>
      <c r="AH17">
        <f>S17 / AG17</f>
        <v>0.5161290322580645</v>
      </c>
      <c r="AI17">
        <v>0</v>
      </c>
      <c r="AJ17">
        <f>1.6 * AI17</f>
        <v>0</v>
      </c>
      <c r="AK17" xml:space="preserve">
        <f xml:space="preserve">(0.045*AD17+AE17*0.84+_x000d_
      (AF17*_x000d_
          (_x000d_
              (212 - 4*(AF17*1000/(4*AG17^0.75)-1))-((140 - 4 * (AF17*1000/(4*AG17^0.75)-1))/(1+EXP(-6*(AH17-0.4))))_x000d_
          )_x000d_
      )*10^-3_x000d_
)/6.25</f>
        <v>0.0015400455022570668</v>
      </c>
      <c r="AL17">
        <f>(AV17 / 6.25 ) - AK17</f>
        <v>0.01077222459730026</v>
      </c>
      <c r="AM17">
        <f>IF($G$11="wet",$BU$18,$BU$19)</f>
        <v>0.006</v>
      </c>
      <c r="AN17">
        <f>$BS$7</f>
        <v>1.5714285714285714</v>
      </c>
      <c r="AO17">
        <f>$BV$1</f>
        <v>1.3</v>
      </c>
      <c r="AP17">
        <f>AC17*AO17+(1-AC17)</f>
        <v>1</v>
      </c>
      <c r="AQ17">
        <f>(0.795*R17)-0.0014</f>
        <v>0.5074000000000001</v>
      </c>
      <c r="AR17">
        <v>1.6</v>
      </c>
      <c r="AS17">
        <f>1 - EXP(-2*(AR17^2))</f>
        <v>0.994023977104994</v>
      </c>
      <c r="AT17">
        <f>(104.7*AQ17+0.307*S17-15)*(S17^0.75)*10^-3</f>
        <v>0.6451193154846241</v>
      </c>
      <c r="AU17">
        <f>AT17*AS17*AP17</f>
        <v>0.6412640676852774</v>
      </c>
      <c r="AV17">
        <f>(AU17 * Q17) + (0.045 * AJ17)</f>
        <v>0.07695168812223328</v>
      </c>
      <c r="AW17">
        <f>$BS$2</f>
        <v>0.08</v>
      </c>
      <c r="AX17">
        <f>(AU17 * ((1 - R17) + (0.04 * AU17))) * ( 1 - AW17 )</f>
        <v>0.22751954066312097</v>
      </c>
      <c r="AY17">
        <f>$BS$1</f>
        <v>0.24</v>
      </c>
      <c r="AZ17">
        <f>$BT$20</f>
        <v>0.6784</v>
      </c>
      <c r="BA17">
        <f>AX17 * AY17 * T17 * V17 * AZ17</f>
        <v>0</v>
      </c>
      <c r="BB17">
        <f>AX17*AY17*U17*W17*AZ17</f>
        <v>0.00017410596120325152</v>
      </c>
      <c r="BC17">
        <f>BA17+BB17</f>
        <v>0.00017410596120325152</v>
      </c>
      <c r="BD17">
        <f>L17*BC17*O17</f>
        <v>2.700818723165439</v>
      </c>
      <c r="BF17">
        <f>L17*AL17*O17</f>
        <v>167.1041340656203</v>
      </c>
      <c r="BW17" t="str">
        <v>Autumn</v>
      </c>
      <c r="BX17" t="str">
        <v>Maiden ewes</v>
      </c>
      <c r="BY17">
        <v>0</v>
      </c>
      <c r="BZ17">
        <v>0</v>
      </c>
      <c r="CA17">
        <v>0</v>
      </c>
      <c r="CB17">
        <v>0</v>
      </c>
      <c r="CC17">
        <v>-0.02</v>
      </c>
      <c r="CD17">
        <v>0.11</v>
      </c>
      <c r="CE17">
        <v>3</v>
      </c>
      <c r="CI17" t="str">
        <v>Summer</v>
      </c>
      <c r="CJ17">
        <v>-0.1</v>
      </c>
      <c r="CK17">
        <v>-0.1</v>
      </c>
      <c r="CL17">
        <v>0</v>
      </c>
      <c r="CM17">
        <v>0</v>
      </c>
      <c r="CN17">
        <v>0</v>
      </c>
      <c r="CO17">
        <v>0.05</v>
      </c>
    </row>
    <row r="18" xml:space="preserve">
      <c r="I18" t="str">
        <v>Winter</v>
      </c>
      <c r="J18">
        <f>J17</f>
        <v>3</v>
      </c>
      <c r="K18">
        <f>K17</f>
        <v>0.6</v>
      </c>
      <c r="L18">
        <v>200</v>
      </c>
      <c r="M18">
        <v>0</v>
      </c>
      <c r="N18">
        <v>0</v>
      </c>
      <c r="O18">
        <f>$BS$3</f>
        <v>91.25</v>
      </c>
      <c r="P18">
        <v>0.04</v>
      </c>
      <c r="Q18">
        <v>0.18</v>
      </c>
      <c r="R18">
        <v>0.72</v>
      </c>
      <c r="S18">
        <v>34</v>
      </c>
      <c r="T18">
        <f>1-U18</f>
        <v>0</v>
      </c>
      <c r="U18">
        <f>IF($D$11="yes", 1, VLOOKUP(B18, $BR$26:$BT$32, 1))</f>
        <v>1</v>
      </c>
      <c r="V18">
        <f>VLOOKUP($B$11,$BT$10:$BU$16, 2, FALSE)</f>
        <v>0.72</v>
      </c>
      <c r="W18">
        <f>$BS$10</f>
        <v>0.0047</v>
      </c>
      <c r="X18">
        <f>IF(E18="yes",1,0)</f>
        <v>0</v>
      </c>
      <c r="Y18">
        <f>$BS$4</f>
        <v>0.24</v>
      </c>
      <c r="Z18">
        <f>$BS$6</f>
        <v>0.011</v>
      </c>
      <c r="AA18">
        <f>$BS$5</f>
        <v>0.21</v>
      </c>
      <c r="AB18">
        <f>VLOOKUP($F$11,$BR$37:$BS$49,2,FALSE)</f>
        <v>0.0059</v>
      </c>
      <c r="AC18">
        <f>(M18/100)*(MIN(N18,100)/100)</f>
        <v>0</v>
      </c>
      <c r="AD18">
        <f>AC18 * 1.6</f>
        <v>0</v>
      </c>
      <c r="AE18">
        <f>J18 * K18 / 365</f>
        <v>0.004931506849315068</v>
      </c>
      <c r="AF18">
        <f>P18 * 0.92</f>
        <v>0.0368</v>
      </c>
      <c r="AG18">
        <v>63</v>
      </c>
      <c r="AH18">
        <f>S18 / AG18</f>
        <v>0.5396825396825397</v>
      </c>
      <c r="AI18">
        <v>0</v>
      </c>
      <c r="AJ18">
        <f>1.6 * AI18</f>
        <v>0</v>
      </c>
      <c r="AK18" xml:space="preserve">
        <f xml:space="preserve">(0.045*AD18+AE18*0.84+_x000d_
      (AF18*_x000d_
          (_x000d_
              (212 - 4*(AF18*1000/(4*AG18^0.75)-1))-((140 - 4 * (AF18*1000/(4*AG18^0.75)-1))/(1+EXP(-6*(AH18-0.4))))_x000d_
          )_x000d_
      )*10^-3_x000d_
)/6.25</f>
        <v>0.0013398080165132112</v>
      </c>
      <c r="AL18">
        <f>(AV18 / 6.25 ) - AK18</f>
        <v>0.02098398359742434</v>
      </c>
      <c r="AM18">
        <f>IF($G$11="wet",$BU$18,$BU$19)</f>
        <v>0.006</v>
      </c>
      <c r="AN18">
        <f>$BS$7</f>
        <v>1.5714285714285714</v>
      </c>
      <c r="AO18">
        <f>$BV$1</f>
        <v>1.3</v>
      </c>
      <c r="AP18">
        <f>AC18*AO18+(1-AC18)</f>
        <v>1</v>
      </c>
      <c r="AQ18">
        <f>(0.795*R18)-0.0014</f>
        <v>0.5710000000000001</v>
      </c>
      <c r="AR18">
        <v>1.7</v>
      </c>
      <c r="AS18">
        <f>1 - EXP(-2*(AR18^2))</f>
        <v>0.9969112845917633</v>
      </c>
      <c r="AT18">
        <f>(104.7*AQ18+0.307*S18-15)*(S18^0.75)*10^-3</f>
        <v>0.7775332321362358</v>
      </c>
      <c r="AU18">
        <f>AT18*AS18*AP18</f>
        <v>0.7751316532617205</v>
      </c>
      <c r="AV18">
        <f>(AU18 * Q18) + (0.045 * AJ18)</f>
        <v>0.1395236975871097</v>
      </c>
      <c r="AW18">
        <f>$BS$2</f>
        <v>0.08</v>
      </c>
      <c r="AX18">
        <f>(AU18 * ((1 - R18) + (0.04 * AU18))) * ( 1 - AW18 )</f>
        <v>0.22178442402010679</v>
      </c>
      <c r="AY18">
        <f>$BS$1</f>
        <v>0.24</v>
      </c>
      <c r="AZ18">
        <f>$BT$20</f>
        <v>0.6784</v>
      </c>
      <c r="BA18">
        <f>AX18 * AY18 * T18 * V18 * AZ18</f>
        <v>0</v>
      </c>
      <c r="BB18">
        <f>AX18*AY18*U18*W18*AZ18</f>
        <v>0.0001697172480719112</v>
      </c>
      <c r="BC18">
        <f>BA18+BB18</f>
        <v>0.0001697172480719112</v>
      </c>
      <c r="BD18">
        <f>L18*BC18*O18</f>
        <v>3.097339777312379</v>
      </c>
      <c r="BF18">
        <f>L18*AL18*O18</f>
        <v>382.9577006529942</v>
      </c>
      <c r="BS18" t="str">
        <v>EFPRP</v>
      </c>
      <c r="BT18" t="str">
        <v>wet</v>
      </c>
      <c r="BU18">
        <v>0.006</v>
      </c>
      <c r="BW18" t="str">
        <v>Winter</v>
      </c>
      <c r="BX18" t="str">
        <v>Maiden ewes</v>
      </c>
      <c r="BY18">
        <v>0.02</v>
      </c>
      <c r="BZ18">
        <v>-0.05</v>
      </c>
      <c r="CA18">
        <v>0</v>
      </c>
      <c r="CB18">
        <v>0.5</v>
      </c>
      <c r="CC18">
        <v>-0.03</v>
      </c>
      <c r="CD18">
        <v>0.05</v>
      </c>
      <c r="CE18">
        <v>4</v>
      </c>
      <c r="CI18" t="str">
        <v>Autumn</v>
      </c>
      <c r="CJ18">
        <v>0</v>
      </c>
      <c r="CK18">
        <v>-0.1</v>
      </c>
      <c r="CL18">
        <v>0</v>
      </c>
      <c r="CM18">
        <v>0</v>
      </c>
      <c r="CN18">
        <v>0</v>
      </c>
      <c r="CO18">
        <v>0.16</v>
      </c>
    </row>
    <row r="19" xml:space="preserve">
      <c r="H19" t="str">
        <v>Maiden ewes</v>
      </c>
      <c r="I19" t="str">
        <v>Spring</v>
      </c>
      <c r="J19">
        <v>2</v>
      </c>
      <c r="K19">
        <v>0.65</v>
      </c>
      <c r="L19">
        <v>100</v>
      </c>
      <c r="M19">
        <v>95</v>
      </c>
      <c r="N19">
        <v>105</v>
      </c>
      <c r="O19">
        <f>$BS$3</f>
        <v>91.25</v>
      </c>
      <c r="P19">
        <v>0.07</v>
      </c>
      <c r="Q19">
        <v>0.2</v>
      </c>
      <c r="R19">
        <v>0.75</v>
      </c>
      <c r="S19">
        <v>44</v>
      </c>
      <c r="T19">
        <f>1-U19</f>
        <v>0</v>
      </c>
      <c r="U19">
        <f>IF($D$11="yes", 1, VLOOKUP(B19, $BR$26:$BT$32, 1))</f>
        <v>1</v>
      </c>
      <c r="V19">
        <f>VLOOKUP($B$11,$BT$10:$BU$16, 2, FALSE)</f>
        <v>0.72</v>
      </c>
      <c r="W19">
        <f>$BS$10</f>
        <v>0.0047</v>
      </c>
      <c r="X19">
        <f>IF(E19="yes",1,0)</f>
        <v>0</v>
      </c>
      <c r="Y19">
        <f>$BS$4</f>
        <v>0.24</v>
      </c>
      <c r="Z19">
        <f>$BS$6</f>
        <v>0.011</v>
      </c>
      <c r="AA19">
        <f>$BS$5</f>
        <v>0.21</v>
      </c>
      <c r="AB19">
        <f>VLOOKUP($F$11,$BR$37:$BS$49,2,FALSE)</f>
        <v>0.0059</v>
      </c>
      <c r="AC19">
        <f>(M19/100)*(MIN(N19,100)/100)</f>
        <v>0.95</v>
      </c>
      <c r="AD19">
        <f>AC19 * 1.6</f>
        <v>1.52</v>
      </c>
      <c r="AE19">
        <f>J19 * K19 / 365</f>
        <v>0.0035616438356164386</v>
      </c>
      <c r="AF19">
        <f>P19 * 0.92</f>
        <v>0.06440000000000001</v>
      </c>
      <c r="AG19">
        <v>57</v>
      </c>
      <c r="AH19">
        <f>S19 / AG19</f>
        <v>0.7719298245614035</v>
      </c>
      <c r="AI19">
        <v>0</v>
      </c>
      <c r="AJ19">
        <f>1.6 * AI19</f>
        <v>0</v>
      </c>
      <c r="AK19" xml:space="preserve">
        <f xml:space="preserve">(0.045*AD19+AE19*0.84+_x000d_
      (AF19*_x000d_
          (_x000d_
              (212 - 4*(AF19*1000/(4*AG19^0.75)-1))-((140 - 4 * (AF19*1000/(4*AG19^0.75)-1))/(1+EXP(-6*(AH19-0.4))))_x000d_
          )_x000d_
      )*10^-3_x000d_
)/6.25</f>
        <v>0.012305324245694275</v>
      </c>
      <c r="AL19">
        <f>(AV19 / 6.25 ) - AK19</f>
        <v>0.030398436809107053</v>
      </c>
      <c r="AM19">
        <f>IF($G$11="wet",$BU$18,$BU$19)</f>
        <v>0.006</v>
      </c>
      <c r="AN19">
        <f>$BS$7</f>
        <v>1.5714285714285714</v>
      </c>
      <c r="AO19">
        <f>$BV$1</f>
        <v>1.3</v>
      </c>
      <c r="AP19">
        <f>AC19*AO19+(1-AC19)</f>
        <v>1.285</v>
      </c>
      <c r="AQ19">
        <f>(0.795*R19)-0.0014</f>
        <v>0.5948500000000001</v>
      </c>
      <c r="AR19">
        <v>2.9</v>
      </c>
      <c r="AS19">
        <f>1 - EXP(-2*(AR19^2))</f>
        <v>0.9999999504359468</v>
      </c>
      <c r="AT19">
        <f>(104.7*AQ19+0.307*S19-15)*(S19^0.75)*10^-3</f>
        <v>1.0385156413271623</v>
      </c>
      <c r="AU19">
        <f>AT19*AS19*AP19</f>
        <v>1.3344925329625414</v>
      </c>
      <c r="AV19">
        <f>(AU19 * Q19) + (0.045 * AJ19)</f>
        <v>0.2668985065925083</v>
      </c>
      <c r="AW19">
        <f>$BS$2</f>
        <v>0.08</v>
      </c>
      <c r="AX19">
        <f>(AU19 * ((1 - R19) + (0.04 * AU19))) * ( 1 - AW19 )</f>
        <v>0.3724693103769909</v>
      </c>
      <c r="AY19">
        <f>$BS$1</f>
        <v>0.24</v>
      </c>
      <c r="AZ19">
        <f>$BT$20</f>
        <v>0.6784</v>
      </c>
      <c r="BA19">
        <f>AX19 * AY19 * T19 * V19 * AZ19</f>
        <v>0</v>
      </c>
      <c r="BB19">
        <f>AX19*AY19*U19*W19*AZ19</f>
        <v>0.0002850266272201987</v>
      </c>
      <c r="BC19">
        <f>BA19+BB19</f>
        <v>0.0002850266272201987</v>
      </c>
      <c r="BD19">
        <f>L19*BC19*O19</f>
        <v>2.600867973384313</v>
      </c>
      <c r="BF19">
        <f>L19*AL19*O19</f>
        <v>277.38573588310186</v>
      </c>
      <c r="BT19" t="str">
        <v>dry</v>
      </c>
      <c r="BU19">
        <v>0.002</v>
      </c>
      <c r="BW19" t="str">
        <v>Spring</v>
      </c>
      <c r="BX19" t="str">
        <v>Other ewes</v>
      </c>
      <c r="BY19">
        <v>0.05</v>
      </c>
      <c r="BZ19">
        <v>-0.03</v>
      </c>
      <c r="CA19">
        <v>0</v>
      </c>
      <c r="CB19">
        <v>0</v>
      </c>
      <c r="CC19">
        <v>0</v>
      </c>
      <c r="CD19">
        <v>0.05</v>
      </c>
      <c r="CE19">
        <v>1</v>
      </c>
      <c r="CI19" t="str">
        <v>Winter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0.16</v>
      </c>
    </row>
    <row r="20" xml:space="preserve">
      <c r="I20" t="str">
        <v>Summer</v>
      </c>
      <c r="J20">
        <f>J19</f>
        <v>2</v>
      </c>
      <c r="K20">
        <f>K19</f>
        <v>0.65</v>
      </c>
      <c r="L20">
        <v>140</v>
      </c>
      <c r="M20">
        <v>0</v>
      </c>
      <c r="N20">
        <v>0</v>
      </c>
      <c r="O20">
        <f>$BS$3</f>
        <v>91.25</v>
      </c>
      <c r="P20">
        <v>0</v>
      </c>
      <c r="Q20">
        <v>0.1</v>
      </c>
      <c r="R20">
        <v>0.61</v>
      </c>
      <c r="S20">
        <v>42</v>
      </c>
      <c r="T20">
        <f>1-U20</f>
        <v>0</v>
      </c>
      <c r="U20">
        <f>IF($D$11="yes", 1, VLOOKUP(B20, $BR$26:$BT$32, 1))</f>
        <v>1</v>
      </c>
      <c r="V20">
        <f>VLOOKUP($B$11,$BT$10:$BU$16, 2, FALSE)</f>
        <v>0.72</v>
      </c>
      <c r="W20">
        <f>$BS$10</f>
        <v>0.0047</v>
      </c>
      <c r="X20">
        <f>IF(E20="yes",1,0)</f>
        <v>0</v>
      </c>
      <c r="Y20">
        <f>$BS$4</f>
        <v>0.24</v>
      </c>
      <c r="Z20">
        <f>$BS$6</f>
        <v>0.011</v>
      </c>
      <c r="AA20">
        <f>$BS$5</f>
        <v>0.21</v>
      </c>
      <c r="AB20">
        <f>VLOOKUP($F$11,$BR$37:$BS$49,2,FALSE)</f>
        <v>0.0059</v>
      </c>
      <c r="AC20">
        <f>(M20/100)*(MIN(N20,100)/100)</f>
        <v>0</v>
      </c>
      <c r="AD20">
        <f>AC20 * 1.6</f>
        <v>0</v>
      </c>
      <c r="AE20">
        <f>J20 * K20 / 365</f>
        <v>0.0035616438356164386</v>
      </c>
      <c r="AF20">
        <f>P20 * 0.92</f>
        <v>0</v>
      </c>
      <c r="AG20">
        <v>57</v>
      </c>
      <c r="AH20">
        <f>S20 / AG20</f>
        <v>0.7368421052631579</v>
      </c>
      <c r="AI20">
        <v>0</v>
      </c>
      <c r="AJ20">
        <f>1.6 * AI20</f>
        <v>0</v>
      </c>
      <c r="AK20" xml:space="preserve">
        <f xml:space="preserve">(0.045*AD20+AE20*0.84+_x000d_
      (AF20*_x000d_
          (_x000d_
              (212 - 4*(AF20*1000/(4*AG20^0.75)-1))-((140 - 4 * (AF20*1000/(4*AG20^0.75)-1))/(1+EXP(-6*(AH20-0.4))))_x000d_
          )_x000d_
      )*10^-3_x000d_
)/6.25</f>
        <v>0.00047868493150684936</v>
      </c>
      <c r="AL20">
        <f>(AV20 / 6.25 ) - AK20</f>
        <v>0.012329606659197917</v>
      </c>
      <c r="AM20">
        <f>IF($G$11="wet",$BU$18,$BU$19)</f>
        <v>0.006</v>
      </c>
      <c r="AN20">
        <f>$BS$7</f>
        <v>1.5714285714285714</v>
      </c>
      <c r="AO20">
        <f>$BV$1</f>
        <v>1.3</v>
      </c>
      <c r="AP20">
        <f>AC20*AO20+(1-AC20)</f>
        <v>1</v>
      </c>
      <c r="AQ20">
        <f>(0.795*R20)-0.0014</f>
        <v>0.48355</v>
      </c>
      <c r="AR20">
        <v>2.5</v>
      </c>
      <c r="AS20">
        <f>1 - EXP(-2*(AR20^2))</f>
        <v>0.999996273346828</v>
      </c>
      <c r="AT20">
        <f>(104.7*AQ20+0.307*S20-15)*(S20^0.75)*10^-3</f>
        <v>0.8005212076839457</v>
      </c>
      <c r="AU20">
        <f>AT20*AS20*AP20</f>
        <v>0.8005182244190479</v>
      </c>
      <c r="AV20">
        <f>(AU20 * Q20) + (0.045 * AJ20)</f>
        <v>0.08005182244190479</v>
      </c>
      <c r="AW20">
        <f>$BS$2</f>
        <v>0.08</v>
      </c>
      <c r="AX20">
        <f>(AU20 * ((1 - R20) + (0.04 * AU20))) * ( 1 - AW20 )</f>
        <v>0.3108084618582289</v>
      </c>
      <c r="AY20">
        <f>$BS$1</f>
        <v>0.24</v>
      </c>
      <c r="AZ20">
        <f>$BT$20</f>
        <v>0.6784</v>
      </c>
      <c r="BA20">
        <f>AX20 * AY20 * T20 * V20 * AZ20</f>
        <v>0</v>
      </c>
      <c r="BB20">
        <f>AX20*AY20*U20*W20*AZ20</f>
        <v>0.00023784157547177418</v>
      </c>
      <c r="BC20">
        <f>BA20+BB20</f>
        <v>0.00023784157547177418</v>
      </c>
      <c r="BD20">
        <f>L20*BC20*O20</f>
        <v>3.0384261266519155</v>
      </c>
      <c r="BF20">
        <f>L20*AL20*O20</f>
        <v>157.51072507125338</v>
      </c>
      <c r="BS20" t="str">
        <v>p</v>
      </c>
      <c r="BT20">
        <v>0.6784</v>
      </c>
      <c r="BW20" t="str">
        <v>Summer</v>
      </c>
      <c r="BX20" t="str">
        <v>Other ewes</v>
      </c>
      <c r="BY20">
        <v>-0.05</v>
      </c>
      <c r="BZ20">
        <v>0.05</v>
      </c>
      <c r="CA20">
        <v>0</v>
      </c>
      <c r="CB20">
        <v>0</v>
      </c>
      <c r="CC20">
        <v>0</v>
      </c>
      <c r="CD20">
        <v>-0.05</v>
      </c>
      <c r="CE20">
        <v>2</v>
      </c>
      <c r="CH20" t="str">
        <v>Tasmania</v>
      </c>
      <c r="CI20" t="str">
        <v>Spring</v>
      </c>
      <c r="CJ20">
        <v>0.16</v>
      </c>
      <c r="CK20">
        <v>0.11</v>
      </c>
      <c r="CL20">
        <v>0.03</v>
      </c>
      <c r="CM20">
        <v>-0.02</v>
      </c>
      <c r="CN20">
        <v>0</v>
      </c>
      <c r="CO20">
        <v>0.15</v>
      </c>
    </row>
    <row r="21" xml:space="preserve">
      <c r="I21" t="str">
        <v>Autumn</v>
      </c>
      <c r="J21">
        <f>J20</f>
        <v>2</v>
      </c>
      <c r="K21">
        <f>K20</f>
        <v>0.65</v>
      </c>
      <c r="L21">
        <v>135</v>
      </c>
      <c r="M21">
        <v>0</v>
      </c>
      <c r="N21">
        <v>0</v>
      </c>
      <c r="O21">
        <f>$BS$3</f>
        <v>91.25</v>
      </c>
      <c r="P21">
        <v>0</v>
      </c>
      <c r="Q21">
        <v>0.12</v>
      </c>
      <c r="R21">
        <v>0.64</v>
      </c>
      <c r="S21">
        <v>43</v>
      </c>
      <c r="T21">
        <f>1-U21</f>
        <v>0</v>
      </c>
      <c r="U21">
        <f>IF($D$11="yes", 1, VLOOKUP(B21, $BR$26:$BT$32, 1))</f>
        <v>1</v>
      </c>
      <c r="V21">
        <f>VLOOKUP($B$11,$BT$10:$BU$16, 2, FALSE)</f>
        <v>0.72</v>
      </c>
      <c r="W21">
        <f>$BS$10</f>
        <v>0.0047</v>
      </c>
      <c r="X21">
        <f>IF(E21="yes",1,0)</f>
        <v>0</v>
      </c>
      <c r="Y21">
        <f>$BS$4</f>
        <v>0.24</v>
      </c>
      <c r="Z21">
        <f>$BS$6</f>
        <v>0.011</v>
      </c>
      <c r="AA21">
        <f>$BS$5</f>
        <v>0.21</v>
      </c>
      <c r="AB21">
        <f>VLOOKUP($F$11,$BR$37:$BS$49,2,FALSE)</f>
        <v>0.0059</v>
      </c>
      <c r="AC21">
        <f>(M21/100)*(MIN(N21,100)/100)</f>
        <v>0</v>
      </c>
      <c r="AD21">
        <f>AC21 * 1.6</f>
        <v>0</v>
      </c>
      <c r="AE21">
        <f>J21 * K21 / 365</f>
        <v>0.0035616438356164386</v>
      </c>
      <c r="AF21">
        <f>P21 * 0.92</f>
        <v>0</v>
      </c>
      <c r="AG21">
        <v>57</v>
      </c>
      <c r="AH21">
        <f>S21 / AG21</f>
        <v>0.7543859649122807</v>
      </c>
      <c r="AI21">
        <v>0</v>
      </c>
      <c r="AJ21">
        <f>1.6 * AI21</f>
        <v>0</v>
      </c>
      <c r="AK21" xml:space="preserve">
        <f xml:space="preserve">(0.045*AD21+AE21*0.84+_x000d_
      (AF21*_x000d_
          (_x000d_
              (212 - 4*(AF21*1000/(4*AG21^0.75)-1))-((140 - 4 * (AF21*1000/(4*AG21^0.75)-1))/(1+EXP(-6*(AH21-0.4))))_x000d_
          )_x000d_
      )*10^-3_x000d_
)/6.25</f>
        <v>0.00047868493150684936</v>
      </c>
      <c r="AL21">
        <f>(AV21 / 6.25 ) - AK21</f>
        <v>0.015970144180934887</v>
      </c>
      <c r="AM21">
        <f>IF($G$11="wet",$BU$18,$BU$19)</f>
        <v>0.006</v>
      </c>
      <c r="AN21">
        <f>$BS$7</f>
        <v>1.5714285714285714</v>
      </c>
      <c r="AO21">
        <f>$BV$1</f>
        <v>1.3</v>
      </c>
      <c r="AP21">
        <f>AC21*AO21+(1-AC21)</f>
        <v>1</v>
      </c>
      <c r="AQ21">
        <f>(0.795*R21)-0.0014</f>
        <v>0.5074000000000001</v>
      </c>
      <c r="AR21">
        <v>1.6</v>
      </c>
      <c r="AS21">
        <f>1 - EXP(-2*(AR21^2))</f>
        <v>0.994023977104994</v>
      </c>
      <c r="AT21">
        <f>(104.7*AQ21+0.307*S21-15)*(S21^0.75)*10^-3</f>
        <v>0.8618603467709415</v>
      </c>
      <c r="AU21">
        <f>AT21*AS21*AP21</f>
        <v>0.8567098496063406</v>
      </c>
      <c r="AV21">
        <f>(AU21 * Q21) + (0.045 * AJ21)</f>
        <v>0.10280518195276087</v>
      </c>
      <c r="AW21">
        <f>$BS$2</f>
        <v>0.08</v>
      </c>
      <c r="AX21">
        <f>(AU21 * ((1 - R21) + (0.04 * AU21))) * ( 1 - AW21 )</f>
        <v>0.31075172719360067</v>
      </c>
      <c r="AY21">
        <f>$BS$1</f>
        <v>0.24</v>
      </c>
      <c r="AZ21">
        <f>$BT$20</f>
        <v>0.6784</v>
      </c>
      <c r="BA21">
        <f>AX21 * AY21 * T21 * V21 * AZ21</f>
        <v>0</v>
      </c>
      <c r="BB21">
        <f>AX21*AY21*U21*W21*AZ21</f>
        <v>0.00023779816010934047</v>
      </c>
      <c r="BC21">
        <f>BA21+BB21</f>
        <v>0.00023779816010934047</v>
      </c>
      <c r="BD21">
        <f>L21*BC21*O21</f>
        <v>2.929376084846938</v>
      </c>
      <c r="BF21">
        <f>L21*AL21*O21</f>
        <v>196.73221362889163</v>
      </c>
      <c r="BW21" t="str">
        <v>Autumn</v>
      </c>
      <c r="BX21" t="str">
        <v>Other ewes</v>
      </c>
      <c r="BY21">
        <v>-0.01</v>
      </c>
      <c r="BZ21">
        <v>0</v>
      </c>
      <c r="CA21">
        <v>0</v>
      </c>
      <c r="CB21">
        <v>0</v>
      </c>
      <c r="CC21">
        <v>0</v>
      </c>
      <c r="CD21">
        <v>-0.05</v>
      </c>
      <c r="CE21">
        <v>3</v>
      </c>
      <c r="CI21" t="str">
        <v>Summer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0.11</v>
      </c>
    </row>
    <row r="22" xml:space="preserve">
      <c r="I22" t="str">
        <v>Winter</v>
      </c>
      <c r="J22">
        <f>J21</f>
        <v>2</v>
      </c>
      <c r="K22">
        <f>K21</f>
        <v>0.65</v>
      </c>
      <c r="L22">
        <v>130</v>
      </c>
      <c r="M22">
        <v>0</v>
      </c>
      <c r="N22">
        <v>0</v>
      </c>
      <c r="O22">
        <f>$BS$3</f>
        <v>91.25</v>
      </c>
      <c r="P22">
        <v>0.02</v>
      </c>
      <c r="Q22">
        <v>0.18</v>
      </c>
      <c r="R22">
        <v>0.72</v>
      </c>
      <c r="S22">
        <v>45</v>
      </c>
      <c r="T22">
        <f>1-U22</f>
        <v>0</v>
      </c>
      <c r="U22">
        <f>IF($D$11="yes", 1, VLOOKUP(B22, $BR$26:$BT$32, 1))</f>
        <v>1</v>
      </c>
      <c r="V22">
        <f>VLOOKUP($B$11,$BT$10:$BU$16, 2, FALSE)</f>
        <v>0.72</v>
      </c>
      <c r="W22">
        <f>$BS$10</f>
        <v>0.0047</v>
      </c>
      <c r="X22">
        <f>IF(E22="yes",1,0)</f>
        <v>0</v>
      </c>
      <c r="Y22">
        <f>$BS$4</f>
        <v>0.24</v>
      </c>
      <c r="Z22">
        <f>$BS$6</f>
        <v>0.011</v>
      </c>
      <c r="AA22">
        <f>$BS$5</f>
        <v>0.21</v>
      </c>
      <c r="AB22">
        <f>VLOOKUP($F$11,$BR$37:$BS$49,2,FALSE)</f>
        <v>0.0059</v>
      </c>
      <c r="AC22">
        <f>(M22/100)*(MIN(N22,100)/100)</f>
        <v>0</v>
      </c>
      <c r="AD22">
        <f>AC22 * 1.6</f>
        <v>0</v>
      </c>
      <c r="AE22">
        <f>J22 * K22 / 365</f>
        <v>0.0035616438356164386</v>
      </c>
      <c r="AF22">
        <f>P22 * 0.92</f>
        <v>0.0184</v>
      </c>
      <c r="AG22">
        <v>57</v>
      </c>
      <c r="AH22">
        <f>S22 / AG22</f>
        <v>0.7894736842105263</v>
      </c>
      <c r="AI22">
        <v>0</v>
      </c>
      <c r="AJ22">
        <f>1.6 * AI22</f>
        <v>0</v>
      </c>
      <c r="AK22" xml:space="preserve">
        <f xml:space="preserve">(0.045*AD22+AE22*0.84+_x000d_
      (AF22*_x000d_
          (_x000d_
              (212 - 4*(AF22*1000/(4*AG22^0.75)-1))-((140 - 4 * (AF22*1000/(4*AG22^0.75)-1))/(1+EXP(-6*(AH22-0.4))))_x000d_
          )_x000d_
      )*10^-3_x000d_
)/6.25</f>
        <v>0.0007277789431048922</v>
      </c>
      <c r="AL22">
        <f>(AV22 / 6.25 ) - AK22</f>
        <v>0.028503402354687943</v>
      </c>
      <c r="AM22">
        <f>IF($G$11="wet",$BU$18,$BU$19)</f>
        <v>0.006</v>
      </c>
      <c r="AN22">
        <f>$BS$7</f>
        <v>1.5714285714285714</v>
      </c>
      <c r="AO22">
        <f>$BV$1</f>
        <v>1.3</v>
      </c>
      <c r="AP22">
        <f>AC22*AO22+(1-AC22)</f>
        <v>1</v>
      </c>
      <c r="AQ22">
        <f>(0.795*R22)-0.0014</f>
        <v>0.5710000000000001</v>
      </c>
      <c r="AR22">
        <v>1.7</v>
      </c>
      <c r="AS22">
        <f>1 - EXP(-2*(AR22^2))</f>
        <v>0.9969112845917633</v>
      </c>
      <c r="AT22">
        <f>(104.7*AQ22+0.307*S22-15)*(S22^0.75)*10^-3</f>
        <v>1.0181162441707754</v>
      </c>
      <c r="AU22">
        <f>AT22*AS22*AP22</f>
        <v>1.014971572840029</v>
      </c>
      <c r="AV22">
        <f>(AU22 * Q22) + (0.045 * AJ22)</f>
        <v>0.18269488311120521</v>
      </c>
      <c r="AW22">
        <f>$BS$2</f>
        <v>0.08</v>
      </c>
      <c r="AX22">
        <f>(AU22 * ((1 - R22) + (0.04 * AU22))) * ( 1 - AW22 )</f>
        <v>0.29936683357077126</v>
      </c>
      <c r="AY22">
        <f>$BS$1</f>
        <v>0.24</v>
      </c>
      <c r="AZ22">
        <f>$BT$20</f>
        <v>0.6784</v>
      </c>
      <c r="BA22">
        <f>AX22 * AY22 * T22 * V22 * AZ22</f>
        <v>0</v>
      </c>
      <c r="BB22">
        <f>AX22*AY22*U22*W22*AZ22</f>
        <v>0.00022908603876089584</v>
      </c>
      <c r="BC22">
        <f>BA22+BB22</f>
        <v>0.00022908603876089584</v>
      </c>
      <c r="BD22">
        <f>L22*BC22*O22</f>
        <v>2.7175331348011267</v>
      </c>
      <c r="BF22">
        <f>L22*AL22*O22</f>
        <v>338.12161043248574</v>
      </c>
      <c r="BW22" t="str">
        <v>Winter</v>
      </c>
      <c r="BX22" t="str">
        <v>Other ewes</v>
      </c>
      <c r="BY22">
        <v>0.01</v>
      </c>
      <c r="BZ22">
        <v>-0.02</v>
      </c>
      <c r="CA22">
        <v>0</v>
      </c>
      <c r="CB22">
        <v>0</v>
      </c>
      <c r="CC22">
        <v>0</v>
      </c>
      <c r="CD22">
        <v>0.05</v>
      </c>
      <c r="CE22">
        <v>4</v>
      </c>
      <c r="CI22" t="str">
        <v>Autumn</v>
      </c>
      <c r="CJ22">
        <v>-0.2</v>
      </c>
      <c r="CK22">
        <v>-0.1</v>
      </c>
      <c r="CL22">
        <v>0</v>
      </c>
      <c r="CM22">
        <v>0</v>
      </c>
      <c r="CN22">
        <v>0</v>
      </c>
      <c r="CO22">
        <v>0.13</v>
      </c>
    </row>
    <row r="23" xml:space="preserve">
      <c r="H23" t="str">
        <v>Other ewes</v>
      </c>
      <c r="I23" t="str">
        <v>Spring</v>
      </c>
      <c r="J23">
        <v>2</v>
      </c>
      <c r="K23">
        <v>0.7</v>
      </c>
      <c r="L23">
        <v>200</v>
      </c>
      <c r="M23">
        <v>0</v>
      </c>
      <c r="N23">
        <v>0</v>
      </c>
      <c r="O23">
        <f>$BS$3</f>
        <v>91.25</v>
      </c>
      <c r="P23">
        <v>0.05</v>
      </c>
      <c r="Q23">
        <v>0.2</v>
      </c>
      <c r="R23">
        <v>0.75</v>
      </c>
      <c r="S23">
        <v>56</v>
      </c>
      <c r="T23">
        <f>1-U23</f>
        <v>0</v>
      </c>
      <c r="U23">
        <f>IF($D$11="yes", 1, VLOOKUP(B23, $BR$26:$BT$32, 1))</f>
        <v>1</v>
      </c>
      <c r="V23">
        <f>VLOOKUP($B$11,$BT$10:$BU$16, 2, FALSE)</f>
        <v>0.72</v>
      </c>
      <c r="W23">
        <f>$BS$10</f>
        <v>0.0047</v>
      </c>
      <c r="X23">
        <f>IF(E23="yes",1,0)</f>
        <v>0</v>
      </c>
      <c r="Y23">
        <f>$BS$4</f>
        <v>0.24</v>
      </c>
      <c r="Z23">
        <f>$BS$6</f>
        <v>0.011</v>
      </c>
      <c r="AA23">
        <f>$BS$5</f>
        <v>0.21</v>
      </c>
      <c r="AB23">
        <f>VLOOKUP($F$11,$BR$37:$BS$49,2,FALSE)</f>
        <v>0.0059</v>
      </c>
      <c r="AC23">
        <f>(M23/100)*(MIN(N23,100)/100)</f>
        <v>0</v>
      </c>
      <c r="AD23">
        <f>AC23 * 1.6</f>
        <v>0</v>
      </c>
      <c r="AE23">
        <f>J23 * K23 / 365</f>
        <v>0.0038356164383561643</v>
      </c>
      <c r="AF23">
        <f>P23 * 0.92</f>
        <v>0.046000000000000006</v>
      </c>
      <c r="AG23">
        <v>57</v>
      </c>
      <c r="AH23">
        <f>S23 / AG23</f>
        <v>0.9824561403508771</v>
      </c>
      <c r="AI23">
        <v>0</v>
      </c>
      <c r="AJ23">
        <f>1.6 * AI23</f>
        <v>0</v>
      </c>
      <c r="AK23" xml:space="preserve">
        <f xml:space="preserve">(0.045*AD23+AE23*0.84+_x000d_
      (AF23*_x000d_
          (_x000d_
              (212 - 4*(AF23*1000/(4*AG23^0.75)-1))-((140 - 4 * (AF23*1000/(4*AG23^0.75)-1))/(1+EXP(-6*(AH23-0.4))))_x000d_
          )_x000d_
      )*10^-3_x000d_
)/6.25</f>
        <v>0.0010761713957214488</v>
      </c>
      <c r="AL23">
        <f>(AV23 / 6.25 ) - AK23</f>
        <v>0.041158340075111606</v>
      </c>
      <c r="AM23">
        <f>IF($G$11="wet",$BU$18,$BU$19)</f>
        <v>0.006</v>
      </c>
      <c r="AN23">
        <f>$BS$7</f>
        <v>1.5714285714285714</v>
      </c>
      <c r="AO23">
        <f>$BV$1</f>
        <v>1.3</v>
      </c>
      <c r="AP23">
        <f>AC23*AO23+(1-AC23)</f>
        <v>1</v>
      </c>
      <c r="AQ23">
        <f>(0.795*R23)-0.0014</f>
        <v>0.5948500000000001</v>
      </c>
      <c r="AR23">
        <v>2.9</v>
      </c>
      <c r="AS23">
        <f>1 - EXP(-2*(AR23^2))</f>
        <v>0.9999999504359468</v>
      </c>
      <c r="AT23">
        <f>(104.7*AQ23+0.307*S23-15)*(S23^0.75)*10^-3</f>
        <v>1.3198285488795851</v>
      </c>
      <c r="AU23">
        <f>AT23*AS23*AP23</f>
        <v>1.3198284834635328</v>
      </c>
      <c r="AV23">
        <f>(AU23 * Q23) + (0.045 * AJ23)</f>
        <v>0.2639656966927066</v>
      </c>
      <c r="AW23">
        <f>$BS$2</f>
        <v>0.08</v>
      </c>
      <c r="AX23">
        <f>(AU23 * ((1 - R23) + (0.04 * AU23))) * ( 1 - AW23 )</f>
        <v>0.3676642091046412</v>
      </c>
      <c r="AY23">
        <f>$BS$1</f>
        <v>0.24</v>
      </c>
      <c r="AZ23">
        <f>$BT$20</f>
        <v>0.6784</v>
      </c>
      <c r="BA23">
        <f>AX23 * AY23 * T23 * V23 * AZ23</f>
        <v>0</v>
      </c>
      <c r="BB23">
        <f>AX23*AY23*U23*W23*AZ23</f>
        <v>0.000281349594587032</v>
      </c>
      <c r="BC23">
        <f>BA23+BB23</f>
        <v>0.000281349594587032</v>
      </c>
      <c r="BD23">
        <f>L23*BC23*O23</f>
        <v>5.134630101213333</v>
      </c>
      <c r="BF23">
        <f>L23*AL23*O23</f>
        <v>751.1397063707869</v>
      </c>
      <c r="BW23" t="str">
        <v>Spring</v>
      </c>
      <c r="BX23" t="str">
        <v>Rams</v>
      </c>
      <c r="BY23">
        <v>0.07</v>
      </c>
      <c r="BZ23">
        <v>-0.02</v>
      </c>
      <c r="CA23">
        <v>0.11</v>
      </c>
      <c r="CB23">
        <v>0.16</v>
      </c>
      <c r="CC23">
        <v>0.11</v>
      </c>
      <c r="CD23">
        <v>0.11</v>
      </c>
      <c r="CE23">
        <v>1</v>
      </c>
      <c r="CI23" t="str">
        <v>Winter</v>
      </c>
      <c r="CJ23">
        <v>0</v>
      </c>
      <c r="CK23">
        <v>-0.1</v>
      </c>
      <c r="CL23">
        <v>0.5</v>
      </c>
      <c r="CM23">
        <v>0.02</v>
      </c>
      <c r="CN23">
        <v>0</v>
      </c>
      <c r="CO23">
        <v>0.07</v>
      </c>
    </row>
    <row r="24" xml:space="preserve">
      <c r="I24" t="str">
        <v>Summer</v>
      </c>
      <c r="J24">
        <f>J23</f>
        <v>2</v>
      </c>
      <c r="K24">
        <f>K23</f>
        <v>0.7</v>
      </c>
      <c r="L24">
        <v>210</v>
      </c>
      <c r="M24">
        <v>0</v>
      </c>
      <c r="N24">
        <v>0</v>
      </c>
      <c r="O24">
        <f>$BS$3</f>
        <v>91.25</v>
      </c>
      <c r="P24">
        <v>-0.05</v>
      </c>
      <c r="Q24">
        <v>0.1</v>
      </c>
      <c r="R24">
        <v>0.61</v>
      </c>
      <c r="S24">
        <v>51</v>
      </c>
      <c r="T24">
        <f>1-U24</f>
        <v>0</v>
      </c>
      <c r="U24">
        <f>IF($D$11="yes", 1, VLOOKUP(B24, $BR$26:$BT$32, 1))</f>
        <v>1</v>
      </c>
      <c r="V24">
        <f>VLOOKUP($B$11,$BT$10:$BU$16, 2, FALSE)</f>
        <v>0.72</v>
      </c>
      <c r="W24">
        <f>$BS$10</f>
        <v>0.0047</v>
      </c>
      <c r="X24">
        <f>IF(E24="yes",1,0)</f>
        <v>0</v>
      </c>
      <c r="Y24">
        <f>$BS$4</f>
        <v>0.24</v>
      </c>
      <c r="Z24">
        <f>$BS$6</f>
        <v>0.011</v>
      </c>
      <c r="AA24">
        <f>$BS$5</f>
        <v>0.21</v>
      </c>
      <c r="AB24">
        <f>VLOOKUP($F$11,$BR$37:$BS$49,2,FALSE)</f>
        <v>0.0059</v>
      </c>
      <c r="AC24">
        <f>(M24/100)*(MIN(N24,100)/100)</f>
        <v>0</v>
      </c>
      <c r="AD24">
        <f>AC24 * 1.6</f>
        <v>0</v>
      </c>
      <c r="AE24">
        <f>J24 * K24 / 365</f>
        <v>0.0038356164383561643</v>
      </c>
      <c r="AF24">
        <f>P24 * 0.92</f>
        <v>-0.046000000000000006</v>
      </c>
      <c r="AG24">
        <v>57</v>
      </c>
      <c r="AH24">
        <f>S24 / AG24</f>
        <v>0.8947368421052632</v>
      </c>
      <c r="AI24">
        <v>0</v>
      </c>
      <c r="AJ24">
        <f>1.6 * AI24</f>
        <v>0</v>
      </c>
      <c r="AK24" xml:space="preserve">
        <f xml:space="preserve">(0.045*AD24+AE24*0.84+_x000d_
      (AF24*_x000d_
          (_x000d_
              (212 - 4*(AF24*1000/(4*AG24^0.75)-1))-((140 - 4 * (AF24*1000/(4*AG24^0.75)-1))/(1+EXP(-6*(AH24-0.4))))_x000d_
          )_x000d_
      )*10^-3_x000d_
)/6.25</f>
        <v>-0.00006700840796666038</v>
      </c>
      <c r="AL24">
        <f>(AV24 / 6.25 ) - AK24</f>
        <v>0.015726717450560028</v>
      </c>
      <c r="AM24">
        <f>IF($G$11="wet",$BU$18,$BU$19)</f>
        <v>0.006</v>
      </c>
      <c r="AN24">
        <f>$BS$7</f>
        <v>1.5714285714285714</v>
      </c>
      <c r="AO24">
        <f>$BV$1</f>
        <v>1.3</v>
      </c>
      <c r="AP24">
        <f>AC24*AO24+(1-AC24)</f>
        <v>1</v>
      </c>
      <c r="AQ24">
        <f>(0.795*R24)-0.0014</f>
        <v>0.48355</v>
      </c>
      <c r="AR24">
        <v>2.5</v>
      </c>
      <c r="AS24">
        <f>1 - EXP(-2*(AR24^2))</f>
        <v>0.999996273346828</v>
      </c>
      <c r="AT24">
        <f>(104.7*AQ24+0.307*S24-15)*(S24^0.75)*10^-3</f>
        <v>0.9787354625697015</v>
      </c>
      <c r="AU24">
        <f>AT24*AS24*AP24</f>
        <v>0.9787318151620853</v>
      </c>
      <c r="AV24">
        <f>(AU24 * Q24) + (0.045 * AJ24)</f>
        <v>0.09787318151620854</v>
      </c>
      <c r="AW24">
        <f>$BS$2</f>
        <v>0.08</v>
      </c>
      <c r="AX24">
        <f>(AU24 * ((1 - R24) + (0.04 * AU24))) * ( 1 - AW24 )</f>
        <v>0.38642028282934154</v>
      </c>
      <c r="AY24">
        <f>$BS$1</f>
        <v>0.24</v>
      </c>
      <c r="AZ24">
        <f>$BT$20</f>
        <v>0.6784</v>
      </c>
      <c r="BA24">
        <f>AX24 * AY24 * T24 * V24 * AZ24</f>
        <v>0</v>
      </c>
      <c r="BB24">
        <f>AX24*AY24*U24*W24*AZ24</f>
        <v>0.0002957024024149678</v>
      </c>
      <c r="BC24">
        <f>BA24+BB24</f>
        <v>0.0002957024024149678</v>
      </c>
      <c r="BD24">
        <f>L24*BC24*O24</f>
        <v>5.66639728627682</v>
      </c>
      <c r="BF24">
        <f>L24*AL24*O24</f>
        <v>301.3632231463565</v>
      </c>
      <c r="BW24" t="str">
        <v>Summer</v>
      </c>
      <c r="BX24" t="str">
        <v>Rams</v>
      </c>
      <c r="BY24">
        <v>0</v>
      </c>
      <c r="BZ24">
        <v>0.03</v>
      </c>
      <c r="CA24">
        <v>-0.1</v>
      </c>
      <c r="CB24">
        <v>0</v>
      </c>
      <c r="CC24">
        <v>-0.05</v>
      </c>
      <c r="CD24">
        <v>-0.11</v>
      </c>
      <c r="CE24">
        <v>2</v>
      </c>
      <c r="CH24" t="str">
        <v>Victoria</v>
      </c>
      <c r="CI24" t="str">
        <v>Spring</v>
      </c>
      <c r="CJ24">
        <v>0.11</v>
      </c>
      <c r="CK24">
        <v>0.11</v>
      </c>
      <c r="CL24">
        <v>0.16</v>
      </c>
      <c r="CM24">
        <v>0.11</v>
      </c>
      <c r="CN24">
        <v>0</v>
      </c>
      <c r="CO24">
        <v>0.15</v>
      </c>
    </row>
    <row r="25" xml:space="preserve">
      <c r="I25" t="str">
        <v>Autumn</v>
      </c>
      <c r="J25">
        <f>J24</f>
        <v>2</v>
      </c>
      <c r="K25">
        <f>K24</f>
        <v>0.7</v>
      </c>
      <c r="L25">
        <v>190</v>
      </c>
      <c r="M25">
        <v>0</v>
      </c>
      <c r="N25">
        <v>0</v>
      </c>
      <c r="O25">
        <f>$BS$3</f>
        <v>91.25</v>
      </c>
      <c r="P25">
        <v>-0.01</v>
      </c>
      <c r="Q25">
        <v>0.12</v>
      </c>
      <c r="R25">
        <v>0.64</v>
      </c>
      <c r="S25">
        <v>50</v>
      </c>
      <c r="T25">
        <f>1-U25</f>
        <v>0</v>
      </c>
      <c r="U25">
        <f>IF($D$11="yes", 1, VLOOKUP(B25, $BR$26:$BT$32, 1))</f>
        <v>1</v>
      </c>
      <c r="V25">
        <f>VLOOKUP($B$11,$BT$10:$BU$16, 2, FALSE)</f>
        <v>0.72</v>
      </c>
      <c r="W25">
        <f>$BS$10</f>
        <v>0.0047</v>
      </c>
      <c r="X25">
        <f>IF(E25="yes",1,0)</f>
        <v>0</v>
      </c>
      <c r="Y25">
        <f>$BS$4</f>
        <v>0.24</v>
      </c>
      <c r="Z25">
        <f>$BS$6</f>
        <v>0.011</v>
      </c>
      <c r="AA25">
        <f>$BS$5</f>
        <v>0.21</v>
      </c>
      <c r="AB25">
        <f>VLOOKUP($F$11,$BR$37:$BS$49,2,FALSE)</f>
        <v>0.0059</v>
      </c>
      <c r="AC25">
        <f>(M25/100)*(MIN(N25,100)/100)</f>
        <v>0</v>
      </c>
      <c r="AD25">
        <f>AC25 * 1.6</f>
        <v>0</v>
      </c>
      <c r="AE25">
        <f>J25 * K25 / 365</f>
        <v>0.0038356164383561643</v>
      </c>
      <c r="AF25">
        <f>P25 * 0.92</f>
        <v>-0.0092</v>
      </c>
      <c r="AG25">
        <v>57</v>
      </c>
      <c r="AH25">
        <f>S25 / AG25</f>
        <v>0.8771929824561403</v>
      </c>
      <c r="AI25">
        <v>0</v>
      </c>
      <c r="AJ25">
        <f>1.6 * AI25</f>
        <v>0</v>
      </c>
      <c r="AK25" xml:space="preserve">
        <f xml:space="preserve">(0.045*AD25+AE25*0.84+_x000d_
      (AF25*_x000d_
          (_x000d_
              (212 - 4*(AF25*1000/(4*AG25^0.75)-1))-((140 - 4 * (AF25*1000/(4*AG25^0.75)-1))/(1+EXP(-6*(AH25-0.4))))_x000d_
          )_x000d_
      )*10^-3_x000d_
)/6.25</f>
        <v>0.0003980402323365948</v>
      </c>
      <c r="AL25">
        <f>(AV25 / 6.25 ) - AK25</f>
        <v>0.018791943153172598</v>
      </c>
      <c r="AM25">
        <f>IF($G$11="wet",$BU$18,$BU$19)</f>
        <v>0.006</v>
      </c>
      <c r="AN25">
        <f>$BS$7</f>
        <v>1.5714285714285714</v>
      </c>
      <c r="AO25">
        <f>$BV$1</f>
        <v>1.3</v>
      </c>
      <c r="AP25">
        <f>AC25*AO25+(1-AC25)</f>
        <v>1</v>
      </c>
      <c r="AQ25">
        <f>(0.795*R25)-0.0014</f>
        <v>0.5074000000000001</v>
      </c>
      <c r="AR25">
        <v>1.6</v>
      </c>
      <c r="AS25">
        <f>1 - EXP(-2*(AR25^2))</f>
        <v>0.994023977104994</v>
      </c>
      <c r="AT25">
        <f>(104.7*AQ25+0.307*S25-15)*(S25^0.75)*10^-3</f>
        <v>1.0054871153505722</v>
      </c>
      <c r="AU25">
        <f>AT25*AS25*AP25</f>
        <v>0.9994783013286037</v>
      </c>
      <c r="AV25">
        <f>(AU25 * Q25) + (0.045 * AJ25)</f>
        <v>0.11993739615943244</v>
      </c>
      <c r="AW25">
        <f>$BS$2</f>
        <v>0.08</v>
      </c>
      <c r="AX25">
        <f>(AU25 * ((1 - R25) + (0.04 * AU25))) * ( 1 - AW25 )</f>
        <v>0.3677888263936565</v>
      </c>
      <c r="AY25">
        <f>$BS$1</f>
        <v>0.24</v>
      </c>
      <c r="AZ25">
        <f>$BT$20</f>
        <v>0.6784</v>
      </c>
      <c r="BA25">
        <f>AX25 * AY25 * T25 * V25 * AZ25</f>
        <v>0</v>
      </c>
      <c r="BB25">
        <f>AX25*AY25*U25*W25*AZ25</f>
        <v>0.000281444956123115</v>
      </c>
      <c r="BC25">
        <f>BA25+BB25</f>
        <v>0.000281444956123115</v>
      </c>
      <c r="BD25">
        <f>L25*BC25*O25</f>
        <v>4.879551926784506</v>
      </c>
      <c r="BF25">
        <f>L25*AL25*O25</f>
        <v>325.8053144181299</v>
      </c>
      <c r="BR25" t="str">
        <v>MMS</v>
      </c>
      <c r="BW25" t="str">
        <v>Autumn</v>
      </c>
      <c r="BX25" t="str">
        <v>Rams</v>
      </c>
      <c r="BY25">
        <v>-0.07</v>
      </c>
      <c r="BZ25">
        <v>0.02</v>
      </c>
      <c r="CA25">
        <v>0</v>
      </c>
      <c r="CB25">
        <v>-0.2</v>
      </c>
      <c r="CC25">
        <v>0</v>
      </c>
      <c r="CD25">
        <v>0</v>
      </c>
      <c r="CE25">
        <v>3</v>
      </c>
      <c r="CI25" t="str">
        <v>Summer</v>
      </c>
      <c r="CJ25">
        <v>-0.05</v>
      </c>
      <c r="CK25">
        <v>-0.05</v>
      </c>
      <c r="CL25">
        <v>-0.05</v>
      </c>
      <c r="CM25">
        <v>-0.05</v>
      </c>
      <c r="CN25">
        <v>0</v>
      </c>
      <c r="CO25">
        <v>0.07</v>
      </c>
    </row>
    <row r="26" xml:space="preserve">
      <c r="I26" t="str">
        <v>Winter</v>
      </c>
      <c r="J26">
        <f>J25</f>
        <v>2</v>
      </c>
      <c r="K26">
        <f>K25</f>
        <v>0.7</v>
      </c>
      <c r="L26">
        <v>180</v>
      </c>
      <c r="M26">
        <v>0</v>
      </c>
      <c r="N26">
        <v>0</v>
      </c>
      <c r="O26">
        <f>$BS$3</f>
        <v>91.25</v>
      </c>
      <c r="P26">
        <v>0.01</v>
      </c>
      <c r="Q26">
        <v>0.18</v>
      </c>
      <c r="R26">
        <v>0.72</v>
      </c>
      <c r="S26">
        <v>51</v>
      </c>
      <c r="T26">
        <f>1-U26</f>
        <v>0</v>
      </c>
      <c r="U26">
        <f>IF($D$11="yes", 1, VLOOKUP(B26, $BR$26:$BT$32, 1))</f>
        <v>1</v>
      </c>
      <c r="V26">
        <f>VLOOKUP($B$11,$BT$10:$BU$16, 2, FALSE)</f>
        <v>0.72</v>
      </c>
      <c r="W26">
        <f>$BS$10</f>
        <v>0.0047</v>
      </c>
      <c r="X26">
        <f>IF(E26="yes",1,0)</f>
        <v>0</v>
      </c>
      <c r="Y26">
        <f>$BS$4</f>
        <v>0.24</v>
      </c>
      <c r="Z26">
        <f>$BS$6</f>
        <v>0.011</v>
      </c>
      <c r="AA26">
        <f>$BS$5</f>
        <v>0.21</v>
      </c>
      <c r="AB26">
        <f>VLOOKUP($F$11,$BR$37:$BS$49,2,FALSE)</f>
        <v>0.0059</v>
      </c>
      <c r="AC26">
        <f>(M26/100)*(MIN(N26,100)/100)</f>
        <v>0</v>
      </c>
      <c r="AD26">
        <f>AC26 * 1.6</f>
        <v>0</v>
      </c>
      <c r="AE26">
        <f>J26 * K26 / 365</f>
        <v>0.0038356164383561643</v>
      </c>
      <c r="AF26">
        <f>P26 * 0.92</f>
        <v>0.0092</v>
      </c>
      <c r="AG26">
        <v>57</v>
      </c>
      <c r="AH26">
        <f>S26 / AG26</f>
        <v>0.8947368421052632</v>
      </c>
      <c r="AI26">
        <v>0</v>
      </c>
      <c r="AJ26">
        <f>1.6 * AI26</f>
        <v>0</v>
      </c>
      <c r="AK26" xml:space="preserve">
        <f xml:space="preserve">(0.045*AD26+AE26*0.84+_x000d_
      (AF26*_x000d_
          (_x000d_
              (212 - 4*(AF26*1000/(4*AG26^0.75)-1))-((140 - 4 * (AF26*1000/(4*AG26^0.75)-1))/(1+EXP(-6*(AH26-0.4))))_x000d_
          )_x000d_
      )*10^-3_x000d_
)/6.25</f>
        <v>0.000631818470620177</v>
      </c>
      <c r="AL26">
        <f>(AV26 / 6.25 ) - AK26</f>
        <v>0.03248557266781186</v>
      </c>
      <c r="AM26">
        <f>IF($G$11="wet",$BU$18,$BU$19)</f>
        <v>0.006</v>
      </c>
      <c r="AN26">
        <f>$BS$7</f>
        <v>1.5714285714285714</v>
      </c>
      <c r="AO26">
        <f>$BV$1</f>
        <v>1.3</v>
      </c>
      <c r="AP26">
        <f>AC26*AO26+(1-AC26)</f>
        <v>1</v>
      </c>
      <c r="AQ26">
        <f>(0.795*R26)-0.0014</f>
        <v>0.5710000000000001</v>
      </c>
      <c r="AR26">
        <v>1.7</v>
      </c>
      <c r="AS26">
        <f>1 - EXP(-2*(AR26^2))</f>
        <v>0.9969112845917633</v>
      </c>
      <c r="AT26">
        <f>(104.7*AQ26+0.307*S26-15)*(S26^0.75)*10^-3</f>
        <v>1.153472161767915</v>
      </c>
      <c r="AU26">
        <f>AT26*AS26*AP26</f>
        <v>1.1499094145288902</v>
      </c>
      <c r="AV26">
        <f>(AU26 * Q26) + (0.045 * AJ26)</f>
        <v>0.20698369461520022</v>
      </c>
      <c r="AW26">
        <f>$BS$2</f>
        <v>0.08</v>
      </c>
      <c r="AX26">
        <f>(AU26 * ((1 - R26) + (0.04 * AU26))) * ( 1 - AW26 )</f>
        <v>0.34487699833033825</v>
      </c>
      <c r="AY26">
        <f>$BS$1</f>
        <v>0.24</v>
      </c>
      <c r="AZ26">
        <f>$BT$20</f>
        <v>0.6784</v>
      </c>
      <c r="BA26">
        <f>AX26 * AY26 * T26 * V26 * AZ26</f>
        <v>0</v>
      </c>
      <c r="BB26">
        <f>AX26*AY26*U26*W26*AZ26</f>
        <v>0.00026391201879271607</v>
      </c>
      <c r="BC26">
        <f>BA26+BB26</f>
        <v>0.00026391201879271607</v>
      </c>
      <c r="BD26">
        <f>L26*BC26*O26</f>
        <v>4.334754908670361</v>
      </c>
      <c r="BF26">
        <f>L26*AL26*O26</f>
        <v>533.5755310688098</v>
      </c>
      <c r="BR26" t="str">
        <v xml:space="preserve">ACT </v>
      </c>
      <c r="BS26" t="str">
        <v xml:space="preserve">99.25 </v>
      </c>
      <c r="BT26">
        <v>0.75</v>
      </c>
      <c r="BW26" t="str">
        <v>Winter</v>
      </c>
      <c r="BX26" t="str">
        <v>Rams</v>
      </c>
      <c r="BY26">
        <v>0</v>
      </c>
      <c r="BZ26">
        <v>-0.03</v>
      </c>
      <c r="CA26">
        <v>0</v>
      </c>
      <c r="CB26">
        <v>0</v>
      </c>
      <c r="CC26">
        <v>-0.05</v>
      </c>
      <c r="CD26">
        <v>0</v>
      </c>
      <c r="CE26">
        <v>4</v>
      </c>
      <c r="CI26" t="str">
        <v>Autumn</v>
      </c>
      <c r="CJ26">
        <v>0</v>
      </c>
      <c r="CK26">
        <v>-0.03</v>
      </c>
      <c r="CL26">
        <v>-0.02</v>
      </c>
      <c r="CM26">
        <v>-0.02</v>
      </c>
      <c r="CN26">
        <v>0</v>
      </c>
      <c r="CO26">
        <v>0.05</v>
      </c>
    </row>
    <row r="27" xml:space="preserve">
      <c r="H27" t="str">
        <v>Rams</v>
      </c>
      <c r="I27" t="str">
        <v>Spring</v>
      </c>
      <c r="J27">
        <v>1</v>
      </c>
      <c r="K27">
        <v>0.65</v>
      </c>
      <c r="L27">
        <v>50</v>
      </c>
      <c r="M27">
        <v>0</v>
      </c>
      <c r="N27">
        <v>0</v>
      </c>
      <c r="O27">
        <f>$BS$3</f>
        <v>91.25</v>
      </c>
      <c r="P27">
        <v>0.07</v>
      </c>
      <c r="Q27">
        <v>0.2</v>
      </c>
      <c r="R27">
        <v>0.75</v>
      </c>
      <c r="S27">
        <v>75</v>
      </c>
      <c r="T27">
        <f>1-U27</f>
        <v>0</v>
      </c>
      <c r="U27">
        <f>IF($D$11="yes", 1, VLOOKUP(B27, $BR$26:$BT$32, 1))</f>
        <v>1</v>
      </c>
      <c r="V27">
        <f>VLOOKUP($B$11,$BT$10:$BU$16, 2, FALSE)</f>
        <v>0.72</v>
      </c>
      <c r="W27">
        <f>$BS$10</f>
        <v>0.0047</v>
      </c>
      <c r="X27">
        <f>IF(E27="yes",1,0)</f>
        <v>0</v>
      </c>
      <c r="Y27">
        <f>$BS$4</f>
        <v>0.24</v>
      </c>
      <c r="Z27">
        <f>$BS$6</f>
        <v>0.011</v>
      </c>
      <c r="AA27">
        <f>$BS$5</f>
        <v>0.21</v>
      </c>
      <c r="AB27">
        <f>VLOOKUP($F$11,$BR$37:$BS$49,2,FALSE)</f>
        <v>0.0059</v>
      </c>
      <c r="AC27">
        <f>(M27/100)*(MIN(N27,100)/100)</f>
        <v>0</v>
      </c>
      <c r="AD27">
        <f>AC27 * 1.6</f>
        <v>0</v>
      </c>
      <c r="AE27">
        <f>J27 * K27 / 365</f>
        <v>0.0017808219178082193</v>
      </c>
      <c r="AF27">
        <f>P27 * 0.92</f>
        <v>0.06440000000000001</v>
      </c>
      <c r="AG27">
        <v>78</v>
      </c>
      <c r="AH27">
        <f>S27 / AG27</f>
        <v>0.9615384615384616</v>
      </c>
      <c r="AI27">
        <v>0</v>
      </c>
      <c r="AJ27">
        <f>1.6 * AI27</f>
        <v>0</v>
      </c>
      <c r="AK27" xml:space="preserve">
        <f xml:space="preserve">(0.045*AD27+AE27*0.84+_x000d_
      (AF27*_x000d_
          (_x000d_
              (212 - 4*(AF27*1000/(4*AG27^0.75)-1))-((140 - 4 * (AF27*1000/(4*AG27^0.75)-1))/(1+EXP(-6*(AH27-0.4))))_x000d_
          )_x000d_
      )*10^-3_x000d_
)/6.25</f>
        <v>0.0010297560621526452</v>
      </c>
      <c r="AL27">
        <f>(AV27 / 6.25 ) - AK27</f>
        <v>0.056307516155572376</v>
      </c>
      <c r="AM27">
        <f>IF($G$11="wet",$BU$18,$BU$19)</f>
        <v>0.006</v>
      </c>
      <c r="AN27">
        <f>$BS$7</f>
        <v>1.5714285714285714</v>
      </c>
      <c r="AO27">
        <f>$BV$1</f>
        <v>1.3</v>
      </c>
      <c r="AP27">
        <f>AC27*AO27+(1-AC27)</f>
        <v>1</v>
      </c>
      <c r="AQ27">
        <f>(0.795*R27)-0.0014</f>
        <v>0.5948500000000001</v>
      </c>
      <c r="AR27">
        <v>2.9</v>
      </c>
      <c r="AS27">
        <f>1 - EXP(-2*(AR27^2))</f>
        <v>0.9999999504359468</v>
      </c>
      <c r="AT27">
        <f>(104.7*AQ27+0.307*S27-15)*(S27^0.75)*10^-3</f>
        <v>1.791789845612274</v>
      </c>
      <c r="AU27">
        <f>AT27*AS27*AP27</f>
        <v>1.7917897568039067</v>
      </c>
      <c r="AV27">
        <f>(AU27 * Q27) + (0.045 * AJ27)</f>
        <v>0.35835795136078136</v>
      </c>
      <c r="AW27">
        <f>$BS$2</f>
        <v>0.08</v>
      </c>
      <c r="AX27">
        <f>(AU27 * ((1 - R27) + (0.04 * AU27))) * ( 1 - AW27 )</f>
        <v>0.530258431664115</v>
      </c>
      <c r="AY27">
        <f>$BS$1</f>
        <v>0.24</v>
      </c>
      <c r="AZ27">
        <f>$BT$20</f>
        <v>0.6784</v>
      </c>
      <c r="BA27">
        <f>AX27 * AY27 * T27 * V27 * AZ27</f>
        <v>0</v>
      </c>
      <c r="BB27">
        <f>AX27*AY27*U27*W27*AZ27</f>
        <v>0.0004057724170061754</v>
      </c>
      <c r="BC27">
        <f>BA27+BB27</f>
        <v>0.0004057724170061754</v>
      </c>
      <c r="BD27">
        <f>L27*BC27*O27</f>
        <v>1.8513366525906754</v>
      </c>
      <c r="BF27">
        <f>L27*AL27*O27</f>
        <v>256.90304245979894</v>
      </c>
      <c r="BR27" t="str">
        <v xml:space="preserve">NSW </v>
      </c>
      <c r="BS27" t="str">
        <v xml:space="preserve">99.55 </v>
      </c>
      <c r="BT27">
        <v>0.45</v>
      </c>
      <c r="BW27" t="str">
        <v>Spring</v>
      </c>
      <c r="BX27" t="str">
        <v>Wethers</v>
      </c>
      <c r="BY27">
        <v>0.08</v>
      </c>
      <c r="BZ27">
        <v>0</v>
      </c>
      <c r="CA27">
        <v>0.11</v>
      </c>
      <c r="CB27">
        <v>0.11</v>
      </c>
      <c r="CC27">
        <v>0.11</v>
      </c>
      <c r="CD27">
        <v>0.13</v>
      </c>
      <c r="CE27">
        <v>1</v>
      </c>
      <c r="CI27" t="str">
        <v>Winter</v>
      </c>
      <c r="CJ27">
        <v>-0.05</v>
      </c>
      <c r="CK27">
        <v>-0.02</v>
      </c>
      <c r="CL27">
        <v>-0.03</v>
      </c>
      <c r="CM27">
        <v>-0.03</v>
      </c>
      <c r="CN27">
        <v>0</v>
      </c>
      <c r="CO27">
        <v>0.02</v>
      </c>
    </row>
    <row r="28" xml:space="preserve">
      <c r="I28" t="str">
        <v>Summer</v>
      </c>
      <c r="J28">
        <f>J27</f>
        <v>1</v>
      </c>
      <c r="K28">
        <f>K27</f>
        <v>0.65</v>
      </c>
      <c r="L28">
        <v>55</v>
      </c>
      <c r="M28">
        <v>0</v>
      </c>
      <c r="N28">
        <v>0</v>
      </c>
      <c r="O28">
        <f>$BS$3</f>
        <v>91.25</v>
      </c>
      <c r="P28">
        <v>0</v>
      </c>
      <c r="Q28">
        <v>0.1</v>
      </c>
      <c r="R28">
        <v>0.61</v>
      </c>
      <c r="S28">
        <v>75</v>
      </c>
      <c r="T28">
        <f>1-U28</f>
        <v>0</v>
      </c>
      <c r="U28">
        <f>IF($D$11="yes", 1, VLOOKUP(B28, $BR$26:$BT$32, 1))</f>
        <v>1</v>
      </c>
      <c r="V28">
        <f>VLOOKUP($B$11,$BT$10:$BU$16, 2, FALSE)</f>
        <v>0.72</v>
      </c>
      <c r="W28">
        <f>$BS$10</f>
        <v>0.0047</v>
      </c>
      <c r="X28">
        <f>IF(E28="yes",1,0)</f>
        <v>0</v>
      </c>
      <c r="Y28">
        <f>$BS$4</f>
        <v>0.24</v>
      </c>
      <c r="Z28">
        <f>$BS$6</f>
        <v>0.011</v>
      </c>
      <c r="AA28">
        <f>$BS$5</f>
        <v>0.21</v>
      </c>
      <c r="AB28">
        <f>VLOOKUP($F$11,$BR$37:$BS$49,2,FALSE)</f>
        <v>0.0059</v>
      </c>
      <c r="AC28">
        <f>(M28/100)*(MIN(N28,100)/100)</f>
        <v>0</v>
      </c>
      <c r="AD28">
        <f>AC28 * 1.6</f>
        <v>0</v>
      </c>
      <c r="AE28">
        <f>J28 * K28 / 365</f>
        <v>0.0017808219178082193</v>
      </c>
      <c r="AF28">
        <f>P28 * 0.92</f>
        <v>0</v>
      </c>
      <c r="AG28">
        <v>78</v>
      </c>
      <c r="AH28">
        <f>S28 / AG28</f>
        <v>0.9615384615384616</v>
      </c>
      <c r="AI28">
        <v>0</v>
      </c>
      <c r="AJ28">
        <f>1.6 * AI28</f>
        <v>0</v>
      </c>
      <c r="AK28" xml:space="preserve">
        <f xml:space="preserve">(0.045*AD28+AE28*0.84+_x000d_
      (AF28*_x000d_
          (_x000d_
              (212 - 4*(AF28*1000/(4*AG28^0.75)-1))-((140 - 4 * (AF28*1000/(4*AG28^0.75)-1))/(1+EXP(-6*(AH28-0.4))))_x000d_
          )_x000d_
      )*10^-3_x000d_
)/6.25</f>
        <v>0.00023934246575342468</v>
      </c>
      <c r="AL28">
        <f>(AV28 / 6.25 ) - AK28</f>
        <v>0.023677410059052224</v>
      </c>
      <c r="AM28">
        <f>IF($G$11="wet",$BU$18,$BU$19)</f>
        <v>0.006</v>
      </c>
      <c r="AN28">
        <f>$BS$7</f>
        <v>1.5714285714285714</v>
      </c>
      <c r="AO28">
        <f>$BV$1</f>
        <v>1.3</v>
      </c>
      <c r="AP28">
        <f>AC28*AO28+(1-AC28)</f>
        <v>1</v>
      </c>
      <c r="AQ28">
        <f>(0.795*R28)-0.0014</f>
        <v>0.48355</v>
      </c>
      <c r="AR28">
        <v>2.5</v>
      </c>
      <c r="AS28">
        <f>1 - EXP(-2*(AR28^2))</f>
        <v>0.999996273346828</v>
      </c>
      <c r="AT28">
        <f>(104.7*AQ28+0.307*S28-15)*(S28^0.75)*10^-3</f>
        <v>1.4948026034112167</v>
      </c>
      <c r="AU28">
        <f>AT28*AS28*AP28</f>
        <v>1.494797032800353</v>
      </c>
      <c r="AV28">
        <f>(AU28 * Q28) + (0.045 * AJ28)</f>
        <v>0.14947970328003532</v>
      </c>
      <c r="AW28">
        <f>$BS$2</f>
        <v>0.08</v>
      </c>
      <c r="AX28">
        <f>(AU28 * ((1 - R28) + (0.04 * AU28))) * ( 1 - AW28 )</f>
        <v>0.6185597639978564</v>
      </c>
      <c r="AY28">
        <f>$BS$1</f>
        <v>0.24</v>
      </c>
      <c r="AZ28">
        <f>$BT$20</f>
        <v>0.6784</v>
      </c>
      <c r="BA28">
        <f>AX28 * AY28 * T28 * V28 * AZ28</f>
        <v>0</v>
      </c>
      <c r="BB28">
        <f>AX28*AY28*U28*W28*AZ28</f>
        <v>0.00047334370471485243</v>
      </c>
      <c r="BC28">
        <f>BA28+BB28</f>
        <v>0.00047334370471485243</v>
      </c>
      <c r="BD28">
        <f>L28*BC28*O28</f>
        <v>2.3755937180376656</v>
      </c>
      <c r="BF28">
        <f>L28*AL28*O28</f>
        <v>118.83100173386836</v>
      </c>
      <c r="BR28" t="str">
        <v xml:space="preserve">QLD </v>
      </c>
      <c r="BS28" t="str">
        <v xml:space="preserve">99.91 </v>
      </c>
      <c r="BT28">
        <v>0.09</v>
      </c>
      <c r="BW28" t="str">
        <v>Summer</v>
      </c>
      <c r="BX28" t="str">
        <v>Wethers</v>
      </c>
      <c r="BY28">
        <v>-0.08</v>
      </c>
      <c r="BZ28">
        <v>0.05</v>
      </c>
      <c r="CA28">
        <v>-0.1</v>
      </c>
      <c r="CB28">
        <v>0</v>
      </c>
      <c r="CC28">
        <v>-0.05</v>
      </c>
      <c r="CD28">
        <v>-0.05</v>
      </c>
      <c r="CE28">
        <v>2</v>
      </c>
      <c r="CH28" t="str">
        <v>Western Australia</v>
      </c>
      <c r="CI28" t="str">
        <v>Spring</v>
      </c>
      <c r="CJ28">
        <v>0.11</v>
      </c>
      <c r="CK28">
        <v>0.13</v>
      </c>
      <c r="CL28">
        <v>0.05</v>
      </c>
      <c r="CM28">
        <v>0.05</v>
      </c>
      <c r="CN28">
        <v>0.05</v>
      </c>
      <c r="CO28">
        <v>0.11</v>
      </c>
    </row>
    <row r="29" xml:space="preserve">
      <c r="I29" t="str">
        <v>Autumn</v>
      </c>
      <c r="J29">
        <f>J28</f>
        <v>1</v>
      </c>
      <c r="K29">
        <f>K28</f>
        <v>0.65</v>
      </c>
      <c r="L29">
        <v>60</v>
      </c>
      <c r="M29">
        <v>0</v>
      </c>
      <c r="N29">
        <v>0</v>
      </c>
      <c r="O29">
        <f>$BS$3</f>
        <v>91.25</v>
      </c>
      <c r="P29">
        <v>-0.07</v>
      </c>
      <c r="Q29">
        <v>0.12</v>
      </c>
      <c r="R29">
        <v>0.64</v>
      </c>
      <c r="S29">
        <v>69</v>
      </c>
      <c r="T29">
        <f>1-U29</f>
        <v>0</v>
      </c>
      <c r="U29">
        <f>IF($D$11="yes", 1, VLOOKUP(B29, $BR$26:$BT$32, 1))</f>
        <v>1</v>
      </c>
      <c r="V29">
        <f>VLOOKUP($B$11,$BT$10:$BU$16, 2, FALSE)</f>
        <v>0.72</v>
      </c>
      <c r="W29">
        <f>$BS$10</f>
        <v>0.0047</v>
      </c>
      <c r="X29">
        <f>IF(E29="yes",1,0)</f>
        <v>0</v>
      </c>
      <c r="Y29">
        <f>$BS$4</f>
        <v>0.24</v>
      </c>
      <c r="Z29">
        <f>$BS$6</f>
        <v>0.011</v>
      </c>
      <c r="AA29">
        <f>$BS$5</f>
        <v>0.21</v>
      </c>
      <c r="AB29">
        <f>VLOOKUP($F$11,$BR$37:$BS$49,2,FALSE)</f>
        <v>0.0059</v>
      </c>
      <c r="AC29">
        <f>(M29/100)*(MIN(N29,100)/100)</f>
        <v>0</v>
      </c>
      <c r="AD29">
        <f>AC29 * 1.6</f>
        <v>0</v>
      </c>
      <c r="AE29">
        <f>J29 * K29 / 365</f>
        <v>0.0017808219178082193</v>
      </c>
      <c r="AF29">
        <f>P29 * 0.92</f>
        <v>-0.06440000000000001</v>
      </c>
      <c r="AG29">
        <v>78</v>
      </c>
      <c r="AH29">
        <f>S29 / AG29</f>
        <v>0.8846153846153846</v>
      </c>
      <c r="AI29">
        <v>0</v>
      </c>
      <c r="AJ29">
        <f>1.6 * AI29</f>
        <v>0</v>
      </c>
      <c r="AK29" xml:space="preserve">
        <f xml:space="preserve">(0.045*AD29+AE29*0.84+_x000d_
      (AF29*_x000d_
          (_x000d_
              (212 - 4*(AF29*1000/(4*AG29^0.75)-1))-((140 - 4 * (AF29*1000/(4*AG29^0.75)-1))/(1+EXP(-6*(AH29-0.4))))_x000d_
          )_x000d_
      )*10^-3_x000d_
)/6.25</f>
        <v>-0.0005806764551297814</v>
      </c>
      <c r="AL29">
        <f>(AV29 / 6.25 ) - AK29</f>
        <v>0.0276792590140533</v>
      </c>
      <c r="AM29">
        <f>IF($G$11="wet",$BU$18,$BU$19)</f>
        <v>0.006</v>
      </c>
      <c r="AN29">
        <f>$BS$7</f>
        <v>1.5714285714285714</v>
      </c>
      <c r="AO29">
        <f>$BV$1</f>
        <v>1.3</v>
      </c>
      <c r="AP29">
        <f>AC29*AO29+(1-AC29)</f>
        <v>1</v>
      </c>
      <c r="AQ29">
        <f>(0.795*R29)-0.0014</f>
        <v>0.5074000000000001</v>
      </c>
      <c r="AR29">
        <v>1.6</v>
      </c>
      <c r="AS29">
        <f>1 - EXP(-2*(AR29^2))</f>
        <v>0.994023977104994</v>
      </c>
      <c r="AT29">
        <f>(104.7*AQ29+0.307*S29-15)*(S29^0.75)*10^-3</f>
        <v>1.4198696820048529</v>
      </c>
      <c r="AU29">
        <f>AT29*AS29*AP29</f>
        <v>1.411384508277267</v>
      </c>
      <c r="AV29">
        <f>(AU29 * Q29) + (0.045 * AJ29)</f>
        <v>0.16936614099327202</v>
      </c>
      <c r="AW29">
        <f>$BS$2</f>
        <v>0.08</v>
      </c>
      <c r="AX29">
        <f>(AU29 * ((1 - R29) + (0.04 * AU29))) * ( 1 - AW29 )</f>
        <v>0.5407563784129771</v>
      </c>
      <c r="AY29">
        <f>$BS$1</f>
        <v>0.24</v>
      </c>
      <c r="AZ29">
        <f>$BT$20</f>
        <v>0.6784</v>
      </c>
      <c r="BA29">
        <f>AX29 * AY29 * T29 * V29 * AZ29</f>
        <v>0</v>
      </c>
      <c r="BB29">
        <f>AX29*AY29*U29*W29*AZ29</f>
        <v>0.0004138058153861302</v>
      </c>
      <c r="BC29">
        <f>BA29+BB29</f>
        <v>0.0004138058153861302</v>
      </c>
      <c r="BD29">
        <f>L29*BC29*O29</f>
        <v>2.265586839239063</v>
      </c>
      <c r="BF29">
        <f>L29*AL29*O29</f>
        <v>151.5439431019418</v>
      </c>
      <c r="BR29" t="str">
        <v xml:space="preserve">SA </v>
      </c>
      <c r="BS29" t="str">
        <v xml:space="preserve">99.74 </v>
      </c>
      <c r="BT29">
        <v>0.26</v>
      </c>
      <c r="BW29" t="str">
        <v>Autumn</v>
      </c>
      <c r="BX29" t="str">
        <v>Wethers</v>
      </c>
      <c r="BY29">
        <v>0</v>
      </c>
      <c r="BZ29">
        <v>0</v>
      </c>
      <c r="CA29">
        <v>-0.1</v>
      </c>
      <c r="CB29">
        <v>-0.1</v>
      </c>
      <c r="CC29">
        <v>-0.03</v>
      </c>
      <c r="CD29">
        <v>-0.08</v>
      </c>
      <c r="CE29">
        <v>3</v>
      </c>
      <c r="CI29" t="str">
        <v>Summer</v>
      </c>
      <c r="CJ29">
        <v>-0.11</v>
      </c>
      <c r="CK29">
        <v>-0.05</v>
      </c>
      <c r="CL29">
        <v>-0.05</v>
      </c>
      <c r="CM29">
        <v>-0.05</v>
      </c>
      <c r="CN29">
        <v>-0.05</v>
      </c>
      <c r="CO29">
        <v>0</v>
      </c>
    </row>
    <row r="30" xml:space="preserve">
      <c r="I30" t="str">
        <v>Winter</v>
      </c>
      <c r="J30">
        <f>J29</f>
        <v>1</v>
      </c>
      <c r="K30">
        <f>K29</f>
        <v>0.65</v>
      </c>
      <c r="L30">
        <v>65</v>
      </c>
      <c r="M30">
        <v>0</v>
      </c>
      <c r="N30">
        <v>0</v>
      </c>
      <c r="O30">
        <f>$BS$3</f>
        <v>91.25</v>
      </c>
      <c r="P30">
        <v>0</v>
      </c>
      <c r="Q30">
        <v>0.18</v>
      </c>
      <c r="R30">
        <v>0.72</v>
      </c>
      <c r="S30">
        <v>69</v>
      </c>
      <c r="T30">
        <f>1-U30</f>
        <v>0</v>
      </c>
      <c r="U30">
        <f>IF($D$11="yes", 1, VLOOKUP(B30, $BR$26:$BT$32, 1))</f>
        <v>1</v>
      </c>
      <c r="V30">
        <f>VLOOKUP($B$11,$BT$10:$BU$16, 2, FALSE)</f>
        <v>0.72</v>
      </c>
      <c r="W30">
        <f>$BS$10</f>
        <v>0.0047</v>
      </c>
      <c r="X30">
        <f>IF(E30="yes",1,0)</f>
        <v>0</v>
      </c>
      <c r="Y30">
        <f>$BS$4</f>
        <v>0.24</v>
      </c>
      <c r="Z30">
        <f>$BS$6</f>
        <v>0.011</v>
      </c>
      <c r="AA30">
        <f>$BS$5</f>
        <v>0.21</v>
      </c>
      <c r="AB30">
        <f>VLOOKUP($F$11,$BR$37:$BS$49,2,FALSE)</f>
        <v>0.0059</v>
      </c>
      <c r="AC30">
        <f>(M30/100)*(MIN(N30,100)/100)</f>
        <v>0</v>
      </c>
      <c r="AD30">
        <f>AC30 * 1.6</f>
        <v>0</v>
      </c>
      <c r="AE30">
        <f>J30 * K30 / 365</f>
        <v>0.0017808219178082193</v>
      </c>
      <c r="AF30">
        <f>P30 * 0.92</f>
        <v>0</v>
      </c>
      <c r="AG30">
        <v>78</v>
      </c>
      <c r="AH30">
        <f>S30 / AG30</f>
        <v>0.8846153846153846</v>
      </c>
      <c r="AI30">
        <v>0</v>
      </c>
      <c r="AJ30">
        <f>1.6 * AI30</f>
        <v>0</v>
      </c>
      <c r="AK30" xml:space="preserve">
        <f xml:space="preserve">(0.045*AD30+AE30*0.84+_x000d_
      (AF30*_x000d_
          (_x000d_
              (212 - 4*(AF30*1000/(4*AG30^0.75)-1))-((140 - 4 * (AF30*1000/(4*AG30^0.75)-1))/(1+EXP(-6*(AH30-0.4))))_x000d_
          )_x000d_
      )*10^-3_x000d_
)/6.25</f>
        <v>0.00023934246575342468</v>
      </c>
      <c r="AL30">
        <f>(AV30 / 6.25 ) - AK30</f>
        <v>0.045103691581787016</v>
      </c>
      <c r="AM30">
        <f>IF($G$11="wet",$BU$18,$BU$19)</f>
        <v>0.006</v>
      </c>
      <c r="AN30">
        <f>$BS$7</f>
        <v>1.5714285714285714</v>
      </c>
      <c r="AO30">
        <f>$BV$1</f>
        <v>1.3</v>
      </c>
      <c r="AP30">
        <f>AC30*AO30+(1-AC30)</f>
        <v>1</v>
      </c>
      <c r="AQ30">
        <f>(0.795*R30)-0.0014</f>
        <v>0.5710000000000001</v>
      </c>
      <c r="AR30">
        <v>1.7</v>
      </c>
      <c r="AS30">
        <f>1 - EXP(-2*(AR30^2))</f>
        <v>0.9969112845917633</v>
      </c>
      <c r="AT30">
        <f>(104.7*AQ30+0.307*S30-15)*(S30^0.75)*10^-3</f>
        <v>1.5792888783210146</v>
      </c>
      <c r="AU30">
        <f>AT30*AS30*AP30</f>
        <v>1.5744109044284875</v>
      </c>
      <c r="AV30">
        <f>(AU30 * Q30) + (0.045 * AJ30)</f>
        <v>0.28339396279712775</v>
      </c>
      <c r="AW30">
        <f>$BS$2</f>
        <v>0.08</v>
      </c>
      <c r="AX30">
        <f>(AU30 * ((1 - R30) + (0.04 * AU30))) * ( 1 - AW30 )</f>
        <v>0.49678697379296494</v>
      </c>
      <c r="AY30">
        <f>$BS$1</f>
        <v>0.24</v>
      </c>
      <c r="AZ30">
        <f>$BT$20</f>
        <v>0.6784</v>
      </c>
      <c r="BA30">
        <f>AX30 * AY30 * T30 * V30 * AZ30</f>
        <v>0</v>
      </c>
      <c r="BB30">
        <f>AX30*AY30*U30*W30*AZ30</f>
        <v>0.0003801588792478543</v>
      </c>
      <c r="BC30">
        <f>BA30+BB30</f>
        <v>0.0003801588792478543</v>
      </c>
      <c r="BD30">
        <f>L30*BC30*O30</f>
        <v>2.2548173525388355</v>
      </c>
      <c r="BF30">
        <f>L30*AL30*O30</f>
        <v>267.52127069447425</v>
      </c>
      <c r="BR30" t="str">
        <v xml:space="preserve">TAS </v>
      </c>
      <c r="BS30" t="str">
        <v xml:space="preserve">99.50 </v>
      </c>
      <c r="BT30">
        <v>0.5</v>
      </c>
      <c r="BW30" t="str">
        <v>Winter</v>
      </c>
      <c r="BX30" t="str">
        <v>Wethers</v>
      </c>
      <c r="BY30">
        <v>0</v>
      </c>
      <c r="BZ30">
        <v>-0.05</v>
      </c>
      <c r="CA30">
        <v>0</v>
      </c>
      <c r="CB30">
        <v>-0.1</v>
      </c>
      <c r="CC30">
        <v>-0.02</v>
      </c>
      <c r="CD30">
        <v>0</v>
      </c>
      <c r="CE30">
        <v>4</v>
      </c>
      <c r="CI30" t="str">
        <v>Autumn</v>
      </c>
      <c r="CJ30">
        <v>0</v>
      </c>
      <c r="CK30">
        <v>-0.08</v>
      </c>
      <c r="CL30">
        <v>0.11</v>
      </c>
      <c r="CM30">
        <v>-0.05</v>
      </c>
      <c r="CN30">
        <v>-0.05</v>
      </c>
      <c r="CO30">
        <v>0.11</v>
      </c>
    </row>
    <row r="31" xml:space="preserve">
      <c r="H31" t="str">
        <v>Wethers</v>
      </c>
      <c r="I31" t="str">
        <v>Spring</v>
      </c>
      <c r="J31">
        <v>0.5</v>
      </c>
      <c r="K31">
        <v>0.65</v>
      </c>
      <c r="L31">
        <v>50</v>
      </c>
      <c r="M31">
        <v>0</v>
      </c>
      <c r="N31">
        <v>0</v>
      </c>
      <c r="O31">
        <f>$BS$3</f>
        <v>91.25</v>
      </c>
      <c r="P31">
        <v>0.08</v>
      </c>
      <c r="Q31">
        <v>0.2</v>
      </c>
      <c r="R31">
        <v>0.75</v>
      </c>
      <c r="S31">
        <v>62</v>
      </c>
      <c r="T31">
        <f>1-U31</f>
        <v>0</v>
      </c>
      <c r="U31">
        <f>IF($D$11="yes", 1, VLOOKUP(B31, $BR$26:$BT$32, 1))</f>
        <v>1</v>
      </c>
      <c r="V31">
        <f>VLOOKUP($B$11,$BT$10:$BU$16, 2, FALSE)</f>
        <v>0.72</v>
      </c>
      <c r="W31">
        <f>$BS$10</f>
        <v>0.0047</v>
      </c>
      <c r="X31">
        <f>IF(E31="yes",1,0)</f>
        <v>0</v>
      </c>
      <c r="Y31">
        <f>$BS$4</f>
        <v>0.24</v>
      </c>
      <c r="Z31">
        <f>$BS$6</f>
        <v>0.011</v>
      </c>
      <c r="AA31">
        <f>$BS$5</f>
        <v>0.21</v>
      </c>
      <c r="AB31">
        <f>VLOOKUP($F$11,$BR$37:$BS$49,2,FALSE)</f>
        <v>0.0059</v>
      </c>
      <c r="AC31">
        <f>(M31/100)*(MIN(N31,100)/100)</f>
        <v>0</v>
      </c>
      <c r="AD31">
        <f>AC31 * 1.6</f>
        <v>0</v>
      </c>
      <c r="AE31">
        <f>J31 * K31 / 365</f>
        <v>0.0008904109589041097</v>
      </c>
      <c r="AF31">
        <f>P31 * 0.92</f>
        <v>0.0736</v>
      </c>
      <c r="AG31">
        <v>62</v>
      </c>
      <c r="AH31">
        <f>S31 / AG31</f>
        <v>1</v>
      </c>
      <c r="AI31">
        <v>0</v>
      </c>
      <c r="AJ31">
        <f>1.6 * AI31</f>
        <v>0</v>
      </c>
      <c r="AK31" xml:space="preserve">
        <f xml:space="preserve">(0.045*AD31+AE31*0.84+_x000d_
      (AF31*_x000d_
          (_x000d_
              (212 - 4*(AF31*1000/(4*AG31^0.75)-1))-((140 - 4 * (AF31*1000/(4*AG31^0.75)-1))/(1+EXP(-6*(AH31-0.4))))_x000d_
          )_x000d_
      )*10^-3_x000d_
)/6.25</f>
        <v>0.0010116016126962319</v>
      </c>
      <c r="AL31">
        <f>(AV31 / 6.25 ) - AK31</f>
        <v>0.0458755829416546</v>
      </c>
      <c r="AM31">
        <f>IF($G$11="wet",$BU$18,$BU$19)</f>
        <v>0.006</v>
      </c>
      <c r="AN31">
        <f>$BS$7</f>
        <v>1.5714285714285714</v>
      </c>
      <c r="AO31">
        <f>$BV$1</f>
        <v>1.3</v>
      </c>
      <c r="AP31">
        <f>AC31*AO31+(1-AC31)</f>
        <v>1</v>
      </c>
      <c r="AQ31">
        <f>(0.795*R31)-0.0014</f>
        <v>0.5948500000000001</v>
      </c>
      <c r="AR31">
        <v>2.9</v>
      </c>
      <c r="AS31">
        <f>1 - EXP(-2*(AR31^2))</f>
        <v>0.9999999504359468</v>
      </c>
      <c r="AT31">
        <f>(104.7*AQ31+0.307*S31-15)*(S31^0.75)*10^-3</f>
        <v>1.465224589945933</v>
      </c>
      <c r="AU31">
        <f>AT31*AS31*AP31</f>
        <v>1.4652245173234635</v>
      </c>
      <c r="AV31">
        <f>(AU31 * Q31) + (0.045 * AJ31)</f>
        <v>0.2930449034646927</v>
      </c>
      <c r="AW31">
        <f>$BS$2</f>
        <v>0.08</v>
      </c>
      <c r="AX31">
        <f>(AU31 * ((1 - R31) + (0.04 * AU31))) * ( 1 - AW31 )</f>
        <v>0.41600692919529714</v>
      </c>
      <c r="AY31">
        <f>$BS$1</f>
        <v>0.24</v>
      </c>
      <c r="AZ31">
        <f>$BT$20</f>
        <v>0.6784</v>
      </c>
      <c r="BA31">
        <f>AX31 * AY31 * T31 * V31 * AZ31</f>
        <v>0</v>
      </c>
      <c r="BB31">
        <f>AX31*AY31*U31*W31*AZ31</f>
        <v>0.00031834314566414905</v>
      </c>
      <c r="BC31">
        <f>BA31+BB31</f>
        <v>0.00031834314566414905</v>
      </c>
      <c r="BD31">
        <f>L31*BC31*O31</f>
        <v>1.4524406020926799</v>
      </c>
      <c r="BF31">
        <f>L31*AL31*O31</f>
        <v>209.30734717129909</v>
      </c>
      <c r="BR31" t="str">
        <v xml:space="preserve">VIC </v>
      </c>
      <c r="BS31" t="str">
        <v xml:space="preserve">99.17 </v>
      </c>
      <c r="BT31">
        <v>0.83</v>
      </c>
      <c r="CI31" t="str">
        <v>Winter</v>
      </c>
      <c r="CJ31">
        <v>0</v>
      </c>
      <c r="CK31">
        <v>0</v>
      </c>
      <c r="CL31">
        <v>0.05</v>
      </c>
      <c r="CM31">
        <v>0.05</v>
      </c>
      <c r="CN31">
        <v>0.05</v>
      </c>
      <c r="CO31">
        <v>0.11</v>
      </c>
    </row>
    <row r="32" xml:space="preserve">
      <c r="I32" t="str">
        <v>Summer</v>
      </c>
      <c r="J32">
        <f>J31</f>
        <v>0.5</v>
      </c>
      <c r="K32">
        <f>K31</f>
        <v>0.65</v>
      </c>
      <c r="L32">
        <v>100</v>
      </c>
      <c r="M32">
        <v>0</v>
      </c>
      <c r="N32">
        <v>0</v>
      </c>
      <c r="O32">
        <f>$BS$3</f>
        <v>91.25</v>
      </c>
      <c r="P32">
        <v>-0.08</v>
      </c>
      <c r="Q32">
        <v>0.1</v>
      </c>
      <c r="R32">
        <v>0.61</v>
      </c>
      <c r="S32">
        <v>55</v>
      </c>
      <c r="T32">
        <f>1-U32</f>
        <v>0</v>
      </c>
      <c r="U32">
        <f>IF($D$11="yes", 1, VLOOKUP(B32, $BR$26:$BT$32, 1))</f>
        <v>1</v>
      </c>
      <c r="V32">
        <f>VLOOKUP($B$11,$BT$10:$BU$16, 2, FALSE)</f>
        <v>0.72</v>
      </c>
      <c r="W32">
        <f>$BS$10</f>
        <v>0.0047</v>
      </c>
      <c r="X32">
        <f>IF(E32="yes",1,0)</f>
        <v>0</v>
      </c>
      <c r="Y32">
        <f>$BS$4</f>
        <v>0.24</v>
      </c>
      <c r="Z32">
        <f>$BS$6</f>
        <v>0.011</v>
      </c>
      <c r="AA32">
        <f>$BS$5</f>
        <v>0.21</v>
      </c>
      <c r="AB32">
        <f>VLOOKUP($F$11,$BR$37:$BS$49,2,FALSE)</f>
        <v>0.0059</v>
      </c>
      <c r="AC32">
        <f>(M32/100)*(MIN(N32,100)/100)</f>
        <v>0</v>
      </c>
      <c r="AD32">
        <f>AC32 * 1.6</f>
        <v>0</v>
      </c>
      <c r="AE32">
        <f>J32 * K32 / 365</f>
        <v>0.0008904109589041097</v>
      </c>
      <c r="AF32">
        <f>P32 * 0.92</f>
        <v>-0.0736</v>
      </c>
      <c r="AG32">
        <v>62</v>
      </c>
      <c r="AH32">
        <f>S32 / AG32</f>
        <v>0.8870967741935484</v>
      </c>
      <c r="AI32">
        <v>0</v>
      </c>
      <c r="AJ32">
        <f>1.6 * AI32</f>
        <v>0</v>
      </c>
      <c r="AK32" xml:space="preserve">
        <f xml:space="preserve">(0.045*AD32+AE32*0.84+_x000d_
      (AF32*_x000d_
          (_x000d_
              (212 - 4*(AF32*1000/(4*AG32^0.75)-1))-((140 - 4 * (AF32*1000/(4*AG32^0.75)-1))/(1+EXP(-6*(AH32-0.4))))_x000d_
          )_x000d_
      )*10^-3_x000d_
)/6.25</f>
        <v>-0.0008167684935642869</v>
      </c>
      <c r="AL32">
        <f>(AV32 / 6.25 ) - AK32</f>
        <v>0.017785704265871654</v>
      </c>
      <c r="AM32">
        <f>IF($G$11="wet",$BU$18,$BU$19)</f>
        <v>0.006</v>
      </c>
      <c r="AN32">
        <f>$BS$7</f>
        <v>1.5714285714285714</v>
      </c>
      <c r="AO32">
        <f>$BV$1</f>
        <v>1.3</v>
      </c>
      <c r="AP32">
        <f>AC32*AO32+(1-AC32)</f>
        <v>1</v>
      </c>
      <c r="AQ32">
        <f>(0.795*R32)-0.0014</f>
        <v>0.48355</v>
      </c>
      <c r="AR32">
        <v>2.5</v>
      </c>
      <c r="AS32">
        <f>1 - EXP(-2*(AR32^2))</f>
        <v>0.999996273346828</v>
      </c>
      <c r="AT32">
        <f>(104.7*AQ32+0.307*S32-15)*(S32^0.75)*10^-3</f>
        <v>1.0605624381175847</v>
      </c>
      <c r="AU32">
        <f>AT32*AS32*AP32</f>
        <v>1.0605584857692105</v>
      </c>
      <c r="AV32">
        <f>(AU32 * Q32) + (0.045 * AJ32)</f>
        <v>0.10605584857692106</v>
      </c>
      <c r="AW32">
        <f>$BS$2</f>
        <v>0.08</v>
      </c>
      <c r="AX32">
        <f>(AU32 * ((1 - R32) + (0.04 * AU32))) * ( 1 - AW32 )</f>
        <v>0.42192044699791736</v>
      </c>
      <c r="AY32">
        <f>$BS$1</f>
        <v>0.24</v>
      </c>
      <c r="AZ32">
        <f>$BT$20</f>
        <v>0.6784</v>
      </c>
      <c r="BA32">
        <f>AX32 * AY32 * T32 * V32 * AZ32</f>
        <v>0</v>
      </c>
      <c r="BB32">
        <f>AX32*AY32*U32*W32*AZ32</f>
        <v>0.0003228683776425407</v>
      </c>
      <c r="BC32">
        <f>BA32+BB32</f>
        <v>0.0003228683776425407</v>
      </c>
      <c r="BD32">
        <f>L32*BC32*O32</f>
        <v>2.9461739459881837</v>
      </c>
      <c r="BF32">
        <f>L32*AL32*O32</f>
        <v>162.29455142607884</v>
      </c>
      <c r="BR32" t="str">
        <v xml:space="preserve">WA </v>
      </c>
      <c r="BS32" t="str">
        <v xml:space="preserve">99.59 </v>
      </c>
      <c r="BT32">
        <v>0.41</v>
      </c>
    </row>
    <row r="33" xml:space="preserve">
      <c r="I33" t="str">
        <v>Autumn</v>
      </c>
      <c r="J33">
        <f>J32</f>
        <v>0.5</v>
      </c>
      <c r="K33">
        <f>K32</f>
        <v>0.65</v>
      </c>
      <c r="L33">
        <v>90</v>
      </c>
      <c r="M33">
        <v>0</v>
      </c>
      <c r="N33">
        <v>0</v>
      </c>
      <c r="O33">
        <f>$BS$3</f>
        <v>91.25</v>
      </c>
      <c r="P33">
        <v>0</v>
      </c>
      <c r="Q33">
        <v>0.12</v>
      </c>
      <c r="R33">
        <v>0.64</v>
      </c>
      <c r="S33">
        <v>55</v>
      </c>
      <c r="T33">
        <f>1-U33</f>
        <v>0</v>
      </c>
      <c r="U33">
        <f>IF($D$11="yes", 1, VLOOKUP(B33, $BR$26:$BT$32, 1))</f>
        <v>1</v>
      </c>
      <c r="V33">
        <f>VLOOKUP($B$11,$BT$10:$BU$16, 2, FALSE)</f>
        <v>0.72</v>
      </c>
      <c r="W33">
        <f>$BS$10</f>
        <v>0.0047</v>
      </c>
      <c r="X33">
        <f>IF(E33="yes",1,0)</f>
        <v>0</v>
      </c>
      <c r="Y33">
        <f>$BS$4</f>
        <v>0.24</v>
      </c>
      <c r="Z33">
        <f>$BS$6</f>
        <v>0.011</v>
      </c>
      <c r="AA33">
        <f>$BS$5</f>
        <v>0.21</v>
      </c>
      <c r="AB33">
        <f>VLOOKUP($F$11,$BR$37:$BS$49,2,FALSE)</f>
        <v>0.0059</v>
      </c>
      <c r="AC33">
        <f>(M33/100)*(MIN(N33,100)/100)</f>
        <v>0</v>
      </c>
      <c r="AD33">
        <f>AC33 * 1.6</f>
        <v>0</v>
      </c>
      <c r="AE33">
        <f>J33 * K33 / 365</f>
        <v>0.0008904109589041097</v>
      </c>
      <c r="AF33">
        <f>P33 * 0.92</f>
        <v>0</v>
      </c>
      <c r="AG33">
        <v>62</v>
      </c>
      <c r="AH33">
        <f>S33 / AG33</f>
        <v>0.8870967741935484</v>
      </c>
      <c r="AI33">
        <v>0</v>
      </c>
      <c r="AJ33">
        <f>1.6 * AI33</f>
        <v>0</v>
      </c>
      <c r="AK33" xml:space="preserve">
        <f xml:space="preserve">(0.045*AD33+AE33*0.84+_x000d_
      (AF33*_x000d_
          (_x000d_
              (212 - 4*(AF33*1000/(4*AG33^0.75)-1))-((140 - 4 * (AF33*1000/(4*AG33^0.75)-1))/(1+EXP(-6*(AH33-0.4))))_x000d_
          )_x000d_
      )*10^-3_x000d_
)/6.25</f>
        <v>0.00011967123287671234</v>
      </c>
      <c r="AL33">
        <f>(AV33 / 6.25 ) - AK33</f>
        <v>0.021083948851597697</v>
      </c>
      <c r="AM33">
        <f>IF($G$11="wet",$BU$18,$BU$19)</f>
        <v>0.006</v>
      </c>
      <c r="AN33">
        <f>$BS$7</f>
        <v>1.5714285714285714</v>
      </c>
      <c r="AO33">
        <f>$BV$1</f>
        <v>1.3</v>
      </c>
      <c r="AP33">
        <f>AC33*AO33+(1-AC33)</f>
        <v>1</v>
      </c>
      <c r="AQ33">
        <f>(0.795*R33)-0.0014</f>
        <v>0.5074000000000001</v>
      </c>
      <c r="AR33">
        <v>1.6</v>
      </c>
      <c r="AS33">
        <f>1 - EXP(-2*(AR33^2))</f>
        <v>0.994023977104994</v>
      </c>
      <c r="AT33">
        <f>(104.7*AQ33+0.307*S33-15)*(S33^0.75)*10^-3</f>
        <v>1.1109945415495692</v>
      </c>
      <c r="AU33">
        <f>AT33*AS33*AP33</f>
        <v>1.1043552127330423</v>
      </c>
      <c r="AV33">
        <f>(AU33 * Q33) + (0.045 * AJ33)</f>
        <v>0.13252262552796507</v>
      </c>
      <c r="AW33">
        <f>$BS$2</f>
        <v>0.08</v>
      </c>
      <c r="AX33">
        <f>(AU33 * ((1 - R33) + (0.04 * AU33))) * ( 1 - AW33 )</f>
        <v>0.41064374249795926</v>
      </c>
      <c r="AY33">
        <f>$BS$1</f>
        <v>0.24</v>
      </c>
      <c r="AZ33">
        <f>$BT$20</f>
        <v>0.6784</v>
      </c>
      <c r="BA33">
        <f>AX33 * AY33 * T33 * V33 * AZ33</f>
        <v>0</v>
      </c>
      <c r="BB33">
        <f>AX33*AY33*U33*W33*AZ33</f>
        <v>0.00031423904641917434</v>
      </c>
      <c r="BC33">
        <f>BA33+BB33</f>
        <v>0.00031423904641917434</v>
      </c>
      <c r="BD33">
        <f>L33*BC33*O33</f>
        <v>2.5806881687174696</v>
      </c>
      <c r="BF33">
        <f>L33*AL33*O33</f>
        <v>173.1519299437461</v>
      </c>
    </row>
    <row r="34" xml:space="preserve">
      <c r="I34" t="str">
        <v>Winter</v>
      </c>
      <c r="J34">
        <f>J33</f>
        <v>0.5</v>
      </c>
      <c r="K34">
        <f>K33</f>
        <v>0.65</v>
      </c>
      <c r="L34">
        <v>80</v>
      </c>
      <c r="M34">
        <v>0</v>
      </c>
      <c r="N34">
        <v>0</v>
      </c>
      <c r="O34">
        <f>$BS$3</f>
        <v>91.25</v>
      </c>
      <c r="P34">
        <v>0</v>
      </c>
      <c r="Q34">
        <v>0.18</v>
      </c>
      <c r="R34">
        <v>0.72</v>
      </c>
      <c r="S34">
        <v>55</v>
      </c>
      <c r="T34">
        <f>1-U34</f>
        <v>0</v>
      </c>
      <c r="U34">
        <f>IF($D$11="yes", 1, VLOOKUP(B34, $BR$26:$BT$32, 1))</f>
        <v>1</v>
      </c>
      <c r="V34">
        <f>VLOOKUP($B$11,$BT$10:$BU$16, 2, FALSE)</f>
        <v>0.72</v>
      </c>
      <c r="W34">
        <f>$BS$10</f>
        <v>0.0047</v>
      </c>
      <c r="X34">
        <f>IF(E34="yes",1,0)</f>
        <v>0</v>
      </c>
      <c r="Y34">
        <f>$BS$4</f>
        <v>0.24</v>
      </c>
      <c r="Z34">
        <f>$BS$6</f>
        <v>0.011</v>
      </c>
      <c r="AA34">
        <f>$BS$5</f>
        <v>0.21</v>
      </c>
      <c r="AB34">
        <f>VLOOKUP($F$11,$BR$37:$BS$49,2,FALSE)</f>
        <v>0.0059</v>
      </c>
      <c r="AC34">
        <f>(M34/100)*(MIN(N34,100)/100)</f>
        <v>0</v>
      </c>
      <c r="AD34">
        <f>AC34 * 1.6</f>
        <v>0</v>
      </c>
      <c r="AE34">
        <f>J34 * K34 / 365</f>
        <v>0.0008904109589041097</v>
      </c>
      <c r="AF34">
        <f>P34 * 0.92</f>
        <v>0</v>
      </c>
      <c r="AG34">
        <v>62</v>
      </c>
      <c r="AH34">
        <f>S34 / AG34</f>
        <v>0.8870967741935484</v>
      </c>
      <c r="AI34">
        <v>0</v>
      </c>
      <c r="AJ34">
        <f>1.6 * AI34</f>
        <v>0</v>
      </c>
      <c r="AK34" xml:space="preserve">
        <f xml:space="preserve">(0.045*AD34+AE34*0.84+_x000d_
      (AF34*_x000d_
          (_x000d_
              (212 - 4*(AF34*1000/(4*AG34^0.75)-1))-((140 - 4 * (AF34*1000/(4*AG34^0.75)-1))/(1+EXP(-6*(AH34-0.4))))_x000d_
          )_x000d_
      )*10^-3_x000d_
)/6.25</f>
        <v>0.00011967123287671234</v>
      </c>
      <c r="AL34">
        <f>(AV34 / 6.25 ) - AK34</f>
        <v>0.0356393654158421</v>
      </c>
      <c r="AM34">
        <f>IF($G$11="wet",$BU$18,$BU$19)</f>
        <v>0.006</v>
      </c>
      <c r="AN34">
        <f>$BS$7</f>
        <v>1.5714285714285714</v>
      </c>
      <c r="AO34">
        <f>$BV$1</f>
        <v>1.3</v>
      </c>
      <c r="AP34">
        <f>AC34*AO34+(1-AC34)</f>
        <v>1</v>
      </c>
      <c r="AQ34">
        <f>(0.795*R34)-0.0014</f>
        <v>0.5710000000000001</v>
      </c>
      <c r="AR34">
        <v>1.7</v>
      </c>
      <c r="AS34">
        <f>1 - EXP(-2*(AR34^2))</f>
        <v>0.9969112845917633</v>
      </c>
      <c r="AT34">
        <f>(104.7*AQ34+0.307*S34-15)*(S34^0.75)*10^-3</f>
        <v>1.245480150701528</v>
      </c>
      <c r="AU34">
        <f>AT34*AS34*AP34</f>
        <v>1.2416332169694033</v>
      </c>
      <c r="AV34">
        <f>(AU34 * Q34) + (0.045 * AJ34)</f>
        <v>0.2234939790544926</v>
      </c>
      <c r="AW34">
        <f>$BS$2</f>
        <v>0.08</v>
      </c>
      <c r="AX34">
        <f>(AU34 * ((1 - R34) + (0.04 * AU34))) * ( 1 - AW34 )</f>
        <v>0.37657754876504823</v>
      </c>
      <c r="AY34">
        <f>$BS$1</f>
        <v>0.24</v>
      </c>
      <c r="AZ34">
        <f>$BT$20</f>
        <v>0.6784</v>
      </c>
      <c r="BA34">
        <f>AX34 * AY34 * T34 * V34 * AZ34</f>
        <v>0</v>
      </c>
      <c r="BB34">
        <f>AX34*AY34*U34*W34*AZ34</f>
        <v>0.0002881703958447314</v>
      </c>
      <c r="BC34">
        <f>BA34+BB34</f>
        <v>0.0002881703958447314</v>
      </c>
      <c r="BD34">
        <f>L34*BC34*O34</f>
        <v>2.1036438896665395</v>
      </c>
      <c r="BF34">
        <f>L34*AL34*O34</f>
        <v>260.1673675356474</v>
      </c>
    </row>
    <row r="36">
      <c r="BR36" t="str">
        <v>EFN2O</v>
      </c>
      <c r="BW36" t="str">
        <v>A.1.4.4</v>
      </c>
      <c r="BX36" t="str">
        <v>CPjk</v>
      </c>
    </row>
    <row r="37">
      <c r="BR37" t="str">
        <v>Irrigated pasture</v>
      </c>
      <c r="BS37">
        <v>0.0059</v>
      </c>
      <c r="BW37" t="str">
        <v>Season</v>
      </c>
      <c r="BX37" t="str">
        <v>Class</v>
      </c>
      <c r="BY37" t="str">
        <v>ACT/NSW</v>
      </c>
      <c r="BZ37" t="str">
        <v>QLD</v>
      </c>
      <c r="CA37" t="str">
        <v>SA</v>
      </c>
      <c r="CB37" t="str">
        <v>TAS</v>
      </c>
      <c r="CC37" t="str">
        <v>VIC</v>
      </c>
      <c r="CD37" t="str">
        <v>WA</v>
      </c>
      <c r="CE37" t="str">
        <v>SeasonOrder</v>
      </c>
      <c r="CH37" t="str">
        <v>Column1</v>
      </c>
      <c r="CI37" t="str">
        <v>Column2</v>
      </c>
      <c r="CJ37" t="str">
        <v>Column3</v>
      </c>
      <c r="CK37" t="str">
        <v>Column4</v>
      </c>
      <c r="CL37" t="str">
        <v>Column5</v>
      </c>
      <c r="CM37" t="str">
        <v>Column6</v>
      </c>
      <c r="CN37" t="str">
        <v>Column7</v>
      </c>
      <c r="CO37" t="str">
        <v>Column8</v>
      </c>
    </row>
    <row r="38">
      <c r="BR38" t="str">
        <v>Irrigated crop</v>
      </c>
      <c r="BS38">
        <v>0.007</v>
      </c>
      <c r="BW38" t="str">
        <v>Spring</v>
      </c>
      <c r="BX38" t="str">
        <v>Breeding ewes</v>
      </c>
      <c r="BY38">
        <v>0.2</v>
      </c>
      <c r="BZ38">
        <v>0.08</v>
      </c>
      <c r="CA38">
        <v>0.16</v>
      </c>
      <c r="CB38">
        <v>0.2</v>
      </c>
      <c r="CC38">
        <v>0.16</v>
      </c>
      <c r="CD38">
        <v>0.18</v>
      </c>
      <c r="CE38">
        <v>1</v>
      </c>
      <c r="CH38" t="str">
        <v>State</v>
      </c>
      <c r="CI38" t="str">
        <v>Season</v>
      </c>
      <c r="CJ38" t="str">
        <v>Rams</v>
      </c>
      <c r="CK38" t="str">
        <v>Wethers</v>
      </c>
      <c r="CL38" t="str">
        <v>Maiden ewes</v>
      </c>
      <c r="CM38" t="str">
        <v>Breeding ewes</v>
      </c>
      <c r="CN38" t="str">
        <v>Other ewes</v>
      </c>
      <c r="CO38" t="str">
        <v>Lambs and hoggets</v>
      </c>
    </row>
    <row r="39">
      <c r="BR39" t="str">
        <v>Non-irrigated pasture</v>
      </c>
      <c r="BS39">
        <v>0.0018</v>
      </c>
      <c r="BW39" t="str">
        <v>Summer</v>
      </c>
      <c r="BX39" t="str">
        <v>Breeding ewes</v>
      </c>
      <c r="BY39">
        <v>0.1</v>
      </c>
      <c r="BZ39">
        <v>0.1</v>
      </c>
      <c r="CA39">
        <v>0.07</v>
      </c>
      <c r="CB39">
        <v>0.07</v>
      </c>
      <c r="CC39">
        <v>0.07</v>
      </c>
      <c r="CD39">
        <v>0.06</v>
      </c>
      <c r="CE39">
        <v>2</v>
      </c>
      <c r="CH39" t="str">
        <v>ACT/NSW</v>
      </c>
      <c r="CI39" t="str">
        <v>Spring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</row>
    <row r="40">
      <c r="BR40" t="str">
        <v>Non-irrigated crop (low rainfall)</v>
      </c>
      <c r="BS40">
        <v>0.0029</v>
      </c>
      <c r="BW40" t="str">
        <v>Autumn</v>
      </c>
      <c r="BX40" t="str">
        <v>Breeding ewes</v>
      </c>
      <c r="BY40">
        <v>0.12</v>
      </c>
      <c r="BZ40">
        <v>0.09</v>
      </c>
      <c r="CA40">
        <v>0.09</v>
      </c>
      <c r="CB40">
        <v>0.14</v>
      </c>
      <c r="CC40">
        <v>0.13</v>
      </c>
      <c r="CD40">
        <v>0.16</v>
      </c>
      <c r="CE40">
        <v>3</v>
      </c>
      <c r="CI40" t="str">
        <v>Summer</v>
      </c>
      <c r="CJ40">
        <v>0.1</v>
      </c>
      <c r="CK40">
        <v>0.1</v>
      </c>
      <c r="CL40">
        <v>0.1</v>
      </c>
      <c r="CM40">
        <v>0.1</v>
      </c>
      <c r="CN40">
        <v>0.1</v>
      </c>
      <c r="CO40">
        <v>0.1</v>
      </c>
    </row>
    <row r="41">
      <c r="BR41" t="str">
        <v>Non-irrigated crop (high rainfall)</v>
      </c>
      <c r="BS41">
        <v>0.008</v>
      </c>
      <c r="BW41" t="str">
        <v>Winter</v>
      </c>
      <c r="BX41" t="str">
        <v>Breeding ewes</v>
      </c>
      <c r="BY41">
        <v>0.18</v>
      </c>
      <c r="BZ41">
        <v>0.07</v>
      </c>
      <c r="CA41">
        <v>0.2</v>
      </c>
      <c r="CB41">
        <v>0.16</v>
      </c>
      <c r="CC41">
        <v>0.1</v>
      </c>
      <c r="CD41">
        <v>0.21</v>
      </c>
      <c r="CE41">
        <v>4</v>
      </c>
      <c r="CI41" t="str">
        <v>Autumn</v>
      </c>
      <c r="CJ41">
        <v>0.12</v>
      </c>
      <c r="CK41">
        <v>0.12</v>
      </c>
      <c r="CL41">
        <v>0.12</v>
      </c>
      <c r="CM41">
        <v>0.12</v>
      </c>
      <c r="CN41">
        <v>0.12</v>
      </c>
      <c r="CO41">
        <v>0.12</v>
      </c>
    </row>
    <row r="42">
      <c r="BR42" t="str">
        <v>Sugar</v>
      </c>
      <c r="BS42">
        <v>0.0199</v>
      </c>
      <c r="BW42" t="str">
        <v>Spring</v>
      </c>
      <c r="BX42" t="str">
        <v>Lambs and hoggets</v>
      </c>
      <c r="BY42">
        <v>0.2</v>
      </c>
      <c r="BZ42">
        <v>0.08</v>
      </c>
      <c r="CA42">
        <v>0.16</v>
      </c>
      <c r="CB42">
        <v>0.2</v>
      </c>
      <c r="CC42">
        <v>0.16</v>
      </c>
      <c r="CD42">
        <v>0.18</v>
      </c>
      <c r="CE42">
        <v>1</v>
      </c>
      <c r="CI42" t="str">
        <v>Winter</v>
      </c>
      <c r="CJ42">
        <v>0.18</v>
      </c>
      <c r="CK42">
        <v>0.18</v>
      </c>
      <c r="CL42">
        <v>0.18</v>
      </c>
      <c r="CM42">
        <v>0.18</v>
      </c>
      <c r="CN42">
        <v>0.18</v>
      </c>
      <c r="CO42">
        <v>0.18</v>
      </c>
    </row>
    <row r="43">
      <c r="BR43" t="str">
        <v>Cotton</v>
      </c>
      <c r="BS43">
        <v>0.0053</v>
      </c>
      <c r="BW43" t="str">
        <v>Summer</v>
      </c>
      <c r="BX43" t="str">
        <v>Lambs and hoggets</v>
      </c>
      <c r="BY43">
        <v>0.1</v>
      </c>
      <c r="BZ43">
        <v>0.1</v>
      </c>
      <c r="CA43">
        <v>0.07</v>
      </c>
      <c r="CB43">
        <v>0.07</v>
      </c>
      <c r="CC43">
        <v>0.07</v>
      </c>
      <c r="CD43">
        <v>0.06</v>
      </c>
      <c r="CE43">
        <v>2</v>
      </c>
      <c r="CH43" t="str">
        <v>Queensland</v>
      </c>
      <c r="CI43" t="str">
        <v>Spring</v>
      </c>
      <c r="CJ43">
        <v>0.08</v>
      </c>
      <c r="CK43">
        <v>0.08</v>
      </c>
      <c r="CL43">
        <v>0.08</v>
      </c>
      <c r="CM43">
        <v>0.08</v>
      </c>
      <c r="CN43">
        <v>0.08</v>
      </c>
      <c r="CO43">
        <v>0.08</v>
      </c>
    </row>
    <row r="44">
      <c r="BR44" t="str">
        <v>Horticultural crops</v>
      </c>
      <c r="BS44">
        <v>0.0064</v>
      </c>
      <c r="BW44" t="str">
        <v>Autumn</v>
      </c>
      <c r="BX44" t="str">
        <v>Lambs and hoggets</v>
      </c>
      <c r="BY44">
        <v>0.12</v>
      </c>
      <c r="BZ44">
        <v>0.09</v>
      </c>
      <c r="CA44">
        <v>0.09</v>
      </c>
      <c r="CB44">
        <v>0.14</v>
      </c>
      <c r="CC44">
        <v>0.13</v>
      </c>
      <c r="CD44">
        <v>0.16</v>
      </c>
      <c r="CE44">
        <v>3</v>
      </c>
      <c r="CI44" t="str">
        <v>Summer</v>
      </c>
      <c r="CJ44">
        <v>0.1</v>
      </c>
      <c r="CK44">
        <v>0.1</v>
      </c>
      <c r="CL44">
        <v>0.1</v>
      </c>
      <c r="CM44">
        <v>0.1</v>
      </c>
      <c r="CN44">
        <v>0.1</v>
      </c>
      <c r="CO44">
        <v>0.1</v>
      </c>
    </row>
    <row r="45">
      <c r="BR45" t="str">
        <v xml:space="preserve">Aquaculture </v>
      </c>
      <c r="BS45">
        <v>0.0026</v>
      </c>
      <c r="BW45" t="str">
        <v>Winter</v>
      </c>
      <c r="BX45" t="str">
        <v>Lambs and hoggets</v>
      </c>
      <c r="BY45">
        <v>0.18</v>
      </c>
      <c r="BZ45">
        <v>0.07</v>
      </c>
      <c r="CA45">
        <v>0.2</v>
      </c>
      <c r="CB45">
        <v>0.16</v>
      </c>
      <c r="CC45">
        <v>0.1</v>
      </c>
      <c r="CD45">
        <v>0.21</v>
      </c>
      <c r="CE45">
        <v>4</v>
      </c>
      <c r="CI45" t="str">
        <v>Autumn</v>
      </c>
      <c r="CJ45">
        <v>0.09</v>
      </c>
      <c r="CK45">
        <v>0.09</v>
      </c>
      <c r="CL45">
        <v>0.09</v>
      </c>
      <c r="CM45">
        <v>0.09</v>
      </c>
      <c r="CN45">
        <v>0.09</v>
      </c>
      <c r="CO45">
        <v>0.09</v>
      </c>
    </row>
    <row r="46">
      <c r="BR46" t="str">
        <v>Rice (continuous flooding)</v>
      </c>
      <c r="BS46">
        <v>0.003</v>
      </c>
      <c r="BW46" t="str">
        <v>Spring</v>
      </c>
      <c r="BX46" t="str">
        <v>Maiden ewes</v>
      </c>
      <c r="BY46">
        <v>0.2</v>
      </c>
      <c r="BZ46">
        <v>0.08</v>
      </c>
      <c r="CA46">
        <v>0.16</v>
      </c>
      <c r="CB46">
        <v>0.2</v>
      </c>
      <c r="CC46">
        <v>0.16</v>
      </c>
      <c r="CD46">
        <v>0.18</v>
      </c>
      <c r="CE46">
        <v>1</v>
      </c>
      <c r="CI46" t="str">
        <v>Winter</v>
      </c>
      <c r="CJ46">
        <v>0.07</v>
      </c>
      <c r="CK46">
        <v>0.07</v>
      </c>
      <c r="CL46">
        <v>0.07</v>
      </c>
      <c r="CM46">
        <v>0.07</v>
      </c>
      <c r="CN46">
        <v>0.07</v>
      </c>
      <c r="CO46">
        <v>0.07</v>
      </c>
    </row>
    <row r="47">
      <c r="BR47" t="str">
        <v>Rice (single and multiple drainage, or alternate wetting and drying)</v>
      </c>
      <c r="BS47">
        <v>0.005</v>
      </c>
      <c r="BW47" t="str">
        <v>Summer</v>
      </c>
      <c r="BX47" t="str">
        <v>Maiden ewes</v>
      </c>
      <c r="BY47">
        <v>0.1</v>
      </c>
      <c r="BZ47">
        <v>0.1</v>
      </c>
      <c r="CA47">
        <v>0.07</v>
      </c>
      <c r="CB47">
        <v>0.07</v>
      </c>
      <c r="CC47">
        <v>0.07</v>
      </c>
      <c r="CD47">
        <v>0.06</v>
      </c>
      <c r="CE47">
        <v>2</v>
      </c>
      <c r="CH47" t="str">
        <v>South Australia</v>
      </c>
      <c r="CI47" t="str">
        <v>Spring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</row>
    <row r="48">
      <c r="BR48" t="str">
        <v>Aquaculture</v>
      </c>
      <c r="BS48">
        <v>0.0026</v>
      </c>
      <c r="BW48" t="str">
        <v>Autumn</v>
      </c>
      <c r="BX48" t="str">
        <v>Maiden ewes</v>
      </c>
      <c r="BY48">
        <v>0.12</v>
      </c>
      <c r="BZ48">
        <v>0.09</v>
      </c>
      <c r="CA48">
        <v>0.09</v>
      </c>
      <c r="CB48">
        <v>0.14</v>
      </c>
      <c r="CC48">
        <v>0.13</v>
      </c>
      <c r="CD48">
        <v>0.16</v>
      </c>
      <c r="CE48">
        <v>3</v>
      </c>
      <c r="CI48" t="str">
        <v>Summer</v>
      </c>
      <c r="CJ48">
        <v>0.07</v>
      </c>
      <c r="CK48">
        <v>0.07</v>
      </c>
      <c r="CL48">
        <v>0.07</v>
      </c>
      <c r="CM48">
        <v>0.07</v>
      </c>
      <c r="CN48">
        <v>0.07</v>
      </c>
      <c r="CO48">
        <v>0.07</v>
      </c>
    </row>
    <row r="49">
      <c r="BR49" t="str">
        <v>Forestry</v>
      </c>
      <c r="BS49">
        <v>0.0018</v>
      </c>
      <c r="BW49" t="str">
        <v>Winter</v>
      </c>
      <c r="BX49" t="str">
        <v>Maiden ewes</v>
      </c>
      <c r="BY49">
        <v>0.18</v>
      </c>
      <c r="BZ49">
        <v>0.07</v>
      </c>
      <c r="CA49">
        <v>0.2</v>
      </c>
      <c r="CB49">
        <v>0.16</v>
      </c>
      <c r="CC49">
        <v>0.1</v>
      </c>
      <c r="CD49">
        <v>0.21</v>
      </c>
      <c r="CE49">
        <v>4</v>
      </c>
      <c r="CI49" t="str">
        <v>Autumn</v>
      </c>
      <c r="CJ49">
        <v>0.09</v>
      </c>
      <c r="CK49">
        <v>0.09</v>
      </c>
      <c r="CL49">
        <v>0.09</v>
      </c>
      <c r="CM49">
        <v>0.09</v>
      </c>
      <c r="CN49">
        <v>0.09</v>
      </c>
      <c r="CO49">
        <v>0.09</v>
      </c>
    </row>
    <row r="50">
      <c r="BW50" t="str">
        <v>Spring</v>
      </c>
      <c r="BX50" t="str">
        <v>Other ewes</v>
      </c>
      <c r="BY50">
        <v>0.2</v>
      </c>
      <c r="BZ50">
        <v>0.08</v>
      </c>
      <c r="CA50">
        <v>0.16</v>
      </c>
      <c r="CB50">
        <v>0.2</v>
      </c>
      <c r="CC50">
        <v>0.16</v>
      </c>
      <c r="CD50">
        <v>0.18</v>
      </c>
      <c r="CE50">
        <v>1</v>
      </c>
      <c r="CI50" t="str">
        <v>Winter</v>
      </c>
      <c r="CJ50">
        <v>0.2</v>
      </c>
      <c r="CK50">
        <v>0.2</v>
      </c>
      <c r="CL50">
        <v>0.2</v>
      </c>
      <c r="CM50">
        <v>0.2</v>
      </c>
      <c r="CN50">
        <v>0.2</v>
      </c>
      <c r="CO50">
        <v>0.2</v>
      </c>
    </row>
    <row r="51">
      <c r="BW51" t="str">
        <v>Summer</v>
      </c>
      <c r="BX51" t="str">
        <v>Other ewes</v>
      </c>
      <c r="BY51">
        <v>0.1</v>
      </c>
      <c r="BZ51">
        <v>0.1</v>
      </c>
      <c r="CA51">
        <v>0.07</v>
      </c>
      <c r="CB51">
        <v>0.07</v>
      </c>
      <c r="CC51">
        <v>0.07</v>
      </c>
      <c r="CD51">
        <v>0.06</v>
      </c>
      <c r="CE51">
        <v>2</v>
      </c>
      <c r="CH51" t="str">
        <v>Tasmania</v>
      </c>
      <c r="CI51" t="str">
        <v>Spring</v>
      </c>
      <c r="CJ51">
        <v>0.2</v>
      </c>
      <c r="CK51">
        <v>0.2</v>
      </c>
      <c r="CL51">
        <v>0.2</v>
      </c>
      <c r="CM51">
        <v>0.2</v>
      </c>
      <c r="CN51">
        <v>0.2</v>
      </c>
      <c r="CO51">
        <v>0.2</v>
      </c>
    </row>
    <row r="52">
      <c r="BW52" t="str">
        <v>Autumn</v>
      </c>
      <c r="BX52" t="str">
        <v>Other ewes</v>
      </c>
      <c r="BY52">
        <v>0.12</v>
      </c>
      <c r="BZ52">
        <v>0.09</v>
      </c>
      <c r="CA52">
        <v>0.09</v>
      </c>
      <c r="CB52">
        <v>0.14</v>
      </c>
      <c r="CC52">
        <v>0.13</v>
      </c>
      <c r="CD52">
        <v>0.06</v>
      </c>
      <c r="CE52">
        <v>3</v>
      </c>
      <c r="CI52" t="str">
        <v>Summer</v>
      </c>
      <c r="CJ52">
        <v>0.07</v>
      </c>
      <c r="CK52">
        <v>0.07</v>
      </c>
      <c r="CL52">
        <v>0.07</v>
      </c>
      <c r="CM52">
        <v>0.07</v>
      </c>
      <c r="CN52">
        <v>0.07</v>
      </c>
      <c r="CO52">
        <v>0.07</v>
      </c>
    </row>
    <row r="53">
      <c r="BW53" t="str">
        <v>Winter</v>
      </c>
      <c r="BX53" t="str">
        <v>Other ewes</v>
      </c>
      <c r="BY53">
        <v>0.18</v>
      </c>
      <c r="BZ53">
        <v>0.07</v>
      </c>
      <c r="CA53">
        <v>0.2</v>
      </c>
      <c r="CB53">
        <v>0.16</v>
      </c>
      <c r="CC53">
        <v>0.1</v>
      </c>
      <c r="CD53">
        <v>0.21</v>
      </c>
      <c r="CE53">
        <v>4</v>
      </c>
      <c r="CI53" t="str">
        <v>Autumn</v>
      </c>
      <c r="CJ53">
        <v>0.14</v>
      </c>
      <c r="CK53">
        <v>0.14</v>
      </c>
      <c r="CL53">
        <v>0.14</v>
      </c>
      <c r="CM53">
        <v>0.14</v>
      </c>
      <c r="CN53">
        <v>0.14</v>
      </c>
      <c r="CO53">
        <v>0.14</v>
      </c>
    </row>
    <row r="54">
      <c r="BW54" t="str">
        <v>Spring</v>
      </c>
      <c r="BX54" t="str">
        <v>Rams</v>
      </c>
      <c r="BY54">
        <v>0.2</v>
      </c>
      <c r="BZ54">
        <v>0.08</v>
      </c>
      <c r="CA54">
        <v>0.16</v>
      </c>
      <c r="CB54">
        <v>0.2</v>
      </c>
      <c r="CC54">
        <v>0.16</v>
      </c>
      <c r="CD54">
        <v>0.18</v>
      </c>
      <c r="CE54">
        <v>1</v>
      </c>
      <c r="CI54" t="str">
        <v>Winter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</row>
    <row r="55">
      <c r="BW55" t="str">
        <v>Summer</v>
      </c>
      <c r="BX55" t="str">
        <v>Rams</v>
      </c>
      <c r="BY55">
        <v>0.1</v>
      </c>
      <c r="BZ55">
        <v>0.1</v>
      </c>
      <c r="CA55">
        <v>0.07</v>
      </c>
      <c r="CB55">
        <v>0.07</v>
      </c>
      <c r="CC55">
        <v>0.07</v>
      </c>
      <c r="CD55">
        <v>0.06</v>
      </c>
      <c r="CE55">
        <v>2</v>
      </c>
      <c r="CH55" t="str">
        <v>Victoria</v>
      </c>
      <c r="CI55" t="str">
        <v>Spring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</row>
    <row r="56">
      <c r="BW56" t="str">
        <v>Autumn</v>
      </c>
      <c r="BX56" t="str">
        <v>Rams</v>
      </c>
      <c r="BY56">
        <v>0.12</v>
      </c>
      <c r="BZ56">
        <v>0.09</v>
      </c>
      <c r="CA56">
        <v>0.09</v>
      </c>
      <c r="CB56">
        <v>0.14</v>
      </c>
      <c r="CC56">
        <v>0.13</v>
      </c>
      <c r="CD56">
        <v>0.06</v>
      </c>
      <c r="CE56">
        <v>3</v>
      </c>
      <c r="CI56" t="str">
        <v>Summer</v>
      </c>
      <c r="CJ56">
        <v>0.07</v>
      </c>
      <c r="CK56">
        <v>0.07</v>
      </c>
      <c r="CL56">
        <v>0.07</v>
      </c>
      <c r="CM56">
        <v>0.07</v>
      </c>
      <c r="CN56">
        <v>0.07</v>
      </c>
      <c r="CO56">
        <v>0.07</v>
      </c>
    </row>
    <row r="57">
      <c r="BW57" t="str">
        <v>Winter</v>
      </c>
      <c r="BX57" t="str">
        <v>Rams</v>
      </c>
      <c r="BY57">
        <v>0.18</v>
      </c>
      <c r="BZ57">
        <v>0.07</v>
      </c>
      <c r="CA57">
        <v>0.2</v>
      </c>
      <c r="CB57">
        <v>0.16</v>
      </c>
      <c r="CC57">
        <v>0.1</v>
      </c>
      <c r="CD57">
        <v>0.21</v>
      </c>
      <c r="CE57">
        <v>4</v>
      </c>
      <c r="CI57" t="str">
        <v>Autumn</v>
      </c>
      <c r="CJ57">
        <v>0.13</v>
      </c>
      <c r="CK57">
        <v>0.13</v>
      </c>
      <c r="CL57">
        <v>0.13</v>
      </c>
      <c r="CM57">
        <v>0.13</v>
      </c>
      <c r="CN57">
        <v>0.13</v>
      </c>
      <c r="CO57">
        <v>0.13</v>
      </c>
    </row>
    <row r="58">
      <c r="BW58" t="str">
        <v>Spring</v>
      </c>
      <c r="BX58" t="str">
        <v>Wethers</v>
      </c>
      <c r="BY58">
        <v>0.2</v>
      </c>
      <c r="BZ58">
        <v>0.08</v>
      </c>
      <c r="CA58">
        <v>0.16</v>
      </c>
      <c r="CB58">
        <v>0.2</v>
      </c>
      <c r="CC58">
        <v>0.16</v>
      </c>
      <c r="CD58">
        <v>0.18</v>
      </c>
      <c r="CE58">
        <v>1</v>
      </c>
      <c r="CI58" t="str">
        <v>Winter</v>
      </c>
      <c r="CJ58">
        <v>0.1</v>
      </c>
      <c r="CK58">
        <v>0.1</v>
      </c>
      <c r="CL58">
        <v>0.1</v>
      </c>
      <c r="CM58">
        <v>0.1</v>
      </c>
      <c r="CN58">
        <v>0.1</v>
      </c>
      <c r="CO58">
        <v>0.1</v>
      </c>
    </row>
    <row r="59">
      <c r="BW59" t="str">
        <v>Summer</v>
      </c>
      <c r="BX59" t="str">
        <v>Wethers</v>
      </c>
      <c r="BY59">
        <v>0.1</v>
      </c>
      <c r="BZ59">
        <v>0.1</v>
      </c>
      <c r="CA59">
        <v>0.07</v>
      </c>
      <c r="CB59">
        <v>0.07</v>
      </c>
      <c r="CC59">
        <v>0.07</v>
      </c>
      <c r="CD59">
        <v>0.06</v>
      </c>
      <c r="CE59">
        <v>2</v>
      </c>
      <c r="CH59" t="str">
        <v>Western Australia</v>
      </c>
      <c r="CI59" t="str">
        <v>Spring</v>
      </c>
      <c r="CJ59">
        <v>0.18</v>
      </c>
      <c r="CK59">
        <v>0.18</v>
      </c>
      <c r="CL59">
        <v>0.18</v>
      </c>
      <c r="CM59">
        <v>0.18</v>
      </c>
      <c r="CN59">
        <v>0.18</v>
      </c>
      <c r="CO59">
        <v>0.18</v>
      </c>
    </row>
    <row r="60">
      <c r="BW60" t="str">
        <v>Autumn</v>
      </c>
      <c r="BX60" t="str">
        <v>Wethers</v>
      </c>
      <c r="BY60">
        <v>0.12</v>
      </c>
      <c r="BZ60">
        <v>0.09</v>
      </c>
      <c r="CA60">
        <v>0.09</v>
      </c>
      <c r="CB60">
        <v>0.14</v>
      </c>
      <c r="CC60">
        <v>0.13</v>
      </c>
      <c r="CD60">
        <v>0.06</v>
      </c>
      <c r="CE60">
        <v>3</v>
      </c>
      <c r="CI60" t="str">
        <v>Summer</v>
      </c>
      <c r="CJ60">
        <v>0.06</v>
      </c>
      <c r="CK60">
        <v>0.06</v>
      </c>
      <c r="CL60">
        <v>0.06</v>
      </c>
      <c r="CM60">
        <v>0.06</v>
      </c>
      <c r="CN60">
        <v>0.06</v>
      </c>
      <c r="CO60">
        <v>0.06</v>
      </c>
    </row>
    <row r="61">
      <c r="BW61" t="str">
        <v>Winter</v>
      </c>
      <c r="BX61" t="str">
        <v>Wethers</v>
      </c>
      <c r="BY61">
        <v>0.18</v>
      </c>
      <c r="BZ61">
        <v>0.07</v>
      </c>
      <c r="CA61">
        <v>0.2</v>
      </c>
      <c r="CB61">
        <v>0.16</v>
      </c>
      <c r="CC61">
        <v>0.1</v>
      </c>
      <c r="CD61">
        <v>0.21</v>
      </c>
      <c r="CE61">
        <v>4</v>
      </c>
      <c r="CI61" t="str">
        <v>Autumn</v>
      </c>
      <c r="CJ61">
        <v>0.06</v>
      </c>
      <c r="CK61">
        <v>0.06</v>
      </c>
      <c r="CL61">
        <v>0.16</v>
      </c>
      <c r="CM61">
        <v>0.16</v>
      </c>
      <c r="CN61">
        <v>0.06</v>
      </c>
      <c r="CO61">
        <v>0.16</v>
      </c>
    </row>
    <row r="62">
      <c r="CI62" t="str">
        <v>Winter</v>
      </c>
      <c r="CJ62">
        <v>0.21</v>
      </c>
      <c r="CK62">
        <v>0.21</v>
      </c>
      <c r="CL62">
        <v>0.21</v>
      </c>
      <c r="CM62">
        <v>0.21</v>
      </c>
      <c r="CN62">
        <v>0.21</v>
      </c>
      <c r="CO62">
        <v>0.21</v>
      </c>
    </row>
    <row r="66">
      <c r="BW66" t="str">
        <v>A.1.4.2</v>
      </c>
      <c r="BX66" t="str">
        <v>DMDjk</v>
      </c>
      <c r="CH66" t="str">
        <v>Column1</v>
      </c>
      <c r="CI66" t="str">
        <v>Column2</v>
      </c>
      <c r="CJ66" t="str">
        <v>Column3</v>
      </c>
      <c r="CK66" t="str">
        <v>Column4</v>
      </c>
      <c r="CL66" t="str">
        <v>Column5</v>
      </c>
      <c r="CM66" t="str">
        <v>Column6</v>
      </c>
      <c r="CN66" t="str">
        <v>Column7</v>
      </c>
      <c r="CO66" t="str">
        <v>Column8</v>
      </c>
    </row>
    <row r="67">
      <c r="BW67" t="str">
        <v>Season</v>
      </c>
      <c r="BX67" t="str">
        <v>Class</v>
      </c>
      <c r="BY67" t="str">
        <v>ACT/NSW</v>
      </c>
      <c r="BZ67" t="str">
        <v>QLD</v>
      </c>
      <c r="CA67" t="str">
        <v>SA</v>
      </c>
      <c r="CB67" t="str">
        <v>TAS</v>
      </c>
      <c r="CC67" t="str">
        <v>VIC</v>
      </c>
      <c r="CD67" t="str">
        <v>WA</v>
      </c>
      <c r="CE67" t="str">
        <v>SeasonOrder</v>
      </c>
      <c r="CH67" t="str">
        <v>State</v>
      </c>
      <c r="CI67" t="str">
        <v>Season</v>
      </c>
      <c r="CJ67" t="str">
        <v>Rams</v>
      </c>
      <c r="CK67" t="str">
        <v>Wethers</v>
      </c>
      <c r="CL67" t="str">
        <v>Maiden ewes</v>
      </c>
      <c r="CM67" t="str">
        <v>Breeding ewes</v>
      </c>
      <c r="CN67" t="str">
        <v>Other ewes</v>
      </c>
      <c r="CO67" t="str">
        <v>Lambs and hoggets</v>
      </c>
    </row>
    <row r="68">
      <c r="BW68" t="str">
        <v>Spring</v>
      </c>
      <c r="BX68" t="str">
        <v>Breeding ewes</v>
      </c>
      <c r="BY68">
        <v>0.75</v>
      </c>
      <c r="BZ68">
        <v>0.51</v>
      </c>
      <c r="CA68">
        <v>0.7</v>
      </c>
      <c r="CB68">
        <v>0.75</v>
      </c>
      <c r="CC68">
        <v>0.7</v>
      </c>
      <c r="CD68">
        <v>0.73</v>
      </c>
      <c r="CE68">
        <v>1</v>
      </c>
      <c r="CH68" t="str">
        <v>ACT/NSW</v>
      </c>
      <c r="CI68" t="str">
        <v>Spring</v>
      </c>
      <c r="CJ68">
        <v>0.75</v>
      </c>
      <c r="CK68">
        <v>0.75</v>
      </c>
      <c r="CL68">
        <v>0.75</v>
      </c>
      <c r="CM68">
        <v>0.75</v>
      </c>
      <c r="CN68">
        <v>0.75</v>
      </c>
      <c r="CO68">
        <v>0.75</v>
      </c>
    </row>
    <row r="69">
      <c r="BW69" t="str">
        <v>Summer</v>
      </c>
      <c r="BX69" t="str">
        <v>Breeding ewes</v>
      </c>
      <c r="BY69">
        <v>0.61</v>
      </c>
      <c r="BZ69">
        <v>0.55</v>
      </c>
      <c r="CA69">
        <v>0.55</v>
      </c>
      <c r="CB69">
        <v>0.55</v>
      </c>
      <c r="CC69">
        <v>0.55</v>
      </c>
      <c r="CD69">
        <v>0.55</v>
      </c>
      <c r="CE69">
        <v>2</v>
      </c>
      <c r="CI69" t="str">
        <v>Summer</v>
      </c>
      <c r="CJ69">
        <v>0.61</v>
      </c>
      <c r="CK69">
        <v>0.61</v>
      </c>
      <c r="CL69">
        <v>0.61</v>
      </c>
      <c r="CM69">
        <v>0.61</v>
      </c>
      <c r="CN69">
        <v>0.61</v>
      </c>
      <c r="CO69">
        <v>0.61</v>
      </c>
    </row>
    <row r="70">
      <c r="BW70" t="str">
        <v>Autumn</v>
      </c>
      <c r="BX70" t="str">
        <v>Breeding ewes</v>
      </c>
      <c r="BY70">
        <v>0.64</v>
      </c>
      <c r="BZ70">
        <v>0.59</v>
      </c>
      <c r="CA70">
        <v>0.55</v>
      </c>
      <c r="CB70">
        <v>0.67</v>
      </c>
      <c r="CC70">
        <v>0.65</v>
      </c>
      <c r="CD70">
        <v>0.7</v>
      </c>
      <c r="CE70">
        <v>3</v>
      </c>
      <c r="CI70" t="str">
        <v>Autumn</v>
      </c>
      <c r="CJ70">
        <v>0.64</v>
      </c>
      <c r="CK70">
        <v>0.64</v>
      </c>
      <c r="CL70">
        <v>0.64</v>
      </c>
      <c r="CM70">
        <v>0.64</v>
      </c>
      <c r="CN70">
        <v>0.64</v>
      </c>
      <c r="CO70">
        <v>0.64</v>
      </c>
    </row>
    <row r="71">
      <c r="BW71" t="str">
        <v>Winter</v>
      </c>
      <c r="BX71" t="str">
        <v>Breeding ewes</v>
      </c>
      <c r="BY71">
        <v>0.72</v>
      </c>
      <c r="BZ71">
        <v>0.58</v>
      </c>
      <c r="CA71">
        <v>0.75</v>
      </c>
      <c r="CB71">
        <v>0.7</v>
      </c>
      <c r="CC71">
        <v>0.6</v>
      </c>
      <c r="CD71">
        <v>0.76</v>
      </c>
      <c r="CE71">
        <v>4</v>
      </c>
      <c r="CI71" t="str">
        <v>Winter</v>
      </c>
      <c r="CJ71">
        <v>0.72</v>
      </c>
      <c r="CK71">
        <v>0.72</v>
      </c>
      <c r="CL71">
        <v>0.72</v>
      </c>
      <c r="CM71">
        <v>0.72</v>
      </c>
      <c r="CN71">
        <v>0.72</v>
      </c>
      <c r="CO71">
        <v>0.72</v>
      </c>
    </row>
    <row r="72">
      <c r="BW72" t="str">
        <v>Spring</v>
      </c>
      <c r="BX72" t="str">
        <v>Lambs and hoggets</v>
      </c>
      <c r="BY72">
        <v>0.75</v>
      </c>
      <c r="BZ72">
        <v>0.51</v>
      </c>
      <c r="CA72">
        <v>0.7</v>
      </c>
      <c r="CB72">
        <v>0.75</v>
      </c>
      <c r="CC72">
        <v>0.7</v>
      </c>
      <c r="CD72">
        <v>0.73</v>
      </c>
      <c r="CE72">
        <v>1</v>
      </c>
      <c r="CH72" t="str">
        <v>Queensland</v>
      </c>
      <c r="CI72" t="str">
        <v>Spring</v>
      </c>
      <c r="CJ72">
        <v>0.51</v>
      </c>
      <c r="CK72">
        <v>0.51</v>
      </c>
      <c r="CL72">
        <v>0.51</v>
      </c>
      <c r="CM72">
        <v>0.51</v>
      </c>
      <c r="CN72">
        <v>0.51</v>
      </c>
      <c r="CO72">
        <v>0.51</v>
      </c>
    </row>
    <row r="73">
      <c r="BW73" t="str">
        <v>Summer</v>
      </c>
      <c r="BX73" t="str">
        <v>Lambs and hoggets</v>
      </c>
      <c r="BY73">
        <v>0.61</v>
      </c>
      <c r="BZ73">
        <v>0.55</v>
      </c>
      <c r="CA73">
        <v>0.55</v>
      </c>
      <c r="CB73">
        <v>0.55</v>
      </c>
      <c r="CC73">
        <v>0.55</v>
      </c>
      <c r="CD73">
        <v>0.55</v>
      </c>
      <c r="CE73">
        <v>2</v>
      </c>
      <c r="CI73" t="str">
        <v>Summer</v>
      </c>
      <c r="CJ73">
        <v>0.55</v>
      </c>
      <c r="CK73">
        <v>0.55</v>
      </c>
      <c r="CL73">
        <v>0.55</v>
      </c>
      <c r="CM73">
        <v>0.55</v>
      </c>
      <c r="CN73">
        <v>0.55</v>
      </c>
      <c r="CO73">
        <v>0.55</v>
      </c>
    </row>
    <row r="74">
      <c r="BW74" t="str">
        <v>Autumn</v>
      </c>
      <c r="BX74" t="str">
        <v>Lambs and hoggets</v>
      </c>
      <c r="BY74">
        <v>0.64</v>
      </c>
      <c r="BZ74">
        <v>0.59</v>
      </c>
      <c r="CA74">
        <v>0.55</v>
      </c>
      <c r="CB74">
        <v>0.67</v>
      </c>
      <c r="CC74">
        <v>0.65</v>
      </c>
      <c r="CD74">
        <v>0.7</v>
      </c>
      <c r="CE74">
        <v>3</v>
      </c>
      <c r="CI74" t="str">
        <v>Autumn</v>
      </c>
      <c r="CJ74">
        <v>0.59</v>
      </c>
      <c r="CK74">
        <v>0.59</v>
      </c>
      <c r="CL74">
        <v>0.59</v>
      </c>
      <c r="CM74">
        <v>0.59</v>
      </c>
      <c r="CN74">
        <v>0.59</v>
      </c>
      <c r="CO74">
        <v>0.59</v>
      </c>
    </row>
    <row r="75">
      <c r="BW75" t="str">
        <v>Winter</v>
      </c>
      <c r="BX75" t="str">
        <v>Lambs and hoggets</v>
      </c>
      <c r="BY75">
        <v>0.72</v>
      </c>
      <c r="BZ75">
        <v>0.58</v>
      </c>
      <c r="CA75">
        <v>0.75</v>
      </c>
      <c r="CB75">
        <v>0.7</v>
      </c>
      <c r="CC75">
        <v>0.6</v>
      </c>
      <c r="CD75">
        <v>0.76</v>
      </c>
      <c r="CE75">
        <v>4</v>
      </c>
      <c r="CI75" t="str">
        <v>Winter</v>
      </c>
      <c r="CJ75">
        <v>0.58</v>
      </c>
      <c r="CK75">
        <v>0.58</v>
      </c>
      <c r="CL75">
        <v>0.58</v>
      </c>
      <c r="CM75">
        <v>0.58</v>
      </c>
      <c r="CN75">
        <v>0.58</v>
      </c>
      <c r="CO75">
        <v>0.58</v>
      </c>
    </row>
    <row r="76">
      <c r="BW76" t="str">
        <v>Spring</v>
      </c>
      <c r="BX76" t="str">
        <v>Maiden ewes</v>
      </c>
      <c r="BY76">
        <v>0.75</v>
      </c>
      <c r="BZ76">
        <v>0.51</v>
      </c>
      <c r="CA76">
        <v>0.7</v>
      </c>
      <c r="CB76">
        <v>0.75</v>
      </c>
      <c r="CC76">
        <v>0.7</v>
      </c>
      <c r="CD76">
        <v>0.73</v>
      </c>
      <c r="CE76">
        <v>1</v>
      </c>
      <c r="CH76" t="str">
        <v>South Australia</v>
      </c>
      <c r="CI76" t="str">
        <v>Spring</v>
      </c>
      <c r="CJ76">
        <v>0.7</v>
      </c>
      <c r="CK76">
        <v>0.7</v>
      </c>
      <c r="CL76">
        <v>0.7</v>
      </c>
      <c r="CM76">
        <v>0.7</v>
      </c>
      <c r="CN76">
        <v>0.7</v>
      </c>
      <c r="CO76">
        <v>0.7</v>
      </c>
    </row>
    <row r="77">
      <c r="BW77" t="str">
        <v>Summer</v>
      </c>
      <c r="BX77" t="str">
        <v>Maiden ewes</v>
      </c>
      <c r="BY77">
        <v>0.61</v>
      </c>
      <c r="BZ77">
        <v>0.55</v>
      </c>
      <c r="CA77">
        <v>0.55</v>
      </c>
      <c r="CB77">
        <v>0.55</v>
      </c>
      <c r="CC77">
        <v>0.55</v>
      </c>
      <c r="CD77">
        <v>0.55</v>
      </c>
      <c r="CE77">
        <v>2</v>
      </c>
      <c r="CI77" t="str">
        <v>Summer</v>
      </c>
      <c r="CJ77">
        <v>0.55</v>
      </c>
      <c r="CK77">
        <v>0.55</v>
      </c>
      <c r="CL77">
        <v>0.55</v>
      </c>
      <c r="CM77">
        <v>0.55</v>
      </c>
      <c r="CN77">
        <v>0.55</v>
      </c>
      <c r="CO77">
        <v>0.55</v>
      </c>
    </row>
    <row r="78">
      <c r="BW78" t="str">
        <v>Autumn</v>
      </c>
      <c r="BX78" t="str">
        <v>Maiden ewes</v>
      </c>
      <c r="BY78">
        <v>0.64</v>
      </c>
      <c r="BZ78">
        <v>0.59</v>
      </c>
      <c r="CA78">
        <v>0.55</v>
      </c>
      <c r="CB78">
        <v>0.67</v>
      </c>
      <c r="CC78">
        <v>0.65</v>
      </c>
      <c r="CD78">
        <v>0.7</v>
      </c>
      <c r="CE78">
        <v>3</v>
      </c>
      <c r="CI78" t="str">
        <v>Autumn</v>
      </c>
      <c r="CJ78">
        <v>0.55</v>
      </c>
      <c r="CK78">
        <v>0.55</v>
      </c>
      <c r="CL78">
        <v>0.55</v>
      </c>
      <c r="CM78">
        <v>0.55</v>
      </c>
      <c r="CN78">
        <v>0.55</v>
      </c>
      <c r="CO78">
        <v>0.55</v>
      </c>
    </row>
    <row r="79">
      <c r="BW79" t="str">
        <v>Winter</v>
      </c>
      <c r="BX79" t="str">
        <v>Maiden ewes</v>
      </c>
      <c r="BY79">
        <v>0.72</v>
      </c>
      <c r="BZ79">
        <v>0.58</v>
      </c>
      <c r="CA79">
        <v>0.75</v>
      </c>
      <c r="CB79">
        <v>0.7</v>
      </c>
      <c r="CC79">
        <v>0.6</v>
      </c>
      <c r="CD79">
        <v>0.76</v>
      </c>
      <c r="CE79">
        <v>4</v>
      </c>
      <c r="CI79" t="str">
        <v>Winter</v>
      </c>
      <c r="CJ79">
        <v>0.75</v>
      </c>
      <c r="CK79">
        <v>0.75</v>
      </c>
      <c r="CL79">
        <v>0.75</v>
      </c>
      <c r="CM79">
        <v>0.75</v>
      </c>
      <c r="CN79">
        <v>0.75</v>
      </c>
      <c r="CO79">
        <v>0.75</v>
      </c>
    </row>
    <row r="80">
      <c r="BW80" t="str">
        <v>Spring</v>
      </c>
      <c r="BX80" t="str">
        <v>Other ewes</v>
      </c>
      <c r="BY80">
        <v>0.75</v>
      </c>
      <c r="BZ80">
        <v>0.51</v>
      </c>
      <c r="CA80">
        <v>0.7</v>
      </c>
      <c r="CB80">
        <v>0.75</v>
      </c>
      <c r="CC80">
        <v>0.7</v>
      </c>
      <c r="CD80">
        <v>0.73</v>
      </c>
      <c r="CE80">
        <v>1</v>
      </c>
      <c r="CH80" t="str">
        <v>Tasmania</v>
      </c>
      <c r="CI80" t="str">
        <v>Spring</v>
      </c>
      <c r="CJ80">
        <v>0.75</v>
      </c>
      <c r="CK80">
        <v>0.75</v>
      </c>
      <c r="CL80">
        <v>0.75</v>
      </c>
      <c r="CM80">
        <v>0.75</v>
      </c>
      <c r="CN80">
        <v>0.75</v>
      </c>
      <c r="CO80">
        <v>0.75</v>
      </c>
    </row>
    <row r="81">
      <c r="BW81" t="str">
        <v>Summer</v>
      </c>
      <c r="BX81" t="str">
        <v>Other ewes</v>
      </c>
      <c r="BY81">
        <v>0.61</v>
      </c>
      <c r="BZ81">
        <v>0.55</v>
      </c>
      <c r="CA81">
        <v>0.55</v>
      </c>
      <c r="CB81">
        <v>0.55</v>
      </c>
      <c r="CC81">
        <v>0.55</v>
      </c>
      <c r="CD81">
        <v>0.55</v>
      </c>
      <c r="CE81">
        <v>2</v>
      </c>
      <c r="CI81" t="str">
        <v>Summer</v>
      </c>
      <c r="CJ81">
        <v>0.55</v>
      </c>
      <c r="CK81">
        <v>0.55</v>
      </c>
      <c r="CL81">
        <v>0.55</v>
      </c>
      <c r="CM81">
        <v>0.55</v>
      </c>
      <c r="CN81">
        <v>0.55</v>
      </c>
      <c r="CO81">
        <v>0.55</v>
      </c>
    </row>
    <row r="82">
      <c r="BW82" t="str">
        <v>Autumn</v>
      </c>
      <c r="BX82" t="str">
        <v>Other ewes</v>
      </c>
      <c r="BY82">
        <v>0.64</v>
      </c>
      <c r="BZ82">
        <v>0.59</v>
      </c>
      <c r="CA82">
        <v>0.55</v>
      </c>
      <c r="CB82">
        <v>0.67</v>
      </c>
      <c r="CC82">
        <v>0.65</v>
      </c>
      <c r="CD82">
        <v>0.5</v>
      </c>
      <c r="CE82">
        <v>3</v>
      </c>
      <c r="CI82" t="str">
        <v>Autumn</v>
      </c>
      <c r="CJ82">
        <v>0.67</v>
      </c>
      <c r="CK82">
        <v>0.67</v>
      </c>
      <c r="CL82">
        <v>0.67</v>
      </c>
      <c r="CM82">
        <v>0.67</v>
      </c>
      <c r="CN82">
        <v>0.67</v>
      </c>
      <c r="CO82">
        <v>0.67</v>
      </c>
    </row>
    <row r="83">
      <c r="BW83" t="str">
        <v>Winter</v>
      </c>
      <c r="BX83" t="str">
        <v>Other ewes</v>
      </c>
      <c r="BY83">
        <v>0.72</v>
      </c>
      <c r="BZ83">
        <v>0.58</v>
      </c>
      <c r="CA83">
        <v>0.75</v>
      </c>
      <c r="CB83">
        <v>0.7</v>
      </c>
      <c r="CC83">
        <v>0.6</v>
      </c>
      <c r="CD83">
        <v>0.76</v>
      </c>
      <c r="CE83">
        <v>4</v>
      </c>
      <c r="CI83" t="str">
        <v>Winter</v>
      </c>
      <c r="CJ83">
        <v>0.7</v>
      </c>
      <c r="CK83">
        <v>0.7</v>
      </c>
      <c r="CL83">
        <v>0.7</v>
      </c>
      <c r="CM83">
        <v>0.7</v>
      </c>
      <c r="CN83">
        <v>0.7</v>
      </c>
      <c r="CO83">
        <v>0.7</v>
      </c>
    </row>
    <row r="84">
      <c r="BW84" t="str">
        <v>Spring</v>
      </c>
      <c r="BX84" t="str">
        <v>Rams</v>
      </c>
      <c r="BY84">
        <v>0.75</v>
      </c>
      <c r="BZ84">
        <v>0.51</v>
      </c>
      <c r="CA84">
        <v>0.7</v>
      </c>
      <c r="CB84">
        <v>0.75</v>
      </c>
      <c r="CC84">
        <v>0.7</v>
      </c>
      <c r="CD84">
        <v>0.73</v>
      </c>
      <c r="CE84">
        <v>1</v>
      </c>
      <c r="CH84" t="str">
        <v>Victoria</v>
      </c>
      <c r="CI84" t="str">
        <v>Spring</v>
      </c>
      <c r="CJ84">
        <v>0.7</v>
      </c>
      <c r="CK84">
        <v>0.7</v>
      </c>
      <c r="CL84">
        <v>0.7</v>
      </c>
      <c r="CM84">
        <v>0.7</v>
      </c>
      <c r="CN84">
        <v>0.7</v>
      </c>
      <c r="CO84">
        <v>0.7</v>
      </c>
    </row>
    <row r="85">
      <c r="BW85" t="str">
        <v>Summer</v>
      </c>
      <c r="BX85" t="str">
        <v>Rams</v>
      </c>
      <c r="BY85">
        <v>0.61</v>
      </c>
      <c r="BZ85">
        <v>0.55</v>
      </c>
      <c r="CA85">
        <v>0.55</v>
      </c>
      <c r="CB85">
        <v>0.55</v>
      </c>
      <c r="CC85">
        <v>0.55</v>
      </c>
      <c r="CD85">
        <v>0.55</v>
      </c>
      <c r="CE85">
        <v>2</v>
      </c>
      <c r="CI85" t="str">
        <v>Summer</v>
      </c>
      <c r="CJ85">
        <v>0.55</v>
      </c>
      <c r="CK85">
        <v>0.55</v>
      </c>
      <c r="CL85">
        <v>0.55</v>
      </c>
      <c r="CM85">
        <v>0.55</v>
      </c>
      <c r="CN85">
        <v>0.55</v>
      </c>
      <c r="CO85">
        <v>0.55</v>
      </c>
    </row>
    <row r="86">
      <c r="BW86" t="str">
        <v>Autumn</v>
      </c>
      <c r="BX86" t="str">
        <v>Rams</v>
      </c>
      <c r="BY86">
        <v>0.64</v>
      </c>
      <c r="BZ86">
        <v>0.59</v>
      </c>
      <c r="CA86">
        <v>0.55</v>
      </c>
      <c r="CB86">
        <v>0.67</v>
      </c>
      <c r="CC86">
        <v>0.65</v>
      </c>
      <c r="CD86">
        <v>0.5</v>
      </c>
      <c r="CE86">
        <v>3</v>
      </c>
      <c r="CI86" t="str">
        <v>Autumn</v>
      </c>
      <c r="CJ86">
        <v>0.65</v>
      </c>
      <c r="CK86">
        <v>0.65</v>
      </c>
      <c r="CL86">
        <v>0.65</v>
      </c>
      <c r="CM86">
        <v>0.65</v>
      </c>
      <c r="CN86">
        <v>0.65</v>
      </c>
      <c r="CO86">
        <v>0.65</v>
      </c>
    </row>
    <row r="87">
      <c r="BW87" t="str">
        <v>Winter</v>
      </c>
      <c r="BX87" t="str">
        <v>Rams</v>
      </c>
      <c r="BY87">
        <v>0.72</v>
      </c>
      <c r="BZ87">
        <v>0.58</v>
      </c>
      <c r="CA87">
        <v>0.75</v>
      </c>
      <c r="CB87">
        <v>0.7</v>
      </c>
      <c r="CC87">
        <v>0.6</v>
      </c>
      <c r="CD87">
        <v>0.76</v>
      </c>
      <c r="CE87">
        <v>4</v>
      </c>
      <c r="CI87" t="str">
        <v>Winter</v>
      </c>
      <c r="CJ87">
        <v>0.6</v>
      </c>
      <c r="CK87">
        <v>0.6</v>
      </c>
      <c r="CL87">
        <v>0.6</v>
      </c>
      <c r="CM87">
        <v>0.6</v>
      </c>
      <c r="CN87">
        <v>0.6</v>
      </c>
      <c r="CO87">
        <v>0.6</v>
      </c>
    </row>
    <row r="88">
      <c r="BW88" t="str">
        <v>Spring</v>
      </c>
      <c r="BX88" t="str">
        <v>Wethers</v>
      </c>
      <c r="BY88">
        <v>0.75</v>
      </c>
      <c r="BZ88">
        <v>0.51</v>
      </c>
      <c r="CA88">
        <v>0.7</v>
      </c>
      <c r="CB88">
        <v>0.75</v>
      </c>
      <c r="CC88">
        <v>0.7</v>
      </c>
      <c r="CD88">
        <v>0.73</v>
      </c>
      <c r="CE88">
        <v>1</v>
      </c>
      <c r="CH88" t="str">
        <v>Western Australia</v>
      </c>
      <c r="CI88" t="str">
        <v>Spring</v>
      </c>
      <c r="CJ88">
        <v>0.73</v>
      </c>
      <c r="CK88">
        <v>0.73</v>
      </c>
      <c r="CL88">
        <v>0.73</v>
      </c>
      <c r="CM88">
        <v>0.73</v>
      </c>
      <c r="CN88">
        <v>0.73</v>
      </c>
      <c r="CO88">
        <v>0.73</v>
      </c>
    </row>
    <row r="89">
      <c r="BW89" t="str">
        <v>Summer</v>
      </c>
      <c r="BX89" t="str">
        <v>Wethers</v>
      </c>
      <c r="BY89">
        <v>0.61</v>
      </c>
      <c r="BZ89">
        <v>0.55</v>
      </c>
      <c r="CA89">
        <v>0.55</v>
      </c>
      <c r="CB89">
        <v>0.55</v>
      </c>
      <c r="CC89">
        <v>0.55</v>
      </c>
      <c r="CD89">
        <v>0.55</v>
      </c>
      <c r="CE89">
        <v>2</v>
      </c>
      <c r="CI89" t="str">
        <v>Summer</v>
      </c>
      <c r="CJ89">
        <v>0.55</v>
      </c>
      <c r="CK89">
        <v>0.55</v>
      </c>
      <c r="CL89">
        <v>0.55</v>
      </c>
      <c r="CM89">
        <v>0.55</v>
      </c>
      <c r="CN89">
        <v>0.55</v>
      </c>
      <c r="CO89">
        <v>0.55</v>
      </c>
    </row>
    <row r="90">
      <c r="BW90" t="str">
        <v>Autumn</v>
      </c>
      <c r="BX90" t="str">
        <v>Wethers</v>
      </c>
      <c r="BY90">
        <v>0.64</v>
      </c>
      <c r="BZ90">
        <v>0.59</v>
      </c>
      <c r="CA90">
        <v>0.55</v>
      </c>
      <c r="CB90">
        <v>0.67</v>
      </c>
      <c r="CC90">
        <v>0.65</v>
      </c>
      <c r="CD90">
        <v>0.5</v>
      </c>
      <c r="CE90">
        <v>3</v>
      </c>
      <c r="CI90" t="str">
        <v>Autumn</v>
      </c>
      <c r="CJ90">
        <v>0.5</v>
      </c>
      <c r="CK90">
        <v>0.5</v>
      </c>
      <c r="CL90">
        <v>0.7</v>
      </c>
      <c r="CM90">
        <v>0.7</v>
      </c>
      <c r="CN90">
        <v>0.5</v>
      </c>
      <c r="CO90">
        <v>0.7</v>
      </c>
    </row>
    <row r="91">
      <c r="BW91" t="str">
        <v>Winter</v>
      </c>
      <c r="BX91" t="str">
        <v>Wethers</v>
      </c>
      <c r="BY91">
        <v>0.72</v>
      </c>
      <c r="BZ91">
        <v>0.58</v>
      </c>
      <c r="CA91">
        <v>0.75</v>
      </c>
      <c r="CB91">
        <v>0.7</v>
      </c>
      <c r="CC91">
        <v>0.6</v>
      </c>
      <c r="CD91">
        <v>0.76</v>
      </c>
      <c r="CE91">
        <v>4</v>
      </c>
      <c r="CI91" t="str">
        <v>Winter</v>
      </c>
      <c r="CJ91">
        <v>0.76</v>
      </c>
      <c r="CK91">
        <v>0.76</v>
      </c>
      <c r="CL91">
        <v>0.76</v>
      </c>
      <c r="CM91">
        <v>0.76</v>
      </c>
      <c r="CN91">
        <v>0.76</v>
      </c>
      <c r="CO91">
        <v>0.76</v>
      </c>
    </row>
    <row r="94">
      <c r="BW94" t="str">
        <v>A.1.4.1</v>
      </c>
      <c r="BX94" t="str">
        <v>Wjk</v>
      </c>
    </row>
    <row r="95">
      <c r="BW95" t="str">
        <v>Season</v>
      </c>
      <c r="BX95" t="str">
        <v>Class</v>
      </c>
      <c r="BY95" t="str">
        <v>ACT/NSW</v>
      </c>
      <c r="BZ95" t="str">
        <v>QLD</v>
      </c>
      <c r="CA95" t="str">
        <v>SA</v>
      </c>
      <c r="CB95" t="str">
        <v>TAS</v>
      </c>
      <c r="CC95" t="str">
        <v>VIC</v>
      </c>
      <c r="CD95" t="str">
        <v>WA</v>
      </c>
      <c r="CE95" t="str">
        <v>SeasonOrder</v>
      </c>
      <c r="CH95" t="str">
        <v>Column1</v>
      </c>
      <c r="CI95" t="str">
        <v>Column2</v>
      </c>
      <c r="CJ95" t="str">
        <v>Column3</v>
      </c>
      <c r="CK95" t="str">
        <v>Column4</v>
      </c>
      <c r="CL95" t="str">
        <v>Column5</v>
      </c>
      <c r="CM95" t="str">
        <v>Column6</v>
      </c>
      <c r="CN95" t="str">
        <v>Column7</v>
      </c>
      <c r="CO95" t="str">
        <v>Column8</v>
      </c>
    </row>
    <row r="96">
      <c r="BW96" t="str">
        <v>Spring</v>
      </c>
      <c r="BX96" t="str">
        <v>Breeding ewes</v>
      </c>
      <c r="BY96">
        <v>54</v>
      </c>
      <c r="BZ96">
        <v>40</v>
      </c>
      <c r="CA96">
        <v>55</v>
      </c>
      <c r="CB96">
        <v>50</v>
      </c>
      <c r="CC96">
        <v>55</v>
      </c>
      <c r="CD96">
        <v>55</v>
      </c>
      <c r="CE96">
        <v>1</v>
      </c>
      <c r="CH96" t="str">
        <v>State</v>
      </c>
      <c r="CI96" t="str">
        <v>Season</v>
      </c>
      <c r="CJ96" t="str">
        <v>Rams</v>
      </c>
      <c r="CK96" t="str">
        <v>Wethers</v>
      </c>
      <c r="CL96" t="str">
        <v>Maiden ewes</v>
      </c>
      <c r="CM96" t="str">
        <v>Breeding ewes</v>
      </c>
      <c r="CN96" t="str">
        <v>Other ewes</v>
      </c>
      <c r="CO96" t="str">
        <v>Lambs and hoggets</v>
      </c>
    </row>
    <row r="97">
      <c r="BW97" t="str">
        <v>Summer</v>
      </c>
      <c r="BX97" t="str">
        <v>Breeding ewes</v>
      </c>
      <c r="BY97">
        <v>49</v>
      </c>
      <c r="BZ97">
        <v>45</v>
      </c>
      <c r="CA97">
        <v>55</v>
      </c>
      <c r="CB97">
        <v>50</v>
      </c>
      <c r="CC97">
        <v>50</v>
      </c>
      <c r="CD97">
        <v>50</v>
      </c>
      <c r="CE97">
        <v>2</v>
      </c>
      <c r="CH97" t="str">
        <v>ACT/NSW</v>
      </c>
      <c r="CI97" t="str">
        <v>Spring</v>
      </c>
      <c r="CJ97">
        <v>75</v>
      </c>
      <c r="CK97">
        <v>62</v>
      </c>
      <c r="CL97">
        <v>44</v>
      </c>
      <c r="CM97">
        <v>54</v>
      </c>
      <c r="CN97">
        <v>56</v>
      </c>
      <c r="CO97">
        <v>20</v>
      </c>
    </row>
    <row r="98">
      <c r="BW98" t="str">
        <v>Autumn</v>
      </c>
      <c r="BX98" t="str">
        <v>Breeding ewes</v>
      </c>
      <c r="BY98">
        <v>50</v>
      </c>
      <c r="BZ98">
        <v>45</v>
      </c>
      <c r="CA98">
        <v>55</v>
      </c>
      <c r="CB98">
        <v>50</v>
      </c>
      <c r="CC98">
        <v>48</v>
      </c>
      <c r="CD98">
        <v>45</v>
      </c>
      <c r="CE98">
        <v>3</v>
      </c>
      <c r="CI98" t="str">
        <v>Summer</v>
      </c>
      <c r="CJ98">
        <v>75</v>
      </c>
      <c r="CK98">
        <v>55</v>
      </c>
      <c r="CL98">
        <v>42</v>
      </c>
      <c r="CM98">
        <v>49</v>
      </c>
      <c r="CN98">
        <v>51</v>
      </c>
      <c r="CO98">
        <v>27</v>
      </c>
    </row>
    <row r="99">
      <c r="BW99" t="str">
        <v>Winter</v>
      </c>
      <c r="BX99" t="str">
        <v>Breeding ewes</v>
      </c>
      <c r="BY99">
        <v>50</v>
      </c>
      <c r="BZ99">
        <v>42</v>
      </c>
      <c r="CA99">
        <v>55</v>
      </c>
      <c r="CB99">
        <v>55</v>
      </c>
      <c r="CC99">
        <v>45</v>
      </c>
      <c r="CD99">
        <v>50</v>
      </c>
      <c r="CE99">
        <v>4</v>
      </c>
      <c r="CI99" t="str">
        <v>Autumn</v>
      </c>
      <c r="CJ99">
        <v>69</v>
      </c>
      <c r="CK99">
        <v>55</v>
      </c>
      <c r="CL99">
        <v>43</v>
      </c>
      <c r="CM99">
        <v>50</v>
      </c>
      <c r="CN99">
        <v>50</v>
      </c>
      <c r="CO99">
        <v>32</v>
      </c>
    </row>
    <row r="100">
      <c r="BW100" t="str">
        <v>Spring</v>
      </c>
      <c r="BX100" t="str">
        <v>Lambs and hoggets</v>
      </c>
      <c r="BY100">
        <v>20</v>
      </c>
      <c r="BZ100">
        <v>20</v>
      </c>
      <c r="CA100">
        <v>40</v>
      </c>
      <c r="CB100">
        <v>14</v>
      </c>
      <c r="CC100">
        <v>22</v>
      </c>
      <c r="CD100">
        <v>30</v>
      </c>
      <c r="CE100">
        <v>1</v>
      </c>
      <c r="CI100" t="str">
        <v>Winter</v>
      </c>
      <c r="CJ100">
        <v>69</v>
      </c>
      <c r="CK100">
        <v>55</v>
      </c>
      <c r="CL100">
        <v>45</v>
      </c>
      <c r="CM100">
        <v>50</v>
      </c>
      <c r="CN100">
        <v>51</v>
      </c>
      <c r="CO100">
        <v>34</v>
      </c>
    </row>
    <row r="101">
      <c r="BW101" t="str">
        <v>Summer</v>
      </c>
      <c r="BX101" t="str">
        <v>Lambs and hoggets</v>
      </c>
      <c r="BY101">
        <v>27</v>
      </c>
      <c r="BZ101">
        <v>25</v>
      </c>
      <c r="CA101">
        <v>45</v>
      </c>
      <c r="CB101">
        <v>24</v>
      </c>
      <c r="CC101">
        <v>28</v>
      </c>
      <c r="CD101">
        <v>30</v>
      </c>
      <c r="CE101">
        <v>2</v>
      </c>
      <c r="CH101" t="str">
        <v>Queensland</v>
      </c>
      <c r="CI101" t="str">
        <v>Spring</v>
      </c>
      <c r="CJ101">
        <v>58</v>
      </c>
      <c r="CK101">
        <v>50</v>
      </c>
      <c r="CL101">
        <v>35</v>
      </c>
      <c r="CM101">
        <v>40</v>
      </c>
      <c r="CN101">
        <v>45</v>
      </c>
      <c r="CO101">
        <v>20</v>
      </c>
    </row>
    <row r="102">
      <c r="BW102" t="str">
        <v>Autumn</v>
      </c>
      <c r="BX102" t="str">
        <v>Lambs and hoggets</v>
      </c>
      <c r="BY102">
        <v>32</v>
      </c>
      <c r="BZ102">
        <v>20</v>
      </c>
      <c r="CA102">
        <v>20</v>
      </c>
      <c r="CB102">
        <v>36</v>
      </c>
      <c r="CC102">
        <v>33</v>
      </c>
      <c r="CD102">
        <v>10</v>
      </c>
      <c r="CE102">
        <v>3</v>
      </c>
      <c r="CI102" t="str">
        <v>Summer</v>
      </c>
      <c r="CJ102">
        <v>61</v>
      </c>
      <c r="CK102">
        <v>55</v>
      </c>
      <c r="CL102">
        <v>40</v>
      </c>
      <c r="CM102">
        <v>45</v>
      </c>
      <c r="CN102">
        <v>50</v>
      </c>
      <c r="CO102">
        <v>25</v>
      </c>
    </row>
    <row r="103">
      <c r="BW103" t="str">
        <v>Winter</v>
      </c>
      <c r="BX103" t="str">
        <v>Lambs and hoggets</v>
      </c>
      <c r="BY103">
        <v>34</v>
      </c>
      <c r="BZ103">
        <v>25</v>
      </c>
      <c r="CA103">
        <v>30</v>
      </c>
      <c r="CB103">
        <v>42</v>
      </c>
      <c r="CC103">
        <v>35</v>
      </c>
      <c r="CD103">
        <v>20</v>
      </c>
      <c r="CE103">
        <v>4</v>
      </c>
      <c r="CI103" t="str">
        <v>Autumn</v>
      </c>
      <c r="CJ103">
        <v>63</v>
      </c>
      <c r="CK103">
        <v>55</v>
      </c>
      <c r="CL103">
        <v>40</v>
      </c>
      <c r="CM103">
        <v>45</v>
      </c>
      <c r="CN103">
        <v>50</v>
      </c>
      <c r="CO103">
        <v>20</v>
      </c>
    </row>
    <row r="104">
      <c r="BW104" t="str">
        <v>Spring</v>
      </c>
      <c r="BX104" t="str">
        <v>Maiden ewes</v>
      </c>
      <c r="BY104">
        <v>44</v>
      </c>
      <c r="BZ104">
        <v>35</v>
      </c>
      <c r="CA104">
        <v>52</v>
      </c>
      <c r="CB104">
        <v>45</v>
      </c>
      <c r="CC104">
        <v>50</v>
      </c>
      <c r="CD104">
        <v>50</v>
      </c>
      <c r="CE104">
        <v>1</v>
      </c>
      <c r="CI104" t="str">
        <v>Winter</v>
      </c>
      <c r="CJ104">
        <v>60</v>
      </c>
      <c r="CK104">
        <v>50</v>
      </c>
      <c r="CL104">
        <v>35</v>
      </c>
      <c r="CM104">
        <v>42</v>
      </c>
      <c r="CN104">
        <v>48</v>
      </c>
      <c r="CO104">
        <v>25</v>
      </c>
    </row>
    <row r="105">
      <c r="BW105" t="str">
        <v>Summer</v>
      </c>
      <c r="BX105" t="str">
        <v>Maiden ewes</v>
      </c>
      <c r="BY105">
        <v>42</v>
      </c>
      <c r="BZ105">
        <v>40</v>
      </c>
      <c r="CA105">
        <v>52</v>
      </c>
      <c r="CB105">
        <v>45</v>
      </c>
      <c r="CC105">
        <v>45</v>
      </c>
      <c r="CD105">
        <v>45</v>
      </c>
      <c r="CE105">
        <v>2</v>
      </c>
      <c r="CH105" t="str">
        <v>South Australia</v>
      </c>
      <c r="CI105" t="str">
        <v>Spring</v>
      </c>
      <c r="CJ105">
        <v>80</v>
      </c>
      <c r="CK105">
        <v>70</v>
      </c>
      <c r="CL105">
        <v>52</v>
      </c>
      <c r="CM105">
        <v>55</v>
      </c>
      <c r="CN105">
        <v>55</v>
      </c>
      <c r="CO105">
        <v>40</v>
      </c>
    </row>
    <row r="106">
      <c r="BW106" t="str">
        <v>Autumn</v>
      </c>
      <c r="BX106" t="str">
        <v>Maiden ewes</v>
      </c>
      <c r="BY106">
        <v>43</v>
      </c>
      <c r="BZ106">
        <v>40</v>
      </c>
      <c r="CA106">
        <v>52</v>
      </c>
      <c r="CB106">
        <v>45</v>
      </c>
      <c r="CC106">
        <v>43</v>
      </c>
      <c r="CD106">
        <v>40</v>
      </c>
      <c r="CE106">
        <v>3</v>
      </c>
      <c r="CI106" t="str">
        <v>Summer</v>
      </c>
      <c r="CJ106">
        <v>70</v>
      </c>
      <c r="CK106">
        <v>65</v>
      </c>
      <c r="CL106">
        <v>52</v>
      </c>
      <c r="CM106">
        <v>55</v>
      </c>
      <c r="CN106">
        <v>55</v>
      </c>
      <c r="CO106">
        <v>45</v>
      </c>
    </row>
    <row r="107">
      <c r="BW107" t="str">
        <v>Winter</v>
      </c>
      <c r="BX107" t="str">
        <v>Maiden ewes</v>
      </c>
      <c r="BY107">
        <v>45</v>
      </c>
      <c r="BZ107">
        <v>35</v>
      </c>
      <c r="CA107">
        <v>52</v>
      </c>
      <c r="CB107">
        <v>50</v>
      </c>
      <c r="CC107">
        <v>40</v>
      </c>
      <c r="CD107">
        <v>45</v>
      </c>
      <c r="CE107">
        <v>4</v>
      </c>
      <c r="CI107" t="str">
        <v>Autumn</v>
      </c>
      <c r="CJ107">
        <v>70</v>
      </c>
      <c r="CK107">
        <v>60</v>
      </c>
      <c r="CL107">
        <v>52</v>
      </c>
      <c r="CM107">
        <v>55</v>
      </c>
      <c r="CN107">
        <v>55</v>
      </c>
      <c r="CO107">
        <v>20</v>
      </c>
    </row>
    <row r="108">
      <c r="BW108" t="str">
        <v>Spring</v>
      </c>
      <c r="BX108" t="str">
        <v>Other ewes</v>
      </c>
      <c r="BY108">
        <v>56</v>
      </c>
      <c r="BZ108">
        <v>45</v>
      </c>
      <c r="CA108">
        <v>55</v>
      </c>
      <c r="CB108">
        <v>50</v>
      </c>
      <c r="CC108">
        <v>50</v>
      </c>
      <c r="CD108">
        <v>55</v>
      </c>
      <c r="CE108">
        <v>1</v>
      </c>
      <c r="CI108" t="str">
        <v>Winter</v>
      </c>
      <c r="CJ108">
        <v>70</v>
      </c>
      <c r="CK108">
        <v>60</v>
      </c>
      <c r="CL108">
        <v>52</v>
      </c>
      <c r="CM108">
        <v>55</v>
      </c>
      <c r="CN108">
        <v>55</v>
      </c>
      <c r="CO108">
        <v>30</v>
      </c>
    </row>
    <row r="109">
      <c r="BW109" t="str">
        <v>Summer</v>
      </c>
      <c r="BX109" t="str">
        <v>Other ewes</v>
      </c>
      <c r="BY109">
        <v>51</v>
      </c>
      <c r="BZ109">
        <v>50</v>
      </c>
      <c r="CA109">
        <v>55</v>
      </c>
      <c r="CB109">
        <v>50</v>
      </c>
      <c r="CC109">
        <v>50</v>
      </c>
      <c r="CD109">
        <v>50</v>
      </c>
      <c r="CE109">
        <v>2</v>
      </c>
      <c r="CH109" t="str">
        <v>Tasmania</v>
      </c>
      <c r="CI109" t="str">
        <v>Spring</v>
      </c>
      <c r="CJ109">
        <v>90</v>
      </c>
      <c r="CK109">
        <v>55</v>
      </c>
      <c r="CL109">
        <v>45</v>
      </c>
      <c r="CM109">
        <v>50</v>
      </c>
      <c r="CN109">
        <v>50</v>
      </c>
      <c r="CO109">
        <v>14</v>
      </c>
    </row>
    <row r="110">
      <c r="BW110" t="str">
        <v>Autumn</v>
      </c>
      <c r="BX110" t="str">
        <v>Other ewes</v>
      </c>
      <c r="BY110">
        <v>50</v>
      </c>
      <c r="BZ110">
        <v>50</v>
      </c>
      <c r="CA110">
        <v>55</v>
      </c>
      <c r="CB110">
        <v>50</v>
      </c>
      <c r="CC110">
        <v>50</v>
      </c>
      <c r="CD110">
        <v>45</v>
      </c>
      <c r="CE110">
        <v>3</v>
      </c>
      <c r="CI110" t="str">
        <v>Summer</v>
      </c>
      <c r="CJ110">
        <v>90</v>
      </c>
      <c r="CK110">
        <v>55</v>
      </c>
      <c r="CL110">
        <v>45</v>
      </c>
      <c r="CM110">
        <v>50</v>
      </c>
      <c r="CN110">
        <v>50</v>
      </c>
      <c r="CO110">
        <v>24</v>
      </c>
    </row>
    <row r="111">
      <c r="BW111" t="str">
        <v>Winter</v>
      </c>
      <c r="BX111" t="str">
        <v>Other ewes</v>
      </c>
      <c r="BY111">
        <v>51</v>
      </c>
      <c r="BZ111">
        <v>48</v>
      </c>
      <c r="CA111">
        <v>55</v>
      </c>
      <c r="CB111">
        <v>50</v>
      </c>
      <c r="CC111">
        <v>50</v>
      </c>
      <c r="CD111">
        <v>50</v>
      </c>
      <c r="CE111">
        <v>4</v>
      </c>
      <c r="CI111" t="str">
        <v>Autumn</v>
      </c>
      <c r="CJ111">
        <v>75</v>
      </c>
      <c r="CK111">
        <v>50</v>
      </c>
      <c r="CL111">
        <v>45</v>
      </c>
      <c r="CM111">
        <v>50</v>
      </c>
      <c r="CN111">
        <v>50</v>
      </c>
      <c r="CO111">
        <v>36</v>
      </c>
    </row>
    <row r="112">
      <c r="BW112" t="str">
        <v>Spring</v>
      </c>
      <c r="BX112" t="str">
        <v>Rams</v>
      </c>
      <c r="BY112">
        <v>75</v>
      </c>
      <c r="BZ112">
        <v>58</v>
      </c>
      <c r="CA112">
        <v>80</v>
      </c>
      <c r="CB112">
        <v>90</v>
      </c>
      <c r="CC112">
        <v>70</v>
      </c>
      <c r="CD112">
        <v>75</v>
      </c>
      <c r="CE112">
        <v>1</v>
      </c>
      <c r="CI112" t="str">
        <v>Winter</v>
      </c>
      <c r="CJ112">
        <v>75</v>
      </c>
      <c r="CK112">
        <v>45</v>
      </c>
      <c r="CL112">
        <v>50</v>
      </c>
      <c r="CM112">
        <v>55</v>
      </c>
      <c r="CN112">
        <v>50</v>
      </c>
      <c r="CO112">
        <v>42</v>
      </c>
    </row>
    <row r="113">
      <c r="BW113" t="str">
        <v>Summer</v>
      </c>
      <c r="BX113" t="str">
        <v>Rams</v>
      </c>
      <c r="BY113">
        <v>75</v>
      </c>
      <c r="BZ113">
        <v>61</v>
      </c>
      <c r="CA113">
        <v>70</v>
      </c>
      <c r="CB113">
        <v>90</v>
      </c>
      <c r="CC113">
        <v>65</v>
      </c>
      <c r="CD113">
        <v>65</v>
      </c>
      <c r="CE113">
        <v>2</v>
      </c>
      <c r="CH113" t="str">
        <v>Victoria</v>
      </c>
      <c r="CI113" t="str">
        <v>Spring</v>
      </c>
      <c r="CJ113">
        <v>70</v>
      </c>
      <c r="CK113">
        <v>60</v>
      </c>
      <c r="CL113">
        <v>50</v>
      </c>
      <c r="CM113">
        <v>55</v>
      </c>
      <c r="CN113">
        <v>50</v>
      </c>
      <c r="CO113">
        <v>22</v>
      </c>
    </row>
    <row r="114">
      <c r="BW114" t="str">
        <v>Autumn</v>
      </c>
      <c r="BX114" t="str">
        <v>Rams</v>
      </c>
      <c r="BY114">
        <v>69</v>
      </c>
      <c r="BZ114">
        <v>63</v>
      </c>
      <c r="CA114">
        <v>70</v>
      </c>
      <c r="CB114">
        <v>75</v>
      </c>
      <c r="CC114">
        <v>65</v>
      </c>
      <c r="CD114">
        <v>65</v>
      </c>
      <c r="CE114">
        <v>3</v>
      </c>
      <c r="CI114" t="str">
        <v>Summer</v>
      </c>
      <c r="CJ114">
        <v>65</v>
      </c>
      <c r="CK114">
        <v>55</v>
      </c>
      <c r="CL114">
        <v>45</v>
      </c>
      <c r="CM114">
        <v>50</v>
      </c>
      <c r="CN114">
        <v>50</v>
      </c>
      <c r="CO114">
        <v>28</v>
      </c>
    </row>
    <row r="115">
      <c r="BW115" t="str">
        <v>Winter</v>
      </c>
      <c r="BX115" t="str">
        <v>Rams</v>
      </c>
      <c r="BY115">
        <v>69</v>
      </c>
      <c r="BZ115">
        <v>60</v>
      </c>
      <c r="CA115">
        <v>70</v>
      </c>
      <c r="CB115">
        <v>75</v>
      </c>
      <c r="CC115">
        <v>60</v>
      </c>
      <c r="CD115">
        <v>65</v>
      </c>
      <c r="CE115">
        <v>4</v>
      </c>
      <c r="CI115" t="str">
        <v>Autumn</v>
      </c>
      <c r="CJ115">
        <v>65</v>
      </c>
      <c r="CK115">
        <v>52</v>
      </c>
      <c r="CL115">
        <v>43</v>
      </c>
      <c r="CM115">
        <v>48</v>
      </c>
      <c r="CN115">
        <v>50</v>
      </c>
      <c r="CO115">
        <v>33</v>
      </c>
    </row>
    <row r="116">
      <c r="BW116" t="str">
        <v>Spring</v>
      </c>
      <c r="BX116" t="str">
        <v>Wethers</v>
      </c>
      <c r="BY116">
        <v>62</v>
      </c>
      <c r="BZ116">
        <v>50</v>
      </c>
      <c r="CA116">
        <v>70</v>
      </c>
      <c r="CB116">
        <v>55</v>
      </c>
      <c r="CC116">
        <v>60</v>
      </c>
      <c r="CD116">
        <v>60</v>
      </c>
      <c r="CE116">
        <v>1</v>
      </c>
      <c r="CI116" t="str">
        <v>Winter</v>
      </c>
      <c r="CJ116">
        <v>60</v>
      </c>
      <c r="CK116">
        <v>50</v>
      </c>
      <c r="CL116">
        <v>40</v>
      </c>
      <c r="CM116">
        <v>45</v>
      </c>
      <c r="CN116">
        <v>50</v>
      </c>
      <c r="CO116">
        <v>35</v>
      </c>
    </row>
    <row r="117">
      <c r="BW117" t="str">
        <v>Summer</v>
      </c>
      <c r="BX117" t="str">
        <v>Wethers</v>
      </c>
      <c r="BY117">
        <v>55</v>
      </c>
      <c r="BZ117">
        <v>55</v>
      </c>
      <c r="CA117">
        <v>65</v>
      </c>
      <c r="CB117">
        <v>55</v>
      </c>
      <c r="CC117">
        <v>55</v>
      </c>
      <c r="CD117">
        <v>55</v>
      </c>
      <c r="CE117">
        <v>2</v>
      </c>
      <c r="CH117" t="str">
        <v>Western Australia</v>
      </c>
      <c r="CI117" t="str">
        <v>Spring</v>
      </c>
      <c r="CJ117">
        <v>75</v>
      </c>
      <c r="CK117">
        <v>60</v>
      </c>
      <c r="CL117">
        <v>50</v>
      </c>
      <c r="CM117">
        <v>55</v>
      </c>
      <c r="CN117">
        <v>55</v>
      </c>
      <c r="CO117">
        <v>30</v>
      </c>
    </row>
    <row r="118">
      <c r="BW118" t="str">
        <v>Autumn</v>
      </c>
      <c r="BX118" t="str">
        <v>Wethers</v>
      </c>
      <c r="BY118">
        <v>55</v>
      </c>
      <c r="BZ118">
        <v>55</v>
      </c>
      <c r="CA118">
        <v>60</v>
      </c>
      <c r="CB118">
        <v>50</v>
      </c>
      <c r="CC118">
        <v>52</v>
      </c>
      <c r="CD118">
        <v>48</v>
      </c>
      <c r="CE118">
        <v>3</v>
      </c>
      <c r="CI118" t="str">
        <v>Summer</v>
      </c>
      <c r="CJ118">
        <v>65</v>
      </c>
      <c r="CK118">
        <v>55</v>
      </c>
      <c r="CL118">
        <v>45</v>
      </c>
      <c r="CM118">
        <v>50</v>
      </c>
      <c r="CN118">
        <v>50</v>
      </c>
      <c r="CO118">
        <v>30</v>
      </c>
    </row>
    <row r="119">
      <c r="BW119" t="str">
        <v>Winter</v>
      </c>
      <c r="BX119" t="str">
        <v>Wethers</v>
      </c>
      <c r="BY119">
        <v>55</v>
      </c>
      <c r="BZ119">
        <v>50</v>
      </c>
      <c r="CA119">
        <v>60</v>
      </c>
      <c r="CB119">
        <v>45</v>
      </c>
      <c r="CC119">
        <v>50</v>
      </c>
      <c r="CD119">
        <v>48</v>
      </c>
      <c r="CE119">
        <v>4</v>
      </c>
      <c r="CI119" t="str">
        <v>Autumn</v>
      </c>
      <c r="CJ119">
        <v>65</v>
      </c>
      <c r="CK119">
        <v>48</v>
      </c>
      <c r="CL119">
        <v>40</v>
      </c>
      <c r="CM119">
        <v>45</v>
      </c>
      <c r="CN119">
        <v>45</v>
      </c>
      <c r="CO119">
        <v>10</v>
      </c>
    </row>
    <row r="120">
      <c r="CI120" t="str">
        <v>Winter</v>
      </c>
      <c r="CJ120">
        <v>65</v>
      </c>
      <c r="CK120">
        <v>48</v>
      </c>
      <c r="CL120">
        <v>45</v>
      </c>
      <c r="CM120">
        <v>50</v>
      </c>
      <c r="CN120">
        <v>50</v>
      </c>
      <c r="CO120">
        <v>20</v>
      </c>
    </row>
    <row r="128">
      <c r="CH128" t="str">
        <v>Table A.1.4.6</v>
      </c>
      <c r="CI128" t="str">
        <v>SRWk</v>
      </c>
    </row>
    <row r="130">
      <c r="AW130" t="str" cm="1">
        <f t="array" ref="AW130:BE153">QueryW[]</f>
        <v>Spring</v>
      </c>
      <c r="AX130" t="str">
        <v>Breeding ewes</v>
      </c>
      <c r="AY130">
        <v>54</v>
      </c>
      <c r="AZ130">
        <v>40</v>
      </c>
      <c r="BA130">
        <v>55</v>
      </c>
      <c r="BB130">
        <v>50</v>
      </c>
      <c r="BC130">
        <v>55</v>
      </c>
      <c r="BD130">
        <v>55</v>
      </c>
      <c r="BE130">
        <v>1</v>
      </c>
      <c r="BW130" t="str">
        <v>Season</v>
      </c>
      <c r="BX130" t="str">
        <v>Class</v>
      </c>
      <c r="BY130" t="str">
        <v>ACT/NSW</v>
      </c>
      <c r="BZ130" t="str">
        <v>QLD</v>
      </c>
      <c r="CA130" t="str">
        <v>SA</v>
      </c>
      <c r="CB130" t="str">
        <v>TAS</v>
      </c>
      <c r="CC130" t="str">
        <v>VIC</v>
      </c>
      <c r="CD130" t="str">
        <v>WA</v>
      </c>
      <c r="CE130" t="str">
        <v>SeasonOrder</v>
      </c>
      <c r="CH130" t="str">
        <v>Column1</v>
      </c>
      <c r="CI130" t="str">
        <v>Column2</v>
      </c>
      <c r="CJ130" t="str">
        <v>Column3</v>
      </c>
      <c r="CK130" t="str">
        <v>Column4</v>
      </c>
      <c r="CL130" t="str">
        <v>Column5</v>
      </c>
      <c r="CM130" t="str">
        <v>Column6</v>
      </c>
      <c r="CN130" t="str">
        <v>Column7</v>
      </c>
      <c r="CO130" t="str">
        <v>Column8</v>
      </c>
    </row>
    <row r="131">
      <c r="AW131" t="str">
        <v>Summer</v>
      </c>
      <c r="AX131" t="str">
        <v>Breeding ewes</v>
      </c>
      <c r="AY131">
        <v>49</v>
      </c>
      <c r="AZ131">
        <v>45</v>
      </c>
      <c r="BA131">
        <v>55</v>
      </c>
      <c r="BB131">
        <v>50</v>
      </c>
      <c r="BC131">
        <v>50</v>
      </c>
      <c r="BD131">
        <v>50</v>
      </c>
      <c r="BE131">
        <v>2</v>
      </c>
      <c r="BW131" t="str">
        <v>Spring</v>
      </c>
      <c r="BX131" t="str">
        <v>Breeding ewes</v>
      </c>
      <c r="BY131">
        <v>57</v>
      </c>
      <c r="BZ131">
        <v>50</v>
      </c>
      <c r="CA131">
        <v>60</v>
      </c>
      <c r="CB131">
        <v>55</v>
      </c>
      <c r="CC131">
        <v>50</v>
      </c>
      <c r="CD131">
        <v>60</v>
      </c>
      <c r="CE131">
        <v>1</v>
      </c>
      <c r="CH131" t="str">
        <v>State</v>
      </c>
      <c r="CI131" t="str">
        <v>Season</v>
      </c>
      <c r="CJ131" t="str">
        <v>Rams</v>
      </c>
      <c r="CK131" t="str">
        <v>Wethers</v>
      </c>
      <c r="CL131" t="str">
        <v>Maiden ewes</v>
      </c>
      <c r="CM131" t="str">
        <v>Breeding ewes</v>
      </c>
      <c r="CN131" t="str">
        <v>Other ewes</v>
      </c>
      <c r="CO131" t="str">
        <v>Lambs and hoggets</v>
      </c>
    </row>
    <row r="132">
      <c r="AW132" t="str">
        <v>Autumn</v>
      </c>
      <c r="AX132" t="str">
        <v>Breeding ewes</v>
      </c>
      <c r="AY132">
        <v>50</v>
      </c>
      <c r="AZ132">
        <v>45</v>
      </c>
      <c r="BA132">
        <v>55</v>
      </c>
      <c r="BB132">
        <v>50</v>
      </c>
      <c r="BC132">
        <v>48</v>
      </c>
      <c r="BD132">
        <v>45</v>
      </c>
      <c r="BE132">
        <v>3</v>
      </c>
      <c r="BW132" t="str">
        <v>Summer</v>
      </c>
      <c r="BX132" t="str">
        <v>Breeding ewes</v>
      </c>
      <c r="BY132">
        <v>57</v>
      </c>
      <c r="BZ132">
        <v>50</v>
      </c>
      <c r="CA132">
        <v>60</v>
      </c>
      <c r="CB132">
        <v>55</v>
      </c>
      <c r="CC132">
        <v>50</v>
      </c>
      <c r="CD132">
        <v>60</v>
      </c>
      <c r="CE132">
        <v>2</v>
      </c>
      <c r="CH132" t="str">
        <v>ACT/NSW</v>
      </c>
      <c r="CI132" t="str">
        <v>Spring</v>
      </c>
      <c r="CJ132" t="str">
        <v xml:space="preserve">78 </v>
      </c>
      <c r="CK132" t="str">
        <v xml:space="preserve">62 </v>
      </c>
      <c r="CL132" t="str">
        <v xml:space="preserve">57 </v>
      </c>
      <c r="CM132" t="str">
        <v xml:space="preserve">57 </v>
      </c>
      <c r="CN132" t="str">
        <v xml:space="preserve">57 </v>
      </c>
      <c r="CO132">
        <v>60</v>
      </c>
    </row>
    <row r="133">
      <c r="AW133" t="str">
        <v>Winter</v>
      </c>
      <c r="AX133" t="str">
        <v>Breeding ewes</v>
      </c>
      <c r="AY133">
        <v>50</v>
      </c>
      <c r="AZ133">
        <v>42</v>
      </c>
      <c r="BA133">
        <v>55</v>
      </c>
      <c r="BB133">
        <v>55</v>
      </c>
      <c r="BC133">
        <v>45</v>
      </c>
      <c r="BD133">
        <v>50</v>
      </c>
      <c r="BE133">
        <v>4</v>
      </c>
      <c r="BW133" t="str">
        <v>Autumn</v>
      </c>
      <c r="BX133" t="str">
        <v>Breeding ewes</v>
      </c>
      <c r="BY133">
        <v>57</v>
      </c>
      <c r="BZ133">
        <v>50</v>
      </c>
      <c r="CA133">
        <v>60</v>
      </c>
      <c r="CB133">
        <v>55</v>
      </c>
      <c r="CC133">
        <v>50</v>
      </c>
      <c r="CD133">
        <v>60</v>
      </c>
      <c r="CE133">
        <v>3</v>
      </c>
      <c r="CH133" t="str">
        <v>ACT/NSW</v>
      </c>
      <c r="CI133" t="str">
        <v>Summer</v>
      </c>
      <c r="CJ133" t="str">
        <v xml:space="preserve">78 </v>
      </c>
      <c r="CK133" t="str">
        <v xml:space="preserve">62 </v>
      </c>
      <c r="CL133" t="str">
        <v xml:space="preserve">57 </v>
      </c>
      <c r="CM133" t="str">
        <v xml:space="preserve">57 </v>
      </c>
      <c r="CN133" t="str">
        <v xml:space="preserve">57 </v>
      </c>
      <c r="CO133">
        <v>61</v>
      </c>
    </row>
    <row r="134">
      <c r="AW134" t="str">
        <v>Spring</v>
      </c>
      <c r="AX134" t="str">
        <v>Lambs and hoggets</v>
      </c>
      <c r="AY134">
        <v>20</v>
      </c>
      <c r="AZ134">
        <v>20</v>
      </c>
      <c r="BA134">
        <v>40</v>
      </c>
      <c r="BB134">
        <v>14</v>
      </c>
      <c r="BC134">
        <v>22</v>
      </c>
      <c r="BD134">
        <v>30</v>
      </c>
      <c r="BE134">
        <v>1</v>
      </c>
      <c r="BW134" t="str">
        <v>Winter</v>
      </c>
      <c r="BX134" t="str">
        <v>Breeding ewes</v>
      </c>
      <c r="BY134">
        <v>57</v>
      </c>
      <c r="BZ134">
        <v>50</v>
      </c>
      <c r="CA134">
        <v>60</v>
      </c>
      <c r="CB134">
        <v>55</v>
      </c>
      <c r="CC134">
        <v>50</v>
      </c>
      <c r="CD134">
        <v>60</v>
      </c>
      <c r="CE134">
        <v>4</v>
      </c>
      <c r="CH134" t="str">
        <v>ACT/NSW</v>
      </c>
      <c r="CI134" t="str">
        <v>Autumn</v>
      </c>
      <c r="CJ134" t="str">
        <v xml:space="preserve">78 </v>
      </c>
      <c r="CK134" t="str">
        <v xml:space="preserve">62 </v>
      </c>
      <c r="CL134" t="str">
        <v xml:space="preserve">57 </v>
      </c>
      <c r="CM134" t="str">
        <v xml:space="preserve">57 </v>
      </c>
      <c r="CN134" t="str">
        <v xml:space="preserve">57 </v>
      </c>
      <c r="CO134">
        <v>62</v>
      </c>
    </row>
    <row r="135">
      <c r="AW135" t="str">
        <v>Summer</v>
      </c>
      <c r="AX135" t="str">
        <v>Lambs and hoggets</v>
      </c>
      <c r="AY135">
        <v>27</v>
      </c>
      <c r="AZ135">
        <v>25</v>
      </c>
      <c r="BA135">
        <v>45</v>
      </c>
      <c r="BB135">
        <v>24</v>
      </c>
      <c r="BC135">
        <v>28</v>
      </c>
      <c r="BD135">
        <v>30</v>
      </c>
      <c r="BE135">
        <v>2</v>
      </c>
      <c r="BW135" t="str">
        <v>Spring</v>
      </c>
      <c r="BX135" t="str">
        <v>Lambs and hoggets</v>
      </c>
      <c r="BY135">
        <v>60</v>
      </c>
      <c r="BZ135">
        <v>55</v>
      </c>
      <c r="CA135">
        <v>66</v>
      </c>
      <c r="CB135">
        <v>60</v>
      </c>
      <c r="CC135">
        <v>55</v>
      </c>
      <c r="CD135">
        <v>66</v>
      </c>
      <c r="CE135">
        <v>1</v>
      </c>
      <c r="CH135" t="str">
        <v>ACT/NSW</v>
      </c>
      <c r="CI135" t="str">
        <v>Winter</v>
      </c>
      <c r="CJ135" t="str">
        <v xml:space="preserve">78 </v>
      </c>
      <c r="CK135" t="str">
        <v xml:space="preserve">62 </v>
      </c>
      <c r="CL135" t="str">
        <v xml:space="preserve">57 </v>
      </c>
      <c r="CM135" t="str">
        <v xml:space="preserve">57 </v>
      </c>
      <c r="CN135" t="str">
        <v xml:space="preserve">57 </v>
      </c>
      <c r="CO135">
        <v>63</v>
      </c>
    </row>
    <row r="136">
      <c r="AW136" t="str">
        <v>Autumn</v>
      </c>
      <c r="AX136" t="str">
        <v>Lambs and hoggets</v>
      </c>
      <c r="AY136">
        <v>32</v>
      </c>
      <c r="AZ136">
        <v>20</v>
      </c>
      <c r="BA136">
        <v>20</v>
      </c>
      <c r="BB136">
        <v>36</v>
      </c>
      <c r="BC136">
        <v>33</v>
      </c>
      <c r="BD136">
        <v>10</v>
      </c>
      <c r="BE136">
        <v>3</v>
      </c>
      <c r="BW136" t="str">
        <v>Summer</v>
      </c>
      <c r="BX136" t="str">
        <v>Lambs and hoggets</v>
      </c>
      <c r="BY136">
        <v>61</v>
      </c>
      <c r="BZ136">
        <v>56</v>
      </c>
      <c r="CA136">
        <v>67</v>
      </c>
      <c r="CB136">
        <v>61</v>
      </c>
      <c r="CC136">
        <v>56</v>
      </c>
      <c r="CD136">
        <v>67</v>
      </c>
      <c r="CE136">
        <v>2</v>
      </c>
      <c r="CH136" t="str">
        <v>Queensland</v>
      </c>
      <c r="CI136" t="str">
        <v>Spring</v>
      </c>
      <c r="CJ136" t="str">
        <v xml:space="preserve">70 </v>
      </c>
      <c r="CK136" t="str">
        <v xml:space="preserve">60 </v>
      </c>
      <c r="CL136" t="str">
        <v xml:space="preserve">50 </v>
      </c>
      <c r="CM136" t="str">
        <v xml:space="preserve">50 </v>
      </c>
      <c r="CN136" t="str">
        <v xml:space="preserve">50 </v>
      </c>
      <c r="CO136">
        <v>55</v>
      </c>
    </row>
    <row r="137">
      <c r="AW137" t="str">
        <v>Winter</v>
      </c>
      <c r="AX137" t="str">
        <v>Lambs and hoggets</v>
      </c>
      <c r="AY137">
        <v>34</v>
      </c>
      <c r="AZ137">
        <v>25</v>
      </c>
      <c r="BA137">
        <v>30</v>
      </c>
      <c r="BB137">
        <v>42</v>
      </c>
      <c r="BC137">
        <v>35</v>
      </c>
      <c r="BD137">
        <v>20</v>
      </c>
      <c r="BE137">
        <v>4</v>
      </c>
      <c r="BW137" t="str">
        <v>Autumn</v>
      </c>
      <c r="BX137" t="str">
        <v>Lambs and hoggets</v>
      </c>
      <c r="BY137">
        <v>62</v>
      </c>
      <c r="BZ137">
        <v>57</v>
      </c>
      <c r="CA137">
        <v>68</v>
      </c>
      <c r="CB137">
        <v>62</v>
      </c>
      <c r="CC137">
        <v>57</v>
      </c>
      <c r="CD137">
        <v>68</v>
      </c>
      <c r="CE137">
        <v>3</v>
      </c>
      <c r="CH137" t="str">
        <v>Queensland</v>
      </c>
      <c r="CI137" t="str">
        <v>Summer</v>
      </c>
      <c r="CJ137" t="str">
        <v xml:space="preserve">70 </v>
      </c>
      <c r="CK137" t="str">
        <v xml:space="preserve">60 </v>
      </c>
      <c r="CL137" t="str">
        <v xml:space="preserve">50 </v>
      </c>
      <c r="CM137" t="str">
        <v xml:space="preserve">50 </v>
      </c>
      <c r="CN137" t="str">
        <v xml:space="preserve">50 </v>
      </c>
      <c r="CO137">
        <v>56</v>
      </c>
    </row>
    <row r="138">
      <c r="AW138" t="str">
        <v>Spring</v>
      </c>
      <c r="AX138" t="str">
        <v>Maiden ewes</v>
      </c>
      <c r="AY138">
        <v>44</v>
      </c>
      <c r="AZ138">
        <v>35</v>
      </c>
      <c r="BA138">
        <v>52</v>
      </c>
      <c r="BB138">
        <v>45</v>
      </c>
      <c r="BC138">
        <v>50</v>
      </c>
      <c r="BD138">
        <v>50</v>
      </c>
      <c r="BE138">
        <v>1</v>
      </c>
      <c r="BW138" t="str">
        <v>Winter</v>
      </c>
      <c r="BX138" t="str">
        <v>Lambs and hoggets</v>
      </c>
      <c r="BY138">
        <v>63</v>
      </c>
      <c r="BZ138">
        <v>58</v>
      </c>
      <c r="CA138">
        <v>69</v>
      </c>
      <c r="CB138">
        <v>63</v>
      </c>
      <c r="CC138">
        <v>58</v>
      </c>
      <c r="CD138">
        <v>69</v>
      </c>
      <c r="CE138">
        <v>4</v>
      </c>
      <c r="CH138" t="str">
        <v>Queensland</v>
      </c>
      <c r="CI138" t="str">
        <v>Autumn</v>
      </c>
      <c r="CJ138" t="str">
        <v xml:space="preserve">70 </v>
      </c>
      <c r="CK138" t="str">
        <v xml:space="preserve">60 </v>
      </c>
      <c r="CL138" t="str">
        <v xml:space="preserve">50 </v>
      </c>
      <c r="CM138" t="str">
        <v xml:space="preserve">50 </v>
      </c>
      <c r="CN138" t="str">
        <v xml:space="preserve">50 </v>
      </c>
      <c r="CO138">
        <v>57</v>
      </c>
    </row>
    <row r="139">
      <c r="AW139" t="str">
        <v>Summer</v>
      </c>
      <c r="AX139" t="str">
        <v>Maiden ewes</v>
      </c>
      <c r="AY139">
        <v>42</v>
      </c>
      <c r="AZ139">
        <v>40</v>
      </c>
      <c r="BA139">
        <v>52</v>
      </c>
      <c r="BB139">
        <v>45</v>
      </c>
      <c r="BC139">
        <v>45</v>
      </c>
      <c r="BD139">
        <v>45</v>
      </c>
      <c r="BE139">
        <v>2</v>
      </c>
      <c r="BW139" t="str">
        <v>Spring</v>
      </c>
      <c r="BX139" t="str">
        <v>Maiden ewes</v>
      </c>
      <c r="BY139">
        <v>57</v>
      </c>
      <c r="BZ139">
        <v>50</v>
      </c>
      <c r="CA139">
        <v>60</v>
      </c>
      <c r="CB139">
        <v>55</v>
      </c>
      <c r="CC139">
        <v>50</v>
      </c>
      <c r="CD139">
        <v>60</v>
      </c>
      <c r="CE139">
        <v>1</v>
      </c>
      <c r="CH139" t="str">
        <v>Queensland</v>
      </c>
      <c r="CI139" t="str">
        <v>Winter</v>
      </c>
      <c r="CJ139" t="str">
        <v xml:space="preserve">70 </v>
      </c>
      <c r="CK139" t="str">
        <v xml:space="preserve">60 </v>
      </c>
      <c r="CL139" t="str">
        <v xml:space="preserve">50 </v>
      </c>
      <c r="CM139" t="str">
        <v xml:space="preserve">50 </v>
      </c>
      <c r="CN139" t="str">
        <v xml:space="preserve">50 </v>
      </c>
      <c r="CO139">
        <v>58</v>
      </c>
    </row>
    <row r="140">
      <c r="AW140" t="str">
        <v>Autumn</v>
      </c>
      <c r="AX140" t="str">
        <v>Maiden ewes</v>
      </c>
      <c r="AY140">
        <v>43</v>
      </c>
      <c r="AZ140">
        <v>40</v>
      </c>
      <c r="BA140">
        <v>52</v>
      </c>
      <c r="BB140">
        <v>45</v>
      </c>
      <c r="BC140">
        <v>43</v>
      </c>
      <c r="BD140">
        <v>40</v>
      </c>
      <c r="BE140">
        <v>3</v>
      </c>
      <c r="BW140" t="str">
        <v>Summer</v>
      </c>
      <c r="BX140" t="str">
        <v>Maiden ewes</v>
      </c>
      <c r="BY140">
        <v>57</v>
      </c>
      <c r="BZ140">
        <v>50</v>
      </c>
      <c r="CA140">
        <v>60</v>
      </c>
      <c r="CB140">
        <v>55</v>
      </c>
      <c r="CC140">
        <v>50</v>
      </c>
      <c r="CD140">
        <v>60</v>
      </c>
      <c r="CE140">
        <v>2</v>
      </c>
      <c r="CH140" t="str">
        <v>South Australia</v>
      </c>
      <c r="CI140" t="str">
        <v>Spring</v>
      </c>
      <c r="CJ140" t="str">
        <v xml:space="preserve">84 </v>
      </c>
      <c r="CK140" t="str">
        <v xml:space="preserve">72 </v>
      </c>
      <c r="CL140" t="str">
        <v xml:space="preserve">60 </v>
      </c>
      <c r="CM140" t="str">
        <v xml:space="preserve">60 </v>
      </c>
      <c r="CN140" t="str">
        <v xml:space="preserve">60 </v>
      </c>
      <c r="CO140">
        <v>66</v>
      </c>
    </row>
    <row r="141">
      <c r="AW141" t="str">
        <v>Winter</v>
      </c>
      <c r="AX141" t="str">
        <v>Maiden ewes</v>
      </c>
      <c r="AY141">
        <v>45</v>
      </c>
      <c r="AZ141">
        <v>35</v>
      </c>
      <c r="BA141">
        <v>52</v>
      </c>
      <c r="BB141">
        <v>50</v>
      </c>
      <c r="BC141">
        <v>40</v>
      </c>
      <c r="BD141">
        <v>45</v>
      </c>
      <c r="BE141">
        <v>4</v>
      </c>
      <c r="BW141" t="str">
        <v>Autumn</v>
      </c>
      <c r="BX141" t="str">
        <v>Maiden ewes</v>
      </c>
      <c r="BY141">
        <v>57</v>
      </c>
      <c r="BZ141">
        <v>50</v>
      </c>
      <c r="CA141">
        <v>60</v>
      </c>
      <c r="CB141">
        <v>55</v>
      </c>
      <c r="CC141">
        <v>50</v>
      </c>
      <c r="CD141">
        <v>60</v>
      </c>
      <c r="CE141">
        <v>3</v>
      </c>
      <c r="CH141" t="str">
        <v>South Australia</v>
      </c>
      <c r="CI141" t="str">
        <v>Summer</v>
      </c>
      <c r="CJ141" t="str">
        <v xml:space="preserve">84 </v>
      </c>
      <c r="CK141" t="str">
        <v xml:space="preserve">72 </v>
      </c>
      <c r="CL141" t="str">
        <v xml:space="preserve">60 </v>
      </c>
      <c r="CM141" t="str">
        <v xml:space="preserve">60 </v>
      </c>
      <c r="CN141" t="str">
        <v xml:space="preserve">60 </v>
      </c>
      <c r="CO141">
        <v>67</v>
      </c>
    </row>
    <row r="142">
      <c r="AW142" t="str">
        <v>Spring</v>
      </c>
      <c r="AX142" t="str">
        <v>Other ewes</v>
      </c>
      <c r="AY142">
        <v>56</v>
      </c>
      <c r="AZ142">
        <v>45</v>
      </c>
      <c r="BA142">
        <v>55</v>
      </c>
      <c r="BB142">
        <v>50</v>
      </c>
      <c r="BC142">
        <v>50</v>
      </c>
      <c r="BD142">
        <v>55</v>
      </c>
      <c r="BE142">
        <v>1</v>
      </c>
      <c r="BW142" t="str">
        <v>Winter</v>
      </c>
      <c r="BX142" t="str">
        <v>Maiden ewes</v>
      </c>
      <c r="BY142">
        <v>57</v>
      </c>
      <c r="BZ142">
        <v>50</v>
      </c>
      <c r="CA142">
        <v>60</v>
      </c>
      <c r="CB142">
        <v>55</v>
      </c>
      <c r="CC142">
        <v>50</v>
      </c>
      <c r="CD142">
        <v>60</v>
      </c>
      <c r="CE142">
        <v>4</v>
      </c>
      <c r="CH142" t="str">
        <v>South Australia</v>
      </c>
      <c r="CI142" t="str">
        <v>Autumn</v>
      </c>
      <c r="CJ142" t="str">
        <v xml:space="preserve">84 </v>
      </c>
      <c r="CK142" t="str">
        <v xml:space="preserve">72 </v>
      </c>
      <c r="CL142" t="str">
        <v xml:space="preserve">60 </v>
      </c>
      <c r="CM142" t="str">
        <v xml:space="preserve">60 </v>
      </c>
      <c r="CN142" t="str">
        <v xml:space="preserve">60 </v>
      </c>
      <c r="CO142">
        <v>68</v>
      </c>
    </row>
    <row r="143">
      <c r="AW143" t="str">
        <v>Summer</v>
      </c>
      <c r="AX143" t="str">
        <v>Other ewes</v>
      </c>
      <c r="AY143">
        <v>51</v>
      </c>
      <c r="AZ143">
        <v>50</v>
      </c>
      <c r="BA143">
        <v>55</v>
      </c>
      <c r="BB143">
        <v>50</v>
      </c>
      <c r="BC143">
        <v>50</v>
      </c>
      <c r="BD143">
        <v>50</v>
      </c>
      <c r="BE143">
        <v>2</v>
      </c>
      <c r="BW143" t="str">
        <v>Spring</v>
      </c>
      <c r="BX143" t="str">
        <v>Other ewes</v>
      </c>
      <c r="BY143">
        <v>57</v>
      </c>
      <c r="BZ143">
        <v>50</v>
      </c>
      <c r="CA143">
        <v>60</v>
      </c>
      <c r="CB143">
        <v>55</v>
      </c>
      <c r="CC143">
        <v>50</v>
      </c>
      <c r="CD143">
        <v>60</v>
      </c>
      <c r="CE143">
        <v>1</v>
      </c>
      <c r="CH143" t="str">
        <v>South Australia</v>
      </c>
      <c r="CI143" t="str">
        <v>Winter</v>
      </c>
      <c r="CJ143" t="str">
        <v xml:space="preserve">84 </v>
      </c>
      <c r="CK143" t="str">
        <v xml:space="preserve">72 </v>
      </c>
      <c r="CL143" t="str">
        <v xml:space="preserve">60 </v>
      </c>
      <c r="CM143" t="str">
        <v xml:space="preserve">60 </v>
      </c>
      <c r="CN143" t="str">
        <v xml:space="preserve">60 </v>
      </c>
      <c r="CO143">
        <v>69</v>
      </c>
    </row>
    <row r="144">
      <c r="AW144" t="str">
        <v>Autumn</v>
      </c>
      <c r="AX144" t="str">
        <v>Other ewes</v>
      </c>
      <c r="AY144">
        <v>50</v>
      </c>
      <c r="AZ144">
        <v>50</v>
      </c>
      <c r="BA144">
        <v>55</v>
      </c>
      <c r="BB144">
        <v>50</v>
      </c>
      <c r="BC144">
        <v>50</v>
      </c>
      <c r="BD144">
        <v>45</v>
      </c>
      <c r="BE144">
        <v>3</v>
      </c>
      <c r="BW144" t="str">
        <v>Summer</v>
      </c>
      <c r="BX144" t="str">
        <v>Other ewes</v>
      </c>
      <c r="BY144">
        <v>57</v>
      </c>
      <c r="BZ144">
        <v>50</v>
      </c>
      <c r="CA144">
        <v>60</v>
      </c>
      <c r="CB144">
        <v>55</v>
      </c>
      <c r="CC144">
        <v>50</v>
      </c>
      <c r="CD144">
        <v>60</v>
      </c>
      <c r="CE144">
        <v>2</v>
      </c>
      <c r="CH144" t="str">
        <v>Tasmania</v>
      </c>
      <c r="CI144" t="str">
        <v>Spring</v>
      </c>
      <c r="CJ144" t="str">
        <v xml:space="preserve">77 </v>
      </c>
      <c r="CK144" t="str">
        <v xml:space="preserve">66 </v>
      </c>
      <c r="CL144" t="str">
        <v xml:space="preserve">55 </v>
      </c>
      <c r="CM144" t="str">
        <v xml:space="preserve">55 </v>
      </c>
      <c r="CN144" t="str">
        <v xml:space="preserve">55 </v>
      </c>
      <c r="CO144">
        <v>60</v>
      </c>
    </row>
    <row r="145">
      <c r="AW145" t="str">
        <v>Winter</v>
      </c>
      <c r="AX145" t="str">
        <v>Other ewes</v>
      </c>
      <c r="AY145">
        <v>51</v>
      </c>
      <c r="AZ145">
        <v>48</v>
      </c>
      <c r="BA145">
        <v>55</v>
      </c>
      <c r="BB145">
        <v>50</v>
      </c>
      <c r="BC145">
        <v>50</v>
      </c>
      <c r="BD145">
        <v>50</v>
      </c>
      <c r="BE145">
        <v>4</v>
      </c>
      <c r="BW145" t="str">
        <v>Autumn</v>
      </c>
      <c r="BX145" t="str">
        <v>Other ewes</v>
      </c>
      <c r="BY145">
        <v>57</v>
      </c>
      <c r="BZ145">
        <v>50</v>
      </c>
      <c r="CA145">
        <v>60</v>
      </c>
      <c r="CB145">
        <v>55</v>
      </c>
      <c r="CC145">
        <v>50</v>
      </c>
      <c r="CD145">
        <v>60</v>
      </c>
      <c r="CE145">
        <v>3</v>
      </c>
      <c r="CH145" t="str">
        <v>Tasmania</v>
      </c>
      <c r="CI145" t="str">
        <v>Summer</v>
      </c>
      <c r="CJ145" t="str">
        <v xml:space="preserve">77 </v>
      </c>
      <c r="CK145" t="str">
        <v xml:space="preserve">66 </v>
      </c>
      <c r="CL145" t="str">
        <v xml:space="preserve">55 </v>
      </c>
      <c r="CM145" t="str">
        <v xml:space="preserve">55 </v>
      </c>
      <c r="CN145" t="str">
        <v xml:space="preserve">55 </v>
      </c>
      <c r="CO145">
        <v>61</v>
      </c>
    </row>
    <row r="146">
      <c r="AW146" t="str">
        <v>Spring</v>
      </c>
      <c r="AX146" t="str">
        <v>Rams</v>
      </c>
      <c r="AY146">
        <v>75</v>
      </c>
      <c r="AZ146">
        <v>58</v>
      </c>
      <c r="BA146">
        <v>80</v>
      </c>
      <c r="BB146">
        <v>90</v>
      </c>
      <c r="BC146">
        <v>70</v>
      </c>
      <c r="BD146">
        <v>75</v>
      </c>
      <c r="BE146">
        <v>1</v>
      </c>
      <c r="BW146" t="str">
        <v>Winter</v>
      </c>
      <c r="BX146" t="str">
        <v>Other ewes</v>
      </c>
      <c r="BY146">
        <v>57</v>
      </c>
      <c r="BZ146">
        <v>50</v>
      </c>
      <c r="CA146">
        <v>60</v>
      </c>
      <c r="CB146">
        <v>55</v>
      </c>
      <c r="CC146">
        <v>50</v>
      </c>
      <c r="CD146">
        <v>60</v>
      </c>
      <c r="CE146">
        <v>4</v>
      </c>
      <c r="CH146" t="str">
        <v>Tasmania</v>
      </c>
      <c r="CI146" t="str">
        <v>Autumn</v>
      </c>
      <c r="CJ146" t="str">
        <v xml:space="preserve">77 </v>
      </c>
      <c r="CK146" t="str">
        <v xml:space="preserve">66 </v>
      </c>
      <c r="CL146" t="str">
        <v xml:space="preserve">55 </v>
      </c>
      <c r="CM146" t="str">
        <v xml:space="preserve">55 </v>
      </c>
      <c r="CN146" t="str">
        <v xml:space="preserve">55 </v>
      </c>
      <c r="CO146">
        <v>62</v>
      </c>
    </row>
    <row r="147">
      <c r="AW147" t="str">
        <v>Summer</v>
      </c>
      <c r="AX147" t="str">
        <v>Rams</v>
      </c>
      <c r="AY147">
        <v>75</v>
      </c>
      <c r="AZ147">
        <v>61</v>
      </c>
      <c r="BA147">
        <v>70</v>
      </c>
      <c r="BB147">
        <v>90</v>
      </c>
      <c r="BC147">
        <v>65</v>
      </c>
      <c r="BD147">
        <v>65</v>
      </c>
      <c r="BE147">
        <v>2</v>
      </c>
      <c r="BW147" t="str">
        <v>Spring</v>
      </c>
      <c r="BX147" t="str">
        <v>Rams</v>
      </c>
      <c r="BY147">
        <v>78</v>
      </c>
      <c r="BZ147">
        <v>70</v>
      </c>
      <c r="CA147">
        <v>84</v>
      </c>
      <c r="CB147">
        <v>77</v>
      </c>
      <c r="CC147">
        <v>70</v>
      </c>
      <c r="CD147">
        <v>84</v>
      </c>
      <c r="CE147">
        <v>1</v>
      </c>
      <c r="CH147" t="str">
        <v>Tasmania</v>
      </c>
      <c r="CI147" t="str">
        <v>Winter</v>
      </c>
      <c r="CJ147" t="str">
        <v xml:space="preserve">77 </v>
      </c>
      <c r="CK147" t="str">
        <v xml:space="preserve">66 </v>
      </c>
      <c r="CL147" t="str">
        <v xml:space="preserve">55 </v>
      </c>
      <c r="CM147" t="str">
        <v xml:space="preserve">55 </v>
      </c>
      <c r="CN147" t="str">
        <v xml:space="preserve">55 </v>
      </c>
      <c r="CO147">
        <v>63</v>
      </c>
    </row>
    <row r="148">
      <c r="AW148" t="str">
        <v>Autumn</v>
      </c>
      <c r="AX148" t="str">
        <v>Rams</v>
      </c>
      <c r="AY148">
        <v>69</v>
      </c>
      <c r="AZ148">
        <v>63</v>
      </c>
      <c r="BA148">
        <v>70</v>
      </c>
      <c r="BB148">
        <v>75</v>
      </c>
      <c r="BC148">
        <v>65</v>
      </c>
      <c r="BD148">
        <v>65</v>
      </c>
      <c r="BE148">
        <v>3</v>
      </c>
      <c r="BW148" t="str">
        <v>Summer</v>
      </c>
      <c r="BX148" t="str">
        <v>Rams</v>
      </c>
      <c r="BY148">
        <v>78</v>
      </c>
      <c r="BZ148">
        <v>70</v>
      </c>
      <c r="CA148">
        <v>84</v>
      </c>
      <c r="CB148">
        <v>77</v>
      </c>
      <c r="CC148">
        <v>70</v>
      </c>
      <c r="CD148">
        <v>84</v>
      </c>
      <c r="CE148">
        <v>2</v>
      </c>
      <c r="CH148" t="str">
        <v>Victoria</v>
      </c>
      <c r="CI148" t="str">
        <v>Spring</v>
      </c>
      <c r="CJ148" t="str">
        <v xml:space="preserve">70 </v>
      </c>
      <c r="CK148" t="str">
        <v xml:space="preserve">60 </v>
      </c>
      <c r="CL148" t="str">
        <v xml:space="preserve">50 </v>
      </c>
      <c r="CM148" t="str">
        <v xml:space="preserve">50 </v>
      </c>
      <c r="CN148" t="str">
        <v xml:space="preserve">50 </v>
      </c>
      <c r="CO148">
        <v>55</v>
      </c>
    </row>
    <row r="149">
      <c r="AW149" t="str">
        <v>Winter</v>
      </c>
      <c r="AX149" t="str">
        <v>Rams</v>
      </c>
      <c r="AY149">
        <v>69</v>
      </c>
      <c r="AZ149">
        <v>60</v>
      </c>
      <c r="BA149">
        <v>70</v>
      </c>
      <c r="BB149">
        <v>75</v>
      </c>
      <c r="BC149">
        <v>60</v>
      </c>
      <c r="BD149">
        <v>65</v>
      </c>
      <c r="BE149">
        <v>4</v>
      </c>
      <c r="BW149" t="str">
        <v>Autumn</v>
      </c>
      <c r="BX149" t="str">
        <v>Rams</v>
      </c>
      <c r="BY149">
        <v>78</v>
      </c>
      <c r="BZ149">
        <v>70</v>
      </c>
      <c r="CA149">
        <v>84</v>
      </c>
      <c r="CB149">
        <v>77</v>
      </c>
      <c r="CC149">
        <v>70</v>
      </c>
      <c r="CD149">
        <v>84</v>
      </c>
      <c r="CE149">
        <v>3</v>
      </c>
      <c r="CH149" t="str">
        <v>Victoria</v>
      </c>
      <c r="CI149" t="str">
        <v>Summer</v>
      </c>
      <c r="CJ149" t="str">
        <v xml:space="preserve">70 </v>
      </c>
      <c r="CK149" t="str">
        <v xml:space="preserve">60 </v>
      </c>
      <c r="CL149" t="str">
        <v xml:space="preserve">50 </v>
      </c>
      <c r="CM149" t="str">
        <v xml:space="preserve">50 </v>
      </c>
      <c r="CN149" t="str">
        <v xml:space="preserve">50 </v>
      </c>
      <c r="CO149">
        <v>56</v>
      </c>
    </row>
    <row r="150">
      <c r="AW150" t="str">
        <v>Spring</v>
      </c>
      <c r="AX150" t="str">
        <v>Wethers</v>
      </c>
      <c r="AY150">
        <v>62</v>
      </c>
      <c r="AZ150">
        <v>50</v>
      </c>
      <c r="BA150">
        <v>70</v>
      </c>
      <c r="BB150">
        <v>55</v>
      </c>
      <c r="BC150">
        <v>60</v>
      </c>
      <c r="BD150">
        <v>60</v>
      </c>
      <c r="BE150">
        <v>1</v>
      </c>
      <c r="BW150" t="str">
        <v>Winter</v>
      </c>
      <c r="BX150" t="str">
        <v>Rams</v>
      </c>
      <c r="BY150">
        <v>78</v>
      </c>
      <c r="BZ150">
        <v>70</v>
      </c>
      <c r="CA150">
        <v>84</v>
      </c>
      <c r="CB150">
        <v>77</v>
      </c>
      <c r="CC150">
        <v>70</v>
      </c>
      <c r="CD150">
        <v>84</v>
      </c>
      <c r="CE150">
        <v>4</v>
      </c>
      <c r="CH150" t="str">
        <v>Victoria</v>
      </c>
      <c r="CI150" t="str">
        <v>Autumn</v>
      </c>
      <c r="CJ150" t="str">
        <v xml:space="preserve">70 </v>
      </c>
      <c r="CK150" t="str">
        <v xml:space="preserve">60 </v>
      </c>
      <c r="CL150" t="str">
        <v xml:space="preserve">50 </v>
      </c>
      <c r="CM150" t="str">
        <v xml:space="preserve">50 </v>
      </c>
      <c r="CN150" t="str">
        <v xml:space="preserve">50 </v>
      </c>
      <c r="CO150">
        <v>57</v>
      </c>
    </row>
    <row r="151">
      <c r="AW151" t="str">
        <v>Summer</v>
      </c>
      <c r="AX151" t="str">
        <v>Wethers</v>
      </c>
      <c r="AY151">
        <v>55</v>
      </c>
      <c r="AZ151">
        <v>55</v>
      </c>
      <c r="BA151">
        <v>65</v>
      </c>
      <c r="BB151">
        <v>55</v>
      </c>
      <c r="BC151">
        <v>55</v>
      </c>
      <c r="BD151">
        <v>55</v>
      </c>
      <c r="BE151">
        <v>2</v>
      </c>
      <c r="BW151" t="str">
        <v>Spring</v>
      </c>
      <c r="BX151" t="str">
        <v>Wethers</v>
      </c>
      <c r="BY151">
        <v>62</v>
      </c>
      <c r="BZ151">
        <v>60</v>
      </c>
      <c r="CA151">
        <v>72</v>
      </c>
      <c r="CB151">
        <v>66</v>
      </c>
      <c r="CC151">
        <v>60</v>
      </c>
      <c r="CD151">
        <v>72</v>
      </c>
      <c r="CE151">
        <v>1</v>
      </c>
      <c r="CH151" t="str">
        <v>Victoria</v>
      </c>
      <c r="CI151" t="str">
        <v>Winter</v>
      </c>
      <c r="CJ151" t="str">
        <v xml:space="preserve">70 </v>
      </c>
      <c r="CK151" t="str">
        <v xml:space="preserve">60 </v>
      </c>
      <c r="CL151" t="str">
        <v xml:space="preserve">50 </v>
      </c>
      <c r="CM151" t="str">
        <v xml:space="preserve">50 </v>
      </c>
      <c r="CN151" t="str">
        <v xml:space="preserve">50 </v>
      </c>
      <c r="CO151">
        <v>58</v>
      </c>
    </row>
    <row r="152">
      <c r="AW152" t="str">
        <v>Autumn</v>
      </c>
      <c r="AX152" t="str">
        <v>Wethers</v>
      </c>
      <c r="AY152">
        <v>55</v>
      </c>
      <c r="AZ152">
        <v>55</v>
      </c>
      <c r="BA152">
        <v>60</v>
      </c>
      <c r="BB152">
        <v>50</v>
      </c>
      <c r="BC152">
        <v>52</v>
      </c>
      <c r="BD152">
        <v>48</v>
      </c>
      <c r="BE152">
        <v>3</v>
      </c>
      <c r="BW152" t="str">
        <v>Summer</v>
      </c>
      <c r="BX152" t="str">
        <v>Wethers</v>
      </c>
      <c r="BY152">
        <v>62</v>
      </c>
      <c r="BZ152">
        <v>60</v>
      </c>
      <c r="CA152">
        <v>72</v>
      </c>
      <c r="CB152">
        <v>66</v>
      </c>
      <c r="CC152">
        <v>60</v>
      </c>
      <c r="CD152">
        <v>72</v>
      </c>
      <c r="CE152">
        <v>2</v>
      </c>
      <c r="CH152" t="str">
        <v>Western Australia</v>
      </c>
      <c r="CI152" t="str">
        <v>Spring</v>
      </c>
      <c r="CJ152" t="str">
        <v xml:space="preserve">84 </v>
      </c>
      <c r="CK152" t="str">
        <v xml:space="preserve">72 </v>
      </c>
      <c r="CL152" t="str">
        <v xml:space="preserve">60 </v>
      </c>
      <c r="CM152" t="str">
        <v xml:space="preserve">60 </v>
      </c>
      <c r="CN152" t="str">
        <v xml:space="preserve">60 </v>
      </c>
      <c r="CO152">
        <v>66</v>
      </c>
    </row>
    <row r="153">
      <c r="AW153" t="str">
        <v>Winter</v>
      </c>
      <c r="AX153" t="str">
        <v>Wethers</v>
      </c>
      <c r="AY153">
        <v>55</v>
      </c>
      <c r="AZ153">
        <v>50</v>
      </c>
      <c r="BA153">
        <v>60</v>
      </c>
      <c r="BB153">
        <v>45</v>
      </c>
      <c r="BC153">
        <v>50</v>
      </c>
      <c r="BD153">
        <v>48</v>
      </c>
      <c r="BE153">
        <v>4</v>
      </c>
      <c r="BW153" t="str">
        <v>Autumn</v>
      </c>
      <c r="BX153" t="str">
        <v>Wethers</v>
      </c>
      <c r="BY153">
        <v>62</v>
      </c>
      <c r="BZ153">
        <v>60</v>
      </c>
      <c r="CA153">
        <v>72</v>
      </c>
      <c r="CB153">
        <v>66</v>
      </c>
      <c r="CC153">
        <v>60</v>
      </c>
      <c r="CD153">
        <v>72</v>
      </c>
      <c r="CE153">
        <v>3</v>
      </c>
      <c r="CH153" t="str">
        <v>Western Australia</v>
      </c>
      <c r="CI153" t="str">
        <v>Summer</v>
      </c>
      <c r="CJ153" t="str">
        <v xml:space="preserve">84 </v>
      </c>
      <c r="CK153" t="str">
        <v xml:space="preserve">72 </v>
      </c>
      <c r="CL153" t="str">
        <v xml:space="preserve">60 </v>
      </c>
      <c r="CM153" t="str">
        <v xml:space="preserve">60 </v>
      </c>
      <c r="CN153" t="str">
        <v xml:space="preserve">60 </v>
      </c>
      <c r="CO153">
        <v>67</v>
      </c>
    </row>
    <row r="154">
      <c r="BW154" t="str">
        <v>Winter</v>
      </c>
      <c r="BX154" t="str">
        <v>Wethers</v>
      </c>
      <c r="BY154">
        <v>62</v>
      </c>
      <c r="BZ154">
        <v>60</v>
      </c>
      <c r="CA154">
        <v>72</v>
      </c>
      <c r="CB154">
        <v>66</v>
      </c>
      <c r="CC154">
        <v>60</v>
      </c>
      <c r="CD154">
        <v>72</v>
      </c>
      <c r="CE154">
        <v>4</v>
      </c>
      <c r="CH154" t="str">
        <v>Western Australia</v>
      </c>
      <c r="CI154" t="str">
        <v>Autumn</v>
      </c>
      <c r="CJ154" t="str">
        <v xml:space="preserve">84 </v>
      </c>
      <c r="CK154" t="str">
        <v xml:space="preserve">72 </v>
      </c>
      <c r="CL154" t="str">
        <v xml:space="preserve">60 </v>
      </c>
      <c r="CM154" t="str">
        <v xml:space="preserve">60 </v>
      </c>
      <c r="CN154" t="str">
        <v xml:space="preserve">60 </v>
      </c>
      <c r="CO154">
        <v>68</v>
      </c>
    </row>
    <row r="155">
      <c r="CH155" t="str">
        <v>Western Australia</v>
      </c>
      <c r="CI155" t="str">
        <v>Winter</v>
      </c>
      <c r="CJ155" t="str">
        <v xml:space="preserve">84 </v>
      </c>
      <c r="CK155" t="str">
        <v xml:space="preserve">72 </v>
      </c>
      <c r="CL155" t="str">
        <v xml:space="preserve">60 </v>
      </c>
      <c r="CM155" t="str">
        <v xml:space="preserve">60 </v>
      </c>
      <c r="CN155" t="str">
        <v xml:space="preserve">60 </v>
      </c>
      <c r="CO155">
        <v>69</v>
      </c>
    </row>
    <row r="156">
      <c r="AW156" t="str" cm="1">
        <f t="array" ref="AW156:BB156">QueryW[[#Headers],[ACT/NSW]:[WA]]</f>
        <v>ACT/NSW</v>
      </c>
      <c r="AX156" t="str">
        <v>QLD</v>
      </c>
      <c r="AY156" t="str">
        <v>SA</v>
      </c>
      <c r="AZ156" t="str">
        <v>TAS</v>
      </c>
      <c r="BA156" t="str">
        <v>VIC</v>
      </c>
      <c r="BB156" t="str">
        <v>WA</v>
      </c>
    </row>
    <row r="163">
      <c r="CH163" t="str">
        <v>A.1.4.3</v>
      </c>
    </row>
    <row r="164">
      <c r="CH164" t="str">
        <v>DMAjk</v>
      </c>
    </row>
    <row r="165">
      <c r="CH165" t="str">
        <v>Column1</v>
      </c>
      <c r="CI165" t="str">
        <v>Column2</v>
      </c>
      <c r="CJ165" t="str">
        <v>Column3</v>
      </c>
      <c r="CK165" t="str">
        <v>Column4</v>
      </c>
      <c r="CL165" t="str">
        <v>Column5</v>
      </c>
      <c r="CM165" t="str">
        <v>Column6</v>
      </c>
      <c r="CN165" t="str">
        <v>Column7</v>
      </c>
      <c r="CO165" t="str">
        <v>Column8</v>
      </c>
    </row>
    <row r="166">
      <c r="BW166" t="str">
        <v>Season</v>
      </c>
      <c r="BX166" t="str">
        <v>Class</v>
      </c>
      <c r="BY166" t="str">
        <v>ACT/NSW</v>
      </c>
      <c r="BZ166" t="str">
        <v>QLD</v>
      </c>
      <c r="CA166" t="str">
        <v>SA</v>
      </c>
      <c r="CB166" t="str">
        <v>TAS</v>
      </c>
      <c r="CC166" t="str">
        <v>VIC</v>
      </c>
      <c r="CD166" t="str">
        <v>WA</v>
      </c>
      <c r="CE166" t="str">
        <v>SeasonOrder</v>
      </c>
      <c r="CH166" t="str">
        <v>State</v>
      </c>
      <c r="CI166" t="str">
        <v>Season</v>
      </c>
      <c r="CJ166" t="str">
        <v>Rams</v>
      </c>
      <c r="CK166" t="str">
        <v>Wethers</v>
      </c>
      <c r="CL166" t="str">
        <v>Maiden ewes</v>
      </c>
      <c r="CM166" t="str">
        <v>Breeding ewes</v>
      </c>
      <c r="CN166" t="str">
        <v>Other ewes</v>
      </c>
      <c r="CO166" t="str">
        <v>Lambs and hoggets</v>
      </c>
    </row>
    <row r="167">
      <c r="BW167" t="str">
        <v>Spring</v>
      </c>
      <c r="BX167" t="str">
        <v>Breeding ewes</v>
      </c>
      <c r="BY167">
        <v>2.9</v>
      </c>
      <c r="BZ167">
        <v>1.5</v>
      </c>
      <c r="CA167">
        <v>4</v>
      </c>
      <c r="CB167">
        <v>2.5</v>
      </c>
      <c r="CC167">
        <v>3.2</v>
      </c>
      <c r="CD167">
        <v>3.5</v>
      </c>
      <c r="CE167">
        <v>1</v>
      </c>
      <c r="CH167" t="str">
        <v>ACT/NSW</v>
      </c>
      <c r="CI167" t="str">
        <v>Spring</v>
      </c>
      <c r="CJ167">
        <v>2.9</v>
      </c>
      <c r="CK167">
        <v>2.9</v>
      </c>
      <c r="CL167">
        <v>2.9</v>
      </c>
      <c r="CM167">
        <v>2.9</v>
      </c>
      <c r="CN167">
        <v>2.9</v>
      </c>
      <c r="CO167">
        <v>2.9</v>
      </c>
    </row>
    <row r="168">
      <c r="BW168" t="str">
        <v>Summer</v>
      </c>
      <c r="BX168" t="str">
        <v>Breeding ewes</v>
      </c>
      <c r="BY168">
        <v>2.5</v>
      </c>
      <c r="BZ168">
        <v>2</v>
      </c>
      <c r="CA168">
        <v>2.5</v>
      </c>
      <c r="CB168">
        <v>2.5</v>
      </c>
      <c r="CC168">
        <v>3</v>
      </c>
      <c r="CD168">
        <v>1.5</v>
      </c>
      <c r="CE168">
        <v>2</v>
      </c>
      <c r="CI168" t="str">
        <v>Summer</v>
      </c>
      <c r="CJ168">
        <v>2.5</v>
      </c>
      <c r="CK168">
        <v>2.5</v>
      </c>
      <c r="CL168">
        <v>2.5</v>
      </c>
      <c r="CM168">
        <v>2.5</v>
      </c>
      <c r="CN168">
        <v>2.5</v>
      </c>
      <c r="CO168">
        <v>2.5</v>
      </c>
    </row>
    <row r="169">
      <c r="BW169" t="str">
        <v>Autumn</v>
      </c>
      <c r="BX169" t="str">
        <v>Breeding ewes</v>
      </c>
      <c r="BY169">
        <v>1.6</v>
      </c>
      <c r="BZ169">
        <v>2.2</v>
      </c>
      <c r="CA169">
        <v>0.7</v>
      </c>
      <c r="CB169">
        <v>1.3</v>
      </c>
      <c r="CC169">
        <v>1.8</v>
      </c>
      <c r="CD169">
        <v>0.7</v>
      </c>
      <c r="CE169">
        <v>3</v>
      </c>
      <c r="CI169" t="str">
        <v>Autumn</v>
      </c>
      <c r="CJ169">
        <v>1.6</v>
      </c>
      <c r="CK169">
        <v>1.6</v>
      </c>
      <c r="CL169">
        <v>1.6</v>
      </c>
      <c r="CM169">
        <v>1.6</v>
      </c>
      <c r="CN169">
        <v>1.6</v>
      </c>
      <c r="CO169">
        <v>1.6</v>
      </c>
    </row>
    <row r="170">
      <c r="BW170" t="str">
        <v>Winter</v>
      </c>
      <c r="BX170" t="str">
        <v>Breeding ewes</v>
      </c>
      <c r="BY170">
        <v>1.7</v>
      </c>
      <c r="BZ170">
        <v>1.7</v>
      </c>
      <c r="CA170">
        <v>0.9</v>
      </c>
      <c r="CB170">
        <v>0.8</v>
      </c>
      <c r="CC170">
        <v>1</v>
      </c>
      <c r="CD170">
        <v>1.2</v>
      </c>
      <c r="CE170">
        <v>4</v>
      </c>
      <c r="CI170" t="str">
        <v>Winter</v>
      </c>
      <c r="CJ170">
        <v>1.7</v>
      </c>
      <c r="CK170">
        <v>1.7</v>
      </c>
      <c r="CL170">
        <v>1.7</v>
      </c>
      <c r="CM170">
        <v>1.7</v>
      </c>
      <c r="CN170">
        <v>1.7</v>
      </c>
      <c r="CO170">
        <v>1.7</v>
      </c>
    </row>
    <row r="171">
      <c r="BW171" t="str">
        <v>Spring</v>
      </c>
      <c r="BX171" t="str">
        <v>Lambs and hoggets</v>
      </c>
      <c r="BY171">
        <v>2.9</v>
      </c>
      <c r="BZ171">
        <v>1.5</v>
      </c>
      <c r="CA171">
        <v>4</v>
      </c>
      <c r="CB171">
        <v>2.5</v>
      </c>
      <c r="CC171">
        <v>3.2</v>
      </c>
      <c r="CD171">
        <v>3.5</v>
      </c>
      <c r="CE171">
        <v>1</v>
      </c>
      <c r="CH171" t="str">
        <v>Queensland</v>
      </c>
      <c r="CI171" t="str">
        <v>Spring</v>
      </c>
      <c r="CJ171">
        <v>1.5</v>
      </c>
      <c r="CK171">
        <v>1.5</v>
      </c>
      <c r="CL171">
        <v>1.5</v>
      </c>
      <c r="CM171">
        <v>1.5</v>
      </c>
      <c r="CN171">
        <v>1.5</v>
      </c>
      <c r="CO171">
        <v>1.5</v>
      </c>
    </row>
    <row r="172">
      <c r="AW172" t="e" cm="1">
        <f t="array" ref="AW172">#REF!</f>
        <v>#REF!</v>
      </c>
      <c r="BW172" t="str">
        <v>Summer</v>
      </c>
      <c r="BX172" t="str">
        <v>Lambs and hoggets</v>
      </c>
      <c r="BY172">
        <v>2.5</v>
      </c>
      <c r="BZ172">
        <v>2</v>
      </c>
      <c r="CA172">
        <v>2.5</v>
      </c>
      <c r="CB172">
        <v>2.5</v>
      </c>
      <c r="CC172">
        <v>3</v>
      </c>
      <c r="CD172">
        <v>1.5</v>
      </c>
      <c r="CE172">
        <v>2</v>
      </c>
      <c r="CI172" t="str">
        <v>Summer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</row>
    <row r="173">
      <c r="AW173" t="str" cm="1">
        <f t="array" ref="AW173:BE173">QueryW[#Headers]</f>
        <v>Season</v>
      </c>
      <c r="AX173" t="str">
        <v>Class</v>
      </c>
      <c r="AY173" t="str">
        <v>ACT/NSW</v>
      </c>
      <c r="AZ173" t="str">
        <v>QLD</v>
      </c>
      <c r="BA173" t="str">
        <v>SA</v>
      </c>
      <c r="BB173" t="str">
        <v>TAS</v>
      </c>
      <c r="BC173" t="str">
        <v>VIC</v>
      </c>
      <c r="BD173" t="str">
        <v>WA</v>
      </c>
      <c r="BE173" t="str">
        <v>SeasonOrder</v>
      </c>
      <c r="BW173" t="str">
        <v>Autumn</v>
      </c>
      <c r="BX173" t="str">
        <v>Lambs and hoggets</v>
      </c>
      <c r="BY173">
        <v>1.6</v>
      </c>
      <c r="BZ173">
        <v>2.2</v>
      </c>
      <c r="CA173">
        <v>0.7</v>
      </c>
      <c r="CB173">
        <v>1.3</v>
      </c>
      <c r="CC173">
        <v>1.8</v>
      </c>
      <c r="CD173">
        <v>0.7</v>
      </c>
      <c r="CE173">
        <v>3</v>
      </c>
      <c r="CI173" t="str">
        <v>Autumn</v>
      </c>
      <c r="CJ173">
        <v>2.2</v>
      </c>
      <c r="CK173">
        <v>2.2</v>
      </c>
      <c r="CL173">
        <v>2.2</v>
      </c>
      <c r="CM173">
        <v>2.2</v>
      </c>
      <c r="CN173">
        <v>2.2</v>
      </c>
      <c r="CO173">
        <v>2.2</v>
      </c>
    </row>
    <row r="174">
      <c r="AW174" t="str" cm="1">
        <f t="array" ref="AW174:BB174">QueryW[[#Headers],[ACT/NSW]:[WA]]</f>
        <v>ACT/NSW</v>
      </c>
      <c r="AX174" t="str">
        <v>QLD</v>
      </c>
      <c r="AY174" t="str">
        <v>SA</v>
      </c>
      <c r="AZ174" t="str">
        <v>TAS</v>
      </c>
      <c r="BA174" t="str">
        <v>VIC</v>
      </c>
      <c r="BB174" t="str">
        <v>WA</v>
      </c>
      <c r="BW174" t="str">
        <v>Winter</v>
      </c>
      <c r="BX174" t="str">
        <v>Lambs and hoggets</v>
      </c>
      <c r="BY174">
        <v>1.7</v>
      </c>
      <c r="BZ174">
        <v>1.7</v>
      </c>
      <c r="CA174">
        <v>0.9</v>
      </c>
      <c r="CB174">
        <v>0.8</v>
      </c>
      <c r="CC174">
        <v>1</v>
      </c>
      <c r="CD174">
        <v>1.2</v>
      </c>
      <c r="CE174">
        <v>4</v>
      </c>
      <c r="CI174" t="str">
        <v>Winter</v>
      </c>
      <c r="CJ174">
        <v>1.7</v>
      </c>
      <c r="CK174">
        <v>1.7</v>
      </c>
      <c r="CL174">
        <v>1.7</v>
      </c>
      <c r="CM174">
        <v>1.7</v>
      </c>
      <c r="CN174">
        <v>1.7</v>
      </c>
      <c r="CO174">
        <v>1.7</v>
      </c>
    </row>
    <row r="175">
      <c r="BW175" t="str">
        <v>Spring</v>
      </c>
      <c r="BX175" t="str">
        <v>Maiden ewes</v>
      </c>
      <c r="BY175">
        <v>2.9</v>
      </c>
      <c r="BZ175">
        <v>1.5</v>
      </c>
      <c r="CA175">
        <v>4</v>
      </c>
      <c r="CB175">
        <v>2.5</v>
      </c>
      <c r="CC175">
        <v>3.2</v>
      </c>
      <c r="CD175">
        <v>3.5</v>
      </c>
      <c r="CE175">
        <v>1</v>
      </c>
      <c r="CH175" t="str">
        <v>South Australia</v>
      </c>
      <c r="CI175" t="str">
        <v>Spring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</row>
    <row r="176">
      <c r="AW176" t="e" cm="1">
        <f t="array" ref="AW176">#REF!</f>
        <v>#REF!</v>
      </c>
      <c r="BW176" t="str">
        <v>Summer</v>
      </c>
      <c r="BX176" t="str">
        <v>Maiden ewes</v>
      </c>
      <c r="BY176">
        <v>2.5</v>
      </c>
      <c r="BZ176">
        <v>2</v>
      </c>
      <c r="CA176">
        <v>2.5</v>
      </c>
      <c r="CB176">
        <v>2.5</v>
      </c>
      <c r="CC176">
        <v>3</v>
      </c>
      <c r="CD176">
        <v>1.5</v>
      </c>
      <c r="CE176">
        <v>2</v>
      </c>
      <c r="CI176" t="str">
        <v>Summer</v>
      </c>
      <c r="CJ176">
        <v>2.5</v>
      </c>
      <c r="CK176">
        <v>2.5</v>
      </c>
      <c r="CL176">
        <v>2.5</v>
      </c>
      <c r="CM176">
        <v>2.5</v>
      </c>
      <c r="CN176">
        <v>2.5</v>
      </c>
      <c r="CO176">
        <v>2.5</v>
      </c>
    </row>
    <row r="177">
      <c r="BW177" t="str">
        <v>Autumn</v>
      </c>
      <c r="BX177" t="str">
        <v>Maiden ewes</v>
      </c>
      <c r="BY177">
        <v>1.6</v>
      </c>
      <c r="BZ177">
        <v>2.2</v>
      </c>
      <c r="CA177">
        <v>0.7</v>
      </c>
      <c r="CB177">
        <v>1.3</v>
      </c>
      <c r="CC177">
        <v>1.8</v>
      </c>
      <c r="CD177">
        <v>0.7</v>
      </c>
      <c r="CE177">
        <v>3</v>
      </c>
      <c r="CI177" t="str">
        <v>Autumn</v>
      </c>
      <c r="CJ177">
        <v>0.7</v>
      </c>
      <c r="CK177">
        <v>0.7</v>
      </c>
      <c r="CL177">
        <v>0.7</v>
      </c>
      <c r="CM177">
        <v>0.7</v>
      </c>
      <c r="CN177">
        <v>0.7</v>
      </c>
      <c r="CO177">
        <v>0.7</v>
      </c>
    </row>
    <row r="178">
      <c r="BW178" t="str">
        <v>Winter</v>
      </c>
      <c r="BX178" t="str">
        <v>Maiden ewes</v>
      </c>
      <c r="BY178">
        <v>1.7</v>
      </c>
      <c r="BZ178">
        <v>1.7</v>
      </c>
      <c r="CA178">
        <v>0.9</v>
      </c>
      <c r="CB178">
        <v>0.8</v>
      </c>
      <c r="CC178">
        <v>1</v>
      </c>
      <c r="CD178">
        <v>1.2</v>
      </c>
      <c r="CE178">
        <v>4</v>
      </c>
      <c r="CI178" t="str">
        <v>Winter</v>
      </c>
      <c r="CJ178">
        <v>0.9</v>
      </c>
      <c r="CK178">
        <v>0.9</v>
      </c>
      <c r="CL178">
        <v>0.9</v>
      </c>
      <c r="CM178">
        <v>0.9</v>
      </c>
      <c r="CN178">
        <v>0.9</v>
      </c>
      <c r="CO178">
        <v>0.9</v>
      </c>
    </row>
    <row r="179">
      <c r="BW179" t="str">
        <v>Spring</v>
      </c>
      <c r="BX179" t="str">
        <v>Other ewes</v>
      </c>
      <c r="BY179">
        <v>2.9</v>
      </c>
      <c r="BZ179">
        <v>1.5</v>
      </c>
      <c r="CA179">
        <v>4</v>
      </c>
      <c r="CB179">
        <v>2.5</v>
      </c>
      <c r="CC179">
        <v>3.2</v>
      </c>
      <c r="CD179">
        <v>3.5</v>
      </c>
      <c r="CE179">
        <v>1</v>
      </c>
      <c r="CH179" t="str">
        <v>Tasmania</v>
      </c>
      <c r="CI179" t="str">
        <v>Spring</v>
      </c>
      <c r="CJ179">
        <v>2.5</v>
      </c>
      <c r="CK179">
        <v>2.5</v>
      </c>
      <c r="CL179">
        <v>2.5</v>
      </c>
      <c r="CM179">
        <v>2.5</v>
      </c>
      <c r="CN179">
        <v>2.5</v>
      </c>
      <c r="CO179">
        <v>2.5</v>
      </c>
    </row>
    <row r="180">
      <c r="BW180" t="str">
        <v>Summer</v>
      </c>
      <c r="BX180" t="str">
        <v>Other ewes</v>
      </c>
      <c r="BY180">
        <v>2.5</v>
      </c>
      <c r="BZ180">
        <v>2</v>
      </c>
      <c r="CA180">
        <v>2.5</v>
      </c>
      <c r="CB180">
        <v>2.5</v>
      </c>
      <c r="CC180">
        <v>3</v>
      </c>
      <c r="CD180">
        <v>1.5</v>
      </c>
      <c r="CE180">
        <v>2</v>
      </c>
      <c r="CI180" t="str">
        <v>Summer</v>
      </c>
      <c r="CJ180">
        <v>2.5</v>
      </c>
      <c r="CK180">
        <v>2.5</v>
      </c>
      <c r="CL180">
        <v>2.5</v>
      </c>
      <c r="CM180">
        <v>2.5</v>
      </c>
      <c r="CN180">
        <v>2.5</v>
      </c>
      <c r="CO180">
        <v>2.5</v>
      </c>
    </row>
    <row r="181">
      <c r="BW181" t="str">
        <v>Autumn</v>
      </c>
      <c r="BX181" t="str">
        <v>Other ewes</v>
      </c>
      <c r="BY181">
        <v>1.6</v>
      </c>
      <c r="BZ181">
        <v>2.2</v>
      </c>
      <c r="CA181">
        <v>0.7</v>
      </c>
      <c r="CB181">
        <v>1.3</v>
      </c>
      <c r="CC181">
        <v>1.8</v>
      </c>
      <c r="CD181">
        <v>0.7</v>
      </c>
      <c r="CE181">
        <v>3</v>
      </c>
      <c r="CI181" t="str">
        <v>Autumn</v>
      </c>
      <c r="CJ181">
        <v>1.3</v>
      </c>
      <c r="CK181">
        <v>1.3</v>
      </c>
      <c r="CL181">
        <v>1.3</v>
      </c>
      <c r="CM181">
        <v>1.3</v>
      </c>
      <c r="CN181">
        <v>1.3</v>
      </c>
      <c r="CO181">
        <v>1.3</v>
      </c>
    </row>
    <row r="182">
      <c r="BW182" t="str">
        <v>Winter</v>
      </c>
      <c r="BX182" t="str">
        <v>Other ewes</v>
      </c>
      <c r="BY182">
        <v>1.7</v>
      </c>
      <c r="BZ182">
        <v>1.7</v>
      </c>
      <c r="CA182">
        <v>0.9</v>
      </c>
      <c r="CB182">
        <v>0.8</v>
      </c>
      <c r="CC182">
        <v>1</v>
      </c>
      <c r="CD182">
        <v>1.2</v>
      </c>
      <c r="CE182">
        <v>4</v>
      </c>
      <c r="CI182" t="str">
        <v>Winter</v>
      </c>
      <c r="CJ182">
        <v>0.8</v>
      </c>
      <c r="CK182">
        <v>0.8</v>
      </c>
      <c r="CL182">
        <v>0.8</v>
      </c>
      <c r="CM182">
        <v>0.8</v>
      </c>
      <c r="CN182">
        <v>0.8</v>
      </c>
      <c r="CO182">
        <v>0.8</v>
      </c>
    </row>
    <row r="183">
      <c r="BW183" t="str">
        <v>Spring</v>
      </c>
      <c r="BX183" t="str">
        <v>Rams</v>
      </c>
      <c r="BY183">
        <v>2.9</v>
      </c>
      <c r="BZ183">
        <v>1.5</v>
      </c>
      <c r="CA183">
        <v>4</v>
      </c>
      <c r="CB183">
        <v>2.5</v>
      </c>
      <c r="CC183">
        <v>3.2</v>
      </c>
      <c r="CD183">
        <v>3.5</v>
      </c>
      <c r="CE183">
        <v>1</v>
      </c>
      <c r="CH183" t="str">
        <v>Victoria</v>
      </c>
      <c r="CI183" t="str">
        <v>Spring</v>
      </c>
      <c r="CJ183">
        <v>3.2</v>
      </c>
      <c r="CK183">
        <v>3.2</v>
      </c>
      <c r="CL183">
        <v>3.2</v>
      </c>
      <c r="CM183">
        <v>3.2</v>
      </c>
      <c r="CN183">
        <v>3.2</v>
      </c>
      <c r="CO183">
        <v>3.2</v>
      </c>
    </row>
    <row r="184">
      <c r="BW184" t="str">
        <v>Summer</v>
      </c>
      <c r="BX184" t="str">
        <v>Rams</v>
      </c>
      <c r="BY184">
        <v>2.5</v>
      </c>
      <c r="BZ184">
        <v>2</v>
      </c>
      <c r="CA184">
        <v>2.5</v>
      </c>
      <c r="CB184">
        <v>2.5</v>
      </c>
      <c r="CC184">
        <v>3</v>
      </c>
      <c r="CD184">
        <v>1.5</v>
      </c>
      <c r="CE184">
        <v>2</v>
      </c>
      <c r="CI184" t="str">
        <v>Summer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</row>
    <row r="185">
      <c r="BW185" t="str">
        <v>Autumn</v>
      </c>
      <c r="BX185" t="str">
        <v>Rams</v>
      </c>
      <c r="BY185">
        <v>1.6</v>
      </c>
      <c r="BZ185">
        <v>2.2</v>
      </c>
      <c r="CA185">
        <v>0.7</v>
      </c>
      <c r="CB185">
        <v>1.3</v>
      </c>
      <c r="CC185">
        <v>1.8</v>
      </c>
      <c r="CD185">
        <v>0.7</v>
      </c>
      <c r="CE185">
        <v>3</v>
      </c>
      <c r="CI185" t="str">
        <v>Autumn</v>
      </c>
      <c r="CJ185">
        <v>1.8</v>
      </c>
      <c r="CK185">
        <v>1.8</v>
      </c>
      <c r="CL185">
        <v>1.8</v>
      </c>
      <c r="CM185">
        <v>1.8</v>
      </c>
      <c r="CN185">
        <v>1.8</v>
      </c>
      <c r="CO185">
        <v>1.8</v>
      </c>
    </row>
    <row r="186">
      <c r="BW186" t="str">
        <v>Winter</v>
      </c>
      <c r="BX186" t="str">
        <v>Rams</v>
      </c>
      <c r="BY186">
        <v>1.7</v>
      </c>
      <c r="BZ186">
        <v>1.7</v>
      </c>
      <c r="CA186">
        <v>0.9</v>
      </c>
      <c r="CB186">
        <v>0.8</v>
      </c>
      <c r="CC186">
        <v>1</v>
      </c>
      <c r="CD186">
        <v>1.2</v>
      </c>
      <c r="CE186">
        <v>4</v>
      </c>
      <c r="CI186" t="str">
        <v>Winter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</row>
    <row r="187">
      <c r="BW187" t="str">
        <v>Spring</v>
      </c>
      <c r="BX187" t="str">
        <v>Wethers</v>
      </c>
      <c r="BY187">
        <v>2.9</v>
      </c>
      <c r="BZ187">
        <v>1.5</v>
      </c>
      <c r="CA187">
        <v>4</v>
      </c>
      <c r="CB187">
        <v>2.5</v>
      </c>
      <c r="CC187">
        <v>3.2</v>
      </c>
      <c r="CD187">
        <v>3.5</v>
      </c>
      <c r="CE187">
        <v>1</v>
      </c>
      <c r="CH187" t="str">
        <v>Western Australia</v>
      </c>
      <c r="CI187" t="str">
        <v>Spring</v>
      </c>
      <c r="CJ187">
        <v>3.5</v>
      </c>
      <c r="CK187">
        <v>3.5</v>
      </c>
      <c r="CL187">
        <v>3.5</v>
      </c>
      <c r="CM187">
        <v>3.5</v>
      </c>
      <c r="CN187">
        <v>3.5</v>
      </c>
      <c r="CO187">
        <v>3.5</v>
      </c>
    </row>
    <row r="188">
      <c r="BW188" t="str">
        <v>Summer</v>
      </c>
      <c r="BX188" t="str">
        <v>Wethers</v>
      </c>
      <c r="BY188">
        <v>2.5</v>
      </c>
      <c r="BZ188">
        <v>2</v>
      </c>
      <c r="CA188">
        <v>2.5</v>
      </c>
      <c r="CB188">
        <v>2.5</v>
      </c>
      <c r="CC188">
        <v>3</v>
      </c>
      <c r="CD188">
        <v>1.5</v>
      </c>
      <c r="CE188">
        <v>2</v>
      </c>
      <c r="CI188" t="str">
        <v>Summer</v>
      </c>
      <c r="CJ188">
        <v>1.5</v>
      </c>
      <c r="CK188">
        <v>1.5</v>
      </c>
      <c r="CL188">
        <v>1.5</v>
      </c>
      <c r="CM188">
        <v>1.5</v>
      </c>
      <c r="CN188">
        <v>1.5</v>
      </c>
      <c r="CO188">
        <v>1.5</v>
      </c>
    </row>
    <row r="189">
      <c r="BW189" t="str">
        <v>Autumn</v>
      </c>
      <c r="BX189" t="str">
        <v>Wethers</v>
      </c>
      <c r="BY189">
        <v>1.6</v>
      </c>
      <c r="BZ189">
        <v>2.2</v>
      </c>
      <c r="CA189">
        <v>0.7</v>
      </c>
      <c r="CB189">
        <v>1.3</v>
      </c>
      <c r="CC189">
        <v>1.8</v>
      </c>
      <c r="CD189">
        <v>0.7</v>
      </c>
      <c r="CE189">
        <v>3</v>
      </c>
      <c r="CI189" t="str">
        <v>Autumn</v>
      </c>
      <c r="CJ189">
        <v>0.7</v>
      </c>
      <c r="CK189">
        <v>0.7</v>
      </c>
      <c r="CL189">
        <v>0.7</v>
      </c>
      <c r="CM189">
        <v>0.7</v>
      </c>
      <c r="CN189">
        <v>0.7</v>
      </c>
      <c r="CO189">
        <v>0.7</v>
      </c>
    </row>
    <row r="190">
      <c r="BW190" t="str">
        <v>Winter</v>
      </c>
      <c r="BX190" t="str">
        <v>Wethers</v>
      </c>
      <c r="BY190">
        <v>1.7</v>
      </c>
      <c r="BZ190">
        <v>1.7</v>
      </c>
      <c r="CA190">
        <v>0.9</v>
      </c>
      <c r="CB190">
        <v>0.8</v>
      </c>
      <c r="CC190">
        <v>1</v>
      </c>
      <c r="CD190">
        <v>1.2</v>
      </c>
      <c r="CE190">
        <v>4</v>
      </c>
      <c r="CI190" t="str">
        <v>Winter</v>
      </c>
      <c r="CJ190">
        <v>1.2</v>
      </c>
      <c r="CK190">
        <v>1.2</v>
      </c>
      <c r="CL190">
        <v>1.2</v>
      </c>
      <c r="CM190">
        <v>1.2</v>
      </c>
      <c r="CN190">
        <v>1.2</v>
      </c>
      <c r="CO190">
        <v>1.2</v>
      </c>
    </row>
  </sheetData>
  <pageMargins left="0.7" right="0.7" top="0.75" bottom="0.75" header="0.3" footer="0.3"/>
  <ignoredErrors>
    <ignoredError numberStoredAsText="1" sqref="A1:CO1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O190"/>
  <sheetViews>
    <sheetView workbookViewId="0" rightToLeft="0"/>
  </sheetViews>
  <sheetData>
    <row r="1">
      <c r="M1" t="str">
        <v>3.4.1</v>
      </c>
      <c r="N1" t="str">
        <v>3.4.1</v>
      </c>
      <c r="AC1" t="str">
        <v>3.4.1 321</v>
      </c>
      <c r="AP1" t="str">
        <v>3.4.1</v>
      </c>
      <c r="AS1" t="str">
        <v>3.4.1</v>
      </c>
      <c r="AT1" t="str">
        <v>3.4.1</v>
      </c>
      <c r="AU1" t="str">
        <v>Ch 3.4.1</v>
      </c>
      <c r="BQ1">
        <v>1084</v>
      </c>
      <c r="BR1" t="str">
        <v>Bo</v>
      </c>
      <c r="BS1">
        <v>0.24</v>
      </c>
      <c r="BU1" t="str">
        <v>FAk</v>
      </c>
      <c r="BV1">
        <v>1.3</v>
      </c>
    </row>
    <row r="2">
      <c r="AD2" t="str">
        <v>LEjk=3,4 * 1.6</v>
      </c>
      <c r="AE2" t="str">
        <v>GWk * Yk / 365</v>
      </c>
      <c r="AF2" t="str">
        <v>LWGjk * 0.92</v>
      </c>
      <c r="AH2" t="str">
        <v>Wjk / SRWk</v>
      </c>
      <c r="AJ2" t="str">
        <v>1.6 * PLjk=6</v>
      </c>
      <c r="AK2" t="str">
        <v>((0.045 * MPjk=3,4) + (WPk * 0.84) + (EBGjk * ((212 - 4 * ((EBGjk * 1000) / (4 * SRWk ^0.75) - 1)) - (140 - 4 * (EBGjk * 1000)) / (1 + e^-6 * (Zjk - 0.4)) * 10^-3) / 6.25</v>
      </c>
      <c r="AL2" t="str">
        <v>(CPIjk ÷ 6.25 ) - NRjk</v>
      </c>
      <c r="AV2" t="str">
        <v>(Ijk * CPjk) + (0.045 * MCjk=6)</v>
      </c>
      <c r="AX2" t="str">
        <v>(Ijk * ((1 - DMDjk) + (0.04 * Ijk))) * ( 1 - A )</v>
      </c>
      <c r="BA2" t="str">
        <v>VSjk * BO * MMSm * MCFim * 𝜌</v>
      </c>
      <c r="BC2" t="str">
        <v>VSjk * BO * MMSm * MCFim * 𝜌</v>
      </c>
      <c r="BD2" t="str">
        <v>SUM SUM SUM (Njk * Mjkm * Dj) * 10^-3</v>
      </c>
      <c r="BF2" t="str">
        <v>SUM SUM (Njk * NEjk * Dj)</v>
      </c>
      <c r="BH2" t="str">
        <v>AE * FracGASMsoil</v>
      </c>
      <c r="BI2" t="str">
        <v>AE * FracWet * FracLEACH</v>
      </c>
      <c r="BJ2" t="str">
        <v>AE * EFPRP * CN2O * 10^-3</v>
      </c>
      <c r="BK2" t="str">
        <v>Mvol * EFN2O * CN2O * 10^-3</v>
      </c>
      <c r="BL2" t="str">
        <v>Mleach * EFleach * CN2O * 10^-3</v>
      </c>
      <c r="BQ2">
        <v>1087</v>
      </c>
      <c r="BR2" t="str">
        <v>A</v>
      </c>
      <c r="BS2">
        <v>0.08</v>
      </c>
    </row>
    <row r="3">
      <c r="J3" t="str">
        <v>1072</v>
      </c>
      <c r="K3" t="str">
        <v>1073</v>
      </c>
      <c r="L3" t="str">
        <v>1071</v>
      </c>
      <c r="M3">
        <v>342</v>
      </c>
      <c r="N3">
        <v>323</v>
      </c>
      <c r="O3" t="str">
        <v>1075</v>
      </c>
      <c r="P3" t="str">
        <v>1079</v>
      </c>
      <c r="Q3" t="str">
        <v>1078</v>
      </c>
      <c r="R3" t="str">
        <v>1077</v>
      </c>
      <c r="S3" t="str">
        <v>1081</v>
      </c>
      <c r="U3" t="str">
        <v>1085</v>
      </c>
      <c r="W3" t="str">
        <v>1082</v>
      </c>
      <c r="X3" t="str">
        <v>1092</v>
      </c>
      <c r="Y3" t="str">
        <v>1094</v>
      </c>
      <c r="Z3" t="str">
        <v>1095</v>
      </c>
      <c r="AA3" t="str">
        <v>1093</v>
      </c>
      <c r="AB3" t="str">
        <v>1091</v>
      </c>
      <c r="AC3" t="str">
        <v>1004</v>
      </c>
      <c r="AD3" t="str">
        <v>1003</v>
      </c>
      <c r="AE3" t="str">
        <v>1011</v>
      </c>
      <c r="AF3" t="str">
        <v>1017</v>
      </c>
      <c r="AG3" t="str">
        <v>1089</v>
      </c>
      <c r="AH3" t="str">
        <v>1021</v>
      </c>
      <c r="AI3" t="str">
        <v>990</v>
      </c>
      <c r="AJ3" t="str">
        <v>988</v>
      </c>
      <c r="AK3" t="str">
        <v>994</v>
      </c>
      <c r="AL3" t="str">
        <v>978</v>
      </c>
      <c r="AM3" t="str">
        <v>1090</v>
      </c>
      <c r="AN3" t="str">
        <v>1088</v>
      </c>
      <c r="AO3">
        <v>351</v>
      </c>
      <c r="AP3">
        <v>314</v>
      </c>
      <c r="AQ3">
        <v>302</v>
      </c>
      <c r="AR3">
        <v>349</v>
      </c>
      <c r="AS3">
        <v>308</v>
      </c>
      <c r="AT3">
        <v>296</v>
      </c>
      <c r="AU3" t="str">
        <v>946</v>
      </c>
      <c r="AV3" t="str">
        <v>983</v>
      </c>
      <c r="AW3" t="str">
        <v>1087</v>
      </c>
      <c r="AX3" t="str">
        <v>945</v>
      </c>
      <c r="AY3" t="str">
        <v>1084</v>
      </c>
      <c r="AZ3" t="str">
        <v>1086</v>
      </c>
      <c r="BA3" t="str">
        <v>930</v>
      </c>
      <c r="BC3" t="str">
        <v>930</v>
      </c>
      <c r="BD3" t="str">
        <v>922</v>
      </c>
      <c r="BF3" t="str">
        <v>970</v>
      </c>
      <c r="BH3" t="str">
        <v>1045</v>
      </c>
      <c r="BI3" t="str">
        <v>1062</v>
      </c>
      <c r="BJ3" t="str">
        <v>963</v>
      </c>
      <c r="BK3" t="str">
        <v>1037</v>
      </c>
      <c r="BL3" t="str">
        <v>1056</v>
      </c>
      <c r="BR3" t="str">
        <v>Dj</v>
      </c>
      <c r="BS3">
        <v>91.25</v>
      </c>
    </row>
    <row r="4">
      <c r="J4" t="str">
        <v>input</v>
      </c>
      <c r="K4" t="str">
        <v>input</v>
      </c>
      <c r="L4" t="str">
        <v>input</v>
      </c>
      <c r="O4" t="str">
        <v>constant</v>
      </c>
      <c r="P4" t="str">
        <v>constant</v>
      </c>
      <c r="Q4" t="str">
        <v>constant</v>
      </c>
      <c r="R4" t="str">
        <v>constant</v>
      </c>
      <c r="S4" t="str">
        <v>constant</v>
      </c>
      <c r="U4" t="str">
        <v>constant</v>
      </c>
      <c r="W4" t="str">
        <v>constant</v>
      </c>
      <c r="X4" t="str">
        <v>constant</v>
      </c>
      <c r="Y4" t="str">
        <v>constant</v>
      </c>
      <c r="Z4" t="str">
        <v>constant</v>
      </c>
      <c r="AA4" t="str">
        <v>constant</v>
      </c>
      <c r="AB4" t="str">
        <v>constant</v>
      </c>
      <c r="AC4" t="str">
        <v>constant</v>
      </c>
      <c r="AD4" t="str">
        <v>expression</v>
      </c>
      <c r="AE4" t="str">
        <v>expression</v>
      </c>
      <c r="AF4" t="str">
        <v>expression</v>
      </c>
      <c r="AG4" t="str">
        <v>constant</v>
      </c>
      <c r="AH4" t="str">
        <v>expression</v>
      </c>
      <c r="AI4" t="str">
        <v>expression</v>
      </c>
      <c r="AJ4" t="str">
        <v>expression</v>
      </c>
      <c r="AK4" t="str">
        <v>expression</v>
      </c>
      <c r="AL4" t="str">
        <v>expression</v>
      </c>
      <c r="AM4" t="str">
        <v>constant</v>
      </c>
      <c r="AN4" t="str">
        <v>constant</v>
      </c>
      <c r="AO4" t="str">
        <v>constant</v>
      </c>
      <c r="AP4" t="str">
        <v>expression</v>
      </c>
      <c r="AQ4" t="str">
        <v>expression</v>
      </c>
      <c r="AR4" t="str">
        <v>constant</v>
      </c>
      <c r="AS4" t="str">
        <v>expression</v>
      </c>
      <c r="AT4" t="str">
        <v>expression</v>
      </c>
      <c r="AU4" t="str">
        <v>expression</v>
      </c>
      <c r="AV4" t="str">
        <v>expression</v>
      </c>
      <c r="AW4" t="str">
        <v>constant</v>
      </c>
      <c r="AX4" t="str">
        <v>expression</v>
      </c>
      <c r="AY4" t="str">
        <v>constant</v>
      </c>
      <c r="AZ4" t="str">
        <v>constant</v>
      </c>
      <c r="BA4" t="str">
        <v>expression</v>
      </c>
      <c r="BC4" t="str">
        <v>expression</v>
      </c>
      <c r="BD4" t="str">
        <v>expression</v>
      </c>
      <c r="BF4" t="str">
        <v>expression</v>
      </c>
      <c r="BH4" t="str">
        <v>expression</v>
      </c>
      <c r="BI4" t="str">
        <v>expression</v>
      </c>
      <c r="BJ4" t="str">
        <v>expression</v>
      </c>
      <c r="BK4" t="str">
        <v>expression</v>
      </c>
      <c r="BL4" t="str">
        <v>expression</v>
      </c>
      <c r="BQ4">
        <v>1094</v>
      </c>
      <c r="BR4" t="str">
        <v>FracLEACH</v>
      </c>
      <c r="BS4">
        <v>0.24</v>
      </c>
    </row>
    <row r="5">
      <c r="J5" t="str">
        <v/>
      </c>
      <c r="K5" t="str">
        <v/>
      </c>
      <c r="L5" t="str">
        <v/>
      </c>
      <c r="O5" t="str">
        <v>input</v>
      </c>
      <c r="P5" t="str">
        <v>input</v>
      </c>
      <c r="Q5" t="str">
        <v>input</v>
      </c>
      <c r="R5" t="str">
        <v>input</v>
      </c>
      <c r="S5" t="str">
        <v>input</v>
      </c>
      <c r="U5" t="str">
        <v/>
      </c>
      <c r="W5" t="str">
        <v>input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R5" t="str">
        <v>input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C5" t="str">
        <v/>
      </c>
      <c r="BD5" t="str">
        <v/>
      </c>
      <c r="BF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Q5">
        <v>1093</v>
      </c>
      <c r="BR5" t="str">
        <v>FracGASMSoil</v>
      </c>
      <c r="BS5">
        <v>0.21</v>
      </c>
      <c r="BW5" t="str">
        <v>A.1.4.5</v>
      </c>
      <c r="BX5" t="str">
        <v>LWGjk</v>
      </c>
    </row>
    <row r="6">
      <c r="BQ6">
        <v>1095</v>
      </c>
      <c r="BR6" t="str">
        <v>EFLeach</v>
      </c>
      <c r="BS6">
        <v>0.011</v>
      </c>
      <c r="BW6" t="str">
        <v>Season</v>
      </c>
      <c r="BX6" t="str">
        <v>Class</v>
      </c>
      <c r="BY6" t="str">
        <v>ACT/NSW</v>
      </c>
      <c r="BZ6" t="str">
        <v>Queensland</v>
      </c>
      <c r="CA6" t="str">
        <v>South Australia</v>
      </c>
      <c r="CB6" t="str">
        <v>Tasmania</v>
      </c>
      <c r="CC6" t="str">
        <v>Victoria</v>
      </c>
      <c r="CD6" t="str">
        <v>Western Australia</v>
      </c>
      <c r="CE6" t="str">
        <v>SeasonOrder</v>
      </c>
      <c r="CH6" t="str">
        <v>Column1</v>
      </c>
      <c r="CI6" t="str">
        <v>Column2</v>
      </c>
      <c r="CJ6" t="str">
        <v>Column3</v>
      </c>
      <c r="CK6" t="str">
        <v>Column4</v>
      </c>
      <c r="CL6" t="str">
        <v>Column5</v>
      </c>
      <c r="CM6" t="str">
        <v>Column6</v>
      </c>
      <c r="CN6" t="str">
        <v>Column7</v>
      </c>
      <c r="CO6" t="str">
        <v>Column8</v>
      </c>
    </row>
    <row r="7">
      <c r="BQ7">
        <v>1088</v>
      </c>
      <c r="BR7" t="str">
        <v>CN2O</v>
      </c>
      <c r="BS7">
        <f>44/28</f>
        <v>1.5714285714285714</v>
      </c>
      <c r="BW7" t="str">
        <v>Spring</v>
      </c>
      <c r="BX7" t="str">
        <v>Breeding ewes</v>
      </c>
      <c r="BY7">
        <v>0.04</v>
      </c>
      <c r="BZ7">
        <v>-0.02</v>
      </c>
      <c r="CA7">
        <v>0</v>
      </c>
      <c r="CB7">
        <v>-0.02</v>
      </c>
      <c r="CC7">
        <v>0.11</v>
      </c>
      <c r="CD7">
        <v>0.05</v>
      </c>
      <c r="CE7">
        <v>1</v>
      </c>
      <c r="CH7" t="str">
        <v>State</v>
      </c>
      <c r="CI7" t="str">
        <v>Season</v>
      </c>
      <c r="CJ7" t="str">
        <v>Rams</v>
      </c>
      <c r="CK7" t="str">
        <v>Wethers</v>
      </c>
      <c r="CL7" t="str">
        <v>Maiden ewes</v>
      </c>
      <c r="CM7" t="str">
        <v>Breeding ewes</v>
      </c>
      <c r="CN7" t="str">
        <v>Other ewes</v>
      </c>
      <c r="CO7" t="str">
        <v>Lambs and hoggets</v>
      </c>
    </row>
    <row r="8">
      <c r="J8" t="str">
        <v>kg / head</v>
      </c>
      <c r="K8" t="str">
        <v>d</v>
      </c>
      <c r="L8" t="str">
        <v>head</v>
      </c>
      <c r="O8" t="str">
        <v>days</v>
      </c>
      <c r="P8" t="str">
        <v>kg</v>
      </c>
      <c r="Q8" t="str">
        <v>d</v>
      </c>
      <c r="R8" t="str">
        <v>d</v>
      </c>
      <c r="S8" t="str">
        <v>kg</v>
      </c>
      <c r="U8" t="str">
        <v>d</v>
      </c>
      <c r="W8" t="str">
        <v>d</v>
      </c>
      <c r="X8" t="str">
        <v>d</v>
      </c>
      <c r="Y8" t="str">
        <v>d</v>
      </c>
      <c r="Z8" t="str">
        <v>kg N2O-N / kg N</v>
      </c>
      <c r="AA8" t="str">
        <v>kg volatilised N/kg N</v>
      </c>
      <c r="AB8" t="str">
        <v>kg N2O-N/kg N</v>
      </c>
      <c r="AC8" t="str">
        <v>d</v>
      </c>
      <c r="AD8" t="str">
        <v>kg/head/day</v>
      </c>
      <c r="AE8" t="str">
        <v>kg/head/day</v>
      </c>
      <c r="AF8" t="str">
        <v>kg</v>
      </c>
      <c r="AG8" t="str">
        <v>kg</v>
      </c>
      <c r="AH8" t="str">
        <v>d</v>
      </c>
      <c r="AI8" t="str">
        <v>d</v>
      </c>
      <c r="AJ8" t="str">
        <v>kg / head / day</v>
      </c>
      <c r="AK8" t="str">
        <v>kg N/head/day</v>
      </c>
      <c r="AL8" t="str">
        <v>kg N/head/day</v>
      </c>
      <c r="AM8" t="str">
        <v>kg N2O-N/kg N deposited</v>
      </c>
      <c r="AN8" t="str">
        <v>d</v>
      </c>
      <c r="AU8" t="str">
        <v>kg DM/head/day</v>
      </c>
      <c r="AV8" t="str">
        <v>kg/head/day</v>
      </c>
      <c r="AW8" t="str">
        <v>d</v>
      </c>
      <c r="AX8" t="str">
        <v>kg/head/day</v>
      </c>
      <c r="AY8" t="str">
        <v>m3 CH4/kgVS</v>
      </c>
      <c r="AZ8" t="str">
        <v>kg/m3</v>
      </c>
      <c r="BA8" t="str">
        <v>kg CH4/head/day</v>
      </c>
      <c r="BC8" t="str">
        <v>kg CH4/head/day</v>
      </c>
      <c r="BD8" t="str">
        <v>kg CH4</v>
      </c>
      <c r="BF8" t="str">
        <v>kg N</v>
      </c>
      <c r="BH8" t="str">
        <v>kg N</v>
      </c>
      <c r="BI8" t="str">
        <v>kg N</v>
      </c>
      <c r="BJ8" t="str">
        <v>t N2O</v>
      </c>
      <c r="BK8" t="str">
        <v>t N2O</v>
      </c>
      <c r="BL8" t="str">
        <v>t N2O</v>
      </c>
      <c r="BW8" t="str">
        <v>Summer</v>
      </c>
      <c r="BX8" t="str">
        <v>Breeding ewes</v>
      </c>
      <c r="BY8">
        <v>-0.05</v>
      </c>
      <c r="BZ8">
        <v>0.05</v>
      </c>
      <c r="CA8">
        <v>0</v>
      </c>
      <c r="CB8">
        <v>0</v>
      </c>
      <c r="CC8">
        <v>-0.05</v>
      </c>
      <c r="CD8">
        <v>-0.05</v>
      </c>
      <c r="CE8">
        <v>2</v>
      </c>
      <c r="CH8" t="str">
        <v>ACT/NSW</v>
      </c>
      <c r="CI8" t="str">
        <v>Spring</v>
      </c>
      <c r="CJ8">
        <v>0.07</v>
      </c>
      <c r="CK8">
        <v>0.08</v>
      </c>
      <c r="CL8">
        <v>0.07</v>
      </c>
      <c r="CM8">
        <v>0.04</v>
      </c>
      <c r="CN8">
        <v>0.05</v>
      </c>
      <c r="CO8">
        <v>0.16</v>
      </c>
    </row>
    <row r="9">
      <c r="J9" t="str">
        <v>greasy wool production per class</v>
      </c>
      <c r="K9" t="str">
        <v>average clean wool yield per class</v>
      </c>
      <c r="L9" t="str">
        <v>number of sheep in each time period and class</v>
      </c>
      <c r="M9" t="str">
        <v>Lambing rate</v>
      </c>
      <c r="N9" t="str">
        <v>Lamb marking rate</v>
      </c>
      <c r="O9" t="str">
        <v>number of days in each time period</v>
      </c>
      <c r="P9" t="str">
        <v>liveweight gain</v>
      </c>
      <c r="Q9" t="str">
        <v>crude protein content of feed intake</v>
      </c>
      <c r="R9" t="str">
        <v>dry matter digestibility</v>
      </c>
      <c r="S9" t="str">
        <v>liveweight</v>
      </c>
      <c r="U9" t="str">
        <v>fraction of waste in each MMS</v>
      </c>
      <c r="W9" t="str">
        <v>methane conversion factor for temperate zone and MMS</v>
      </c>
      <c r="X9" t="str">
        <v>fraction of N that is available for leaching and runoff</v>
      </c>
      <c r="Y9" t="str">
        <v>fraction of all N that is lost through leaching and runoff</v>
      </c>
      <c r="Z9" t="str">
        <v>emissions factor for leaching and runoff</v>
      </c>
      <c r="AA9" t="str">
        <v>fraction of nitrogen volatilised from urine and dung on pasture</v>
      </c>
      <c r="AB9" t="str">
        <v>NO2 emission factor for atmospheric deposition</v>
      </c>
      <c r="AC9" t="str">
        <v>proportion of ewes lactating each season or time period</v>
      </c>
      <c r="AD9" t="str">
        <v>milk production</v>
      </c>
      <c r="AE9" t="str">
        <v>clean wool production</v>
      </c>
      <c r="AF9" t="str">
        <v>empty body gain</v>
      </c>
      <c r="AG9" t="str">
        <v>standard reference weight</v>
      </c>
      <c r="AH9" t="str">
        <v>relative size</v>
      </c>
      <c r="AI9" t="str">
        <v>Proportion of lambs born in the time period</v>
      </c>
      <c r="AJ9" t="str">
        <v>Milk intake</v>
      </c>
      <c r="AK9" t="str">
        <v>amount of nitrogen retained by the body</v>
      </c>
      <c r="AL9" t="str">
        <v>Nitrogen excreted in each time period</v>
      </c>
      <c r="AM9" t="str">
        <v>Emissions factor for nitrous oxide from urine and dung</v>
      </c>
      <c r="AN9" t="str">
        <v>Factor to convert elemental mass of NO2 to molecular mass</v>
      </c>
      <c r="AU9" t="str">
        <v>dry matter intake</v>
      </c>
      <c r="AV9" t="str">
        <v>crude protein intake</v>
      </c>
      <c r="AW9" t="str">
        <v>ash content of feed intake</v>
      </c>
      <c r="AX9" t="str">
        <v>volatile solid production</v>
      </c>
      <c r="AY9" t="str">
        <v>emisions potential</v>
      </c>
      <c r="AZ9" t="str">
        <v>density of methane</v>
      </c>
      <c r="BA9" t="str">
        <v>methane produced from manure</v>
      </c>
      <c r="BC9" t="str">
        <v>methane produced from manure</v>
      </c>
      <c r="BD9" t="str">
        <v>annual methane production from manure</v>
      </c>
      <c r="BF9" t="str">
        <v>Total mass of nitrogen excreted on PRP</v>
      </c>
      <c r="BH9" t="str">
        <v>Mass of nitrogen volatilised</v>
      </c>
      <c r="BI9" t="str">
        <v>mass of nitrogen lost ot leaching and runoff</v>
      </c>
      <c r="BJ9" t="str">
        <v>annual direct NO2 from soils from deposition of urine and dung</v>
      </c>
      <c r="BK9" t="str">
        <v>annual atmospheric deposition emissions from urine and dung on pasture</v>
      </c>
      <c r="BL9" t="str">
        <v>Leaching and runoff emissions from urine and dung deposited on pasture</v>
      </c>
      <c r="BS9" t="str">
        <v>MCF</v>
      </c>
      <c r="BU9" t="str">
        <v>Lagoon</v>
      </c>
      <c r="BW9" t="str">
        <v>Autumn</v>
      </c>
      <c r="BX9" t="str">
        <v>Breeding ewes</v>
      </c>
      <c r="BY9">
        <v>0.01</v>
      </c>
      <c r="BZ9">
        <v>0</v>
      </c>
      <c r="CA9">
        <v>0</v>
      </c>
      <c r="CB9">
        <v>0</v>
      </c>
      <c r="CC9">
        <v>-0.02</v>
      </c>
      <c r="CD9">
        <v>-0.05</v>
      </c>
      <c r="CE9">
        <v>3</v>
      </c>
      <c r="CI9" t="str">
        <v>Summer</v>
      </c>
      <c r="CJ9">
        <v>0</v>
      </c>
      <c r="CK9">
        <v>-0.08</v>
      </c>
      <c r="CL9">
        <v>0</v>
      </c>
      <c r="CM9">
        <v>-0.05</v>
      </c>
      <c r="CN9">
        <v>-0.05</v>
      </c>
      <c r="CO9">
        <v>0.08</v>
      </c>
    </row>
    <row r="10">
      <c r="A10" t="str">
        <v>Scenario</v>
      </c>
      <c r="B10" t="str">
        <v>State</v>
      </c>
      <c r="C10" t="str">
        <v>State</v>
      </c>
      <c r="D10" t="str">
        <v>No unfenced water</v>
      </c>
      <c r="E10" t="str">
        <v>Leaching zone</v>
      </c>
      <c r="F10" t="str">
        <v>Production system</v>
      </c>
      <c r="G10" t="str">
        <v>Climate zone</v>
      </c>
      <c r="H10" t="str">
        <v>Class</v>
      </c>
      <c r="J10" t="str">
        <v>GWk</v>
      </c>
      <c r="K10" t="str">
        <v>Yk</v>
      </c>
      <c r="L10" t="str">
        <v>Njk</v>
      </c>
      <c r="M10" t="str">
        <v>LR</v>
      </c>
      <c r="N10" t="str">
        <v>LMR</v>
      </c>
      <c r="O10" t="str">
        <v>Dj</v>
      </c>
      <c r="P10" t="str">
        <v>LWGjk</v>
      </c>
      <c r="Q10" t="str">
        <v>CPjk</v>
      </c>
      <c r="R10" t="str">
        <v>DMDjk</v>
      </c>
      <c r="S10" t="str">
        <v>Wjk</v>
      </c>
      <c r="T10" t="str">
        <v>MMSm=1</v>
      </c>
      <c r="U10" t="str">
        <v>MMSm=14</v>
      </c>
      <c r="V10" t="str">
        <v>MCFim=1</v>
      </c>
      <c r="W10" t="str">
        <v>MCFim=14</v>
      </c>
      <c r="X10" t="str">
        <v>FracWet</v>
      </c>
      <c r="Y10" t="str">
        <v>FracLEACH</v>
      </c>
      <c r="Z10" t="str">
        <v>EFleach</v>
      </c>
      <c r="AA10" t="str">
        <v>FracGASMsoil</v>
      </c>
      <c r="AB10" t="str">
        <v>EFN2O</v>
      </c>
      <c r="AC10" t="str">
        <v>LEjk=3,4</v>
      </c>
      <c r="AD10" t="str">
        <v>MPjk=3,4</v>
      </c>
      <c r="AE10" t="str">
        <v>WPk</v>
      </c>
      <c r="AF10" t="str">
        <v>EBGjk</v>
      </c>
      <c r="AG10" t="str">
        <v>SRWk</v>
      </c>
      <c r="AH10" t="str">
        <v>Zjk</v>
      </c>
      <c r="AI10" t="str">
        <v>PLjk=6</v>
      </c>
      <c r="AJ10" t="str">
        <v>MCjk=6</v>
      </c>
      <c r="AK10" t="str">
        <v>NRjk</v>
      </c>
      <c r="AL10" t="str">
        <v>NEjk</v>
      </c>
      <c r="AM10" t="str">
        <v>EFPRP</v>
      </c>
      <c r="AN10" t="str">
        <v>CN2O</v>
      </c>
      <c r="AO10" t="str">
        <v>FAk</v>
      </c>
      <c r="AP10" t="str">
        <v>MAjk</v>
      </c>
      <c r="AQ10" t="str">
        <v>qmjk</v>
      </c>
      <c r="AR10" t="str">
        <v>DMAjk</v>
      </c>
      <c r="AS10" t="str">
        <v>RIjk</v>
      </c>
      <c r="AT10" t="str">
        <v>PIjk</v>
      </c>
      <c r="AU10" t="str">
        <v>Ijk</v>
      </c>
      <c r="AV10" t="str">
        <v>CPIjk</v>
      </c>
      <c r="AW10" t="str">
        <v>A</v>
      </c>
      <c r="AX10" t="str">
        <v>VSjk</v>
      </c>
      <c r="AY10" t="str">
        <v>BO</v>
      </c>
      <c r="AZ10" t="str">
        <v>𝜌</v>
      </c>
      <c r="BA10" t="str">
        <v>Mjkm=1</v>
      </c>
      <c r="BB10" t="str">
        <v>Mjkm=14</v>
      </c>
      <c r="BC10" t="str">
        <v>Mjk</v>
      </c>
      <c r="BD10" t="str">
        <v>ECH4</v>
      </c>
      <c r="BE10" t="str">
        <v>ECH4</v>
      </c>
      <c r="BF10" t="str">
        <v>AE</v>
      </c>
      <c r="BG10" t="str">
        <v>AE</v>
      </c>
      <c r="BH10" t="str">
        <v>Mvol</v>
      </c>
      <c r="BI10" t="str">
        <v>Mleach</v>
      </c>
      <c r="BJ10" t="str">
        <v>EN2O,dir</v>
      </c>
      <c r="BK10" t="str">
        <v>EN2O,ad</v>
      </c>
      <c r="BL10" t="str">
        <v>ESN2O,leach</v>
      </c>
      <c r="BR10" t="str">
        <v>PRP</v>
      </c>
      <c r="BS10">
        <v>0.0047</v>
      </c>
      <c r="BT10" t="str">
        <v>ACT</v>
      </c>
      <c r="BU10">
        <v>0.72</v>
      </c>
      <c r="BW10" t="str">
        <v>Winter</v>
      </c>
      <c r="BX10" t="str">
        <v>Breeding ewes</v>
      </c>
      <c r="BY10">
        <v>0</v>
      </c>
      <c r="BZ10">
        <v>-0.03</v>
      </c>
      <c r="CA10">
        <v>0</v>
      </c>
      <c r="CB10">
        <v>0.02</v>
      </c>
      <c r="CC10">
        <v>-0.03</v>
      </c>
      <c r="CD10">
        <v>0.05</v>
      </c>
      <c r="CE10">
        <v>4</v>
      </c>
      <c r="CI10" t="str">
        <v>Autumn</v>
      </c>
      <c r="CJ10">
        <v>-0.07</v>
      </c>
      <c r="CK10">
        <v>0</v>
      </c>
      <c r="CL10">
        <v>0</v>
      </c>
      <c r="CM10">
        <v>0.01</v>
      </c>
      <c r="CN10">
        <v>-0.01</v>
      </c>
      <c r="CO10">
        <v>0.05</v>
      </c>
    </row>
    <row r="11" xml:space="preserve">
      <c r="A11" t="str">
        <v>Baseline</v>
      </c>
      <c r="B11" t="str">
        <v>ACT</v>
      </c>
      <c r="C11" t="str">
        <v>ACT/NSW</v>
      </c>
      <c r="D11" t="str">
        <v>yes</v>
      </c>
      <c r="E11" t="str">
        <v>yes</v>
      </c>
      <c r="F11" t="str">
        <v>Irrigated pasture</v>
      </c>
      <c r="G11" t="str">
        <v>wet</v>
      </c>
      <c r="H11" t="str">
        <v>Breeding ewes</v>
      </c>
      <c r="I11" t="str">
        <v>Spring</v>
      </c>
      <c r="J11">
        <v>4</v>
      </c>
      <c r="K11">
        <v>0.65</v>
      </c>
      <c r="L11">
        <v>100</v>
      </c>
      <c r="M11">
        <v>95</v>
      </c>
      <c r="N11">
        <v>90</v>
      </c>
      <c r="O11">
        <f>$BS$3</f>
        <v>91.25</v>
      </c>
      <c r="P11" cm="1">
        <f t="array" ref="P11:P34">DROP(XLOOKUP($C11,TableLWG2_136[[#Headers],[ACT/NSW]:[Western Australia]],TableLWG2_136[[#All],[ACT/NSW]:[Western Australia]]),1)</f>
        <v>0.04</v>
      </c>
      <c r="Q11" cm="1">
        <f t="array" ref="Q11:Q34">DROP(XLOOKUP($C11,QueryCP37[[#Headers],[ACT/NSW]:[Western Australia]],QueryCP37[[#All],[ACT/NSW]:[Western Australia]]),1)</f>
        <v>0.2</v>
      </c>
      <c r="R11" cm="1">
        <f t="array" ref="R11:R34">DROP(XLOOKUP($C11,QueryDMD44[[#Headers],[ACT/NSW]:[Western Australia]],QueryDMD44[[#All],[ACT/NSW]:[Western Australia]]),1)</f>
        <v>0.75</v>
      </c>
      <c r="S11" cm="1">
        <f t="array" ref="S11:S34">DROP(XLOOKUP($C11,QueryW40[[#Headers],[ACT/NSW]:[Western Australia]],QueryW40[[#All],[ACT/NSW]:[Western Australia]]),1)</f>
        <v>54</v>
      </c>
      <c r="T11">
        <f>1-U11</f>
        <v>0</v>
      </c>
      <c r="U11">
        <f>IF($D$11="yes", 1, VLOOKUP(B11, $BR$26:$BT$32, 1))</f>
        <v>1</v>
      </c>
      <c r="V11">
        <f>VLOOKUP($B$11,$BT$10:$BU$16, 2, FALSE)</f>
        <v>0.72</v>
      </c>
      <c r="W11">
        <f>$BS$10</f>
        <v>0.0047</v>
      </c>
      <c r="X11">
        <f>IF(E11="yes",1,0)</f>
        <v>1</v>
      </c>
      <c r="Y11">
        <f>$BS$4</f>
        <v>0.24</v>
      </c>
      <c r="Z11">
        <f>$BS$6</f>
        <v>0.011</v>
      </c>
      <c r="AA11">
        <f>$BS$5</f>
        <v>0.21</v>
      </c>
      <c r="AB11">
        <f>VLOOKUP($F$11,$BR$37:$BS$49,2,FALSE)</f>
        <v>0.0059</v>
      </c>
      <c r="AC11">
        <f>(M11/100)*(MIN(N11,100)/100)</f>
        <v>0.855</v>
      </c>
      <c r="AD11">
        <f>AC11 * 1.6</f>
        <v>1.368</v>
      </c>
      <c r="AE11">
        <f>J11 * K11 / 365</f>
        <v>0.007123287671232877</v>
      </c>
      <c r="AF11">
        <f>P11 * 0.92</f>
        <v>0.0368</v>
      </c>
      <c r="AG11" cm="1">
        <f t="array" ref="AG11:AG34">DROP(XLOOKUP($C11,QuerySRW45[[#Headers],[ACT/NSW]:[Western Australia]],QuerySRW45[[#All],[ACT/NSW]:[Western Australia]]),1)</f>
        <v>57</v>
      </c>
      <c r="AH11">
        <f>S11 / AG11</f>
        <v>0.9473684210526315</v>
      </c>
      <c r="AI11">
        <v>0</v>
      </c>
      <c r="AJ11">
        <f>1.6 * AI11</f>
        <v>0</v>
      </c>
      <c r="AK11" xml:space="preserve">
        <f xml:space="preserve">(0.045*AD11+AE11*0.84+
      (AF11*
          (
              (212 - 4*(AF11*1000/(4*AG11^0.75)-1))-((140 - 4 * (AF11*1000/(4*AG11^0.75)-1))/(1+EXP(-6*(AH11-0.4))))
          )
      )*10^-3
)/6.25</f>
        <v>0.011261151088387938</v>
      </c>
      <c r="AL11">
        <f>(AV11 / 6.25 ) - AK11</f>
        <v>0.0398868291652205</v>
      </c>
      <c r="AM11">
        <f>IF($G$11="wet",$BU$18,$BU$19)</f>
        <v>0.006</v>
      </c>
      <c r="AN11">
        <f>$BS$7</f>
        <v>1.5714285714285714</v>
      </c>
      <c r="AO11">
        <f>$BV$1</f>
        <v>1.3</v>
      </c>
      <c r="AP11">
        <f>AC11*AO11+(1-AC11)</f>
        <v>1.2565</v>
      </c>
      <c r="AQ11">
        <f>(0.795*R11)-0.0014</f>
        <v>0.5948500000000001</v>
      </c>
      <c r="AR11" cm="1">
        <f t="array" ref="AR11:AR34">DROP(XLOOKUP($C11,QueryDMA43[[#Headers],[ACT/NSW]:[Western Australia]],QueryDMA43[[#All],[ACT/NSW]:[Western Australia]]),1)</f>
        <v>2.9</v>
      </c>
      <c r="AS11">
        <f>1 - EXP(-2*(AR11^2))</f>
        <v>0.9999999504359468</v>
      </c>
      <c r="AT11">
        <f>(104.7*AQ11+0.307*S11-15)*(S11^0.75)*10^-3</f>
        <v>1.2720847291262878</v>
      </c>
      <c r="AU11">
        <f>AT11*AS11*AP11</f>
        <v>1.5983743829252637</v>
      </c>
      <c r="AV11">
        <f>(AU11 * Q11) + (0.045 * AJ11)</f>
        <v>0.3196748765850528</v>
      </c>
      <c r="AW11">
        <f>$BS$2</f>
        <v>0.08</v>
      </c>
      <c r="AX11">
        <f>(AU11 * ((1 - R11) + (0.04 * AU11))) * ( 1 - AW11 )</f>
        <v>0.46164277265490583</v>
      </c>
      <c r="AY11">
        <f>$BS$1</f>
        <v>0.24</v>
      </c>
      <c r="AZ11">
        <f>$BT$20</f>
        <v>0.6784</v>
      </c>
      <c r="BA11">
        <f>AX11 * AY11 * T11 * V11 * AZ11</f>
        <v>0</v>
      </c>
      <c r="BB11">
        <f>AX11*AY11*U11*W11*AZ11</f>
        <v>0.0003532652994611314</v>
      </c>
      <c r="BC11">
        <f>BA11+BB11</f>
        <v>0.0003532652994611314</v>
      </c>
      <c r="BD11">
        <f>L11*BC11*O11</f>
        <v>3.223545857582824</v>
      </c>
      <c r="BE11">
        <f>SUM(BD11:BD34)*10^-3</f>
        <v>0.06814717206467437</v>
      </c>
      <c r="BF11">
        <f>L11*AL11*O11</f>
        <v>363.96731613263705</v>
      </c>
      <c r="BG11">
        <f>SUM(BF11:BF34)</f>
        <v>6370.048237553447</v>
      </c>
      <c r="BH11">
        <f>BF11 * AA11</f>
        <v>76.43313638785378</v>
      </c>
      <c r="BI11">
        <f>BF11 * X11 * Y11</f>
        <v>87.35215587183289</v>
      </c>
      <c r="BJ11">
        <f>BF11 * AM11 * AN11 * 10^-3</f>
        <v>0.0034316918378220064</v>
      </c>
      <c r="BK11">
        <f>BH11 * AB11 * AN11 * 10^-3</f>
        <v>0.0007086443645102443</v>
      </c>
      <c r="BL11">
        <f>BI11 * Z11 * AN11 * 10^-3</f>
        <v>0.0015099444086416828</v>
      </c>
      <c r="BT11" t="str">
        <v xml:space="preserve">NSW </v>
      </c>
      <c r="BU11">
        <v>0.75</v>
      </c>
      <c r="BW11" t="str">
        <v>Spring</v>
      </c>
      <c r="BX11" t="str">
        <v>Lambs and hoggets</v>
      </c>
      <c r="BY11">
        <v>0.16</v>
      </c>
      <c r="BZ11">
        <v>0.2</v>
      </c>
      <c r="CA11">
        <v>0.11</v>
      </c>
      <c r="CB11">
        <v>0.15</v>
      </c>
      <c r="CC11">
        <v>0.15</v>
      </c>
      <c r="CD11">
        <v>0.11</v>
      </c>
      <c r="CE11">
        <v>1</v>
      </c>
      <c r="CI11" t="str">
        <v>Winter</v>
      </c>
      <c r="CJ11">
        <v>0</v>
      </c>
      <c r="CK11">
        <v>0</v>
      </c>
      <c r="CL11">
        <v>0.02</v>
      </c>
      <c r="CM11">
        <v>0</v>
      </c>
      <c r="CN11">
        <v>0.01</v>
      </c>
      <c r="CO11">
        <v>0.04</v>
      </c>
    </row>
    <row r="12" xml:space="preserve">
      <c r="I12" t="str">
        <v>Summer</v>
      </c>
      <c r="J12">
        <f>J11</f>
        <v>4</v>
      </c>
      <c r="K12">
        <f>K11</f>
        <v>0.65</v>
      </c>
      <c r="L12">
        <v>70</v>
      </c>
      <c r="M12">
        <v>0</v>
      </c>
      <c r="N12">
        <v>0</v>
      </c>
      <c r="O12">
        <f>$BS$3</f>
        <v>91.25</v>
      </c>
      <c r="P12">
        <v>-0.05</v>
      </c>
      <c r="Q12">
        <v>0.1</v>
      </c>
      <c r="R12">
        <v>0.61</v>
      </c>
      <c r="S12">
        <v>49</v>
      </c>
      <c r="T12">
        <f>1-U12</f>
        <v>0</v>
      </c>
      <c r="U12">
        <f>IF($D$11="yes", 1, VLOOKUP(B12, $BR$26:$BT$32, 1))</f>
        <v>1</v>
      </c>
      <c r="V12">
        <f>VLOOKUP($B$11,$BT$10:$BU$16, 2, FALSE)</f>
        <v>0.72</v>
      </c>
      <c r="W12">
        <f>$BS$10</f>
        <v>0.0047</v>
      </c>
      <c r="X12">
        <f>IF(E12="yes",1,0)</f>
        <v>0</v>
      </c>
      <c r="Y12">
        <f>$BS$4</f>
        <v>0.24</v>
      </c>
      <c r="Z12">
        <f>$BS$6</f>
        <v>0.011</v>
      </c>
      <c r="AA12">
        <f>$BS$5</f>
        <v>0.21</v>
      </c>
      <c r="AB12">
        <f>VLOOKUP($F$11,$BR$37:$BS$49,2,FALSE)</f>
        <v>0.0059</v>
      </c>
      <c r="AC12">
        <f>(M12/100)*(MIN(N12,100)/100)</f>
        <v>0</v>
      </c>
      <c r="AD12">
        <f>AC12 * 1.6</f>
        <v>0</v>
      </c>
      <c r="AE12">
        <f>J12 * K12 / 365</f>
        <v>0.007123287671232877</v>
      </c>
      <c r="AF12">
        <f>P12 * 0.92</f>
        <v>-0.046000000000000006</v>
      </c>
      <c r="AG12">
        <v>57</v>
      </c>
      <c r="AH12">
        <f>S12 / AG12</f>
        <v>0.8596491228070176</v>
      </c>
      <c r="AI12">
        <v>0</v>
      </c>
      <c r="AJ12">
        <f>1.6 * AI12</f>
        <v>0</v>
      </c>
      <c r="AK12" xml:space="preserve">
        <f xml:space="preserve">(0.045*AD12+AE12*0.84+
      (AF12*
          (
              (212 - 4*(AF12*1000/(4*AG12^0.75)-1))-((140 - 4 * (AF12*1000/(4*AG12^0.75)-1))/(1+EXP(-6*(AH12-0.4))))
          )
      )*10^-3
)/6.25</f>
        <v>0.00036326515165143006</v>
      </c>
      <c r="AL12">
        <f>(AV12 / 6.25 ) - AK12</f>
        <v>0.014651626395231406</v>
      </c>
      <c r="AM12">
        <f>IF($G$11="wet",$BU$18,$BU$19)</f>
        <v>0.006</v>
      </c>
      <c r="AN12">
        <f>$BS$7</f>
        <v>1.5714285714285714</v>
      </c>
      <c r="AO12">
        <f>$BV$1</f>
        <v>1.3</v>
      </c>
      <c r="AP12">
        <f>AC12*AO12+(1-AC12)</f>
        <v>1</v>
      </c>
      <c r="AQ12">
        <f>(0.795*R12)-0.0014</f>
        <v>0.48355</v>
      </c>
      <c r="AR12">
        <v>2.5</v>
      </c>
      <c r="AS12">
        <f>1 - EXP(-2*(AR12^2))</f>
        <v>0.999996273346828</v>
      </c>
      <c r="AT12">
        <f>(104.7*AQ12+0.307*S12-15)*(S12^0.75)*10^-3</f>
        <v>0.9384342188990358</v>
      </c>
      <c r="AU12">
        <f>AT12*AS12*AP12</f>
        <v>0.9384307216801772</v>
      </c>
      <c r="AV12">
        <f>(AU12 * Q12) + (0.045 * AJ12)</f>
        <v>0.09384307216801772</v>
      </c>
      <c r="AW12">
        <f>$BS$2</f>
        <v>0.08</v>
      </c>
      <c r="AX12">
        <f>(AU12 * ((1 - R12) + (0.04 * AU12))) * ( 1 - AW12 )</f>
        <v>0.3691169446125166</v>
      </c>
      <c r="AY12">
        <f>$BS$1</f>
        <v>0.24</v>
      </c>
      <c r="AZ12">
        <f>$BT$20</f>
        <v>0.6784</v>
      </c>
      <c r="BA12">
        <f>AX12 * AY12 * T12 * V12 * AZ12</f>
        <v>0</v>
      </c>
      <c r="BB12">
        <f>AX12*AY12*U12*W12*AZ12</f>
        <v>0.00028246127893394806</v>
      </c>
      <c r="BC12">
        <f>BA12+BB12</f>
        <v>0.00028246127893394806</v>
      </c>
      <c r="BD12">
        <f>L12*BC12*O12</f>
        <v>1.8042214191905934</v>
      </c>
      <c r="BF12">
        <f>L12*AL12*O12</f>
        <v>93.5872635995406</v>
      </c>
      <c r="BT12" t="str">
        <v xml:space="preserve">QLD </v>
      </c>
      <c r="BU12">
        <v>0.78</v>
      </c>
      <c r="BW12" t="str">
        <v>Summer</v>
      </c>
      <c r="BX12" t="str">
        <v>Lambs and hoggets</v>
      </c>
      <c r="BY12">
        <v>0.08</v>
      </c>
      <c r="BZ12">
        <v>0.05</v>
      </c>
      <c r="CA12">
        <v>0.05</v>
      </c>
      <c r="CB12">
        <v>0.11</v>
      </c>
      <c r="CC12">
        <v>0.07</v>
      </c>
      <c r="CD12">
        <v>0</v>
      </c>
      <c r="CE12">
        <v>2</v>
      </c>
      <c r="CH12" t="str">
        <v>Queensland</v>
      </c>
      <c r="CI12" t="str">
        <v>Spring</v>
      </c>
      <c r="CJ12">
        <v>-0.02</v>
      </c>
      <c r="CK12">
        <v>0</v>
      </c>
      <c r="CL12">
        <v>0</v>
      </c>
      <c r="CM12">
        <v>-0.02</v>
      </c>
      <c r="CN12">
        <v>-0.03</v>
      </c>
      <c r="CO12">
        <v>0.2</v>
      </c>
    </row>
    <row r="13" xml:space="preserve">
      <c r="I13" t="str">
        <v>Autumn</v>
      </c>
      <c r="J13">
        <f>J12</f>
        <v>4</v>
      </c>
      <c r="K13">
        <f>K11</f>
        <v>0.65</v>
      </c>
      <c r="L13">
        <v>65</v>
      </c>
      <c r="M13">
        <v>0</v>
      </c>
      <c r="N13">
        <v>0</v>
      </c>
      <c r="O13">
        <f>$BS$3</f>
        <v>91.25</v>
      </c>
      <c r="P13">
        <v>0.01</v>
      </c>
      <c r="Q13">
        <v>0.12</v>
      </c>
      <c r="R13">
        <v>0.64</v>
      </c>
      <c r="S13">
        <v>50</v>
      </c>
      <c r="T13">
        <f>1-U13</f>
        <v>0</v>
      </c>
      <c r="U13">
        <f>IF($D$11="yes", 1, VLOOKUP(B13, $BR$26:$BT$32, 1))</f>
        <v>1</v>
      </c>
      <c r="V13">
        <f>VLOOKUP($B$11,$BT$10:$BU$16, 2, FALSE)</f>
        <v>0.72</v>
      </c>
      <c r="W13">
        <f>$BS$10</f>
        <v>0.0047</v>
      </c>
      <c r="X13">
        <f>IF(E13="yes",1,0)</f>
        <v>0</v>
      </c>
      <c r="Y13">
        <f>$BS$4</f>
        <v>0.24</v>
      </c>
      <c r="Z13">
        <f>$BS$6</f>
        <v>0.011</v>
      </c>
      <c r="AA13">
        <f>$BS$5</f>
        <v>0.21</v>
      </c>
      <c r="AB13">
        <f>VLOOKUP($F$11,$BR$37:$BS$49,2,FALSE)</f>
        <v>0.0059</v>
      </c>
      <c r="AC13">
        <f>(M13/100)*(MIN(N13,100)/100)</f>
        <v>0</v>
      </c>
      <c r="AD13">
        <f>AC13 * 1.6</f>
        <v>0</v>
      </c>
      <c r="AE13">
        <f>J13 * K13 / 365</f>
        <v>0.007123287671232877</v>
      </c>
      <c r="AF13">
        <f>P13 * 0.92</f>
        <v>0.0092</v>
      </c>
      <c r="AG13">
        <v>57</v>
      </c>
      <c r="AH13">
        <f>S13 / AG13</f>
        <v>0.8771929824561403</v>
      </c>
      <c r="AI13">
        <v>0</v>
      </c>
      <c r="AJ13">
        <f>1.6 * AI13</f>
        <v>0</v>
      </c>
      <c r="AK13" xml:space="preserve">
        <f xml:space="preserve">(0.045*AD13+AE13*0.84+_x000d_
      (AF13*_x000d_
          (_x000d_
              (212 - 4*(AF13*1000/(4*AG13^0.75)-1))-((140 - 4 * (AF13*1000/(4*AG13^0.75)-1))/(1+EXP(-6*(AH13-0.4))))_x000d_
          )_x000d_
      )*10^-3_x000d_
)/6.25</f>
        <v>0.0010747659693624819</v>
      </c>
      <c r="AL13">
        <f>(AV13 / 6.25 ) - AK13</f>
        <v>0.01811521741614671</v>
      </c>
      <c r="AM13">
        <f>IF($G$11="wet",$BU$18,$BU$19)</f>
        <v>0.006</v>
      </c>
      <c r="AN13">
        <f>$BS$7</f>
        <v>1.5714285714285714</v>
      </c>
      <c r="AO13">
        <f>$BV$1</f>
        <v>1.3</v>
      </c>
      <c r="AP13">
        <f>AC13*AO13+(1-AC13)</f>
        <v>1</v>
      </c>
      <c r="AQ13">
        <f>(0.795*R13)-0.0014</f>
        <v>0.5074000000000001</v>
      </c>
      <c r="AR13">
        <v>1.6</v>
      </c>
      <c r="AS13">
        <f>1 - EXP(-2*(AR13^2))</f>
        <v>0.994023977104994</v>
      </c>
      <c r="AT13">
        <f>(104.7*AQ13+0.307*S13-15)*(S13^0.75)*10^-3</f>
        <v>1.0054871153505722</v>
      </c>
      <c r="AU13">
        <f>AT13*AS13*AP13</f>
        <v>0.9994783013286037</v>
      </c>
      <c r="AV13">
        <f>(AU13 * Q13) + (0.045 * AJ13)</f>
        <v>0.11993739615943244</v>
      </c>
      <c r="AW13">
        <f>$BS$2</f>
        <v>0.08</v>
      </c>
      <c r="AX13">
        <f>(AU13 * ((1 - R13) + (0.04 * AU13))) * ( 1 - AW13 )</f>
        <v>0.3677888263936565</v>
      </c>
      <c r="AY13">
        <f>$BS$1</f>
        <v>0.24</v>
      </c>
      <c r="AZ13">
        <f>$BT$20</f>
        <v>0.6784</v>
      </c>
      <c r="BA13">
        <f>AX13 * AY13 * T13 * V13 * AZ13</f>
        <v>0</v>
      </c>
      <c r="BB13">
        <f>AX13*AY13*U13*W13*AZ13</f>
        <v>0.000281444956123115</v>
      </c>
      <c r="BC13">
        <f>BA13+BB13</f>
        <v>0.000281444956123115</v>
      </c>
      <c r="BD13">
        <f>L13*BC13*O13</f>
        <v>1.6693203960052256</v>
      </c>
      <c r="BF13">
        <f>L13*AL13*O13</f>
        <v>107.44588329952018</v>
      </c>
      <c r="BT13" t="str">
        <v xml:space="preserve">SA </v>
      </c>
      <c r="BU13">
        <v>0.74</v>
      </c>
      <c r="BW13" t="str">
        <v>Autumn</v>
      </c>
      <c r="BX13" t="str">
        <v>Lambs and hoggets</v>
      </c>
      <c r="BY13">
        <v>0.05</v>
      </c>
      <c r="BZ13">
        <v>0.2</v>
      </c>
      <c r="CA13">
        <v>0.16</v>
      </c>
      <c r="CB13">
        <v>0.13</v>
      </c>
      <c r="CC13">
        <v>0.05</v>
      </c>
      <c r="CD13">
        <v>0.11</v>
      </c>
      <c r="CE13">
        <v>3</v>
      </c>
      <c r="CI13" t="str">
        <v>Summer</v>
      </c>
      <c r="CJ13">
        <v>0.03</v>
      </c>
      <c r="CK13">
        <v>0.05</v>
      </c>
      <c r="CL13">
        <v>0.05</v>
      </c>
      <c r="CM13">
        <v>0.05</v>
      </c>
      <c r="CN13">
        <v>0.05</v>
      </c>
      <c r="CO13">
        <v>0.05</v>
      </c>
    </row>
    <row r="14" xml:space="preserve">
      <c r="I14" t="str">
        <v>Winter</v>
      </c>
      <c r="J14">
        <f>J13</f>
        <v>4</v>
      </c>
      <c r="K14">
        <f>K11</f>
        <v>0.65</v>
      </c>
      <c r="L14">
        <v>80</v>
      </c>
      <c r="M14">
        <v>0</v>
      </c>
      <c r="N14">
        <v>0</v>
      </c>
      <c r="O14">
        <f>$BS$3</f>
        <v>91.25</v>
      </c>
      <c r="P14">
        <v>0</v>
      </c>
      <c r="Q14">
        <v>0.18</v>
      </c>
      <c r="R14">
        <v>0.72</v>
      </c>
      <c r="S14">
        <v>50</v>
      </c>
      <c r="T14">
        <f>1-U14</f>
        <v>0</v>
      </c>
      <c r="U14">
        <f>IF($D$11="yes", 1, VLOOKUP(B14, $BR$26:$BT$32, 1))</f>
        <v>1</v>
      </c>
      <c r="V14">
        <f>VLOOKUP($B$11,$BT$10:$BU$16, 2, FALSE)</f>
        <v>0.72</v>
      </c>
      <c r="W14">
        <f>$BS$10</f>
        <v>0.0047</v>
      </c>
      <c r="X14">
        <f>IF(E14="yes",1,0)</f>
        <v>0</v>
      </c>
      <c r="Y14">
        <f>$BS$4</f>
        <v>0.24</v>
      </c>
      <c r="Z14">
        <f>$BS$6</f>
        <v>0.011</v>
      </c>
      <c r="AA14">
        <f>$BS$5</f>
        <v>0.21</v>
      </c>
      <c r="AB14">
        <f>VLOOKUP($F$11,$BR$37:$BS$49,2,FALSE)</f>
        <v>0.0059</v>
      </c>
      <c r="AC14">
        <f>(M14/100)*(MIN(N14,100)/100)</f>
        <v>0</v>
      </c>
      <c r="AD14">
        <f>AC14 * 1.6</f>
        <v>0</v>
      </c>
      <c r="AE14">
        <f>J14 * K14 / 365</f>
        <v>0.007123287671232877</v>
      </c>
      <c r="AF14">
        <f>P14 * 0.92</f>
        <v>0</v>
      </c>
      <c r="AG14">
        <v>57</v>
      </c>
      <c r="AH14">
        <f>S14 / AG14</f>
        <v>0.8771929824561403</v>
      </c>
      <c r="AI14">
        <v>0</v>
      </c>
      <c r="AJ14">
        <f>1.6 * AI14</f>
        <v>0</v>
      </c>
      <c r="AK14" xml:space="preserve">
        <f xml:space="preserve">(0.045*AD14+AE14*0.84+_x000d_
      (AF14*_x000d_
          (_x000d_
              (212 - 4*(AF14*1000/(4*AG14^0.75)-1))-((140 - 4 * (AF14*1000/(4*AG14^0.75)-1))/(1+EXP(-6*(AH14-0.4))))_x000d_
          )_x000d_
      )*10^-3_x000d_
)/6.25</f>
        <v>0.0009573698630136987</v>
      </c>
      <c r="AL14">
        <f>(AV14 / 6.25 ) - AK14</f>
        <v>0.03150606203219781</v>
      </c>
      <c r="AM14">
        <f>IF($G$11="wet",$BU$18,$BU$19)</f>
        <v>0.006</v>
      </c>
      <c r="AN14">
        <f>$BS$7</f>
        <v>1.5714285714285714</v>
      </c>
      <c r="AO14">
        <f>$BV$1</f>
        <v>1.3</v>
      </c>
      <c r="AP14">
        <f>AC14*AO14+(1-AC14)</f>
        <v>1</v>
      </c>
      <c r="AQ14">
        <f>(0.795*R14)-0.0014</f>
        <v>0.5710000000000001</v>
      </c>
      <c r="AR14">
        <v>1.7</v>
      </c>
      <c r="AS14">
        <f>1 - EXP(-2*(AR14^2))</f>
        <v>0.9969112845917633</v>
      </c>
      <c r="AT14">
        <f>(104.7*AQ14+0.307*S14-15)*(S14^0.75)*10^-3</f>
        <v>1.1306948910936463</v>
      </c>
      <c r="AU14">
        <f>AT14*AS14*AP14</f>
        <v>1.1272024963615108</v>
      </c>
      <c r="AV14">
        <f>(AU14 * Q14) + (0.045 * AJ14)</f>
        <v>0.20289644934507195</v>
      </c>
      <c r="AW14">
        <f>$BS$2</f>
        <v>0.08</v>
      </c>
      <c r="AX14">
        <f>(AU14 * ((1 - R14) + (0.04 * AU14))) * ( 1 - AW14 )</f>
        <v>0.3371249082778985</v>
      </c>
      <c r="AY14">
        <f>$BS$1</f>
        <v>0.24</v>
      </c>
      <c r="AZ14">
        <f>$BT$20</f>
        <v>0.6784</v>
      </c>
      <c r="BA14">
        <f>AX14 * AY14 * T14 * V14 * AZ14</f>
        <v>0</v>
      </c>
      <c r="BB14">
        <f>AX14*AY14*U14*W14*AZ14</f>
        <v>0.00025797984661101933</v>
      </c>
      <c r="BC14">
        <f>BA14+BB14</f>
        <v>0.00025797984661101933</v>
      </c>
      <c r="BD14">
        <f>L14*BC14*O14</f>
        <v>1.8832528802604411</v>
      </c>
      <c r="BF14">
        <f>L14*AL14*O14</f>
        <v>229.994252835044</v>
      </c>
      <c r="BT14" t="str">
        <v xml:space="preserve">TAS </v>
      </c>
      <c r="BU14">
        <v>0.69</v>
      </c>
      <c r="BW14" t="str">
        <v>Winter</v>
      </c>
      <c r="BX14" t="str">
        <v>Lambs and hoggets</v>
      </c>
      <c r="BY14">
        <v>0.04</v>
      </c>
      <c r="BZ14">
        <v>0.05</v>
      </c>
      <c r="CA14">
        <v>0.16</v>
      </c>
      <c r="CB14">
        <v>0.07</v>
      </c>
      <c r="CC14">
        <v>0.02</v>
      </c>
      <c r="CD14">
        <v>0.11</v>
      </c>
      <c r="CE14">
        <v>4</v>
      </c>
      <c r="CI14" t="str">
        <v>Autumn</v>
      </c>
      <c r="CJ14">
        <v>0.02</v>
      </c>
      <c r="CK14">
        <v>0</v>
      </c>
      <c r="CL14">
        <v>0</v>
      </c>
      <c r="CM14">
        <v>0</v>
      </c>
      <c r="CN14">
        <v>0</v>
      </c>
      <c r="CO14">
        <v>0.2</v>
      </c>
    </row>
    <row r="15" xml:space="preserve">
      <c r="H15" t="str">
        <v>Lambs and hoggets</v>
      </c>
      <c r="I15" t="str">
        <v>Spring</v>
      </c>
      <c r="J15">
        <v>3</v>
      </c>
      <c r="K15">
        <v>0.6</v>
      </c>
      <c r="L15">
        <v>200</v>
      </c>
      <c r="M15">
        <v>0</v>
      </c>
      <c r="N15">
        <v>0</v>
      </c>
      <c r="O15">
        <f>$BS$3</f>
        <v>91.25</v>
      </c>
      <c r="P15">
        <v>0.16</v>
      </c>
      <c r="Q15">
        <v>0.2</v>
      </c>
      <c r="R15">
        <v>0.75</v>
      </c>
      <c r="S15">
        <v>20</v>
      </c>
      <c r="T15">
        <f>1-U15</f>
        <v>0</v>
      </c>
      <c r="U15">
        <f>IF($D$11="yes", 1, VLOOKUP(B15, $BR$26:$BT$32, 1))</f>
        <v>1</v>
      </c>
      <c r="V15">
        <f>VLOOKUP($B$11,$BT$10:$BU$16, 2, FALSE)</f>
        <v>0.72</v>
      </c>
      <c r="W15">
        <f>$BS$10</f>
        <v>0.0047</v>
      </c>
      <c r="X15">
        <f>IF(E15="yes",1,0)</f>
        <v>0</v>
      </c>
      <c r="Y15">
        <f>$BS$4</f>
        <v>0.24</v>
      </c>
      <c r="Z15">
        <f>$BS$6</f>
        <v>0.011</v>
      </c>
      <c r="AA15">
        <f>$BS$5</f>
        <v>0.21</v>
      </c>
      <c r="AB15">
        <f>VLOOKUP($F$11,$BR$37:$BS$49,2,FALSE)</f>
        <v>0.0059</v>
      </c>
      <c r="AC15">
        <f>(M15/100)*(MIN(N15,100)/100)</f>
        <v>0</v>
      </c>
      <c r="AD15">
        <f>AC15 * 1.6</f>
        <v>0</v>
      </c>
      <c r="AE15">
        <f>J15 * K15 / 365</f>
        <v>0.004931506849315068</v>
      </c>
      <c r="AF15">
        <f>P15 * 0.92</f>
        <v>0.1472</v>
      </c>
      <c r="AG15">
        <v>60</v>
      </c>
      <c r="AH15">
        <f>S15 / AG15</f>
        <v>0.3333333333333333</v>
      </c>
      <c r="AI15">
        <v>1</v>
      </c>
      <c r="AJ15">
        <f>1.6 * AI15</f>
        <v>1.6</v>
      </c>
      <c r="AK15" xml:space="preserve">
        <f xml:space="preserve">(0.045*AD15+AE15*0.84+_x000d_
      (AF15*_x000d_
          (_x000d_
              (212 - 4*(AF15*1000/(4*AG15^0.75)-1))-((140 - 4 * (AF15*1000/(4*AG15^0.75)-1))/(1+EXP(-6*(AH15-0.4))))_x000d_
          )_x000d_
      )*10^-3_x000d_
)/6.25</f>
        <v>0.004292703552756263</v>
      </c>
      <c r="AL15">
        <f>(AV15 / 6.25 ) - AK15</f>
        <v>0.023394421603544668</v>
      </c>
      <c r="AM15">
        <f>IF($G$11="wet",$BU$18,$BU$19)</f>
        <v>0.006</v>
      </c>
      <c r="AN15">
        <f>$BS$7</f>
        <v>1.5714285714285714</v>
      </c>
      <c r="AO15">
        <f>$BV$1</f>
        <v>1.3</v>
      </c>
      <c r="AP15">
        <f>AC15*AO15+(1-AC15)</f>
        <v>1</v>
      </c>
      <c r="AQ15">
        <f>(0.795*R15)-0.0014</f>
        <v>0.5948500000000001</v>
      </c>
      <c r="AR15">
        <v>2.9</v>
      </c>
      <c r="AS15">
        <f>1 - EXP(-2*(AR15^2))</f>
        <v>0.9999999504359468</v>
      </c>
      <c r="AT15">
        <f>(104.7*AQ15+0.307*S15-15)*(S15^0.75)*10^-3</f>
        <v>0.5052226861752882</v>
      </c>
      <c r="AU15">
        <f>AT15*AS15*AP15</f>
        <v>0.5052226611344041</v>
      </c>
      <c r="AV15">
        <f>(AU15 * Q15) + (0.045 * AJ15)</f>
        <v>0.17304453222688082</v>
      </c>
      <c r="AW15">
        <f>$BS$2</f>
        <v>0.08</v>
      </c>
      <c r="AX15">
        <f>(AU15 * ((1 - R15) + (0.04 * AU15))) * ( 1 - AW15 )</f>
        <v>0.12559440975442615</v>
      </c>
      <c r="AY15">
        <f>$BS$1</f>
        <v>0.24</v>
      </c>
      <c r="AZ15">
        <f>$BT$20</f>
        <v>0.6784</v>
      </c>
      <c r="BA15">
        <f>AX15 * AY15 * T15 * V15 * AZ15</f>
        <v>0</v>
      </c>
      <c r="BB15">
        <f>AX15*AY15*U15*W15*AZ15</f>
        <v>0.00009610926326731025</v>
      </c>
      <c r="BC15">
        <f>BA15+BB15</f>
        <v>0.00009610926326731025</v>
      </c>
      <c r="BD15">
        <f>L15*BC15*O15</f>
        <v>1.753994054628412</v>
      </c>
      <c r="BF15">
        <f>L15*AL15*O15</f>
        <v>426.94819426469013</v>
      </c>
      <c r="BT15" t="str">
        <v xml:space="preserve">VIC </v>
      </c>
      <c r="BU15">
        <v>0.73</v>
      </c>
      <c r="BW15" t="str">
        <v>Spring</v>
      </c>
      <c r="BX15" t="str">
        <v>Maiden ewes</v>
      </c>
      <c r="BY15">
        <v>0.07</v>
      </c>
      <c r="BZ15">
        <v>0</v>
      </c>
      <c r="CA15">
        <v>0</v>
      </c>
      <c r="CB15">
        <v>0.03</v>
      </c>
      <c r="CC15">
        <v>0.16</v>
      </c>
      <c r="CD15">
        <v>0.05</v>
      </c>
      <c r="CE15">
        <v>1</v>
      </c>
      <c r="CI15" t="str">
        <v>Winter</v>
      </c>
      <c r="CJ15">
        <v>-0.03</v>
      </c>
      <c r="CK15">
        <v>-0.05</v>
      </c>
      <c r="CL15">
        <v>-0.05</v>
      </c>
      <c r="CM15">
        <v>-0.03</v>
      </c>
      <c r="CN15">
        <v>-0.02</v>
      </c>
      <c r="CO15">
        <v>0.05</v>
      </c>
    </row>
    <row r="16" xml:space="preserve">
      <c r="I16" t="str">
        <v>Summer</v>
      </c>
      <c r="J16">
        <f>J15</f>
        <v>3</v>
      </c>
      <c r="K16">
        <f>K15</f>
        <v>0.6</v>
      </c>
      <c r="L16">
        <v>210</v>
      </c>
      <c r="M16">
        <v>0</v>
      </c>
      <c r="N16">
        <v>0</v>
      </c>
      <c r="O16">
        <f>$BS$3</f>
        <v>91.25</v>
      </c>
      <c r="P16">
        <v>0.08</v>
      </c>
      <c r="Q16">
        <v>0.1</v>
      </c>
      <c r="R16">
        <v>0.61</v>
      </c>
      <c r="S16">
        <v>27</v>
      </c>
      <c r="T16">
        <f>1-U16</f>
        <v>0</v>
      </c>
      <c r="U16">
        <f>IF($D$11="yes", 1, VLOOKUP(B16, $BR$26:$BT$32, 1))</f>
        <v>1</v>
      </c>
      <c r="V16">
        <f>VLOOKUP($B$11,$BT$10:$BU$16, 2, FALSE)</f>
        <v>0.72</v>
      </c>
      <c r="W16">
        <f>$BS$10</f>
        <v>0.0047</v>
      </c>
      <c r="X16">
        <f>IF(E16="yes",1,0)</f>
        <v>0</v>
      </c>
      <c r="Y16">
        <f>$BS$4</f>
        <v>0.24</v>
      </c>
      <c r="Z16">
        <f>$BS$6</f>
        <v>0.011</v>
      </c>
      <c r="AA16">
        <f>$BS$5</f>
        <v>0.21</v>
      </c>
      <c r="AB16">
        <f>VLOOKUP($F$11,$BR$37:$BS$49,2,FALSE)</f>
        <v>0.0059</v>
      </c>
      <c r="AC16">
        <f>(M16/100)*(MIN(N16,100)/100)</f>
        <v>0</v>
      </c>
      <c r="AD16">
        <f>AC16 * 1.6</f>
        <v>0</v>
      </c>
      <c r="AE16">
        <f>J16 * K16 / 365</f>
        <v>0.004931506849315068</v>
      </c>
      <c r="AF16">
        <f>P16 * 0.92</f>
        <v>0.0736</v>
      </c>
      <c r="AG16">
        <v>61</v>
      </c>
      <c r="AH16">
        <f>S16 / AG16</f>
        <v>0.4426229508196721</v>
      </c>
      <c r="AI16">
        <v>0</v>
      </c>
      <c r="AJ16">
        <f>1.6 * AI16</f>
        <v>0</v>
      </c>
      <c r="AK16" xml:space="preserve">
        <f xml:space="preserve">(0.045*AD16+AE16*0.84+_x000d_
      (AF16*_x000d_
          (_x000d_
              (212 - 4*(AF16*1000/(4*AG16^0.75)-1))-((140 - 4 * (AF16*1000/(4*AG16^0.75)-1))/(1+EXP(-6*(AH16-0.4))))_x000d_
          )_x000d_
      )*10^-3_x000d_
)/6.25</f>
        <v>0.002233380100205178</v>
      </c>
      <c r="AL16">
        <f>(AV16 / 6.25 ) - AK16</f>
        <v>0.0060894444157458105</v>
      </c>
      <c r="AM16">
        <f>IF($G$11="wet",$BU$18,$BU$19)</f>
        <v>0.006</v>
      </c>
      <c r="AN16">
        <f>$BS$7</f>
        <v>1.5714285714285714</v>
      </c>
      <c r="AO16">
        <f>$BV$1</f>
        <v>1.3</v>
      </c>
      <c r="AP16">
        <f>AC16*AO16+(1-AC16)</f>
        <v>1</v>
      </c>
      <c r="AQ16">
        <f>(0.795*R16)-0.0014</f>
        <v>0.48355</v>
      </c>
      <c r="AR16">
        <v>2.5</v>
      </c>
      <c r="AS16">
        <f>1 - EXP(-2*(AR16^2))</f>
        <v>0.999996273346828</v>
      </c>
      <c r="AT16">
        <f>(104.7*AQ16+0.307*S16-15)*(S16^0.75)*10^-3</f>
        <v>0.5201784707716849</v>
      </c>
      <c r="AU16">
        <f>AT16*AS16*AP16</f>
        <v>0.5201765322469367</v>
      </c>
      <c r="AV16">
        <f>(AU16 * Q16) + (0.045 * AJ16)</f>
        <v>0.05201765322469368</v>
      </c>
      <c r="AW16">
        <f>$BS$2</f>
        <v>0.08</v>
      </c>
      <c r="AX16">
        <f>(AU16 * ((1 - R16) + (0.04 * AU16))) * ( 1 - AW16 )</f>
        <v>0.1965968171591774</v>
      </c>
      <c r="AY16">
        <f>$BS$1</f>
        <v>0.24</v>
      </c>
      <c r="AZ16">
        <f>$BT$20</f>
        <v>0.6784</v>
      </c>
      <c r="BA16">
        <f>AX16 * AY16 * T16 * V16 * AZ16</f>
        <v>0</v>
      </c>
      <c r="BB16">
        <f>AX16*AY16*U16*W16*AZ16</f>
        <v>0.00015044280469816656</v>
      </c>
      <c r="BC16">
        <f>BA16+BB16</f>
        <v>0.00015044280469816656</v>
      </c>
      <c r="BD16">
        <f>L16*BC16*O16</f>
        <v>2.882860245028617</v>
      </c>
      <c r="BF16">
        <f>L16*AL16*O16</f>
        <v>116.6889786167291</v>
      </c>
      <c r="BT16" t="str">
        <v xml:space="preserve">WA </v>
      </c>
      <c r="BU16">
        <v>0.76</v>
      </c>
      <c r="BW16" t="str">
        <v>Summer</v>
      </c>
      <c r="BX16" t="str">
        <v>Maiden ewes</v>
      </c>
      <c r="BY16">
        <v>0</v>
      </c>
      <c r="BZ16">
        <v>0.05</v>
      </c>
      <c r="CA16">
        <v>0</v>
      </c>
      <c r="CB16">
        <v>0</v>
      </c>
      <c r="CC16">
        <v>-0.05</v>
      </c>
      <c r="CD16">
        <v>-0.05</v>
      </c>
      <c r="CE16">
        <v>2</v>
      </c>
      <c r="CH16" t="str">
        <v>South Australia</v>
      </c>
      <c r="CI16" t="str">
        <v>Spring</v>
      </c>
      <c r="CJ16">
        <v>0.11</v>
      </c>
      <c r="CK16">
        <v>0.11</v>
      </c>
      <c r="CL16">
        <v>0</v>
      </c>
      <c r="CM16">
        <v>0</v>
      </c>
      <c r="CN16">
        <v>0</v>
      </c>
      <c r="CO16">
        <v>0.11</v>
      </c>
    </row>
    <row r="17" xml:space="preserve">
      <c r="I17" t="str">
        <v>Autumn</v>
      </c>
      <c r="J17">
        <f>J16</f>
        <v>3</v>
      </c>
      <c r="K17">
        <f>K16</f>
        <v>0.6</v>
      </c>
      <c r="L17">
        <v>170</v>
      </c>
      <c r="M17">
        <v>0</v>
      </c>
      <c r="N17">
        <v>0</v>
      </c>
      <c r="O17">
        <f>$BS$3</f>
        <v>91.25</v>
      </c>
      <c r="P17">
        <v>0.05</v>
      </c>
      <c r="Q17">
        <v>0.12</v>
      </c>
      <c r="R17">
        <v>0.64</v>
      </c>
      <c r="S17">
        <v>32</v>
      </c>
      <c r="T17">
        <f>1-U17</f>
        <v>0</v>
      </c>
      <c r="U17">
        <f>IF($D$11="yes", 1, VLOOKUP(B17, $BR$26:$BT$32, 1))</f>
        <v>1</v>
      </c>
      <c r="V17">
        <f>VLOOKUP($B$11,$BT$10:$BU$16, 2, FALSE)</f>
        <v>0.72</v>
      </c>
      <c r="W17">
        <f>$BS$10</f>
        <v>0.0047</v>
      </c>
      <c r="X17">
        <f>IF(E17="yes",1,0)</f>
        <v>0</v>
      </c>
      <c r="Y17">
        <f>$BS$4</f>
        <v>0.24</v>
      </c>
      <c r="Z17">
        <f>$BS$6</f>
        <v>0.011</v>
      </c>
      <c r="AA17">
        <f>$BS$5</f>
        <v>0.21</v>
      </c>
      <c r="AB17">
        <f>VLOOKUP($F$11,$BR$37:$BS$49,2,FALSE)</f>
        <v>0.0059</v>
      </c>
      <c r="AC17">
        <f>(M17/100)*(MIN(N17,100)/100)</f>
        <v>0</v>
      </c>
      <c r="AD17">
        <f>AC17 * 1.6</f>
        <v>0</v>
      </c>
      <c r="AE17">
        <f>J17 * K17 / 365</f>
        <v>0.004931506849315068</v>
      </c>
      <c r="AF17">
        <f>P17 * 0.92</f>
        <v>0.046000000000000006</v>
      </c>
      <c r="AG17">
        <v>62</v>
      </c>
      <c r="AH17">
        <f>S17 / AG17</f>
        <v>0.5161290322580645</v>
      </c>
      <c r="AI17">
        <v>0</v>
      </c>
      <c r="AJ17">
        <f>1.6 * AI17</f>
        <v>0</v>
      </c>
      <c r="AK17" xml:space="preserve">
        <f xml:space="preserve">(0.045*AD17+AE17*0.84+_x000d_
      (AF17*_x000d_
          (_x000d_
              (212 - 4*(AF17*1000/(4*AG17^0.75)-1))-((140 - 4 * (AF17*1000/(4*AG17^0.75)-1))/(1+EXP(-6*(AH17-0.4))))_x000d_
          )_x000d_
      )*10^-3_x000d_
)/6.25</f>
        <v>0.0015400455022570668</v>
      </c>
      <c r="AL17">
        <f>(AV17 / 6.25 ) - AK17</f>
        <v>0.01077222459730026</v>
      </c>
      <c r="AM17">
        <f>IF($G$11="wet",$BU$18,$BU$19)</f>
        <v>0.006</v>
      </c>
      <c r="AN17">
        <f>$BS$7</f>
        <v>1.5714285714285714</v>
      </c>
      <c r="AO17">
        <f>$BV$1</f>
        <v>1.3</v>
      </c>
      <c r="AP17">
        <f>AC17*AO17+(1-AC17)</f>
        <v>1</v>
      </c>
      <c r="AQ17">
        <f>(0.795*R17)-0.0014</f>
        <v>0.5074000000000001</v>
      </c>
      <c r="AR17">
        <v>1.6</v>
      </c>
      <c r="AS17">
        <f>1 - EXP(-2*(AR17^2))</f>
        <v>0.994023977104994</v>
      </c>
      <c r="AT17">
        <f>(104.7*AQ17+0.307*S17-15)*(S17^0.75)*10^-3</f>
        <v>0.6451193154846241</v>
      </c>
      <c r="AU17">
        <f>AT17*AS17*AP17</f>
        <v>0.6412640676852774</v>
      </c>
      <c r="AV17">
        <f>(AU17 * Q17) + (0.045 * AJ17)</f>
        <v>0.07695168812223328</v>
      </c>
      <c r="AW17">
        <f>$BS$2</f>
        <v>0.08</v>
      </c>
      <c r="AX17">
        <f>(AU17 * ((1 - R17) + (0.04 * AU17))) * ( 1 - AW17 )</f>
        <v>0.22751954066312097</v>
      </c>
      <c r="AY17">
        <f>$BS$1</f>
        <v>0.24</v>
      </c>
      <c r="AZ17">
        <f>$BT$20</f>
        <v>0.6784</v>
      </c>
      <c r="BA17">
        <f>AX17 * AY17 * T17 * V17 * AZ17</f>
        <v>0</v>
      </c>
      <c r="BB17">
        <f>AX17*AY17*U17*W17*AZ17</f>
        <v>0.00017410596120325152</v>
      </c>
      <c r="BC17">
        <f>BA17+BB17</f>
        <v>0.00017410596120325152</v>
      </c>
      <c r="BD17">
        <f>L17*BC17*O17</f>
        <v>2.700818723165439</v>
      </c>
      <c r="BF17">
        <f>L17*AL17*O17</f>
        <v>167.1041340656203</v>
      </c>
      <c r="BW17" t="str">
        <v>Autumn</v>
      </c>
      <c r="BX17" t="str">
        <v>Maiden ewes</v>
      </c>
      <c r="BY17">
        <v>0</v>
      </c>
      <c r="BZ17">
        <v>0</v>
      </c>
      <c r="CA17">
        <v>0</v>
      </c>
      <c r="CB17">
        <v>0</v>
      </c>
      <c r="CC17">
        <v>-0.02</v>
      </c>
      <c r="CD17">
        <v>0.11</v>
      </c>
      <c r="CE17">
        <v>3</v>
      </c>
      <c r="CI17" t="str">
        <v>Summer</v>
      </c>
      <c r="CJ17">
        <v>-0.1</v>
      </c>
      <c r="CK17">
        <v>-0.1</v>
      </c>
      <c r="CL17">
        <v>0</v>
      </c>
      <c r="CM17">
        <v>0</v>
      </c>
      <c r="CN17">
        <v>0</v>
      </c>
      <c r="CO17">
        <v>0.05</v>
      </c>
    </row>
    <row r="18" xml:space="preserve">
      <c r="I18" t="str">
        <v>Winter</v>
      </c>
      <c r="J18">
        <f>J17</f>
        <v>3</v>
      </c>
      <c r="K18">
        <f>K17</f>
        <v>0.6</v>
      </c>
      <c r="L18">
        <v>200</v>
      </c>
      <c r="M18">
        <v>0</v>
      </c>
      <c r="N18">
        <v>0</v>
      </c>
      <c r="O18">
        <f>$BS$3</f>
        <v>91.25</v>
      </c>
      <c r="P18">
        <v>0.04</v>
      </c>
      <c r="Q18">
        <v>0.18</v>
      </c>
      <c r="R18">
        <v>0.72</v>
      </c>
      <c r="S18">
        <v>34</v>
      </c>
      <c r="T18">
        <f>1-U18</f>
        <v>0</v>
      </c>
      <c r="U18">
        <f>IF($D$11="yes", 1, VLOOKUP(B18, $BR$26:$BT$32, 1))</f>
        <v>1</v>
      </c>
      <c r="V18">
        <f>VLOOKUP($B$11,$BT$10:$BU$16, 2, FALSE)</f>
        <v>0.72</v>
      </c>
      <c r="W18">
        <f>$BS$10</f>
        <v>0.0047</v>
      </c>
      <c r="X18">
        <f>IF(E18="yes",1,0)</f>
        <v>0</v>
      </c>
      <c r="Y18">
        <f>$BS$4</f>
        <v>0.24</v>
      </c>
      <c r="Z18">
        <f>$BS$6</f>
        <v>0.011</v>
      </c>
      <c r="AA18">
        <f>$BS$5</f>
        <v>0.21</v>
      </c>
      <c r="AB18">
        <f>VLOOKUP($F$11,$BR$37:$BS$49,2,FALSE)</f>
        <v>0.0059</v>
      </c>
      <c r="AC18">
        <f>(M18/100)*(MIN(N18,100)/100)</f>
        <v>0</v>
      </c>
      <c r="AD18">
        <f>AC18 * 1.6</f>
        <v>0</v>
      </c>
      <c r="AE18">
        <f>J18 * K18 / 365</f>
        <v>0.004931506849315068</v>
      </c>
      <c r="AF18">
        <f>P18 * 0.92</f>
        <v>0.0368</v>
      </c>
      <c r="AG18">
        <v>63</v>
      </c>
      <c r="AH18">
        <f>S18 / AG18</f>
        <v>0.5396825396825397</v>
      </c>
      <c r="AI18">
        <v>0</v>
      </c>
      <c r="AJ18">
        <f>1.6 * AI18</f>
        <v>0</v>
      </c>
      <c r="AK18" xml:space="preserve">
        <f xml:space="preserve">(0.045*AD18+AE18*0.84+_x000d_
      (AF18*_x000d_
          (_x000d_
              (212 - 4*(AF18*1000/(4*AG18^0.75)-1))-((140 - 4 * (AF18*1000/(4*AG18^0.75)-1))/(1+EXP(-6*(AH18-0.4))))_x000d_
          )_x000d_
      )*10^-3_x000d_
)/6.25</f>
        <v>0.0013398080165132112</v>
      </c>
      <c r="AL18">
        <f>(AV18 / 6.25 ) - AK18</f>
        <v>0.02098398359742434</v>
      </c>
      <c r="AM18">
        <f>IF($G$11="wet",$BU$18,$BU$19)</f>
        <v>0.006</v>
      </c>
      <c r="AN18">
        <f>$BS$7</f>
        <v>1.5714285714285714</v>
      </c>
      <c r="AO18">
        <f>$BV$1</f>
        <v>1.3</v>
      </c>
      <c r="AP18">
        <f>AC18*AO18+(1-AC18)</f>
        <v>1</v>
      </c>
      <c r="AQ18">
        <f>(0.795*R18)-0.0014</f>
        <v>0.5710000000000001</v>
      </c>
      <c r="AR18">
        <v>1.7</v>
      </c>
      <c r="AS18">
        <f>1 - EXP(-2*(AR18^2))</f>
        <v>0.9969112845917633</v>
      </c>
      <c r="AT18">
        <f>(104.7*AQ18+0.307*S18-15)*(S18^0.75)*10^-3</f>
        <v>0.7775332321362358</v>
      </c>
      <c r="AU18">
        <f>AT18*AS18*AP18</f>
        <v>0.7751316532617205</v>
      </c>
      <c r="AV18">
        <f>(AU18 * Q18) + (0.045 * AJ18)</f>
        <v>0.1395236975871097</v>
      </c>
      <c r="AW18">
        <f>$BS$2</f>
        <v>0.08</v>
      </c>
      <c r="AX18">
        <f>(AU18 * ((1 - R18) + (0.04 * AU18))) * ( 1 - AW18 )</f>
        <v>0.22178442402010679</v>
      </c>
      <c r="AY18">
        <f>$BS$1</f>
        <v>0.24</v>
      </c>
      <c r="AZ18">
        <f>$BT$20</f>
        <v>0.6784</v>
      </c>
      <c r="BA18">
        <f>AX18 * AY18 * T18 * V18 * AZ18</f>
        <v>0</v>
      </c>
      <c r="BB18">
        <f>AX18*AY18*U18*W18*AZ18</f>
        <v>0.0001697172480719112</v>
      </c>
      <c r="BC18">
        <f>BA18+BB18</f>
        <v>0.0001697172480719112</v>
      </c>
      <c r="BD18">
        <f>L18*BC18*O18</f>
        <v>3.097339777312379</v>
      </c>
      <c r="BF18">
        <f>L18*AL18*O18</f>
        <v>382.9577006529942</v>
      </c>
      <c r="BS18" t="str">
        <v>EFPRP</v>
      </c>
      <c r="BT18" t="str">
        <v>wet</v>
      </c>
      <c r="BU18">
        <v>0.006</v>
      </c>
      <c r="BW18" t="str">
        <v>Winter</v>
      </c>
      <c r="BX18" t="str">
        <v>Maiden ewes</v>
      </c>
      <c r="BY18">
        <v>0.02</v>
      </c>
      <c r="BZ18">
        <v>-0.05</v>
      </c>
      <c r="CA18">
        <v>0</v>
      </c>
      <c r="CB18">
        <v>0.5</v>
      </c>
      <c r="CC18">
        <v>-0.03</v>
      </c>
      <c r="CD18">
        <v>0.05</v>
      </c>
      <c r="CE18">
        <v>4</v>
      </c>
      <c r="CI18" t="str">
        <v>Autumn</v>
      </c>
      <c r="CJ18">
        <v>0</v>
      </c>
      <c r="CK18">
        <v>-0.1</v>
      </c>
      <c r="CL18">
        <v>0</v>
      </c>
      <c r="CM18">
        <v>0</v>
      </c>
      <c r="CN18">
        <v>0</v>
      </c>
      <c r="CO18">
        <v>0.16</v>
      </c>
    </row>
    <row r="19" xml:space="preserve">
      <c r="H19" t="str">
        <v>Maiden ewes</v>
      </c>
      <c r="I19" t="str">
        <v>Spring</v>
      </c>
      <c r="J19">
        <v>2</v>
      </c>
      <c r="K19">
        <v>0.65</v>
      </c>
      <c r="L19">
        <v>100</v>
      </c>
      <c r="M19">
        <v>95</v>
      </c>
      <c r="N19">
        <v>105</v>
      </c>
      <c r="O19">
        <f>$BS$3</f>
        <v>91.25</v>
      </c>
      <c r="P19">
        <v>0.07</v>
      </c>
      <c r="Q19">
        <v>0.2</v>
      </c>
      <c r="R19">
        <v>0.75</v>
      </c>
      <c r="S19">
        <v>44</v>
      </c>
      <c r="T19">
        <f>1-U19</f>
        <v>0</v>
      </c>
      <c r="U19">
        <f>IF($D$11="yes", 1, VLOOKUP(B19, $BR$26:$BT$32, 1))</f>
        <v>1</v>
      </c>
      <c r="V19">
        <f>VLOOKUP($B$11,$BT$10:$BU$16, 2, FALSE)</f>
        <v>0.72</v>
      </c>
      <c r="W19">
        <f>$BS$10</f>
        <v>0.0047</v>
      </c>
      <c r="X19">
        <f>IF(E19="yes",1,0)</f>
        <v>0</v>
      </c>
      <c r="Y19">
        <f>$BS$4</f>
        <v>0.24</v>
      </c>
      <c r="Z19">
        <f>$BS$6</f>
        <v>0.011</v>
      </c>
      <c r="AA19">
        <f>$BS$5</f>
        <v>0.21</v>
      </c>
      <c r="AB19">
        <f>VLOOKUP($F$11,$BR$37:$BS$49,2,FALSE)</f>
        <v>0.0059</v>
      </c>
      <c r="AC19">
        <f>(M19/100)*(MIN(N19,100)/100)</f>
        <v>0.95</v>
      </c>
      <c r="AD19">
        <f>AC19 * 1.6</f>
        <v>1.52</v>
      </c>
      <c r="AE19">
        <f>J19 * K19 / 365</f>
        <v>0.0035616438356164386</v>
      </c>
      <c r="AF19">
        <f>P19 * 0.92</f>
        <v>0.06440000000000001</v>
      </c>
      <c r="AG19">
        <v>57</v>
      </c>
      <c r="AH19">
        <f>S19 / AG19</f>
        <v>0.7719298245614035</v>
      </c>
      <c r="AI19">
        <v>0</v>
      </c>
      <c r="AJ19">
        <f>1.6 * AI19</f>
        <v>0</v>
      </c>
      <c r="AK19" xml:space="preserve">
        <f xml:space="preserve">(0.045*AD19+AE19*0.84+_x000d_
      (AF19*_x000d_
          (_x000d_
              (212 - 4*(AF19*1000/(4*AG19^0.75)-1))-((140 - 4 * (AF19*1000/(4*AG19^0.75)-1))/(1+EXP(-6*(AH19-0.4))))_x000d_
          )_x000d_
      )*10^-3_x000d_
)/6.25</f>
        <v>0.012305324245694275</v>
      </c>
      <c r="AL19">
        <f>(AV19 / 6.25 ) - AK19</f>
        <v>0.030398436809107053</v>
      </c>
      <c r="AM19">
        <f>IF($G$11="wet",$BU$18,$BU$19)</f>
        <v>0.006</v>
      </c>
      <c r="AN19">
        <f>$BS$7</f>
        <v>1.5714285714285714</v>
      </c>
      <c r="AO19">
        <f>$BV$1</f>
        <v>1.3</v>
      </c>
      <c r="AP19">
        <f>AC19*AO19+(1-AC19)</f>
        <v>1.285</v>
      </c>
      <c r="AQ19">
        <f>(0.795*R19)-0.0014</f>
        <v>0.5948500000000001</v>
      </c>
      <c r="AR19">
        <v>2.9</v>
      </c>
      <c r="AS19">
        <f>1 - EXP(-2*(AR19^2))</f>
        <v>0.9999999504359468</v>
      </c>
      <c r="AT19">
        <f>(104.7*AQ19+0.307*S19-15)*(S19^0.75)*10^-3</f>
        <v>1.0385156413271623</v>
      </c>
      <c r="AU19">
        <f>AT19*AS19*AP19</f>
        <v>1.3344925329625414</v>
      </c>
      <c r="AV19">
        <f>(AU19 * Q19) + (0.045 * AJ19)</f>
        <v>0.2668985065925083</v>
      </c>
      <c r="AW19">
        <f>$BS$2</f>
        <v>0.08</v>
      </c>
      <c r="AX19">
        <f>(AU19 * ((1 - R19) + (0.04 * AU19))) * ( 1 - AW19 )</f>
        <v>0.3724693103769909</v>
      </c>
      <c r="AY19">
        <f>$BS$1</f>
        <v>0.24</v>
      </c>
      <c r="AZ19">
        <f>$BT$20</f>
        <v>0.6784</v>
      </c>
      <c r="BA19">
        <f>AX19 * AY19 * T19 * V19 * AZ19</f>
        <v>0</v>
      </c>
      <c r="BB19">
        <f>AX19*AY19*U19*W19*AZ19</f>
        <v>0.0002850266272201987</v>
      </c>
      <c r="BC19">
        <f>BA19+BB19</f>
        <v>0.0002850266272201987</v>
      </c>
      <c r="BD19">
        <f>L19*BC19*O19</f>
        <v>2.600867973384313</v>
      </c>
      <c r="BF19">
        <f>L19*AL19*O19</f>
        <v>277.38573588310186</v>
      </c>
      <c r="BT19" t="str">
        <v>dry</v>
      </c>
      <c r="BU19">
        <v>0.002</v>
      </c>
      <c r="BW19" t="str">
        <v>Spring</v>
      </c>
      <c r="BX19" t="str">
        <v>Other ewes</v>
      </c>
      <c r="BY19">
        <v>0.05</v>
      </c>
      <c r="BZ19">
        <v>-0.03</v>
      </c>
      <c r="CA19">
        <v>0</v>
      </c>
      <c r="CB19">
        <v>0</v>
      </c>
      <c r="CC19">
        <v>0</v>
      </c>
      <c r="CD19">
        <v>0.05</v>
      </c>
      <c r="CE19">
        <v>1</v>
      </c>
      <c r="CI19" t="str">
        <v>Winter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0.16</v>
      </c>
    </row>
    <row r="20" xml:space="preserve">
      <c r="I20" t="str">
        <v>Summer</v>
      </c>
      <c r="J20">
        <f>J19</f>
        <v>2</v>
      </c>
      <c r="K20">
        <f>K19</f>
        <v>0.65</v>
      </c>
      <c r="L20">
        <v>140</v>
      </c>
      <c r="M20">
        <v>0</v>
      </c>
      <c r="N20">
        <v>0</v>
      </c>
      <c r="O20">
        <f>$BS$3</f>
        <v>91.25</v>
      </c>
      <c r="P20">
        <v>0</v>
      </c>
      <c r="Q20">
        <v>0.1</v>
      </c>
      <c r="R20">
        <v>0.61</v>
      </c>
      <c r="S20">
        <v>42</v>
      </c>
      <c r="T20">
        <f>1-U20</f>
        <v>0</v>
      </c>
      <c r="U20">
        <f>IF($D$11="yes", 1, VLOOKUP(B20, $BR$26:$BT$32, 1))</f>
        <v>1</v>
      </c>
      <c r="V20">
        <f>VLOOKUP($B$11,$BT$10:$BU$16, 2, FALSE)</f>
        <v>0.72</v>
      </c>
      <c r="W20">
        <f>$BS$10</f>
        <v>0.0047</v>
      </c>
      <c r="X20">
        <f>IF(E20="yes",1,0)</f>
        <v>0</v>
      </c>
      <c r="Y20">
        <f>$BS$4</f>
        <v>0.24</v>
      </c>
      <c r="Z20">
        <f>$BS$6</f>
        <v>0.011</v>
      </c>
      <c r="AA20">
        <f>$BS$5</f>
        <v>0.21</v>
      </c>
      <c r="AB20">
        <f>VLOOKUP($F$11,$BR$37:$BS$49,2,FALSE)</f>
        <v>0.0059</v>
      </c>
      <c r="AC20">
        <f>(M20/100)*(MIN(N20,100)/100)</f>
        <v>0</v>
      </c>
      <c r="AD20">
        <f>AC20 * 1.6</f>
        <v>0</v>
      </c>
      <c r="AE20">
        <f>J20 * K20 / 365</f>
        <v>0.0035616438356164386</v>
      </c>
      <c r="AF20">
        <f>P20 * 0.92</f>
        <v>0</v>
      </c>
      <c r="AG20">
        <v>57</v>
      </c>
      <c r="AH20">
        <f>S20 / AG20</f>
        <v>0.7368421052631579</v>
      </c>
      <c r="AI20">
        <v>0</v>
      </c>
      <c r="AJ20">
        <f>1.6 * AI20</f>
        <v>0</v>
      </c>
      <c r="AK20" xml:space="preserve">
        <f xml:space="preserve">(0.045*AD20+AE20*0.84+_x000d_
      (AF20*_x000d_
          (_x000d_
              (212 - 4*(AF20*1000/(4*AG20^0.75)-1))-((140 - 4 * (AF20*1000/(4*AG20^0.75)-1))/(1+EXP(-6*(AH20-0.4))))_x000d_
          )_x000d_
      )*10^-3_x000d_
)/6.25</f>
        <v>0.00047868493150684936</v>
      </c>
      <c r="AL20">
        <f>(AV20 / 6.25 ) - AK20</f>
        <v>0.012329606659197917</v>
      </c>
      <c r="AM20">
        <f>IF($G$11="wet",$BU$18,$BU$19)</f>
        <v>0.006</v>
      </c>
      <c r="AN20">
        <f>$BS$7</f>
        <v>1.5714285714285714</v>
      </c>
      <c r="AO20">
        <f>$BV$1</f>
        <v>1.3</v>
      </c>
      <c r="AP20">
        <f>AC20*AO20+(1-AC20)</f>
        <v>1</v>
      </c>
      <c r="AQ20">
        <f>(0.795*R20)-0.0014</f>
        <v>0.48355</v>
      </c>
      <c r="AR20">
        <v>2.5</v>
      </c>
      <c r="AS20">
        <f>1 - EXP(-2*(AR20^2))</f>
        <v>0.999996273346828</v>
      </c>
      <c r="AT20">
        <f>(104.7*AQ20+0.307*S20-15)*(S20^0.75)*10^-3</f>
        <v>0.8005212076839457</v>
      </c>
      <c r="AU20">
        <f>AT20*AS20*AP20</f>
        <v>0.8005182244190479</v>
      </c>
      <c r="AV20">
        <f>(AU20 * Q20) + (0.045 * AJ20)</f>
        <v>0.08005182244190479</v>
      </c>
      <c r="AW20">
        <f>$BS$2</f>
        <v>0.08</v>
      </c>
      <c r="AX20">
        <f>(AU20 * ((1 - R20) + (0.04 * AU20))) * ( 1 - AW20 )</f>
        <v>0.3108084618582289</v>
      </c>
      <c r="AY20">
        <f>$BS$1</f>
        <v>0.24</v>
      </c>
      <c r="AZ20">
        <f>$BT$20</f>
        <v>0.6784</v>
      </c>
      <c r="BA20">
        <f>AX20 * AY20 * T20 * V20 * AZ20</f>
        <v>0</v>
      </c>
      <c r="BB20">
        <f>AX20*AY20*U20*W20*AZ20</f>
        <v>0.00023784157547177418</v>
      </c>
      <c r="BC20">
        <f>BA20+BB20</f>
        <v>0.00023784157547177418</v>
      </c>
      <c r="BD20">
        <f>L20*BC20*O20</f>
        <v>3.0384261266519155</v>
      </c>
      <c r="BF20">
        <f>L20*AL20*O20</f>
        <v>157.51072507125338</v>
      </c>
      <c r="BS20" t="str">
        <v>p</v>
      </c>
      <c r="BT20">
        <v>0.6784</v>
      </c>
      <c r="BW20" t="str">
        <v>Summer</v>
      </c>
      <c r="BX20" t="str">
        <v>Other ewes</v>
      </c>
      <c r="BY20">
        <v>-0.05</v>
      </c>
      <c r="BZ20">
        <v>0.05</v>
      </c>
      <c r="CA20">
        <v>0</v>
      </c>
      <c r="CB20">
        <v>0</v>
      </c>
      <c r="CC20">
        <v>0</v>
      </c>
      <c r="CD20">
        <v>-0.05</v>
      </c>
      <c r="CE20">
        <v>2</v>
      </c>
      <c r="CH20" t="str">
        <v>Tasmania</v>
      </c>
      <c r="CI20" t="str">
        <v>Spring</v>
      </c>
      <c r="CJ20">
        <v>0.16</v>
      </c>
      <c r="CK20">
        <v>0.11</v>
      </c>
      <c r="CL20">
        <v>0.03</v>
      </c>
      <c r="CM20">
        <v>-0.02</v>
      </c>
      <c r="CN20">
        <v>0</v>
      </c>
      <c r="CO20">
        <v>0.15</v>
      </c>
    </row>
    <row r="21" xml:space="preserve">
      <c r="I21" t="str">
        <v>Autumn</v>
      </c>
      <c r="J21">
        <f>J20</f>
        <v>2</v>
      </c>
      <c r="K21">
        <f>K20</f>
        <v>0.65</v>
      </c>
      <c r="L21">
        <v>135</v>
      </c>
      <c r="M21">
        <v>0</v>
      </c>
      <c r="N21">
        <v>0</v>
      </c>
      <c r="O21">
        <f>$BS$3</f>
        <v>91.25</v>
      </c>
      <c r="P21">
        <v>0</v>
      </c>
      <c r="Q21">
        <v>0.12</v>
      </c>
      <c r="R21">
        <v>0.64</v>
      </c>
      <c r="S21">
        <v>43</v>
      </c>
      <c r="T21">
        <f>1-U21</f>
        <v>0</v>
      </c>
      <c r="U21">
        <f>IF($D$11="yes", 1, VLOOKUP(B21, $BR$26:$BT$32, 1))</f>
        <v>1</v>
      </c>
      <c r="V21">
        <f>VLOOKUP($B$11,$BT$10:$BU$16, 2, FALSE)</f>
        <v>0.72</v>
      </c>
      <c r="W21">
        <f>$BS$10</f>
        <v>0.0047</v>
      </c>
      <c r="X21">
        <f>IF(E21="yes",1,0)</f>
        <v>0</v>
      </c>
      <c r="Y21">
        <f>$BS$4</f>
        <v>0.24</v>
      </c>
      <c r="Z21">
        <f>$BS$6</f>
        <v>0.011</v>
      </c>
      <c r="AA21">
        <f>$BS$5</f>
        <v>0.21</v>
      </c>
      <c r="AB21">
        <f>VLOOKUP($F$11,$BR$37:$BS$49,2,FALSE)</f>
        <v>0.0059</v>
      </c>
      <c r="AC21">
        <f>(M21/100)*(MIN(N21,100)/100)</f>
        <v>0</v>
      </c>
      <c r="AD21">
        <f>AC21 * 1.6</f>
        <v>0</v>
      </c>
      <c r="AE21">
        <f>J21 * K21 / 365</f>
        <v>0.0035616438356164386</v>
      </c>
      <c r="AF21">
        <f>P21 * 0.92</f>
        <v>0</v>
      </c>
      <c r="AG21">
        <v>57</v>
      </c>
      <c r="AH21">
        <f>S21 / AG21</f>
        <v>0.7543859649122807</v>
      </c>
      <c r="AI21">
        <v>0</v>
      </c>
      <c r="AJ21">
        <f>1.6 * AI21</f>
        <v>0</v>
      </c>
      <c r="AK21" xml:space="preserve">
        <f xml:space="preserve">(0.045*AD21+AE21*0.84+_x000d_
      (AF21*_x000d_
          (_x000d_
              (212 - 4*(AF21*1000/(4*AG21^0.75)-1))-((140 - 4 * (AF21*1000/(4*AG21^0.75)-1))/(1+EXP(-6*(AH21-0.4))))_x000d_
          )_x000d_
      )*10^-3_x000d_
)/6.25</f>
        <v>0.00047868493150684936</v>
      </c>
      <c r="AL21">
        <f>(AV21 / 6.25 ) - AK21</f>
        <v>0.015970144180934887</v>
      </c>
      <c r="AM21">
        <f>IF($G$11="wet",$BU$18,$BU$19)</f>
        <v>0.006</v>
      </c>
      <c r="AN21">
        <f>$BS$7</f>
        <v>1.5714285714285714</v>
      </c>
      <c r="AO21">
        <f>$BV$1</f>
        <v>1.3</v>
      </c>
      <c r="AP21">
        <f>AC21*AO21+(1-AC21)</f>
        <v>1</v>
      </c>
      <c r="AQ21">
        <f>(0.795*R21)-0.0014</f>
        <v>0.5074000000000001</v>
      </c>
      <c r="AR21">
        <v>1.6</v>
      </c>
      <c r="AS21">
        <f>1 - EXP(-2*(AR21^2))</f>
        <v>0.994023977104994</v>
      </c>
      <c r="AT21">
        <f>(104.7*AQ21+0.307*S21-15)*(S21^0.75)*10^-3</f>
        <v>0.8618603467709415</v>
      </c>
      <c r="AU21">
        <f>AT21*AS21*AP21</f>
        <v>0.8567098496063406</v>
      </c>
      <c r="AV21">
        <f>(AU21 * Q21) + (0.045 * AJ21)</f>
        <v>0.10280518195276087</v>
      </c>
      <c r="AW21">
        <f>$BS$2</f>
        <v>0.08</v>
      </c>
      <c r="AX21">
        <f>(AU21 * ((1 - R21) + (0.04 * AU21))) * ( 1 - AW21 )</f>
        <v>0.31075172719360067</v>
      </c>
      <c r="AY21">
        <f>$BS$1</f>
        <v>0.24</v>
      </c>
      <c r="AZ21">
        <f>$BT$20</f>
        <v>0.6784</v>
      </c>
      <c r="BA21">
        <f>AX21 * AY21 * T21 * V21 * AZ21</f>
        <v>0</v>
      </c>
      <c r="BB21">
        <f>AX21*AY21*U21*W21*AZ21</f>
        <v>0.00023779816010934047</v>
      </c>
      <c r="BC21">
        <f>BA21+BB21</f>
        <v>0.00023779816010934047</v>
      </c>
      <c r="BD21">
        <f>L21*BC21*O21</f>
        <v>2.929376084846938</v>
      </c>
      <c r="BF21">
        <f>L21*AL21*O21</f>
        <v>196.73221362889163</v>
      </c>
      <c r="BW21" t="str">
        <v>Autumn</v>
      </c>
      <c r="BX21" t="str">
        <v>Other ewes</v>
      </c>
      <c r="BY21">
        <v>-0.01</v>
      </c>
      <c r="BZ21">
        <v>0</v>
      </c>
      <c r="CA21">
        <v>0</v>
      </c>
      <c r="CB21">
        <v>0</v>
      </c>
      <c r="CC21">
        <v>0</v>
      </c>
      <c r="CD21">
        <v>-0.05</v>
      </c>
      <c r="CE21">
        <v>3</v>
      </c>
      <c r="CI21" t="str">
        <v>Summer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0.11</v>
      </c>
    </row>
    <row r="22" xml:space="preserve">
      <c r="I22" t="str">
        <v>Winter</v>
      </c>
      <c r="J22">
        <f>J21</f>
        <v>2</v>
      </c>
      <c r="K22">
        <f>K21</f>
        <v>0.65</v>
      </c>
      <c r="L22">
        <v>130</v>
      </c>
      <c r="M22">
        <v>0</v>
      </c>
      <c r="N22">
        <v>0</v>
      </c>
      <c r="O22">
        <f>$BS$3</f>
        <v>91.25</v>
      </c>
      <c r="P22">
        <v>0.02</v>
      </c>
      <c r="Q22">
        <v>0.18</v>
      </c>
      <c r="R22">
        <v>0.72</v>
      </c>
      <c r="S22">
        <v>45</v>
      </c>
      <c r="T22">
        <f>1-U22</f>
        <v>0</v>
      </c>
      <c r="U22">
        <f>IF($D$11="yes", 1, VLOOKUP(B22, $BR$26:$BT$32, 1))</f>
        <v>1</v>
      </c>
      <c r="V22">
        <f>VLOOKUP($B$11,$BT$10:$BU$16, 2, FALSE)</f>
        <v>0.72</v>
      </c>
      <c r="W22">
        <f>$BS$10</f>
        <v>0.0047</v>
      </c>
      <c r="X22">
        <f>IF(E22="yes",1,0)</f>
        <v>0</v>
      </c>
      <c r="Y22">
        <f>$BS$4</f>
        <v>0.24</v>
      </c>
      <c r="Z22">
        <f>$BS$6</f>
        <v>0.011</v>
      </c>
      <c r="AA22">
        <f>$BS$5</f>
        <v>0.21</v>
      </c>
      <c r="AB22">
        <f>VLOOKUP($F$11,$BR$37:$BS$49,2,FALSE)</f>
        <v>0.0059</v>
      </c>
      <c r="AC22">
        <f>(M22/100)*(MIN(N22,100)/100)</f>
        <v>0</v>
      </c>
      <c r="AD22">
        <f>AC22 * 1.6</f>
        <v>0</v>
      </c>
      <c r="AE22">
        <f>J22 * K22 / 365</f>
        <v>0.0035616438356164386</v>
      </c>
      <c r="AF22">
        <f>P22 * 0.92</f>
        <v>0.0184</v>
      </c>
      <c r="AG22">
        <v>57</v>
      </c>
      <c r="AH22">
        <f>S22 / AG22</f>
        <v>0.7894736842105263</v>
      </c>
      <c r="AI22">
        <v>0</v>
      </c>
      <c r="AJ22">
        <f>1.6 * AI22</f>
        <v>0</v>
      </c>
      <c r="AK22" xml:space="preserve">
        <f xml:space="preserve">(0.045*AD22+AE22*0.84+_x000d_
      (AF22*_x000d_
          (_x000d_
              (212 - 4*(AF22*1000/(4*AG22^0.75)-1))-((140 - 4 * (AF22*1000/(4*AG22^0.75)-1))/(1+EXP(-6*(AH22-0.4))))_x000d_
          )_x000d_
      )*10^-3_x000d_
)/6.25</f>
        <v>0.0007277789431048922</v>
      </c>
      <c r="AL22">
        <f>(AV22 / 6.25 ) - AK22</f>
        <v>0.028503402354687943</v>
      </c>
      <c r="AM22">
        <f>IF($G$11="wet",$BU$18,$BU$19)</f>
        <v>0.006</v>
      </c>
      <c r="AN22">
        <f>$BS$7</f>
        <v>1.5714285714285714</v>
      </c>
      <c r="AO22">
        <f>$BV$1</f>
        <v>1.3</v>
      </c>
      <c r="AP22">
        <f>AC22*AO22+(1-AC22)</f>
        <v>1</v>
      </c>
      <c r="AQ22">
        <f>(0.795*R22)-0.0014</f>
        <v>0.5710000000000001</v>
      </c>
      <c r="AR22">
        <v>1.7</v>
      </c>
      <c r="AS22">
        <f>1 - EXP(-2*(AR22^2))</f>
        <v>0.9969112845917633</v>
      </c>
      <c r="AT22">
        <f>(104.7*AQ22+0.307*S22-15)*(S22^0.75)*10^-3</f>
        <v>1.0181162441707754</v>
      </c>
      <c r="AU22">
        <f>AT22*AS22*AP22</f>
        <v>1.014971572840029</v>
      </c>
      <c r="AV22">
        <f>(AU22 * Q22) + (0.045 * AJ22)</f>
        <v>0.18269488311120521</v>
      </c>
      <c r="AW22">
        <f>$BS$2</f>
        <v>0.08</v>
      </c>
      <c r="AX22">
        <f>(AU22 * ((1 - R22) + (0.04 * AU22))) * ( 1 - AW22 )</f>
        <v>0.29936683357077126</v>
      </c>
      <c r="AY22">
        <f>$BS$1</f>
        <v>0.24</v>
      </c>
      <c r="AZ22">
        <f>$BT$20</f>
        <v>0.6784</v>
      </c>
      <c r="BA22">
        <f>AX22 * AY22 * T22 * V22 * AZ22</f>
        <v>0</v>
      </c>
      <c r="BB22">
        <f>AX22*AY22*U22*W22*AZ22</f>
        <v>0.00022908603876089584</v>
      </c>
      <c r="BC22">
        <f>BA22+BB22</f>
        <v>0.00022908603876089584</v>
      </c>
      <c r="BD22">
        <f>L22*BC22*O22</f>
        <v>2.7175331348011267</v>
      </c>
      <c r="BF22">
        <f>L22*AL22*O22</f>
        <v>338.12161043248574</v>
      </c>
      <c r="BW22" t="str">
        <v>Winter</v>
      </c>
      <c r="BX22" t="str">
        <v>Other ewes</v>
      </c>
      <c r="BY22">
        <v>0.01</v>
      </c>
      <c r="BZ22">
        <v>-0.02</v>
      </c>
      <c r="CA22">
        <v>0</v>
      </c>
      <c r="CB22">
        <v>0</v>
      </c>
      <c r="CC22">
        <v>0</v>
      </c>
      <c r="CD22">
        <v>0.05</v>
      </c>
      <c r="CE22">
        <v>4</v>
      </c>
      <c r="CI22" t="str">
        <v>Autumn</v>
      </c>
      <c r="CJ22">
        <v>-0.2</v>
      </c>
      <c r="CK22">
        <v>-0.1</v>
      </c>
      <c r="CL22">
        <v>0</v>
      </c>
      <c r="CM22">
        <v>0</v>
      </c>
      <c r="CN22">
        <v>0</v>
      </c>
      <c r="CO22">
        <v>0.13</v>
      </c>
    </row>
    <row r="23" xml:space="preserve">
      <c r="H23" t="str">
        <v>Other ewes</v>
      </c>
      <c r="I23" t="str">
        <v>Spring</v>
      </c>
      <c r="J23">
        <v>2</v>
      </c>
      <c r="K23">
        <v>0.7</v>
      </c>
      <c r="L23">
        <v>200</v>
      </c>
      <c r="M23">
        <v>0</v>
      </c>
      <c r="N23">
        <v>0</v>
      </c>
      <c r="O23">
        <f>$BS$3</f>
        <v>91.25</v>
      </c>
      <c r="P23">
        <v>0.05</v>
      </c>
      <c r="Q23">
        <v>0.2</v>
      </c>
      <c r="R23">
        <v>0.75</v>
      </c>
      <c r="S23">
        <v>56</v>
      </c>
      <c r="T23">
        <f>1-U23</f>
        <v>0</v>
      </c>
      <c r="U23">
        <f>IF($D$11="yes", 1, VLOOKUP(B23, $BR$26:$BT$32, 1))</f>
        <v>1</v>
      </c>
      <c r="V23">
        <f>VLOOKUP($B$11,$BT$10:$BU$16, 2, FALSE)</f>
        <v>0.72</v>
      </c>
      <c r="W23">
        <f>$BS$10</f>
        <v>0.0047</v>
      </c>
      <c r="X23">
        <f>IF(E23="yes",1,0)</f>
        <v>0</v>
      </c>
      <c r="Y23">
        <f>$BS$4</f>
        <v>0.24</v>
      </c>
      <c r="Z23">
        <f>$BS$6</f>
        <v>0.011</v>
      </c>
      <c r="AA23">
        <f>$BS$5</f>
        <v>0.21</v>
      </c>
      <c r="AB23">
        <f>VLOOKUP($F$11,$BR$37:$BS$49,2,FALSE)</f>
        <v>0.0059</v>
      </c>
      <c r="AC23">
        <f>(M23/100)*(MIN(N23,100)/100)</f>
        <v>0</v>
      </c>
      <c r="AD23">
        <f>AC23 * 1.6</f>
        <v>0</v>
      </c>
      <c r="AE23">
        <f>J23 * K23 / 365</f>
        <v>0.0038356164383561643</v>
      </c>
      <c r="AF23">
        <f>P23 * 0.92</f>
        <v>0.046000000000000006</v>
      </c>
      <c r="AG23">
        <v>57</v>
      </c>
      <c r="AH23">
        <f>S23 / AG23</f>
        <v>0.9824561403508771</v>
      </c>
      <c r="AI23">
        <v>0</v>
      </c>
      <c r="AJ23">
        <f>1.6 * AI23</f>
        <v>0</v>
      </c>
      <c r="AK23" xml:space="preserve">
        <f xml:space="preserve">(0.045*AD23+AE23*0.84+_x000d_
      (AF23*_x000d_
          (_x000d_
              (212 - 4*(AF23*1000/(4*AG23^0.75)-1))-((140 - 4 * (AF23*1000/(4*AG23^0.75)-1))/(1+EXP(-6*(AH23-0.4))))_x000d_
          )_x000d_
      )*10^-3_x000d_
)/6.25</f>
        <v>0.0010761713957214488</v>
      </c>
      <c r="AL23">
        <f>(AV23 / 6.25 ) - AK23</f>
        <v>0.041158340075111606</v>
      </c>
      <c r="AM23">
        <f>IF($G$11="wet",$BU$18,$BU$19)</f>
        <v>0.006</v>
      </c>
      <c r="AN23">
        <f>$BS$7</f>
        <v>1.5714285714285714</v>
      </c>
      <c r="AO23">
        <f>$BV$1</f>
        <v>1.3</v>
      </c>
      <c r="AP23">
        <f>AC23*AO23+(1-AC23)</f>
        <v>1</v>
      </c>
      <c r="AQ23">
        <f>(0.795*R23)-0.0014</f>
        <v>0.5948500000000001</v>
      </c>
      <c r="AR23">
        <v>2.9</v>
      </c>
      <c r="AS23">
        <f>1 - EXP(-2*(AR23^2))</f>
        <v>0.9999999504359468</v>
      </c>
      <c r="AT23">
        <f>(104.7*AQ23+0.307*S23-15)*(S23^0.75)*10^-3</f>
        <v>1.3198285488795851</v>
      </c>
      <c r="AU23">
        <f>AT23*AS23*AP23</f>
        <v>1.3198284834635328</v>
      </c>
      <c r="AV23">
        <f>(AU23 * Q23) + (0.045 * AJ23)</f>
        <v>0.2639656966927066</v>
      </c>
      <c r="AW23">
        <f>$BS$2</f>
        <v>0.08</v>
      </c>
      <c r="AX23">
        <f>(AU23 * ((1 - R23) + (0.04 * AU23))) * ( 1 - AW23 )</f>
        <v>0.3676642091046412</v>
      </c>
      <c r="AY23">
        <f>$BS$1</f>
        <v>0.24</v>
      </c>
      <c r="AZ23">
        <f>$BT$20</f>
        <v>0.6784</v>
      </c>
      <c r="BA23">
        <f>AX23 * AY23 * T23 * V23 * AZ23</f>
        <v>0</v>
      </c>
      <c r="BB23">
        <f>AX23*AY23*U23*W23*AZ23</f>
        <v>0.000281349594587032</v>
      </c>
      <c r="BC23">
        <f>BA23+BB23</f>
        <v>0.000281349594587032</v>
      </c>
      <c r="BD23">
        <f>L23*BC23*O23</f>
        <v>5.134630101213333</v>
      </c>
      <c r="BF23">
        <f>L23*AL23*O23</f>
        <v>751.1397063707869</v>
      </c>
      <c r="BW23" t="str">
        <v>Spring</v>
      </c>
      <c r="BX23" t="str">
        <v>Rams</v>
      </c>
      <c r="BY23">
        <v>0.07</v>
      </c>
      <c r="BZ23">
        <v>-0.02</v>
      </c>
      <c r="CA23">
        <v>0.11</v>
      </c>
      <c r="CB23">
        <v>0.16</v>
      </c>
      <c r="CC23">
        <v>0.11</v>
      </c>
      <c r="CD23">
        <v>0.11</v>
      </c>
      <c r="CE23">
        <v>1</v>
      </c>
      <c r="CI23" t="str">
        <v>Winter</v>
      </c>
      <c r="CJ23">
        <v>0</v>
      </c>
      <c r="CK23">
        <v>-0.1</v>
      </c>
      <c r="CL23">
        <v>0.5</v>
      </c>
      <c r="CM23">
        <v>0.02</v>
      </c>
      <c r="CN23">
        <v>0</v>
      </c>
      <c r="CO23">
        <v>0.07</v>
      </c>
    </row>
    <row r="24" xml:space="preserve">
      <c r="I24" t="str">
        <v>Summer</v>
      </c>
      <c r="J24">
        <f>J23</f>
        <v>2</v>
      </c>
      <c r="K24">
        <f>K23</f>
        <v>0.7</v>
      </c>
      <c r="L24">
        <v>210</v>
      </c>
      <c r="M24">
        <v>0</v>
      </c>
      <c r="N24">
        <v>0</v>
      </c>
      <c r="O24">
        <f>$BS$3</f>
        <v>91.25</v>
      </c>
      <c r="P24">
        <v>-0.05</v>
      </c>
      <c r="Q24">
        <v>0.1</v>
      </c>
      <c r="R24">
        <v>0.61</v>
      </c>
      <c r="S24">
        <v>51</v>
      </c>
      <c r="T24">
        <f>1-U24</f>
        <v>0</v>
      </c>
      <c r="U24">
        <f>IF($D$11="yes", 1, VLOOKUP(B24, $BR$26:$BT$32, 1))</f>
        <v>1</v>
      </c>
      <c r="V24">
        <f>VLOOKUP($B$11,$BT$10:$BU$16, 2, FALSE)</f>
        <v>0.72</v>
      </c>
      <c r="W24">
        <f>$BS$10</f>
        <v>0.0047</v>
      </c>
      <c r="X24">
        <f>IF(E24="yes",1,0)</f>
        <v>0</v>
      </c>
      <c r="Y24">
        <f>$BS$4</f>
        <v>0.24</v>
      </c>
      <c r="Z24">
        <f>$BS$6</f>
        <v>0.011</v>
      </c>
      <c r="AA24">
        <f>$BS$5</f>
        <v>0.21</v>
      </c>
      <c r="AB24">
        <f>VLOOKUP($F$11,$BR$37:$BS$49,2,FALSE)</f>
        <v>0.0059</v>
      </c>
      <c r="AC24">
        <f>(M24/100)*(MIN(N24,100)/100)</f>
        <v>0</v>
      </c>
      <c r="AD24">
        <f>AC24 * 1.6</f>
        <v>0</v>
      </c>
      <c r="AE24">
        <f>J24 * K24 / 365</f>
        <v>0.0038356164383561643</v>
      </c>
      <c r="AF24">
        <f>P24 * 0.92</f>
        <v>-0.046000000000000006</v>
      </c>
      <c r="AG24">
        <v>57</v>
      </c>
      <c r="AH24">
        <f>S24 / AG24</f>
        <v>0.8947368421052632</v>
      </c>
      <c r="AI24">
        <v>0</v>
      </c>
      <c r="AJ24">
        <f>1.6 * AI24</f>
        <v>0</v>
      </c>
      <c r="AK24" xml:space="preserve">
        <f xml:space="preserve">(0.045*AD24+AE24*0.84+_x000d_
      (AF24*_x000d_
          (_x000d_
              (212 - 4*(AF24*1000/(4*AG24^0.75)-1))-((140 - 4 * (AF24*1000/(4*AG24^0.75)-1))/(1+EXP(-6*(AH24-0.4))))_x000d_
          )_x000d_
      )*10^-3_x000d_
)/6.25</f>
        <v>-0.00006700840796666038</v>
      </c>
      <c r="AL24">
        <f>(AV24 / 6.25 ) - AK24</f>
        <v>0.015726717450560028</v>
      </c>
      <c r="AM24">
        <f>IF($G$11="wet",$BU$18,$BU$19)</f>
        <v>0.006</v>
      </c>
      <c r="AN24">
        <f>$BS$7</f>
        <v>1.5714285714285714</v>
      </c>
      <c r="AO24">
        <f>$BV$1</f>
        <v>1.3</v>
      </c>
      <c r="AP24">
        <f>AC24*AO24+(1-AC24)</f>
        <v>1</v>
      </c>
      <c r="AQ24">
        <f>(0.795*R24)-0.0014</f>
        <v>0.48355</v>
      </c>
      <c r="AR24">
        <v>2.5</v>
      </c>
      <c r="AS24">
        <f>1 - EXP(-2*(AR24^2))</f>
        <v>0.999996273346828</v>
      </c>
      <c r="AT24">
        <f>(104.7*AQ24+0.307*S24-15)*(S24^0.75)*10^-3</f>
        <v>0.9787354625697015</v>
      </c>
      <c r="AU24">
        <f>AT24*AS24*AP24</f>
        <v>0.9787318151620853</v>
      </c>
      <c r="AV24">
        <f>(AU24 * Q24) + (0.045 * AJ24)</f>
        <v>0.09787318151620854</v>
      </c>
      <c r="AW24">
        <f>$BS$2</f>
        <v>0.08</v>
      </c>
      <c r="AX24">
        <f>(AU24 * ((1 - R24) + (0.04 * AU24))) * ( 1 - AW24 )</f>
        <v>0.38642028282934154</v>
      </c>
      <c r="AY24">
        <f>$BS$1</f>
        <v>0.24</v>
      </c>
      <c r="AZ24">
        <f>$BT$20</f>
        <v>0.6784</v>
      </c>
      <c r="BA24">
        <f>AX24 * AY24 * T24 * V24 * AZ24</f>
        <v>0</v>
      </c>
      <c r="BB24">
        <f>AX24*AY24*U24*W24*AZ24</f>
        <v>0.0002957024024149678</v>
      </c>
      <c r="BC24">
        <f>BA24+BB24</f>
        <v>0.0002957024024149678</v>
      </c>
      <c r="BD24">
        <f>L24*BC24*O24</f>
        <v>5.66639728627682</v>
      </c>
      <c r="BF24">
        <f>L24*AL24*O24</f>
        <v>301.3632231463565</v>
      </c>
      <c r="BW24" t="str">
        <v>Summer</v>
      </c>
      <c r="BX24" t="str">
        <v>Rams</v>
      </c>
      <c r="BY24">
        <v>0</v>
      </c>
      <c r="BZ24">
        <v>0.03</v>
      </c>
      <c r="CA24">
        <v>-0.1</v>
      </c>
      <c r="CB24">
        <v>0</v>
      </c>
      <c r="CC24">
        <v>-0.05</v>
      </c>
      <c r="CD24">
        <v>-0.11</v>
      </c>
      <c r="CE24">
        <v>2</v>
      </c>
      <c r="CH24" t="str">
        <v>Victoria</v>
      </c>
      <c r="CI24" t="str">
        <v>Spring</v>
      </c>
      <c r="CJ24">
        <v>0.11</v>
      </c>
      <c r="CK24">
        <v>0.11</v>
      </c>
      <c r="CL24">
        <v>0.16</v>
      </c>
      <c r="CM24">
        <v>0.11</v>
      </c>
      <c r="CN24">
        <v>0</v>
      </c>
      <c r="CO24">
        <v>0.15</v>
      </c>
    </row>
    <row r="25" xml:space="preserve">
      <c r="I25" t="str">
        <v>Autumn</v>
      </c>
      <c r="J25">
        <f>J24</f>
        <v>2</v>
      </c>
      <c r="K25">
        <f>K24</f>
        <v>0.7</v>
      </c>
      <c r="L25">
        <v>190</v>
      </c>
      <c r="M25">
        <v>0</v>
      </c>
      <c r="N25">
        <v>0</v>
      </c>
      <c r="O25">
        <f>$BS$3</f>
        <v>91.25</v>
      </c>
      <c r="P25">
        <v>-0.01</v>
      </c>
      <c r="Q25">
        <v>0.12</v>
      </c>
      <c r="R25">
        <v>0.64</v>
      </c>
      <c r="S25">
        <v>50</v>
      </c>
      <c r="T25">
        <f>1-U25</f>
        <v>0</v>
      </c>
      <c r="U25">
        <f>IF($D$11="yes", 1, VLOOKUP(B25, $BR$26:$BT$32, 1))</f>
        <v>1</v>
      </c>
      <c r="V25">
        <f>VLOOKUP($B$11,$BT$10:$BU$16, 2, FALSE)</f>
        <v>0.72</v>
      </c>
      <c r="W25">
        <f>$BS$10</f>
        <v>0.0047</v>
      </c>
      <c r="X25">
        <f>IF(E25="yes",1,0)</f>
        <v>0</v>
      </c>
      <c r="Y25">
        <f>$BS$4</f>
        <v>0.24</v>
      </c>
      <c r="Z25">
        <f>$BS$6</f>
        <v>0.011</v>
      </c>
      <c r="AA25">
        <f>$BS$5</f>
        <v>0.21</v>
      </c>
      <c r="AB25">
        <f>VLOOKUP($F$11,$BR$37:$BS$49,2,FALSE)</f>
        <v>0.0059</v>
      </c>
      <c r="AC25">
        <f>(M25/100)*(MIN(N25,100)/100)</f>
        <v>0</v>
      </c>
      <c r="AD25">
        <f>AC25 * 1.6</f>
        <v>0</v>
      </c>
      <c r="AE25">
        <f>J25 * K25 / 365</f>
        <v>0.0038356164383561643</v>
      </c>
      <c r="AF25">
        <f>P25 * 0.92</f>
        <v>-0.0092</v>
      </c>
      <c r="AG25">
        <v>57</v>
      </c>
      <c r="AH25">
        <f>S25 / AG25</f>
        <v>0.8771929824561403</v>
      </c>
      <c r="AI25">
        <v>0</v>
      </c>
      <c r="AJ25">
        <f>1.6 * AI25</f>
        <v>0</v>
      </c>
      <c r="AK25" xml:space="preserve">
        <f xml:space="preserve">(0.045*AD25+AE25*0.84+_x000d_
      (AF25*_x000d_
          (_x000d_
              (212 - 4*(AF25*1000/(4*AG25^0.75)-1))-((140 - 4 * (AF25*1000/(4*AG25^0.75)-1))/(1+EXP(-6*(AH25-0.4))))_x000d_
          )_x000d_
      )*10^-3_x000d_
)/6.25</f>
        <v>0.0003980402323365948</v>
      </c>
      <c r="AL25">
        <f>(AV25 / 6.25 ) - AK25</f>
        <v>0.018791943153172598</v>
      </c>
      <c r="AM25">
        <f>IF($G$11="wet",$BU$18,$BU$19)</f>
        <v>0.006</v>
      </c>
      <c r="AN25">
        <f>$BS$7</f>
        <v>1.5714285714285714</v>
      </c>
      <c r="AO25">
        <f>$BV$1</f>
        <v>1.3</v>
      </c>
      <c r="AP25">
        <f>AC25*AO25+(1-AC25)</f>
        <v>1</v>
      </c>
      <c r="AQ25">
        <f>(0.795*R25)-0.0014</f>
        <v>0.5074000000000001</v>
      </c>
      <c r="AR25">
        <v>1.6</v>
      </c>
      <c r="AS25">
        <f>1 - EXP(-2*(AR25^2))</f>
        <v>0.994023977104994</v>
      </c>
      <c r="AT25">
        <f>(104.7*AQ25+0.307*S25-15)*(S25^0.75)*10^-3</f>
        <v>1.0054871153505722</v>
      </c>
      <c r="AU25">
        <f>AT25*AS25*AP25</f>
        <v>0.9994783013286037</v>
      </c>
      <c r="AV25">
        <f>(AU25 * Q25) + (0.045 * AJ25)</f>
        <v>0.11993739615943244</v>
      </c>
      <c r="AW25">
        <f>$BS$2</f>
        <v>0.08</v>
      </c>
      <c r="AX25">
        <f>(AU25 * ((1 - R25) + (0.04 * AU25))) * ( 1 - AW25 )</f>
        <v>0.3677888263936565</v>
      </c>
      <c r="AY25">
        <f>$BS$1</f>
        <v>0.24</v>
      </c>
      <c r="AZ25">
        <f>$BT$20</f>
        <v>0.6784</v>
      </c>
      <c r="BA25">
        <f>AX25 * AY25 * T25 * V25 * AZ25</f>
        <v>0</v>
      </c>
      <c r="BB25">
        <f>AX25*AY25*U25*W25*AZ25</f>
        <v>0.000281444956123115</v>
      </c>
      <c r="BC25">
        <f>BA25+BB25</f>
        <v>0.000281444956123115</v>
      </c>
      <c r="BD25">
        <f>L25*BC25*O25</f>
        <v>4.879551926784506</v>
      </c>
      <c r="BF25">
        <f>L25*AL25*O25</f>
        <v>325.8053144181299</v>
      </c>
      <c r="BR25" t="str">
        <v>MMS</v>
      </c>
      <c r="BW25" t="str">
        <v>Autumn</v>
      </c>
      <c r="BX25" t="str">
        <v>Rams</v>
      </c>
      <c r="BY25">
        <v>-0.07</v>
      </c>
      <c r="BZ25">
        <v>0.02</v>
      </c>
      <c r="CA25">
        <v>0</v>
      </c>
      <c r="CB25">
        <v>-0.2</v>
      </c>
      <c r="CC25">
        <v>0</v>
      </c>
      <c r="CD25">
        <v>0</v>
      </c>
      <c r="CE25">
        <v>3</v>
      </c>
      <c r="CI25" t="str">
        <v>Summer</v>
      </c>
      <c r="CJ25">
        <v>-0.05</v>
      </c>
      <c r="CK25">
        <v>-0.05</v>
      </c>
      <c r="CL25">
        <v>-0.05</v>
      </c>
      <c r="CM25">
        <v>-0.05</v>
      </c>
      <c r="CN25">
        <v>0</v>
      </c>
      <c r="CO25">
        <v>0.07</v>
      </c>
    </row>
    <row r="26" xml:space="preserve">
      <c r="I26" t="str">
        <v>Winter</v>
      </c>
      <c r="J26">
        <f>J25</f>
        <v>2</v>
      </c>
      <c r="K26">
        <f>K25</f>
        <v>0.7</v>
      </c>
      <c r="L26">
        <v>180</v>
      </c>
      <c r="M26">
        <v>0</v>
      </c>
      <c r="N26">
        <v>0</v>
      </c>
      <c r="O26">
        <f>$BS$3</f>
        <v>91.25</v>
      </c>
      <c r="P26">
        <v>0.01</v>
      </c>
      <c r="Q26">
        <v>0.18</v>
      </c>
      <c r="R26">
        <v>0.72</v>
      </c>
      <c r="S26">
        <v>51</v>
      </c>
      <c r="T26">
        <f>1-U26</f>
        <v>0</v>
      </c>
      <c r="U26">
        <f>IF($D$11="yes", 1, VLOOKUP(B26, $BR$26:$BT$32, 1))</f>
        <v>1</v>
      </c>
      <c r="V26">
        <f>VLOOKUP($B$11,$BT$10:$BU$16, 2, FALSE)</f>
        <v>0.72</v>
      </c>
      <c r="W26">
        <f>$BS$10</f>
        <v>0.0047</v>
      </c>
      <c r="X26">
        <f>IF(E26="yes",1,0)</f>
        <v>0</v>
      </c>
      <c r="Y26">
        <f>$BS$4</f>
        <v>0.24</v>
      </c>
      <c r="Z26">
        <f>$BS$6</f>
        <v>0.011</v>
      </c>
      <c r="AA26">
        <f>$BS$5</f>
        <v>0.21</v>
      </c>
      <c r="AB26">
        <f>VLOOKUP($F$11,$BR$37:$BS$49,2,FALSE)</f>
        <v>0.0059</v>
      </c>
      <c r="AC26">
        <f>(M26/100)*(MIN(N26,100)/100)</f>
        <v>0</v>
      </c>
      <c r="AD26">
        <f>AC26 * 1.6</f>
        <v>0</v>
      </c>
      <c r="AE26">
        <f>J26 * K26 / 365</f>
        <v>0.0038356164383561643</v>
      </c>
      <c r="AF26">
        <f>P26 * 0.92</f>
        <v>0.0092</v>
      </c>
      <c r="AG26">
        <v>57</v>
      </c>
      <c r="AH26">
        <f>S26 / AG26</f>
        <v>0.8947368421052632</v>
      </c>
      <c r="AI26">
        <v>0</v>
      </c>
      <c r="AJ26">
        <f>1.6 * AI26</f>
        <v>0</v>
      </c>
      <c r="AK26" xml:space="preserve">
        <f xml:space="preserve">(0.045*AD26+AE26*0.84+_x000d_
      (AF26*_x000d_
          (_x000d_
              (212 - 4*(AF26*1000/(4*AG26^0.75)-1))-((140 - 4 * (AF26*1000/(4*AG26^0.75)-1))/(1+EXP(-6*(AH26-0.4))))_x000d_
          )_x000d_
      )*10^-3_x000d_
)/6.25</f>
        <v>0.000631818470620177</v>
      </c>
      <c r="AL26">
        <f>(AV26 / 6.25 ) - AK26</f>
        <v>0.03248557266781186</v>
      </c>
      <c r="AM26">
        <f>IF($G$11="wet",$BU$18,$BU$19)</f>
        <v>0.006</v>
      </c>
      <c r="AN26">
        <f>$BS$7</f>
        <v>1.5714285714285714</v>
      </c>
      <c r="AO26">
        <f>$BV$1</f>
        <v>1.3</v>
      </c>
      <c r="AP26">
        <f>AC26*AO26+(1-AC26)</f>
        <v>1</v>
      </c>
      <c r="AQ26">
        <f>(0.795*R26)-0.0014</f>
        <v>0.5710000000000001</v>
      </c>
      <c r="AR26">
        <v>1.7</v>
      </c>
      <c r="AS26">
        <f>1 - EXP(-2*(AR26^2))</f>
        <v>0.9969112845917633</v>
      </c>
      <c r="AT26">
        <f>(104.7*AQ26+0.307*S26-15)*(S26^0.75)*10^-3</f>
        <v>1.153472161767915</v>
      </c>
      <c r="AU26">
        <f>AT26*AS26*AP26</f>
        <v>1.1499094145288902</v>
      </c>
      <c r="AV26">
        <f>(AU26 * Q26) + (0.045 * AJ26)</f>
        <v>0.20698369461520022</v>
      </c>
      <c r="AW26">
        <f>$BS$2</f>
        <v>0.08</v>
      </c>
      <c r="AX26">
        <f>(AU26 * ((1 - R26) + (0.04 * AU26))) * ( 1 - AW26 )</f>
        <v>0.34487699833033825</v>
      </c>
      <c r="AY26">
        <f>$BS$1</f>
        <v>0.24</v>
      </c>
      <c r="AZ26">
        <f>$BT$20</f>
        <v>0.6784</v>
      </c>
      <c r="BA26">
        <f>AX26 * AY26 * T26 * V26 * AZ26</f>
        <v>0</v>
      </c>
      <c r="BB26">
        <f>AX26*AY26*U26*W26*AZ26</f>
        <v>0.00026391201879271607</v>
      </c>
      <c r="BC26">
        <f>BA26+BB26</f>
        <v>0.00026391201879271607</v>
      </c>
      <c r="BD26">
        <f>L26*BC26*O26</f>
        <v>4.334754908670361</v>
      </c>
      <c r="BF26">
        <f>L26*AL26*O26</f>
        <v>533.5755310688098</v>
      </c>
      <c r="BR26" t="str">
        <v xml:space="preserve">ACT </v>
      </c>
      <c r="BS26" t="str">
        <v xml:space="preserve">99.25 </v>
      </c>
      <c r="BT26">
        <v>0.75</v>
      </c>
      <c r="BW26" t="str">
        <v>Winter</v>
      </c>
      <c r="BX26" t="str">
        <v>Rams</v>
      </c>
      <c r="BY26">
        <v>0</v>
      </c>
      <c r="BZ26">
        <v>-0.03</v>
      </c>
      <c r="CA26">
        <v>0</v>
      </c>
      <c r="CB26">
        <v>0</v>
      </c>
      <c r="CC26">
        <v>-0.05</v>
      </c>
      <c r="CD26">
        <v>0</v>
      </c>
      <c r="CE26">
        <v>4</v>
      </c>
      <c r="CI26" t="str">
        <v>Autumn</v>
      </c>
      <c r="CJ26">
        <v>0</v>
      </c>
      <c r="CK26">
        <v>-0.03</v>
      </c>
      <c r="CL26">
        <v>-0.02</v>
      </c>
      <c r="CM26">
        <v>-0.02</v>
      </c>
      <c r="CN26">
        <v>0</v>
      </c>
      <c r="CO26">
        <v>0.05</v>
      </c>
    </row>
    <row r="27" xml:space="preserve">
      <c r="H27" t="str">
        <v>Rams</v>
      </c>
      <c r="I27" t="str">
        <v>Spring</v>
      </c>
      <c r="J27">
        <v>1</v>
      </c>
      <c r="K27">
        <v>0.65</v>
      </c>
      <c r="L27">
        <v>50</v>
      </c>
      <c r="M27">
        <v>0</v>
      </c>
      <c r="N27">
        <v>0</v>
      </c>
      <c r="O27">
        <f>$BS$3</f>
        <v>91.25</v>
      </c>
      <c r="P27">
        <v>0.07</v>
      </c>
      <c r="Q27">
        <v>0.2</v>
      </c>
      <c r="R27">
        <v>0.75</v>
      </c>
      <c r="S27">
        <v>75</v>
      </c>
      <c r="T27">
        <f>1-U27</f>
        <v>0</v>
      </c>
      <c r="U27">
        <f>IF($D$11="yes", 1, VLOOKUP(B27, $BR$26:$BT$32, 1))</f>
        <v>1</v>
      </c>
      <c r="V27">
        <f>VLOOKUP($B$11,$BT$10:$BU$16, 2, FALSE)</f>
        <v>0.72</v>
      </c>
      <c r="W27">
        <f>$BS$10</f>
        <v>0.0047</v>
      </c>
      <c r="X27">
        <f>IF(E27="yes",1,0)</f>
        <v>0</v>
      </c>
      <c r="Y27">
        <f>$BS$4</f>
        <v>0.24</v>
      </c>
      <c r="Z27">
        <f>$BS$6</f>
        <v>0.011</v>
      </c>
      <c r="AA27">
        <f>$BS$5</f>
        <v>0.21</v>
      </c>
      <c r="AB27">
        <f>VLOOKUP($F$11,$BR$37:$BS$49,2,FALSE)</f>
        <v>0.0059</v>
      </c>
      <c r="AC27">
        <f>(M27/100)*(MIN(N27,100)/100)</f>
        <v>0</v>
      </c>
      <c r="AD27">
        <f>AC27 * 1.6</f>
        <v>0</v>
      </c>
      <c r="AE27">
        <f>J27 * K27 / 365</f>
        <v>0.0017808219178082193</v>
      </c>
      <c r="AF27">
        <f>P27 * 0.92</f>
        <v>0.06440000000000001</v>
      </c>
      <c r="AG27">
        <v>78</v>
      </c>
      <c r="AH27">
        <f>S27 / AG27</f>
        <v>0.9615384615384616</v>
      </c>
      <c r="AI27">
        <v>0</v>
      </c>
      <c r="AJ27">
        <f>1.6 * AI27</f>
        <v>0</v>
      </c>
      <c r="AK27" xml:space="preserve">
        <f xml:space="preserve">(0.045*AD27+AE27*0.84+_x000d_
      (AF27*_x000d_
          (_x000d_
              (212 - 4*(AF27*1000/(4*AG27^0.75)-1))-((140 - 4 * (AF27*1000/(4*AG27^0.75)-1))/(1+EXP(-6*(AH27-0.4))))_x000d_
          )_x000d_
      )*10^-3_x000d_
)/6.25</f>
        <v>0.0010297560621526452</v>
      </c>
      <c r="AL27">
        <f>(AV27 / 6.25 ) - AK27</f>
        <v>0.056307516155572376</v>
      </c>
      <c r="AM27">
        <f>IF($G$11="wet",$BU$18,$BU$19)</f>
        <v>0.006</v>
      </c>
      <c r="AN27">
        <f>$BS$7</f>
        <v>1.5714285714285714</v>
      </c>
      <c r="AO27">
        <f>$BV$1</f>
        <v>1.3</v>
      </c>
      <c r="AP27">
        <f>AC27*AO27+(1-AC27)</f>
        <v>1</v>
      </c>
      <c r="AQ27">
        <f>(0.795*R27)-0.0014</f>
        <v>0.5948500000000001</v>
      </c>
      <c r="AR27">
        <v>2.9</v>
      </c>
      <c r="AS27">
        <f>1 - EXP(-2*(AR27^2))</f>
        <v>0.9999999504359468</v>
      </c>
      <c r="AT27">
        <f>(104.7*AQ27+0.307*S27-15)*(S27^0.75)*10^-3</f>
        <v>1.791789845612274</v>
      </c>
      <c r="AU27">
        <f>AT27*AS27*AP27</f>
        <v>1.7917897568039067</v>
      </c>
      <c r="AV27">
        <f>(AU27 * Q27) + (0.045 * AJ27)</f>
        <v>0.35835795136078136</v>
      </c>
      <c r="AW27">
        <f>$BS$2</f>
        <v>0.08</v>
      </c>
      <c r="AX27">
        <f>(AU27 * ((1 - R27) + (0.04 * AU27))) * ( 1 - AW27 )</f>
        <v>0.530258431664115</v>
      </c>
      <c r="AY27">
        <f>$BS$1</f>
        <v>0.24</v>
      </c>
      <c r="AZ27">
        <f>$BT$20</f>
        <v>0.6784</v>
      </c>
      <c r="BA27">
        <f>AX27 * AY27 * T27 * V27 * AZ27</f>
        <v>0</v>
      </c>
      <c r="BB27">
        <f>AX27*AY27*U27*W27*AZ27</f>
        <v>0.0004057724170061754</v>
      </c>
      <c r="BC27">
        <f>BA27+BB27</f>
        <v>0.0004057724170061754</v>
      </c>
      <c r="BD27">
        <f>L27*BC27*O27</f>
        <v>1.8513366525906754</v>
      </c>
      <c r="BF27">
        <f>L27*AL27*O27</f>
        <v>256.90304245979894</v>
      </c>
      <c r="BR27" t="str">
        <v xml:space="preserve">NSW </v>
      </c>
      <c r="BS27" t="str">
        <v xml:space="preserve">99.55 </v>
      </c>
      <c r="BT27">
        <v>0.45</v>
      </c>
      <c r="BW27" t="str">
        <v>Spring</v>
      </c>
      <c r="BX27" t="str">
        <v>Wethers</v>
      </c>
      <c r="BY27">
        <v>0.08</v>
      </c>
      <c r="BZ27">
        <v>0</v>
      </c>
      <c r="CA27">
        <v>0.11</v>
      </c>
      <c r="CB27">
        <v>0.11</v>
      </c>
      <c r="CC27">
        <v>0.11</v>
      </c>
      <c r="CD27">
        <v>0.13</v>
      </c>
      <c r="CE27">
        <v>1</v>
      </c>
      <c r="CI27" t="str">
        <v>Winter</v>
      </c>
      <c r="CJ27">
        <v>-0.05</v>
      </c>
      <c r="CK27">
        <v>-0.02</v>
      </c>
      <c r="CL27">
        <v>-0.03</v>
      </c>
      <c r="CM27">
        <v>-0.03</v>
      </c>
      <c r="CN27">
        <v>0</v>
      </c>
      <c r="CO27">
        <v>0.02</v>
      </c>
    </row>
    <row r="28" xml:space="preserve">
      <c r="I28" t="str">
        <v>Summer</v>
      </c>
      <c r="J28">
        <f>J27</f>
        <v>1</v>
      </c>
      <c r="K28">
        <f>K27</f>
        <v>0.65</v>
      </c>
      <c r="L28">
        <v>55</v>
      </c>
      <c r="M28">
        <v>0</v>
      </c>
      <c r="N28">
        <v>0</v>
      </c>
      <c r="O28">
        <f>$BS$3</f>
        <v>91.25</v>
      </c>
      <c r="P28">
        <v>0</v>
      </c>
      <c r="Q28">
        <v>0.1</v>
      </c>
      <c r="R28">
        <v>0.61</v>
      </c>
      <c r="S28">
        <v>75</v>
      </c>
      <c r="T28">
        <f>1-U28</f>
        <v>0</v>
      </c>
      <c r="U28">
        <f>IF($D$11="yes", 1, VLOOKUP(B28, $BR$26:$BT$32, 1))</f>
        <v>1</v>
      </c>
      <c r="V28">
        <f>VLOOKUP($B$11,$BT$10:$BU$16, 2, FALSE)</f>
        <v>0.72</v>
      </c>
      <c r="W28">
        <f>$BS$10</f>
        <v>0.0047</v>
      </c>
      <c r="X28">
        <f>IF(E28="yes",1,0)</f>
        <v>0</v>
      </c>
      <c r="Y28">
        <f>$BS$4</f>
        <v>0.24</v>
      </c>
      <c r="Z28">
        <f>$BS$6</f>
        <v>0.011</v>
      </c>
      <c r="AA28">
        <f>$BS$5</f>
        <v>0.21</v>
      </c>
      <c r="AB28">
        <f>VLOOKUP($F$11,$BR$37:$BS$49,2,FALSE)</f>
        <v>0.0059</v>
      </c>
      <c r="AC28">
        <f>(M28/100)*(MIN(N28,100)/100)</f>
        <v>0</v>
      </c>
      <c r="AD28">
        <f>AC28 * 1.6</f>
        <v>0</v>
      </c>
      <c r="AE28">
        <f>J28 * K28 / 365</f>
        <v>0.0017808219178082193</v>
      </c>
      <c r="AF28">
        <f>P28 * 0.92</f>
        <v>0</v>
      </c>
      <c r="AG28">
        <v>78</v>
      </c>
      <c r="AH28">
        <f>S28 / AG28</f>
        <v>0.9615384615384616</v>
      </c>
      <c r="AI28">
        <v>0</v>
      </c>
      <c r="AJ28">
        <f>1.6 * AI28</f>
        <v>0</v>
      </c>
      <c r="AK28" xml:space="preserve">
        <f xml:space="preserve">(0.045*AD28+AE28*0.84+_x000d_
      (AF28*_x000d_
          (_x000d_
              (212 - 4*(AF28*1000/(4*AG28^0.75)-1))-((140 - 4 * (AF28*1000/(4*AG28^0.75)-1))/(1+EXP(-6*(AH28-0.4))))_x000d_
          )_x000d_
      )*10^-3_x000d_
)/6.25</f>
        <v>0.00023934246575342468</v>
      </c>
      <c r="AL28">
        <f>(AV28 / 6.25 ) - AK28</f>
        <v>0.023677410059052224</v>
      </c>
      <c r="AM28">
        <f>IF($G$11="wet",$BU$18,$BU$19)</f>
        <v>0.006</v>
      </c>
      <c r="AN28">
        <f>$BS$7</f>
        <v>1.5714285714285714</v>
      </c>
      <c r="AO28">
        <f>$BV$1</f>
        <v>1.3</v>
      </c>
      <c r="AP28">
        <f>AC28*AO28+(1-AC28)</f>
        <v>1</v>
      </c>
      <c r="AQ28">
        <f>(0.795*R28)-0.0014</f>
        <v>0.48355</v>
      </c>
      <c r="AR28">
        <v>2.5</v>
      </c>
      <c r="AS28">
        <f>1 - EXP(-2*(AR28^2))</f>
        <v>0.999996273346828</v>
      </c>
      <c r="AT28">
        <f>(104.7*AQ28+0.307*S28-15)*(S28^0.75)*10^-3</f>
        <v>1.4948026034112167</v>
      </c>
      <c r="AU28">
        <f>AT28*AS28*AP28</f>
        <v>1.494797032800353</v>
      </c>
      <c r="AV28">
        <f>(AU28 * Q28) + (0.045 * AJ28)</f>
        <v>0.14947970328003532</v>
      </c>
      <c r="AW28">
        <f>$BS$2</f>
        <v>0.08</v>
      </c>
      <c r="AX28">
        <f>(AU28 * ((1 - R28) + (0.04 * AU28))) * ( 1 - AW28 )</f>
        <v>0.6185597639978564</v>
      </c>
      <c r="AY28">
        <f>$BS$1</f>
        <v>0.24</v>
      </c>
      <c r="AZ28">
        <f>$BT$20</f>
        <v>0.6784</v>
      </c>
      <c r="BA28">
        <f>AX28 * AY28 * T28 * V28 * AZ28</f>
        <v>0</v>
      </c>
      <c r="BB28">
        <f>AX28*AY28*U28*W28*AZ28</f>
        <v>0.00047334370471485243</v>
      </c>
      <c r="BC28">
        <f>BA28+BB28</f>
        <v>0.00047334370471485243</v>
      </c>
      <c r="BD28">
        <f>L28*BC28*O28</f>
        <v>2.3755937180376656</v>
      </c>
      <c r="BF28">
        <f>L28*AL28*O28</f>
        <v>118.83100173386836</v>
      </c>
      <c r="BR28" t="str">
        <v xml:space="preserve">QLD </v>
      </c>
      <c r="BS28" t="str">
        <v xml:space="preserve">99.91 </v>
      </c>
      <c r="BT28">
        <v>0.09</v>
      </c>
      <c r="BW28" t="str">
        <v>Summer</v>
      </c>
      <c r="BX28" t="str">
        <v>Wethers</v>
      </c>
      <c r="BY28">
        <v>-0.08</v>
      </c>
      <c r="BZ28">
        <v>0.05</v>
      </c>
      <c r="CA28">
        <v>-0.1</v>
      </c>
      <c r="CB28">
        <v>0</v>
      </c>
      <c r="CC28">
        <v>-0.05</v>
      </c>
      <c r="CD28">
        <v>-0.05</v>
      </c>
      <c r="CE28">
        <v>2</v>
      </c>
      <c r="CH28" t="str">
        <v>Western Australia</v>
      </c>
      <c r="CI28" t="str">
        <v>Spring</v>
      </c>
      <c r="CJ28">
        <v>0.11</v>
      </c>
      <c r="CK28">
        <v>0.13</v>
      </c>
      <c r="CL28">
        <v>0.05</v>
      </c>
      <c r="CM28">
        <v>0.05</v>
      </c>
      <c r="CN28">
        <v>0.05</v>
      </c>
      <c r="CO28">
        <v>0.11</v>
      </c>
    </row>
    <row r="29" xml:space="preserve">
      <c r="I29" t="str">
        <v>Autumn</v>
      </c>
      <c r="J29">
        <f>J28</f>
        <v>1</v>
      </c>
      <c r="K29">
        <f>K28</f>
        <v>0.65</v>
      </c>
      <c r="L29">
        <v>60</v>
      </c>
      <c r="M29">
        <v>0</v>
      </c>
      <c r="N29">
        <v>0</v>
      </c>
      <c r="O29">
        <f>$BS$3</f>
        <v>91.25</v>
      </c>
      <c r="P29">
        <v>-0.07</v>
      </c>
      <c r="Q29">
        <v>0.12</v>
      </c>
      <c r="R29">
        <v>0.64</v>
      </c>
      <c r="S29">
        <v>69</v>
      </c>
      <c r="T29">
        <f>1-U29</f>
        <v>0</v>
      </c>
      <c r="U29">
        <f>IF($D$11="yes", 1, VLOOKUP(B29, $BR$26:$BT$32, 1))</f>
        <v>1</v>
      </c>
      <c r="V29">
        <f>VLOOKUP($B$11,$BT$10:$BU$16, 2, FALSE)</f>
        <v>0.72</v>
      </c>
      <c r="W29">
        <f>$BS$10</f>
        <v>0.0047</v>
      </c>
      <c r="X29">
        <f>IF(E29="yes",1,0)</f>
        <v>0</v>
      </c>
      <c r="Y29">
        <f>$BS$4</f>
        <v>0.24</v>
      </c>
      <c r="Z29">
        <f>$BS$6</f>
        <v>0.011</v>
      </c>
      <c r="AA29">
        <f>$BS$5</f>
        <v>0.21</v>
      </c>
      <c r="AB29">
        <f>VLOOKUP($F$11,$BR$37:$BS$49,2,FALSE)</f>
        <v>0.0059</v>
      </c>
      <c r="AC29">
        <f>(M29/100)*(MIN(N29,100)/100)</f>
        <v>0</v>
      </c>
      <c r="AD29">
        <f>AC29 * 1.6</f>
        <v>0</v>
      </c>
      <c r="AE29">
        <f>J29 * K29 / 365</f>
        <v>0.0017808219178082193</v>
      </c>
      <c r="AF29">
        <f>P29 * 0.92</f>
        <v>-0.06440000000000001</v>
      </c>
      <c r="AG29">
        <v>78</v>
      </c>
      <c r="AH29">
        <f>S29 / AG29</f>
        <v>0.8846153846153846</v>
      </c>
      <c r="AI29">
        <v>0</v>
      </c>
      <c r="AJ29">
        <f>1.6 * AI29</f>
        <v>0</v>
      </c>
      <c r="AK29" xml:space="preserve">
        <f xml:space="preserve">(0.045*AD29+AE29*0.84+_x000d_
      (AF29*_x000d_
          (_x000d_
              (212 - 4*(AF29*1000/(4*AG29^0.75)-1))-((140 - 4 * (AF29*1000/(4*AG29^0.75)-1))/(1+EXP(-6*(AH29-0.4))))_x000d_
          )_x000d_
      )*10^-3_x000d_
)/6.25</f>
        <v>-0.0005806764551297814</v>
      </c>
      <c r="AL29">
        <f>(AV29 / 6.25 ) - AK29</f>
        <v>0.0276792590140533</v>
      </c>
      <c r="AM29">
        <f>IF($G$11="wet",$BU$18,$BU$19)</f>
        <v>0.006</v>
      </c>
      <c r="AN29">
        <f>$BS$7</f>
        <v>1.5714285714285714</v>
      </c>
      <c r="AO29">
        <f>$BV$1</f>
        <v>1.3</v>
      </c>
      <c r="AP29">
        <f>AC29*AO29+(1-AC29)</f>
        <v>1</v>
      </c>
      <c r="AQ29">
        <f>(0.795*R29)-0.0014</f>
        <v>0.5074000000000001</v>
      </c>
      <c r="AR29">
        <v>1.6</v>
      </c>
      <c r="AS29">
        <f>1 - EXP(-2*(AR29^2))</f>
        <v>0.994023977104994</v>
      </c>
      <c r="AT29">
        <f>(104.7*AQ29+0.307*S29-15)*(S29^0.75)*10^-3</f>
        <v>1.4198696820048529</v>
      </c>
      <c r="AU29">
        <f>AT29*AS29*AP29</f>
        <v>1.411384508277267</v>
      </c>
      <c r="AV29">
        <f>(AU29 * Q29) + (0.045 * AJ29)</f>
        <v>0.16936614099327202</v>
      </c>
      <c r="AW29">
        <f>$BS$2</f>
        <v>0.08</v>
      </c>
      <c r="AX29">
        <f>(AU29 * ((1 - R29) + (0.04 * AU29))) * ( 1 - AW29 )</f>
        <v>0.5407563784129771</v>
      </c>
      <c r="AY29">
        <f>$BS$1</f>
        <v>0.24</v>
      </c>
      <c r="AZ29">
        <f>$BT$20</f>
        <v>0.6784</v>
      </c>
      <c r="BA29">
        <f>AX29 * AY29 * T29 * V29 * AZ29</f>
        <v>0</v>
      </c>
      <c r="BB29">
        <f>AX29*AY29*U29*W29*AZ29</f>
        <v>0.0004138058153861302</v>
      </c>
      <c r="BC29">
        <f>BA29+BB29</f>
        <v>0.0004138058153861302</v>
      </c>
      <c r="BD29">
        <f>L29*BC29*O29</f>
        <v>2.265586839239063</v>
      </c>
      <c r="BF29">
        <f>L29*AL29*O29</f>
        <v>151.5439431019418</v>
      </c>
      <c r="BR29" t="str">
        <v xml:space="preserve">SA </v>
      </c>
      <c r="BS29" t="str">
        <v xml:space="preserve">99.74 </v>
      </c>
      <c r="BT29">
        <v>0.26</v>
      </c>
      <c r="BW29" t="str">
        <v>Autumn</v>
      </c>
      <c r="BX29" t="str">
        <v>Wethers</v>
      </c>
      <c r="BY29">
        <v>0</v>
      </c>
      <c r="BZ29">
        <v>0</v>
      </c>
      <c r="CA29">
        <v>-0.1</v>
      </c>
      <c r="CB29">
        <v>-0.1</v>
      </c>
      <c r="CC29">
        <v>-0.03</v>
      </c>
      <c r="CD29">
        <v>-0.08</v>
      </c>
      <c r="CE29">
        <v>3</v>
      </c>
      <c r="CI29" t="str">
        <v>Summer</v>
      </c>
      <c r="CJ29">
        <v>-0.11</v>
      </c>
      <c r="CK29">
        <v>-0.05</v>
      </c>
      <c r="CL29">
        <v>-0.05</v>
      </c>
      <c r="CM29">
        <v>-0.05</v>
      </c>
      <c r="CN29">
        <v>-0.05</v>
      </c>
      <c r="CO29">
        <v>0</v>
      </c>
    </row>
    <row r="30" xml:space="preserve">
      <c r="I30" t="str">
        <v>Winter</v>
      </c>
      <c r="J30">
        <f>J29</f>
        <v>1</v>
      </c>
      <c r="K30">
        <f>K29</f>
        <v>0.65</v>
      </c>
      <c r="L30">
        <v>65</v>
      </c>
      <c r="M30">
        <v>0</v>
      </c>
      <c r="N30">
        <v>0</v>
      </c>
      <c r="O30">
        <f>$BS$3</f>
        <v>91.25</v>
      </c>
      <c r="P30">
        <v>0</v>
      </c>
      <c r="Q30">
        <v>0.18</v>
      </c>
      <c r="R30">
        <v>0.72</v>
      </c>
      <c r="S30">
        <v>69</v>
      </c>
      <c r="T30">
        <f>1-U30</f>
        <v>0</v>
      </c>
      <c r="U30">
        <f>IF($D$11="yes", 1, VLOOKUP(B30, $BR$26:$BT$32, 1))</f>
        <v>1</v>
      </c>
      <c r="V30">
        <f>VLOOKUP($B$11,$BT$10:$BU$16, 2, FALSE)</f>
        <v>0.72</v>
      </c>
      <c r="W30">
        <f>$BS$10</f>
        <v>0.0047</v>
      </c>
      <c r="X30">
        <f>IF(E30="yes",1,0)</f>
        <v>0</v>
      </c>
      <c r="Y30">
        <f>$BS$4</f>
        <v>0.24</v>
      </c>
      <c r="Z30">
        <f>$BS$6</f>
        <v>0.011</v>
      </c>
      <c r="AA30">
        <f>$BS$5</f>
        <v>0.21</v>
      </c>
      <c r="AB30">
        <f>VLOOKUP($F$11,$BR$37:$BS$49,2,FALSE)</f>
        <v>0.0059</v>
      </c>
      <c r="AC30">
        <f>(M30/100)*(MIN(N30,100)/100)</f>
        <v>0</v>
      </c>
      <c r="AD30">
        <f>AC30 * 1.6</f>
        <v>0</v>
      </c>
      <c r="AE30">
        <f>J30 * K30 / 365</f>
        <v>0.0017808219178082193</v>
      </c>
      <c r="AF30">
        <f>P30 * 0.92</f>
        <v>0</v>
      </c>
      <c r="AG30">
        <v>78</v>
      </c>
      <c r="AH30">
        <f>S30 / AG30</f>
        <v>0.8846153846153846</v>
      </c>
      <c r="AI30">
        <v>0</v>
      </c>
      <c r="AJ30">
        <f>1.6 * AI30</f>
        <v>0</v>
      </c>
      <c r="AK30" xml:space="preserve">
        <f xml:space="preserve">(0.045*AD30+AE30*0.84+_x000d_
      (AF30*_x000d_
          (_x000d_
              (212 - 4*(AF30*1000/(4*AG30^0.75)-1))-((140 - 4 * (AF30*1000/(4*AG30^0.75)-1))/(1+EXP(-6*(AH30-0.4))))_x000d_
          )_x000d_
      )*10^-3_x000d_
)/6.25</f>
        <v>0.00023934246575342468</v>
      </c>
      <c r="AL30">
        <f>(AV30 / 6.25 ) - AK30</f>
        <v>0.045103691581787016</v>
      </c>
      <c r="AM30">
        <f>IF($G$11="wet",$BU$18,$BU$19)</f>
        <v>0.006</v>
      </c>
      <c r="AN30">
        <f>$BS$7</f>
        <v>1.5714285714285714</v>
      </c>
      <c r="AO30">
        <f>$BV$1</f>
        <v>1.3</v>
      </c>
      <c r="AP30">
        <f>AC30*AO30+(1-AC30)</f>
        <v>1</v>
      </c>
      <c r="AQ30">
        <f>(0.795*R30)-0.0014</f>
        <v>0.5710000000000001</v>
      </c>
      <c r="AR30">
        <v>1.7</v>
      </c>
      <c r="AS30">
        <f>1 - EXP(-2*(AR30^2))</f>
        <v>0.9969112845917633</v>
      </c>
      <c r="AT30">
        <f>(104.7*AQ30+0.307*S30-15)*(S30^0.75)*10^-3</f>
        <v>1.5792888783210146</v>
      </c>
      <c r="AU30">
        <f>AT30*AS30*AP30</f>
        <v>1.5744109044284875</v>
      </c>
      <c r="AV30">
        <f>(AU30 * Q30) + (0.045 * AJ30)</f>
        <v>0.28339396279712775</v>
      </c>
      <c r="AW30">
        <f>$BS$2</f>
        <v>0.08</v>
      </c>
      <c r="AX30">
        <f>(AU30 * ((1 - R30) + (0.04 * AU30))) * ( 1 - AW30 )</f>
        <v>0.49678697379296494</v>
      </c>
      <c r="AY30">
        <f>$BS$1</f>
        <v>0.24</v>
      </c>
      <c r="AZ30">
        <f>$BT$20</f>
        <v>0.6784</v>
      </c>
      <c r="BA30">
        <f>AX30 * AY30 * T30 * V30 * AZ30</f>
        <v>0</v>
      </c>
      <c r="BB30">
        <f>AX30*AY30*U30*W30*AZ30</f>
        <v>0.0003801588792478543</v>
      </c>
      <c r="BC30">
        <f>BA30+BB30</f>
        <v>0.0003801588792478543</v>
      </c>
      <c r="BD30">
        <f>L30*BC30*O30</f>
        <v>2.2548173525388355</v>
      </c>
      <c r="BF30">
        <f>L30*AL30*O30</f>
        <v>267.52127069447425</v>
      </c>
      <c r="BR30" t="str">
        <v xml:space="preserve">TAS </v>
      </c>
      <c r="BS30" t="str">
        <v xml:space="preserve">99.50 </v>
      </c>
      <c r="BT30">
        <v>0.5</v>
      </c>
      <c r="BW30" t="str">
        <v>Winter</v>
      </c>
      <c r="BX30" t="str">
        <v>Wethers</v>
      </c>
      <c r="BY30">
        <v>0</v>
      </c>
      <c r="BZ30">
        <v>-0.05</v>
      </c>
      <c r="CA30">
        <v>0</v>
      </c>
      <c r="CB30">
        <v>-0.1</v>
      </c>
      <c r="CC30">
        <v>-0.02</v>
      </c>
      <c r="CD30">
        <v>0</v>
      </c>
      <c r="CE30">
        <v>4</v>
      </c>
      <c r="CI30" t="str">
        <v>Autumn</v>
      </c>
      <c r="CJ30">
        <v>0</v>
      </c>
      <c r="CK30">
        <v>-0.08</v>
      </c>
      <c r="CL30">
        <v>0.11</v>
      </c>
      <c r="CM30">
        <v>-0.05</v>
      </c>
      <c r="CN30">
        <v>-0.05</v>
      </c>
      <c r="CO30">
        <v>0.11</v>
      </c>
    </row>
    <row r="31" xml:space="preserve">
      <c r="H31" t="str">
        <v>Wethers</v>
      </c>
      <c r="I31" t="str">
        <v>Spring</v>
      </c>
      <c r="J31">
        <v>0.5</v>
      </c>
      <c r="K31">
        <v>0.65</v>
      </c>
      <c r="L31">
        <v>50</v>
      </c>
      <c r="M31">
        <v>0</v>
      </c>
      <c r="N31">
        <v>0</v>
      </c>
      <c r="O31">
        <f>$BS$3</f>
        <v>91.25</v>
      </c>
      <c r="P31">
        <v>0.08</v>
      </c>
      <c r="Q31">
        <v>0.2</v>
      </c>
      <c r="R31">
        <v>0.75</v>
      </c>
      <c r="S31">
        <v>62</v>
      </c>
      <c r="T31">
        <f>1-U31</f>
        <v>0</v>
      </c>
      <c r="U31">
        <f>IF($D$11="yes", 1, VLOOKUP(B31, $BR$26:$BT$32, 1))</f>
        <v>1</v>
      </c>
      <c r="V31">
        <f>VLOOKUP($B$11,$BT$10:$BU$16, 2, FALSE)</f>
        <v>0.72</v>
      </c>
      <c r="W31">
        <f>$BS$10</f>
        <v>0.0047</v>
      </c>
      <c r="X31">
        <f>IF(E31="yes",1,0)</f>
        <v>0</v>
      </c>
      <c r="Y31">
        <f>$BS$4</f>
        <v>0.24</v>
      </c>
      <c r="Z31">
        <f>$BS$6</f>
        <v>0.011</v>
      </c>
      <c r="AA31">
        <f>$BS$5</f>
        <v>0.21</v>
      </c>
      <c r="AB31">
        <f>VLOOKUP($F$11,$BR$37:$BS$49,2,FALSE)</f>
        <v>0.0059</v>
      </c>
      <c r="AC31">
        <f>(M31/100)*(MIN(N31,100)/100)</f>
        <v>0</v>
      </c>
      <c r="AD31">
        <f>AC31 * 1.6</f>
        <v>0</v>
      </c>
      <c r="AE31">
        <f>J31 * K31 / 365</f>
        <v>0.0008904109589041097</v>
      </c>
      <c r="AF31">
        <f>P31 * 0.92</f>
        <v>0.0736</v>
      </c>
      <c r="AG31">
        <v>62</v>
      </c>
      <c r="AH31">
        <f>S31 / AG31</f>
        <v>1</v>
      </c>
      <c r="AI31">
        <v>0</v>
      </c>
      <c r="AJ31">
        <f>1.6 * AI31</f>
        <v>0</v>
      </c>
      <c r="AK31" xml:space="preserve">
        <f xml:space="preserve">(0.045*AD31+AE31*0.84+_x000d_
      (AF31*_x000d_
          (_x000d_
              (212 - 4*(AF31*1000/(4*AG31^0.75)-1))-((140 - 4 * (AF31*1000/(4*AG31^0.75)-1))/(1+EXP(-6*(AH31-0.4))))_x000d_
          )_x000d_
      )*10^-3_x000d_
)/6.25</f>
        <v>0.0010116016126962319</v>
      </c>
      <c r="AL31">
        <f>(AV31 / 6.25 ) - AK31</f>
        <v>0.0458755829416546</v>
      </c>
      <c r="AM31">
        <f>IF($G$11="wet",$BU$18,$BU$19)</f>
        <v>0.006</v>
      </c>
      <c r="AN31">
        <f>$BS$7</f>
        <v>1.5714285714285714</v>
      </c>
      <c r="AO31">
        <f>$BV$1</f>
        <v>1.3</v>
      </c>
      <c r="AP31">
        <f>AC31*AO31+(1-AC31)</f>
        <v>1</v>
      </c>
      <c r="AQ31">
        <f>(0.795*R31)-0.0014</f>
        <v>0.5948500000000001</v>
      </c>
      <c r="AR31">
        <v>2.9</v>
      </c>
      <c r="AS31">
        <f>1 - EXP(-2*(AR31^2))</f>
        <v>0.9999999504359468</v>
      </c>
      <c r="AT31">
        <f>(104.7*AQ31+0.307*S31-15)*(S31^0.75)*10^-3</f>
        <v>1.465224589945933</v>
      </c>
      <c r="AU31">
        <f>AT31*AS31*AP31</f>
        <v>1.4652245173234635</v>
      </c>
      <c r="AV31">
        <f>(AU31 * Q31) + (0.045 * AJ31)</f>
        <v>0.2930449034646927</v>
      </c>
      <c r="AW31">
        <f>$BS$2</f>
        <v>0.08</v>
      </c>
      <c r="AX31">
        <f>(AU31 * ((1 - R31) + (0.04 * AU31))) * ( 1 - AW31 )</f>
        <v>0.41600692919529714</v>
      </c>
      <c r="AY31">
        <f>$BS$1</f>
        <v>0.24</v>
      </c>
      <c r="AZ31">
        <f>$BT$20</f>
        <v>0.6784</v>
      </c>
      <c r="BA31">
        <f>AX31 * AY31 * T31 * V31 * AZ31</f>
        <v>0</v>
      </c>
      <c r="BB31">
        <f>AX31*AY31*U31*W31*AZ31</f>
        <v>0.00031834314566414905</v>
      </c>
      <c r="BC31">
        <f>BA31+BB31</f>
        <v>0.00031834314566414905</v>
      </c>
      <c r="BD31">
        <f>L31*BC31*O31</f>
        <v>1.4524406020926799</v>
      </c>
      <c r="BF31">
        <f>L31*AL31*O31</f>
        <v>209.30734717129909</v>
      </c>
      <c r="BR31" t="str">
        <v xml:space="preserve">VIC </v>
      </c>
      <c r="BS31" t="str">
        <v xml:space="preserve">99.17 </v>
      </c>
      <c r="BT31">
        <v>0.83</v>
      </c>
      <c r="CI31" t="str">
        <v>Winter</v>
      </c>
      <c r="CJ31">
        <v>0</v>
      </c>
      <c r="CK31">
        <v>0</v>
      </c>
      <c r="CL31">
        <v>0.05</v>
      </c>
      <c r="CM31">
        <v>0.05</v>
      </c>
      <c r="CN31">
        <v>0.05</v>
      </c>
      <c r="CO31">
        <v>0.11</v>
      </c>
    </row>
    <row r="32" xml:space="preserve">
      <c r="I32" t="str">
        <v>Summer</v>
      </c>
      <c r="J32">
        <f>J31</f>
        <v>0.5</v>
      </c>
      <c r="K32">
        <f>K31</f>
        <v>0.65</v>
      </c>
      <c r="L32">
        <v>100</v>
      </c>
      <c r="M32">
        <v>0</v>
      </c>
      <c r="N32">
        <v>0</v>
      </c>
      <c r="O32">
        <f>$BS$3</f>
        <v>91.25</v>
      </c>
      <c r="P32">
        <v>-0.08</v>
      </c>
      <c r="Q32">
        <v>0.1</v>
      </c>
      <c r="R32">
        <v>0.61</v>
      </c>
      <c r="S32">
        <v>55</v>
      </c>
      <c r="T32">
        <f>1-U32</f>
        <v>0</v>
      </c>
      <c r="U32">
        <f>IF($D$11="yes", 1, VLOOKUP(B32, $BR$26:$BT$32, 1))</f>
        <v>1</v>
      </c>
      <c r="V32">
        <f>VLOOKUP($B$11,$BT$10:$BU$16, 2, FALSE)</f>
        <v>0.72</v>
      </c>
      <c r="W32">
        <f>$BS$10</f>
        <v>0.0047</v>
      </c>
      <c r="X32">
        <f>IF(E32="yes",1,0)</f>
        <v>0</v>
      </c>
      <c r="Y32">
        <f>$BS$4</f>
        <v>0.24</v>
      </c>
      <c r="Z32">
        <f>$BS$6</f>
        <v>0.011</v>
      </c>
      <c r="AA32">
        <f>$BS$5</f>
        <v>0.21</v>
      </c>
      <c r="AB32">
        <f>VLOOKUP($F$11,$BR$37:$BS$49,2,FALSE)</f>
        <v>0.0059</v>
      </c>
      <c r="AC32">
        <f>(M32/100)*(MIN(N32,100)/100)</f>
        <v>0</v>
      </c>
      <c r="AD32">
        <f>AC32 * 1.6</f>
        <v>0</v>
      </c>
      <c r="AE32">
        <f>J32 * K32 / 365</f>
        <v>0.0008904109589041097</v>
      </c>
      <c r="AF32">
        <f>P32 * 0.92</f>
        <v>-0.0736</v>
      </c>
      <c r="AG32">
        <v>62</v>
      </c>
      <c r="AH32">
        <f>S32 / AG32</f>
        <v>0.8870967741935484</v>
      </c>
      <c r="AI32">
        <v>0</v>
      </c>
      <c r="AJ32">
        <f>1.6 * AI32</f>
        <v>0</v>
      </c>
      <c r="AK32" xml:space="preserve">
        <f xml:space="preserve">(0.045*AD32+AE32*0.84+_x000d_
      (AF32*_x000d_
          (_x000d_
              (212 - 4*(AF32*1000/(4*AG32^0.75)-1))-((140 - 4 * (AF32*1000/(4*AG32^0.75)-1))/(1+EXP(-6*(AH32-0.4))))_x000d_
          )_x000d_
      )*10^-3_x000d_
)/6.25</f>
        <v>-0.0008167684935642869</v>
      </c>
      <c r="AL32">
        <f>(AV32 / 6.25 ) - AK32</f>
        <v>0.017785704265871654</v>
      </c>
      <c r="AM32">
        <f>IF($G$11="wet",$BU$18,$BU$19)</f>
        <v>0.006</v>
      </c>
      <c r="AN32">
        <f>$BS$7</f>
        <v>1.5714285714285714</v>
      </c>
      <c r="AO32">
        <f>$BV$1</f>
        <v>1.3</v>
      </c>
      <c r="AP32">
        <f>AC32*AO32+(1-AC32)</f>
        <v>1</v>
      </c>
      <c r="AQ32">
        <f>(0.795*R32)-0.0014</f>
        <v>0.48355</v>
      </c>
      <c r="AR32">
        <v>2.5</v>
      </c>
      <c r="AS32">
        <f>1 - EXP(-2*(AR32^2))</f>
        <v>0.999996273346828</v>
      </c>
      <c r="AT32">
        <f>(104.7*AQ32+0.307*S32-15)*(S32^0.75)*10^-3</f>
        <v>1.0605624381175847</v>
      </c>
      <c r="AU32">
        <f>AT32*AS32*AP32</f>
        <v>1.0605584857692105</v>
      </c>
      <c r="AV32">
        <f>(AU32 * Q32) + (0.045 * AJ32)</f>
        <v>0.10605584857692106</v>
      </c>
      <c r="AW32">
        <f>$BS$2</f>
        <v>0.08</v>
      </c>
      <c r="AX32">
        <f>(AU32 * ((1 - R32) + (0.04 * AU32))) * ( 1 - AW32 )</f>
        <v>0.42192044699791736</v>
      </c>
      <c r="AY32">
        <f>$BS$1</f>
        <v>0.24</v>
      </c>
      <c r="AZ32">
        <f>$BT$20</f>
        <v>0.6784</v>
      </c>
      <c r="BA32">
        <f>AX32 * AY32 * T32 * V32 * AZ32</f>
        <v>0</v>
      </c>
      <c r="BB32">
        <f>AX32*AY32*U32*W32*AZ32</f>
        <v>0.0003228683776425407</v>
      </c>
      <c r="BC32">
        <f>BA32+BB32</f>
        <v>0.0003228683776425407</v>
      </c>
      <c r="BD32">
        <f>L32*BC32*O32</f>
        <v>2.9461739459881837</v>
      </c>
      <c r="BF32">
        <f>L32*AL32*O32</f>
        <v>162.29455142607884</v>
      </c>
      <c r="BR32" t="str">
        <v xml:space="preserve">WA </v>
      </c>
      <c r="BS32" t="str">
        <v xml:space="preserve">99.59 </v>
      </c>
      <c r="BT32">
        <v>0.41</v>
      </c>
    </row>
    <row r="33" xml:space="preserve">
      <c r="I33" t="str">
        <v>Autumn</v>
      </c>
      <c r="J33">
        <f>J32</f>
        <v>0.5</v>
      </c>
      <c r="K33">
        <f>K32</f>
        <v>0.65</v>
      </c>
      <c r="L33">
        <v>90</v>
      </c>
      <c r="M33">
        <v>0</v>
      </c>
      <c r="N33">
        <v>0</v>
      </c>
      <c r="O33">
        <f>$BS$3</f>
        <v>91.25</v>
      </c>
      <c r="P33">
        <v>0</v>
      </c>
      <c r="Q33">
        <v>0.12</v>
      </c>
      <c r="R33">
        <v>0.64</v>
      </c>
      <c r="S33">
        <v>55</v>
      </c>
      <c r="T33">
        <f>1-U33</f>
        <v>0</v>
      </c>
      <c r="U33">
        <f>IF($D$11="yes", 1, VLOOKUP(B33, $BR$26:$BT$32, 1))</f>
        <v>1</v>
      </c>
      <c r="V33">
        <f>VLOOKUP($B$11,$BT$10:$BU$16, 2, FALSE)</f>
        <v>0.72</v>
      </c>
      <c r="W33">
        <f>$BS$10</f>
        <v>0.0047</v>
      </c>
      <c r="X33">
        <f>IF(E33="yes",1,0)</f>
        <v>0</v>
      </c>
      <c r="Y33">
        <f>$BS$4</f>
        <v>0.24</v>
      </c>
      <c r="Z33">
        <f>$BS$6</f>
        <v>0.011</v>
      </c>
      <c r="AA33">
        <f>$BS$5</f>
        <v>0.21</v>
      </c>
      <c r="AB33">
        <f>VLOOKUP($F$11,$BR$37:$BS$49,2,FALSE)</f>
        <v>0.0059</v>
      </c>
      <c r="AC33">
        <f>(M33/100)*(MIN(N33,100)/100)</f>
        <v>0</v>
      </c>
      <c r="AD33">
        <f>AC33 * 1.6</f>
        <v>0</v>
      </c>
      <c r="AE33">
        <f>J33 * K33 / 365</f>
        <v>0.0008904109589041097</v>
      </c>
      <c r="AF33">
        <f>P33 * 0.92</f>
        <v>0</v>
      </c>
      <c r="AG33">
        <v>62</v>
      </c>
      <c r="AH33">
        <f>S33 / AG33</f>
        <v>0.8870967741935484</v>
      </c>
      <c r="AI33">
        <v>0</v>
      </c>
      <c r="AJ33">
        <f>1.6 * AI33</f>
        <v>0</v>
      </c>
      <c r="AK33" xml:space="preserve">
        <f xml:space="preserve">(0.045*AD33+AE33*0.84+_x000d_
      (AF33*_x000d_
          (_x000d_
              (212 - 4*(AF33*1000/(4*AG33^0.75)-1))-((140 - 4 * (AF33*1000/(4*AG33^0.75)-1))/(1+EXP(-6*(AH33-0.4))))_x000d_
          )_x000d_
      )*10^-3_x000d_
)/6.25</f>
        <v>0.00011967123287671234</v>
      </c>
      <c r="AL33">
        <f>(AV33 / 6.25 ) - AK33</f>
        <v>0.021083948851597697</v>
      </c>
      <c r="AM33">
        <f>IF($G$11="wet",$BU$18,$BU$19)</f>
        <v>0.006</v>
      </c>
      <c r="AN33">
        <f>$BS$7</f>
        <v>1.5714285714285714</v>
      </c>
      <c r="AO33">
        <f>$BV$1</f>
        <v>1.3</v>
      </c>
      <c r="AP33">
        <f>AC33*AO33+(1-AC33)</f>
        <v>1</v>
      </c>
      <c r="AQ33">
        <f>(0.795*R33)-0.0014</f>
        <v>0.5074000000000001</v>
      </c>
      <c r="AR33">
        <v>1.6</v>
      </c>
      <c r="AS33">
        <f>1 - EXP(-2*(AR33^2))</f>
        <v>0.994023977104994</v>
      </c>
      <c r="AT33">
        <f>(104.7*AQ33+0.307*S33-15)*(S33^0.75)*10^-3</f>
        <v>1.1109945415495692</v>
      </c>
      <c r="AU33">
        <f>AT33*AS33*AP33</f>
        <v>1.1043552127330423</v>
      </c>
      <c r="AV33">
        <f>(AU33 * Q33) + (0.045 * AJ33)</f>
        <v>0.13252262552796507</v>
      </c>
      <c r="AW33">
        <f>$BS$2</f>
        <v>0.08</v>
      </c>
      <c r="AX33">
        <f>(AU33 * ((1 - R33) + (0.04 * AU33))) * ( 1 - AW33 )</f>
        <v>0.41064374249795926</v>
      </c>
      <c r="AY33">
        <f>$BS$1</f>
        <v>0.24</v>
      </c>
      <c r="AZ33">
        <f>$BT$20</f>
        <v>0.6784</v>
      </c>
      <c r="BA33">
        <f>AX33 * AY33 * T33 * V33 * AZ33</f>
        <v>0</v>
      </c>
      <c r="BB33">
        <f>AX33*AY33*U33*W33*AZ33</f>
        <v>0.00031423904641917434</v>
      </c>
      <c r="BC33">
        <f>BA33+BB33</f>
        <v>0.00031423904641917434</v>
      </c>
      <c r="BD33">
        <f>L33*BC33*O33</f>
        <v>2.5806881687174696</v>
      </c>
      <c r="BF33">
        <f>L33*AL33*O33</f>
        <v>173.1519299437461</v>
      </c>
    </row>
    <row r="34" xml:space="preserve">
      <c r="I34" t="str">
        <v>Winter</v>
      </c>
      <c r="J34">
        <f>J33</f>
        <v>0.5</v>
      </c>
      <c r="K34">
        <f>K33</f>
        <v>0.65</v>
      </c>
      <c r="L34">
        <v>80</v>
      </c>
      <c r="M34">
        <v>0</v>
      </c>
      <c r="N34">
        <v>0</v>
      </c>
      <c r="O34">
        <f>$BS$3</f>
        <v>91.25</v>
      </c>
      <c r="P34">
        <v>0</v>
      </c>
      <c r="Q34">
        <v>0.18</v>
      </c>
      <c r="R34">
        <v>0.72</v>
      </c>
      <c r="S34">
        <v>55</v>
      </c>
      <c r="T34">
        <f>1-U34</f>
        <v>0</v>
      </c>
      <c r="U34">
        <f>IF($D$11="yes", 1, VLOOKUP(B34, $BR$26:$BT$32, 1))</f>
        <v>1</v>
      </c>
      <c r="V34">
        <f>VLOOKUP($B$11,$BT$10:$BU$16, 2, FALSE)</f>
        <v>0.72</v>
      </c>
      <c r="W34">
        <f>$BS$10</f>
        <v>0.0047</v>
      </c>
      <c r="X34">
        <f>IF(E34="yes",1,0)</f>
        <v>0</v>
      </c>
      <c r="Y34">
        <f>$BS$4</f>
        <v>0.24</v>
      </c>
      <c r="Z34">
        <f>$BS$6</f>
        <v>0.011</v>
      </c>
      <c r="AA34">
        <f>$BS$5</f>
        <v>0.21</v>
      </c>
      <c r="AB34">
        <f>VLOOKUP($F$11,$BR$37:$BS$49,2,FALSE)</f>
        <v>0.0059</v>
      </c>
      <c r="AC34">
        <f>(M34/100)*(MIN(N34,100)/100)</f>
        <v>0</v>
      </c>
      <c r="AD34">
        <f>AC34 * 1.6</f>
        <v>0</v>
      </c>
      <c r="AE34">
        <f>J34 * K34 / 365</f>
        <v>0.0008904109589041097</v>
      </c>
      <c r="AF34">
        <f>P34 * 0.92</f>
        <v>0</v>
      </c>
      <c r="AG34">
        <v>62</v>
      </c>
      <c r="AH34">
        <f>S34 / AG34</f>
        <v>0.8870967741935484</v>
      </c>
      <c r="AI34">
        <v>0</v>
      </c>
      <c r="AJ34">
        <f>1.6 * AI34</f>
        <v>0</v>
      </c>
      <c r="AK34" xml:space="preserve">
        <f xml:space="preserve">(0.045*AD34+AE34*0.84+_x000d_
      (AF34*_x000d_
          (_x000d_
              (212 - 4*(AF34*1000/(4*AG34^0.75)-1))-((140 - 4 * (AF34*1000/(4*AG34^0.75)-1))/(1+EXP(-6*(AH34-0.4))))_x000d_
          )_x000d_
      )*10^-3_x000d_
)/6.25</f>
        <v>0.00011967123287671234</v>
      </c>
      <c r="AL34">
        <f>(AV34 / 6.25 ) - AK34</f>
        <v>0.0356393654158421</v>
      </c>
      <c r="AM34">
        <f>IF($G$11="wet",$BU$18,$BU$19)</f>
        <v>0.006</v>
      </c>
      <c r="AN34">
        <f>$BS$7</f>
        <v>1.5714285714285714</v>
      </c>
      <c r="AO34">
        <f>$BV$1</f>
        <v>1.3</v>
      </c>
      <c r="AP34">
        <f>AC34*AO34+(1-AC34)</f>
        <v>1</v>
      </c>
      <c r="AQ34">
        <f>(0.795*R34)-0.0014</f>
        <v>0.5710000000000001</v>
      </c>
      <c r="AR34">
        <v>1.7</v>
      </c>
      <c r="AS34">
        <f>1 - EXP(-2*(AR34^2))</f>
        <v>0.9969112845917633</v>
      </c>
      <c r="AT34">
        <f>(104.7*AQ34+0.307*S34-15)*(S34^0.75)*10^-3</f>
        <v>1.245480150701528</v>
      </c>
      <c r="AU34">
        <f>AT34*AS34*AP34</f>
        <v>1.2416332169694033</v>
      </c>
      <c r="AV34">
        <f>(AU34 * Q34) + (0.045 * AJ34)</f>
        <v>0.2234939790544926</v>
      </c>
      <c r="AW34">
        <f>$BS$2</f>
        <v>0.08</v>
      </c>
      <c r="AX34">
        <f>(AU34 * ((1 - R34) + (0.04 * AU34))) * ( 1 - AW34 )</f>
        <v>0.37657754876504823</v>
      </c>
      <c r="AY34">
        <f>$BS$1</f>
        <v>0.24</v>
      </c>
      <c r="AZ34">
        <f>$BT$20</f>
        <v>0.6784</v>
      </c>
      <c r="BA34">
        <f>AX34 * AY34 * T34 * V34 * AZ34</f>
        <v>0</v>
      </c>
      <c r="BB34">
        <f>AX34*AY34*U34*W34*AZ34</f>
        <v>0.0002881703958447314</v>
      </c>
      <c r="BC34">
        <f>BA34+BB34</f>
        <v>0.0002881703958447314</v>
      </c>
      <c r="BD34">
        <f>L34*BC34*O34</f>
        <v>2.1036438896665395</v>
      </c>
      <c r="BF34">
        <f>L34*AL34*O34</f>
        <v>260.1673675356474</v>
      </c>
    </row>
    <row r="36">
      <c r="BR36" t="str">
        <v>EFN2O</v>
      </c>
      <c r="BW36" t="str">
        <v>A.1.4.4</v>
      </c>
      <c r="BX36" t="str">
        <v>CPjk</v>
      </c>
    </row>
    <row r="37">
      <c r="BR37" t="str">
        <v>Irrigated pasture</v>
      </c>
      <c r="BS37">
        <v>0.0059</v>
      </c>
      <c r="BW37" t="str">
        <v>Season</v>
      </c>
      <c r="BX37" t="str">
        <v>Class</v>
      </c>
      <c r="BY37" t="str">
        <v>ACT/NSW</v>
      </c>
      <c r="BZ37" t="str">
        <v>Queensland</v>
      </c>
      <c r="CA37" t="str">
        <v>South Australia</v>
      </c>
      <c r="CB37" t="str">
        <v>Tasmania</v>
      </c>
      <c r="CC37" t="str">
        <v>Victoria</v>
      </c>
      <c r="CD37" t="str">
        <v>Western Australia</v>
      </c>
      <c r="CE37" t="str">
        <v>SeasonOrder</v>
      </c>
      <c r="CH37" t="str">
        <v>Column1</v>
      </c>
      <c r="CI37" t="str">
        <v>Column2</v>
      </c>
      <c r="CJ37" t="str">
        <v>Column3</v>
      </c>
      <c r="CK37" t="str">
        <v>Column4</v>
      </c>
      <c r="CL37" t="str">
        <v>Column5</v>
      </c>
      <c r="CM37" t="str">
        <v>Column6</v>
      </c>
      <c r="CN37" t="str">
        <v>Column7</v>
      </c>
      <c r="CO37" t="str">
        <v>Column8</v>
      </c>
    </row>
    <row r="38">
      <c r="BR38" t="str">
        <v>Irrigated crop</v>
      </c>
      <c r="BS38">
        <v>0.007</v>
      </c>
      <c r="BW38" t="str">
        <v>Spring</v>
      </c>
      <c r="BX38" t="str">
        <v>Breeding ewes</v>
      </c>
      <c r="BY38">
        <v>0.2</v>
      </c>
      <c r="BZ38">
        <v>0.08</v>
      </c>
      <c r="CA38">
        <v>0.16</v>
      </c>
      <c r="CB38">
        <v>0.2</v>
      </c>
      <c r="CC38">
        <v>0.16</v>
      </c>
      <c r="CD38">
        <v>0.18</v>
      </c>
      <c r="CE38">
        <v>1</v>
      </c>
      <c r="CH38" t="str">
        <v>State</v>
      </c>
      <c r="CI38" t="str">
        <v>Season</v>
      </c>
      <c r="CJ38" t="str">
        <v>Rams</v>
      </c>
      <c r="CK38" t="str">
        <v>Wethers</v>
      </c>
      <c r="CL38" t="str">
        <v>Maiden ewes</v>
      </c>
      <c r="CM38" t="str">
        <v>Breeding ewes</v>
      </c>
      <c r="CN38" t="str">
        <v>Other ewes</v>
      </c>
      <c r="CO38" t="str">
        <v>Lambs and hoggets</v>
      </c>
    </row>
    <row r="39">
      <c r="BR39" t="str">
        <v>Non-irrigated pasture</v>
      </c>
      <c r="BS39">
        <v>0.0018</v>
      </c>
      <c r="BW39" t="str">
        <v>Summer</v>
      </c>
      <c r="BX39" t="str">
        <v>Breeding ewes</v>
      </c>
      <c r="BY39">
        <v>0.1</v>
      </c>
      <c r="BZ39">
        <v>0.1</v>
      </c>
      <c r="CA39">
        <v>0.07</v>
      </c>
      <c r="CB39">
        <v>0.07</v>
      </c>
      <c r="CC39">
        <v>0.07</v>
      </c>
      <c r="CD39">
        <v>0.06</v>
      </c>
      <c r="CE39">
        <v>2</v>
      </c>
      <c r="CH39" t="str">
        <v>ACT/NSW</v>
      </c>
      <c r="CI39" t="str">
        <v>Spring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</row>
    <row r="40">
      <c r="BR40" t="str">
        <v>Non-irrigated crop (low rainfall)</v>
      </c>
      <c r="BS40">
        <v>0.0029</v>
      </c>
      <c r="BW40" t="str">
        <v>Autumn</v>
      </c>
      <c r="BX40" t="str">
        <v>Breeding ewes</v>
      </c>
      <c r="BY40">
        <v>0.12</v>
      </c>
      <c r="BZ40">
        <v>0.09</v>
      </c>
      <c r="CA40">
        <v>0.09</v>
      </c>
      <c r="CB40">
        <v>0.14</v>
      </c>
      <c r="CC40">
        <v>0.13</v>
      </c>
      <c r="CD40">
        <v>0.16</v>
      </c>
      <c r="CE40">
        <v>3</v>
      </c>
      <c r="CI40" t="str">
        <v>Summer</v>
      </c>
      <c r="CJ40">
        <v>0.1</v>
      </c>
      <c r="CK40">
        <v>0.1</v>
      </c>
      <c r="CL40">
        <v>0.1</v>
      </c>
      <c r="CM40">
        <v>0.1</v>
      </c>
      <c r="CN40">
        <v>0.1</v>
      </c>
      <c r="CO40">
        <v>0.1</v>
      </c>
    </row>
    <row r="41">
      <c r="BR41" t="str">
        <v>Non-irrigated crop (high rainfall)</v>
      </c>
      <c r="BS41">
        <v>0.008</v>
      </c>
      <c r="BW41" t="str">
        <v>Winter</v>
      </c>
      <c r="BX41" t="str">
        <v>Breeding ewes</v>
      </c>
      <c r="BY41">
        <v>0.18</v>
      </c>
      <c r="BZ41">
        <v>0.07</v>
      </c>
      <c r="CA41">
        <v>0.2</v>
      </c>
      <c r="CB41">
        <v>0.16</v>
      </c>
      <c r="CC41">
        <v>0.1</v>
      </c>
      <c r="CD41">
        <v>0.21</v>
      </c>
      <c r="CE41">
        <v>4</v>
      </c>
      <c r="CI41" t="str">
        <v>Autumn</v>
      </c>
      <c r="CJ41">
        <v>0.12</v>
      </c>
      <c r="CK41">
        <v>0.12</v>
      </c>
      <c r="CL41">
        <v>0.12</v>
      </c>
      <c r="CM41">
        <v>0.12</v>
      </c>
      <c r="CN41">
        <v>0.12</v>
      </c>
      <c r="CO41">
        <v>0.12</v>
      </c>
    </row>
    <row r="42">
      <c r="BR42" t="str">
        <v>Sugar</v>
      </c>
      <c r="BS42">
        <v>0.0199</v>
      </c>
      <c r="BW42" t="str">
        <v>Spring</v>
      </c>
      <c r="BX42" t="str">
        <v>Lambs and hoggets</v>
      </c>
      <c r="BY42">
        <v>0.2</v>
      </c>
      <c r="BZ42">
        <v>0.08</v>
      </c>
      <c r="CA42">
        <v>0.16</v>
      </c>
      <c r="CB42">
        <v>0.2</v>
      </c>
      <c r="CC42">
        <v>0.16</v>
      </c>
      <c r="CD42">
        <v>0.18</v>
      </c>
      <c r="CE42">
        <v>1</v>
      </c>
      <c r="CI42" t="str">
        <v>Winter</v>
      </c>
      <c r="CJ42">
        <v>0.18</v>
      </c>
      <c r="CK42">
        <v>0.18</v>
      </c>
      <c r="CL42">
        <v>0.18</v>
      </c>
      <c r="CM42">
        <v>0.18</v>
      </c>
      <c r="CN42">
        <v>0.18</v>
      </c>
      <c r="CO42">
        <v>0.18</v>
      </c>
    </row>
    <row r="43">
      <c r="BR43" t="str">
        <v>Cotton</v>
      </c>
      <c r="BS43">
        <v>0.0053</v>
      </c>
      <c r="BW43" t="str">
        <v>Summer</v>
      </c>
      <c r="BX43" t="str">
        <v>Lambs and hoggets</v>
      </c>
      <c r="BY43">
        <v>0.1</v>
      </c>
      <c r="BZ43">
        <v>0.1</v>
      </c>
      <c r="CA43">
        <v>0.07</v>
      </c>
      <c r="CB43">
        <v>0.07</v>
      </c>
      <c r="CC43">
        <v>0.07</v>
      </c>
      <c r="CD43">
        <v>0.06</v>
      </c>
      <c r="CE43">
        <v>2</v>
      </c>
      <c r="CH43" t="str">
        <v>Queensland</v>
      </c>
      <c r="CI43" t="str">
        <v>Spring</v>
      </c>
      <c r="CJ43">
        <v>0.08</v>
      </c>
      <c r="CK43">
        <v>0.08</v>
      </c>
      <c r="CL43">
        <v>0.08</v>
      </c>
      <c r="CM43">
        <v>0.08</v>
      </c>
      <c r="CN43">
        <v>0.08</v>
      </c>
      <c r="CO43">
        <v>0.08</v>
      </c>
    </row>
    <row r="44">
      <c r="BR44" t="str">
        <v>Horticultural crops</v>
      </c>
      <c r="BS44">
        <v>0.0064</v>
      </c>
      <c r="BW44" t="str">
        <v>Autumn</v>
      </c>
      <c r="BX44" t="str">
        <v>Lambs and hoggets</v>
      </c>
      <c r="BY44">
        <v>0.12</v>
      </c>
      <c r="BZ44">
        <v>0.09</v>
      </c>
      <c r="CA44">
        <v>0.09</v>
      </c>
      <c r="CB44">
        <v>0.14</v>
      </c>
      <c r="CC44">
        <v>0.13</v>
      </c>
      <c r="CD44">
        <v>0.16</v>
      </c>
      <c r="CE44">
        <v>3</v>
      </c>
      <c r="CI44" t="str">
        <v>Summer</v>
      </c>
      <c r="CJ44">
        <v>0.1</v>
      </c>
      <c r="CK44">
        <v>0.1</v>
      </c>
      <c r="CL44">
        <v>0.1</v>
      </c>
      <c r="CM44">
        <v>0.1</v>
      </c>
      <c r="CN44">
        <v>0.1</v>
      </c>
      <c r="CO44">
        <v>0.1</v>
      </c>
    </row>
    <row r="45">
      <c r="BR45" t="str">
        <v xml:space="preserve">Aquaculture </v>
      </c>
      <c r="BS45">
        <v>0.0026</v>
      </c>
      <c r="BW45" t="str">
        <v>Winter</v>
      </c>
      <c r="BX45" t="str">
        <v>Lambs and hoggets</v>
      </c>
      <c r="BY45">
        <v>0.18</v>
      </c>
      <c r="BZ45">
        <v>0.07</v>
      </c>
      <c r="CA45">
        <v>0.2</v>
      </c>
      <c r="CB45">
        <v>0.16</v>
      </c>
      <c r="CC45">
        <v>0.1</v>
      </c>
      <c r="CD45">
        <v>0.21</v>
      </c>
      <c r="CE45">
        <v>4</v>
      </c>
      <c r="CI45" t="str">
        <v>Autumn</v>
      </c>
      <c r="CJ45">
        <v>0.09</v>
      </c>
      <c r="CK45">
        <v>0.09</v>
      </c>
      <c r="CL45">
        <v>0.09</v>
      </c>
      <c r="CM45">
        <v>0.09</v>
      </c>
      <c r="CN45">
        <v>0.09</v>
      </c>
      <c r="CO45">
        <v>0.09</v>
      </c>
    </row>
    <row r="46">
      <c r="BR46" t="str">
        <v>Rice (continuous flooding)</v>
      </c>
      <c r="BS46">
        <v>0.003</v>
      </c>
      <c r="BW46" t="str">
        <v>Spring</v>
      </c>
      <c r="BX46" t="str">
        <v>Maiden ewes</v>
      </c>
      <c r="BY46">
        <v>0.2</v>
      </c>
      <c r="BZ46">
        <v>0.08</v>
      </c>
      <c r="CA46">
        <v>0.16</v>
      </c>
      <c r="CB46">
        <v>0.2</v>
      </c>
      <c r="CC46">
        <v>0.16</v>
      </c>
      <c r="CD46">
        <v>0.18</v>
      </c>
      <c r="CE46">
        <v>1</v>
      </c>
      <c r="CI46" t="str">
        <v>Winter</v>
      </c>
      <c r="CJ46">
        <v>0.07</v>
      </c>
      <c r="CK46">
        <v>0.07</v>
      </c>
      <c r="CL46">
        <v>0.07</v>
      </c>
      <c r="CM46">
        <v>0.07</v>
      </c>
      <c r="CN46">
        <v>0.07</v>
      </c>
      <c r="CO46">
        <v>0.07</v>
      </c>
    </row>
    <row r="47">
      <c r="BR47" t="str">
        <v>Rice (single and multiple drainage, or alternate wetting and drying)</v>
      </c>
      <c r="BS47">
        <v>0.005</v>
      </c>
      <c r="BW47" t="str">
        <v>Summer</v>
      </c>
      <c r="BX47" t="str">
        <v>Maiden ewes</v>
      </c>
      <c r="BY47">
        <v>0.1</v>
      </c>
      <c r="BZ47">
        <v>0.1</v>
      </c>
      <c r="CA47">
        <v>0.07</v>
      </c>
      <c r="CB47">
        <v>0.07</v>
      </c>
      <c r="CC47">
        <v>0.07</v>
      </c>
      <c r="CD47">
        <v>0.06</v>
      </c>
      <c r="CE47">
        <v>2</v>
      </c>
      <c r="CH47" t="str">
        <v>South Australia</v>
      </c>
      <c r="CI47" t="str">
        <v>Spring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</row>
    <row r="48">
      <c r="BR48" t="str">
        <v>Aquaculture</v>
      </c>
      <c r="BS48">
        <v>0.0026</v>
      </c>
      <c r="BW48" t="str">
        <v>Autumn</v>
      </c>
      <c r="BX48" t="str">
        <v>Maiden ewes</v>
      </c>
      <c r="BY48">
        <v>0.12</v>
      </c>
      <c r="BZ48">
        <v>0.09</v>
      </c>
      <c r="CA48">
        <v>0.09</v>
      </c>
      <c r="CB48">
        <v>0.14</v>
      </c>
      <c r="CC48">
        <v>0.13</v>
      </c>
      <c r="CD48">
        <v>0.16</v>
      </c>
      <c r="CE48">
        <v>3</v>
      </c>
      <c r="CI48" t="str">
        <v>Summer</v>
      </c>
      <c r="CJ48">
        <v>0.07</v>
      </c>
      <c r="CK48">
        <v>0.07</v>
      </c>
      <c r="CL48">
        <v>0.07</v>
      </c>
      <c r="CM48">
        <v>0.07</v>
      </c>
      <c r="CN48">
        <v>0.07</v>
      </c>
      <c r="CO48">
        <v>0.07</v>
      </c>
    </row>
    <row r="49">
      <c r="BR49" t="str">
        <v>Forestry</v>
      </c>
      <c r="BS49">
        <v>0.0018</v>
      </c>
      <c r="BW49" t="str">
        <v>Winter</v>
      </c>
      <c r="BX49" t="str">
        <v>Maiden ewes</v>
      </c>
      <c r="BY49">
        <v>0.18</v>
      </c>
      <c r="BZ49">
        <v>0.07</v>
      </c>
      <c r="CA49">
        <v>0.2</v>
      </c>
      <c r="CB49">
        <v>0.16</v>
      </c>
      <c r="CC49">
        <v>0.1</v>
      </c>
      <c r="CD49">
        <v>0.21</v>
      </c>
      <c r="CE49">
        <v>4</v>
      </c>
      <c r="CI49" t="str">
        <v>Autumn</v>
      </c>
      <c r="CJ49">
        <v>0.09</v>
      </c>
      <c r="CK49">
        <v>0.09</v>
      </c>
      <c r="CL49">
        <v>0.09</v>
      </c>
      <c r="CM49">
        <v>0.09</v>
      </c>
      <c r="CN49">
        <v>0.09</v>
      </c>
      <c r="CO49">
        <v>0.09</v>
      </c>
    </row>
    <row r="50">
      <c r="BW50" t="str">
        <v>Spring</v>
      </c>
      <c r="BX50" t="str">
        <v>Other ewes</v>
      </c>
      <c r="BY50">
        <v>0.2</v>
      </c>
      <c r="BZ50">
        <v>0.08</v>
      </c>
      <c r="CA50">
        <v>0.16</v>
      </c>
      <c r="CB50">
        <v>0.2</v>
      </c>
      <c r="CC50">
        <v>0.16</v>
      </c>
      <c r="CD50">
        <v>0.18</v>
      </c>
      <c r="CE50">
        <v>1</v>
      </c>
      <c r="CI50" t="str">
        <v>Winter</v>
      </c>
      <c r="CJ50">
        <v>0.2</v>
      </c>
      <c r="CK50">
        <v>0.2</v>
      </c>
      <c r="CL50">
        <v>0.2</v>
      </c>
      <c r="CM50">
        <v>0.2</v>
      </c>
      <c r="CN50">
        <v>0.2</v>
      </c>
      <c r="CO50">
        <v>0.2</v>
      </c>
    </row>
    <row r="51">
      <c r="BW51" t="str">
        <v>Summer</v>
      </c>
      <c r="BX51" t="str">
        <v>Other ewes</v>
      </c>
      <c r="BY51">
        <v>0.1</v>
      </c>
      <c r="BZ51">
        <v>0.1</v>
      </c>
      <c r="CA51">
        <v>0.07</v>
      </c>
      <c r="CB51">
        <v>0.07</v>
      </c>
      <c r="CC51">
        <v>0.07</v>
      </c>
      <c r="CD51">
        <v>0.06</v>
      </c>
      <c r="CE51">
        <v>2</v>
      </c>
      <c r="CH51" t="str">
        <v>Tasmania</v>
      </c>
      <c r="CI51" t="str">
        <v>Spring</v>
      </c>
      <c r="CJ51">
        <v>0.2</v>
      </c>
      <c r="CK51">
        <v>0.2</v>
      </c>
      <c r="CL51">
        <v>0.2</v>
      </c>
      <c r="CM51">
        <v>0.2</v>
      </c>
      <c r="CN51">
        <v>0.2</v>
      </c>
      <c r="CO51">
        <v>0.2</v>
      </c>
    </row>
    <row r="52">
      <c r="BW52" t="str">
        <v>Autumn</v>
      </c>
      <c r="BX52" t="str">
        <v>Other ewes</v>
      </c>
      <c r="BY52">
        <v>0.12</v>
      </c>
      <c r="BZ52">
        <v>0.09</v>
      </c>
      <c r="CA52">
        <v>0.09</v>
      </c>
      <c r="CB52">
        <v>0.14</v>
      </c>
      <c r="CC52">
        <v>0.13</v>
      </c>
      <c r="CD52">
        <v>0.06</v>
      </c>
      <c r="CE52">
        <v>3</v>
      </c>
      <c r="CI52" t="str">
        <v>Summer</v>
      </c>
      <c r="CJ52">
        <v>0.07</v>
      </c>
      <c r="CK52">
        <v>0.07</v>
      </c>
      <c r="CL52">
        <v>0.07</v>
      </c>
      <c r="CM52">
        <v>0.07</v>
      </c>
      <c r="CN52">
        <v>0.07</v>
      </c>
      <c r="CO52">
        <v>0.07</v>
      </c>
    </row>
    <row r="53">
      <c r="BW53" t="str">
        <v>Winter</v>
      </c>
      <c r="BX53" t="str">
        <v>Other ewes</v>
      </c>
      <c r="BY53">
        <v>0.18</v>
      </c>
      <c r="BZ53">
        <v>0.07</v>
      </c>
      <c r="CA53">
        <v>0.2</v>
      </c>
      <c r="CB53">
        <v>0.16</v>
      </c>
      <c r="CC53">
        <v>0.1</v>
      </c>
      <c r="CD53">
        <v>0.21</v>
      </c>
      <c r="CE53">
        <v>4</v>
      </c>
      <c r="CI53" t="str">
        <v>Autumn</v>
      </c>
      <c r="CJ53">
        <v>0.14</v>
      </c>
      <c r="CK53">
        <v>0.14</v>
      </c>
      <c r="CL53">
        <v>0.14</v>
      </c>
      <c r="CM53">
        <v>0.14</v>
      </c>
      <c r="CN53">
        <v>0.14</v>
      </c>
      <c r="CO53">
        <v>0.14</v>
      </c>
    </row>
    <row r="54">
      <c r="BW54" t="str">
        <v>Spring</v>
      </c>
      <c r="BX54" t="str">
        <v>Rams</v>
      </c>
      <c r="BY54">
        <v>0.2</v>
      </c>
      <c r="BZ54">
        <v>0.08</v>
      </c>
      <c r="CA54">
        <v>0.16</v>
      </c>
      <c r="CB54">
        <v>0.2</v>
      </c>
      <c r="CC54">
        <v>0.16</v>
      </c>
      <c r="CD54">
        <v>0.18</v>
      </c>
      <c r="CE54">
        <v>1</v>
      </c>
      <c r="CI54" t="str">
        <v>Winter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</row>
    <row r="55">
      <c r="BW55" t="str">
        <v>Summer</v>
      </c>
      <c r="BX55" t="str">
        <v>Rams</v>
      </c>
      <c r="BY55">
        <v>0.1</v>
      </c>
      <c r="BZ55">
        <v>0.1</v>
      </c>
      <c r="CA55">
        <v>0.07</v>
      </c>
      <c r="CB55">
        <v>0.07</v>
      </c>
      <c r="CC55">
        <v>0.07</v>
      </c>
      <c r="CD55">
        <v>0.06</v>
      </c>
      <c r="CE55">
        <v>2</v>
      </c>
      <c r="CH55" t="str">
        <v>Victoria</v>
      </c>
      <c r="CI55" t="str">
        <v>Spring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</row>
    <row r="56">
      <c r="BW56" t="str">
        <v>Autumn</v>
      </c>
      <c r="BX56" t="str">
        <v>Rams</v>
      </c>
      <c r="BY56">
        <v>0.12</v>
      </c>
      <c r="BZ56">
        <v>0.09</v>
      </c>
      <c r="CA56">
        <v>0.09</v>
      </c>
      <c r="CB56">
        <v>0.14</v>
      </c>
      <c r="CC56">
        <v>0.13</v>
      </c>
      <c r="CD56">
        <v>0.06</v>
      </c>
      <c r="CE56">
        <v>3</v>
      </c>
      <c r="CI56" t="str">
        <v>Summer</v>
      </c>
      <c r="CJ56">
        <v>0.07</v>
      </c>
      <c r="CK56">
        <v>0.07</v>
      </c>
      <c r="CL56">
        <v>0.07</v>
      </c>
      <c r="CM56">
        <v>0.07</v>
      </c>
      <c r="CN56">
        <v>0.07</v>
      </c>
      <c r="CO56">
        <v>0.07</v>
      </c>
    </row>
    <row r="57">
      <c r="BW57" t="str">
        <v>Winter</v>
      </c>
      <c r="BX57" t="str">
        <v>Rams</v>
      </c>
      <c r="BY57">
        <v>0.18</v>
      </c>
      <c r="BZ57">
        <v>0.07</v>
      </c>
      <c r="CA57">
        <v>0.2</v>
      </c>
      <c r="CB57">
        <v>0.16</v>
      </c>
      <c r="CC57">
        <v>0.1</v>
      </c>
      <c r="CD57">
        <v>0.21</v>
      </c>
      <c r="CE57">
        <v>4</v>
      </c>
      <c r="CI57" t="str">
        <v>Autumn</v>
      </c>
      <c r="CJ57">
        <v>0.13</v>
      </c>
      <c r="CK57">
        <v>0.13</v>
      </c>
      <c r="CL57">
        <v>0.13</v>
      </c>
      <c r="CM57">
        <v>0.13</v>
      </c>
      <c r="CN57">
        <v>0.13</v>
      </c>
      <c r="CO57">
        <v>0.13</v>
      </c>
    </row>
    <row r="58">
      <c r="BW58" t="str">
        <v>Spring</v>
      </c>
      <c r="BX58" t="str">
        <v>Wethers</v>
      </c>
      <c r="BY58">
        <v>0.2</v>
      </c>
      <c r="BZ58">
        <v>0.08</v>
      </c>
      <c r="CA58">
        <v>0.16</v>
      </c>
      <c r="CB58">
        <v>0.2</v>
      </c>
      <c r="CC58">
        <v>0.16</v>
      </c>
      <c r="CD58">
        <v>0.18</v>
      </c>
      <c r="CE58">
        <v>1</v>
      </c>
      <c r="CI58" t="str">
        <v>Winter</v>
      </c>
      <c r="CJ58">
        <v>0.1</v>
      </c>
      <c r="CK58">
        <v>0.1</v>
      </c>
      <c r="CL58">
        <v>0.1</v>
      </c>
      <c r="CM58">
        <v>0.1</v>
      </c>
      <c r="CN58">
        <v>0.1</v>
      </c>
      <c r="CO58">
        <v>0.1</v>
      </c>
    </row>
    <row r="59">
      <c r="BW59" t="str">
        <v>Summer</v>
      </c>
      <c r="BX59" t="str">
        <v>Wethers</v>
      </c>
      <c r="BY59">
        <v>0.1</v>
      </c>
      <c r="BZ59">
        <v>0.1</v>
      </c>
      <c r="CA59">
        <v>0.07</v>
      </c>
      <c r="CB59">
        <v>0.07</v>
      </c>
      <c r="CC59">
        <v>0.07</v>
      </c>
      <c r="CD59">
        <v>0.06</v>
      </c>
      <c r="CE59">
        <v>2</v>
      </c>
      <c r="CH59" t="str">
        <v>Western Australia</v>
      </c>
      <c r="CI59" t="str">
        <v>Spring</v>
      </c>
      <c r="CJ59">
        <v>0.18</v>
      </c>
      <c r="CK59">
        <v>0.18</v>
      </c>
      <c r="CL59">
        <v>0.18</v>
      </c>
      <c r="CM59">
        <v>0.18</v>
      </c>
      <c r="CN59">
        <v>0.18</v>
      </c>
      <c r="CO59">
        <v>0.18</v>
      </c>
    </row>
    <row r="60">
      <c r="BW60" t="str">
        <v>Autumn</v>
      </c>
      <c r="BX60" t="str">
        <v>Wethers</v>
      </c>
      <c r="BY60">
        <v>0.12</v>
      </c>
      <c r="BZ60">
        <v>0.09</v>
      </c>
      <c r="CA60">
        <v>0.09</v>
      </c>
      <c r="CB60">
        <v>0.14</v>
      </c>
      <c r="CC60">
        <v>0.13</v>
      </c>
      <c r="CD60">
        <v>0.06</v>
      </c>
      <c r="CE60">
        <v>3</v>
      </c>
      <c r="CI60" t="str">
        <v>Summer</v>
      </c>
      <c r="CJ60">
        <v>0.06</v>
      </c>
      <c r="CK60">
        <v>0.06</v>
      </c>
      <c r="CL60">
        <v>0.06</v>
      </c>
      <c r="CM60">
        <v>0.06</v>
      </c>
      <c r="CN60">
        <v>0.06</v>
      </c>
      <c r="CO60">
        <v>0.06</v>
      </c>
    </row>
    <row r="61">
      <c r="BW61" t="str">
        <v>Winter</v>
      </c>
      <c r="BX61" t="str">
        <v>Wethers</v>
      </c>
      <c r="BY61">
        <v>0.18</v>
      </c>
      <c r="BZ61">
        <v>0.07</v>
      </c>
      <c r="CA61">
        <v>0.2</v>
      </c>
      <c r="CB61">
        <v>0.16</v>
      </c>
      <c r="CC61">
        <v>0.1</v>
      </c>
      <c r="CD61">
        <v>0.21</v>
      </c>
      <c r="CE61">
        <v>4</v>
      </c>
      <c r="CI61" t="str">
        <v>Autumn</v>
      </c>
      <c r="CJ61">
        <v>0.06</v>
      </c>
      <c r="CK61">
        <v>0.06</v>
      </c>
      <c r="CL61">
        <v>0.16</v>
      </c>
      <c r="CM61">
        <v>0.16</v>
      </c>
      <c r="CN61">
        <v>0.06</v>
      </c>
      <c r="CO61">
        <v>0.16</v>
      </c>
    </row>
    <row r="62">
      <c r="CI62" t="str">
        <v>Winter</v>
      </c>
      <c r="CJ62">
        <v>0.21</v>
      </c>
      <c r="CK62">
        <v>0.21</v>
      </c>
      <c r="CL62">
        <v>0.21</v>
      </c>
      <c r="CM62">
        <v>0.21</v>
      </c>
      <c r="CN62">
        <v>0.21</v>
      </c>
      <c r="CO62">
        <v>0.21</v>
      </c>
    </row>
    <row r="66">
      <c r="BW66" t="str">
        <v>A.1.4.2</v>
      </c>
      <c r="BX66" t="str">
        <v>DMDjk</v>
      </c>
      <c r="CH66" t="str">
        <v>Column1</v>
      </c>
      <c r="CI66" t="str">
        <v>Column2</v>
      </c>
      <c r="CJ66" t="str">
        <v>Column3</v>
      </c>
      <c r="CK66" t="str">
        <v>Column4</v>
      </c>
      <c r="CL66" t="str">
        <v>Column5</v>
      </c>
      <c r="CM66" t="str">
        <v>Column6</v>
      </c>
      <c r="CN66" t="str">
        <v>Column7</v>
      </c>
      <c r="CO66" t="str">
        <v>Column8</v>
      </c>
    </row>
    <row r="67">
      <c r="BW67" t="str">
        <v>Season</v>
      </c>
      <c r="BX67" t="str">
        <v>Class</v>
      </c>
      <c r="BY67" t="str">
        <v>ACT/NSW</v>
      </c>
      <c r="BZ67" t="str">
        <v>Queensland</v>
      </c>
      <c r="CA67" t="str">
        <v>South Australia</v>
      </c>
      <c r="CB67" t="str">
        <v>Tasmania</v>
      </c>
      <c r="CC67" t="str">
        <v>Victoria</v>
      </c>
      <c r="CD67" t="str">
        <v>Western Australia</v>
      </c>
      <c r="CE67" t="str">
        <v>SeasonOrder</v>
      </c>
      <c r="CH67" t="str">
        <v>State</v>
      </c>
      <c r="CI67" t="str">
        <v>Season</v>
      </c>
      <c r="CJ67" t="str">
        <v>Rams</v>
      </c>
      <c r="CK67" t="str">
        <v>Wethers</v>
      </c>
      <c r="CL67" t="str">
        <v>Maiden ewes</v>
      </c>
      <c r="CM67" t="str">
        <v>Breeding ewes</v>
      </c>
      <c r="CN67" t="str">
        <v>Other ewes</v>
      </c>
      <c r="CO67" t="str">
        <v>Lambs and hoggets</v>
      </c>
    </row>
    <row r="68">
      <c r="BW68" t="str">
        <v>Spring</v>
      </c>
      <c r="BX68" t="str">
        <v>Breeding ewes</v>
      </c>
      <c r="BY68">
        <v>0.75</v>
      </c>
      <c r="BZ68">
        <v>0.51</v>
      </c>
      <c r="CA68">
        <v>0.7</v>
      </c>
      <c r="CB68">
        <v>0.75</v>
      </c>
      <c r="CC68">
        <v>0.7</v>
      </c>
      <c r="CD68">
        <v>0.73</v>
      </c>
      <c r="CE68">
        <v>1</v>
      </c>
      <c r="CH68" t="str">
        <v>ACT/NSW</v>
      </c>
      <c r="CI68" t="str">
        <v>Spring</v>
      </c>
      <c r="CJ68">
        <v>0.75</v>
      </c>
      <c r="CK68">
        <v>0.75</v>
      </c>
      <c r="CL68">
        <v>0.75</v>
      </c>
      <c r="CM68">
        <v>0.75</v>
      </c>
      <c r="CN68">
        <v>0.75</v>
      </c>
      <c r="CO68">
        <v>0.75</v>
      </c>
    </row>
    <row r="69">
      <c r="BW69" t="str">
        <v>Summer</v>
      </c>
      <c r="BX69" t="str">
        <v>Breeding ewes</v>
      </c>
      <c r="BY69">
        <v>0.61</v>
      </c>
      <c r="BZ69">
        <v>0.55</v>
      </c>
      <c r="CA69">
        <v>0.55</v>
      </c>
      <c r="CB69">
        <v>0.55</v>
      </c>
      <c r="CC69">
        <v>0.55</v>
      </c>
      <c r="CD69">
        <v>0.55</v>
      </c>
      <c r="CE69">
        <v>2</v>
      </c>
      <c r="CI69" t="str">
        <v>Summer</v>
      </c>
      <c r="CJ69">
        <v>0.61</v>
      </c>
      <c r="CK69">
        <v>0.61</v>
      </c>
      <c r="CL69">
        <v>0.61</v>
      </c>
      <c r="CM69">
        <v>0.61</v>
      </c>
      <c r="CN69">
        <v>0.61</v>
      </c>
      <c r="CO69">
        <v>0.61</v>
      </c>
    </row>
    <row r="70">
      <c r="BW70" t="str">
        <v>Autumn</v>
      </c>
      <c r="BX70" t="str">
        <v>Breeding ewes</v>
      </c>
      <c r="BY70">
        <v>0.64</v>
      </c>
      <c r="BZ70">
        <v>0.59</v>
      </c>
      <c r="CA70">
        <v>0.55</v>
      </c>
      <c r="CB70">
        <v>0.67</v>
      </c>
      <c r="CC70">
        <v>0.65</v>
      </c>
      <c r="CD70">
        <v>0.7</v>
      </c>
      <c r="CE70">
        <v>3</v>
      </c>
      <c r="CI70" t="str">
        <v>Autumn</v>
      </c>
      <c r="CJ70">
        <v>0.64</v>
      </c>
      <c r="CK70">
        <v>0.64</v>
      </c>
      <c r="CL70">
        <v>0.64</v>
      </c>
      <c r="CM70">
        <v>0.64</v>
      </c>
      <c r="CN70">
        <v>0.64</v>
      </c>
      <c r="CO70">
        <v>0.64</v>
      </c>
    </row>
    <row r="71">
      <c r="BW71" t="str">
        <v>Winter</v>
      </c>
      <c r="BX71" t="str">
        <v>Breeding ewes</v>
      </c>
      <c r="BY71">
        <v>0.72</v>
      </c>
      <c r="BZ71">
        <v>0.58</v>
      </c>
      <c r="CA71">
        <v>0.75</v>
      </c>
      <c r="CB71">
        <v>0.7</v>
      </c>
      <c r="CC71">
        <v>0.6</v>
      </c>
      <c r="CD71">
        <v>0.76</v>
      </c>
      <c r="CE71">
        <v>4</v>
      </c>
      <c r="CI71" t="str">
        <v>Winter</v>
      </c>
      <c r="CJ71">
        <v>0.72</v>
      </c>
      <c r="CK71">
        <v>0.72</v>
      </c>
      <c r="CL71">
        <v>0.72</v>
      </c>
      <c r="CM71">
        <v>0.72</v>
      </c>
      <c r="CN71">
        <v>0.72</v>
      </c>
      <c r="CO71">
        <v>0.72</v>
      </c>
    </row>
    <row r="72">
      <c r="BW72" t="str">
        <v>Spring</v>
      </c>
      <c r="BX72" t="str">
        <v>Lambs and hoggets</v>
      </c>
      <c r="BY72">
        <v>0.75</v>
      </c>
      <c r="BZ72">
        <v>0.51</v>
      </c>
      <c r="CA72">
        <v>0.7</v>
      </c>
      <c r="CB72">
        <v>0.75</v>
      </c>
      <c r="CC72">
        <v>0.7</v>
      </c>
      <c r="CD72">
        <v>0.73</v>
      </c>
      <c r="CE72">
        <v>1</v>
      </c>
      <c r="CH72" t="str">
        <v>Queensland</v>
      </c>
      <c r="CI72" t="str">
        <v>Spring</v>
      </c>
      <c r="CJ72">
        <v>0.51</v>
      </c>
      <c r="CK72">
        <v>0.51</v>
      </c>
      <c r="CL72">
        <v>0.51</v>
      </c>
      <c r="CM72">
        <v>0.51</v>
      </c>
      <c r="CN72">
        <v>0.51</v>
      </c>
      <c r="CO72">
        <v>0.51</v>
      </c>
    </row>
    <row r="73">
      <c r="BW73" t="str">
        <v>Summer</v>
      </c>
      <c r="BX73" t="str">
        <v>Lambs and hoggets</v>
      </c>
      <c r="BY73">
        <v>0.61</v>
      </c>
      <c r="BZ73">
        <v>0.55</v>
      </c>
      <c r="CA73">
        <v>0.55</v>
      </c>
      <c r="CB73">
        <v>0.55</v>
      </c>
      <c r="CC73">
        <v>0.55</v>
      </c>
      <c r="CD73">
        <v>0.55</v>
      </c>
      <c r="CE73">
        <v>2</v>
      </c>
      <c r="CI73" t="str">
        <v>Summer</v>
      </c>
      <c r="CJ73">
        <v>0.55</v>
      </c>
      <c r="CK73">
        <v>0.55</v>
      </c>
      <c r="CL73">
        <v>0.55</v>
      </c>
      <c r="CM73">
        <v>0.55</v>
      </c>
      <c r="CN73">
        <v>0.55</v>
      </c>
      <c r="CO73">
        <v>0.55</v>
      </c>
    </row>
    <row r="74">
      <c r="BW74" t="str">
        <v>Autumn</v>
      </c>
      <c r="BX74" t="str">
        <v>Lambs and hoggets</v>
      </c>
      <c r="BY74">
        <v>0.64</v>
      </c>
      <c r="BZ74">
        <v>0.59</v>
      </c>
      <c r="CA74">
        <v>0.55</v>
      </c>
      <c r="CB74">
        <v>0.67</v>
      </c>
      <c r="CC74">
        <v>0.65</v>
      </c>
      <c r="CD74">
        <v>0.7</v>
      </c>
      <c r="CE74">
        <v>3</v>
      </c>
      <c r="CI74" t="str">
        <v>Autumn</v>
      </c>
      <c r="CJ74">
        <v>0.59</v>
      </c>
      <c r="CK74">
        <v>0.59</v>
      </c>
      <c r="CL74">
        <v>0.59</v>
      </c>
      <c r="CM74">
        <v>0.59</v>
      </c>
      <c r="CN74">
        <v>0.59</v>
      </c>
      <c r="CO74">
        <v>0.59</v>
      </c>
    </row>
    <row r="75">
      <c r="BW75" t="str">
        <v>Winter</v>
      </c>
      <c r="BX75" t="str">
        <v>Lambs and hoggets</v>
      </c>
      <c r="BY75">
        <v>0.72</v>
      </c>
      <c r="BZ75">
        <v>0.58</v>
      </c>
      <c r="CA75">
        <v>0.75</v>
      </c>
      <c r="CB75">
        <v>0.7</v>
      </c>
      <c r="CC75">
        <v>0.6</v>
      </c>
      <c r="CD75">
        <v>0.76</v>
      </c>
      <c r="CE75">
        <v>4</v>
      </c>
      <c r="CI75" t="str">
        <v>Winter</v>
      </c>
      <c r="CJ75">
        <v>0.58</v>
      </c>
      <c r="CK75">
        <v>0.58</v>
      </c>
      <c r="CL75">
        <v>0.58</v>
      </c>
      <c r="CM75">
        <v>0.58</v>
      </c>
      <c r="CN75">
        <v>0.58</v>
      </c>
      <c r="CO75">
        <v>0.58</v>
      </c>
    </row>
    <row r="76">
      <c r="BW76" t="str">
        <v>Spring</v>
      </c>
      <c r="BX76" t="str">
        <v>Maiden ewes</v>
      </c>
      <c r="BY76">
        <v>0.75</v>
      </c>
      <c r="BZ76">
        <v>0.51</v>
      </c>
      <c r="CA76">
        <v>0.7</v>
      </c>
      <c r="CB76">
        <v>0.75</v>
      </c>
      <c r="CC76">
        <v>0.7</v>
      </c>
      <c r="CD76">
        <v>0.73</v>
      </c>
      <c r="CE76">
        <v>1</v>
      </c>
      <c r="CH76" t="str">
        <v>South Australia</v>
      </c>
      <c r="CI76" t="str">
        <v>Spring</v>
      </c>
      <c r="CJ76">
        <v>0.7</v>
      </c>
      <c r="CK76">
        <v>0.7</v>
      </c>
      <c r="CL76">
        <v>0.7</v>
      </c>
      <c r="CM76">
        <v>0.7</v>
      </c>
      <c r="CN76">
        <v>0.7</v>
      </c>
      <c r="CO76">
        <v>0.7</v>
      </c>
    </row>
    <row r="77">
      <c r="BW77" t="str">
        <v>Summer</v>
      </c>
      <c r="BX77" t="str">
        <v>Maiden ewes</v>
      </c>
      <c r="BY77">
        <v>0.61</v>
      </c>
      <c r="BZ77">
        <v>0.55</v>
      </c>
      <c r="CA77">
        <v>0.55</v>
      </c>
      <c r="CB77">
        <v>0.55</v>
      </c>
      <c r="CC77">
        <v>0.55</v>
      </c>
      <c r="CD77">
        <v>0.55</v>
      </c>
      <c r="CE77">
        <v>2</v>
      </c>
      <c r="CI77" t="str">
        <v>Summer</v>
      </c>
      <c r="CJ77">
        <v>0.55</v>
      </c>
      <c r="CK77">
        <v>0.55</v>
      </c>
      <c r="CL77">
        <v>0.55</v>
      </c>
      <c r="CM77">
        <v>0.55</v>
      </c>
      <c r="CN77">
        <v>0.55</v>
      </c>
      <c r="CO77">
        <v>0.55</v>
      </c>
    </row>
    <row r="78">
      <c r="BW78" t="str">
        <v>Autumn</v>
      </c>
      <c r="BX78" t="str">
        <v>Maiden ewes</v>
      </c>
      <c r="BY78">
        <v>0.64</v>
      </c>
      <c r="BZ78">
        <v>0.59</v>
      </c>
      <c r="CA78">
        <v>0.55</v>
      </c>
      <c r="CB78">
        <v>0.67</v>
      </c>
      <c r="CC78">
        <v>0.65</v>
      </c>
      <c r="CD78">
        <v>0.7</v>
      </c>
      <c r="CE78">
        <v>3</v>
      </c>
      <c r="CI78" t="str">
        <v>Autumn</v>
      </c>
      <c r="CJ78">
        <v>0.55</v>
      </c>
      <c r="CK78">
        <v>0.55</v>
      </c>
      <c r="CL78">
        <v>0.55</v>
      </c>
      <c r="CM78">
        <v>0.55</v>
      </c>
      <c r="CN78">
        <v>0.55</v>
      </c>
      <c r="CO78">
        <v>0.55</v>
      </c>
    </row>
    <row r="79">
      <c r="BW79" t="str">
        <v>Winter</v>
      </c>
      <c r="BX79" t="str">
        <v>Maiden ewes</v>
      </c>
      <c r="BY79">
        <v>0.72</v>
      </c>
      <c r="BZ79">
        <v>0.58</v>
      </c>
      <c r="CA79">
        <v>0.75</v>
      </c>
      <c r="CB79">
        <v>0.7</v>
      </c>
      <c r="CC79">
        <v>0.6</v>
      </c>
      <c r="CD79">
        <v>0.76</v>
      </c>
      <c r="CE79">
        <v>4</v>
      </c>
      <c r="CI79" t="str">
        <v>Winter</v>
      </c>
      <c r="CJ79">
        <v>0.75</v>
      </c>
      <c r="CK79">
        <v>0.75</v>
      </c>
      <c r="CL79">
        <v>0.75</v>
      </c>
      <c r="CM79">
        <v>0.75</v>
      </c>
      <c r="CN79">
        <v>0.75</v>
      </c>
      <c r="CO79">
        <v>0.75</v>
      </c>
    </row>
    <row r="80">
      <c r="BW80" t="str">
        <v>Spring</v>
      </c>
      <c r="BX80" t="str">
        <v>Other ewes</v>
      </c>
      <c r="BY80">
        <v>0.75</v>
      </c>
      <c r="BZ80">
        <v>0.51</v>
      </c>
      <c r="CA80">
        <v>0.7</v>
      </c>
      <c r="CB80">
        <v>0.75</v>
      </c>
      <c r="CC80">
        <v>0.7</v>
      </c>
      <c r="CD80">
        <v>0.73</v>
      </c>
      <c r="CE80">
        <v>1</v>
      </c>
      <c r="CH80" t="str">
        <v>Tasmania</v>
      </c>
      <c r="CI80" t="str">
        <v>Spring</v>
      </c>
      <c r="CJ80">
        <v>0.75</v>
      </c>
      <c r="CK80">
        <v>0.75</v>
      </c>
      <c r="CL80">
        <v>0.75</v>
      </c>
      <c r="CM80">
        <v>0.75</v>
      </c>
      <c r="CN80">
        <v>0.75</v>
      </c>
      <c r="CO80">
        <v>0.75</v>
      </c>
    </row>
    <row r="81">
      <c r="BW81" t="str">
        <v>Summer</v>
      </c>
      <c r="BX81" t="str">
        <v>Other ewes</v>
      </c>
      <c r="BY81">
        <v>0.61</v>
      </c>
      <c r="BZ81">
        <v>0.55</v>
      </c>
      <c r="CA81">
        <v>0.55</v>
      </c>
      <c r="CB81">
        <v>0.55</v>
      </c>
      <c r="CC81">
        <v>0.55</v>
      </c>
      <c r="CD81">
        <v>0.55</v>
      </c>
      <c r="CE81">
        <v>2</v>
      </c>
      <c r="CI81" t="str">
        <v>Summer</v>
      </c>
      <c r="CJ81">
        <v>0.55</v>
      </c>
      <c r="CK81">
        <v>0.55</v>
      </c>
      <c r="CL81">
        <v>0.55</v>
      </c>
      <c r="CM81">
        <v>0.55</v>
      </c>
      <c r="CN81">
        <v>0.55</v>
      </c>
      <c r="CO81">
        <v>0.55</v>
      </c>
    </row>
    <row r="82">
      <c r="BW82" t="str">
        <v>Autumn</v>
      </c>
      <c r="BX82" t="str">
        <v>Other ewes</v>
      </c>
      <c r="BY82">
        <v>0.64</v>
      </c>
      <c r="BZ82">
        <v>0.59</v>
      </c>
      <c r="CA82">
        <v>0.55</v>
      </c>
      <c r="CB82">
        <v>0.67</v>
      </c>
      <c r="CC82">
        <v>0.65</v>
      </c>
      <c r="CD82">
        <v>0.5</v>
      </c>
      <c r="CE82">
        <v>3</v>
      </c>
      <c r="CI82" t="str">
        <v>Autumn</v>
      </c>
      <c r="CJ82">
        <v>0.67</v>
      </c>
      <c r="CK82">
        <v>0.67</v>
      </c>
      <c r="CL82">
        <v>0.67</v>
      </c>
      <c r="CM82">
        <v>0.67</v>
      </c>
      <c r="CN82">
        <v>0.67</v>
      </c>
      <c r="CO82">
        <v>0.67</v>
      </c>
    </row>
    <row r="83">
      <c r="BW83" t="str">
        <v>Winter</v>
      </c>
      <c r="BX83" t="str">
        <v>Other ewes</v>
      </c>
      <c r="BY83">
        <v>0.72</v>
      </c>
      <c r="BZ83">
        <v>0.58</v>
      </c>
      <c r="CA83">
        <v>0.75</v>
      </c>
      <c r="CB83">
        <v>0.7</v>
      </c>
      <c r="CC83">
        <v>0.6</v>
      </c>
      <c r="CD83">
        <v>0.76</v>
      </c>
      <c r="CE83">
        <v>4</v>
      </c>
      <c r="CI83" t="str">
        <v>Winter</v>
      </c>
      <c r="CJ83">
        <v>0.7</v>
      </c>
      <c r="CK83">
        <v>0.7</v>
      </c>
      <c r="CL83">
        <v>0.7</v>
      </c>
      <c r="CM83">
        <v>0.7</v>
      </c>
      <c r="CN83">
        <v>0.7</v>
      </c>
      <c r="CO83">
        <v>0.7</v>
      </c>
    </row>
    <row r="84">
      <c r="BW84" t="str">
        <v>Spring</v>
      </c>
      <c r="BX84" t="str">
        <v>Rams</v>
      </c>
      <c r="BY84">
        <v>0.75</v>
      </c>
      <c r="BZ84">
        <v>0.51</v>
      </c>
      <c r="CA84">
        <v>0.7</v>
      </c>
      <c r="CB84">
        <v>0.75</v>
      </c>
      <c r="CC84">
        <v>0.7</v>
      </c>
      <c r="CD84">
        <v>0.73</v>
      </c>
      <c r="CE84">
        <v>1</v>
      </c>
      <c r="CH84" t="str">
        <v>Victoria</v>
      </c>
      <c r="CI84" t="str">
        <v>Spring</v>
      </c>
      <c r="CJ84">
        <v>0.7</v>
      </c>
      <c r="CK84">
        <v>0.7</v>
      </c>
      <c r="CL84">
        <v>0.7</v>
      </c>
      <c r="CM84">
        <v>0.7</v>
      </c>
      <c r="CN84">
        <v>0.7</v>
      </c>
      <c r="CO84">
        <v>0.7</v>
      </c>
    </row>
    <row r="85">
      <c r="BW85" t="str">
        <v>Summer</v>
      </c>
      <c r="BX85" t="str">
        <v>Rams</v>
      </c>
      <c r="BY85">
        <v>0.61</v>
      </c>
      <c r="BZ85">
        <v>0.55</v>
      </c>
      <c r="CA85">
        <v>0.55</v>
      </c>
      <c r="CB85">
        <v>0.55</v>
      </c>
      <c r="CC85">
        <v>0.55</v>
      </c>
      <c r="CD85">
        <v>0.55</v>
      </c>
      <c r="CE85">
        <v>2</v>
      </c>
      <c r="CI85" t="str">
        <v>Summer</v>
      </c>
      <c r="CJ85">
        <v>0.55</v>
      </c>
      <c r="CK85">
        <v>0.55</v>
      </c>
      <c r="CL85">
        <v>0.55</v>
      </c>
      <c r="CM85">
        <v>0.55</v>
      </c>
      <c r="CN85">
        <v>0.55</v>
      </c>
      <c r="CO85">
        <v>0.55</v>
      </c>
    </row>
    <row r="86">
      <c r="BW86" t="str">
        <v>Autumn</v>
      </c>
      <c r="BX86" t="str">
        <v>Rams</v>
      </c>
      <c r="BY86">
        <v>0.64</v>
      </c>
      <c r="BZ86">
        <v>0.59</v>
      </c>
      <c r="CA86">
        <v>0.55</v>
      </c>
      <c r="CB86">
        <v>0.67</v>
      </c>
      <c r="CC86">
        <v>0.65</v>
      </c>
      <c r="CD86">
        <v>0.5</v>
      </c>
      <c r="CE86">
        <v>3</v>
      </c>
      <c r="CI86" t="str">
        <v>Autumn</v>
      </c>
      <c r="CJ86">
        <v>0.65</v>
      </c>
      <c r="CK86">
        <v>0.65</v>
      </c>
      <c r="CL86">
        <v>0.65</v>
      </c>
      <c r="CM86">
        <v>0.65</v>
      </c>
      <c r="CN86">
        <v>0.65</v>
      </c>
      <c r="CO86">
        <v>0.65</v>
      </c>
    </row>
    <row r="87">
      <c r="BW87" t="str">
        <v>Winter</v>
      </c>
      <c r="BX87" t="str">
        <v>Rams</v>
      </c>
      <c r="BY87">
        <v>0.72</v>
      </c>
      <c r="BZ87">
        <v>0.58</v>
      </c>
      <c r="CA87">
        <v>0.75</v>
      </c>
      <c r="CB87">
        <v>0.7</v>
      </c>
      <c r="CC87">
        <v>0.6</v>
      </c>
      <c r="CD87">
        <v>0.76</v>
      </c>
      <c r="CE87">
        <v>4</v>
      </c>
      <c r="CI87" t="str">
        <v>Winter</v>
      </c>
      <c r="CJ87">
        <v>0.6</v>
      </c>
      <c r="CK87">
        <v>0.6</v>
      </c>
      <c r="CL87">
        <v>0.6</v>
      </c>
      <c r="CM87">
        <v>0.6</v>
      </c>
      <c r="CN87">
        <v>0.6</v>
      </c>
      <c r="CO87">
        <v>0.6</v>
      </c>
    </row>
    <row r="88">
      <c r="BW88" t="str">
        <v>Spring</v>
      </c>
      <c r="BX88" t="str">
        <v>Wethers</v>
      </c>
      <c r="BY88">
        <v>0.75</v>
      </c>
      <c r="BZ88">
        <v>0.51</v>
      </c>
      <c r="CA88">
        <v>0.7</v>
      </c>
      <c r="CB88">
        <v>0.75</v>
      </c>
      <c r="CC88">
        <v>0.7</v>
      </c>
      <c r="CD88">
        <v>0.73</v>
      </c>
      <c r="CE88">
        <v>1</v>
      </c>
      <c r="CH88" t="str">
        <v>Western Australia</v>
      </c>
      <c r="CI88" t="str">
        <v>Spring</v>
      </c>
      <c r="CJ88">
        <v>0.73</v>
      </c>
      <c r="CK88">
        <v>0.73</v>
      </c>
      <c r="CL88">
        <v>0.73</v>
      </c>
      <c r="CM88">
        <v>0.73</v>
      </c>
      <c r="CN88">
        <v>0.73</v>
      </c>
      <c r="CO88">
        <v>0.73</v>
      </c>
    </row>
    <row r="89">
      <c r="BW89" t="str">
        <v>Summer</v>
      </c>
      <c r="BX89" t="str">
        <v>Wethers</v>
      </c>
      <c r="BY89">
        <v>0.61</v>
      </c>
      <c r="BZ89">
        <v>0.55</v>
      </c>
      <c r="CA89">
        <v>0.55</v>
      </c>
      <c r="CB89">
        <v>0.55</v>
      </c>
      <c r="CC89">
        <v>0.55</v>
      </c>
      <c r="CD89">
        <v>0.55</v>
      </c>
      <c r="CE89">
        <v>2</v>
      </c>
      <c r="CI89" t="str">
        <v>Summer</v>
      </c>
      <c r="CJ89">
        <v>0.55</v>
      </c>
      <c r="CK89">
        <v>0.55</v>
      </c>
      <c r="CL89">
        <v>0.55</v>
      </c>
      <c r="CM89">
        <v>0.55</v>
      </c>
      <c r="CN89">
        <v>0.55</v>
      </c>
      <c r="CO89">
        <v>0.55</v>
      </c>
    </row>
    <row r="90">
      <c r="BW90" t="str">
        <v>Autumn</v>
      </c>
      <c r="BX90" t="str">
        <v>Wethers</v>
      </c>
      <c r="BY90">
        <v>0.64</v>
      </c>
      <c r="BZ90">
        <v>0.59</v>
      </c>
      <c r="CA90">
        <v>0.55</v>
      </c>
      <c r="CB90">
        <v>0.67</v>
      </c>
      <c r="CC90">
        <v>0.65</v>
      </c>
      <c r="CD90">
        <v>0.5</v>
      </c>
      <c r="CE90">
        <v>3</v>
      </c>
      <c r="CI90" t="str">
        <v>Autumn</v>
      </c>
      <c r="CJ90">
        <v>0.5</v>
      </c>
      <c r="CK90">
        <v>0.5</v>
      </c>
      <c r="CL90">
        <v>0.7</v>
      </c>
      <c r="CM90">
        <v>0.7</v>
      </c>
      <c r="CN90">
        <v>0.5</v>
      </c>
      <c r="CO90">
        <v>0.7</v>
      </c>
    </row>
    <row r="91">
      <c r="BW91" t="str">
        <v>Winter</v>
      </c>
      <c r="BX91" t="str">
        <v>Wethers</v>
      </c>
      <c r="BY91">
        <v>0.72</v>
      </c>
      <c r="BZ91">
        <v>0.58</v>
      </c>
      <c r="CA91">
        <v>0.75</v>
      </c>
      <c r="CB91">
        <v>0.7</v>
      </c>
      <c r="CC91">
        <v>0.6</v>
      </c>
      <c r="CD91">
        <v>0.76</v>
      </c>
      <c r="CE91">
        <v>4</v>
      </c>
      <c r="CI91" t="str">
        <v>Winter</v>
      </c>
      <c r="CJ91">
        <v>0.76</v>
      </c>
      <c r="CK91">
        <v>0.76</v>
      </c>
      <c r="CL91">
        <v>0.76</v>
      </c>
      <c r="CM91">
        <v>0.76</v>
      </c>
      <c r="CN91">
        <v>0.76</v>
      </c>
      <c r="CO91">
        <v>0.76</v>
      </c>
    </row>
    <row r="94">
      <c r="BW94" t="str">
        <v>A.1.4.1</v>
      </c>
      <c r="BX94" t="str">
        <v>Wjk</v>
      </c>
    </row>
    <row r="95">
      <c r="BW95" t="str">
        <v>Season</v>
      </c>
      <c r="BX95" t="str">
        <v>Class</v>
      </c>
      <c r="BY95" t="str">
        <v>ACT/NSW</v>
      </c>
      <c r="BZ95" t="str">
        <v>Queensland</v>
      </c>
      <c r="CA95" t="str">
        <v>South Australia</v>
      </c>
      <c r="CB95" t="str">
        <v>Tasmania</v>
      </c>
      <c r="CC95" t="str">
        <v>Victoria</v>
      </c>
      <c r="CD95" t="str">
        <v>Western Australia</v>
      </c>
      <c r="CE95" t="str">
        <v>SeasonOrder</v>
      </c>
      <c r="CH95" t="str">
        <v>Column1</v>
      </c>
      <c r="CI95" t="str">
        <v>Column2</v>
      </c>
      <c r="CJ95" t="str">
        <v>Column3</v>
      </c>
      <c r="CK95" t="str">
        <v>Column4</v>
      </c>
      <c r="CL95" t="str">
        <v>Column5</v>
      </c>
      <c r="CM95" t="str">
        <v>Column6</v>
      </c>
      <c r="CN95" t="str">
        <v>Column7</v>
      </c>
      <c r="CO95" t="str">
        <v>Column8</v>
      </c>
    </row>
    <row r="96">
      <c r="BW96" t="str">
        <v>Spring</v>
      </c>
      <c r="BX96" t="str">
        <v>Breeding ewes</v>
      </c>
      <c r="BY96">
        <v>54</v>
      </c>
      <c r="BZ96">
        <v>40</v>
      </c>
      <c r="CA96">
        <v>55</v>
      </c>
      <c r="CB96">
        <v>50</v>
      </c>
      <c r="CC96">
        <v>55</v>
      </c>
      <c r="CD96">
        <v>55</v>
      </c>
      <c r="CE96">
        <v>1</v>
      </c>
      <c r="CH96" t="str">
        <v>State</v>
      </c>
      <c r="CI96" t="str">
        <v>Season</v>
      </c>
      <c r="CJ96" t="str">
        <v>Rams</v>
      </c>
      <c r="CK96" t="str">
        <v>Wethers</v>
      </c>
      <c r="CL96" t="str">
        <v>Maiden ewes</v>
      </c>
      <c r="CM96" t="str">
        <v>Breeding ewes</v>
      </c>
      <c r="CN96" t="str">
        <v>Other ewes</v>
      </c>
      <c r="CO96" t="str">
        <v>Lambs and hoggets</v>
      </c>
    </row>
    <row r="97">
      <c r="BW97" t="str">
        <v>Summer</v>
      </c>
      <c r="BX97" t="str">
        <v>Breeding ewes</v>
      </c>
      <c r="BY97">
        <v>49</v>
      </c>
      <c r="BZ97">
        <v>45</v>
      </c>
      <c r="CA97">
        <v>55</v>
      </c>
      <c r="CB97">
        <v>50</v>
      </c>
      <c r="CC97">
        <v>50</v>
      </c>
      <c r="CD97">
        <v>50</v>
      </c>
      <c r="CE97">
        <v>2</v>
      </c>
      <c r="CH97" t="str">
        <v>ACT/NSW</v>
      </c>
      <c r="CI97" t="str">
        <v>Spring</v>
      </c>
      <c r="CJ97">
        <v>75</v>
      </c>
      <c r="CK97">
        <v>62</v>
      </c>
      <c r="CL97">
        <v>44</v>
      </c>
      <c r="CM97">
        <v>54</v>
      </c>
      <c r="CN97">
        <v>56</v>
      </c>
      <c r="CO97">
        <v>20</v>
      </c>
    </row>
    <row r="98">
      <c r="BW98" t="str">
        <v>Autumn</v>
      </c>
      <c r="BX98" t="str">
        <v>Breeding ewes</v>
      </c>
      <c r="BY98">
        <v>50</v>
      </c>
      <c r="BZ98">
        <v>45</v>
      </c>
      <c r="CA98">
        <v>55</v>
      </c>
      <c r="CB98">
        <v>50</v>
      </c>
      <c r="CC98">
        <v>48</v>
      </c>
      <c r="CD98">
        <v>45</v>
      </c>
      <c r="CE98">
        <v>3</v>
      </c>
      <c r="CI98" t="str">
        <v>Summer</v>
      </c>
      <c r="CJ98">
        <v>75</v>
      </c>
      <c r="CK98">
        <v>55</v>
      </c>
      <c r="CL98">
        <v>42</v>
      </c>
      <c r="CM98">
        <v>49</v>
      </c>
      <c r="CN98">
        <v>51</v>
      </c>
      <c r="CO98">
        <v>27</v>
      </c>
    </row>
    <row r="99">
      <c r="BW99" t="str">
        <v>Winter</v>
      </c>
      <c r="BX99" t="str">
        <v>Breeding ewes</v>
      </c>
      <c r="BY99">
        <v>50</v>
      </c>
      <c r="BZ99">
        <v>42</v>
      </c>
      <c r="CA99">
        <v>55</v>
      </c>
      <c r="CB99">
        <v>55</v>
      </c>
      <c r="CC99">
        <v>45</v>
      </c>
      <c r="CD99">
        <v>50</v>
      </c>
      <c r="CE99">
        <v>4</v>
      </c>
      <c r="CI99" t="str">
        <v>Autumn</v>
      </c>
      <c r="CJ99">
        <v>69</v>
      </c>
      <c r="CK99">
        <v>55</v>
      </c>
      <c r="CL99">
        <v>43</v>
      </c>
      <c r="CM99">
        <v>50</v>
      </c>
      <c r="CN99">
        <v>50</v>
      </c>
      <c r="CO99">
        <v>32</v>
      </c>
    </row>
    <row r="100">
      <c r="BW100" t="str">
        <v>Spring</v>
      </c>
      <c r="BX100" t="str">
        <v>Lambs and hoggets</v>
      </c>
      <c r="BY100">
        <v>20</v>
      </c>
      <c r="BZ100">
        <v>20</v>
      </c>
      <c r="CA100">
        <v>40</v>
      </c>
      <c r="CB100">
        <v>14</v>
      </c>
      <c r="CC100">
        <v>22</v>
      </c>
      <c r="CD100">
        <v>30</v>
      </c>
      <c r="CE100">
        <v>1</v>
      </c>
      <c r="CI100" t="str">
        <v>Winter</v>
      </c>
      <c r="CJ100">
        <v>69</v>
      </c>
      <c r="CK100">
        <v>55</v>
      </c>
      <c r="CL100">
        <v>45</v>
      </c>
      <c r="CM100">
        <v>50</v>
      </c>
      <c r="CN100">
        <v>51</v>
      </c>
      <c r="CO100">
        <v>34</v>
      </c>
    </row>
    <row r="101">
      <c r="BW101" t="str">
        <v>Summer</v>
      </c>
      <c r="BX101" t="str">
        <v>Lambs and hoggets</v>
      </c>
      <c r="BY101">
        <v>27</v>
      </c>
      <c r="BZ101">
        <v>25</v>
      </c>
      <c r="CA101">
        <v>45</v>
      </c>
      <c r="CB101">
        <v>24</v>
      </c>
      <c r="CC101">
        <v>28</v>
      </c>
      <c r="CD101">
        <v>30</v>
      </c>
      <c r="CE101">
        <v>2</v>
      </c>
      <c r="CH101" t="str">
        <v>Queensland</v>
      </c>
      <c r="CI101" t="str">
        <v>Spring</v>
      </c>
      <c r="CJ101">
        <v>58</v>
      </c>
      <c r="CK101">
        <v>50</v>
      </c>
      <c r="CL101">
        <v>35</v>
      </c>
      <c r="CM101">
        <v>40</v>
      </c>
      <c r="CN101">
        <v>45</v>
      </c>
      <c r="CO101">
        <v>20</v>
      </c>
    </row>
    <row r="102">
      <c r="BW102" t="str">
        <v>Autumn</v>
      </c>
      <c r="BX102" t="str">
        <v>Lambs and hoggets</v>
      </c>
      <c r="BY102">
        <v>32</v>
      </c>
      <c r="BZ102">
        <v>20</v>
      </c>
      <c r="CA102">
        <v>20</v>
      </c>
      <c r="CB102">
        <v>36</v>
      </c>
      <c r="CC102">
        <v>33</v>
      </c>
      <c r="CD102">
        <v>10</v>
      </c>
      <c r="CE102">
        <v>3</v>
      </c>
      <c r="CI102" t="str">
        <v>Summer</v>
      </c>
      <c r="CJ102">
        <v>61</v>
      </c>
      <c r="CK102">
        <v>55</v>
      </c>
      <c r="CL102">
        <v>40</v>
      </c>
      <c r="CM102">
        <v>45</v>
      </c>
      <c r="CN102">
        <v>50</v>
      </c>
      <c r="CO102">
        <v>25</v>
      </c>
    </row>
    <row r="103">
      <c r="BW103" t="str">
        <v>Winter</v>
      </c>
      <c r="BX103" t="str">
        <v>Lambs and hoggets</v>
      </c>
      <c r="BY103">
        <v>34</v>
      </c>
      <c r="BZ103">
        <v>25</v>
      </c>
      <c r="CA103">
        <v>30</v>
      </c>
      <c r="CB103">
        <v>42</v>
      </c>
      <c r="CC103">
        <v>35</v>
      </c>
      <c r="CD103">
        <v>20</v>
      </c>
      <c r="CE103">
        <v>4</v>
      </c>
      <c r="CI103" t="str">
        <v>Autumn</v>
      </c>
      <c r="CJ103">
        <v>63</v>
      </c>
      <c r="CK103">
        <v>55</v>
      </c>
      <c r="CL103">
        <v>40</v>
      </c>
      <c r="CM103">
        <v>45</v>
      </c>
      <c r="CN103">
        <v>50</v>
      </c>
      <c r="CO103">
        <v>20</v>
      </c>
    </row>
    <row r="104">
      <c r="BW104" t="str">
        <v>Spring</v>
      </c>
      <c r="BX104" t="str">
        <v>Maiden ewes</v>
      </c>
      <c r="BY104">
        <v>44</v>
      </c>
      <c r="BZ104">
        <v>35</v>
      </c>
      <c r="CA104">
        <v>52</v>
      </c>
      <c r="CB104">
        <v>45</v>
      </c>
      <c r="CC104">
        <v>50</v>
      </c>
      <c r="CD104">
        <v>50</v>
      </c>
      <c r="CE104">
        <v>1</v>
      </c>
      <c r="CI104" t="str">
        <v>Winter</v>
      </c>
      <c r="CJ104">
        <v>60</v>
      </c>
      <c r="CK104">
        <v>50</v>
      </c>
      <c r="CL104">
        <v>35</v>
      </c>
      <c r="CM104">
        <v>42</v>
      </c>
      <c r="CN104">
        <v>48</v>
      </c>
      <c r="CO104">
        <v>25</v>
      </c>
    </row>
    <row r="105">
      <c r="BW105" t="str">
        <v>Summer</v>
      </c>
      <c r="BX105" t="str">
        <v>Maiden ewes</v>
      </c>
      <c r="BY105">
        <v>42</v>
      </c>
      <c r="BZ105">
        <v>40</v>
      </c>
      <c r="CA105">
        <v>52</v>
      </c>
      <c r="CB105">
        <v>45</v>
      </c>
      <c r="CC105">
        <v>45</v>
      </c>
      <c r="CD105">
        <v>45</v>
      </c>
      <c r="CE105">
        <v>2</v>
      </c>
      <c r="CH105" t="str">
        <v>South Australia</v>
      </c>
      <c r="CI105" t="str">
        <v>Spring</v>
      </c>
      <c r="CJ105">
        <v>80</v>
      </c>
      <c r="CK105">
        <v>70</v>
      </c>
      <c r="CL105">
        <v>52</v>
      </c>
      <c r="CM105">
        <v>55</v>
      </c>
      <c r="CN105">
        <v>55</v>
      </c>
      <c r="CO105">
        <v>40</v>
      </c>
    </row>
    <row r="106">
      <c r="BW106" t="str">
        <v>Autumn</v>
      </c>
      <c r="BX106" t="str">
        <v>Maiden ewes</v>
      </c>
      <c r="BY106">
        <v>43</v>
      </c>
      <c r="BZ106">
        <v>40</v>
      </c>
      <c r="CA106">
        <v>52</v>
      </c>
      <c r="CB106">
        <v>45</v>
      </c>
      <c r="CC106">
        <v>43</v>
      </c>
      <c r="CD106">
        <v>40</v>
      </c>
      <c r="CE106">
        <v>3</v>
      </c>
      <c r="CI106" t="str">
        <v>Summer</v>
      </c>
      <c r="CJ106">
        <v>70</v>
      </c>
      <c r="CK106">
        <v>65</v>
      </c>
      <c r="CL106">
        <v>52</v>
      </c>
      <c r="CM106">
        <v>55</v>
      </c>
      <c r="CN106">
        <v>55</v>
      </c>
      <c r="CO106">
        <v>45</v>
      </c>
    </row>
    <row r="107">
      <c r="BW107" t="str">
        <v>Winter</v>
      </c>
      <c r="BX107" t="str">
        <v>Maiden ewes</v>
      </c>
      <c r="BY107">
        <v>45</v>
      </c>
      <c r="BZ107">
        <v>35</v>
      </c>
      <c r="CA107">
        <v>52</v>
      </c>
      <c r="CB107">
        <v>50</v>
      </c>
      <c r="CC107">
        <v>40</v>
      </c>
      <c r="CD107">
        <v>45</v>
      </c>
      <c r="CE107">
        <v>4</v>
      </c>
      <c r="CI107" t="str">
        <v>Autumn</v>
      </c>
      <c r="CJ107">
        <v>70</v>
      </c>
      <c r="CK107">
        <v>60</v>
      </c>
      <c r="CL107">
        <v>52</v>
      </c>
      <c r="CM107">
        <v>55</v>
      </c>
      <c r="CN107">
        <v>55</v>
      </c>
      <c r="CO107">
        <v>20</v>
      </c>
    </row>
    <row r="108">
      <c r="BW108" t="str">
        <v>Spring</v>
      </c>
      <c r="BX108" t="str">
        <v>Other ewes</v>
      </c>
      <c r="BY108">
        <v>56</v>
      </c>
      <c r="BZ108">
        <v>45</v>
      </c>
      <c r="CA108">
        <v>55</v>
      </c>
      <c r="CB108">
        <v>50</v>
      </c>
      <c r="CC108">
        <v>50</v>
      </c>
      <c r="CD108">
        <v>55</v>
      </c>
      <c r="CE108">
        <v>1</v>
      </c>
      <c r="CI108" t="str">
        <v>Winter</v>
      </c>
      <c r="CJ108">
        <v>70</v>
      </c>
      <c r="CK108">
        <v>60</v>
      </c>
      <c r="CL108">
        <v>52</v>
      </c>
      <c r="CM108">
        <v>55</v>
      </c>
      <c r="CN108">
        <v>55</v>
      </c>
      <c r="CO108">
        <v>30</v>
      </c>
    </row>
    <row r="109">
      <c r="BW109" t="str">
        <v>Summer</v>
      </c>
      <c r="BX109" t="str">
        <v>Other ewes</v>
      </c>
      <c r="BY109">
        <v>51</v>
      </c>
      <c r="BZ109">
        <v>50</v>
      </c>
      <c r="CA109">
        <v>55</v>
      </c>
      <c r="CB109">
        <v>50</v>
      </c>
      <c r="CC109">
        <v>50</v>
      </c>
      <c r="CD109">
        <v>50</v>
      </c>
      <c r="CE109">
        <v>2</v>
      </c>
      <c r="CH109" t="str">
        <v>Tasmania</v>
      </c>
      <c r="CI109" t="str">
        <v>Spring</v>
      </c>
      <c r="CJ109">
        <v>90</v>
      </c>
      <c r="CK109">
        <v>55</v>
      </c>
      <c r="CL109">
        <v>45</v>
      </c>
      <c r="CM109">
        <v>50</v>
      </c>
      <c r="CN109">
        <v>50</v>
      </c>
      <c r="CO109">
        <v>14</v>
      </c>
    </row>
    <row r="110">
      <c r="BW110" t="str">
        <v>Autumn</v>
      </c>
      <c r="BX110" t="str">
        <v>Other ewes</v>
      </c>
      <c r="BY110">
        <v>50</v>
      </c>
      <c r="BZ110">
        <v>50</v>
      </c>
      <c r="CA110">
        <v>55</v>
      </c>
      <c r="CB110">
        <v>50</v>
      </c>
      <c r="CC110">
        <v>50</v>
      </c>
      <c r="CD110">
        <v>45</v>
      </c>
      <c r="CE110">
        <v>3</v>
      </c>
      <c r="CI110" t="str">
        <v>Summer</v>
      </c>
      <c r="CJ110">
        <v>90</v>
      </c>
      <c r="CK110">
        <v>55</v>
      </c>
      <c r="CL110">
        <v>45</v>
      </c>
      <c r="CM110">
        <v>50</v>
      </c>
      <c r="CN110">
        <v>50</v>
      </c>
      <c r="CO110">
        <v>24</v>
      </c>
    </row>
    <row r="111">
      <c r="BW111" t="str">
        <v>Winter</v>
      </c>
      <c r="BX111" t="str">
        <v>Other ewes</v>
      </c>
      <c r="BY111">
        <v>51</v>
      </c>
      <c r="BZ111">
        <v>48</v>
      </c>
      <c r="CA111">
        <v>55</v>
      </c>
      <c r="CB111">
        <v>50</v>
      </c>
      <c r="CC111">
        <v>50</v>
      </c>
      <c r="CD111">
        <v>50</v>
      </c>
      <c r="CE111">
        <v>4</v>
      </c>
      <c r="CI111" t="str">
        <v>Autumn</v>
      </c>
      <c r="CJ111">
        <v>75</v>
      </c>
      <c r="CK111">
        <v>50</v>
      </c>
      <c r="CL111">
        <v>45</v>
      </c>
      <c r="CM111">
        <v>50</v>
      </c>
      <c r="CN111">
        <v>50</v>
      </c>
      <c r="CO111">
        <v>36</v>
      </c>
    </row>
    <row r="112">
      <c r="BW112" t="str">
        <v>Spring</v>
      </c>
      <c r="BX112" t="str">
        <v>Rams</v>
      </c>
      <c r="BY112">
        <v>75</v>
      </c>
      <c r="BZ112">
        <v>58</v>
      </c>
      <c r="CA112">
        <v>80</v>
      </c>
      <c r="CB112">
        <v>90</v>
      </c>
      <c r="CC112">
        <v>70</v>
      </c>
      <c r="CD112">
        <v>75</v>
      </c>
      <c r="CE112">
        <v>1</v>
      </c>
      <c r="CI112" t="str">
        <v>Winter</v>
      </c>
      <c r="CJ112">
        <v>75</v>
      </c>
      <c r="CK112">
        <v>45</v>
      </c>
      <c r="CL112">
        <v>50</v>
      </c>
      <c r="CM112">
        <v>55</v>
      </c>
      <c r="CN112">
        <v>50</v>
      </c>
      <c r="CO112">
        <v>42</v>
      </c>
    </row>
    <row r="113">
      <c r="BW113" t="str">
        <v>Summer</v>
      </c>
      <c r="BX113" t="str">
        <v>Rams</v>
      </c>
      <c r="BY113">
        <v>75</v>
      </c>
      <c r="BZ113">
        <v>61</v>
      </c>
      <c r="CA113">
        <v>70</v>
      </c>
      <c r="CB113">
        <v>90</v>
      </c>
      <c r="CC113">
        <v>65</v>
      </c>
      <c r="CD113">
        <v>65</v>
      </c>
      <c r="CE113">
        <v>2</v>
      </c>
      <c r="CH113" t="str">
        <v>Victoria</v>
      </c>
      <c r="CI113" t="str">
        <v>Spring</v>
      </c>
      <c r="CJ113">
        <v>70</v>
      </c>
      <c r="CK113">
        <v>60</v>
      </c>
      <c r="CL113">
        <v>50</v>
      </c>
      <c r="CM113">
        <v>55</v>
      </c>
      <c r="CN113">
        <v>50</v>
      </c>
      <c r="CO113">
        <v>22</v>
      </c>
    </row>
    <row r="114">
      <c r="BW114" t="str">
        <v>Autumn</v>
      </c>
      <c r="BX114" t="str">
        <v>Rams</v>
      </c>
      <c r="BY114">
        <v>69</v>
      </c>
      <c r="BZ114">
        <v>63</v>
      </c>
      <c r="CA114">
        <v>70</v>
      </c>
      <c r="CB114">
        <v>75</v>
      </c>
      <c r="CC114">
        <v>65</v>
      </c>
      <c r="CD114">
        <v>65</v>
      </c>
      <c r="CE114">
        <v>3</v>
      </c>
      <c r="CI114" t="str">
        <v>Summer</v>
      </c>
      <c r="CJ114">
        <v>65</v>
      </c>
      <c r="CK114">
        <v>55</v>
      </c>
      <c r="CL114">
        <v>45</v>
      </c>
      <c r="CM114">
        <v>50</v>
      </c>
      <c r="CN114">
        <v>50</v>
      </c>
      <c r="CO114">
        <v>28</v>
      </c>
    </row>
    <row r="115">
      <c r="BW115" t="str">
        <v>Winter</v>
      </c>
      <c r="BX115" t="str">
        <v>Rams</v>
      </c>
      <c r="BY115">
        <v>69</v>
      </c>
      <c r="BZ115">
        <v>60</v>
      </c>
      <c r="CA115">
        <v>70</v>
      </c>
      <c r="CB115">
        <v>75</v>
      </c>
      <c r="CC115">
        <v>60</v>
      </c>
      <c r="CD115">
        <v>65</v>
      </c>
      <c r="CE115">
        <v>4</v>
      </c>
      <c r="CI115" t="str">
        <v>Autumn</v>
      </c>
      <c r="CJ115">
        <v>65</v>
      </c>
      <c r="CK115">
        <v>52</v>
      </c>
      <c r="CL115">
        <v>43</v>
      </c>
      <c r="CM115">
        <v>48</v>
      </c>
      <c r="CN115">
        <v>50</v>
      </c>
      <c r="CO115">
        <v>33</v>
      </c>
    </row>
    <row r="116">
      <c r="BW116" t="str">
        <v>Spring</v>
      </c>
      <c r="BX116" t="str">
        <v>Wethers</v>
      </c>
      <c r="BY116">
        <v>62</v>
      </c>
      <c r="BZ116">
        <v>50</v>
      </c>
      <c r="CA116">
        <v>70</v>
      </c>
      <c r="CB116">
        <v>55</v>
      </c>
      <c r="CC116">
        <v>60</v>
      </c>
      <c r="CD116">
        <v>60</v>
      </c>
      <c r="CE116">
        <v>1</v>
      </c>
      <c r="CI116" t="str">
        <v>Winter</v>
      </c>
      <c r="CJ116">
        <v>60</v>
      </c>
      <c r="CK116">
        <v>50</v>
      </c>
      <c r="CL116">
        <v>40</v>
      </c>
      <c r="CM116">
        <v>45</v>
      </c>
      <c r="CN116">
        <v>50</v>
      </c>
      <c r="CO116">
        <v>35</v>
      </c>
    </row>
    <row r="117">
      <c r="BW117" t="str">
        <v>Summer</v>
      </c>
      <c r="BX117" t="str">
        <v>Wethers</v>
      </c>
      <c r="BY117">
        <v>55</v>
      </c>
      <c r="BZ117">
        <v>55</v>
      </c>
      <c r="CA117">
        <v>65</v>
      </c>
      <c r="CB117">
        <v>55</v>
      </c>
      <c r="CC117">
        <v>55</v>
      </c>
      <c r="CD117">
        <v>55</v>
      </c>
      <c r="CE117">
        <v>2</v>
      </c>
      <c r="CH117" t="str">
        <v>Western Australia</v>
      </c>
      <c r="CI117" t="str">
        <v>Spring</v>
      </c>
      <c r="CJ117">
        <v>75</v>
      </c>
      <c r="CK117">
        <v>60</v>
      </c>
      <c r="CL117">
        <v>50</v>
      </c>
      <c r="CM117">
        <v>55</v>
      </c>
      <c r="CN117">
        <v>55</v>
      </c>
      <c r="CO117">
        <v>30</v>
      </c>
    </row>
    <row r="118">
      <c r="BW118" t="str">
        <v>Autumn</v>
      </c>
      <c r="BX118" t="str">
        <v>Wethers</v>
      </c>
      <c r="BY118">
        <v>55</v>
      </c>
      <c r="BZ118">
        <v>55</v>
      </c>
      <c r="CA118">
        <v>60</v>
      </c>
      <c r="CB118">
        <v>50</v>
      </c>
      <c r="CC118">
        <v>52</v>
      </c>
      <c r="CD118">
        <v>48</v>
      </c>
      <c r="CE118">
        <v>3</v>
      </c>
      <c r="CI118" t="str">
        <v>Summer</v>
      </c>
      <c r="CJ118">
        <v>65</v>
      </c>
      <c r="CK118">
        <v>55</v>
      </c>
      <c r="CL118">
        <v>45</v>
      </c>
      <c r="CM118">
        <v>50</v>
      </c>
      <c r="CN118">
        <v>50</v>
      </c>
      <c r="CO118">
        <v>30</v>
      </c>
    </row>
    <row r="119">
      <c r="BW119" t="str">
        <v>Winter</v>
      </c>
      <c r="BX119" t="str">
        <v>Wethers</v>
      </c>
      <c r="BY119">
        <v>55</v>
      </c>
      <c r="BZ119">
        <v>50</v>
      </c>
      <c r="CA119">
        <v>60</v>
      </c>
      <c r="CB119">
        <v>45</v>
      </c>
      <c r="CC119">
        <v>50</v>
      </c>
      <c r="CD119">
        <v>48</v>
      </c>
      <c r="CE119">
        <v>4</v>
      </c>
      <c r="CI119" t="str">
        <v>Autumn</v>
      </c>
      <c r="CJ119">
        <v>65</v>
      </c>
      <c r="CK119">
        <v>48</v>
      </c>
      <c r="CL119">
        <v>40</v>
      </c>
      <c r="CM119">
        <v>45</v>
      </c>
      <c r="CN119">
        <v>45</v>
      </c>
      <c r="CO119">
        <v>10</v>
      </c>
    </row>
    <row r="120">
      <c r="CI120" t="str">
        <v>Winter</v>
      </c>
      <c r="CJ120">
        <v>65</v>
      </c>
      <c r="CK120">
        <v>48</v>
      </c>
      <c r="CL120">
        <v>45</v>
      </c>
      <c r="CM120">
        <v>50</v>
      </c>
      <c r="CN120">
        <v>50</v>
      </c>
      <c r="CO120">
        <v>20</v>
      </c>
    </row>
    <row r="128">
      <c r="CH128" t="str">
        <v>Table A.1.4.6</v>
      </c>
      <c r="CI128" t="str">
        <v>SRWk</v>
      </c>
    </row>
    <row r="130">
      <c r="AW130" t="str" cm="1">
        <f t="array" ref="AW130:BE153">QueryW40[]</f>
        <v>Spring</v>
      </c>
      <c r="AX130" t="str">
        <v>Breeding ewes</v>
      </c>
      <c r="AY130">
        <v>54</v>
      </c>
      <c r="AZ130">
        <v>40</v>
      </c>
      <c r="BA130">
        <v>55</v>
      </c>
      <c r="BB130">
        <v>50</v>
      </c>
      <c r="BC130">
        <v>55</v>
      </c>
      <c r="BD130">
        <v>55</v>
      </c>
      <c r="BE130">
        <v>1</v>
      </c>
      <c r="BW130" t="str">
        <v>Season</v>
      </c>
      <c r="BX130" t="str">
        <v>Class</v>
      </c>
      <c r="BY130" t="str">
        <v>ACT/NSW</v>
      </c>
      <c r="BZ130" t="str">
        <v>Queensland</v>
      </c>
      <c r="CA130" t="str">
        <v>South Australia</v>
      </c>
      <c r="CB130" t="str">
        <v>Tasmania</v>
      </c>
      <c r="CC130" t="str">
        <v>Victoria</v>
      </c>
      <c r="CD130" t="str">
        <v>Western Australia</v>
      </c>
      <c r="CE130" t="str">
        <v>SeasonOrder</v>
      </c>
      <c r="CH130" t="str">
        <v>Column1</v>
      </c>
      <c r="CI130" t="str">
        <v>Column2</v>
      </c>
      <c r="CJ130" t="str">
        <v>Column3</v>
      </c>
      <c r="CK130" t="str">
        <v>Column4</v>
      </c>
      <c r="CL130" t="str">
        <v>Column5</v>
      </c>
      <c r="CM130" t="str">
        <v>Column6</v>
      </c>
      <c r="CN130" t="str">
        <v>Column7</v>
      </c>
      <c r="CO130" t="str">
        <v>Column8</v>
      </c>
    </row>
    <row r="131">
      <c r="AW131" t="str">
        <v>Summer</v>
      </c>
      <c r="AX131" t="str">
        <v>Breeding ewes</v>
      </c>
      <c r="AY131">
        <v>49</v>
      </c>
      <c r="AZ131">
        <v>45</v>
      </c>
      <c r="BA131">
        <v>55</v>
      </c>
      <c r="BB131">
        <v>50</v>
      </c>
      <c r="BC131">
        <v>50</v>
      </c>
      <c r="BD131">
        <v>50</v>
      </c>
      <c r="BE131">
        <v>2</v>
      </c>
      <c r="BW131" t="str">
        <v>Spring</v>
      </c>
      <c r="BX131" t="str">
        <v>Breeding ewes</v>
      </c>
      <c r="BY131">
        <v>57</v>
      </c>
      <c r="BZ131">
        <v>50</v>
      </c>
      <c r="CA131">
        <v>60</v>
      </c>
      <c r="CB131">
        <v>55</v>
      </c>
      <c r="CC131">
        <v>50</v>
      </c>
      <c r="CD131">
        <v>60</v>
      </c>
      <c r="CE131">
        <v>1</v>
      </c>
      <c r="CH131" t="str">
        <v>State</v>
      </c>
      <c r="CI131" t="str">
        <v>Season</v>
      </c>
      <c r="CJ131" t="str">
        <v>Rams</v>
      </c>
      <c r="CK131" t="str">
        <v>Wethers</v>
      </c>
      <c r="CL131" t="str">
        <v>Maiden ewes</v>
      </c>
      <c r="CM131" t="str">
        <v>Breeding ewes</v>
      </c>
      <c r="CN131" t="str">
        <v>Other ewes</v>
      </c>
      <c r="CO131" t="str">
        <v>Lambs and hoggets</v>
      </c>
    </row>
    <row r="132">
      <c r="AW132" t="str">
        <v>Autumn</v>
      </c>
      <c r="AX132" t="str">
        <v>Breeding ewes</v>
      </c>
      <c r="AY132">
        <v>50</v>
      </c>
      <c r="AZ132">
        <v>45</v>
      </c>
      <c r="BA132">
        <v>55</v>
      </c>
      <c r="BB132">
        <v>50</v>
      </c>
      <c r="BC132">
        <v>48</v>
      </c>
      <c r="BD132">
        <v>45</v>
      </c>
      <c r="BE132">
        <v>3</v>
      </c>
      <c r="BW132" t="str">
        <v>Summer</v>
      </c>
      <c r="BX132" t="str">
        <v>Breeding ewes</v>
      </c>
      <c r="BY132">
        <v>57</v>
      </c>
      <c r="BZ132">
        <v>50</v>
      </c>
      <c r="CA132">
        <v>60</v>
      </c>
      <c r="CB132">
        <v>55</v>
      </c>
      <c r="CC132">
        <v>50</v>
      </c>
      <c r="CD132">
        <v>60</v>
      </c>
      <c r="CE132">
        <v>2</v>
      </c>
      <c r="CH132" t="str">
        <v>ACT/NSW</v>
      </c>
      <c r="CI132" t="str">
        <v>Spring</v>
      </c>
      <c r="CJ132" t="str">
        <v xml:space="preserve">78 </v>
      </c>
      <c r="CK132" t="str">
        <v xml:space="preserve">62 </v>
      </c>
      <c r="CL132" t="str">
        <v xml:space="preserve">57 </v>
      </c>
      <c r="CM132" t="str">
        <v xml:space="preserve">57 </v>
      </c>
      <c r="CN132" t="str">
        <v xml:space="preserve">57 </v>
      </c>
      <c r="CO132">
        <v>60</v>
      </c>
    </row>
    <row r="133">
      <c r="AW133" t="str">
        <v>Winter</v>
      </c>
      <c r="AX133" t="str">
        <v>Breeding ewes</v>
      </c>
      <c r="AY133">
        <v>50</v>
      </c>
      <c r="AZ133">
        <v>42</v>
      </c>
      <c r="BA133">
        <v>55</v>
      </c>
      <c r="BB133">
        <v>55</v>
      </c>
      <c r="BC133">
        <v>45</v>
      </c>
      <c r="BD133">
        <v>50</v>
      </c>
      <c r="BE133">
        <v>4</v>
      </c>
      <c r="BW133" t="str">
        <v>Autumn</v>
      </c>
      <c r="BX133" t="str">
        <v>Breeding ewes</v>
      </c>
      <c r="BY133">
        <v>57</v>
      </c>
      <c r="BZ133">
        <v>50</v>
      </c>
      <c r="CA133">
        <v>60</v>
      </c>
      <c r="CB133">
        <v>55</v>
      </c>
      <c r="CC133">
        <v>50</v>
      </c>
      <c r="CD133">
        <v>60</v>
      </c>
      <c r="CE133">
        <v>3</v>
      </c>
      <c r="CH133" t="str">
        <v>ACT/NSW</v>
      </c>
      <c r="CI133" t="str">
        <v>Summer</v>
      </c>
      <c r="CJ133" t="str">
        <v xml:space="preserve">78 </v>
      </c>
      <c r="CK133" t="str">
        <v xml:space="preserve">62 </v>
      </c>
      <c r="CL133" t="str">
        <v xml:space="preserve">57 </v>
      </c>
      <c r="CM133" t="str">
        <v xml:space="preserve">57 </v>
      </c>
      <c r="CN133" t="str">
        <v xml:space="preserve">57 </v>
      </c>
      <c r="CO133">
        <v>61</v>
      </c>
    </row>
    <row r="134">
      <c r="AW134" t="str">
        <v>Spring</v>
      </c>
      <c r="AX134" t="str">
        <v>Lambs and hoggets</v>
      </c>
      <c r="AY134">
        <v>20</v>
      </c>
      <c r="AZ134">
        <v>20</v>
      </c>
      <c r="BA134">
        <v>40</v>
      </c>
      <c r="BB134">
        <v>14</v>
      </c>
      <c r="BC134">
        <v>22</v>
      </c>
      <c r="BD134">
        <v>30</v>
      </c>
      <c r="BE134">
        <v>1</v>
      </c>
      <c r="BW134" t="str">
        <v>Winter</v>
      </c>
      <c r="BX134" t="str">
        <v>Breeding ewes</v>
      </c>
      <c r="BY134">
        <v>57</v>
      </c>
      <c r="BZ134">
        <v>50</v>
      </c>
      <c r="CA134">
        <v>60</v>
      </c>
      <c r="CB134">
        <v>55</v>
      </c>
      <c r="CC134">
        <v>50</v>
      </c>
      <c r="CD134">
        <v>60</v>
      </c>
      <c r="CE134">
        <v>4</v>
      </c>
      <c r="CH134" t="str">
        <v>ACT/NSW</v>
      </c>
      <c r="CI134" t="str">
        <v>Autumn</v>
      </c>
      <c r="CJ134" t="str">
        <v xml:space="preserve">78 </v>
      </c>
      <c r="CK134" t="str">
        <v xml:space="preserve">62 </v>
      </c>
      <c r="CL134" t="str">
        <v xml:space="preserve">57 </v>
      </c>
      <c r="CM134" t="str">
        <v xml:space="preserve">57 </v>
      </c>
      <c r="CN134" t="str">
        <v xml:space="preserve">57 </v>
      </c>
      <c r="CO134">
        <v>62</v>
      </c>
    </row>
    <row r="135">
      <c r="AW135" t="str">
        <v>Summer</v>
      </c>
      <c r="AX135" t="str">
        <v>Lambs and hoggets</v>
      </c>
      <c r="AY135">
        <v>27</v>
      </c>
      <c r="AZ135">
        <v>25</v>
      </c>
      <c r="BA135">
        <v>45</v>
      </c>
      <c r="BB135">
        <v>24</v>
      </c>
      <c r="BC135">
        <v>28</v>
      </c>
      <c r="BD135">
        <v>30</v>
      </c>
      <c r="BE135">
        <v>2</v>
      </c>
      <c r="BW135" t="str">
        <v>Spring</v>
      </c>
      <c r="BX135" t="str">
        <v>Lambs and hoggets</v>
      </c>
      <c r="BY135">
        <v>60</v>
      </c>
      <c r="BZ135">
        <v>55</v>
      </c>
      <c r="CA135">
        <v>66</v>
      </c>
      <c r="CB135">
        <v>60</v>
      </c>
      <c r="CC135">
        <v>55</v>
      </c>
      <c r="CD135">
        <v>66</v>
      </c>
      <c r="CE135">
        <v>1</v>
      </c>
      <c r="CH135" t="str">
        <v>ACT/NSW</v>
      </c>
      <c r="CI135" t="str">
        <v>Winter</v>
      </c>
      <c r="CJ135" t="str">
        <v xml:space="preserve">78 </v>
      </c>
      <c r="CK135" t="str">
        <v xml:space="preserve">62 </v>
      </c>
      <c r="CL135" t="str">
        <v xml:space="preserve">57 </v>
      </c>
      <c r="CM135" t="str">
        <v xml:space="preserve">57 </v>
      </c>
      <c r="CN135" t="str">
        <v xml:space="preserve">57 </v>
      </c>
      <c r="CO135">
        <v>63</v>
      </c>
    </row>
    <row r="136">
      <c r="AW136" t="str">
        <v>Autumn</v>
      </c>
      <c r="AX136" t="str">
        <v>Lambs and hoggets</v>
      </c>
      <c r="AY136">
        <v>32</v>
      </c>
      <c r="AZ136">
        <v>20</v>
      </c>
      <c r="BA136">
        <v>20</v>
      </c>
      <c r="BB136">
        <v>36</v>
      </c>
      <c r="BC136">
        <v>33</v>
      </c>
      <c r="BD136">
        <v>10</v>
      </c>
      <c r="BE136">
        <v>3</v>
      </c>
      <c r="BW136" t="str">
        <v>Summer</v>
      </c>
      <c r="BX136" t="str">
        <v>Lambs and hoggets</v>
      </c>
      <c r="BY136">
        <v>61</v>
      </c>
      <c r="BZ136">
        <v>56</v>
      </c>
      <c r="CA136">
        <v>67</v>
      </c>
      <c r="CB136">
        <v>61</v>
      </c>
      <c r="CC136">
        <v>56</v>
      </c>
      <c r="CD136">
        <v>67</v>
      </c>
      <c r="CE136">
        <v>2</v>
      </c>
      <c r="CH136" t="str">
        <v>Queensland</v>
      </c>
      <c r="CI136" t="str">
        <v>Spring</v>
      </c>
      <c r="CJ136" t="str">
        <v xml:space="preserve">70 </v>
      </c>
      <c r="CK136" t="str">
        <v xml:space="preserve">60 </v>
      </c>
      <c r="CL136" t="str">
        <v xml:space="preserve">50 </v>
      </c>
      <c r="CM136" t="str">
        <v xml:space="preserve">50 </v>
      </c>
      <c r="CN136" t="str">
        <v xml:space="preserve">50 </v>
      </c>
      <c r="CO136">
        <v>55</v>
      </c>
    </row>
    <row r="137">
      <c r="AW137" t="str">
        <v>Winter</v>
      </c>
      <c r="AX137" t="str">
        <v>Lambs and hoggets</v>
      </c>
      <c r="AY137">
        <v>34</v>
      </c>
      <c r="AZ137">
        <v>25</v>
      </c>
      <c r="BA137">
        <v>30</v>
      </c>
      <c r="BB137">
        <v>42</v>
      </c>
      <c r="BC137">
        <v>35</v>
      </c>
      <c r="BD137">
        <v>20</v>
      </c>
      <c r="BE137">
        <v>4</v>
      </c>
      <c r="BW137" t="str">
        <v>Autumn</v>
      </c>
      <c r="BX137" t="str">
        <v>Lambs and hoggets</v>
      </c>
      <c r="BY137">
        <v>62</v>
      </c>
      <c r="BZ137">
        <v>57</v>
      </c>
      <c r="CA137">
        <v>68</v>
      </c>
      <c r="CB137">
        <v>62</v>
      </c>
      <c r="CC137">
        <v>57</v>
      </c>
      <c r="CD137">
        <v>68</v>
      </c>
      <c r="CE137">
        <v>3</v>
      </c>
      <c r="CH137" t="str">
        <v>Queensland</v>
      </c>
      <c r="CI137" t="str">
        <v>Summer</v>
      </c>
      <c r="CJ137" t="str">
        <v xml:space="preserve">70 </v>
      </c>
      <c r="CK137" t="str">
        <v xml:space="preserve">60 </v>
      </c>
      <c r="CL137" t="str">
        <v xml:space="preserve">50 </v>
      </c>
      <c r="CM137" t="str">
        <v xml:space="preserve">50 </v>
      </c>
      <c r="CN137" t="str">
        <v xml:space="preserve">50 </v>
      </c>
      <c r="CO137">
        <v>56</v>
      </c>
    </row>
    <row r="138">
      <c r="AW138" t="str">
        <v>Spring</v>
      </c>
      <c r="AX138" t="str">
        <v>Maiden ewes</v>
      </c>
      <c r="AY138">
        <v>44</v>
      </c>
      <c r="AZ138">
        <v>35</v>
      </c>
      <c r="BA138">
        <v>52</v>
      </c>
      <c r="BB138">
        <v>45</v>
      </c>
      <c r="BC138">
        <v>50</v>
      </c>
      <c r="BD138">
        <v>50</v>
      </c>
      <c r="BE138">
        <v>1</v>
      </c>
      <c r="BW138" t="str">
        <v>Winter</v>
      </c>
      <c r="BX138" t="str">
        <v>Lambs and hoggets</v>
      </c>
      <c r="BY138">
        <v>63</v>
      </c>
      <c r="BZ138">
        <v>58</v>
      </c>
      <c r="CA138">
        <v>69</v>
      </c>
      <c r="CB138">
        <v>63</v>
      </c>
      <c r="CC138">
        <v>58</v>
      </c>
      <c r="CD138">
        <v>69</v>
      </c>
      <c r="CE138">
        <v>4</v>
      </c>
      <c r="CH138" t="str">
        <v>Queensland</v>
      </c>
      <c r="CI138" t="str">
        <v>Autumn</v>
      </c>
      <c r="CJ138" t="str">
        <v xml:space="preserve">70 </v>
      </c>
      <c r="CK138" t="str">
        <v xml:space="preserve">60 </v>
      </c>
      <c r="CL138" t="str">
        <v xml:space="preserve">50 </v>
      </c>
      <c r="CM138" t="str">
        <v xml:space="preserve">50 </v>
      </c>
      <c r="CN138" t="str">
        <v xml:space="preserve">50 </v>
      </c>
      <c r="CO138">
        <v>57</v>
      </c>
    </row>
    <row r="139">
      <c r="AW139" t="str">
        <v>Summer</v>
      </c>
      <c r="AX139" t="str">
        <v>Maiden ewes</v>
      </c>
      <c r="AY139">
        <v>42</v>
      </c>
      <c r="AZ139">
        <v>40</v>
      </c>
      <c r="BA139">
        <v>52</v>
      </c>
      <c r="BB139">
        <v>45</v>
      </c>
      <c r="BC139">
        <v>45</v>
      </c>
      <c r="BD139">
        <v>45</v>
      </c>
      <c r="BE139">
        <v>2</v>
      </c>
      <c r="BW139" t="str">
        <v>Spring</v>
      </c>
      <c r="BX139" t="str">
        <v>Maiden ewes</v>
      </c>
      <c r="BY139">
        <v>57</v>
      </c>
      <c r="BZ139">
        <v>50</v>
      </c>
      <c r="CA139">
        <v>60</v>
      </c>
      <c r="CB139">
        <v>55</v>
      </c>
      <c r="CC139">
        <v>50</v>
      </c>
      <c r="CD139">
        <v>60</v>
      </c>
      <c r="CE139">
        <v>1</v>
      </c>
      <c r="CH139" t="str">
        <v>Queensland</v>
      </c>
      <c r="CI139" t="str">
        <v>Winter</v>
      </c>
      <c r="CJ139" t="str">
        <v xml:space="preserve">70 </v>
      </c>
      <c r="CK139" t="str">
        <v xml:space="preserve">60 </v>
      </c>
      <c r="CL139" t="str">
        <v xml:space="preserve">50 </v>
      </c>
      <c r="CM139" t="str">
        <v xml:space="preserve">50 </v>
      </c>
      <c r="CN139" t="str">
        <v xml:space="preserve">50 </v>
      </c>
      <c r="CO139">
        <v>58</v>
      </c>
    </row>
    <row r="140">
      <c r="AW140" t="str">
        <v>Autumn</v>
      </c>
      <c r="AX140" t="str">
        <v>Maiden ewes</v>
      </c>
      <c r="AY140">
        <v>43</v>
      </c>
      <c r="AZ140">
        <v>40</v>
      </c>
      <c r="BA140">
        <v>52</v>
      </c>
      <c r="BB140">
        <v>45</v>
      </c>
      <c r="BC140">
        <v>43</v>
      </c>
      <c r="BD140">
        <v>40</v>
      </c>
      <c r="BE140">
        <v>3</v>
      </c>
      <c r="BW140" t="str">
        <v>Summer</v>
      </c>
      <c r="BX140" t="str">
        <v>Maiden ewes</v>
      </c>
      <c r="BY140">
        <v>57</v>
      </c>
      <c r="BZ140">
        <v>50</v>
      </c>
      <c r="CA140">
        <v>60</v>
      </c>
      <c r="CB140">
        <v>55</v>
      </c>
      <c r="CC140">
        <v>50</v>
      </c>
      <c r="CD140">
        <v>60</v>
      </c>
      <c r="CE140">
        <v>2</v>
      </c>
      <c r="CH140" t="str">
        <v>South Australia</v>
      </c>
      <c r="CI140" t="str">
        <v>Spring</v>
      </c>
      <c r="CJ140" t="str">
        <v xml:space="preserve">84 </v>
      </c>
      <c r="CK140" t="str">
        <v xml:space="preserve">72 </v>
      </c>
      <c r="CL140" t="str">
        <v xml:space="preserve">60 </v>
      </c>
      <c r="CM140" t="str">
        <v xml:space="preserve">60 </v>
      </c>
      <c r="CN140" t="str">
        <v xml:space="preserve">60 </v>
      </c>
      <c r="CO140">
        <v>66</v>
      </c>
    </row>
    <row r="141">
      <c r="AW141" t="str">
        <v>Winter</v>
      </c>
      <c r="AX141" t="str">
        <v>Maiden ewes</v>
      </c>
      <c r="AY141">
        <v>45</v>
      </c>
      <c r="AZ141">
        <v>35</v>
      </c>
      <c r="BA141">
        <v>52</v>
      </c>
      <c r="BB141">
        <v>50</v>
      </c>
      <c r="BC141">
        <v>40</v>
      </c>
      <c r="BD141">
        <v>45</v>
      </c>
      <c r="BE141">
        <v>4</v>
      </c>
      <c r="BW141" t="str">
        <v>Autumn</v>
      </c>
      <c r="BX141" t="str">
        <v>Maiden ewes</v>
      </c>
      <c r="BY141">
        <v>57</v>
      </c>
      <c r="BZ141">
        <v>50</v>
      </c>
      <c r="CA141">
        <v>60</v>
      </c>
      <c r="CB141">
        <v>55</v>
      </c>
      <c r="CC141">
        <v>50</v>
      </c>
      <c r="CD141">
        <v>60</v>
      </c>
      <c r="CE141">
        <v>3</v>
      </c>
      <c r="CH141" t="str">
        <v>South Australia</v>
      </c>
      <c r="CI141" t="str">
        <v>Summer</v>
      </c>
      <c r="CJ141" t="str">
        <v xml:space="preserve">84 </v>
      </c>
      <c r="CK141" t="str">
        <v xml:space="preserve">72 </v>
      </c>
      <c r="CL141" t="str">
        <v xml:space="preserve">60 </v>
      </c>
      <c r="CM141" t="str">
        <v xml:space="preserve">60 </v>
      </c>
      <c r="CN141" t="str">
        <v xml:space="preserve">60 </v>
      </c>
      <c r="CO141">
        <v>67</v>
      </c>
    </row>
    <row r="142">
      <c r="AW142" t="str">
        <v>Spring</v>
      </c>
      <c r="AX142" t="str">
        <v>Other ewes</v>
      </c>
      <c r="AY142">
        <v>56</v>
      </c>
      <c r="AZ142">
        <v>45</v>
      </c>
      <c r="BA142">
        <v>55</v>
      </c>
      <c r="BB142">
        <v>50</v>
      </c>
      <c r="BC142">
        <v>50</v>
      </c>
      <c r="BD142">
        <v>55</v>
      </c>
      <c r="BE142">
        <v>1</v>
      </c>
      <c r="BW142" t="str">
        <v>Winter</v>
      </c>
      <c r="BX142" t="str">
        <v>Maiden ewes</v>
      </c>
      <c r="BY142">
        <v>57</v>
      </c>
      <c r="BZ142">
        <v>50</v>
      </c>
      <c r="CA142">
        <v>60</v>
      </c>
      <c r="CB142">
        <v>55</v>
      </c>
      <c r="CC142">
        <v>50</v>
      </c>
      <c r="CD142">
        <v>60</v>
      </c>
      <c r="CE142">
        <v>4</v>
      </c>
      <c r="CH142" t="str">
        <v>South Australia</v>
      </c>
      <c r="CI142" t="str">
        <v>Autumn</v>
      </c>
      <c r="CJ142" t="str">
        <v xml:space="preserve">84 </v>
      </c>
      <c r="CK142" t="str">
        <v xml:space="preserve">72 </v>
      </c>
      <c r="CL142" t="str">
        <v xml:space="preserve">60 </v>
      </c>
      <c r="CM142" t="str">
        <v xml:space="preserve">60 </v>
      </c>
      <c r="CN142" t="str">
        <v xml:space="preserve">60 </v>
      </c>
      <c r="CO142">
        <v>68</v>
      </c>
    </row>
    <row r="143">
      <c r="AW143" t="str">
        <v>Summer</v>
      </c>
      <c r="AX143" t="str">
        <v>Other ewes</v>
      </c>
      <c r="AY143">
        <v>51</v>
      </c>
      <c r="AZ143">
        <v>50</v>
      </c>
      <c r="BA143">
        <v>55</v>
      </c>
      <c r="BB143">
        <v>50</v>
      </c>
      <c r="BC143">
        <v>50</v>
      </c>
      <c r="BD143">
        <v>50</v>
      </c>
      <c r="BE143">
        <v>2</v>
      </c>
      <c r="BW143" t="str">
        <v>Spring</v>
      </c>
      <c r="BX143" t="str">
        <v>Other ewes</v>
      </c>
      <c r="BY143">
        <v>57</v>
      </c>
      <c r="BZ143">
        <v>50</v>
      </c>
      <c r="CA143">
        <v>60</v>
      </c>
      <c r="CB143">
        <v>55</v>
      </c>
      <c r="CC143">
        <v>50</v>
      </c>
      <c r="CD143">
        <v>60</v>
      </c>
      <c r="CE143">
        <v>1</v>
      </c>
      <c r="CH143" t="str">
        <v>South Australia</v>
      </c>
      <c r="CI143" t="str">
        <v>Winter</v>
      </c>
      <c r="CJ143" t="str">
        <v xml:space="preserve">84 </v>
      </c>
      <c r="CK143" t="str">
        <v xml:space="preserve">72 </v>
      </c>
      <c r="CL143" t="str">
        <v xml:space="preserve">60 </v>
      </c>
      <c r="CM143" t="str">
        <v xml:space="preserve">60 </v>
      </c>
      <c r="CN143" t="str">
        <v xml:space="preserve">60 </v>
      </c>
      <c r="CO143">
        <v>69</v>
      </c>
    </row>
    <row r="144">
      <c r="AW144" t="str">
        <v>Autumn</v>
      </c>
      <c r="AX144" t="str">
        <v>Other ewes</v>
      </c>
      <c r="AY144">
        <v>50</v>
      </c>
      <c r="AZ144">
        <v>50</v>
      </c>
      <c r="BA144">
        <v>55</v>
      </c>
      <c r="BB144">
        <v>50</v>
      </c>
      <c r="BC144">
        <v>50</v>
      </c>
      <c r="BD144">
        <v>45</v>
      </c>
      <c r="BE144">
        <v>3</v>
      </c>
      <c r="BW144" t="str">
        <v>Summer</v>
      </c>
      <c r="BX144" t="str">
        <v>Other ewes</v>
      </c>
      <c r="BY144">
        <v>57</v>
      </c>
      <c r="BZ144">
        <v>50</v>
      </c>
      <c r="CA144">
        <v>60</v>
      </c>
      <c r="CB144">
        <v>55</v>
      </c>
      <c r="CC144">
        <v>50</v>
      </c>
      <c r="CD144">
        <v>60</v>
      </c>
      <c r="CE144">
        <v>2</v>
      </c>
      <c r="CH144" t="str">
        <v>Tasmania</v>
      </c>
      <c r="CI144" t="str">
        <v>Spring</v>
      </c>
      <c r="CJ144" t="str">
        <v xml:space="preserve">77 </v>
      </c>
      <c r="CK144" t="str">
        <v xml:space="preserve">66 </v>
      </c>
      <c r="CL144" t="str">
        <v xml:space="preserve">55 </v>
      </c>
      <c r="CM144" t="str">
        <v xml:space="preserve">55 </v>
      </c>
      <c r="CN144" t="str">
        <v xml:space="preserve">55 </v>
      </c>
      <c r="CO144">
        <v>60</v>
      </c>
    </row>
    <row r="145">
      <c r="AW145" t="str">
        <v>Winter</v>
      </c>
      <c r="AX145" t="str">
        <v>Other ewes</v>
      </c>
      <c r="AY145">
        <v>51</v>
      </c>
      <c r="AZ145">
        <v>48</v>
      </c>
      <c r="BA145">
        <v>55</v>
      </c>
      <c r="BB145">
        <v>50</v>
      </c>
      <c r="BC145">
        <v>50</v>
      </c>
      <c r="BD145">
        <v>50</v>
      </c>
      <c r="BE145">
        <v>4</v>
      </c>
      <c r="BW145" t="str">
        <v>Autumn</v>
      </c>
      <c r="BX145" t="str">
        <v>Other ewes</v>
      </c>
      <c r="BY145">
        <v>57</v>
      </c>
      <c r="BZ145">
        <v>50</v>
      </c>
      <c r="CA145">
        <v>60</v>
      </c>
      <c r="CB145">
        <v>55</v>
      </c>
      <c r="CC145">
        <v>50</v>
      </c>
      <c r="CD145">
        <v>60</v>
      </c>
      <c r="CE145">
        <v>3</v>
      </c>
      <c r="CH145" t="str">
        <v>Tasmania</v>
      </c>
      <c r="CI145" t="str">
        <v>Summer</v>
      </c>
      <c r="CJ145" t="str">
        <v xml:space="preserve">77 </v>
      </c>
      <c r="CK145" t="str">
        <v xml:space="preserve">66 </v>
      </c>
      <c r="CL145" t="str">
        <v xml:space="preserve">55 </v>
      </c>
      <c r="CM145" t="str">
        <v xml:space="preserve">55 </v>
      </c>
      <c r="CN145" t="str">
        <v xml:space="preserve">55 </v>
      </c>
      <c r="CO145">
        <v>61</v>
      </c>
    </row>
    <row r="146">
      <c r="AW146" t="str">
        <v>Spring</v>
      </c>
      <c r="AX146" t="str">
        <v>Rams</v>
      </c>
      <c r="AY146">
        <v>75</v>
      </c>
      <c r="AZ146">
        <v>58</v>
      </c>
      <c r="BA146">
        <v>80</v>
      </c>
      <c r="BB146">
        <v>90</v>
      </c>
      <c r="BC146">
        <v>70</v>
      </c>
      <c r="BD146">
        <v>75</v>
      </c>
      <c r="BE146">
        <v>1</v>
      </c>
      <c r="BW146" t="str">
        <v>Winter</v>
      </c>
      <c r="BX146" t="str">
        <v>Other ewes</v>
      </c>
      <c r="BY146">
        <v>57</v>
      </c>
      <c r="BZ146">
        <v>50</v>
      </c>
      <c r="CA146">
        <v>60</v>
      </c>
      <c r="CB146">
        <v>55</v>
      </c>
      <c r="CC146">
        <v>50</v>
      </c>
      <c r="CD146">
        <v>60</v>
      </c>
      <c r="CE146">
        <v>4</v>
      </c>
      <c r="CH146" t="str">
        <v>Tasmania</v>
      </c>
      <c r="CI146" t="str">
        <v>Autumn</v>
      </c>
      <c r="CJ146" t="str">
        <v xml:space="preserve">77 </v>
      </c>
      <c r="CK146" t="str">
        <v xml:space="preserve">66 </v>
      </c>
      <c r="CL146" t="str">
        <v xml:space="preserve">55 </v>
      </c>
      <c r="CM146" t="str">
        <v xml:space="preserve">55 </v>
      </c>
      <c r="CN146" t="str">
        <v xml:space="preserve">55 </v>
      </c>
      <c r="CO146">
        <v>62</v>
      </c>
    </row>
    <row r="147">
      <c r="AW147" t="str">
        <v>Summer</v>
      </c>
      <c r="AX147" t="str">
        <v>Rams</v>
      </c>
      <c r="AY147">
        <v>75</v>
      </c>
      <c r="AZ147">
        <v>61</v>
      </c>
      <c r="BA147">
        <v>70</v>
      </c>
      <c r="BB147">
        <v>90</v>
      </c>
      <c r="BC147">
        <v>65</v>
      </c>
      <c r="BD147">
        <v>65</v>
      </c>
      <c r="BE147">
        <v>2</v>
      </c>
      <c r="BW147" t="str">
        <v>Spring</v>
      </c>
      <c r="BX147" t="str">
        <v>Rams</v>
      </c>
      <c r="BY147">
        <v>78</v>
      </c>
      <c r="BZ147">
        <v>70</v>
      </c>
      <c r="CA147">
        <v>84</v>
      </c>
      <c r="CB147">
        <v>77</v>
      </c>
      <c r="CC147">
        <v>70</v>
      </c>
      <c r="CD147">
        <v>84</v>
      </c>
      <c r="CE147">
        <v>1</v>
      </c>
      <c r="CH147" t="str">
        <v>Tasmania</v>
      </c>
      <c r="CI147" t="str">
        <v>Winter</v>
      </c>
      <c r="CJ147" t="str">
        <v xml:space="preserve">77 </v>
      </c>
      <c r="CK147" t="str">
        <v xml:space="preserve">66 </v>
      </c>
      <c r="CL147" t="str">
        <v xml:space="preserve">55 </v>
      </c>
      <c r="CM147" t="str">
        <v xml:space="preserve">55 </v>
      </c>
      <c r="CN147" t="str">
        <v xml:space="preserve">55 </v>
      </c>
      <c r="CO147">
        <v>63</v>
      </c>
    </row>
    <row r="148">
      <c r="AW148" t="str">
        <v>Autumn</v>
      </c>
      <c r="AX148" t="str">
        <v>Rams</v>
      </c>
      <c r="AY148">
        <v>69</v>
      </c>
      <c r="AZ148">
        <v>63</v>
      </c>
      <c r="BA148">
        <v>70</v>
      </c>
      <c r="BB148">
        <v>75</v>
      </c>
      <c r="BC148">
        <v>65</v>
      </c>
      <c r="BD148">
        <v>65</v>
      </c>
      <c r="BE148">
        <v>3</v>
      </c>
      <c r="BW148" t="str">
        <v>Summer</v>
      </c>
      <c r="BX148" t="str">
        <v>Rams</v>
      </c>
      <c r="BY148">
        <v>78</v>
      </c>
      <c r="BZ148">
        <v>70</v>
      </c>
      <c r="CA148">
        <v>84</v>
      </c>
      <c r="CB148">
        <v>77</v>
      </c>
      <c r="CC148">
        <v>70</v>
      </c>
      <c r="CD148">
        <v>84</v>
      </c>
      <c r="CE148">
        <v>2</v>
      </c>
      <c r="CH148" t="str">
        <v>Victoria</v>
      </c>
      <c r="CI148" t="str">
        <v>Spring</v>
      </c>
      <c r="CJ148" t="str">
        <v xml:space="preserve">70 </v>
      </c>
      <c r="CK148" t="str">
        <v xml:space="preserve">60 </v>
      </c>
      <c r="CL148" t="str">
        <v xml:space="preserve">50 </v>
      </c>
      <c r="CM148" t="str">
        <v xml:space="preserve">50 </v>
      </c>
      <c r="CN148" t="str">
        <v xml:space="preserve">50 </v>
      </c>
      <c r="CO148">
        <v>55</v>
      </c>
    </row>
    <row r="149">
      <c r="AW149" t="str">
        <v>Winter</v>
      </c>
      <c r="AX149" t="str">
        <v>Rams</v>
      </c>
      <c r="AY149">
        <v>69</v>
      </c>
      <c r="AZ149">
        <v>60</v>
      </c>
      <c r="BA149">
        <v>70</v>
      </c>
      <c r="BB149">
        <v>75</v>
      </c>
      <c r="BC149">
        <v>60</v>
      </c>
      <c r="BD149">
        <v>65</v>
      </c>
      <c r="BE149">
        <v>4</v>
      </c>
      <c r="BW149" t="str">
        <v>Autumn</v>
      </c>
      <c r="BX149" t="str">
        <v>Rams</v>
      </c>
      <c r="BY149">
        <v>78</v>
      </c>
      <c r="BZ149">
        <v>70</v>
      </c>
      <c r="CA149">
        <v>84</v>
      </c>
      <c r="CB149">
        <v>77</v>
      </c>
      <c r="CC149">
        <v>70</v>
      </c>
      <c r="CD149">
        <v>84</v>
      </c>
      <c r="CE149">
        <v>3</v>
      </c>
      <c r="CH149" t="str">
        <v>Victoria</v>
      </c>
      <c r="CI149" t="str">
        <v>Summer</v>
      </c>
      <c r="CJ149" t="str">
        <v xml:space="preserve">70 </v>
      </c>
      <c r="CK149" t="str">
        <v xml:space="preserve">60 </v>
      </c>
      <c r="CL149" t="str">
        <v xml:space="preserve">50 </v>
      </c>
      <c r="CM149" t="str">
        <v xml:space="preserve">50 </v>
      </c>
      <c r="CN149" t="str">
        <v xml:space="preserve">50 </v>
      </c>
      <c r="CO149">
        <v>56</v>
      </c>
    </row>
    <row r="150">
      <c r="AW150" t="str">
        <v>Spring</v>
      </c>
      <c r="AX150" t="str">
        <v>Wethers</v>
      </c>
      <c r="AY150">
        <v>62</v>
      </c>
      <c r="AZ150">
        <v>50</v>
      </c>
      <c r="BA150">
        <v>70</v>
      </c>
      <c r="BB150">
        <v>55</v>
      </c>
      <c r="BC150">
        <v>60</v>
      </c>
      <c r="BD150">
        <v>60</v>
      </c>
      <c r="BE150">
        <v>1</v>
      </c>
      <c r="BW150" t="str">
        <v>Winter</v>
      </c>
      <c r="BX150" t="str">
        <v>Rams</v>
      </c>
      <c r="BY150">
        <v>78</v>
      </c>
      <c r="BZ150">
        <v>70</v>
      </c>
      <c r="CA150">
        <v>84</v>
      </c>
      <c r="CB150">
        <v>77</v>
      </c>
      <c r="CC150">
        <v>70</v>
      </c>
      <c r="CD150">
        <v>84</v>
      </c>
      <c r="CE150">
        <v>4</v>
      </c>
      <c r="CH150" t="str">
        <v>Victoria</v>
      </c>
      <c r="CI150" t="str">
        <v>Autumn</v>
      </c>
      <c r="CJ150" t="str">
        <v xml:space="preserve">70 </v>
      </c>
      <c r="CK150" t="str">
        <v xml:space="preserve">60 </v>
      </c>
      <c r="CL150" t="str">
        <v xml:space="preserve">50 </v>
      </c>
      <c r="CM150" t="str">
        <v xml:space="preserve">50 </v>
      </c>
      <c r="CN150" t="str">
        <v xml:space="preserve">50 </v>
      </c>
      <c r="CO150">
        <v>57</v>
      </c>
    </row>
    <row r="151">
      <c r="AW151" t="str">
        <v>Summer</v>
      </c>
      <c r="AX151" t="str">
        <v>Wethers</v>
      </c>
      <c r="AY151">
        <v>55</v>
      </c>
      <c r="AZ151">
        <v>55</v>
      </c>
      <c r="BA151">
        <v>65</v>
      </c>
      <c r="BB151">
        <v>55</v>
      </c>
      <c r="BC151">
        <v>55</v>
      </c>
      <c r="BD151">
        <v>55</v>
      </c>
      <c r="BE151">
        <v>2</v>
      </c>
      <c r="BW151" t="str">
        <v>Spring</v>
      </c>
      <c r="BX151" t="str">
        <v>Wethers</v>
      </c>
      <c r="BY151">
        <v>62</v>
      </c>
      <c r="BZ151">
        <v>60</v>
      </c>
      <c r="CA151">
        <v>72</v>
      </c>
      <c r="CB151">
        <v>66</v>
      </c>
      <c r="CC151">
        <v>60</v>
      </c>
      <c r="CD151">
        <v>72</v>
      </c>
      <c r="CE151">
        <v>1</v>
      </c>
      <c r="CH151" t="str">
        <v>Victoria</v>
      </c>
      <c r="CI151" t="str">
        <v>Winter</v>
      </c>
      <c r="CJ151" t="str">
        <v xml:space="preserve">70 </v>
      </c>
      <c r="CK151" t="str">
        <v xml:space="preserve">60 </v>
      </c>
      <c r="CL151" t="str">
        <v xml:space="preserve">50 </v>
      </c>
      <c r="CM151" t="str">
        <v xml:space="preserve">50 </v>
      </c>
      <c r="CN151" t="str">
        <v xml:space="preserve">50 </v>
      </c>
      <c r="CO151">
        <v>58</v>
      </c>
    </row>
    <row r="152">
      <c r="AW152" t="str">
        <v>Autumn</v>
      </c>
      <c r="AX152" t="str">
        <v>Wethers</v>
      </c>
      <c r="AY152">
        <v>55</v>
      </c>
      <c r="AZ152">
        <v>55</v>
      </c>
      <c r="BA152">
        <v>60</v>
      </c>
      <c r="BB152">
        <v>50</v>
      </c>
      <c r="BC152">
        <v>52</v>
      </c>
      <c r="BD152">
        <v>48</v>
      </c>
      <c r="BE152">
        <v>3</v>
      </c>
      <c r="BW152" t="str">
        <v>Summer</v>
      </c>
      <c r="BX152" t="str">
        <v>Wethers</v>
      </c>
      <c r="BY152">
        <v>62</v>
      </c>
      <c r="BZ152">
        <v>60</v>
      </c>
      <c r="CA152">
        <v>72</v>
      </c>
      <c r="CB152">
        <v>66</v>
      </c>
      <c r="CC152">
        <v>60</v>
      </c>
      <c r="CD152">
        <v>72</v>
      </c>
      <c r="CE152">
        <v>2</v>
      </c>
      <c r="CH152" t="str">
        <v>Western Australia</v>
      </c>
      <c r="CI152" t="str">
        <v>Spring</v>
      </c>
      <c r="CJ152" t="str">
        <v xml:space="preserve">84 </v>
      </c>
      <c r="CK152" t="str">
        <v xml:space="preserve">72 </v>
      </c>
      <c r="CL152" t="str">
        <v xml:space="preserve">60 </v>
      </c>
      <c r="CM152" t="str">
        <v xml:space="preserve">60 </v>
      </c>
      <c r="CN152" t="str">
        <v xml:space="preserve">60 </v>
      </c>
      <c r="CO152">
        <v>66</v>
      </c>
    </row>
    <row r="153">
      <c r="AW153" t="str">
        <v>Winter</v>
      </c>
      <c r="AX153" t="str">
        <v>Wethers</v>
      </c>
      <c r="AY153">
        <v>55</v>
      </c>
      <c r="AZ153">
        <v>50</v>
      </c>
      <c r="BA153">
        <v>60</v>
      </c>
      <c r="BB153">
        <v>45</v>
      </c>
      <c r="BC153">
        <v>50</v>
      </c>
      <c r="BD153">
        <v>48</v>
      </c>
      <c r="BE153">
        <v>4</v>
      </c>
      <c r="BW153" t="str">
        <v>Autumn</v>
      </c>
      <c r="BX153" t="str">
        <v>Wethers</v>
      </c>
      <c r="BY153">
        <v>62</v>
      </c>
      <c r="BZ153">
        <v>60</v>
      </c>
      <c r="CA153">
        <v>72</v>
      </c>
      <c r="CB153">
        <v>66</v>
      </c>
      <c r="CC153">
        <v>60</v>
      </c>
      <c r="CD153">
        <v>72</v>
      </c>
      <c r="CE153">
        <v>3</v>
      </c>
      <c r="CH153" t="str">
        <v>Western Australia</v>
      </c>
      <c r="CI153" t="str">
        <v>Summer</v>
      </c>
      <c r="CJ153" t="str">
        <v xml:space="preserve">84 </v>
      </c>
      <c r="CK153" t="str">
        <v xml:space="preserve">72 </v>
      </c>
      <c r="CL153" t="str">
        <v xml:space="preserve">60 </v>
      </c>
      <c r="CM153" t="str">
        <v xml:space="preserve">60 </v>
      </c>
      <c r="CN153" t="str">
        <v xml:space="preserve">60 </v>
      </c>
      <c r="CO153">
        <v>67</v>
      </c>
    </row>
    <row r="154">
      <c r="BW154" t="str">
        <v>Winter</v>
      </c>
      <c r="BX154" t="str">
        <v>Wethers</v>
      </c>
      <c r="BY154">
        <v>62</v>
      </c>
      <c r="BZ154">
        <v>60</v>
      </c>
      <c r="CA154">
        <v>72</v>
      </c>
      <c r="CB154">
        <v>66</v>
      </c>
      <c r="CC154">
        <v>60</v>
      </c>
      <c r="CD154">
        <v>72</v>
      </c>
      <c r="CE154">
        <v>4</v>
      </c>
      <c r="CH154" t="str">
        <v>Western Australia</v>
      </c>
      <c r="CI154" t="str">
        <v>Autumn</v>
      </c>
      <c r="CJ154" t="str">
        <v xml:space="preserve">84 </v>
      </c>
      <c r="CK154" t="str">
        <v xml:space="preserve">72 </v>
      </c>
      <c r="CL154" t="str">
        <v xml:space="preserve">60 </v>
      </c>
      <c r="CM154" t="str">
        <v xml:space="preserve">60 </v>
      </c>
      <c r="CN154" t="str">
        <v xml:space="preserve">60 </v>
      </c>
      <c r="CO154">
        <v>68</v>
      </c>
    </row>
    <row r="155">
      <c r="CH155" t="str">
        <v>Western Australia</v>
      </c>
      <c r="CI155" t="str">
        <v>Winter</v>
      </c>
      <c r="CJ155" t="str">
        <v xml:space="preserve">84 </v>
      </c>
      <c r="CK155" t="str">
        <v xml:space="preserve">72 </v>
      </c>
      <c r="CL155" t="str">
        <v xml:space="preserve">60 </v>
      </c>
      <c r="CM155" t="str">
        <v xml:space="preserve">60 </v>
      </c>
      <c r="CN155" t="str">
        <v xml:space="preserve">60 </v>
      </c>
      <c r="CO155">
        <v>69</v>
      </c>
    </row>
    <row r="156">
      <c r="AW156" t="str" cm="1">
        <f t="array" ref="AW156:BB156">QueryW40[[#Headers],[ACT/NSW]:[Western Australia]]</f>
        <v>ACT/NSW</v>
      </c>
      <c r="AX156" t="str">
        <v>Queensland</v>
      </c>
      <c r="AY156" t="str">
        <v>South Australia</v>
      </c>
      <c r="AZ156" t="str">
        <v>Tasmania</v>
      </c>
      <c r="BA156" t="str">
        <v>Victoria</v>
      </c>
      <c r="BB156" t="str">
        <v>Western Australia</v>
      </c>
    </row>
    <row r="163">
      <c r="CH163" t="str">
        <v>A.1.4.3</v>
      </c>
    </row>
    <row r="164">
      <c r="CH164" t="str">
        <v>DMAjk</v>
      </c>
    </row>
    <row r="165">
      <c r="CH165" t="str">
        <v>Column1</v>
      </c>
      <c r="CI165" t="str">
        <v>Column2</v>
      </c>
      <c r="CJ165" t="str">
        <v>Column3</v>
      </c>
      <c r="CK165" t="str">
        <v>Column4</v>
      </c>
      <c r="CL165" t="str">
        <v>Column5</v>
      </c>
      <c r="CM165" t="str">
        <v>Column6</v>
      </c>
      <c r="CN165" t="str">
        <v>Column7</v>
      </c>
      <c r="CO165" t="str">
        <v>Column8</v>
      </c>
    </row>
    <row r="166">
      <c r="BW166" t="str">
        <v>Season</v>
      </c>
      <c r="BX166" t="str">
        <v>Class</v>
      </c>
      <c r="BY166" t="str">
        <v>ACT/NSW</v>
      </c>
      <c r="BZ166" t="str">
        <v>Queensland</v>
      </c>
      <c r="CA166" t="str">
        <v>South Australia</v>
      </c>
      <c r="CB166" t="str">
        <v>Tasmania</v>
      </c>
      <c r="CC166" t="str">
        <v>Victoria</v>
      </c>
      <c r="CD166" t="str">
        <v>Western Australia</v>
      </c>
      <c r="CE166" t="str">
        <v>SeasonOrder</v>
      </c>
      <c r="CH166" t="str">
        <v>State</v>
      </c>
      <c r="CI166" t="str">
        <v>Season</v>
      </c>
      <c r="CJ166" t="str">
        <v>Rams</v>
      </c>
      <c r="CK166" t="str">
        <v>Wethers</v>
      </c>
      <c r="CL166" t="str">
        <v>Maiden ewes</v>
      </c>
      <c r="CM166" t="str">
        <v>Breeding ewes</v>
      </c>
      <c r="CN166" t="str">
        <v>Other ewes</v>
      </c>
      <c r="CO166" t="str">
        <v>Lambs and hoggets</v>
      </c>
    </row>
    <row r="167">
      <c r="BW167" t="str">
        <v>Spring</v>
      </c>
      <c r="BX167" t="str">
        <v>Breeding ewes</v>
      </c>
      <c r="BY167">
        <v>2.9</v>
      </c>
      <c r="BZ167">
        <v>1.5</v>
      </c>
      <c r="CA167">
        <v>4</v>
      </c>
      <c r="CB167">
        <v>2.5</v>
      </c>
      <c r="CC167">
        <v>3.2</v>
      </c>
      <c r="CD167">
        <v>3.5</v>
      </c>
      <c r="CE167">
        <v>1</v>
      </c>
      <c r="CH167" t="str">
        <v>ACT/NSW</v>
      </c>
      <c r="CI167" t="str">
        <v>Spring</v>
      </c>
      <c r="CJ167">
        <v>2.9</v>
      </c>
      <c r="CK167">
        <v>2.9</v>
      </c>
      <c r="CL167">
        <v>2.9</v>
      </c>
      <c r="CM167">
        <v>2.9</v>
      </c>
      <c r="CN167">
        <v>2.9</v>
      </c>
      <c r="CO167">
        <v>2.9</v>
      </c>
    </row>
    <row r="168">
      <c r="BW168" t="str">
        <v>Summer</v>
      </c>
      <c r="BX168" t="str">
        <v>Breeding ewes</v>
      </c>
      <c r="BY168">
        <v>2.5</v>
      </c>
      <c r="BZ168">
        <v>2</v>
      </c>
      <c r="CA168">
        <v>2.5</v>
      </c>
      <c r="CB168">
        <v>2.5</v>
      </c>
      <c r="CC168">
        <v>3</v>
      </c>
      <c r="CD168">
        <v>1.5</v>
      </c>
      <c r="CE168">
        <v>2</v>
      </c>
      <c r="CI168" t="str">
        <v>Summer</v>
      </c>
      <c r="CJ168">
        <v>2.5</v>
      </c>
      <c r="CK168">
        <v>2.5</v>
      </c>
      <c r="CL168">
        <v>2.5</v>
      </c>
      <c r="CM168">
        <v>2.5</v>
      </c>
      <c r="CN168">
        <v>2.5</v>
      </c>
      <c r="CO168">
        <v>2.5</v>
      </c>
    </row>
    <row r="169">
      <c r="BW169" t="str">
        <v>Autumn</v>
      </c>
      <c r="BX169" t="str">
        <v>Breeding ewes</v>
      </c>
      <c r="BY169">
        <v>1.6</v>
      </c>
      <c r="BZ169">
        <v>2.2</v>
      </c>
      <c r="CA169">
        <v>0.7</v>
      </c>
      <c r="CB169">
        <v>1.3</v>
      </c>
      <c r="CC169">
        <v>1.8</v>
      </c>
      <c r="CD169">
        <v>0.7</v>
      </c>
      <c r="CE169">
        <v>3</v>
      </c>
      <c r="CI169" t="str">
        <v>Autumn</v>
      </c>
      <c r="CJ169">
        <v>1.6</v>
      </c>
      <c r="CK169">
        <v>1.6</v>
      </c>
      <c r="CL169">
        <v>1.6</v>
      </c>
      <c r="CM169">
        <v>1.6</v>
      </c>
      <c r="CN169">
        <v>1.6</v>
      </c>
      <c r="CO169">
        <v>1.6</v>
      </c>
    </row>
    <row r="170">
      <c r="BW170" t="str">
        <v>Winter</v>
      </c>
      <c r="BX170" t="str">
        <v>Breeding ewes</v>
      </c>
      <c r="BY170">
        <v>1.7</v>
      </c>
      <c r="BZ170">
        <v>1.7</v>
      </c>
      <c r="CA170">
        <v>0.9</v>
      </c>
      <c r="CB170">
        <v>0.8</v>
      </c>
      <c r="CC170">
        <v>1</v>
      </c>
      <c r="CD170">
        <v>1.2</v>
      </c>
      <c r="CE170">
        <v>4</v>
      </c>
      <c r="CI170" t="str">
        <v>Winter</v>
      </c>
      <c r="CJ170">
        <v>1.7</v>
      </c>
      <c r="CK170">
        <v>1.7</v>
      </c>
      <c r="CL170">
        <v>1.7</v>
      </c>
      <c r="CM170">
        <v>1.7</v>
      </c>
      <c r="CN170">
        <v>1.7</v>
      </c>
      <c r="CO170">
        <v>1.7</v>
      </c>
    </row>
    <row r="171">
      <c r="BW171" t="str">
        <v>Spring</v>
      </c>
      <c r="BX171" t="str">
        <v>Lambs and hoggets</v>
      </c>
      <c r="BY171">
        <v>2.9</v>
      </c>
      <c r="BZ171">
        <v>1.5</v>
      </c>
      <c r="CA171">
        <v>4</v>
      </c>
      <c r="CB171">
        <v>2.5</v>
      </c>
      <c r="CC171">
        <v>3.2</v>
      </c>
      <c r="CD171">
        <v>3.5</v>
      </c>
      <c r="CE171">
        <v>1</v>
      </c>
      <c r="CH171" t="str">
        <v>Queensland</v>
      </c>
      <c r="CI171" t="str">
        <v>Spring</v>
      </c>
      <c r="CJ171">
        <v>1.5</v>
      </c>
      <c r="CK171">
        <v>1.5</v>
      </c>
      <c r="CL171">
        <v>1.5</v>
      </c>
      <c r="CM171">
        <v>1.5</v>
      </c>
      <c r="CN171">
        <v>1.5</v>
      </c>
      <c r="CO171">
        <v>1.5</v>
      </c>
    </row>
    <row r="172">
      <c r="AW172" t="e" cm="1">
        <f t="array" ref="AW172">#REF!</f>
        <v>#REF!</v>
      </c>
      <c r="BW172" t="str">
        <v>Summer</v>
      </c>
      <c r="BX172" t="str">
        <v>Lambs and hoggets</v>
      </c>
      <c r="BY172">
        <v>2.5</v>
      </c>
      <c r="BZ172">
        <v>2</v>
      </c>
      <c r="CA172">
        <v>2.5</v>
      </c>
      <c r="CB172">
        <v>2.5</v>
      </c>
      <c r="CC172">
        <v>3</v>
      </c>
      <c r="CD172">
        <v>1.5</v>
      </c>
      <c r="CE172">
        <v>2</v>
      </c>
      <c r="CI172" t="str">
        <v>Summer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</row>
    <row r="173">
      <c r="AW173" t="str" cm="1">
        <f t="array" ref="AW173:BE173">QueryW40[#Headers]</f>
        <v>Season</v>
      </c>
      <c r="AX173" t="str">
        <v>Class</v>
      </c>
      <c r="AY173" t="str">
        <v>ACT/NSW</v>
      </c>
      <c r="AZ173" t="str">
        <v>Queensland</v>
      </c>
      <c r="BA173" t="str">
        <v>South Australia</v>
      </c>
      <c r="BB173" t="str">
        <v>Tasmania</v>
      </c>
      <c r="BC173" t="str">
        <v>Victoria</v>
      </c>
      <c r="BD173" t="str">
        <v>Western Australia</v>
      </c>
      <c r="BE173" t="str">
        <v>SeasonOrder</v>
      </c>
      <c r="BW173" t="str">
        <v>Autumn</v>
      </c>
      <c r="BX173" t="str">
        <v>Lambs and hoggets</v>
      </c>
      <c r="BY173">
        <v>1.6</v>
      </c>
      <c r="BZ173">
        <v>2.2</v>
      </c>
      <c r="CA173">
        <v>0.7</v>
      </c>
      <c r="CB173">
        <v>1.3</v>
      </c>
      <c r="CC173">
        <v>1.8</v>
      </c>
      <c r="CD173">
        <v>0.7</v>
      </c>
      <c r="CE173">
        <v>3</v>
      </c>
      <c r="CI173" t="str">
        <v>Autumn</v>
      </c>
      <c r="CJ173">
        <v>2.2</v>
      </c>
      <c r="CK173">
        <v>2.2</v>
      </c>
      <c r="CL173">
        <v>2.2</v>
      </c>
      <c r="CM173">
        <v>2.2</v>
      </c>
      <c r="CN173">
        <v>2.2</v>
      </c>
      <c r="CO173">
        <v>2.2</v>
      </c>
    </row>
    <row r="174">
      <c r="AW174" t="str" cm="1">
        <f t="array" ref="AW174:BB174">QueryW40[[#Headers],[ACT/NSW]:[Western Australia]]</f>
        <v>ACT/NSW</v>
      </c>
      <c r="AX174" t="str">
        <v>Queensland</v>
      </c>
      <c r="AY174" t="str">
        <v>South Australia</v>
      </c>
      <c r="AZ174" t="str">
        <v>Tasmania</v>
      </c>
      <c r="BA174" t="str">
        <v>Victoria</v>
      </c>
      <c r="BB174" t="str">
        <v>Western Australia</v>
      </c>
      <c r="BW174" t="str">
        <v>Winter</v>
      </c>
      <c r="BX174" t="str">
        <v>Lambs and hoggets</v>
      </c>
      <c r="BY174">
        <v>1.7</v>
      </c>
      <c r="BZ174">
        <v>1.7</v>
      </c>
      <c r="CA174">
        <v>0.9</v>
      </c>
      <c r="CB174">
        <v>0.8</v>
      </c>
      <c r="CC174">
        <v>1</v>
      </c>
      <c r="CD174">
        <v>1.2</v>
      </c>
      <c r="CE174">
        <v>4</v>
      </c>
      <c r="CI174" t="str">
        <v>Winter</v>
      </c>
      <c r="CJ174">
        <v>1.7</v>
      </c>
      <c r="CK174">
        <v>1.7</v>
      </c>
      <c r="CL174">
        <v>1.7</v>
      </c>
      <c r="CM174">
        <v>1.7</v>
      </c>
      <c r="CN174">
        <v>1.7</v>
      </c>
      <c r="CO174">
        <v>1.7</v>
      </c>
    </row>
    <row r="175">
      <c r="BW175" t="str">
        <v>Spring</v>
      </c>
      <c r="BX175" t="str">
        <v>Maiden ewes</v>
      </c>
      <c r="BY175">
        <v>2.9</v>
      </c>
      <c r="BZ175">
        <v>1.5</v>
      </c>
      <c r="CA175">
        <v>4</v>
      </c>
      <c r="CB175">
        <v>2.5</v>
      </c>
      <c r="CC175">
        <v>3.2</v>
      </c>
      <c r="CD175">
        <v>3.5</v>
      </c>
      <c r="CE175">
        <v>1</v>
      </c>
      <c r="CH175" t="str">
        <v>South Australia</v>
      </c>
      <c r="CI175" t="str">
        <v>Spring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</row>
    <row r="176">
      <c r="AW176" t="e" cm="1">
        <f t="array" ref="AW176">#REF!</f>
        <v>#REF!</v>
      </c>
      <c r="BW176" t="str">
        <v>Summer</v>
      </c>
      <c r="BX176" t="str">
        <v>Maiden ewes</v>
      </c>
      <c r="BY176">
        <v>2.5</v>
      </c>
      <c r="BZ176">
        <v>2</v>
      </c>
      <c r="CA176">
        <v>2.5</v>
      </c>
      <c r="CB176">
        <v>2.5</v>
      </c>
      <c r="CC176">
        <v>3</v>
      </c>
      <c r="CD176">
        <v>1.5</v>
      </c>
      <c r="CE176">
        <v>2</v>
      </c>
      <c r="CI176" t="str">
        <v>Summer</v>
      </c>
      <c r="CJ176">
        <v>2.5</v>
      </c>
      <c r="CK176">
        <v>2.5</v>
      </c>
      <c r="CL176">
        <v>2.5</v>
      </c>
      <c r="CM176">
        <v>2.5</v>
      </c>
      <c r="CN176">
        <v>2.5</v>
      </c>
      <c r="CO176">
        <v>2.5</v>
      </c>
    </row>
    <row r="177">
      <c r="BW177" t="str">
        <v>Autumn</v>
      </c>
      <c r="BX177" t="str">
        <v>Maiden ewes</v>
      </c>
      <c r="BY177">
        <v>1.6</v>
      </c>
      <c r="BZ177">
        <v>2.2</v>
      </c>
      <c r="CA177">
        <v>0.7</v>
      </c>
      <c r="CB177">
        <v>1.3</v>
      </c>
      <c r="CC177">
        <v>1.8</v>
      </c>
      <c r="CD177">
        <v>0.7</v>
      </c>
      <c r="CE177">
        <v>3</v>
      </c>
      <c r="CI177" t="str">
        <v>Autumn</v>
      </c>
      <c r="CJ177">
        <v>0.7</v>
      </c>
      <c r="CK177">
        <v>0.7</v>
      </c>
      <c r="CL177">
        <v>0.7</v>
      </c>
      <c r="CM177">
        <v>0.7</v>
      </c>
      <c r="CN177">
        <v>0.7</v>
      </c>
      <c r="CO177">
        <v>0.7</v>
      </c>
    </row>
    <row r="178">
      <c r="BW178" t="str">
        <v>Winter</v>
      </c>
      <c r="BX178" t="str">
        <v>Maiden ewes</v>
      </c>
      <c r="BY178">
        <v>1.7</v>
      </c>
      <c r="BZ178">
        <v>1.7</v>
      </c>
      <c r="CA178">
        <v>0.9</v>
      </c>
      <c r="CB178">
        <v>0.8</v>
      </c>
      <c r="CC178">
        <v>1</v>
      </c>
      <c r="CD178">
        <v>1.2</v>
      </c>
      <c r="CE178">
        <v>4</v>
      </c>
      <c r="CI178" t="str">
        <v>Winter</v>
      </c>
      <c r="CJ178">
        <v>0.9</v>
      </c>
      <c r="CK178">
        <v>0.9</v>
      </c>
      <c r="CL178">
        <v>0.9</v>
      </c>
      <c r="CM178">
        <v>0.9</v>
      </c>
      <c r="CN178">
        <v>0.9</v>
      </c>
      <c r="CO178">
        <v>0.9</v>
      </c>
    </row>
    <row r="179">
      <c r="BW179" t="str">
        <v>Spring</v>
      </c>
      <c r="BX179" t="str">
        <v>Other ewes</v>
      </c>
      <c r="BY179">
        <v>2.9</v>
      </c>
      <c r="BZ179">
        <v>1.5</v>
      </c>
      <c r="CA179">
        <v>4</v>
      </c>
      <c r="CB179">
        <v>2.5</v>
      </c>
      <c r="CC179">
        <v>3.2</v>
      </c>
      <c r="CD179">
        <v>3.5</v>
      </c>
      <c r="CE179">
        <v>1</v>
      </c>
      <c r="CH179" t="str">
        <v>Tasmania</v>
      </c>
      <c r="CI179" t="str">
        <v>Spring</v>
      </c>
      <c r="CJ179">
        <v>2.5</v>
      </c>
      <c r="CK179">
        <v>2.5</v>
      </c>
      <c r="CL179">
        <v>2.5</v>
      </c>
      <c r="CM179">
        <v>2.5</v>
      </c>
      <c r="CN179">
        <v>2.5</v>
      </c>
      <c r="CO179">
        <v>2.5</v>
      </c>
    </row>
    <row r="180">
      <c r="BW180" t="str">
        <v>Summer</v>
      </c>
      <c r="BX180" t="str">
        <v>Other ewes</v>
      </c>
      <c r="BY180">
        <v>2.5</v>
      </c>
      <c r="BZ180">
        <v>2</v>
      </c>
      <c r="CA180">
        <v>2.5</v>
      </c>
      <c r="CB180">
        <v>2.5</v>
      </c>
      <c r="CC180">
        <v>3</v>
      </c>
      <c r="CD180">
        <v>1.5</v>
      </c>
      <c r="CE180">
        <v>2</v>
      </c>
      <c r="CI180" t="str">
        <v>Summer</v>
      </c>
      <c r="CJ180">
        <v>2.5</v>
      </c>
      <c r="CK180">
        <v>2.5</v>
      </c>
      <c r="CL180">
        <v>2.5</v>
      </c>
      <c r="CM180">
        <v>2.5</v>
      </c>
      <c r="CN180">
        <v>2.5</v>
      </c>
      <c r="CO180">
        <v>2.5</v>
      </c>
    </row>
    <row r="181">
      <c r="BW181" t="str">
        <v>Autumn</v>
      </c>
      <c r="BX181" t="str">
        <v>Other ewes</v>
      </c>
      <c r="BY181">
        <v>1.6</v>
      </c>
      <c r="BZ181">
        <v>2.2</v>
      </c>
      <c r="CA181">
        <v>0.7</v>
      </c>
      <c r="CB181">
        <v>1.3</v>
      </c>
      <c r="CC181">
        <v>1.8</v>
      </c>
      <c r="CD181">
        <v>0.7</v>
      </c>
      <c r="CE181">
        <v>3</v>
      </c>
      <c r="CI181" t="str">
        <v>Autumn</v>
      </c>
      <c r="CJ181">
        <v>1.3</v>
      </c>
      <c r="CK181">
        <v>1.3</v>
      </c>
      <c r="CL181">
        <v>1.3</v>
      </c>
      <c r="CM181">
        <v>1.3</v>
      </c>
      <c r="CN181">
        <v>1.3</v>
      </c>
      <c r="CO181">
        <v>1.3</v>
      </c>
    </row>
    <row r="182">
      <c r="BW182" t="str">
        <v>Winter</v>
      </c>
      <c r="BX182" t="str">
        <v>Other ewes</v>
      </c>
      <c r="BY182">
        <v>1.7</v>
      </c>
      <c r="BZ182">
        <v>1.7</v>
      </c>
      <c r="CA182">
        <v>0.9</v>
      </c>
      <c r="CB182">
        <v>0.8</v>
      </c>
      <c r="CC182">
        <v>1</v>
      </c>
      <c r="CD182">
        <v>1.2</v>
      </c>
      <c r="CE182">
        <v>4</v>
      </c>
      <c r="CI182" t="str">
        <v>Winter</v>
      </c>
      <c r="CJ182">
        <v>0.8</v>
      </c>
      <c r="CK182">
        <v>0.8</v>
      </c>
      <c r="CL182">
        <v>0.8</v>
      </c>
      <c r="CM182">
        <v>0.8</v>
      </c>
      <c r="CN182">
        <v>0.8</v>
      </c>
      <c r="CO182">
        <v>0.8</v>
      </c>
    </row>
    <row r="183">
      <c r="BW183" t="str">
        <v>Spring</v>
      </c>
      <c r="BX183" t="str">
        <v>Rams</v>
      </c>
      <c r="BY183">
        <v>2.9</v>
      </c>
      <c r="BZ183">
        <v>1.5</v>
      </c>
      <c r="CA183">
        <v>4</v>
      </c>
      <c r="CB183">
        <v>2.5</v>
      </c>
      <c r="CC183">
        <v>3.2</v>
      </c>
      <c r="CD183">
        <v>3.5</v>
      </c>
      <c r="CE183">
        <v>1</v>
      </c>
      <c r="CH183" t="str">
        <v>Victoria</v>
      </c>
      <c r="CI183" t="str">
        <v>Spring</v>
      </c>
      <c r="CJ183">
        <v>3.2</v>
      </c>
      <c r="CK183">
        <v>3.2</v>
      </c>
      <c r="CL183">
        <v>3.2</v>
      </c>
      <c r="CM183">
        <v>3.2</v>
      </c>
      <c r="CN183">
        <v>3.2</v>
      </c>
      <c r="CO183">
        <v>3.2</v>
      </c>
    </row>
    <row r="184">
      <c r="BW184" t="str">
        <v>Summer</v>
      </c>
      <c r="BX184" t="str">
        <v>Rams</v>
      </c>
      <c r="BY184">
        <v>2.5</v>
      </c>
      <c r="BZ184">
        <v>2</v>
      </c>
      <c r="CA184">
        <v>2.5</v>
      </c>
      <c r="CB184">
        <v>2.5</v>
      </c>
      <c r="CC184">
        <v>3</v>
      </c>
      <c r="CD184">
        <v>1.5</v>
      </c>
      <c r="CE184">
        <v>2</v>
      </c>
      <c r="CI184" t="str">
        <v>Summer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</row>
    <row r="185">
      <c r="BW185" t="str">
        <v>Autumn</v>
      </c>
      <c r="BX185" t="str">
        <v>Rams</v>
      </c>
      <c r="BY185">
        <v>1.6</v>
      </c>
      <c r="BZ185">
        <v>2.2</v>
      </c>
      <c r="CA185">
        <v>0.7</v>
      </c>
      <c r="CB185">
        <v>1.3</v>
      </c>
      <c r="CC185">
        <v>1.8</v>
      </c>
      <c r="CD185">
        <v>0.7</v>
      </c>
      <c r="CE185">
        <v>3</v>
      </c>
      <c r="CI185" t="str">
        <v>Autumn</v>
      </c>
      <c r="CJ185">
        <v>1.8</v>
      </c>
      <c r="CK185">
        <v>1.8</v>
      </c>
      <c r="CL185">
        <v>1.8</v>
      </c>
      <c r="CM185">
        <v>1.8</v>
      </c>
      <c r="CN185">
        <v>1.8</v>
      </c>
      <c r="CO185">
        <v>1.8</v>
      </c>
    </row>
    <row r="186">
      <c r="BW186" t="str">
        <v>Winter</v>
      </c>
      <c r="BX186" t="str">
        <v>Rams</v>
      </c>
      <c r="BY186">
        <v>1.7</v>
      </c>
      <c r="BZ186">
        <v>1.7</v>
      </c>
      <c r="CA186">
        <v>0.9</v>
      </c>
      <c r="CB186">
        <v>0.8</v>
      </c>
      <c r="CC186">
        <v>1</v>
      </c>
      <c r="CD186">
        <v>1.2</v>
      </c>
      <c r="CE186">
        <v>4</v>
      </c>
      <c r="CI186" t="str">
        <v>Winter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</row>
    <row r="187">
      <c r="BW187" t="str">
        <v>Spring</v>
      </c>
      <c r="BX187" t="str">
        <v>Wethers</v>
      </c>
      <c r="BY187">
        <v>2.9</v>
      </c>
      <c r="BZ187">
        <v>1.5</v>
      </c>
      <c r="CA187">
        <v>4</v>
      </c>
      <c r="CB187">
        <v>2.5</v>
      </c>
      <c r="CC187">
        <v>3.2</v>
      </c>
      <c r="CD187">
        <v>3.5</v>
      </c>
      <c r="CE187">
        <v>1</v>
      </c>
      <c r="CH187" t="str">
        <v>Western Australia</v>
      </c>
      <c r="CI187" t="str">
        <v>Spring</v>
      </c>
      <c r="CJ187">
        <v>3.5</v>
      </c>
      <c r="CK187">
        <v>3.5</v>
      </c>
      <c r="CL187">
        <v>3.5</v>
      </c>
      <c r="CM187">
        <v>3.5</v>
      </c>
      <c r="CN187">
        <v>3.5</v>
      </c>
      <c r="CO187">
        <v>3.5</v>
      </c>
    </row>
    <row r="188">
      <c r="BW188" t="str">
        <v>Summer</v>
      </c>
      <c r="BX188" t="str">
        <v>Wethers</v>
      </c>
      <c r="BY188">
        <v>2.5</v>
      </c>
      <c r="BZ188">
        <v>2</v>
      </c>
      <c r="CA188">
        <v>2.5</v>
      </c>
      <c r="CB188">
        <v>2.5</v>
      </c>
      <c r="CC188">
        <v>3</v>
      </c>
      <c r="CD188">
        <v>1.5</v>
      </c>
      <c r="CE188">
        <v>2</v>
      </c>
      <c r="CI188" t="str">
        <v>Summer</v>
      </c>
      <c r="CJ188">
        <v>1.5</v>
      </c>
      <c r="CK188">
        <v>1.5</v>
      </c>
      <c r="CL188">
        <v>1.5</v>
      </c>
      <c r="CM188">
        <v>1.5</v>
      </c>
      <c r="CN188">
        <v>1.5</v>
      </c>
      <c r="CO188">
        <v>1.5</v>
      </c>
    </row>
    <row r="189">
      <c r="BW189" t="str">
        <v>Autumn</v>
      </c>
      <c r="BX189" t="str">
        <v>Wethers</v>
      </c>
      <c r="BY189">
        <v>1.6</v>
      </c>
      <c r="BZ189">
        <v>2.2</v>
      </c>
      <c r="CA189">
        <v>0.7</v>
      </c>
      <c r="CB189">
        <v>1.3</v>
      </c>
      <c r="CC189">
        <v>1.8</v>
      </c>
      <c r="CD189">
        <v>0.7</v>
      </c>
      <c r="CE189">
        <v>3</v>
      </c>
      <c r="CI189" t="str">
        <v>Autumn</v>
      </c>
      <c r="CJ189">
        <v>0.7</v>
      </c>
      <c r="CK189">
        <v>0.7</v>
      </c>
      <c r="CL189">
        <v>0.7</v>
      </c>
      <c r="CM189">
        <v>0.7</v>
      </c>
      <c r="CN189">
        <v>0.7</v>
      </c>
      <c r="CO189">
        <v>0.7</v>
      </c>
    </row>
    <row r="190">
      <c r="BW190" t="str">
        <v>Winter</v>
      </c>
      <c r="BX190" t="str">
        <v>Wethers</v>
      </c>
      <c r="BY190">
        <v>1.7</v>
      </c>
      <c r="BZ190">
        <v>1.7</v>
      </c>
      <c r="CA190">
        <v>0.9</v>
      </c>
      <c r="CB190">
        <v>0.8</v>
      </c>
      <c r="CC190">
        <v>1</v>
      </c>
      <c r="CD190">
        <v>1.2</v>
      </c>
      <c r="CE190">
        <v>4</v>
      </c>
      <c r="CI190" t="str">
        <v>Winter</v>
      </c>
      <c r="CJ190">
        <v>1.2</v>
      </c>
      <c r="CK190">
        <v>1.2</v>
      </c>
      <c r="CL190">
        <v>1.2</v>
      </c>
      <c r="CM190">
        <v>1.2</v>
      </c>
      <c r="CN190">
        <v>1.2</v>
      </c>
      <c r="CO190">
        <v>1.2</v>
      </c>
    </row>
  </sheetData>
  <pageMargins left="0.7" right="0.7" top="0.75" bottom="0.75" header="0.3" footer="0.3"/>
  <ignoredErrors>
    <ignoredError numberStoredAsText="1" sqref="A1:CO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4.4.1.1 (original)</vt:lpstr>
      <vt:lpstr>4.4.1.1</vt:lpstr>
      <vt:lpstr>Tables</vt:lpstr>
      <vt:lpstr>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2026-05-06T08:28:28Z</dcterms:created>
  <dcterms:modified xsi:type="dcterms:W3CDTF">2026-06-02T04:22:29Z</dcterms:modified>
  <cp:lastModifiedBy>Eddie Sholl</cp:lastModifiedBy>
  <dc:creator>Eddie Sholl</dc:creator>
</cp:coreProperties>
</file>