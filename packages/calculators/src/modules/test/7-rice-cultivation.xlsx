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ckcheesman/Desktop/Work/EAP/Code/emissions-calculators/packages/calculators/src/modules/test/"/>
    </mc:Choice>
  </mc:AlternateContent>
  <xr:revisionPtr revIDLastSave="0" documentId="13_ncr:1_{09CB6D61-A1E9-6644-8A42-4F8F5A5F6CCD}" xr6:coauthVersionLast="47" xr6:coauthVersionMax="47" xr10:uidLastSave="{00000000-0000-0000-0000-000000000000}"/>
  <bookViews>
    <workbookView xWindow="-20" yWindow="960" windowWidth="28800" windowHeight="15900" xr2:uid="{00000000-000D-0000-FFFF-FFFF00000000}"/>
  </bookViews>
  <sheets>
    <sheet name="7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" i="1" l="1"/>
  <c r="N37" i="1"/>
  <c r="N38" i="1"/>
  <c r="N39" i="1"/>
  <c r="N4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11" i="1"/>
  <c r="T8" i="1"/>
  <c r="I11" i="1"/>
  <c r="O36" i="1"/>
  <c r="M36" i="1"/>
  <c r="L36" i="1"/>
  <c r="K36" i="1"/>
  <c r="J36" i="1"/>
  <c r="I37" i="1"/>
  <c r="I38" i="1"/>
  <c r="I39" i="1"/>
  <c r="I40" i="1"/>
  <c r="H37" i="1"/>
  <c r="H38" i="1"/>
  <c r="H39" i="1"/>
  <c r="H40" i="1"/>
  <c r="J27" i="1"/>
  <c r="J28" i="1"/>
  <c r="H36" i="1"/>
  <c r="I36" i="1" s="1"/>
  <c r="H22" i="1"/>
  <c r="I22" i="1" s="1"/>
  <c r="J22" i="1"/>
  <c r="K22" i="1"/>
  <c r="L22" i="1"/>
  <c r="M22" i="1"/>
  <c r="O22" i="1"/>
  <c r="H23" i="1"/>
  <c r="I23" i="1" s="1"/>
  <c r="J23" i="1"/>
  <c r="K23" i="1"/>
  <c r="L23" i="1"/>
  <c r="M23" i="1"/>
  <c r="O23" i="1"/>
  <c r="H24" i="1"/>
  <c r="I24" i="1" s="1"/>
  <c r="J24" i="1"/>
  <c r="K24" i="1"/>
  <c r="L24" i="1"/>
  <c r="M24" i="1"/>
  <c r="O24" i="1"/>
  <c r="H25" i="1"/>
  <c r="I25" i="1" s="1"/>
  <c r="J25" i="1"/>
  <c r="K25" i="1"/>
  <c r="L25" i="1"/>
  <c r="M25" i="1"/>
  <c r="O25" i="1"/>
  <c r="H26" i="1"/>
  <c r="I26" i="1" s="1"/>
  <c r="K26" i="1"/>
  <c r="L26" i="1"/>
  <c r="M26" i="1"/>
  <c r="H27" i="1"/>
  <c r="I27" i="1" s="1"/>
  <c r="K27" i="1"/>
  <c r="L27" i="1"/>
  <c r="M27" i="1"/>
  <c r="O27" i="1"/>
  <c r="H28" i="1"/>
  <c r="I28" i="1" s="1"/>
  <c r="K28" i="1"/>
  <c r="L28" i="1"/>
  <c r="M28" i="1"/>
  <c r="O28" i="1"/>
  <c r="H29" i="1"/>
  <c r="I29" i="1" s="1"/>
  <c r="J29" i="1"/>
  <c r="K29" i="1"/>
  <c r="L29" i="1"/>
  <c r="M29" i="1"/>
  <c r="O29" i="1"/>
  <c r="H30" i="1"/>
  <c r="I30" i="1" s="1"/>
  <c r="J30" i="1"/>
  <c r="K30" i="1"/>
  <c r="L30" i="1"/>
  <c r="M30" i="1"/>
  <c r="O30" i="1"/>
  <c r="H31" i="1"/>
  <c r="I31" i="1" s="1"/>
  <c r="K31" i="1"/>
  <c r="L31" i="1"/>
  <c r="M31" i="1"/>
  <c r="H32" i="1"/>
  <c r="I32" i="1" s="1"/>
  <c r="J32" i="1"/>
  <c r="K32" i="1"/>
  <c r="L32" i="1"/>
  <c r="M32" i="1"/>
  <c r="O32" i="1"/>
  <c r="H33" i="1"/>
  <c r="I33" i="1" s="1"/>
  <c r="J33" i="1"/>
  <c r="K33" i="1"/>
  <c r="L33" i="1"/>
  <c r="M33" i="1"/>
  <c r="O33" i="1"/>
  <c r="H34" i="1"/>
  <c r="I34" i="1" s="1"/>
  <c r="J34" i="1"/>
  <c r="K34" i="1"/>
  <c r="L34" i="1"/>
  <c r="M34" i="1"/>
  <c r="O34" i="1"/>
  <c r="H35" i="1"/>
  <c r="I35" i="1" s="1"/>
  <c r="J35" i="1"/>
  <c r="K35" i="1"/>
  <c r="L35" i="1"/>
  <c r="M35" i="1"/>
  <c r="O35" i="1"/>
  <c r="L17" i="1"/>
  <c r="M17" i="1"/>
  <c r="O17" i="1"/>
  <c r="L18" i="1"/>
  <c r="M18" i="1"/>
  <c r="O18" i="1"/>
  <c r="L19" i="1"/>
  <c r="M19" i="1"/>
  <c r="O19" i="1"/>
  <c r="L20" i="1"/>
  <c r="M20" i="1"/>
  <c r="O20" i="1"/>
  <c r="L21" i="1"/>
  <c r="M21" i="1"/>
  <c r="K17" i="1"/>
  <c r="K18" i="1"/>
  <c r="K19" i="1"/>
  <c r="K20" i="1"/>
  <c r="K21" i="1"/>
  <c r="J17" i="1"/>
  <c r="J18" i="1"/>
  <c r="J19" i="1"/>
  <c r="J20" i="1"/>
  <c r="J12" i="1"/>
  <c r="J13" i="1"/>
  <c r="J14" i="1"/>
  <c r="J15" i="1"/>
  <c r="J16" i="1"/>
  <c r="J11" i="1"/>
  <c r="O11" i="1" s="1"/>
  <c r="H12" i="1"/>
  <c r="H13" i="1"/>
  <c r="H14" i="1"/>
  <c r="H15" i="1"/>
  <c r="H16" i="1"/>
  <c r="H17" i="1"/>
  <c r="H18" i="1"/>
  <c r="H19" i="1"/>
  <c r="H20" i="1"/>
  <c r="H21" i="1"/>
  <c r="O12" i="1"/>
  <c r="O13" i="1"/>
  <c r="O14" i="1"/>
  <c r="O15" i="1"/>
  <c r="M12" i="1"/>
  <c r="M13" i="1"/>
  <c r="M14" i="1"/>
  <c r="M15" i="1"/>
  <c r="M16" i="1"/>
  <c r="L12" i="1"/>
  <c r="L13" i="1"/>
  <c r="L14" i="1"/>
  <c r="L15" i="1"/>
  <c r="L16" i="1"/>
  <c r="K12" i="1"/>
  <c r="K13" i="1"/>
  <c r="K14" i="1"/>
  <c r="K15" i="1"/>
  <c r="K16" i="1"/>
  <c r="K11" i="1"/>
  <c r="I12" i="1"/>
  <c r="I13" i="1"/>
  <c r="I14" i="1"/>
  <c r="I15" i="1"/>
  <c r="I16" i="1"/>
  <c r="I17" i="1"/>
  <c r="I18" i="1"/>
  <c r="I19" i="1"/>
  <c r="I20" i="1"/>
  <c r="I21" i="1"/>
  <c r="M11" i="1"/>
  <c r="L11" i="1"/>
  <c r="H11" i="1"/>
  <c r="J31" i="1" l="1"/>
  <c r="O31" i="1" s="1"/>
  <c r="J26" i="1"/>
  <c r="O26" i="1" s="1"/>
  <c r="O16" i="1"/>
  <c r="J21" i="1"/>
  <c r="O21" i="1" s="1"/>
</calcChain>
</file>

<file path=xl/sharedStrings.xml><?xml version="1.0" encoding="utf-8"?>
<sst xmlns="http://schemas.openxmlformats.org/spreadsheetml/2006/main" count="86" uniqueCount="45">
  <si>
    <t>SUM SUM SUM (Arice,wpo * EFrice,wpo * trice,wpo) * 10^-3</t>
  </si>
  <si>
    <t>(1 + SUM ROAo * CFOAo)^0.59</t>
  </si>
  <si>
    <t>input</t>
  </si>
  <si>
    <t>expression</t>
  </si>
  <si>
    <t>constant</t>
  </si>
  <si>
    <t>Arice,wpo</t>
  </si>
  <si>
    <t>trice,wpo</t>
  </si>
  <si>
    <t>Erice</t>
  </si>
  <si>
    <t>ROAo</t>
  </si>
  <si>
    <t>CFOAo</t>
  </si>
  <si>
    <t>EFc</t>
  </si>
  <si>
    <t>SFw</t>
  </si>
  <si>
    <t>SFp</t>
  </si>
  <si>
    <t>SFo</t>
  </si>
  <si>
    <t>EFrice,wpo</t>
  </si>
  <si>
    <t>w</t>
  </si>
  <si>
    <t>p</t>
  </si>
  <si>
    <t>o</t>
  </si>
  <si>
    <t>Paddy rotation</t>
  </si>
  <si>
    <t>Fallow without flooding in previous year</t>
  </si>
  <si>
    <t>Water regime sub-type</t>
  </si>
  <si>
    <t>Continuously flooded</t>
  </si>
  <si>
    <t>Single drainage period</t>
  </si>
  <si>
    <t>Multiple drainage periods</t>
  </si>
  <si>
    <t>Regular rainfed</t>
  </si>
  <si>
    <t>Drought prone</t>
  </si>
  <si>
    <t>Deep water</t>
  </si>
  <si>
    <t>Non flooded pre-season &lt;180 days</t>
  </si>
  <si>
    <t>Non flooded pre-season &gt;180 days</t>
  </si>
  <si>
    <t>Flooded pre-season &gt;30 days</t>
  </si>
  <si>
    <t>Non-flooded pre-season &gt;365 days</t>
  </si>
  <si>
    <t>Water regime prior to cultivation period p</t>
  </si>
  <si>
    <t>ROAo * CFOAo</t>
  </si>
  <si>
    <t>Organic amendment o</t>
  </si>
  <si>
    <t>Straw incorporated shortly (&lt;30 days) before cultivation</t>
  </si>
  <si>
    <t>Straw incorporated long (&gt;30 days) before cultivation</t>
  </si>
  <si>
    <t>Compost</t>
  </si>
  <si>
    <t>Farm yard manure</t>
  </si>
  <si>
    <t>Green manure</t>
  </si>
  <si>
    <t>ha</t>
  </si>
  <si>
    <t>days</t>
  </si>
  <si>
    <t>kg/ha</t>
  </si>
  <si>
    <t>kg/ha/day</t>
  </si>
  <si>
    <t>Test cases span 5 rows each.</t>
  </si>
  <si>
    <t>EFc * SFw * SFp * Sfo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</si>
</sst>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T41"/>
  <sheetViews>
    <sheetView tabSelected="1" topLeftCell="A8" workbookViewId="0">
      <selection activeCell="N26" sqref="N26"/>
    </sheetView>
  </sheetViews>
  <sheetFormatPr baseColWidth="10" defaultRowHeight="16" x14ac:dyDescent="0.2"/>
  <sheetData>
    <row r="4" spans="1:20" x14ac:dyDescent="0.2">
      <c r="A4" t="s">
        <v>43</v>
      </c>
    </row>
    <row r="5" spans="1:20" x14ac:dyDescent="0.2">
      <c r="G5" t="s">
        <v>1</v>
      </c>
      <c r="N5" t="s">
        <v>44</v>
      </c>
      <c r="O5" t="s">
        <v>0</v>
      </c>
    </row>
    <row r="6" spans="1:20" x14ac:dyDescent="0.2">
      <c r="E6">
        <v>668</v>
      </c>
      <c r="F6">
        <v>673</v>
      </c>
      <c r="G6">
        <v>691</v>
      </c>
      <c r="H6">
        <v>690</v>
      </c>
      <c r="J6">
        <v>684</v>
      </c>
      <c r="K6">
        <v>678</v>
      </c>
      <c r="L6">
        <v>680</v>
      </c>
      <c r="M6">
        <v>682</v>
      </c>
      <c r="N6">
        <v>677</v>
      </c>
      <c r="O6">
        <v>667</v>
      </c>
    </row>
    <row r="7" spans="1:20" x14ac:dyDescent="0.2"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4</v>
      </c>
      <c r="J7" t="s">
        <v>3</v>
      </c>
      <c r="K7" t="s">
        <v>4</v>
      </c>
      <c r="L7" t="s">
        <v>4</v>
      </c>
      <c r="M7" t="s">
        <v>4</v>
      </c>
      <c r="N7" t="s">
        <v>3</v>
      </c>
      <c r="O7" t="s">
        <v>3</v>
      </c>
    </row>
    <row r="8" spans="1:20" x14ac:dyDescent="0.2">
      <c r="T8">
        <f>(1 + SUM(I11:I15))</f>
        <v>4</v>
      </c>
    </row>
    <row r="9" spans="1:20" x14ac:dyDescent="0.2">
      <c r="E9" t="s">
        <v>39</v>
      </c>
      <c r="F9" t="s">
        <v>40</v>
      </c>
      <c r="G9" t="s">
        <v>41</v>
      </c>
      <c r="N9" t="s">
        <v>42</v>
      </c>
    </row>
    <row r="10" spans="1:20" x14ac:dyDescent="0.2">
      <c r="A10" s="2"/>
      <c r="B10" s="3" t="s">
        <v>15</v>
      </c>
      <c r="C10" s="3" t="s">
        <v>16</v>
      </c>
      <c r="D10" s="3" t="s">
        <v>17</v>
      </c>
      <c r="E10" s="3" t="s">
        <v>5</v>
      </c>
      <c r="F10" s="3" t="s">
        <v>6</v>
      </c>
      <c r="G10" s="3" t="s">
        <v>8</v>
      </c>
      <c r="H10" s="2" t="s">
        <v>9</v>
      </c>
      <c r="I10" s="2" t="s">
        <v>32</v>
      </c>
      <c r="J10" s="2" t="s">
        <v>13</v>
      </c>
      <c r="K10" s="2" t="s">
        <v>10</v>
      </c>
      <c r="L10" s="2" t="s">
        <v>11</v>
      </c>
      <c r="M10" s="2" t="s">
        <v>12</v>
      </c>
      <c r="N10" s="2" t="s">
        <v>14</v>
      </c>
      <c r="O10" s="4" t="s">
        <v>7</v>
      </c>
      <c r="Q10" t="s">
        <v>10</v>
      </c>
      <c r="R10">
        <v>1.19</v>
      </c>
    </row>
    <row r="11" spans="1:20" x14ac:dyDescent="0.2">
      <c r="A11" s="1"/>
      <c r="B11" s="1" t="s">
        <v>18</v>
      </c>
      <c r="C11" s="1" t="s">
        <v>27</v>
      </c>
      <c r="D11" s="1" t="s">
        <v>34</v>
      </c>
      <c r="E11" s="1">
        <v>50</v>
      </c>
      <c r="F11" s="1">
        <v>150</v>
      </c>
      <c r="G11" s="1">
        <v>3</v>
      </c>
      <c r="H11" s="1">
        <f>IF(ISBLANK(D11), "", _xlfn.XLOOKUP(D11, $Q$29:$Q$33, $R$29:$R$33))</f>
        <v>1</v>
      </c>
      <c r="I11" s="1">
        <f>IF(ISBLANK(G11), "", G11*H11)</f>
        <v>3</v>
      </c>
      <c r="J11" s="1">
        <f>IF(ISBLANK(B11), "", (1 + SUM(I11:I15))^0.59)</f>
        <v>2.2657677705915971</v>
      </c>
      <c r="K11" s="1">
        <f>IF(ISBLANK(B11),"",$R$10)</f>
        <v>1.19</v>
      </c>
      <c r="L11" s="1">
        <f>IF(ISBLANK(B11), "", _xlfn.XLOOKUP(B11,$Q$13:$Q$20, $R$13:$R$20))</f>
        <v>0</v>
      </c>
      <c r="M11" s="1">
        <f>IF(ISBLANK(C11), "", _xlfn.XLOOKUP(C11,$Q$23:$Q$26, $R$23:$R$26))</f>
        <v>1</v>
      </c>
      <c r="N11" s="1">
        <f>IF(ISBLANK(B11), "", J11 * K11 * L11 * M11)</f>
        <v>0</v>
      </c>
      <c r="O11" s="1">
        <f>IF(ISBLANK(B11), "", (E11*F11*N11)/1000)</f>
        <v>0</v>
      </c>
    </row>
    <row r="12" spans="1:20" x14ac:dyDescent="0.2">
      <c r="A12" s="1"/>
      <c r="B12" s="1"/>
      <c r="C12" s="1"/>
      <c r="D12" s="1"/>
      <c r="E12" s="1"/>
      <c r="F12" s="1"/>
      <c r="G12" s="1"/>
      <c r="H12" s="1" t="str">
        <f t="shared" ref="H12:H21" si="0">IF(ISBLANK(D12), "", _xlfn.XLOOKUP(D12, $Q$29:$Q$33, $R$29:$R$33))</f>
        <v/>
      </c>
      <c r="I12" s="1" t="str">
        <f t="shared" ref="I12:I21" si="1">IF(ISBLANK(G12), "", G12*H12)</f>
        <v/>
      </c>
      <c r="J12" s="1" t="str">
        <f t="shared" ref="J12:J21" si="2">IF(ISBLANK(B12), "", (1 + SUM(I12:I16))^0.59)</f>
        <v/>
      </c>
      <c r="K12" s="1" t="str">
        <f t="shared" ref="K12:K21" si="3">IF(ISBLANK(B12),"",$R$10)</f>
        <v/>
      </c>
      <c r="L12" s="1" t="str">
        <f t="shared" ref="L12:L16" si="4">IF(ISBLANK(B12), "", _xlfn.XLOOKUP(B12,$Q$13:$Q$20, $R$13:$R$20))</f>
        <v/>
      </c>
      <c r="M12" s="1" t="str">
        <f t="shared" ref="M12:M16" si="5">IF(ISBLANK(C12), "", _xlfn.XLOOKUP(C12,$Q$23:$Q$26, $R$23:$R$26))</f>
        <v/>
      </c>
      <c r="N12" s="1" t="str">
        <f t="shared" ref="N12:N40" si="6">IF(ISBLANK(B12), "", J12 * K12 * L12 * M12)</f>
        <v/>
      </c>
      <c r="O12" s="1" t="str">
        <f t="shared" ref="O12:O15" si="7">IF(ISBLANK(B12), "", (E12*F12*N12)/1000)</f>
        <v/>
      </c>
      <c r="Q12" t="s">
        <v>20</v>
      </c>
      <c r="R12" t="s">
        <v>11</v>
      </c>
    </row>
    <row r="13" spans="1:20" x14ac:dyDescent="0.2">
      <c r="A13" s="1"/>
      <c r="B13" s="1"/>
      <c r="C13" s="1"/>
      <c r="D13" s="1"/>
      <c r="E13" s="1"/>
      <c r="F13" s="1"/>
      <c r="G13" s="1"/>
      <c r="H13" s="1" t="str">
        <f t="shared" si="0"/>
        <v/>
      </c>
      <c r="I13" s="1" t="str">
        <f t="shared" si="1"/>
        <v/>
      </c>
      <c r="J13" s="1" t="str">
        <f t="shared" si="2"/>
        <v/>
      </c>
      <c r="K13" s="1" t="str">
        <f t="shared" si="3"/>
        <v/>
      </c>
      <c r="L13" s="1" t="str">
        <f t="shared" si="4"/>
        <v/>
      </c>
      <c r="M13" s="1" t="str">
        <f t="shared" si="5"/>
        <v/>
      </c>
      <c r="N13" s="1" t="str">
        <f t="shared" si="6"/>
        <v/>
      </c>
      <c r="O13" s="1" t="str">
        <f t="shared" si="7"/>
        <v/>
      </c>
      <c r="Q13" t="s">
        <v>18</v>
      </c>
      <c r="R13">
        <v>0</v>
      </c>
    </row>
    <row r="14" spans="1:20" x14ac:dyDescent="0.2">
      <c r="A14" s="1"/>
      <c r="B14" s="1"/>
      <c r="C14" s="1"/>
      <c r="D14" s="1"/>
      <c r="E14" s="1"/>
      <c r="F14" s="1"/>
      <c r="G14" s="1"/>
      <c r="H14" s="1" t="str">
        <f t="shared" si="0"/>
        <v/>
      </c>
      <c r="I14" s="1" t="str">
        <f t="shared" si="1"/>
        <v/>
      </c>
      <c r="J14" s="1" t="str">
        <f t="shared" si="2"/>
        <v/>
      </c>
      <c r="K14" s="1" t="str">
        <f t="shared" si="3"/>
        <v/>
      </c>
      <c r="L14" s="1" t="str">
        <f t="shared" si="4"/>
        <v/>
      </c>
      <c r="M14" s="1" t="str">
        <f t="shared" si="5"/>
        <v/>
      </c>
      <c r="N14" s="1" t="str">
        <f t="shared" si="6"/>
        <v/>
      </c>
      <c r="O14" s="1" t="str">
        <f t="shared" si="7"/>
        <v/>
      </c>
      <c r="Q14" t="s">
        <v>19</v>
      </c>
      <c r="R14">
        <v>0</v>
      </c>
    </row>
    <row r="15" spans="1:20" x14ac:dyDescent="0.2">
      <c r="A15" s="2"/>
      <c r="B15" s="2"/>
      <c r="C15" s="2"/>
      <c r="D15" s="2"/>
      <c r="E15" s="2"/>
      <c r="F15" s="2"/>
      <c r="G15" s="2"/>
      <c r="H15" s="2" t="str">
        <f t="shared" si="0"/>
        <v/>
      </c>
      <c r="I15" s="2" t="str">
        <f t="shared" si="1"/>
        <v/>
      </c>
      <c r="J15" s="2" t="str">
        <f t="shared" si="2"/>
        <v/>
      </c>
      <c r="K15" s="2" t="str">
        <f t="shared" si="3"/>
        <v/>
      </c>
      <c r="L15" s="2" t="str">
        <f t="shared" si="4"/>
        <v/>
      </c>
      <c r="M15" s="2" t="str">
        <f t="shared" si="5"/>
        <v/>
      </c>
      <c r="N15" s="2" t="str">
        <f t="shared" si="6"/>
        <v/>
      </c>
      <c r="O15" s="2" t="str">
        <f t="shared" si="7"/>
        <v/>
      </c>
      <c r="Q15" t="s">
        <v>21</v>
      </c>
      <c r="R15">
        <v>1</v>
      </c>
    </row>
    <row r="16" spans="1:20" x14ac:dyDescent="0.2">
      <c r="A16" s="1"/>
      <c r="B16" s="1" t="s">
        <v>22</v>
      </c>
      <c r="C16" s="1" t="s">
        <v>28</v>
      </c>
      <c r="D16" s="1"/>
      <c r="E16" s="1">
        <v>50</v>
      </c>
      <c r="F16" s="1">
        <v>150</v>
      </c>
      <c r="G16" s="1"/>
      <c r="H16" s="1" t="str">
        <f t="shared" si="0"/>
        <v/>
      </c>
      <c r="I16" s="1" t="str">
        <f t="shared" si="1"/>
        <v/>
      </c>
      <c r="J16" s="1">
        <f t="shared" si="2"/>
        <v>1</v>
      </c>
      <c r="K16" s="1">
        <f t="shared" si="3"/>
        <v>1.19</v>
      </c>
      <c r="L16" s="1">
        <f t="shared" si="4"/>
        <v>0.71</v>
      </c>
      <c r="M16" s="1">
        <f t="shared" si="5"/>
        <v>0.89</v>
      </c>
      <c r="N16" s="1">
        <f t="shared" si="6"/>
        <v>0.75196099999999988</v>
      </c>
      <c r="O16" s="1">
        <f>IF(ISBLANK(B16), "", (E16*F16*N16)/1000)</f>
        <v>5.6397074999999992</v>
      </c>
      <c r="Q16" t="s">
        <v>22</v>
      </c>
      <c r="R16">
        <v>0.71</v>
      </c>
    </row>
    <row r="17" spans="1:18" x14ac:dyDescent="0.2">
      <c r="A17" s="1"/>
      <c r="B17" s="1"/>
      <c r="C17" s="1"/>
      <c r="D17" s="1"/>
      <c r="E17" s="1"/>
      <c r="F17" s="1"/>
      <c r="G17" s="1"/>
      <c r="H17" s="1" t="str">
        <f t="shared" si="0"/>
        <v/>
      </c>
      <c r="I17" s="1" t="str">
        <f t="shared" si="1"/>
        <v/>
      </c>
      <c r="J17" s="1" t="str">
        <f t="shared" si="2"/>
        <v/>
      </c>
      <c r="K17" s="1" t="str">
        <f t="shared" si="3"/>
        <v/>
      </c>
      <c r="L17" s="1" t="str">
        <f t="shared" ref="L17:L21" si="8">IF(ISBLANK(B17), "", _xlfn.XLOOKUP(B17,$Q$13:$Q$20, $R$13:$R$20))</f>
        <v/>
      </c>
      <c r="M17" s="1" t="str">
        <f t="shared" ref="M17:M21" si="9">IF(ISBLANK(C17), "", _xlfn.XLOOKUP(C17,$Q$23:$Q$26, $R$23:$R$26))</f>
        <v/>
      </c>
      <c r="N17" s="1" t="str">
        <f t="shared" si="6"/>
        <v/>
      </c>
      <c r="O17" s="1" t="str">
        <f t="shared" ref="O17:O21" si="10">IF(ISBLANK(B17), "", (E17*F17*N17)/1000)</f>
        <v/>
      </c>
      <c r="Q17" t="s">
        <v>23</v>
      </c>
      <c r="R17">
        <v>0.55000000000000004</v>
      </c>
    </row>
    <row r="18" spans="1:18" x14ac:dyDescent="0.2">
      <c r="A18" s="1"/>
      <c r="B18" s="1"/>
      <c r="C18" s="1"/>
      <c r="D18" s="1"/>
      <c r="E18" s="1"/>
      <c r="F18" s="1"/>
      <c r="G18" s="1"/>
      <c r="H18" s="1" t="str">
        <f t="shared" si="0"/>
        <v/>
      </c>
      <c r="I18" s="1" t="str">
        <f t="shared" si="1"/>
        <v/>
      </c>
      <c r="J18" s="1" t="str">
        <f t="shared" si="2"/>
        <v/>
      </c>
      <c r="K18" s="1" t="str">
        <f t="shared" si="3"/>
        <v/>
      </c>
      <c r="L18" s="1" t="str">
        <f t="shared" si="8"/>
        <v/>
      </c>
      <c r="M18" s="1" t="str">
        <f t="shared" si="9"/>
        <v/>
      </c>
      <c r="N18" s="1" t="str">
        <f t="shared" si="6"/>
        <v/>
      </c>
      <c r="O18" s="1" t="str">
        <f t="shared" si="10"/>
        <v/>
      </c>
      <c r="Q18" t="s">
        <v>24</v>
      </c>
      <c r="R18">
        <v>0.54</v>
      </c>
    </row>
    <row r="19" spans="1:18" x14ac:dyDescent="0.2">
      <c r="A19" s="1"/>
      <c r="B19" s="1"/>
      <c r="C19" s="1"/>
      <c r="D19" s="1"/>
      <c r="E19" s="1"/>
      <c r="F19" s="1"/>
      <c r="G19" s="1"/>
      <c r="H19" s="1" t="str">
        <f t="shared" si="0"/>
        <v/>
      </c>
      <c r="I19" s="1" t="str">
        <f t="shared" si="1"/>
        <v/>
      </c>
      <c r="J19" s="1" t="str">
        <f t="shared" si="2"/>
        <v/>
      </c>
      <c r="K19" s="1" t="str">
        <f t="shared" si="3"/>
        <v/>
      </c>
      <c r="L19" s="1" t="str">
        <f t="shared" si="8"/>
        <v/>
      </c>
      <c r="M19" s="1" t="str">
        <f t="shared" si="9"/>
        <v/>
      </c>
      <c r="N19" s="1" t="str">
        <f t="shared" si="6"/>
        <v/>
      </c>
      <c r="O19" s="1" t="str">
        <f t="shared" si="10"/>
        <v/>
      </c>
      <c r="Q19" t="s">
        <v>25</v>
      </c>
      <c r="R19">
        <v>0.16</v>
      </c>
    </row>
    <row r="20" spans="1:18" x14ac:dyDescent="0.2">
      <c r="A20" s="2"/>
      <c r="B20" s="2"/>
      <c r="C20" s="2"/>
      <c r="D20" s="2"/>
      <c r="E20" s="2"/>
      <c r="F20" s="2"/>
      <c r="G20" s="2"/>
      <c r="H20" s="2" t="str">
        <f t="shared" si="0"/>
        <v/>
      </c>
      <c r="I20" s="2" t="str">
        <f t="shared" si="1"/>
        <v/>
      </c>
      <c r="J20" s="2" t="str">
        <f t="shared" si="2"/>
        <v/>
      </c>
      <c r="K20" s="2" t="str">
        <f t="shared" si="3"/>
        <v/>
      </c>
      <c r="L20" s="2" t="str">
        <f t="shared" si="8"/>
        <v/>
      </c>
      <c r="M20" s="2" t="str">
        <f t="shared" si="9"/>
        <v/>
      </c>
      <c r="N20" s="2" t="str">
        <f t="shared" si="6"/>
        <v/>
      </c>
      <c r="O20" s="2" t="str">
        <f t="shared" si="10"/>
        <v/>
      </c>
      <c r="Q20" t="s">
        <v>26</v>
      </c>
      <c r="R20">
        <v>0.06</v>
      </c>
    </row>
    <row r="21" spans="1:18" x14ac:dyDescent="0.2">
      <c r="A21" s="1"/>
      <c r="B21" s="1" t="s">
        <v>22</v>
      </c>
      <c r="C21" s="1" t="s">
        <v>29</v>
      </c>
      <c r="D21" s="1" t="s">
        <v>34</v>
      </c>
      <c r="E21" s="1">
        <v>50</v>
      </c>
      <c r="F21" s="1">
        <v>150</v>
      </c>
      <c r="G21" s="1">
        <v>4.5</v>
      </c>
      <c r="H21" s="1">
        <f t="shared" si="0"/>
        <v>1</v>
      </c>
      <c r="I21" s="1">
        <f t="shared" si="1"/>
        <v>4.5</v>
      </c>
      <c r="J21" s="1">
        <f t="shared" si="2"/>
        <v>2.7340974308851274</v>
      </c>
      <c r="K21" s="1">
        <f t="shared" si="3"/>
        <v>1.19</v>
      </c>
      <c r="L21" s="1">
        <f t="shared" si="8"/>
        <v>0.71</v>
      </c>
      <c r="M21" s="1">
        <f t="shared" si="9"/>
        <v>2.41</v>
      </c>
      <c r="N21" s="1">
        <f t="shared" si="6"/>
        <v>5.5671937956451742</v>
      </c>
      <c r="O21" s="1">
        <f t="shared" si="10"/>
        <v>41.753953467338803</v>
      </c>
    </row>
    <row r="22" spans="1:18" x14ac:dyDescent="0.2">
      <c r="A22" s="1"/>
      <c r="B22" s="1"/>
      <c r="C22" s="1"/>
      <c r="D22" s="1"/>
      <c r="E22" s="1"/>
      <c r="F22" s="1"/>
      <c r="G22" s="1"/>
      <c r="H22" s="1" t="str">
        <f t="shared" ref="H22:H35" si="11">IF(ISBLANK(D22), "", _xlfn.XLOOKUP(D22, $Q$29:$Q$33, $R$29:$R$33))</f>
        <v/>
      </c>
      <c r="I22" s="1" t="str">
        <f t="shared" ref="I22:I35" si="12">IF(ISBLANK(G22), "", G22*H22)</f>
        <v/>
      </c>
      <c r="J22" s="1" t="str">
        <f t="shared" ref="J22:J36" si="13">IF(ISBLANK(B22), "", (1 + SUM(I22:I26))^0.59)</f>
        <v/>
      </c>
      <c r="K22" s="1" t="str">
        <f t="shared" ref="K22:K36" si="14">IF(ISBLANK(B22),"",$R$10)</f>
        <v/>
      </c>
      <c r="L22" s="1" t="str">
        <f t="shared" ref="L22:L36" si="15">IF(ISBLANK(B22), "", _xlfn.XLOOKUP(B22,$Q$13:$Q$20, $R$13:$R$20))</f>
        <v/>
      </c>
      <c r="M22" s="1" t="str">
        <f t="shared" ref="M22:M36" si="16">IF(ISBLANK(C22), "", _xlfn.XLOOKUP(C22,$Q$23:$Q$26, $R$23:$R$26))</f>
        <v/>
      </c>
      <c r="N22" s="1" t="str">
        <f t="shared" si="6"/>
        <v/>
      </c>
      <c r="O22" s="1" t="str">
        <f t="shared" ref="O22:O36" si="17">IF(ISBLANK(B22), "", (E22*F22*N22)/1000)</f>
        <v/>
      </c>
      <c r="Q22" t="s">
        <v>31</v>
      </c>
      <c r="R22" t="s">
        <v>12</v>
      </c>
    </row>
    <row r="23" spans="1:18" x14ac:dyDescent="0.2">
      <c r="A23" s="1"/>
      <c r="B23" s="1"/>
      <c r="C23" s="1"/>
      <c r="D23" s="1"/>
      <c r="E23" s="1"/>
      <c r="F23" s="1"/>
      <c r="G23" s="1"/>
      <c r="H23" s="1" t="str">
        <f t="shared" si="11"/>
        <v/>
      </c>
      <c r="I23" s="1" t="str">
        <f t="shared" si="12"/>
        <v/>
      </c>
      <c r="J23" s="1" t="str">
        <f t="shared" si="13"/>
        <v/>
      </c>
      <c r="K23" s="1" t="str">
        <f t="shared" si="14"/>
        <v/>
      </c>
      <c r="L23" s="1" t="str">
        <f t="shared" si="15"/>
        <v/>
      </c>
      <c r="M23" s="1" t="str">
        <f t="shared" si="16"/>
        <v/>
      </c>
      <c r="N23" s="1" t="str">
        <f t="shared" si="6"/>
        <v/>
      </c>
      <c r="O23" s="1" t="str">
        <f t="shared" si="17"/>
        <v/>
      </c>
      <c r="Q23" t="s">
        <v>27</v>
      </c>
      <c r="R23">
        <v>1</v>
      </c>
    </row>
    <row r="24" spans="1:18" x14ac:dyDescent="0.2">
      <c r="A24" s="1"/>
      <c r="B24" s="1"/>
      <c r="C24" s="1"/>
      <c r="D24" s="1"/>
      <c r="E24" s="1"/>
      <c r="F24" s="1"/>
      <c r="G24" s="1"/>
      <c r="H24" s="1" t="str">
        <f t="shared" si="11"/>
        <v/>
      </c>
      <c r="I24" s="1" t="str">
        <f t="shared" si="12"/>
        <v/>
      </c>
      <c r="J24" s="1" t="str">
        <f t="shared" si="13"/>
        <v/>
      </c>
      <c r="K24" s="1" t="str">
        <f t="shared" si="14"/>
        <v/>
      </c>
      <c r="L24" s="1" t="str">
        <f t="shared" si="15"/>
        <v/>
      </c>
      <c r="M24" s="1" t="str">
        <f t="shared" si="16"/>
        <v/>
      </c>
      <c r="N24" s="1" t="str">
        <f t="shared" si="6"/>
        <v/>
      </c>
      <c r="O24" s="1" t="str">
        <f t="shared" si="17"/>
        <v/>
      </c>
      <c r="Q24" t="s">
        <v>28</v>
      </c>
      <c r="R24">
        <v>0.89</v>
      </c>
    </row>
    <row r="25" spans="1:18" x14ac:dyDescent="0.2">
      <c r="A25" s="2"/>
      <c r="B25" s="2"/>
      <c r="C25" s="2"/>
      <c r="D25" s="2"/>
      <c r="E25" s="2"/>
      <c r="F25" s="2"/>
      <c r="G25" s="2"/>
      <c r="H25" s="2" t="str">
        <f t="shared" si="11"/>
        <v/>
      </c>
      <c r="I25" s="2" t="str">
        <f t="shared" si="12"/>
        <v/>
      </c>
      <c r="J25" s="2" t="str">
        <f t="shared" si="13"/>
        <v/>
      </c>
      <c r="K25" s="2" t="str">
        <f t="shared" si="14"/>
        <v/>
      </c>
      <c r="L25" s="2" t="str">
        <f t="shared" si="15"/>
        <v/>
      </c>
      <c r="M25" s="2" t="str">
        <f t="shared" si="16"/>
        <v/>
      </c>
      <c r="N25" s="2" t="str">
        <f t="shared" si="6"/>
        <v/>
      </c>
      <c r="O25" s="2" t="str">
        <f t="shared" si="17"/>
        <v/>
      </c>
      <c r="Q25" t="s">
        <v>29</v>
      </c>
      <c r="R25">
        <v>2.41</v>
      </c>
    </row>
    <row r="26" spans="1:18" x14ac:dyDescent="0.2">
      <c r="A26" s="1"/>
      <c r="B26" s="1" t="s">
        <v>23</v>
      </c>
      <c r="C26" s="1" t="s">
        <v>27</v>
      </c>
      <c r="D26" s="1" t="s">
        <v>35</v>
      </c>
      <c r="E26" s="1">
        <v>50</v>
      </c>
      <c r="F26" s="1">
        <v>150</v>
      </c>
      <c r="G26" s="1">
        <v>4.5</v>
      </c>
      <c r="H26" s="1">
        <f t="shared" si="11"/>
        <v>0.19</v>
      </c>
      <c r="I26" s="1">
        <f t="shared" si="12"/>
        <v>0.85499999999999998</v>
      </c>
      <c r="J26" s="1">
        <f t="shared" si="13"/>
        <v>3.1180211660747044</v>
      </c>
      <c r="K26" s="1">
        <f t="shared" si="14"/>
        <v>1.19</v>
      </c>
      <c r="L26" s="1">
        <f t="shared" si="15"/>
        <v>0.55000000000000004</v>
      </c>
      <c r="M26" s="1">
        <f t="shared" si="16"/>
        <v>1</v>
      </c>
      <c r="N26" s="1">
        <f t="shared" si="6"/>
        <v>2.040744853195894</v>
      </c>
      <c r="O26" s="1">
        <f t="shared" si="17"/>
        <v>15.305586398969206</v>
      </c>
      <c r="Q26" t="s">
        <v>30</v>
      </c>
      <c r="R26">
        <v>0.59</v>
      </c>
    </row>
    <row r="27" spans="1:18" x14ac:dyDescent="0.2">
      <c r="A27" s="1"/>
      <c r="B27" s="1"/>
      <c r="C27" s="1"/>
      <c r="D27" s="1" t="s">
        <v>36</v>
      </c>
      <c r="E27" s="1"/>
      <c r="F27" s="1"/>
      <c r="G27" s="1">
        <v>20</v>
      </c>
      <c r="H27" s="1">
        <f t="shared" si="11"/>
        <v>0.17</v>
      </c>
      <c r="I27" s="1">
        <f t="shared" si="12"/>
        <v>3.4000000000000004</v>
      </c>
      <c r="J27" s="1" t="str">
        <f t="shared" si="13"/>
        <v/>
      </c>
      <c r="K27" s="1" t="str">
        <f t="shared" si="14"/>
        <v/>
      </c>
      <c r="L27" s="1" t="str">
        <f t="shared" si="15"/>
        <v/>
      </c>
      <c r="M27" s="1" t="str">
        <f t="shared" si="16"/>
        <v/>
      </c>
      <c r="N27" s="1" t="str">
        <f t="shared" si="6"/>
        <v/>
      </c>
      <c r="O27" s="1" t="str">
        <f t="shared" si="17"/>
        <v/>
      </c>
    </row>
    <row r="28" spans="1:18" x14ac:dyDescent="0.2">
      <c r="A28" s="1"/>
      <c r="B28" s="1"/>
      <c r="C28" s="1"/>
      <c r="D28" s="1" t="s">
        <v>37</v>
      </c>
      <c r="E28" s="1"/>
      <c r="F28" s="1"/>
      <c r="G28" s="1">
        <v>7.7</v>
      </c>
      <c r="H28" s="1">
        <f t="shared" si="11"/>
        <v>0.21</v>
      </c>
      <c r="I28" s="1">
        <f t="shared" si="12"/>
        <v>1.617</v>
      </c>
      <c r="J28" s="1" t="str">
        <f t="shared" si="13"/>
        <v/>
      </c>
      <c r="K28" s="1" t="str">
        <f t="shared" si="14"/>
        <v/>
      </c>
      <c r="L28" s="1" t="str">
        <f t="shared" si="15"/>
        <v/>
      </c>
      <c r="M28" s="1" t="str">
        <f t="shared" si="16"/>
        <v/>
      </c>
      <c r="N28" s="1" t="str">
        <f t="shared" si="6"/>
        <v/>
      </c>
      <c r="O28" s="1" t="str">
        <f t="shared" si="17"/>
        <v/>
      </c>
      <c r="Q28" t="s">
        <v>33</v>
      </c>
      <c r="R28" t="s">
        <v>9</v>
      </c>
    </row>
    <row r="29" spans="1:18" x14ac:dyDescent="0.2">
      <c r="A29" s="1"/>
      <c r="B29" s="1"/>
      <c r="C29" s="1"/>
      <c r="D29" s="1"/>
      <c r="E29" s="1"/>
      <c r="F29" s="1"/>
      <c r="G29" s="1"/>
      <c r="H29" s="1" t="str">
        <f t="shared" si="11"/>
        <v/>
      </c>
      <c r="I29" s="1" t="str">
        <f t="shared" si="12"/>
        <v/>
      </c>
      <c r="J29" s="1" t="str">
        <f t="shared" si="13"/>
        <v/>
      </c>
      <c r="K29" s="1" t="str">
        <f t="shared" si="14"/>
        <v/>
      </c>
      <c r="L29" s="1" t="str">
        <f t="shared" si="15"/>
        <v/>
      </c>
      <c r="M29" s="1" t="str">
        <f t="shared" si="16"/>
        <v/>
      </c>
      <c r="N29" s="1" t="str">
        <f t="shared" si="6"/>
        <v/>
      </c>
      <c r="O29" s="1" t="str">
        <f t="shared" si="17"/>
        <v/>
      </c>
      <c r="Q29" t="s">
        <v>34</v>
      </c>
      <c r="R29">
        <v>1</v>
      </c>
    </row>
    <row r="30" spans="1:18" x14ac:dyDescent="0.2">
      <c r="A30" s="2"/>
      <c r="B30" s="2"/>
      <c r="C30" s="2"/>
      <c r="D30" s="2"/>
      <c r="E30" s="2"/>
      <c r="F30" s="2"/>
      <c r="G30" s="2"/>
      <c r="H30" s="2" t="str">
        <f t="shared" si="11"/>
        <v/>
      </c>
      <c r="I30" s="2" t="str">
        <f t="shared" si="12"/>
        <v/>
      </c>
      <c r="J30" s="2" t="str">
        <f t="shared" si="13"/>
        <v/>
      </c>
      <c r="K30" s="2" t="str">
        <f t="shared" si="14"/>
        <v/>
      </c>
      <c r="L30" s="2" t="str">
        <f t="shared" si="15"/>
        <v/>
      </c>
      <c r="M30" s="2" t="str">
        <f t="shared" si="16"/>
        <v/>
      </c>
      <c r="N30" s="2" t="str">
        <f t="shared" si="6"/>
        <v/>
      </c>
      <c r="O30" s="2" t="str">
        <f t="shared" si="17"/>
        <v/>
      </c>
      <c r="Q30" t="s">
        <v>35</v>
      </c>
      <c r="R30">
        <v>0.19</v>
      </c>
    </row>
    <row r="31" spans="1:18" x14ac:dyDescent="0.2">
      <c r="A31" s="1"/>
      <c r="B31" s="1" t="s">
        <v>25</v>
      </c>
      <c r="C31" s="1" t="s">
        <v>30</v>
      </c>
      <c r="D31" s="1" t="s">
        <v>34</v>
      </c>
      <c r="E31" s="1">
        <v>50</v>
      </c>
      <c r="F31" s="1">
        <v>150</v>
      </c>
      <c r="G31" s="1">
        <v>5.0999999999999996</v>
      </c>
      <c r="H31" s="1">
        <f t="shared" si="11"/>
        <v>1</v>
      </c>
      <c r="I31" s="1">
        <f t="shared" si="12"/>
        <v>5.0999999999999996</v>
      </c>
      <c r="J31" s="1">
        <f t="shared" si="13"/>
        <v>5.9428841799832846</v>
      </c>
      <c r="K31" s="1">
        <f t="shared" si="14"/>
        <v>1.19</v>
      </c>
      <c r="L31" s="1">
        <f t="shared" si="15"/>
        <v>0.16</v>
      </c>
      <c r="M31" s="1">
        <f t="shared" si="16"/>
        <v>0.59</v>
      </c>
      <c r="N31" s="1">
        <f t="shared" si="6"/>
        <v>0.66759983724260219</v>
      </c>
      <c r="O31" s="1">
        <f t="shared" si="17"/>
        <v>5.0069987793195168</v>
      </c>
      <c r="Q31" t="s">
        <v>36</v>
      </c>
      <c r="R31">
        <v>0.17</v>
      </c>
    </row>
    <row r="32" spans="1:18" x14ac:dyDescent="0.2">
      <c r="A32" s="1"/>
      <c r="B32" s="1"/>
      <c r="C32" s="1"/>
      <c r="D32" s="1" t="s">
        <v>35</v>
      </c>
      <c r="E32" s="1"/>
      <c r="F32" s="1"/>
      <c r="G32" s="1">
        <v>10</v>
      </c>
      <c r="H32" s="1">
        <f t="shared" si="11"/>
        <v>0.19</v>
      </c>
      <c r="I32" s="1">
        <f t="shared" si="12"/>
        <v>1.9</v>
      </c>
      <c r="J32" s="1" t="str">
        <f t="shared" si="13"/>
        <v/>
      </c>
      <c r="K32" s="1" t="str">
        <f t="shared" si="14"/>
        <v/>
      </c>
      <c r="L32" s="1" t="str">
        <f t="shared" si="15"/>
        <v/>
      </c>
      <c r="M32" s="1" t="str">
        <f t="shared" si="16"/>
        <v/>
      </c>
      <c r="N32" s="1" t="str">
        <f t="shared" si="6"/>
        <v/>
      </c>
      <c r="O32" s="1" t="str">
        <f t="shared" si="17"/>
        <v/>
      </c>
      <c r="Q32" t="s">
        <v>37</v>
      </c>
      <c r="R32">
        <v>0.21</v>
      </c>
    </row>
    <row r="33" spans="1:18" x14ac:dyDescent="0.2">
      <c r="A33" s="1"/>
      <c r="B33" s="1"/>
      <c r="C33" s="1"/>
      <c r="D33" s="1" t="s">
        <v>36</v>
      </c>
      <c r="E33" s="1"/>
      <c r="F33" s="1"/>
      <c r="G33" s="1">
        <v>11</v>
      </c>
      <c r="H33" s="1">
        <f t="shared" si="11"/>
        <v>0.17</v>
      </c>
      <c r="I33" s="1">
        <f t="shared" si="12"/>
        <v>1.87</v>
      </c>
      <c r="J33" s="1" t="str">
        <f t="shared" si="13"/>
        <v/>
      </c>
      <c r="K33" s="1" t="str">
        <f t="shared" si="14"/>
        <v/>
      </c>
      <c r="L33" s="1" t="str">
        <f t="shared" si="15"/>
        <v/>
      </c>
      <c r="M33" s="1" t="str">
        <f t="shared" si="16"/>
        <v/>
      </c>
      <c r="N33" s="1" t="str">
        <f t="shared" si="6"/>
        <v/>
      </c>
      <c r="O33" s="1" t="str">
        <f t="shared" si="17"/>
        <v/>
      </c>
      <c r="Q33" t="s">
        <v>38</v>
      </c>
      <c r="R33">
        <v>0.45</v>
      </c>
    </row>
    <row r="34" spans="1:18" x14ac:dyDescent="0.2">
      <c r="A34" s="1"/>
      <c r="B34" s="1"/>
      <c r="C34" s="1"/>
      <c r="D34" s="1" t="s">
        <v>37</v>
      </c>
      <c r="E34" s="1"/>
      <c r="F34" s="1"/>
      <c r="G34" s="1">
        <v>0.5</v>
      </c>
      <c r="H34" s="1">
        <f t="shared" si="11"/>
        <v>0.21</v>
      </c>
      <c r="I34" s="1">
        <f t="shared" si="12"/>
        <v>0.105</v>
      </c>
      <c r="J34" s="1" t="str">
        <f t="shared" si="13"/>
        <v/>
      </c>
      <c r="K34" s="1" t="str">
        <f t="shared" si="14"/>
        <v/>
      </c>
      <c r="L34" s="1" t="str">
        <f t="shared" si="15"/>
        <v/>
      </c>
      <c r="M34" s="1" t="str">
        <f t="shared" si="16"/>
        <v/>
      </c>
      <c r="N34" s="1" t="str">
        <f t="shared" si="6"/>
        <v/>
      </c>
      <c r="O34" s="1" t="str">
        <f t="shared" si="17"/>
        <v/>
      </c>
    </row>
    <row r="35" spans="1:18" x14ac:dyDescent="0.2">
      <c r="A35" s="2"/>
      <c r="B35" s="2"/>
      <c r="C35" s="2"/>
      <c r="D35" s="2" t="s">
        <v>38</v>
      </c>
      <c r="E35" s="2"/>
      <c r="F35" s="2"/>
      <c r="G35" s="2">
        <v>23.4</v>
      </c>
      <c r="H35" s="2">
        <f t="shared" si="11"/>
        <v>0.45</v>
      </c>
      <c r="I35" s="2">
        <f t="shared" si="12"/>
        <v>10.53</v>
      </c>
      <c r="J35" s="2" t="str">
        <f t="shared" si="13"/>
        <v/>
      </c>
      <c r="K35" s="2" t="str">
        <f t="shared" si="14"/>
        <v/>
      </c>
      <c r="L35" s="2" t="str">
        <f t="shared" si="15"/>
        <v/>
      </c>
      <c r="M35" s="2" t="str">
        <f t="shared" si="16"/>
        <v/>
      </c>
      <c r="N35" s="2" t="str">
        <f t="shared" si="6"/>
        <v/>
      </c>
      <c r="O35" s="2" t="str">
        <f t="shared" si="17"/>
        <v/>
      </c>
    </row>
    <row r="36" spans="1:18" x14ac:dyDescent="0.2">
      <c r="A36" s="1"/>
      <c r="B36" s="1" t="s">
        <v>26</v>
      </c>
      <c r="C36" s="1" t="s">
        <v>29</v>
      </c>
      <c r="D36" s="1" t="s">
        <v>34</v>
      </c>
      <c r="E36" s="1">
        <v>50</v>
      </c>
      <c r="F36" s="1">
        <v>150</v>
      </c>
      <c r="G36" s="1">
        <v>4.5</v>
      </c>
      <c r="H36" s="1">
        <f t="shared" ref="H36:H40" si="18">IF(ISBLANK(D36), "", _xlfn.XLOOKUP(D36, $Q$29:$Q$33, $R$29:$R$33))</f>
        <v>1</v>
      </c>
      <c r="I36" s="1">
        <f t="shared" ref="I36:I40" si="19">IF(ISBLANK(G36), "", G36*H36)</f>
        <v>4.5</v>
      </c>
      <c r="J36" s="1">
        <f t="shared" si="13"/>
        <v>3.5139134935445662</v>
      </c>
      <c r="K36" s="1">
        <f t="shared" si="14"/>
        <v>1.19</v>
      </c>
      <c r="L36" s="1">
        <f t="shared" si="15"/>
        <v>0.06</v>
      </c>
      <c r="M36" s="1">
        <f t="shared" si="16"/>
        <v>2.41</v>
      </c>
      <c r="N36" s="1">
        <f>IF(ISBLANK(B36), "", J36 * K36 * L36 * M36)</f>
        <v>0.60465315048818769</v>
      </c>
      <c r="O36" s="1">
        <f t="shared" si="17"/>
        <v>4.5348986286614075</v>
      </c>
    </row>
    <row r="37" spans="1:18" x14ac:dyDescent="0.2">
      <c r="A37" s="1"/>
      <c r="B37" s="1"/>
      <c r="C37" s="1"/>
      <c r="D37" s="1" t="s">
        <v>35</v>
      </c>
      <c r="E37" s="1"/>
      <c r="F37" s="1"/>
      <c r="G37" s="1">
        <v>0.3</v>
      </c>
      <c r="H37" s="1">
        <f t="shared" si="18"/>
        <v>0.19</v>
      </c>
      <c r="I37" s="1">
        <f t="shared" si="19"/>
        <v>5.6999999999999995E-2</v>
      </c>
      <c r="J37" s="1"/>
      <c r="K37" s="1"/>
      <c r="L37" s="1"/>
      <c r="M37" s="1"/>
      <c r="N37" s="1" t="str">
        <f t="shared" si="6"/>
        <v/>
      </c>
      <c r="O37" s="1"/>
    </row>
    <row r="38" spans="1:18" x14ac:dyDescent="0.2">
      <c r="A38" s="1"/>
      <c r="B38" s="1"/>
      <c r="C38" s="1"/>
      <c r="D38" s="1" t="s">
        <v>36</v>
      </c>
      <c r="E38" s="1"/>
      <c r="F38" s="1"/>
      <c r="G38" s="1">
        <v>0.4</v>
      </c>
      <c r="H38" s="1">
        <f t="shared" si="18"/>
        <v>0.17</v>
      </c>
      <c r="I38" s="1">
        <f t="shared" si="19"/>
        <v>6.8000000000000005E-2</v>
      </c>
      <c r="J38" s="1"/>
      <c r="K38" s="1"/>
      <c r="L38" s="1"/>
      <c r="M38" s="1"/>
      <c r="N38" s="1" t="str">
        <f t="shared" si="6"/>
        <v/>
      </c>
      <c r="O38" s="1"/>
    </row>
    <row r="39" spans="1:18" x14ac:dyDescent="0.2">
      <c r="A39" s="1"/>
      <c r="B39" s="1"/>
      <c r="C39" s="1"/>
      <c r="D39" s="1" t="s">
        <v>37</v>
      </c>
      <c r="E39" s="1"/>
      <c r="F39" s="1"/>
      <c r="G39" s="1">
        <v>8.98</v>
      </c>
      <c r="H39" s="1">
        <f t="shared" si="18"/>
        <v>0.21</v>
      </c>
      <c r="I39" s="1">
        <f t="shared" si="19"/>
        <v>1.8857999999999999</v>
      </c>
      <c r="J39" s="1"/>
      <c r="K39" s="1"/>
      <c r="L39" s="1"/>
      <c r="M39" s="1"/>
      <c r="N39" s="1" t="str">
        <f t="shared" si="6"/>
        <v/>
      </c>
      <c r="O39" s="1"/>
    </row>
    <row r="40" spans="1:18" x14ac:dyDescent="0.2">
      <c r="A40" s="1"/>
      <c r="B40" s="1"/>
      <c r="C40" s="1"/>
      <c r="D40" s="1" t="s">
        <v>38</v>
      </c>
      <c r="E40" s="1"/>
      <c r="F40" s="1"/>
      <c r="G40" s="1">
        <v>2.0099999999999998</v>
      </c>
      <c r="H40" s="1">
        <f t="shared" si="18"/>
        <v>0.45</v>
      </c>
      <c r="I40" s="1">
        <f t="shared" si="19"/>
        <v>0.90449999999999997</v>
      </c>
      <c r="J40" s="1"/>
      <c r="K40" s="1"/>
      <c r="L40" s="1"/>
      <c r="M40" s="1"/>
      <c r="N40" s="1" t="str">
        <f t="shared" si="6"/>
        <v/>
      </c>
      <c r="O40" s="1"/>
    </row>
    <row r="41" spans="1:18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 Cheesman</dc:creator>
  <cp:lastModifiedBy>Mack Cheesman</cp:lastModifiedBy>
  <dcterms:created xsi:type="dcterms:W3CDTF">2026-04-20T03:59:32Z</dcterms:created>
  <dcterms:modified xsi:type="dcterms:W3CDTF">2026-04-21T00:27:11Z</dcterms:modified>
</cp:coreProperties>
</file>