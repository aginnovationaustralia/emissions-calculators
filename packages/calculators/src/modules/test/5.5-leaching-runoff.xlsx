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BC3C494A-7CBA-D648-B042-D1F813BBA7ED}" xr6:coauthVersionLast="47" xr6:coauthVersionMax="47" xr10:uidLastSave="{00000000-0000-0000-0000-000000000000}"/>
  <bookViews>
    <workbookView xWindow="0" yWindow="660" windowWidth="30240" windowHeight="18980" activeTab="1" xr2:uid="{5678E890-3691-CF46-80E7-00FB1F103661}"/>
  </bookViews>
  <sheets>
    <sheet name="5.5.1.1 (feedlot local)" sheetId="2" r:id="rId1"/>
    <sheet name="5.5.1.1 (inorganic)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4" l="1"/>
  <c r="AS7" i="2"/>
  <c r="AE27" i="2"/>
  <c r="BE26" i="2"/>
  <c r="AE26" i="2"/>
  <c r="BE25" i="2"/>
  <c r="BE24" i="2"/>
  <c r="BE23" i="2"/>
  <c r="AN20" i="2"/>
  <c r="AL20" i="2"/>
  <c r="AK20" i="2"/>
  <c r="G20" i="2" a="1"/>
  <c r="F20" i="2" a="1"/>
  <c r="D20" i="2" a="1"/>
  <c r="H20" i="2" s="1"/>
  <c r="I20" i="2" s="1"/>
  <c r="K20" i="2" s="1"/>
  <c r="AN19" i="2"/>
  <c r="AL19" i="2"/>
  <c r="AK19" i="2"/>
  <c r="H19" i="2"/>
  <c r="I19" i="2" s="1"/>
  <c r="K19" i="2" s="1"/>
  <c r="G19" i="2" a="1"/>
  <c r="F19" i="2" a="1"/>
  <c r="D19" i="2" a="1"/>
  <c r="AN18" i="2"/>
  <c r="AL18" i="2"/>
  <c r="AK18" i="2"/>
  <c r="G18" i="2" a="1"/>
  <c r="F18" i="2" a="1"/>
  <c r="D18" i="2" a="1"/>
  <c r="H18" i="2" s="1"/>
  <c r="I18" i="2" s="1"/>
  <c r="K18" i="2" s="1"/>
  <c r="AN17" i="2"/>
  <c r="AL17" i="2"/>
  <c r="AK17" i="2"/>
  <c r="G17" i="2" a="1"/>
  <c r="F17" i="2" a="1"/>
  <c r="D17" i="2" a="1"/>
  <c r="H17" i="2" s="1"/>
  <c r="I17" i="2" s="1"/>
  <c r="K17" i="2" s="1"/>
  <c r="AN16" i="2"/>
  <c r="AL16" i="2"/>
  <c r="AK16" i="2"/>
  <c r="G16" i="2" a="1"/>
  <c r="F16" i="2" a="1"/>
  <c r="D16" i="2" a="1"/>
  <c r="H16" i="2" s="1"/>
  <c r="I16" i="2" s="1"/>
  <c r="K16" i="2" s="1"/>
  <c r="AN15" i="2"/>
  <c r="AL15" i="2"/>
  <c r="AK15" i="2"/>
  <c r="G15" i="2" a="1"/>
  <c r="F15" i="2" a="1"/>
  <c r="D15" i="2" a="1"/>
  <c r="H15" i="2" s="1"/>
  <c r="I15" i="2" s="1"/>
  <c r="K15" i="2" s="1"/>
  <c r="AN14" i="2"/>
  <c r="AL14" i="2"/>
  <c r="AK14" i="2"/>
  <c r="G14" i="2" a="1"/>
  <c r="F14" i="2" a="1"/>
  <c r="D14" i="2" a="1"/>
  <c r="H14" i="2" s="1"/>
  <c r="I14" i="2" s="1"/>
  <c r="K14" i="2" s="1"/>
  <c r="AN13" i="2"/>
  <c r="AL13" i="2"/>
  <c r="AK13" i="2"/>
  <c r="G13" i="2" a="1"/>
  <c r="F13" i="2" a="1"/>
  <c r="D13" i="2" a="1"/>
  <c r="H13" i="2" s="1"/>
  <c r="I13" i="2" s="1"/>
  <c r="K13" i="2" s="1"/>
  <c r="AN12" i="2"/>
  <c r="AL12" i="2"/>
  <c r="AK12" i="2"/>
  <c r="G12" i="2" a="1"/>
  <c r="F12" i="2" a="1"/>
  <c r="D12" i="2" a="1"/>
  <c r="H12" i="2" s="1"/>
  <c r="I12" i="2" s="1"/>
  <c r="K12" i="2" s="1"/>
  <c r="AN11" i="2"/>
  <c r="AL11" i="2"/>
  <c r="AK11" i="2"/>
  <c r="G11" i="2" a="1"/>
  <c r="F11" i="2" a="1"/>
  <c r="D11" i="2" a="1"/>
  <c r="H11" i="2" s="1"/>
  <c r="I11" i="2" s="1"/>
  <c r="K11" i="2" s="1"/>
  <c r="H24" i="4"/>
  <c r="H19" i="4"/>
  <c r="F19" i="4"/>
  <c r="P18" i="4"/>
  <c r="H18" i="4"/>
  <c r="F18" i="4"/>
  <c r="P17" i="4"/>
  <c r="H17" i="4"/>
  <c r="F17" i="4"/>
  <c r="H16" i="4"/>
  <c r="H13" i="4"/>
  <c r="F13" i="4"/>
  <c r="M12" i="4"/>
  <c r="K12" i="4"/>
  <c r="J12" i="4"/>
  <c r="H12" i="4"/>
  <c r="L12" i="4" s="1"/>
  <c r="F12" i="4"/>
  <c r="D12" i="4"/>
  <c r="M11" i="4"/>
  <c r="K11" i="4"/>
  <c r="J11" i="4"/>
  <c r="H11" i="4"/>
  <c r="L11" i="4" s="1"/>
  <c r="F11" i="4"/>
  <c r="D11" i="4"/>
  <c r="M10" i="4"/>
  <c r="K10" i="4"/>
  <c r="J10" i="4"/>
  <c r="F10" i="4"/>
  <c r="H10" i="4" s="1"/>
  <c r="L10" i="4" s="1"/>
  <c r="C10" i="4"/>
  <c r="D10" i="4" s="1"/>
  <c r="H9" i="4"/>
  <c r="F9" i="4"/>
  <c r="P8" i="4"/>
  <c r="H8" i="4"/>
  <c r="F8" i="4"/>
  <c r="M7" i="4"/>
  <c r="K7" i="4"/>
  <c r="J7" i="4"/>
  <c r="H7" i="4"/>
  <c r="L7" i="4" s="1"/>
  <c r="F7" i="4"/>
  <c r="M6" i="4"/>
  <c r="K6" i="4"/>
  <c r="J6" i="4"/>
  <c r="H6" i="4"/>
  <c r="L6" i="4" s="1"/>
  <c r="F6" i="4"/>
  <c r="M5" i="4"/>
  <c r="K5" i="4"/>
  <c r="J5" i="4"/>
  <c r="F5" i="4"/>
  <c r="H5" i="4" s="1"/>
  <c r="L5" i="4" s="1"/>
  <c r="N4" i="4"/>
  <c r="M4" i="4"/>
  <c r="K4" i="4"/>
  <c r="J4" i="4"/>
  <c r="F4" i="4"/>
  <c r="H4" i="4" s="1"/>
  <c r="L4" i="4" s="1"/>
  <c r="P4" i="4" s="1"/>
  <c r="R20" i="2" l="1"/>
  <c r="S20" i="2"/>
  <c r="T20" i="2"/>
  <c r="U20" i="2"/>
  <c r="V20" i="2"/>
  <c r="Y20" i="2" a="1"/>
  <c r="Z20" i="2"/>
  <c r="AA20" i="2"/>
  <c r="AB20" i="2" a="1"/>
  <c r="S19" i="2"/>
  <c r="V19" i="2"/>
  <c r="Z19" i="2"/>
  <c r="R19" i="2"/>
  <c r="T19" i="2"/>
  <c r="U19" i="2"/>
  <c r="Y19" i="2" a="1"/>
  <c r="AB19" i="2" s="1" a="1"/>
  <c r="AD19" i="2" s="1"/>
  <c r="AA19" i="2"/>
  <c r="R18" i="2"/>
  <c r="S18" i="2"/>
  <c r="T18" i="2"/>
  <c r="U18" i="2"/>
  <c r="V18" i="2"/>
  <c r="Y18" i="2" a="1"/>
  <c r="Z18" i="2"/>
  <c r="AA18" i="2"/>
  <c r="AB18" i="2" a="1"/>
  <c r="R17" i="2"/>
  <c r="S17" i="2"/>
  <c r="T17" i="2"/>
  <c r="U17" i="2"/>
  <c r="V17" i="2"/>
  <c r="Y17" i="2" a="1"/>
  <c r="Z17" i="2"/>
  <c r="AA17" i="2"/>
  <c r="AB17" i="2" a="1"/>
  <c r="AA16" i="2"/>
  <c r="R16" i="2"/>
  <c r="U16" i="2"/>
  <c r="S16" i="2"/>
  <c r="V16" i="2"/>
  <c r="Z16" i="2"/>
  <c r="T16" i="2"/>
  <c r="Y16" i="2" a="1"/>
  <c r="AB16" i="2" s="1" a="1"/>
  <c r="AD16" i="2" s="1"/>
  <c r="R15" i="2"/>
  <c r="S15" i="2"/>
  <c r="T15" i="2"/>
  <c r="U15" i="2"/>
  <c r="V15" i="2"/>
  <c r="Y15" i="2" a="1"/>
  <c r="Z15" i="2"/>
  <c r="AA15" i="2"/>
  <c r="AB15" i="2" a="1"/>
  <c r="R14" i="2"/>
  <c r="S14" i="2"/>
  <c r="T14" i="2"/>
  <c r="U14" i="2"/>
  <c r="V14" i="2"/>
  <c r="Y14" i="2" a="1"/>
  <c r="AB14" i="2" s="1" a="1"/>
  <c r="Z14" i="2"/>
  <c r="AA14" i="2"/>
  <c r="R13" i="2"/>
  <c r="S13" i="2"/>
  <c r="T13" i="2"/>
  <c r="U13" i="2"/>
  <c r="V13" i="2"/>
  <c r="Y13" i="2" a="1"/>
  <c r="AB13" i="2" s="1" a="1"/>
  <c r="Z13" i="2"/>
  <c r="AA13" i="2"/>
  <c r="R12" i="2"/>
  <c r="S12" i="2"/>
  <c r="T12" i="2"/>
  <c r="U12" i="2"/>
  <c r="V12" i="2"/>
  <c r="Y12" i="2" a="1"/>
  <c r="AB12" i="2" s="1" a="1"/>
  <c r="Z12" i="2"/>
  <c r="AA12" i="2"/>
  <c r="R11" i="2"/>
  <c r="S11" i="2"/>
  <c r="T11" i="2"/>
  <c r="U11" i="2"/>
  <c r="V11" i="2"/>
  <c r="Y11" i="2" a="1"/>
  <c r="Z11" i="2"/>
  <c r="AA11" i="2"/>
  <c r="AB11" i="2" a="1"/>
  <c r="W11" i="2" s="1"/>
  <c r="AD11" i="2"/>
  <c r="AO20" i="2"/>
  <c r="AO18" i="2"/>
  <c r="AO13" i="2"/>
  <c r="AO17" i="2"/>
  <c r="AO16" i="2"/>
  <c r="AO19" i="2"/>
  <c r="AO12" i="2"/>
  <c r="AO14" i="2"/>
  <c r="AO11" i="2"/>
  <c r="AO15" i="2"/>
  <c r="N12" i="4"/>
  <c r="P12" i="4" s="1"/>
  <c r="N11" i="4"/>
  <c r="P11" i="4" s="1"/>
  <c r="N7" i="4"/>
  <c r="P7" i="4" s="1"/>
  <c r="N5" i="4"/>
  <c r="P5" i="4" s="1"/>
  <c r="N10" i="4"/>
  <c r="P10" i="4" s="1"/>
  <c r="N6" i="4"/>
  <c r="P6" i="4" s="1"/>
  <c r="AD20" i="2" l="1"/>
  <c r="W20" i="2"/>
  <c r="AD18" i="2"/>
  <c r="W18" i="2"/>
  <c r="W17" i="2"/>
  <c r="AD17" i="2"/>
  <c r="W15" i="2"/>
  <c r="AD15" i="2"/>
  <c r="W14" i="2"/>
  <c r="AD14" i="2"/>
  <c r="W13" i="2"/>
  <c r="AD13" i="2"/>
  <c r="AD12" i="2"/>
  <c r="W12" i="2"/>
  <c r="X11" i="2"/>
  <c r="AC11" i="2" s="1"/>
  <c r="W16" i="2"/>
  <c r="W19" i="2"/>
  <c r="X20" i="2" l="1"/>
  <c r="AC20" i="2" s="1"/>
  <c r="X18" i="2"/>
  <c r="AC18" i="2" s="1"/>
  <c r="AF17" i="2" a="1"/>
  <c r="X17" i="2"/>
  <c r="AC17" i="2" s="1"/>
  <c r="AE17" i="2" s="1" a="1"/>
  <c r="X15" i="2"/>
  <c r="AC15" i="2" s="1"/>
  <c r="AF15" i="2" a="1"/>
  <c r="AE15" i="2" a="1"/>
  <c r="X14" i="2"/>
  <c r="AC14" i="2" s="1"/>
  <c r="X13" i="2"/>
  <c r="AC13" i="2" s="1"/>
  <c r="AE13" i="2" a="1"/>
  <c r="AF13" i="2" a="1"/>
  <c r="X12" i="2"/>
  <c r="AC12" i="2" s="1"/>
  <c r="X16" i="2"/>
  <c r="AC16" i="2" s="1"/>
  <c r="X19" i="2"/>
  <c r="AC19" i="2" s="1"/>
  <c r="AF11" i="2" a="1"/>
  <c r="AE11" i="2" a="1"/>
  <c r="AM17" i="2" l="1"/>
  <c r="AP17" i="2" s="1"/>
  <c r="AG17" i="2"/>
  <c r="AM15" i="2"/>
  <c r="AP15" i="2" s="1"/>
  <c r="AG15" i="2"/>
  <c r="AG13" i="2"/>
  <c r="AM13" i="2"/>
  <c r="AP13" i="2" s="1"/>
  <c r="AG11" i="2"/>
  <c r="AM11" i="2"/>
  <c r="AP11" i="2" s="1"/>
  <c r="AF20" i="2" a="1"/>
  <c r="AE20" i="2" a="1"/>
  <c r="AF18" i="2" a="1"/>
  <c r="AE18" i="2" a="1"/>
  <c r="AF14" i="2" a="1"/>
  <c r="AE14" i="2" a="1"/>
  <c r="AF12" i="2" a="1"/>
  <c r="AE12" i="2" a="1"/>
  <c r="AE16" i="2" a="1"/>
  <c r="AF16" i="2" a="1"/>
  <c r="AE19" i="2" a="1"/>
  <c r="AF19" i="2" a="1"/>
  <c r="AG20" i="2" l="1"/>
  <c r="AM20" i="2"/>
  <c r="AP20" i="2" s="1"/>
  <c r="AG18" i="2"/>
  <c r="AM18" i="2"/>
  <c r="AP18" i="2" s="1"/>
  <c r="AG14" i="2"/>
  <c r="AM14" i="2"/>
  <c r="AP14" i="2" s="1"/>
  <c r="AG12" i="2"/>
  <c r="AM12" i="2"/>
  <c r="AP12" i="2" s="1"/>
  <c r="AM16" i="2"/>
  <c r="AP16" i="2" s="1"/>
  <c r="AG16" i="2"/>
  <c r="AG19" i="2"/>
  <c r="AM19" i="2"/>
  <c r="AP1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<sst xmlns="http://schemas.openxmlformats.org/spreadsheetml/2006/main" count="230" uniqueCount="129">
  <si>
    <t>Method 1</t>
  </si>
  <si>
    <t>Constants</t>
  </si>
  <si>
    <t>Cn2o</t>
  </si>
  <si>
    <t>Table A.2.2.3</t>
  </si>
  <si>
    <t>Irrigated pasture</t>
  </si>
  <si>
    <t>Irrigated crop</t>
  </si>
  <si>
    <t>Non-irrigated pasture</t>
  </si>
  <si>
    <t>Sugar</t>
  </si>
  <si>
    <t>Cotton</t>
  </si>
  <si>
    <t>Horticultural crops</t>
  </si>
  <si>
    <t>Aquaculture</t>
  </si>
  <si>
    <t>Rice (continuous flooding)</t>
  </si>
  <si>
    <t>Rice (single and multiple drainage, or alternate wetting and drying)</t>
  </si>
  <si>
    <t>Forestry</t>
  </si>
  <si>
    <t>Production system</t>
  </si>
  <si>
    <t>MNjf</t>
  </si>
  <si>
    <t>TMjf</t>
  </si>
  <si>
    <t>Type</t>
  </si>
  <si>
    <t>Table A.2.2.6</t>
  </si>
  <si>
    <t>Monoammonium phosphate (MAP)</t>
  </si>
  <si>
    <t>Diammonium phosphate (DAP)</t>
  </si>
  <si>
    <t>Urea</t>
  </si>
  <si>
    <t>Sulphate of Ammonia (SOA)</t>
  </si>
  <si>
    <t>Ammonium nitrate (AN)</t>
  </si>
  <si>
    <t>Diammonium Phosphate (DAP)</t>
  </si>
  <si>
    <t>Mvolorganic</t>
  </si>
  <si>
    <r>
      <t>FracGASM</t>
    </r>
    <r>
      <rPr>
        <sz val="6"/>
        <color rgb="FF000000"/>
        <rFont val="Arial"/>
        <family val="2"/>
      </rPr>
      <t>soil</t>
    </r>
  </si>
  <si>
    <t>Local manure - feedlot</t>
  </si>
  <si>
    <t>D</t>
  </si>
  <si>
    <t>Use defaults if not supplied</t>
  </si>
  <si>
    <t>𝑁𝐸𝑗 = 𝑁𝐼𝑗 × (1 − 𝑁𝑅𝑗)</t>
  </si>
  <si>
    <t>𝐴𝐸𝑗 = 𝑁 𝑗 × 𝑁𝐸𝑗 × 𝐿𝑗</t>
  </si>
  <si>
    <t>𝑀𝑇 𝑗𝑚𝑇=2 = (𝑀𝑁𝑗𝑚=5𝑇=1 × (1 − 𝐹𝑟𝑎𝑐𝐺𝐴𝑆𝑀𝑚=5𝑇=1− 𝐸𝐹𝑚=5𝑇=1)) − 𝑀𝑁𝑗𝑚𝑇=3</t>
  </si>
  <si>
    <t>𝑁𝐼𝑗 = 𝐼𝑗 × 𝐶𝑃 𝑗 ÷ 6.25</t>
  </si>
  <si>
    <t>𝑀𝑁 𝑗𝑚=1 𝑇=3 = 𝐴𝐸𝑗 × 𝑀𝑀𝑆𝑚=1 𝑇=3</t>
  </si>
  <si>
    <t>𝑀𝑁 𝑗𝑚𝑇=2 = 𝑀𝑇 𝑗𝑚𝑇=2 × 𝑀𝑀𝑆𝑚𝑇=2</t>
  </si>
  <si>
    <t>𝑀𝑁𝑆𝑜𝑖𝑙 = ∑ ∑ ∑ 𝑀𝑁 𝑗𝑚𝑇=2,3 × (1 − 𝐸𝐹𝑚𝑇=2,3− 𝐹𝑟𝑎𝑐𝐺𝐴𝑆𝑀𝑚𝑇=2,3) × PF</t>
  </si>
  <si>
    <t>Average length of stay</t>
  </si>
  <si>
    <t>Custom value</t>
  </si>
  <si>
    <t>Dry matter kgDM/head/day</t>
  </si>
  <si>
    <t>Crude protein of feed (percent)</t>
  </si>
  <si>
    <t>N retention as fraction</t>
  </si>
  <si>
    <t>N intake kg/head/day</t>
  </si>
  <si>
    <t>Nitrogen excretion kgN/head/day</t>
  </si>
  <si>
    <t>Number of cattle in group</t>
  </si>
  <si>
    <t>Ch 4 l 230 - Total nitrogen excreted (kg N)</t>
  </si>
  <si>
    <t>Ch 4 l 339 - fraction of manure applied to soil within boundary</t>
  </si>
  <si>
    <t>Amount scraped from feedlot into stage 2. Multiple MMSs would require values here</t>
  </si>
  <si>
    <t>T1Ch4l242</t>
  </si>
  <si>
    <t>T1Ch4p13</t>
  </si>
  <si>
    <t>Lj</t>
  </si>
  <si>
    <t>Description</t>
  </si>
  <si>
    <t>Ij</t>
  </si>
  <si>
    <t>Actual Ij</t>
  </si>
  <si>
    <t>Custom CPj</t>
  </si>
  <si>
    <t>Actual CPj</t>
  </si>
  <si>
    <t>NRj</t>
  </si>
  <si>
    <t>Nij</t>
  </si>
  <si>
    <t>Nej</t>
  </si>
  <si>
    <t>Nj</t>
  </si>
  <si>
    <t>AE j</t>
  </si>
  <si>
    <t>climate</t>
  </si>
  <si>
    <t>PF</t>
  </si>
  <si>
    <t>Main MMS 2</t>
  </si>
  <si>
    <t>Direct application at stage 2?</t>
  </si>
  <si>
    <t>Tertiary anaerobic lagoon?</t>
  </si>
  <si>
    <t>MMS𝑚1T2</t>
  </si>
  <si>
    <t>MNjmt=1</t>
  </si>
  <si>
    <t>FracGASMt=1</t>
  </si>
  <si>
    <t>Efmt=1</t>
  </si>
  <si>
    <t>Efmt=2</t>
  </si>
  <si>
    <t>FracGASMmT=2</t>
  </si>
  <si>
    <t>MTjmt=2</t>
  </si>
  <si>
    <t>MNjmt2</t>
  </si>
  <si>
    <t>MMS𝑚1T3</t>
  </si>
  <si>
    <t>Efmt=3</t>
  </si>
  <si>
    <t>FracGASMmT=3</t>
  </si>
  <si>
    <t>MNjmt3</t>
  </si>
  <si>
    <t>MNSoil T=2</t>
  </si>
  <si>
    <t>MNSoil T=3</t>
  </si>
  <si>
    <t>MNSoil s1</t>
  </si>
  <si>
    <t>MNSoiljf S3</t>
  </si>
  <si>
    <t>Basic scenario</t>
  </si>
  <si>
    <t>wet</t>
  </si>
  <si>
    <t>solidStorage</t>
  </si>
  <si>
    <t>no</t>
  </si>
  <si>
    <t>yes</t>
  </si>
  <si>
    <t>Basic scenario - custom Lj</t>
  </si>
  <si>
    <t>Basic scenario - custom CPj</t>
  </si>
  <si>
    <t>Basic scenario - dry climate</t>
  </si>
  <si>
    <t>dry</t>
  </si>
  <si>
    <t>Basic scenario - alt MMS 2</t>
  </si>
  <si>
    <t>composting</t>
  </si>
  <si>
    <t>Basic scenario - direct app stage 2</t>
  </si>
  <si>
    <t>Basic scenario - no lagoon</t>
  </si>
  <si>
    <t>Feedlot</t>
  </si>
  <si>
    <t>Efmt</t>
  </si>
  <si>
    <t>FracGASM</t>
  </si>
  <si>
    <t>A5.5.3.6,7 NIR vol 2</t>
  </si>
  <si>
    <t>drylot</t>
  </si>
  <si>
    <t>anaerobicLagoon</t>
  </si>
  <si>
    <t>A5.5.3.1 NIR vol 2</t>
  </si>
  <si>
    <t>Length of stay Lj 2020-2023</t>
  </si>
  <si>
    <t>0-80 days</t>
  </si>
  <si>
    <t>81-200 days</t>
  </si>
  <si>
    <t>201+ days</t>
  </si>
  <si>
    <t>Non-irrigated crop (low rainfall)</t>
  </si>
  <si>
    <t>Non-irrigated crop (high rainfall)</t>
  </si>
  <si>
    <r>
      <t>FracGASM</t>
    </r>
    <r>
      <rPr>
        <sz val="6"/>
        <color rgb="FF000000"/>
        <rFont val="Arial"/>
        <family val="2"/>
      </rPr>
      <t>soil</t>
    </r>
  </si>
  <si>
    <r>
      <t>𝑀</t>
    </r>
    <r>
      <rPr>
        <sz val="8"/>
        <color rgb="FF000000"/>
        <rFont val="Helvetica"/>
        <family val="2"/>
      </rPr>
      <t xml:space="preserve">𝑣𝑜𝑙,𝑜𝑟𝑔𝑎𝑛𝑖𝑐,𝑗𝑓 </t>
    </r>
    <r>
      <rPr>
        <sz val="11"/>
        <color rgb="FF000000"/>
        <rFont val="Helvetica"/>
        <family val="2"/>
      </rPr>
      <t>= 𝑀𝑁𝑆𝑜𝑖𝑙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>× 𝐹𝑟𝑎𝑐𝐺𝐴𝑆𝑀</t>
    </r>
    <r>
      <rPr>
        <sz val="8"/>
        <color rgb="FF000000"/>
        <rFont val="Helvetica"/>
        <family val="2"/>
      </rPr>
      <t>𝑠𝑜𝑖𝑙</t>
    </r>
  </si>
  <si>
    <t>isInLeachingZone</t>
  </si>
  <si>
    <t>Efert,leach</t>
  </si>
  <si>
    <t>Mleachinorganic</t>
  </si>
  <si>
    <t>Mleachorganic</t>
  </si>
  <si>
    <t>EFleach</t>
  </si>
  <si>
    <t>FracWET</t>
  </si>
  <si>
    <t>FracLEACH</t>
  </si>
  <si>
    <t>Calcium ammonium nitrate (CAN)</t>
  </si>
  <si>
    <t>Urea-ammonium nitrate (UAN)</t>
  </si>
  <si>
    <t>Irrigated crop (maize)</t>
  </si>
  <si>
    <t>Method 2</t>
  </si>
  <si>
    <t>Custom Fnorganicf</t>
  </si>
  <si>
    <t>Fnorganicf</t>
  </si>
  <si>
    <t>Application rate (kg / hectare)</t>
  </si>
  <si>
    <t>Application area</t>
  </si>
  <si>
    <t>System</t>
  </si>
  <si>
    <t>Total mass applied (kg)</t>
  </si>
  <si>
    <r>
      <t>𝐸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 xml:space="preserve">= ∑ ∑ (𝑀𝑁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>𝑗,𝑁2𝑂</t>
    </r>
    <r>
      <rPr>
        <sz val="11"/>
        <color rgb="FF000000"/>
        <rFont val="Helvetica"/>
        <family val="2"/>
      </rPr>
      <t xml:space="preserve"> 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</si>
  <si>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r>
      <t xml:space="preserve">𝑀𝑁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 xml:space="preserve">= 𝑇𝑀 </t>
    </r>
    <r>
      <rPr>
        <sz val="8"/>
        <color rgb="FF000000"/>
        <rFont val="Helvetica"/>
        <family val="2"/>
      </rPr>
      <t xml:space="preserve">𝑗𝑓 </t>
    </r>
    <r>
      <rPr>
        <sz val="11"/>
        <color rgb="FF000000"/>
        <rFont val="Helvetica"/>
        <family val="2"/>
      </rPr>
      <t>× 𝐹𝑁</t>
    </r>
    <r>
      <rPr>
        <sz val="8"/>
        <color rgb="FF000000"/>
        <rFont val="Helvetica"/>
        <family val="2"/>
      </rPr>
      <t>𝑖𝑛𝑜𝑟𝑔𝑎𝑛𝑖𝑐,𝑓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</si>
</sst>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"/>
  </numFmts>
  <fonts count="9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sz val="6"/>
      <color rgb="FF000000"/>
      <name val="Arial"/>
      <family val="2"/>
    </font>
    <font>
      <b/>
      <sz val="12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2" fillId="0" borderId="0" xfId="0" applyFont="1"/>
    <xf numFmtId="164" fontId="0" fillId="0" borderId="0" xfId="0" applyNumberFormat="1"/>
    <xf numFmtId="0" fontId="8" fillId="0" borderId="0" xfId="0" applyFon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t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A7CE-34CD-7A40-9BF6-875F02812705}">
  <dimension ref="A1:BM43"/>
  <sheetViews>
    <sheetView topLeftCell="AF1" workbookViewId="0">
      <selection activeCell="AR16" sqref="AR16:AT29"/>
    </sheetView>
  </sheetViews>
  <sheetFormatPr baseColWidth="10" defaultRowHeight="16"/>
  <cols>
    <col min="1" max="1" width="31" style="3" customWidth="1"/>
    <col min="2" max="3" width="26.6640625" customWidth="1"/>
    <col min="5" max="5" width="16" customWidth="1"/>
    <col min="6" max="7" width="16.5" customWidth="1"/>
    <col min="8" max="8" width="12.83203125" customWidth="1"/>
    <col min="10" max="10" width="12.1640625" bestFit="1" customWidth="1"/>
    <col min="12" max="12" width="36" customWidth="1"/>
    <col min="16" max="16" width="28.5" style="8" customWidth="1"/>
    <col min="34" max="34" width="19.6640625" customWidth="1"/>
    <col min="35" max="35" width="14.6640625" bestFit="1" customWidth="1"/>
    <col min="36" max="41" width="14.6640625" customWidth="1"/>
    <col min="44" max="44" width="41.33203125" customWidth="1"/>
    <col min="48" max="48" width="28.33203125" customWidth="1"/>
    <col min="61" max="61" width="24.33203125" customWidth="1"/>
    <col min="64" max="64" width="33.5" customWidth="1"/>
  </cols>
  <sheetData>
    <row r="1" spans="1:65">
      <c r="A1" t="s">
        <v>27</v>
      </c>
      <c r="D1" t="s">
        <v>28</v>
      </c>
      <c r="E1" t="s">
        <v>28</v>
      </c>
      <c r="F1" t="s">
        <v>28</v>
      </c>
      <c r="G1" t="s">
        <v>28</v>
      </c>
      <c r="H1" t="s">
        <v>28</v>
      </c>
      <c r="I1" t="s">
        <v>28</v>
      </c>
      <c r="J1" t="s">
        <v>28</v>
      </c>
      <c r="K1" t="s">
        <v>28</v>
      </c>
      <c r="P1"/>
      <c r="Q1" t="s">
        <v>28</v>
      </c>
      <c r="R1" t="s">
        <v>28</v>
      </c>
      <c r="S1" t="s">
        <v>28</v>
      </c>
      <c r="T1" t="s">
        <v>28</v>
      </c>
      <c r="U1" t="s">
        <v>28</v>
      </c>
      <c r="V1" t="s">
        <v>28</v>
      </c>
      <c r="W1" t="s">
        <v>28</v>
      </c>
      <c r="X1" t="s">
        <v>28</v>
      </c>
      <c r="Y1" t="s">
        <v>28</v>
      </c>
      <c r="Z1" t="s">
        <v>28</v>
      </c>
      <c r="AA1" t="s">
        <v>28</v>
      </c>
      <c r="AB1" t="s">
        <v>28</v>
      </c>
      <c r="AC1" t="s">
        <v>28</v>
      </c>
      <c r="AD1" t="s">
        <v>28</v>
      </c>
      <c r="AE1" t="s">
        <v>28</v>
      </c>
      <c r="AF1" t="s">
        <v>28</v>
      </c>
      <c r="AG1" t="s">
        <v>28</v>
      </c>
      <c r="AR1" s="7" t="s">
        <v>1</v>
      </c>
      <c r="AV1" s="8"/>
      <c r="BM1" s="8"/>
    </row>
    <row r="2" spans="1:65">
      <c r="A2"/>
      <c r="P2"/>
      <c r="AV2" s="8"/>
      <c r="BM2" s="8"/>
    </row>
    <row r="3" spans="1:65">
      <c r="A3"/>
      <c r="C3" t="s">
        <v>29</v>
      </c>
      <c r="I3" t="s">
        <v>30</v>
      </c>
      <c r="K3" t="s">
        <v>31</v>
      </c>
      <c r="P3"/>
      <c r="W3" t="s">
        <v>32</v>
      </c>
      <c r="AV3" s="8"/>
      <c r="BM3" s="8"/>
    </row>
    <row r="4" spans="1:65">
      <c r="A4"/>
      <c r="H4" t="s">
        <v>33</v>
      </c>
      <c r="P4"/>
      <c r="AB4" t="s">
        <v>34</v>
      </c>
      <c r="AR4" t="s">
        <v>116</v>
      </c>
      <c r="AS4">
        <v>0.24</v>
      </c>
      <c r="AV4" s="8"/>
    </row>
    <row r="5" spans="1:65">
      <c r="A5"/>
      <c r="P5"/>
      <c r="X5" t="s">
        <v>35</v>
      </c>
      <c r="AE5" t="s">
        <v>36</v>
      </c>
      <c r="AR5" s="2" t="s">
        <v>114</v>
      </c>
      <c r="AS5" s="2">
        <v>1.0999999999999999E-2</v>
      </c>
      <c r="AV5" s="8"/>
    </row>
    <row r="6" spans="1:65">
      <c r="AR6" s="9" t="s">
        <v>108</v>
      </c>
      <c r="AS6" s="2">
        <v>0.21</v>
      </c>
      <c r="AV6" s="8"/>
    </row>
    <row r="7" spans="1:65">
      <c r="AP7" s="10"/>
      <c r="AR7" t="s">
        <v>2</v>
      </c>
      <c r="AS7">
        <f>[1]!common_cn2o</f>
        <v>1.57</v>
      </c>
      <c r="AV7" s="8"/>
    </row>
    <row r="8" spans="1:65">
      <c r="AG8" s="1" t="s">
        <v>109</v>
      </c>
      <c r="AH8" s="1"/>
      <c r="AP8" s="1"/>
      <c r="AR8" s="2"/>
      <c r="AS8" s="2"/>
      <c r="AV8" s="8"/>
    </row>
    <row r="9" spans="1:65">
      <c r="A9" t="s">
        <v>37</v>
      </c>
      <c r="C9" t="s">
        <v>38</v>
      </c>
      <c r="D9" t="s">
        <v>39</v>
      </c>
      <c r="E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M9" t="s">
        <v>46</v>
      </c>
      <c r="P9"/>
      <c r="Q9" t="s">
        <v>47</v>
      </c>
      <c r="AB9" t="s">
        <v>48</v>
      </c>
      <c r="AE9" t="s">
        <v>49</v>
      </c>
      <c r="AP9" s="1"/>
      <c r="AR9" s="2"/>
      <c r="AS9" s="2"/>
      <c r="AV9" s="8"/>
    </row>
    <row r="10" spans="1:65">
      <c r="A10" s="5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s="5" t="s">
        <v>59</v>
      </c>
      <c r="K10" t="s">
        <v>60</v>
      </c>
      <c r="L10" t="s">
        <v>61</v>
      </c>
      <c r="M10" s="5" t="s">
        <v>62</v>
      </c>
      <c r="N10" s="5" t="s">
        <v>63</v>
      </c>
      <c r="O10" t="s">
        <v>64</v>
      </c>
      <c r="P10" t="s">
        <v>65</v>
      </c>
      <c r="Q10" t="s">
        <v>66</v>
      </c>
      <c r="R10" t="s">
        <v>67</v>
      </c>
      <c r="S10" t="s">
        <v>68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74</v>
      </c>
      <c r="Z10" t="s">
        <v>75</v>
      </c>
      <c r="AA10" t="s">
        <v>76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 t="s">
        <v>25</v>
      </c>
      <c r="AH10" s="5" t="s">
        <v>14</v>
      </c>
      <c r="AI10" t="s">
        <v>112</v>
      </c>
      <c r="AJ10" s="5" t="s">
        <v>110</v>
      </c>
      <c r="AK10" t="s">
        <v>115</v>
      </c>
      <c r="AL10" t="s">
        <v>116</v>
      </c>
      <c r="AM10" t="s">
        <v>113</v>
      </c>
      <c r="AN10" t="s">
        <v>114</v>
      </c>
      <c r="AO10" t="s">
        <v>2</v>
      </c>
      <c r="AP10" s="6" t="s">
        <v>111</v>
      </c>
      <c r="AV10" s="8"/>
    </row>
    <row r="11" spans="1:65">
      <c r="A11">
        <v>60</v>
      </c>
      <c r="B11" t="s">
        <v>82</v>
      </c>
      <c r="D11" cm="1">
        <f t="array" ref="D11">IF(ISBLANK(C11), _xlfn.IFS(A11&lt;=80,10.4,A11&lt;=200,10.8,TRUE,8.2),C11)</f>
        <v>10.4</v>
      </c>
      <c r="F11" cm="1">
        <f t="array" ref="F11">IF(ISBLANK(E11),_xlfn.IFS(A11&lt;=80,0.14,A11&lt;=200,0.12,TRUE,0.12),E11)</f>
        <v>0.14000000000000001</v>
      </c>
      <c r="G11" cm="1">
        <f t="array" ref="G11">_xlfn.IFS(A11&lt;=80,20.4,A11&lt;=200,12.7,TRUE,7)/100</f>
        <v>0.20399999999999999</v>
      </c>
      <c r="H11">
        <f>IF(ISBLANK(J11),"",D11*(F11)/6.25)</f>
        <v>0.23296000000000003</v>
      </c>
      <c r="I11">
        <f>IF(ISBLANK(J11), "", H11*(1-G11))</f>
        <v>0.18543616000000004</v>
      </c>
      <c r="J11">
        <v>500</v>
      </c>
      <c r="K11">
        <f t="shared" ref="K11:K12" si="0">IF(ISBLANK(J11),"",J11*I11*A11)</f>
        <v>5563.0848000000015</v>
      </c>
      <c r="L11" t="s">
        <v>83</v>
      </c>
      <c r="M11">
        <v>0.8</v>
      </c>
      <c r="N11" t="s">
        <v>84</v>
      </c>
      <c r="O11" t="s">
        <v>85</v>
      </c>
      <c r="P11" t="s">
        <v>86</v>
      </c>
      <c r="Q11">
        <v>1</v>
      </c>
      <c r="R11">
        <f t="shared" ref="R11:R20" si="1">IF(ISBLANK(K11),"",K11)</f>
        <v>5563.0848000000015</v>
      </c>
      <c r="S11">
        <f t="shared" ref="S11:S20" si="2">IF(ISBLANK(K11),"",VLOOKUP("drylot",$AR$19:$AT$22, 3,FALSE))</f>
        <v>0.6</v>
      </c>
      <c r="T11">
        <f t="shared" ref="T11:T20" si="3">IF(ISBLANK(K11),"",VLOOKUP("drylot",$AR$19:$AT$22, 2,FALSE))</f>
        <v>5.4000000000000003E-3</v>
      </c>
      <c r="U11">
        <f t="shared" ref="U11:U20" si="4">IF(ISBLANK(K11),"",VLOOKUP(N11,$AR$19:$AT$22, 2,FALSE))</f>
        <v>5.0000000000000001E-3</v>
      </c>
      <c r="V11">
        <f t="shared" ref="V11:V20" si="5">IF(ISBLANK(K11),"",VLOOKUP(N11,$AR$19:$AT$22, 3,FALSE))</f>
        <v>0.25</v>
      </c>
      <c r="W11">
        <f>IF(ISBLANK(K11),"", (R11*(1-S11-T11))-AB11)</f>
        <v>2083.9315660800007</v>
      </c>
      <c r="X11">
        <f t="shared" ref="X11:X12" si="6">IF(ISBLANK(K11),"",W11*Q11)</f>
        <v>2083.9315660800007</v>
      </c>
      <c r="Y11" cm="1">
        <f t="array" ref="Y11">_xlfn.IFS(ISBLANK(K11),"",P11="yes",0.02,TRUE,0)</f>
        <v>0.02</v>
      </c>
      <c r="Z11">
        <f t="shared" ref="Z11:Z20" si="7">IF(ISBLANK(K11),"",VLOOKUP("anaerobicLagoon",$AR$19:$AT$22, 2,FALSE))</f>
        <v>0</v>
      </c>
      <c r="AA11">
        <f t="shared" ref="AA11:AA20" si="8">IF(ISBLANK(K11),"",VLOOKUP("anaerobicLagoon",$AR$19:$AT$22, 3,FALSE))</f>
        <v>0.35</v>
      </c>
      <c r="AB11" cm="1">
        <f t="array" ref="AB11">_xlfn.IFS(ISBLANK(K11), "",TRUE, K11*Y11)</f>
        <v>111.26169600000003</v>
      </c>
      <c r="AC11">
        <f>IF(ISBLANK(K11),"", X11*(1-U11-V11))</f>
        <v>1552.5290167296005</v>
      </c>
      <c r="AD11">
        <f t="shared" ref="AD11:AD20" si="9">IF(ISBLANK(K11),"", AB11*(1-Z11-AA11))</f>
        <v>72.320102400000025</v>
      </c>
      <c r="AE11" cm="1">
        <f t="array" ref="AE11">_xlfn.IFS(ISBLANK(K11),"",O11="yes",W11*M11, TRUE, (AC11+AD11)*M11)</f>
        <v>1299.8792953036805</v>
      </c>
      <c r="AF11" cm="1">
        <f t="array" ref="AF11">_xlfn.IFS(ISBLANK(K11),"",O11="yes", W11*(1-M11),TRUE, (AC11+AD11)*(1-M11))</f>
        <v>324.96982382592</v>
      </c>
      <c r="AG11">
        <f t="shared" ref="AG11:AG20" si="10">IF(ISBLANK(A11), "", AE11*$AS$6)</f>
        <v>272.97465201377287</v>
      </c>
      <c r="AH11" t="s">
        <v>7</v>
      </c>
      <c r="AI11">
        <v>0</v>
      </c>
      <c r="AJ11" t="b">
        <v>1</v>
      </c>
      <c r="AK11">
        <f>IF(AJ11, 1, 0)</f>
        <v>1</v>
      </c>
      <c r="AL11">
        <f>$AS$4</f>
        <v>0.24</v>
      </c>
      <c r="AM11">
        <f t="shared" ref="AM11:AM20" si="11">AE11*AK11*AL11</f>
        <v>311.97103087288332</v>
      </c>
      <c r="AN11">
        <f>$AS$5</f>
        <v>1.0999999999999999E-2</v>
      </c>
      <c r="AO11">
        <f>$AS$7</f>
        <v>1.57</v>
      </c>
      <c r="AP11">
        <f>(AI11+AM11)*AN11*AO11*10^-3</f>
        <v>5.3877397031746955E-3</v>
      </c>
      <c r="AR11" s="2"/>
      <c r="AS11" s="2"/>
    </row>
    <row r="12" spans="1:65">
      <c r="A12">
        <v>80</v>
      </c>
      <c r="B12" t="s">
        <v>87</v>
      </c>
      <c r="D12" cm="1">
        <f t="array" ref="D12">IF(ISBLANK(C12), _xlfn.IFS(A12&lt;=80,10.4,A12&lt;=200,10.8,TRUE,8.2),C12)</f>
        <v>10.4</v>
      </c>
      <c r="F12" cm="1">
        <f t="array" ref="F12">IF(ISBLANK(E12),_xlfn.IFS(A12&lt;=80,0.14,A12&lt;=200,0.12,TRUE,0.12),E12)</f>
        <v>0.14000000000000001</v>
      </c>
      <c r="G12" cm="1">
        <f t="array" ref="G12">_xlfn.IFS(A12&lt;=80,20.4,A12&lt;=200,12.7,TRUE,7)/100</f>
        <v>0.20399999999999999</v>
      </c>
      <c r="H12">
        <f t="shared" ref="H12:H20" si="12">IF(ISBLANK(J12),"",D12*(F12)/6.25)</f>
        <v>0.23296000000000003</v>
      </c>
      <c r="I12">
        <f t="shared" ref="I12:I20" si="13">IF(ISBLANK(J12), "", H12*(1-G12))</f>
        <v>0.18543616000000004</v>
      </c>
      <c r="J12">
        <v>500</v>
      </c>
      <c r="K12">
        <f t="shared" si="0"/>
        <v>7417.4464000000025</v>
      </c>
      <c r="L12" t="s">
        <v>83</v>
      </c>
      <c r="M12">
        <v>0.75</v>
      </c>
      <c r="N12" t="s">
        <v>84</v>
      </c>
      <c r="O12" t="s">
        <v>85</v>
      </c>
      <c r="P12" t="s">
        <v>86</v>
      </c>
      <c r="Q12">
        <v>1</v>
      </c>
      <c r="R12">
        <f t="shared" si="1"/>
        <v>7417.4464000000025</v>
      </c>
      <c r="S12">
        <f t="shared" si="2"/>
        <v>0.6</v>
      </c>
      <c r="T12">
        <f t="shared" si="3"/>
        <v>5.4000000000000003E-3</v>
      </c>
      <c r="U12">
        <f t="shared" si="4"/>
        <v>5.0000000000000001E-3</v>
      </c>
      <c r="V12">
        <f t="shared" si="5"/>
        <v>0.25</v>
      </c>
      <c r="W12">
        <f t="shared" ref="W12" si="14">IF(ISBLANK(K12),"", (R12*(1-S12-T12))-AB12)</f>
        <v>2778.5754214400013</v>
      </c>
      <c r="X12">
        <f t="shared" si="6"/>
        <v>2778.5754214400013</v>
      </c>
      <c r="Y12" cm="1">
        <f t="array" ref="Y12">_xlfn.IFS(ISBLANK(K12),"",P12="yes",0.02,TRUE,0)</f>
        <v>0.02</v>
      </c>
      <c r="Z12">
        <f t="shared" si="7"/>
        <v>0</v>
      </c>
      <c r="AA12">
        <f t="shared" si="8"/>
        <v>0.35</v>
      </c>
      <c r="AB12" cm="1">
        <f t="array" ref="AB12">_xlfn.IFS(ISBLANK(K12), "",TRUE, K12*Y12)</f>
        <v>148.34892800000006</v>
      </c>
      <c r="AC12">
        <f t="shared" ref="AC12:AC20" si="15">IF(ISBLANK(K12),"", X12*(1-U12-V12))</f>
        <v>2070.0386889728011</v>
      </c>
      <c r="AD12">
        <f t="shared" si="9"/>
        <v>96.426803200000037</v>
      </c>
      <c r="AE12" cm="1">
        <f t="array" ref="AE12">_xlfn.IFS(ISBLANK(K12),"",O12="yes",W12*M12, TRUE, (AC12+AD12)*M12)</f>
        <v>1624.8491191296007</v>
      </c>
      <c r="AF12" cm="1">
        <f t="array" ref="AF12">_xlfn.IFS(ISBLANK(K12),"",O12="yes", W12*(1-M12),TRUE, (AC12+AD12)*(1-M12))</f>
        <v>541.61637304320027</v>
      </c>
      <c r="AG12">
        <f t="shared" si="10"/>
        <v>341.21831501721613</v>
      </c>
      <c r="AH12" t="s">
        <v>7</v>
      </c>
      <c r="AI12">
        <v>0</v>
      </c>
      <c r="AJ12" t="b">
        <v>1</v>
      </c>
      <c r="AK12">
        <f t="shared" ref="AK12:AK20" si="16">IF(AJ12, 1, 0)</f>
        <v>1</v>
      </c>
      <c r="AL12">
        <f t="shared" ref="AL12:AL20" si="17">$AS$4</f>
        <v>0.24</v>
      </c>
      <c r="AM12">
        <f t="shared" si="11"/>
        <v>389.96378859110416</v>
      </c>
      <c r="AN12">
        <f t="shared" ref="AN12:AN20" si="18">$AS$5</f>
        <v>1.0999999999999999E-2</v>
      </c>
      <c r="AO12">
        <f t="shared" ref="AO12:AO20" si="19">$AS$7</f>
        <v>1.57</v>
      </c>
      <c r="AP12">
        <f t="shared" ref="AP12:AP20" si="20">(AI12+AM12)*AN12*AO12*10^-3</f>
        <v>6.7346746289683691E-3</v>
      </c>
      <c r="AR12" s="2"/>
      <c r="AS12" s="2"/>
    </row>
    <row r="13" spans="1:65">
      <c r="A13">
        <v>100</v>
      </c>
      <c r="B13" t="s">
        <v>88</v>
      </c>
      <c r="D13" cm="1">
        <f t="array" ref="D13">IF(ISBLANK(C13), _xlfn.IFS(A13&lt;=80,10.4,A13&lt;=200,10.8,TRUE,8.2),C13)</f>
        <v>10.8</v>
      </c>
      <c r="F13" cm="1">
        <f t="array" ref="F13">IF(ISBLANK(E13),_xlfn.IFS(A13&lt;=80,0.14,A13&lt;=200,0.12,TRUE,0.12),E13)</f>
        <v>0.12</v>
      </c>
      <c r="G13" cm="1">
        <f t="array" ref="G13">_xlfn.IFS(A13&lt;=80,20.4,A13&lt;=200,12.7,TRUE,7)/100</f>
        <v>0.127</v>
      </c>
      <c r="H13">
        <f t="shared" si="12"/>
        <v>0.20736000000000002</v>
      </c>
      <c r="I13">
        <f t="shared" si="13"/>
        <v>0.18102528000000001</v>
      </c>
      <c r="J13">
        <v>500</v>
      </c>
      <c r="K13">
        <f t="shared" ref="K13:K20" si="21">IF(ISBLANK(J13),"",J13*I13*A13)</f>
        <v>9051.264000000001</v>
      </c>
      <c r="L13" t="s">
        <v>83</v>
      </c>
      <c r="M13">
        <v>0.7</v>
      </c>
      <c r="N13" t="s">
        <v>84</v>
      </c>
      <c r="O13" t="s">
        <v>85</v>
      </c>
      <c r="P13" t="s">
        <v>86</v>
      </c>
      <c r="Q13">
        <v>1</v>
      </c>
      <c r="R13">
        <f t="shared" si="1"/>
        <v>9051.264000000001</v>
      </c>
      <c r="S13">
        <f t="shared" si="2"/>
        <v>0.6</v>
      </c>
      <c r="T13">
        <f t="shared" si="3"/>
        <v>5.4000000000000003E-3</v>
      </c>
      <c r="U13">
        <f t="shared" si="4"/>
        <v>5.0000000000000001E-3</v>
      </c>
      <c r="V13">
        <f t="shared" si="5"/>
        <v>0.25</v>
      </c>
      <c r="W13">
        <f t="shared" ref="W13:W20" si="22">IF(ISBLANK(K13),"", (R13*(1-S13-T13))-AB13)</f>
        <v>3390.6034944000007</v>
      </c>
      <c r="X13">
        <f t="shared" ref="X13:X20" si="23">IF(ISBLANK(K13),"",W13*Q13)</f>
        <v>3390.6034944000007</v>
      </c>
      <c r="Y13" cm="1">
        <f t="array" ref="Y13">_xlfn.IFS(ISBLANK(K13),"",P13="yes",0.02,TRUE,0)</f>
        <v>0.02</v>
      </c>
      <c r="Z13">
        <f t="shared" si="7"/>
        <v>0</v>
      </c>
      <c r="AA13">
        <f t="shared" si="8"/>
        <v>0.35</v>
      </c>
      <c r="AB13" cm="1">
        <f t="array" ref="AB13">_xlfn.IFS(ISBLANK(K13), "",TRUE, K13*Y13)</f>
        <v>181.02528000000004</v>
      </c>
      <c r="AC13">
        <f t="shared" si="15"/>
        <v>2525.9996033280004</v>
      </c>
      <c r="AD13">
        <f t="shared" si="9"/>
        <v>117.66643200000003</v>
      </c>
      <c r="AE13" cm="1">
        <f t="array" ref="AE13">_xlfn.IFS(ISBLANK(K13),"",O13="yes",W13*M13, TRUE, (AC13+AD13)*M13)</f>
        <v>1850.5662247296002</v>
      </c>
      <c r="AF13" cm="1">
        <f t="array" ref="AF13">_xlfn.IFS(ISBLANK(K13),"",O13="yes", W13*(1-M13),TRUE, (AC13+AD13)*(1-M13))</f>
        <v>793.09981059840027</v>
      </c>
      <c r="AG13">
        <f t="shared" si="10"/>
        <v>388.61890719321605</v>
      </c>
      <c r="AH13" s="2" t="s">
        <v>7</v>
      </c>
      <c r="AI13">
        <v>0</v>
      </c>
      <c r="AJ13" t="b">
        <v>1</v>
      </c>
      <c r="AK13">
        <f t="shared" si="16"/>
        <v>1</v>
      </c>
      <c r="AL13">
        <f t="shared" si="17"/>
        <v>0.24</v>
      </c>
      <c r="AM13">
        <f t="shared" si="11"/>
        <v>444.13589393510404</v>
      </c>
      <c r="AN13">
        <f t="shared" si="18"/>
        <v>1.0999999999999999E-2</v>
      </c>
      <c r="AO13">
        <f t="shared" si="19"/>
        <v>1.57</v>
      </c>
      <c r="AP13">
        <f t="shared" si="20"/>
        <v>7.670226888259247E-3</v>
      </c>
      <c r="AR13" s="2"/>
      <c r="AS13" s="2"/>
    </row>
    <row r="14" spans="1:65">
      <c r="A14">
        <v>120</v>
      </c>
      <c r="B14" t="s">
        <v>89</v>
      </c>
      <c r="D14" cm="1">
        <f t="array" ref="D14">IF(ISBLANK(C14), _xlfn.IFS(A14&lt;=80,10.4,A14&lt;=200,10.8,TRUE,8.2),C14)</f>
        <v>10.8</v>
      </c>
      <c r="F14" cm="1">
        <f t="array" ref="F14">IF(ISBLANK(E14),_xlfn.IFS(A14&lt;=80,0.14,A14&lt;=200,0.12,TRUE,0.12),E14)</f>
        <v>0.12</v>
      </c>
      <c r="G14" cm="1">
        <f t="array" ref="G14">_xlfn.IFS(A14&lt;=80,20.4,A14&lt;=200,12.7,TRUE,7)/100</f>
        <v>0.127</v>
      </c>
      <c r="H14">
        <f t="shared" si="12"/>
        <v>0.20736000000000002</v>
      </c>
      <c r="I14">
        <f t="shared" si="13"/>
        <v>0.18102528000000001</v>
      </c>
      <c r="J14">
        <v>500</v>
      </c>
      <c r="K14">
        <f t="shared" si="21"/>
        <v>10861.516800000001</v>
      </c>
      <c r="L14" t="s">
        <v>90</v>
      </c>
      <c r="M14">
        <v>0.65</v>
      </c>
      <c r="N14" t="s">
        <v>84</v>
      </c>
      <c r="O14" t="s">
        <v>85</v>
      </c>
      <c r="P14" t="s">
        <v>86</v>
      </c>
      <c r="Q14">
        <v>1</v>
      </c>
      <c r="R14">
        <f t="shared" si="1"/>
        <v>10861.516800000001</v>
      </c>
      <c r="S14">
        <f t="shared" si="2"/>
        <v>0.6</v>
      </c>
      <c r="T14">
        <f t="shared" si="3"/>
        <v>5.4000000000000003E-3</v>
      </c>
      <c r="U14">
        <f t="shared" si="4"/>
        <v>5.0000000000000001E-3</v>
      </c>
      <c r="V14">
        <f t="shared" si="5"/>
        <v>0.25</v>
      </c>
      <c r="W14">
        <f t="shared" si="22"/>
        <v>4068.7241932800002</v>
      </c>
      <c r="X14">
        <f t="shared" si="23"/>
        <v>4068.7241932800002</v>
      </c>
      <c r="Y14" cm="1">
        <f t="array" ref="Y14">_xlfn.IFS(ISBLANK(K14),"",P14="yes",0.02,TRUE,0)</f>
        <v>0.02</v>
      </c>
      <c r="Z14">
        <f t="shared" si="7"/>
        <v>0</v>
      </c>
      <c r="AA14">
        <f t="shared" si="8"/>
        <v>0.35</v>
      </c>
      <c r="AB14" cm="1">
        <f t="array" ref="AB14">_xlfn.IFS(ISBLANK(K14), "",TRUE, K14*Y14)</f>
        <v>217.23033600000002</v>
      </c>
      <c r="AC14">
        <f t="shared" si="15"/>
        <v>3031.1995239936</v>
      </c>
      <c r="AD14">
        <f t="shared" si="9"/>
        <v>141.19971840000002</v>
      </c>
      <c r="AE14" cm="1">
        <f t="array" ref="AE14">_xlfn.IFS(ISBLANK(K14),"",O14="yes",W14*M14, TRUE, (AC14+AD14)*M14)</f>
        <v>2062.0595075558404</v>
      </c>
      <c r="AF14" cm="1">
        <f t="array" ref="AF14">_xlfn.IFS(ISBLANK(K14),"",O14="yes", W14*(1-M14),TRUE, (AC14+AD14)*(1-M14))</f>
        <v>1110.33973483776</v>
      </c>
      <c r="AG14">
        <f t="shared" si="10"/>
        <v>433.03249658672644</v>
      </c>
      <c r="AH14" s="2" t="s">
        <v>5</v>
      </c>
      <c r="AI14">
        <v>0</v>
      </c>
      <c r="AJ14" t="b">
        <v>1</v>
      </c>
      <c r="AK14">
        <f t="shared" si="16"/>
        <v>1</v>
      </c>
      <c r="AL14">
        <f t="shared" si="17"/>
        <v>0.24</v>
      </c>
      <c r="AM14">
        <f t="shared" si="11"/>
        <v>494.89428181340168</v>
      </c>
      <c r="AN14">
        <f t="shared" si="18"/>
        <v>1.0999999999999999E-2</v>
      </c>
      <c r="AO14">
        <f t="shared" si="19"/>
        <v>1.57</v>
      </c>
      <c r="AP14">
        <f t="shared" si="20"/>
        <v>8.5468242469174463E-3</v>
      </c>
      <c r="AR14" s="2"/>
      <c r="AS14" s="2"/>
    </row>
    <row r="15" spans="1:65">
      <c r="A15">
        <v>140</v>
      </c>
      <c r="B15" t="s">
        <v>91</v>
      </c>
      <c r="D15" cm="1">
        <f t="array" ref="D15">IF(ISBLANK(C15), _xlfn.IFS(A15&lt;=80,10.4,A15&lt;=200,10.8,TRUE,8.2),C15)</f>
        <v>10.8</v>
      </c>
      <c r="F15" cm="1">
        <f t="array" ref="F15">IF(ISBLANK(E15),_xlfn.IFS(A15&lt;=80,0.14,A15&lt;=200,0.12,TRUE,0.12),E15)</f>
        <v>0.12</v>
      </c>
      <c r="G15" cm="1">
        <f t="array" ref="G15">_xlfn.IFS(A15&lt;=80,20.4,A15&lt;=200,12.7,TRUE,7)/100</f>
        <v>0.127</v>
      </c>
      <c r="H15">
        <f t="shared" si="12"/>
        <v>0.20736000000000002</v>
      </c>
      <c r="I15">
        <f t="shared" si="13"/>
        <v>0.18102528000000001</v>
      </c>
      <c r="J15">
        <v>500</v>
      </c>
      <c r="K15">
        <f t="shared" si="21"/>
        <v>12671.769600000001</v>
      </c>
      <c r="L15" t="s">
        <v>83</v>
      </c>
      <c r="M15">
        <v>0.6</v>
      </c>
      <c r="N15" t="s">
        <v>92</v>
      </c>
      <c r="O15" t="s">
        <v>85</v>
      </c>
      <c r="P15" t="s">
        <v>86</v>
      </c>
      <c r="Q15">
        <v>1</v>
      </c>
      <c r="R15">
        <f t="shared" si="1"/>
        <v>12671.769600000001</v>
      </c>
      <c r="S15">
        <f t="shared" si="2"/>
        <v>0.6</v>
      </c>
      <c r="T15">
        <f t="shared" si="3"/>
        <v>5.4000000000000003E-3</v>
      </c>
      <c r="U15">
        <f t="shared" si="4"/>
        <v>0.01</v>
      </c>
      <c r="V15">
        <f t="shared" si="5"/>
        <v>0.4</v>
      </c>
      <c r="W15">
        <f t="shared" si="22"/>
        <v>4746.8448921600002</v>
      </c>
      <c r="X15">
        <f t="shared" si="23"/>
        <v>4746.8448921600002</v>
      </c>
      <c r="Y15" cm="1">
        <f t="array" ref="Y15">_xlfn.IFS(ISBLANK(K15),"",P15="yes",0.02,TRUE,0)</f>
        <v>0.02</v>
      </c>
      <c r="Z15">
        <f t="shared" si="7"/>
        <v>0</v>
      </c>
      <c r="AA15">
        <f t="shared" si="8"/>
        <v>0.35</v>
      </c>
      <c r="AB15" cm="1">
        <f t="array" ref="AB15">_xlfn.IFS(ISBLANK(K15), "",TRUE, K15*Y15)</f>
        <v>253.43539200000004</v>
      </c>
      <c r="AC15">
        <f t="shared" si="15"/>
        <v>2800.6384863744001</v>
      </c>
      <c r="AD15">
        <f t="shared" si="9"/>
        <v>164.73300480000003</v>
      </c>
      <c r="AE15" cm="1">
        <f t="array" ref="AE15">_xlfn.IFS(ISBLANK(K15),"",O15="yes",W15*M15, TRUE, (AC15+AD15)*M15)</f>
        <v>1779.2228947046399</v>
      </c>
      <c r="AF15" cm="1">
        <f t="array" ref="AF15">_xlfn.IFS(ISBLANK(K15),"",O15="yes", W15*(1-M15),TRUE, (AC15+AD15)*(1-M15))</f>
        <v>1186.1485964697602</v>
      </c>
      <c r="AG15">
        <f t="shared" si="10"/>
        <v>373.63680788797438</v>
      </c>
      <c r="AH15" s="2" t="s">
        <v>6</v>
      </c>
      <c r="AI15">
        <v>0</v>
      </c>
      <c r="AJ15" t="b">
        <v>1</v>
      </c>
      <c r="AK15">
        <f t="shared" si="16"/>
        <v>1</v>
      </c>
      <c r="AL15">
        <f t="shared" si="17"/>
        <v>0.24</v>
      </c>
      <c r="AM15">
        <f t="shared" si="11"/>
        <v>427.01349472911357</v>
      </c>
      <c r="AN15">
        <f t="shared" si="18"/>
        <v>1.0999999999999999E-2</v>
      </c>
      <c r="AO15">
        <f t="shared" si="19"/>
        <v>1.57</v>
      </c>
      <c r="AP15">
        <f t="shared" si="20"/>
        <v>7.3745230539717915E-3</v>
      </c>
      <c r="AR15" s="2"/>
      <c r="AS15" s="2"/>
    </row>
    <row r="16" spans="1:65">
      <c r="A16">
        <v>160</v>
      </c>
      <c r="B16" t="s">
        <v>93</v>
      </c>
      <c r="D16" cm="1">
        <f t="array" ref="D16">IF(ISBLANK(C16), _xlfn.IFS(A16&lt;=80,10.4,A16&lt;=200,10.8,TRUE,8.2),C16)</f>
        <v>10.8</v>
      </c>
      <c r="F16" cm="1">
        <f t="array" ref="F16">IF(ISBLANK(E16),_xlfn.IFS(A16&lt;=80,0.14,A16&lt;=200,0.12,TRUE,0.12),E16)</f>
        <v>0.12</v>
      </c>
      <c r="G16" cm="1">
        <f t="array" ref="G16">_xlfn.IFS(A16&lt;=80,20.4,A16&lt;=200,12.7,TRUE,7)/100</f>
        <v>0.127</v>
      </c>
      <c r="H16">
        <f t="shared" si="12"/>
        <v>0.20736000000000002</v>
      </c>
      <c r="I16">
        <f t="shared" si="13"/>
        <v>0.18102528000000001</v>
      </c>
      <c r="J16">
        <v>500</v>
      </c>
      <c r="K16">
        <f t="shared" si="21"/>
        <v>14482.022400000002</v>
      </c>
      <c r="L16" t="s">
        <v>83</v>
      </c>
      <c r="M16">
        <v>0.55000000000000004</v>
      </c>
      <c r="N16" t="s">
        <v>84</v>
      </c>
      <c r="O16" t="s">
        <v>85</v>
      </c>
      <c r="P16" t="s">
        <v>86</v>
      </c>
      <c r="Q16">
        <v>1</v>
      </c>
      <c r="R16">
        <f t="shared" si="1"/>
        <v>14482.022400000002</v>
      </c>
      <c r="S16">
        <f t="shared" si="2"/>
        <v>0.6</v>
      </c>
      <c r="T16">
        <f t="shared" si="3"/>
        <v>5.4000000000000003E-3</v>
      </c>
      <c r="U16">
        <f t="shared" si="4"/>
        <v>5.0000000000000001E-3</v>
      </c>
      <c r="V16">
        <f t="shared" si="5"/>
        <v>0.25</v>
      </c>
      <c r="W16">
        <f t="shared" si="22"/>
        <v>5424.9655910400006</v>
      </c>
      <c r="X16">
        <f t="shared" si="23"/>
        <v>5424.9655910400006</v>
      </c>
      <c r="Y16" cm="1">
        <f t="array" ref="Y16">_xlfn.IFS(ISBLANK(K16),"",P16="yes",0.02,TRUE,0)</f>
        <v>0.02</v>
      </c>
      <c r="Z16">
        <f t="shared" si="7"/>
        <v>0</v>
      </c>
      <c r="AA16">
        <f t="shared" si="8"/>
        <v>0.35</v>
      </c>
      <c r="AB16" cm="1">
        <f t="array" ref="AB16">_xlfn.IFS(ISBLANK(K16), "",TRUE, K16*Y16)</f>
        <v>289.64044800000005</v>
      </c>
      <c r="AC16">
        <f t="shared" si="15"/>
        <v>4041.5993653248006</v>
      </c>
      <c r="AD16">
        <f t="shared" si="9"/>
        <v>188.26629120000004</v>
      </c>
      <c r="AE16" cm="1">
        <f t="array" ref="AE16">_xlfn.IFS(ISBLANK(K16),"",O16="yes",W16*M16, TRUE, (AC16+AD16)*M16)</f>
        <v>2326.4261110886405</v>
      </c>
      <c r="AF16" cm="1">
        <f t="array" ref="AF16">_xlfn.IFS(ISBLANK(K16),"",O16="yes", W16*(1-M16),TRUE, (AC16+AD16)*(1-M16))</f>
        <v>1903.43954543616</v>
      </c>
      <c r="AG16">
        <f t="shared" si="10"/>
        <v>488.54948332861449</v>
      </c>
      <c r="AH16" s="2" t="s">
        <v>10</v>
      </c>
      <c r="AI16">
        <v>0</v>
      </c>
      <c r="AJ16" t="b">
        <v>0</v>
      </c>
      <c r="AK16">
        <f t="shared" si="16"/>
        <v>0</v>
      </c>
      <c r="AL16">
        <f t="shared" si="17"/>
        <v>0.24</v>
      </c>
      <c r="AM16">
        <f t="shared" si="11"/>
        <v>0</v>
      </c>
      <c r="AN16">
        <f t="shared" si="18"/>
        <v>1.0999999999999999E-2</v>
      </c>
      <c r="AO16">
        <f t="shared" si="19"/>
        <v>1.57</v>
      </c>
      <c r="AP16">
        <f t="shared" si="20"/>
        <v>0</v>
      </c>
      <c r="AR16" t="s">
        <v>95</v>
      </c>
    </row>
    <row r="17" spans="1:57">
      <c r="A17">
        <v>180</v>
      </c>
      <c r="B17" t="s">
        <v>94</v>
      </c>
      <c r="D17" cm="1">
        <f t="array" ref="D17">IF(ISBLANK(C17), _xlfn.IFS(A17&lt;=80,10.4,A17&lt;=200,10.8,TRUE,8.2),C17)</f>
        <v>10.8</v>
      </c>
      <c r="F17" cm="1">
        <f t="array" ref="F17">IF(ISBLANK(E17),_xlfn.IFS(A17&lt;=80,0.14,A17&lt;=200,0.12,TRUE,0.12),E17)</f>
        <v>0.12</v>
      </c>
      <c r="G17" cm="1">
        <f t="array" ref="G17">_xlfn.IFS(A17&lt;=80,20.4,A17&lt;=200,12.7,TRUE,7)/100</f>
        <v>0.127</v>
      </c>
      <c r="H17">
        <f t="shared" si="12"/>
        <v>0.20736000000000002</v>
      </c>
      <c r="I17">
        <f t="shared" si="13"/>
        <v>0.18102528000000001</v>
      </c>
      <c r="J17">
        <v>500</v>
      </c>
      <c r="K17">
        <f t="shared" si="21"/>
        <v>16292.2752</v>
      </c>
      <c r="L17" t="s">
        <v>83</v>
      </c>
      <c r="M17">
        <v>0.5</v>
      </c>
      <c r="N17" t="s">
        <v>84</v>
      </c>
      <c r="O17" t="s">
        <v>85</v>
      </c>
      <c r="P17" t="s">
        <v>86</v>
      </c>
      <c r="Q17">
        <v>1</v>
      </c>
      <c r="R17">
        <f t="shared" si="1"/>
        <v>16292.2752</v>
      </c>
      <c r="S17">
        <f t="shared" si="2"/>
        <v>0.6</v>
      </c>
      <c r="T17">
        <f t="shared" si="3"/>
        <v>5.4000000000000003E-3</v>
      </c>
      <c r="U17">
        <f t="shared" si="4"/>
        <v>5.0000000000000001E-3</v>
      </c>
      <c r="V17">
        <f t="shared" si="5"/>
        <v>0.25</v>
      </c>
      <c r="W17">
        <f t="shared" si="22"/>
        <v>6103.0862899200001</v>
      </c>
      <c r="X17">
        <f t="shared" si="23"/>
        <v>6103.0862899200001</v>
      </c>
      <c r="Y17" cm="1">
        <f t="array" ref="Y17">_xlfn.IFS(ISBLANK(K17),"",P17="yes",0.02,TRUE,0)</f>
        <v>0.02</v>
      </c>
      <c r="Z17">
        <f t="shared" si="7"/>
        <v>0</v>
      </c>
      <c r="AA17">
        <f t="shared" si="8"/>
        <v>0.35</v>
      </c>
      <c r="AB17" cm="1">
        <f t="array" ref="AB17">_xlfn.IFS(ISBLANK(K17), "",TRUE, K17*Y17)</f>
        <v>325.84550400000001</v>
      </c>
      <c r="AC17">
        <f t="shared" si="15"/>
        <v>4546.7992859903998</v>
      </c>
      <c r="AD17">
        <f t="shared" si="9"/>
        <v>211.79957760000002</v>
      </c>
      <c r="AE17" cm="1">
        <f t="array" ref="AE17">_xlfn.IFS(ISBLANK(K17),"",O17="yes",W17*M17, TRUE, (AC17+AD17)*M17)</f>
        <v>2379.2994317951998</v>
      </c>
      <c r="AF17" cm="1">
        <f t="array" ref="AF17">_xlfn.IFS(ISBLANK(K17),"",O17="yes", W17*(1-M17),TRUE, (AC17+AD17)*(1-M17))</f>
        <v>2379.2994317951998</v>
      </c>
      <c r="AG17">
        <f t="shared" si="10"/>
        <v>499.65288067699191</v>
      </c>
      <c r="AH17" s="2" t="s">
        <v>9</v>
      </c>
      <c r="AI17">
        <v>0</v>
      </c>
      <c r="AJ17" t="b">
        <v>0</v>
      </c>
      <c r="AK17">
        <f t="shared" si="16"/>
        <v>0</v>
      </c>
      <c r="AL17">
        <f t="shared" si="17"/>
        <v>0.24</v>
      </c>
      <c r="AM17">
        <f t="shared" si="11"/>
        <v>0</v>
      </c>
      <c r="AN17">
        <f t="shared" si="18"/>
        <v>1.0999999999999999E-2</v>
      </c>
      <c r="AO17">
        <f t="shared" si="19"/>
        <v>1.57</v>
      </c>
      <c r="AP17">
        <f t="shared" si="20"/>
        <v>0</v>
      </c>
      <c r="AS17" t="s">
        <v>96</v>
      </c>
      <c r="AT17" t="s">
        <v>97</v>
      </c>
    </row>
    <row r="18" spans="1:57">
      <c r="A18">
        <v>200</v>
      </c>
      <c r="B18" t="s">
        <v>82</v>
      </c>
      <c r="D18" cm="1">
        <f t="array" ref="D18">IF(ISBLANK(C18), _xlfn.IFS(A18&lt;=80,10.4,A18&lt;=200,10.8,TRUE,8.2),C18)</f>
        <v>10.8</v>
      </c>
      <c r="F18" cm="1">
        <f t="array" ref="F18">IF(ISBLANK(E18),_xlfn.IFS(A18&lt;=80,0.14,A18&lt;=200,0.12,TRUE,0.12),E18)</f>
        <v>0.12</v>
      </c>
      <c r="G18" cm="1">
        <f t="array" ref="G18">_xlfn.IFS(A18&lt;=80,20.4,A18&lt;=200,12.7,TRUE,7)/100</f>
        <v>0.127</v>
      </c>
      <c r="H18">
        <f t="shared" si="12"/>
        <v>0.20736000000000002</v>
      </c>
      <c r="I18">
        <f t="shared" si="13"/>
        <v>0.18102528000000001</v>
      </c>
      <c r="J18">
        <v>500</v>
      </c>
      <c r="K18">
        <f t="shared" si="21"/>
        <v>18102.528000000002</v>
      </c>
      <c r="L18" t="s">
        <v>83</v>
      </c>
      <c r="M18">
        <v>0.45</v>
      </c>
      <c r="N18" t="s">
        <v>84</v>
      </c>
      <c r="O18" t="s">
        <v>85</v>
      </c>
      <c r="P18" t="s">
        <v>86</v>
      </c>
      <c r="Q18">
        <v>1</v>
      </c>
      <c r="R18">
        <f t="shared" si="1"/>
        <v>18102.528000000002</v>
      </c>
      <c r="S18">
        <f t="shared" si="2"/>
        <v>0.6</v>
      </c>
      <c r="T18">
        <f t="shared" si="3"/>
        <v>5.4000000000000003E-3</v>
      </c>
      <c r="U18">
        <f t="shared" si="4"/>
        <v>5.0000000000000001E-3</v>
      </c>
      <c r="V18">
        <f t="shared" si="5"/>
        <v>0.25</v>
      </c>
      <c r="W18">
        <f t="shared" si="22"/>
        <v>6781.2069888000015</v>
      </c>
      <c r="X18">
        <f t="shared" si="23"/>
        <v>6781.2069888000015</v>
      </c>
      <c r="Y18" cm="1">
        <f t="array" ref="Y18">_xlfn.IFS(ISBLANK(K18),"",P18="yes",0.02,TRUE,0)</f>
        <v>0.02</v>
      </c>
      <c r="Z18">
        <f t="shared" si="7"/>
        <v>0</v>
      </c>
      <c r="AA18">
        <f t="shared" si="8"/>
        <v>0.35</v>
      </c>
      <c r="AB18" cm="1">
        <f t="array" ref="AB18">_xlfn.IFS(ISBLANK(K18), "",TRUE, K18*Y18)</f>
        <v>362.05056000000008</v>
      </c>
      <c r="AC18">
        <f t="shared" si="15"/>
        <v>5051.9992066560008</v>
      </c>
      <c r="AD18">
        <f t="shared" si="9"/>
        <v>235.33286400000006</v>
      </c>
      <c r="AE18" cm="1">
        <f t="array" ref="AE18">_xlfn.IFS(ISBLANK(K18),"",O18="yes",W18*M18, TRUE, (AC18+AD18)*M18)</f>
        <v>2379.2994317952002</v>
      </c>
      <c r="AF18" cm="1">
        <f t="array" ref="AF18">_xlfn.IFS(ISBLANK(K18),"",O18="yes", W18*(1-M18),TRUE, (AC18+AD18)*(1-M18))</f>
        <v>2908.0326388608005</v>
      </c>
      <c r="AG18">
        <f t="shared" si="10"/>
        <v>499.65288067699203</v>
      </c>
      <c r="AH18" s="2" t="s">
        <v>4</v>
      </c>
      <c r="AI18">
        <v>0</v>
      </c>
      <c r="AJ18" t="b">
        <v>0</v>
      </c>
      <c r="AK18">
        <f t="shared" si="16"/>
        <v>0</v>
      </c>
      <c r="AL18">
        <f t="shared" si="17"/>
        <v>0.24</v>
      </c>
      <c r="AM18">
        <f t="shared" si="11"/>
        <v>0</v>
      </c>
      <c r="AN18">
        <f t="shared" si="18"/>
        <v>1.0999999999999999E-2</v>
      </c>
      <c r="AO18">
        <f t="shared" si="19"/>
        <v>1.57</v>
      </c>
      <c r="AP18">
        <f t="shared" si="20"/>
        <v>0</v>
      </c>
      <c r="AR18" t="s">
        <v>98</v>
      </c>
    </row>
    <row r="19" spans="1:57">
      <c r="A19">
        <v>220</v>
      </c>
      <c r="B19" t="s">
        <v>82</v>
      </c>
      <c r="D19" cm="1">
        <f t="array" ref="D19">IF(ISBLANK(C19), _xlfn.IFS(A19&lt;=80,10.4,A19&lt;=200,10.8,TRUE,8.2),C19)</f>
        <v>8.1999999999999993</v>
      </c>
      <c r="F19" cm="1">
        <f t="array" ref="F19">IF(ISBLANK(E19),_xlfn.IFS(A19&lt;=80,0.14,A19&lt;=200,0.12,TRUE,0.12),E19)</f>
        <v>0.12</v>
      </c>
      <c r="G19" cm="1">
        <f t="array" ref="G19">_xlfn.IFS(A19&lt;=80,20.4,A19&lt;=200,12.7,TRUE,7)/100</f>
        <v>7.0000000000000007E-2</v>
      </c>
      <c r="H19">
        <f t="shared" si="12"/>
        <v>0.15743999999999997</v>
      </c>
      <c r="I19">
        <f t="shared" si="13"/>
        <v>0.14641919999999997</v>
      </c>
      <c r="J19">
        <v>500</v>
      </c>
      <c r="K19">
        <f t="shared" si="21"/>
        <v>16106.111999999996</v>
      </c>
      <c r="L19" t="s">
        <v>83</v>
      </c>
      <c r="M19">
        <v>0.4</v>
      </c>
      <c r="N19" t="s">
        <v>84</v>
      </c>
      <c r="O19" t="s">
        <v>85</v>
      </c>
      <c r="P19" t="s">
        <v>86</v>
      </c>
      <c r="Q19">
        <v>1</v>
      </c>
      <c r="R19">
        <f t="shared" si="1"/>
        <v>16106.111999999996</v>
      </c>
      <c r="S19">
        <f t="shared" si="2"/>
        <v>0.6</v>
      </c>
      <c r="T19">
        <f t="shared" si="3"/>
        <v>5.4000000000000003E-3</v>
      </c>
      <c r="U19">
        <f t="shared" si="4"/>
        <v>5.0000000000000001E-3</v>
      </c>
      <c r="V19">
        <f t="shared" si="5"/>
        <v>0.25</v>
      </c>
      <c r="W19">
        <f t="shared" si="22"/>
        <v>6033.3495551999986</v>
      </c>
      <c r="X19">
        <f t="shared" si="23"/>
        <v>6033.3495551999986</v>
      </c>
      <c r="Y19" cm="1">
        <f t="array" ref="Y19">_xlfn.IFS(ISBLANK(K19),"",P19="yes",0.02,TRUE,0)</f>
        <v>0.02</v>
      </c>
      <c r="Z19">
        <f t="shared" si="7"/>
        <v>0</v>
      </c>
      <c r="AA19">
        <f t="shared" si="8"/>
        <v>0.35</v>
      </c>
      <c r="AB19" cm="1">
        <f t="array" ref="AB19">_xlfn.IFS(ISBLANK(K19), "",TRUE, K19*Y19)</f>
        <v>322.12223999999992</v>
      </c>
      <c r="AC19">
        <f t="shared" si="15"/>
        <v>4494.8454186239987</v>
      </c>
      <c r="AD19">
        <f t="shared" si="9"/>
        <v>209.37945599999995</v>
      </c>
      <c r="AE19" cm="1">
        <f t="array" ref="AE19">_xlfn.IFS(ISBLANK(K19),"",O19="yes",W19*M19, TRUE, (AC19+AD19)*M19)</f>
        <v>1881.6899498495995</v>
      </c>
      <c r="AF19" cm="1">
        <f t="array" ref="AF19">_xlfn.IFS(ISBLANK(K19),"",O19="yes", W19*(1-M19),TRUE, (AC19+AD19)*(1-M19))</f>
        <v>2822.5349247743989</v>
      </c>
      <c r="AG19">
        <f t="shared" si="10"/>
        <v>395.15488946841589</v>
      </c>
      <c r="AH19" s="2" t="s">
        <v>106</v>
      </c>
      <c r="AI19">
        <v>0</v>
      </c>
      <c r="AJ19" t="b">
        <v>0</v>
      </c>
      <c r="AK19">
        <f t="shared" si="16"/>
        <v>0</v>
      </c>
      <c r="AL19">
        <f t="shared" si="17"/>
        <v>0.24</v>
      </c>
      <c r="AM19">
        <f t="shared" si="11"/>
        <v>0</v>
      </c>
      <c r="AN19">
        <f t="shared" si="18"/>
        <v>1.0999999999999999E-2</v>
      </c>
      <c r="AO19">
        <f t="shared" si="19"/>
        <v>1.57</v>
      </c>
      <c r="AP19">
        <f t="shared" si="20"/>
        <v>0</v>
      </c>
      <c r="AR19" t="s">
        <v>99</v>
      </c>
      <c r="AS19">
        <v>5.4000000000000003E-3</v>
      </c>
      <c r="AT19">
        <v>0.6</v>
      </c>
    </row>
    <row r="20" spans="1:57">
      <c r="A20">
        <v>240</v>
      </c>
      <c r="B20" t="s">
        <v>82</v>
      </c>
      <c r="D20" cm="1">
        <f t="array" ref="D20">IF(ISBLANK(C20), _xlfn.IFS(A20&lt;=80,10.4,A20&lt;=200,10.8,TRUE,8.2),C20)</f>
        <v>8.1999999999999993</v>
      </c>
      <c r="F20" cm="1">
        <f t="array" ref="F20">IF(ISBLANK(E20),_xlfn.IFS(A20&lt;=80,0.14,A20&lt;=200,0.12,TRUE,0.12),E20)</f>
        <v>0.12</v>
      </c>
      <c r="G20" cm="1">
        <f t="array" ref="G20">_xlfn.IFS(A20&lt;=80,20.4,A20&lt;=200,12.7,TRUE,7)/100</f>
        <v>7.0000000000000007E-2</v>
      </c>
      <c r="H20">
        <f t="shared" si="12"/>
        <v>0.15743999999999997</v>
      </c>
      <c r="I20">
        <f t="shared" si="13"/>
        <v>0.14641919999999997</v>
      </c>
      <c r="J20">
        <v>500</v>
      </c>
      <c r="K20">
        <f t="shared" si="21"/>
        <v>17570.303999999996</v>
      </c>
      <c r="L20" t="s">
        <v>83</v>
      </c>
      <c r="M20">
        <v>0.35</v>
      </c>
      <c r="N20" t="s">
        <v>84</v>
      </c>
      <c r="O20" t="s">
        <v>85</v>
      </c>
      <c r="P20" t="s">
        <v>86</v>
      </c>
      <c r="Q20">
        <v>1</v>
      </c>
      <c r="R20">
        <f t="shared" si="1"/>
        <v>17570.303999999996</v>
      </c>
      <c r="S20">
        <f t="shared" si="2"/>
        <v>0.6</v>
      </c>
      <c r="T20">
        <f t="shared" si="3"/>
        <v>5.4000000000000003E-3</v>
      </c>
      <c r="U20">
        <f t="shared" si="4"/>
        <v>5.0000000000000001E-3</v>
      </c>
      <c r="V20">
        <f t="shared" si="5"/>
        <v>0.25</v>
      </c>
      <c r="W20">
        <f t="shared" si="22"/>
        <v>6581.8358783999993</v>
      </c>
      <c r="X20">
        <f t="shared" si="23"/>
        <v>6581.8358783999993</v>
      </c>
      <c r="Y20" cm="1">
        <f t="array" ref="Y20">_xlfn.IFS(ISBLANK(K20),"",P20="yes",0.02,TRUE,0)</f>
        <v>0.02</v>
      </c>
      <c r="Z20">
        <f t="shared" si="7"/>
        <v>0</v>
      </c>
      <c r="AA20">
        <f t="shared" si="8"/>
        <v>0.35</v>
      </c>
      <c r="AB20" cm="1">
        <f t="array" ref="AB20">_xlfn.IFS(ISBLANK(K20), "",TRUE, K20*Y20)</f>
        <v>351.40607999999992</v>
      </c>
      <c r="AC20">
        <f t="shared" si="15"/>
        <v>4903.4677294079993</v>
      </c>
      <c r="AD20">
        <f t="shared" si="9"/>
        <v>228.41395199999997</v>
      </c>
      <c r="AE20" cm="1">
        <f t="array" ref="AE20">_xlfn.IFS(ISBLANK(K20),"",O20="yes",W20*M20, TRUE, (AC20+AD20)*M20)</f>
        <v>1796.1585884927995</v>
      </c>
      <c r="AF20" cm="1">
        <f t="array" ref="AF20">_xlfn.IFS(ISBLANK(K20),"",O20="yes", W20*(1-M20),TRUE, (AC20+AD20)*(1-M20))</f>
        <v>3335.7230929151997</v>
      </c>
      <c r="AG20">
        <f t="shared" si="10"/>
        <v>377.19330358348788</v>
      </c>
      <c r="AH20" s="2" t="s">
        <v>107</v>
      </c>
      <c r="AI20">
        <v>0</v>
      </c>
      <c r="AJ20" t="b">
        <v>0</v>
      </c>
      <c r="AK20">
        <f t="shared" si="16"/>
        <v>0</v>
      </c>
      <c r="AL20">
        <f t="shared" si="17"/>
        <v>0.24</v>
      </c>
      <c r="AM20">
        <f t="shared" si="11"/>
        <v>0</v>
      </c>
      <c r="AN20">
        <f t="shared" si="18"/>
        <v>1.0999999999999999E-2</v>
      </c>
      <c r="AO20">
        <f t="shared" si="19"/>
        <v>1.57</v>
      </c>
      <c r="AP20">
        <f t="shared" si="20"/>
        <v>0</v>
      </c>
      <c r="AR20" t="s">
        <v>84</v>
      </c>
      <c r="AS20">
        <v>5.0000000000000001E-3</v>
      </c>
      <c r="AT20">
        <v>0.25</v>
      </c>
    </row>
    <row r="21" spans="1:57">
      <c r="A21"/>
      <c r="P21"/>
      <c r="AR21" t="s">
        <v>92</v>
      </c>
      <c r="AS21">
        <v>0.01</v>
      </c>
      <c r="AT21">
        <v>0.4</v>
      </c>
    </row>
    <row r="22" spans="1:57">
      <c r="A22"/>
      <c r="P22"/>
      <c r="AR22" t="s">
        <v>100</v>
      </c>
      <c r="AS22">
        <v>0</v>
      </c>
      <c r="AT22">
        <v>0.35</v>
      </c>
    </row>
    <row r="23" spans="1:57">
      <c r="A23"/>
      <c r="P23"/>
      <c r="BE23" t="str">
        <f>IF(ISBLANK(C23), "", D23/C23)</f>
        <v/>
      </c>
    </row>
    <row r="24" spans="1:57">
      <c r="A24"/>
      <c r="P24"/>
      <c r="BE24" t="str">
        <f>IF(ISBLANK(C24), "", D24/C24)</f>
        <v/>
      </c>
    </row>
    <row r="25" spans="1:57">
      <c r="A25"/>
      <c r="P25"/>
      <c r="AR25" t="s">
        <v>101</v>
      </c>
      <c r="AV25" s="8"/>
      <c r="BE25" t="str">
        <f>IF(ISBLANK(C25), "", D25/C25)</f>
        <v/>
      </c>
    </row>
    <row r="26" spans="1:57">
      <c r="A26"/>
      <c r="P26"/>
      <c r="AE26" t="str">
        <f>IF(ISBLANK(K26), "", K26* IF(ISBLANK(#REF!),#REF!,#REF!))</f>
        <v/>
      </c>
      <c r="AR26" t="s">
        <v>102</v>
      </c>
      <c r="AV26" s="8"/>
      <c r="BE26" t="str">
        <f>IF(ISBLANK(C26), "", D26/C26)</f>
        <v/>
      </c>
    </row>
    <row r="27" spans="1:57">
      <c r="A27"/>
      <c r="P27"/>
      <c r="AE27" t="str">
        <f>IF(ISBLANK(K27), "", K27* IF(ISBLANK(#REF!),#REF!,#REF!))</f>
        <v/>
      </c>
      <c r="AR27" t="s">
        <v>103</v>
      </c>
      <c r="AS27">
        <v>10.4</v>
      </c>
      <c r="AV27" s="8"/>
    </row>
    <row r="28" spans="1:57">
      <c r="A28"/>
      <c r="P28"/>
      <c r="AR28" t="s">
        <v>104</v>
      </c>
      <c r="AS28">
        <v>10.8</v>
      </c>
      <c r="AV28" s="8"/>
    </row>
    <row r="29" spans="1:57">
      <c r="A29"/>
      <c r="P29"/>
      <c r="AR29" t="s">
        <v>105</v>
      </c>
      <c r="AS29">
        <v>8.1999999999999993</v>
      </c>
      <c r="AV29" s="8"/>
    </row>
    <row r="30" spans="1:57">
      <c r="A30"/>
      <c r="P30"/>
      <c r="AR30" s="2"/>
      <c r="AS30" s="2"/>
      <c r="AV30" s="8"/>
    </row>
    <row r="31" spans="1:57">
      <c r="A31"/>
      <c r="P31"/>
      <c r="AR31" s="2"/>
      <c r="AS31" s="2"/>
      <c r="AV31" s="8"/>
    </row>
    <row r="32" spans="1:57">
      <c r="A32"/>
      <c r="P32"/>
      <c r="AR32" s="2"/>
      <c r="AS32" s="2"/>
      <c r="AV32" s="8"/>
    </row>
    <row r="33" spans="1:48">
      <c r="A33"/>
      <c r="P33"/>
      <c r="AR33" s="2"/>
      <c r="AS33" s="2"/>
      <c r="AV33" s="8"/>
    </row>
    <row r="34" spans="1:48">
      <c r="A34"/>
      <c r="P34"/>
      <c r="AR34" s="2"/>
      <c r="AS34" s="2"/>
      <c r="AV34" s="8"/>
    </row>
    <row r="35" spans="1:48">
      <c r="A35"/>
      <c r="P35"/>
      <c r="AR35" s="2"/>
      <c r="AS35" s="2"/>
      <c r="AV35" s="8"/>
    </row>
    <row r="36" spans="1:48">
      <c r="A36"/>
      <c r="P36"/>
      <c r="AR36" s="2"/>
      <c r="AS36" s="2"/>
      <c r="AV36" s="8"/>
    </row>
    <row r="37" spans="1:48">
      <c r="A37"/>
      <c r="P37"/>
      <c r="AV37" s="8"/>
    </row>
    <row r="38" spans="1:48">
      <c r="A38"/>
      <c r="P38"/>
      <c r="AR38" s="2"/>
      <c r="AV38" s="8"/>
    </row>
    <row r="39" spans="1:48">
      <c r="A39"/>
      <c r="P39"/>
      <c r="AR39" s="2"/>
      <c r="AS39" s="2"/>
      <c r="AV39" s="8"/>
    </row>
    <row r="40" spans="1:48">
      <c r="A40"/>
      <c r="P40"/>
      <c r="AR40" s="2"/>
      <c r="AS40" s="2"/>
      <c r="AV40" s="8"/>
    </row>
    <row r="41" spans="1:48">
      <c r="AR41" s="2"/>
      <c r="AS41" s="2"/>
      <c r="AV41" s="8"/>
    </row>
    <row r="42" spans="1:48">
      <c r="AR42" s="2"/>
      <c r="AS42" s="2"/>
      <c r="AV42" s="8"/>
    </row>
    <row r="43" spans="1:48">
      <c r="AR43" s="2"/>
      <c r="AS43" s="2"/>
      <c r="AV4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9CAC-F49E-9B4C-B15F-B5594544B538}">
  <dimension ref="A1:S34"/>
  <sheetViews>
    <sheetView tabSelected="1" workbookViewId="0">
      <selection activeCell="G7" sqref="G7"/>
    </sheetView>
  </sheetViews>
  <sheetFormatPr baseColWidth="10" defaultRowHeight="16"/>
  <cols>
    <col min="1" max="1" width="17.33203125" style="3" customWidth="1"/>
    <col min="2" max="4" width="26.6640625" customWidth="1"/>
    <col min="7" max="7" width="16.5" customWidth="1"/>
    <col min="9" max="9" width="18.1640625" customWidth="1"/>
    <col min="12" max="12" width="14.6640625" bestFit="1" customWidth="1"/>
    <col min="13" max="15" width="14.6640625" customWidth="1"/>
    <col min="16" max="16" width="12.6640625" bestFit="1" customWidth="1"/>
    <col min="18" max="18" width="36" customWidth="1"/>
  </cols>
  <sheetData>
    <row r="1" spans="1:19" ht="17">
      <c r="A1" s="3" t="s">
        <v>0</v>
      </c>
      <c r="H1" s="1" t="s">
        <v>128</v>
      </c>
      <c r="P1" s="1" t="s">
        <v>127</v>
      </c>
    </row>
    <row r="2" spans="1:19">
      <c r="E2" t="s">
        <v>126</v>
      </c>
      <c r="H2" s="1"/>
      <c r="P2" s="1"/>
    </row>
    <row r="3" spans="1:19" ht="17">
      <c r="A3" s="4" t="s">
        <v>125</v>
      </c>
      <c r="B3" s="5" t="s">
        <v>17</v>
      </c>
      <c r="C3" s="5" t="s">
        <v>124</v>
      </c>
      <c r="D3" t="s">
        <v>123</v>
      </c>
      <c r="E3" s="5" t="s">
        <v>16</v>
      </c>
      <c r="F3" t="s">
        <v>122</v>
      </c>
      <c r="G3" s="5" t="s">
        <v>121</v>
      </c>
      <c r="H3" t="s">
        <v>15</v>
      </c>
      <c r="I3" s="5" t="s">
        <v>110</v>
      </c>
      <c r="J3" t="s">
        <v>115</v>
      </c>
      <c r="K3" t="s">
        <v>116</v>
      </c>
      <c r="L3" t="s">
        <v>112</v>
      </c>
      <c r="M3" t="s">
        <v>114</v>
      </c>
      <c r="N3" t="s">
        <v>2</v>
      </c>
      <c r="O3" t="s">
        <v>113</v>
      </c>
      <c r="P3" s="6" t="s">
        <v>111</v>
      </c>
      <c r="R3" s="7" t="s">
        <v>1</v>
      </c>
    </row>
    <row r="4" spans="1:19" ht="17">
      <c r="A4" s="3" t="s">
        <v>5</v>
      </c>
      <c r="B4" t="s">
        <v>21</v>
      </c>
      <c r="E4">
        <v>50</v>
      </c>
      <c r="F4">
        <f t="shared" ref="F4:F11" si="0">IF(ISBLANK(B4), "", VLOOKUP(B4,$R$28:$S$34, 2, FALSE))</f>
        <v>0.46</v>
      </c>
      <c r="H4">
        <f t="shared" ref="H4:H13" si="1">IF(ISBLANK(B4), "", IF(ISNUMBER(G4), G4*E4, F4*E4))</f>
        <v>23</v>
      </c>
      <c r="I4" t="b">
        <v>1</v>
      </c>
      <c r="J4">
        <f>IF(I4, 1, 0)</f>
        <v>1</v>
      </c>
      <c r="K4">
        <f>$S$5</f>
        <v>0.24</v>
      </c>
      <c r="L4">
        <f>H4*J4*K4</f>
        <v>5.52</v>
      </c>
      <c r="M4">
        <f>$S$6</f>
        <v>1.0999999999999999E-2</v>
      </c>
      <c r="N4">
        <f>$S$4</f>
        <v>1.57</v>
      </c>
      <c r="O4">
        <v>0</v>
      </c>
      <c r="P4" s="13">
        <f>(O4+L4)*M4*N4*10^-3</f>
        <v>9.5330399999999984E-5</v>
      </c>
      <c r="R4" t="s">
        <v>2</v>
      </c>
      <c r="S4">
        <f>[1]!common_cn2o</f>
        <v>1.57</v>
      </c>
    </row>
    <row r="5" spans="1:19" ht="17">
      <c r="A5" s="3" t="s">
        <v>4</v>
      </c>
      <c r="B5" t="s">
        <v>24</v>
      </c>
      <c r="E5">
        <v>40</v>
      </c>
      <c r="F5">
        <f t="shared" si="0"/>
        <v>0.18</v>
      </c>
      <c r="H5">
        <f t="shared" si="1"/>
        <v>7.1999999999999993</v>
      </c>
      <c r="I5" t="b">
        <v>1</v>
      </c>
      <c r="J5">
        <f t="shared" ref="J5:J11" si="2">IF(I5, 1, 0)</f>
        <v>1</v>
      </c>
      <c r="K5">
        <f t="shared" ref="K5:K7" si="3">$S$5</f>
        <v>0.24</v>
      </c>
      <c r="L5">
        <f t="shared" ref="L5:L6" si="4">H5*J5*K5</f>
        <v>1.7279999999999998</v>
      </c>
      <c r="M5">
        <f>$S$6</f>
        <v>1.0999999999999999E-2</v>
      </c>
      <c r="N5">
        <f>$S$4</f>
        <v>1.57</v>
      </c>
      <c r="O5">
        <v>0</v>
      </c>
      <c r="P5" s="13">
        <f t="shared" ref="P5:P6" si="5">(O5+L5)*M5*N5*10^-3</f>
        <v>2.9842559999999998E-5</v>
      </c>
      <c r="R5" t="s">
        <v>116</v>
      </c>
      <c r="S5">
        <v>0.24</v>
      </c>
    </row>
    <row r="6" spans="1:19">
      <c r="A6" s="2" t="s">
        <v>10</v>
      </c>
      <c r="B6" s="2" t="s">
        <v>22</v>
      </c>
      <c r="C6" s="2"/>
      <c r="E6">
        <v>30</v>
      </c>
      <c r="F6">
        <f t="shared" si="0"/>
        <v>0.21</v>
      </c>
      <c r="G6">
        <v>0.25</v>
      </c>
      <c r="H6">
        <f t="shared" si="1"/>
        <v>7.5</v>
      </c>
      <c r="I6" t="b">
        <v>1</v>
      </c>
      <c r="J6">
        <f t="shared" si="2"/>
        <v>1</v>
      </c>
      <c r="K6">
        <f t="shared" si="3"/>
        <v>0.24</v>
      </c>
      <c r="L6">
        <f t="shared" si="4"/>
        <v>1.7999999999999998</v>
      </c>
      <c r="M6">
        <f>$S$6</f>
        <v>1.0999999999999999E-2</v>
      </c>
      <c r="N6">
        <f>$S$4</f>
        <v>1.57</v>
      </c>
      <c r="O6">
        <v>0</v>
      </c>
      <c r="P6" s="13">
        <f t="shared" si="5"/>
        <v>3.1086E-5</v>
      </c>
      <c r="R6" s="2" t="s">
        <v>114</v>
      </c>
      <c r="S6" s="2">
        <v>1.0999999999999999E-2</v>
      </c>
    </row>
    <row r="7" spans="1:19">
      <c r="A7" s="2" t="s">
        <v>106</v>
      </c>
      <c r="B7" s="2" t="s">
        <v>22</v>
      </c>
      <c r="C7" s="2"/>
      <c r="E7">
        <v>31</v>
      </c>
      <c r="F7">
        <f t="shared" ref="F7" si="6">IF(ISBLANK(B7), "", VLOOKUP(B7,$R$28:$S$34, 2, FALSE))</f>
        <v>0.21</v>
      </c>
      <c r="G7">
        <v>0.125</v>
      </c>
      <c r="H7">
        <f t="shared" ref="H7" si="7">IF(ISBLANK(B7), "", IF(ISNUMBER(G7), G7*E7, F7*E7))</f>
        <v>3.875</v>
      </c>
      <c r="I7" t="b">
        <v>0</v>
      </c>
      <c r="J7">
        <f t="shared" ref="J7" si="8">IF(I7, 1, 0)</f>
        <v>0</v>
      </c>
      <c r="K7">
        <f t="shared" si="3"/>
        <v>0.24</v>
      </c>
      <c r="L7">
        <f t="shared" ref="L7" si="9">H7*J7*K7</f>
        <v>0</v>
      </c>
      <c r="M7">
        <f>$S$6</f>
        <v>1.0999999999999999E-2</v>
      </c>
      <c r="N7">
        <f>$S$4</f>
        <v>1.57</v>
      </c>
      <c r="O7">
        <v>0</v>
      </c>
      <c r="P7" s="13">
        <f t="shared" ref="P7" si="10">(O7+L7)*M7*N7*10^-3</f>
        <v>0</v>
      </c>
      <c r="R7" s="9" t="s">
        <v>26</v>
      </c>
      <c r="S7" s="2">
        <v>0.21</v>
      </c>
    </row>
    <row r="8" spans="1:19">
      <c r="F8" t="str">
        <f t="shared" si="0"/>
        <v/>
      </c>
      <c r="H8" t="str">
        <f t="shared" si="1"/>
        <v/>
      </c>
      <c r="P8" t="str">
        <f>IF(ISBLANK(A8), "", H8*I8*J8/1000)</f>
        <v/>
      </c>
    </row>
    <row r="9" spans="1:19" ht="17">
      <c r="A9" s="12" t="s">
        <v>120</v>
      </c>
      <c r="F9" t="str">
        <f t="shared" si="0"/>
        <v/>
      </c>
      <c r="H9" t="str">
        <f t="shared" si="1"/>
        <v/>
      </c>
    </row>
    <row r="10" spans="1:19" ht="34">
      <c r="A10" s="3" t="s">
        <v>119</v>
      </c>
      <c r="B10" s="2" t="s">
        <v>22</v>
      </c>
      <c r="C10" s="2">
        <f>175</f>
        <v>175</v>
      </c>
      <c r="D10">
        <f>E10/C10</f>
        <v>40</v>
      </c>
      <c r="E10">
        <v>7000</v>
      </c>
      <c r="F10">
        <f t="shared" si="0"/>
        <v>0.21</v>
      </c>
      <c r="H10">
        <f t="shared" si="1"/>
        <v>1470</v>
      </c>
      <c r="I10" t="b">
        <v>1</v>
      </c>
      <c r="J10">
        <f t="shared" si="2"/>
        <v>1</v>
      </c>
      <c r="K10">
        <f>$S$5</f>
        <v>0.24</v>
      </c>
      <c r="L10">
        <f>H10*J10*K10</f>
        <v>352.8</v>
      </c>
      <c r="M10">
        <f>$S$6</f>
        <v>1.0999999999999999E-2</v>
      </c>
      <c r="N10">
        <f>$S$4</f>
        <v>1.57</v>
      </c>
      <c r="O10">
        <v>0</v>
      </c>
      <c r="P10" s="11">
        <f>(O10+L10)*M10*N10*10^-3</f>
        <v>6.0928560000000007E-3</v>
      </c>
      <c r="R10" t="s">
        <v>3</v>
      </c>
    </row>
    <row r="11" spans="1:19" ht="34">
      <c r="A11" s="3" t="s">
        <v>119</v>
      </c>
      <c r="B11" t="s">
        <v>21</v>
      </c>
      <c r="C11">
        <v>85</v>
      </c>
      <c r="D11">
        <f>E11/C11</f>
        <v>35.294117647058826</v>
      </c>
      <c r="E11">
        <v>3000</v>
      </c>
      <c r="F11">
        <f t="shared" si="0"/>
        <v>0.46</v>
      </c>
      <c r="G11">
        <v>0.4</v>
      </c>
      <c r="H11">
        <f t="shared" si="1"/>
        <v>1200</v>
      </c>
      <c r="I11" t="b">
        <v>1</v>
      </c>
      <c r="J11">
        <f t="shared" si="2"/>
        <v>1</v>
      </c>
      <c r="K11">
        <f>$S$5</f>
        <v>0.24</v>
      </c>
      <c r="L11">
        <f>H11*J11*K11</f>
        <v>288</v>
      </c>
      <c r="M11">
        <f>$S$6</f>
        <v>1.0999999999999999E-2</v>
      </c>
      <c r="N11">
        <f>$S$4</f>
        <v>1.57</v>
      </c>
      <c r="O11">
        <v>0</v>
      </c>
      <c r="P11" s="11">
        <f>(O11+L11)*M11*N11*10^-3</f>
        <v>4.9737599999999998E-3</v>
      </c>
      <c r="R11" s="2" t="s">
        <v>4</v>
      </c>
      <c r="S11" s="2">
        <v>5.8999999999999999E-3</v>
      </c>
    </row>
    <row r="12" spans="1:19" ht="34">
      <c r="A12" s="3" t="s">
        <v>119</v>
      </c>
      <c r="B12" t="s">
        <v>21</v>
      </c>
      <c r="C12">
        <v>86</v>
      </c>
      <c r="D12">
        <f>E12/C12</f>
        <v>34.895348837209305</v>
      </c>
      <c r="E12">
        <v>3001</v>
      </c>
      <c r="F12">
        <f t="shared" ref="F12" si="11">IF(ISBLANK(B12), "", VLOOKUP(B12,$R$28:$S$34, 2, FALSE))</f>
        <v>0.46</v>
      </c>
      <c r="G12">
        <v>0.14000000000000001</v>
      </c>
      <c r="H12">
        <f t="shared" ref="H12" si="12">IF(ISBLANK(B12), "", IF(ISNUMBER(G12), G12*E12, F12*E12))</f>
        <v>420.14000000000004</v>
      </c>
      <c r="I12" t="b">
        <v>0</v>
      </c>
      <c r="J12">
        <f t="shared" ref="J12" si="13">IF(I12, 1, 0)</f>
        <v>0</v>
      </c>
      <c r="K12">
        <f>$S$5</f>
        <v>0.24</v>
      </c>
      <c r="L12">
        <f>H12*J12*K12</f>
        <v>0</v>
      </c>
      <c r="M12">
        <f>$S$6</f>
        <v>1.0999999999999999E-2</v>
      </c>
      <c r="N12">
        <f>$S$4</f>
        <v>1.57</v>
      </c>
      <c r="O12">
        <v>0</v>
      </c>
      <c r="P12" s="11">
        <f>(O12+L12)*M12*N12*10^-3</f>
        <v>0</v>
      </c>
      <c r="R12" s="2" t="s">
        <v>5</v>
      </c>
      <c r="S12" s="2">
        <v>7.0000000000000001E-3</v>
      </c>
    </row>
    <row r="13" spans="1:19">
      <c r="F13" t="str">
        <f>IF(ISBLANK(B13), "", VLOOKUP(B13,$R$28:$S$34, 2, FALSE))</f>
        <v/>
      </c>
      <c r="H13" t="str">
        <f t="shared" si="1"/>
        <v/>
      </c>
      <c r="R13" s="2" t="s">
        <v>6</v>
      </c>
      <c r="S13" s="2">
        <v>1.8E-3</v>
      </c>
    </row>
    <row r="14" spans="1:19">
      <c r="B14" s="2"/>
      <c r="C14" s="2"/>
      <c r="R14" s="2" t="s">
        <v>106</v>
      </c>
      <c r="S14" s="2">
        <v>2.8999999999999998E-3</v>
      </c>
    </row>
    <row r="15" spans="1:19">
      <c r="B15" s="2"/>
      <c r="C15" s="2"/>
      <c r="R15" s="2" t="s">
        <v>107</v>
      </c>
      <c r="S15" s="2">
        <v>8.0000000000000002E-3</v>
      </c>
    </row>
    <row r="16" spans="1:19">
      <c r="H16" t="str">
        <f>IF(ISBLANK(B16), "", IF(ISNUMBER(G16), G16*E16, F16*E16))</f>
        <v/>
      </c>
      <c r="R16" s="2" t="s">
        <v>7</v>
      </c>
      <c r="S16" s="2">
        <v>1.9900000000000001E-2</v>
      </c>
    </row>
    <row r="17" spans="2:19">
      <c r="F17" t="str">
        <f>IF(ISBLANK(B17), "", VLOOKUP(B17,$R$28:$S$34, 2, FALSE))</f>
        <v/>
      </c>
      <c r="H17" t="str">
        <f>IF(ISBLANK(B17), "", IF(ISNUMBER(G17), G17*E17, F17*E17))</f>
        <v/>
      </c>
      <c r="P17" t="str">
        <f>IF(ISBLANK(A17), "", H17*I17*J17/1000)</f>
        <v/>
      </c>
      <c r="R17" s="2" t="s">
        <v>8</v>
      </c>
      <c r="S17" s="2">
        <v>5.3E-3</v>
      </c>
    </row>
    <row r="18" spans="2:19">
      <c r="F18" t="str">
        <f>IF(ISBLANK(B18), "", VLOOKUP(B18,$R$28:$S$34, 2, FALSE))</f>
        <v/>
      </c>
      <c r="H18" t="str">
        <f>IF(ISBLANK(B18), "", IF(ISNUMBER(G18), G18*E18, F18*E18))</f>
        <v/>
      </c>
      <c r="P18" t="str">
        <f>IF(ISBLANK(A18), "", H18*I18*J18/1000)</f>
        <v/>
      </c>
      <c r="R18" s="2" t="s">
        <v>9</v>
      </c>
      <c r="S18" s="2">
        <v>6.4000000000000003E-3</v>
      </c>
    </row>
    <row r="19" spans="2:19">
      <c r="F19" t="str">
        <f>IF(ISBLANK(B19), "", VLOOKUP(B19,$R$28:$S$34, 2, FALSE))</f>
        <v/>
      </c>
      <c r="H19" t="str">
        <f>IF(ISBLANK(B19), "", IF(ISNUMBER(G19), G19*E19, F19*E19))</f>
        <v/>
      </c>
      <c r="R19" s="2" t="s">
        <v>10</v>
      </c>
      <c r="S19" s="2">
        <v>2.5999999999999999E-3</v>
      </c>
    </row>
    <row r="20" spans="2:19">
      <c r="B20" s="2"/>
      <c r="C20" s="2"/>
      <c r="R20" s="2" t="s">
        <v>11</v>
      </c>
      <c r="S20" s="2">
        <v>3.0000000000000001E-3</v>
      </c>
    </row>
    <row r="21" spans="2:19">
      <c r="B21" s="2"/>
      <c r="C21" s="2"/>
      <c r="R21" s="2" t="s">
        <v>12</v>
      </c>
      <c r="S21" s="2">
        <v>5.0000000000000001E-3</v>
      </c>
    </row>
    <row r="22" spans="2:19">
      <c r="B22" s="2"/>
      <c r="C22" s="2"/>
      <c r="R22" s="2" t="s">
        <v>10</v>
      </c>
      <c r="S22" s="2">
        <v>2.5999999999999999E-3</v>
      </c>
    </row>
    <row r="23" spans="2:19">
      <c r="B23" s="2"/>
      <c r="C23" s="2"/>
      <c r="R23" s="2" t="s">
        <v>13</v>
      </c>
      <c r="S23" s="2">
        <v>1.8E-3</v>
      </c>
    </row>
    <row r="24" spans="2:19">
      <c r="H24" t="str">
        <f>IF(ISBLANK(B24), "", IF(ISNUMBER(G24), G24*E24, F24*E24))</f>
        <v/>
      </c>
    </row>
    <row r="27" spans="2:19">
      <c r="R27" s="2" t="s">
        <v>18</v>
      </c>
    </row>
    <row r="28" spans="2:19">
      <c r="R28" s="2" t="s">
        <v>19</v>
      </c>
      <c r="S28" s="2">
        <v>0.1</v>
      </c>
    </row>
    <row r="29" spans="2:19">
      <c r="R29" s="2" t="s">
        <v>20</v>
      </c>
      <c r="S29" s="2">
        <v>0.18</v>
      </c>
    </row>
    <row r="30" spans="2:19">
      <c r="R30" s="2" t="s">
        <v>21</v>
      </c>
      <c r="S30" s="2">
        <v>0.46</v>
      </c>
    </row>
    <row r="31" spans="2:19">
      <c r="R31" s="2" t="s">
        <v>22</v>
      </c>
      <c r="S31" s="2">
        <v>0.21</v>
      </c>
    </row>
    <row r="32" spans="2:19">
      <c r="R32" s="2" t="s">
        <v>118</v>
      </c>
      <c r="S32" s="2">
        <v>0.32</v>
      </c>
    </row>
    <row r="33" spans="18:19">
      <c r="R33" s="2" t="s">
        <v>23</v>
      </c>
      <c r="S33" s="2">
        <v>0.33700000000000002</v>
      </c>
    </row>
    <row r="34" spans="18:19">
      <c r="R34" s="2" t="s">
        <v>117</v>
      </c>
      <c r="S34" s="2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5.5.1.1 (feedlot local)</vt:lpstr>
      <vt:lpstr>5.5.1.1 (inorganic)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2026-10-22T06:06:55Z</dcterms:modified>
</cp:coreProperties>
</file>