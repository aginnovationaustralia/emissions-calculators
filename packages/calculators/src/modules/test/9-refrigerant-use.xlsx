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94513C34-C6B9-EB4F-8728-52ED93DF94CC}" xr6:coauthVersionLast="47" xr6:coauthVersionMax="47" xr10:uidLastSave="{00000000-0000-0000-0000-000000000000}"/>
  <bookViews>
    <workbookView xWindow="51320" yWindow="5300" windowWidth="28800" windowHeight="23200" xr2:uid="{5678E890-3691-CF46-80E7-00FB1F103661}"/>
  </bookViews>
  <sheets>
    <sheet name="9.1" sheetId="3" r:id="rId1"/>
    <sheet name="GW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3" l="1"/>
  <c r="C72" i="3"/>
  <c r="C73" i="3"/>
  <c r="C74" i="3"/>
  <c r="F74" i="3" s="1"/>
  <c r="C75" i="3"/>
  <c r="F75" i="3" s="1"/>
  <c r="C46" i="3"/>
  <c r="C47" i="3"/>
  <c r="F47" i="3" s="1"/>
  <c r="C48" i="3"/>
  <c r="F48" i="3" s="1"/>
  <c r="C49" i="3"/>
  <c r="F49" i="3" s="1"/>
  <c r="C50" i="3"/>
  <c r="F50" i="3" s="1"/>
  <c r="C51" i="3"/>
  <c r="F51" i="3" s="1"/>
  <c r="C52" i="3"/>
  <c r="F52" i="3" s="1"/>
  <c r="C53" i="3"/>
  <c r="F53" i="3" s="1"/>
  <c r="C54" i="3"/>
  <c r="F54" i="3" s="1"/>
  <c r="C55" i="3"/>
  <c r="F55" i="3" s="1"/>
  <c r="C56" i="3"/>
  <c r="F56" i="3" s="1"/>
  <c r="C57" i="3"/>
  <c r="F57" i="3" s="1"/>
  <c r="C58" i="3"/>
  <c r="C59" i="3"/>
  <c r="F59" i="3" s="1"/>
  <c r="G59" i="3" s="1"/>
  <c r="C60" i="3"/>
  <c r="F60" i="3" s="1"/>
  <c r="G60" i="3" s="1"/>
  <c r="C61" i="3"/>
  <c r="F61" i="3" s="1"/>
  <c r="G61" i="3" s="1"/>
  <c r="C62" i="3"/>
  <c r="F62" i="3" s="1"/>
  <c r="C63" i="3"/>
  <c r="F63" i="3" s="1"/>
  <c r="C64" i="3"/>
  <c r="F64" i="3" s="1"/>
  <c r="C65" i="3"/>
  <c r="F65" i="3" s="1"/>
  <c r="C66" i="3"/>
  <c r="F66" i="3" s="1"/>
  <c r="C67" i="3"/>
  <c r="F67" i="3" s="1"/>
  <c r="C68" i="3"/>
  <c r="F68" i="3" s="1"/>
  <c r="C69" i="3"/>
  <c r="F69" i="3" s="1"/>
  <c r="C70" i="3"/>
  <c r="C12" i="3"/>
  <c r="F12" i="3" s="1"/>
  <c r="G12" i="3" s="1"/>
  <c r="C13" i="3"/>
  <c r="F13" i="3" s="1"/>
  <c r="G13" i="3" s="1"/>
  <c r="C14" i="3"/>
  <c r="F14" i="3" s="1"/>
  <c r="G14" i="3" s="1"/>
  <c r="C15" i="3"/>
  <c r="F15" i="3" s="1"/>
  <c r="C16" i="3"/>
  <c r="F16" i="3" s="1"/>
  <c r="C17" i="3"/>
  <c r="F17" i="3" s="1"/>
  <c r="G17" i="3" s="1"/>
  <c r="C18" i="3"/>
  <c r="F18" i="3" s="1"/>
  <c r="C19" i="3"/>
  <c r="F19" i="3" s="1"/>
  <c r="C20" i="3"/>
  <c r="F20" i="3" s="1"/>
  <c r="C21" i="3"/>
  <c r="C22" i="3"/>
  <c r="F22" i="3" s="1"/>
  <c r="G22" i="3" s="1"/>
  <c r="C23" i="3"/>
  <c r="F23" i="3" s="1"/>
  <c r="C24" i="3"/>
  <c r="F24" i="3" s="1"/>
  <c r="G24" i="3" s="1"/>
  <c r="C25" i="3"/>
  <c r="F25" i="3" s="1"/>
  <c r="G25" i="3" s="1"/>
  <c r="C26" i="3"/>
  <c r="C27" i="3"/>
  <c r="C28" i="3"/>
  <c r="C29" i="3"/>
  <c r="C30" i="3"/>
  <c r="F30" i="3" s="1"/>
  <c r="C31" i="3"/>
  <c r="F31" i="3" s="1"/>
  <c r="C32" i="3"/>
  <c r="F32" i="3" s="1"/>
  <c r="C33" i="3"/>
  <c r="F33" i="3" s="1"/>
  <c r="G33" i="3" s="1"/>
  <c r="C34" i="3"/>
  <c r="F34" i="3" s="1"/>
  <c r="G34" i="3" s="1"/>
  <c r="C35" i="3"/>
  <c r="F35" i="3" s="1"/>
  <c r="C36" i="3"/>
  <c r="F36" i="3" s="1"/>
  <c r="C37" i="3"/>
  <c r="F37" i="3" s="1"/>
  <c r="G37" i="3" s="1"/>
  <c r="C38" i="3"/>
  <c r="F38" i="3" s="1"/>
  <c r="C39" i="3"/>
  <c r="F39" i="3" s="1"/>
  <c r="C40" i="3"/>
  <c r="F40" i="3" s="1"/>
  <c r="C41" i="3"/>
  <c r="F41" i="3" s="1"/>
  <c r="G41" i="3" s="1"/>
  <c r="C42" i="3"/>
  <c r="F42" i="3" s="1"/>
  <c r="C43" i="3"/>
  <c r="F43" i="3" s="1"/>
  <c r="C44" i="3"/>
  <c r="F44" i="3" s="1"/>
  <c r="C45" i="3"/>
  <c r="F45" i="3" s="1"/>
  <c r="G45" i="3" s="1"/>
  <c r="C11" i="3"/>
  <c r="F11" i="3" s="1"/>
  <c r="F70" i="3"/>
  <c r="G70" i="3" s="1"/>
  <c r="F71" i="3"/>
  <c r="G71" i="3" s="1"/>
  <c r="F72" i="3"/>
  <c r="G72" i="3" s="1"/>
  <c r="F73" i="3"/>
  <c r="F46" i="3"/>
  <c r="F58" i="3"/>
  <c r="F21" i="3"/>
  <c r="F26" i="3"/>
  <c r="F27" i="3"/>
  <c r="F28" i="3"/>
  <c r="F29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11" i="3"/>
  <c r="J5" i="4"/>
  <c r="J6" i="4"/>
  <c r="J7" i="4"/>
  <c r="S5" i="4"/>
  <c r="T5" i="4"/>
  <c r="U5" i="4"/>
  <c r="V5" i="4"/>
  <c r="W5" i="4"/>
  <c r="X5" i="4"/>
  <c r="Y5" i="4"/>
  <c r="Z5" i="4"/>
  <c r="S6" i="4"/>
  <c r="T6" i="4"/>
  <c r="X6" i="4" s="1"/>
  <c r="U6" i="4"/>
  <c r="V6" i="4"/>
  <c r="W6" i="4"/>
  <c r="Y6" i="4"/>
  <c r="Z6" i="4"/>
  <c r="S7" i="4"/>
  <c r="W7" i="4" s="1"/>
  <c r="T7" i="4"/>
  <c r="X7" i="4" s="1"/>
  <c r="U7" i="4"/>
  <c r="V7" i="4"/>
  <c r="Y7" i="4"/>
  <c r="Z7" i="4"/>
  <c r="G40" i="3" l="1"/>
  <c r="G16" i="3"/>
  <c r="G63" i="3"/>
  <c r="G51" i="3"/>
  <c r="G39" i="3"/>
  <c r="G15" i="3"/>
  <c r="G62" i="3"/>
  <c r="G50" i="3"/>
  <c r="G52" i="3"/>
  <c r="G75" i="3"/>
  <c r="G74" i="3"/>
  <c r="G64" i="3"/>
  <c r="G28" i="3"/>
  <c r="G29" i="3"/>
  <c r="G27" i="3"/>
  <c r="G26" i="3"/>
  <c r="G38" i="3"/>
  <c r="G36" i="3"/>
  <c r="G21" i="3"/>
  <c r="G35" i="3"/>
  <c r="G23" i="3"/>
  <c r="G49" i="3"/>
  <c r="G56" i="3"/>
  <c r="G44" i="3"/>
  <c r="G32" i="3"/>
  <c r="G20" i="3"/>
  <c r="G67" i="3"/>
  <c r="G55" i="3"/>
  <c r="G11" i="3"/>
  <c r="G69" i="3"/>
  <c r="G47" i="3"/>
  <c r="G43" i="3"/>
  <c r="G31" i="3"/>
  <c r="G19" i="3"/>
  <c r="G66" i="3"/>
  <c r="G54" i="3"/>
  <c r="G57" i="3"/>
  <c r="G68" i="3"/>
  <c r="G58" i="3"/>
  <c r="G46" i="3"/>
  <c r="G73" i="3"/>
  <c r="G42" i="3"/>
  <c r="G30" i="3"/>
  <c r="G18" i="3"/>
  <c r="G65" i="3"/>
  <c r="G53" i="3"/>
  <c r="G48" i="3"/>
  <c r="Y45" i="4" l="1"/>
  <c r="Z45" i="4"/>
  <c r="Y46" i="4"/>
  <c r="Z46" i="4"/>
  <c r="Y47" i="4"/>
  <c r="Z47" i="4"/>
  <c r="Y48" i="4"/>
  <c r="Z48" i="4"/>
  <c r="Y49" i="4"/>
  <c r="Z49" i="4"/>
  <c r="Y50" i="4"/>
  <c r="Z50" i="4"/>
  <c r="Y51" i="4"/>
  <c r="Z51" i="4"/>
  <c r="Y52" i="4"/>
  <c r="Z52" i="4"/>
  <c r="Y53" i="4"/>
  <c r="Z53" i="4"/>
  <c r="Y54" i="4"/>
  <c r="Z54" i="4"/>
  <c r="Y55" i="4"/>
  <c r="Z55" i="4"/>
  <c r="Y56" i="4"/>
  <c r="Z56" i="4"/>
  <c r="Z9" i="4"/>
  <c r="Z10" i="4"/>
  <c r="Z11" i="4"/>
  <c r="Z12" i="4"/>
  <c r="Z13" i="4"/>
  <c r="Z14" i="4"/>
  <c r="Z15" i="4"/>
  <c r="Z17" i="4"/>
  <c r="Z18" i="4"/>
  <c r="Z19" i="4"/>
  <c r="Z20" i="4"/>
  <c r="Z21" i="4"/>
  <c r="Z22" i="4"/>
  <c r="Z23" i="4"/>
  <c r="Z24" i="4"/>
  <c r="Z25" i="4"/>
  <c r="Y26" i="4"/>
  <c r="Z26" i="4"/>
  <c r="Y27" i="4"/>
  <c r="Z27" i="4"/>
  <c r="Z28" i="4"/>
  <c r="Z29" i="4"/>
  <c r="Z30" i="4"/>
  <c r="Z31" i="4"/>
  <c r="Z32" i="4"/>
  <c r="Y35" i="4"/>
  <c r="Z35" i="4"/>
  <c r="Y36" i="4"/>
  <c r="Z36" i="4"/>
  <c r="Z37" i="4"/>
  <c r="Z38" i="4"/>
  <c r="Z39" i="4"/>
  <c r="Z40" i="4"/>
  <c r="Y41" i="4"/>
  <c r="Z41" i="4"/>
  <c r="Y42" i="4"/>
  <c r="Z42" i="4"/>
  <c r="Y43" i="4"/>
  <c r="Z43" i="4"/>
  <c r="Y44" i="4"/>
  <c r="Z44" i="4"/>
  <c r="Z8" i="4"/>
  <c r="S9" i="4"/>
  <c r="W9" i="4" s="1"/>
  <c r="T9" i="4"/>
  <c r="X9" i="4" s="1"/>
  <c r="U9" i="4"/>
  <c r="Y9" i="4" s="1"/>
  <c r="V9" i="4"/>
  <c r="S10" i="4"/>
  <c r="W10" i="4" s="1"/>
  <c r="T10" i="4"/>
  <c r="X10" i="4" s="1"/>
  <c r="U10" i="4"/>
  <c r="Y10" i="4" s="1"/>
  <c r="V10" i="4"/>
  <c r="S11" i="4"/>
  <c r="W11" i="4" s="1"/>
  <c r="T11" i="4"/>
  <c r="X11" i="4" s="1"/>
  <c r="U11" i="4"/>
  <c r="Y11" i="4" s="1"/>
  <c r="V11" i="4"/>
  <c r="S12" i="4"/>
  <c r="W12" i="4" s="1"/>
  <c r="T12" i="4"/>
  <c r="X12" i="4" s="1"/>
  <c r="U12" i="4"/>
  <c r="Y12" i="4" s="1"/>
  <c r="V12" i="4"/>
  <c r="S13" i="4"/>
  <c r="W13" i="4" s="1"/>
  <c r="T13" i="4"/>
  <c r="X13" i="4" s="1"/>
  <c r="U13" i="4"/>
  <c r="Y13" i="4" s="1"/>
  <c r="V13" i="4"/>
  <c r="S14" i="4"/>
  <c r="W14" i="4" s="1"/>
  <c r="T14" i="4"/>
  <c r="X14" i="4" s="1"/>
  <c r="U14" i="4"/>
  <c r="Y14" i="4" s="1"/>
  <c r="V14" i="4"/>
  <c r="S15" i="4"/>
  <c r="W15" i="4" s="1"/>
  <c r="T15" i="4"/>
  <c r="X15" i="4" s="1"/>
  <c r="U15" i="4"/>
  <c r="Y15" i="4" s="1"/>
  <c r="V15" i="4"/>
  <c r="S16" i="4"/>
  <c r="W16" i="4" s="1"/>
  <c r="T16" i="4"/>
  <c r="X16" i="4" s="1"/>
  <c r="U16" i="4"/>
  <c r="Y16" i="4" s="1"/>
  <c r="V16" i="4"/>
  <c r="Z16" i="4" s="1"/>
  <c r="S17" i="4"/>
  <c r="W17" i="4" s="1"/>
  <c r="T17" i="4"/>
  <c r="X17" i="4" s="1"/>
  <c r="U17" i="4"/>
  <c r="Y17" i="4" s="1"/>
  <c r="V17" i="4"/>
  <c r="S18" i="4"/>
  <c r="W18" i="4" s="1"/>
  <c r="T18" i="4"/>
  <c r="X18" i="4" s="1"/>
  <c r="U18" i="4"/>
  <c r="Y18" i="4" s="1"/>
  <c r="V18" i="4"/>
  <c r="S19" i="4"/>
  <c r="W19" i="4" s="1"/>
  <c r="T19" i="4"/>
  <c r="X19" i="4" s="1"/>
  <c r="U19" i="4"/>
  <c r="Y19" i="4" s="1"/>
  <c r="V19" i="4"/>
  <c r="S20" i="4"/>
  <c r="W20" i="4" s="1"/>
  <c r="T20" i="4"/>
  <c r="X20" i="4" s="1"/>
  <c r="U20" i="4"/>
  <c r="Y20" i="4" s="1"/>
  <c r="V20" i="4"/>
  <c r="S21" i="4"/>
  <c r="W21" i="4" s="1"/>
  <c r="T21" i="4"/>
  <c r="X21" i="4" s="1"/>
  <c r="U21" i="4"/>
  <c r="Y21" i="4" s="1"/>
  <c r="V21" i="4"/>
  <c r="S22" i="4"/>
  <c r="W22" i="4" s="1"/>
  <c r="T22" i="4"/>
  <c r="X22" i="4" s="1"/>
  <c r="U22" i="4"/>
  <c r="Y22" i="4" s="1"/>
  <c r="V22" i="4"/>
  <c r="S23" i="4"/>
  <c r="W23" i="4" s="1"/>
  <c r="T23" i="4"/>
  <c r="X23" i="4" s="1"/>
  <c r="U23" i="4"/>
  <c r="Y23" i="4" s="1"/>
  <c r="V23" i="4"/>
  <c r="S24" i="4"/>
  <c r="W24" i="4" s="1"/>
  <c r="T24" i="4"/>
  <c r="X24" i="4" s="1"/>
  <c r="U24" i="4"/>
  <c r="Y24" i="4" s="1"/>
  <c r="V24" i="4"/>
  <c r="S25" i="4"/>
  <c r="W25" i="4" s="1"/>
  <c r="T25" i="4"/>
  <c r="X25" i="4" s="1"/>
  <c r="U25" i="4"/>
  <c r="Y25" i="4" s="1"/>
  <c r="V25" i="4"/>
  <c r="S26" i="4"/>
  <c r="W26" i="4" s="1"/>
  <c r="T26" i="4"/>
  <c r="X26" i="4" s="1"/>
  <c r="U26" i="4"/>
  <c r="V26" i="4"/>
  <c r="S27" i="4"/>
  <c r="W27" i="4" s="1"/>
  <c r="T27" i="4"/>
  <c r="X27" i="4" s="1"/>
  <c r="U27" i="4"/>
  <c r="V27" i="4"/>
  <c r="S28" i="4"/>
  <c r="W28" i="4" s="1"/>
  <c r="T28" i="4"/>
  <c r="X28" i="4" s="1"/>
  <c r="U28" i="4"/>
  <c r="Y28" i="4" s="1"/>
  <c r="V28" i="4"/>
  <c r="S29" i="4"/>
  <c r="W29" i="4" s="1"/>
  <c r="T29" i="4"/>
  <c r="X29" i="4" s="1"/>
  <c r="U29" i="4"/>
  <c r="Y29" i="4" s="1"/>
  <c r="V29" i="4"/>
  <c r="S30" i="4"/>
  <c r="W30" i="4" s="1"/>
  <c r="T30" i="4"/>
  <c r="X30" i="4" s="1"/>
  <c r="U30" i="4"/>
  <c r="Y30" i="4" s="1"/>
  <c r="V30" i="4"/>
  <c r="S31" i="4"/>
  <c r="W31" i="4" s="1"/>
  <c r="T31" i="4"/>
  <c r="X31" i="4" s="1"/>
  <c r="U31" i="4"/>
  <c r="Y31" i="4" s="1"/>
  <c r="V31" i="4"/>
  <c r="S32" i="4"/>
  <c r="W32" i="4" s="1"/>
  <c r="T32" i="4"/>
  <c r="X32" i="4" s="1"/>
  <c r="U32" i="4"/>
  <c r="Y32" i="4" s="1"/>
  <c r="V32" i="4"/>
  <c r="S33" i="4"/>
  <c r="W33" i="4" s="1"/>
  <c r="T33" i="4"/>
  <c r="X33" i="4" s="1"/>
  <c r="U33" i="4"/>
  <c r="Y33" i="4" s="1"/>
  <c r="V33" i="4"/>
  <c r="Z33" i="4" s="1"/>
  <c r="S34" i="4"/>
  <c r="W34" i="4" s="1"/>
  <c r="T34" i="4"/>
  <c r="X34" i="4" s="1"/>
  <c r="U34" i="4"/>
  <c r="Y34" i="4" s="1"/>
  <c r="V34" i="4"/>
  <c r="Z34" i="4" s="1"/>
  <c r="S35" i="4"/>
  <c r="W35" i="4" s="1"/>
  <c r="T35" i="4"/>
  <c r="X35" i="4" s="1"/>
  <c r="U35" i="4"/>
  <c r="V35" i="4"/>
  <c r="S36" i="4"/>
  <c r="W36" i="4" s="1"/>
  <c r="T36" i="4"/>
  <c r="X36" i="4" s="1"/>
  <c r="U36" i="4"/>
  <c r="V36" i="4"/>
  <c r="S37" i="4"/>
  <c r="W37" i="4" s="1"/>
  <c r="T37" i="4"/>
  <c r="X37" i="4" s="1"/>
  <c r="U37" i="4"/>
  <c r="Y37" i="4" s="1"/>
  <c r="V37" i="4"/>
  <c r="S38" i="4"/>
  <c r="W38" i="4" s="1"/>
  <c r="T38" i="4"/>
  <c r="X38" i="4" s="1"/>
  <c r="U38" i="4"/>
  <c r="Y38" i="4" s="1"/>
  <c r="V38" i="4"/>
  <c r="S39" i="4"/>
  <c r="W39" i="4" s="1"/>
  <c r="T39" i="4"/>
  <c r="X39" i="4" s="1"/>
  <c r="U39" i="4"/>
  <c r="Y39" i="4" s="1"/>
  <c r="V39" i="4"/>
  <c r="S40" i="4"/>
  <c r="W40" i="4" s="1"/>
  <c r="T40" i="4"/>
  <c r="X40" i="4" s="1"/>
  <c r="U40" i="4"/>
  <c r="Y40" i="4" s="1"/>
  <c r="V40" i="4"/>
  <c r="S41" i="4"/>
  <c r="W41" i="4" s="1"/>
  <c r="T41" i="4"/>
  <c r="X41" i="4" s="1"/>
  <c r="U41" i="4"/>
  <c r="V41" i="4"/>
  <c r="S42" i="4"/>
  <c r="W42" i="4" s="1"/>
  <c r="T42" i="4"/>
  <c r="X42" i="4" s="1"/>
  <c r="U42" i="4"/>
  <c r="V42" i="4"/>
  <c r="S43" i="4"/>
  <c r="W43" i="4" s="1"/>
  <c r="T43" i="4"/>
  <c r="X43" i="4" s="1"/>
  <c r="U43" i="4"/>
  <c r="V43" i="4"/>
  <c r="S44" i="4"/>
  <c r="W44" i="4" s="1"/>
  <c r="T44" i="4"/>
  <c r="X44" i="4" s="1"/>
  <c r="U44" i="4"/>
  <c r="V44" i="4"/>
  <c r="S45" i="4"/>
  <c r="W45" i="4" s="1"/>
  <c r="T45" i="4"/>
  <c r="X45" i="4" s="1"/>
  <c r="U45" i="4"/>
  <c r="V45" i="4"/>
  <c r="S46" i="4"/>
  <c r="W46" i="4" s="1"/>
  <c r="T46" i="4"/>
  <c r="X46" i="4" s="1"/>
  <c r="U46" i="4"/>
  <c r="V46" i="4"/>
  <c r="S47" i="4"/>
  <c r="W47" i="4" s="1"/>
  <c r="T47" i="4"/>
  <c r="X47" i="4" s="1"/>
  <c r="U47" i="4"/>
  <c r="V47" i="4"/>
  <c r="S48" i="4"/>
  <c r="W48" i="4" s="1"/>
  <c r="T48" i="4"/>
  <c r="X48" i="4" s="1"/>
  <c r="U48" i="4"/>
  <c r="V48" i="4"/>
  <c r="S49" i="4"/>
  <c r="W49" i="4" s="1"/>
  <c r="T49" i="4"/>
  <c r="X49" i="4" s="1"/>
  <c r="U49" i="4"/>
  <c r="V49" i="4"/>
  <c r="S50" i="4"/>
  <c r="W50" i="4" s="1"/>
  <c r="T50" i="4"/>
  <c r="X50" i="4" s="1"/>
  <c r="U50" i="4"/>
  <c r="V50" i="4"/>
  <c r="S51" i="4"/>
  <c r="W51" i="4" s="1"/>
  <c r="T51" i="4"/>
  <c r="X51" i="4" s="1"/>
  <c r="U51" i="4"/>
  <c r="V51" i="4"/>
  <c r="S52" i="4"/>
  <c r="W52" i="4" s="1"/>
  <c r="J52" i="4" s="1"/>
  <c r="T52" i="4"/>
  <c r="X52" i="4" s="1"/>
  <c r="U52" i="4"/>
  <c r="V52" i="4"/>
  <c r="S53" i="4"/>
  <c r="W53" i="4" s="1"/>
  <c r="T53" i="4"/>
  <c r="X53" i="4" s="1"/>
  <c r="U53" i="4"/>
  <c r="V53" i="4"/>
  <c r="S54" i="4"/>
  <c r="W54" i="4" s="1"/>
  <c r="T54" i="4"/>
  <c r="X54" i="4" s="1"/>
  <c r="U54" i="4"/>
  <c r="V54" i="4"/>
  <c r="S55" i="4"/>
  <c r="W55" i="4" s="1"/>
  <c r="T55" i="4"/>
  <c r="X55" i="4" s="1"/>
  <c r="U55" i="4"/>
  <c r="V55" i="4"/>
  <c r="S56" i="4"/>
  <c r="W56" i="4" s="1"/>
  <c r="T56" i="4"/>
  <c r="X56" i="4" s="1"/>
  <c r="U56" i="4"/>
  <c r="V56" i="4"/>
  <c r="T8" i="4"/>
  <c r="X8" i="4" s="1"/>
  <c r="U8" i="4"/>
  <c r="Y8" i="4" s="1"/>
  <c r="V8" i="4"/>
  <c r="S8" i="4"/>
  <c r="W8" i="4" s="1"/>
  <c r="J8" i="4" l="1"/>
  <c r="J32" i="4"/>
  <c r="J56" i="4"/>
  <c r="J47" i="4"/>
  <c r="J38" i="4"/>
  <c r="J26" i="4"/>
  <c r="J44" i="4"/>
  <c r="J35" i="4"/>
  <c r="J17" i="4"/>
  <c r="J50" i="4"/>
  <c r="J23" i="4"/>
  <c r="J11" i="4"/>
  <c r="J20" i="4"/>
  <c r="J14" i="4"/>
  <c r="J41" i="4"/>
  <c r="J29" i="4"/>
  <c r="J53" i="4"/>
  <c r="J16" i="4"/>
  <c r="J55" i="4"/>
  <c r="J31" i="4"/>
  <c r="J43" i="4"/>
  <c r="J22" i="4"/>
  <c r="J25" i="4"/>
  <c r="J46" i="4"/>
  <c r="J37" i="4"/>
  <c r="J19" i="4"/>
  <c r="J51" i="4"/>
  <c r="J42" i="4"/>
  <c r="J30" i="4"/>
  <c r="J15" i="4"/>
  <c r="J49" i="4"/>
  <c r="J34" i="4"/>
  <c r="J13" i="4"/>
  <c r="J48" i="4"/>
  <c r="J39" i="4"/>
  <c r="J33" i="4"/>
  <c r="J24" i="4"/>
  <c r="J18" i="4"/>
  <c r="J12" i="4"/>
  <c r="J40" i="4"/>
  <c r="J28" i="4"/>
  <c r="J10" i="4"/>
  <c r="J54" i="4"/>
  <c r="J45" i="4"/>
  <c r="J36" i="4"/>
  <c r="J27" i="4"/>
  <c r="J21" i="4"/>
  <c r="J9" i="4"/>
</calcChain>
</file>

<file path=xl/sharedStrings.xml><?xml version="1.0" encoding="utf-8"?>
<sst xmlns="http://schemas.openxmlformats.org/spreadsheetml/2006/main" count="497" uniqueCount="189">
  <si>
    <t>HFC-23 (R-23) </t>
  </si>
  <si>
    <t>HFC-32 (R-32) </t>
  </si>
  <si>
    <t>HFC-41 (R-41) </t>
  </si>
  <si>
    <t>HFC-43-10mee (R-4310mee) </t>
  </si>
  <si>
    <t>HFC-125 (R-125) </t>
  </si>
  <si>
    <t>HFC-134 (R-134) </t>
  </si>
  <si>
    <t>HFC-134a (R-134a) </t>
  </si>
  <si>
    <t>HFC-143 (R-143) </t>
  </si>
  <si>
    <t>HFC-143a (R-143a) </t>
  </si>
  <si>
    <t>HFC-152a (R-152a) </t>
  </si>
  <si>
    <t>HFC-227ea (R-227ea) </t>
  </si>
  <si>
    <t>HFC-236fa (R-236fa) </t>
  </si>
  <si>
    <t>HFC-245ca (R-245ca) </t>
  </si>
  <si>
    <t>HFC-245fa (R-245fa) </t>
  </si>
  <si>
    <t>HFC-365mfc (R-365mfc) </t>
  </si>
  <si>
    <t>HCFC-22 (R-22) </t>
  </si>
  <si>
    <t>HCFC-123 (R-123) </t>
  </si>
  <si>
    <t>HCFC-124 (R-124) </t>
  </si>
  <si>
    <t>HCFC-141b (R-141b) </t>
  </si>
  <si>
    <t>HCFC-142b (R-142b) </t>
  </si>
  <si>
    <t>HCFC-225ca (R-225ca) </t>
  </si>
  <si>
    <t>HCFC-225cb (R-225cb) </t>
  </si>
  <si>
    <t>PFC-14 Perfluoromethane (tetrafluoromethane) </t>
  </si>
  <si>
    <t>PFC-116 Perfluoroethane (hexafluoroethane) </t>
  </si>
  <si>
    <t>PFC-218 Perfluoropropane </t>
  </si>
  <si>
    <t>PFC-31-10 Perfluorobutane </t>
  </si>
  <si>
    <t>PFC-318 Perfluorocyclobutane </t>
  </si>
  <si>
    <t>PFC-41-12 Perfluoropentane </t>
  </si>
  <si>
    <t>PFC-51-14 Perfluorohexane </t>
  </si>
  <si>
    <t>PFC-91-18 Perflunafene </t>
  </si>
  <si>
    <t>R-401A</t>
  </si>
  <si>
    <t>HCFC-22</t>
  </si>
  <si>
    <t>HFC-152a</t>
  </si>
  <si>
    <t>HCFC-124</t>
  </si>
  <si>
    <t>R-401B</t>
  </si>
  <si>
    <t>R-401C</t>
  </si>
  <si>
    <t>R-402A</t>
  </si>
  <si>
    <t>HFC-125</t>
  </si>
  <si>
    <t>HC-290</t>
  </si>
  <si>
    <t>R-402B</t>
  </si>
  <si>
    <t>R-403A</t>
  </si>
  <si>
    <t>PFC-218</t>
  </si>
  <si>
    <t>R-403B</t>
  </si>
  <si>
    <t>R-404A</t>
  </si>
  <si>
    <t>HFC-143a</t>
  </si>
  <si>
    <t>HFC-134a</t>
  </si>
  <si>
    <t>R-405A</t>
  </si>
  <si>
    <t>PFC-318</t>
  </si>
  <si>
    <t>R-406A</t>
  </si>
  <si>
    <t>HC-600a</t>
  </si>
  <si>
    <t>HCFC-142b</t>
  </si>
  <si>
    <t>R-407A</t>
  </si>
  <si>
    <t>HFC-32</t>
  </si>
  <si>
    <t>R-407B</t>
  </si>
  <si>
    <t>R-407C</t>
  </si>
  <si>
    <t>R-407D</t>
  </si>
  <si>
    <t>R-407E</t>
  </si>
  <si>
    <t>R-408A</t>
  </si>
  <si>
    <t>R-409A</t>
  </si>
  <si>
    <t>R-409B</t>
  </si>
  <si>
    <t>R-410A</t>
  </si>
  <si>
    <t>R-410B</t>
  </si>
  <si>
    <t>R-411A</t>
  </si>
  <si>
    <t>HC-1270</t>
  </si>
  <si>
    <t>R-411B</t>
  </si>
  <si>
    <t>R-411C</t>
  </si>
  <si>
    <t>R-412A</t>
  </si>
  <si>
    <t>R-413A</t>
  </si>
  <si>
    <t>R-414A</t>
  </si>
  <si>
    <t>R-414B</t>
  </si>
  <si>
    <t>R-415A</t>
  </si>
  <si>
    <t>R-415B</t>
  </si>
  <si>
    <t>R-416A</t>
  </si>
  <si>
    <t>HC-600</t>
  </si>
  <si>
    <t>R-417A</t>
  </si>
  <si>
    <t>R-418A</t>
  </si>
  <si>
    <t>R-419A</t>
  </si>
  <si>
    <t>HE-E170</t>
  </si>
  <si>
    <t>R-420A</t>
  </si>
  <si>
    <t>R-421A</t>
  </si>
  <si>
    <t>R-422A</t>
  </si>
  <si>
    <t>R-422B</t>
  </si>
  <si>
    <t>R-422C</t>
  </si>
  <si>
    <t>R-500</t>
  </si>
  <si>
    <t>CFC-12</t>
  </si>
  <si>
    <t>R-501</t>
  </si>
  <si>
    <t>R-502</t>
  </si>
  <si>
    <t>CFC-115</t>
  </si>
  <si>
    <t>R-503</t>
  </si>
  <si>
    <t>HFC-23</t>
  </si>
  <si>
    <t>CFC-13</t>
  </si>
  <si>
    <t>R-504</t>
  </si>
  <si>
    <t>R-505</t>
  </si>
  <si>
    <t>HCFC-31</t>
  </si>
  <si>
    <t>R-506</t>
  </si>
  <si>
    <t>CFC-31</t>
  </si>
  <si>
    <t>CFC-114</t>
  </si>
  <si>
    <t>R-507A</t>
  </si>
  <si>
    <t>R-508A</t>
  </si>
  <si>
    <t>PFC-116</t>
  </si>
  <si>
    <t>R-508B</t>
  </si>
  <si>
    <t>R-509A</t>
  </si>
  <si>
    <t>HFC-41</t>
  </si>
  <si>
    <t>HFC-43-10mee</t>
  </si>
  <si>
    <t>HFC-134</t>
  </si>
  <si>
    <t>HFC-143</t>
  </si>
  <si>
    <t>HFC-227ea</t>
  </si>
  <si>
    <t>HFC-236fa</t>
  </si>
  <si>
    <t>HFC-245ca</t>
  </si>
  <si>
    <t>HFC-245fa</t>
  </si>
  <si>
    <t>HFC-365mfc</t>
  </si>
  <si>
    <t>HCFC-123</t>
  </si>
  <si>
    <t>HCFC-141b</t>
  </si>
  <si>
    <t>HCFC-225ca</t>
  </si>
  <si>
    <t>HCFC-225cb</t>
  </si>
  <si>
    <t>ratios</t>
  </si>
  <si>
    <t>gwp</t>
  </si>
  <si>
    <t>factors</t>
  </si>
  <si>
    <t>sum</t>
  </si>
  <si>
    <t>AR5</t>
  </si>
  <si>
    <t>AR6</t>
  </si>
  <si>
    <t>Additional components with no GWP listed</t>
  </si>
  <si>
    <t>Values sourced from https://ghgprotocol.org/sites/default/files/2024-08/Global-Warming-Potential-Values%20%28August%202024%29.pdf</t>
  </si>
  <si>
    <t>Components with no values in AR5</t>
  </si>
  <si>
    <t>name</t>
  </si>
  <si>
    <t>NGAF table 24 - blended gasses including their component ratios</t>
  </si>
  <si>
    <t>net GWP</t>
  </si>
  <si>
    <t>components</t>
  </si>
  <si>
    <t>Primary gasses - NAGF table 23</t>
  </si>
  <si>
    <t>HFC-23 (R-23)</t>
  </si>
  <si>
    <t>HFC-32 (R-32)</t>
  </si>
  <si>
    <t>HFC-41 (R-41)</t>
  </si>
  <si>
    <t>HFC-43-10mee (R-4310mee)</t>
  </si>
  <si>
    <t>HFC-125 (R-125)</t>
  </si>
  <si>
    <t>HFC-134 (R-134)</t>
  </si>
  <si>
    <t>HFC-134a (R-134a)</t>
  </si>
  <si>
    <t>HFC-143 (R-143)</t>
  </si>
  <si>
    <t>HFC-143a (R-143a)</t>
  </si>
  <si>
    <t>HFC-152a (R-152a)</t>
  </si>
  <si>
    <t>HFC-227ea (R-227ea)</t>
  </si>
  <si>
    <t>HFC-236fa (R-236fa)</t>
  </si>
  <si>
    <t>HFC-245ca (R-245ca)</t>
  </si>
  <si>
    <t>HFC-245fa (R-245fa)</t>
  </si>
  <si>
    <t>HFC-365mfc (R-365mfc)</t>
  </si>
  <si>
    <t>HCFC-22 (R-22)</t>
  </si>
  <si>
    <t>HCFC-123 (R-123)</t>
  </si>
  <si>
    <t>HCFC-124 (R-124)</t>
  </si>
  <si>
    <t>HCFC-141b (R-141b)</t>
  </si>
  <si>
    <t>HCFC-142b (R-142b)</t>
  </si>
  <si>
    <t>HCFC-225ca (R-225ca)</t>
  </si>
  <si>
    <t>HCFC-225cb (R-225cb)</t>
  </si>
  <si>
    <t>PFC-14 Perfluoromethane (tetrafluoromethane)</t>
  </si>
  <si>
    <t>PFC-116 Perfluoroethane (hexafluoroethane)</t>
  </si>
  <si>
    <t>PFC-218 Perfluoropropane</t>
  </si>
  <si>
    <t>PFC-31-10 Perfluorobutane</t>
  </si>
  <si>
    <t>PFC-318 Perfluorocyclobutane</t>
  </si>
  <si>
    <t>PFC-41-12 Perfluoropentane</t>
  </si>
  <si>
    <t>PFC-51-14 Perfluorohexane</t>
  </si>
  <si>
    <t>PFC-91-18 Perflunafene</t>
  </si>
  <si>
    <t>Refrigerant GWP</t>
  </si>
  <si>
    <t>R-400 50/50</t>
  </si>
  <si>
    <t>R-400 60/40</t>
  </si>
  <si>
    <t>R-400 80/20</t>
  </si>
  <si>
    <t>Er</t>
  </si>
  <si>
    <t>ECO2e</t>
  </si>
  <si>
    <t>chargeRa</t>
  </si>
  <si>
    <t>leakage rate a</t>
  </si>
  <si>
    <t>tonnes of gas R</t>
  </si>
  <si>
    <t>tonnes co2e</t>
  </si>
  <si>
    <t>ch 9</t>
  </si>
  <si>
    <t>Er = sum chargeRa * leakage rate a / 100 * 10 ^ -3</t>
  </si>
  <si>
    <t>E co2e = sum Er * GWPR</t>
  </si>
  <si>
    <t>GWP R</t>
  </si>
  <si>
    <t>type R</t>
  </si>
  <si>
    <t>percent total charge leaked each year</t>
  </si>
  <si>
    <t>amount of R in appliance</t>
  </si>
  <si>
    <t>kg CO2e / kg R</t>
  </si>
  <si>
    <t>ch 9.2</t>
  </si>
  <si>
    <t>input</t>
  </si>
  <si>
    <t>expression</t>
  </si>
  <si>
    <t>constant</t>
  </si>
  <si>
    <t>appliance type</t>
  </si>
  <si>
    <t>Domestic refrigerators</t>
  </si>
  <si>
    <t>Transport refrigeration</t>
  </si>
  <si>
    <t>Domestic A/C portable</t>
  </si>
  <si>
    <t>Domestic A/C split</t>
  </si>
  <si>
    <t>Domestic A/C packaged</t>
  </si>
  <si>
    <t>Light vehicle A/C</t>
  </si>
  <si>
    <t>Heavy vehicle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</si>
</sst>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9" formatCode="0.0"/>
    <numFmt numFmtId="170" formatCode="0.00000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16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3" fontId="2" fillId="0" borderId="0" xfId="0" applyNumberFormat="1" applyFont="1"/>
    <xf numFmtId="3" fontId="5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Fill="1"/>
    <xf numFmtId="164" fontId="0" fillId="2" borderId="0" xfId="0" applyNumberFormat="1" applyFill="1"/>
    <xf numFmtId="169" fontId="0" fillId="0" borderId="0" xfId="0" applyNumberFormat="1"/>
    <xf numFmtId="170" fontId="0" fillId="0" borderId="0" xfId="0" applyNumberFormat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V83"/>
  <sheetViews>
    <sheetView tabSelected="1" workbookViewId="0">
      <selection activeCell="F11" sqref="F11"/>
    </sheetView>
  </sheetViews>
  <sheetFormatPr baseColWidth="10" defaultRowHeight="16" x14ac:dyDescent="0.2"/>
  <cols>
    <col min="1" max="2" width="26.33203125" customWidth="1"/>
    <col min="3" max="3" width="12.6640625" customWidth="1"/>
    <col min="4" max="4" width="11.1640625" customWidth="1"/>
    <col min="5" max="5" width="14.83203125" customWidth="1"/>
    <col min="6" max="6" width="16.1640625" customWidth="1"/>
    <col min="7" max="7" width="11.6640625" customWidth="1"/>
    <col min="8" max="8" width="10.1640625" customWidth="1"/>
    <col min="9" max="9" width="11.1640625" customWidth="1"/>
    <col min="10" max="10" width="30.83203125" bestFit="1" customWidth="1"/>
    <col min="11" max="11" width="30.33203125" customWidth="1"/>
    <col min="12" max="12" width="24.1640625" customWidth="1"/>
    <col min="13" max="13" width="25" customWidth="1"/>
    <col min="14" max="14" width="14" bestFit="1" customWidth="1"/>
    <col min="15" max="15" width="17.6640625" bestFit="1" customWidth="1"/>
    <col min="16" max="16" width="17" bestFit="1" customWidth="1"/>
    <col min="17" max="17" width="16.5" customWidth="1"/>
    <col min="20" max="20" width="18.83203125" customWidth="1"/>
    <col min="21" max="21" width="23.5" customWidth="1"/>
    <col min="22" max="22" width="22.5" customWidth="1"/>
  </cols>
  <sheetData>
    <row r="1" spans="1:12" x14ac:dyDescent="0.2">
      <c r="C1" s="1" t="s">
        <v>177</v>
      </c>
      <c r="D1" t="s">
        <v>177</v>
      </c>
      <c r="F1" t="s">
        <v>169</v>
      </c>
    </row>
    <row r="2" spans="1:12" x14ac:dyDescent="0.2">
      <c r="C2">
        <v>152</v>
      </c>
      <c r="D2">
        <v>147</v>
      </c>
      <c r="F2">
        <v>138</v>
      </c>
    </row>
    <row r="3" spans="1:12" ht="51" x14ac:dyDescent="0.2">
      <c r="A3" s="5"/>
      <c r="B3" s="5"/>
      <c r="C3" s="1"/>
      <c r="D3" s="5"/>
      <c r="E3" s="5"/>
      <c r="F3" s="5" t="s">
        <v>170</v>
      </c>
      <c r="G3" s="16" t="s">
        <v>171</v>
      </c>
      <c r="H3" s="5"/>
      <c r="J3" s="1"/>
    </row>
    <row r="4" spans="1:12" x14ac:dyDescent="0.2">
      <c r="A4" t="s">
        <v>178</v>
      </c>
      <c r="C4" s="17" t="s">
        <v>178</v>
      </c>
      <c r="D4" s="17" t="s">
        <v>178</v>
      </c>
      <c r="E4" s="17" t="s">
        <v>180</v>
      </c>
      <c r="F4" s="17" t="s">
        <v>179</v>
      </c>
      <c r="G4" s="17" t="s">
        <v>179</v>
      </c>
      <c r="K4" s="4"/>
      <c r="L4" s="4"/>
    </row>
    <row r="5" spans="1:12" x14ac:dyDescent="0.2">
      <c r="A5" s="10"/>
      <c r="B5" s="10"/>
      <c r="C5" s="10"/>
      <c r="D5" s="10"/>
      <c r="E5" s="10"/>
      <c r="F5" s="10"/>
      <c r="G5" s="10"/>
      <c r="H5" s="10"/>
      <c r="K5" t="s">
        <v>159</v>
      </c>
    </row>
    <row r="6" spans="1:12" x14ac:dyDescent="0.2">
      <c r="A6" s="10"/>
      <c r="B6" s="10"/>
      <c r="C6" s="10"/>
      <c r="D6" s="10"/>
      <c r="E6" s="10"/>
      <c r="F6" s="10"/>
      <c r="G6" s="10"/>
      <c r="H6" s="10"/>
      <c r="K6" t="s">
        <v>160</v>
      </c>
      <c r="L6">
        <v>9395</v>
      </c>
    </row>
    <row r="7" spans="1:12" x14ac:dyDescent="0.2">
      <c r="A7" s="10"/>
      <c r="B7" s="10"/>
      <c r="C7" s="10"/>
      <c r="D7" s="10"/>
      <c r="E7" s="10"/>
      <c r="F7" s="10"/>
      <c r="G7" s="10"/>
      <c r="H7" s="10"/>
      <c r="K7" t="s">
        <v>161</v>
      </c>
      <c r="L7">
        <v>9556</v>
      </c>
    </row>
    <row r="8" spans="1:12" x14ac:dyDescent="0.2">
      <c r="A8" s="10"/>
      <c r="B8" s="10"/>
      <c r="C8" s="10" t="s">
        <v>174</v>
      </c>
      <c r="D8" s="10" t="s">
        <v>175</v>
      </c>
      <c r="E8" s="10" t="s">
        <v>176</v>
      </c>
      <c r="F8" s="10" t="s">
        <v>167</v>
      </c>
      <c r="G8" s="10" t="s">
        <v>168</v>
      </c>
      <c r="H8" s="10"/>
      <c r="K8" t="s">
        <v>162</v>
      </c>
      <c r="L8">
        <v>9878</v>
      </c>
    </row>
    <row r="9" spans="1:12" x14ac:dyDescent="0.2">
      <c r="A9" s="10"/>
      <c r="B9" s="10"/>
      <c r="C9" s="10"/>
      <c r="D9" s="10"/>
      <c r="E9" s="10"/>
      <c r="F9" s="10"/>
      <c r="G9" s="10"/>
      <c r="H9" s="10"/>
      <c r="K9" t="s">
        <v>129</v>
      </c>
      <c r="L9">
        <v>12400</v>
      </c>
    </row>
    <row r="10" spans="1:12" x14ac:dyDescent="0.2">
      <c r="A10" s="18" t="s">
        <v>173</v>
      </c>
      <c r="B10" s="18" t="s">
        <v>181</v>
      </c>
      <c r="C10" s="21" t="s">
        <v>166</v>
      </c>
      <c r="D10" s="18" t="s">
        <v>165</v>
      </c>
      <c r="E10" s="10" t="s">
        <v>172</v>
      </c>
      <c r="F10" s="3" t="s">
        <v>163</v>
      </c>
      <c r="G10" s="3" t="s">
        <v>164</v>
      </c>
      <c r="H10" s="10"/>
      <c r="K10" t="s">
        <v>130</v>
      </c>
      <c r="L10">
        <v>677</v>
      </c>
    </row>
    <row r="11" spans="1:12" x14ac:dyDescent="0.2">
      <c r="A11" t="s">
        <v>160</v>
      </c>
      <c r="B11" t="s">
        <v>182</v>
      </c>
      <c r="C11" s="19">
        <f>VLOOKUP(B11,$K$74:$L$80, 2, FALSE)</f>
        <v>1.7</v>
      </c>
      <c r="D11" s="19">
        <v>20</v>
      </c>
      <c r="E11" s="10">
        <f>VLOOKUP(A11,$K$6:$L$70,2, FALSE)</f>
        <v>9395</v>
      </c>
      <c r="F11" s="20">
        <f>D11*(C11/100)*10^-3</f>
        <v>3.4000000000000002E-4</v>
      </c>
      <c r="G11" s="10">
        <f>F11*E11</f>
        <v>3.1943000000000001</v>
      </c>
      <c r="H11" s="10"/>
      <c r="K11" t="s">
        <v>131</v>
      </c>
      <c r="L11">
        <v>116</v>
      </c>
    </row>
    <row r="12" spans="1:12" x14ac:dyDescent="0.2">
      <c r="A12" t="s">
        <v>161</v>
      </c>
      <c r="B12" t="s">
        <v>182</v>
      </c>
      <c r="C12" s="19">
        <f t="shared" ref="C12:C75" si="0">VLOOKUP(B12,$K$74:$L$80, 2, FALSE)</f>
        <v>1.7</v>
      </c>
      <c r="D12" s="19">
        <v>21</v>
      </c>
      <c r="E12" s="10">
        <f t="shared" ref="E12:E75" si="1">VLOOKUP(A12,$K$6:$L$70,2, FALSE)</f>
        <v>9556</v>
      </c>
      <c r="F12" s="20">
        <f t="shared" ref="F12:F75" si="2">D12*(C12/100)*10^-3</f>
        <v>3.5700000000000006E-4</v>
      </c>
      <c r="G12" s="10">
        <f t="shared" ref="G12:G75" si="3">F12*E12</f>
        <v>3.4114920000000004</v>
      </c>
      <c r="H12" s="10"/>
      <c r="K12" t="s">
        <v>132</v>
      </c>
      <c r="L12">
        <v>1650</v>
      </c>
    </row>
    <row r="13" spans="1:12" x14ac:dyDescent="0.2">
      <c r="A13" t="s">
        <v>162</v>
      </c>
      <c r="B13" t="s">
        <v>182</v>
      </c>
      <c r="C13" s="19">
        <f t="shared" si="0"/>
        <v>1.7</v>
      </c>
      <c r="D13" s="19">
        <v>22</v>
      </c>
      <c r="E13" s="10">
        <f t="shared" si="1"/>
        <v>9878</v>
      </c>
      <c r="F13" s="20">
        <f t="shared" si="2"/>
        <v>3.7399999999999998E-4</v>
      </c>
      <c r="G13" s="10">
        <f t="shared" si="3"/>
        <v>3.694372</v>
      </c>
      <c r="H13" s="10"/>
      <c r="K13" t="s">
        <v>133</v>
      </c>
      <c r="L13">
        <v>3170</v>
      </c>
    </row>
    <row r="14" spans="1:12" x14ac:dyDescent="0.2">
      <c r="A14" t="s">
        <v>129</v>
      </c>
      <c r="B14" t="s">
        <v>182</v>
      </c>
      <c r="C14" s="19">
        <f t="shared" si="0"/>
        <v>1.7</v>
      </c>
      <c r="D14" s="19">
        <v>23</v>
      </c>
      <c r="E14" s="10">
        <f t="shared" si="1"/>
        <v>12400</v>
      </c>
      <c r="F14" s="20">
        <f t="shared" si="2"/>
        <v>3.9100000000000002E-4</v>
      </c>
      <c r="G14" s="10">
        <f t="shared" si="3"/>
        <v>4.8483999999999998</v>
      </c>
      <c r="H14" s="10"/>
      <c r="K14" t="s">
        <v>134</v>
      </c>
      <c r="L14">
        <v>1120</v>
      </c>
    </row>
    <row r="15" spans="1:12" x14ac:dyDescent="0.2">
      <c r="A15" t="s">
        <v>130</v>
      </c>
      <c r="B15" t="s">
        <v>182</v>
      </c>
      <c r="C15" s="19">
        <f t="shared" si="0"/>
        <v>1.7</v>
      </c>
      <c r="D15" s="19">
        <v>24</v>
      </c>
      <c r="E15" s="10">
        <f t="shared" si="1"/>
        <v>677</v>
      </c>
      <c r="F15" s="20">
        <f t="shared" si="2"/>
        <v>4.0800000000000005E-4</v>
      </c>
      <c r="G15" s="10">
        <f t="shared" si="3"/>
        <v>0.27621600000000002</v>
      </c>
      <c r="H15" s="10"/>
      <c r="K15" t="s">
        <v>135</v>
      </c>
      <c r="L15">
        <v>1300</v>
      </c>
    </row>
    <row r="16" spans="1:12" x14ac:dyDescent="0.2">
      <c r="A16" t="s">
        <v>131</v>
      </c>
      <c r="B16" t="s">
        <v>182</v>
      </c>
      <c r="C16" s="19">
        <f t="shared" si="0"/>
        <v>1.7</v>
      </c>
      <c r="D16" s="19">
        <v>25</v>
      </c>
      <c r="E16" s="10">
        <f t="shared" si="1"/>
        <v>116</v>
      </c>
      <c r="F16" s="20">
        <f t="shared" si="2"/>
        <v>4.2500000000000003E-4</v>
      </c>
      <c r="G16" s="10">
        <f t="shared" si="3"/>
        <v>4.9300000000000004E-2</v>
      </c>
      <c r="H16" s="10"/>
      <c r="K16" t="s">
        <v>136</v>
      </c>
      <c r="L16">
        <v>328</v>
      </c>
    </row>
    <row r="17" spans="1:14" x14ac:dyDescent="0.2">
      <c r="A17" t="s">
        <v>132</v>
      </c>
      <c r="B17" t="s">
        <v>182</v>
      </c>
      <c r="C17" s="19">
        <f t="shared" si="0"/>
        <v>1.7</v>
      </c>
      <c r="D17" s="19">
        <v>26</v>
      </c>
      <c r="E17" s="10">
        <f t="shared" si="1"/>
        <v>1650</v>
      </c>
      <c r="F17" s="20">
        <f t="shared" si="2"/>
        <v>4.4200000000000006E-4</v>
      </c>
      <c r="G17" s="10">
        <f t="shared" si="3"/>
        <v>0.72930000000000006</v>
      </c>
      <c r="H17" s="10"/>
      <c r="K17" t="s">
        <v>137</v>
      </c>
      <c r="L17">
        <v>4800</v>
      </c>
    </row>
    <row r="18" spans="1:14" x14ac:dyDescent="0.2">
      <c r="A18" t="s">
        <v>133</v>
      </c>
      <c r="B18" t="s">
        <v>182</v>
      </c>
      <c r="C18" s="19">
        <f t="shared" si="0"/>
        <v>1.7</v>
      </c>
      <c r="D18" s="19">
        <v>27</v>
      </c>
      <c r="E18" s="10">
        <f t="shared" si="1"/>
        <v>3170</v>
      </c>
      <c r="F18" s="20">
        <f t="shared" si="2"/>
        <v>4.5900000000000004E-4</v>
      </c>
      <c r="G18" s="10">
        <f t="shared" si="3"/>
        <v>1.45503</v>
      </c>
      <c r="H18" s="10"/>
      <c r="K18" t="s">
        <v>138</v>
      </c>
      <c r="L18">
        <v>138</v>
      </c>
    </row>
    <row r="19" spans="1:14" x14ac:dyDescent="0.2">
      <c r="A19" t="s">
        <v>134</v>
      </c>
      <c r="B19" t="s">
        <v>182</v>
      </c>
      <c r="C19" s="19">
        <f t="shared" si="0"/>
        <v>1.7</v>
      </c>
      <c r="D19" s="19">
        <v>28</v>
      </c>
      <c r="E19" s="10">
        <f t="shared" si="1"/>
        <v>1120</v>
      </c>
      <c r="F19" s="20">
        <f t="shared" si="2"/>
        <v>4.7600000000000002E-4</v>
      </c>
      <c r="G19" s="10">
        <f t="shared" si="3"/>
        <v>0.53312000000000004</v>
      </c>
      <c r="H19" s="10"/>
      <c r="K19" t="s">
        <v>139</v>
      </c>
      <c r="L19">
        <v>3350</v>
      </c>
    </row>
    <row r="20" spans="1:14" x14ac:dyDescent="0.2">
      <c r="A20" t="s">
        <v>135</v>
      </c>
      <c r="B20" t="s">
        <v>182</v>
      </c>
      <c r="C20" s="19">
        <f t="shared" si="0"/>
        <v>1.7</v>
      </c>
      <c r="D20" s="19">
        <v>29</v>
      </c>
      <c r="E20" s="10">
        <f t="shared" si="1"/>
        <v>1300</v>
      </c>
      <c r="F20" s="20">
        <f t="shared" si="2"/>
        <v>4.9300000000000006E-4</v>
      </c>
      <c r="G20" s="10">
        <f t="shared" si="3"/>
        <v>0.64090000000000003</v>
      </c>
      <c r="H20" s="10"/>
      <c r="K20" t="s">
        <v>140</v>
      </c>
      <c r="L20">
        <v>8060</v>
      </c>
    </row>
    <row r="21" spans="1:14" x14ac:dyDescent="0.2">
      <c r="A21" t="s">
        <v>136</v>
      </c>
      <c r="B21" t="s">
        <v>182</v>
      </c>
      <c r="C21" s="19">
        <f t="shared" si="0"/>
        <v>1.7</v>
      </c>
      <c r="D21" s="19">
        <v>30</v>
      </c>
      <c r="E21" s="10">
        <f t="shared" si="1"/>
        <v>328</v>
      </c>
      <c r="F21" s="20">
        <f t="shared" si="2"/>
        <v>5.1000000000000004E-4</v>
      </c>
      <c r="G21" s="10">
        <f t="shared" si="3"/>
        <v>0.16728000000000001</v>
      </c>
      <c r="H21" s="10"/>
      <c r="K21" t="s">
        <v>141</v>
      </c>
      <c r="L21">
        <v>716</v>
      </c>
    </row>
    <row r="22" spans="1:14" x14ac:dyDescent="0.2">
      <c r="A22" t="s">
        <v>137</v>
      </c>
      <c r="B22" t="s">
        <v>182</v>
      </c>
      <c r="C22" s="19">
        <f t="shared" si="0"/>
        <v>1.7</v>
      </c>
      <c r="D22" s="19">
        <v>31</v>
      </c>
      <c r="E22" s="10">
        <f t="shared" si="1"/>
        <v>4800</v>
      </c>
      <c r="F22" s="20">
        <f t="shared" si="2"/>
        <v>5.2700000000000002E-4</v>
      </c>
      <c r="G22" s="10">
        <f t="shared" si="3"/>
        <v>2.5296000000000003</v>
      </c>
      <c r="H22" s="10"/>
      <c r="K22" t="s">
        <v>142</v>
      </c>
      <c r="L22">
        <v>858</v>
      </c>
    </row>
    <row r="23" spans="1:14" x14ac:dyDescent="0.2">
      <c r="A23" t="s">
        <v>138</v>
      </c>
      <c r="B23" t="s">
        <v>182</v>
      </c>
      <c r="C23" s="19">
        <f t="shared" si="0"/>
        <v>1.7</v>
      </c>
      <c r="D23" s="19">
        <v>32</v>
      </c>
      <c r="E23" s="10">
        <f t="shared" si="1"/>
        <v>138</v>
      </c>
      <c r="F23" s="20">
        <f t="shared" si="2"/>
        <v>5.440000000000001E-4</v>
      </c>
      <c r="G23" s="10">
        <f t="shared" si="3"/>
        <v>7.5072000000000014E-2</v>
      </c>
      <c r="H23" s="10"/>
      <c r="K23" t="s">
        <v>143</v>
      </c>
      <c r="L23">
        <v>804</v>
      </c>
    </row>
    <row r="24" spans="1:14" x14ac:dyDescent="0.2">
      <c r="A24" t="s">
        <v>139</v>
      </c>
      <c r="B24" t="s">
        <v>182</v>
      </c>
      <c r="C24" s="19">
        <f t="shared" si="0"/>
        <v>1.7</v>
      </c>
      <c r="D24" s="19">
        <v>33</v>
      </c>
      <c r="E24" s="10">
        <f t="shared" si="1"/>
        <v>3350</v>
      </c>
      <c r="F24" s="20">
        <f t="shared" si="2"/>
        <v>5.6100000000000008E-4</v>
      </c>
      <c r="G24" s="10">
        <f t="shared" si="3"/>
        <v>1.8793500000000003</v>
      </c>
      <c r="H24" s="10"/>
      <c r="K24" t="s">
        <v>144</v>
      </c>
      <c r="L24">
        <v>1760</v>
      </c>
      <c r="M24" s="2"/>
    </row>
    <row r="25" spans="1:14" x14ac:dyDescent="0.2">
      <c r="A25" t="s">
        <v>140</v>
      </c>
      <c r="B25" t="s">
        <v>183</v>
      </c>
      <c r="C25" s="19">
        <f t="shared" si="0"/>
        <v>15.7</v>
      </c>
      <c r="D25" s="19">
        <v>34</v>
      </c>
      <c r="E25" s="10">
        <f t="shared" si="1"/>
        <v>8060</v>
      </c>
      <c r="F25" s="20">
        <f t="shared" si="2"/>
        <v>5.3379999999999999E-3</v>
      </c>
      <c r="G25" s="10">
        <f t="shared" si="3"/>
        <v>43.024279999999997</v>
      </c>
      <c r="H25" s="10"/>
      <c r="K25" t="s">
        <v>145</v>
      </c>
      <c r="L25">
        <v>79</v>
      </c>
      <c r="M25" s="2"/>
    </row>
    <row r="26" spans="1:14" x14ac:dyDescent="0.2">
      <c r="A26" t="s">
        <v>141</v>
      </c>
      <c r="B26" t="s">
        <v>183</v>
      </c>
      <c r="C26" s="19">
        <f t="shared" si="0"/>
        <v>15.7</v>
      </c>
      <c r="D26" s="19">
        <v>35</v>
      </c>
      <c r="E26" s="10">
        <f t="shared" si="1"/>
        <v>716</v>
      </c>
      <c r="F26" s="20">
        <f t="shared" si="2"/>
        <v>5.4949999999999999E-3</v>
      </c>
      <c r="G26" s="10">
        <f t="shared" si="3"/>
        <v>3.9344199999999998</v>
      </c>
      <c r="H26" s="10"/>
      <c r="K26" t="s">
        <v>146</v>
      </c>
      <c r="L26">
        <v>527</v>
      </c>
    </row>
    <row r="27" spans="1:14" x14ac:dyDescent="0.2">
      <c r="A27" t="s">
        <v>142</v>
      </c>
      <c r="B27" t="s">
        <v>183</v>
      </c>
      <c r="C27" s="19">
        <f t="shared" si="0"/>
        <v>15.7</v>
      </c>
      <c r="D27" s="19">
        <v>36</v>
      </c>
      <c r="E27" s="10">
        <f t="shared" si="1"/>
        <v>858</v>
      </c>
      <c r="F27" s="20">
        <f t="shared" si="2"/>
        <v>5.6519999999999999E-3</v>
      </c>
      <c r="G27" s="10">
        <f t="shared" si="3"/>
        <v>4.8494159999999997</v>
      </c>
      <c r="H27" s="10"/>
      <c r="K27" t="s">
        <v>147</v>
      </c>
      <c r="L27">
        <v>782</v>
      </c>
      <c r="M27" s="2"/>
      <c r="N27" s="2"/>
    </row>
    <row r="28" spans="1:14" x14ac:dyDescent="0.2">
      <c r="A28" t="s">
        <v>143</v>
      </c>
      <c r="B28" t="s">
        <v>183</v>
      </c>
      <c r="C28" s="19">
        <f t="shared" si="0"/>
        <v>15.7</v>
      </c>
      <c r="D28" s="19">
        <v>37</v>
      </c>
      <c r="E28" s="10">
        <f t="shared" si="1"/>
        <v>804</v>
      </c>
      <c r="F28" s="20">
        <f t="shared" si="2"/>
        <v>5.8089999999999999E-3</v>
      </c>
      <c r="G28" s="10">
        <f t="shared" si="3"/>
        <v>4.6704359999999996</v>
      </c>
      <c r="H28" s="10"/>
      <c r="K28" t="s">
        <v>148</v>
      </c>
      <c r="L28">
        <v>1980</v>
      </c>
      <c r="M28" s="2"/>
      <c r="N28" s="2"/>
    </row>
    <row r="29" spans="1:14" x14ac:dyDescent="0.2">
      <c r="A29" t="s">
        <v>144</v>
      </c>
      <c r="B29" t="s">
        <v>183</v>
      </c>
      <c r="C29" s="19">
        <f t="shared" si="0"/>
        <v>15.7</v>
      </c>
      <c r="D29" s="19">
        <v>38</v>
      </c>
      <c r="E29" s="10">
        <f t="shared" si="1"/>
        <v>1760</v>
      </c>
      <c r="F29" s="20">
        <f t="shared" si="2"/>
        <v>5.9659999999999999E-3</v>
      </c>
      <c r="G29" s="10">
        <f t="shared" si="3"/>
        <v>10.500159999999999</v>
      </c>
      <c r="H29" s="10"/>
      <c r="K29" t="s">
        <v>149</v>
      </c>
      <c r="L29" s="2">
        <v>127</v>
      </c>
      <c r="M29" s="2"/>
    </row>
    <row r="30" spans="1:14" x14ac:dyDescent="0.2">
      <c r="A30" t="s">
        <v>145</v>
      </c>
      <c r="B30" t="s">
        <v>183</v>
      </c>
      <c r="C30" s="19">
        <f t="shared" si="0"/>
        <v>15.7</v>
      </c>
      <c r="D30" s="19">
        <v>39</v>
      </c>
      <c r="E30" s="10">
        <f t="shared" si="1"/>
        <v>79</v>
      </c>
      <c r="F30" s="20">
        <f t="shared" si="2"/>
        <v>6.123E-3</v>
      </c>
      <c r="G30" s="10">
        <f t="shared" si="3"/>
        <v>0.48371700000000001</v>
      </c>
      <c r="H30" s="10"/>
      <c r="K30" t="s">
        <v>150</v>
      </c>
      <c r="L30" s="2">
        <v>525</v>
      </c>
    </row>
    <row r="31" spans="1:14" x14ac:dyDescent="0.2">
      <c r="A31" t="s">
        <v>146</v>
      </c>
      <c r="B31" t="s">
        <v>183</v>
      </c>
      <c r="C31" s="19">
        <f t="shared" si="0"/>
        <v>15.7</v>
      </c>
      <c r="D31" s="19">
        <v>40</v>
      </c>
      <c r="E31" s="10">
        <f t="shared" si="1"/>
        <v>527</v>
      </c>
      <c r="F31" s="20">
        <f t="shared" si="2"/>
        <v>6.28E-3</v>
      </c>
      <c r="G31" s="10">
        <f t="shared" si="3"/>
        <v>3.3095599999999998</v>
      </c>
      <c r="H31" s="10"/>
      <c r="K31" t="s">
        <v>151</v>
      </c>
      <c r="L31" s="2">
        <v>6630</v>
      </c>
      <c r="M31" s="2"/>
    </row>
    <row r="32" spans="1:14" x14ac:dyDescent="0.2">
      <c r="A32" t="s">
        <v>147</v>
      </c>
      <c r="B32" t="s">
        <v>183</v>
      </c>
      <c r="C32" s="19">
        <f t="shared" si="0"/>
        <v>15.7</v>
      </c>
      <c r="D32" s="19">
        <v>39</v>
      </c>
      <c r="E32" s="10">
        <f t="shared" si="1"/>
        <v>782</v>
      </c>
      <c r="F32" s="20">
        <f t="shared" si="2"/>
        <v>6.123E-3</v>
      </c>
      <c r="G32" s="10">
        <f t="shared" si="3"/>
        <v>4.7881859999999996</v>
      </c>
      <c r="H32" s="10"/>
      <c r="K32" t="s">
        <v>152</v>
      </c>
      <c r="L32" s="2">
        <v>11100</v>
      </c>
      <c r="M32" s="2"/>
    </row>
    <row r="33" spans="1:22" x14ac:dyDescent="0.2">
      <c r="A33" t="s">
        <v>148</v>
      </c>
      <c r="B33" t="s">
        <v>183</v>
      </c>
      <c r="C33" s="19">
        <f t="shared" si="0"/>
        <v>15.7</v>
      </c>
      <c r="D33" s="19">
        <v>38</v>
      </c>
      <c r="E33" s="10">
        <f t="shared" si="1"/>
        <v>1980</v>
      </c>
      <c r="F33" s="20">
        <f t="shared" si="2"/>
        <v>5.9659999999999999E-3</v>
      </c>
      <c r="G33" s="10">
        <f t="shared" si="3"/>
        <v>11.81268</v>
      </c>
      <c r="H33" s="10"/>
      <c r="K33" t="s">
        <v>153</v>
      </c>
      <c r="L33" s="2">
        <v>8900</v>
      </c>
    </row>
    <row r="34" spans="1:22" x14ac:dyDescent="0.2">
      <c r="A34" t="s">
        <v>149</v>
      </c>
      <c r="B34" t="s">
        <v>184</v>
      </c>
      <c r="C34" s="19">
        <f t="shared" si="0"/>
        <v>2.5</v>
      </c>
      <c r="D34" s="19">
        <v>37</v>
      </c>
      <c r="E34" s="10">
        <f t="shared" si="1"/>
        <v>127</v>
      </c>
      <c r="F34" s="20">
        <f t="shared" si="2"/>
        <v>9.2500000000000004E-4</v>
      </c>
      <c r="G34" s="10">
        <f t="shared" si="3"/>
        <v>0.11747500000000001</v>
      </c>
      <c r="H34" s="10"/>
      <c r="K34" t="s">
        <v>154</v>
      </c>
      <c r="L34" s="2">
        <v>9200</v>
      </c>
      <c r="M34" s="2"/>
      <c r="N34" s="6"/>
    </row>
    <row r="35" spans="1:22" ht="16" customHeight="1" x14ac:dyDescent="0.2">
      <c r="A35" t="s">
        <v>150</v>
      </c>
      <c r="B35" t="s">
        <v>184</v>
      </c>
      <c r="C35" s="19">
        <f t="shared" si="0"/>
        <v>2.5</v>
      </c>
      <c r="D35" s="19">
        <v>36</v>
      </c>
      <c r="E35" s="10">
        <f t="shared" si="1"/>
        <v>525</v>
      </c>
      <c r="F35" s="20">
        <f t="shared" si="2"/>
        <v>9.0000000000000008E-4</v>
      </c>
      <c r="G35" s="10">
        <f t="shared" si="3"/>
        <v>0.47250000000000003</v>
      </c>
      <c r="H35" s="10"/>
      <c r="I35" s="5"/>
      <c r="K35" s="5" t="s">
        <v>155</v>
      </c>
      <c r="L35" s="2">
        <v>9540</v>
      </c>
      <c r="N35" s="11"/>
      <c r="O35" s="12"/>
      <c r="P35" s="5"/>
      <c r="Q35" s="5"/>
      <c r="R35" s="5"/>
      <c r="T35" s="13"/>
      <c r="U35" s="2"/>
      <c r="V35" s="2"/>
    </row>
    <row r="36" spans="1:22" x14ac:dyDescent="0.2">
      <c r="A36" t="s">
        <v>151</v>
      </c>
      <c r="B36" t="s">
        <v>184</v>
      </c>
      <c r="C36" s="19">
        <f t="shared" si="0"/>
        <v>2.5</v>
      </c>
      <c r="D36" s="19">
        <v>35</v>
      </c>
      <c r="E36" s="10">
        <f t="shared" si="1"/>
        <v>6630</v>
      </c>
      <c r="F36" s="20">
        <f t="shared" si="2"/>
        <v>8.7500000000000002E-4</v>
      </c>
      <c r="G36" s="10">
        <f t="shared" si="3"/>
        <v>5.8012500000000005</v>
      </c>
      <c r="H36" s="10"/>
      <c r="K36" t="s">
        <v>156</v>
      </c>
      <c r="L36" s="2">
        <v>8550</v>
      </c>
      <c r="N36" s="2"/>
      <c r="O36" s="6"/>
      <c r="T36" s="13"/>
      <c r="U36" s="11"/>
      <c r="V36" s="11"/>
    </row>
    <row r="37" spans="1:22" x14ac:dyDescent="0.2">
      <c r="A37" t="s">
        <v>152</v>
      </c>
      <c r="B37" t="s">
        <v>184</v>
      </c>
      <c r="C37" s="19">
        <f t="shared" si="0"/>
        <v>2.5</v>
      </c>
      <c r="D37" s="19">
        <v>34</v>
      </c>
      <c r="E37" s="10">
        <f t="shared" si="1"/>
        <v>11100</v>
      </c>
      <c r="F37" s="20">
        <f t="shared" si="2"/>
        <v>8.5000000000000006E-4</v>
      </c>
      <c r="G37" s="10">
        <f t="shared" si="3"/>
        <v>9.4350000000000005</v>
      </c>
      <c r="H37" s="10"/>
      <c r="K37" t="s">
        <v>157</v>
      </c>
      <c r="L37" s="2">
        <v>7910</v>
      </c>
      <c r="T37" s="13"/>
      <c r="U37" s="2"/>
      <c r="V37" s="2"/>
    </row>
    <row r="38" spans="1:22" x14ac:dyDescent="0.2">
      <c r="A38" t="s">
        <v>153</v>
      </c>
      <c r="B38" t="s">
        <v>184</v>
      </c>
      <c r="C38" s="19">
        <f t="shared" si="0"/>
        <v>2.5</v>
      </c>
      <c r="D38" s="19">
        <v>33</v>
      </c>
      <c r="E38" s="10">
        <f t="shared" si="1"/>
        <v>8900</v>
      </c>
      <c r="F38" s="20">
        <f t="shared" si="2"/>
        <v>8.250000000000001E-4</v>
      </c>
      <c r="G38" s="10">
        <f t="shared" si="3"/>
        <v>7.3425000000000011</v>
      </c>
      <c r="H38" s="10"/>
      <c r="K38" t="s">
        <v>158</v>
      </c>
      <c r="L38" s="2">
        <v>7190</v>
      </c>
      <c r="N38" s="2"/>
      <c r="T38" s="2"/>
      <c r="U38" s="2"/>
      <c r="V38" s="2"/>
    </row>
    <row r="39" spans="1:22" x14ac:dyDescent="0.2">
      <c r="A39" t="s">
        <v>154</v>
      </c>
      <c r="B39" t="s">
        <v>184</v>
      </c>
      <c r="C39" s="19">
        <f t="shared" si="0"/>
        <v>2.5</v>
      </c>
      <c r="D39" s="19">
        <v>32</v>
      </c>
      <c r="E39" s="10">
        <f t="shared" si="1"/>
        <v>9200</v>
      </c>
      <c r="F39" s="20">
        <f>D39*(C39/100)*10^-3</f>
        <v>8.0000000000000004E-4</v>
      </c>
      <c r="G39" s="10">
        <f t="shared" si="3"/>
        <v>7.36</v>
      </c>
      <c r="H39" s="10"/>
      <c r="K39" t="s">
        <v>30</v>
      </c>
      <c r="L39" s="2">
        <v>1129.92</v>
      </c>
      <c r="N39" s="2"/>
      <c r="T39" s="2"/>
      <c r="U39" s="2"/>
      <c r="V39" s="2"/>
    </row>
    <row r="40" spans="1:22" ht="17" x14ac:dyDescent="0.2">
      <c r="A40" s="5" t="s">
        <v>155</v>
      </c>
      <c r="B40" t="s">
        <v>184</v>
      </c>
      <c r="C40" s="19">
        <f t="shared" si="0"/>
        <v>2.5</v>
      </c>
      <c r="D40" s="19">
        <v>31</v>
      </c>
      <c r="E40" s="10">
        <f t="shared" si="1"/>
        <v>9540</v>
      </c>
      <c r="F40" s="20">
        <f t="shared" si="2"/>
        <v>7.7500000000000008E-4</v>
      </c>
      <c r="G40" s="10">
        <f t="shared" si="3"/>
        <v>7.3935000000000004</v>
      </c>
      <c r="H40" s="10"/>
      <c r="K40" t="s">
        <v>34</v>
      </c>
      <c r="L40">
        <v>1236.3399999999999</v>
      </c>
      <c r="Q40" s="5"/>
      <c r="T40" s="2"/>
      <c r="U40" s="2"/>
      <c r="V40" s="2"/>
    </row>
    <row r="41" spans="1:22" x14ac:dyDescent="0.2">
      <c r="A41" t="s">
        <v>156</v>
      </c>
      <c r="B41" t="s">
        <v>184</v>
      </c>
      <c r="C41" s="19">
        <f t="shared" si="0"/>
        <v>2.5</v>
      </c>
      <c r="D41" s="19">
        <v>30</v>
      </c>
      <c r="E41" s="10">
        <f t="shared" si="1"/>
        <v>8550</v>
      </c>
      <c r="F41" s="20">
        <f t="shared" si="2"/>
        <v>7.5000000000000002E-4</v>
      </c>
      <c r="G41" s="10">
        <f t="shared" si="3"/>
        <v>6.4125000000000005</v>
      </c>
      <c r="H41" s="10"/>
      <c r="K41" t="s">
        <v>35</v>
      </c>
      <c r="L41" s="2">
        <v>875.54</v>
      </c>
      <c r="N41" s="2"/>
      <c r="Q41" s="5"/>
      <c r="T41" s="2"/>
      <c r="U41" s="2"/>
      <c r="V41" s="2"/>
    </row>
    <row r="42" spans="1:22" x14ac:dyDescent="0.2">
      <c r="A42" t="s">
        <v>157</v>
      </c>
      <c r="B42" t="s">
        <v>185</v>
      </c>
      <c r="C42" s="19">
        <f t="shared" si="0"/>
        <v>3.5</v>
      </c>
      <c r="D42" s="19">
        <v>29</v>
      </c>
      <c r="E42" s="10">
        <f t="shared" si="1"/>
        <v>7910</v>
      </c>
      <c r="F42" s="20">
        <f t="shared" si="2"/>
        <v>1.0150000000000001E-3</v>
      </c>
      <c r="G42" s="10">
        <f t="shared" si="3"/>
        <v>8.0286500000000007</v>
      </c>
      <c r="H42" s="10"/>
      <c r="K42" t="s">
        <v>43</v>
      </c>
      <c r="L42" s="2">
        <v>3942.8</v>
      </c>
      <c r="N42" s="9"/>
      <c r="O42" s="8"/>
      <c r="P42" s="8"/>
      <c r="Q42" s="8"/>
      <c r="R42" s="8"/>
      <c r="S42" s="8"/>
      <c r="T42" s="2"/>
      <c r="U42" s="2"/>
      <c r="V42" s="2"/>
    </row>
    <row r="43" spans="1:22" x14ac:dyDescent="0.2">
      <c r="A43" t="s">
        <v>158</v>
      </c>
      <c r="B43" t="s">
        <v>185</v>
      </c>
      <c r="C43" s="19">
        <f t="shared" si="0"/>
        <v>3.5</v>
      </c>
      <c r="D43" s="19">
        <v>28</v>
      </c>
      <c r="E43" s="10">
        <f t="shared" si="1"/>
        <v>7190</v>
      </c>
      <c r="F43" s="20">
        <f t="shared" si="2"/>
        <v>9.8000000000000019E-4</v>
      </c>
      <c r="G43" s="10">
        <f t="shared" si="3"/>
        <v>7.0462000000000016</v>
      </c>
      <c r="K43" t="s">
        <v>46</v>
      </c>
      <c r="L43" s="2">
        <v>4965.0600000000004</v>
      </c>
      <c r="N43" s="9"/>
      <c r="O43" s="8"/>
      <c r="P43" s="8"/>
      <c r="Q43" s="8"/>
      <c r="R43" s="8"/>
      <c r="S43" s="8"/>
      <c r="T43" s="2"/>
      <c r="U43" s="2"/>
      <c r="V43" s="2"/>
    </row>
    <row r="44" spans="1:22" x14ac:dyDescent="0.2">
      <c r="A44" t="s">
        <v>30</v>
      </c>
      <c r="B44" t="s">
        <v>185</v>
      </c>
      <c r="C44" s="19">
        <f t="shared" si="0"/>
        <v>3.5</v>
      </c>
      <c r="D44" s="19">
        <v>27</v>
      </c>
      <c r="E44" s="10">
        <f t="shared" si="1"/>
        <v>1129.92</v>
      </c>
      <c r="F44" s="20">
        <f t="shared" si="2"/>
        <v>9.4500000000000009E-4</v>
      </c>
      <c r="G44" s="10">
        <f t="shared" si="3"/>
        <v>1.0677744000000002</v>
      </c>
      <c r="K44" t="s">
        <v>51</v>
      </c>
      <c r="L44" s="2">
        <v>1923.4</v>
      </c>
      <c r="N44" s="2"/>
      <c r="O44" s="6"/>
      <c r="S44" s="8"/>
      <c r="T44" s="2"/>
      <c r="U44" s="2"/>
      <c r="V44" s="2"/>
    </row>
    <row r="45" spans="1:22" x14ac:dyDescent="0.2">
      <c r="A45" t="s">
        <v>34</v>
      </c>
      <c r="B45" t="s">
        <v>185</v>
      </c>
      <c r="C45" s="19">
        <f t="shared" si="0"/>
        <v>3.5</v>
      </c>
      <c r="D45" s="19">
        <v>26</v>
      </c>
      <c r="E45" s="10">
        <f t="shared" si="1"/>
        <v>1236.3399999999999</v>
      </c>
      <c r="F45" s="20">
        <f t="shared" si="2"/>
        <v>9.1000000000000011E-4</v>
      </c>
      <c r="G45" s="10">
        <f t="shared" si="3"/>
        <v>1.1250694000000001</v>
      </c>
      <c r="K45" t="s">
        <v>53</v>
      </c>
      <c r="L45">
        <v>2546.6999999999998</v>
      </c>
      <c r="S45" s="8"/>
      <c r="T45" s="2"/>
      <c r="U45" s="2"/>
      <c r="V45" s="2"/>
    </row>
    <row r="46" spans="1:22" x14ac:dyDescent="0.2">
      <c r="A46" t="s">
        <v>35</v>
      </c>
      <c r="B46" t="s">
        <v>185</v>
      </c>
      <c r="C46" s="19">
        <f>VLOOKUP(B46,$K$74:$L$80, 2, FALSE)</f>
        <v>3.5</v>
      </c>
      <c r="D46" s="19">
        <v>25</v>
      </c>
      <c r="E46" s="10">
        <f t="shared" si="1"/>
        <v>875.54</v>
      </c>
      <c r="F46" s="20">
        <f t="shared" si="2"/>
        <v>8.7500000000000013E-4</v>
      </c>
      <c r="G46" s="10">
        <f t="shared" si="3"/>
        <v>0.7660975000000001</v>
      </c>
      <c r="K46" t="s">
        <v>54</v>
      </c>
      <c r="L46" s="2">
        <v>1624.21</v>
      </c>
      <c r="N46" s="2"/>
      <c r="S46" s="8"/>
      <c r="T46" s="8"/>
    </row>
    <row r="47" spans="1:22" x14ac:dyDescent="0.2">
      <c r="A47" t="s">
        <v>43</v>
      </c>
      <c r="B47" t="s">
        <v>185</v>
      </c>
      <c r="C47" s="19">
        <f t="shared" si="0"/>
        <v>3.5</v>
      </c>
      <c r="D47" s="19">
        <v>24</v>
      </c>
      <c r="E47" s="10">
        <f t="shared" si="1"/>
        <v>3942.8</v>
      </c>
      <c r="F47" s="20">
        <f t="shared" si="2"/>
        <v>8.4000000000000014E-4</v>
      </c>
      <c r="G47" s="10">
        <f t="shared" si="3"/>
        <v>3.3119520000000007</v>
      </c>
      <c r="K47" t="s">
        <v>55</v>
      </c>
      <c r="L47" s="2">
        <v>1487.05</v>
      </c>
      <c r="N47" s="2"/>
      <c r="Q47" s="5"/>
      <c r="S47" s="8"/>
      <c r="T47" s="8"/>
    </row>
    <row r="48" spans="1:22" x14ac:dyDescent="0.2">
      <c r="A48" t="s">
        <v>46</v>
      </c>
      <c r="B48" t="s">
        <v>185</v>
      </c>
      <c r="C48" s="19">
        <f t="shared" si="0"/>
        <v>3.5</v>
      </c>
      <c r="D48" s="19">
        <v>23</v>
      </c>
      <c r="E48" s="10">
        <f t="shared" si="1"/>
        <v>4965.0600000000004</v>
      </c>
      <c r="F48" s="20">
        <f t="shared" si="2"/>
        <v>8.0500000000000005E-4</v>
      </c>
      <c r="G48" s="10">
        <f t="shared" si="3"/>
        <v>3.9968733000000007</v>
      </c>
      <c r="K48" t="s">
        <v>56</v>
      </c>
      <c r="L48" s="2">
        <v>1424.75</v>
      </c>
      <c r="N48" s="9"/>
      <c r="O48" s="8"/>
      <c r="P48" s="8"/>
      <c r="Q48" s="8"/>
      <c r="R48" s="8"/>
      <c r="S48" s="8"/>
      <c r="T48" s="8"/>
    </row>
    <row r="49" spans="1:20" x14ac:dyDescent="0.2">
      <c r="A49" t="s">
        <v>51</v>
      </c>
      <c r="B49" t="s">
        <v>185</v>
      </c>
      <c r="C49" s="19">
        <f t="shared" si="0"/>
        <v>3.5</v>
      </c>
      <c r="D49" s="19">
        <v>22</v>
      </c>
      <c r="E49" s="10">
        <f t="shared" si="1"/>
        <v>1923.4</v>
      </c>
      <c r="F49" s="20">
        <f t="shared" si="2"/>
        <v>7.7000000000000007E-4</v>
      </c>
      <c r="G49" s="10">
        <f t="shared" si="3"/>
        <v>1.4810180000000002</v>
      </c>
      <c r="K49" t="s">
        <v>57</v>
      </c>
      <c r="L49" s="2">
        <v>3257.1</v>
      </c>
      <c r="N49" s="9"/>
      <c r="O49" s="8"/>
      <c r="P49" s="8"/>
      <c r="Q49" s="8"/>
      <c r="R49" s="8"/>
      <c r="S49" s="8"/>
      <c r="T49" s="8"/>
    </row>
    <row r="50" spans="1:20" x14ac:dyDescent="0.2">
      <c r="A50" t="s">
        <v>53</v>
      </c>
      <c r="B50" t="s">
        <v>186</v>
      </c>
      <c r="C50" s="19">
        <f t="shared" si="0"/>
        <v>2.5</v>
      </c>
      <c r="D50" s="19">
        <v>21</v>
      </c>
      <c r="E50" s="10">
        <f t="shared" si="1"/>
        <v>2546.6999999999998</v>
      </c>
      <c r="F50" s="20">
        <f t="shared" si="2"/>
        <v>5.2500000000000008E-4</v>
      </c>
      <c r="G50" s="10">
        <f t="shared" si="3"/>
        <v>1.3370175000000002</v>
      </c>
      <c r="K50" t="s">
        <v>58</v>
      </c>
      <c r="L50" s="2">
        <v>1484.75</v>
      </c>
      <c r="N50" s="9"/>
      <c r="O50" s="8"/>
      <c r="P50" s="8"/>
      <c r="Q50" s="8"/>
      <c r="R50" s="8"/>
      <c r="S50" s="8"/>
      <c r="T50" s="8"/>
    </row>
    <row r="51" spans="1:20" x14ac:dyDescent="0.2">
      <c r="A51" t="s">
        <v>54</v>
      </c>
      <c r="B51" t="s">
        <v>186</v>
      </c>
      <c r="C51" s="19">
        <f t="shared" si="0"/>
        <v>2.5</v>
      </c>
      <c r="D51" s="19">
        <v>20</v>
      </c>
      <c r="E51" s="10">
        <f t="shared" si="1"/>
        <v>1624.21</v>
      </c>
      <c r="F51" s="20">
        <f t="shared" si="2"/>
        <v>5.0000000000000001E-4</v>
      </c>
      <c r="G51" s="10">
        <f t="shared" si="3"/>
        <v>0.81210500000000008</v>
      </c>
      <c r="K51" t="s">
        <v>59</v>
      </c>
      <c r="L51" s="2">
        <v>1473.75</v>
      </c>
      <c r="N51" s="9"/>
      <c r="O51" s="8"/>
      <c r="P51" s="8"/>
      <c r="Q51" s="8"/>
      <c r="R51" s="8"/>
      <c r="S51" s="8"/>
      <c r="T51" s="8"/>
    </row>
    <row r="52" spans="1:20" x14ac:dyDescent="0.2">
      <c r="A52" t="s">
        <v>55</v>
      </c>
      <c r="B52" t="s">
        <v>186</v>
      </c>
      <c r="C52" s="19">
        <f t="shared" si="0"/>
        <v>2.5</v>
      </c>
      <c r="D52" s="19">
        <v>19</v>
      </c>
      <c r="E52" s="10">
        <f t="shared" si="1"/>
        <v>1487.05</v>
      </c>
      <c r="F52" s="20">
        <f t="shared" si="2"/>
        <v>4.7500000000000005E-4</v>
      </c>
      <c r="G52" s="10">
        <f t="shared" si="3"/>
        <v>0.70634875000000008</v>
      </c>
      <c r="K52" t="s">
        <v>60</v>
      </c>
      <c r="L52">
        <v>1923.5</v>
      </c>
      <c r="P52" s="8"/>
      <c r="Q52" s="8"/>
      <c r="R52" s="8"/>
      <c r="S52" s="8"/>
      <c r="T52" s="8"/>
    </row>
    <row r="53" spans="1:20" x14ac:dyDescent="0.2">
      <c r="A53" t="s">
        <v>56</v>
      </c>
      <c r="B53" t="s">
        <v>186</v>
      </c>
      <c r="C53" s="19">
        <f t="shared" si="0"/>
        <v>2.5</v>
      </c>
      <c r="D53" s="19">
        <v>18</v>
      </c>
      <c r="E53" s="10">
        <f t="shared" si="1"/>
        <v>1424.75</v>
      </c>
      <c r="F53" s="20">
        <f t="shared" si="2"/>
        <v>4.5000000000000004E-4</v>
      </c>
      <c r="G53" s="10">
        <f t="shared" si="3"/>
        <v>0.64113750000000003</v>
      </c>
      <c r="K53" t="s">
        <v>61</v>
      </c>
      <c r="L53" s="2">
        <v>2048.15</v>
      </c>
      <c r="N53" s="2"/>
      <c r="O53" s="2"/>
      <c r="P53" s="8"/>
      <c r="Q53" s="8"/>
      <c r="R53" s="8"/>
      <c r="S53" s="8"/>
      <c r="T53" s="8"/>
    </row>
    <row r="54" spans="1:20" x14ac:dyDescent="0.2">
      <c r="A54" t="s">
        <v>57</v>
      </c>
      <c r="B54" t="s">
        <v>186</v>
      </c>
      <c r="C54" s="19">
        <f t="shared" si="0"/>
        <v>2.5</v>
      </c>
      <c r="D54" s="19">
        <v>17</v>
      </c>
      <c r="E54" s="10">
        <f t="shared" si="1"/>
        <v>3257.1</v>
      </c>
      <c r="F54" s="20">
        <f t="shared" si="2"/>
        <v>4.2500000000000003E-4</v>
      </c>
      <c r="G54" s="10">
        <f t="shared" si="3"/>
        <v>1.3842675</v>
      </c>
      <c r="K54" t="s">
        <v>66</v>
      </c>
      <c r="L54" s="2">
        <v>2172</v>
      </c>
      <c r="N54" s="9"/>
      <c r="O54" s="8"/>
      <c r="P54" s="8"/>
      <c r="Q54" s="8"/>
      <c r="R54" s="8"/>
      <c r="S54" s="8"/>
      <c r="T54" s="8"/>
    </row>
    <row r="55" spans="1:20" x14ac:dyDescent="0.2">
      <c r="A55" t="s">
        <v>58</v>
      </c>
      <c r="B55" t="s">
        <v>186</v>
      </c>
      <c r="C55" s="19">
        <f t="shared" si="0"/>
        <v>2.5</v>
      </c>
      <c r="D55" s="19">
        <v>16</v>
      </c>
      <c r="E55" s="10">
        <f t="shared" si="1"/>
        <v>1484.75</v>
      </c>
      <c r="F55" s="20">
        <f t="shared" si="2"/>
        <v>4.0000000000000002E-4</v>
      </c>
      <c r="G55" s="10">
        <f t="shared" si="3"/>
        <v>0.59389999999999998</v>
      </c>
      <c r="K55" t="s">
        <v>70</v>
      </c>
      <c r="L55" s="2">
        <v>1468.04</v>
      </c>
      <c r="N55" s="9"/>
      <c r="O55" s="8"/>
      <c r="P55" s="8"/>
      <c r="Q55" s="8"/>
      <c r="R55" s="8"/>
      <c r="S55" s="8"/>
      <c r="T55" s="8"/>
    </row>
    <row r="56" spans="1:20" x14ac:dyDescent="0.2">
      <c r="A56" t="s">
        <v>59</v>
      </c>
      <c r="B56" t="s">
        <v>186</v>
      </c>
      <c r="C56" s="19">
        <f t="shared" si="0"/>
        <v>2.5</v>
      </c>
      <c r="D56" s="19">
        <v>15</v>
      </c>
      <c r="E56" s="10">
        <f t="shared" si="1"/>
        <v>1473.75</v>
      </c>
      <c r="F56" s="20">
        <f t="shared" si="2"/>
        <v>3.7500000000000001E-4</v>
      </c>
      <c r="G56" s="10">
        <f t="shared" si="3"/>
        <v>0.55265624999999996</v>
      </c>
      <c r="K56" t="s">
        <v>71</v>
      </c>
      <c r="L56" s="2">
        <v>543.5</v>
      </c>
      <c r="N56" s="9"/>
      <c r="O56" s="8"/>
      <c r="P56" s="8"/>
      <c r="Q56" s="8"/>
      <c r="R56" s="8"/>
      <c r="S56" s="8"/>
      <c r="T56" s="8"/>
    </row>
    <row r="57" spans="1:20" x14ac:dyDescent="0.2">
      <c r="A57" t="s">
        <v>60</v>
      </c>
      <c r="B57" t="s">
        <v>186</v>
      </c>
      <c r="C57" s="19">
        <f t="shared" si="0"/>
        <v>2.5</v>
      </c>
      <c r="D57" s="19">
        <v>14</v>
      </c>
      <c r="E57" s="10">
        <f t="shared" si="1"/>
        <v>1923.5</v>
      </c>
      <c r="F57" s="20">
        <f t="shared" si="2"/>
        <v>3.5000000000000005E-4</v>
      </c>
      <c r="G57" s="10">
        <f t="shared" si="3"/>
        <v>0.67322500000000007</v>
      </c>
      <c r="K57" t="s">
        <v>78</v>
      </c>
      <c r="L57" s="2">
        <v>1381.6</v>
      </c>
      <c r="N57" s="9"/>
      <c r="O57" s="8"/>
      <c r="P57" s="8"/>
      <c r="Q57" s="8"/>
      <c r="R57" s="8"/>
      <c r="S57" s="8"/>
      <c r="T57" s="8"/>
    </row>
    <row r="58" spans="1:20" x14ac:dyDescent="0.2">
      <c r="A58" t="s">
        <v>61</v>
      </c>
      <c r="B58" t="s">
        <v>186</v>
      </c>
      <c r="C58" s="19">
        <f t="shared" si="0"/>
        <v>2.5</v>
      </c>
      <c r="D58" s="19">
        <v>13</v>
      </c>
      <c r="E58" s="10">
        <f t="shared" si="1"/>
        <v>2048.15</v>
      </c>
      <c r="F58" s="20">
        <f t="shared" si="2"/>
        <v>3.2500000000000004E-4</v>
      </c>
      <c r="G58" s="10">
        <f t="shared" si="3"/>
        <v>0.66564875000000012</v>
      </c>
      <c r="K58" t="s">
        <v>79</v>
      </c>
      <c r="L58" s="2">
        <v>2384.6</v>
      </c>
      <c r="N58" s="9"/>
      <c r="O58" s="8"/>
      <c r="P58" s="8"/>
      <c r="Q58" s="8"/>
      <c r="R58" s="8"/>
      <c r="S58" s="8"/>
      <c r="T58" s="8"/>
    </row>
    <row r="59" spans="1:20" x14ac:dyDescent="0.2">
      <c r="A59" t="s">
        <v>66</v>
      </c>
      <c r="B59" t="s">
        <v>187</v>
      </c>
      <c r="C59" s="19">
        <f t="shared" si="0"/>
        <v>6.7</v>
      </c>
      <c r="D59" s="19">
        <v>12</v>
      </c>
      <c r="E59" s="10">
        <f t="shared" si="1"/>
        <v>2172</v>
      </c>
      <c r="F59" s="20">
        <f t="shared" si="2"/>
        <v>8.0400000000000003E-4</v>
      </c>
      <c r="G59" s="10">
        <f>F59*E59</f>
        <v>1.7462880000000001</v>
      </c>
      <c r="K59" t="s">
        <v>80</v>
      </c>
      <c r="L59" s="2">
        <v>2847.17</v>
      </c>
      <c r="N59" s="9"/>
      <c r="O59" s="8"/>
      <c r="P59" s="8"/>
      <c r="Q59" s="8"/>
      <c r="R59" s="8"/>
      <c r="S59" s="8"/>
      <c r="T59" s="8"/>
    </row>
    <row r="60" spans="1:20" x14ac:dyDescent="0.2">
      <c r="A60" t="s">
        <v>70</v>
      </c>
      <c r="B60" t="s">
        <v>187</v>
      </c>
      <c r="C60" s="19">
        <f t="shared" si="0"/>
        <v>6.7</v>
      </c>
      <c r="D60" s="19">
        <v>11</v>
      </c>
      <c r="E60" s="10">
        <f t="shared" si="1"/>
        <v>1468.04</v>
      </c>
      <c r="F60" s="20">
        <f t="shared" si="2"/>
        <v>7.3700000000000013E-4</v>
      </c>
      <c r="G60" s="10">
        <f t="shared" si="3"/>
        <v>1.0819454800000001</v>
      </c>
      <c r="K60" t="s">
        <v>81</v>
      </c>
      <c r="L60" s="2">
        <v>2289.5</v>
      </c>
      <c r="N60" s="9"/>
      <c r="O60" s="8"/>
      <c r="P60" s="8"/>
      <c r="Q60" s="8"/>
      <c r="R60" s="8"/>
      <c r="S60" s="8"/>
      <c r="T60" s="8"/>
    </row>
    <row r="61" spans="1:20" x14ac:dyDescent="0.2">
      <c r="A61" t="s">
        <v>71</v>
      </c>
      <c r="B61" t="s">
        <v>187</v>
      </c>
      <c r="C61" s="19">
        <f t="shared" si="0"/>
        <v>6.7</v>
      </c>
      <c r="D61" s="19">
        <v>10</v>
      </c>
      <c r="E61" s="10">
        <f t="shared" si="1"/>
        <v>543.5</v>
      </c>
      <c r="F61" s="20">
        <f t="shared" si="2"/>
        <v>6.7000000000000002E-4</v>
      </c>
      <c r="G61" s="10">
        <f t="shared" si="3"/>
        <v>0.364145</v>
      </c>
      <c r="K61" t="s">
        <v>82</v>
      </c>
      <c r="L61" s="2">
        <v>2794.4</v>
      </c>
      <c r="N61" s="9"/>
      <c r="O61" s="8"/>
      <c r="P61" s="8"/>
      <c r="Q61" s="8"/>
      <c r="R61" s="8"/>
      <c r="S61" s="8"/>
      <c r="T61" s="8"/>
    </row>
    <row r="62" spans="1:20" x14ac:dyDescent="0.2">
      <c r="A62" t="s">
        <v>78</v>
      </c>
      <c r="B62" t="s">
        <v>187</v>
      </c>
      <c r="C62" s="19">
        <f t="shared" si="0"/>
        <v>6.7</v>
      </c>
      <c r="D62" s="19">
        <v>11</v>
      </c>
      <c r="E62" s="10">
        <f t="shared" si="1"/>
        <v>1381.6</v>
      </c>
      <c r="F62" s="20">
        <f t="shared" si="2"/>
        <v>7.3700000000000013E-4</v>
      </c>
      <c r="G62" s="10">
        <f t="shared" si="3"/>
        <v>1.0182392</v>
      </c>
      <c r="K62" t="s">
        <v>83</v>
      </c>
      <c r="L62" s="2">
        <v>7563.7560000000003</v>
      </c>
      <c r="N62" s="9"/>
      <c r="O62" s="8"/>
      <c r="P62" s="8"/>
      <c r="Q62" s="8"/>
      <c r="R62" s="8"/>
      <c r="S62" s="8"/>
      <c r="T62" s="8"/>
    </row>
    <row r="63" spans="1:20" x14ac:dyDescent="0.2">
      <c r="A63" t="s">
        <v>79</v>
      </c>
      <c r="B63" t="s">
        <v>187</v>
      </c>
      <c r="C63" s="19">
        <f t="shared" si="0"/>
        <v>6.7</v>
      </c>
      <c r="D63" s="19">
        <v>12</v>
      </c>
      <c r="E63" s="10">
        <f t="shared" si="1"/>
        <v>2384.6</v>
      </c>
      <c r="F63" s="20">
        <f>D63*(C63/100)*10^-3</f>
        <v>8.0400000000000003E-4</v>
      </c>
      <c r="G63" s="10">
        <f t="shared" si="3"/>
        <v>1.9172184000000001</v>
      </c>
      <c r="K63" t="s">
        <v>85</v>
      </c>
      <c r="L63" s="2">
        <v>3870</v>
      </c>
      <c r="N63" s="7"/>
      <c r="O63" s="7"/>
      <c r="P63" s="7"/>
      <c r="R63" s="7"/>
      <c r="S63" s="7"/>
      <c r="T63" s="7"/>
    </row>
    <row r="64" spans="1:20" x14ac:dyDescent="0.2">
      <c r="A64" t="s">
        <v>80</v>
      </c>
      <c r="B64" t="s">
        <v>187</v>
      </c>
      <c r="C64" s="19">
        <f t="shared" si="0"/>
        <v>6.7</v>
      </c>
      <c r="D64" s="19">
        <v>13</v>
      </c>
      <c r="E64" s="10">
        <f t="shared" si="1"/>
        <v>2847.17</v>
      </c>
      <c r="F64" s="20">
        <f t="shared" si="2"/>
        <v>8.7100000000000003E-4</v>
      </c>
      <c r="G64" s="10">
        <f t="shared" si="3"/>
        <v>2.4798850700000004</v>
      </c>
      <c r="K64" t="s">
        <v>86</v>
      </c>
      <c r="L64">
        <v>4785.92</v>
      </c>
      <c r="N64" s="2"/>
      <c r="O64" s="9"/>
      <c r="P64" s="8"/>
      <c r="S64" s="7"/>
      <c r="T64" s="7"/>
    </row>
    <row r="65" spans="1:15" x14ac:dyDescent="0.2">
      <c r="A65" t="s">
        <v>81</v>
      </c>
      <c r="B65" t="s">
        <v>187</v>
      </c>
      <c r="C65" s="19">
        <f t="shared" si="0"/>
        <v>6.7</v>
      </c>
      <c r="D65" s="19">
        <v>14</v>
      </c>
      <c r="E65" s="10">
        <f t="shared" si="1"/>
        <v>2289.5</v>
      </c>
      <c r="F65" s="20">
        <f t="shared" si="2"/>
        <v>9.3800000000000003E-4</v>
      </c>
      <c r="G65" s="10">
        <f t="shared" si="3"/>
        <v>2.147551</v>
      </c>
      <c r="K65" t="s">
        <v>88</v>
      </c>
      <c r="L65">
        <v>13298.5</v>
      </c>
      <c r="N65" s="2"/>
      <c r="O65" s="2"/>
    </row>
    <row r="66" spans="1:15" x14ac:dyDescent="0.2">
      <c r="A66" t="s">
        <v>82</v>
      </c>
      <c r="B66" t="s">
        <v>187</v>
      </c>
      <c r="C66" s="19">
        <f t="shared" si="0"/>
        <v>6.7</v>
      </c>
      <c r="D66" s="19">
        <v>15</v>
      </c>
      <c r="E66" s="10">
        <f t="shared" si="1"/>
        <v>2794.4</v>
      </c>
      <c r="F66" s="20">
        <f t="shared" si="2"/>
        <v>1.005E-3</v>
      </c>
      <c r="G66" s="10">
        <f t="shared" si="3"/>
        <v>2.8083720000000003</v>
      </c>
      <c r="K66" t="s">
        <v>91</v>
      </c>
      <c r="L66" s="2">
        <v>4299.3739999999998</v>
      </c>
      <c r="N66" s="2"/>
      <c r="O66" s="2"/>
    </row>
    <row r="67" spans="1:15" x14ac:dyDescent="0.2">
      <c r="A67" t="s">
        <v>83</v>
      </c>
      <c r="B67" t="s">
        <v>187</v>
      </c>
      <c r="C67" s="19">
        <f t="shared" si="0"/>
        <v>6.7</v>
      </c>
      <c r="D67" s="19">
        <v>16</v>
      </c>
      <c r="E67" s="10">
        <f t="shared" si="1"/>
        <v>7563.7560000000003</v>
      </c>
      <c r="F67" s="20">
        <f t="shared" si="2"/>
        <v>1.072E-3</v>
      </c>
      <c r="G67" s="10">
        <f t="shared" si="3"/>
        <v>8.1083464320000012</v>
      </c>
      <c r="K67" t="s">
        <v>97</v>
      </c>
      <c r="L67">
        <v>3985</v>
      </c>
    </row>
    <row r="68" spans="1:15" x14ac:dyDescent="0.2">
      <c r="A68" t="s">
        <v>85</v>
      </c>
      <c r="B68" t="s">
        <v>188</v>
      </c>
      <c r="C68" s="19">
        <f t="shared" si="0"/>
        <v>10.8</v>
      </c>
      <c r="D68" s="19">
        <v>17</v>
      </c>
      <c r="E68" s="10">
        <f t="shared" si="1"/>
        <v>3870</v>
      </c>
      <c r="F68" s="20">
        <f t="shared" si="2"/>
        <v>1.8360000000000004E-3</v>
      </c>
      <c r="G68" s="10">
        <f t="shared" si="3"/>
        <v>7.1053200000000016</v>
      </c>
      <c r="K68" t="s">
        <v>98</v>
      </c>
      <c r="L68" s="2">
        <v>11607</v>
      </c>
      <c r="M68" s="2"/>
    </row>
    <row r="69" spans="1:15" x14ac:dyDescent="0.2">
      <c r="A69" t="s">
        <v>86</v>
      </c>
      <c r="B69" t="s">
        <v>188</v>
      </c>
      <c r="C69" s="19">
        <f t="shared" si="0"/>
        <v>10.8</v>
      </c>
      <c r="D69" s="19">
        <v>18</v>
      </c>
      <c r="E69" s="10">
        <f t="shared" si="1"/>
        <v>4785.92</v>
      </c>
      <c r="F69" s="20">
        <f t="shared" si="2"/>
        <v>1.9440000000000002E-3</v>
      </c>
      <c r="G69" s="10">
        <f t="shared" si="3"/>
        <v>9.3038284800000017</v>
      </c>
      <c r="K69" t="s">
        <v>100</v>
      </c>
      <c r="L69" s="2">
        <v>11698</v>
      </c>
      <c r="M69" s="2"/>
    </row>
    <row r="70" spans="1:15" x14ac:dyDescent="0.2">
      <c r="A70" t="s">
        <v>88</v>
      </c>
      <c r="B70" t="s">
        <v>188</v>
      </c>
      <c r="C70" s="19">
        <f t="shared" si="0"/>
        <v>10.8</v>
      </c>
      <c r="D70" s="19">
        <v>19</v>
      </c>
      <c r="E70" s="10">
        <f t="shared" si="1"/>
        <v>13298.5</v>
      </c>
      <c r="F70" s="20">
        <f t="shared" si="2"/>
        <v>2.052E-3</v>
      </c>
      <c r="G70" s="10">
        <f t="shared" si="3"/>
        <v>27.288522</v>
      </c>
      <c r="K70" t="s">
        <v>101</v>
      </c>
      <c r="L70">
        <v>5758.4</v>
      </c>
      <c r="M70" s="2"/>
    </row>
    <row r="71" spans="1:15" x14ac:dyDescent="0.2">
      <c r="A71" t="s">
        <v>91</v>
      </c>
      <c r="B71" t="s">
        <v>188</v>
      </c>
      <c r="C71" s="19">
        <f>VLOOKUP(B71,$K$74:$L$80, 2, FALSE)</f>
        <v>10.8</v>
      </c>
      <c r="D71" s="19">
        <v>20</v>
      </c>
      <c r="E71" s="10">
        <f t="shared" si="1"/>
        <v>4299.3739999999998</v>
      </c>
      <c r="F71" s="20">
        <f t="shared" si="2"/>
        <v>2.16E-3</v>
      </c>
      <c r="G71" s="10">
        <f t="shared" si="3"/>
        <v>9.2866478400000005</v>
      </c>
      <c r="K71" s="2"/>
      <c r="L71" s="2"/>
      <c r="M71" s="2"/>
    </row>
    <row r="72" spans="1:15" x14ac:dyDescent="0.2">
      <c r="A72" t="s">
        <v>97</v>
      </c>
      <c r="B72" t="s">
        <v>188</v>
      </c>
      <c r="C72" s="19">
        <f t="shared" si="0"/>
        <v>10.8</v>
      </c>
      <c r="D72" s="19">
        <v>21</v>
      </c>
      <c r="E72" s="10">
        <f t="shared" si="1"/>
        <v>3985</v>
      </c>
      <c r="F72" s="20">
        <f t="shared" si="2"/>
        <v>2.2680000000000005E-3</v>
      </c>
      <c r="G72" s="10">
        <f t="shared" si="3"/>
        <v>9.0379800000000028</v>
      </c>
      <c r="K72" s="2"/>
      <c r="L72" s="2"/>
      <c r="M72" s="2"/>
    </row>
    <row r="73" spans="1:15" x14ac:dyDescent="0.2">
      <c r="A73" t="s">
        <v>98</v>
      </c>
      <c r="B73" t="s">
        <v>188</v>
      </c>
      <c r="C73" s="19">
        <f t="shared" si="0"/>
        <v>10.8</v>
      </c>
      <c r="D73" s="19">
        <v>22</v>
      </c>
      <c r="E73" s="10">
        <f t="shared" si="1"/>
        <v>11607</v>
      </c>
      <c r="F73" s="20">
        <f t="shared" si="2"/>
        <v>2.3760000000000005E-3</v>
      </c>
      <c r="G73" s="10">
        <f t="shared" si="3"/>
        <v>27.578232000000007</v>
      </c>
      <c r="K73" s="2"/>
      <c r="L73" s="2"/>
      <c r="M73" s="2"/>
    </row>
    <row r="74" spans="1:15" x14ac:dyDescent="0.2">
      <c r="A74" t="s">
        <v>100</v>
      </c>
      <c r="B74" t="s">
        <v>188</v>
      </c>
      <c r="C74" s="19">
        <f t="shared" si="0"/>
        <v>10.8</v>
      </c>
      <c r="D74" s="19">
        <v>23</v>
      </c>
      <c r="E74" s="10">
        <f t="shared" si="1"/>
        <v>11698</v>
      </c>
      <c r="F74" s="20">
        <f t="shared" si="2"/>
        <v>2.4840000000000005E-3</v>
      </c>
      <c r="G74" s="10">
        <f t="shared" si="3"/>
        <v>29.057832000000005</v>
      </c>
      <c r="K74" s="2" t="s">
        <v>182</v>
      </c>
      <c r="L74" s="2">
        <v>1.7</v>
      </c>
      <c r="M74" s="2"/>
    </row>
    <row r="75" spans="1:15" x14ac:dyDescent="0.2">
      <c r="A75" t="s">
        <v>101</v>
      </c>
      <c r="B75" t="s">
        <v>188</v>
      </c>
      <c r="C75" s="19">
        <f t="shared" si="0"/>
        <v>10.8</v>
      </c>
      <c r="D75" s="19">
        <v>24</v>
      </c>
      <c r="E75" s="10">
        <f t="shared" si="1"/>
        <v>5758.4</v>
      </c>
      <c r="F75" s="20">
        <f t="shared" si="2"/>
        <v>2.5920000000000006E-3</v>
      </c>
      <c r="G75" s="10">
        <f t="shared" si="3"/>
        <v>14.925772800000003</v>
      </c>
      <c r="K75" s="2" t="s">
        <v>183</v>
      </c>
      <c r="L75" s="2">
        <v>15.7</v>
      </c>
      <c r="M75" s="2"/>
    </row>
    <row r="76" spans="1:15" x14ac:dyDescent="0.2">
      <c r="K76" s="2" t="s">
        <v>184</v>
      </c>
      <c r="L76" s="2">
        <v>2.5</v>
      </c>
      <c r="M76" s="2"/>
    </row>
    <row r="77" spans="1:15" x14ac:dyDescent="0.2">
      <c r="K77" s="2" t="s">
        <v>185</v>
      </c>
      <c r="L77" s="2">
        <v>3.5</v>
      </c>
      <c r="M77" s="2"/>
    </row>
    <row r="78" spans="1:15" x14ac:dyDescent="0.2">
      <c r="K78" s="2" t="s">
        <v>186</v>
      </c>
      <c r="L78" s="2">
        <v>2.5</v>
      </c>
      <c r="M78" s="2"/>
    </row>
    <row r="79" spans="1:15" x14ac:dyDescent="0.2">
      <c r="K79" s="2" t="s">
        <v>187</v>
      </c>
      <c r="L79" s="2">
        <v>6.7</v>
      </c>
      <c r="M79" s="2"/>
    </row>
    <row r="80" spans="1:15" x14ac:dyDescent="0.2">
      <c r="K80" s="2" t="s">
        <v>188</v>
      </c>
      <c r="L80" s="2">
        <v>10.8</v>
      </c>
      <c r="M80" s="2"/>
    </row>
    <row r="81" spans="11:13" x14ac:dyDescent="0.2">
      <c r="K81" s="2"/>
      <c r="L81" s="2"/>
      <c r="M81" s="2"/>
    </row>
    <row r="82" spans="11:13" x14ac:dyDescent="0.2">
      <c r="K82" s="2"/>
      <c r="L82" s="2"/>
      <c r="M82" s="2"/>
    </row>
    <row r="83" spans="11:13" x14ac:dyDescent="0.2">
      <c r="K83" s="2"/>
      <c r="L83" s="2"/>
      <c r="M83" s="2"/>
    </row>
  </sheetData>
  <mergeCells count="1">
    <mergeCell ref="T35:T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5312-64B7-BE42-824E-470365A198A1}">
  <dimension ref="C3:AC58"/>
  <sheetViews>
    <sheetView topLeftCell="C1" workbookViewId="0">
      <selection activeCell="J5" sqref="J5:J7"/>
    </sheetView>
  </sheetViews>
  <sheetFormatPr baseColWidth="10" defaultRowHeight="16" x14ac:dyDescent="0.2"/>
  <cols>
    <col min="3" max="4" width="44.1640625" customWidth="1"/>
  </cols>
  <sheetData>
    <row r="3" spans="3:27" x14ac:dyDescent="0.2">
      <c r="C3" t="s">
        <v>128</v>
      </c>
      <c r="I3" t="s">
        <v>125</v>
      </c>
    </row>
    <row r="4" spans="3:27" x14ac:dyDescent="0.2">
      <c r="I4" t="s">
        <v>124</v>
      </c>
      <c r="J4" t="s">
        <v>126</v>
      </c>
      <c r="K4" t="s">
        <v>127</v>
      </c>
      <c r="O4" t="s">
        <v>115</v>
      </c>
      <c r="S4" t="s">
        <v>116</v>
      </c>
      <c r="W4" t="s">
        <v>117</v>
      </c>
      <c r="AA4" t="s">
        <v>118</v>
      </c>
    </row>
    <row r="5" spans="3:27" x14ac:dyDescent="0.2">
      <c r="C5" s="2" t="s">
        <v>0</v>
      </c>
      <c r="D5" s="2" t="s">
        <v>89</v>
      </c>
      <c r="E5" s="14">
        <v>12400</v>
      </c>
      <c r="I5" t="s">
        <v>160</v>
      </c>
      <c r="J5">
        <f t="shared" ref="J5:J7" si="0">SUM(W5:Z5)</f>
        <v>9395</v>
      </c>
      <c r="K5" t="s">
        <v>84</v>
      </c>
      <c r="L5" t="s">
        <v>96</v>
      </c>
      <c r="O5">
        <v>50</v>
      </c>
      <c r="P5">
        <v>50</v>
      </c>
      <c r="S5">
        <f>IF(ISBLANK(K5), "", VLOOKUP(K5,$D$5:$E$51,2, FALSE))</f>
        <v>10200</v>
      </c>
      <c r="T5">
        <f>IF(ISBLANK(L5), "", VLOOKUP(L5,$D$5:$E$51,2, FALSE))</f>
        <v>8590</v>
      </c>
      <c r="U5" t="str">
        <f>IF(ISBLANK(M5), "", VLOOKUP(M5,$D$5:$E$51,2, FALSE))</f>
        <v/>
      </c>
      <c r="V5" t="str">
        <f>IF(ISBLANK(N5), "", VLOOKUP(N5,$D$5:$E$51,2, FALSE))</f>
        <v/>
      </c>
      <c r="W5">
        <f>IF(ISBLANK(O5),0,S5*O5/100)</f>
        <v>5100</v>
      </c>
      <c r="X5">
        <f t="shared" ref="X5:X6" si="1">IF(ISBLANK(P5),0,T5*P5/100)</f>
        <v>4295</v>
      </c>
      <c r="Y5">
        <f t="shared" ref="Y5:Y6" si="2">IF(ISBLANK(Q5),0,U5*Q5/100)</f>
        <v>0</v>
      </c>
      <c r="Z5">
        <f t="shared" ref="Z5:Z6" si="3">IF(ISBLANK(R5),0,V5*R5/100)</f>
        <v>0</v>
      </c>
    </row>
    <row r="6" spans="3:27" x14ac:dyDescent="0.2">
      <c r="C6" s="2" t="s">
        <v>1</v>
      </c>
      <c r="D6" s="2" t="s">
        <v>52</v>
      </c>
      <c r="E6" s="2">
        <v>677</v>
      </c>
      <c r="I6" t="s">
        <v>161</v>
      </c>
      <c r="J6">
        <f t="shared" si="0"/>
        <v>9556</v>
      </c>
      <c r="K6" t="s">
        <v>84</v>
      </c>
      <c r="L6" t="s">
        <v>96</v>
      </c>
      <c r="O6">
        <v>60</v>
      </c>
      <c r="P6">
        <v>40</v>
      </c>
      <c r="S6">
        <f>IF(ISBLANK(K6), "", VLOOKUP(K6,$D$5:$E$51,2, FALSE))</f>
        <v>10200</v>
      </c>
      <c r="T6">
        <f>IF(ISBLANK(L6), "", VLOOKUP(L6,$D$5:$E$51,2, FALSE))</f>
        <v>8590</v>
      </c>
      <c r="U6" t="str">
        <f>IF(ISBLANK(M6), "", VLOOKUP(M6,$D$5:$E$51,2, FALSE))</f>
        <v/>
      </c>
      <c r="V6" t="str">
        <f>IF(ISBLANK(N6), "", VLOOKUP(N6,$D$5:$E$51,2, FALSE))</f>
        <v/>
      </c>
      <c r="W6">
        <f>IF(ISBLANK(O6),0,S6*O6/100)</f>
        <v>6120</v>
      </c>
      <c r="X6">
        <f t="shared" si="1"/>
        <v>3436</v>
      </c>
      <c r="Y6">
        <f t="shared" si="2"/>
        <v>0</v>
      </c>
      <c r="Z6">
        <f t="shared" si="3"/>
        <v>0</v>
      </c>
    </row>
    <row r="7" spans="3:27" x14ac:dyDescent="0.2">
      <c r="C7" s="2" t="s">
        <v>2</v>
      </c>
      <c r="D7" s="2" t="s">
        <v>102</v>
      </c>
      <c r="E7" s="2">
        <v>116</v>
      </c>
      <c r="I7" t="s">
        <v>162</v>
      </c>
      <c r="J7">
        <f t="shared" si="0"/>
        <v>9878</v>
      </c>
      <c r="K7" t="s">
        <v>84</v>
      </c>
      <c r="L7" t="s">
        <v>96</v>
      </c>
      <c r="O7">
        <v>80</v>
      </c>
      <c r="P7">
        <v>20</v>
      </c>
      <c r="S7">
        <f>IF(ISBLANK(K7), "", VLOOKUP(K7,$D$5:$E$51,2, FALSE))</f>
        <v>10200</v>
      </c>
      <c r="T7">
        <f>IF(ISBLANK(L7), "", VLOOKUP(L7,$D$5:$E$51,2, FALSE))</f>
        <v>8590</v>
      </c>
      <c r="U7" t="str">
        <f>IF(ISBLANK(M7), "", VLOOKUP(M7,$D$5:$E$51,2, FALSE))</f>
        <v/>
      </c>
      <c r="V7" t="str">
        <f>IF(ISBLANK(N7), "", VLOOKUP(N7,$D$5:$E$51,2, FALSE))</f>
        <v/>
      </c>
      <c r="W7">
        <f>IF(ISBLANK(O7),0,S7*O7/100)</f>
        <v>8160</v>
      </c>
      <c r="X7">
        <f t="shared" ref="X7" si="4">IF(ISBLANK(P7),0,T7*P7/100)</f>
        <v>1718</v>
      </c>
      <c r="Y7">
        <f t="shared" ref="Y7" si="5">IF(ISBLANK(Q7),0,U7*Q7/100)</f>
        <v>0</v>
      </c>
      <c r="Z7">
        <f t="shared" ref="Z7" si="6">IF(ISBLANK(R7),0,V7*R7/100)</f>
        <v>0</v>
      </c>
    </row>
    <row r="8" spans="3:27" x14ac:dyDescent="0.2">
      <c r="C8" s="2" t="s">
        <v>3</v>
      </c>
      <c r="D8" s="2" t="s">
        <v>103</v>
      </c>
      <c r="E8" s="14">
        <v>1650</v>
      </c>
      <c r="I8" t="s">
        <v>30</v>
      </c>
      <c r="J8">
        <f>SUM(W8:Z8)</f>
        <v>1129.92</v>
      </c>
      <c r="K8" s="2" t="s">
        <v>31</v>
      </c>
      <c r="L8" t="s">
        <v>32</v>
      </c>
      <c r="M8" t="s">
        <v>33</v>
      </c>
      <c r="O8">
        <v>53</v>
      </c>
      <c r="P8">
        <v>13</v>
      </c>
      <c r="Q8">
        <v>34</v>
      </c>
      <c r="S8">
        <f>IF(ISBLANK(K8), "", VLOOKUP(K8,$D$5:$E$51,2, FALSE))</f>
        <v>1760</v>
      </c>
      <c r="T8">
        <f>IF(ISBLANK(L8), "", VLOOKUP(L8,$D$5:$E$51,2, FALSE))</f>
        <v>138</v>
      </c>
      <c r="U8">
        <f>IF(ISBLANK(M8), "", VLOOKUP(M8,$D$5:$E$51,2, FALSE))</f>
        <v>527</v>
      </c>
      <c r="V8" t="str">
        <f>IF(ISBLANK(N8), "", VLOOKUP(N8,$D$5:$E$51,2, FALSE))</f>
        <v/>
      </c>
      <c r="W8">
        <f>IF(ISBLANK(O8),0,S8*O8/100)</f>
        <v>932.8</v>
      </c>
      <c r="X8">
        <f t="shared" ref="X8:Z8" si="7">IF(ISBLANK(P8),0,T8*P8/100)</f>
        <v>17.940000000000001</v>
      </c>
      <c r="Y8">
        <f t="shared" si="7"/>
        <v>179.18</v>
      </c>
      <c r="Z8">
        <f t="shared" si="7"/>
        <v>0</v>
      </c>
    </row>
    <row r="9" spans="3:27" x14ac:dyDescent="0.2">
      <c r="C9" s="2" t="s">
        <v>4</v>
      </c>
      <c r="D9" s="2" t="s">
        <v>37</v>
      </c>
      <c r="E9" s="14">
        <v>3170</v>
      </c>
      <c r="I9" t="s">
        <v>34</v>
      </c>
      <c r="J9">
        <f>SUM(W9:Z9)</f>
        <v>1236.3399999999999</v>
      </c>
      <c r="K9" t="s">
        <v>31</v>
      </c>
      <c r="L9" t="s">
        <v>32</v>
      </c>
      <c r="M9" t="s">
        <v>33</v>
      </c>
      <c r="O9">
        <v>61</v>
      </c>
      <c r="P9">
        <v>11</v>
      </c>
      <c r="Q9">
        <v>28</v>
      </c>
      <c r="S9">
        <f>IF(ISBLANK(K9), "", VLOOKUP(K9,$D$5:$E$51,2, FALSE))</f>
        <v>1760</v>
      </c>
      <c r="T9">
        <f>IF(ISBLANK(L9), "", VLOOKUP(L9,$D$5:$E$51,2, FALSE))</f>
        <v>138</v>
      </c>
      <c r="U9">
        <f>IF(ISBLANK(M9), "", VLOOKUP(M9,$D$5:$E$51,2, FALSE))</f>
        <v>527</v>
      </c>
      <c r="V9" t="str">
        <f>IF(ISBLANK(N9), "", VLOOKUP(N9,$D$5:$E$51,2, FALSE))</f>
        <v/>
      </c>
      <c r="W9">
        <f t="shared" ref="W9:W44" si="8">IF(ISBLANK(O9),0,S9*O9/100)</f>
        <v>1073.5999999999999</v>
      </c>
      <c r="X9">
        <f t="shared" ref="X9:X45" si="9">IF(ISBLANK(P9),0,T9*P9/100)</f>
        <v>15.18</v>
      </c>
      <c r="Y9">
        <f t="shared" ref="Y9:Y45" si="10">IF(ISBLANK(Q9),0,U9*Q9/100)</f>
        <v>147.56</v>
      </c>
      <c r="Z9">
        <f t="shared" ref="Z9:Z45" si="11">IF(ISBLANK(R9),0,V9*R9/100)</f>
        <v>0</v>
      </c>
    </row>
    <row r="10" spans="3:27" x14ac:dyDescent="0.2">
      <c r="C10" s="2" t="s">
        <v>5</v>
      </c>
      <c r="D10" s="2" t="s">
        <v>104</v>
      </c>
      <c r="E10" s="14">
        <v>1120</v>
      </c>
      <c r="I10" t="s">
        <v>35</v>
      </c>
      <c r="J10">
        <f>SUM(W10:Z10)</f>
        <v>875.54</v>
      </c>
      <c r="K10" t="s">
        <v>31</v>
      </c>
      <c r="L10" t="s">
        <v>32</v>
      </c>
      <c r="M10" t="s">
        <v>33</v>
      </c>
      <c r="O10">
        <v>33</v>
      </c>
      <c r="P10">
        <v>15</v>
      </c>
      <c r="Q10">
        <v>52</v>
      </c>
      <c r="S10">
        <f>IF(ISBLANK(K10), "", VLOOKUP(K10,$D$5:$E$51,2, FALSE))</f>
        <v>1760</v>
      </c>
      <c r="T10">
        <f>IF(ISBLANK(L10), "", VLOOKUP(L10,$D$5:$E$51,2, FALSE))</f>
        <v>138</v>
      </c>
      <c r="U10">
        <f>IF(ISBLANK(M10), "", VLOOKUP(M10,$D$5:$E$51,2, FALSE))</f>
        <v>527</v>
      </c>
      <c r="V10" t="str">
        <f>IF(ISBLANK(N10), "", VLOOKUP(N10,$D$5:$E$51,2, FALSE))</f>
        <v/>
      </c>
      <c r="W10">
        <f t="shared" si="8"/>
        <v>580.79999999999995</v>
      </c>
      <c r="X10">
        <f t="shared" si="9"/>
        <v>20.7</v>
      </c>
      <c r="Y10">
        <f t="shared" si="10"/>
        <v>274.04000000000002</v>
      </c>
      <c r="Z10">
        <f t="shared" si="11"/>
        <v>0</v>
      </c>
    </row>
    <row r="11" spans="3:27" x14ac:dyDescent="0.2">
      <c r="C11" s="2" t="s">
        <v>6</v>
      </c>
      <c r="D11" s="2" t="s">
        <v>45</v>
      </c>
      <c r="E11" s="14">
        <v>1300</v>
      </c>
      <c r="I11" t="s">
        <v>36</v>
      </c>
      <c r="J11" t="e">
        <f>SUM(W11:Z11)</f>
        <v>#N/A</v>
      </c>
      <c r="K11" t="s">
        <v>37</v>
      </c>
      <c r="L11" t="s">
        <v>38</v>
      </c>
      <c r="M11" t="s">
        <v>31</v>
      </c>
      <c r="O11">
        <v>60</v>
      </c>
      <c r="P11">
        <v>2</v>
      </c>
      <c r="Q11">
        <v>38</v>
      </c>
      <c r="S11">
        <f>IF(ISBLANK(K11), "", VLOOKUP(K11,$D$5:$E$51,2, FALSE))</f>
        <v>3170</v>
      </c>
      <c r="T11" t="e">
        <f>IF(ISBLANK(L11), "", VLOOKUP(L11,$D$5:$E$51,2, FALSE))</f>
        <v>#N/A</v>
      </c>
      <c r="U11">
        <f>IF(ISBLANK(M11), "", VLOOKUP(M11,$D$5:$E$51,2, FALSE))</f>
        <v>1760</v>
      </c>
      <c r="V11" t="str">
        <f>IF(ISBLANK(N11), "", VLOOKUP(N11,$D$5:$E$51,2, FALSE))</f>
        <v/>
      </c>
      <c r="W11">
        <f t="shared" si="8"/>
        <v>1902</v>
      </c>
      <c r="X11" t="e">
        <f t="shared" si="9"/>
        <v>#N/A</v>
      </c>
      <c r="Y11">
        <f t="shared" si="10"/>
        <v>668.8</v>
      </c>
      <c r="Z11">
        <f t="shared" si="11"/>
        <v>0</v>
      </c>
    </row>
    <row r="12" spans="3:27" x14ac:dyDescent="0.2">
      <c r="C12" s="2" t="s">
        <v>7</v>
      </c>
      <c r="D12" s="2" t="s">
        <v>105</v>
      </c>
      <c r="E12" s="2">
        <v>328</v>
      </c>
      <c r="I12" t="s">
        <v>39</v>
      </c>
      <c r="J12" t="e">
        <f>SUM(W12:Z12)</f>
        <v>#N/A</v>
      </c>
      <c r="K12" t="s">
        <v>37</v>
      </c>
      <c r="L12" t="s">
        <v>38</v>
      </c>
      <c r="M12" t="s">
        <v>31</v>
      </c>
      <c r="O12">
        <v>38</v>
      </c>
      <c r="P12">
        <v>2</v>
      </c>
      <c r="Q12">
        <v>60</v>
      </c>
      <c r="S12">
        <f>IF(ISBLANK(K12), "", VLOOKUP(K12,$D$5:$E$51,2, FALSE))</f>
        <v>3170</v>
      </c>
      <c r="T12" t="e">
        <f>IF(ISBLANK(L12), "", VLOOKUP(L12,$D$5:$E$51,2, FALSE))</f>
        <v>#N/A</v>
      </c>
      <c r="U12">
        <f>IF(ISBLANK(M12), "", VLOOKUP(M12,$D$5:$E$51,2, FALSE))</f>
        <v>1760</v>
      </c>
      <c r="V12" t="str">
        <f>IF(ISBLANK(N12), "", VLOOKUP(N12,$D$5:$E$51,2, FALSE))</f>
        <v/>
      </c>
      <c r="W12">
        <f t="shared" si="8"/>
        <v>1204.5999999999999</v>
      </c>
      <c r="X12" t="e">
        <f t="shared" si="9"/>
        <v>#N/A</v>
      </c>
      <c r="Y12">
        <f t="shared" si="10"/>
        <v>1056</v>
      </c>
      <c r="Z12">
        <f t="shared" si="11"/>
        <v>0</v>
      </c>
    </row>
    <row r="13" spans="3:27" x14ac:dyDescent="0.2">
      <c r="C13" s="2" t="s">
        <v>8</v>
      </c>
      <c r="D13" s="2" t="s">
        <v>44</v>
      </c>
      <c r="E13" s="14">
        <v>4800</v>
      </c>
      <c r="I13" t="s">
        <v>40</v>
      </c>
      <c r="J13" t="e">
        <f>SUM(W13:Z13)</f>
        <v>#N/A</v>
      </c>
      <c r="K13" t="s">
        <v>38</v>
      </c>
      <c r="L13" t="s">
        <v>31</v>
      </c>
      <c r="M13" t="s">
        <v>41</v>
      </c>
      <c r="O13">
        <v>5</v>
      </c>
      <c r="P13">
        <v>75</v>
      </c>
      <c r="Q13">
        <v>20</v>
      </c>
      <c r="S13" t="e">
        <f>IF(ISBLANK(K13), "", VLOOKUP(K13,$D$5:$E$51,2, FALSE))</f>
        <v>#N/A</v>
      </c>
      <c r="T13">
        <f>IF(ISBLANK(L13), "", VLOOKUP(L13,$D$5:$E$51,2, FALSE))</f>
        <v>1760</v>
      </c>
      <c r="U13">
        <f>IF(ISBLANK(M13), "", VLOOKUP(M13,$D$5:$E$51,2, FALSE))</f>
        <v>8900</v>
      </c>
      <c r="V13" t="str">
        <f>IF(ISBLANK(N13), "", VLOOKUP(N13,$D$5:$E$51,2, FALSE))</f>
        <v/>
      </c>
      <c r="W13" t="e">
        <f t="shared" si="8"/>
        <v>#N/A</v>
      </c>
      <c r="X13">
        <f t="shared" si="9"/>
        <v>1320</v>
      </c>
      <c r="Y13">
        <f t="shared" si="10"/>
        <v>1780</v>
      </c>
      <c r="Z13">
        <f t="shared" si="11"/>
        <v>0</v>
      </c>
    </row>
    <row r="14" spans="3:27" x14ac:dyDescent="0.2">
      <c r="C14" s="2" t="s">
        <v>9</v>
      </c>
      <c r="D14" s="2" t="s">
        <v>32</v>
      </c>
      <c r="E14" s="2">
        <v>138</v>
      </c>
      <c r="I14" t="s">
        <v>42</v>
      </c>
      <c r="J14" t="e">
        <f>SUM(W14:Z14)</f>
        <v>#N/A</v>
      </c>
      <c r="K14" t="s">
        <v>38</v>
      </c>
      <c r="L14" t="s">
        <v>31</v>
      </c>
      <c r="M14" t="s">
        <v>41</v>
      </c>
      <c r="O14">
        <v>5</v>
      </c>
      <c r="P14">
        <v>56</v>
      </c>
      <c r="Q14">
        <v>39</v>
      </c>
      <c r="S14" t="e">
        <f>IF(ISBLANK(K14), "", VLOOKUP(K14,$D$5:$E$51,2, FALSE))</f>
        <v>#N/A</v>
      </c>
      <c r="T14">
        <f>IF(ISBLANK(L14), "", VLOOKUP(L14,$D$5:$E$51,2, FALSE))</f>
        <v>1760</v>
      </c>
      <c r="U14">
        <f>IF(ISBLANK(M14), "", VLOOKUP(M14,$D$5:$E$51,2, FALSE))</f>
        <v>8900</v>
      </c>
      <c r="V14" t="str">
        <f>IF(ISBLANK(N14), "", VLOOKUP(N14,$D$5:$E$51,2, FALSE))</f>
        <v/>
      </c>
      <c r="W14" t="e">
        <f t="shared" si="8"/>
        <v>#N/A</v>
      </c>
      <c r="X14">
        <f t="shared" si="9"/>
        <v>985.6</v>
      </c>
      <c r="Y14">
        <f t="shared" si="10"/>
        <v>3471</v>
      </c>
      <c r="Z14">
        <f t="shared" si="11"/>
        <v>0</v>
      </c>
    </row>
    <row r="15" spans="3:27" x14ac:dyDescent="0.2">
      <c r="C15" s="2" t="s">
        <v>10</v>
      </c>
      <c r="D15" s="2" t="s">
        <v>106</v>
      </c>
      <c r="E15" s="14">
        <v>3350</v>
      </c>
      <c r="I15" t="s">
        <v>43</v>
      </c>
      <c r="J15">
        <f>SUM(W15:Z15)</f>
        <v>3942.8</v>
      </c>
      <c r="K15" t="s">
        <v>37</v>
      </c>
      <c r="L15" t="s">
        <v>44</v>
      </c>
      <c r="M15" t="s">
        <v>45</v>
      </c>
      <c r="O15">
        <v>44</v>
      </c>
      <c r="P15">
        <v>52</v>
      </c>
      <c r="Q15">
        <v>4</v>
      </c>
      <c r="S15">
        <f>IF(ISBLANK(K15), "", VLOOKUP(K15,$D$5:$E$51,2, FALSE))</f>
        <v>3170</v>
      </c>
      <c r="T15">
        <f>IF(ISBLANK(L15), "", VLOOKUP(L15,$D$5:$E$51,2, FALSE))</f>
        <v>4800</v>
      </c>
      <c r="U15">
        <f>IF(ISBLANK(M15), "", VLOOKUP(M15,$D$5:$E$51,2, FALSE))</f>
        <v>1300</v>
      </c>
      <c r="V15" t="str">
        <f>IF(ISBLANK(N15), "", VLOOKUP(N15,$D$5:$E$51,2, FALSE))</f>
        <v/>
      </c>
      <c r="W15">
        <f t="shared" si="8"/>
        <v>1394.8</v>
      </c>
      <c r="X15">
        <f t="shared" si="9"/>
        <v>2496</v>
      </c>
      <c r="Y15">
        <f t="shared" si="10"/>
        <v>52</v>
      </c>
      <c r="Z15">
        <f t="shared" si="11"/>
        <v>0</v>
      </c>
    </row>
    <row r="16" spans="3:27" x14ac:dyDescent="0.2">
      <c r="C16" s="2" t="s">
        <v>11</v>
      </c>
      <c r="D16" s="2" t="s">
        <v>107</v>
      </c>
      <c r="E16" s="14">
        <v>8060</v>
      </c>
      <c r="I16" t="s">
        <v>46</v>
      </c>
      <c r="J16">
        <f>SUM(W16:Z16)</f>
        <v>4965.0599999999995</v>
      </c>
      <c r="K16" t="s">
        <v>31</v>
      </c>
      <c r="L16" t="s">
        <v>32</v>
      </c>
      <c r="M16" t="s">
        <v>50</v>
      </c>
      <c r="N16" t="s">
        <v>47</v>
      </c>
      <c r="O16">
        <v>45</v>
      </c>
      <c r="P16">
        <v>7</v>
      </c>
      <c r="Q16">
        <v>5.5</v>
      </c>
      <c r="R16">
        <v>42.5</v>
      </c>
      <c r="S16">
        <f>IF(ISBLANK(K16), "", VLOOKUP(K16,$D$5:$E$51,2, FALSE))</f>
        <v>1760</v>
      </c>
      <c r="T16">
        <f>IF(ISBLANK(L16), "", VLOOKUP(L16,$D$5:$E$51,2, FALSE))</f>
        <v>138</v>
      </c>
      <c r="U16">
        <f>IF(ISBLANK(M16), "", VLOOKUP(M16,$D$5:$E$51,2, FALSE))</f>
        <v>1980</v>
      </c>
      <c r="V16">
        <f>IF(ISBLANK(N16), "", VLOOKUP(N16,$D$5:$E$51,2, FALSE))</f>
        <v>9540</v>
      </c>
      <c r="W16">
        <f t="shared" si="8"/>
        <v>792</v>
      </c>
      <c r="X16">
        <f t="shared" si="9"/>
        <v>9.66</v>
      </c>
      <c r="Y16">
        <f t="shared" si="10"/>
        <v>108.9</v>
      </c>
      <c r="Z16">
        <f t="shared" si="11"/>
        <v>4054.5</v>
      </c>
    </row>
    <row r="17" spans="3:26" x14ac:dyDescent="0.2">
      <c r="C17" s="2" t="s">
        <v>12</v>
      </c>
      <c r="D17" s="2" t="s">
        <v>108</v>
      </c>
      <c r="E17" s="2">
        <v>716</v>
      </c>
      <c r="I17" t="s">
        <v>48</v>
      </c>
      <c r="J17" t="e">
        <f>SUM(W17:Z17)</f>
        <v>#N/A</v>
      </c>
      <c r="K17" t="s">
        <v>31</v>
      </c>
      <c r="L17" t="s">
        <v>49</v>
      </c>
      <c r="M17" t="s">
        <v>50</v>
      </c>
      <c r="O17">
        <v>55</v>
      </c>
      <c r="P17">
        <v>14</v>
      </c>
      <c r="Q17">
        <v>41</v>
      </c>
      <c r="S17">
        <f>IF(ISBLANK(K17), "", VLOOKUP(K17,$D$5:$E$51,2, FALSE))</f>
        <v>1760</v>
      </c>
      <c r="T17" t="e">
        <f>IF(ISBLANK(L17), "", VLOOKUP(L17,$D$5:$E$51,2, FALSE))</f>
        <v>#N/A</v>
      </c>
      <c r="U17">
        <f>IF(ISBLANK(M17), "", VLOOKUP(M17,$D$5:$E$51,2, FALSE))</f>
        <v>1980</v>
      </c>
      <c r="V17" t="str">
        <f>IF(ISBLANK(N17), "", VLOOKUP(N17,$D$5:$E$51,2, FALSE))</f>
        <v/>
      </c>
      <c r="W17">
        <f t="shared" si="8"/>
        <v>968</v>
      </c>
      <c r="X17" t="e">
        <f t="shared" si="9"/>
        <v>#N/A</v>
      </c>
      <c r="Y17">
        <f t="shared" si="10"/>
        <v>811.8</v>
      </c>
      <c r="Z17">
        <f t="shared" si="11"/>
        <v>0</v>
      </c>
    </row>
    <row r="18" spans="3:26" x14ac:dyDescent="0.2">
      <c r="C18" s="2" t="s">
        <v>13</v>
      </c>
      <c r="D18" s="2" t="s">
        <v>109</v>
      </c>
      <c r="E18" s="2">
        <v>858</v>
      </c>
      <c r="I18" t="s">
        <v>51</v>
      </c>
      <c r="J18">
        <f>SUM(W18:Z18)</f>
        <v>1923.4</v>
      </c>
      <c r="K18" t="s">
        <v>52</v>
      </c>
      <c r="L18" t="s">
        <v>37</v>
      </c>
      <c r="M18" t="s">
        <v>45</v>
      </c>
      <c r="O18">
        <v>20</v>
      </c>
      <c r="P18">
        <v>40</v>
      </c>
      <c r="Q18">
        <v>40</v>
      </c>
      <c r="S18">
        <f>IF(ISBLANK(K18), "", VLOOKUP(K18,$D$5:$E$51,2, FALSE))</f>
        <v>677</v>
      </c>
      <c r="T18">
        <f>IF(ISBLANK(L18), "", VLOOKUP(L18,$D$5:$E$51,2, FALSE))</f>
        <v>3170</v>
      </c>
      <c r="U18">
        <f>IF(ISBLANK(M18), "", VLOOKUP(M18,$D$5:$E$51,2, FALSE))</f>
        <v>1300</v>
      </c>
      <c r="V18" t="str">
        <f>IF(ISBLANK(N18), "", VLOOKUP(N18,$D$5:$E$51,2, FALSE))</f>
        <v/>
      </c>
      <c r="W18">
        <f t="shared" si="8"/>
        <v>135.4</v>
      </c>
      <c r="X18">
        <f t="shared" si="9"/>
        <v>1268</v>
      </c>
      <c r="Y18">
        <f t="shared" si="10"/>
        <v>520</v>
      </c>
      <c r="Z18">
        <f t="shared" si="11"/>
        <v>0</v>
      </c>
    </row>
    <row r="19" spans="3:26" x14ac:dyDescent="0.2">
      <c r="C19" s="2" t="s">
        <v>14</v>
      </c>
      <c r="D19" s="2" t="s">
        <v>110</v>
      </c>
      <c r="E19" s="2">
        <v>804</v>
      </c>
      <c r="I19" t="s">
        <v>53</v>
      </c>
      <c r="J19">
        <f>SUM(W19:Z19)</f>
        <v>2546.6999999999998</v>
      </c>
      <c r="K19" t="s">
        <v>52</v>
      </c>
      <c r="L19" t="s">
        <v>37</v>
      </c>
      <c r="M19" t="s">
        <v>45</v>
      </c>
      <c r="O19">
        <v>10</v>
      </c>
      <c r="P19">
        <v>70</v>
      </c>
      <c r="Q19">
        <v>20</v>
      </c>
      <c r="S19">
        <f>IF(ISBLANK(K19), "", VLOOKUP(K19,$D$5:$E$51,2, FALSE))</f>
        <v>677</v>
      </c>
      <c r="T19">
        <f>IF(ISBLANK(L19), "", VLOOKUP(L19,$D$5:$E$51,2, FALSE))</f>
        <v>3170</v>
      </c>
      <c r="U19">
        <f>IF(ISBLANK(M19), "", VLOOKUP(M19,$D$5:$E$51,2, FALSE))</f>
        <v>1300</v>
      </c>
      <c r="V19" t="str">
        <f>IF(ISBLANK(N19), "", VLOOKUP(N19,$D$5:$E$51,2, FALSE))</f>
        <v/>
      </c>
      <c r="W19">
        <f t="shared" si="8"/>
        <v>67.7</v>
      </c>
      <c r="X19">
        <f t="shared" si="9"/>
        <v>2219</v>
      </c>
      <c r="Y19">
        <f t="shared" si="10"/>
        <v>260</v>
      </c>
      <c r="Z19">
        <f t="shared" si="11"/>
        <v>0</v>
      </c>
    </row>
    <row r="20" spans="3:26" x14ac:dyDescent="0.2">
      <c r="C20" s="2" t="s">
        <v>15</v>
      </c>
      <c r="D20" s="2" t="s">
        <v>31</v>
      </c>
      <c r="E20" s="2">
        <v>1760</v>
      </c>
      <c r="I20" t="s">
        <v>54</v>
      </c>
      <c r="J20">
        <f>SUM(W20:Z20)</f>
        <v>1624.21</v>
      </c>
      <c r="K20" t="s">
        <v>52</v>
      </c>
      <c r="L20" t="s">
        <v>37</v>
      </c>
      <c r="M20" t="s">
        <v>45</v>
      </c>
      <c r="O20">
        <v>23</v>
      </c>
      <c r="P20">
        <v>25</v>
      </c>
      <c r="Q20">
        <v>52</v>
      </c>
      <c r="S20">
        <f>IF(ISBLANK(K20), "", VLOOKUP(K20,$D$5:$E$51,2, FALSE))</f>
        <v>677</v>
      </c>
      <c r="T20">
        <f>IF(ISBLANK(L20), "", VLOOKUP(L20,$D$5:$E$51,2, FALSE))</f>
        <v>3170</v>
      </c>
      <c r="U20">
        <f>IF(ISBLANK(M20), "", VLOOKUP(M20,$D$5:$E$51,2, FALSE))</f>
        <v>1300</v>
      </c>
      <c r="V20" t="str">
        <f>IF(ISBLANK(N20), "", VLOOKUP(N20,$D$5:$E$51,2, FALSE))</f>
        <v/>
      </c>
      <c r="W20">
        <f t="shared" si="8"/>
        <v>155.71</v>
      </c>
      <c r="X20">
        <f t="shared" si="9"/>
        <v>792.5</v>
      </c>
      <c r="Y20">
        <f t="shared" si="10"/>
        <v>676</v>
      </c>
      <c r="Z20">
        <f t="shared" si="11"/>
        <v>0</v>
      </c>
    </row>
    <row r="21" spans="3:26" x14ac:dyDescent="0.2">
      <c r="C21" s="2" t="s">
        <v>16</v>
      </c>
      <c r="D21" s="2" t="s">
        <v>111</v>
      </c>
      <c r="E21" s="2">
        <v>79</v>
      </c>
      <c r="I21" t="s">
        <v>55</v>
      </c>
      <c r="J21">
        <f>SUM(W21:Z21)</f>
        <v>1487.05</v>
      </c>
      <c r="K21" t="s">
        <v>52</v>
      </c>
      <c r="L21" t="s">
        <v>37</v>
      </c>
      <c r="M21" t="s">
        <v>45</v>
      </c>
      <c r="O21">
        <v>15</v>
      </c>
      <c r="P21">
        <v>15</v>
      </c>
      <c r="Q21">
        <v>70</v>
      </c>
      <c r="S21">
        <f>IF(ISBLANK(K21), "", VLOOKUP(K21,$D$5:$E$51,2, FALSE))</f>
        <v>677</v>
      </c>
      <c r="T21">
        <f>IF(ISBLANK(L21), "", VLOOKUP(L21,$D$5:$E$51,2, FALSE))</f>
        <v>3170</v>
      </c>
      <c r="U21">
        <f>IF(ISBLANK(M21), "", VLOOKUP(M21,$D$5:$E$51,2, FALSE))</f>
        <v>1300</v>
      </c>
      <c r="V21" t="str">
        <f>IF(ISBLANK(N21), "", VLOOKUP(N21,$D$5:$E$51,2, FALSE))</f>
        <v/>
      </c>
      <c r="W21">
        <f t="shared" si="8"/>
        <v>101.55</v>
      </c>
      <c r="X21">
        <f t="shared" si="9"/>
        <v>475.5</v>
      </c>
      <c r="Y21">
        <f t="shared" si="10"/>
        <v>910</v>
      </c>
      <c r="Z21">
        <f t="shared" si="11"/>
        <v>0</v>
      </c>
    </row>
    <row r="22" spans="3:26" x14ac:dyDescent="0.2">
      <c r="C22" s="2" t="s">
        <v>17</v>
      </c>
      <c r="D22" s="2" t="s">
        <v>33</v>
      </c>
      <c r="E22" s="2">
        <v>527</v>
      </c>
      <c r="I22" t="s">
        <v>56</v>
      </c>
      <c r="J22">
        <f>SUM(W22:Z22)</f>
        <v>1424.75</v>
      </c>
      <c r="K22" t="s">
        <v>52</v>
      </c>
      <c r="L22" t="s">
        <v>37</v>
      </c>
      <c r="M22" t="s">
        <v>45</v>
      </c>
      <c r="O22">
        <v>25</v>
      </c>
      <c r="P22">
        <v>15</v>
      </c>
      <c r="Q22">
        <v>60</v>
      </c>
      <c r="S22">
        <f>IF(ISBLANK(K22), "", VLOOKUP(K22,$D$5:$E$51,2, FALSE))</f>
        <v>677</v>
      </c>
      <c r="T22">
        <f>IF(ISBLANK(L22), "", VLOOKUP(L22,$D$5:$E$51,2, FALSE))</f>
        <v>3170</v>
      </c>
      <c r="U22">
        <f>IF(ISBLANK(M22), "", VLOOKUP(M22,$D$5:$E$51,2, FALSE))</f>
        <v>1300</v>
      </c>
      <c r="V22" t="str">
        <f>IF(ISBLANK(N22), "", VLOOKUP(N22,$D$5:$E$51,2, FALSE))</f>
        <v/>
      </c>
      <c r="W22">
        <f t="shared" si="8"/>
        <v>169.25</v>
      </c>
      <c r="X22">
        <f t="shared" si="9"/>
        <v>475.5</v>
      </c>
      <c r="Y22">
        <f t="shared" si="10"/>
        <v>780</v>
      </c>
      <c r="Z22">
        <f t="shared" si="11"/>
        <v>0</v>
      </c>
    </row>
    <row r="23" spans="3:26" x14ac:dyDescent="0.2">
      <c r="C23" s="2" t="s">
        <v>18</v>
      </c>
      <c r="D23" s="2" t="s">
        <v>112</v>
      </c>
      <c r="E23" s="2">
        <v>782</v>
      </c>
      <c r="I23" t="s">
        <v>57</v>
      </c>
      <c r="J23">
        <f>SUM(W23:Z23)</f>
        <v>3257.1000000000004</v>
      </c>
      <c r="K23" t="s">
        <v>37</v>
      </c>
      <c r="L23" t="s">
        <v>44</v>
      </c>
      <c r="M23" t="s">
        <v>31</v>
      </c>
      <c r="O23">
        <v>7</v>
      </c>
      <c r="P23">
        <v>46</v>
      </c>
      <c r="Q23">
        <v>47</v>
      </c>
      <c r="S23">
        <f>IF(ISBLANK(K23), "", VLOOKUP(K23,$D$5:$E$51,2, FALSE))</f>
        <v>3170</v>
      </c>
      <c r="T23">
        <f>IF(ISBLANK(L23), "", VLOOKUP(L23,$D$5:$E$51,2, FALSE))</f>
        <v>4800</v>
      </c>
      <c r="U23">
        <f>IF(ISBLANK(M23), "", VLOOKUP(M23,$D$5:$E$51,2, FALSE))</f>
        <v>1760</v>
      </c>
      <c r="V23" t="str">
        <f>IF(ISBLANK(N23), "", VLOOKUP(N23,$D$5:$E$51,2, FALSE))</f>
        <v/>
      </c>
      <c r="W23">
        <f t="shared" si="8"/>
        <v>221.9</v>
      </c>
      <c r="X23">
        <f t="shared" si="9"/>
        <v>2208</v>
      </c>
      <c r="Y23">
        <f t="shared" si="10"/>
        <v>827.2</v>
      </c>
      <c r="Z23">
        <f t="shared" si="11"/>
        <v>0</v>
      </c>
    </row>
    <row r="24" spans="3:26" x14ac:dyDescent="0.2">
      <c r="C24" s="2" t="s">
        <v>19</v>
      </c>
      <c r="D24" s="2" t="s">
        <v>50</v>
      </c>
      <c r="E24" s="2">
        <v>1980</v>
      </c>
      <c r="I24" t="s">
        <v>58</v>
      </c>
      <c r="J24">
        <f>SUM(W24:Z24)</f>
        <v>1484.75</v>
      </c>
      <c r="K24" t="s">
        <v>31</v>
      </c>
      <c r="L24" t="s">
        <v>33</v>
      </c>
      <c r="M24" t="s">
        <v>50</v>
      </c>
      <c r="O24">
        <v>60</v>
      </c>
      <c r="P24">
        <v>25</v>
      </c>
      <c r="Q24">
        <v>15</v>
      </c>
      <c r="S24">
        <f>IF(ISBLANK(K24), "", VLOOKUP(K24,$D$5:$E$51,2, FALSE))</f>
        <v>1760</v>
      </c>
      <c r="T24">
        <f>IF(ISBLANK(L24), "", VLOOKUP(L24,$D$5:$E$51,2, FALSE))</f>
        <v>527</v>
      </c>
      <c r="U24">
        <f>IF(ISBLANK(M24), "", VLOOKUP(M24,$D$5:$E$51,2, FALSE))</f>
        <v>1980</v>
      </c>
      <c r="V24" t="str">
        <f>IF(ISBLANK(N24), "", VLOOKUP(N24,$D$5:$E$51,2, FALSE))</f>
        <v/>
      </c>
      <c r="W24">
        <f t="shared" si="8"/>
        <v>1056</v>
      </c>
      <c r="X24">
        <f t="shared" si="9"/>
        <v>131.75</v>
      </c>
      <c r="Y24">
        <f t="shared" si="10"/>
        <v>297</v>
      </c>
      <c r="Z24">
        <f t="shared" si="11"/>
        <v>0</v>
      </c>
    </row>
    <row r="25" spans="3:26" x14ac:dyDescent="0.2">
      <c r="C25" s="2" t="s">
        <v>20</v>
      </c>
      <c r="D25" s="2" t="s">
        <v>113</v>
      </c>
      <c r="E25" s="2">
        <v>127</v>
      </c>
      <c r="I25" t="s">
        <v>59</v>
      </c>
      <c r="J25">
        <f>SUM(W25:Z25)</f>
        <v>1473.75</v>
      </c>
      <c r="K25" t="s">
        <v>31</v>
      </c>
      <c r="L25" t="s">
        <v>33</v>
      </c>
      <c r="M25" t="s">
        <v>50</v>
      </c>
      <c r="O25">
        <v>65</v>
      </c>
      <c r="P25">
        <v>25</v>
      </c>
      <c r="Q25">
        <v>10</v>
      </c>
      <c r="S25">
        <f>IF(ISBLANK(K25), "", VLOOKUP(K25,$D$5:$E$51,2, FALSE))</f>
        <v>1760</v>
      </c>
      <c r="T25">
        <f>IF(ISBLANK(L25), "", VLOOKUP(L25,$D$5:$E$51,2, FALSE))</f>
        <v>527</v>
      </c>
      <c r="U25">
        <f>IF(ISBLANK(M25), "", VLOOKUP(M25,$D$5:$E$51,2, FALSE))</f>
        <v>1980</v>
      </c>
      <c r="V25" t="str">
        <f>IF(ISBLANK(N25), "", VLOOKUP(N25,$D$5:$E$51,2, FALSE))</f>
        <v/>
      </c>
      <c r="W25">
        <f t="shared" si="8"/>
        <v>1144</v>
      </c>
      <c r="X25">
        <f t="shared" si="9"/>
        <v>131.75</v>
      </c>
      <c r="Y25">
        <f t="shared" si="10"/>
        <v>198</v>
      </c>
      <c r="Z25">
        <f t="shared" si="11"/>
        <v>0</v>
      </c>
    </row>
    <row r="26" spans="3:26" x14ac:dyDescent="0.2">
      <c r="C26" s="2" t="s">
        <v>21</v>
      </c>
      <c r="D26" s="2" t="s">
        <v>114</v>
      </c>
      <c r="E26" s="2">
        <v>525</v>
      </c>
      <c r="I26" t="s">
        <v>60</v>
      </c>
      <c r="J26">
        <f>SUM(W26:Z26)</f>
        <v>1923.5</v>
      </c>
      <c r="K26" t="s">
        <v>52</v>
      </c>
      <c r="L26" t="s">
        <v>37</v>
      </c>
      <c r="O26">
        <v>50</v>
      </c>
      <c r="P26">
        <v>50</v>
      </c>
      <c r="S26">
        <f>IF(ISBLANK(K26), "", VLOOKUP(K26,$D$5:$E$51,2, FALSE))</f>
        <v>677</v>
      </c>
      <c r="T26">
        <f>IF(ISBLANK(L26), "", VLOOKUP(L26,$D$5:$E$51,2, FALSE))</f>
        <v>3170</v>
      </c>
      <c r="U26" t="str">
        <f>IF(ISBLANK(M26), "", VLOOKUP(M26,$D$5:$E$51,2, FALSE))</f>
        <v/>
      </c>
      <c r="V26" t="str">
        <f>IF(ISBLANK(N26), "", VLOOKUP(N26,$D$5:$E$51,2, FALSE))</f>
        <v/>
      </c>
      <c r="W26">
        <f t="shared" si="8"/>
        <v>338.5</v>
      </c>
      <c r="X26">
        <f t="shared" si="9"/>
        <v>1585</v>
      </c>
      <c r="Y26">
        <f t="shared" si="10"/>
        <v>0</v>
      </c>
      <c r="Z26">
        <f t="shared" si="11"/>
        <v>0</v>
      </c>
    </row>
    <row r="27" spans="3:26" x14ac:dyDescent="0.2">
      <c r="C27" s="2" t="s">
        <v>22</v>
      </c>
      <c r="D27" s="2"/>
      <c r="E27" s="14">
        <v>6630</v>
      </c>
      <c r="I27" t="s">
        <v>61</v>
      </c>
      <c r="J27">
        <f>SUM(W27:Z27)</f>
        <v>2048.15</v>
      </c>
      <c r="K27" t="s">
        <v>52</v>
      </c>
      <c r="L27" t="s">
        <v>37</v>
      </c>
      <c r="O27">
        <v>45</v>
      </c>
      <c r="P27">
        <v>55</v>
      </c>
      <c r="S27">
        <f>IF(ISBLANK(K27), "", VLOOKUP(K27,$D$5:$E$51,2, FALSE))</f>
        <v>677</v>
      </c>
      <c r="T27">
        <f>IF(ISBLANK(L27), "", VLOOKUP(L27,$D$5:$E$51,2, FALSE))</f>
        <v>3170</v>
      </c>
      <c r="U27" t="str">
        <f>IF(ISBLANK(M27), "", VLOOKUP(M27,$D$5:$E$51,2, FALSE))</f>
        <v/>
      </c>
      <c r="V27" t="str">
        <f>IF(ISBLANK(N27), "", VLOOKUP(N27,$D$5:$E$51,2, FALSE))</f>
        <v/>
      </c>
      <c r="W27">
        <f t="shared" si="8"/>
        <v>304.64999999999998</v>
      </c>
      <c r="X27">
        <f t="shared" si="9"/>
        <v>1743.5</v>
      </c>
      <c r="Y27">
        <f t="shared" si="10"/>
        <v>0</v>
      </c>
      <c r="Z27">
        <f t="shared" si="11"/>
        <v>0</v>
      </c>
    </row>
    <row r="28" spans="3:26" x14ac:dyDescent="0.2">
      <c r="C28" s="2" t="s">
        <v>23</v>
      </c>
      <c r="D28" s="2"/>
      <c r="E28" s="14">
        <v>11100</v>
      </c>
      <c r="I28" t="s">
        <v>62</v>
      </c>
      <c r="J28" t="e">
        <f>SUM(W28:Z28)</f>
        <v>#N/A</v>
      </c>
      <c r="K28" t="s">
        <v>63</v>
      </c>
      <c r="L28" t="s">
        <v>31</v>
      </c>
      <c r="M28" t="s">
        <v>32</v>
      </c>
      <c r="O28">
        <v>1.5</v>
      </c>
      <c r="P28">
        <v>87.5</v>
      </c>
      <c r="Q28">
        <v>11</v>
      </c>
      <c r="S28" t="e">
        <f>IF(ISBLANK(K28), "", VLOOKUP(K28,$D$5:$E$51,2, FALSE))</f>
        <v>#N/A</v>
      </c>
      <c r="T28">
        <f>IF(ISBLANK(L28), "", VLOOKUP(L28,$D$5:$E$51,2, FALSE))</f>
        <v>1760</v>
      </c>
      <c r="U28">
        <f>IF(ISBLANK(M28), "", VLOOKUP(M28,$D$5:$E$51,2, FALSE))</f>
        <v>138</v>
      </c>
      <c r="V28" t="str">
        <f>IF(ISBLANK(N28), "", VLOOKUP(N28,$D$5:$E$51,2, FALSE))</f>
        <v/>
      </c>
      <c r="W28" t="e">
        <f t="shared" si="8"/>
        <v>#N/A</v>
      </c>
      <c r="X28">
        <f t="shared" si="9"/>
        <v>1540</v>
      </c>
      <c r="Y28">
        <f t="shared" si="10"/>
        <v>15.18</v>
      </c>
      <c r="Z28">
        <f t="shared" si="11"/>
        <v>0</v>
      </c>
    </row>
    <row r="29" spans="3:26" x14ac:dyDescent="0.2">
      <c r="C29" s="2" t="s">
        <v>24</v>
      </c>
      <c r="D29" s="2"/>
      <c r="E29" s="14">
        <v>8900</v>
      </c>
      <c r="I29" t="s">
        <v>64</v>
      </c>
      <c r="J29" t="e">
        <f>SUM(W29:Z29)</f>
        <v>#N/A</v>
      </c>
      <c r="K29" t="s">
        <v>63</v>
      </c>
      <c r="L29" t="s">
        <v>31</v>
      </c>
      <c r="M29" t="s">
        <v>32</v>
      </c>
      <c r="O29">
        <v>3</v>
      </c>
      <c r="P29">
        <v>94</v>
      </c>
      <c r="Q29">
        <v>3</v>
      </c>
      <c r="S29" t="e">
        <f>IF(ISBLANK(K29), "", VLOOKUP(K29,$D$5:$E$51,2, FALSE))</f>
        <v>#N/A</v>
      </c>
      <c r="T29">
        <f>IF(ISBLANK(L29), "", VLOOKUP(L29,$D$5:$E$51,2, FALSE))</f>
        <v>1760</v>
      </c>
      <c r="U29">
        <f>IF(ISBLANK(M29), "", VLOOKUP(M29,$D$5:$E$51,2, FALSE))</f>
        <v>138</v>
      </c>
      <c r="V29" t="str">
        <f>IF(ISBLANK(N29), "", VLOOKUP(N29,$D$5:$E$51,2, FALSE))</f>
        <v/>
      </c>
      <c r="W29" t="e">
        <f t="shared" si="8"/>
        <v>#N/A</v>
      </c>
      <c r="X29">
        <f t="shared" si="9"/>
        <v>1654.4</v>
      </c>
      <c r="Y29">
        <f t="shared" si="10"/>
        <v>4.1399999999999997</v>
      </c>
      <c r="Z29">
        <f t="shared" si="11"/>
        <v>0</v>
      </c>
    </row>
    <row r="30" spans="3:26" x14ac:dyDescent="0.2">
      <c r="C30" s="2" t="s">
        <v>25</v>
      </c>
      <c r="D30" s="2"/>
      <c r="E30" s="14">
        <v>9200</v>
      </c>
      <c r="I30" t="s">
        <v>65</v>
      </c>
      <c r="J30" t="e">
        <f>SUM(W30:Z30)</f>
        <v>#N/A</v>
      </c>
      <c r="K30" t="s">
        <v>63</v>
      </c>
      <c r="L30" t="s">
        <v>31</v>
      </c>
      <c r="M30" t="s">
        <v>32</v>
      </c>
      <c r="O30">
        <v>3</v>
      </c>
      <c r="P30">
        <v>95.5</v>
      </c>
      <c r="Q30">
        <v>1.5</v>
      </c>
      <c r="S30" t="e">
        <f>IF(ISBLANK(K30), "", VLOOKUP(K30,$D$5:$E$51,2, FALSE))</f>
        <v>#N/A</v>
      </c>
      <c r="T30">
        <f>IF(ISBLANK(L30), "", VLOOKUP(L30,$D$5:$E$51,2, FALSE))</f>
        <v>1760</v>
      </c>
      <c r="U30">
        <f>IF(ISBLANK(M30), "", VLOOKUP(M30,$D$5:$E$51,2, FALSE))</f>
        <v>138</v>
      </c>
      <c r="V30" t="str">
        <f>IF(ISBLANK(N30), "", VLOOKUP(N30,$D$5:$E$51,2, FALSE))</f>
        <v/>
      </c>
      <c r="W30" t="e">
        <f t="shared" si="8"/>
        <v>#N/A</v>
      </c>
      <c r="X30">
        <f t="shared" si="9"/>
        <v>1680.8</v>
      </c>
      <c r="Y30">
        <f t="shared" si="10"/>
        <v>2.0699999999999998</v>
      </c>
      <c r="Z30">
        <f t="shared" si="11"/>
        <v>0</v>
      </c>
    </row>
    <row r="31" spans="3:26" x14ac:dyDescent="0.2">
      <c r="C31" s="2" t="s">
        <v>26</v>
      </c>
      <c r="D31" s="2"/>
      <c r="E31" s="14">
        <v>9540</v>
      </c>
      <c r="I31" t="s">
        <v>66</v>
      </c>
      <c r="J31">
        <f>SUM(W31:Z31)</f>
        <v>2172</v>
      </c>
      <c r="K31" t="s">
        <v>31</v>
      </c>
      <c r="L31" t="s">
        <v>41</v>
      </c>
      <c r="M31" t="s">
        <v>50</v>
      </c>
      <c r="O31">
        <v>70</v>
      </c>
      <c r="P31">
        <v>5</v>
      </c>
      <c r="Q31">
        <v>25</v>
      </c>
      <c r="S31">
        <f>IF(ISBLANK(K31), "", VLOOKUP(K31,$D$5:$E$51,2, FALSE))</f>
        <v>1760</v>
      </c>
      <c r="T31">
        <f>IF(ISBLANK(L31), "", VLOOKUP(L31,$D$5:$E$51,2, FALSE))</f>
        <v>8900</v>
      </c>
      <c r="U31">
        <f>IF(ISBLANK(M31), "", VLOOKUP(M31,$D$5:$E$51,2, FALSE))</f>
        <v>1980</v>
      </c>
      <c r="V31" t="str">
        <f>IF(ISBLANK(N31), "", VLOOKUP(N31,$D$5:$E$51,2, FALSE))</f>
        <v/>
      </c>
      <c r="W31">
        <f t="shared" si="8"/>
        <v>1232</v>
      </c>
      <c r="X31">
        <f t="shared" si="9"/>
        <v>445</v>
      </c>
      <c r="Y31">
        <f t="shared" si="10"/>
        <v>495</v>
      </c>
      <c r="Z31">
        <f t="shared" si="11"/>
        <v>0</v>
      </c>
    </row>
    <row r="32" spans="3:26" x14ac:dyDescent="0.2">
      <c r="C32" s="2" t="s">
        <v>27</v>
      </c>
      <c r="D32" s="2"/>
      <c r="E32" s="14">
        <v>8550</v>
      </c>
      <c r="I32" t="s">
        <v>67</v>
      </c>
      <c r="J32" t="e">
        <f>SUM(W32:Z32)</f>
        <v>#N/A</v>
      </c>
      <c r="K32" t="s">
        <v>41</v>
      </c>
      <c r="L32" t="s">
        <v>45</v>
      </c>
      <c r="M32" t="s">
        <v>49</v>
      </c>
      <c r="O32">
        <v>9</v>
      </c>
      <c r="P32">
        <v>88</v>
      </c>
      <c r="Q32">
        <v>3</v>
      </c>
      <c r="S32">
        <f>IF(ISBLANK(K32), "", VLOOKUP(K32,$D$5:$E$51,2, FALSE))</f>
        <v>8900</v>
      </c>
      <c r="T32">
        <f>IF(ISBLANK(L32), "", VLOOKUP(L32,$D$5:$E$51,2, FALSE))</f>
        <v>1300</v>
      </c>
      <c r="U32" t="e">
        <f>IF(ISBLANK(M32), "", VLOOKUP(M32,$D$5:$E$51,2, FALSE))</f>
        <v>#N/A</v>
      </c>
      <c r="V32" t="str">
        <f>IF(ISBLANK(N32), "", VLOOKUP(N32,$D$5:$E$51,2, FALSE))</f>
        <v/>
      </c>
      <c r="W32">
        <f t="shared" si="8"/>
        <v>801</v>
      </c>
      <c r="X32">
        <f t="shared" si="9"/>
        <v>1144</v>
      </c>
      <c r="Y32" t="e">
        <f t="shared" si="10"/>
        <v>#N/A</v>
      </c>
      <c r="Z32">
        <f t="shared" si="11"/>
        <v>0</v>
      </c>
    </row>
    <row r="33" spans="3:29" x14ac:dyDescent="0.2">
      <c r="C33" s="2" t="s">
        <v>28</v>
      </c>
      <c r="D33" s="2"/>
      <c r="E33" s="14">
        <v>7910</v>
      </c>
      <c r="I33" t="s">
        <v>68</v>
      </c>
      <c r="J33" t="e">
        <f>SUM(W33:Z33)</f>
        <v>#N/A</v>
      </c>
      <c r="K33" t="s">
        <v>31</v>
      </c>
      <c r="L33" t="s">
        <v>33</v>
      </c>
      <c r="M33" t="s">
        <v>49</v>
      </c>
      <c r="N33" t="s">
        <v>50</v>
      </c>
      <c r="O33">
        <v>51</v>
      </c>
      <c r="P33">
        <v>28.5</v>
      </c>
      <c r="Q33">
        <v>4</v>
      </c>
      <c r="R33">
        <v>16.5</v>
      </c>
      <c r="S33">
        <f>IF(ISBLANK(K33), "", VLOOKUP(K33,$D$5:$E$51,2, FALSE))</f>
        <v>1760</v>
      </c>
      <c r="T33">
        <f>IF(ISBLANK(L33), "", VLOOKUP(L33,$D$5:$E$51,2, FALSE))</f>
        <v>527</v>
      </c>
      <c r="U33" t="e">
        <f>IF(ISBLANK(M33), "", VLOOKUP(M33,$D$5:$E$51,2, FALSE))</f>
        <v>#N/A</v>
      </c>
      <c r="V33">
        <f>IF(ISBLANK(N33), "", VLOOKUP(N33,$D$5:$E$51,2, FALSE))</f>
        <v>1980</v>
      </c>
      <c r="W33">
        <f t="shared" si="8"/>
        <v>897.6</v>
      </c>
      <c r="X33">
        <f t="shared" si="9"/>
        <v>150.19499999999999</v>
      </c>
      <c r="Y33" t="e">
        <f t="shared" si="10"/>
        <v>#N/A</v>
      </c>
      <c r="Z33">
        <f t="shared" si="11"/>
        <v>326.7</v>
      </c>
    </row>
    <row r="34" spans="3:29" x14ac:dyDescent="0.2">
      <c r="C34" s="2" t="s">
        <v>29</v>
      </c>
      <c r="D34" s="2"/>
      <c r="E34" s="14">
        <v>7190</v>
      </c>
      <c r="I34" t="s">
        <v>69</v>
      </c>
      <c r="J34" t="e">
        <f>SUM(W34:Z34)</f>
        <v>#N/A</v>
      </c>
      <c r="K34" t="s">
        <v>31</v>
      </c>
      <c r="L34" t="s">
        <v>33</v>
      </c>
      <c r="M34" t="s">
        <v>49</v>
      </c>
      <c r="N34" t="s">
        <v>50</v>
      </c>
      <c r="O34">
        <v>50</v>
      </c>
      <c r="P34">
        <v>39</v>
      </c>
      <c r="Q34">
        <v>1.5</v>
      </c>
      <c r="R34">
        <v>9.5</v>
      </c>
      <c r="S34">
        <f>IF(ISBLANK(K34), "", VLOOKUP(K34,$D$5:$E$51,2, FALSE))</f>
        <v>1760</v>
      </c>
      <c r="T34">
        <f>IF(ISBLANK(L34), "", VLOOKUP(L34,$D$5:$E$51,2, FALSE))</f>
        <v>527</v>
      </c>
      <c r="U34" t="e">
        <f>IF(ISBLANK(M34), "", VLOOKUP(M34,$D$5:$E$51,2, FALSE))</f>
        <v>#N/A</v>
      </c>
      <c r="V34">
        <f>IF(ISBLANK(N34), "", VLOOKUP(N34,$D$5:$E$51,2, FALSE))</f>
        <v>1980</v>
      </c>
      <c r="W34">
        <f t="shared" si="8"/>
        <v>880</v>
      </c>
      <c r="X34">
        <f t="shared" si="9"/>
        <v>205.53</v>
      </c>
      <c r="Y34" t="e">
        <f t="shared" si="10"/>
        <v>#N/A</v>
      </c>
      <c r="Z34">
        <f t="shared" si="11"/>
        <v>188.1</v>
      </c>
    </row>
    <row r="35" spans="3:29" x14ac:dyDescent="0.2">
      <c r="C35" s="2" t="s">
        <v>121</v>
      </c>
      <c r="I35" t="s">
        <v>70</v>
      </c>
      <c r="J35">
        <f>SUM(W35:Z35)</f>
        <v>1468.04</v>
      </c>
      <c r="K35" t="s">
        <v>31</v>
      </c>
      <c r="L35" t="s">
        <v>32</v>
      </c>
      <c r="O35">
        <v>82</v>
      </c>
      <c r="P35">
        <v>18</v>
      </c>
      <c r="S35">
        <f>IF(ISBLANK(K35), "", VLOOKUP(K35,$D$5:$E$51,2, FALSE))</f>
        <v>1760</v>
      </c>
      <c r="T35">
        <f>IF(ISBLANK(L35), "", VLOOKUP(L35,$D$5:$E$51,2, FALSE))</f>
        <v>138</v>
      </c>
      <c r="U35" t="str">
        <f>IF(ISBLANK(M35), "", VLOOKUP(M35,$D$5:$E$51,2, FALSE))</f>
        <v/>
      </c>
      <c r="V35" t="str">
        <f>IF(ISBLANK(N35), "", VLOOKUP(N35,$D$5:$E$51,2, FALSE))</f>
        <v/>
      </c>
      <c r="W35">
        <f t="shared" si="8"/>
        <v>1443.2</v>
      </c>
      <c r="X35">
        <f t="shared" si="9"/>
        <v>24.84</v>
      </c>
      <c r="Y35">
        <f t="shared" si="10"/>
        <v>0</v>
      </c>
      <c r="Z35">
        <f t="shared" si="11"/>
        <v>0</v>
      </c>
    </row>
    <row r="36" spans="3:29" x14ac:dyDescent="0.2">
      <c r="C36" s="2" t="s">
        <v>122</v>
      </c>
      <c r="E36" s="14"/>
      <c r="I36" t="s">
        <v>71</v>
      </c>
      <c r="J36">
        <f>SUM(W36:Z36)</f>
        <v>543.5</v>
      </c>
      <c r="K36" t="s">
        <v>31</v>
      </c>
      <c r="L36" t="s">
        <v>32</v>
      </c>
      <c r="O36">
        <v>25</v>
      </c>
      <c r="P36">
        <v>75</v>
      </c>
      <c r="S36">
        <f>IF(ISBLANK(K36), "", VLOOKUP(K36,$D$5:$E$51,2, FALSE))</f>
        <v>1760</v>
      </c>
      <c r="T36">
        <f>IF(ISBLANK(L36), "", VLOOKUP(L36,$D$5:$E$51,2, FALSE))</f>
        <v>138</v>
      </c>
      <c r="U36" t="str">
        <f>IF(ISBLANK(M36), "", VLOOKUP(M36,$D$5:$E$51,2, FALSE))</f>
        <v/>
      </c>
      <c r="V36" t="str">
        <f>IF(ISBLANK(N36), "", VLOOKUP(N36,$D$5:$E$51,2, FALSE))</f>
        <v/>
      </c>
      <c r="W36">
        <f t="shared" si="8"/>
        <v>440</v>
      </c>
      <c r="X36">
        <f t="shared" si="9"/>
        <v>103.5</v>
      </c>
      <c r="Y36">
        <f t="shared" si="10"/>
        <v>0</v>
      </c>
      <c r="Z36">
        <f t="shared" si="11"/>
        <v>0</v>
      </c>
    </row>
    <row r="37" spans="3:29" x14ac:dyDescent="0.2">
      <c r="E37" s="14" t="s">
        <v>119</v>
      </c>
      <c r="F37" t="s">
        <v>120</v>
      </c>
      <c r="I37" t="s">
        <v>72</v>
      </c>
      <c r="J37" t="e">
        <f>SUM(W37:Z37)</f>
        <v>#N/A</v>
      </c>
      <c r="K37" t="s">
        <v>45</v>
      </c>
      <c r="L37" t="s">
        <v>33</v>
      </c>
      <c r="M37" t="s">
        <v>73</v>
      </c>
      <c r="O37">
        <v>59</v>
      </c>
      <c r="P37">
        <v>39.5</v>
      </c>
      <c r="Q37">
        <v>1.5</v>
      </c>
      <c r="S37">
        <f>IF(ISBLANK(K37), "", VLOOKUP(K37,$D$5:$E$51,2, FALSE))</f>
        <v>1300</v>
      </c>
      <c r="T37">
        <f>IF(ISBLANK(L37), "", VLOOKUP(L37,$D$5:$E$51,2, FALSE))</f>
        <v>527</v>
      </c>
      <c r="U37" t="e">
        <f>IF(ISBLANK(M37), "", VLOOKUP(M37,$D$5:$E$51,2, FALSE))</f>
        <v>#N/A</v>
      </c>
      <c r="V37" t="str">
        <f>IF(ISBLANK(N37), "", VLOOKUP(N37,$D$5:$E$51,2, FALSE))</f>
        <v/>
      </c>
      <c r="W37">
        <f t="shared" si="8"/>
        <v>767</v>
      </c>
      <c r="X37">
        <f t="shared" si="9"/>
        <v>208.16499999999999</v>
      </c>
      <c r="Y37" t="e">
        <f t="shared" si="10"/>
        <v>#N/A</v>
      </c>
      <c r="Z37">
        <f t="shared" si="11"/>
        <v>0</v>
      </c>
    </row>
    <row r="38" spans="3:29" ht="20" x14ac:dyDescent="0.2">
      <c r="D38" t="s">
        <v>99</v>
      </c>
      <c r="E38" s="15">
        <v>11100</v>
      </c>
      <c r="F38">
        <v>12400</v>
      </c>
      <c r="I38" t="s">
        <v>74</v>
      </c>
      <c r="J38" t="e">
        <f>SUM(W38:Z38)</f>
        <v>#N/A</v>
      </c>
      <c r="K38" t="s">
        <v>37</v>
      </c>
      <c r="L38" t="s">
        <v>45</v>
      </c>
      <c r="M38" t="s">
        <v>73</v>
      </c>
      <c r="O38">
        <v>46.6</v>
      </c>
      <c r="P38">
        <v>50</v>
      </c>
      <c r="Q38">
        <v>3.4</v>
      </c>
      <c r="S38">
        <f>IF(ISBLANK(K38), "", VLOOKUP(K38,$D$5:$E$51,2, FALSE))</f>
        <v>3170</v>
      </c>
      <c r="T38">
        <f>IF(ISBLANK(L38), "", VLOOKUP(L38,$D$5:$E$51,2, FALSE))</f>
        <v>1300</v>
      </c>
      <c r="U38" t="e">
        <f>IF(ISBLANK(M38), "", VLOOKUP(M38,$D$5:$E$51,2, FALSE))</f>
        <v>#N/A</v>
      </c>
      <c r="V38" t="str">
        <f>IF(ISBLANK(N38), "", VLOOKUP(N38,$D$5:$E$51,2, FALSE))</f>
        <v/>
      </c>
      <c r="W38">
        <f t="shared" si="8"/>
        <v>1477.22</v>
      </c>
      <c r="X38">
        <f t="shared" si="9"/>
        <v>650</v>
      </c>
      <c r="Y38" t="e">
        <f t="shared" si="10"/>
        <v>#N/A</v>
      </c>
      <c r="Z38">
        <f t="shared" si="11"/>
        <v>0</v>
      </c>
    </row>
    <row r="39" spans="3:29" ht="20" x14ac:dyDescent="0.2">
      <c r="D39" t="s">
        <v>41</v>
      </c>
      <c r="E39" s="15">
        <v>8900</v>
      </c>
      <c r="F39">
        <v>9290</v>
      </c>
      <c r="I39" t="s">
        <v>75</v>
      </c>
      <c r="J39" t="e">
        <f>SUM(W39:Z39)</f>
        <v>#N/A</v>
      </c>
      <c r="K39" t="s">
        <v>38</v>
      </c>
      <c r="L39" t="s">
        <v>31</v>
      </c>
      <c r="M39" t="s">
        <v>32</v>
      </c>
      <c r="O39">
        <v>1.5</v>
      </c>
      <c r="P39">
        <v>96</v>
      </c>
      <c r="Q39">
        <v>2.5</v>
      </c>
      <c r="S39" t="e">
        <f>IF(ISBLANK(K39), "", VLOOKUP(K39,$D$5:$E$51,2, FALSE))</f>
        <v>#N/A</v>
      </c>
      <c r="T39">
        <f>IF(ISBLANK(L39), "", VLOOKUP(L39,$D$5:$E$51,2, FALSE))</f>
        <v>1760</v>
      </c>
      <c r="U39">
        <f>IF(ISBLANK(M39), "", VLOOKUP(M39,$D$5:$E$51,2, FALSE))</f>
        <v>138</v>
      </c>
      <c r="V39" t="str">
        <f>IF(ISBLANK(N39), "", VLOOKUP(N39,$D$5:$E$51,2, FALSE))</f>
        <v/>
      </c>
      <c r="W39" t="e">
        <f t="shared" si="8"/>
        <v>#N/A</v>
      </c>
      <c r="X39">
        <f t="shared" si="9"/>
        <v>1689.6</v>
      </c>
      <c r="Y39">
        <f t="shared" si="10"/>
        <v>3.45</v>
      </c>
      <c r="Z39">
        <f t="shared" si="11"/>
        <v>0</v>
      </c>
    </row>
    <row r="40" spans="3:29" ht="20" x14ac:dyDescent="0.2">
      <c r="D40" t="s">
        <v>47</v>
      </c>
      <c r="E40" s="15">
        <v>9540</v>
      </c>
      <c r="F40">
        <v>10200</v>
      </c>
      <c r="I40" t="s">
        <v>76</v>
      </c>
      <c r="J40" t="e">
        <f>SUM(W40:Z40)</f>
        <v>#N/A</v>
      </c>
      <c r="K40" t="s">
        <v>37</v>
      </c>
      <c r="L40" t="s">
        <v>45</v>
      </c>
      <c r="M40" t="s">
        <v>77</v>
      </c>
      <c r="O40">
        <v>77</v>
      </c>
      <c r="P40">
        <v>19</v>
      </c>
      <c r="Q40">
        <v>4</v>
      </c>
      <c r="S40">
        <f>IF(ISBLANK(K40), "", VLOOKUP(K40,$D$5:$E$51,2, FALSE))</f>
        <v>3170</v>
      </c>
      <c r="T40">
        <f>IF(ISBLANK(L40), "", VLOOKUP(L40,$D$5:$E$51,2, FALSE))</f>
        <v>1300</v>
      </c>
      <c r="U40" t="e">
        <f>IF(ISBLANK(M40), "", VLOOKUP(M40,$D$5:$E$51,2, FALSE))</f>
        <v>#N/A</v>
      </c>
      <c r="V40" t="str">
        <f>IF(ISBLANK(N40), "", VLOOKUP(N40,$D$5:$E$51,2, FALSE))</f>
        <v/>
      </c>
      <c r="W40">
        <f t="shared" si="8"/>
        <v>2440.9</v>
      </c>
      <c r="X40">
        <f t="shared" si="9"/>
        <v>247</v>
      </c>
      <c r="Y40" t="e">
        <f t="shared" si="10"/>
        <v>#N/A</v>
      </c>
      <c r="Z40">
        <f t="shared" si="11"/>
        <v>0</v>
      </c>
    </row>
    <row r="41" spans="3:29" ht="20" x14ac:dyDescent="0.2">
      <c r="E41" s="15"/>
      <c r="I41" t="s">
        <v>78</v>
      </c>
      <c r="J41">
        <f>SUM(W41:Z41)</f>
        <v>1381.6</v>
      </c>
      <c r="K41" t="s">
        <v>45</v>
      </c>
      <c r="L41" t="s">
        <v>50</v>
      </c>
      <c r="O41">
        <v>88</v>
      </c>
      <c r="P41">
        <v>12</v>
      </c>
      <c r="S41">
        <f>IF(ISBLANK(K41), "", VLOOKUP(K41,$D$5:$E$51,2, FALSE))</f>
        <v>1300</v>
      </c>
      <c r="T41">
        <f>IF(ISBLANK(L41), "", VLOOKUP(L41,$D$5:$E$51,2, FALSE))</f>
        <v>1980</v>
      </c>
      <c r="U41" t="str">
        <f>IF(ISBLANK(M41), "", VLOOKUP(M41,$D$5:$E$51,2, FALSE))</f>
        <v/>
      </c>
      <c r="V41" t="str">
        <f>IF(ISBLANK(N41), "", VLOOKUP(N41,$D$5:$E$51,2, FALSE))</f>
        <v/>
      </c>
      <c r="W41">
        <f t="shared" si="8"/>
        <v>1144</v>
      </c>
      <c r="X41">
        <f t="shared" si="9"/>
        <v>237.6</v>
      </c>
      <c r="Y41">
        <f t="shared" si="10"/>
        <v>0</v>
      </c>
      <c r="Z41">
        <f t="shared" si="11"/>
        <v>0</v>
      </c>
    </row>
    <row r="42" spans="3:29" ht="20" x14ac:dyDescent="0.2">
      <c r="E42" s="15"/>
      <c r="I42" t="s">
        <v>79</v>
      </c>
      <c r="J42">
        <f>SUM(W42:Z42)</f>
        <v>2384.6</v>
      </c>
      <c r="K42" t="s">
        <v>37</v>
      </c>
      <c r="L42" t="s">
        <v>45</v>
      </c>
      <c r="O42">
        <v>58</v>
      </c>
      <c r="P42">
        <v>42</v>
      </c>
      <c r="S42">
        <f>IF(ISBLANK(K42), "", VLOOKUP(K42,$D$5:$E$51,2, FALSE))</f>
        <v>3170</v>
      </c>
      <c r="T42">
        <f>IF(ISBLANK(L42), "", VLOOKUP(L42,$D$5:$E$51,2, FALSE))</f>
        <v>1300</v>
      </c>
      <c r="U42" t="str">
        <f>IF(ISBLANK(M42), "", VLOOKUP(M42,$D$5:$E$51,2, FALSE))</f>
        <v/>
      </c>
      <c r="V42" t="str">
        <f>IF(ISBLANK(N42), "", VLOOKUP(N42,$D$5:$E$51,2, FALSE))</f>
        <v/>
      </c>
      <c r="W42">
        <f t="shared" si="8"/>
        <v>1838.6</v>
      </c>
      <c r="X42">
        <f t="shared" si="9"/>
        <v>546</v>
      </c>
      <c r="Y42">
        <f t="shared" si="10"/>
        <v>0</v>
      </c>
      <c r="Z42">
        <f t="shared" si="11"/>
        <v>0</v>
      </c>
    </row>
    <row r="43" spans="3:29" ht="20" x14ac:dyDescent="0.2">
      <c r="E43" s="15"/>
      <c r="I43" t="s">
        <v>80</v>
      </c>
      <c r="J43">
        <f>SUM(W43:Z43)</f>
        <v>2847.17</v>
      </c>
      <c r="K43" t="s">
        <v>37</v>
      </c>
      <c r="L43" t="s">
        <v>45</v>
      </c>
      <c r="M43" t="s">
        <v>49</v>
      </c>
      <c r="O43">
        <v>85.1</v>
      </c>
      <c r="P43">
        <v>11.5</v>
      </c>
      <c r="S43">
        <f>IF(ISBLANK(K43), "", VLOOKUP(K43,$D$5:$E$51,2, FALSE))</f>
        <v>3170</v>
      </c>
      <c r="T43">
        <f>IF(ISBLANK(L43), "", VLOOKUP(L43,$D$5:$E$51,2, FALSE))</f>
        <v>1300</v>
      </c>
      <c r="U43" t="e">
        <f>IF(ISBLANK(M43), "", VLOOKUP(M43,$D$5:$E$51,2, FALSE))</f>
        <v>#N/A</v>
      </c>
      <c r="V43" t="str">
        <f>IF(ISBLANK(N43), "", VLOOKUP(N43,$D$5:$E$51,2, FALSE))</f>
        <v/>
      </c>
      <c r="W43">
        <f t="shared" si="8"/>
        <v>2697.67</v>
      </c>
      <c r="X43">
        <f t="shared" si="9"/>
        <v>149.5</v>
      </c>
      <c r="Y43">
        <f t="shared" si="10"/>
        <v>0</v>
      </c>
      <c r="Z43">
        <f t="shared" si="11"/>
        <v>0</v>
      </c>
    </row>
    <row r="44" spans="3:29" ht="20" x14ac:dyDescent="0.2">
      <c r="D44" t="s">
        <v>84</v>
      </c>
      <c r="E44" s="15">
        <v>10200</v>
      </c>
      <c r="F44">
        <v>12500</v>
      </c>
      <c r="I44" t="s">
        <v>81</v>
      </c>
      <c r="J44">
        <f>SUM(W44:Z44)</f>
        <v>2289.5</v>
      </c>
      <c r="K44" t="s">
        <v>37</v>
      </c>
      <c r="L44" t="s">
        <v>45</v>
      </c>
      <c r="M44" t="s">
        <v>49</v>
      </c>
      <c r="O44">
        <v>55</v>
      </c>
      <c r="P44">
        <v>42</v>
      </c>
      <c r="S44">
        <f>IF(ISBLANK(K44), "", VLOOKUP(K44,$D$5:$E$51,2, FALSE))</f>
        <v>3170</v>
      </c>
      <c r="T44">
        <f>IF(ISBLANK(L44), "", VLOOKUP(L44,$D$5:$E$51,2, FALSE))</f>
        <v>1300</v>
      </c>
      <c r="U44" t="e">
        <f>IF(ISBLANK(M44), "", VLOOKUP(M44,$D$5:$E$51,2, FALSE))</f>
        <v>#N/A</v>
      </c>
      <c r="V44" t="str">
        <f>IF(ISBLANK(N44), "", VLOOKUP(N44,$D$5:$E$51,2, FALSE))</f>
        <v/>
      </c>
      <c r="W44">
        <f t="shared" si="8"/>
        <v>1743.5</v>
      </c>
      <c r="X44">
        <f t="shared" si="9"/>
        <v>546</v>
      </c>
      <c r="Y44">
        <f t="shared" si="10"/>
        <v>0</v>
      </c>
      <c r="Z44">
        <f t="shared" si="11"/>
        <v>0</v>
      </c>
    </row>
    <row r="45" spans="3:29" x14ac:dyDescent="0.2">
      <c r="I45" t="s">
        <v>82</v>
      </c>
      <c r="J45">
        <f>SUM(W45:Z45)</f>
        <v>2794.4</v>
      </c>
      <c r="K45" t="s">
        <v>37</v>
      </c>
      <c r="L45" t="s">
        <v>45</v>
      </c>
      <c r="M45" t="s">
        <v>49</v>
      </c>
      <c r="O45">
        <v>82</v>
      </c>
      <c r="P45">
        <v>15</v>
      </c>
      <c r="S45">
        <f>IF(ISBLANK(K45), "", VLOOKUP(K45,$D$5:$E$51,2, FALSE))</f>
        <v>3170</v>
      </c>
      <c r="T45">
        <f>IF(ISBLANK(L45), "", VLOOKUP(L45,$D$5:$E$51,2, FALSE))</f>
        <v>1300</v>
      </c>
      <c r="U45" t="e">
        <f>IF(ISBLANK(M45), "", VLOOKUP(M45,$D$5:$E$51,2, FALSE))</f>
        <v>#N/A</v>
      </c>
      <c r="V45" t="str">
        <f>IF(ISBLANK(N45), "", VLOOKUP(N45,$D$5:$E$51,2, FALSE))</f>
        <v/>
      </c>
      <c r="W45">
        <f>IF(ISBLANK(O45),0,S45*O45/100)</f>
        <v>2599.4</v>
      </c>
      <c r="X45">
        <f t="shared" si="9"/>
        <v>195</v>
      </c>
      <c r="Y45">
        <f t="shared" si="10"/>
        <v>0</v>
      </c>
      <c r="Z45">
        <f t="shared" si="11"/>
        <v>0</v>
      </c>
    </row>
    <row r="46" spans="3:29" ht="20" x14ac:dyDescent="0.2">
      <c r="D46" t="s">
        <v>90</v>
      </c>
      <c r="E46" s="15">
        <v>13900</v>
      </c>
      <c r="F46">
        <v>16200</v>
      </c>
      <c r="I46" t="s">
        <v>83</v>
      </c>
      <c r="J46">
        <f>SUM(W46:Z46)</f>
        <v>7563.7560000000003</v>
      </c>
      <c r="K46" t="s">
        <v>84</v>
      </c>
      <c r="L46" t="s">
        <v>32</v>
      </c>
      <c r="O46">
        <v>73.8</v>
      </c>
      <c r="P46">
        <v>26.2</v>
      </c>
      <c r="S46">
        <f>IF(ISBLANK(K46), "", VLOOKUP(K46,$D$5:$E$51,2, FALSE))</f>
        <v>10200</v>
      </c>
      <c r="T46">
        <f>IF(ISBLANK(L46), "", VLOOKUP(L46,$D$5:$E$51,2, FALSE))</f>
        <v>138</v>
      </c>
      <c r="U46" t="str">
        <f>IF(ISBLANK(M46), "", VLOOKUP(M46,$D$5:$E$51,2, FALSE))</f>
        <v/>
      </c>
      <c r="V46" t="str">
        <f>IF(ISBLANK(N46), "", VLOOKUP(N46,$D$5:$E$51,2, FALSE))</f>
        <v/>
      </c>
      <c r="W46">
        <f t="shared" ref="W46:W56" si="12">IF(ISBLANK(O46),0,S46*O46/100)</f>
        <v>7527.6</v>
      </c>
      <c r="X46">
        <f t="shared" ref="X46:X56" si="13">IF(ISBLANK(P46),0,T46*P46/100)</f>
        <v>36.155999999999999</v>
      </c>
      <c r="Y46">
        <f t="shared" ref="Y46:Y56" si="14">IF(ISBLANK(Q46),0,U46*Q46/100)</f>
        <v>0</v>
      </c>
      <c r="Z46">
        <f t="shared" ref="Z46:Z56" si="15">IF(ISBLANK(R46),0,V46*R46/100)</f>
        <v>0</v>
      </c>
    </row>
    <row r="47" spans="3:29" ht="20" x14ac:dyDescent="0.2">
      <c r="D47" t="s">
        <v>87</v>
      </c>
      <c r="E47" s="15">
        <v>7670</v>
      </c>
      <c r="F47">
        <v>9600</v>
      </c>
      <c r="I47" t="s">
        <v>85</v>
      </c>
      <c r="J47">
        <f>SUM(W47:Z47)</f>
        <v>3870</v>
      </c>
      <c r="K47" t="s">
        <v>31</v>
      </c>
      <c r="L47" t="s">
        <v>84</v>
      </c>
      <c r="O47">
        <v>75</v>
      </c>
      <c r="P47">
        <v>25</v>
      </c>
      <c r="S47">
        <f>IF(ISBLANK(K47), "", VLOOKUP(K47,$D$5:$E$51,2, FALSE))</f>
        <v>1760</v>
      </c>
      <c r="T47">
        <f>IF(ISBLANK(L47), "", VLOOKUP(L47,$D$5:$E$51,2, FALSE))</f>
        <v>10200</v>
      </c>
      <c r="U47" t="str">
        <f>IF(ISBLANK(M47), "", VLOOKUP(M47,$D$5:$E$51,2, FALSE))</f>
        <v/>
      </c>
      <c r="V47" t="str">
        <f>IF(ISBLANK(N47), "", VLOOKUP(N47,$D$5:$E$51,2, FALSE))</f>
        <v/>
      </c>
      <c r="W47">
        <f t="shared" si="12"/>
        <v>1320</v>
      </c>
      <c r="X47">
        <f t="shared" si="13"/>
        <v>2550</v>
      </c>
      <c r="Y47">
        <f t="shared" si="14"/>
        <v>0</v>
      </c>
      <c r="Z47">
        <f t="shared" si="15"/>
        <v>0</v>
      </c>
    </row>
    <row r="48" spans="3:29" ht="20" x14ac:dyDescent="0.2">
      <c r="D48" t="s">
        <v>96</v>
      </c>
      <c r="E48" s="15">
        <v>8590</v>
      </c>
      <c r="F48">
        <v>9430</v>
      </c>
      <c r="I48" t="s">
        <v>86</v>
      </c>
      <c r="J48">
        <f>SUM(W48:Z48)</f>
        <v>4785.92</v>
      </c>
      <c r="K48" t="s">
        <v>31</v>
      </c>
      <c r="L48" t="s">
        <v>87</v>
      </c>
      <c r="O48">
        <v>48.8</v>
      </c>
      <c r="P48">
        <v>51.2</v>
      </c>
      <c r="S48">
        <f>IF(ISBLANK(K48), "", VLOOKUP(K48,$D$5:$E$51,2, FALSE))</f>
        <v>1760</v>
      </c>
      <c r="T48">
        <f>IF(ISBLANK(L48), "", VLOOKUP(L48,$D$5:$E$51,2, FALSE))</f>
        <v>7670</v>
      </c>
      <c r="U48" t="str">
        <f>IF(ISBLANK(M48), "", VLOOKUP(M48,$D$5:$E$51,2, FALSE))</f>
        <v/>
      </c>
      <c r="V48" t="str">
        <f>IF(ISBLANK(N48), "", VLOOKUP(N48,$D$5:$E$51,2, FALSE))</f>
        <v/>
      </c>
      <c r="W48">
        <f t="shared" si="12"/>
        <v>858.88</v>
      </c>
      <c r="X48">
        <f t="shared" si="13"/>
        <v>3927.04</v>
      </c>
      <c r="Y48">
        <f t="shared" si="14"/>
        <v>0</v>
      </c>
      <c r="Z48">
        <f t="shared" si="15"/>
        <v>0</v>
      </c>
      <c r="AC48" s="15">
        <v>8504</v>
      </c>
    </row>
    <row r="49" spans="3:29" x14ac:dyDescent="0.2">
      <c r="I49" t="s">
        <v>88</v>
      </c>
      <c r="J49">
        <f>SUM(W49:Z49)</f>
        <v>13298.5</v>
      </c>
      <c r="K49" t="s">
        <v>89</v>
      </c>
      <c r="L49" t="s">
        <v>90</v>
      </c>
      <c r="O49">
        <v>40.1</v>
      </c>
      <c r="P49">
        <v>59.9</v>
      </c>
      <c r="S49">
        <f>IF(ISBLANK(K49), "", VLOOKUP(K49,$D$5:$E$51,2, FALSE))</f>
        <v>12400</v>
      </c>
      <c r="T49">
        <f>IF(ISBLANK(L49), "", VLOOKUP(L49,$D$5:$E$51,2, FALSE))</f>
        <v>13900</v>
      </c>
      <c r="U49" t="str">
        <f>IF(ISBLANK(M49), "", VLOOKUP(M49,$D$5:$E$51,2, FALSE))</f>
        <v/>
      </c>
      <c r="V49" t="str">
        <f>IF(ISBLANK(N49), "", VLOOKUP(N49,$D$5:$E$51,2, FALSE))</f>
        <v/>
      </c>
      <c r="W49">
        <f t="shared" si="12"/>
        <v>4972.3999999999996</v>
      </c>
      <c r="X49">
        <f t="shared" si="13"/>
        <v>8326.1</v>
      </c>
      <c r="Y49">
        <f t="shared" si="14"/>
        <v>0</v>
      </c>
      <c r="Z49">
        <f t="shared" si="15"/>
        <v>0</v>
      </c>
      <c r="AC49">
        <v>4495</v>
      </c>
    </row>
    <row r="50" spans="3:29" x14ac:dyDescent="0.2">
      <c r="I50" t="s">
        <v>91</v>
      </c>
      <c r="J50">
        <f>SUM(W50:Z50)</f>
        <v>4299.3739999999998</v>
      </c>
      <c r="K50" t="s">
        <v>52</v>
      </c>
      <c r="L50" t="s">
        <v>87</v>
      </c>
      <c r="O50">
        <v>48.2</v>
      </c>
      <c r="P50">
        <v>51.8</v>
      </c>
      <c r="S50">
        <f>IF(ISBLANK(K50), "", VLOOKUP(K50,$D$5:$E$51,2, FALSE))</f>
        <v>677</v>
      </c>
      <c r="T50">
        <f>IF(ISBLANK(L50), "", VLOOKUP(L50,$D$5:$E$51,2, FALSE))</f>
        <v>7670</v>
      </c>
      <c r="U50" t="str">
        <f>IF(ISBLANK(M50), "", VLOOKUP(M50,$D$5:$E$51,2, FALSE))</f>
        <v/>
      </c>
      <c r="V50" t="str">
        <f>IF(ISBLANK(N50), "", VLOOKUP(N50,$D$5:$E$51,2, FALSE))</f>
        <v/>
      </c>
      <c r="W50">
        <f t="shared" si="12"/>
        <v>326.31400000000002</v>
      </c>
      <c r="X50">
        <f t="shared" si="13"/>
        <v>3973.06</v>
      </c>
      <c r="Y50">
        <f t="shared" si="14"/>
        <v>0</v>
      </c>
      <c r="Z50">
        <f t="shared" si="15"/>
        <v>0</v>
      </c>
    </row>
    <row r="51" spans="3:29" ht="20" x14ac:dyDescent="0.2">
      <c r="C51" t="s">
        <v>123</v>
      </c>
      <c r="E51" s="15"/>
      <c r="I51" t="s">
        <v>92</v>
      </c>
      <c r="J51" t="e">
        <f>SUM(W51:Z51)</f>
        <v>#N/A</v>
      </c>
      <c r="K51" t="s">
        <v>84</v>
      </c>
      <c r="L51" t="s">
        <v>93</v>
      </c>
      <c r="O51">
        <v>78</v>
      </c>
      <c r="P51">
        <v>22</v>
      </c>
      <c r="S51">
        <f>IF(ISBLANK(K51), "", VLOOKUP(K51,$D$5:$E$51,2, FALSE))</f>
        <v>10200</v>
      </c>
      <c r="T51" t="e">
        <f>IF(ISBLANK(L51), "", VLOOKUP(L51,$D$5:$E$51,2, FALSE))</f>
        <v>#N/A</v>
      </c>
      <c r="U51" t="str">
        <f>IF(ISBLANK(M51), "", VLOOKUP(M51,$D$5:$E$51,2, FALSE))</f>
        <v/>
      </c>
      <c r="V51" t="str">
        <f>IF(ISBLANK(N51), "", VLOOKUP(N51,$D$5:$E$51,2, FALSE))</f>
        <v/>
      </c>
      <c r="W51">
        <f t="shared" si="12"/>
        <v>7956</v>
      </c>
      <c r="X51" t="e">
        <f t="shared" si="13"/>
        <v>#N/A</v>
      </c>
      <c r="Y51">
        <f t="shared" si="14"/>
        <v>0</v>
      </c>
      <c r="Z51">
        <f t="shared" si="15"/>
        <v>0</v>
      </c>
    </row>
    <row r="52" spans="3:29" x14ac:dyDescent="0.2">
      <c r="C52" t="s">
        <v>63</v>
      </c>
      <c r="I52" t="s">
        <v>94</v>
      </c>
      <c r="J52" t="e">
        <f>SUM(W52:Z52)</f>
        <v>#N/A</v>
      </c>
      <c r="K52" t="s">
        <v>95</v>
      </c>
      <c r="L52" t="s">
        <v>96</v>
      </c>
      <c r="O52">
        <v>55.1</v>
      </c>
      <c r="P52">
        <v>44.9</v>
      </c>
      <c r="S52" t="e">
        <f>IF(ISBLANK(K52), "", VLOOKUP(K52,$D$5:$E$51,2, FALSE))</f>
        <v>#N/A</v>
      </c>
      <c r="T52">
        <f>IF(ISBLANK(L52), "", VLOOKUP(L52,$D$5:$E$51,2, FALSE))</f>
        <v>8590</v>
      </c>
      <c r="U52" t="str">
        <f>IF(ISBLANK(M52), "", VLOOKUP(M52,$D$5:$E$51,2, FALSE))</f>
        <v/>
      </c>
      <c r="V52" t="str">
        <f>IF(ISBLANK(N52), "", VLOOKUP(N52,$D$5:$E$51,2, FALSE))</f>
        <v/>
      </c>
      <c r="W52" t="e">
        <f t="shared" si="12"/>
        <v>#N/A</v>
      </c>
      <c r="X52">
        <f t="shared" si="13"/>
        <v>3856.91</v>
      </c>
      <c r="Y52">
        <f t="shared" si="14"/>
        <v>0</v>
      </c>
      <c r="Z52">
        <f t="shared" si="15"/>
        <v>0</v>
      </c>
    </row>
    <row r="53" spans="3:29" x14ac:dyDescent="0.2">
      <c r="C53" t="s">
        <v>38</v>
      </c>
      <c r="I53" t="s">
        <v>97</v>
      </c>
      <c r="J53">
        <f>SUM(W53:Z53)</f>
        <v>3985</v>
      </c>
      <c r="K53" t="s">
        <v>37</v>
      </c>
      <c r="L53" t="s">
        <v>44</v>
      </c>
      <c r="O53">
        <v>50</v>
      </c>
      <c r="P53">
        <v>50</v>
      </c>
      <c r="S53">
        <f>IF(ISBLANK(K53), "", VLOOKUP(K53,$D$5:$E$51,2, FALSE))</f>
        <v>3170</v>
      </c>
      <c r="T53">
        <f>IF(ISBLANK(L53), "", VLOOKUP(L53,$D$5:$E$51,2, FALSE))</f>
        <v>4800</v>
      </c>
      <c r="U53" t="str">
        <f>IF(ISBLANK(M53), "", VLOOKUP(M53,$D$5:$E$51,2, FALSE))</f>
        <v/>
      </c>
      <c r="V53" t="str">
        <f>IF(ISBLANK(N53), "", VLOOKUP(N53,$D$5:$E$51,2, FALSE))</f>
        <v/>
      </c>
      <c r="W53">
        <f t="shared" si="12"/>
        <v>1585</v>
      </c>
      <c r="X53">
        <f t="shared" si="13"/>
        <v>2400</v>
      </c>
      <c r="Y53">
        <f t="shared" si="14"/>
        <v>0</v>
      </c>
      <c r="Z53">
        <f t="shared" si="15"/>
        <v>0</v>
      </c>
    </row>
    <row r="54" spans="3:29" x14ac:dyDescent="0.2">
      <c r="C54" t="s">
        <v>49</v>
      </c>
      <c r="I54" t="s">
        <v>98</v>
      </c>
      <c r="J54">
        <f>SUM(W54:Z54)</f>
        <v>11607</v>
      </c>
      <c r="K54" t="s">
        <v>89</v>
      </c>
      <c r="L54" t="s">
        <v>99</v>
      </c>
      <c r="O54">
        <v>39</v>
      </c>
      <c r="P54">
        <v>61</v>
      </c>
      <c r="S54">
        <f>IF(ISBLANK(K54), "", VLOOKUP(K54,$D$5:$E$51,2, FALSE))</f>
        <v>12400</v>
      </c>
      <c r="T54">
        <f>IF(ISBLANK(L54), "", VLOOKUP(L54,$D$5:$E$51,2, FALSE))</f>
        <v>11100</v>
      </c>
      <c r="U54" t="str">
        <f>IF(ISBLANK(M54), "", VLOOKUP(M54,$D$5:$E$51,2, FALSE))</f>
        <v/>
      </c>
      <c r="V54" t="str">
        <f>IF(ISBLANK(N54), "", VLOOKUP(N54,$D$5:$E$51,2, FALSE))</f>
        <v/>
      </c>
      <c r="W54">
        <f t="shared" si="12"/>
        <v>4836</v>
      </c>
      <c r="X54">
        <f t="shared" si="13"/>
        <v>6771</v>
      </c>
      <c r="Y54">
        <f t="shared" si="14"/>
        <v>0</v>
      </c>
      <c r="Z54">
        <f t="shared" si="15"/>
        <v>0</v>
      </c>
    </row>
    <row r="55" spans="3:29" x14ac:dyDescent="0.2">
      <c r="C55" t="s">
        <v>73</v>
      </c>
      <c r="I55" t="s">
        <v>100</v>
      </c>
      <c r="J55">
        <f>SUM(W55:Z55)</f>
        <v>11698</v>
      </c>
      <c r="K55" t="s">
        <v>89</v>
      </c>
      <c r="L55" t="s">
        <v>99</v>
      </c>
      <c r="O55">
        <v>46</v>
      </c>
      <c r="P55">
        <v>54</v>
      </c>
      <c r="S55">
        <f>IF(ISBLANK(K55), "", VLOOKUP(K55,$D$5:$E$51,2, FALSE))</f>
        <v>12400</v>
      </c>
      <c r="T55">
        <f>IF(ISBLANK(L55), "", VLOOKUP(L55,$D$5:$E$51,2, FALSE))</f>
        <v>11100</v>
      </c>
      <c r="U55" t="str">
        <f>IF(ISBLANK(M55), "", VLOOKUP(M55,$D$5:$E$51,2, FALSE))</f>
        <v/>
      </c>
      <c r="V55" t="str">
        <f>IF(ISBLANK(N55), "", VLOOKUP(N55,$D$5:$E$51,2, FALSE))</f>
        <v/>
      </c>
      <c r="W55">
        <f t="shared" si="12"/>
        <v>5704</v>
      </c>
      <c r="X55">
        <f t="shared" si="13"/>
        <v>5994</v>
      </c>
      <c r="Y55">
        <f t="shared" si="14"/>
        <v>0</v>
      </c>
      <c r="Z55">
        <f t="shared" si="15"/>
        <v>0</v>
      </c>
    </row>
    <row r="56" spans="3:29" x14ac:dyDescent="0.2">
      <c r="C56" t="s">
        <v>77</v>
      </c>
      <c r="I56" t="s">
        <v>101</v>
      </c>
      <c r="J56">
        <f>SUM(W56:Z56)</f>
        <v>5758.4</v>
      </c>
      <c r="K56" t="s">
        <v>31</v>
      </c>
      <c r="L56" t="s">
        <v>41</v>
      </c>
      <c r="O56">
        <v>44</v>
      </c>
      <c r="P56">
        <v>56</v>
      </c>
      <c r="S56">
        <f>IF(ISBLANK(K56), "", VLOOKUP(K56,$D$5:$E$51,2, FALSE))</f>
        <v>1760</v>
      </c>
      <c r="T56">
        <f>IF(ISBLANK(L56), "", VLOOKUP(L56,$D$5:$E$51,2, FALSE))</f>
        <v>8900</v>
      </c>
      <c r="U56" t="str">
        <f>IF(ISBLANK(M56), "", VLOOKUP(M56,$D$5:$E$51,2, FALSE))</f>
        <v/>
      </c>
      <c r="V56" t="str">
        <f>IF(ISBLANK(N56), "", VLOOKUP(N56,$D$5:$E$51,2, FALSE))</f>
        <v/>
      </c>
      <c r="W56">
        <f t="shared" si="12"/>
        <v>774.4</v>
      </c>
      <c r="X56">
        <f t="shared" si="13"/>
        <v>4984</v>
      </c>
      <c r="Y56">
        <f t="shared" si="14"/>
        <v>0</v>
      </c>
      <c r="Z56">
        <f t="shared" si="15"/>
        <v>0</v>
      </c>
    </row>
    <row r="57" spans="3:29" x14ac:dyDescent="0.2">
      <c r="C57" t="s">
        <v>95</v>
      </c>
    </row>
    <row r="58" spans="3:29" x14ac:dyDescent="0.2">
      <c r="C5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9.1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2026-03-26T05:34:25Z</dcterms:modified>
</cp:coreProperties>
</file>