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xr:revisionPtr revIDLastSave="0" documentId="13_ncr:1_{55F0EB12-C400-6747-BD28-AB540E0B8D6D}" xr6:coauthVersionLast="47" xr6:coauthVersionMax="47" xr10:uidLastSave="{00000000-0000-0000-0000-000000000000}"/>
  <bookViews>
    <workbookView xWindow="0" yWindow="660" windowWidth="30240" windowHeight="18980" xr2:uid="{5678E890-3691-CF46-80E7-00FB1F103661}"/>
  </bookViews>
  <sheets>
    <sheet name="6.2.1.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J18" i="1"/>
  <c r="J19" i="1"/>
  <c r="J20" i="1"/>
  <c r="J17" i="1"/>
  <c r="J6" i="1"/>
  <c r="J7" i="1"/>
  <c r="J8" i="1"/>
  <c r="J9" i="1"/>
  <c r="J10" i="1"/>
  <c r="L20" i="1" l="1"/>
  <c r="L17" i="1"/>
  <c r="L10" i="1"/>
  <c r="L18" i="1"/>
  <c r="L19" i="1"/>
  <c r="L6" i="1"/>
  <c r="L7" i="1"/>
  <c r="L8" i="1"/>
  <c r="L9" i="1"/>
  <c r="L5" i="1"/>
  <c r="J5" i="1"/>
  <c r="D6" i="1"/>
  <c r="D7" i="1"/>
  <c r="D8" i="1"/>
  <c r="D9" i="1"/>
  <c r="D10" i="1"/>
  <c r="D5" i="1"/>
  <c r="J16" i="1"/>
  <c r="J15" i="1"/>
  <c r="J14" i="1"/>
  <c r="J13" i="1"/>
  <c r="J12" i="1"/>
  <c r="J11" i="1"/>
  <c r="F11" i="1" l="1"/>
  <c r="G11" i="1"/>
  <c r="H11" i="1"/>
  <c r="K11" i="1"/>
  <c r="L11" i="1"/>
  <c r="F12" i="1"/>
  <c r="G12" i="1"/>
  <c r="H12" i="1"/>
  <c r="K12" i="1"/>
  <c r="L12" i="1"/>
  <c r="F13" i="1"/>
  <c r="G13" i="1"/>
  <c r="H13" i="1"/>
  <c r="K13" i="1"/>
  <c r="L13" i="1"/>
  <c r="F14" i="1"/>
  <c r="G14" i="1"/>
  <c r="H14" i="1"/>
  <c r="K14" i="1"/>
  <c r="L14" i="1"/>
  <c r="F15" i="1"/>
  <c r="G15" i="1"/>
  <c r="H15" i="1"/>
  <c r="K15" i="1"/>
  <c r="L15" i="1"/>
  <c r="F16" i="1"/>
  <c r="G16" i="1"/>
  <c r="H16" i="1"/>
  <c r="K16" i="1"/>
  <c r="L16" i="1"/>
  <c r="F17" i="1"/>
  <c r="G17" i="1"/>
  <c r="H17" i="1"/>
  <c r="K17" i="1"/>
  <c r="F18" i="1"/>
  <c r="G18" i="1"/>
  <c r="H18" i="1"/>
  <c r="K18" i="1"/>
  <c r="F19" i="1"/>
  <c r="G19" i="1"/>
  <c r="H19" i="1"/>
  <c r="K19" i="1"/>
  <c r="F20" i="1"/>
  <c r="G20" i="1"/>
  <c r="H20" i="1"/>
  <c r="K20" i="1"/>
  <c r="E11" i="1"/>
  <c r="E12" i="1"/>
  <c r="E13" i="1"/>
  <c r="E14" i="1"/>
  <c r="E15" i="1"/>
  <c r="E16" i="1"/>
  <c r="E17" i="1"/>
  <c r="E18" i="1"/>
  <c r="E19" i="1"/>
  <c r="E20" i="1"/>
  <c r="E6" i="1"/>
  <c r="F6" i="1"/>
  <c r="G6" i="1"/>
  <c r="H6" i="1"/>
  <c r="K6" i="1"/>
  <c r="E7" i="1"/>
  <c r="F7" i="1"/>
  <c r="G7" i="1"/>
  <c r="H7" i="1"/>
  <c r="K7" i="1"/>
  <c r="E8" i="1"/>
  <c r="F8" i="1"/>
  <c r="G8" i="1"/>
  <c r="H8" i="1"/>
  <c r="K8" i="1"/>
  <c r="E9" i="1"/>
  <c r="F9" i="1"/>
  <c r="G9" i="1"/>
  <c r="H9" i="1"/>
  <c r="K9" i="1"/>
  <c r="E10" i="1"/>
  <c r="F10" i="1"/>
  <c r="G10" i="1"/>
  <c r="H10" i="1"/>
  <c r="K10" i="1"/>
  <c r="D12" i="1"/>
  <c r="D13" i="1"/>
  <c r="D14" i="1"/>
  <c r="H5" i="1"/>
  <c r="G5" i="1"/>
  <c r="F5" i="1"/>
  <c r="E5" i="1"/>
  <c r="K5" i="1"/>
  <c r="J25" i="1" l="1"/>
  <c r="J26" i="1"/>
  <c r="J27" i="1"/>
  <c r="J28" i="1"/>
</calcChain>
</file>

<file path=xl/sharedStrings.xml><?xml version="1.0" encoding="utf-8"?>
<sst xmlns="http://schemas.openxmlformats.org/spreadsheetml/2006/main" count="60" uniqueCount="36">
  <si>
    <t>Method 1</t>
  </si>
  <si>
    <t>Constants</t>
  </si>
  <si>
    <t>Cn2o</t>
  </si>
  <si>
    <t>Efni</t>
  </si>
  <si>
    <t>Table A.2.1.4</t>
  </si>
  <si>
    <t>Wet climate zone</t>
  </si>
  <si>
    <t>Dry climate zones</t>
  </si>
  <si>
    <t>wet</t>
  </si>
  <si>
    <t>dry</t>
  </si>
  <si>
    <t>Climate zone</t>
  </si>
  <si>
    <t>Custom values</t>
  </si>
  <si>
    <r>
      <t>𝐸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= ∑ (𝑀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 xml:space="preserve">× 𝐸𝐹 </t>
    </r>
    <r>
      <rPr>
        <sz val="8"/>
        <color rgb="FF000000"/>
        <rFont val="Helvetica"/>
        <family val="2"/>
      </rPr>
      <t xml:space="preserve">𝑁𝑖 </t>
    </r>
    <r>
      <rPr>
        <sz val="11"/>
        <color rgb="FF000000"/>
        <rFont val="Helvetica"/>
        <family val="2"/>
      </rPr>
      <t>× 𝐶</t>
    </r>
    <r>
      <rPr>
        <sz val="8"/>
        <color rgb="FF000000"/>
        <rFont val="Helvetica"/>
        <family val="2"/>
      </rPr>
      <t xml:space="preserve">𝑁2𝑂 </t>
    </r>
    <r>
      <rPr>
        <sz val="11"/>
        <color rgb="FF000000"/>
        <rFont val="Helvetica"/>
        <family val="2"/>
      </rPr>
      <t>× 10</t>
    </r>
    <r>
      <rPr>
        <sz val="8"/>
        <color rgb="FF000000"/>
        <rFont val="Helvetica"/>
        <family val="2"/>
      </rPr>
      <t>−3</t>
    </r>
    <r>
      <rPr>
        <sz val="11"/>
        <color rgb="FF000000"/>
        <rFont val="Helvetica"/>
        <family val="2"/>
      </rPr>
      <t>)</t>
    </r>
  </si>
  <si>
    <t>En2o</t>
  </si>
  <si>
    <t>Mp</t>
  </si>
  <si>
    <t>Ap</t>
  </si>
  <si>
    <t>Yp</t>
  </si>
  <si>
    <t>FFODp</t>
  </si>
  <si>
    <t>Fraction of pasture removed</t>
  </si>
  <si>
    <t>Table A.2.1.3</t>
  </si>
  <si>
    <t>Rbgp</t>
  </si>
  <si>
    <t>Ncagp</t>
  </si>
  <si>
    <t>NCbgp</t>
  </si>
  <si>
    <t>RBGp</t>
  </si>
  <si>
    <t>NCBGp</t>
  </si>
  <si>
    <t>Pasture type</t>
  </si>
  <si>
    <t>Annual grass</t>
  </si>
  <si>
    <t>Grass clover mixture</t>
  </si>
  <si>
    <t>Lucerne</t>
  </si>
  <si>
    <t>Other legume</t>
  </si>
  <si>
    <t>Perennial pasture</t>
  </si>
  <si>
    <t>Method 2</t>
  </si>
  <si>
    <t>Average yield per hectare in t</t>
  </si>
  <si>
    <t>Area of pasture in hectares</t>
  </si>
  <si>
    <r>
      <t>𝑀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>= (𝐴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 xml:space="preserve">× (𝑌 </t>
    </r>
    <r>
      <rPr>
        <sz val="8"/>
        <color rgb="FF000000"/>
        <rFont val="Helvetica"/>
        <family val="2"/>
      </rPr>
      <t xml:space="preserve">𝑝 </t>
    </r>
    <r>
      <rPr>
        <sz val="11"/>
        <color rgb="FF000000"/>
        <rFont val="Helvetica"/>
        <family val="2"/>
      </rPr>
      <t>× 10^</t>
    </r>
    <r>
      <rPr>
        <sz val="8"/>
        <color rgb="FF000000"/>
        <rFont val="Helvetica"/>
        <family val="2"/>
      </rPr>
      <t>3</t>
    </r>
    <r>
      <rPr>
        <sz val="11"/>
        <color rgb="FF000000"/>
        <rFont val="Helvetica"/>
        <family val="2"/>
      </rPr>
      <t>) × (1 − 𝐹𝐹𝑂𝐷</t>
    </r>
    <r>
      <rPr>
        <sz val="8"/>
        <color rgb="FF000000"/>
        <rFont val="Helvetica"/>
        <family val="2"/>
      </rPr>
      <t>𝑝</t>
    </r>
    <r>
      <rPr>
        <sz val="11"/>
        <color rgb="FF000000"/>
        <rFont val="Helvetica"/>
        <family val="2"/>
      </rPr>
      <t>) × 𝑁𝐶</t>
    </r>
    <r>
      <rPr>
        <sz val="8"/>
        <color rgb="FF000000"/>
        <rFont val="Helvetica"/>
        <family val="2"/>
      </rPr>
      <t>𝐴𝐺𝑝</t>
    </r>
    <r>
      <rPr>
        <sz val="11"/>
        <color rgb="FF000000"/>
        <rFont val="Helvetica"/>
        <family val="2"/>
      </rPr>
      <t>) + (𝐴𝑝 × (𝑌 𝑝 × 10^3) × 𝑅𝐵𝐺𝑝 × 𝑁𝐶𝐵𝐺𝑝)</t>
    </r>
  </si>
  <si>
    <t>NOTE: Pending feedback, I think this formula is incorrect. Multiplying by 10^-3 converts the yield in tonnes to gigagrams, not kilograms. I've implemented this with what I think is the correct conversion</t>
  </si>
  <si>
    <t>t DM /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</si>
</sst>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  <font>
      <sz val="8"/>
      <color rgb="FF000000"/>
      <name val="Helvetica"/>
      <family val="2"/>
    </font>
    <font>
      <sz val="12"/>
      <color theme="1"/>
      <name val="Helvetica"/>
      <family val="2"/>
    </font>
    <font>
      <sz val="12"/>
      <name val="Aptos Narrow"/>
      <scheme val="minor"/>
    </font>
    <font>
      <b/>
      <sz val="12"/>
      <color theme="1"/>
      <name val="Aptos Narrow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stants/comm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on"/>
    </sheetNames>
    <definedNames>
      <definedName name="common_cn2o" refersTo="='common'!$B$4"/>
    </definedNames>
    <sheetDataSet>
      <sheetData sheetId="0">
        <row r="4">
          <cell r="B4">
            <v>1.57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655F-5BFE-554E-A3D3-9DFA9517010F}">
  <dimension ref="A1:V58"/>
  <sheetViews>
    <sheetView tabSelected="1" topLeftCell="B1" workbookViewId="0">
      <selection activeCell="L15" sqref="L15"/>
    </sheetView>
  </sheetViews>
  <sheetFormatPr baseColWidth="10" defaultRowHeight="16"/>
  <cols>
    <col min="1" max="1" width="12.1640625" customWidth="1"/>
    <col min="2" max="2" width="17.33203125" customWidth="1"/>
    <col min="3" max="3" width="17" customWidth="1"/>
    <col min="4" max="4" width="25.5" bestFit="1" customWidth="1"/>
    <col min="5" max="5" width="15.5" customWidth="1"/>
    <col min="6" max="6" width="13.6640625" bestFit="1" customWidth="1"/>
    <col min="7" max="8" width="11" bestFit="1" customWidth="1"/>
    <col min="9" max="9" width="11" customWidth="1"/>
    <col min="10" max="10" width="12.83203125" customWidth="1"/>
    <col min="12" max="12" width="12.1640625" bestFit="1" customWidth="1"/>
    <col min="14" max="14" width="36" customWidth="1"/>
    <col min="18" max="18" width="7.83203125" style="7" customWidth="1"/>
  </cols>
  <sheetData>
    <row r="1" spans="1:16" ht="17">
      <c r="B1" s="3" t="s">
        <v>0</v>
      </c>
      <c r="L1" s="1" t="s">
        <v>11</v>
      </c>
    </row>
    <row r="2" spans="1:16">
      <c r="J2" s="1" t="s">
        <v>34</v>
      </c>
      <c r="L2" s="1"/>
    </row>
    <row r="3" spans="1:16" ht="34">
      <c r="C3" t="s">
        <v>32</v>
      </c>
      <c r="D3" t="s">
        <v>31</v>
      </c>
      <c r="E3" s="7" t="s">
        <v>17</v>
      </c>
      <c r="F3" s="7"/>
      <c r="G3" s="7"/>
      <c r="H3" s="7"/>
      <c r="I3" s="7"/>
      <c r="J3" s="1" t="s">
        <v>33</v>
      </c>
      <c r="L3" s="1"/>
    </row>
    <row r="4" spans="1:16">
      <c r="A4" s="4" t="s">
        <v>9</v>
      </c>
      <c r="B4" s="4" t="s">
        <v>24</v>
      </c>
      <c r="C4" s="4" t="s">
        <v>14</v>
      </c>
      <c r="D4" s="4" t="s">
        <v>15</v>
      </c>
      <c r="E4" t="s">
        <v>16</v>
      </c>
      <c r="F4" t="s">
        <v>20</v>
      </c>
      <c r="G4" t="s">
        <v>22</v>
      </c>
      <c r="H4" t="s">
        <v>23</v>
      </c>
      <c r="J4" t="s">
        <v>13</v>
      </c>
      <c r="K4" t="s">
        <v>3</v>
      </c>
      <c r="L4" s="5" t="s">
        <v>12</v>
      </c>
      <c r="N4" s="6" t="s">
        <v>1</v>
      </c>
    </row>
    <row r="5" spans="1:16">
      <c r="A5" t="s">
        <v>7</v>
      </c>
      <c r="B5" t="s">
        <v>25</v>
      </c>
      <c r="C5">
        <v>5000</v>
      </c>
      <c r="D5">
        <f>IF(ISBLANK(A5), "", VLOOKUP(B5, $N$20:$S$24,2, FALSE))</f>
        <v>4.41</v>
      </c>
      <c r="E5" s="12">
        <f t="shared" ref="E5:E10" si="0">IF(ISBLANK(A5), "", VLOOKUP(B5, $N$20:$S$24,6, FALSE))</f>
        <v>0.8</v>
      </c>
      <c r="F5" s="12">
        <f t="shared" ref="F5:F10" si="1">IF(ISBLANK(A5), "", VLOOKUP(B5, $N$20:$S$24,4, FALSE))</f>
        <v>1.4999999999999999E-2</v>
      </c>
      <c r="G5" s="12">
        <f t="shared" ref="G5:G10" si="2">IF(ISBLANK(A5), "", VLOOKUP(B5, $N$20:$S$24,3, FALSE))</f>
        <v>0.4</v>
      </c>
      <c r="H5" s="12">
        <f t="shared" ref="H5:H10" si="3">IF(ISBLANK(A5), "", VLOOKUP(B5, $N$20:$S$24,5, FALSE))</f>
        <v>1.2E-2</v>
      </c>
      <c r="I5" s="12"/>
      <c r="J5">
        <f>IF(ISBLANK(A5),"", (C5*(D5 * 10^-3) *(1 - E5)*F5)+(C5*(D5 *10^-3)*G5*H5))</f>
        <v>0.17198999999999998</v>
      </c>
      <c r="K5">
        <f>IF(ISBLANK(A5),"",VLOOKUP(A5,$N$14:$O$15,2,FALSE))</f>
        <v>6.0000000000000001E-3</v>
      </c>
      <c r="L5">
        <f>IF(ISBLANK(A5), "", J5*K5*$O$10 * 10^3)</f>
        <v>1.6201457999999997</v>
      </c>
    </row>
    <row r="6" spans="1:16">
      <c r="A6" t="s">
        <v>8</v>
      </c>
      <c r="B6" t="s">
        <v>25</v>
      </c>
      <c r="C6">
        <v>50</v>
      </c>
      <c r="D6">
        <f t="shared" ref="D6:D10" si="4">IF(ISBLANK(A6), "", VLOOKUP(B6, $N$20:$S$24,2, FALSE))</f>
        <v>4.41</v>
      </c>
      <c r="E6" s="12">
        <f t="shared" si="0"/>
        <v>0.8</v>
      </c>
      <c r="F6" s="12">
        <f t="shared" si="1"/>
        <v>1.4999999999999999E-2</v>
      </c>
      <c r="G6" s="12">
        <f t="shared" si="2"/>
        <v>0.4</v>
      </c>
      <c r="H6" s="12">
        <f t="shared" si="3"/>
        <v>1.2E-2</v>
      </c>
      <c r="I6" s="12"/>
      <c r="J6">
        <f t="shared" ref="J6:J10" si="5">IF(ISBLANK(A6),"", (C6*(D6 * 10^-3) *(1 - E6)*F6)+(C6*(D6 *10^-3)*G6*H6))</f>
        <v>1.7198999999999999E-3</v>
      </c>
      <c r="K6">
        <f t="shared" ref="K6" si="6">IF(ISBLANK(A6),"",VLOOKUP(A6,$N$14:$O$15,2,FALSE))</f>
        <v>5.0000000000000001E-3</v>
      </c>
      <c r="L6">
        <f t="shared" ref="L6:L10" si="7">IF(ISBLANK(A6), "", J6*K6*$O$10 * 10^3)</f>
        <v>1.3501215E-2</v>
      </c>
    </row>
    <row r="7" spans="1:16">
      <c r="A7" t="s">
        <v>7</v>
      </c>
      <c r="B7" s="2" t="s">
        <v>26</v>
      </c>
      <c r="C7">
        <v>600</v>
      </c>
      <c r="D7">
        <f t="shared" si="4"/>
        <v>8.34</v>
      </c>
      <c r="E7" s="12">
        <f t="shared" si="0"/>
        <v>0.8</v>
      </c>
      <c r="F7" s="12">
        <f t="shared" si="1"/>
        <v>2.5000000000000001E-2</v>
      </c>
      <c r="G7" s="12">
        <f t="shared" si="2"/>
        <v>0.8</v>
      </c>
      <c r="H7" s="12">
        <f t="shared" si="3"/>
        <v>1.6E-2</v>
      </c>
      <c r="I7" s="12"/>
      <c r="J7">
        <f t="shared" si="5"/>
        <v>8.9071200000000017E-2</v>
      </c>
      <c r="K7">
        <f>IF(ISBLANK(A7),"",VLOOKUP(A7,$N$14:$O$15,2,FALSE))</f>
        <v>6.0000000000000001E-3</v>
      </c>
      <c r="L7">
        <f t="shared" si="7"/>
        <v>0.83905070400000026</v>
      </c>
    </row>
    <row r="8" spans="1:16">
      <c r="A8" t="s">
        <v>8</v>
      </c>
      <c r="B8" s="2" t="s">
        <v>27</v>
      </c>
      <c r="C8">
        <v>7000</v>
      </c>
      <c r="D8">
        <f t="shared" si="4"/>
        <v>8.6199999999999992</v>
      </c>
      <c r="E8" s="12">
        <f t="shared" si="0"/>
        <v>0.8</v>
      </c>
      <c r="F8" s="12">
        <f t="shared" si="1"/>
        <v>2.7E-2</v>
      </c>
      <c r="G8" s="12">
        <f t="shared" si="2"/>
        <v>0.4</v>
      </c>
      <c r="H8" s="12">
        <f t="shared" si="3"/>
        <v>1.9E-2</v>
      </c>
      <c r="I8" s="12"/>
      <c r="J8">
        <f t="shared" si="5"/>
        <v>0.7844199999999999</v>
      </c>
      <c r="K8">
        <f>IF(ISBLANK(A8),"",VLOOKUP(A8,$N$14:$O$15,2,FALSE))</f>
        <v>5.0000000000000001E-3</v>
      </c>
      <c r="L8">
        <f t="shared" si="7"/>
        <v>6.1576969999999989</v>
      </c>
      <c r="N8" s="2"/>
      <c r="O8" s="2"/>
    </row>
    <row r="9" spans="1:16">
      <c r="A9" t="s">
        <v>7</v>
      </c>
      <c r="B9" s="2" t="s">
        <v>28</v>
      </c>
      <c r="C9">
        <v>50</v>
      </c>
      <c r="D9">
        <f t="shared" si="4"/>
        <v>5.62</v>
      </c>
      <c r="E9" s="12">
        <f t="shared" si="0"/>
        <v>0.8</v>
      </c>
      <c r="F9" s="12">
        <f t="shared" si="1"/>
        <v>2.7E-2</v>
      </c>
      <c r="G9" s="12">
        <f t="shared" si="2"/>
        <v>0.4</v>
      </c>
      <c r="H9" s="12">
        <f t="shared" si="3"/>
        <v>2.1999999999999999E-2</v>
      </c>
      <c r="I9" s="12"/>
      <c r="J9">
        <f t="shared" si="5"/>
        <v>3.9902000000000002E-3</v>
      </c>
      <c r="K9">
        <f>IF(ISBLANK(A9),"",VLOOKUP(A9,$N$14:$O$15,2,FALSE))</f>
        <v>6.0000000000000001E-3</v>
      </c>
      <c r="L9">
        <f t="shared" si="7"/>
        <v>3.7587684000000003E-2</v>
      </c>
      <c r="N9" s="2"/>
      <c r="O9" s="2"/>
    </row>
    <row r="10" spans="1:16">
      <c r="A10" t="s">
        <v>8</v>
      </c>
      <c r="B10" s="2" t="s">
        <v>29</v>
      </c>
      <c r="C10">
        <v>50</v>
      </c>
      <c r="D10">
        <f t="shared" si="4"/>
        <v>8.35</v>
      </c>
      <c r="E10" s="12">
        <f t="shared" si="0"/>
        <v>0.8</v>
      </c>
      <c r="F10" s="12">
        <f t="shared" si="1"/>
        <v>1.4999999999999999E-2</v>
      </c>
      <c r="G10" s="12">
        <f t="shared" si="2"/>
        <v>0.8</v>
      </c>
      <c r="H10" s="12">
        <f t="shared" si="3"/>
        <v>1.2E-2</v>
      </c>
      <c r="I10" s="12"/>
      <c r="J10">
        <f t="shared" si="5"/>
        <v>5.2604999999999996E-3</v>
      </c>
      <c r="K10">
        <f>IF(ISBLANK(A10),"",VLOOKUP(A10,$N$14:$O$15,2,FALSE))</f>
        <v>5.0000000000000001E-3</v>
      </c>
      <c r="L10">
        <f t="shared" si="7"/>
        <v>4.1294924999999996E-2</v>
      </c>
      <c r="N10" t="s">
        <v>2</v>
      </c>
      <c r="O10">
        <f>[1]!common_cn2o</f>
        <v>1.57</v>
      </c>
    </row>
    <row r="11" spans="1:16">
      <c r="E11" s="12" t="str">
        <f t="shared" ref="E11:E20" si="8">IF(ISBLANK(A11), "", VLOOKUP(B11, $N$20:$S$24,6, FALSE))</f>
        <v/>
      </c>
      <c r="F11" s="12" t="str">
        <f t="shared" ref="F11:F20" si="9">IF(ISBLANK(A11), "", VLOOKUP(B11, $N$20:$S$24,4, FALSE))</f>
        <v/>
      </c>
      <c r="G11" s="12" t="str">
        <f t="shared" ref="G11:G20" si="10">IF(ISBLANK(A11), "", VLOOKUP(B11, $N$20:$S$24,3, FALSE))</f>
        <v/>
      </c>
      <c r="H11" s="12" t="str">
        <f t="shared" ref="H11:H20" si="11">IF(ISBLANK(A11), "", VLOOKUP(B11, $N$20:$S$24,5, FALSE))</f>
        <v/>
      </c>
      <c r="I11" s="12"/>
      <c r="J11" t="str">
        <f t="shared" ref="J11:J16" si="12">IF(ISBLANK(A11),"", (C11*(D11 * 1000) *(1 - E11)*F11)+(C11*(D11 *1000)*G11*H11))</f>
        <v/>
      </c>
      <c r="K11" t="str">
        <f t="shared" ref="K11:K20" si="13">IF(ISBLANK(A11),"",VLOOKUP(A11,$N$14:$O$15,2,FALSE))</f>
        <v/>
      </c>
      <c r="L11" t="str">
        <f t="shared" ref="L11:L16" si="14">IF(ISBLANK(A11), "", J11*K11*$O$10/1000)</f>
        <v/>
      </c>
      <c r="N11" s="2"/>
      <c r="O11" s="2"/>
    </row>
    <row r="12" spans="1:16">
      <c r="B12" s="2"/>
      <c r="D12" t="str">
        <f>IF(ISBLANK(A12), "", VLOOKUP(B12, $N$20:$S$24,2, FALSE))</f>
        <v/>
      </c>
      <c r="E12" s="12" t="str">
        <f t="shared" si="8"/>
        <v/>
      </c>
      <c r="F12" s="12" t="str">
        <f t="shared" si="9"/>
        <v/>
      </c>
      <c r="G12" s="12" t="str">
        <f t="shared" si="10"/>
        <v/>
      </c>
      <c r="H12" s="12" t="str">
        <f t="shared" si="11"/>
        <v/>
      </c>
      <c r="I12" s="12"/>
      <c r="J12" t="str">
        <f t="shared" si="12"/>
        <v/>
      </c>
      <c r="K12" t="str">
        <f t="shared" si="13"/>
        <v/>
      </c>
      <c r="L12" t="str">
        <f t="shared" si="14"/>
        <v/>
      </c>
      <c r="N12" s="2" t="s">
        <v>3</v>
      </c>
      <c r="O12" s="2"/>
    </row>
    <row r="13" spans="1:16">
      <c r="B13" s="2"/>
      <c r="D13" t="str">
        <f>IF(ISBLANK(A13), "", VLOOKUP(B13, $N$20:$S$24,2, FALSE))</f>
        <v/>
      </c>
      <c r="E13" s="12" t="str">
        <f t="shared" si="8"/>
        <v/>
      </c>
      <c r="F13" s="12" t="str">
        <f t="shared" si="9"/>
        <v/>
      </c>
      <c r="G13" s="12" t="str">
        <f t="shared" si="10"/>
        <v/>
      </c>
      <c r="H13" s="12" t="str">
        <f t="shared" si="11"/>
        <v/>
      </c>
      <c r="I13" s="12"/>
      <c r="J13" t="str">
        <f t="shared" si="12"/>
        <v/>
      </c>
      <c r="K13" t="str">
        <f t="shared" si="13"/>
        <v/>
      </c>
      <c r="L13" t="str">
        <f t="shared" si="14"/>
        <v/>
      </c>
      <c r="N13" t="s">
        <v>4</v>
      </c>
    </row>
    <row r="14" spans="1:16">
      <c r="B14" s="2"/>
      <c r="D14" t="str">
        <f>IF(ISBLANK(A14), "", VLOOKUP(B14, $N$20:$S$24,2, FALSE))</f>
        <v/>
      </c>
      <c r="E14" s="12" t="str">
        <f t="shared" si="8"/>
        <v/>
      </c>
      <c r="F14" s="12" t="str">
        <f t="shared" si="9"/>
        <v/>
      </c>
      <c r="G14" s="12" t="str">
        <f t="shared" si="10"/>
        <v/>
      </c>
      <c r="H14" s="12" t="str">
        <f t="shared" si="11"/>
        <v/>
      </c>
      <c r="I14" s="12"/>
      <c r="J14" t="str">
        <f t="shared" si="12"/>
        <v/>
      </c>
      <c r="K14" t="str">
        <f t="shared" si="13"/>
        <v/>
      </c>
      <c r="L14" t="str">
        <f t="shared" si="14"/>
        <v/>
      </c>
      <c r="N14" s="2" t="s">
        <v>7</v>
      </c>
      <c r="O14" s="2">
        <v>6.0000000000000001E-3</v>
      </c>
      <c r="P14" s="8" t="s">
        <v>5</v>
      </c>
    </row>
    <row r="15" spans="1:16">
      <c r="B15" s="2" t="s">
        <v>30</v>
      </c>
      <c r="E15" s="12" t="str">
        <f t="shared" si="8"/>
        <v/>
      </c>
      <c r="F15" s="12" t="str">
        <f t="shared" si="9"/>
        <v/>
      </c>
      <c r="G15" s="12" t="str">
        <f t="shared" si="10"/>
        <v/>
      </c>
      <c r="H15" s="12" t="str">
        <f t="shared" si="11"/>
        <v/>
      </c>
      <c r="I15" s="12"/>
      <c r="J15" t="str">
        <f t="shared" si="12"/>
        <v/>
      </c>
      <c r="K15" t="str">
        <f t="shared" si="13"/>
        <v/>
      </c>
      <c r="L15" t="str">
        <f t="shared" si="14"/>
        <v/>
      </c>
      <c r="N15" s="2" t="s">
        <v>8</v>
      </c>
      <c r="O15" s="2">
        <v>5.0000000000000001E-3</v>
      </c>
      <c r="P15" s="8" t="s">
        <v>6</v>
      </c>
    </row>
    <row r="16" spans="1:16">
      <c r="B16" s="2"/>
      <c r="D16" s="4" t="s">
        <v>10</v>
      </c>
      <c r="E16" s="12" t="str">
        <f t="shared" si="8"/>
        <v/>
      </c>
      <c r="F16" s="12" t="str">
        <f t="shared" si="9"/>
        <v/>
      </c>
      <c r="G16" s="12" t="str">
        <f t="shared" si="10"/>
        <v/>
      </c>
      <c r="H16" s="12" t="str">
        <f t="shared" si="11"/>
        <v/>
      </c>
      <c r="I16" s="12"/>
      <c r="J16" t="str">
        <f t="shared" si="12"/>
        <v/>
      </c>
      <c r="K16" t="str">
        <f t="shared" si="13"/>
        <v/>
      </c>
      <c r="L16" t="str">
        <f t="shared" si="14"/>
        <v/>
      </c>
      <c r="N16" s="2"/>
      <c r="O16" s="2"/>
      <c r="P16" s="8"/>
    </row>
    <row r="17" spans="1:22">
      <c r="A17" t="s">
        <v>8</v>
      </c>
      <c r="B17" t="s">
        <v>25</v>
      </c>
      <c r="C17">
        <v>50</v>
      </c>
      <c r="D17" s="4">
        <v>0.5</v>
      </c>
      <c r="E17" s="12">
        <f t="shared" si="8"/>
        <v>0.8</v>
      </c>
      <c r="F17" s="12">
        <f t="shared" si="9"/>
        <v>1.4999999999999999E-2</v>
      </c>
      <c r="G17" s="12">
        <f t="shared" si="10"/>
        <v>0.4</v>
      </c>
      <c r="H17" s="12">
        <f t="shared" si="11"/>
        <v>1.2E-2</v>
      </c>
      <c r="I17" s="12"/>
      <c r="J17">
        <f>IF(ISBLANK(A17),"", (C17*(D17 * 10^-3) *(1 - E17)*F17)+(C17*(D17 *10 ^ -3)*G17*H17))</f>
        <v>1.9500000000000002E-4</v>
      </c>
      <c r="K17">
        <f t="shared" si="13"/>
        <v>5.0000000000000001E-3</v>
      </c>
      <c r="L17">
        <f>IF(ISBLANK(A17), "", J17*K17*$O$10 * 10^3)</f>
        <v>1.5307500000000004E-3</v>
      </c>
    </row>
    <row r="18" spans="1:22">
      <c r="A18" t="s">
        <v>7</v>
      </c>
      <c r="B18" s="2" t="s">
        <v>26</v>
      </c>
      <c r="C18">
        <v>600</v>
      </c>
      <c r="D18" s="4">
        <v>1</v>
      </c>
      <c r="E18" s="12">
        <f t="shared" si="8"/>
        <v>0.8</v>
      </c>
      <c r="F18" s="12">
        <f t="shared" si="9"/>
        <v>2.5000000000000001E-2</v>
      </c>
      <c r="G18" s="12">
        <f t="shared" si="10"/>
        <v>0.8</v>
      </c>
      <c r="H18" s="12">
        <f t="shared" si="11"/>
        <v>1.6E-2</v>
      </c>
      <c r="I18" s="12"/>
      <c r="J18">
        <f t="shared" ref="J18:J20" si="15">IF(ISBLANK(A18),"", (C18*(D18 * 10^-3) *(1 - E18)*F18)+(C18*(D18 *10 ^ -3)*G18*H18))</f>
        <v>1.0679999999999999E-2</v>
      </c>
      <c r="K18">
        <f t="shared" si="13"/>
        <v>6.0000000000000001E-3</v>
      </c>
      <c r="L18">
        <f t="shared" ref="L18:L20" si="16">IF(ISBLANK(A18), "", J18*K18*$O$10 * 10^3)</f>
        <v>0.1006056</v>
      </c>
      <c r="N18" s="2"/>
      <c r="O18" s="2" t="s">
        <v>35</v>
      </c>
    </row>
    <row r="19" spans="1:22" ht="17">
      <c r="A19" t="s">
        <v>8</v>
      </c>
      <c r="B19" s="2" t="s">
        <v>27</v>
      </c>
      <c r="C19">
        <v>7000</v>
      </c>
      <c r="D19" s="4">
        <v>10</v>
      </c>
      <c r="E19" s="12">
        <f t="shared" si="8"/>
        <v>0.8</v>
      </c>
      <c r="F19" s="12">
        <f t="shared" si="9"/>
        <v>2.7E-2</v>
      </c>
      <c r="G19" s="12">
        <f t="shared" si="10"/>
        <v>0.4</v>
      </c>
      <c r="H19" s="12">
        <f t="shared" si="11"/>
        <v>1.9E-2</v>
      </c>
      <c r="I19" s="12"/>
      <c r="J19">
        <f t="shared" si="15"/>
        <v>0.90999999999999992</v>
      </c>
      <c r="K19">
        <f t="shared" si="13"/>
        <v>5.0000000000000001E-3</v>
      </c>
      <c r="L19">
        <f t="shared" si="16"/>
        <v>7.1434999999999995</v>
      </c>
      <c r="N19" s="2" t="s">
        <v>18</v>
      </c>
      <c r="O19" s="2" t="s">
        <v>15</v>
      </c>
      <c r="P19" s="2" t="s">
        <v>19</v>
      </c>
      <c r="Q19" s="2" t="s">
        <v>20</v>
      </c>
      <c r="R19" s="7" t="s">
        <v>21</v>
      </c>
      <c r="S19" s="2" t="s">
        <v>16</v>
      </c>
    </row>
    <row r="20" spans="1:22">
      <c r="A20" t="s">
        <v>7</v>
      </c>
      <c r="B20" s="2" t="s">
        <v>28</v>
      </c>
      <c r="C20">
        <v>50</v>
      </c>
      <c r="D20" s="4">
        <v>12.5</v>
      </c>
      <c r="E20" s="12">
        <f t="shared" si="8"/>
        <v>0.8</v>
      </c>
      <c r="F20" s="12">
        <f t="shared" si="9"/>
        <v>2.7E-2</v>
      </c>
      <c r="G20" s="12">
        <f t="shared" si="10"/>
        <v>0.4</v>
      </c>
      <c r="H20" s="12">
        <f t="shared" si="11"/>
        <v>2.1999999999999999E-2</v>
      </c>
      <c r="I20" s="12"/>
      <c r="J20">
        <f t="shared" si="15"/>
        <v>8.8749999999999992E-3</v>
      </c>
      <c r="K20">
        <f t="shared" si="13"/>
        <v>6.0000000000000001E-3</v>
      </c>
      <c r="L20">
        <f t="shared" si="16"/>
        <v>8.3602499999999996E-2</v>
      </c>
      <c r="N20" s="2" t="s">
        <v>25</v>
      </c>
      <c r="O20" s="2">
        <v>4.41</v>
      </c>
      <c r="P20" s="2">
        <v>0.4</v>
      </c>
      <c r="Q20" s="2">
        <v>1.4999999999999999E-2</v>
      </c>
      <c r="R20" s="2">
        <v>1.2E-2</v>
      </c>
      <c r="S20" s="2">
        <v>0.8</v>
      </c>
    </row>
    <row r="21" spans="1:22">
      <c r="N21" s="2" t="s">
        <v>26</v>
      </c>
      <c r="O21" s="2">
        <v>8.34</v>
      </c>
      <c r="P21" s="2">
        <v>0.8</v>
      </c>
      <c r="Q21" s="2">
        <v>2.5000000000000001E-2</v>
      </c>
      <c r="R21" s="2">
        <v>1.6E-2</v>
      </c>
      <c r="S21" s="2">
        <v>0.8</v>
      </c>
    </row>
    <row r="22" spans="1:22">
      <c r="N22" s="2" t="s">
        <v>27</v>
      </c>
      <c r="O22" s="2">
        <v>8.6199999999999992</v>
      </c>
      <c r="P22" s="2">
        <v>0.4</v>
      </c>
      <c r="Q22" s="2">
        <v>2.7E-2</v>
      </c>
      <c r="R22" s="2">
        <v>1.9E-2</v>
      </c>
      <c r="S22" s="2">
        <v>0.8</v>
      </c>
      <c r="T22" s="10"/>
      <c r="U22" s="10"/>
      <c r="V22" s="10"/>
    </row>
    <row r="23" spans="1:22">
      <c r="B23" s="2"/>
      <c r="N23" s="2" t="s">
        <v>28</v>
      </c>
      <c r="O23" s="2">
        <v>5.62</v>
      </c>
      <c r="P23" s="2">
        <v>0.4</v>
      </c>
      <c r="Q23" s="2">
        <v>2.7E-2</v>
      </c>
      <c r="R23" s="2">
        <v>2.1999999999999999E-2</v>
      </c>
      <c r="S23" s="2">
        <v>0.8</v>
      </c>
      <c r="T23" s="10"/>
      <c r="U23" s="10"/>
      <c r="V23" s="10"/>
    </row>
    <row r="24" spans="1:22">
      <c r="B24" s="2"/>
      <c r="N24" s="2" t="s">
        <v>29</v>
      </c>
      <c r="O24" s="2">
        <v>8.35</v>
      </c>
      <c r="P24" s="2">
        <v>0.8</v>
      </c>
      <c r="Q24" s="2">
        <v>1.4999999999999999E-2</v>
      </c>
      <c r="R24" s="2">
        <v>1.2E-2</v>
      </c>
      <c r="S24" s="2">
        <v>0.8</v>
      </c>
      <c r="T24" s="10"/>
      <c r="U24" s="10"/>
      <c r="V24" s="10"/>
    </row>
    <row r="25" spans="1:22">
      <c r="J25" t="str">
        <f>IF(ISBLANK(C25), "", G25/C25)</f>
        <v/>
      </c>
      <c r="N25" s="2"/>
      <c r="O25" s="11"/>
      <c r="P25" s="10"/>
      <c r="Q25" s="10"/>
      <c r="R25" s="10"/>
      <c r="S25" s="10"/>
      <c r="T25" s="10"/>
      <c r="U25" s="10"/>
      <c r="V25" s="10"/>
    </row>
    <row r="26" spans="1:22">
      <c r="J26" t="str">
        <f>IF(ISBLANK(C26), "", G26/C26)</f>
        <v/>
      </c>
      <c r="N26" s="2"/>
      <c r="O26" s="11"/>
      <c r="P26" s="10"/>
      <c r="Q26" s="10"/>
      <c r="R26" s="10"/>
      <c r="S26" s="10"/>
      <c r="T26" s="10"/>
      <c r="U26" s="10"/>
      <c r="V26" s="10"/>
    </row>
    <row r="27" spans="1:22">
      <c r="J27" t="str">
        <f>IF(ISBLANK(C27), "", G27/C27)</f>
        <v/>
      </c>
      <c r="N27" s="2"/>
      <c r="O27" s="11"/>
      <c r="P27" s="10"/>
      <c r="Q27" s="10"/>
      <c r="R27" s="10"/>
      <c r="S27" s="10"/>
      <c r="T27" s="10"/>
      <c r="U27" s="10"/>
      <c r="V27" s="10"/>
    </row>
    <row r="28" spans="1:22">
      <c r="J28" t="str">
        <f>IF(ISBLANK(C28), "", G28/C28)</f>
        <v/>
      </c>
      <c r="N28" s="2"/>
      <c r="O28" s="11"/>
      <c r="P28" s="10"/>
      <c r="Q28" s="10"/>
      <c r="R28" s="10"/>
      <c r="S28" s="10"/>
      <c r="T28" s="10"/>
      <c r="U28" s="10"/>
      <c r="V28" s="10"/>
    </row>
    <row r="29" spans="1:22">
      <c r="N29" s="2"/>
      <c r="O29" s="11"/>
      <c r="P29" s="10"/>
      <c r="Q29" s="10"/>
      <c r="R29" s="10"/>
      <c r="S29" s="10"/>
      <c r="T29" s="10"/>
      <c r="U29" s="10"/>
      <c r="V29" s="10"/>
    </row>
    <row r="30" spans="1:22">
      <c r="N30" s="2"/>
      <c r="O30" s="11"/>
      <c r="P30" s="10"/>
      <c r="Q30" s="10"/>
      <c r="R30" s="10"/>
      <c r="S30" s="10"/>
      <c r="T30" s="10"/>
      <c r="U30" s="10"/>
      <c r="V30" s="10"/>
    </row>
    <row r="31" spans="1:22">
      <c r="N31" s="2"/>
      <c r="O31" s="11"/>
      <c r="P31" s="10"/>
      <c r="Q31" s="10"/>
      <c r="R31" s="10"/>
      <c r="S31" s="10"/>
      <c r="T31" s="10"/>
      <c r="U31" s="10"/>
      <c r="V31" s="10"/>
    </row>
    <row r="32" spans="1:22">
      <c r="N32" s="2"/>
      <c r="O32" s="11"/>
      <c r="P32" s="10"/>
      <c r="Q32" s="10"/>
      <c r="R32" s="10"/>
      <c r="S32" s="10"/>
      <c r="T32" s="10"/>
      <c r="U32" s="10"/>
      <c r="V32" s="10"/>
    </row>
    <row r="33" spans="14:22">
      <c r="N33" s="2"/>
      <c r="O33" s="11"/>
      <c r="P33" s="10"/>
      <c r="Q33" s="10"/>
      <c r="R33" s="10"/>
      <c r="S33" s="10"/>
      <c r="T33" s="10"/>
      <c r="U33" s="10"/>
      <c r="V33" s="10"/>
    </row>
    <row r="34" spans="14:22">
      <c r="N34" s="2"/>
      <c r="O34" s="11"/>
      <c r="P34" s="10"/>
      <c r="Q34" s="10"/>
      <c r="R34" s="10"/>
      <c r="S34" s="10"/>
      <c r="T34" s="10"/>
      <c r="U34" s="10"/>
      <c r="V34" s="10"/>
    </row>
    <row r="35" spans="14:22">
      <c r="N35" s="2"/>
      <c r="O35" s="11"/>
      <c r="P35" s="10"/>
      <c r="Q35" s="10"/>
      <c r="R35" s="10"/>
      <c r="S35" s="10"/>
      <c r="T35" s="10"/>
      <c r="U35" s="10"/>
      <c r="V35" s="10"/>
    </row>
    <row r="36" spans="14:22">
      <c r="N36" s="2"/>
      <c r="O36" s="11"/>
      <c r="P36" s="10"/>
      <c r="Q36" s="10"/>
      <c r="R36" s="10"/>
      <c r="S36" s="10"/>
      <c r="T36" s="10"/>
      <c r="U36" s="10"/>
      <c r="V36" s="10"/>
    </row>
    <row r="37" spans="14:22">
      <c r="N37" s="2"/>
      <c r="O37" s="11"/>
      <c r="P37" s="10"/>
      <c r="Q37" s="10"/>
      <c r="R37" s="10"/>
      <c r="S37" s="10"/>
      <c r="T37" s="10"/>
      <c r="U37" s="10"/>
      <c r="V37" s="10"/>
    </row>
    <row r="38" spans="14:22">
      <c r="N38" s="2"/>
      <c r="O38" s="9"/>
      <c r="P38" s="9"/>
      <c r="Q38" s="9"/>
      <c r="R38" s="9"/>
      <c r="S38" s="9"/>
      <c r="T38" s="9"/>
      <c r="U38" s="9"/>
      <c r="V38" s="9"/>
    </row>
    <row r="39" spans="14:22">
      <c r="N39" s="2"/>
      <c r="O39" s="9"/>
      <c r="P39" s="9"/>
      <c r="Q39" s="9"/>
      <c r="R39" s="9"/>
      <c r="S39" s="9"/>
      <c r="T39" s="9"/>
      <c r="U39" s="9"/>
      <c r="V39" s="9"/>
    </row>
    <row r="40" spans="14:22">
      <c r="N40" s="2"/>
      <c r="O40" s="11"/>
      <c r="P40" s="10"/>
      <c r="Q40" s="10"/>
      <c r="R40" s="10"/>
      <c r="S40" s="10"/>
      <c r="T40" s="10"/>
      <c r="U40" s="10"/>
      <c r="V40" s="10"/>
    </row>
    <row r="41" spans="14:22">
      <c r="N41" s="2"/>
      <c r="O41" s="2"/>
    </row>
    <row r="48" spans="14:22">
      <c r="N48" s="2"/>
      <c r="O48" s="2"/>
    </row>
    <row r="49" spans="14:15">
      <c r="N49" s="2"/>
      <c r="O49" s="2"/>
    </row>
    <row r="50" spans="14:15">
      <c r="N50" s="2"/>
      <c r="O50" s="2"/>
    </row>
    <row r="51" spans="14:15">
      <c r="N51" s="2"/>
      <c r="O51" s="2"/>
    </row>
    <row r="52" spans="14:15">
      <c r="N52" s="2"/>
      <c r="O52" s="2"/>
    </row>
    <row r="53" spans="14:15">
      <c r="N53" s="2"/>
      <c r="O53" s="2"/>
    </row>
    <row r="54" spans="14:15">
      <c r="N54" s="2"/>
      <c r="O54" s="2"/>
    </row>
    <row r="55" spans="14:15">
      <c r="N55" s="2"/>
      <c r="O55" s="2"/>
    </row>
    <row r="56" spans="14:15">
      <c r="N56" s="2"/>
      <c r="O56" s="2"/>
    </row>
    <row r="57" spans="14:15">
      <c r="N57" s="2"/>
      <c r="O57" s="2"/>
    </row>
    <row r="58" spans="14:15">
      <c r="N58" s="2"/>
      <c r="O58" s="2"/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6.2.1.1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2026-02-18T00:55:42Z</dcterms:created>
  <dcterms:modified xsi:type="dcterms:W3CDTF">2026-10-22T06:06:58Z</dcterms:modified>
</cp:coreProperties>
</file>