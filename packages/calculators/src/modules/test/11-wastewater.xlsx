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202300"/>
  <xr:revisionPtr revIDLastSave="0" documentId="13_ncr:1_{05701E81-48AA-EE4B-93F7-2376216C08ED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11.1.1" sheetId="1" r:id="rId1"/>
    <sheet name="11.1.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2" l="1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11" i="2"/>
  <c r="U13" i="2"/>
  <c r="H3" i="2"/>
  <c r="L12" i="2"/>
  <c r="F3" i="2"/>
  <c r="G3" i="2" s="1"/>
  <c r="U12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11" i="2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11" i="1"/>
  <c r="Q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11" i="1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Z8" i="2"/>
  <c r="R26" i="2"/>
  <c r="Q26" i="2"/>
  <c r="K26" i="2"/>
  <c r="J26" i="2"/>
  <c r="H26" i="2"/>
  <c r="G26" i="2"/>
  <c r="R25" i="2"/>
  <c r="Q25" i="2"/>
  <c r="K25" i="2"/>
  <c r="J25" i="2"/>
  <c r="H25" i="2"/>
  <c r="G25" i="2"/>
  <c r="R24" i="2"/>
  <c r="Q24" i="2"/>
  <c r="K24" i="2"/>
  <c r="J24" i="2"/>
  <c r="H24" i="2"/>
  <c r="G24" i="2"/>
  <c r="R23" i="2"/>
  <c r="Q23" i="2"/>
  <c r="K23" i="2"/>
  <c r="J23" i="2"/>
  <c r="H23" i="2"/>
  <c r="G23" i="2"/>
  <c r="R22" i="2"/>
  <c r="Q22" i="2"/>
  <c r="K22" i="2"/>
  <c r="J22" i="2"/>
  <c r="H22" i="2"/>
  <c r="G22" i="2"/>
  <c r="R21" i="2"/>
  <c r="Q21" i="2"/>
  <c r="K21" i="2"/>
  <c r="J21" i="2"/>
  <c r="H21" i="2"/>
  <c r="G21" i="2"/>
  <c r="R20" i="2"/>
  <c r="Q20" i="2"/>
  <c r="K20" i="2"/>
  <c r="J20" i="2"/>
  <c r="H20" i="2"/>
  <c r="G20" i="2"/>
  <c r="R19" i="2"/>
  <c r="Q19" i="2"/>
  <c r="K19" i="2"/>
  <c r="J19" i="2"/>
  <c r="H19" i="2"/>
  <c r="G19" i="2"/>
  <c r="R18" i="2"/>
  <c r="Q18" i="2"/>
  <c r="K18" i="2"/>
  <c r="J18" i="2"/>
  <c r="H18" i="2"/>
  <c r="G18" i="2"/>
  <c r="R17" i="2"/>
  <c r="Q17" i="2"/>
  <c r="K17" i="2"/>
  <c r="J17" i="2"/>
  <c r="H17" i="2"/>
  <c r="G17" i="2"/>
  <c r="R16" i="2"/>
  <c r="Q16" i="2"/>
  <c r="K16" i="2"/>
  <c r="J16" i="2"/>
  <c r="H16" i="2"/>
  <c r="G16" i="2"/>
  <c r="R15" i="2"/>
  <c r="Q15" i="2"/>
  <c r="K15" i="2"/>
  <c r="J15" i="2"/>
  <c r="H15" i="2"/>
  <c r="G15" i="2"/>
  <c r="R14" i="2"/>
  <c r="Q14" i="2"/>
  <c r="K14" i="2"/>
  <c r="J14" i="2"/>
  <c r="H14" i="2"/>
  <c r="G14" i="2"/>
  <c r="R13" i="2"/>
  <c r="Q13" i="2"/>
  <c r="K13" i="2"/>
  <c r="J13" i="2"/>
  <c r="H13" i="2"/>
  <c r="G13" i="2"/>
  <c r="R12" i="2"/>
  <c r="Q12" i="2"/>
  <c r="K12" i="2"/>
  <c r="J12" i="2"/>
  <c r="H12" i="2"/>
  <c r="G12" i="2"/>
  <c r="R11" i="2"/>
  <c r="S11" i="2" s="1"/>
  <c r="Q11" i="2"/>
  <c r="K11" i="2"/>
  <c r="J11" i="2"/>
  <c r="H11" i="2"/>
  <c r="G11" i="2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11" i="1"/>
  <c r="W8" i="1"/>
  <c r="G11" i="1"/>
  <c r="N16" i="1"/>
  <c r="O16" i="1"/>
  <c r="P16" i="1" s="1"/>
  <c r="N17" i="1"/>
  <c r="O17" i="1"/>
  <c r="P17" i="1" s="1"/>
  <c r="N18" i="1"/>
  <c r="O18" i="1"/>
  <c r="P18" i="1" s="1"/>
  <c r="N19" i="1"/>
  <c r="O19" i="1"/>
  <c r="P19" i="1" s="1"/>
  <c r="N20" i="1"/>
  <c r="O20" i="1"/>
  <c r="P20" i="1" s="1"/>
  <c r="N21" i="1"/>
  <c r="O21" i="1"/>
  <c r="P21" i="1" s="1"/>
  <c r="N22" i="1"/>
  <c r="O22" i="1"/>
  <c r="P22" i="1" s="1"/>
  <c r="N23" i="1"/>
  <c r="O23" i="1"/>
  <c r="P23" i="1" s="1"/>
  <c r="N24" i="1"/>
  <c r="O24" i="1"/>
  <c r="P24" i="1" s="1"/>
  <c r="N25" i="1"/>
  <c r="O25" i="1"/>
  <c r="P25" i="1" s="1"/>
  <c r="N26" i="1"/>
  <c r="O26" i="1"/>
  <c r="P26" i="1" s="1"/>
  <c r="K16" i="1"/>
  <c r="K17" i="1"/>
  <c r="K18" i="1"/>
  <c r="K19" i="1"/>
  <c r="K20" i="1"/>
  <c r="K21" i="1"/>
  <c r="K22" i="1"/>
  <c r="K23" i="1"/>
  <c r="K24" i="1"/>
  <c r="K25" i="1"/>
  <c r="K26" i="1"/>
  <c r="J16" i="1"/>
  <c r="J17" i="1"/>
  <c r="J18" i="1"/>
  <c r="J19" i="1"/>
  <c r="J20" i="1"/>
  <c r="J21" i="1"/>
  <c r="J22" i="1"/>
  <c r="J23" i="1"/>
  <c r="J24" i="1"/>
  <c r="J25" i="1"/>
  <c r="J26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11" i="1"/>
  <c r="F11" i="1" s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11" i="1"/>
  <c r="I3" i="2" l="1"/>
  <c r="L11" i="2"/>
  <c r="L19" i="2"/>
  <c r="L17" i="2"/>
  <c r="L15" i="2"/>
  <c r="L21" i="2"/>
  <c r="L13" i="2"/>
  <c r="L24" i="2"/>
  <c r="L16" i="2"/>
  <c r="L20" i="2"/>
  <c r="L14" i="2"/>
  <c r="L18" i="2"/>
  <c r="L22" i="2"/>
  <c r="L26" i="2"/>
  <c r="L23" i="2"/>
  <c r="L25" i="2"/>
  <c r="G12" i="1"/>
  <c r="H12" i="1"/>
  <c r="J12" i="1"/>
  <c r="K12" i="1"/>
  <c r="N12" i="1"/>
  <c r="O12" i="1"/>
  <c r="P12" i="1" s="1"/>
  <c r="G13" i="1"/>
  <c r="H13" i="1"/>
  <c r="J13" i="1"/>
  <c r="K13" i="1"/>
  <c r="N13" i="1"/>
  <c r="O13" i="1"/>
  <c r="P13" i="1" s="1"/>
  <c r="G14" i="1"/>
  <c r="H14" i="1"/>
  <c r="J14" i="1"/>
  <c r="K14" i="1"/>
  <c r="N14" i="1"/>
  <c r="O14" i="1"/>
  <c r="P14" i="1" s="1"/>
  <c r="G15" i="1"/>
  <c r="H15" i="1"/>
  <c r="J15" i="1"/>
  <c r="K15" i="1"/>
  <c r="N15" i="1"/>
  <c r="O15" i="1"/>
  <c r="P15" i="1" s="1"/>
  <c r="J11" i="1"/>
  <c r="O11" i="1"/>
  <c r="P11" i="1" s="1"/>
  <c r="N11" i="1"/>
  <c r="K11" i="1"/>
  <c r="H11" i="1"/>
</calcChain>
</file>

<file path=xl/sharedStrings.xml><?xml version="1.0" encoding="utf-8"?>
<sst xmlns="http://schemas.openxmlformats.org/spreadsheetml/2006/main" count="191" uniqueCount="53">
  <si>
    <t>input</t>
  </si>
  <si>
    <t>constant</t>
  </si>
  <si>
    <t>Wt</t>
  </si>
  <si>
    <t>CODin</t>
  </si>
  <si>
    <t>Fsludge</t>
  </si>
  <si>
    <t>CODout</t>
  </si>
  <si>
    <t>CFww,t</t>
  </si>
  <si>
    <t>EFww</t>
  </si>
  <si>
    <t>Fremoved</t>
  </si>
  <si>
    <t>CFsludge,t</t>
  </si>
  <si>
    <t>EFsludge</t>
  </si>
  <si>
    <t>Qcap</t>
  </si>
  <si>
    <t>Qflared</t>
  </si>
  <si>
    <t>Qout</t>
  </si>
  <si>
    <t>ECflared</t>
  </si>
  <si>
    <t>EFflared,CH4</t>
  </si>
  <si>
    <t>ECH4</t>
  </si>
  <si>
    <t>EFflared,N2O</t>
  </si>
  <si>
    <t>EN2O</t>
  </si>
  <si>
    <t>Facility type (t)</t>
  </si>
  <si>
    <t>Managed aerobic treatment</t>
  </si>
  <si>
    <t>Unmanaged aerobic treatment</t>
  </si>
  <si>
    <t>Anaerobic digestor/reactor</t>
  </si>
  <si>
    <t>Shallow anaerobic lagoon</t>
  </si>
  <si>
    <t>Deep anaerobic lagoon</t>
  </si>
  <si>
    <t>Cfsludge,t</t>
  </si>
  <si>
    <t>t</t>
  </si>
  <si>
    <t>kg COD/m^3</t>
  </si>
  <si>
    <t>kg CH4/kg COD</t>
  </si>
  <si>
    <t>m^3 wastewater</t>
  </si>
  <si>
    <t>GJ/m^3</t>
  </si>
  <si>
    <t>kg CH4/GJ</t>
  </si>
  <si>
    <t>t CH4</t>
  </si>
  <si>
    <t>t N2O</t>
  </si>
  <si>
    <t>Method 1</t>
  </si>
  <si>
    <t>c</t>
  </si>
  <si>
    <t>Commodity Type c</t>
  </si>
  <si>
    <t>CODin,c</t>
  </si>
  <si>
    <t>Rc</t>
  </si>
  <si>
    <t>Dairy products</t>
  </si>
  <si>
    <t>Pulp, paper and paperboard</t>
  </si>
  <si>
    <t>Meat and poultry</t>
  </si>
  <si>
    <t>Raw sugar</t>
  </si>
  <si>
    <t>Beer</t>
  </si>
  <si>
    <t>Wine and other alcoholic beverages</t>
  </si>
  <si>
    <t>Fruit</t>
  </si>
  <si>
    <t>Vegetables</t>
  </si>
  <si>
    <t>Qgen</t>
  </si>
  <si>
    <t>GWPCH4</t>
  </si>
  <si>
    <t>METHANE_DENSITY</t>
  </si>
  <si>
    <t>GWPN2O</t>
  </si>
  <si>
    <t>Had to remove GWP here?</t>
  </si>
  <si>
    <t>Rc &gt; 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</si>
</sst>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"/>
  </numFmts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X33"/>
  <sheetViews>
    <sheetView tabSelected="1" topLeftCell="L2" workbookViewId="0">
      <selection activeCell="W13" sqref="W13"/>
    </sheetView>
  </sheetViews>
  <sheetFormatPr baseColWidth="10" defaultRowHeight="16" x14ac:dyDescent="0.2"/>
  <cols>
    <col min="18" max="18" width="24.33203125" customWidth="1"/>
  </cols>
  <sheetData>
    <row r="5" spans="1:23" x14ac:dyDescent="0.2">
      <c r="A5" t="s">
        <v>34</v>
      </c>
    </row>
    <row r="6" spans="1:23" x14ac:dyDescent="0.2">
      <c r="L6" t="s">
        <v>51</v>
      </c>
    </row>
    <row r="7" spans="1:23" x14ac:dyDescent="0.2">
      <c r="A7" t="s">
        <v>0</v>
      </c>
      <c r="C7" t="s">
        <v>0</v>
      </c>
      <c r="D7" t="s">
        <v>0</v>
      </c>
      <c r="E7" t="s">
        <v>0</v>
      </c>
      <c r="F7" t="s">
        <v>0</v>
      </c>
      <c r="G7" t="s">
        <v>1</v>
      </c>
      <c r="H7" t="s">
        <v>1</v>
      </c>
      <c r="I7" t="s">
        <v>0</v>
      </c>
      <c r="J7" t="s">
        <v>1</v>
      </c>
      <c r="K7" t="s">
        <v>1</v>
      </c>
      <c r="N7" t="s">
        <v>1</v>
      </c>
      <c r="O7" t="s">
        <v>1</v>
      </c>
    </row>
    <row r="8" spans="1:23" x14ac:dyDescent="0.2">
      <c r="V8" t="s">
        <v>49</v>
      </c>
      <c r="W8">
        <f>6.784*10^-4</f>
        <v>6.7840000000000001E-4</v>
      </c>
    </row>
    <row r="9" spans="1:23" x14ac:dyDescent="0.2">
      <c r="C9" t="s">
        <v>29</v>
      </c>
      <c r="D9" t="s">
        <v>27</v>
      </c>
      <c r="F9" t="s">
        <v>27</v>
      </c>
      <c r="H9" t="s">
        <v>28</v>
      </c>
      <c r="K9" t="s">
        <v>28</v>
      </c>
      <c r="L9" t="s">
        <v>32</v>
      </c>
      <c r="N9" t="s">
        <v>30</v>
      </c>
      <c r="O9" t="s">
        <v>31</v>
      </c>
      <c r="P9" t="s">
        <v>32</v>
      </c>
      <c r="R9" t="s">
        <v>33</v>
      </c>
      <c r="V9" t="s">
        <v>7</v>
      </c>
      <c r="W9">
        <v>0.25</v>
      </c>
    </row>
    <row r="10" spans="1:23" x14ac:dyDescent="0.2">
      <c r="A10" s="1" t="s">
        <v>26</v>
      </c>
      <c r="B10" s="1" t="s">
        <v>35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47</v>
      </c>
      <c r="M10" s="1" t="s">
        <v>38</v>
      </c>
      <c r="N10" s="1" t="s">
        <v>14</v>
      </c>
      <c r="O10" s="1" t="s">
        <v>15</v>
      </c>
      <c r="P10" s="2" t="s">
        <v>16</v>
      </c>
      <c r="Q10" s="1" t="s">
        <v>17</v>
      </c>
      <c r="R10" s="2" t="s">
        <v>18</v>
      </c>
      <c r="V10" t="s">
        <v>10</v>
      </c>
      <c r="W10">
        <v>0.25</v>
      </c>
    </row>
    <row r="11" spans="1:23" x14ac:dyDescent="0.2">
      <c r="A11" t="s">
        <v>20</v>
      </c>
      <c r="B11" t="s">
        <v>39</v>
      </c>
      <c r="C11">
        <v>2350000</v>
      </c>
      <c r="D11">
        <f t="shared" ref="D11:D26" si="0">_xlfn.XLOOKUP(B11,$V$26:$V$33, $W$26:$W$33)</f>
        <v>0.9</v>
      </c>
      <c r="E11">
        <f t="shared" ref="E11:E26" si="1">$W$14</f>
        <v>0.15</v>
      </c>
      <c r="F11">
        <f>D11*0.08</f>
        <v>7.2000000000000008E-2</v>
      </c>
      <c r="G11">
        <f t="shared" ref="G11:G26" si="2">_xlfn.XLOOKUP(A11,$V$19:$V$23, $W$19:$W$23)</f>
        <v>0</v>
      </c>
      <c r="H11">
        <f t="shared" ref="H11:H26" si="3">$W$9</f>
        <v>0.25</v>
      </c>
      <c r="I11">
        <v>0.2</v>
      </c>
      <c r="J11">
        <f t="shared" ref="J11:J26" si="4">_xlfn.XLOOKUP(A11,$V$19:$V$23, $X$19:$X$23)</f>
        <v>0</v>
      </c>
      <c r="K11">
        <f t="shared" ref="K11:K26" si="5">$W$10</f>
        <v>0.25</v>
      </c>
      <c r="L11">
        <f>((C11*(D11*(1-E11)-F11)*G11*H11)+(C11*(D11*(E11-I11))*J11*K11))*(1/1000)</f>
        <v>0</v>
      </c>
      <c r="M11">
        <f t="shared" ref="M11:M26" si="6">_xlfn.XLOOKUP(B11,$V$26:$V$33, $X$26:$X$33)</f>
        <v>0.39800000000000002</v>
      </c>
      <c r="N11">
        <f t="shared" ref="N11:N26" si="7">$W$11</f>
        <v>3.7699999999999997E-2</v>
      </c>
      <c r="O11">
        <f t="shared" ref="O11:O26" si="8">$W$12</f>
        <v>0.2286</v>
      </c>
      <c r="P11">
        <f>L11*(1-M11+M11*((N11*O11)/($W$8*1*1000)))</f>
        <v>0</v>
      </c>
      <c r="Q11">
        <f>$W$13</f>
        <v>1.132E-4</v>
      </c>
      <c r="R11" s="4">
        <f>(M11*L11)/($W$8*1*1000)*(N11*Q11)</f>
        <v>0</v>
      </c>
      <c r="V11" t="s">
        <v>14</v>
      </c>
      <c r="W11">
        <v>3.7699999999999997E-2</v>
      </c>
    </row>
    <row r="12" spans="1:23" x14ac:dyDescent="0.2">
      <c r="A12" t="s">
        <v>21</v>
      </c>
      <c r="B12" t="s">
        <v>40</v>
      </c>
      <c r="C12">
        <v>2350000</v>
      </c>
      <c r="D12">
        <f t="shared" si="0"/>
        <v>0.4</v>
      </c>
      <c r="E12">
        <f t="shared" si="1"/>
        <v>0.15</v>
      </c>
      <c r="F12">
        <f t="shared" ref="F12:F26" si="9">D12*0.08</f>
        <v>3.2000000000000001E-2</v>
      </c>
      <c r="G12">
        <f t="shared" si="2"/>
        <v>0.3</v>
      </c>
      <c r="H12">
        <f t="shared" si="3"/>
        <v>0.25</v>
      </c>
      <c r="I12">
        <v>0.05</v>
      </c>
      <c r="J12">
        <f t="shared" si="4"/>
        <v>0.3</v>
      </c>
      <c r="K12">
        <f t="shared" si="5"/>
        <v>0.25</v>
      </c>
      <c r="L12">
        <f t="shared" ref="L12:L26" si="10">((C12*(D12*(1-E12)-F12)*G12*H12)+(C12*(D12*(E12-I12))*J12*K12))*(1/1000)</f>
        <v>61.335000000000008</v>
      </c>
      <c r="M12">
        <f t="shared" si="6"/>
        <v>0.54700000000000004</v>
      </c>
      <c r="N12">
        <f t="shared" si="7"/>
        <v>3.7699999999999997E-2</v>
      </c>
      <c r="O12">
        <f t="shared" si="8"/>
        <v>0.2286</v>
      </c>
      <c r="P12">
        <f t="shared" ref="P12:P26" si="11">L12*(1-M12+M12*((N12*O12)/($W$8*1*1000)))</f>
        <v>28.210968727098908</v>
      </c>
      <c r="Q12">
        <f t="shared" ref="Q12:Q26" si="12">$W$13</f>
        <v>1.132E-4</v>
      </c>
      <c r="R12" s="4">
        <f t="shared" ref="R12:R26" si="13">(M12*L12)/($W$8*1*1000)*(N12*Q12)</f>
        <v>2.1105596634994104E-4</v>
      </c>
      <c r="V12" t="s">
        <v>15</v>
      </c>
      <c r="W12">
        <v>0.2286</v>
      </c>
    </row>
    <row r="13" spans="1:23" x14ac:dyDescent="0.2">
      <c r="A13" t="s">
        <v>22</v>
      </c>
      <c r="B13" t="s">
        <v>41</v>
      </c>
      <c r="C13">
        <v>2350000</v>
      </c>
      <c r="D13">
        <f t="shared" si="0"/>
        <v>6.1</v>
      </c>
      <c r="E13">
        <f t="shared" si="1"/>
        <v>0.15</v>
      </c>
      <c r="F13">
        <f t="shared" si="9"/>
        <v>0.48799999999999999</v>
      </c>
      <c r="G13">
        <f t="shared" si="2"/>
        <v>0.8</v>
      </c>
      <c r="H13">
        <f t="shared" si="3"/>
        <v>0.25</v>
      </c>
      <c r="I13">
        <v>0.2</v>
      </c>
      <c r="J13">
        <f t="shared" si="4"/>
        <v>0.8</v>
      </c>
      <c r="K13">
        <f t="shared" si="5"/>
        <v>0.25</v>
      </c>
      <c r="L13">
        <f t="shared" si="10"/>
        <v>2064.2399999999998</v>
      </c>
      <c r="M13">
        <f t="shared" si="6"/>
        <v>0.34799999999999998</v>
      </c>
      <c r="N13">
        <f t="shared" si="7"/>
        <v>3.7699999999999997E-2</v>
      </c>
      <c r="O13">
        <f t="shared" si="8"/>
        <v>0.2286</v>
      </c>
      <c r="P13">
        <f t="shared" si="11"/>
        <v>1355.0102847016133</v>
      </c>
      <c r="Q13">
        <f t="shared" si="12"/>
        <v>1.132E-4</v>
      </c>
      <c r="R13" s="4">
        <f t="shared" si="13"/>
        <v>4.518989904735848E-3</v>
      </c>
      <c r="V13" t="s">
        <v>17</v>
      </c>
      <c r="W13">
        <v>1.132E-4</v>
      </c>
    </row>
    <row r="14" spans="1:23" x14ac:dyDescent="0.2">
      <c r="A14" t="s">
        <v>23</v>
      </c>
      <c r="B14" t="s">
        <v>42</v>
      </c>
      <c r="C14">
        <v>2350000</v>
      </c>
      <c r="D14">
        <f t="shared" si="0"/>
        <v>3.8</v>
      </c>
      <c r="E14">
        <f t="shared" si="1"/>
        <v>0.15</v>
      </c>
      <c r="F14">
        <f t="shared" si="9"/>
        <v>0.30399999999999999</v>
      </c>
      <c r="G14">
        <f t="shared" si="2"/>
        <v>0.2</v>
      </c>
      <c r="H14">
        <f t="shared" si="3"/>
        <v>0.25</v>
      </c>
      <c r="I14">
        <v>7.0000000000000007E-2</v>
      </c>
      <c r="J14">
        <f t="shared" si="4"/>
        <v>0.2</v>
      </c>
      <c r="K14">
        <f t="shared" si="5"/>
        <v>0.25</v>
      </c>
      <c r="L14">
        <f t="shared" si="10"/>
        <v>379.52500000000003</v>
      </c>
      <c r="M14">
        <f t="shared" si="6"/>
        <v>0</v>
      </c>
      <c r="N14">
        <f t="shared" si="7"/>
        <v>3.7699999999999997E-2</v>
      </c>
      <c r="O14">
        <f t="shared" si="8"/>
        <v>0.2286</v>
      </c>
      <c r="P14">
        <f t="shared" si="11"/>
        <v>379.52500000000003</v>
      </c>
      <c r="Q14">
        <f t="shared" si="12"/>
        <v>1.132E-4</v>
      </c>
      <c r="R14" s="4">
        <f t="shared" si="13"/>
        <v>0</v>
      </c>
      <c r="V14" t="s">
        <v>4</v>
      </c>
      <c r="W14">
        <v>0.15</v>
      </c>
    </row>
    <row r="15" spans="1:23" x14ac:dyDescent="0.2">
      <c r="A15" t="s">
        <v>24</v>
      </c>
      <c r="B15" t="s">
        <v>43</v>
      </c>
      <c r="C15">
        <v>2350000</v>
      </c>
      <c r="D15">
        <f t="shared" si="0"/>
        <v>6</v>
      </c>
      <c r="E15">
        <f t="shared" si="1"/>
        <v>0.15</v>
      </c>
      <c r="F15">
        <f t="shared" si="9"/>
        <v>0.48</v>
      </c>
      <c r="G15">
        <f t="shared" si="2"/>
        <v>0.8</v>
      </c>
      <c r="H15">
        <f t="shared" si="3"/>
        <v>0.25</v>
      </c>
      <c r="I15">
        <v>0.1</v>
      </c>
      <c r="J15">
        <f t="shared" si="4"/>
        <v>0.8</v>
      </c>
      <c r="K15">
        <f t="shared" si="5"/>
        <v>0.25</v>
      </c>
      <c r="L15">
        <f t="shared" si="10"/>
        <v>2312.3999999999996</v>
      </c>
      <c r="M15">
        <f t="shared" si="6"/>
        <v>0.72299999999999998</v>
      </c>
      <c r="N15">
        <f t="shared" si="7"/>
        <v>3.7699999999999997E-2</v>
      </c>
      <c r="O15">
        <f t="shared" si="8"/>
        <v>0.2286</v>
      </c>
      <c r="P15">
        <f t="shared" si="11"/>
        <v>661.77374767680419</v>
      </c>
      <c r="Q15">
        <f t="shared" si="12"/>
        <v>1.132E-4</v>
      </c>
      <c r="R15" s="4">
        <f t="shared" si="13"/>
        <v>1.0517274177665091E-2</v>
      </c>
      <c r="V15" t="s">
        <v>48</v>
      </c>
      <c r="W15">
        <v>28</v>
      </c>
    </row>
    <row r="16" spans="1:23" x14ac:dyDescent="0.2">
      <c r="A16" t="s">
        <v>20</v>
      </c>
      <c r="B16" t="s">
        <v>44</v>
      </c>
      <c r="C16">
        <v>2350000</v>
      </c>
      <c r="D16">
        <f t="shared" si="0"/>
        <v>1.5</v>
      </c>
      <c r="E16">
        <f t="shared" si="1"/>
        <v>0.15</v>
      </c>
      <c r="F16">
        <f t="shared" si="9"/>
        <v>0.12</v>
      </c>
      <c r="G16">
        <f t="shared" si="2"/>
        <v>0</v>
      </c>
      <c r="H16">
        <f t="shared" si="3"/>
        <v>0.25</v>
      </c>
      <c r="I16">
        <v>0</v>
      </c>
      <c r="J16">
        <f t="shared" si="4"/>
        <v>0</v>
      </c>
      <c r="K16">
        <f t="shared" si="5"/>
        <v>0.25</v>
      </c>
      <c r="L16">
        <f t="shared" si="10"/>
        <v>0</v>
      </c>
      <c r="M16">
        <f t="shared" si="6"/>
        <v>0.79600000000000004</v>
      </c>
      <c r="N16">
        <f t="shared" si="7"/>
        <v>3.7699999999999997E-2</v>
      </c>
      <c r="O16">
        <f t="shared" si="8"/>
        <v>0.2286</v>
      </c>
      <c r="P16">
        <f t="shared" si="11"/>
        <v>0</v>
      </c>
      <c r="Q16">
        <f t="shared" si="12"/>
        <v>1.132E-4</v>
      </c>
      <c r="R16" s="4">
        <f t="shared" si="13"/>
        <v>0</v>
      </c>
      <c r="V16" t="s">
        <v>50</v>
      </c>
      <c r="W16">
        <v>265</v>
      </c>
    </row>
    <row r="17" spans="1:24" x14ac:dyDescent="0.2">
      <c r="A17" t="s">
        <v>21</v>
      </c>
      <c r="B17" t="s">
        <v>45</v>
      </c>
      <c r="C17">
        <v>2350000</v>
      </c>
      <c r="D17">
        <f t="shared" si="0"/>
        <v>0.2</v>
      </c>
      <c r="E17">
        <f t="shared" si="1"/>
        <v>0.15</v>
      </c>
      <c r="F17">
        <f t="shared" si="9"/>
        <v>1.6E-2</v>
      </c>
      <c r="G17">
        <f t="shared" si="2"/>
        <v>0.3</v>
      </c>
      <c r="H17">
        <f t="shared" si="3"/>
        <v>0.25</v>
      </c>
      <c r="I17">
        <v>0</v>
      </c>
      <c r="J17">
        <f t="shared" si="4"/>
        <v>0.3</v>
      </c>
      <c r="K17">
        <f t="shared" si="5"/>
        <v>0.25</v>
      </c>
      <c r="L17">
        <f t="shared" si="10"/>
        <v>32.430000000000007</v>
      </c>
      <c r="M17">
        <f t="shared" si="6"/>
        <v>5.0000000000000001E-3</v>
      </c>
      <c r="N17">
        <f t="shared" si="7"/>
        <v>3.7699999999999997E-2</v>
      </c>
      <c r="O17">
        <f t="shared" si="8"/>
        <v>0.2286</v>
      </c>
      <c r="P17">
        <f t="shared" si="11"/>
        <v>32.269909912106435</v>
      </c>
      <c r="Q17">
        <f t="shared" si="12"/>
        <v>1.132E-4</v>
      </c>
      <c r="R17" s="4">
        <f t="shared" si="13"/>
        <v>1.0200439652122644E-6</v>
      </c>
    </row>
    <row r="18" spans="1:24" x14ac:dyDescent="0.2">
      <c r="A18" t="s">
        <v>22</v>
      </c>
      <c r="B18" t="s">
        <v>46</v>
      </c>
      <c r="C18">
        <v>2350000</v>
      </c>
      <c r="D18">
        <f t="shared" si="0"/>
        <v>0.2</v>
      </c>
      <c r="E18">
        <f t="shared" si="1"/>
        <v>0.15</v>
      </c>
      <c r="F18">
        <f t="shared" si="9"/>
        <v>1.6E-2</v>
      </c>
      <c r="G18">
        <f t="shared" si="2"/>
        <v>0.8</v>
      </c>
      <c r="H18">
        <f t="shared" si="3"/>
        <v>0.25</v>
      </c>
      <c r="I18">
        <v>0</v>
      </c>
      <c r="J18">
        <f t="shared" si="4"/>
        <v>0.8</v>
      </c>
      <c r="K18">
        <f t="shared" si="5"/>
        <v>0.25</v>
      </c>
      <c r="L18">
        <f t="shared" si="10"/>
        <v>86.480000000000018</v>
      </c>
      <c r="M18">
        <f t="shared" si="6"/>
        <v>0.06</v>
      </c>
      <c r="N18">
        <f t="shared" si="7"/>
        <v>3.7699999999999997E-2</v>
      </c>
      <c r="O18">
        <f t="shared" si="8"/>
        <v>0.2286</v>
      </c>
      <c r="P18">
        <f t="shared" si="11"/>
        <v>81.357117187405677</v>
      </c>
      <c r="Q18">
        <f t="shared" si="12"/>
        <v>1.132E-4</v>
      </c>
      <c r="R18" s="4">
        <f t="shared" si="13"/>
        <v>3.2641406886792456E-5</v>
      </c>
      <c r="V18" t="s">
        <v>19</v>
      </c>
      <c r="W18" t="s">
        <v>6</v>
      </c>
      <c r="X18" t="s">
        <v>25</v>
      </c>
    </row>
    <row r="19" spans="1:24" x14ac:dyDescent="0.2">
      <c r="A19" t="s">
        <v>23</v>
      </c>
      <c r="B19" t="s">
        <v>39</v>
      </c>
      <c r="C19">
        <v>2350000</v>
      </c>
      <c r="D19">
        <f t="shared" si="0"/>
        <v>0.9</v>
      </c>
      <c r="E19">
        <f t="shared" si="1"/>
        <v>0.15</v>
      </c>
      <c r="F19">
        <f t="shared" si="9"/>
        <v>7.2000000000000008E-2</v>
      </c>
      <c r="G19">
        <f t="shared" si="2"/>
        <v>0.2</v>
      </c>
      <c r="H19">
        <f t="shared" si="3"/>
        <v>0.25</v>
      </c>
      <c r="I19">
        <v>0</v>
      </c>
      <c r="J19">
        <f t="shared" si="4"/>
        <v>0.2</v>
      </c>
      <c r="K19">
        <f t="shared" si="5"/>
        <v>0.25</v>
      </c>
      <c r="L19">
        <f t="shared" si="10"/>
        <v>97.29000000000002</v>
      </c>
      <c r="M19">
        <f t="shared" si="6"/>
        <v>0.39800000000000002</v>
      </c>
      <c r="N19">
        <f t="shared" si="7"/>
        <v>3.7699999999999997E-2</v>
      </c>
      <c r="O19">
        <f t="shared" si="8"/>
        <v>0.2286</v>
      </c>
      <c r="P19">
        <f t="shared" si="11"/>
        <v>59.06048701101475</v>
      </c>
      <c r="Q19">
        <f t="shared" si="12"/>
        <v>1.132E-4</v>
      </c>
      <c r="R19" s="4">
        <f t="shared" si="13"/>
        <v>2.4358649889268875E-4</v>
      </c>
      <c r="V19" t="s">
        <v>20</v>
      </c>
      <c r="W19">
        <v>0</v>
      </c>
      <c r="X19">
        <v>0</v>
      </c>
    </row>
    <row r="20" spans="1:24" x14ac:dyDescent="0.2">
      <c r="A20" t="s">
        <v>24</v>
      </c>
      <c r="B20" t="s">
        <v>40</v>
      </c>
      <c r="C20">
        <v>2350000</v>
      </c>
      <c r="D20">
        <f t="shared" si="0"/>
        <v>0.4</v>
      </c>
      <c r="E20">
        <f t="shared" si="1"/>
        <v>0.15</v>
      </c>
      <c r="F20">
        <f t="shared" si="9"/>
        <v>3.2000000000000001E-2</v>
      </c>
      <c r="G20">
        <f t="shared" si="2"/>
        <v>0.8</v>
      </c>
      <c r="H20">
        <f t="shared" si="3"/>
        <v>0.25</v>
      </c>
      <c r="I20">
        <v>0</v>
      </c>
      <c r="J20">
        <f t="shared" si="4"/>
        <v>0.8</v>
      </c>
      <c r="K20">
        <f t="shared" si="5"/>
        <v>0.25</v>
      </c>
      <c r="L20">
        <f t="shared" si="10"/>
        <v>172.96000000000004</v>
      </c>
      <c r="M20">
        <f t="shared" si="6"/>
        <v>0.54700000000000004</v>
      </c>
      <c r="N20">
        <f t="shared" si="7"/>
        <v>3.7699999999999997E-2</v>
      </c>
      <c r="O20">
        <f t="shared" si="8"/>
        <v>0.2286</v>
      </c>
      <c r="P20">
        <f t="shared" si="11"/>
        <v>79.552770050363222</v>
      </c>
      <c r="Q20">
        <f t="shared" si="12"/>
        <v>1.132E-4</v>
      </c>
      <c r="R20" s="4">
        <f t="shared" si="13"/>
        <v>5.9516165223584929E-4</v>
      </c>
      <c r="V20" t="s">
        <v>21</v>
      </c>
      <c r="W20">
        <v>0.3</v>
      </c>
      <c r="X20">
        <v>0.3</v>
      </c>
    </row>
    <row r="21" spans="1:24" x14ac:dyDescent="0.2">
      <c r="A21" t="s">
        <v>20</v>
      </c>
      <c r="B21" t="s">
        <v>41</v>
      </c>
      <c r="C21">
        <v>2350000</v>
      </c>
      <c r="D21">
        <f t="shared" si="0"/>
        <v>6.1</v>
      </c>
      <c r="E21">
        <f t="shared" si="1"/>
        <v>0.15</v>
      </c>
      <c r="F21">
        <f t="shared" si="9"/>
        <v>0.48799999999999999</v>
      </c>
      <c r="G21">
        <f t="shared" si="2"/>
        <v>0</v>
      </c>
      <c r="H21">
        <f t="shared" si="3"/>
        <v>0.25</v>
      </c>
      <c r="I21">
        <v>0</v>
      </c>
      <c r="J21">
        <f t="shared" si="4"/>
        <v>0</v>
      </c>
      <c r="K21">
        <f t="shared" si="5"/>
        <v>0.25</v>
      </c>
      <c r="L21">
        <f t="shared" si="10"/>
        <v>0</v>
      </c>
      <c r="M21">
        <f t="shared" si="6"/>
        <v>0.34799999999999998</v>
      </c>
      <c r="N21">
        <f t="shared" si="7"/>
        <v>3.7699999999999997E-2</v>
      </c>
      <c r="O21">
        <f t="shared" si="8"/>
        <v>0.2286</v>
      </c>
      <c r="P21">
        <f t="shared" si="11"/>
        <v>0</v>
      </c>
      <c r="Q21">
        <f t="shared" si="12"/>
        <v>1.132E-4</v>
      </c>
      <c r="R21" s="4">
        <f t="shared" si="13"/>
        <v>0</v>
      </c>
      <c r="V21" t="s">
        <v>22</v>
      </c>
      <c r="W21">
        <v>0.8</v>
      </c>
      <c r="X21">
        <v>0.8</v>
      </c>
    </row>
    <row r="22" spans="1:24" x14ac:dyDescent="0.2">
      <c r="A22" t="s">
        <v>21</v>
      </c>
      <c r="B22" t="s">
        <v>42</v>
      </c>
      <c r="C22">
        <v>2350000</v>
      </c>
      <c r="D22">
        <f t="shared" si="0"/>
        <v>3.8</v>
      </c>
      <c r="E22">
        <f t="shared" si="1"/>
        <v>0.15</v>
      </c>
      <c r="F22">
        <f t="shared" si="9"/>
        <v>0.30399999999999999</v>
      </c>
      <c r="G22">
        <f t="shared" si="2"/>
        <v>0.3</v>
      </c>
      <c r="H22">
        <f t="shared" si="3"/>
        <v>0.25</v>
      </c>
      <c r="I22">
        <v>0</v>
      </c>
      <c r="J22">
        <f t="shared" si="4"/>
        <v>0.3</v>
      </c>
      <c r="K22">
        <f t="shared" si="5"/>
        <v>0.25</v>
      </c>
      <c r="L22">
        <f t="shared" si="10"/>
        <v>616.16999999999996</v>
      </c>
      <c r="M22">
        <f t="shared" si="6"/>
        <v>0</v>
      </c>
      <c r="N22">
        <f t="shared" si="7"/>
        <v>3.7699999999999997E-2</v>
      </c>
      <c r="O22">
        <f t="shared" si="8"/>
        <v>0.2286</v>
      </c>
      <c r="P22">
        <f t="shared" si="11"/>
        <v>616.16999999999996</v>
      </c>
      <c r="Q22">
        <f t="shared" si="12"/>
        <v>1.132E-4</v>
      </c>
      <c r="R22" s="4">
        <f t="shared" si="13"/>
        <v>0</v>
      </c>
      <c r="V22" t="s">
        <v>23</v>
      </c>
      <c r="W22">
        <v>0.2</v>
      </c>
      <c r="X22">
        <v>0.2</v>
      </c>
    </row>
    <row r="23" spans="1:24" x14ac:dyDescent="0.2">
      <c r="A23" t="s">
        <v>22</v>
      </c>
      <c r="B23" t="s">
        <v>43</v>
      </c>
      <c r="C23">
        <v>2350000</v>
      </c>
      <c r="D23">
        <f t="shared" si="0"/>
        <v>6</v>
      </c>
      <c r="E23">
        <f t="shared" si="1"/>
        <v>0.15</v>
      </c>
      <c r="F23">
        <f t="shared" si="9"/>
        <v>0.48</v>
      </c>
      <c r="G23">
        <f t="shared" si="2"/>
        <v>0.8</v>
      </c>
      <c r="H23">
        <f t="shared" si="3"/>
        <v>0.25</v>
      </c>
      <c r="I23">
        <v>0</v>
      </c>
      <c r="J23">
        <f t="shared" si="4"/>
        <v>0.8</v>
      </c>
      <c r="K23">
        <f t="shared" si="5"/>
        <v>0.25</v>
      </c>
      <c r="L23">
        <f t="shared" si="10"/>
        <v>2594.3999999999996</v>
      </c>
      <c r="M23">
        <f t="shared" si="6"/>
        <v>0.72299999999999998</v>
      </c>
      <c r="N23">
        <f t="shared" si="7"/>
        <v>3.7699999999999997E-2</v>
      </c>
      <c r="O23">
        <f t="shared" si="8"/>
        <v>0.2286</v>
      </c>
      <c r="P23">
        <f t="shared" si="11"/>
        <v>742.47786324714616</v>
      </c>
      <c r="Q23">
        <f t="shared" si="12"/>
        <v>1.132E-4</v>
      </c>
      <c r="R23" s="4">
        <f t="shared" si="13"/>
        <v>1.179986858957547E-2</v>
      </c>
      <c r="V23" t="s">
        <v>24</v>
      </c>
      <c r="W23">
        <v>0.8</v>
      </c>
      <c r="X23">
        <v>0.8</v>
      </c>
    </row>
    <row r="24" spans="1:24" x14ac:dyDescent="0.2">
      <c r="A24" t="s">
        <v>23</v>
      </c>
      <c r="B24" t="s">
        <v>44</v>
      </c>
      <c r="C24">
        <v>2350000</v>
      </c>
      <c r="D24">
        <f t="shared" si="0"/>
        <v>1.5</v>
      </c>
      <c r="E24">
        <f t="shared" si="1"/>
        <v>0.15</v>
      </c>
      <c r="F24">
        <f t="shared" si="9"/>
        <v>0.12</v>
      </c>
      <c r="G24">
        <f t="shared" si="2"/>
        <v>0.2</v>
      </c>
      <c r="H24">
        <f t="shared" si="3"/>
        <v>0.25</v>
      </c>
      <c r="I24">
        <v>0</v>
      </c>
      <c r="J24">
        <f t="shared" si="4"/>
        <v>0.2</v>
      </c>
      <c r="K24">
        <f t="shared" si="5"/>
        <v>0.25</v>
      </c>
      <c r="L24">
        <f t="shared" si="10"/>
        <v>162.14999999999998</v>
      </c>
      <c r="M24">
        <f t="shared" si="6"/>
        <v>0.79600000000000004</v>
      </c>
      <c r="N24">
        <f t="shared" si="7"/>
        <v>3.7699999999999997E-2</v>
      </c>
      <c r="O24">
        <f t="shared" si="8"/>
        <v>0.2286</v>
      </c>
      <c r="P24">
        <f t="shared" si="11"/>
        <v>34.718290036715793</v>
      </c>
      <c r="Q24">
        <f t="shared" si="12"/>
        <v>1.132E-4</v>
      </c>
      <c r="R24" s="4">
        <f t="shared" si="13"/>
        <v>8.1195499630896213E-4</v>
      </c>
    </row>
    <row r="25" spans="1:24" x14ac:dyDescent="0.2">
      <c r="A25" t="s">
        <v>24</v>
      </c>
      <c r="B25" t="s">
        <v>45</v>
      </c>
      <c r="C25">
        <v>2350000</v>
      </c>
      <c r="D25">
        <f t="shared" si="0"/>
        <v>0.2</v>
      </c>
      <c r="E25">
        <f t="shared" si="1"/>
        <v>0.15</v>
      </c>
      <c r="F25">
        <f t="shared" si="9"/>
        <v>1.6E-2</v>
      </c>
      <c r="G25">
        <f t="shared" si="2"/>
        <v>0.8</v>
      </c>
      <c r="H25">
        <f t="shared" si="3"/>
        <v>0.25</v>
      </c>
      <c r="I25">
        <v>0</v>
      </c>
      <c r="J25">
        <f t="shared" si="4"/>
        <v>0.8</v>
      </c>
      <c r="K25">
        <f t="shared" si="5"/>
        <v>0.25</v>
      </c>
      <c r="L25">
        <f t="shared" si="10"/>
        <v>86.480000000000018</v>
      </c>
      <c r="M25">
        <f t="shared" si="6"/>
        <v>5.0000000000000001E-3</v>
      </c>
      <c r="N25">
        <f t="shared" si="7"/>
        <v>3.7699999999999997E-2</v>
      </c>
      <c r="O25">
        <f t="shared" si="8"/>
        <v>0.2286</v>
      </c>
      <c r="P25">
        <f t="shared" si="11"/>
        <v>86.053093098950498</v>
      </c>
      <c r="Q25">
        <f t="shared" si="12"/>
        <v>1.132E-4</v>
      </c>
      <c r="R25" s="4">
        <f t="shared" si="13"/>
        <v>2.7201172405660381E-6</v>
      </c>
      <c r="V25" t="s">
        <v>36</v>
      </c>
      <c r="W25" t="s">
        <v>37</v>
      </c>
      <c r="X25" t="s">
        <v>38</v>
      </c>
    </row>
    <row r="26" spans="1:24" x14ac:dyDescent="0.2">
      <c r="A26" t="s">
        <v>20</v>
      </c>
      <c r="B26" t="s">
        <v>46</v>
      </c>
      <c r="C26">
        <v>2350000</v>
      </c>
      <c r="D26">
        <f t="shared" si="0"/>
        <v>0.2</v>
      </c>
      <c r="E26">
        <f t="shared" si="1"/>
        <v>0.15</v>
      </c>
      <c r="F26">
        <f t="shared" si="9"/>
        <v>1.6E-2</v>
      </c>
      <c r="G26">
        <f t="shared" si="2"/>
        <v>0</v>
      </c>
      <c r="H26">
        <f t="shared" si="3"/>
        <v>0.25</v>
      </c>
      <c r="I26">
        <v>0</v>
      </c>
      <c r="J26">
        <f t="shared" si="4"/>
        <v>0</v>
      </c>
      <c r="K26">
        <f t="shared" si="5"/>
        <v>0.25</v>
      </c>
      <c r="L26">
        <f t="shared" si="10"/>
        <v>0</v>
      </c>
      <c r="M26">
        <f t="shared" si="6"/>
        <v>0.06</v>
      </c>
      <c r="N26">
        <f t="shared" si="7"/>
        <v>3.7699999999999997E-2</v>
      </c>
      <c r="O26">
        <f t="shared" si="8"/>
        <v>0.2286</v>
      </c>
      <c r="P26">
        <f t="shared" si="11"/>
        <v>0</v>
      </c>
      <c r="Q26">
        <f t="shared" si="12"/>
        <v>1.132E-4</v>
      </c>
      <c r="R26" s="4">
        <f t="shared" si="13"/>
        <v>0</v>
      </c>
      <c r="V26" t="s">
        <v>39</v>
      </c>
      <c r="W26">
        <v>0.9</v>
      </c>
      <c r="X26">
        <v>0.39800000000000002</v>
      </c>
    </row>
    <row r="27" spans="1:24" x14ac:dyDescent="0.2">
      <c r="V27" t="s">
        <v>40</v>
      </c>
      <c r="W27">
        <v>0.4</v>
      </c>
      <c r="X27">
        <v>0.54700000000000004</v>
      </c>
    </row>
    <row r="28" spans="1:24" x14ac:dyDescent="0.2">
      <c r="V28" t="s">
        <v>41</v>
      </c>
      <c r="W28">
        <v>6.1</v>
      </c>
      <c r="X28">
        <v>0.34799999999999998</v>
      </c>
    </row>
    <row r="29" spans="1:24" x14ac:dyDescent="0.2">
      <c r="V29" t="s">
        <v>42</v>
      </c>
      <c r="W29">
        <v>3.8</v>
      </c>
      <c r="X29">
        <v>0</v>
      </c>
    </row>
    <row r="30" spans="1:24" x14ac:dyDescent="0.2">
      <c r="V30" t="s">
        <v>43</v>
      </c>
      <c r="W30">
        <v>6</v>
      </c>
      <c r="X30">
        <v>0.72299999999999998</v>
      </c>
    </row>
    <row r="31" spans="1:24" x14ac:dyDescent="0.2">
      <c r="V31" t="s">
        <v>44</v>
      </c>
      <c r="W31">
        <v>1.5</v>
      </c>
      <c r="X31">
        <v>0.79600000000000004</v>
      </c>
    </row>
    <row r="32" spans="1:24" x14ac:dyDescent="0.2">
      <c r="V32" t="s">
        <v>45</v>
      </c>
      <c r="W32">
        <v>0.2</v>
      </c>
      <c r="X32">
        <v>5.0000000000000001E-3</v>
      </c>
    </row>
    <row r="33" spans="22:24" x14ac:dyDescent="0.2">
      <c r="V33" t="s">
        <v>46</v>
      </c>
      <c r="W33">
        <v>0.2</v>
      </c>
      <c r="X33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F606-F5DD-FC49-8A3E-E995FC64E994}">
  <dimension ref="A3:AA33"/>
  <sheetViews>
    <sheetView topLeftCell="I2" workbookViewId="0">
      <selection activeCell="S17" sqref="S17"/>
    </sheetView>
  </sheetViews>
  <sheetFormatPr baseColWidth="10" defaultRowHeight="16" x14ac:dyDescent="0.2"/>
  <cols>
    <col min="12" max="12" width="22.1640625" customWidth="1"/>
    <col min="16" max="16" width="12.1640625" bestFit="1" customWidth="1"/>
    <col min="19" max="19" width="24.33203125" customWidth="1"/>
    <col min="21" max="21" width="19" customWidth="1"/>
  </cols>
  <sheetData>
    <row r="3" spans="1:26" x14ac:dyDescent="0.2">
      <c r="F3">
        <f>(D12*(1-E12)-F12)</f>
        <v>0.32800000000000007</v>
      </c>
      <c r="G3">
        <f>F3*C12*G12*H12</f>
        <v>57810.000000000007</v>
      </c>
      <c r="H3">
        <f>(C12*(D12*(E12-I12))*J12*K12)</f>
        <v>3525.0000000000005</v>
      </c>
      <c r="I3">
        <f>(G3+H3)/1000</f>
        <v>61.335000000000008</v>
      </c>
    </row>
    <row r="5" spans="1:26" x14ac:dyDescent="0.2">
      <c r="A5" t="s">
        <v>34</v>
      </c>
    </row>
    <row r="6" spans="1:26" x14ac:dyDescent="0.2">
      <c r="L6" t="s">
        <v>51</v>
      </c>
    </row>
    <row r="7" spans="1:26" x14ac:dyDescent="0.2">
      <c r="A7" t="s">
        <v>0</v>
      </c>
      <c r="C7" t="s">
        <v>0</v>
      </c>
      <c r="D7" t="s">
        <v>0</v>
      </c>
      <c r="E7" t="s">
        <v>0</v>
      </c>
      <c r="F7" t="s">
        <v>0</v>
      </c>
      <c r="G7" t="s">
        <v>1</v>
      </c>
      <c r="H7" t="s">
        <v>1</v>
      </c>
      <c r="I7" t="s">
        <v>0</v>
      </c>
      <c r="J7" t="s">
        <v>1</v>
      </c>
      <c r="K7" t="s">
        <v>1</v>
      </c>
      <c r="Q7" t="s">
        <v>1</v>
      </c>
      <c r="R7" t="s">
        <v>1</v>
      </c>
    </row>
    <row r="8" spans="1:26" x14ac:dyDescent="0.2">
      <c r="Y8" t="s">
        <v>49</v>
      </c>
      <c r="Z8">
        <f>6.784*10^-4</f>
        <v>6.7840000000000001E-4</v>
      </c>
    </row>
    <row r="9" spans="1:26" x14ac:dyDescent="0.2">
      <c r="C9" t="s">
        <v>29</v>
      </c>
      <c r="D9" t="s">
        <v>27</v>
      </c>
      <c r="F9" t="s">
        <v>27</v>
      </c>
      <c r="H9" t="s">
        <v>28</v>
      </c>
      <c r="K9" t="s">
        <v>28</v>
      </c>
      <c r="L9" t="s">
        <v>32</v>
      </c>
      <c r="Q9" t="s">
        <v>30</v>
      </c>
      <c r="R9" t="s">
        <v>31</v>
      </c>
      <c r="S9" t="s">
        <v>32</v>
      </c>
      <c r="U9" t="s">
        <v>33</v>
      </c>
      <c r="Y9" t="s">
        <v>7</v>
      </c>
      <c r="Z9">
        <v>0.25</v>
      </c>
    </row>
    <row r="10" spans="1:26" x14ac:dyDescent="0.2">
      <c r="A10" s="1" t="s">
        <v>26</v>
      </c>
      <c r="B10" s="1" t="s">
        <v>35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47</v>
      </c>
      <c r="M10" s="1" t="s">
        <v>11</v>
      </c>
      <c r="N10" s="1" t="s">
        <v>12</v>
      </c>
      <c r="O10" s="1" t="s">
        <v>13</v>
      </c>
      <c r="P10" s="3" t="s">
        <v>52</v>
      </c>
      <c r="Q10" s="1" t="s">
        <v>14</v>
      </c>
      <c r="R10" s="1" t="s">
        <v>15</v>
      </c>
      <c r="S10" s="2" t="s">
        <v>16</v>
      </c>
      <c r="T10" s="1" t="s">
        <v>17</v>
      </c>
      <c r="U10" s="2" t="s">
        <v>18</v>
      </c>
      <c r="Y10" t="s">
        <v>10</v>
      </c>
      <c r="Z10">
        <v>0.25</v>
      </c>
    </row>
    <row r="11" spans="1:26" x14ac:dyDescent="0.2">
      <c r="A11" t="s">
        <v>20</v>
      </c>
      <c r="C11">
        <v>2350000</v>
      </c>
      <c r="D11">
        <v>0.9</v>
      </c>
      <c r="E11">
        <v>0.15</v>
      </c>
      <c r="F11">
        <v>7.2000000000000008E-2</v>
      </c>
      <c r="G11">
        <f t="shared" ref="G11:G26" si="0">_xlfn.XLOOKUP(A11,$Y$19:$Y$23, $Z$19:$Z$23)</f>
        <v>0</v>
      </c>
      <c r="H11">
        <f t="shared" ref="H11:H26" si="1">$Z$9</f>
        <v>0.25</v>
      </c>
      <c r="I11">
        <v>0.1</v>
      </c>
      <c r="J11">
        <f t="shared" ref="J11:J26" si="2">_xlfn.XLOOKUP(A11,$Y$19:$Y$23, $AA$19:$AA$23)</f>
        <v>0</v>
      </c>
      <c r="K11">
        <f t="shared" ref="K11:K26" si="3">$Z$10</f>
        <v>0.25</v>
      </c>
      <c r="L11">
        <f>((C11*(D11*(1-E11)-F11)*G11*H11)+(C11*(D11*(E11-I11))*J11*K11))*(1/1000)</f>
        <v>0</v>
      </c>
      <c r="M11">
        <v>0</v>
      </c>
      <c r="N11">
        <v>0</v>
      </c>
      <c r="O11">
        <v>0</v>
      </c>
      <c r="P11" t="b">
        <f>SUM(M11:O11)*$Z$8&gt;L11*0.75</f>
        <v>0</v>
      </c>
      <c r="Q11">
        <f t="shared" ref="Q11:Q26" si="4">$Z$11</f>
        <v>3.7699999999999997E-2</v>
      </c>
      <c r="R11">
        <f t="shared" ref="R11:R26" si="5">$Z$12</f>
        <v>0.2286</v>
      </c>
      <c r="S11">
        <f>IF(P11, SUM(M11:O11)/3 *$Z$8,L11-($Z$8*SUM(M11:O11))+(N11/(1000*1)*(Q11*R11)))</f>
        <v>0</v>
      </c>
      <c r="T11">
        <f t="shared" ref="T11:T26" si="6">$Z$13</f>
        <v>1.132E-4</v>
      </c>
      <c r="U11" s="4">
        <f>N11/1000 * Q11*T11</f>
        <v>0</v>
      </c>
      <c r="Y11" t="s">
        <v>14</v>
      </c>
      <c r="Z11">
        <v>3.7699999999999997E-2</v>
      </c>
    </row>
    <row r="12" spans="1:26" x14ac:dyDescent="0.2">
      <c r="A12" t="s">
        <v>21</v>
      </c>
      <c r="C12">
        <v>2350000</v>
      </c>
      <c r="D12">
        <v>0.4</v>
      </c>
      <c r="E12">
        <v>0.1</v>
      </c>
      <c r="F12">
        <v>3.2000000000000001E-2</v>
      </c>
      <c r="G12">
        <f t="shared" si="0"/>
        <v>0.3</v>
      </c>
      <c r="H12">
        <f t="shared" si="1"/>
        <v>0.25</v>
      </c>
      <c r="I12">
        <v>0.05</v>
      </c>
      <c r="J12">
        <f t="shared" si="2"/>
        <v>0.3</v>
      </c>
      <c r="K12">
        <f t="shared" si="3"/>
        <v>0.25</v>
      </c>
      <c r="L12" s="5">
        <f>((C12*(D12*(1-E12)-F12)*G12*H12)+(C12*(D12*(E12-I12))*J12*K12))*(1/1000)</f>
        <v>61.335000000000008</v>
      </c>
      <c r="M12">
        <v>30000</v>
      </c>
      <c r="N12">
        <v>20000</v>
      </c>
      <c r="O12">
        <v>20000</v>
      </c>
      <c r="P12" t="b">
        <f t="shared" ref="P12:P26" si="7">SUM(M12:O12)*$Z$8&gt;L12*0.75</f>
        <v>1</v>
      </c>
      <c r="Q12">
        <f t="shared" si="4"/>
        <v>3.7699999999999997E-2</v>
      </c>
      <c r="R12">
        <f t="shared" si="5"/>
        <v>0.2286</v>
      </c>
      <c r="S12">
        <f t="shared" ref="S12:S26" si="8">IF(P12, SUM(M12:O12)/3 *$Z$8,L12-($Z$8*SUM(M12:O12))+(N12/(1000*1)*(Q12*R12)))</f>
        <v>15.829333333333333</v>
      </c>
      <c r="T12">
        <f t="shared" si="6"/>
        <v>1.132E-4</v>
      </c>
      <c r="U12" s="4">
        <f t="shared" ref="U12:U26" si="9">N12/1000 * Q12*T12</f>
        <v>8.5352800000000007E-5</v>
      </c>
      <c r="Y12" t="s">
        <v>15</v>
      </c>
      <c r="Z12">
        <v>0.2286</v>
      </c>
    </row>
    <row r="13" spans="1:26" x14ac:dyDescent="0.2">
      <c r="A13" t="s">
        <v>22</v>
      </c>
      <c r="C13">
        <v>2350000</v>
      </c>
      <c r="D13">
        <v>6.1</v>
      </c>
      <c r="E13">
        <v>0.15</v>
      </c>
      <c r="F13">
        <v>0.48799999999999999</v>
      </c>
      <c r="G13">
        <f t="shared" si="0"/>
        <v>0.8</v>
      </c>
      <c r="H13">
        <f t="shared" si="1"/>
        <v>0.25</v>
      </c>
      <c r="I13">
        <v>0.2</v>
      </c>
      <c r="J13">
        <f t="shared" si="2"/>
        <v>0.8</v>
      </c>
      <c r="K13">
        <f t="shared" si="3"/>
        <v>0.25</v>
      </c>
      <c r="L13">
        <f t="shared" ref="L13:L26" si="10">((C13*(D13*(1-E13)-F13)*G13*H13)+(C13*(D13*(E13-I13))*J13*K13))*(1/1000)</f>
        <v>2064.2399999999998</v>
      </c>
      <c r="M13">
        <v>20000</v>
      </c>
      <c r="N13">
        <v>300000</v>
      </c>
      <c r="O13">
        <v>20000</v>
      </c>
      <c r="P13" t="b">
        <f t="shared" si="7"/>
        <v>0</v>
      </c>
      <c r="Q13">
        <f t="shared" si="4"/>
        <v>3.7699999999999997E-2</v>
      </c>
      <c r="R13">
        <f t="shared" si="5"/>
        <v>0.2286</v>
      </c>
      <c r="S13">
        <f t="shared" si="8"/>
        <v>1836.1694659999998</v>
      </c>
      <c r="T13">
        <f t="shared" si="6"/>
        <v>1.132E-4</v>
      </c>
      <c r="U13" s="4">
        <f>N13/1000 * Q13*T13</f>
        <v>1.2802919999999999E-3</v>
      </c>
      <c r="Y13" t="s">
        <v>17</v>
      </c>
      <c r="Z13">
        <v>1.132E-4</v>
      </c>
    </row>
    <row r="14" spans="1:26" x14ac:dyDescent="0.2">
      <c r="A14" t="s">
        <v>23</v>
      </c>
      <c r="C14">
        <v>2350000</v>
      </c>
      <c r="D14">
        <v>3.8</v>
      </c>
      <c r="E14">
        <v>0.15</v>
      </c>
      <c r="F14">
        <v>0.30399999999999999</v>
      </c>
      <c r="G14">
        <f t="shared" si="0"/>
        <v>0.2</v>
      </c>
      <c r="H14">
        <f t="shared" si="1"/>
        <v>0.25</v>
      </c>
      <c r="I14">
        <v>7.0000000000000007E-2</v>
      </c>
      <c r="J14">
        <f t="shared" si="2"/>
        <v>0.2</v>
      </c>
      <c r="K14">
        <f t="shared" si="3"/>
        <v>0.25</v>
      </c>
      <c r="L14">
        <f t="shared" si="10"/>
        <v>379.52500000000003</v>
      </c>
      <c r="M14">
        <v>200000</v>
      </c>
      <c r="N14">
        <v>20000</v>
      </c>
      <c r="O14">
        <v>200000</v>
      </c>
      <c r="P14" t="b">
        <f t="shared" si="7"/>
        <v>1</v>
      </c>
      <c r="Q14">
        <f t="shared" si="4"/>
        <v>3.7699999999999997E-2</v>
      </c>
      <c r="R14">
        <f t="shared" si="5"/>
        <v>0.2286</v>
      </c>
      <c r="S14">
        <f t="shared" si="8"/>
        <v>94.975999999999999</v>
      </c>
      <c r="T14">
        <f t="shared" si="6"/>
        <v>1.132E-4</v>
      </c>
      <c r="U14" s="4">
        <f t="shared" si="9"/>
        <v>8.5352800000000007E-5</v>
      </c>
      <c r="Y14" t="s">
        <v>4</v>
      </c>
      <c r="Z14">
        <v>0.15</v>
      </c>
    </row>
    <row r="15" spans="1:26" x14ac:dyDescent="0.2">
      <c r="A15" t="s">
        <v>24</v>
      </c>
      <c r="C15">
        <v>2350000</v>
      </c>
      <c r="D15">
        <v>6</v>
      </c>
      <c r="E15">
        <v>0.15</v>
      </c>
      <c r="F15">
        <v>0.48</v>
      </c>
      <c r="G15">
        <f t="shared" si="0"/>
        <v>0.8</v>
      </c>
      <c r="H15">
        <f t="shared" si="1"/>
        <v>0.25</v>
      </c>
      <c r="I15">
        <v>0.1</v>
      </c>
      <c r="J15">
        <f t="shared" si="2"/>
        <v>0.8</v>
      </c>
      <c r="K15">
        <f t="shared" si="3"/>
        <v>0.25</v>
      </c>
      <c r="L15">
        <f t="shared" si="10"/>
        <v>2312.3999999999996</v>
      </c>
      <c r="M15">
        <v>20000</v>
      </c>
      <c r="N15">
        <v>20000</v>
      </c>
      <c r="O15">
        <v>20000</v>
      </c>
      <c r="P15" t="b">
        <f t="shared" si="7"/>
        <v>0</v>
      </c>
      <c r="Q15">
        <f t="shared" si="4"/>
        <v>3.7699999999999997E-2</v>
      </c>
      <c r="R15">
        <f t="shared" si="5"/>
        <v>0.2286</v>
      </c>
      <c r="S15">
        <f t="shared" si="8"/>
        <v>2271.8683643999993</v>
      </c>
      <c r="T15">
        <f t="shared" si="6"/>
        <v>1.132E-4</v>
      </c>
      <c r="U15" s="4">
        <f t="shared" si="9"/>
        <v>8.5352800000000007E-5</v>
      </c>
      <c r="Y15" t="s">
        <v>48</v>
      </c>
      <c r="Z15">
        <v>28</v>
      </c>
    </row>
    <row r="16" spans="1:26" x14ac:dyDescent="0.2">
      <c r="A16" t="s">
        <v>20</v>
      </c>
      <c r="C16">
        <v>2350000</v>
      </c>
      <c r="D16">
        <v>1.5</v>
      </c>
      <c r="E16">
        <v>0.15</v>
      </c>
      <c r="F16">
        <v>0.12</v>
      </c>
      <c r="G16">
        <f t="shared" si="0"/>
        <v>0</v>
      </c>
      <c r="H16">
        <f t="shared" si="1"/>
        <v>0.25</v>
      </c>
      <c r="I16">
        <v>0.2</v>
      </c>
      <c r="J16">
        <f t="shared" si="2"/>
        <v>0</v>
      </c>
      <c r="K16">
        <f t="shared" si="3"/>
        <v>0.25</v>
      </c>
      <c r="L16">
        <f t="shared" si="10"/>
        <v>0</v>
      </c>
      <c r="M16">
        <v>0</v>
      </c>
      <c r="N16">
        <v>0</v>
      </c>
      <c r="O16">
        <v>0</v>
      </c>
      <c r="P16" t="b">
        <f t="shared" si="7"/>
        <v>0</v>
      </c>
      <c r="Q16">
        <f t="shared" si="4"/>
        <v>3.7699999999999997E-2</v>
      </c>
      <c r="R16">
        <f t="shared" si="5"/>
        <v>0.2286</v>
      </c>
      <c r="S16">
        <f t="shared" si="8"/>
        <v>0</v>
      </c>
      <c r="T16">
        <f t="shared" si="6"/>
        <v>1.132E-4</v>
      </c>
      <c r="U16" s="4">
        <f t="shared" si="9"/>
        <v>0</v>
      </c>
      <c r="Y16" t="s">
        <v>50</v>
      </c>
      <c r="Z16">
        <v>265</v>
      </c>
    </row>
    <row r="17" spans="1:27" x14ac:dyDescent="0.2">
      <c r="A17" t="s">
        <v>21</v>
      </c>
      <c r="C17">
        <v>2350000</v>
      </c>
      <c r="D17">
        <v>0.2</v>
      </c>
      <c r="E17">
        <v>0.15</v>
      </c>
      <c r="F17">
        <v>1.6E-2</v>
      </c>
      <c r="G17">
        <f t="shared" si="0"/>
        <v>0.3</v>
      </c>
      <c r="H17">
        <f t="shared" si="1"/>
        <v>0.25</v>
      </c>
      <c r="I17">
        <v>0.05</v>
      </c>
      <c r="J17">
        <f t="shared" si="2"/>
        <v>0.3</v>
      </c>
      <c r="K17">
        <f t="shared" si="3"/>
        <v>0.25</v>
      </c>
      <c r="L17">
        <f t="shared" si="10"/>
        <v>30.667500000000004</v>
      </c>
      <c r="M17">
        <v>20000</v>
      </c>
      <c r="N17">
        <v>1000</v>
      </c>
      <c r="O17">
        <v>20000</v>
      </c>
      <c r="P17" t="b">
        <f t="shared" si="7"/>
        <v>1</v>
      </c>
      <c r="Q17">
        <f t="shared" si="4"/>
        <v>3.7699999999999997E-2</v>
      </c>
      <c r="R17">
        <f t="shared" si="5"/>
        <v>0.2286</v>
      </c>
      <c r="S17">
        <f t="shared" si="8"/>
        <v>9.271466666666667</v>
      </c>
      <c r="T17">
        <f t="shared" si="6"/>
        <v>1.132E-4</v>
      </c>
      <c r="U17" s="4">
        <f t="shared" si="9"/>
        <v>4.2676399999999999E-6</v>
      </c>
    </row>
    <row r="18" spans="1:27" x14ac:dyDescent="0.2">
      <c r="A18" t="s">
        <v>22</v>
      </c>
      <c r="C18">
        <v>2350000</v>
      </c>
      <c r="D18">
        <v>0.2</v>
      </c>
      <c r="E18">
        <v>0.15</v>
      </c>
      <c r="F18">
        <v>1.6E-2</v>
      </c>
      <c r="G18">
        <f t="shared" si="0"/>
        <v>0.8</v>
      </c>
      <c r="H18">
        <f t="shared" si="1"/>
        <v>0.25</v>
      </c>
      <c r="I18">
        <v>0.2</v>
      </c>
      <c r="J18">
        <f t="shared" si="2"/>
        <v>0.8</v>
      </c>
      <c r="K18">
        <f t="shared" si="3"/>
        <v>0.25</v>
      </c>
      <c r="L18">
        <f t="shared" si="10"/>
        <v>67.680000000000021</v>
      </c>
      <c r="M18">
        <v>12345</v>
      </c>
      <c r="N18">
        <v>73467</v>
      </c>
      <c r="O18">
        <v>12345</v>
      </c>
      <c r="P18" t="b">
        <f t="shared" si="7"/>
        <v>1</v>
      </c>
      <c r="Q18">
        <f t="shared" si="4"/>
        <v>3.7699999999999997E-2</v>
      </c>
      <c r="R18">
        <f t="shared" si="5"/>
        <v>0.2286</v>
      </c>
      <c r="S18">
        <f t="shared" si="8"/>
        <v>22.1965696</v>
      </c>
      <c r="T18">
        <f t="shared" si="6"/>
        <v>1.132E-4</v>
      </c>
      <c r="U18" s="4">
        <f t="shared" si="9"/>
        <v>3.1353070788000002E-4</v>
      </c>
      <c r="Y18" t="s">
        <v>19</v>
      </c>
      <c r="Z18" t="s">
        <v>6</v>
      </c>
      <c r="AA18" t="s">
        <v>25</v>
      </c>
    </row>
    <row r="19" spans="1:27" x14ac:dyDescent="0.2">
      <c r="A19" t="s">
        <v>23</v>
      </c>
      <c r="C19">
        <v>2350000</v>
      </c>
      <c r="D19">
        <v>0.9</v>
      </c>
      <c r="E19">
        <v>0.15</v>
      </c>
      <c r="F19">
        <v>7.2000000000000008E-2</v>
      </c>
      <c r="G19">
        <f t="shared" si="0"/>
        <v>0.2</v>
      </c>
      <c r="H19">
        <f t="shared" si="1"/>
        <v>0.25</v>
      </c>
      <c r="I19">
        <v>7.0000000000000007E-2</v>
      </c>
      <c r="J19">
        <f t="shared" si="2"/>
        <v>0.2</v>
      </c>
      <c r="K19">
        <f t="shared" si="3"/>
        <v>0.25</v>
      </c>
      <c r="L19">
        <f t="shared" si="10"/>
        <v>89.887500000000017</v>
      </c>
      <c r="M19">
        <v>20000</v>
      </c>
      <c r="N19">
        <v>20000</v>
      </c>
      <c r="O19">
        <v>20000</v>
      </c>
      <c r="P19" t="b">
        <f t="shared" si="7"/>
        <v>0</v>
      </c>
      <c r="Q19">
        <f t="shared" si="4"/>
        <v>3.7699999999999997E-2</v>
      </c>
      <c r="R19">
        <f t="shared" si="5"/>
        <v>0.2286</v>
      </c>
      <c r="S19">
        <f t="shared" si="8"/>
        <v>49.355864400000016</v>
      </c>
      <c r="T19">
        <f t="shared" si="6"/>
        <v>1.132E-4</v>
      </c>
      <c r="U19" s="4">
        <f t="shared" si="9"/>
        <v>8.5352800000000007E-5</v>
      </c>
      <c r="Y19" t="s">
        <v>20</v>
      </c>
      <c r="Z19">
        <v>0</v>
      </c>
      <c r="AA19">
        <v>0</v>
      </c>
    </row>
    <row r="20" spans="1:27" x14ac:dyDescent="0.2">
      <c r="A20" t="s">
        <v>24</v>
      </c>
      <c r="C20">
        <v>2350000</v>
      </c>
      <c r="D20">
        <v>0.4</v>
      </c>
      <c r="E20">
        <v>0.15</v>
      </c>
      <c r="F20">
        <v>3.2000000000000001E-2</v>
      </c>
      <c r="G20">
        <f t="shared" si="0"/>
        <v>0.8</v>
      </c>
      <c r="H20">
        <f t="shared" si="1"/>
        <v>0.25</v>
      </c>
      <c r="I20">
        <v>0.1</v>
      </c>
      <c r="J20">
        <f t="shared" si="2"/>
        <v>0.8</v>
      </c>
      <c r="K20">
        <f t="shared" si="3"/>
        <v>0.25</v>
      </c>
      <c r="L20">
        <f t="shared" si="10"/>
        <v>154.16000000000003</v>
      </c>
      <c r="M20">
        <v>20000</v>
      </c>
      <c r="N20">
        <v>20000</v>
      </c>
      <c r="O20">
        <v>20000</v>
      </c>
      <c r="P20" t="b">
        <f t="shared" si="7"/>
        <v>0</v>
      </c>
      <c r="Q20">
        <f t="shared" si="4"/>
        <v>3.7699999999999997E-2</v>
      </c>
      <c r="R20">
        <f t="shared" si="5"/>
        <v>0.2286</v>
      </c>
      <c r="S20">
        <f t="shared" si="8"/>
        <v>113.62836440000002</v>
      </c>
      <c r="T20">
        <f t="shared" si="6"/>
        <v>1.132E-4</v>
      </c>
      <c r="U20" s="4">
        <f t="shared" si="9"/>
        <v>8.5352800000000007E-5</v>
      </c>
      <c r="Y20" t="s">
        <v>21</v>
      </c>
      <c r="Z20">
        <v>0.3</v>
      </c>
      <c r="AA20">
        <v>0.3</v>
      </c>
    </row>
    <row r="21" spans="1:27" x14ac:dyDescent="0.2">
      <c r="A21" t="s">
        <v>20</v>
      </c>
      <c r="C21">
        <v>2350000</v>
      </c>
      <c r="D21">
        <v>6.1</v>
      </c>
      <c r="E21">
        <v>0.15</v>
      </c>
      <c r="F21">
        <v>0.48799999999999999</v>
      </c>
      <c r="G21">
        <f t="shared" si="0"/>
        <v>0</v>
      </c>
      <c r="H21">
        <f t="shared" si="1"/>
        <v>0.25</v>
      </c>
      <c r="I21">
        <v>0.2</v>
      </c>
      <c r="J21">
        <f t="shared" si="2"/>
        <v>0</v>
      </c>
      <c r="K21">
        <f t="shared" si="3"/>
        <v>0.25</v>
      </c>
      <c r="L21">
        <f t="shared" si="10"/>
        <v>0</v>
      </c>
      <c r="M21">
        <v>0</v>
      </c>
      <c r="N21">
        <v>0</v>
      </c>
      <c r="O21">
        <v>0</v>
      </c>
      <c r="P21" t="b">
        <f t="shared" si="7"/>
        <v>0</v>
      </c>
      <c r="Q21">
        <f t="shared" si="4"/>
        <v>3.7699999999999997E-2</v>
      </c>
      <c r="R21">
        <f t="shared" si="5"/>
        <v>0.2286</v>
      </c>
      <c r="S21">
        <f t="shared" si="8"/>
        <v>0</v>
      </c>
      <c r="T21">
        <f t="shared" si="6"/>
        <v>1.132E-4</v>
      </c>
      <c r="U21" s="4">
        <f t="shared" si="9"/>
        <v>0</v>
      </c>
      <c r="Y21" t="s">
        <v>22</v>
      </c>
      <c r="Z21">
        <v>0.8</v>
      </c>
      <c r="AA21">
        <v>0.8</v>
      </c>
    </row>
    <row r="22" spans="1:27" x14ac:dyDescent="0.2">
      <c r="A22" t="s">
        <v>21</v>
      </c>
      <c r="C22">
        <v>2350000</v>
      </c>
      <c r="D22">
        <v>3.8</v>
      </c>
      <c r="E22">
        <v>0.15</v>
      </c>
      <c r="F22">
        <v>0.30399999999999999</v>
      </c>
      <c r="G22">
        <f t="shared" si="0"/>
        <v>0.3</v>
      </c>
      <c r="H22">
        <f t="shared" si="1"/>
        <v>0.25</v>
      </c>
      <c r="I22">
        <v>0.2</v>
      </c>
      <c r="J22">
        <f t="shared" si="2"/>
        <v>0.3</v>
      </c>
      <c r="K22">
        <f t="shared" si="3"/>
        <v>0.25</v>
      </c>
      <c r="L22">
        <f t="shared" si="10"/>
        <v>482.22</v>
      </c>
      <c r="M22">
        <v>123456</v>
      </c>
      <c r="N22">
        <v>20000</v>
      </c>
      <c r="O22">
        <v>234567</v>
      </c>
      <c r="P22" t="b">
        <f t="shared" si="7"/>
        <v>0</v>
      </c>
      <c r="Q22">
        <f t="shared" si="4"/>
        <v>3.7699999999999997E-2</v>
      </c>
      <c r="R22">
        <f t="shared" si="5"/>
        <v>0.2286</v>
      </c>
      <c r="S22">
        <f t="shared" si="8"/>
        <v>225.94156120000002</v>
      </c>
      <c r="T22">
        <f t="shared" si="6"/>
        <v>1.132E-4</v>
      </c>
      <c r="U22" s="4">
        <f t="shared" si="9"/>
        <v>8.5352800000000007E-5</v>
      </c>
      <c r="Y22" t="s">
        <v>23</v>
      </c>
      <c r="Z22">
        <v>0.2</v>
      </c>
      <c r="AA22">
        <v>0.2</v>
      </c>
    </row>
    <row r="23" spans="1:27" x14ac:dyDescent="0.2">
      <c r="A23" t="s">
        <v>22</v>
      </c>
      <c r="C23">
        <v>2350000</v>
      </c>
      <c r="D23">
        <v>6</v>
      </c>
      <c r="E23">
        <v>0.15</v>
      </c>
      <c r="F23">
        <v>0.48</v>
      </c>
      <c r="G23">
        <f t="shared" si="0"/>
        <v>0.8</v>
      </c>
      <c r="H23">
        <f t="shared" si="1"/>
        <v>0.25</v>
      </c>
      <c r="I23">
        <v>0.05</v>
      </c>
      <c r="J23">
        <f t="shared" si="2"/>
        <v>0.8</v>
      </c>
      <c r="K23">
        <f t="shared" si="3"/>
        <v>0.25</v>
      </c>
      <c r="L23">
        <f t="shared" si="10"/>
        <v>2453.3999999999996</v>
      </c>
      <c r="M23">
        <v>20000</v>
      </c>
      <c r="N23">
        <v>20000</v>
      </c>
      <c r="O23">
        <v>20000</v>
      </c>
      <c r="P23" t="b">
        <f t="shared" si="7"/>
        <v>0</v>
      </c>
      <c r="Q23">
        <f t="shared" si="4"/>
        <v>3.7699999999999997E-2</v>
      </c>
      <c r="R23">
        <f t="shared" si="5"/>
        <v>0.2286</v>
      </c>
      <c r="S23">
        <f t="shared" si="8"/>
        <v>2412.8683643999993</v>
      </c>
      <c r="T23">
        <f t="shared" si="6"/>
        <v>1.132E-4</v>
      </c>
      <c r="U23" s="4">
        <f t="shared" si="9"/>
        <v>8.5352800000000007E-5</v>
      </c>
      <c r="Y23" t="s">
        <v>24</v>
      </c>
      <c r="Z23">
        <v>0.8</v>
      </c>
      <c r="AA23">
        <v>0.8</v>
      </c>
    </row>
    <row r="24" spans="1:27" x14ac:dyDescent="0.2">
      <c r="A24" t="s">
        <v>23</v>
      </c>
      <c r="C24">
        <v>2350000</v>
      </c>
      <c r="D24">
        <v>1.5</v>
      </c>
      <c r="E24">
        <v>0.15</v>
      </c>
      <c r="F24">
        <v>0.12</v>
      </c>
      <c r="G24">
        <f t="shared" si="0"/>
        <v>0.2</v>
      </c>
      <c r="H24">
        <f t="shared" si="1"/>
        <v>0.25</v>
      </c>
      <c r="I24">
        <v>0.2</v>
      </c>
      <c r="J24">
        <f t="shared" si="2"/>
        <v>0.2</v>
      </c>
      <c r="K24">
        <f t="shared" si="3"/>
        <v>0.25</v>
      </c>
      <c r="L24">
        <f t="shared" si="10"/>
        <v>126.89999999999998</v>
      </c>
      <c r="M24">
        <v>20000</v>
      </c>
      <c r="N24">
        <v>20000</v>
      </c>
      <c r="O24">
        <v>20000</v>
      </c>
      <c r="P24" t="b">
        <f t="shared" si="7"/>
        <v>0</v>
      </c>
      <c r="Q24">
        <f t="shared" si="4"/>
        <v>3.7699999999999997E-2</v>
      </c>
      <c r="R24">
        <f t="shared" si="5"/>
        <v>0.2286</v>
      </c>
      <c r="S24">
        <f t="shared" si="8"/>
        <v>86.368364399999976</v>
      </c>
      <c r="T24">
        <f t="shared" si="6"/>
        <v>1.132E-4</v>
      </c>
      <c r="U24" s="4">
        <f t="shared" si="9"/>
        <v>8.5352800000000007E-5</v>
      </c>
    </row>
    <row r="25" spans="1:27" x14ac:dyDescent="0.2">
      <c r="A25" t="s">
        <v>24</v>
      </c>
      <c r="C25">
        <v>2350000</v>
      </c>
      <c r="D25">
        <v>0.2</v>
      </c>
      <c r="E25">
        <v>0.15</v>
      </c>
      <c r="F25">
        <v>1.6E-2</v>
      </c>
      <c r="G25">
        <f t="shared" si="0"/>
        <v>0.8</v>
      </c>
      <c r="H25">
        <f t="shared" si="1"/>
        <v>0.25</v>
      </c>
      <c r="I25">
        <v>7.0000000000000007E-2</v>
      </c>
      <c r="J25">
        <f t="shared" si="2"/>
        <v>0.8</v>
      </c>
      <c r="K25">
        <f t="shared" si="3"/>
        <v>0.25</v>
      </c>
      <c r="L25">
        <f t="shared" si="10"/>
        <v>79.90000000000002</v>
      </c>
      <c r="M25">
        <v>20000</v>
      </c>
      <c r="N25">
        <v>20000</v>
      </c>
      <c r="O25">
        <v>20000</v>
      </c>
      <c r="P25" t="b">
        <f t="shared" si="7"/>
        <v>0</v>
      </c>
      <c r="Q25">
        <f t="shared" si="4"/>
        <v>3.7699999999999997E-2</v>
      </c>
      <c r="R25">
        <f t="shared" si="5"/>
        <v>0.2286</v>
      </c>
      <c r="S25">
        <f t="shared" si="8"/>
        <v>39.368364400000019</v>
      </c>
      <c r="T25">
        <f t="shared" si="6"/>
        <v>1.132E-4</v>
      </c>
      <c r="U25" s="4">
        <f t="shared" si="9"/>
        <v>8.5352800000000007E-5</v>
      </c>
      <c r="Y25" t="s">
        <v>36</v>
      </c>
      <c r="Z25" t="s">
        <v>37</v>
      </c>
      <c r="AA25" t="s">
        <v>38</v>
      </c>
    </row>
    <row r="26" spans="1:27" x14ac:dyDescent="0.2">
      <c r="A26" t="s">
        <v>20</v>
      </c>
      <c r="C26">
        <v>2350000</v>
      </c>
      <c r="D26">
        <v>0.2</v>
      </c>
      <c r="E26">
        <v>0.15</v>
      </c>
      <c r="F26">
        <v>1.6E-2</v>
      </c>
      <c r="G26">
        <f t="shared" si="0"/>
        <v>0</v>
      </c>
      <c r="H26">
        <f t="shared" si="1"/>
        <v>0.25</v>
      </c>
      <c r="I26">
        <v>0.1</v>
      </c>
      <c r="J26">
        <f t="shared" si="2"/>
        <v>0</v>
      </c>
      <c r="K26">
        <f t="shared" si="3"/>
        <v>0.25</v>
      </c>
      <c r="L26">
        <f t="shared" si="10"/>
        <v>0</v>
      </c>
      <c r="M26">
        <v>0</v>
      </c>
      <c r="N26">
        <v>0</v>
      </c>
      <c r="O26">
        <v>0</v>
      </c>
      <c r="P26" t="b">
        <f t="shared" si="7"/>
        <v>0</v>
      </c>
      <c r="Q26">
        <f t="shared" si="4"/>
        <v>3.7699999999999997E-2</v>
      </c>
      <c r="R26">
        <f t="shared" si="5"/>
        <v>0.2286</v>
      </c>
      <c r="S26">
        <f t="shared" si="8"/>
        <v>0</v>
      </c>
      <c r="T26">
        <f t="shared" si="6"/>
        <v>1.132E-4</v>
      </c>
      <c r="U26" s="4">
        <f t="shared" si="9"/>
        <v>0</v>
      </c>
      <c r="Y26" t="s">
        <v>39</v>
      </c>
      <c r="Z26">
        <v>0.9</v>
      </c>
      <c r="AA26">
        <v>0.39800000000000002</v>
      </c>
    </row>
    <row r="27" spans="1:27" x14ac:dyDescent="0.2">
      <c r="Y27" t="s">
        <v>40</v>
      </c>
      <c r="Z27">
        <v>0.4</v>
      </c>
      <c r="AA27">
        <v>0.54700000000000004</v>
      </c>
    </row>
    <row r="28" spans="1:27" x14ac:dyDescent="0.2">
      <c r="Y28" t="s">
        <v>41</v>
      </c>
      <c r="Z28">
        <v>6.1</v>
      </c>
      <c r="AA28">
        <v>0.34799999999999998</v>
      </c>
    </row>
    <row r="29" spans="1:27" x14ac:dyDescent="0.2">
      <c r="Y29" t="s">
        <v>42</v>
      </c>
      <c r="Z29">
        <v>3.8</v>
      </c>
      <c r="AA29">
        <v>0</v>
      </c>
    </row>
    <row r="30" spans="1:27" x14ac:dyDescent="0.2">
      <c r="Y30" t="s">
        <v>43</v>
      </c>
      <c r="Z30">
        <v>6</v>
      </c>
      <c r="AA30">
        <v>0.72299999999999998</v>
      </c>
    </row>
    <row r="31" spans="1:27" x14ac:dyDescent="0.2">
      <c r="Y31" t="s">
        <v>44</v>
      </c>
      <c r="Z31">
        <v>1.5</v>
      </c>
      <c r="AA31">
        <v>0.79600000000000004</v>
      </c>
    </row>
    <row r="32" spans="1:27" x14ac:dyDescent="0.2">
      <c r="Y32" t="s">
        <v>45</v>
      </c>
      <c r="Z32">
        <v>0.2</v>
      </c>
      <c r="AA32">
        <v>5.0000000000000001E-3</v>
      </c>
    </row>
    <row r="33" spans="25:27" x14ac:dyDescent="0.2">
      <c r="Y33" t="s">
        <v>46</v>
      </c>
      <c r="Z33">
        <v>0.2</v>
      </c>
      <c r="AA33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11.1.1</vt:lpstr>
      <vt:lpstr>11.1.2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Mack Cheesman</cp:lastModifiedBy>
  <dcterms:created xsi:type="dcterms:W3CDTF">2026-04-10T04:03:08Z</dcterms:created>
  <dcterms:modified xsi:type="dcterms:W3CDTF">2026-10-15T23:46:43Z</dcterms:modified>
</cp:coreProperties>
</file>