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BD013870-5A16-734A-9E9D-B0650BC2CABB}" xr6:coauthVersionLast="47" xr6:coauthVersionMax="47" xr10:uidLastSave="{00000000-0000-0000-0000-000000000000}"/>
  <bookViews>
    <workbookView xWindow="-6820" yWindow="-21600" windowWidth="38400" windowHeight="21600" xr2:uid="{00000000-000D-0000-FFFF-FFFF00000000}"/>
  </bookViews>
  <sheets>
    <sheet name="11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" i="1" l="1"/>
  <c r="W11" i="1"/>
  <c r="X11" i="1"/>
  <c r="Y11" i="1"/>
  <c r="P12" i="1"/>
  <c r="P13" i="1"/>
  <c r="P14" i="1"/>
  <c r="P15" i="1"/>
  <c r="P11" i="1"/>
  <c r="Q11" i="1"/>
  <c r="F12" i="1" l="1"/>
  <c r="G12" i="1"/>
  <c r="I12" i="1"/>
  <c r="J12" i="1"/>
  <c r="N12" i="1"/>
  <c r="R12" i="1" s="1"/>
  <c r="O12" i="1"/>
  <c r="Q12" i="1"/>
  <c r="F13" i="1"/>
  <c r="G13" i="1"/>
  <c r="I13" i="1"/>
  <c r="J13" i="1"/>
  <c r="N13" i="1"/>
  <c r="R13" i="1" s="1"/>
  <c r="O13" i="1"/>
  <c r="Q13" i="1"/>
  <c r="F14" i="1"/>
  <c r="G14" i="1"/>
  <c r="I14" i="1"/>
  <c r="J14" i="1"/>
  <c r="N14" i="1"/>
  <c r="R14" i="1" s="1"/>
  <c r="O14" i="1"/>
  <c r="Q14" i="1"/>
  <c r="F15" i="1"/>
  <c r="G15" i="1"/>
  <c r="I15" i="1"/>
  <c r="J15" i="1"/>
  <c r="N15" i="1"/>
  <c r="R15" i="1" s="1"/>
  <c r="O15" i="1"/>
  <c r="Q15" i="1"/>
  <c r="I11" i="1"/>
  <c r="F11" i="1"/>
  <c r="O11" i="1"/>
  <c r="N11" i="1"/>
  <c r="R11" i="1" s="1"/>
  <c r="J11" i="1"/>
  <c r="G11" i="1"/>
</calcChain>
</file>

<file path=xl/sharedStrings.xml><?xml version="1.0" encoding="utf-8"?>
<sst xmlns="http://schemas.openxmlformats.org/spreadsheetml/2006/main" count="71" uniqueCount="41">
  <si>
    <t>((Wt * (CODin * (1 - Fsludge ) - CODout) * CFww,t * EFww) + (Wt * (CODin * (Fsludge - Fremoved)) * CFsludge,t * EFsludge) - (6.784 * (10 ** -4) * (Qcap + Qflared + Qout)) +(Qflared * (ECflared * EFflared,CH4))) / 1000</t>
  </si>
  <si>
    <t>(Qflared / 1000) * (ECflared * EFflared,N2O)</t>
  </si>
  <si>
    <t>input</t>
  </si>
  <si>
    <t>constant</t>
  </si>
  <si>
    <t>expression</t>
  </si>
  <si>
    <t>Wt</t>
  </si>
  <si>
    <t>CODin</t>
  </si>
  <si>
    <t>Fsludge</t>
  </si>
  <si>
    <t>CODout</t>
  </si>
  <si>
    <t>CFww,t</t>
  </si>
  <si>
    <t>EFww</t>
  </si>
  <si>
    <t>Fremoved</t>
  </si>
  <si>
    <t>CFsludge,t</t>
  </si>
  <si>
    <t>EFsludge</t>
  </si>
  <si>
    <t>Qcap</t>
  </si>
  <si>
    <t>Qflared</t>
  </si>
  <si>
    <t>Qout</t>
  </si>
  <si>
    <t>ECflared</t>
  </si>
  <si>
    <t>EFflared,CH4</t>
  </si>
  <si>
    <t>ECH4</t>
  </si>
  <si>
    <t>EFflared,N2O</t>
  </si>
  <si>
    <t>EN2O</t>
  </si>
  <si>
    <t>Facility type (t)</t>
  </si>
  <si>
    <t>Managed aerobic treatment</t>
  </si>
  <si>
    <t>Unmanaged aerobic treatment</t>
  </si>
  <si>
    <t>Anaerobic digestor/reactor</t>
  </si>
  <si>
    <t>Shallow anaerobic lagoon</t>
  </si>
  <si>
    <t>Deep anaerobic lagoon</t>
  </si>
  <si>
    <t>Cfsludge,t</t>
  </si>
  <si>
    <t>t</t>
  </si>
  <si>
    <t>kg COD/m^3</t>
  </si>
  <si>
    <t>kg CH4/kg COD</t>
  </si>
  <si>
    <t>m^3 CH4</t>
  </si>
  <si>
    <t>m^3 wastewater</t>
  </si>
  <si>
    <t>GJ/m^3</t>
  </si>
  <si>
    <t>kg CH4/GJ</t>
  </si>
  <si>
    <t>t CH4</t>
  </si>
  <si>
    <t>kg N2O/GJ</t>
  </si>
  <si>
    <t>t N2O</t>
  </si>
  <si>
    <t>Method 1</t>
  </si>
  <si>
    <t>NOTE: I think the formula might be wrong about 6.784 * 10^-4, should be ^-1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</si>
</sst>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Z18"/>
  <sheetViews>
    <sheetView tabSelected="1" topLeftCell="A2" workbookViewId="0">
      <selection activeCell="L15" sqref="L15"/>
    </sheetView>
  </sheetViews>
  <sheetFormatPr baseColWidth="10" defaultRowHeight="16" x14ac:dyDescent="0.2"/>
  <cols>
    <col min="18" max="18" width="17" customWidth="1"/>
  </cols>
  <sheetData>
    <row r="4" spans="1:26" x14ac:dyDescent="0.2">
      <c r="P4" t="s">
        <v>40</v>
      </c>
    </row>
    <row r="5" spans="1:26" x14ac:dyDescent="0.2">
      <c r="A5" t="s">
        <v>39</v>
      </c>
      <c r="P5" t="s">
        <v>0</v>
      </c>
      <c r="R5" t="s">
        <v>1</v>
      </c>
    </row>
    <row r="6" spans="1:26" x14ac:dyDescent="0.2">
      <c r="B6">
        <v>164</v>
      </c>
      <c r="C6">
        <v>165</v>
      </c>
      <c r="D6">
        <v>166</v>
      </c>
      <c r="E6">
        <v>168</v>
      </c>
      <c r="F6">
        <v>169</v>
      </c>
      <c r="G6">
        <v>171</v>
      </c>
      <c r="H6">
        <v>172</v>
      </c>
      <c r="I6">
        <v>174</v>
      </c>
      <c r="J6">
        <v>176</v>
      </c>
      <c r="K6">
        <v>177</v>
      </c>
      <c r="L6">
        <v>179</v>
      </c>
      <c r="M6">
        <v>181</v>
      </c>
      <c r="N6">
        <v>183</v>
      </c>
      <c r="O6">
        <v>184</v>
      </c>
      <c r="P6">
        <v>161</v>
      </c>
      <c r="Q6">
        <v>198</v>
      </c>
      <c r="R6">
        <v>197</v>
      </c>
    </row>
    <row r="7" spans="1:26" x14ac:dyDescent="0.2">
      <c r="A7" t="s">
        <v>2</v>
      </c>
      <c r="B7" t="s">
        <v>2</v>
      </c>
      <c r="C7" t="s">
        <v>2</v>
      </c>
      <c r="D7" t="s">
        <v>2</v>
      </c>
      <c r="E7" t="s">
        <v>2</v>
      </c>
      <c r="F7" t="s">
        <v>3</v>
      </c>
      <c r="G7" t="s">
        <v>3</v>
      </c>
      <c r="H7" t="s">
        <v>2</v>
      </c>
      <c r="I7" t="s">
        <v>3</v>
      </c>
      <c r="J7" t="s">
        <v>3</v>
      </c>
      <c r="K7" t="s">
        <v>2</v>
      </c>
      <c r="L7" t="s">
        <v>2</v>
      </c>
      <c r="M7" t="s">
        <v>2</v>
      </c>
      <c r="N7" t="s">
        <v>3</v>
      </c>
      <c r="O7" t="s">
        <v>3</v>
      </c>
      <c r="P7" t="s">
        <v>4</v>
      </c>
      <c r="Q7" t="s">
        <v>3</v>
      </c>
      <c r="R7" t="s">
        <v>4</v>
      </c>
      <c r="T7" t="s">
        <v>10</v>
      </c>
      <c r="U7">
        <v>0.25</v>
      </c>
    </row>
    <row r="8" spans="1:26" x14ac:dyDescent="0.2">
      <c r="T8" t="s">
        <v>13</v>
      </c>
      <c r="U8">
        <v>0.25</v>
      </c>
    </row>
    <row r="9" spans="1:26" x14ac:dyDescent="0.2">
      <c r="B9" t="s">
        <v>33</v>
      </c>
      <c r="C9" t="s">
        <v>30</v>
      </c>
      <c r="E9" t="s">
        <v>30</v>
      </c>
      <c r="G9" t="s">
        <v>31</v>
      </c>
      <c r="J9" t="s">
        <v>31</v>
      </c>
      <c r="K9" t="s">
        <v>32</v>
      </c>
      <c r="L9" t="s">
        <v>32</v>
      </c>
      <c r="M9" t="s">
        <v>32</v>
      </c>
      <c r="N9" t="s">
        <v>34</v>
      </c>
      <c r="O9" t="s">
        <v>35</v>
      </c>
      <c r="P9" t="s">
        <v>36</v>
      </c>
      <c r="Q9" t="s">
        <v>37</v>
      </c>
      <c r="R9" t="s">
        <v>38</v>
      </c>
      <c r="T9" t="s">
        <v>17</v>
      </c>
      <c r="U9">
        <v>3.7699999999999997E-2</v>
      </c>
    </row>
    <row r="10" spans="1:26" x14ac:dyDescent="0.2">
      <c r="A10" s="1" t="s">
        <v>29</v>
      </c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1" t="s">
        <v>14</v>
      </c>
      <c r="L10" s="1" t="s">
        <v>15</v>
      </c>
      <c r="M10" s="1" t="s">
        <v>16</v>
      </c>
      <c r="N10" s="1" t="s">
        <v>17</v>
      </c>
      <c r="O10" s="1" t="s">
        <v>18</v>
      </c>
      <c r="P10" s="2" t="s">
        <v>19</v>
      </c>
      <c r="Q10" s="1" t="s">
        <v>20</v>
      </c>
      <c r="R10" s="2" t="s">
        <v>21</v>
      </c>
      <c r="T10" t="s">
        <v>18</v>
      </c>
      <c r="U10">
        <v>0.22889999999999999</v>
      </c>
    </row>
    <row r="11" spans="1:26" x14ac:dyDescent="0.2">
      <c r="A11" t="s">
        <v>23</v>
      </c>
      <c r="B11">
        <v>2350000</v>
      </c>
      <c r="C11">
        <v>6.1</v>
      </c>
      <c r="D11">
        <v>0.7</v>
      </c>
      <c r="E11">
        <v>2.1</v>
      </c>
      <c r="F11">
        <f>_xlfn.XLOOKUP(A11,$T$14:$T$18, $U$14:$U$18)</f>
        <v>0</v>
      </c>
      <c r="G11">
        <f>$U$7</f>
        <v>0.25</v>
      </c>
      <c r="H11">
        <v>0.2</v>
      </c>
      <c r="I11">
        <f>_xlfn.XLOOKUP(A11,$T$14:$T$18, $V$14:$V$18)</f>
        <v>0</v>
      </c>
      <c r="J11">
        <f>$U$8</f>
        <v>0.25</v>
      </c>
      <c r="K11">
        <v>0</v>
      </c>
      <c r="L11">
        <v>0</v>
      </c>
      <c r="M11">
        <v>0</v>
      </c>
      <c r="N11">
        <f>$U$9</f>
        <v>3.7699999999999997E-2</v>
      </c>
      <c r="O11">
        <f>$U$10</f>
        <v>0.22889999999999999</v>
      </c>
      <c r="P11">
        <f>((B11 * (C11 *(1 - D11) - E11 ) * F11 * G11) + (B11 * (C11 * (D11-H11)) * I11 * J11) - (6.784 * 10^-1 * (K11+L11+M11)) + (L11 * (N11 * O11)))/1000</f>
        <v>0</v>
      </c>
      <c r="Q11">
        <f>$U$11</f>
        <v>1.132E-4</v>
      </c>
      <c r="R11">
        <f>(L11 / 1000) * (N11 * Q11)</f>
        <v>0</v>
      </c>
      <c r="T11" t="s">
        <v>20</v>
      </c>
      <c r="U11">
        <v>1.132E-4</v>
      </c>
      <c r="W11">
        <f>(B11 * (C11 *(1 - D11) - E11 ) * F11 * G11)</f>
        <v>0</v>
      </c>
      <c r="X11">
        <f>(B11 * (C11 * (D11-H11)) * I11 * J11)</f>
        <v>0</v>
      </c>
      <c r="Y11">
        <f>((6.784 * 10^-1 * (K11+L11+M11)) )</f>
        <v>0</v>
      </c>
      <c r="Z11">
        <f>(L11 * (N11 * O11))</f>
        <v>0</v>
      </c>
    </row>
    <row r="12" spans="1:26" x14ac:dyDescent="0.2">
      <c r="A12" t="s">
        <v>24</v>
      </c>
      <c r="B12">
        <v>2350000</v>
      </c>
      <c r="C12">
        <v>3</v>
      </c>
      <c r="D12">
        <v>0.3</v>
      </c>
      <c r="E12">
        <v>0.2</v>
      </c>
      <c r="F12">
        <f t="shared" ref="F12:F15" si="0">_xlfn.XLOOKUP(A12,$T$14:$T$18, $U$14:$U$18)</f>
        <v>0.3</v>
      </c>
      <c r="G12">
        <f t="shared" ref="G12:G15" si="1">$U$7</f>
        <v>0.25</v>
      </c>
      <c r="H12">
        <v>0.05</v>
      </c>
      <c r="I12">
        <f t="shared" ref="I12:I15" si="2">_xlfn.XLOOKUP(A12,$T$14:$T$18, $V$14:$V$18)</f>
        <v>0.3</v>
      </c>
      <c r="J12">
        <f t="shared" ref="J12:J15" si="3">$U$8</f>
        <v>0.25</v>
      </c>
      <c r="K12">
        <v>11000</v>
      </c>
      <c r="L12">
        <v>2000</v>
      </c>
      <c r="M12">
        <v>33000</v>
      </c>
      <c r="N12">
        <f t="shared" ref="N12:N15" si="4">$U$9</f>
        <v>3.7699999999999997E-2</v>
      </c>
      <c r="O12">
        <f t="shared" ref="O12:O15" si="5">$U$10</f>
        <v>0.22889999999999999</v>
      </c>
      <c r="P12">
        <f t="shared" ref="P12:P15" si="6">((B12 * (C12 *(1 - D12) - E12 ) * F12 * G12) + (B12 * (C12 * (D12-H12)) * I12 * J12) - (6.784 * 10^-1 * (K12+L12+M12)) + (L12 * (N12 * O12)))/1000</f>
        <v>435.87335905999993</v>
      </c>
      <c r="Q12">
        <f t="shared" ref="Q12:Q15" si="7">$U$11</f>
        <v>1.132E-4</v>
      </c>
      <c r="R12">
        <f t="shared" ref="R12:R15" si="8">(L12 / 1000) * (N12 * Q12)</f>
        <v>8.5352799999999997E-6</v>
      </c>
    </row>
    <row r="13" spans="1:26" x14ac:dyDescent="0.2">
      <c r="A13" t="s">
        <v>25</v>
      </c>
      <c r="B13">
        <v>2350000</v>
      </c>
      <c r="C13">
        <v>3.8</v>
      </c>
      <c r="D13">
        <v>0.6</v>
      </c>
      <c r="E13">
        <v>3</v>
      </c>
      <c r="F13">
        <f t="shared" si="0"/>
        <v>0.8</v>
      </c>
      <c r="G13">
        <f t="shared" si="1"/>
        <v>0.25</v>
      </c>
      <c r="H13">
        <v>0.2</v>
      </c>
      <c r="I13">
        <f t="shared" si="2"/>
        <v>0.8</v>
      </c>
      <c r="J13">
        <f t="shared" si="3"/>
        <v>0.25</v>
      </c>
      <c r="K13">
        <v>1000</v>
      </c>
      <c r="L13">
        <v>500</v>
      </c>
      <c r="M13">
        <v>300</v>
      </c>
      <c r="N13">
        <f t="shared" si="4"/>
        <v>3.7699999999999997E-2</v>
      </c>
      <c r="O13">
        <f t="shared" si="5"/>
        <v>0.22889999999999999</v>
      </c>
      <c r="P13">
        <f t="shared" si="6"/>
        <v>17.583194765000002</v>
      </c>
      <c r="Q13">
        <f t="shared" si="7"/>
        <v>1.132E-4</v>
      </c>
      <c r="R13">
        <f t="shared" si="8"/>
        <v>2.1338199999999999E-6</v>
      </c>
      <c r="T13" t="s">
        <v>22</v>
      </c>
      <c r="U13" t="s">
        <v>9</v>
      </c>
      <c r="V13" t="s">
        <v>28</v>
      </c>
    </row>
    <row r="14" spans="1:26" x14ac:dyDescent="0.2">
      <c r="A14" t="s">
        <v>26</v>
      </c>
      <c r="B14">
        <v>2350000</v>
      </c>
      <c r="C14">
        <v>6</v>
      </c>
      <c r="D14">
        <v>0.3</v>
      </c>
      <c r="E14">
        <v>0.1</v>
      </c>
      <c r="F14">
        <f t="shared" si="0"/>
        <v>0.2</v>
      </c>
      <c r="G14">
        <f t="shared" si="1"/>
        <v>0.25</v>
      </c>
      <c r="H14">
        <v>7.0000000000000007E-2</v>
      </c>
      <c r="I14">
        <f t="shared" si="2"/>
        <v>0.2</v>
      </c>
      <c r="J14">
        <f t="shared" si="3"/>
        <v>0.25</v>
      </c>
      <c r="K14">
        <v>11000</v>
      </c>
      <c r="L14">
        <v>3000</v>
      </c>
      <c r="M14">
        <v>33000</v>
      </c>
      <c r="N14">
        <f t="shared" si="4"/>
        <v>3.7699999999999997E-2</v>
      </c>
      <c r="O14">
        <f t="shared" si="5"/>
        <v>0.22889999999999999</v>
      </c>
      <c r="P14">
        <f t="shared" si="6"/>
        <v>612.04108858999996</v>
      </c>
      <c r="Q14">
        <f t="shared" si="7"/>
        <v>1.132E-4</v>
      </c>
      <c r="R14">
        <f t="shared" si="8"/>
        <v>1.280292E-5</v>
      </c>
      <c r="T14" t="s">
        <v>23</v>
      </c>
      <c r="U14">
        <v>0</v>
      </c>
      <c r="V14">
        <v>0</v>
      </c>
    </row>
    <row r="15" spans="1:26" x14ac:dyDescent="0.2">
      <c r="A15" t="s">
        <v>27</v>
      </c>
      <c r="B15">
        <v>2350000</v>
      </c>
      <c r="C15">
        <v>0.9</v>
      </c>
      <c r="D15">
        <v>0.4</v>
      </c>
      <c r="E15">
        <v>0.1</v>
      </c>
      <c r="F15">
        <f t="shared" si="0"/>
        <v>0.8</v>
      </c>
      <c r="G15">
        <f t="shared" si="1"/>
        <v>0.25</v>
      </c>
      <c r="H15">
        <v>0.1</v>
      </c>
      <c r="I15">
        <f t="shared" si="2"/>
        <v>0.8</v>
      </c>
      <c r="J15">
        <f t="shared" si="3"/>
        <v>0.25</v>
      </c>
      <c r="K15">
        <v>11000</v>
      </c>
      <c r="L15">
        <v>0</v>
      </c>
      <c r="M15">
        <v>33000</v>
      </c>
      <c r="N15">
        <f t="shared" si="4"/>
        <v>3.7699999999999997E-2</v>
      </c>
      <c r="O15">
        <f t="shared" si="5"/>
        <v>0.22889999999999999</v>
      </c>
      <c r="P15">
        <f t="shared" si="6"/>
        <v>303.85040000000009</v>
      </c>
      <c r="Q15">
        <f t="shared" si="7"/>
        <v>1.132E-4</v>
      </c>
      <c r="R15">
        <f t="shared" si="8"/>
        <v>0</v>
      </c>
      <c r="T15" t="s">
        <v>24</v>
      </c>
      <c r="U15">
        <v>0.3</v>
      </c>
      <c r="V15">
        <v>0.3</v>
      </c>
    </row>
    <row r="16" spans="1:26" x14ac:dyDescent="0.2">
      <c r="T16" t="s">
        <v>25</v>
      </c>
      <c r="U16">
        <v>0.8</v>
      </c>
      <c r="V16">
        <v>0.8</v>
      </c>
    </row>
    <row r="17" spans="20:22" x14ac:dyDescent="0.2">
      <c r="T17" t="s">
        <v>26</v>
      </c>
      <c r="U17">
        <v>0.2</v>
      </c>
      <c r="V17">
        <v>0.2</v>
      </c>
    </row>
    <row r="18" spans="20:22" x14ac:dyDescent="0.2">
      <c r="T18" t="s">
        <v>27</v>
      </c>
      <c r="U18">
        <v>0.8</v>
      </c>
      <c r="V18">
        <v>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2026-04-10T04:03:08Z</dcterms:created>
  <dcterms:modified xsi:type="dcterms:W3CDTF">2026-04-13T06:43:36Z</dcterms:modified>
</cp:coreProperties>
</file>