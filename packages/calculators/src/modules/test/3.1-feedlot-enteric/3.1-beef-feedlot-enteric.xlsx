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xr:revisionPtr revIDLastSave="0" documentId="13_ncr:1_{18EB5FA5-D1FA-1944-9383-0A8755E77BC3}" xr6:coauthVersionLast="47" xr6:coauthVersionMax="47" xr10:uidLastSave="{00000000-0000-0000-0000-000000000000}"/>
  <bookViews>
    <workbookView xWindow="31860" yWindow="-1620" windowWidth="28800" windowHeight="15900" xr2:uid="{983596DC-3B3D-3549-9B15-A60291DF034B}"/>
  </bookViews>
  <sheets>
    <sheet name="3.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N16" i="1"/>
  <c r="N11" i="1"/>
  <c r="E33" i="1" a="1"/>
  <c r="E33" i="1" s="1"/>
  <c r="E32" i="1" a="1"/>
  <c r="E32" i="1" s="1"/>
  <c r="H32" i="1" s="1"/>
  <c r="I32" i="1" s="1"/>
  <c r="J32" i="1" s="1"/>
  <c r="K31" i="1"/>
  <c r="E31" i="1" a="1"/>
  <c r="E31" i="1" s="1"/>
  <c r="E23" i="1" a="1"/>
  <c r="E23" i="1" s="1"/>
  <c r="E22" i="1" a="1"/>
  <c r="E22" i="1" s="1"/>
  <c r="K21" i="1"/>
  <c r="E21" i="1" a="1"/>
  <c r="E21" i="1" s="1"/>
  <c r="E18" i="1" a="1"/>
  <c r="E18" i="1" s="1"/>
  <c r="E17" i="1" a="1"/>
  <c r="E17" i="1" s="1"/>
  <c r="K16" i="1"/>
  <c r="E16" i="1" a="1"/>
  <c r="E16" i="1" s="1"/>
  <c r="G12" i="1"/>
  <c r="G13" i="1"/>
  <c r="H13" i="1"/>
  <c r="G11" i="1"/>
  <c r="K11" i="1"/>
  <c r="E12" i="1" a="1"/>
  <c r="E12" i="1" s="1"/>
  <c r="H12" i="1" s="1"/>
  <c r="E13" i="1" a="1"/>
  <c r="E13" i="1" s="1"/>
  <c r="F13" i="1" s="1"/>
  <c r="E11" i="1" a="1"/>
  <c r="E11" i="1" s="1"/>
  <c r="H11" i="1" s="1"/>
  <c r="F11" i="1" l="1"/>
  <c r="F12" i="1"/>
  <c r="H31" i="1"/>
  <c r="I31" i="1" s="1"/>
  <c r="J31" i="1" s="1"/>
  <c r="H33" i="1"/>
  <c r="I33" i="1"/>
  <c r="J33" i="1" s="1"/>
  <c r="H21" i="1"/>
  <c r="G21" i="1"/>
  <c r="F21" i="1"/>
  <c r="H22" i="1"/>
  <c r="G22" i="1"/>
  <c r="F22" i="1"/>
  <c r="I22" i="1" s="1"/>
  <c r="J22" i="1" s="1"/>
  <c r="H23" i="1"/>
  <c r="G23" i="1"/>
  <c r="F23" i="1"/>
  <c r="I23" i="1" s="1"/>
  <c r="J23" i="1" s="1"/>
  <c r="H17" i="1"/>
  <c r="G17" i="1"/>
  <c r="F17" i="1"/>
  <c r="H16" i="1"/>
  <c r="G16" i="1"/>
  <c r="F16" i="1"/>
  <c r="F18" i="1"/>
  <c r="H18" i="1"/>
  <c r="G18" i="1"/>
  <c r="I13" i="1"/>
  <c r="J13" i="1" s="1"/>
  <c r="I17" i="1" l="1"/>
  <c r="J17" i="1" s="1"/>
  <c r="I18" i="1"/>
  <c r="J18" i="1" s="1"/>
  <c r="I21" i="1"/>
  <c r="J21" i="1" s="1"/>
  <c r="M31" i="1"/>
  <c r="M21" i="1"/>
  <c r="N21" i="1" s="1"/>
  <c r="I16" i="1"/>
  <c r="J16" i="1" s="1"/>
  <c r="M16" i="1" s="1"/>
  <c r="I12" i="1"/>
  <c r="J12" i="1" s="1"/>
  <c r="I11" i="1"/>
  <c r="J11" i="1" s="1"/>
  <c r="M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<sst xmlns="http://schemas.openxmlformats.org/spreadsheetml/2006/main" count="60" uniqueCount="39">
  <si>
    <t>Nj</t>
  </si>
  <si>
    <t>Group 1</t>
  </si>
  <si>
    <t>Group 2</t>
  </si>
  <si>
    <t>Group 3</t>
  </si>
  <si>
    <t>3.1.2 l73</t>
  </si>
  <si>
    <t>input</t>
  </si>
  <si>
    <t>Head in group</t>
  </si>
  <si>
    <t>Lj</t>
  </si>
  <si>
    <t>Average length of stay</t>
  </si>
  <si>
    <t>3.1.2 l74</t>
  </si>
  <si>
    <t>Ij</t>
  </si>
  <si>
    <t>Dry matter intake</t>
  </si>
  <si>
    <t>kg DM/head/day</t>
  </si>
  <si>
    <t>3.1.2 l87</t>
  </si>
  <si>
    <t>constant</t>
  </si>
  <si>
    <t>0-80 days</t>
  </si>
  <si>
    <t>81-200 days</t>
  </si>
  <si>
    <t>201+ days</t>
  </si>
  <si>
    <t>NDFj</t>
  </si>
  <si>
    <t>3.1.2 l88</t>
  </si>
  <si>
    <t>EFj</t>
  </si>
  <si>
    <t>Ether extract</t>
  </si>
  <si>
    <t>percent</t>
  </si>
  <si>
    <t>Detergent fibre</t>
  </si>
  <si>
    <t>3.1.2 l89</t>
  </si>
  <si>
    <t>GWPCH4</t>
  </si>
  <si>
    <t>Menteric</t>
  </si>
  <si>
    <t>Total methane</t>
  </si>
  <si>
    <t>Mej</t>
  </si>
  <si>
    <t>Methane production</t>
  </si>
  <si>
    <t>kg CH4/head/day</t>
  </si>
  <si>
    <t>expression</t>
  </si>
  <si>
    <t>3.1.2 l63</t>
  </si>
  <si>
    <r>
      <t xml:space="preserve">𝑀𝑒 </t>
    </r>
    <r>
      <rPr>
        <sz val="8"/>
        <color rgb="FF000000"/>
        <rFont val="Helvetica"/>
        <family val="2"/>
      </rPr>
      <t xml:space="preserve">𝑗 </t>
    </r>
    <r>
      <rPr>
        <sz val="11"/>
        <color rgb="FF000000"/>
        <rFont val="Helvetica"/>
        <family val="2"/>
      </rPr>
      <t xml:space="preserve">= (5.11 × 𝐼 </t>
    </r>
    <r>
      <rPr>
        <sz val="8"/>
        <color rgb="FF000000"/>
        <rFont val="Helvetica"/>
        <family val="2"/>
      </rPr>
      <t>𝑗</t>
    </r>
    <r>
      <rPr>
        <sz val="11"/>
        <color rgb="FF000000"/>
        <rFont val="Helvetica"/>
        <family val="2"/>
      </rPr>
      <t xml:space="preserve">− 4.00 × 𝐸𝐸 </t>
    </r>
    <r>
      <rPr>
        <sz val="8"/>
        <color rgb="FF000000"/>
        <rFont val="Helvetica"/>
        <family val="2"/>
      </rPr>
      <t xml:space="preserve">𝑗 </t>
    </r>
    <r>
      <rPr>
        <sz val="11"/>
        <color rgb="FF000000"/>
        <rFont val="Helvetica"/>
        <family val="2"/>
      </rPr>
      <t xml:space="preserve">+ 2.26 × 𝑁𝐷𝐹 </t>
    </r>
    <r>
      <rPr>
        <sz val="8"/>
        <color rgb="FF000000"/>
        <rFont val="Helvetica"/>
        <family val="2"/>
      </rPr>
      <t>𝑗</t>
    </r>
    <r>
      <rPr>
        <sz val="11"/>
        <color rgb="FF000000"/>
        <rFont val="Helvetica"/>
        <family val="2"/>
      </rPr>
      <t>) × 10</t>
    </r>
    <r>
      <rPr>
        <sz val="8"/>
        <color rgb="FF000000"/>
        <rFont val="Helvetica"/>
        <family val="2"/>
      </rPr>
      <t>−3</t>
    </r>
  </si>
  <si>
    <t>Etotal</t>
  </si>
  <si>
    <t>Scenario</t>
  </si>
  <si>
    <t>Baseline</t>
  </si>
  <si>
    <t>Boundary durations</t>
  </si>
  <si>
    <t>Empty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</si>
</sst>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9308-1946-8F47-9834-B86881D77B59}">
  <dimension ref="A1:V33"/>
  <sheetViews>
    <sheetView tabSelected="1" topLeftCell="A10" workbookViewId="0">
      <selection activeCell="N31" sqref="N31"/>
    </sheetView>
  </sheetViews>
  <sheetFormatPr baseColWidth="10" defaultRowHeight="16" x14ac:dyDescent="0.2"/>
  <sheetData>
    <row r="1" spans="1:22" x14ac:dyDescent="0.2">
      <c r="C1" t="s">
        <v>4</v>
      </c>
      <c r="D1" t="s">
        <v>9</v>
      </c>
      <c r="F1" t="s">
        <v>13</v>
      </c>
      <c r="G1" t="s">
        <v>19</v>
      </c>
      <c r="H1" t="s">
        <v>24</v>
      </c>
      <c r="I1" t="s">
        <v>32</v>
      </c>
    </row>
    <row r="2" spans="1:22" x14ac:dyDescent="0.2">
      <c r="C2" t="s">
        <v>5</v>
      </c>
      <c r="D2" t="s">
        <v>5</v>
      </c>
      <c r="F2" t="s">
        <v>14</v>
      </c>
      <c r="G2" t="s">
        <v>14</v>
      </c>
      <c r="I2" t="s">
        <v>31</v>
      </c>
      <c r="S2" t="s">
        <v>11</v>
      </c>
    </row>
    <row r="3" spans="1:22" x14ac:dyDescent="0.2">
      <c r="F3" t="s">
        <v>5</v>
      </c>
      <c r="G3" t="s">
        <v>5</v>
      </c>
    </row>
    <row r="4" spans="1:22" x14ac:dyDescent="0.2">
      <c r="P4" t="s">
        <v>25</v>
      </c>
      <c r="Q4">
        <v>28</v>
      </c>
      <c r="T4" t="s">
        <v>10</v>
      </c>
      <c r="U4" t="s">
        <v>18</v>
      </c>
      <c r="V4" t="s">
        <v>20</v>
      </c>
    </row>
    <row r="5" spans="1:22" x14ac:dyDescent="0.2">
      <c r="S5" t="s">
        <v>15</v>
      </c>
      <c r="T5">
        <v>10.4</v>
      </c>
      <c r="U5">
        <v>22</v>
      </c>
      <c r="V5">
        <v>4.8</v>
      </c>
    </row>
    <row r="6" spans="1:22" x14ac:dyDescent="0.2">
      <c r="S6" t="s">
        <v>16</v>
      </c>
      <c r="T6">
        <v>10.8</v>
      </c>
      <c r="U6">
        <v>22</v>
      </c>
      <c r="V6">
        <v>5</v>
      </c>
    </row>
    <row r="7" spans="1:22" x14ac:dyDescent="0.2">
      <c r="I7" s="1" t="s">
        <v>33</v>
      </c>
      <c r="J7" s="1"/>
      <c r="S7" t="s">
        <v>17</v>
      </c>
      <c r="T7">
        <v>8.1999999999999993</v>
      </c>
      <c r="U7">
        <v>24</v>
      </c>
      <c r="V7">
        <v>5.5</v>
      </c>
    </row>
    <row r="8" spans="1:22" x14ac:dyDescent="0.2">
      <c r="F8" t="s">
        <v>12</v>
      </c>
      <c r="G8" t="s">
        <v>22</v>
      </c>
      <c r="H8" t="s">
        <v>22</v>
      </c>
      <c r="I8" t="s">
        <v>30</v>
      </c>
    </row>
    <row r="9" spans="1:22" x14ac:dyDescent="0.2">
      <c r="C9" t="s">
        <v>6</v>
      </c>
      <c r="D9" t="s">
        <v>8</v>
      </c>
      <c r="F9" t="s">
        <v>11</v>
      </c>
      <c r="G9" t="s">
        <v>23</v>
      </c>
      <c r="H9" t="s">
        <v>21</v>
      </c>
      <c r="I9" t="s">
        <v>29</v>
      </c>
      <c r="M9" t="s">
        <v>27</v>
      </c>
    </row>
    <row r="10" spans="1:22" x14ac:dyDescent="0.2">
      <c r="A10" t="s">
        <v>35</v>
      </c>
      <c r="C10" s="3" t="s">
        <v>0</v>
      </c>
      <c r="D10" s="3" t="s">
        <v>7</v>
      </c>
      <c r="F10" t="s">
        <v>10</v>
      </c>
      <c r="G10" t="s">
        <v>18</v>
      </c>
      <c r="H10" t="s">
        <v>20</v>
      </c>
      <c r="I10" t="s">
        <v>28</v>
      </c>
      <c r="J10" t="s">
        <v>26</v>
      </c>
      <c r="K10" t="s">
        <v>25</v>
      </c>
      <c r="M10" t="s">
        <v>26</v>
      </c>
      <c r="N10" s="2" t="s">
        <v>34</v>
      </c>
    </row>
    <row r="11" spans="1:22" x14ac:dyDescent="0.2">
      <c r="A11" t="s">
        <v>36</v>
      </c>
      <c r="B11" t="s">
        <v>1</v>
      </c>
      <c r="C11">
        <v>100</v>
      </c>
      <c r="D11">
        <v>70</v>
      </c>
      <c r="E11" t="str" cm="1">
        <f t="array" ref="E11">_xlfn.IFS(ISBLANK(D11), "", D11 &lt;= 80, "0-80 days", D11 &lt;= 200, "81-200 days", D11 &gt; 200, "201+ days", TRUE, "")</f>
        <v>0-80 days</v>
      </c>
      <c r="F11">
        <f>VLOOKUP(E11, $S$5:$V$7, 2, FALSE)</f>
        <v>10.4</v>
      </c>
      <c r="G11">
        <f>VLOOKUP(E11, $S$5:$V$7, 3, FALSE)</f>
        <v>22</v>
      </c>
      <c r="H11">
        <f>VLOOKUP(E11, $S$5:$V$7, 4, FALSE)</f>
        <v>4.8</v>
      </c>
      <c r="I11">
        <f>(5.11*F11 - 4*H11/100+2.26*G11/100)*10^-3</f>
        <v>5.3449200000000009E-2</v>
      </c>
      <c r="J11">
        <f>D11*I11*C11</f>
        <v>374.14440000000002</v>
      </c>
      <c r="K11">
        <f>$Q$4</f>
        <v>28</v>
      </c>
      <c r="M11">
        <f>SUM(J11:J13)</f>
        <v>4033.0152000000003</v>
      </c>
      <c r="N11">
        <f>M11*10 ^ -3</f>
        <v>4.0330152000000004</v>
      </c>
    </row>
    <row r="12" spans="1:22" x14ac:dyDescent="0.2">
      <c r="B12" t="s">
        <v>2</v>
      </c>
      <c r="C12">
        <v>200</v>
      </c>
      <c r="D12">
        <v>90</v>
      </c>
      <c r="E12" t="str" cm="1">
        <f t="array" ref="E12">_xlfn.IFS(ISBLANK(D12), "", D12 &lt;= 80, "0-80 days", D12 &lt;= 200, "81-200 days", D12 &gt; 200, "201+ days", TRUE, "")</f>
        <v>81-200 days</v>
      </c>
      <c r="F12">
        <f t="shared" ref="F12:F13" si="0">VLOOKUP(E12, $S$5:$V$7, 2, FALSE)</f>
        <v>10.8</v>
      </c>
      <c r="G12">
        <f t="shared" ref="G12:G13" si="1">VLOOKUP(E12, $S$5:$V$7, 3, FALSE)</f>
        <v>22</v>
      </c>
      <c r="H12">
        <f t="shared" ref="H12:H13" si="2">VLOOKUP(E12, $S$5:$V$7, 4, FALSE)</f>
        <v>5</v>
      </c>
      <c r="I12">
        <f t="shared" ref="I12:I13" si="3">(5.11*F12 - 4*H12/100+2.26*G12/100)*10^-3</f>
        <v>5.5485200000000005E-2</v>
      </c>
      <c r="J12">
        <f t="shared" ref="J12:J13" si="4">D12*I12*C12</f>
        <v>998.73360000000014</v>
      </c>
    </row>
    <row r="13" spans="1:22" x14ac:dyDescent="0.2">
      <c r="B13" t="s">
        <v>3</v>
      </c>
      <c r="C13">
        <v>300</v>
      </c>
      <c r="D13">
        <v>210</v>
      </c>
      <c r="E13" t="str" cm="1">
        <f t="array" ref="E13">_xlfn.IFS(ISBLANK(D13), "", D13 &lt;= 80, "0-80 days", D13 &lt;= 200, "81-200 days", D13 &gt; 200, "201+ days", TRUE, "")</f>
        <v>201+ days</v>
      </c>
      <c r="F13">
        <f t="shared" si="0"/>
        <v>8.1999999999999993</v>
      </c>
      <c r="G13">
        <f t="shared" si="1"/>
        <v>24</v>
      </c>
      <c r="H13">
        <f t="shared" si="2"/>
        <v>5.5</v>
      </c>
      <c r="I13">
        <f t="shared" si="3"/>
        <v>4.2224400000000002E-2</v>
      </c>
      <c r="J13">
        <f t="shared" si="4"/>
        <v>2660.1372000000001</v>
      </c>
    </row>
    <row r="16" spans="1:22" x14ac:dyDescent="0.2">
      <c r="A16" t="s">
        <v>37</v>
      </c>
      <c r="B16" t="s">
        <v>1</v>
      </c>
      <c r="C16">
        <v>80</v>
      </c>
      <c r="D16">
        <v>80</v>
      </c>
      <c r="E16" t="str" cm="1">
        <f t="array" ref="E16">_xlfn.IFS(ISBLANK(D16), "", D16 &lt;= 80, "0-80 days", D16 &lt;= 200, "81-200 days", D16 &gt; 200, "201+ days", TRUE, "")</f>
        <v>0-80 days</v>
      </c>
      <c r="F16">
        <f>VLOOKUP(E16, $S$5:$V$7, 2, FALSE)</f>
        <v>10.4</v>
      </c>
      <c r="G16">
        <f>VLOOKUP(E16, $S$5:$V$7, 3, FALSE)</f>
        <v>22</v>
      </c>
      <c r="H16">
        <f>VLOOKUP(E16, $S$5:$V$7, 4, FALSE)</f>
        <v>4.8</v>
      </c>
      <c r="I16">
        <f>(5.11*F16 - 4*H16/100+2.26*G16/100)*10^-3</f>
        <v>5.3449200000000009E-2</v>
      </c>
      <c r="J16">
        <f>D16*I16*C16</f>
        <v>342.07488000000006</v>
      </c>
      <c r="K16">
        <f>$Q$4</f>
        <v>28</v>
      </c>
      <c r="M16">
        <f>SUM(J16:J18)</f>
        <v>2412.0212615999999</v>
      </c>
      <c r="N16">
        <f>M16*10 ^ -3</f>
        <v>2.4120212616000001</v>
      </c>
    </row>
    <row r="17" spans="1:14" x14ac:dyDescent="0.2">
      <c r="B17" t="s">
        <v>2</v>
      </c>
      <c r="C17">
        <v>81</v>
      </c>
      <c r="D17">
        <v>81</v>
      </c>
      <c r="E17" t="str" cm="1">
        <f t="array" ref="E17">_xlfn.IFS(ISBLANK(D17), "", D17 &lt;= 80, "0-80 days", D17 &lt;= 200, "81-200 days", D17 &gt; 200, "201+ days", TRUE, "")</f>
        <v>81-200 days</v>
      </c>
      <c r="F17">
        <f t="shared" ref="F17:F18" si="5">VLOOKUP(E17, $S$5:$V$7, 2, FALSE)</f>
        <v>10.8</v>
      </c>
      <c r="G17">
        <f t="shared" ref="G17:G18" si="6">VLOOKUP(E17, $S$5:$V$7, 3, FALSE)</f>
        <v>22</v>
      </c>
      <c r="H17">
        <f t="shared" ref="H17:H18" si="7">VLOOKUP(E17, $S$5:$V$7, 4, FALSE)</f>
        <v>5</v>
      </c>
      <c r="I17">
        <f t="shared" ref="I17:I18" si="8">(5.11*F17 - 4*H17/100+2.26*G17/100)*10^-3</f>
        <v>5.5485200000000005E-2</v>
      </c>
      <c r="J17">
        <f t="shared" ref="J17:J18" si="9">D17*I17*C17</f>
        <v>364.03839720000008</v>
      </c>
    </row>
    <row r="18" spans="1:14" x14ac:dyDescent="0.2">
      <c r="B18" t="s">
        <v>3</v>
      </c>
      <c r="C18">
        <v>201</v>
      </c>
      <c r="D18">
        <v>201</v>
      </c>
      <c r="E18" t="str" cm="1">
        <f t="array" ref="E18">_xlfn.IFS(ISBLANK(D18), "", D18 &lt;= 80, "0-80 days", D18 &lt;= 200, "81-200 days", D18 &gt; 200, "201+ days", TRUE, "")</f>
        <v>201+ days</v>
      </c>
      <c r="F18">
        <f t="shared" si="5"/>
        <v>8.1999999999999993</v>
      </c>
      <c r="G18">
        <f t="shared" si="6"/>
        <v>24</v>
      </c>
      <c r="H18">
        <f t="shared" si="7"/>
        <v>5.5</v>
      </c>
      <c r="I18">
        <f t="shared" si="8"/>
        <v>4.2224400000000002E-2</v>
      </c>
      <c r="J18">
        <f t="shared" si="9"/>
        <v>1705.9079844</v>
      </c>
    </row>
    <row r="21" spans="1:14" x14ac:dyDescent="0.2">
      <c r="A21" t="s">
        <v>38</v>
      </c>
      <c r="B21" t="s">
        <v>1</v>
      </c>
      <c r="C21">
        <v>0</v>
      </c>
      <c r="D21">
        <v>80</v>
      </c>
      <c r="E21" t="str" cm="1">
        <f t="array" ref="E21">_xlfn.IFS(ISBLANK(D21), "", D21 &lt;= 80, "0-80 days", D21 &lt;= 200, "81-200 days", D21 &gt; 200, "201+ days", TRUE, "")</f>
        <v>0-80 days</v>
      </c>
      <c r="F21">
        <f>VLOOKUP(E21, $S$5:$V$7, 2, FALSE)</f>
        <v>10.4</v>
      </c>
      <c r="G21">
        <f>VLOOKUP(E21, $S$5:$V$7, 3, FALSE)</f>
        <v>22</v>
      </c>
      <c r="H21">
        <f>VLOOKUP(E21, $S$5:$V$7, 4, FALSE)</f>
        <v>4.8</v>
      </c>
      <c r="I21">
        <f>(5.11*F21 - 4*H21/100+2.26*G21/100)*10^-3</f>
        <v>5.3449200000000009E-2</v>
      </c>
      <c r="J21">
        <f>D21*I21*C21</f>
        <v>0</v>
      </c>
      <c r="K21">
        <f>$Q$4</f>
        <v>28</v>
      </c>
      <c r="M21">
        <f>SUM(J21:J23)</f>
        <v>0</v>
      </c>
      <c r="N21">
        <f>M21*K21*10 ^ -3</f>
        <v>0</v>
      </c>
    </row>
    <row r="22" spans="1:14" x14ac:dyDescent="0.2">
      <c r="B22" t="s">
        <v>2</v>
      </c>
      <c r="C22">
        <v>0</v>
      </c>
      <c r="D22">
        <v>81</v>
      </c>
      <c r="E22" t="str" cm="1">
        <f t="array" ref="E22">_xlfn.IFS(ISBLANK(D22), "", D22 &lt;= 80, "0-80 days", D22 &lt;= 200, "81-200 days", D22 &gt; 200, "201+ days", TRUE, "")</f>
        <v>81-200 days</v>
      </c>
      <c r="F22">
        <f t="shared" ref="F22:F23" si="10">VLOOKUP(E22, $S$5:$V$7, 2, FALSE)</f>
        <v>10.8</v>
      </c>
      <c r="G22">
        <f t="shared" ref="G22:G23" si="11">VLOOKUP(E22, $S$5:$V$7, 3, FALSE)</f>
        <v>22</v>
      </c>
      <c r="H22">
        <f t="shared" ref="H22:H23" si="12">VLOOKUP(E22, $S$5:$V$7, 4, FALSE)</f>
        <v>5</v>
      </c>
      <c r="I22">
        <f t="shared" ref="I22:I23" si="13">(5.11*F22 - 4*H22/100+2.26*G22/100)*10^-3</f>
        <v>5.5485200000000005E-2</v>
      </c>
      <c r="J22">
        <f t="shared" ref="J22:J23" si="14">D22*I22*C22</f>
        <v>0</v>
      </c>
    </row>
    <row r="23" spans="1:14" x14ac:dyDescent="0.2">
      <c r="B23" t="s">
        <v>3</v>
      </c>
      <c r="C23">
        <v>0</v>
      </c>
      <c r="D23">
        <v>201</v>
      </c>
      <c r="E23" t="str" cm="1">
        <f t="array" ref="E23">_xlfn.IFS(ISBLANK(D23), "", D23 &lt;= 80, "0-80 days", D23 &lt;= 200, "81-200 days", D23 &gt; 200, "201+ days", TRUE, "")</f>
        <v>201+ days</v>
      </c>
      <c r="F23">
        <f t="shared" si="10"/>
        <v>8.1999999999999993</v>
      </c>
      <c r="G23">
        <f t="shared" si="11"/>
        <v>24</v>
      </c>
      <c r="H23">
        <f t="shared" si="12"/>
        <v>5.5</v>
      </c>
      <c r="I23">
        <f t="shared" si="13"/>
        <v>4.2224400000000002E-2</v>
      </c>
      <c r="J23">
        <f t="shared" si="14"/>
        <v>0</v>
      </c>
    </row>
    <row r="31" spans="1:14" x14ac:dyDescent="0.2">
      <c r="A31" t="s">
        <v>36</v>
      </c>
      <c r="B31" t="s">
        <v>1</v>
      </c>
      <c r="C31">
        <v>100</v>
      </c>
      <c r="D31">
        <v>70</v>
      </c>
      <c r="E31" t="str" cm="1">
        <f t="array" ref="E31">_xlfn.IFS(ISBLANK(D31), "", D31 &lt;= 80, "0-80 days", D31 &lt;= 200, "81-200 days", D31 &gt; 200, "201+ days", TRUE, "")</f>
        <v>0-80 days</v>
      </c>
      <c r="F31">
        <v>11</v>
      </c>
      <c r="G31">
        <v>20</v>
      </c>
      <c r="H31">
        <f>VLOOKUP(E31, $S$5:$V$7, 4, FALSE)</f>
        <v>4.8</v>
      </c>
      <c r="I31">
        <f>(5.11*F31 - 4*H31/100+2.26*G31/100)*10^-3</f>
        <v>5.6469999999999999E-2</v>
      </c>
      <c r="J31">
        <f>D31*I31*C31</f>
        <v>395.29</v>
      </c>
      <c r="K31">
        <f>$Q$4</f>
        <v>28</v>
      </c>
      <c r="M31">
        <f>SUM(J31:J33)</f>
        <v>4420.2502000000004</v>
      </c>
      <c r="N31">
        <f>M31*10 ^ -3</f>
        <v>4.4202502000000008</v>
      </c>
    </row>
    <row r="32" spans="1:14" x14ac:dyDescent="0.2">
      <c r="B32" t="s">
        <v>2</v>
      </c>
      <c r="C32">
        <v>200</v>
      </c>
      <c r="D32">
        <v>90</v>
      </c>
      <c r="E32" t="str" cm="1">
        <f t="array" ref="E32">_xlfn.IFS(ISBLANK(D32), "", D32 &lt;= 80, "0-80 days", D32 &lt;= 200, "81-200 days", D32 &gt; 200, "201+ days", TRUE, "")</f>
        <v>81-200 days</v>
      </c>
      <c r="F32">
        <v>12</v>
      </c>
      <c r="G32">
        <v>21</v>
      </c>
      <c r="H32">
        <f t="shared" ref="H32:H33" si="15">VLOOKUP(E32, $S$5:$V$7, 4, FALSE)</f>
        <v>5</v>
      </c>
      <c r="I32">
        <f t="shared" ref="I32:I33" si="16">(5.11*F32 - 4*H32/100+2.26*G32/100)*10^-3</f>
        <v>6.1594600000000006E-2</v>
      </c>
      <c r="J32">
        <f t="shared" ref="J32:J33" si="17">D32*I32*C32</f>
        <v>1108.7028000000003</v>
      </c>
    </row>
    <row r="33" spans="2:10" x14ac:dyDescent="0.2">
      <c r="B33" t="s">
        <v>3</v>
      </c>
      <c r="C33">
        <v>300</v>
      </c>
      <c r="D33">
        <v>210</v>
      </c>
      <c r="E33" t="str" cm="1">
        <f t="array" ref="E33">_xlfn.IFS(ISBLANK(D33), "", D33 &lt;= 80, "0-80 days", D33 &lt;= 200, "81-200 days", D33 &gt; 200, "201+ days", TRUE, "")</f>
        <v>201+ days</v>
      </c>
      <c r="F33">
        <v>9</v>
      </c>
      <c r="G33">
        <v>23</v>
      </c>
      <c r="H33">
        <f t="shared" si="15"/>
        <v>5.5</v>
      </c>
      <c r="I33">
        <f t="shared" si="16"/>
        <v>4.6289799999999999E-2</v>
      </c>
      <c r="J33">
        <f t="shared" si="17"/>
        <v>2916.2574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Mack Cheesman</cp:lastModifiedBy>
  <dcterms:created xsi:type="dcterms:W3CDTF">2026-04-14T00:57:16Z</dcterms:created>
  <dcterms:modified xsi:type="dcterms:W3CDTF">2026-08-26T04:32:06Z</dcterms:modified>
</cp:coreProperties>
</file>