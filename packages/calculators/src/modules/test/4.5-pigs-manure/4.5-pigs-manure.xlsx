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27F8414B-A580-594F-8171-59E3C0E4A085}" xr6:coauthVersionLast="47" xr6:coauthVersionMax="47" xr10:uidLastSave="{00000000-0000-0000-0000-000000000000}"/>
  <bookViews>
    <workbookView xWindow="0" yWindow="660" windowWidth="30240" windowHeight="18980" xr2:uid="{498306D6-A158-0A47-8C6F-02750C53E536}"/>
  </bookViews>
  <sheets>
    <sheet name="Constants" sheetId="1" r:id="rId1"/>
    <sheet name="4.5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FP61" i="2"/>
  <c r="FP60" i="2"/>
  <c r="FP59" i="2"/>
  <c r="FP58" i="2"/>
  <c r="FP57" i="2"/>
  <c r="FP56" i="2"/>
  <c r="FP55" i="2"/>
  <c r="FP54" i="2"/>
  <c r="FP53" i="2"/>
  <c r="FP52" i="2"/>
  <c r="FP51" i="2"/>
  <c r="FP50" i="2"/>
  <c r="FP49" i="2"/>
  <c r="FP48" i="2"/>
  <c r="FP47" i="2"/>
  <c r="FP46" i="2"/>
  <c r="FP45" i="2"/>
  <c r="FP44" i="2"/>
  <c r="FP43" i="2"/>
  <c r="FP42" i="2"/>
  <c r="FP41" i="2"/>
  <c r="FP40" i="2"/>
  <c r="FP39" i="2"/>
  <c r="FP38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11" i="2"/>
  <c r="FP12" i="2"/>
  <c r="FP13" i="2"/>
  <c r="FP14" i="2"/>
  <c r="FO61" i="2"/>
  <c r="FN61" i="2"/>
  <c r="FO60" i="2"/>
  <c r="FN60" i="2"/>
  <c r="FO59" i="2"/>
  <c r="FN59" i="2"/>
  <c r="FO58" i="2"/>
  <c r="FN58" i="2"/>
  <c r="FO57" i="2"/>
  <c r="FN57" i="2"/>
  <c r="FO56" i="2"/>
  <c r="FN56" i="2"/>
  <c r="FO55" i="2"/>
  <c r="FN55" i="2"/>
  <c r="FO54" i="2"/>
  <c r="FN54" i="2"/>
  <c r="FO53" i="2"/>
  <c r="FN53" i="2"/>
  <c r="FO52" i="2"/>
  <c r="FN52" i="2"/>
  <c r="FO51" i="2"/>
  <c r="FN51" i="2"/>
  <c r="FO50" i="2"/>
  <c r="FN50" i="2"/>
  <c r="FO49" i="2"/>
  <c r="FN49" i="2"/>
  <c r="FO48" i="2"/>
  <c r="FN48" i="2"/>
  <c r="FO47" i="2"/>
  <c r="FN47" i="2"/>
  <c r="FO46" i="2"/>
  <c r="FN46" i="2"/>
  <c r="FO45" i="2"/>
  <c r="FN45" i="2"/>
  <c r="FO44" i="2"/>
  <c r="FN44" i="2"/>
  <c r="FO43" i="2"/>
  <c r="FN43" i="2"/>
  <c r="FO42" i="2"/>
  <c r="FN42" i="2"/>
  <c r="FO41" i="2"/>
  <c r="FN41" i="2"/>
  <c r="FO40" i="2"/>
  <c r="FN40" i="2"/>
  <c r="FO39" i="2"/>
  <c r="FN39" i="2"/>
  <c r="FO38" i="2"/>
  <c r="FN38" i="2"/>
  <c r="FN15" i="2"/>
  <c r="FO15" i="2"/>
  <c r="FN16" i="2"/>
  <c r="FO16" i="2"/>
  <c r="FN17" i="2"/>
  <c r="FO17" i="2"/>
  <c r="FN18" i="2"/>
  <c r="FO18" i="2"/>
  <c r="FN19" i="2"/>
  <c r="FO19" i="2"/>
  <c r="FN20" i="2"/>
  <c r="FO20" i="2"/>
  <c r="FN21" i="2"/>
  <c r="FO21" i="2"/>
  <c r="FN22" i="2"/>
  <c r="FO22" i="2"/>
  <c r="FN23" i="2"/>
  <c r="FO23" i="2"/>
  <c r="FN24" i="2"/>
  <c r="FO24" i="2"/>
  <c r="FN25" i="2"/>
  <c r="FO25" i="2"/>
  <c r="FN26" i="2"/>
  <c r="FO26" i="2"/>
  <c r="FN12" i="2"/>
  <c r="FO12" i="2"/>
  <c r="FN13" i="2"/>
  <c r="FO13" i="2"/>
  <c r="FN14" i="2"/>
  <c r="FO14" i="2"/>
  <c r="FO11" i="2"/>
  <c r="FN11" i="2"/>
  <c r="FK61" i="2"/>
  <c r="FK60" i="2"/>
  <c r="FK59" i="2"/>
  <c r="FK58" i="2"/>
  <c r="FK57" i="2"/>
  <c r="FK56" i="2"/>
  <c r="FK55" i="2"/>
  <c r="FK54" i="2"/>
  <c r="FK53" i="2"/>
  <c r="FK52" i="2"/>
  <c r="FK51" i="2"/>
  <c r="FK50" i="2"/>
  <c r="FK49" i="2"/>
  <c r="FK48" i="2"/>
  <c r="FK47" i="2"/>
  <c r="FK46" i="2"/>
  <c r="FK45" i="2"/>
  <c r="FK44" i="2"/>
  <c r="FK43" i="2"/>
  <c r="FK42" i="2"/>
  <c r="FK41" i="2"/>
  <c r="FK40" i="2"/>
  <c r="FK39" i="2"/>
  <c r="FK38" i="2"/>
  <c r="FK15" i="2"/>
  <c r="FK16" i="2"/>
  <c r="FK17" i="2"/>
  <c r="FK18" i="2"/>
  <c r="FK19" i="2"/>
  <c r="FK20" i="2"/>
  <c r="FK21" i="2"/>
  <c r="FK22" i="2"/>
  <c r="FK23" i="2"/>
  <c r="FK24" i="2"/>
  <c r="FK25" i="2"/>
  <c r="FK26" i="2"/>
  <c r="FK12" i="2"/>
  <c r="FK13" i="2"/>
  <c r="FK14" i="2"/>
  <c r="FK11" i="2"/>
  <c r="DG61" i="2"/>
  <c r="DE61" i="2"/>
  <c r="DG60" i="2"/>
  <c r="DE60" i="2"/>
  <c r="DG59" i="2"/>
  <c r="DE59" i="2"/>
  <c r="DG58" i="2"/>
  <c r="DE58" i="2"/>
  <c r="DG57" i="2"/>
  <c r="DE57" i="2"/>
  <c r="DG56" i="2"/>
  <c r="DE56" i="2"/>
  <c r="DG55" i="2"/>
  <c r="DE55" i="2"/>
  <c r="DG54" i="2"/>
  <c r="DE54" i="2"/>
  <c r="DG53" i="2"/>
  <c r="DE53" i="2"/>
  <c r="DG52" i="2"/>
  <c r="DE52" i="2"/>
  <c r="DG51" i="2"/>
  <c r="DE51" i="2"/>
  <c r="DG50" i="2"/>
  <c r="DE50" i="2"/>
  <c r="DG49" i="2"/>
  <c r="DE49" i="2"/>
  <c r="DG48" i="2"/>
  <c r="DE48" i="2"/>
  <c r="DG47" i="2"/>
  <c r="DE47" i="2"/>
  <c r="DG46" i="2"/>
  <c r="DE46" i="2"/>
  <c r="DG45" i="2"/>
  <c r="DE45" i="2"/>
  <c r="DG44" i="2"/>
  <c r="DE44" i="2"/>
  <c r="DG43" i="2"/>
  <c r="DE43" i="2"/>
  <c r="DG42" i="2"/>
  <c r="DE42" i="2"/>
  <c r="DG41" i="2"/>
  <c r="DE41" i="2"/>
  <c r="DG40" i="2"/>
  <c r="DE40" i="2"/>
  <c r="DG39" i="2"/>
  <c r="DE39" i="2"/>
  <c r="DG38" i="2"/>
  <c r="DE38" i="2"/>
  <c r="DE15" i="2"/>
  <c r="DG15" i="2"/>
  <c r="DE16" i="2"/>
  <c r="DG16" i="2"/>
  <c r="DE17" i="2"/>
  <c r="DG17" i="2"/>
  <c r="DE18" i="2"/>
  <c r="DG18" i="2"/>
  <c r="DE19" i="2"/>
  <c r="DG19" i="2"/>
  <c r="DE20" i="2"/>
  <c r="DG20" i="2"/>
  <c r="DE21" i="2"/>
  <c r="DG21" i="2"/>
  <c r="DE22" i="2"/>
  <c r="DG22" i="2"/>
  <c r="DE23" i="2"/>
  <c r="DG23" i="2"/>
  <c r="DE24" i="2"/>
  <c r="DG24" i="2"/>
  <c r="DE25" i="2"/>
  <c r="DG25" i="2"/>
  <c r="DE26" i="2"/>
  <c r="DG26" i="2"/>
  <c r="DE12" i="2"/>
  <c r="DG12" i="2"/>
  <c r="DE13" i="2"/>
  <c r="DG13" i="2"/>
  <c r="DE14" i="2"/>
  <c r="DG14" i="2"/>
  <c r="BF42" i="2"/>
  <c r="DF42" i="2" s="1"/>
  <c r="BG61" i="2"/>
  <c r="DH61" i="2" s="1"/>
  <c r="BF61" i="2"/>
  <c r="DF61" i="2" s="1"/>
  <c r="BE61" i="2"/>
  <c r="BG60" i="2"/>
  <c r="DH60" i="2" s="1"/>
  <c r="BF60" i="2"/>
  <c r="DF60" i="2" s="1"/>
  <c r="BE60" i="2"/>
  <c r="DC60" i="2" s="1"/>
  <c r="BG59" i="2"/>
  <c r="DH59" i="2" s="1"/>
  <c r="BF59" i="2"/>
  <c r="BE59" i="2"/>
  <c r="DC59" i="2" s="1"/>
  <c r="BG58" i="2"/>
  <c r="DH58" i="2" s="1"/>
  <c r="BF58" i="2"/>
  <c r="DF58" i="2" s="1"/>
  <c r="BE58" i="2"/>
  <c r="DC58" i="2" s="1"/>
  <c r="BG57" i="2"/>
  <c r="DH57" i="2" s="1"/>
  <c r="BF57" i="2"/>
  <c r="DF57" i="2" s="1"/>
  <c r="BE57" i="2"/>
  <c r="BG56" i="2"/>
  <c r="BF56" i="2"/>
  <c r="DF56" i="2" s="1"/>
  <c r="BE56" i="2"/>
  <c r="DC56" i="2" s="1"/>
  <c r="BG55" i="2"/>
  <c r="DH55" i="2" s="1"/>
  <c r="BF55" i="2"/>
  <c r="DF55" i="2" s="1"/>
  <c r="BE55" i="2"/>
  <c r="BG54" i="2"/>
  <c r="DH54" i="2" s="1"/>
  <c r="BF54" i="2"/>
  <c r="DF54" i="2" s="1"/>
  <c r="BE54" i="2"/>
  <c r="DC54" i="2" s="1"/>
  <c r="BG53" i="2"/>
  <c r="DH53" i="2" s="1"/>
  <c r="BF53" i="2"/>
  <c r="DF53" i="2" s="1"/>
  <c r="BE53" i="2"/>
  <c r="BG52" i="2"/>
  <c r="DH52" i="2" s="1"/>
  <c r="BF52" i="2"/>
  <c r="DF52" i="2" s="1"/>
  <c r="BE52" i="2"/>
  <c r="DC52" i="2" s="1"/>
  <c r="BG51" i="2"/>
  <c r="DH51" i="2" s="1"/>
  <c r="BF51" i="2"/>
  <c r="BE51" i="2"/>
  <c r="DC51" i="2" s="1"/>
  <c r="BG50" i="2"/>
  <c r="DH50" i="2" s="1"/>
  <c r="BF50" i="2"/>
  <c r="DF50" i="2" s="1"/>
  <c r="BE50" i="2"/>
  <c r="DC50" i="2" s="1"/>
  <c r="BG49" i="2"/>
  <c r="DH49" i="2" s="1"/>
  <c r="BF49" i="2"/>
  <c r="DF49" i="2" s="1"/>
  <c r="BE49" i="2"/>
  <c r="BG48" i="2"/>
  <c r="BF48" i="2"/>
  <c r="DF48" i="2" s="1"/>
  <c r="BE48" i="2"/>
  <c r="DC48" i="2" s="1"/>
  <c r="BG47" i="2"/>
  <c r="DH47" i="2" s="1"/>
  <c r="BF47" i="2"/>
  <c r="DF47" i="2" s="1"/>
  <c r="BE47" i="2"/>
  <c r="BG46" i="2"/>
  <c r="DH46" i="2" s="1"/>
  <c r="BF46" i="2"/>
  <c r="DF46" i="2" s="1"/>
  <c r="BE46" i="2"/>
  <c r="DC46" i="2" s="1"/>
  <c r="BG45" i="2"/>
  <c r="DH45" i="2" s="1"/>
  <c r="BF45" i="2"/>
  <c r="DF45" i="2" s="1"/>
  <c r="BE45" i="2"/>
  <c r="BG44" i="2"/>
  <c r="DH44" i="2" s="1"/>
  <c r="BF44" i="2"/>
  <c r="DF44" i="2" s="1"/>
  <c r="BE44" i="2"/>
  <c r="DC44" i="2" s="1"/>
  <c r="BG43" i="2"/>
  <c r="DH43" i="2" s="1"/>
  <c r="BF43" i="2"/>
  <c r="BE43" i="2"/>
  <c r="DC43" i="2" s="1"/>
  <c r="BG42" i="2"/>
  <c r="DH42" i="2" s="1"/>
  <c r="BE42" i="2"/>
  <c r="DC42" i="2" s="1"/>
  <c r="BG41" i="2"/>
  <c r="DH41" i="2" s="1"/>
  <c r="BF41" i="2"/>
  <c r="DF41" i="2" s="1"/>
  <c r="BE41" i="2"/>
  <c r="DC41" i="2" s="1"/>
  <c r="BG40" i="2"/>
  <c r="DH40" i="2" s="1"/>
  <c r="BF40" i="2"/>
  <c r="DF40" i="2" s="1"/>
  <c r="BE40" i="2"/>
  <c r="DC40" i="2" s="1"/>
  <c r="BG39" i="2"/>
  <c r="DH39" i="2" s="1"/>
  <c r="BF39" i="2"/>
  <c r="DF39" i="2" s="1"/>
  <c r="BE39" i="2"/>
  <c r="BG38" i="2"/>
  <c r="DH38" i="2" s="1"/>
  <c r="BF38" i="2"/>
  <c r="DF38" i="2" s="1"/>
  <c r="BE38" i="2"/>
  <c r="DC38" i="2" s="1"/>
  <c r="BE15" i="2"/>
  <c r="DC15" i="2" s="1"/>
  <c r="BF15" i="2"/>
  <c r="DF15" i="2" s="1"/>
  <c r="BG15" i="2"/>
  <c r="DH15" i="2" s="1"/>
  <c r="BE16" i="2"/>
  <c r="BF16" i="2"/>
  <c r="DF16" i="2" s="1"/>
  <c r="BG16" i="2"/>
  <c r="DH16" i="2" s="1"/>
  <c r="BE17" i="2"/>
  <c r="DC17" i="2" s="1"/>
  <c r="BF17" i="2"/>
  <c r="DF17" i="2" s="1"/>
  <c r="BG17" i="2"/>
  <c r="DH17" i="2" s="1"/>
  <c r="BE18" i="2"/>
  <c r="DC18" i="2" s="1"/>
  <c r="BF18" i="2"/>
  <c r="DF18" i="2" s="1"/>
  <c r="BG18" i="2"/>
  <c r="DH18" i="2" s="1"/>
  <c r="BE19" i="2"/>
  <c r="DC19" i="2" s="1"/>
  <c r="BF19" i="2"/>
  <c r="DF19" i="2" s="1"/>
  <c r="BG19" i="2"/>
  <c r="DH19" i="2" s="1"/>
  <c r="BE20" i="2"/>
  <c r="BF20" i="2"/>
  <c r="DF20" i="2" s="1"/>
  <c r="BG20" i="2"/>
  <c r="DH20" i="2" s="1"/>
  <c r="BE21" i="2"/>
  <c r="DC21" i="2" s="1"/>
  <c r="BF21" i="2"/>
  <c r="DF21" i="2" s="1"/>
  <c r="BG21" i="2"/>
  <c r="DH21" i="2" s="1"/>
  <c r="BE22" i="2"/>
  <c r="DC22" i="2" s="1"/>
  <c r="BF22" i="2"/>
  <c r="DF22" i="2" s="1"/>
  <c r="BG22" i="2"/>
  <c r="DH22" i="2" s="1"/>
  <c r="BE23" i="2"/>
  <c r="DC23" i="2" s="1"/>
  <c r="BF23" i="2"/>
  <c r="DF23" i="2" s="1"/>
  <c r="BG23" i="2"/>
  <c r="DH23" i="2" s="1"/>
  <c r="BE24" i="2"/>
  <c r="DC24" i="2" s="1"/>
  <c r="BF24" i="2"/>
  <c r="DF24" i="2" s="1"/>
  <c r="BG24" i="2"/>
  <c r="DH24" i="2" s="1"/>
  <c r="BE25" i="2"/>
  <c r="DC25" i="2" s="1"/>
  <c r="BF25" i="2"/>
  <c r="DF25" i="2" s="1"/>
  <c r="BG25" i="2"/>
  <c r="DH25" i="2" s="1"/>
  <c r="BE26" i="2"/>
  <c r="DC26" i="2" s="1"/>
  <c r="BF26" i="2"/>
  <c r="DF26" i="2" s="1"/>
  <c r="BG26" i="2"/>
  <c r="DH26" i="2" s="1"/>
  <c r="BE12" i="2"/>
  <c r="DC12" i="2" s="1"/>
  <c r="BF12" i="2"/>
  <c r="DF12" i="2" s="1"/>
  <c r="BG12" i="2"/>
  <c r="DH12" i="2" s="1"/>
  <c r="BE13" i="2"/>
  <c r="DC13" i="2" s="1"/>
  <c r="BF13" i="2"/>
  <c r="DF13" i="2" s="1"/>
  <c r="BG13" i="2"/>
  <c r="DH13" i="2" s="1"/>
  <c r="BE14" i="2"/>
  <c r="DC14" i="2" s="1"/>
  <c r="BF14" i="2"/>
  <c r="DF14" i="2" s="1"/>
  <c r="BG14" i="2"/>
  <c r="DH14" i="2" s="1"/>
  <c r="BG11" i="2"/>
  <c r="DH11" i="2" s="1"/>
  <c r="BE11" i="2"/>
  <c r="DC11" i="2" s="1"/>
  <c r="BF11" i="2"/>
  <c r="EA25" i="2"/>
  <c r="EA18" i="2"/>
  <c r="EA17" i="2"/>
  <c r="EA16" i="2"/>
  <c r="EA15" i="2"/>
  <c r="EA14" i="2"/>
  <c r="EA13" i="2"/>
  <c r="EA12" i="2"/>
  <c r="EA1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DV14" i="2"/>
  <c r="DZ14" i="2"/>
  <c r="DY14" i="2"/>
  <c r="DX14" i="2"/>
  <c r="DW14" i="2"/>
  <c r="DU14" i="2"/>
  <c r="DP14" i="2"/>
  <c r="DT14" i="2"/>
  <c r="DS14" i="2"/>
  <c r="DR14" i="2"/>
  <c r="DQ14" i="2"/>
  <c r="DO14" i="2"/>
  <c r="DV13" i="2"/>
  <c r="DZ13" i="2"/>
  <c r="DY13" i="2"/>
  <c r="DX13" i="2"/>
  <c r="DW13" i="2"/>
  <c r="DU13" i="2"/>
  <c r="DP13" i="2"/>
  <c r="DT13" i="2"/>
  <c r="DS13" i="2"/>
  <c r="DR13" i="2"/>
  <c r="DQ13" i="2"/>
  <c r="DO13" i="2"/>
  <c r="DV12" i="2"/>
  <c r="DZ12" i="2"/>
  <c r="DY12" i="2"/>
  <c r="DX12" i="2"/>
  <c r="DW12" i="2"/>
  <c r="DU12" i="2"/>
  <c r="DP12" i="2"/>
  <c r="DT12" i="2"/>
  <c r="DS12" i="2"/>
  <c r="DR12" i="2"/>
  <c r="DQ12" i="2"/>
  <c r="DO12" i="2"/>
  <c r="DV11" i="2"/>
  <c r="DZ11" i="2"/>
  <c r="DY11" i="2"/>
  <c r="DX11" i="2"/>
  <c r="DW11" i="2"/>
  <c r="DU11" i="2"/>
  <c r="DP11" i="2"/>
  <c r="DT11" i="2"/>
  <c r="DS11" i="2"/>
  <c r="DR11" i="2"/>
  <c r="DQ11" i="2"/>
  <c r="DO11" i="2"/>
  <c r="DG11" i="2"/>
  <c r="DE11" i="2"/>
  <c r="BB54" i="2"/>
  <c r="BC54" i="2"/>
  <c r="BK54" i="2" s="1"/>
  <c r="BD54" i="2"/>
  <c r="BB55" i="2"/>
  <c r="BC55" i="2"/>
  <c r="BD55" i="2"/>
  <c r="BB56" i="2"/>
  <c r="BH56" i="2" s="1"/>
  <c r="BC56" i="2"/>
  <c r="BD56" i="2"/>
  <c r="BB57" i="2"/>
  <c r="BC57" i="2"/>
  <c r="BK57" i="2" s="1"/>
  <c r="BD57" i="2"/>
  <c r="BM57" i="2" s="1"/>
  <c r="BB58" i="2"/>
  <c r="BC58" i="2"/>
  <c r="BK58" i="2" s="1"/>
  <c r="BD58" i="2"/>
  <c r="BB59" i="2"/>
  <c r="BC59" i="2"/>
  <c r="BD59" i="2"/>
  <c r="BB60" i="2"/>
  <c r="BH60" i="2" s="1"/>
  <c r="BC60" i="2"/>
  <c r="BD60" i="2"/>
  <c r="BB61" i="2"/>
  <c r="BH61" i="2" s="1"/>
  <c r="BC61" i="2"/>
  <c r="BK61" i="2" s="1"/>
  <c r="BD61" i="2"/>
  <c r="BM61" i="2" s="1"/>
  <c r="BD53" i="2"/>
  <c r="BM53" i="2" s="1"/>
  <c r="BC53" i="2"/>
  <c r="BK53" i="2" s="1"/>
  <c r="BB53" i="2"/>
  <c r="BD52" i="2"/>
  <c r="BC52" i="2"/>
  <c r="BK52" i="2" s="1"/>
  <c r="BB52" i="2"/>
  <c r="BH52" i="2" s="1"/>
  <c r="BD51" i="2"/>
  <c r="BC51" i="2"/>
  <c r="BK51" i="2" s="1"/>
  <c r="BB51" i="2"/>
  <c r="BD50" i="2"/>
  <c r="BC50" i="2"/>
  <c r="BB50" i="2"/>
  <c r="BD49" i="2"/>
  <c r="BM49" i="2" s="1"/>
  <c r="BC49" i="2"/>
  <c r="BK49" i="2" s="1"/>
  <c r="BB49" i="2"/>
  <c r="BD48" i="2"/>
  <c r="BC48" i="2"/>
  <c r="BK48" i="2" s="1"/>
  <c r="BB48" i="2"/>
  <c r="BH48" i="2" s="1"/>
  <c r="BD47" i="2"/>
  <c r="BC47" i="2"/>
  <c r="BK47" i="2" s="1"/>
  <c r="BB47" i="2"/>
  <c r="BD46" i="2"/>
  <c r="BC46" i="2"/>
  <c r="BB46" i="2"/>
  <c r="BD45" i="2"/>
  <c r="BM45" i="2" s="1"/>
  <c r="BC45" i="2"/>
  <c r="BK45" i="2" s="1"/>
  <c r="BB45" i="2"/>
  <c r="BD44" i="2"/>
  <c r="BC44" i="2"/>
  <c r="BB44" i="2"/>
  <c r="BH44" i="2" s="1"/>
  <c r="BD43" i="2"/>
  <c r="BC43" i="2"/>
  <c r="BK43" i="2" s="1"/>
  <c r="BB43" i="2"/>
  <c r="BD42" i="2"/>
  <c r="BC42" i="2"/>
  <c r="BB42" i="2"/>
  <c r="BD41" i="2"/>
  <c r="BM41" i="2" s="1"/>
  <c r="BC41" i="2"/>
  <c r="BK41" i="2" s="1"/>
  <c r="BB41" i="2"/>
  <c r="BD40" i="2"/>
  <c r="BM40" i="2" s="1"/>
  <c r="BC40" i="2"/>
  <c r="BB40" i="2"/>
  <c r="BH40" i="2" s="1"/>
  <c r="BD39" i="2"/>
  <c r="BC39" i="2"/>
  <c r="BK39" i="2" s="1"/>
  <c r="BB39" i="2"/>
  <c r="BD38" i="2"/>
  <c r="BC38" i="2"/>
  <c r="BB38" i="2"/>
  <c r="BH38" i="2" s="1"/>
  <c r="BB15" i="2"/>
  <c r="BH15" i="2" s="1"/>
  <c r="BC15" i="2"/>
  <c r="BD15" i="2"/>
  <c r="BM15" i="2" s="1"/>
  <c r="BB16" i="2"/>
  <c r="BC16" i="2"/>
  <c r="BK16" i="2" s="1"/>
  <c r="BD16" i="2"/>
  <c r="BM16" i="2" s="1"/>
  <c r="BB17" i="2"/>
  <c r="BC17" i="2"/>
  <c r="BK17" i="2" s="1"/>
  <c r="BD17" i="2"/>
  <c r="BM17" i="2" s="1"/>
  <c r="BB18" i="2"/>
  <c r="BC18" i="2"/>
  <c r="BK18" i="2" s="1"/>
  <c r="BD18" i="2"/>
  <c r="BM18" i="2" s="1"/>
  <c r="BB19" i="2"/>
  <c r="BH19" i="2" s="1"/>
  <c r="BC19" i="2"/>
  <c r="BD19" i="2"/>
  <c r="BB20" i="2"/>
  <c r="BH20" i="2" s="1"/>
  <c r="BC20" i="2"/>
  <c r="BK20" i="2" s="1"/>
  <c r="BD20" i="2"/>
  <c r="BM20" i="2" s="1"/>
  <c r="BB21" i="2"/>
  <c r="BC21" i="2"/>
  <c r="BK21" i="2" s="1"/>
  <c r="BD21" i="2"/>
  <c r="BM21" i="2" s="1"/>
  <c r="BB22" i="2"/>
  <c r="BC22" i="2"/>
  <c r="BD22" i="2"/>
  <c r="BM22" i="2" s="1"/>
  <c r="BB23" i="2"/>
  <c r="BC23" i="2"/>
  <c r="BD23" i="2"/>
  <c r="BM23" i="2" s="1"/>
  <c r="BB24" i="2"/>
  <c r="BH24" i="2" s="1"/>
  <c r="BC24" i="2"/>
  <c r="BK24" i="2" s="1"/>
  <c r="BD24" i="2"/>
  <c r="BB25" i="2"/>
  <c r="BH25" i="2" s="1"/>
  <c r="BC25" i="2"/>
  <c r="BK25" i="2" s="1"/>
  <c r="BD25" i="2"/>
  <c r="BM25" i="2" s="1"/>
  <c r="BB26" i="2"/>
  <c r="BH26" i="2" s="1"/>
  <c r="BC26" i="2"/>
  <c r="BK26" i="2" s="1"/>
  <c r="BD26" i="2"/>
  <c r="BM26" i="2" s="1"/>
  <c r="BB12" i="2"/>
  <c r="BH12" i="2" s="1"/>
  <c r="BC12" i="2"/>
  <c r="BD12" i="2"/>
  <c r="BM12" i="2" s="1"/>
  <c r="BB13" i="2"/>
  <c r="BH13" i="2" s="1"/>
  <c r="BC13" i="2"/>
  <c r="BK13" i="2" s="1"/>
  <c r="BD13" i="2"/>
  <c r="BM13" i="2" s="1"/>
  <c r="BB14" i="2"/>
  <c r="BH14" i="2" s="1"/>
  <c r="BC14" i="2"/>
  <c r="BK14" i="2" s="1"/>
  <c r="BD14" i="2"/>
  <c r="BM14" i="2" s="1"/>
  <c r="BD11" i="2"/>
  <c r="BM11" i="2" s="1"/>
  <c r="BC11" i="2"/>
  <c r="BK11" i="2" s="1"/>
  <c r="BB11" i="2"/>
  <c r="BH11" i="2" s="1"/>
  <c r="AY38" i="2"/>
  <c r="AZ38" i="2"/>
  <c r="BA38" i="2"/>
  <c r="DB38" i="2" s="1"/>
  <c r="BJ38" i="2"/>
  <c r="BL38" i="2"/>
  <c r="BN38" i="2"/>
  <c r="BO38" i="2"/>
  <c r="BP38" i="2"/>
  <c r="BQ38" i="2"/>
  <c r="BR38" i="2"/>
  <c r="BS38" i="2"/>
  <c r="BT38" i="2"/>
  <c r="BU38" i="2"/>
  <c r="BV38" i="2"/>
  <c r="CD38" i="2"/>
  <c r="CE38" i="2"/>
  <c r="CF38" i="2"/>
  <c r="CG38" i="2"/>
  <c r="CH38" i="2"/>
  <c r="AY39" i="2"/>
  <c r="AZ39" i="2"/>
  <c r="BA39" i="2"/>
  <c r="DB39" i="2" s="1"/>
  <c r="BJ39" i="2"/>
  <c r="BL39" i="2"/>
  <c r="BN39" i="2"/>
  <c r="BO39" i="2"/>
  <c r="BP39" i="2"/>
  <c r="BQ39" i="2"/>
  <c r="BR39" i="2"/>
  <c r="BS39" i="2"/>
  <c r="BT39" i="2"/>
  <c r="BU39" i="2"/>
  <c r="BV39" i="2"/>
  <c r="CD39" i="2"/>
  <c r="CE39" i="2"/>
  <c r="CF39" i="2"/>
  <c r="CG39" i="2"/>
  <c r="CH39" i="2"/>
  <c r="AY40" i="2"/>
  <c r="AZ40" i="2"/>
  <c r="BA40" i="2"/>
  <c r="DB40" i="2" s="1"/>
  <c r="BJ40" i="2"/>
  <c r="BL40" i="2"/>
  <c r="BN40" i="2"/>
  <c r="BO40" i="2"/>
  <c r="BP40" i="2"/>
  <c r="BQ40" i="2"/>
  <c r="BR40" i="2"/>
  <c r="BS40" i="2"/>
  <c r="BT40" i="2"/>
  <c r="BU40" i="2"/>
  <c r="BV40" i="2"/>
  <c r="CD40" i="2"/>
  <c r="CE40" i="2"/>
  <c r="CF40" i="2"/>
  <c r="CG40" i="2"/>
  <c r="CH40" i="2"/>
  <c r="AY41" i="2"/>
  <c r="AZ41" i="2"/>
  <c r="BA41" i="2"/>
  <c r="DB41" i="2" s="1"/>
  <c r="BJ41" i="2"/>
  <c r="BL41" i="2"/>
  <c r="BN41" i="2"/>
  <c r="BO41" i="2"/>
  <c r="BP41" i="2"/>
  <c r="BQ41" i="2"/>
  <c r="BR41" i="2"/>
  <c r="BS41" i="2"/>
  <c r="BT41" i="2"/>
  <c r="BU41" i="2"/>
  <c r="BV41" i="2"/>
  <c r="CD41" i="2"/>
  <c r="CE41" i="2"/>
  <c r="CF41" i="2"/>
  <c r="CG41" i="2"/>
  <c r="CH41" i="2"/>
  <c r="AY15" i="2"/>
  <c r="AZ15" i="2"/>
  <c r="BA15" i="2"/>
  <c r="DB15" i="2" s="1"/>
  <c r="BJ15" i="2"/>
  <c r="BL15" i="2"/>
  <c r="BN15" i="2"/>
  <c r="BO15" i="2"/>
  <c r="BP15" i="2"/>
  <c r="BQ15" i="2"/>
  <c r="BR15" i="2"/>
  <c r="BS15" i="2"/>
  <c r="BT15" i="2"/>
  <c r="BU15" i="2"/>
  <c r="BV15" i="2"/>
  <c r="CD15" i="2"/>
  <c r="CE15" i="2"/>
  <c r="CF15" i="2"/>
  <c r="CG15" i="2"/>
  <c r="CH15" i="2"/>
  <c r="AY16" i="2"/>
  <c r="AZ16" i="2"/>
  <c r="BA16" i="2"/>
  <c r="DB16" i="2" s="1"/>
  <c r="BJ16" i="2"/>
  <c r="BL16" i="2"/>
  <c r="BN16" i="2"/>
  <c r="BO16" i="2"/>
  <c r="BP16" i="2"/>
  <c r="BQ16" i="2"/>
  <c r="BR16" i="2"/>
  <c r="BS16" i="2"/>
  <c r="BT16" i="2"/>
  <c r="BU16" i="2"/>
  <c r="BV16" i="2"/>
  <c r="CD16" i="2"/>
  <c r="CE16" i="2"/>
  <c r="CF16" i="2"/>
  <c r="CG16" i="2"/>
  <c r="CH16" i="2"/>
  <c r="AY17" i="2"/>
  <c r="AZ17" i="2"/>
  <c r="BA17" i="2"/>
  <c r="DB17" i="2" s="1"/>
  <c r="BJ17" i="2"/>
  <c r="BL17" i="2"/>
  <c r="BN17" i="2"/>
  <c r="BO17" i="2"/>
  <c r="BP17" i="2"/>
  <c r="BQ17" i="2"/>
  <c r="BR17" i="2"/>
  <c r="BS17" i="2"/>
  <c r="BT17" i="2"/>
  <c r="BU17" i="2"/>
  <c r="BV17" i="2"/>
  <c r="CD17" i="2"/>
  <c r="CE17" i="2"/>
  <c r="CF17" i="2"/>
  <c r="CG17" i="2"/>
  <c r="CH17" i="2"/>
  <c r="AY18" i="2"/>
  <c r="AZ18" i="2"/>
  <c r="BA18" i="2"/>
  <c r="DB18" i="2" s="1"/>
  <c r="BJ18" i="2"/>
  <c r="BL18" i="2"/>
  <c r="BN18" i="2"/>
  <c r="BO18" i="2"/>
  <c r="BP18" i="2"/>
  <c r="BQ18" i="2"/>
  <c r="BR18" i="2"/>
  <c r="BS18" i="2"/>
  <c r="BT18" i="2"/>
  <c r="BU18" i="2"/>
  <c r="BV18" i="2"/>
  <c r="CD18" i="2"/>
  <c r="CE18" i="2"/>
  <c r="CF18" i="2"/>
  <c r="CG18" i="2"/>
  <c r="CH18" i="2"/>
  <c r="AY19" i="2"/>
  <c r="AZ19" i="2"/>
  <c r="BA19" i="2"/>
  <c r="DB19" i="2" s="1"/>
  <c r="BJ19" i="2"/>
  <c r="BL19" i="2"/>
  <c r="BN19" i="2"/>
  <c r="BO19" i="2"/>
  <c r="BP19" i="2"/>
  <c r="BQ19" i="2"/>
  <c r="BR19" i="2"/>
  <c r="BS19" i="2"/>
  <c r="BT19" i="2"/>
  <c r="BU19" i="2"/>
  <c r="BV19" i="2"/>
  <c r="CD19" i="2"/>
  <c r="CE19" i="2"/>
  <c r="CF19" i="2"/>
  <c r="CG19" i="2"/>
  <c r="CH19" i="2"/>
  <c r="AY20" i="2"/>
  <c r="AZ20" i="2"/>
  <c r="BA20" i="2"/>
  <c r="DB20" i="2" s="1"/>
  <c r="BJ20" i="2"/>
  <c r="BL20" i="2"/>
  <c r="BN20" i="2"/>
  <c r="BO20" i="2"/>
  <c r="BP20" i="2"/>
  <c r="BQ20" i="2"/>
  <c r="BR20" i="2"/>
  <c r="BS20" i="2"/>
  <c r="BT20" i="2"/>
  <c r="BU20" i="2"/>
  <c r="BV20" i="2"/>
  <c r="CD20" i="2"/>
  <c r="CE20" i="2"/>
  <c r="CF20" i="2"/>
  <c r="CG20" i="2"/>
  <c r="CH20" i="2"/>
  <c r="AY21" i="2"/>
  <c r="AZ21" i="2"/>
  <c r="BA21" i="2"/>
  <c r="DB21" i="2" s="1"/>
  <c r="BJ21" i="2"/>
  <c r="BL21" i="2"/>
  <c r="BN21" i="2"/>
  <c r="BO21" i="2"/>
  <c r="BP21" i="2"/>
  <c r="BQ21" i="2"/>
  <c r="BR21" i="2"/>
  <c r="BS21" i="2"/>
  <c r="BT21" i="2"/>
  <c r="BU21" i="2"/>
  <c r="BV21" i="2"/>
  <c r="CD21" i="2"/>
  <c r="CE21" i="2"/>
  <c r="CF21" i="2"/>
  <c r="CG21" i="2"/>
  <c r="CH21" i="2"/>
  <c r="AY22" i="2"/>
  <c r="AZ22" i="2"/>
  <c r="BA22" i="2"/>
  <c r="DB22" i="2" s="1"/>
  <c r="BJ22" i="2"/>
  <c r="BL22" i="2"/>
  <c r="BN22" i="2"/>
  <c r="BO22" i="2"/>
  <c r="BP22" i="2"/>
  <c r="BQ22" i="2"/>
  <c r="BR22" i="2"/>
  <c r="BS22" i="2"/>
  <c r="BT22" i="2"/>
  <c r="BU22" i="2"/>
  <c r="BV22" i="2"/>
  <c r="CD22" i="2"/>
  <c r="CE22" i="2"/>
  <c r="CF22" i="2"/>
  <c r="CG22" i="2"/>
  <c r="CH22" i="2"/>
  <c r="AY23" i="2"/>
  <c r="AZ23" i="2"/>
  <c r="BA23" i="2"/>
  <c r="DB23" i="2" s="1"/>
  <c r="BJ23" i="2"/>
  <c r="BL23" i="2"/>
  <c r="BN23" i="2"/>
  <c r="BO23" i="2"/>
  <c r="BP23" i="2"/>
  <c r="BQ23" i="2"/>
  <c r="BR23" i="2"/>
  <c r="BS23" i="2"/>
  <c r="BT23" i="2"/>
  <c r="BU23" i="2"/>
  <c r="BV23" i="2"/>
  <c r="CD23" i="2"/>
  <c r="CE23" i="2"/>
  <c r="CF23" i="2"/>
  <c r="CG23" i="2"/>
  <c r="CH23" i="2"/>
  <c r="AY24" i="2"/>
  <c r="AZ24" i="2"/>
  <c r="BA24" i="2"/>
  <c r="DB24" i="2" s="1"/>
  <c r="BJ24" i="2"/>
  <c r="BL24" i="2"/>
  <c r="BN24" i="2"/>
  <c r="BO24" i="2"/>
  <c r="BP24" i="2"/>
  <c r="BQ24" i="2"/>
  <c r="BR24" i="2"/>
  <c r="BS24" i="2"/>
  <c r="BT24" i="2"/>
  <c r="BU24" i="2"/>
  <c r="BV24" i="2"/>
  <c r="CD24" i="2"/>
  <c r="CE24" i="2"/>
  <c r="CF24" i="2"/>
  <c r="CG24" i="2"/>
  <c r="CH24" i="2"/>
  <c r="AY25" i="2"/>
  <c r="AZ25" i="2"/>
  <c r="BA25" i="2"/>
  <c r="DB25" i="2" s="1"/>
  <c r="BJ25" i="2"/>
  <c r="BL25" i="2"/>
  <c r="BN25" i="2"/>
  <c r="BO25" i="2"/>
  <c r="BP25" i="2"/>
  <c r="BQ25" i="2"/>
  <c r="BR25" i="2"/>
  <c r="BS25" i="2"/>
  <c r="BT25" i="2"/>
  <c r="BU25" i="2"/>
  <c r="BV25" i="2"/>
  <c r="CD25" i="2"/>
  <c r="CE25" i="2"/>
  <c r="CF25" i="2"/>
  <c r="CG25" i="2"/>
  <c r="CH25" i="2"/>
  <c r="AY26" i="2"/>
  <c r="AZ26" i="2"/>
  <c r="BA26" i="2"/>
  <c r="DB26" i="2" s="1"/>
  <c r="BJ26" i="2"/>
  <c r="BL26" i="2"/>
  <c r="BN26" i="2"/>
  <c r="BO26" i="2"/>
  <c r="BP26" i="2"/>
  <c r="BQ26" i="2"/>
  <c r="BR26" i="2"/>
  <c r="BS26" i="2"/>
  <c r="BT26" i="2"/>
  <c r="BU26" i="2"/>
  <c r="BV26" i="2"/>
  <c r="CD26" i="2"/>
  <c r="CE26" i="2"/>
  <c r="CF26" i="2"/>
  <c r="CG26" i="2"/>
  <c r="CH26" i="2"/>
  <c r="BL61" i="2"/>
  <c r="BJ61" i="2"/>
  <c r="BL60" i="2"/>
  <c r="BJ60" i="2"/>
  <c r="BL59" i="2"/>
  <c r="BJ59" i="2"/>
  <c r="BL58" i="2"/>
  <c r="BJ58" i="2"/>
  <c r="BL57" i="2"/>
  <c r="BJ57" i="2"/>
  <c r="BL56" i="2"/>
  <c r="BJ56" i="2"/>
  <c r="BL55" i="2"/>
  <c r="BJ55" i="2"/>
  <c r="BL54" i="2"/>
  <c r="BJ54" i="2"/>
  <c r="BL53" i="2"/>
  <c r="BJ53" i="2"/>
  <c r="BL52" i="2"/>
  <c r="BJ52" i="2"/>
  <c r="BL51" i="2"/>
  <c r="BJ51" i="2"/>
  <c r="BL50" i="2"/>
  <c r="BJ50" i="2"/>
  <c r="BL49" i="2"/>
  <c r="BJ49" i="2"/>
  <c r="BL48" i="2"/>
  <c r="BJ48" i="2"/>
  <c r="BL47" i="2"/>
  <c r="BJ47" i="2"/>
  <c r="BL46" i="2"/>
  <c r="BJ46" i="2"/>
  <c r="BL45" i="2"/>
  <c r="BJ45" i="2"/>
  <c r="BL44" i="2"/>
  <c r="BJ44" i="2"/>
  <c r="BL43" i="2"/>
  <c r="BJ43" i="2"/>
  <c r="BL42" i="2"/>
  <c r="BJ42" i="2"/>
  <c r="BJ12" i="2"/>
  <c r="BL12" i="2"/>
  <c r="BJ13" i="2"/>
  <c r="BL13" i="2"/>
  <c r="BJ14" i="2"/>
  <c r="BL14" i="2"/>
  <c r="BL11" i="2"/>
  <c r="BJ11" i="2"/>
  <c r="AY54" i="2"/>
  <c r="AZ54" i="2"/>
  <c r="BA54" i="2"/>
  <c r="DB54" i="2" s="1"/>
  <c r="AY55" i="2"/>
  <c r="AZ55" i="2"/>
  <c r="BA55" i="2"/>
  <c r="DB55" i="2" s="1"/>
  <c r="AY56" i="2"/>
  <c r="AZ56" i="2"/>
  <c r="BA56" i="2"/>
  <c r="DB56" i="2" s="1"/>
  <c r="AY57" i="2"/>
  <c r="AZ57" i="2"/>
  <c r="BA57" i="2"/>
  <c r="DB57" i="2" s="1"/>
  <c r="AY58" i="2"/>
  <c r="AZ58" i="2"/>
  <c r="BA58" i="2"/>
  <c r="DB58" i="2" s="1"/>
  <c r="AY59" i="2"/>
  <c r="AZ59" i="2"/>
  <c r="BA59" i="2"/>
  <c r="DB59" i="2" s="1"/>
  <c r="AY60" i="2"/>
  <c r="AZ60" i="2"/>
  <c r="BA60" i="2"/>
  <c r="DB60" i="2" s="1"/>
  <c r="AY61" i="2"/>
  <c r="AZ61" i="2"/>
  <c r="BA61" i="2"/>
  <c r="DB61" i="2" s="1"/>
  <c r="BA53" i="2"/>
  <c r="DB53" i="2" s="1"/>
  <c r="AZ53" i="2"/>
  <c r="AY53" i="2"/>
  <c r="BA52" i="2"/>
  <c r="DB52" i="2" s="1"/>
  <c r="AZ52" i="2"/>
  <c r="AY52" i="2"/>
  <c r="BA51" i="2"/>
  <c r="DB51" i="2" s="1"/>
  <c r="AZ51" i="2"/>
  <c r="AY51" i="2"/>
  <c r="BA50" i="2"/>
  <c r="DB50" i="2" s="1"/>
  <c r="AZ50" i="2"/>
  <c r="AY50" i="2"/>
  <c r="AZ49" i="2"/>
  <c r="AY49" i="2"/>
  <c r="BA48" i="2"/>
  <c r="DB48" i="2" s="1"/>
  <c r="AZ48" i="2"/>
  <c r="AY48" i="2"/>
  <c r="BA47" i="2"/>
  <c r="DB47" i="2" s="1"/>
  <c r="AZ47" i="2"/>
  <c r="AY47" i="2"/>
  <c r="BA46" i="2"/>
  <c r="DB46" i="2" s="1"/>
  <c r="AZ46" i="2"/>
  <c r="AY46" i="2"/>
  <c r="AZ45" i="2"/>
  <c r="AY45" i="2"/>
  <c r="BA44" i="2"/>
  <c r="DB44" i="2" s="1"/>
  <c r="AZ44" i="2"/>
  <c r="AY44" i="2"/>
  <c r="BA43" i="2"/>
  <c r="DB43" i="2" s="1"/>
  <c r="AZ43" i="2"/>
  <c r="AY43" i="2"/>
  <c r="BA42" i="2"/>
  <c r="DB42" i="2" s="1"/>
  <c r="AZ42" i="2"/>
  <c r="AY42" i="2"/>
  <c r="AZ11" i="2"/>
  <c r="BA11" i="2"/>
  <c r="DB11" i="2" s="1"/>
  <c r="AZ12" i="2"/>
  <c r="BA12" i="2"/>
  <c r="DB12" i="2" s="1"/>
  <c r="AZ13" i="2"/>
  <c r="BA13" i="2"/>
  <c r="DB13" i="2" s="1"/>
  <c r="AZ14" i="2"/>
  <c r="BA14" i="2"/>
  <c r="DB14" i="2" s="1"/>
  <c r="AY12" i="2"/>
  <c r="AY13" i="2"/>
  <c r="AY14" i="2"/>
  <c r="AY11" i="2"/>
  <c r="CE61" i="2"/>
  <c r="CH61" i="2"/>
  <c r="CG61" i="2"/>
  <c r="CF61" i="2"/>
  <c r="CD61" i="2"/>
  <c r="BV61" i="2"/>
  <c r="BQ61" i="2"/>
  <c r="BU61" i="2"/>
  <c r="BT61" i="2"/>
  <c r="BS61" i="2"/>
  <c r="BR61" i="2"/>
  <c r="BP61" i="2"/>
  <c r="BO61" i="2"/>
  <c r="BN61" i="2"/>
  <c r="CE60" i="2"/>
  <c r="CH60" i="2"/>
  <c r="CG60" i="2"/>
  <c r="CF60" i="2"/>
  <c r="CD60" i="2"/>
  <c r="BV60" i="2"/>
  <c r="BQ60" i="2"/>
  <c r="BU60" i="2"/>
  <c r="BT60" i="2"/>
  <c r="BS60" i="2"/>
  <c r="BR60" i="2"/>
  <c r="BP60" i="2"/>
  <c r="BO60" i="2"/>
  <c r="BN60" i="2"/>
  <c r="CE59" i="2"/>
  <c r="CH59" i="2"/>
  <c r="CG59" i="2"/>
  <c r="CF59" i="2"/>
  <c r="CD59" i="2"/>
  <c r="BV59" i="2"/>
  <c r="BQ59" i="2"/>
  <c r="BU59" i="2"/>
  <c r="BT59" i="2"/>
  <c r="BS59" i="2"/>
  <c r="BR59" i="2"/>
  <c r="BP59" i="2"/>
  <c r="BO59" i="2"/>
  <c r="BN59" i="2"/>
  <c r="CE58" i="2"/>
  <c r="CH58" i="2"/>
  <c r="CG58" i="2"/>
  <c r="CF58" i="2"/>
  <c r="CD58" i="2"/>
  <c r="BV58" i="2"/>
  <c r="BQ58" i="2"/>
  <c r="BU58" i="2"/>
  <c r="BT58" i="2"/>
  <c r="BS58" i="2"/>
  <c r="BR58" i="2"/>
  <c r="BP58" i="2"/>
  <c r="BO58" i="2"/>
  <c r="BN58" i="2"/>
  <c r="CE57" i="2"/>
  <c r="CH57" i="2"/>
  <c r="CG57" i="2"/>
  <c r="CF57" i="2"/>
  <c r="CD57" i="2"/>
  <c r="BV57" i="2"/>
  <c r="BQ57" i="2"/>
  <c r="BU57" i="2"/>
  <c r="BT57" i="2"/>
  <c r="BS57" i="2"/>
  <c r="BR57" i="2"/>
  <c r="BP57" i="2"/>
  <c r="BO57" i="2"/>
  <c r="BN57" i="2"/>
  <c r="CE56" i="2"/>
  <c r="CH56" i="2"/>
  <c r="CG56" i="2"/>
  <c r="CF56" i="2"/>
  <c r="CD56" i="2"/>
  <c r="BV56" i="2"/>
  <c r="BQ56" i="2"/>
  <c r="BU56" i="2"/>
  <c r="BT56" i="2"/>
  <c r="BS56" i="2"/>
  <c r="BR56" i="2"/>
  <c r="BP56" i="2"/>
  <c r="BO56" i="2"/>
  <c r="BN56" i="2"/>
  <c r="CE55" i="2"/>
  <c r="CH55" i="2"/>
  <c r="CG55" i="2"/>
  <c r="CF55" i="2"/>
  <c r="CD55" i="2"/>
  <c r="BV55" i="2"/>
  <c r="BQ55" i="2"/>
  <c r="BU55" i="2"/>
  <c r="BT55" i="2"/>
  <c r="BS55" i="2"/>
  <c r="BR55" i="2"/>
  <c r="BP55" i="2"/>
  <c r="BO55" i="2"/>
  <c r="BN55" i="2"/>
  <c r="CE54" i="2"/>
  <c r="CH54" i="2"/>
  <c r="CG54" i="2"/>
  <c r="CF54" i="2"/>
  <c r="CD54" i="2"/>
  <c r="BV54" i="2"/>
  <c r="BQ54" i="2"/>
  <c r="BU54" i="2"/>
  <c r="BT54" i="2"/>
  <c r="BS54" i="2"/>
  <c r="BR54" i="2"/>
  <c r="BP54" i="2"/>
  <c r="BO54" i="2"/>
  <c r="BN54" i="2"/>
  <c r="CE53" i="2"/>
  <c r="CH53" i="2"/>
  <c r="CG53" i="2"/>
  <c r="CF53" i="2"/>
  <c r="CD53" i="2"/>
  <c r="BV53" i="2"/>
  <c r="BQ53" i="2"/>
  <c r="BU53" i="2"/>
  <c r="BT53" i="2"/>
  <c r="BS53" i="2"/>
  <c r="BR53" i="2"/>
  <c r="BP53" i="2"/>
  <c r="BO53" i="2"/>
  <c r="BN53" i="2"/>
  <c r="CE52" i="2"/>
  <c r="CH52" i="2"/>
  <c r="CG52" i="2"/>
  <c r="CF52" i="2"/>
  <c r="CD52" i="2"/>
  <c r="BV52" i="2"/>
  <c r="BQ52" i="2"/>
  <c r="BU52" i="2"/>
  <c r="BT52" i="2"/>
  <c r="BS52" i="2"/>
  <c r="BR52" i="2"/>
  <c r="BP52" i="2"/>
  <c r="BO52" i="2"/>
  <c r="BN52" i="2"/>
  <c r="CE51" i="2"/>
  <c r="CH51" i="2"/>
  <c r="CG51" i="2"/>
  <c r="CF51" i="2"/>
  <c r="CD51" i="2"/>
  <c r="BV51" i="2"/>
  <c r="BQ51" i="2"/>
  <c r="BU51" i="2"/>
  <c r="BT51" i="2"/>
  <c r="BS51" i="2"/>
  <c r="BR51" i="2"/>
  <c r="BP51" i="2"/>
  <c r="BO51" i="2"/>
  <c r="BN51" i="2"/>
  <c r="CE50" i="2"/>
  <c r="CH50" i="2"/>
  <c r="CG50" i="2"/>
  <c r="CF50" i="2"/>
  <c r="CD50" i="2"/>
  <c r="BV50" i="2"/>
  <c r="BQ50" i="2"/>
  <c r="BU50" i="2"/>
  <c r="BT50" i="2"/>
  <c r="BS50" i="2"/>
  <c r="BR50" i="2"/>
  <c r="BP50" i="2"/>
  <c r="BO50" i="2"/>
  <c r="BN50" i="2"/>
  <c r="CE49" i="2"/>
  <c r="CH49" i="2"/>
  <c r="CG49" i="2"/>
  <c r="CF49" i="2"/>
  <c r="CD49" i="2"/>
  <c r="BV49" i="2"/>
  <c r="BQ49" i="2"/>
  <c r="BU49" i="2"/>
  <c r="BT49" i="2"/>
  <c r="BS49" i="2"/>
  <c r="BR49" i="2"/>
  <c r="BP49" i="2"/>
  <c r="BO49" i="2"/>
  <c r="BN49" i="2"/>
  <c r="CE48" i="2"/>
  <c r="CH48" i="2"/>
  <c r="CG48" i="2"/>
  <c r="CF48" i="2"/>
  <c r="CD48" i="2"/>
  <c r="BV48" i="2"/>
  <c r="BQ48" i="2"/>
  <c r="BU48" i="2"/>
  <c r="BT48" i="2"/>
  <c r="BS48" i="2"/>
  <c r="BR48" i="2"/>
  <c r="BP48" i="2"/>
  <c r="BO48" i="2"/>
  <c r="BN48" i="2"/>
  <c r="CE47" i="2"/>
  <c r="CH47" i="2"/>
  <c r="CG47" i="2"/>
  <c r="CF47" i="2"/>
  <c r="CD47" i="2"/>
  <c r="BV47" i="2"/>
  <c r="BQ47" i="2"/>
  <c r="BU47" i="2"/>
  <c r="BT47" i="2"/>
  <c r="BS47" i="2"/>
  <c r="BR47" i="2"/>
  <c r="BP47" i="2"/>
  <c r="BO47" i="2"/>
  <c r="BN47" i="2"/>
  <c r="CE46" i="2"/>
  <c r="CH46" i="2"/>
  <c r="CG46" i="2"/>
  <c r="CF46" i="2"/>
  <c r="CD46" i="2"/>
  <c r="BV46" i="2"/>
  <c r="BQ46" i="2"/>
  <c r="BU46" i="2"/>
  <c r="BT46" i="2"/>
  <c r="BS46" i="2"/>
  <c r="BR46" i="2"/>
  <c r="BP46" i="2"/>
  <c r="BO46" i="2"/>
  <c r="BN46" i="2"/>
  <c r="CE45" i="2"/>
  <c r="CH45" i="2"/>
  <c r="CG45" i="2"/>
  <c r="CF45" i="2"/>
  <c r="CD45" i="2"/>
  <c r="BV45" i="2"/>
  <c r="BQ45" i="2"/>
  <c r="BU45" i="2"/>
  <c r="BT45" i="2"/>
  <c r="BS45" i="2"/>
  <c r="BR45" i="2"/>
  <c r="BP45" i="2"/>
  <c r="BO45" i="2"/>
  <c r="BN45" i="2"/>
  <c r="CE44" i="2"/>
  <c r="CH44" i="2"/>
  <c r="CG44" i="2"/>
  <c r="CF44" i="2"/>
  <c r="CD44" i="2"/>
  <c r="BV44" i="2"/>
  <c r="BQ44" i="2"/>
  <c r="BU44" i="2"/>
  <c r="BT44" i="2"/>
  <c r="BS44" i="2"/>
  <c r="BR44" i="2"/>
  <c r="BP44" i="2"/>
  <c r="BO44" i="2"/>
  <c r="BN44" i="2"/>
  <c r="CE43" i="2"/>
  <c r="CH43" i="2"/>
  <c r="CG43" i="2"/>
  <c r="CF43" i="2"/>
  <c r="CD43" i="2"/>
  <c r="BV43" i="2"/>
  <c r="BQ43" i="2"/>
  <c r="BU43" i="2"/>
  <c r="BT43" i="2"/>
  <c r="BS43" i="2"/>
  <c r="BR43" i="2"/>
  <c r="BP43" i="2"/>
  <c r="BO43" i="2"/>
  <c r="BN43" i="2"/>
  <c r="CE42" i="2"/>
  <c r="CH42" i="2"/>
  <c r="CG42" i="2"/>
  <c r="CF42" i="2"/>
  <c r="CD42" i="2"/>
  <c r="BV42" i="2"/>
  <c r="BQ42" i="2"/>
  <c r="BU42" i="2"/>
  <c r="BT42" i="2"/>
  <c r="BS42" i="2"/>
  <c r="BR42" i="2"/>
  <c r="BP42" i="2"/>
  <c r="BO42" i="2"/>
  <c r="BN42" i="2"/>
  <c r="CE14" i="2"/>
  <c r="CH14" i="2"/>
  <c r="CG14" i="2"/>
  <c r="CF14" i="2"/>
  <c r="CD14" i="2"/>
  <c r="BV14" i="2"/>
  <c r="BQ14" i="2"/>
  <c r="BU14" i="2"/>
  <c r="BT14" i="2"/>
  <c r="BS14" i="2"/>
  <c r="BR14" i="2"/>
  <c r="BP14" i="2"/>
  <c r="BO14" i="2"/>
  <c r="BN14" i="2"/>
  <c r="CE13" i="2"/>
  <c r="CH13" i="2"/>
  <c r="CG13" i="2"/>
  <c r="CF13" i="2"/>
  <c r="CD13" i="2"/>
  <c r="BV13" i="2"/>
  <c r="BQ13" i="2"/>
  <c r="BU13" i="2"/>
  <c r="BT13" i="2"/>
  <c r="BS13" i="2"/>
  <c r="BR13" i="2"/>
  <c r="BP13" i="2"/>
  <c r="BO13" i="2"/>
  <c r="BN13" i="2"/>
  <c r="CE12" i="2"/>
  <c r="CH12" i="2"/>
  <c r="CG12" i="2"/>
  <c r="CF12" i="2"/>
  <c r="CD12" i="2"/>
  <c r="BV12" i="2"/>
  <c r="BQ12" i="2"/>
  <c r="BU12" i="2"/>
  <c r="BT12" i="2"/>
  <c r="BS12" i="2"/>
  <c r="BR12" i="2"/>
  <c r="BP12" i="2"/>
  <c r="BO12" i="2"/>
  <c r="BN12" i="2"/>
  <c r="CE11" i="2"/>
  <c r="CH11" i="2"/>
  <c r="CG11" i="2"/>
  <c r="CF11" i="2"/>
  <c r="CD11" i="2"/>
  <c r="BV11" i="2"/>
  <c r="BQ11" i="2"/>
  <c r="BU11" i="2"/>
  <c r="BT11" i="2"/>
  <c r="BS11" i="2"/>
  <c r="BR11" i="2"/>
  <c r="BP11" i="2"/>
  <c r="BO11" i="2"/>
  <c r="BN11" i="2"/>
  <c r="EA54" i="2" l="1"/>
  <c r="EA55" i="2"/>
  <c r="EA56" i="2"/>
  <c r="EA57" i="2"/>
  <c r="EA58" i="2"/>
  <c r="EA59" i="2"/>
  <c r="EA60" i="2"/>
  <c r="EA61" i="2"/>
  <c r="EA53" i="2"/>
  <c r="EA52" i="2"/>
  <c r="EA51" i="2"/>
  <c r="EA50" i="2"/>
  <c r="EA49" i="2"/>
  <c r="EA48" i="2"/>
  <c r="EA47" i="2"/>
  <c r="EA46" i="2"/>
  <c r="EA45" i="2"/>
  <c r="EA44" i="2"/>
  <c r="EA43" i="2"/>
  <c r="EA42" i="2"/>
  <c r="EA41" i="2"/>
  <c r="EA40" i="2"/>
  <c r="EA39" i="2"/>
  <c r="EA38" i="2"/>
  <c r="EA26" i="2"/>
  <c r="EA24" i="2"/>
  <c r="EA23" i="2"/>
  <c r="EA22" i="2"/>
  <c r="EA21" i="2"/>
  <c r="EA20" i="2"/>
  <c r="EA19" i="2"/>
  <c r="FQ42" i="2"/>
  <c r="FR42" i="2" s="1"/>
  <c r="DD45" i="2"/>
  <c r="DD53" i="2"/>
  <c r="DJ53" i="2" s="1"/>
  <c r="DD61" i="2"/>
  <c r="DJ61" i="2" s="1"/>
  <c r="DD47" i="2"/>
  <c r="DJ47" i="2" s="1"/>
  <c r="DD55" i="2"/>
  <c r="DJ55" i="2" s="1"/>
  <c r="DD39" i="2"/>
  <c r="DD43" i="2"/>
  <c r="DJ43" i="2" s="1"/>
  <c r="DD48" i="2"/>
  <c r="DJ48" i="2" s="1"/>
  <c r="DD51" i="2"/>
  <c r="DJ51" i="2" s="1"/>
  <c r="DD56" i="2"/>
  <c r="DJ56" i="2" s="1"/>
  <c r="DD59" i="2"/>
  <c r="DJ59" i="2" s="1"/>
  <c r="DD58" i="2"/>
  <c r="DJ58" i="2" s="1"/>
  <c r="DD50" i="2"/>
  <c r="DJ50" i="2" s="1"/>
  <c r="DD54" i="2"/>
  <c r="DJ54" i="2" s="1"/>
  <c r="DD38" i="2"/>
  <c r="DD14" i="2"/>
  <c r="DJ14" i="2" s="1"/>
  <c r="DD24" i="2"/>
  <c r="DJ24" i="2" s="1"/>
  <c r="DD16" i="2"/>
  <c r="DJ16" i="2" s="1"/>
  <c r="DD21" i="2"/>
  <c r="DJ21" i="2" s="1"/>
  <c r="DC16" i="2"/>
  <c r="DI16" i="2" s="1"/>
  <c r="DC61" i="2"/>
  <c r="DI61" i="2" s="1"/>
  <c r="DC53" i="2"/>
  <c r="DI53" i="2" s="1"/>
  <c r="DH56" i="2"/>
  <c r="DD11" i="2"/>
  <c r="DJ11" i="2" s="1"/>
  <c r="DD13" i="2"/>
  <c r="DJ13" i="2" s="1"/>
  <c r="DD20" i="2"/>
  <c r="DJ20" i="2" s="1"/>
  <c r="DD49" i="2"/>
  <c r="DD57" i="2"/>
  <c r="DJ57" i="2" s="1"/>
  <c r="DD41" i="2"/>
  <c r="DJ41" i="2" s="1"/>
  <c r="DC20" i="2"/>
  <c r="DC45" i="2"/>
  <c r="DD42" i="2"/>
  <c r="DJ42" i="2" s="1"/>
  <c r="DF43" i="2"/>
  <c r="DL43" i="2" s="1"/>
  <c r="DD46" i="2"/>
  <c r="DJ46" i="2" s="1"/>
  <c r="DH48" i="2"/>
  <c r="DN48" i="2" s="1"/>
  <c r="DF51" i="2"/>
  <c r="DL51" i="2" s="1"/>
  <c r="DD25" i="2"/>
  <c r="DJ25" i="2" s="1"/>
  <c r="DD17" i="2"/>
  <c r="DJ17" i="2" s="1"/>
  <c r="DC49" i="2"/>
  <c r="DC57" i="2"/>
  <c r="DI57" i="2" s="1"/>
  <c r="DF11" i="2"/>
  <c r="DL11" i="2" s="1"/>
  <c r="DD26" i="2"/>
  <c r="DJ26" i="2" s="1"/>
  <c r="DD22" i="2"/>
  <c r="DJ22" i="2" s="1"/>
  <c r="DD18" i="2"/>
  <c r="DJ18" i="2" s="1"/>
  <c r="DD40" i="2"/>
  <c r="DJ40" i="2" s="1"/>
  <c r="DD44" i="2"/>
  <c r="DJ44" i="2" s="1"/>
  <c r="DD52" i="2"/>
  <c r="DJ52" i="2" s="1"/>
  <c r="DD60" i="2"/>
  <c r="DJ60" i="2" s="1"/>
  <c r="DD12" i="2"/>
  <c r="DJ12" i="2" s="1"/>
  <c r="DD23" i="2"/>
  <c r="DJ23" i="2" s="1"/>
  <c r="DD19" i="2"/>
  <c r="DJ19" i="2" s="1"/>
  <c r="DD15" i="2"/>
  <c r="DJ15" i="2" s="1"/>
  <c r="DC39" i="2"/>
  <c r="DI39" i="2" s="1"/>
  <c r="DC47" i="2"/>
  <c r="DI47" i="2" s="1"/>
  <c r="DC55" i="2"/>
  <c r="DI55" i="2" s="1"/>
  <c r="DF59" i="2"/>
  <c r="DL59" i="2" s="1"/>
  <c r="DM60" i="2"/>
  <c r="FC60" i="2" s="1"/>
  <c r="BK46" i="2"/>
  <c r="CK46" i="2" s="1"/>
  <c r="DN13" i="2"/>
  <c r="BI26" i="2"/>
  <c r="BX26" i="2" s="1"/>
  <c r="BH57" i="2"/>
  <c r="CI57" i="2" s="1"/>
  <c r="DK55" i="2"/>
  <c r="FQ55" i="2" s="1"/>
  <c r="DI23" i="2"/>
  <c r="DJ39" i="2"/>
  <c r="DM56" i="2"/>
  <c r="BH17" i="2"/>
  <c r="BW17" i="2" s="1"/>
  <c r="DL41" i="2"/>
  <c r="DM40" i="2"/>
  <c r="DI41" i="2"/>
  <c r="BM58" i="2"/>
  <c r="CM58" i="2" s="1"/>
  <c r="DK21" i="2"/>
  <c r="FQ21" i="2" s="1"/>
  <c r="BK40" i="2"/>
  <c r="CK40" i="2" s="1"/>
  <c r="DN18" i="2"/>
  <c r="DM18" i="2"/>
  <c r="DN58" i="2"/>
  <c r="BK44" i="2"/>
  <c r="BZ44" i="2" s="1"/>
  <c r="DM25" i="2"/>
  <c r="DL17" i="2"/>
  <c r="DM22" i="2"/>
  <c r="DM17" i="2"/>
  <c r="DK46" i="2"/>
  <c r="FQ46" i="2" s="1"/>
  <c r="DK47" i="2"/>
  <c r="FQ47" i="2" s="1"/>
  <c r="BM54" i="2"/>
  <c r="CM54" i="2" s="1"/>
  <c r="DN26" i="2"/>
  <c r="DN40" i="2"/>
  <c r="DM51" i="2"/>
  <c r="DM61" i="2"/>
  <c r="BM55" i="2"/>
  <c r="CM55" i="2" s="1"/>
  <c r="DL14" i="2"/>
  <c r="DM43" i="2"/>
  <c r="DL61" i="2"/>
  <c r="DL54" i="2"/>
  <c r="DL56" i="2"/>
  <c r="BH39" i="2"/>
  <c r="CI39" i="2" s="1"/>
  <c r="DM26" i="2"/>
  <c r="DL21" i="2"/>
  <c r="DK39" i="2"/>
  <c r="FQ39" i="2" s="1"/>
  <c r="DL58" i="2"/>
  <c r="DK56" i="2"/>
  <c r="FQ56" i="2" s="1"/>
  <c r="DK17" i="2"/>
  <c r="FQ17" i="2" s="1"/>
  <c r="FR17" i="2" s="1"/>
  <c r="DI46" i="2"/>
  <c r="DL39" i="2"/>
  <c r="DL60" i="2"/>
  <c r="CL22" i="2"/>
  <c r="DN52" i="2"/>
  <c r="BM59" i="2"/>
  <c r="CB59" i="2" s="1"/>
  <c r="DM21" i="2"/>
  <c r="DK16" i="2"/>
  <c r="FQ16" i="2" s="1"/>
  <c r="FR16" i="2" s="1"/>
  <c r="DI59" i="2"/>
  <c r="DL18" i="2"/>
  <c r="DM39" i="2"/>
  <c r="DL53" i="2"/>
  <c r="DK60" i="2"/>
  <c r="FQ60" i="2" s="1"/>
  <c r="DN57" i="2"/>
  <c r="DK25" i="2"/>
  <c r="FQ25" i="2" s="1"/>
  <c r="FR25" i="2" s="1"/>
  <c r="DL25" i="2"/>
  <c r="DM48" i="2"/>
  <c r="DK51" i="2"/>
  <c r="FQ51" i="2" s="1"/>
  <c r="DL47" i="2"/>
  <c r="DN19" i="2"/>
  <c r="DN11" i="2"/>
  <c r="DN22" i="2"/>
  <c r="DK43" i="2"/>
  <c r="FQ43" i="2" s="1"/>
  <c r="DN61" i="2"/>
  <c r="DL57" i="2"/>
  <c r="DK11" i="2"/>
  <c r="FQ11" i="2" s="1"/>
  <c r="FR11" i="2" s="1"/>
  <c r="DM11" i="2"/>
  <c r="DI54" i="2"/>
  <c r="DK54" i="2"/>
  <c r="FQ54" i="2" s="1"/>
  <c r="FR54" i="2" s="1"/>
  <c r="DM54" i="2"/>
  <c r="DN54" i="2"/>
  <c r="DL44" i="2"/>
  <c r="DK44" i="2"/>
  <c r="FQ44" i="2" s="1"/>
  <c r="FR44" i="2" s="1"/>
  <c r="BM38" i="2"/>
  <c r="CM38" i="2" s="1"/>
  <c r="DN38" i="2"/>
  <c r="BH41" i="2"/>
  <c r="CI41" i="2" s="1"/>
  <c r="BM42" i="2"/>
  <c r="CM42" i="2" s="1"/>
  <c r="DN42" i="2"/>
  <c r="BH45" i="2"/>
  <c r="CI45" i="2" s="1"/>
  <c r="BM46" i="2"/>
  <c r="CB46" i="2" s="1"/>
  <c r="DN46" i="2"/>
  <c r="BH49" i="2"/>
  <c r="CI49" i="2" s="1"/>
  <c r="BM50" i="2"/>
  <c r="CM50" i="2" s="1"/>
  <c r="DN50" i="2"/>
  <c r="BH53" i="2"/>
  <c r="BW53" i="2" s="1"/>
  <c r="BK60" i="2"/>
  <c r="BZ60" i="2" s="1"/>
  <c r="BK56" i="2"/>
  <c r="BZ56" i="2" s="1"/>
  <c r="DL26" i="2"/>
  <c r="DM57" i="2"/>
  <c r="DM38" i="2"/>
  <c r="DK38" i="2"/>
  <c r="FQ38" i="2" s="1"/>
  <c r="BH18" i="2"/>
  <c r="BW18" i="2" s="1"/>
  <c r="DN15" i="2"/>
  <c r="BK50" i="2"/>
  <c r="CK50" i="2" s="1"/>
  <c r="DL50" i="2"/>
  <c r="DM42" i="2"/>
  <c r="DK42" i="2"/>
  <c r="DK20" i="2"/>
  <c r="FQ20" i="2" s="1"/>
  <c r="DM20" i="2"/>
  <c r="DK15" i="2"/>
  <c r="FQ15" i="2" s="1"/>
  <c r="FR15" i="2" s="1"/>
  <c r="DM15" i="2"/>
  <c r="BK12" i="2"/>
  <c r="BZ12" i="2" s="1"/>
  <c r="DL12" i="2"/>
  <c r="BK23" i="2"/>
  <c r="BZ23" i="2" s="1"/>
  <c r="DL23" i="2"/>
  <c r="BK19" i="2"/>
  <c r="CK19" i="2" s="1"/>
  <c r="DL19" i="2"/>
  <c r="BK15" i="2"/>
  <c r="CK15" i="2" s="1"/>
  <c r="DL15" i="2"/>
  <c r="DI42" i="2"/>
  <c r="DJ38" i="2"/>
  <c r="DK24" i="2"/>
  <c r="FQ24" i="2" s="1"/>
  <c r="DM24" i="2"/>
  <c r="DN24" i="2"/>
  <c r="DK52" i="2"/>
  <c r="FQ52" i="2" s="1"/>
  <c r="FR52" i="2" s="1"/>
  <c r="BM43" i="2"/>
  <c r="CB43" i="2" s="1"/>
  <c r="DN43" i="2"/>
  <c r="BM47" i="2"/>
  <c r="CM47" i="2" s="1"/>
  <c r="DN47" i="2"/>
  <c r="BM51" i="2"/>
  <c r="CM51" i="2" s="1"/>
  <c r="DN51" i="2"/>
  <c r="BK38" i="2"/>
  <c r="CK38" i="2" s="1"/>
  <c r="DL38" i="2"/>
  <c r="BK42" i="2"/>
  <c r="BZ42" i="2" s="1"/>
  <c r="DL42" i="2"/>
  <c r="DM14" i="2"/>
  <c r="DM50" i="2"/>
  <c r="DK50" i="2"/>
  <c r="FQ50" i="2" s="1"/>
  <c r="FR50" i="2" s="1"/>
  <c r="DL40" i="2"/>
  <c r="DK40" i="2"/>
  <c r="FQ40" i="2" s="1"/>
  <c r="FR40" i="2" s="1"/>
  <c r="DI58" i="2"/>
  <c r="BH22" i="2"/>
  <c r="BW22" i="2" s="1"/>
  <c r="DN12" i="2"/>
  <c r="DN23" i="2"/>
  <c r="DM44" i="2"/>
  <c r="DI50" i="2"/>
  <c r="DK57" i="2"/>
  <c r="FQ57" i="2" s="1"/>
  <c r="FR57" i="2" s="1"/>
  <c r="BK59" i="2"/>
  <c r="CK59" i="2" s="1"/>
  <c r="DL55" i="2"/>
  <c r="BK55" i="2"/>
  <c r="CK55" i="2" s="1"/>
  <c r="DM52" i="2"/>
  <c r="DM47" i="2"/>
  <c r="DK59" i="2"/>
  <c r="FQ59" i="2" s="1"/>
  <c r="FR59" i="2" s="1"/>
  <c r="DM59" i="2"/>
  <c r="DN59" i="2"/>
  <c r="DK13" i="2"/>
  <c r="FQ13" i="2" s="1"/>
  <c r="FR13" i="2" s="1"/>
  <c r="DM13" i="2"/>
  <c r="DK61" i="2"/>
  <c r="FQ61" i="2" s="1"/>
  <c r="FR61" i="2" s="1"/>
  <c r="DK22" i="2"/>
  <c r="FQ22" i="2" s="1"/>
  <c r="FR22" i="2" s="1"/>
  <c r="DL22" i="2"/>
  <c r="DI38" i="2"/>
  <c r="DK14" i="2"/>
  <c r="FQ14" i="2" s="1"/>
  <c r="FR14" i="2" s="1"/>
  <c r="DN44" i="2"/>
  <c r="BY23" i="2"/>
  <c r="DI60" i="2"/>
  <c r="DI56" i="2"/>
  <c r="DM12" i="2"/>
  <c r="DK26" i="2"/>
  <c r="FQ26" i="2" s="1"/>
  <c r="FR26" i="2" s="1"/>
  <c r="DM23" i="2"/>
  <c r="DI21" i="2"/>
  <c r="DM19" i="2"/>
  <c r="DK18" i="2"/>
  <c r="FQ18" i="2" s="1"/>
  <c r="FR18" i="2" s="1"/>
  <c r="DI17" i="2"/>
  <c r="DN39" i="2"/>
  <c r="DL46" i="2"/>
  <c r="DM58" i="2"/>
  <c r="DN20" i="2"/>
  <c r="DN16" i="2"/>
  <c r="DI40" i="2"/>
  <c r="DI44" i="2"/>
  <c r="DI48" i="2"/>
  <c r="DI52" i="2"/>
  <c r="DK41" i="2"/>
  <c r="FQ41" i="2" s="1"/>
  <c r="FR41" i="2" s="1"/>
  <c r="DM46" i="2"/>
  <c r="DK53" i="2"/>
  <c r="FQ53" i="2" s="1"/>
  <c r="FR53" i="2" s="1"/>
  <c r="DN55" i="2"/>
  <c r="DK12" i="2"/>
  <c r="FQ12" i="2" s="1"/>
  <c r="FR12" i="2" s="1"/>
  <c r="DK23" i="2"/>
  <c r="FQ23" i="2" s="1"/>
  <c r="FR23" i="2" s="1"/>
  <c r="DK19" i="2"/>
  <c r="FQ19" i="2" s="1"/>
  <c r="FR19" i="2" s="1"/>
  <c r="DM16" i="2"/>
  <c r="DK58" i="2"/>
  <c r="FQ58" i="2" s="1"/>
  <c r="FR58" i="2" s="1"/>
  <c r="DM55" i="2"/>
  <c r="DN14" i="2"/>
  <c r="DL13" i="2"/>
  <c r="DN25" i="2"/>
  <c r="DL24" i="2"/>
  <c r="DN21" i="2"/>
  <c r="DL20" i="2"/>
  <c r="DN17" i="2"/>
  <c r="DL16" i="2"/>
  <c r="DI43" i="2"/>
  <c r="DI51" i="2"/>
  <c r="DM41" i="2"/>
  <c r="DK48" i="2"/>
  <c r="FQ48" i="2" s="1"/>
  <c r="FR48" i="2" s="1"/>
  <c r="DM53" i="2"/>
  <c r="DN60" i="2"/>
  <c r="DN56" i="2"/>
  <c r="CL23" i="2"/>
  <c r="DN41" i="2"/>
  <c r="DL48" i="2"/>
  <c r="DL52" i="2"/>
  <c r="DN53" i="2"/>
  <c r="CL19" i="2"/>
  <c r="CL21" i="2"/>
  <c r="BI23" i="2"/>
  <c r="CJ23" i="2" s="1"/>
  <c r="BI24" i="2"/>
  <c r="BX24" i="2" s="1"/>
  <c r="CK20" i="2"/>
  <c r="CK16" i="2"/>
  <c r="CL26" i="2"/>
  <c r="BH23" i="2"/>
  <c r="CI23" i="2" s="1"/>
  <c r="BY16" i="2"/>
  <c r="CK25" i="2"/>
  <c r="BY19" i="2"/>
  <c r="CM23" i="2"/>
  <c r="CA22" i="2"/>
  <c r="CK17" i="2"/>
  <c r="CL15" i="2"/>
  <c r="CK41" i="2"/>
  <c r="BI16" i="2"/>
  <c r="BX16" i="2" s="1"/>
  <c r="CA23" i="2"/>
  <c r="BZ20" i="2"/>
  <c r="CL17" i="2"/>
  <c r="CM26" i="2"/>
  <c r="BI21" i="2"/>
  <c r="CJ21" i="2" s="1"/>
  <c r="BI17" i="2"/>
  <c r="CJ17" i="2" s="1"/>
  <c r="BY25" i="2"/>
  <c r="BY24" i="2"/>
  <c r="CL16" i="2"/>
  <c r="BH16" i="2"/>
  <c r="CI16" i="2" s="1"/>
  <c r="BY15" i="2"/>
  <c r="CA41" i="2"/>
  <c r="CA39" i="2"/>
  <c r="CL25" i="2"/>
  <c r="BY41" i="2"/>
  <c r="BI39" i="2"/>
  <c r="BX39" i="2" s="1"/>
  <c r="CM21" i="2"/>
  <c r="CM17" i="2"/>
  <c r="BZ25" i="2"/>
  <c r="CL20" i="2"/>
  <c r="BZ16" i="2"/>
  <c r="CA21" i="2"/>
  <c r="CB40" i="2"/>
  <c r="CK21" i="2"/>
  <c r="CA38" i="2"/>
  <c r="CM22" i="2"/>
  <c r="BY22" i="2"/>
  <c r="CI26" i="2"/>
  <c r="CI20" i="2"/>
  <c r="BZ18" i="2"/>
  <c r="CA15" i="2"/>
  <c r="BY38" i="2"/>
  <c r="BI22" i="2"/>
  <c r="CJ22" i="2" s="1"/>
  <c r="BY21" i="2"/>
  <c r="CA20" i="2"/>
  <c r="BY18" i="2"/>
  <c r="CL40" i="2"/>
  <c r="BY39" i="2"/>
  <c r="CM41" i="2"/>
  <c r="CL24" i="2"/>
  <c r="CL18" i="2"/>
  <c r="CM15" i="2"/>
  <c r="BK22" i="2"/>
  <c r="BZ22" i="2" s="1"/>
  <c r="CM20" i="2"/>
  <c r="CL41" i="2"/>
  <c r="BY40" i="2"/>
  <c r="BI41" i="2"/>
  <c r="CJ41" i="2" s="1"/>
  <c r="BZ39" i="2"/>
  <c r="BI40" i="2"/>
  <c r="CJ40" i="2" s="1"/>
  <c r="CM40" i="2"/>
  <c r="CK39" i="2"/>
  <c r="BM39" i="2"/>
  <c r="CB39" i="2" s="1"/>
  <c r="CK26" i="2"/>
  <c r="CB21" i="2"/>
  <c r="CK24" i="2"/>
  <c r="BZ24" i="2"/>
  <c r="BZ21" i="2"/>
  <c r="CM18" i="2"/>
  <c r="CB18" i="2"/>
  <c r="CK18" i="2"/>
  <c r="BI19" i="2"/>
  <c r="CJ19" i="2" s="1"/>
  <c r="BZ26" i="2"/>
  <c r="BZ17" i="2"/>
  <c r="CI40" i="2"/>
  <c r="BW40" i="2"/>
  <c r="BW38" i="2"/>
  <c r="CI38" i="2"/>
  <c r="CB41" i="2"/>
  <c r="CL38" i="2"/>
  <c r="BZ41" i="2"/>
  <c r="CL39" i="2"/>
  <c r="BI38" i="2"/>
  <c r="CA40" i="2"/>
  <c r="CI25" i="2"/>
  <c r="BW25" i="2"/>
  <c r="BW19" i="2"/>
  <c r="CI19" i="2"/>
  <c r="BW24" i="2"/>
  <c r="CI24" i="2"/>
  <c r="CB16" i="2"/>
  <c r="CM16" i="2"/>
  <c r="BW15" i="2"/>
  <c r="CI15" i="2"/>
  <c r="CB25" i="2"/>
  <c r="CM25" i="2"/>
  <c r="BW20" i="2"/>
  <c r="BY26" i="2"/>
  <c r="BM24" i="2"/>
  <c r="CB23" i="2"/>
  <c r="BH21" i="2"/>
  <c r="BM19" i="2"/>
  <c r="CA18" i="2"/>
  <c r="BY17" i="2"/>
  <c r="BW26" i="2"/>
  <c r="CA24" i="2"/>
  <c r="CB20" i="2"/>
  <c r="CA19" i="2"/>
  <c r="BI18" i="2"/>
  <c r="CB15" i="2"/>
  <c r="CA25" i="2"/>
  <c r="CA16" i="2"/>
  <c r="CB26" i="2"/>
  <c r="BY20" i="2"/>
  <c r="BI20" i="2"/>
  <c r="CB17" i="2"/>
  <c r="BI15" i="2"/>
  <c r="CA26" i="2"/>
  <c r="BI25" i="2"/>
  <c r="CB22" i="2"/>
  <c r="CA17" i="2"/>
  <c r="BI43" i="2"/>
  <c r="CJ43" i="2" s="1"/>
  <c r="BI44" i="2"/>
  <c r="CJ44" i="2" s="1"/>
  <c r="BI47" i="2"/>
  <c r="BX47" i="2" s="1"/>
  <c r="BI48" i="2"/>
  <c r="CJ48" i="2" s="1"/>
  <c r="BI51" i="2"/>
  <c r="CJ51" i="2" s="1"/>
  <c r="BI52" i="2"/>
  <c r="BX52" i="2" s="1"/>
  <c r="BI55" i="2"/>
  <c r="CJ55" i="2" s="1"/>
  <c r="BI56" i="2"/>
  <c r="CJ56" i="2" s="1"/>
  <c r="BI59" i="2"/>
  <c r="CJ59" i="2" s="1"/>
  <c r="BI45" i="2"/>
  <c r="BX45" i="2" s="1"/>
  <c r="BI57" i="2"/>
  <c r="BX57" i="2" s="1"/>
  <c r="BI49" i="2"/>
  <c r="CJ49" i="2" s="1"/>
  <c r="BI60" i="2"/>
  <c r="BX60" i="2" s="1"/>
  <c r="BI61" i="2"/>
  <c r="CJ61" i="2" s="1"/>
  <c r="BI42" i="2"/>
  <c r="CJ42" i="2" s="1"/>
  <c r="BI46" i="2"/>
  <c r="BX46" i="2" s="1"/>
  <c r="BI50" i="2"/>
  <c r="BX50" i="2" s="1"/>
  <c r="BI54" i="2"/>
  <c r="CJ54" i="2" s="1"/>
  <c r="BI58" i="2"/>
  <c r="CJ58" i="2" s="1"/>
  <c r="BI53" i="2"/>
  <c r="CJ53" i="2" s="1"/>
  <c r="BI13" i="2"/>
  <c r="CJ13" i="2" s="1"/>
  <c r="BH42" i="2"/>
  <c r="BW42" i="2" s="1"/>
  <c r="BH46" i="2"/>
  <c r="CI46" i="2" s="1"/>
  <c r="BH50" i="2"/>
  <c r="BW50" i="2" s="1"/>
  <c r="BH54" i="2"/>
  <c r="BW54" i="2" s="1"/>
  <c r="BH58" i="2"/>
  <c r="BW58" i="2" s="1"/>
  <c r="BM44" i="2"/>
  <c r="CM44" i="2" s="1"/>
  <c r="BM48" i="2"/>
  <c r="CM48" i="2" s="1"/>
  <c r="BM52" i="2"/>
  <c r="CM52" i="2" s="1"/>
  <c r="BM56" i="2"/>
  <c r="CB56" i="2" s="1"/>
  <c r="BM60" i="2"/>
  <c r="CM60" i="2" s="1"/>
  <c r="BI14" i="2"/>
  <c r="BX14" i="2" s="1"/>
  <c r="BI11" i="2"/>
  <c r="CJ11" i="2" s="1"/>
  <c r="BI12" i="2"/>
  <c r="BX12" i="2" s="1"/>
  <c r="BH43" i="2"/>
  <c r="CI43" i="2" s="1"/>
  <c r="BH47" i="2"/>
  <c r="CI47" i="2" s="1"/>
  <c r="BH51" i="2"/>
  <c r="BW51" i="2" s="1"/>
  <c r="BH55" i="2"/>
  <c r="BW55" i="2" s="1"/>
  <c r="BH59" i="2"/>
  <c r="BW59" i="2" s="1"/>
  <c r="BY61" i="2"/>
  <c r="CL42" i="2"/>
  <c r="CA55" i="2"/>
  <c r="CB13" i="2"/>
  <c r="CA46" i="2"/>
  <c r="CA58" i="2"/>
  <c r="BY54" i="2"/>
  <c r="BY12" i="2"/>
  <c r="BY49" i="2"/>
  <c r="BY11" i="2"/>
  <c r="CA50" i="2"/>
  <c r="BY57" i="2"/>
  <c r="BY53" i="2"/>
  <c r="CA54" i="2"/>
  <c r="BY55" i="2"/>
  <c r="BW14" i="2"/>
  <c r="CA42" i="2"/>
  <c r="BY45" i="2"/>
  <c r="CL13" i="2"/>
  <c r="CA13" i="2"/>
  <c r="BW12" i="2"/>
  <c r="BW44" i="2"/>
  <c r="BZ45" i="2"/>
  <c r="BW48" i="2"/>
  <c r="BZ49" i="2"/>
  <c r="BW52" i="2"/>
  <c r="BZ53" i="2"/>
  <c r="BW56" i="2"/>
  <c r="BZ57" i="2"/>
  <c r="BW60" i="2"/>
  <c r="BZ61" i="2"/>
  <c r="CK47" i="2"/>
  <c r="CK57" i="2"/>
  <c r="CB14" i="2"/>
  <c r="BZ13" i="2"/>
  <c r="BY44" i="2"/>
  <c r="CA45" i="2"/>
  <c r="BY48" i="2"/>
  <c r="CA49" i="2"/>
  <c r="BY52" i="2"/>
  <c r="CA53" i="2"/>
  <c r="BY56" i="2"/>
  <c r="CA57" i="2"/>
  <c r="BY60" i="2"/>
  <c r="CA61" i="2"/>
  <c r="CA14" i="2"/>
  <c r="BY13" i="2"/>
  <c r="CB45" i="2"/>
  <c r="BZ48" i="2"/>
  <c r="CB49" i="2"/>
  <c r="BZ52" i="2"/>
  <c r="CB53" i="2"/>
  <c r="CB57" i="2"/>
  <c r="CB61" i="2"/>
  <c r="CI44" i="2"/>
  <c r="CI60" i="2"/>
  <c r="BW11" i="2"/>
  <c r="BZ14" i="2"/>
  <c r="BW13" i="2"/>
  <c r="BY43" i="2"/>
  <c r="CA44" i="2"/>
  <c r="BY47" i="2"/>
  <c r="CA48" i="2"/>
  <c r="BY51" i="2"/>
  <c r="CA52" i="2"/>
  <c r="CA56" i="2"/>
  <c r="BY59" i="2"/>
  <c r="CA60" i="2"/>
  <c r="CB11" i="2"/>
  <c r="BY14" i="2"/>
  <c r="CB12" i="2"/>
  <c r="BZ43" i="2"/>
  <c r="BZ47" i="2"/>
  <c r="BZ51" i="2"/>
  <c r="CA11" i="2"/>
  <c r="CA12" i="2"/>
  <c r="BY42" i="2"/>
  <c r="CA43" i="2"/>
  <c r="BY46" i="2"/>
  <c r="CA47" i="2"/>
  <c r="BY50" i="2"/>
  <c r="CA51" i="2"/>
  <c r="BY58" i="2"/>
  <c r="CA59" i="2"/>
  <c r="CL58" i="2"/>
  <c r="BZ11" i="2"/>
  <c r="BZ54" i="2"/>
  <c r="BZ58" i="2"/>
  <c r="BW61" i="2"/>
  <c r="CM14" i="2"/>
  <c r="CM12" i="2"/>
  <c r="CL56" i="2"/>
  <c r="CK43" i="2"/>
  <c r="CK45" i="2"/>
  <c r="CK51" i="2"/>
  <c r="CK11" i="2"/>
  <c r="CK13" i="2"/>
  <c r="CL43" i="2"/>
  <c r="CL45" i="2"/>
  <c r="CM45" i="2"/>
  <c r="CM53" i="2"/>
  <c r="CL59" i="2"/>
  <c r="CI12" i="2"/>
  <c r="CL47" i="2"/>
  <c r="CK49" i="2"/>
  <c r="CL46" i="2"/>
  <c r="CL51" i="2"/>
  <c r="CK53" i="2"/>
  <c r="CI52" i="2"/>
  <c r="CI61" i="2"/>
  <c r="CL52" i="2"/>
  <c r="CM57" i="2"/>
  <c r="CI11" i="2"/>
  <c r="CK52" i="2"/>
  <c r="CI13" i="2"/>
  <c r="CL53" i="2"/>
  <c r="CK58" i="2"/>
  <c r="CL48" i="2"/>
  <c r="CK14" i="2"/>
  <c r="CK54" i="2"/>
  <c r="CL11" i="2"/>
  <c r="CM11" i="2"/>
  <c r="CI14" i="2"/>
  <c r="CL12" i="2"/>
  <c r="CM61" i="2"/>
  <c r="CL54" i="2"/>
  <c r="CI56" i="2"/>
  <c r="CK48" i="2"/>
  <c r="CM13" i="2"/>
  <c r="CL50" i="2"/>
  <c r="CL60" i="2"/>
  <c r="CL14" i="2"/>
  <c r="CL49" i="2"/>
  <c r="CL57" i="2"/>
  <c r="CL44" i="2"/>
  <c r="CI48" i="2"/>
  <c r="CM49" i="2"/>
  <c r="CL55" i="2"/>
  <c r="CK61" i="2"/>
  <c r="CL61" i="2"/>
  <c r="FR55" i="2" l="1"/>
  <c r="FR21" i="2"/>
  <c r="FR46" i="2"/>
  <c r="FR47" i="2"/>
  <c r="FR39" i="2"/>
  <c r="FR56" i="2"/>
  <c r="FR60" i="2"/>
  <c r="FR51" i="2"/>
  <c r="FR43" i="2"/>
  <c r="FR38" i="2"/>
  <c r="FR20" i="2"/>
  <c r="FR24" i="2"/>
  <c r="FS54" i="2"/>
  <c r="FS38" i="2"/>
  <c r="FS50" i="2"/>
  <c r="FS58" i="2"/>
  <c r="FS19" i="2"/>
  <c r="FS23" i="2"/>
  <c r="EZ25" i="2"/>
  <c r="EI25" i="2"/>
  <c r="FS15" i="2"/>
  <c r="EC16" i="2"/>
  <c r="EZ16" i="2"/>
  <c r="EE59" i="2"/>
  <c r="FB59" i="2"/>
  <c r="EF41" i="2"/>
  <c r="FC41" i="2"/>
  <c r="EC54" i="2"/>
  <c r="EZ54" i="2"/>
  <c r="EE46" i="2"/>
  <c r="FB46" i="2"/>
  <c r="EC55" i="2"/>
  <c r="EZ55" i="2"/>
  <c r="EE12" i="2"/>
  <c r="FB12" i="2"/>
  <c r="EE57" i="2"/>
  <c r="FB57" i="2"/>
  <c r="EE39" i="2"/>
  <c r="FB39" i="2"/>
  <c r="EF22" i="2"/>
  <c r="FC22" i="2"/>
  <c r="EC43" i="2"/>
  <c r="EZ43" i="2"/>
  <c r="EC46" i="2"/>
  <c r="EZ46" i="2"/>
  <c r="EG41" i="2"/>
  <c r="FD41" i="2"/>
  <c r="EC58" i="2"/>
  <c r="EZ58" i="2"/>
  <c r="EG25" i="2"/>
  <c r="FD25" i="2"/>
  <c r="ED12" i="2"/>
  <c r="FA12" i="2"/>
  <c r="EB52" i="2"/>
  <c r="EY52" i="2"/>
  <c r="EG39" i="2"/>
  <c r="FD39" i="2"/>
  <c r="EB56" i="2"/>
  <c r="EY56" i="2"/>
  <c r="ED61" i="2"/>
  <c r="FA61" i="2"/>
  <c r="EG23" i="2"/>
  <c r="FD23" i="2"/>
  <c r="EF14" i="2"/>
  <c r="FC14" i="2"/>
  <c r="EB42" i="2"/>
  <c r="EY42" i="2"/>
  <c r="EE44" i="2"/>
  <c r="FB44" i="2"/>
  <c r="EG61" i="2"/>
  <c r="FD61" i="2"/>
  <c r="EE25" i="2"/>
  <c r="FB25" i="2"/>
  <c r="EB59" i="2"/>
  <c r="EY59" i="2"/>
  <c r="EF51" i="2"/>
  <c r="FC51" i="2"/>
  <c r="EE17" i="2"/>
  <c r="FB17" i="2"/>
  <c r="EC39" i="2"/>
  <c r="EZ39" i="2"/>
  <c r="EC12" i="2"/>
  <c r="EZ12" i="2"/>
  <c r="EE11" i="2"/>
  <c r="FB11" i="2"/>
  <c r="EE43" i="2"/>
  <c r="FB43" i="2"/>
  <c r="EC13" i="2"/>
  <c r="EZ13" i="2"/>
  <c r="EC51" i="2"/>
  <c r="EZ51" i="2"/>
  <c r="ED23" i="2"/>
  <c r="FA23" i="2"/>
  <c r="EF52" i="2"/>
  <c r="FC52" i="2"/>
  <c r="EG47" i="2"/>
  <c r="FD47" i="2"/>
  <c r="EE50" i="2"/>
  <c r="FB50" i="2"/>
  <c r="EE18" i="2"/>
  <c r="FB18" i="2"/>
  <c r="EF61" i="2"/>
  <c r="FC61" i="2"/>
  <c r="EC26" i="2"/>
  <c r="EZ26" i="2"/>
  <c r="EC56" i="2"/>
  <c r="EZ56" i="2"/>
  <c r="EB51" i="2"/>
  <c r="EY51" i="2"/>
  <c r="EE13" i="2"/>
  <c r="FB13" i="2"/>
  <c r="EC48" i="2"/>
  <c r="EZ48" i="2"/>
  <c r="EB48" i="2"/>
  <c r="EY48" i="2"/>
  <c r="EB17" i="2"/>
  <c r="EY17" i="2"/>
  <c r="EB60" i="2"/>
  <c r="EY60" i="2"/>
  <c r="EF13" i="2"/>
  <c r="FC13" i="2"/>
  <c r="EE55" i="2"/>
  <c r="FB55" i="2"/>
  <c r="EG12" i="2"/>
  <c r="FD12" i="2"/>
  <c r="EE42" i="2"/>
  <c r="FB42" i="2"/>
  <c r="EG43" i="2"/>
  <c r="FD43" i="2"/>
  <c r="EE15" i="2"/>
  <c r="FB15" i="2"/>
  <c r="EF15" i="2"/>
  <c r="FC15" i="2"/>
  <c r="EG15" i="2"/>
  <c r="FD15" i="2"/>
  <c r="EB53" i="2"/>
  <c r="EY53" i="2"/>
  <c r="EG54" i="2"/>
  <c r="FD54" i="2"/>
  <c r="ED43" i="2"/>
  <c r="FA43" i="2"/>
  <c r="EC24" i="2"/>
  <c r="EZ24" i="2"/>
  <c r="ED16" i="2"/>
  <c r="FA16" i="2"/>
  <c r="EB46" i="2"/>
  <c r="EY46" i="2"/>
  <c r="EE56" i="2"/>
  <c r="FB56" i="2"/>
  <c r="EG40" i="2"/>
  <c r="FD40" i="2"/>
  <c r="EF25" i="2"/>
  <c r="FC25" i="2"/>
  <c r="EB41" i="2"/>
  <c r="EY41" i="2"/>
  <c r="EB23" i="2"/>
  <c r="EY23" i="2"/>
  <c r="EC60" i="2"/>
  <c r="EZ60" i="2"/>
  <c r="EB57" i="2"/>
  <c r="EY57" i="2"/>
  <c r="EC42" i="2"/>
  <c r="EZ42" i="2"/>
  <c r="EC11" i="2"/>
  <c r="EZ11" i="2"/>
  <c r="EC14" i="2"/>
  <c r="EZ14" i="2"/>
  <c r="EG21" i="2"/>
  <c r="FD21" i="2"/>
  <c r="EF58" i="2"/>
  <c r="FC58" i="2"/>
  <c r="EF47" i="2"/>
  <c r="FC47" i="2"/>
  <c r="ED50" i="2"/>
  <c r="FA50" i="2"/>
  <c r="ED24" i="2"/>
  <c r="FA24" i="2"/>
  <c r="ED51" i="2"/>
  <c r="FA51" i="2"/>
  <c r="EG48" i="2"/>
  <c r="FD48" i="2"/>
  <c r="EE24" i="2"/>
  <c r="FB24" i="2"/>
  <c r="EG56" i="2"/>
  <c r="FD56" i="2"/>
  <c r="EB43" i="2"/>
  <c r="EY43" i="2"/>
  <c r="EG14" i="2"/>
  <c r="FD14" i="2"/>
  <c r="EC40" i="2"/>
  <c r="EZ40" i="2"/>
  <c r="EB44" i="2"/>
  <c r="EY44" i="2"/>
  <c r="ED18" i="2"/>
  <c r="FA18" i="2"/>
  <c r="ED13" i="2"/>
  <c r="FA13" i="2"/>
  <c r="ED15" i="2"/>
  <c r="FA15" i="2"/>
  <c r="EC53" i="2"/>
  <c r="EZ53" i="2"/>
  <c r="EG42" i="2"/>
  <c r="FD42" i="2"/>
  <c r="EF54" i="2"/>
  <c r="FC54" i="2"/>
  <c r="EG22" i="2"/>
  <c r="FD22" i="2"/>
  <c r="ED25" i="2"/>
  <c r="FA25" i="2"/>
  <c r="EF21" i="2"/>
  <c r="FC21" i="2"/>
  <c r="ED17" i="2"/>
  <c r="FA17" i="2"/>
  <c r="EE54" i="2"/>
  <c r="FB54" i="2"/>
  <c r="EG26" i="2"/>
  <c r="FD26" i="2"/>
  <c r="EF40" i="2"/>
  <c r="FC40" i="2"/>
  <c r="ED55" i="2"/>
  <c r="FA55" i="2"/>
  <c r="EB55" i="2"/>
  <c r="EY55" i="2"/>
  <c r="EC52" i="2"/>
  <c r="EZ52" i="2"/>
  <c r="EE48" i="2"/>
  <c r="FB48" i="2"/>
  <c r="ED22" i="2"/>
  <c r="FA22" i="2"/>
  <c r="EF50" i="2"/>
  <c r="FC50" i="2"/>
  <c r="EC38" i="2"/>
  <c r="EZ38" i="2"/>
  <c r="ED44" i="2"/>
  <c r="FA44" i="2"/>
  <c r="EF26" i="2"/>
  <c r="FC26" i="2"/>
  <c r="ED21" i="2"/>
  <c r="FA21" i="2"/>
  <c r="EC23" i="2"/>
  <c r="EZ23" i="2"/>
  <c r="EC20" i="2"/>
  <c r="EZ20" i="2"/>
  <c r="EE16" i="2"/>
  <c r="FB16" i="2"/>
  <c r="EG55" i="2"/>
  <c r="FD55" i="2"/>
  <c r="EB40" i="2"/>
  <c r="EY40" i="2"/>
  <c r="EF19" i="2"/>
  <c r="FC19" i="2"/>
  <c r="EG44" i="2"/>
  <c r="FD44" i="2"/>
  <c r="EG59" i="2"/>
  <c r="FD59" i="2"/>
  <c r="EB58" i="2"/>
  <c r="EY58" i="2"/>
  <c r="EE38" i="2"/>
  <c r="FB38" i="2"/>
  <c r="ED52" i="2"/>
  <c r="FA52" i="2"/>
  <c r="EE19" i="2"/>
  <c r="FB19" i="2"/>
  <c r="EF20" i="2"/>
  <c r="FC20" i="2"/>
  <c r="ED38" i="2"/>
  <c r="FA38" i="2"/>
  <c r="ED54" i="2"/>
  <c r="FA54" i="2"/>
  <c r="EG11" i="2"/>
  <c r="FD11" i="2"/>
  <c r="EG57" i="2"/>
  <c r="FD57" i="2"/>
  <c r="ED56" i="2"/>
  <c r="FA56" i="2"/>
  <c r="EE61" i="2"/>
  <c r="FB61" i="2"/>
  <c r="EG58" i="2"/>
  <c r="FD58" i="2"/>
  <c r="EE41" i="2"/>
  <c r="FB41" i="2"/>
  <c r="EB47" i="2"/>
  <c r="EY47" i="2"/>
  <c r="EC44" i="2"/>
  <c r="EZ44" i="2"/>
  <c r="EC17" i="2"/>
  <c r="EZ17" i="2"/>
  <c r="ED19" i="2"/>
  <c r="FA19" i="2"/>
  <c r="EE22" i="2"/>
  <c r="FB22" i="2"/>
  <c r="EF42" i="2"/>
  <c r="FC42" i="2"/>
  <c r="EF39" i="2"/>
  <c r="FC39" i="2"/>
  <c r="EE21" i="2"/>
  <c r="FB21" i="2"/>
  <c r="EF17" i="2"/>
  <c r="FC17" i="2"/>
  <c r="EC47" i="2"/>
  <c r="EZ47" i="2"/>
  <c r="EC22" i="2"/>
  <c r="EZ22" i="2"/>
  <c r="EC59" i="2"/>
  <c r="EZ59" i="2"/>
  <c r="EF12" i="2"/>
  <c r="FC12" i="2"/>
  <c r="EF48" i="2"/>
  <c r="FC48" i="2"/>
  <c r="EG60" i="2"/>
  <c r="FD60" i="2"/>
  <c r="EF53" i="2"/>
  <c r="FC53" i="2"/>
  <c r="EG17" i="2"/>
  <c r="FD17" i="2"/>
  <c r="ED58" i="2"/>
  <c r="FA58" i="2"/>
  <c r="ED53" i="2"/>
  <c r="FA53" i="2"/>
  <c r="EG16" i="2"/>
  <c r="FD16" i="2"/>
  <c r="EB21" i="2"/>
  <c r="EY21" i="2"/>
  <c r="ED14" i="2"/>
  <c r="FA14" i="2"/>
  <c r="EF59" i="2"/>
  <c r="FC59" i="2"/>
  <c r="ED57" i="2"/>
  <c r="FA57" i="2"/>
  <c r="ED40" i="2"/>
  <c r="FA40" i="2"/>
  <c r="EG24" i="2"/>
  <c r="FD24" i="2"/>
  <c r="ED20" i="2"/>
  <c r="FA20" i="2"/>
  <c r="EF38" i="2"/>
  <c r="FC38" i="2"/>
  <c r="EG50" i="2"/>
  <c r="FD50" i="2"/>
  <c r="EB54" i="2"/>
  <c r="EY54" i="2"/>
  <c r="EG19" i="2"/>
  <c r="FD19" i="2"/>
  <c r="ED60" i="2"/>
  <c r="FA60" i="2"/>
  <c r="EG52" i="2"/>
  <c r="FD52" i="2"/>
  <c r="EE58" i="2"/>
  <c r="FB58" i="2"/>
  <c r="EF43" i="2"/>
  <c r="FC43" i="2"/>
  <c r="ED47" i="2"/>
  <c r="FA47" i="2"/>
  <c r="EF18" i="2"/>
  <c r="FC18" i="2"/>
  <c r="EB39" i="2"/>
  <c r="EY39" i="2"/>
  <c r="EC41" i="2"/>
  <c r="EZ41" i="2"/>
  <c r="EB61" i="2"/>
  <c r="EY61" i="2"/>
  <c r="EC50" i="2"/>
  <c r="EZ50" i="2"/>
  <c r="EE52" i="2"/>
  <c r="FB52" i="2"/>
  <c r="ED41" i="2"/>
  <c r="FA41" i="2"/>
  <c r="ED26" i="2"/>
  <c r="FA26" i="2"/>
  <c r="EF44" i="2"/>
  <c r="FC44" i="2"/>
  <c r="EE26" i="2"/>
  <c r="FB26" i="2"/>
  <c r="ED11" i="2"/>
  <c r="FA11" i="2"/>
  <c r="EE60" i="2"/>
  <c r="FB60" i="2"/>
  <c r="EC19" i="2"/>
  <c r="EZ19" i="2"/>
  <c r="EC21" i="2"/>
  <c r="EZ21" i="2"/>
  <c r="EC61" i="2"/>
  <c r="EZ61" i="2"/>
  <c r="EG46" i="2"/>
  <c r="FD46" i="2"/>
  <c r="EF55" i="2"/>
  <c r="FC55" i="2"/>
  <c r="EG53" i="2"/>
  <c r="FD53" i="2"/>
  <c r="ED48" i="2"/>
  <c r="FA48" i="2"/>
  <c r="EE20" i="2"/>
  <c r="FB20" i="2"/>
  <c r="EF16" i="2"/>
  <c r="FC16" i="2"/>
  <c r="EF46" i="2"/>
  <c r="FC46" i="2"/>
  <c r="EG20" i="2"/>
  <c r="FD20" i="2"/>
  <c r="EF23" i="2"/>
  <c r="FC23" i="2"/>
  <c r="EB38" i="2"/>
  <c r="EY38" i="2"/>
  <c r="ED59" i="2"/>
  <c r="FA59" i="2"/>
  <c r="EB50" i="2"/>
  <c r="EY50" i="2"/>
  <c r="EE40" i="2"/>
  <c r="FB40" i="2"/>
  <c r="EG51" i="2"/>
  <c r="FD51" i="2"/>
  <c r="EF24" i="2"/>
  <c r="FC24" i="2"/>
  <c r="EE23" i="2"/>
  <c r="FB23" i="2"/>
  <c r="ED42" i="2"/>
  <c r="FA42" i="2"/>
  <c r="EF57" i="2"/>
  <c r="FC57" i="2"/>
  <c r="EG38" i="2"/>
  <c r="FD38" i="2"/>
  <c r="EF11" i="2"/>
  <c r="FC11" i="2"/>
  <c r="EE47" i="2"/>
  <c r="FB47" i="2"/>
  <c r="EE53" i="2"/>
  <c r="FB53" i="2"/>
  <c r="ED39" i="2"/>
  <c r="FA39" i="2"/>
  <c r="EE14" i="2"/>
  <c r="FB14" i="2"/>
  <c r="ED46" i="2"/>
  <c r="FA46" i="2"/>
  <c r="EG18" i="2"/>
  <c r="FD18" i="2"/>
  <c r="EF56" i="2"/>
  <c r="FC56" i="2"/>
  <c r="EG13" i="2"/>
  <c r="FD13" i="2"/>
  <c r="EC15" i="2"/>
  <c r="EZ15" i="2"/>
  <c r="EC18" i="2"/>
  <c r="EZ18" i="2"/>
  <c r="EE51" i="2"/>
  <c r="FB51" i="2"/>
  <c r="EC57" i="2"/>
  <c r="EZ57" i="2"/>
  <c r="EB16" i="2"/>
  <c r="EY16" i="2"/>
  <c r="BZ46" i="2"/>
  <c r="CI17" i="2"/>
  <c r="CR17" i="2" s="1"/>
  <c r="CW17" i="2" s="1"/>
  <c r="EC25" i="2"/>
  <c r="BW57" i="2"/>
  <c r="CC57" i="2" s="1"/>
  <c r="BZ40" i="2"/>
  <c r="EK60" i="2"/>
  <c r="EF60" i="2"/>
  <c r="CM59" i="2"/>
  <c r="EI39" i="2"/>
  <c r="EI59" i="2"/>
  <c r="EL61" i="2"/>
  <c r="EK56" i="2"/>
  <c r="EI48" i="2"/>
  <c r="EH42" i="2"/>
  <c r="EI60" i="2"/>
  <c r="EK54" i="2"/>
  <c r="EK48" i="2"/>
  <c r="EL57" i="2"/>
  <c r="EL56" i="2"/>
  <c r="EH47" i="2"/>
  <c r="EI44" i="2"/>
  <c r="EI61" i="2"/>
  <c r="EJ46" i="2"/>
  <c r="EL44" i="2"/>
  <c r="EL59" i="2"/>
  <c r="EJ42" i="2"/>
  <c r="EI41" i="2"/>
  <c r="EH46" i="2"/>
  <c r="EK61" i="2"/>
  <c r="EH41" i="2"/>
  <c r="EI47" i="2"/>
  <c r="EJ55" i="2"/>
  <c r="EL48" i="2"/>
  <c r="EJ48" i="2"/>
  <c r="EL60" i="2"/>
  <c r="EH43" i="2"/>
  <c r="EI40" i="2"/>
  <c r="EH52" i="2"/>
  <c r="EL43" i="2"/>
  <c r="EK59" i="2"/>
  <c r="EK38" i="2"/>
  <c r="EH53" i="2"/>
  <c r="EL46" i="2"/>
  <c r="EH54" i="2"/>
  <c r="EJ53" i="2"/>
  <c r="EJ56" i="2"/>
  <c r="EK51" i="2"/>
  <c r="EJ43" i="2"/>
  <c r="EI43" i="2"/>
  <c r="EL53" i="2"/>
  <c r="CK56" i="2"/>
  <c r="EJ52" i="2"/>
  <c r="EK53" i="2"/>
  <c r="EH39" i="2"/>
  <c r="EH48" i="2"/>
  <c r="EL39" i="2"/>
  <c r="EH56" i="2"/>
  <c r="EH38" i="2"/>
  <c r="EH57" i="2"/>
  <c r="EH58" i="2"/>
  <c r="EJ38" i="2"/>
  <c r="EK57" i="2"/>
  <c r="EI53" i="2"/>
  <c r="EL38" i="2"/>
  <c r="EK39" i="2"/>
  <c r="EL52" i="2"/>
  <c r="EJ54" i="2"/>
  <c r="EL40" i="2"/>
  <c r="EI42" i="2"/>
  <c r="EL58" i="2"/>
  <c r="EI52" i="2"/>
  <c r="EL41" i="2"/>
  <c r="EL55" i="2"/>
  <c r="EH44" i="2"/>
  <c r="EH60" i="2"/>
  <c r="EK47" i="2"/>
  <c r="EH50" i="2"/>
  <c r="EI46" i="2"/>
  <c r="EJ58" i="2"/>
  <c r="EJ61" i="2"/>
  <c r="EK40" i="2"/>
  <c r="EK50" i="2"/>
  <c r="EJ50" i="2"/>
  <c r="EL54" i="2"/>
  <c r="EK55" i="2"/>
  <c r="EK58" i="2"/>
  <c r="EJ59" i="2"/>
  <c r="CK12" i="2"/>
  <c r="BW39" i="2"/>
  <c r="CC39" i="2" s="1"/>
  <c r="EK41" i="2"/>
  <c r="EH40" i="2"/>
  <c r="EK52" i="2"/>
  <c r="EK44" i="2"/>
  <c r="EJ40" i="2"/>
  <c r="EL51" i="2"/>
  <c r="EL50" i="2"/>
  <c r="EJ51" i="2"/>
  <c r="EJ47" i="2"/>
  <c r="EJ60" i="2"/>
  <c r="EI50" i="2"/>
  <c r="EJ41" i="2"/>
  <c r="EI58" i="2"/>
  <c r="EL47" i="2"/>
  <c r="EI38" i="2"/>
  <c r="EL42" i="2"/>
  <c r="EH59" i="2"/>
  <c r="EH51" i="2"/>
  <c r="EI57" i="2"/>
  <c r="EI51" i="2"/>
  <c r="CB42" i="2"/>
  <c r="EI54" i="2"/>
  <c r="EH61" i="2"/>
  <c r="EK46" i="2"/>
  <c r="EI55" i="2"/>
  <c r="EK42" i="2"/>
  <c r="EI56" i="2"/>
  <c r="EJ44" i="2"/>
  <c r="EJ57" i="2"/>
  <c r="EH55" i="2"/>
  <c r="EJ39" i="2"/>
  <c r="EK43" i="2"/>
  <c r="CB58" i="2"/>
  <c r="CJ26" i="2"/>
  <c r="CN26" i="2" s="1"/>
  <c r="CK60" i="2"/>
  <c r="EL20" i="2"/>
  <c r="EH21" i="2"/>
  <c r="EJ11" i="2"/>
  <c r="EL13" i="2"/>
  <c r="EL24" i="2"/>
  <c r="EK11" i="2"/>
  <c r="EL11" i="2"/>
  <c r="EK24" i="2"/>
  <c r="EJ23" i="2"/>
  <c r="EL19" i="2"/>
  <c r="EI20" i="2"/>
  <c r="EJ18" i="2"/>
  <c r="EJ26" i="2"/>
  <c r="EI24" i="2"/>
  <c r="EI21" i="2"/>
  <c r="EI17" i="2"/>
  <c r="EK18" i="2"/>
  <c r="EH23" i="2"/>
  <c r="EL18" i="2"/>
  <c r="EK23" i="2"/>
  <c r="EI13" i="2"/>
  <c r="EI15" i="2"/>
  <c r="EL25" i="2"/>
  <c r="EI11" i="2"/>
  <c r="EL12" i="2"/>
  <c r="EK14" i="2"/>
  <c r="EI26" i="2"/>
  <c r="EK22" i="2"/>
  <c r="EI23" i="2"/>
  <c r="EI22" i="2"/>
  <c r="EJ24" i="2"/>
  <c r="EI14" i="2"/>
  <c r="EJ12" i="2"/>
  <c r="EJ16" i="2"/>
  <c r="EI12" i="2"/>
  <c r="EH17" i="2"/>
  <c r="EJ22" i="2"/>
  <c r="EJ15" i="2"/>
  <c r="EK15" i="2"/>
  <c r="EI16" i="2"/>
  <c r="EJ21" i="2"/>
  <c r="EJ14" i="2"/>
  <c r="EJ17" i="2"/>
  <c r="EJ20" i="2"/>
  <c r="EL26" i="2"/>
  <c r="EL17" i="2"/>
  <c r="EJ13" i="2"/>
  <c r="EL15" i="2"/>
  <c r="EL22" i="2"/>
  <c r="EK21" i="2"/>
  <c r="EK26" i="2"/>
  <c r="EH16" i="2"/>
  <c r="EL21" i="2"/>
  <c r="EK13" i="2"/>
  <c r="EK16" i="2"/>
  <c r="EK12" i="2"/>
  <c r="EL23" i="2"/>
  <c r="EK17" i="2"/>
  <c r="EI19" i="2"/>
  <c r="EL14" i="2"/>
  <c r="EL16" i="2"/>
  <c r="EK19" i="2"/>
  <c r="EJ19" i="2"/>
  <c r="EK20" i="2"/>
  <c r="EI18" i="2"/>
  <c r="EJ25" i="2"/>
  <c r="EK25" i="2"/>
  <c r="BZ55" i="2"/>
  <c r="DI18" i="2"/>
  <c r="DI11" i="2"/>
  <c r="DI14" i="2"/>
  <c r="DI25" i="2"/>
  <c r="DI20" i="2"/>
  <c r="CK44" i="2"/>
  <c r="CN44" i="2" s="1"/>
  <c r="DI15" i="2"/>
  <c r="DI26" i="2"/>
  <c r="DI19" i="2"/>
  <c r="DI24" i="2"/>
  <c r="DI22" i="2"/>
  <c r="CI22" i="2"/>
  <c r="DI12" i="2"/>
  <c r="DI13" i="2"/>
  <c r="CB51" i="2"/>
  <c r="CK22" i="2"/>
  <c r="BW49" i="2"/>
  <c r="CB54" i="2"/>
  <c r="CB47" i="2"/>
  <c r="CI54" i="2"/>
  <c r="CN54" i="2" s="1"/>
  <c r="BZ19" i="2"/>
  <c r="CI18" i="2"/>
  <c r="CK23" i="2"/>
  <c r="CP23" i="2" s="1"/>
  <c r="CU23" i="2" s="1"/>
  <c r="CK42" i="2"/>
  <c r="BW41" i="2"/>
  <c r="CB50" i="2"/>
  <c r="CJ50" i="2"/>
  <c r="CJ24" i="2"/>
  <c r="BZ50" i="2"/>
  <c r="CM46" i="2"/>
  <c r="CB55" i="2"/>
  <c r="BX44" i="2"/>
  <c r="BZ15" i="2"/>
  <c r="BX54" i="2"/>
  <c r="CC54" i="2" s="1"/>
  <c r="BX23" i="2"/>
  <c r="CB38" i="2"/>
  <c r="BX40" i="2"/>
  <c r="CC40" i="2" s="1"/>
  <c r="CM43" i="2"/>
  <c r="CR43" i="2" s="1"/>
  <c r="CW43" i="2" s="1"/>
  <c r="BW45" i="2"/>
  <c r="CC45" i="2" s="1"/>
  <c r="BZ38" i="2"/>
  <c r="BZ59" i="2"/>
  <c r="CI53" i="2"/>
  <c r="CN53" i="2" s="1"/>
  <c r="BX17" i="2"/>
  <c r="CC17" i="2" s="1"/>
  <c r="BX21" i="2"/>
  <c r="BW23" i="2"/>
  <c r="CP41" i="2"/>
  <c r="CU41" i="2" s="1"/>
  <c r="BW16" i="2"/>
  <c r="CC16" i="2" s="1"/>
  <c r="CI58" i="2"/>
  <c r="CP58" i="2" s="1"/>
  <c r="CU58" i="2" s="1"/>
  <c r="CJ45" i="2"/>
  <c r="CS45" i="2" s="1"/>
  <c r="CX45" i="2" s="1"/>
  <c r="CO41" i="2"/>
  <c r="CT41" i="2" s="1"/>
  <c r="CJ60" i="2"/>
  <c r="CJ16" i="2"/>
  <c r="CO16" i="2" s="1"/>
  <c r="CT16" i="2" s="1"/>
  <c r="CJ39" i="2"/>
  <c r="BW46" i="2"/>
  <c r="CI59" i="2"/>
  <c r="BX53" i="2"/>
  <c r="CC53" i="2" s="1"/>
  <c r="BX58" i="2"/>
  <c r="BX22" i="2"/>
  <c r="CC22" i="2" s="1"/>
  <c r="BX56" i="2"/>
  <c r="CC56" i="2" s="1"/>
  <c r="CS41" i="2"/>
  <c r="CX41" i="2" s="1"/>
  <c r="CR41" i="2"/>
  <c r="CW41" i="2" s="1"/>
  <c r="BX41" i="2"/>
  <c r="CM56" i="2"/>
  <c r="BX61" i="2"/>
  <c r="CC61" i="2" s="1"/>
  <c r="BW47" i="2"/>
  <c r="BX55" i="2"/>
  <c r="CN41" i="2"/>
  <c r="CQ41" i="2"/>
  <c r="CV41" i="2" s="1"/>
  <c r="CI55" i="2"/>
  <c r="CR55" i="2" s="1"/>
  <c r="CW55" i="2" s="1"/>
  <c r="BX13" i="2"/>
  <c r="CC13" i="2" s="1"/>
  <c r="BX42" i="2"/>
  <c r="CB60" i="2"/>
  <c r="CC60" i="2" s="1"/>
  <c r="BX59" i="2"/>
  <c r="CJ57" i="2"/>
  <c r="CR57" i="2" s="1"/>
  <c r="CW57" i="2" s="1"/>
  <c r="CB48" i="2"/>
  <c r="CI50" i="2"/>
  <c r="CB52" i="2"/>
  <c r="CC52" i="2" s="1"/>
  <c r="BX43" i="2"/>
  <c r="CM39" i="2"/>
  <c r="CI51" i="2"/>
  <c r="CO51" i="2" s="1"/>
  <c r="CT51" i="2" s="1"/>
  <c r="BX51" i="2"/>
  <c r="CI42" i="2"/>
  <c r="CJ52" i="2"/>
  <c r="CR52" i="2" s="1"/>
  <c r="CW52" i="2" s="1"/>
  <c r="BW43" i="2"/>
  <c r="BX48" i="2"/>
  <c r="CB44" i="2"/>
  <c r="BX49" i="2"/>
  <c r="CJ46" i="2"/>
  <c r="CJ47" i="2"/>
  <c r="CR47" i="2" s="1"/>
  <c r="CW47" i="2" s="1"/>
  <c r="BX19" i="2"/>
  <c r="CJ14" i="2"/>
  <c r="CQ14" i="2" s="1"/>
  <c r="CV14" i="2" s="1"/>
  <c r="CJ12" i="2"/>
  <c r="BX11" i="2"/>
  <c r="CC11" i="2" s="1"/>
  <c r="BX38" i="2"/>
  <c r="CJ38" i="2"/>
  <c r="CS38" i="2" s="1"/>
  <c r="CX38" i="2" s="1"/>
  <c r="CP40" i="2"/>
  <c r="CU40" i="2" s="1"/>
  <c r="CQ40" i="2"/>
  <c r="CV40" i="2" s="1"/>
  <c r="CR40" i="2"/>
  <c r="CW40" i="2" s="1"/>
  <c r="CS40" i="2"/>
  <c r="CX40" i="2" s="1"/>
  <c r="CN40" i="2"/>
  <c r="CO40" i="2"/>
  <c r="CT40" i="2" s="1"/>
  <c r="BX25" i="2"/>
  <c r="CC25" i="2" s="1"/>
  <c r="CJ25" i="2"/>
  <c r="CQ25" i="2" s="1"/>
  <c r="CV25" i="2" s="1"/>
  <c r="CM24" i="2"/>
  <c r="CB24" i="2"/>
  <c r="CC24" i="2" s="1"/>
  <c r="CC26" i="2"/>
  <c r="BX15" i="2"/>
  <c r="CJ15" i="2"/>
  <c r="CP15" i="2" s="1"/>
  <c r="CU15" i="2" s="1"/>
  <c r="CJ18" i="2"/>
  <c r="BX18" i="2"/>
  <c r="CC18" i="2" s="1"/>
  <c r="BX20" i="2"/>
  <c r="CC20" i="2" s="1"/>
  <c r="CJ20" i="2"/>
  <c r="CM19" i="2"/>
  <c r="CR19" i="2" s="1"/>
  <c r="CW19" i="2" s="1"/>
  <c r="CB19" i="2"/>
  <c r="CI21" i="2"/>
  <c r="BW21" i="2"/>
  <c r="CQ11" i="2"/>
  <c r="CV11" i="2" s="1"/>
  <c r="CQ13" i="2"/>
  <c r="CV13" i="2" s="1"/>
  <c r="CO11" i="2"/>
  <c r="CT11" i="2" s="1"/>
  <c r="CO61" i="2"/>
  <c r="CT61" i="2" s="1"/>
  <c r="CP61" i="2"/>
  <c r="CU61" i="2" s="1"/>
  <c r="CN61" i="2"/>
  <c r="CR49" i="2"/>
  <c r="CW49" i="2" s="1"/>
  <c r="CP13" i="2"/>
  <c r="CU13" i="2" s="1"/>
  <c r="CQ61" i="2"/>
  <c r="CV61" i="2" s="1"/>
  <c r="CR61" i="2"/>
  <c r="CW61" i="2" s="1"/>
  <c r="CS11" i="2"/>
  <c r="CX11" i="2" s="1"/>
  <c r="CN49" i="2"/>
  <c r="CC14" i="2"/>
  <c r="CS13" i="2"/>
  <c r="CX13" i="2" s="1"/>
  <c r="CN13" i="2"/>
  <c r="CS49" i="2"/>
  <c r="CX49" i="2" s="1"/>
  <c r="CP49" i="2"/>
  <c r="CU49" i="2" s="1"/>
  <c r="CC12" i="2"/>
  <c r="CS61" i="2"/>
  <c r="CX61" i="2" s="1"/>
  <c r="CP11" i="2"/>
  <c r="CU11" i="2" s="1"/>
  <c r="CR11" i="2"/>
  <c r="CW11" i="2" s="1"/>
  <c r="CO49" i="2"/>
  <c r="CT49" i="2" s="1"/>
  <c r="CR13" i="2"/>
  <c r="CW13" i="2" s="1"/>
  <c r="CO13" i="2"/>
  <c r="CT13" i="2" s="1"/>
  <c r="CQ49" i="2"/>
  <c r="CV49" i="2" s="1"/>
  <c r="CR48" i="2"/>
  <c r="CW48" i="2" s="1"/>
  <c r="CO48" i="2"/>
  <c r="CT48" i="2" s="1"/>
  <c r="CS48" i="2"/>
  <c r="CX48" i="2" s="1"/>
  <c r="CQ48" i="2"/>
  <c r="CV48" i="2" s="1"/>
  <c r="CP48" i="2"/>
  <c r="CU48" i="2" s="1"/>
  <c r="CN48" i="2"/>
  <c r="CN11" i="2"/>
  <c r="CC46" i="2" l="1"/>
  <c r="CS17" i="2"/>
  <c r="CX17" i="2" s="1"/>
  <c r="EB11" i="2"/>
  <c r="EY11" i="2"/>
  <c r="EB14" i="2"/>
  <c r="EY14" i="2"/>
  <c r="EB26" i="2"/>
  <c r="EY26" i="2"/>
  <c r="EB22" i="2"/>
  <c r="EY22" i="2"/>
  <c r="EB13" i="2"/>
  <c r="EY13" i="2"/>
  <c r="EB24" i="2"/>
  <c r="EY24" i="2"/>
  <c r="EB18" i="2"/>
  <c r="EY18" i="2"/>
  <c r="CQ17" i="2"/>
  <c r="CV17" i="2" s="1"/>
  <c r="CP17" i="2"/>
  <c r="CU17" i="2" s="1"/>
  <c r="CO17" i="2"/>
  <c r="CT17" i="2" s="1"/>
  <c r="EB15" i="2"/>
  <c r="EY15" i="2"/>
  <c r="CN17" i="2"/>
  <c r="EB12" i="2"/>
  <c r="EY12" i="2"/>
  <c r="EB20" i="2"/>
  <c r="EY20" i="2"/>
  <c r="EB19" i="2"/>
  <c r="EY19" i="2"/>
  <c r="EB25" i="2"/>
  <c r="EY25" i="2"/>
  <c r="CP60" i="2"/>
  <c r="CU60" i="2" s="1"/>
  <c r="CQ26" i="2"/>
  <c r="CV26" i="2" s="1"/>
  <c r="CP26" i="2"/>
  <c r="CU26" i="2" s="1"/>
  <c r="CR59" i="2"/>
  <c r="CW59" i="2" s="1"/>
  <c r="EN60" i="2"/>
  <c r="EM60" i="2"/>
  <c r="EQ60" i="2"/>
  <c r="EP60" i="2"/>
  <c r="EO60" i="2"/>
  <c r="EM57" i="2"/>
  <c r="EQ57" i="2"/>
  <c r="EP57" i="2"/>
  <c r="EO57" i="2"/>
  <c r="EN57" i="2"/>
  <c r="EQ48" i="2"/>
  <c r="EP48" i="2"/>
  <c r="EO48" i="2"/>
  <c r="EN48" i="2"/>
  <c r="EM48" i="2"/>
  <c r="EQ61" i="2"/>
  <c r="EP61" i="2"/>
  <c r="EO61" i="2"/>
  <c r="EN61" i="2"/>
  <c r="EM61" i="2"/>
  <c r="EQ53" i="2"/>
  <c r="EP53" i="2"/>
  <c r="EO53" i="2"/>
  <c r="EN53" i="2"/>
  <c r="EM53" i="2"/>
  <c r="EN52" i="2"/>
  <c r="EM52" i="2"/>
  <c r="EQ52" i="2"/>
  <c r="EP52" i="2"/>
  <c r="EO52" i="2"/>
  <c r="EM41" i="2"/>
  <c r="EQ41" i="2"/>
  <c r="EP41" i="2"/>
  <c r="EO41" i="2"/>
  <c r="EN41" i="2"/>
  <c r="EP42" i="2"/>
  <c r="EO42" i="2"/>
  <c r="EN42" i="2"/>
  <c r="EM42" i="2"/>
  <c r="EQ42" i="2"/>
  <c r="EO21" i="2"/>
  <c r="EP21" i="2"/>
  <c r="EQ21" i="2"/>
  <c r="EM21" i="2"/>
  <c r="EN21" i="2"/>
  <c r="EQ51" i="2"/>
  <c r="EP51" i="2"/>
  <c r="EO51" i="2"/>
  <c r="EN51" i="2"/>
  <c r="EM51" i="2"/>
  <c r="EQ40" i="2"/>
  <c r="EP40" i="2"/>
  <c r="EO40" i="2"/>
  <c r="EN40" i="2"/>
  <c r="EM40" i="2"/>
  <c r="EN44" i="2"/>
  <c r="EM44" i="2"/>
  <c r="EQ44" i="2"/>
  <c r="EP44" i="2"/>
  <c r="EO44" i="2"/>
  <c r="EQ38" i="2"/>
  <c r="EP38" i="2"/>
  <c r="EO38" i="2"/>
  <c r="EN38" i="2"/>
  <c r="EM38" i="2"/>
  <c r="EO39" i="2"/>
  <c r="EN39" i="2"/>
  <c r="EM39" i="2"/>
  <c r="EQ39" i="2"/>
  <c r="EP39" i="2"/>
  <c r="EP58" i="2"/>
  <c r="EM58" i="2"/>
  <c r="EO58" i="2"/>
  <c r="EN58" i="2"/>
  <c r="EQ58" i="2"/>
  <c r="EM17" i="2"/>
  <c r="EN17" i="2"/>
  <c r="EO17" i="2"/>
  <c r="EP17" i="2"/>
  <c r="EQ17" i="2"/>
  <c r="EO55" i="2"/>
  <c r="EN55" i="2"/>
  <c r="EM55" i="2"/>
  <c r="EQ55" i="2"/>
  <c r="EP55" i="2"/>
  <c r="EP59" i="2"/>
  <c r="EQ59" i="2"/>
  <c r="EO59" i="2"/>
  <c r="EN59" i="2"/>
  <c r="EM59" i="2"/>
  <c r="EP50" i="2"/>
  <c r="EO50" i="2"/>
  <c r="EN50" i="2"/>
  <c r="EM50" i="2"/>
  <c r="EQ50" i="2"/>
  <c r="EQ56" i="2"/>
  <c r="EP56" i="2"/>
  <c r="EO56" i="2"/>
  <c r="EN56" i="2"/>
  <c r="EM56" i="2"/>
  <c r="EP16" i="2"/>
  <c r="EQ16" i="2"/>
  <c r="EM16" i="2"/>
  <c r="EN16" i="2"/>
  <c r="EO16" i="2"/>
  <c r="EM23" i="2"/>
  <c r="EN23" i="2"/>
  <c r="EO23" i="2"/>
  <c r="EP23" i="2"/>
  <c r="EQ23" i="2"/>
  <c r="EQ54" i="2"/>
  <c r="EP54" i="2"/>
  <c r="EO54" i="2"/>
  <c r="EN54" i="2"/>
  <c r="EM54" i="2"/>
  <c r="EQ43" i="2"/>
  <c r="EP43" i="2"/>
  <c r="EO43" i="2"/>
  <c r="EN43" i="2"/>
  <c r="EM43" i="2"/>
  <c r="EQ46" i="2"/>
  <c r="EP46" i="2"/>
  <c r="EO46" i="2"/>
  <c r="EN46" i="2"/>
  <c r="EM46" i="2"/>
  <c r="EO47" i="2"/>
  <c r="EN47" i="2"/>
  <c r="EM47" i="2"/>
  <c r="EQ47" i="2"/>
  <c r="EP47" i="2"/>
  <c r="CS26" i="2"/>
  <c r="CX26" i="2" s="1"/>
  <c r="CO26" i="2"/>
  <c r="CT26" i="2" s="1"/>
  <c r="CC42" i="2"/>
  <c r="CO22" i="2"/>
  <c r="CT22" i="2" s="1"/>
  <c r="CR26" i="2"/>
  <c r="CW26" i="2" s="1"/>
  <c r="CN23" i="2"/>
  <c r="CR56" i="2"/>
  <c r="CW56" i="2" s="1"/>
  <c r="CC58" i="2"/>
  <c r="CN12" i="2"/>
  <c r="CR58" i="2"/>
  <c r="CW58" i="2" s="1"/>
  <c r="CC23" i="2"/>
  <c r="CC50" i="2"/>
  <c r="CR22" i="2"/>
  <c r="CW22" i="2" s="1"/>
  <c r="CP22" i="2"/>
  <c r="CU22" i="2" s="1"/>
  <c r="EH26" i="2"/>
  <c r="EH18" i="2"/>
  <c r="EH15" i="2"/>
  <c r="EH13" i="2"/>
  <c r="CO42" i="2"/>
  <c r="CT42" i="2" s="1"/>
  <c r="EH20" i="2"/>
  <c r="CS22" i="2"/>
  <c r="CX22" i="2" s="1"/>
  <c r="EH25" i="2"/>
  <c r="EM25" i="2" s="1"/>
  <c r="EH12" i="2"/>
  <c r="EH22" i="2"/>
  <c r="EH14" i="2"/>
  <c r="EH19" i="2"/>
  <c r="CC55" i="2"/>
  <c r="CQ23" i="2"/>
  <c r="CV23" i="2" s="1"/>
  <c r="CC49" i="2"/>
  <c r="CC41" i="2"/>
  <c r="EH24" i="2"/>
  <c r="EH11" i="2"/>
  <c r="CQ22" i="2"/>
  <c r="CV22" i="2" s="1"/>
  <c r="CQ16" i="2"/>
  <c r="CV16" i="2" s="1"/>
  <c r="CR54" i="2"/>
  <c r="CW54" i="2" s="1"/>
  <c r="CO44" i="2"/>
  <c r="CT44" i="2" s="1"/>
  <c r="CR18" i="2"/>
  <c r="CW18" i="2" s="1"/>
  <c r="CO46" i="2"/>
  <c r="CT46" i="2" s="1"/>
  <c r="CO23" i="2"/>
  <c r="CT23" i="2" s="1"/>
  <c r="CC51" i="2"/>
  <c r="CS44" i="2"/>
  <c r="CX44" i="2" s="1"/>
  <c r="CP54" i="2"/>
  <c r="CU54" i="2" s="1"/>
  <c r="CR23" i="2"/>
  <c r="CW23" i="2" s="1"/>
  <c r="CS23" i="2"/>
  <c r="CX23" i="2" s="1"/>
  <c r="CQ44" i="2"/>
  <c r="CV44" i="2" s="1"/>
  <c r="CS54" i="2"/>
  <c r="CX54" i="2" s="1"/>
  <c r="CR44" i="2"/>
  <c r="CW44" i="2" s="1"/>
  <c r="CP44" i="2"/>
  <c r="CU44" i="2" s="1"/>
  <c r="CN22" i="2"/>
  <c r="CS43" i="2"/>
  <c r="CX43" i="2" s="1"/>
  <c r="CO50" i="2"/>
  <c r="CT50" i="2" s="1"/>
  <c r="CS55" i="2"/>
  <c r="CX55" i="2" s="1"/>
  <c r="CN43" i="2"/>
  <c r="CP43" i="2"/>
  <c r="CU43" i="2" s="1"/>
  <c r="CO43" i="2"/>
  <c r="CT43" i="2" s="1"/>
  <c r="CQ43" i="2"/>
  <c r="CV43" i="2" s="1"/>
  <c r="CQ54" i="2"/>
  <c r="CV54" i="2" s="1"/>
  <c r="CO54" i="2"/>
  <c r="CT54" i="2" s="1"/>
  <c r="CN59" i="2"/>
  <c r="CO55" i="2"/>
  <c r="CT55" i="2" s="1"/>
  <c r="CC47" i="2"/>
  <c r="CQ45" i="2"/>
  <c r="CV45" i="2" s="1"/>
  <c r="CC21" i="2"/>
  <c r="CO12" i="2"/>
  <c r="CT12" i="2" s="1"/>
  <c r="CP24" i="2"/>
  <c r="CU24" i="2" s="1"/>
  <c r="CS58" i="2"/>
  <c r="CX58" i="2" s="1"/>
  <c r="CS56" i="2"/>
  <c r="CX56" i="2" s="1"/>
  <c r="CQ58" i="2"/>
  <c r="CV58" i="2" s="1"/>
  <c r="CC19" i="2"/>
  <c r="CO53" i="2"/>
  <c r="CT53" i="2" s="1"/>
  <c r="CC38" i="2"/>
  <c r="CC44" i="2"/>
  <c r="CC15" i="2"/>
  <c r="CR53" i="2"/>
  <c r="CW53" i="2" s="1"/>
  <c r="CC59" i="2"/>
  <c r="CS53" i="2"/>
  <c r="CX53" i="2" s="1"/>
  <c r="CP53" i="2"/>
  <c r="CU53" i="2" s="1"/>
  <c r="CQ53" i="2"/>
  <c r="CV53" i="2" s="1"/>
  <c r="CR60" i="2"/>
  <c r="CW60" i="2" s="1"/>
  <c r="CS60" i="2"/>
  <c r="CX60" i="2" s="1"/>
  <c r="CN60" i="2"/>
  <c r="CO60" i="2"/>
  <c r="CT60" i="2" s="1"/>
  <c r="CP46" i="2"/>
  <c r="CU46" i="2" s="1"/>
  <c r="CQ51" i="2"/>
  <c r="CV51" i="2" s="1"/>
  <c r="CN55" i="2"/>
  <c r="CP51" i="2"/>
  <c r="CU51" i="2" s="1"/>
  <c r="CQ60" i="2"/>
  <c r="CV60" i="2" s="1"/>
  <c r="CS57" i="2"/>
  <c r="CX57" i="2" s="1"/>
  <c r="CN57" i="2"/>
  <c r="CQ55" i="2"/>
  <c r="CV55" i="2" s="1"/>
  <c r="CR16" i="2"/>
  <c r="CW16" i="2" s="1"/>
  <c r="CO45" i="2"/>
  <c r="CT45" i="2" s="1"/>
  <c r="CR45" i="2"/>
  <c r="CW45" i="2" s="1"/>
  <c r="CS16" i="2"/>
  <c r="CX16" i="2" s="1"/>
  <c r="CY41" i="2"/>
  <c r="CP45" i="2"/>
  <c r="CU45" i="2" s="1"/>
  <c r="CN45" i="2"/>
  <c r="CC48" i="2"/>
  <c r="CN58" i="2"/>
  <c r="CC43" i="2"/>
  <c r="CN16" i="2"/>
  <c r="CS59" i="2"/>
  <c r="CX59" i="2" s="1"/>
  <c r="CO58" i="2"/>
  <c r="CT58" i="2" s="1"/>
  <c r="CP57" i="2"/>
  <c r="CU57" i="2" s="1"/>
  <c r="CQ50" i="2"/>
  <c r="CV50" i="2" s="1"/>
  <c r="CS47" i="2"/>
  <c r="CX47" i="2" s="1"/>
  <c r="CR14" i="2"/>
  <c r="CW14" i="2" s="1"/>
  <c r="CO14" i="2"/>
  <c r="CT14" i="2" s="1"/>
  <c r="CN50" i="2"/>
  <c r="CO59" i="2"/>
  <c r="CT59" i="2" s="1"/>
  <c r="CS42" i="2"/>
  <c r="CX42" i="2" s="1"/>
  <c r="CP55" i="2"/>
  <c r="CU55" i="2" s="1"/>
  <c r="CQ57" i="2"/>
  <c r="CV57" i="2" s="1"/>
  <c r="CS14" i="2"/>
  <c r="CX14" i="2" s="1"/>
  <c r="CO57" i="2"/>
  <c r="CT57" i="2" s="1"/>
  <c r="CN14" i="2"/>
  <c r="CS46" i="2"/>
  <c r="CX46" i="2" s="1"/>
  <c r="CP59" i="2"/>
  <c r="CU59" i="2" s="1"/>
  <c r="CN42" i="2"/>
  <c r="CN46" i="2"/>
  <c r="CQ59" i="2"/>
  <c r="CV59" i="2" s="1"/>
  <c r="CP16" i="2"/>
  <c r="CU16" i="2" s="1"/>
  <c r="CS39" i="2"/>
  <c r="CX39" i="2" s="1"/>
  <c r="CS51" i="2"/>
  <c r="CX51" i="2" s="1"/>
  <c r="CR46" i="2"/>
  <c r="CW46" i="2" s="1"/>
  <c r="CN52" i="2"/>
  <c r="CP12" i="2"/>
  <c r="CU12" i="2" s="1"/>
  <c r="CS52" i="2"/>
  <c r="CX52" i="2" s="1"/>
  <c r="CQ52" i="2"/>
  <c r="CV52" i="2" s="1"/>
  <c r="CO56" i="2"/>
  <c r="CT56" i="2" s="1"/>
  <c r="CQ12" i="2"/>
  <c r="CV12" i="2" s="1"/>
  <c r="CP56" i="2"/>
  <c r="CU56" i="2" s="1"/>
  <c r="CP52" i="2"/>
  <c r="CU52" i="2" s="1"/>
  <c r="CQ18" i="2"/>
  <c r="CV18" i="2" s="1"/>
  <c r="CR12" i="2"/>
  <c r="CW12" i="2" s="1"/>
  <c r="CR50" i="2"/>
  <c r="CW50" i="2" s="1"/>
  <c r="CS12" i="2"/>
  <c r="CX12" i="2" s="1"/>
  <c r="CP14" i="2"/>
  <c r="CU14" i="2" s="1"/>
  <c r="CQ56" i="2"/>
  <c r="CV56" i="2" s="1"/>
  <c r="CS50" i="2"/>
  <c r="CX50" i="2" s="1"/>
  <c r="CN56" i="2"/>
  <c r="CP50" i="2"/>
  <c r="CU50" i="2" s="1"/>
  <c r="CO52" i="2"/>
  <c r="CT52" i="2" s="1"/>
  <c r="CP42" i="2"/>
  <c r="CU42" i="2" s="1"/>
  <c r="CQ46" i="2"/>
  <c r="CV46" i="2" s="1"/>
  <c r="CN39" i="2"/>
  <c r="CR38" i="2"/>
  <c r="CW38" i="2" s="1"/>
  <c r="CR39" i="2"/>
  <c r="CW39" i="2" s="1"/>
  <c r="CO39" i="2"/>
  <c r="CT39" i="2" s="1"/>
  <c r="CQ39" i="2"/>
  <c r="CV39" i="2" s="1"/>
  <c r="CP39" i="2"/>
  <c r="CU39" i="2" s="1"/>
  <c r="CN51" i="2"/>
  <c r="CP47" i="2"/>
  <c r="CU47" i="2" s="1"/>
  <c r="CQ42" i="2"/>
  <c r="CV42" i="2" s="1"/>
  <c r="CO38" i="2"/>
  <c r="CT38" i="2" s="1"/>
  <c r="CR51" i="2"/>
  <c r="CW51" i="2" s="1"/>
  <c r="CR42" i="2"/>
  <c r="CW42" i="2" s="1"/>
  <c r="CN38" i="2"/>
  <c r="CQ38" i="2"/>
  <c r="CV38" i="2" s="1"/>
  <c r="CQ47" i="2"/>
  <c r="CV47" i="2" s="1"/>
  <c r="CN47" i="2"/>
  <c r="CP38" i="2"/>
  <c r="CU38" i="2" s="1"/>
  <c r="CO47" i="2"/>
  <c r="CT47" i="2" s="1"/>
  <c r="CY13" i="2"/>
  <c r="CO19" i="2"/>
  <c r="CT19" i="2" s="1"/>
  <c r="CO25" i="2"/>
  <c r="CT25" i="2" s="1"/>
  <c r="CS15" i="2"/>
  <c r="CX15" i="2" s="1"/>
  <c r="CN25" i="2"/>
  <c r="CR15" i="2"/>
  <c r="CW15" i="2" s="1"/>
  <c r="CO15" i="2"/>
  <c r="CT15" i="2" s="1"/>
  <c r="CN24" i="2"/>
  <c r="CN19" i="2"/>
  <c r="CN15" i="2"/>
  <c r="CQ19" i="2"/>
  <c r="CV19" i="2" s="1"/>
  <c r="CP19" i="2"/>
  <c r="CU19" i="2" s="1"/>
  <c r="CY40" i="2"/>
  <c r="CZ40" i="2" s="1"/>
  <c r="CP25" i="2"/>
  <c r="CU25" i="2" s="1"/>
  <c r="CO24" i="2"/>
  <c r="CT24" i="2" s="1"/>
  <c r="CO21" i="2"/>
  <c r="CT21" i="2" s="1"/>
  <c r="CP21" i="2"/>
  <c r="CU21" i="2" s="1"/>
  <c r="CQ21" i="2"/>
  <c r="CV21" i="2" s="1"/>
  <c r="CR21" i="2"/>
  <c r="CW21" i="2" s="1"/>
  <c r="CS21" i="2"/>
  <c r="CX21" i="2" s="1"/>
  <c r="CN21" i="2"/>
  <c r="CP18" i="2"/>
  <c r="CU18" i="2" s="1"/>
  <c r="CS24" i="2"/>
  <c r="CX24" i="2" s="1"/>
  <c r="CO18" i="2"/>
  <c r="CT18" i="2" s="1"/>
  <c r="CR24" i="2"/>
  <c r="CW24" i="2" s="1"/>
  <c r="CN18" i="2"/>
  <c r="CR25" i="2"/>
  <c r="CW25" i="2" s="1"/>
  <c r="CS19" i="2"/>
  <c r="CX19" i="2" s="1"/>
  <c r="CQ15" i="2"/>
  <c r="CV15" i="2" s="1"/>
  <c r="CN20" i="2"/>
  <c r="CO20" i="2"/>
  <c r="CT20" i="2" s="1"/>
  <c r="CP20" i="2"/>
  <c r="CU20" i="2" s="1"/>
  <c r="CQ20" i="2"/>
  <c r="CV20" i="2" s="1"/>
  <c r="CR20" i="2"/>
  <c r="CW20" i="2" s="1"/>
  <c r="CS20" i="2"/>
  <c r="CX20" i="2" s="1"/>
  <c r="CQ24" i="2"/>
  <c r="CV24" i="2" s="1"/>
  <c r="CS18" i="2"/>
  <c r="CX18" i="2" s="1"/>
  <c r="CS25" i="2"/>
  <c r="CX25" i="2" s="1"/>
  <c r="CY61" i="2"/>
  <c r="CZ61" i="2" s="1"/>
  <c r="CY48" i="2"/>
  <c r="CY49" i="2"/>
  <c r="CY11" i="2"/>
  <c r="CY17" i="2" l="1"/>
  <c r="EV23" i="2"/>
  <c r="FI23" i="2"/>
  <c r="EU39" i="2"/>
  <c r="FH39" i="2"/>
  <c r="ET52" i="2"/>
  <c r="FG52" i="2"/>
  <c r="ER46" i="2"/>
  <c r="FE46" i="2"/>
  <c r="EU43" i="2"/>
  <c r="FH43" i="2"/>
  <c r="EV39" i="2"/>
  <c r="FI39" i="2"/>
  <c r="ES21" i="2"/>
  <c r="FF21" i="2"/>
  <c r="EV53" i="2"/>
  <c r="FI53" i="2"/>
  <c r="ET60" i="2"/>
  <c r="FG60" i="2"/>
  <c r="ES46" i="2"/>
  <c r="FF46" i="2"/>
  <c r="EV43" i="2"/>
  <c r="FI43" i="2"/>
  <c r="ET23" i="2"/>
  <c r="FG23" i="2"/>
  <c r="ER56" i="2"/>
  <c r="FE56" i="2"/>
  <c r="ET50" i="2"/>
  <c r="FG50" i="2"/>
  <c r="EV55" i="2"/>
  <c r="FI55" i="2"/>
  <c r="ER17" i="2"/>
  <c r="FE17" i="2"/>
  <c r="ER39" i="2"/>
  <c r="FE39" i="2"/>
  <c r="ET44" i="2"/>
  <c r="FG44" i="2"/>
  <c r="EU40" i="2"/>
  <c r="FH40" i="2"/>
  <c r="ER21" i="2"/>
  <c r="FE21" i="2"/>
  <c r="EU42" i="2"/>
  <c r="FH42" i="2"/>
  <c r="EV52" i="2"/>
  <c r="FI52" i="2"/>
  <c r="ER61" i="2"/>
  <c r="FE61" i="2"/>
  <c r="EU48" i="2"/>
  <c r="FH48" i="2"/>
  <c r="EU60" i="2"/>
  <c r="FH60" i="2"/>
  <c r="EV16" i="2"/>
  <c r="FI16" i="2"/>
  <c r="EU16" i="2"/>
  <c r="FH16" i="2"/>
  <c r="ET40" i="2"/>
  <c r="FG40" i="2"/>
  <c r="EU52" i="2"/>
  <c r="FH52" i="2"/>
  <c r="ET48" i="2"/>
  <c r="FG48" i="2"/>
  <c r="ET46" i="2"/>
  <c r="FG46" i="2"/>
  <c r="ER54" i="2"/>
  <c r="FE54" i="2"/>
  <c r="ES23" i="2"/>
  <c r="FF23" i="2"/>
  <c r="ES56" i="2"/>
  <c r="FF56" i="2"/>
  <c r="EU50" i="2"/>
  <c r="FH50" i="2"/>
  <c r="ER55" i="2"/>
  <c r="FE55" i="2"/>
  <c r="EV58" i="2"/>
  <c r="FI58" i="2"/>
  <c r="ES39" i="2"/>
  <c r="FF39" i="2"/>
  <c r="EU44" i="2"/>
  <c r="FH44" i="2"/>
  <c r="EV40" i="2"/>
  <c r="FI40" i="2"/>
  <c r="EV21" i="2"/>
  <c r="FI21" i="2"/>
  <c r="ES41" i="2"/>
  <c r="FF41" i="2"/>
  <c r="ER52" i="2"/>
  <c r="FE52" i="2"/>
  <c r="ES61" i="2"/>
  <c r="FF61" i="2"/>
  <c r="EV48" i="2"/>
  <c r="FI48" i="2"/>
  <c r="EV60" i="2"/>
  <c r="FI60" i="2"/>
  <c r="ET17" i="2"/>
  <c r="FG17" i="2"/>
  <c r="ES42" i="2"/>
  <c r="FF42" i="2"/>
  <c r="EU53" i="2"/>
  <c r="FH53" i="2"/>
  <c r="EU55" i="2"/>
  <c r="FH55" i="2"/>
  <c r="EU47" i="2"/>
  <c r="FH47" i="2"/>
  <c r="EU46" i="2"/>
  <c r="FH46" i="2"/>
  <c r="ES54" i="2"/>
  <c r="FF54" i="2"/>
  <c r="ER23" i="2"/>
  <c r="FE23" i="2"/>
  <c r="ET56" i="2"/>
  <c r="FG56" i="2"/>
  <c r="ER59" i="2"/>
  <c r="FE59" i="2"/>
  <c r="ES55" i="2"/>
  <c r="FF55" i="2"/>
  <c r="ES58" i="2"/>
  <c r="FF58" i="2"/>
  <c r="ET39" i="2"/>
  <c r="EW39" i="2" s="1"/>
  <c r="FG39" i="2"/>
  <c r="EV44" i="2"/>
  <c r="FI44" i="2"/>
  <c r="ER51" i="2"/>
  <c r="FE51" i="2"/>
  <c r="EU21" i="2"/>
  <c r="FH21" i="2"/>
  <c r="ET41" i="2"/>
  <c r="FG41" i="2"/>
  <c r="ES52" i="2"/>
  <c r="FF52" i="2"/>
  <c r="ET61" i="2"/>
  <c r="FG61" i="2"/>
  <c r="ES57" i="2"/>
  <c r="FF57" i="2"/>
  <c r="ER60" i="2"/>
  <c r="FE60" i="2"/>
  <c r="EU38" i="2"/>
  <c r="FH38" i="2"/>
  <c r="EU23" i="2"/>
  <c r="FH23" i="2"/>
  <c r="EV38" i="2"/>
  <c r="FI38" i="2"/>
  <c r="ET42" i="2"/>
  <c r="FG42" i="2"/>
  <c r="EV47" i="2"/>
  <c r="FI47" i="2"/>
  <c r="ET16" i="2"/>
  <c r="FG16" i="2"/>
  <c r="EU56" i="2"/>
  <c r="FH56" i="2"/>
  <c r="ES59" i="2"/>
  <c r="FF59" i="2"/>
  <c r="ET55" i="2"/>
  <c r="FG55" i="2"/>
  <c r="ET58" i="2"/>
  <c r="FG58" i="2"/>
  <c r="ER38" i="2"/>
  <c r="FE38" i="2"/>
  <c r="ER44" i="2"/>
  <c r="FE44" i="2"/>
  <c r="ES51" i="2"/>
  <c r="FF51" i="2"/>
  <c r="ET21" i="2"/>
  <c r="FG21" i="2"/>
  <c r="EU41" i="2"/>
  <c r="FH41" i="2"/>
  <c r="ER53" i="2"/>
  <c r="FE53" i="2"/>
  <c r="EU61" i="2"/>
  <c r="FH61" i="2"/>
  <c r="ET57" i="2"/>
  <c r="FG57" i="2"/>
  <c r="ES60" i="2"/>
  <c r="FF60" i="2"/>
  <c r="ET43" i="2"/>
  <c r="FG43" i="2"/>
  <c r="EU59" i="2"/>
  <c r="FH59" i="2"/>
  <c r="EV51" i="2"/>
  <c r="FI51" i="2"/>
  <c r="ER57" i="2"/>
  <c r="FE57" i="2"/>
  <c r="ES17" i="2"/>
  <c r="FF17" i="2"/>
  <c r="EV46" i="2"/>
  <c r="FI46" i="2"/>
  <c r="ER47" i="2"/>
  <c r="FE47" i="2"/>
  <c r="ER43" i="2"/>
  <c r="FE43" i="2"/>
  <c r="EU54" i="2"/>
  <c r="FH54" i="2"/>
  <c r="ES16" i="2"/>
  <c r="FF16" i="2"/>
  <c r="EV56" i="2"/>
  <c r="FI56" i="2"/>
  <c r="ET59" i="2"/>
  <c r="FG59" i="2"/>
  <c r="EV17" i="2"/>
  <c r="FI17" i="2"/>
  <c r="ER58" i="2"/>
  <c r="FE58" i="2"/>
  <c r="ES38" i="2"/>
  <c r="FF38" i="2"/>
  <c r="ES44" i="2"/>
  <c r="FF44" i="2"/>
  <c r="ET51" i="2"/>
  <c r="FG51" i="2"/>
  <c r="EV42" i="2"/>
  <c r="FI42" i="2"/>
  <c r="EV41" i="2"/>
  <c r="FI41" i="2"/>
  <c r="ES53" i="2"/>
  <c r="FF53" i="2"/>
  <c r="EV61" i="2"/>
  <c r="FI61" i="2"/>
  <c r="EU57" i="2"/>
  <c r="FH57" i="2"/>
  <c r="ET47" i="2"/>
  <c r="FG47" i="2"/>
  <c r="ER50" i="2"/>
  <c r="FE50" i="2"/>
  <c r="ES40" i="2"/>
  <c r="FF40" i="2"/>
  <c r="ES48" i="2"/>
  <c r="FF48" i="2"/>
  <c r="ES50" i="2"/>
  <c r="FF50" i="2"/>
  <c r="ET54" i="2"/>
  <c r="FG54" i="2"/>
  <c r="ES47" i="2"/>
  <c r="FF47" i="2"/>
  <c r="ES43" i="2"/>
  <c r="FF43" i="2"/>
  <c r="EV54" i="2"/>
  <c r="FI54" i="2"/>
  <c r="ER16" i="2"/>
  <c r="FE16" i="2"/>
  <c r="EV50" i="2"/>
  <c r="FI50" i="2"/>
  <c r="EV59" i="2"/>
  <c r="FI59" i="2"/>
  <c r="EU17" i="2"/>
  <c r="FH17" i="2"/>
  <c r="EU58" i="2"/>
  <c r="FH58" i="2"/>
  <c r="ET38" i="2"/>
  <c r="FG38" i="2"/>
  <c r="ER40" i="2"/>
  <c r="FE40" i="2"/>
  <c r="EU51" i="2"/>
  <c r="FH51" i="2"/>
  <c r="ER42" i="2"/>
  <c r="FE42" i="2"/>
  <c r="ER41" i="2"/>
  <c r="EW41" i="2" s="1"/>
  <c r="FE41" i="2"/>
  <c r="FJ41" i="2" s="1"/>
  <c r="FL41" i="2" s="1"/>
  <c r="ET53" i="2"/>
  <c r="FG53" i="2"/>
  <c r="ER48" i="2"/>
  <c r="FE48" i="2"/>
  <c r="EV57" i="2"/>
  <c r="FI57" i="2"/>
  <c r="CY26" i="2"/>
  <c r="CZ26" i="2" s="1"/>
  <c r="EM13" i="2"/>
  <c r="EN13" i="2"/>
  <c r="EO13" i="2"/>
  <c r="EP13" i="2"/>
  <c r="EQ13" i="2"/>
  <c r="EN11" i="2"/>
  <c r="EO11" i="2"/>
  <c r="EP11" i="2"/>
  <c r="EQ11" i="2"/>
  <c r="EM11" i="2"/>
  <c r="EQ19" i="2"/>
  <c r="EM19" i="2"/>
  <c r="EN19" i="2"/>
  <c r="EO19" i="2"/>
  <c r="EP19" i="2"/>
  <c r="EN25" i="2"/>
  <c r="EO25" i="2"/>
  <c r="EP25" i="2"/>
  <c r="EQ25" i="2"/>
  <c r="EM15" i="2"/>
  <c r="EN15" i="2"/>
  <c r="EO15" i="2"/>
  <c r="EP15" i="2"/>
  <c r="EQ15" i="2"/>
  <c r="EP24" i="2"/>
  <c r="EQ24" i="2"/>
  <c r="EM24" i="2"/>
  <c r="EN24" i="2"/>
  <c r="EO24" i="2"/>
  <c r="EO14" i="2"/>
  <c r="EP14" i="2"/>
  <c r="EQ14" i="2"/>
  <c r="EM14" i="2"/>
  <c r="EN14" i="2"/>
  <c r="EN18" i="2"/>
  <c r="EO18" i="2"/>
  <c r="EP18" i="2"/>
  <c r="EQ18" i="2"/>
  <c r="EM18" i="2"/>
  <c r="EM20" i="2"/>
  <c r="EN20" i="2"/>
  <c r="EO20" i="2"/>
  <c r="EP20" i="2"/>
  <c r="EQ20" i="2"/>
  <c r="EQ12" i="2"/>
  <c r="EM12" i="2"/>
  <c r="EN12" i="2"/>
  <c r="EO12" i="2"/>
  <c r="EP12" i="2"/>
  <c r="EM22" i="2"/>
  <c r="EN22" i="2"/>
  <c r="EO22" i="2"/>
  <c r="EP22" i="2"/>
  <c r="EQ22" i="2"/>
  <c r="EN26" i="2"/>
  <c r="EO26" i="2"/>
  <c r="EP26" i="2"/>
  <c r="EQ26" i="2"/>
  <c r="EM26" i="2"/>
  <c r="CY22" i="2"/>
  <c r="CZ22" i="2" s="1"/>
  <c r="CZ41" i="2"/>
  <c r="CZ49" i="2"/>
  <c r="CY44" i="2"/>
  <c r="CZ44" i="2" s="1"/>
  <c r="CY23" i="2"/>
  <c r="CZ23" i="2" s="1"/>
  <c r="CY54" i="2"/>
  <c r="CZ54" i="2" s="1"/>
  <c r="CY43" i="2"/>
  <c r="CZ43" i="2" s="1"/>
  <c r="CZ13" i="2"/>
  <c r="CZ17" i="2"/>
  <c r="CY53" i="2"/>
  <c r="CZ53" i="2" s="1"/>
  <c r="CZ11" i="2"/>
  <c r="CY60" i="2"/>
  <c r="CZ60" i="2" s="1"/>
  <c r="CY58" i="2"/>
  <c r="CZ58" i="2" s="1"/>
  <c r="CY57" i="2"/>
  <c r="CZ57" i="2" s="1"/>
  <c r="CY45" i="2"/>
  <c r="CZ45" i="2" s="1"/>
  <c r="CY51" i="2"/>
  <c r="CZ51" i="2" s="1"/>
  <c r="CY16" i="2"/>
  <c r="CZ48" i="2"/>
  <c r="CY55" i="2"/>
  <c r="CZ55" i="2" s="1"/>
  <c r="CY39" i="2"/>
  <c r="CZ39" i="2" s="1"/>
  <c r="CY52" i="2"/>
  <c r="CZ52" i="2" s="1"/>
  <c r="CY59" i="2"/>
  <c r="CZ59" i="2" s="1"/>
  <c r="CY19" i="2"/>
  <c r="CY14" i="2"/>
  <c r="CY15" i="2"/>
  <c r="CY50" i="2"/>
  <c r="CZ50" i="2" s="1"/>
  <c r="CY42" i="2"/>
  <c r="CZ42" i="2" s="1"/>
  <c r="CY47" i="2"/>
  <c r="CZ47" i="2" s="1"/>
  <c r="CY46" i="2"/>
  <c r="CZ46" i="2" s="1"/>
  <c r="CY12" i="2"/>
  <c r="CY56" i="2"/>
  <c r="CZ56" i="2" s="1"/>
  <c r="CY25" i="2"/>
  <c r="CY38" i="2"/>
  <c r="CZ38" i="2" s="1"/>
  <c r="CY18" i="2"/>
  <c r="CY24" i="2"/>
  <c r="CY20" i="2"/>
  <c r="CY21" i="2"/>
  <c r="EW54" i="2" l="1"/>
  <c r="EW21" i="2"/>
  <c r="EW17" i="2"/>
  <c r="EW42" i="2"/>
  <c r="EW44" i="2"/>
  <c r="EW43" i="2"/>
  <c r="FJ17" i="2"/>
  <c r="FL17" i="2" s="1"/>
  <c r="EW53" i="2"/>
  <c r="EW46" i="2"/>
  <c r="FJ44" i="2"/>
  <c r="FL44" i="2" s="1"/>
  <c r="FJ46" i="2"/>
  <c r="FL46" i="2" s="1"/>
  <c r="EW40" i="2"/>
  <c r="EW59" i="2"/>
  <c r="EW61" i="2"/>
  <c r="FJ23" i="2"/>
  <c r="FL23" i="2" s="1"/>
  <c r="EW16" i="2"/>
  <c r="EW57" i="2"/>
  <c r="EW55" i="2"/>
  <c r="EW60" i="2"/>
  <c r="EW56" i="2"/>
  <c r="EW48" i="2"/>
  <c r="EW50" i="2"/>
  <c r="EW38" i="2"/>
  <c r="EW47" i="2"/>
  <c r="EW58" i="2"/>
  <c r="EW23" i="2"/>
  <c r="EW51" i="2"/>
  <c r="EW52" i="2"/>
  <c r="ES24" i="2"/>
  <c r="FF24" i="2"/>
  <c r="FJ21" i="2"/>
  <c r="FL21" i="2" s="1"/>
  <c r="EU20" i="2"/>
  <c r="FH20" i="2"/>
  <c r="EV26" i="2"/>
  <c r="FI26" i="2"/>
  <c r="ET13" i="2"/>
  <c r="FG13" i="2"/>
  <c r="FJ42" i="2"/>
  <c r="FL42" i="2" s="1"/>
  <c r="FJ16" i="2"/>
  <c r="FL16" i="2" s="1"/>
  <c r="FJ50" i="2"/>
  <c r="FL50" i="2" s="1"/>
  <c r="FJ51" i="2"/>
  <c r="FL51" i="2" s="1"/>
  <c r="FJ61" i="2"/>
  <c r="FL61" i="2" s="1"/>
  <c r="ET22" i="2"/>
  <c r="FG22" i="2"/>
  <c r="EU12" i="2"/>
  <c r="FH12" i="2"/>
  <c r="ES13" i="2"/>
  <c r="FF13" i="2"/>
  <c r="FJ53" i="2"/>
  <c r="FL53" i="2" s="1"/>
  <c r="EV20" i="2"/>
  <c r="FI20" i="2"/>
  <c r="EV13" i="2"/>
  <c r="FI13" i="2"/>
  <c r="ER19" i="2"/>
  <c r="FE19" i="2"/>
  <c r="FJ58" i="2"/>
  <c r="FL58" i="2" s="1"/>
  <c r="FJ59" i="2"/>
  <c r="FL59" i="2" s="1"/>
  <c r="FJ55" i="2"/>
  <c r="FL55" i="2" s="1"/>
  <c r="FJ54" i="2"/>
  <c r="FL54" i="2" s="1"/>
  <c r="ET18" i="2"/>
  <c r="FG18" i="2"/>
  <c r="ES22" i="2"/>
  <c r="FF22" i="2"/>
  <c r="ES18" i="2"/>
  <c r="FF18" i="2"/>
  <c r="EU13" i="2"/>
  <c r="FH13" i="2"/>
  <c r="ET20" i="2"/>
  <c r="FG20" i="2"/>
  <c r="ER14" i="2"/>
  <c r="FE14" i="2"/>
  <c r="ET25" i="2"/>
  <c r="FG25" i="2"/>
  <c r="ER20" i="2"/>
  <c r="FE20" i="2"/>
  <c r="ES25" i="2"/>
  <c r="FF25" i="2"/>
  <c r="ES26" i="2"/>
  <c r="FF26" i="2"/>
  <c r="ES12" i="2"/>
  <c r="FF12" i="2"/>
  <c r="ER18" i="2"/>
  <c r="FE18" i="2"/>
  <c r="EU14" i="2"/>
  <c r="FH14" i="2"/>
  <c r="EU15" i="2"/>
  <c r="FH15" i="2"/>
  <c r="ER25" i="2"/>
  <c r="FE25" i="2"/>
  <c r="EU11" i="2"/>
  <c r="FH11" i="2"/>
  <c r="FJ43" i="2"/>
  <c r="FL43" i="2" s="1"/>
  <c r="FJ57" i="2"/>
  <c r="FL57" i="2" s="1"/>
  <c r="FJ38" i="2"/>
  <c r="FL38" i="2" s="1"/>
  <c r="ES19" i="2"/>
  <c r="FF19" i="2"/>
  <c r="ER26" i="2"/>
  <c r="FE26" i="2"/>
  <c r="EV25" i="2"/>
  <c r="FI25" i="2"/>
  <c r="ER22" i="2"/>
  <c r="FE22" i="2"/>
  <c r="EV24" i="2"/>
  <c r="FI24" i="2"/>
  <c r="EV19" i="2"/>
  <c r="FI19" i="2"/>
  <c r="EU26" i="2"/>
  <c r="FH26" i="2"/>
  <c r="ER11" i="2"/>
  <c r="FE11" i="2"/>
  <c r="ET12" i="2"/>
  <c r="FG12" i="2"/>
  <c r="EV15" i="2"/>
  <c r="FI15" i="2"/>
  <c r="EV11" i="2"/>
  <c r="FI11" i="2"/>
  <c r="EV22" i="2"/>
  <c r="FI22" i="2"/>
  <c r="ER12" i="2"/>
  <c r="FE12" i="2"/>
  <c r="EV18" i="2"/>
  <c r="FI18" i="2"/>
  <c r="ET14" i="2"/>
  <c r="FG14" i="2"/>
  <c r="ET15" i="2"/>
  <c r="FG15" i="2"/>
  <c r="EU19" i="2"/>
  <c r="FH19" i="2"/>
  <c r="ET11" i="2"/>
  <c r="FG11" i="2"/>
  <c r="FJ40" i="2"/>
  <c r="FL40" i="2" s="1"/>
  <c r="FJ60" i="2"/>
  <c r="FL60" i="2" s="1"/>
  <c r="FJ52" i="2"/>
  <c r="FL52" i="2" s="1"/>
  <c r="FJ39" i="2"/>
  <c r="FL39" i="2" s="1"/>
  <c r="FJ56" i="2"/>
  <c r="FL56" i="2" s="1"/>
  <c r="ER15" i="2"/>
  <c r="FE15" i="2"/>
  <c r="ER24" i="2"/>
  <c r="FE24" i="2"/>
  <c r="ES14" i="2"/>
  <c r="FF14" i="2"/>
  <c r="EU25" i="2"/>
  <c r="FH25" i="2"/>
  <c r="ES20" i="2"/>
  <c r="FF20" i="2"/>
  <c r="EU24" i="2"/>
  <c r="FH24" i="2"/>
  <c r="ET26" i="2"/>
  <c r="FG26" i="2"/>
  <c r="EV14" i="2"/>
  <c r="FI14" i="2"/>
  <c r="ER13" i="2"/>
  <c r="FE13" i="2"/>
  <c r="FJ48" i="2"/>
  <c r="FL48" i="2" s="1"/>
  <c r="EU22" i="2"/>
  <c r="FH22" i="2"/>
  <c r="EV12" i="2"/>
  <c r="FI12" i="2"/>
  <c r="EU18" i="2"/>
  <c r="FH18" i="2"/>
  <c r="ET24" i="2"/>
  <c r="FG24" i="2"/>
  <c r="ES15" i="2"/>
  <c r="FF15" i="2"/>
  <c r="ET19" i="2"/>
  <c r="FG19" i="2"/>
  <c r="ES11" i="2"/>
  <c r="FF11" i="2"/>
  <c r="FJ47" i="2"/>
  <c r="FL47" i="2" s="1"/>
  <c r="CZ18" i="2"/>
  <c r="CZ15" i="2"/>
  <c r="CZ14" i="2"/>
  <c r="CZ20" i="2"/>
  <c r="CZ24" i="2"/>
  <c r="CZ16" i="2"/>
  <c r="CZ25" i="2"/>
  <c r="CZ19" i="2"/>
  <c r="CZ12" i="2"/>
  <c r="DA58" i="2"/>
  <c r="CZ21" i="2"/>
  <c r="DA46" i="2"/>
  <c r="DA42" i="2"/>
  <c r="DA54" i="2"/>
  <c r="DA38" i="2"/>
  <c r="DA50" i="2"/>
  <c r="J49" i="2"/>
  <c r="J45" i="2"/>
  <c r="EW20" i="2" l="1"/>
  <c r="EX50" i="2"/>
  <c r="EX54" i="2"/>
  <c r="EX38" i="2"/>
  <c r="EW11" i="2"/>
  <c r="EX58" i="2"/>
  <c r="EW14" i="2"/>
  <c r="EW13" i="2"/>
  <c r="FM54" i="2"/>
  <c r="EW22" i="2"/>
  <c r="EW24" i="2"/>
  <c r="FJ26" i="2"/>
  <c r="FL26" i="2" s="1"/>
  <c r="FJ13" i="2"/>
  <c r="FL13" i="2" s="1"/>
  <c r="EW15" i="2"/>
  <c r="EW19" i="2"/>
  <c r="EW26" i="2"/>
  <c r="EW25" i="2"/>
  <c r="EW18" i="2"/>
  <c r="FM58" i="2"/>
  <c r="EW12" i="2"/>
  <c r="FJ15" i="2"/>
  <c r="FL15" i="2" s="1"/>
  <c r="FJ18" i="2"/>
  <c r="FL18" i="2" s="1"/>
  <c r="FJ20" i="2"/>
  <c r="FL20" i="2" s="1"/>
  <c r="FJ12" i="2"/>
  <c r="FL12" i="2" s="1"/>
  <c r="FJ25" i="2"/>
  <c r="FL25" i="2" s="1"/>
  <c r="FJ11" i="2"/>
  <c r="FL11" i="2" s="1"/>
  <c r="FJ22" i="2"/>
  <c r="FL22" i="2" s="1"/>
  <c r="FM50" i="2"/>
  <c r="FJ14" i="2"/>
  <c r="FL14" i="2" s="1"/>
  <c r="FJ19" i="2"/>
  <c r="FL19" i="2" s="1"/>
  <c r="FM38" i="2"/>
  <c r="FJ24" i="2"/>
  <c r="FL24" i="2" s="1"/>
  <c r="DA19" i="2"/>
  <c r="DA23" i="2"/>
  <c r="DA11" i="2"/>
  <c r="DA15" i="2"/>
  <c r="BA45" i="2"/>
  <c r="DB45" i="2" s="1"/>
  <c r="BA49" i="2"/>
  <c r="DB49" i="2" s="1"/>
  <c r="EX11" i="2" l="1"/>
  <c r="EX23" i="2"/>
  <c r="EX19" i="2"/>
  <c r="EX15" i="2"/>
  <c r="FM11" i="2"/>
  <c r="FS11" i="2" s="1"/>
  <c r="FM23" i="2"/>
  <c r="FM19" i="2"/>
  <c r="FM15" i="2"/>
  <c r="DN49" i="2"/>
  <c r="DM49" i="2"/>
  <c r="DL49" i="2"/>
  <c r="DK49" i="2"/>
  <c r="FQ49" i="2" s="1"/>
  <c r="FR49" i="2" s="1"/>
  <c r="FS46" i="2" s="1"/>
  <c r="DJ49" i="2"/>
  <c r="DI49" i="2"/>
  <c r="DN45" i="2"/>
  <c r="DM45" i="2"/>
  <c r="DL45" i="2"/>
  <c r="DK45" i="2"/>
  <c r="FQ45" i="2" s="1"/>
  <c r="FR45" i="2" s="1"/>
  <c r="FS42" i="2" s="1"/>
  <c r="DJ45" i="2"/>
  <c r="DI45" i="2"/>
  <c r="EC49" i="2" l="1"/>
  <c r="EZ49" i="2"/>
  <c r="EB45" i="2"/>
  <c r="EY45" i="2"/>
  <c r="ED49" i="2"/>
  <c r="FA49" i="2"/>
  <c r="EB49" i="2"/>
  <c r="EY49" i="2"/>
  <c r="EC45" i="2"/>
  <c r="EZ45" i="2"/>
  <c r="EE49" i="2"/>
  <c r="FB49" i="2"/>
  <c r="ED45" i="2"/>
  <c r="FA45" i="2"/>
  <c r="EF49" i="2"/>
  <c r="FC49" i="2"/>
  <c r="EE45" i="2"/>
  <c r="FB45" i="2"/>
  <c r="EG49" i="2"/>
  <c r="FD49" i="2"/>
  <c r="EF45" i="2"/>
  <c r="FC45" i="2"/>
  <c r="EG45" i="2"/>
  <c r="FD45" i="2"/>
  <c r="EH45" i="2"/>
  <c r="EI45" i="2"/>
  <c r="EJ49" i="2"/>
  <c r="EK49" i="2"/>
  <c r="EJ45" i="2"/>
  <c r="EL49" i="2"/>
  <c r="EK45" i="2"/>
  <c r="EL45" i="2"/>
  <c r="EH49" i="2"/>
  <c r="EI49" i="2"/>
  <c r="EM49" i="2" l="1"/>
  <c r="EQ49" i="2"/>
  <c r="EP49" i="2"/>
  <c r="EO49" i="2"/>
  <c r="EN49" i="2"/>
  <c r="EQ45" i="2"/>
  <c r="EP45" i="2"/>
  <c r="EO45" i="2"/>
  <c r="EN45" i="2"/>
  <c r="EM45" i="2"/>
  <c r="ET49" i="2" l="1"/>
  <c r="FG49" i="2"/>
  <c r="EU49" i="2"/>
  <c r="FH49" i="2"/>
  <c r="ES45" i="2"/>
  <c r="FF45" i="2"/>
  <c r="ER49" i="2"/>
  <c r="FE49" i="2"/>
  <c r="ES49" i="2"/>
  <c r="FF49" i="2"/>
  <c r="EV45" i="2"/>
  <c r="FI45" i="2"/>
  <c r="ER45" i="2"/>
  <c r="FE45" i="2"/>
  <c r="EV49" i="2"/>
  <c r="FI49" i="2"/>
  <c r="ET45" i="2"/>
  <c r="EW45" i="2" s="1"/>
  <c r="EX42" i="2" s="1"/>
  <c r="FG45" i="2"/>
  <c r="EU45" i="2"/>
  <c r="FH45" i="2"/>
  <c r="FJ45" i="2" l="1"/>
  <c r="FL45" i="2" s="1"/>
  <c r="FM42" i="2" s="1"/>
  <c r="EW49" i="2"/>
  <c r="EX46" i="2" s="1"/>
  <c r="FJ49" i="2"/>
  <c r="FL49" i="2" s="1"/>
  <c r="FM46" i="2" s="1"/>
  <c r="G14" i="1" l="1"/>
  <c r="G11" i="1"/>
  <c r="G12" i="1"/>
  <c r="G13" i="1"/>
  <c r="G15" i="1"/>
  <c r="G16" i="1"/>
  <c r="G10" i="1"/>
  <c r="I11" i="1"/>
  <c r="I12" i="1"/>
  <c r="I13" i="1"/>
  <c r="I14" i="1"/>
  <c r="I15" i="1"/>
  <c r="I16" i="1"/>
  <c r="I10" i="1"/>
</calcChain>
</file>

<file path=xl/sharedStrings.xml><?xml version="1.0" encoding="utf-8"?>
<sst xmlns="http://schemas.openxmlformats.org/spreadsheetml/2006/main" count="958" uniqueCount="244">
  <si>
    <t>Method 1</t>
  </si>
  <si>
    <t>input</t>
  </si>
  <si>
    <t>State</t>
  </si>
  <si>
    <t>MAT</t>
  </si>
  <si>
    <t>Production system</t>
  </si>
  <si>
    <t>Leaching zone</t>
  </si>
  <si>
    <t>Number of poultry in each class j and subclass k</t>
  </si>
  <si>
    <t>Duration of stay for each class and subclass of poultry</t>
  </si>
  <si>
    <t>i</t>
  </si>
  <si>
    <t>(true or false)</t>
  </si>
  <si>
    <t>Swine class</t>
  </si>
  <si>
    <t>Nj</t>
  </si>
  <si>
    <t>Dj</t>
  </si>
  <si>
    <t>j</t>
  </si>
  <si>
    <t>NSW</t>
  </si>
  <si>
    <t>NWj</t>
  </si>
  <si>
    <t>VSj</t>
  </si>
  <si>
    <t>MMSjm=5T=1</t>
  </si>
  <si>
    <t>MMSjm=1T=1</t>
  </si>
  <si>
    <t>MMSjm=4T=1</t>
  </si>
  <si>
    <t>MMSjm=7T=1</t>
  </si>
  <si>
    <t>MMSjm=8T=1</t>
  </si>
  <si>
    <t>MMSjm=9T=1</t>
  </si>
  <si>
    <t>SSj</t>
  </si>
  <si>
    <t>SNj</t>
  </si>
  <si>
    <t>boars</t>
  </si>
  <si>
    <t>sows</t>
  </si>
  <si>
    <t>gilts</t>
  </si>
  <si>
    <t>others</t>
  </si>
  <si>
    <t>Uncovered anaerobic lagoons</t>
  </si>
  <si>
    <t>Solid Storage</t>
  </si>
  <si>
    <t>Outdoor</t>
  </si>
  <si>
    <t>Covered/Digester</t>
  </si>
  <si>
    <t>Deep Litter</t>
  </si>
  <si>
    <t>Pit Storage &lt; 1 Month</t>
  </si>
  <si>
    <t>true/false</t>
  </si>
  <si>
    <t>Solids separated</t>
  </si>
  <si>
    <t>Solid separation rate</t>
  </si>
  <si>
    <t>Nitrogen separation rate</t>
  </si>
  <si>
    <t>QLD</t>
  </si>
  <si>
    <t>WA</t>
  </si>
  <si>
    <t>NT</t>
  </si>
  <si>
    <t>Class (j)</t>
  </si>
  <si>
    <t>Feed Intake (Ij)</t>
  </si>
  <si>
    <t>Volatile Solids (VSj)</t>
  </si>
  <si>
    <t>Nitrogen in Waste (NWj)</t>
  </si>
  <si>
    <t>Table A.1.6.1: Swine – Intake and manure characteristics derived from PigBal (2020-2024)</t>
  </si>
  <si>
    <t>MMS (m)</t>
  </si>
  <si>
    <t>anaerobicLagoon</t>
  </si>
  <si>
    <t>solidStorage</t>
  </si>
  <si>
    <t>m</t>
  </si>
  <si>
    <t>digester</t>
  </si>
  <si>
    <t>pitStorage</t>
  </si>
  <si>
    <t>deepLitter</t>
  </si>
  <si>
    <t>outdoorAndFreeRange</t>
  </si>
  <si>
    <t>directApplication</t>
  </si>
  <si>
    <t>Table A.1.6.2: Swine – Fraction of N volatilised by MMS</t>
  </si>
  <si>
    <t>FracGASMmT</t>
  </si>
  <si>
    <t>Table A.1.6.3: Swine – Nitrous oxide EFs by MMS</t>
  </si>
  <si>
    <t>EFm</t>
  </si>
  <si>
    <t>Table A.1.6.4: Swine – MCFs (by State)</t>
  </si>
  <si>
    <t>ACT</t>
  </si>
  <si>
    <t>SA</t>
  </si>
  <si>
    <t>TAS</t>
  </si>
  <si>
    <t>VIC</t>
  </si>
  <si>
    <t>NOTE: There are no ACT values, the NSW values are being used for ACT</t>
  </si>
  <si>
    <t>Fixed Constants</t>
  </si>
  <si>
    <t>VSLm</t>
  </si>
  <si>
    <t xml:space="preserve">4.5.2.3 </t>
  </si>
  <si>
    <t>Bo</t>
  </si>
  <si>
    <t>p</t>
  </si>
  <si>
    <t>CN2O</t>
  </si>
  <si>
    <t>EFLeach</t>
  </si>
  <si>
    <t>Production System</t>
  </si>
  <si>
    <t>EFN2O</t>
  </si>
  <si>
    <t>Irrigated pasture</t>
  </si>
  <si>
    <t>Irrigated crop</t>
  </si>
  <si>
    <t>Non-irrigated pasture</t>
  </si>
  <si>
    <t>Non-irrigated crop (low rainfall)</t>
  </si>
  <si>
    <t>Non-irrigated crop (high rainfall)</t>
  </si>
  <si>
    <t>FVSjm=1T=1</t>
  </si>
  <si>
    <t>FVSjm=5T=1</t>
  </si>
  <si>
    <t>FVSjm=7T=1</t>
  </si>
  <si>
    <t>FVSjm=8T=1</t>
  </si>
  <si>
    <t>FVSjm=9T=1</t>
  </si>
  <si>
    <t>FVSjm=4T=1</t>
  </si>
  <si>
    <t>Mjm=1T=1</t>
  </si>
  <si>
    <t>Mjm=5T=1</t>
  </si>
  <si>
    <t>Mjm=7T=1</t>
  </si>
  <si>
    <t>Mjm=8T=1</t>
  </si>
  <si>
    <t>Mjm=9T=1</t>
  </si>
  <si>
    <t>Mjm=4T=1</t>
  </si>
  <si>
    <t>MCFim=1</t>
  </si>
  <si>
    <t>MCFim=5</t>
  </si>
  <si>
    <t>MCFim=7</t>
  </si>
  <si>
    <t>MCFim=8</t>
  </si>
  <si>
    <t>MCFim=9</t>
  </si>
  <si>
    <t>MCFim=4</t>
  </si>
  <si>
    <t>ECH4jmT=1</t>
  </si>
  <si>
    <t>VSLm=1T=1</t>
  </si>
  <si>
    <t>VSLm=7T=1</t>
  </si>
  <si>
    <t>VSLm=8T=1</t>
  </si>
  <si>
    <t>VSLm=9T=1</t>
  </si>
  <si>
    <t>VSLm=4T=1</t>
  </si>
  <si>
    <t>VSTjmT=2</t>
  </si>
  <si>
    <t>MCFim=13</t>
  </si>
  <si>
    <t>Mjm=1T=2</t>
  </si>
  <si>
    <t>Mjm=4T=2</t>
  </si>
  <si>
    <t>Mjm=13T=2</t>
  </si>
  <si>
    <t>ECH4jmT=2</t>
  </si>
  <si>
    <t>ECH4j</t>
  </si>
  <si>
    <t>ECH4</t>
  </si>
  <si>
    <t>Ij</t>
  </si>
  <si>
    <t>Feed Intake</t>
  </si>
  <si>
    <t>AEj</t>
  </si>
  <si>
    <t>Volatile Solid production</t>
  </si>
  <si>
    <t>Nitrogen Waste production</t>
  </si>
  <si>
    <t>FNjm=1T=1</t>
  </si>
  <si>
    <t>FNjm=5T=1</t>
  </si>
  <si>
    <t>FNjm=7T=1</t>
  </si>
  <si>
    <t>FNjm=8T=1</t>
  </si>
  <si>
    <t>FNjm=9T=1</t>
  </si>
  <si>
    <t>FNjm=4T=1</t>
  </si>
  <si>
    <t>FracGASMm=1T=1</t>
  </si>
  <si>
    <t>FracGASMm=4T=1</t>
  </si>
  <si>
    <t>FracGASMm=5T=1</t>
  </si>
  <si>
    <t>FracGASMm=7T=1</t>
  </si>
  <si>
    <t>FracGASMm=8T=1</t>
  </si>
  <si>
    <t>FracGASMm=9T=1</t>
  </si>
  <si>
    <t>EFm=1</t>
  </si>
  <si>
    <t>EFm=5</t>
  </si>
  <si>
    <t>EFm=4</t>
  </si>
  <si>
    <t>EFm=7</t>
  </si>
  <si>
    <t>EFm=8</t>
  </si>
  <si>
    <t>EFm=9</t>
  </si>
  <si>
    <t>NTjm=1T=2</t>
  </si>
  <si>
    <t>NTjm=7T=2</t>
  </si>
  <si>
    <t>NTjm=4T=2</t>
  </si>
  <si>
    <t>NTjm=8T=2</t>
  </si>
  <si>
    <t>NTjm=9T=2</t>
  </si>
  <si>
    <t>MNjm=1T=1</t>
  </si>
  <si>
    <t>MNjm=5T=1</t>
  </si>
  <si>
    <t>MNjm=7T=1</t>
  </si>
  <si>
    <t>MNjm=8T=1</t>
  </si>
  <si>
    <t>MNjm=9T=1</t>
  </si>
  <si>
    <t>MNjm=4T=1</t>
  </si>
  <si>
    <t>MNjm=1T=2</t>
  </si>
  <si>
    <t>MNjm=4T=2</t>
  </si>
  <si>
    <t>EN2O,dir</t>
  </si>
  <si>
    <t>MMSATMOS (m=1, T=1)</t>
  </si>
  <si>
    <t>MMSATMOS (m=1, T=2)</t>
  </si>
  <si>
    <t>MMSATMOS (m=5, T=1)</t>
  </si>
  <si>
    <t>MMSATMOS (m=7, T=1)</t>
  </si>
  <si>
    <t>MMSATMOS (m=8, T=1)</t>
  </si>
  <si>
    <t>MMSATMOS (m=9, T=1)</t>
  </si>
  <si>
    <t>MMSATMOS (m=4, T=2)</t>
  </si>
  <si>
    <t>MMSATMOS (m=4, T=1)</t>
  </si>
  <si>
    <t>MMSATMOS (j)</t>
  </si>
  <si>
    <t>EN2O,ad</t>
  </si>
  <si>
    <t>EN2O,ad (j)</t>
  </si>
  <si>
    <t>FracWET</t>
  </si>
  <si>
    <t>MNLeachjm=5</t>
  </si>
  <si>
    <t>FracLEACHMS</t>
  </si>
  <si>
    <t>VSTjm=1T=2</t>
  </si>
  <si>
    <t>VSTjm=7T=2</t>
  </si>
  <si>
    <t>VSTjm=8T=2</t>
  </si>
  <si>
    <t>VSTjm=9T=2</t>
  </si>
  <si>
    <t>VSTjm=4T=2</t>
  </si>
  <si>
    <t>Stage 2</t>
  </si>
  <si>
    <t>Stage 1</t>
  </si>
  <si>
    <t>FVSjm=1T=2</t>
  </si>
  <si>
    <t>FVSjm=13T=2</t>
  </si>
  <si>
    <t>FVSjm=4T=2</t>
  </si>
  <si>
    <t>MNjm=13T=2</t>
  </si>
  <si>
    <t>EN2O,leach</t>
  </si>
  <si>
    <t>EN2O,leach (j)</t>
  </si>
  <si>
    <t>𝐸𝐶𝐻4 = ∑ ∑ ∑ (𝐷𝑗𝑚𝑇 × 𝑀𝑗𝑚𝑇 × 𝑁𝑗𝑚𝑇) × 10−3</t>
  </si>
  <si>
    <t>𝑀𝑗𝑚 𝑇=1 = 𝑉𝑆𝑗 × 𝐹𝑉𝑆𝑗𝑚 𝑇=1 × 𝑀𝐶𝐹𝑖𝑚 × 𝐵𝑂 × 𝜌</t>
  </si>
  <si>
    <t>expression</t>
  </si>
  <si>
    <t>constant</t>
  </si>
  <si>
    <t>𝐹𝑉𝑆𝑗𝑚 𝑇=1 = 𝑀𝑀𝑆𝑗𝑚 𝑇=1 × (1 − 𝑆𝑆𝑚)</t>
  </si>
  <si>
    <t>NOTE: The unconfirmed implication is that this expression only applies for m=1,7,9</t>
  </si>
  <si>
    <t>𝐹𝑉𝑆𝑗𝑚=4 𝑇=1 = 𝑀𝑀𝑆𝑗𝑚=4 𝑇=1 + (𝑀𝑀𝑆𝑗𝑚=1,7,9 𝑇=1 × 𝑆𝑆𝑚)</t>
  </si>
  <si>
    <t>Annual nitrogen excretion</t>
  </si>
  <si>
    <t>Fraction of nitrogen per system (stage 1)</t>
  </si>
  <si>
    <t>Mass of nitrogen per system (stage 1)</t>
  </si>
  <si>
    <t>Mass of nitrogen per system (stage 2)</t>
  </si>
  <si>
    <t>𝐴𝐸𝑗 = 𝑁𝑗 × 𝑁𝑊𝑗 × 𝐷</t>
  </si>
  <si>
    <t>𝐹𝑁𝑗𝑚 𝑇=1 = 𝑀𝑀𝑆𝑗𝑚 𝑇=1 × (1 − 𝑆𝑁𝑚)</t>
  </si>
  <si>
    <t>𝐹𝑁 𝑗𝑚=4 𝑇=1 = 𝑀𝑀𝑆 𝑗𝑚=4 𝑇=1 + (𝑀𝑀𝑆𝑗𝑚=1,7,9 𝑇=1 × 𝑆𝑁𝑚)</t>
  </si>
  <si>
    <t>𝑀𝑁 𝑗𝑚 𝑇=1 = 𝐴𝐸 𝑗 × 𝐹𝑁 𝑗𝑚 𝑇=1</t>
  </si>
  <si>
    <t>MCFim BY MAT</t>
  </si>
  <si>
    <t>10 or below</t>
  </si>
  <si>
    <t>28 or above</t>
  </si>
  <si>
    <t>Method 2</t>
  </si>
  <si>
    <t>Not used in any of these equations</t>
  </si>
  <si>
    <t>m=1</t>
  </si>
  <si>
    <t>m=4</t>
  </si>
  <si>
    <t>m=7</t>
  </si>
  <si>
    <t>m=13</t>
  </si>
  <si>
    <t>m=8</t>
  </si>
  <si>
    <t>m=9</t>
  </si>
  <si>
    <t>SSm=1</t>
  </si>
  <si>
    <t>SNm=1</t>
  </si>
  <si>
    <t>SSm=7</t>
  </si>
  <si>
    <t>SNm=7</t>
  </si>
  <si>
    <t>SSm=9</t>
  </si>
  <si>
    <t>SNm=9</t>
  </si>
  <si>
    <t>MMSjm=1T=2</t>
  </si>
  <si>
    <t>MMSjm=4T=2</t>
  </si>
  <si>
    <t>MMSjm=7T=2</t>
  </si>
  <si>
    <t>MMSjm=9T=2</t>
  </si>
  <si>
    <t>MMSjm=13T=2</t>
  </si>
  <si>
    <t>Direct Application</t>
  </si>
  <si>
    <t>Allocations from anaerobic lagoons (m=1)</t>
  </si>
  <si>
    <t>Allocations from solid storage (m=4)</t>
  </si>
  <si>
    <t>Allocations from covered lagoons/digesters (m=7)</t>
  </si>
  <si>
    <t>Allocations from deep litter (m=8)</t>
  </si>
  <si>
    <t>Allocations from pit storage (m=9)</t>
  </si>
  <si>
    <t>FVSjm=7T=2</t>
  </si>
  <si>
    <t>FVSjm=9T=2</t>
  </si>
  <si>
    <t>Mjm=7T=2</t>
  </si>
  <si>
    <t>Mjm=9T=2</t>
  </si>
  <si>
    <t>EN2O,dir (T=1, m=1)</t>
  </si>
  <si>
    <t>EN2O,dir (T=1, m=4)</t>
  </si>
  <si>
    <t>EN2O,dir (T=1, m=5)</t>
  </si>
  <si>
    <t>EN2O,dir (T=1, m=7)</t>
  </si>
  <si>
    <t>EN2O,dir (T=1, m=8)</t>
  </si>
  <si>
    <t>EN2O,dir (T=1, m=9)</t>
  </si>
  <si>
    <t>MNjm=7T=2</t>
  </si>
  <si>
    <t>MNjm=9T=2</t>
  </si>
  <si>
    <t>EN2O,dir (T=2, m=1)</t>
  </si>
  <si>
    <t>EN2O,dir (T=2, m=4)</t>
  </si>
  <si>
    <t>EN2O,dir (T=2, m=7)</t>
  </si>
  <si>
    <t>EN2O,dir (T=2, m=9)</t>
  </si>
  <si>
    <t>EN2O,dir (T=2, m=13)</t>
  </si>
  <si>
    <t>EN2O,dir (j)</t>
  </si>
  <si>
    <t>MMSATMOS (m=7, T=2)</t>
  </si>
  <si>
    <t>MMSATMOS (m=13, T=2)</t>
  </si>
  <si>
    <t>MMSATMOS (m=9, T=2)</t>
  </si>
  <si>
    <t>Total</t>
  </si>
  <si>
    <t>`</t>
  </si>
  <si>
    <t>Nitrogen leaving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</si>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</sst>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4" fillId="0" borderId="0" xfId="0" applyFont="1"/>
    <xf numFmtId="0" fontId="3" fillId="8" borderId="0" xfId="0" applyFont="1" applyFill="1"/>
    <xf numFmtId="0" fontId="3" fillId="0" borderId="0" xfId="0" applyFont="1"/>
    <xf numFmtId="0" fontId="5" fillId="0" borderId="0" xfId="0" applyFont="1"/>
    <xf numFmtId="0" fontId="0" fillId="9" borderId="0" xfId="0" applyFill="1"/>
    <xf numFmtId="0" fontId="0" fillId="2" borderId="0" xfId="0" applyFill="1"/>
    <xf numFmtId="0" fontId="0" fillId="10" borderId="0" xfId="0" applyFill="1"/>
    <xf numFmtId="0" fontId="4" fillId="0" borderId="1" xfId="0" applyFont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0" fillId="2" borderId="1" xfId="0" applyFill="1" applyBorder="1"/>
    <xf numFmtId="0" fontId="0" fillId="0" borderId="2" xfId="0" applyBorder="1"/>
    <xf numFmtId="0" fontId="0" fillId="11" borderId="1" xfId="0" applyFill="1" applyBorder="1"/>
    <xf numFmtId="0" fontId="0" fillId="11" borderId="0" xfId="0" applyFill="1"/>
    <xf numFmtId="0" fontId="0" fillId="0" borderId="3" xfId="0" applyBorder="1"/>
    <xf numFmtId="0" fontId="0" fillId="11" borderId="4" xfId="0" applyFill="1" applyBorder="1"/>
    <xf numFmtId="0" fontId="0" fillId="11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1" fillId="2" borderId="4" xfId="0" applyFont="1" applyFill="1" applyBorder="1"/>
    <xf numFmtId="2" fontId="0" fillId="0" borderId="2" xfId="0" applyNumberFormat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/common.xlsx" TargetMode="External"/><Relationship Id="rId1" Type="http://schemas.openxmlformats.org/officeDocument/2006/relationships/externalLinkPath" Target="../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DD24-2366-F94A-958C-F60BB24EEF0C}">
  <dimension ref="A1:R38"/>
  <sheetViews>
    <sheetView tabSelected="1" workbookViewId="0">
      <selection activeCell="B4" sqref="B4"/>
    </sheetView>
  </sheetViews>
  <sheetFormatPr baseColWidth="10" defaultRowHeight="16" x14ac:dyDescent="0.2"/>
  <sheetData>
    <row r="1" spans="1:13" x14ac:dyDescent="0.2">
      <c r="A1" t="s">
        <v>46</v>
      </c>
    </row>
    <row r="2" spans="1:13" x14ac:dyDescent="0.2">
      <c r="A2" t="s">
        <v>42</v>
      </c>
      <c r="B2" t="s">
        <v>43</v>
      </c>
      <c r="C2" t="s">
        <v>44</v>
      </c>
      <c r="D2" t="s">
        <v>45</v>
      </c>
    </row>
    <row r="3" spans="1:13" x14ac:dyDescent="0.2">
      <c r="A3" t="s">
        <v>25</v>
      </c>
      <c r="B3">
        <v>2.2999999999999998</v>
      </c>
      <c r="C3">
        <v>0.4</v>
      </c>
      <c r="D3">
        <v>4.5999999999999999E-2</v>
      </c>
    </row>
    <row r="4" spans="1:13" x14ac:dyDescent="0.2">
      <c r="A4" t="s">
        <v>26</v>
      </c>
      <c r="B4">
        <v>2.62</v>
      </c>
      <c r="C4">
        <v>0.46</v>
      </c>
      <c r="D4">
        <v>4.9000000000000002E-2</v>
      </c>
    </row>
    <row r="5" spans="1:13" x14ac:dyDescent="0.2">
      <c r="A5" t="s">
        <v>27</v>
      </c>
      <c r="B5">
        <v>2.5</v>
      </c>
      <c r="C5">
        <v>0.55000000000000004</v>
      </c>
      <c r="D5">
        <v>4.5999999999999999E-2</v>
      </c>
    </row>
    <row r="6" spans="1:13" x14ac:dyDescent="0.2">
      <c r="A6" t="s">
        <v>28</v>
      </c>
      <c r="B6">
        <v>1.71</v>
      </c>
      <c r="C6">
        <v>0.39</v>
      </c>
      <c r="D6">
        <v>3.1E-2</v>
      </c>
    </row>
    <row r="7" spans="1:13" x14ac:dyDescent="0.2">
      <c r="G7" t="s">
        <v>65</v>
      </c>
    </row>
    <row r="8" spans="1:13" x14ac:dyDescent="0.2">
      <c r="C8" t="s">
        <v>56</v>
      </c>
      <c r="D8" t="s">
        <v>58</v>
      </c>
      <c r="E8" t="s">
        <v>68</v>
      </c>
      <c r="F8" t="s">
        <v>60</v>
      </c>
    </row>
    <row r="9" spans="1:13" x14ac:dyDescent="0.2">
      <c r="A9" s="4" t="s">
        <v>47</v>
      </c>
      <c r="B9" s="4" t="s">
        <v>50</v>
      </c>
      <c r="C9" s="4" t="s">
        <v>57</v>
      </c>
      <c r="D9" s="4" t="s">
        <v>59</v>
      </c>
      <c r="E9" s="4" t="s">
        <v>67</v>
      </c>
      <c r="F9" s="5" t="s">
        <v>14</v>
      </c>
      <c r="G9" s="5" t="s">
        <v>61</v>
      </c>
      <c r="H9" s="5" t="s">
        <v>39</v>
      </c>
      <c r="I9" s="5" t="s">
        <v>41</v>
      </c>
      <c r="J9" s="5" t="s">
        <v>62</v>
      </c>
      <c r="K9" s="5" t="s">
        <v>63</v>
      </c>
      <c r="L9" s="5" t="s">
        <v>64</v>
      </c>
      <c r="M9" s="5" t="s">
        <v>40</v>
      </c>
    </row>
    <row r="10" spans="1:13" x14ac:dyDescent="0.2">
      <c r="A10" s="4" t="s">
        <v>48</v>
      </c>
      <c r="B10" s="4">
        <v>1</v>
      </c>
      <c r="C10" s="4">
        <v>0.55000000000000004</v>
      </c>
      <c r="D10" s="4">
        <v>0</v>
      </c>
      <c r="E10" s="4">
        <v>0</v>
      </c>
      <c r="F10" s="5">
        <v>0.75</v>
      </c>
      <c r="G10" s="5">
        <f>F10</f>
        <v>0.75</v>
      </c>
      <c r="H10" s="5">
        <v>0.78</v>
      </c>
      <c r="I10" s="5">
        <f>H10</f>
        <v>0.78</v>
      </c>
      <c r="J10" s="5">
        <v>0.75</v>
      </c>
      <c r="K10" s="5">
        <v>0.7</v>
      </c>
      <c r="L10" s="5">
        <v>0.74</v>
      </c>
      <c r="M10" s="5">
        <v>0.76</v>
      </c>
    </row>
    <row r="11" spans="1:13" x14ac:dyDescent="0.2">
      <c r="A11" s="4" t="s">
        <v>49</v>
      </c>
      <c r="B11" s="4">
        <v>4</v>
      </c>
      <c r="C11" s="4">
        <v>0.2</v>
      </c>
      <c r="D11" s="4">
        <v>5.0000000000000001E-3</v>
      </c>
      <c r="E11" s="4">
        <v>0</v>
      </c>
      <c r="F11" s="5">
        <v>0.02</v>
      </c>
      <c r="G11" s="5">
        <f t="shared" ref="G11:G16" si="0">F11</f>
        <v>0.02</v>
      </c>
      <c r="H11" s="5">
        <v>0.02</v>
      </c>
      <c r="I11" s="5">
        <f t="shared" ref="I11:I16" si="1">H11</f>
        <v>0.02</v>
      </c>
      <c r="J11" s="5">
        <v>0.02</v>
      </c>
      <c r="K11" s="5">
        <v>0.02</v>
      </c>
      <c r="L11" s="5">
        <v>0.02</v>
      </c>
      <c r="M11" s="5">
        <v>0.02</v>
      </c>
    </row>
    <row r="12" spans="1:13" x14ac:dyDescent="0.2">
      <c r="A12" s="4" t="s">
        <v>54</v>
      </c>
      <c r="B12" s="4">
        <v>5</v>
      </c>
      <c r="C12" s="4">
        <v>0.3</v>
      </c>
      <c r="D12" s="4">
        <v>0.02</v>
      </c>
      <c r="E12" s="4">
        <v>0</v>
      </c>
      <c r="F12" s="5">
        <v>0.01</v>
      </c>
      <c r="G12" s="5">
        <f t="shared" si="0"/>
        <v>0.01</v>
      </c>
      <c r="H12" s="5">
        <v>0.03</v>
      </c>
      <c r="I12" s="5">
        <f t="shared" si="1"/>
        <v>0.03</v>
      </c>
      <c r="J12" s="5">
        <v>0.01</v>
      </c>
      <c r="K12" s="5">
        <v>0.01</v>
      </c>
      <c r="L12" s="5">
        <v>0.01</v>
      </c>
      <c r="M12" s="5">
        <v>0.01</v>
      </c>
    </row>
    <row r="13" spans="1:13" x14ac:dyDescent="0.2">
      <c r="A13" s="4" t="s">
        <v>51</v>
      </c>
      <c r="B13" s="4">
        <v>7</v>
      </c>
      <c r="C13" s="4">
        <v>0</v>
      </c>
      <c r="D13" s="4">
        <v>0</v>
      </c>
      <c r="E13" s="4">
        <v>0.75</v>
      </c>
      <c r="F13" s="5">
        <v>0.1</v>
      </c>
      <c r="G13" s="5">
        <f t="shared" si="0"/>
        <v>0.1</v>
      </c>
      <c r="H13" s="5">
        <v>0.1</v>
      </c>
      <c r="I13" s="5">
        <f t="shared" si="1"/>
        <v>0.1</v>
      </c>
      <c r="J13" s="5">
        <v>0.1</v>
      </c>
      <c r="K13" s="5">
        <v>0.1</v>
      </c>
      <c r="L13" s="5">
        <v>0.1</v>
      </c>
      <c r="M13" s="5">
        <v>0.1</v>
      </c>
    </row>
    <row r="14" spans="1:13" x14ac:dyDescent="0.2">
      <c r="A14" s="4" t="s">
        <v>53</v>
      </c>
      <c r="B14" s="4">
        <v>8</v>
      </c>
      <c r="C14" s="4">
        <v>0.125</v>
      </c>
      <c r="D14" s="4">
        <v>0.01</v>
      </c>
      <c r="E14" s="4">
        <v>0.05</v>
      </c>
      <c r="F14" s="5">
        <v>0.04</v>
      </c>
      <c r="G14" s="5">
        <f t="shared" si="0"/>
        <v>0.04</v>
      </c>
      <c r="H14" s="5">
        <v>0.04</v>
      </c>
      <c r="I14" s="5">
        <f t="shared" si="1"/>
        <v>0.04</v>
      </c>
      <c r="J14" s="5">
        <v>0.04</v>
      </c>
      <c r="K14" s="5">
        <v>0.04</v>
      </c>
      <c r="L14" s="5">
        <v>0.04</v>
      </c>
      <c r="M14" s="5">
        <v>0.04</v>
      </c>
    </row>
    <row r="15" spans="1:13" x14ac:dyDescent="0.2">
      <c r="A15" s="4" t="s">
        <v>52</v>
      </c>
      <c r="B15" s="4">
        <v>9</v>
      </c>
      <c r="C15" s="4">
        <v>0.25</v>
      </c>
      <c r="D15" s="4">
        <v>2E-3</v>
      </c>
      <c r="E15" s="4">
        <v>0</v>
      </c>
      <c r="F15" s="5">
        <v>0.03</v>
      </c>
      <c r="G15" s="5">
        <f t="shared" si="0"/>
        <v>0.03</v>
      </c>
      <c r="H15" s="5">
        <v>0.03</v>
      </c>
      <c r="I15" s="5">
        <f t="shared" si="1"/>
        <v>0.03</v>
      </c>
      <c r="J15" s="5">
        <v>0.03</v>
      </c>
      <c r="K15" s="5">
        <v>0.03</v>
      </c>
      <c r="L15" s="5">
        <v>0.03</v>
      </c>
      <c r="M15" s="5">
        <v>0.03</v>
      </c>
    </row>
    <row r="16" spans="1:13" x14ac:dyDescent="0.2">
      <c r="A16" s="4" t="s">
        <v>55</v>
      </c>
      <c r="B16" s="4">
        <v>13</v>
      </c>
      <c r="C16" s="4"/>
      <c r="D16" s="4"/>
      <c r="E16" s="4">
        <v>0</v>
      </c>
      <c r="F16" s="5">
        <v>0</v>
      </c>
      <c r="G16" s="5">
        <f t="shared" si="0"/>
        <v>0</v>
      </c>
      <c r="H16" s="5">
        <v>0</v>
      </c>
      <c r="I16" s="5">
        <f t="shared" si="1"/>
        <v>0</v>
      </c>
      <c r="J16" s="5">
        <v>0</v>
      </c>
      <c r="K16" s="5">
        <v>0</v>
      </c>
      <c r="L16" s="5">
        <v>0</v>
      </c>
      <c r="M16" s="5">
        <v>0</v>
      </c>
    </row>
    <row r="18" spans="1:18" x14ac:dyDescent="0.2">
      <c r="A18" s="4" t="s">
        <v>66</v>
      </c>
      <c r="D18" t="s">
        <v>73</v>
      </c>
      <c r="E18" t="s">
        <v>74</v>
      </c>
      <c r="G18" t="s">
        <v>191</v>
      </c>
      <c r="H18" t="s">
        <v>196</v>
      </c>
      <c r="I18" t="s">
        <v>197</v>
      </c>
      <c r="J18" t="s">
        <v>198</v>
      </c>
      <c r="K18" t="s">
        <v>200</v>
      </c>
      <c r="L18" t="s">
        <v>201</v>
      </c>
      <c r="M18" t="s">
        <v>199</v>
      </c>
    </row>
    <row r="19" spans="1:18" x14ac:dyDescent="0.2">
      <c r="A19" s="4" t="s">
        <v>23</v>
      </c>
      <c r="B19" s="4">
        <v>0.25</v>
      </c>
      <c r="D19" t="s">
        <v>75</v>
      </c>
      <c r="E19" s="4">
        <v>5.8999999999999999E-3</v>
      </c>
      <c r="G19" s="9" t="s">
        <v>3</v>
      </c>
      <c r="H19" s="9" t="s">
        <v>48</v>
      </c>
      <c r="I19" s="9" t="s">
        <v>49</v>
      </c>
      <c r="J19" s="9" t="s">
        <v>51</v>
      </c>
      <c r="K19" s="9" t="s">
        <v>53</v>
      </c>
      <c r="L19" s="9" t="s">
        <v>52</v>
      </c>
      <c r="M19" s="9" t="s">
        <v>55</v>
      </c>
      <c r="N19" s="9"/>
      <c r="O19" s="9"/>
      <c r="P19" s="9"/>
      <c r="Q19" s="9"/>
      <c r="R19" s="9"/>
    </row>
    <row r="20" spans="1:18" x14ac:dyDescent="0.2">
      <c r="A20" s="4" t="s">
        <v>24</v>
      </c>
      <c r="B20" s="4">
        <v>0.25</v>
      </c>
      <c r="D20" t="s">
        <v>76</v>
      </c>
      <c r="E20" s="4">
        <v>7.0000000000000001E-3</v>
      </c>
      <c r="G20" s="10" t="s">
        <v>192</v>
      </c>
      <c r="H20">
        <v>0.66</v>
      </c>
      <c r="I20">
        <v>0.02</v>
      </c>
      <c r="J20">
        <v>0.1</v>
      </c>
      <c r="K20">
        <v>0.04</v>
      </c>
      <c r="L20">
        <v>0.03</v>
      </c>
      <c r="M20">
        <v>0</v>
      </c>
    </row>
    <row r="21" spans="1:18" x14ac:dyDescent="0.2">
      <c r="A21" s="4" t="s">
        <v>243</v>
      </c>
      <c r="B21" s="4">
        <v>0.45</v>
      </c>
      <c r="D21" t="s">
        <v>77</v>
      </c>
      <c r="E21" s="4">
        <v>1.8E-3</v>
      </c>
      <c r="G21" s="10">
        <v>11</v>
      </c>
      <c r="H21">
        <v>0.68</v>
      </c>
      <c r="I21">
        <v>0.02</v>
      </c>
      <c r="J21">
        <v>0.1</v>
      </c>
      <c r="K21">
        <v>0.04</v>
      </c>
      <c r="L21">
        <v>0.03</v>
      </c>
      <c r="M21">
        <v>0</v>
      </c>
    </row>
    <row r="22" spans="1:18" x14ac:dyDescent="0.2">
      <c r="A22" s="4" t="s">
        <v>70</v>
      </c>
      <c r="B22" s="4">
        <v>0.6784</v>
      </c>
      <c r="D22" t="s">
        <v>78</v>
      </c>
      <c r="E22" s="4">
        <v>2.8999999999999998E-3</v>
      </c>
      <c r="G22" s="10">
        <v>12</v>
      </c>
      <c r="H22">
        <v>0.7</v>
      </c>
      <c r="I22">
        <v>0.02</v>
      </c>
      <c r="J22">
        <v>0.1</v>
      </c>
      <c r="K22">
        <v>0.04</v>
      </c>
      <c r="L22">
        <v>0.03</v>
      </c>
      <c r="M22">
        <v>0</v>
      </c>
    </row>
    <row r="23" spans="1:18" x14ac:dyDescent="0.2">
      <c r="A23" s="4" t="s">
        <v>71</v>
      </c>
      <c r="B23">
        <f>[1]!common_cn2o</f>
        <v>1.57</v>
      </c>
      <c r="D23" t="s">
        <v>79</v>
      </c>
      <c r="E23" s="4">
        <v>8.0000000000000002E-3</v>
      </c>
      <c r="G23" s="10">
        <v>13</v>
      </c>
      <c r="H23">
        <v>0.71</v>
      </c>
      <c r="I23">
        <v>0.02</v>
      </c>
      <c r="J23">
        <v>0.1</v>
      </c>
      <c r="K23">
        <v>0.04</v>
      </c>
      <c r="L23">
        <v>0.03</v>
      </c>
      <c r="M23">
        <v>0</v>
      </c>
    </row>
    <row r="24" spans="1:18" x14ac:dyDescent="0.2">
      <c r="A24" s="4" t="s">
        <v>72</v>
      </c>
      <c r="B24" s="4">
        <v>1.0999999999999999E-2</v>
      </c>
      <c r="G24" s="10">
        <v>14</v>
      </c>
      <c r="H24">
        <v>0.73</v>
      </c>
      <c r="I24">
        <v>0.02</v>
      </c>
      <c r="J24">
        <v>0.1</v>
      </c>
      <c r="K24">
        <v>0.04</v>
      </c>
      <c r="L24">
        <v>0.03</v>
      </c>
      <c r="M24">
        <v>0</v>
      </c>
    </row>
    <row r="25" spans="1:18" x14ac:dyDescent="0.2">
      <c r="A25" s="4" t="s">
        <v>162</v>
      </c>
      <c r="B25" s="4">
        <v>0.02</v>
      </c>
      <c r="G25" s="11">
        <v>15</v>
      </c>
      <c r="H25">
        <v>0.74</v>
      </c>
      <c r="I25">
        <v>0.02</v>
      </c>
      <c r="J25">
        <v>0.1</v>
      </c>
      <c r="K25">
        <v>0.04</v>
      </c>
      <c r="L25">
        <v>0.03</v>
      </c>
      <c r="M25">
        <v>0</v>
      </c>
    </row>
    <row r="26" spans="1:18" x14ac:dyDescent="0.2">
      <c r="G26" s="11">
        <v>16</v>
      </c>
      <c r="H26">
        <v>0.75</v>
      </c>
      <c r="I26">
        <v>0.02</v>
      </c>
      <c r="J26">
        <v>0.1</v>
      </c>
      <c r="K26">
        <v>0.04</v>
      </c>
      <c r="L26">
        <v>0.03</v>
      </c>
      <c r="M26">
        <v>0</v>
      </c>
    </row>
    <row r="27" spans="1:18" x14ac:dyDescent="0.2">
      <c r="G27" s="11">
        <v>17</v>
      </c>
      <c r="H27">
        <v>0.76</v>
      </c>
      <c r="I27">
        <v>0.02</v>
      </c>
      <c r="J27">
        <v>0.1</v>
      </c>
      <c r="K27">
        <v>0.04</v>
      </c>
      <c r="L27">
        <v>0.03</v>
      </c>
      <c r="M27">
        <v>0</v>
      </c>
    </row>
    <row r="28" spans="1:18" x14ac:dyDescent="0.2">
      <c r="G28" s="11">
        <v>18</v>
      </c>
      <c r="H28">
        <v>0.77</v>
      </c>
      <c r="I28">
        <v>0.02</v>
      </c>
      <c r="J28">
        <v>0.1</v>
      </c>
      <c r="K28">
        <v>0.04</v>
      </c>
      <c r="L28">
        <v>0.03</v>
      </c>
      <c r="M28">
        <v>0</v>
      </c>
    </row>
    <row r="29" spans="1:18" x14ac:dyDescent="0.2">
      <c r="G29" s="11">
        <v>19</v>
      </c>
      <c r="H29">
        <v>0.77</v>
      </c>
      <c r="I29">
        <v>0.02</v>
      </c>
      <c r="J29">
        <v>0.1</v>
      </c>
      <c r="K29">
        <v>0.04</v>
      </c>
      <c r="L29">
        <v>0.03</v>
      </c>
      <c r="M29">
        <v>0</v>
      </c>
    </row>
    <row r="30" spans="1:18" x14ac:dyDescent="0.2">
      <c r="G30" s="11">
        <v>20</v>
      </c>
      <c r="H30">
        <v>0.78</v>
      </c>
      <c r="I30">
        <v>0.02</v>
      </c>
      <c r="J30">
        <v>0.1</v>
      </c>
      <c r="K30">
        <v>0.04</v>
      </c>
      <c r="L30">
        <v>0.03</v>
      </c>
      <c r="M30">
        <v>0</v>
      </c>
    </row>
    <row r="31" spans="1:18" x14ac:dyDescent="0.2">
      <c r="G31" s="11">
        <v>21</v>
      </c>
      <c r="H31">
        <v>0.78</v>
      </c>
      <c r="I31">
        <v>0.02</v>
      </c>
      <c r="J31">
        <v>0.1</v>
      </c>
      <c r="K31">
        <v>0.04</v>
      </c>
      <c r="L31">
        <v>0.03</v>
      </c>
      <c r="M31">
        <v>0</v>
      </c>
    </row>
    <row r="32" spans="1:18" x14ac:dyDescent="0.2">
      <c r="G32" s="11">
        <v>22</v>
      </c>
      <c r="H32">
        <v>0.78</v>
      </c>
      <c r="I32">
        <v>0.02</v>
      </c>
      <c r="J32">
        <v>0.1</v>
      </c>
      <c r="K32">
        <v>0.04</v>
      </c>
      <c r="L32">
        <v>0.03</v>
      </c>
      <c r="M32">
        <v>0</v>
      </c>
    </row>
    <row r="33" spans="7:13" x14ac:dyDescent="0.2">
      <c r="G33" s="11">
        <v>23</v>
      </c>
      <c r="H33">
        <v>0.79</v>
      </c>
      <c r="I33">
        <v>0.02</v>
      </c>
      <c r="J33">
        <v>0.1</v>
      </c>
      <c r="K33">
        <v>0.04</v>
      </c>
      <c r="L33">
        <v>0.03</v>
      </c>
      <c r="M33">
        <v>0</v>
      </c>
    </row>
    <row r="34" spans="7:13" x14ac:dyDescent="0.2">
      <c r="G34" s="11">
        <v>24</v>
      </c>
      <c r="H34">
        <v>0.79</v>
      </c>
      <c r="I34">
        <v>0.02</v>
      </c>
      <c r="J34">
        <v>0.1</v>
      </c>
      <c r="K34">
        <v>0.04</v>
      </c>
      <c r="L34">
        <v>0.03</v>
      </c>
      <c r="M34">
        <v>0</v>
      </c>
    </row>
    <row r="35" spans="7:13" x14ac:dyDescent="0.2">
      <c r="G35" s="11">
        <v>25</v>
      </c>
      <c r="H35">
        <v>0.79</v>
      </c>
      <c r="I35">
        <v>0.02</v>
      </c>
      <c r="J35">
        <v>0.1</v>
      </c>
      <c r="K35">
        <v>0.04</v>
      </c>
      <c r="L35">
        <v>0.03</v>
      </c>
      <c r="M35">
        <v>0</v>
      </c>
    </row>
    <row r="36" spans="7:13" x14ac:dyDescent="0.2">
      <c r="G36" s="12">
        <v>26</v>
      </c>
      <c r="H36">
        <v>0.79</v>
      </c>
      <c r="I36">
        <v>0.02</v>
      </c>
      <c r="J36">
        <v>0.1</v>
      </c>
      <c r="K36">
        <v>0.04</v>
      </c>
      <c r="L36">
        <v>0.03</v>
      </c>
      <c r="M36">
        <v>0</v>
      </c>
    </row>
    <row r="37" spans="7:13" x14ac:dyDescent="0.2">
      <c r="G37" s="12">
        <v>27</v>
      </c>
      <c r="H37">
        <v>0.8</v>
      </c>
      <c r="I37">
        <v>0.02</v>
      </c>
      <c r="J37">
        <v>0.1</v>
      </c>
      <c r="K37">
        <v>0.04</v>
      </c>
      <c r="L37">
        <v>0.03</v>
      </c>
      <c r="M37">
        <v>0</v>
      </c>
    </row>
    <row r="38" spans="7:13" x14ac:dyDescent="0.2">
      <c r="G38" s="12" t="s">
        <v>193</v>
      </c>
      <c r="H38">
        <v>0.8</v>
      </c>
      <c r="I38">
        <v>0.02</v>
      </c>
      <c r="J38">
        <v>0.1</v>
      </c>
      <c r="K38">
        <v>0.04</v>
      </c>
      <c r="L38">
        <v>0.03</v>
      </c>
      <c r="M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DBCA-25EA-AA45-B2A9-3882BAB79541}">
  <dimension ref="A1:FS61"/>
  <sheetViews>
    <sheetView topLeftCell="BK29" zoomScale="95" zoomScaleNormal="95" workbookViewId="0">
      <selection activeCell="BN38" sqref="BN38"/>
    </sheetView>
  </sheetViews>
  <sheetFormatPr baseColWidth="10" defaultRowHeight="16" x14ac:dyDescent="0.2"/>
  <cols>
    <col min="26" max="26" width="10.83203125" style="21"/>
    <col min="31" max="31" width="10.83203125" style="21"/>
    <col min="36" max="36" width="10.83203125" style="21"/>
    <col min="41" max="41" width="10.83203125" style="21"/>
    <col min="46" max="46" width="10.83203125" style="21"/>
    <col min="51" max="51" width="10.83203125" style="21"/>
  </cols>
  <sheetData>
    <row r="1" spans="1:175" x14ac:dyDescent="0.2">
      <c r="A1" s="1"/>
      <c r="B1" s="1"/>
      <c r="C1" s="1"/>
      <c r="D1" s="1"/>
      <c r="E1" s="1"/>
      <c r="F1" s="1"/>
      <c r="G1" s="1"/>
      <c r="H1" s="1"/>
    </row>
    <row r="2" spans="1:175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175" x14ac:dyDescent="0.2">
      <c r="A3" s="1"/>
      <c r="B3" s="1"/>
      <c r="C3" s="1"/>
      <c r="D3" s="1"/>
      <c r="E3" s="1"/>
      <c r="F3" s="1"/>
      <c r="G3" s="1"/>
      <c r="H3" s="1"/>
    </row>
    <row r="4" spans="1:175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BH4" s="1" t="s">
        <v>178</v>
      </c>
      <c r="BI4" s="1" t="s">
        <v>178</v>
      </c>
      <c r="BJ4" s="1" t="s">
        <v>178</v>
      </c>
      <c r="BK4" s="1" t="s">
        <v>178</v>
      </c>
      <c r="BL4" s="1" t="s">
        <v>178</v>
      </c>
      <c r="BM4" s="1" t="s">
        <v>178</v>
      </c>
      <c r="BN4" s="1" t="s">
        <v>179</v>
      </c>
      <c r="BO4" s="1" t="s">
        <v>179</v>
      </c>
      <c r="BP4" s="1" t="s">
        <v>179</v>
      </c>
      <c r="BQ4" s="1" t="s">
        <v>179</v>
      </c>
      <c r="BR4" s="1" t="s">
        <v>179</v>
      </c>
      <c r="BS4" s="1" t="s">
        <v>179</v>
      </c>
      <c r="BT4" s="1" t="s">
        <v>179</v>
      </c>
      <c r="BU4" s="1" t="s">
        <v>179</v>
      </c>
      <c r="BV4" s="1" t="s">
        <v>179</v>
      </c>
      <c r="BW4" s="1" t="s">
        <v>178</v>
      </c>
      <c r="BX4" s="1" t="s">
        <v>178</v>
      </c>
      <c r="BY4" s="1" t="s">
        <v>178</v>
      </c>
      <c r="BZ4" s="1" t="s">
        <v>178</v>
      </c>
      <c r="CA4" s="1" t="s">
        <v>178</v>
      </c>
      <c r="CB4" s="1" t="s">
        <v>178</v>
      </c>
      <c r="CC4" t="s">
        <v>178</v>
      </c>
      <c r="CD4" s="1" t="s">
        <v>179</v>
      </c>
      <c r="CE4" s="1" t="s">
        <v>179</v>
      </c>
      <c r="CF4" s="1" t="s">
        <v>179</v>
      </c>
      <c r="CG4" s="1" t="s">
        <v>179</v>
      </c>
      <c r="CH4" s="1" t="s">
        <v>179</v>
      </c>
      <c r="CI4" t="s">
        <v>178</v>
      </c>
      <c r="CJ4" t="s">
        <v>178</v>
      </c>
      <c r="CK4" t="s">
        <v>178</v>
      </c>
      <c r="CL4" t="s">
        <v>178</v>
      </c>
      <c r="CM4" t="s">
        <v>178</v>
      </c>
      <c r="CN4" t="s">
        <v>178</v>
      </c>
      <c r="CO4" t="s">
        <v>178</v>
      </c>
      <c r="CP4" t="s">
        <v>178</v>
      </c>
      <c r="CS4" t="s">
        <v>178</v>
      </c>
      <c r="CT4" t="s">
        <v>178</v>
      </c>
      <c r="CU4" t="s">
        <v>178</v>
      </c>
      <c r="CX4" t="s">
        <v>178</v>
      </c>
      <c r="CY4" t="s">
        <v>178</v>
      </c>
      <c r="CZ4" t="s">
        <v>178</v>
      </c>
      <c r="DA4" t="s">
        <v>178</v>
      </c>
      <c r="DB4" s="1" t="s">
        <v>178</v>
      </c>
      <c r="DC4" s="1" t="s">
        <v>178</v>
      </c>
      <c r="DD4" s="1" t="s">
        <v>178</v>
      </c>
      <c r="DE4" s="1" t="s">
        <v>178</v>
      </c>
      <c r="DF4" s="1" t="s">
        <v>178</v>
      </c>
      <c r="DG4" s="1" t="s">
        <v>178</v>
      </c>
      <c r="DH4" s="1" t="s">
        <v>178</v>
      </c>
      <c r="DI4" s="1" t="s">
        <v>178</v>
      </c>
      <c r="DJ4" s="1" t="s">
        <v>178</v>
      </c>
      <c r="DK4" s="1" t="s">
        <v>178</v>
      </c>
      <c r="DL4" s="1" t="s">
        <v>178</v>
      </c>
      <c r="DM4" s="1" t="s">
        <v>178</v>
      </c>
      <c r="DN4" s="1" t="s">
        <v>178</v>
      </c>
      <c r="DO4" s="1" t="s">
        <v>179</v>
      </c>
      <c r="DP4" s="1" t="s">
        <v>179</v>
      </c>
      <c r="DQ4" s="1" t="s">
        <v>179</v>
      </c>
      <c r="DR4" s="1" t="s">
        <v>179</v>
      </c>
      <c r="DS4" s="1" t="s">
        <v>179</v>
      </c>
      <c r="DT4" s="1" t="s">
        <v>179</v>
      </c>
      <c r="DU4" s="1" t="s">
        <v>179</v>
      </c>
      <c r="DV4" s="1" t="s">
        <v>179</v>
      </c>
      <c r="DW4" s="1" t="s">
        <v>179</v>
      </c>
      <c r="DX4" s="1" t="s">
        <v>179</v>
      </c>
      <c r="DY4" s="1" t="s">
        <v>179</v>
      </c>
      <c r="DZ4" s="1" t="s">
        <v>179</v>
      </c>
      <c r="EA4" s="1" t="s">
        <v>179</v>
      </c>
      <c r="EB4" s="8" t="s">
        <v>178</v>
      </c>
      <c r="EC4" s="8" t="s">
        <v>178</v>
      </c>
      <c r="ED4" s="8" t="s">
        <v>178</v>
      </c>
      <c r="EE4" s="8" t="s">
        <v>178</v>
      </c>
      <c r="EF4" s="8" t="s">
        <v>178</v>
      </c>
      <c r="EG4" s="8" t="s">
        <v>178</v>
      </c>
      <c r="EH4" s="1" t="s">
        <v>178</v>
      </c>
      <c r="EI4" s="1" t="s">
        <v>178</v>
      </c>
      <c r="EJ4" s="1" t="s">
        <v>178</v>
      </c>
      <c r="EK4" s="1" t="s">
        <v>178</v>
      </c>
      <c r="EL4" s="1" t="s">
        <v>178</v>
      </c>
      <c r="EM4" s="1" t="s">
        <v>178</v>
      </c>
      <c r="EN4" s="1" t="s">
        <v>178</v>
      </c>
      <c r="EO4" s="1" t="s">
        <v>178</v>
      </c>
      <c r="EP4" s="1" t="s">
        <v>178</v>
      </c>
      <c r="EQ4" s="1" t="s">
        <v>178</v>
      </c>
      <c r="ER4" s="8" t="s">
        <v>178</v>
      </c>
      <c r="ES4" s="8" t="s">
        <v>178</v>
      </c>
      <c r="ET4" s="8" t="s">
        <v>178</v>
      </c>
      <c r="EU4" s="8" t="s">
        <v>178</v>
      </c>
      <c r="EV4" s="8" t="s">
        <v>178</v>
      </c>
      <c r="EW4" s="8" t="s">
        <v>178</v>
      </c>
      <c r="EX4" s="8" t="s">
        <v>178</v>
      </c>
    </row>
    <row r="5" spans="1:175" x14ac:dyDescent="0.2">
      <c r="A5" s="1"/>
      <c r="B5" s="1"/>
      <c r="C5" s="1"/>
      <c r="D5" s="1"/>
      <c r="E5" s="1"/>
      <c r="F5" s="1"/>
      <c r="G5" s="1"/>
      <c r="H5" s="1"/>
    </row>
    <row r="6" spans="1:175" x14ac:dyDescent="0.2">
      <c r="A6" s="1"/>
      <c r="B6" s="1"/>
      <c r="C6" s="1"/>
      <c r="D6" s="1"/>
      <c r="E6" s="1"/>
      <c r="F6" s="1"/>
      <c r="G6" s="1"/>
      <c r="H6" s="1"/>
      <c r="BH6" t="s">
        <v>181</v>
      </c>
      <c r="DC6" t="s">
        <v>188</v>
      </c>
      <c r="DD6" t="s">
        <v>189</v>
      </c>
    </row>
    <row r="7" spans="1:175" x14ac:dyDescent="0.2">
      <c r="A7" s="1"/>
      <c r="B7" s="1"/>
      <c r="C7" s="1"/>
      <c r="D7" s="1"/>
      <c r="E7" s="1"/>
      <c r="F7" s="1"/>
      <c r="G7" s="1"/>
      <c r="H7" s="1"/>
      <c r="BH7" t="s">
        <v>180</v>
      </c>
      <c r="BI7" t="s">
        <v>182</v>
      </c>
      <c r="BW7" t="s">
        <v>177</v>
      </c>
      <c r="DA7" t="s">
        <v>176</v>
      </c>
      <c r="DB7" t="s">
        <v>187</v>
      </c>
      <c r="DI7" t="s">
        <v>190</v>
      </c>
    </row>
    <row r="8" spans="1:175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113</v>
      </c>
      <c r="I8" s="1" t="s">
        <v>115</v>
      </c>
      <c r="J8" s="1" t="s">
        <v>116</v>
      </c>
      <c r="K8" t="s">
        <v>241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36</v>
      </c>
      <c r="R8" t="s">
        <v>37</v>
      </c>
      <c r="S8" t="s">
        <v>38</v>
      </c>
      <c r="T8" t="s">
        <v>36</v>
      </c>
      <c r="U8" t="s">
        <v>37</v>
      </c>
      <c r="V8" t="s">
        <v>38</v>
      </c>
      <c r="W8" t="s">
        <v>36</v>
      </c>
      <c r="X8" t="s">
        <v>37</v>
      </c>
      <c r="Y8" t="s">
        <v>38</v>
      </c>
      <c r="Z8" s="21" t="s">
        <v>29</v>
      </c>
      <c r="AA8" t="s">
        <v>30</v>
      </c>
      <c r="AB8" t="s">
        <v>32</v>
      </c>
      <c r="AC8" t="s">
        <v>34</v>
      </c>
      <c r="AD8" t="s">
        <v>213</v>
      </c>
      <c r="AE8" s="21" t="s">
        <v>29</v>
      </c>
      <c r="AF8" t="s">
        <v>30</v>
      </c>
      <c r="AG8" t="s">
        <v>32</v>
      </c>
      <c r="AH8" t="s">
        <v>34</v>
      </c>
      <c r="AI8" t="s">
        <v>213</v>
      </c>
      <c r="AJ8" s="21" t="s">
        <v>29</v>
      </c>
      <c r="AK8" t="s">
        <v>30</v>
      </c>
      <c r="AL8" t="s">
        <v>32</v>
      </c>
      <c r="AM8" t="s">
        <v>34</v>
      </c>
      <c r="AN8" t="s">
        <v>213</v>
      </c>
      <c r="AO8" s="21" t="s">
        <v>29</v>
      </c>
      <c r="AP8" t="s">
        <v>30</v>
      </c>
      <c r="AQ8" t="s">
        <v>32</v>
      </c>
      <c r="AR8" t="s">
        <v>34</v>
      </c>
      <c r="AS8" t="s">
        <v>213</v>
      </c>
      <c r="AT8" s="21" t="s">
        <v>29</v>
      </c>
      <c r="AU8" t="s">
        <v>30</v>
      </c>
      <c r="AV8" t="s">
        <v>32</v>
      </c>
      <c r="AW8" t="s">
        <v>34</v>
      </c>
      <c r="AX8" t="s">
        <v>213</v>
      </c>
      <c r="AY8" s="30" t="s">
        <v>113</v>
      </c>
      <c r="AZ8" s="1" t="s">
        <v>115</v>
      </c>
      <c r="BA8" s="1" t="s">
        <v>116</v>
      </c>
      <c r="BB8" s="1"/>
      <c r="BC8" s="1"/>
      <c r="BD8" s="1"/>
      <c r="BE8" s="1"/>
      <c r="BF8" s="1"/>
      <c r="BG8" s="1"/>
      <c r="DB8" t="s">
        <v>183</v>
      </c>
      <c r="DC8" t="s">
        <v>184</v>
      </c>
      <c r="DI8" t="s">
        <v>185</v>
      </c>
      <c r="EH8" t="s">
        <v>242</v>
      </c>
      <c r="EM8" t="s">
        <v>186</v>
      </c>
    </row>
    <row r="9" spans="1:175" x14ac:dyDescent="0.2">
      <c r="A9" s="1"/>
      <c r="B9" s="1"/>
      <c r="C9" s="1"/>
      <c r="D9" s="1"/>
      <c r="E9" s="1"/>
      <c r="F9" s="1"/>
      <c r="G9" s="1"/>
      <c r="H9" s="1"/>
      <c r="Q9" t="s">
        <v>196</v>
      </c>
      <c r="T9" t="s">
        <v>198</v>
      </c>
      <c r="W9" t="s">
        <v>201</v>
      </c>
      <c r="Z9" s="21" t="s">
        <v>214</v>
      </c>
      <c r="AE9" s="21" t="s">
        <v>215</v>
      </c>
      <c r="AJ9" s="21" t="s">
        <v>216</v>
      </c>
      <c r="AO9" s="21" t="s">
        <v>217</v>
      </c>
      <c r="AT9" s="21" t="s">
        <v>218</v>
      </c>
      <c r="AY9" s="30"/>
      <c r="DC9" t="s">
        <v>29</v>
      </c>
      <c r="DD9" t="s">
        <v>30</v>
      </c>
      <c r="DE9" t="s">
        <v>31</v>
      </c>
      <c r="DF9" t="s">
        <v>32</v>
      </c>
      <c r="DG9" t="s">
        <v>33</v>
      </c>
      <c r="DH9" t="s">
        <v>34</v>
      </c>
      <c r="DI9" t="s">
        <v>29</v>
      </c>
      <c r="DJ9" t="s">
        <v>30</v>
      </c>
      <c r="DK9" t="s">
        <v>31</v>
      </c>
      <c r="DL9" t="s">
        <v>32</v>
      </c>
      <c r="DM9" t="s">
        <v>33</v>
      </c>
      <c r="DN9" t="s">
        <v>34</v>
      </c>
      <c r="DO9" t="s">
        <v>29</v>
      </c>
      <c r="DP9" t="s">
        <v>30</v>
      </c>
      <c r="DQ9" t="s">
        <v>31</v>
      </c>
      <c r="DR9" t="s">
        <v>32</v>
      </c>
      <c r="DS9" t="s">
        <v>33</v>
      </c>
      <c r="DT9" t="s">
        <v>34</v>
      </c>
      <c r="DU9" t="s">
        <v>29</v>
      </c>
      <c r="DV9" t="s">
        <v>30</v>
      </c>
      <c r="DW9" t="s">
        <v>31</v>
      </c>
      <c r="DX9" t="s">
        <v>32</v>
      </c>
      <c r="DY9" t="s">
        <v>33</v>
      </c>
      <c r="DZ9" t="s">
        <v>34</v>
      </c>
      <c r="EB9" t="s">
        <v>169</v>
      </c>
      <c r="EH9" t="s">
        <v>29</v>
      </c>
      <c r="EI9" t="s">
        <v>30</v>
      </c>
      <c r="EJ9" t="s">
        <v>32</v>
      </c>
      <c r="EK9" t="s">
        <v>33</v>
      </c>
      <c r="EL9" t="s">
        <v>34</v>
      </c>
      <c r="ER9" t="s">
        <v>168</v>
      </c>
      <c r="EY9" t="s">
        <v>169</v>
      </c>
      <c r="FE9" t="s">
        <v>168</v>
      </c>
      <c r="FJ9" t="s">
        <v>240</v>
      </c>
    </row>
    <row r="10" spans="1:175" s="2" customFormat="1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112</v>
      </c>
      <c r="I10" s="3" t="s">
        <v>16</v>
      </c>
      <c r="J10" s="3" t="s">
        <v>15</v>
      </c>
      <c r="K10" s="3" t="s">
        <v>18</v>
      </c>
      <c r="L10" s="3" t="s">
        <v>19</v>
      </c>
      <c r="M10" s="3" t="s">
        <v>17</v>
      </c>
      <c r="N10" s="3" t="s">
        <v>20</v>
      </c>
      <c r="O10" s="3" t="s">
        <v>21</v>
      </c>
      <c r="P10" s="3" t="s">
        <v>22</v>
      </c>
      <c r="Q10" s="3" t="s">
        <v>35</v>
      </c>
      <c r="R10" s="3" t="s">
        <v>202</v>
      </c>
      <c r="S10" s="3" t="s">
        <v>203</v>
      </c>
      <c r="T10" s="3" t="s">
        <v>35</v>
      </c>
      <c r="U10" s="3" t="s">
        <v>204</v>
      </c>
      <c r="V10" s="3" t="s">
        <v>205</v>
      </c>
      <c r="W10" s="3" t="s">
        <v>35</v>
      </c>
      <c r="X10" s="3" t="s">
        <v>206</v>
      </c>
      <c r="Y10" s="3" t="s">
        <v>207</v>
      </c>
      <c r="Z10" s="22"/>
      <c r="AA10" s="17" t="s">
        <v>209</v>
      </c>
      <c r="AB10" s="17" t="s">
        <v>210</v>
      </c>
      <c r="AC10" s="17" t="s">
        <v>211</v>
      </c>
      <c r="AD10" s="17" t="s">
        <v>212</v>
      </c>
      <c r="AE10" s="24" t="s">
        <v>208</v>
      </c>
      <c r="AF10" s="19"/>
      <c r="AG10" s="17" t="s">
        <v>210</v>
      </c>
      <c r="AH10" s="17" t="s">
        <v>211</v>
      </c>
      <c r="AI10" s="17" t="s">
        <v>212</v>
      </c>
      <c r="AJ10" s="24" t="s">
        <v>208</v>
      </c>
      <c r="AK10" s="17" t="s">
        <v>209</v>
      </c>
      <c r="AL10" s="19"/>
      <c r="AM10" s="17" t="s">
        <v>211</v>
      </c>
      <c r="AN10" s="17" t="s">
        <v>212</v>
      </c>
      <c r="AO10" s="24" t="s">
        <v>208</v>
      </c>
      <c r="AP10" s="17" t="s">
        <v>209</v>
      </c>
      <c r="AQ10" s="17" t="s">
        <v>210</v>
      </c>
      <c r="AR10" s="17" t="s">
        <v>211</v>
      </c>
      <c r="AS10" s="17" t="s">
        <v>212</v>
      </c>
      <c r="AT10" s="24" t="s">
        <v>208</v>
      </c>
      <c r="AU10" s="17" t="s">
        <v>209</v>
      </c>
      <c r="AV10" s="17" t="s">
        <v>210</v>
      </c>
      <c r="AW10" s="19"/>
      <c r="AX10" s="17" t="s">
        <v>212</v>
      </c>
      <c r="AY10" s="31" t="s">
        <v>112</v>
      </c>
      <c r="AZ10" s="3" t="s">
        <v>16</v>
      </c>
      <c r="BA10" s="3" t="s">
        <v>15</v>
      </c>
      <c r="BB10" s="3" t="s">
        <v>202</v>
      </c>
      <c r="BC10" s="3" t="s">
        <v>204</v>
      </c>
      <c r="BD10" s="3" t="s">
        <v>206</v>
      </c>
      <c r="BE10" s="3" t="s">
        <v>203</v>
      </c>
      <c r="BF10" s="3" t="s">
        <v>205</v>
      </c>
      <c r="BG10" s="3" t="s">
        <v>207</v>
      </c>
      <c r="BH10" s="3" t="s">
        <v>80</v>
      </c>
      <c r="BI10" s="14" t="s">
        <v>85</v>
      </c>
      <c r="BJ10" s="3" t="s">
        <v>81</v>
      </c>
      <c r="BK10" s="14" t="s">
        <v>82</v>
      </c>
      <c r="BL10" s="14" t="s">
        <v>83</v>
      </c>
      <c r="BM10" s="14" t="s">
        <v>84</v>
      </c>
      <c r="BN10" s="14" t="s">
        <v>69</v>
      </c>
      <c r="BO10" s="14" t="s">
        <v>70</v>
      </c>
      <c r="BP10" s="14" t="s">
        <v>92</v>
      </c>
      <c r="BQ10" s="14" t="s">
        <v>97</v>
      </c>
      <c r="BR10" s="14" t="s">
        <v>93</v>
      </c>
      <c r="BS10" s="14" t="s">
        <v>94</v>
      </c>
      <c r="BT10" s="14" t="s">
        <v>95</v>
      </c>
      <c r="BU10" s="14" t="s">
        <v>96</v>
      </c>
      <c r="BV10" s="14" t="s">
        <v>105</v>
      </c>
      <c r="BW10" s="14" t="s">
        <v>86</v>
      </c>
      <c r="BX10" s="14" t="s">
        <v>91</v>
      </c>
      <c r="BY10" s="14" t="s">
        <v>87</v>
      </c>
      <c r="BZ10" s="14" t="s">
        <v>88</v>
      </c>
      <c r="CA10" s="14" t="s">
        <v>89</v>
      </c>
      <c r="CB10" s="14" t="s">
        <v>90</v>
      </c>
      <c r="CC10" s="15" t="s">
        <v>98</v>
      </c>
      <c r="CD10" s="14" t="s">
        <v>99</v>
      </c>
      <c r="CE10" s="14" t="s">
        <v>103</v>
      </c>
      <c r="CF10" s="14" t="s">
        <v>100</v>
      </c>
      <c r="CG10" s="14" t="s">
        <v>101</v>
      </c>
      <c r="CH10" s="14" t="s">
        <v>102</v>
      </c>
      <c r="CI10" s="14" t="s">
        <v>163</v>
      </c>
      <c r="CJ10" s="14" t="s">
        <v>167</v>
      </c>
      <c r="CK10" s="14" t="s">
        <v>164</v>
      </c>
      <c r="CL10" s="14" t="s">
        <v>165</v>
      </c>
      <c r="CM10" s="14" t="s">
        <v>166</v>
      </c>
      <c r="CN10" s="15" t="s">
        <v>104</v>
      </c>
      <c r="CO10" s="14" t="s">
        <v>170</v>
      </c>
      <c r="CP10" s="14" t="s">
        <v>172</v>
      </c>
      <c r="CQ10" s="14" t="s">
        <v>219</v>
      </c>
      <c r="CR10" s="14" t="s">
        <v>220</v>
      </c>
      <c r="CS10" s="14" t="s">
        <v>171</v>
      </c>
      <c r="CT10" s="14" t="s">
        <v>106</v>
      </c>
      <c r="CU10" s="14" t="s">
        <v>107</v>
      </c>
      <c r="CV10" s="14" t="s">
        <v>221</v>
      </c>
      <c r="CW10" s="14" t="s">
        <v>222</v>
      </c>
      <c r="CX10" s="14" t="s">
        <v>108</v>
      </c>
      <c r="CY10" s="15" t="s">
        <v>109</v>
      </c>
      <c r="CZ10" s="15" t="s">
        <v>110</v>
      </c>
      <c r="DA10" s="15" t="s">
        <v>111</v>
      </c>
      <c r="DB10" s="3" t="s">
        <v>114</v>
      </c>
      <c r="DC10" s="3" t="s">
        <v>117</v>
      </c>
      <c r="DD10" s="14" t="s">
        <v>122</v>
      </c>
      <c r="DE10" s="3" t="s">
        <v>118</v>
      </c>
      <c r="DF10" s="14" t="s">
        <v>119</v>
      </c>
      <c r="DG10" s="14" t="s">
        <v>120</v>
      </c>
      <c r="DH10" s="14" t="s">
        <v>121</v>
      </c>
      <c r="DI10" s="14" t="s">
        <v>140</v>
      </c>
      <c r="DJ10" s="14" t="s">
        <v>145</v>
      </c>
      <c r="DK10" s="14" t="s">
        <v>141</v>
      </c>
      <c r="DL10" s="14" t="s">
        <v>142</v>
      </c>
      <c r="DM10" s="14" t="s">
        <v>143</v>
      </c>
      <c r="DN10" s="14" t="s">
        <v>144</v>
      </c>
      <c r="DO10" s="14" t="s">
        <v>123</v>
      </c>
      <c r="DP10" s="14" t="s">
        <v>124</v>
      </c>
      <c r="DQ10" s="14" t="s">
        <v>125</v>
      </c>
      <c r="DR10" s="14" t="s">
        <v>126</v>
      </c>
      <c r="DS10" s="14" t="s">
        <v>127</v>
      </c>
      <c r="DT10" s="14" t="s">
        <v>128</v>
      </c>
      <c r="DU10" s="14" t="s">
        <v>129</v>
      </c>
      <c r="DV10" s="14" t="s">
        <v>131</v>
      </c>
      <c r="DW10" s="14" t="s">
        <v>130</v>
      </c>
      <c r="DX10" s="14" t="s">
        <v>132</v>
      </c>
      <c r="DY10" s="14" t="s">
        <v>133</v>
      </c>
      <c r="DZ10" s="14" t="s">
        <v>134</v>
      </c>
      <c r="EA10" s="14" t="s">
        <v>71</v>
      </c>
      <c r="EB10" s="15" t="s">
        <v>223</v>
      </c>
      <c r="EC10" s="16" t="s">
        <v>224</v>
      </c>
      <c r="ED10" s="15" t="s">
        <v>225</v>
      </c>
      <c r="EE10" s="15" t="s">
        <v>226</v>
      </c>
      <c r="EF10" s="15" t="s">
        <v>227</v>
      </c>
      <c r="EG10" s="15" t="s">
        <v>228</v>
      </c>
      <c r="EH10" s="14" t="s">
        <v>135</v>
      </c>
      <c r="EI10" s="14" t="s">
        <v>137</v>
      </c>
      <c r="EJ10" s="14" t="s">
        <v>136</v>
      </c>
      <c r="EK10" s="14" t="s">
        <v>138</v>
      </c>
      <c r="EL10" s="14" t="s">
        <v>139</v>
      </c>
      <c r="EM10" s="14" t="s">
        <v>146</v>
      </c>
      <c r="EN10" s="14" t="s">
        <v>147</v>
      </c>
      <c r="EO10" s="14" t="s">
        <v>229</v>
      </c>
      <c r="EP10" s="14" t="s">
        <v>230</v>
      </c>
      <c r="EQ10" s="14" t="s">
        <v>173</v>
      </c>
      <c r="ER10" s="15" t="s">
        <v>231</v>
      </c>
      <c r="ES10" s="16" t="s">
        <v>232</v>
      </c>
      <c r="ET10" s="15" t="s">
        <v>233</v>
      </c>
      <c r="EU10" s="15" t="s">
        <v>234</v>
      </c>
      <c r="EV10" s="15" t="s">
        <v>235</v>
      </c>
      <c r="EW10" s="16" t="s">
        <v>236</v>
      </c>
      <c r="EX10" s="16" t="s">
        <v>148</v>
      </c>
      <c r="EY10" s="33" t="s">
        <v>149</v>
      </c>
      <c r="EZ10" s="33" t="s">
        <v>156</v>
      </c>
      <c r="FA10" s="33" t="s">
        <v>151</v>
      </c>
      <c r="FB10" s="33" t="s">
        <v>152</v>
      </c>
      <c r="FC10" s="33" t="s">
        <v>153</v>
      </c>
      <c r="FD10" s="33" t="s">
        <v>154</v>
      </c>
      <c r="FE10" s="33" t="s">
        <v>150</v>
      </c>
      <c r="FF10" s="33" t="s">
        <v>155</v>
      </c>
      <c r="FG10" s="33" t="s">
        <v>237</v>
      </c>
      <c r="FH10" s="33" t="s">
        <v>239</v>
      </c>
      <c r="FI10" s="33" t="s">
        <v>238</v>
      </c>
      <c r="FJ10" s="33" t="s">
        <v>157</v>
      </c>
      <c r="FK10" s="7" t="s">
        <v>74</v>
      </c>
      <c r="FL10" s="15" t="s">
        <v>159</v>
      </c>
      <c r="FM10" s="15" t="s">
        <v>158</v>
      </c>
      <c r="FN10" s="14" t="s">
        <v>72</v>
      </c>
      <c r="FO10" s="14" t="s">
        <v>160</v>
      </c>
      <c r="FP10" s="14" t="s">
        <v>162</v>
      </c>
      <c r="FQ10" s="14" t="s">
        <v>161</v>
      </c>
      <c r="FR10" s="15" t="s">
        <v>175</v>
      </c>
      <c r="FS10" s="15" t="s">
        <v>174</v>
      </c>
    </row>
    <row r="11" spans="1:175" x14ac:dyDescent="0.2">
      <c r="A11" t="s">
        <v>14</v>
      </c>
      <c r="C11" t="s">
        <v>76</v>
      </c>
      <c r="D11" t="b">
        <v>1</v>
      </c>
      <c r="E11" t="s">
        <v>25</v>
      </c>
      <c r="F11">
        <v>111</v>
      </c>
      <c r="G11">
        <v>105</v>
      </c>
      <c r="K11">
        <v>1</v>
      </c>
      <c r="Q11" t="b">
        <v>1</v>
      </c>
      <c r="T11" t="b">
        <v>1</v>
      </c>
      <c r="W11" t="b">
        <v>1</v>
      </c>
      <c r="Z11" s="23"/>
      <c r="AB11">
        <v>0.5</v>
      </c>
      <c r="AD11">
        <v>0.5</v>
      </c>
      <c r="AF11" s="20"/>
      <c r="AH11">
        <v>0.5</v>
      </c>
      <c r="AI11">
        <v>0.5</v>
      </c>
      <c r="AL11" s="20"/>
      <c r="AW11" s="20"/>
      <c r="AY11" s="29">
        <f>IF(H11&lt;&gt;"", H11, _xlfn.XLOOKUP($E11,Constants!$A$3:$A$6, Constants!B$3:B$6))</f>
        <v>2.2999999999999998</v>
      </c>
      <c r="AZ11" s="18">
        <f>IF(I11&lt;&gt;"", I11, _xlfn.XLOOKUP($E11,Constants!$A$3:$A$6, Constants!C$3:C$6))</f>
        <v>0.4</v>
      </c>
      <c r="BA11" s="18">
        <f>IF(J11&lt;&gt;"", J11, _xlfn.XLOOKUP($E11,Constants!$A$3:$A$6, Constants!D$3:D$6))</f>
        <v>4.5999999999999999E-2</v>
      </c>
      <c r="BB11">
        <f>IF(R11&lt;&gt;"", R11, IF(Q11, Constants!$B$19, 0))</f>
        <v>0.25</v>
      </c>
      <c r="BC11">
        <f>IF(U11&lt;&gt;"", U11,  IF(T11, Constants!$B$19, 0))</f>
        <v>0.25</v>
      </c>
      <c r="BD11">
        <f>IF(X11&lt;&gt;"", X11,  IF(W11, Constants!$B$19, 0))</f>
        <v>0.25</v>
      </c>
      <c r="BE11" s="18">
        <f>IF(S11&lt;&gt;"", S11, IF(Q11, Constants!$B$20, 0))</f>
        <v>0.25</v>
      </c>
      <c r="BF11" s="18">
        <f>IF(V11&lt;&gt;"", V11, IF(T11, Constants!$B$20, 0))</f>
        <v>0.25</v>
      </c>
      <c r="BG11" s="18">
        <f>IF(Y11&lt;&gt;"", Y11,  IF(W11, Constants!$B$20, 0))</f>
        <v>0.25</v>
      </c>
      <c r="BH11">
        <f>K11*(1-BB11)</f>
        <v>0.75</v>
      </c>
      <c r="BI11">
        <f>L11+(K11*BB11)+(N11*BC11)+(P11*BD11)</f>
        <v>0.25</v>
      </c>
      <c r="BJ11">
        <f>M11</f>
        <v>0</v>
      </c>
      <c r="BK11">
        <f>N11*(1-BC11)</f>
        <v>0</v>
      </c>
      <c r="BL11">
        <f>O11</f>
        <v>0</v>
      </c>
      <c r="BM11">
        <f>P11*(1-BD11)</f>
        <v>0</v>
      </c>
      <c r="BN11">
        <f>Constants!$B$21</f>
        <v>0.45</v>
      </c>
      <c r="BO11">
        <f>Constants!$B$22</f>
        <v>0.6784</v>
      </c>
      <c r="BP11">
        <f>_xlfn.XLOOKUP($A11,Constants!$F$9:$M$9,Constants!$F$10:$M$10)</f>
        <v>0.75</v>
      </c>
      <c r="BQ11">
        <f>_xlfn.XLOOKUP($A11,Constants!$F$9:$M$9,Constants!$F$11:$M$11)</f>
        <v>0.02</v>
      </c>
      <c r="BR11">
        <f>_xlfn.XLOOKUP($A11,Constants!$F$9:$M$9,Constants!$F$12:$M$12)</f>
        <v>0.01</v>
      </c>
      <c r="BS11">
        <f>_xlfn.XLOOKUP($A11,Constants!$F$9:$M$9,Constants!$F$13:$M$13)</f>
        <v>0.1</v>
      </c>
      <c r="BT11">
        <f>_xlfn.XLOOKUP($A11,Constants!$F$9:$M$9,Constants!$F$14:$M$14)</f>
        <v>0.04</v>
      </c>
      <c r="BU11">
        <f>_xlfn.XLOOKUP($A11,Constants!$F$9:$M$9,Constants!$F$15:$M$15)</f>
        <v>0.03</v>
      </c>
      <c r="BV11">
        <f>_xlfn.XLOOKUP($A11,Constants!$F$9:$M$9,Constants!$F$16:$M$16)</f>
        <v>0</v>
      </c>
      <c r="BW11" s="18">
        <f t="shared" ref="BW11:CB14" si="0">$AZ11*BH11*BP11*$BN11*$BO11</f>
        <v>6.8688000000000013E-2</v>
      </c>
      <c r="BX11" s="18">
        <f t="shared" si="0"/>
        <v>6.1056000000000001E-4</v>
      </c>
      <c r="BY11" s="18">
        <f t="shared" si="0"/>
        <v>0</v>
      </c>
      <c r="BZ11" s="18">
        <f t="shared" si="0"/>
        <v>0</v>
      </c>
      <c r="CA11" s="18">
        <f t="shared" si="0"/>
        <v>0</v>
      </c>
      <c r="CB11" s="18">
        <f t="shared" si="0"/>
        <v>0</v>
      </c>
      <c r="CC11">
        <f>(SUM(BW11:CB11)*F11*G11)/1000</f>
        <v>0.80767471680000003</v>
      </c>
      <c r="CD11">
        <f>Constants!$E$10</f>
        <v>0</v>
      </c>
      <c r="CE11">
        <f>Constants!$E$11</f>
        <v>0</v>
      </c>
      <c r="CF11">
        <f>Constants!$E$13</f>
        <v>0.75</v>
      </c>
      <c r="CG11">
        <f>Constants!$E$14</f>
        <v>0.05</v>
      </c>
      <c r="CH11">
        <f>Constants!$E$15</f>
        <v>0</v>
      </c>
      <c r="CI11">
        <f t="shared" ref="CI11:CJ14" si="1">(BH11*(1-CD11))</f>
        <v>0.75</v>
      </c>
      <c r="CJ11">
        <f t="shared" si="1"/>
        <v>0.25</v>
      </c>
      <c r="CK11">
        <f t="shared" ref="CK11:CM14" si="2">(BK11*(1-CF11))</f>
        <v>0</v>
      </c>
      <c r="CL11">
        <f t="shared" si="2"/>
        <v>0</v>
      </c>
      <c r="CM11">
        <f t="shared" si="2"/>
        <v>0</v>
      </c>
      <c r="CN11" s="18">
        <f>SUM(CI11:CM11)*I11</f>
        <v>0</v>
      </c>
      <c r="CO11" s="18">
        <f t="shared" ref="CO11:CS14" si="3">$CI11*Z11+$CJ11*AE11+$CK11*AJ11+$CL11*AO11+$CM11*AT11</f>
        <v>0</v>
      </c>
      <c r="CP11" s="18">
        <f t="shared" si="3"/>
        <v>0</v>
      </c>
      <c r="CQ11" s="18">
        <f t="shared" si="3"/>
        <v>0.375</v>
      </c>
      <c r="CR11" s="18">
        <f t="shared" si="3"/>
        <v>0.125</v>
      </c>
      <c r="CS11" s="18">
        <f t="shared" si="3"/>
        <v>0.5</v>
      </c>
      <c r="CT11" s="18">
        <f>CO11*$BN11*BP11*$BO11*$AZ11</f>
        <v>0</v>
      </c>
      <c r="CU11" s="18">
        <f t="shared" ref="CU11" si="4">CP11*$BN11*BQ11*$BO11*$AZ11</f>
        <v>0</v>
      </c>
      <c r="CV11" s="18">
        <f>CQ11*$BN11*BS11*$BO11*$AZ11</f>
        <v>4.5792000000000012E-3</v>
      </c>
      <c r="CW11" s="18">
        <f>CR11*$BN11*BU11*$BO11*$AZ11</f>
        <v>4.5792000000000006E-4</v>
      </c>
      <c r="CX11" s="18">
        <f>CS11*$BN11*BV11*$BO11*$AZ11</f>
        <v>0</v>
      </c>
      <c r="CY11">
        <f>(SUM(CT11:CX11)*F11*G11)/1000</f>
        <v>5.8707633600000017E-2</v>
      </c>
      <c r="CZ11" s="18">
        <f>CC11+CY11</f>
        <v>0.8663823504</v>
      </c>
      <c r="DA11">
        <f>SUM(CZ11:CZ14)</f>
        <v>4.6192572388800013</v>
      </c>
      <c r="DB11">
        <f>F11*G11*BA11</f>
        <v>536.13</v>
      </c>
      <c r="DC11" s="18">
        <f>K11*(1-BE11)</f>
        <v>0.75</v>
      </c>
      <c r="DD11" s="18">
        <f>L11+(K11*BE11)+(N11*BF11)+(P11*BG11)</f>
        <v>0.25</v>
      </c>
      <c r="DE11" s="18">
        <f>M11</f>
        <v>0</v>
      </c>
      <c r="DF11" s="18">
        <f>N11*(1-BF11)</f>
        <v>0</v>
      </c>
      <c r="DG11" s="18">
        <f>O11</f>
        <v>0</v>
      </c>
      <c r="DH11" s="18">
        <f>P11*(1-BG11)</f>
        <v>0</v>
      </c>
      <c r="DI11">
        <f>$DB11*DC11</f>
        <v>402.09749999999997</v>
      </c>
      <c r="DJ11">
        <f t="shared" ref="DJ11:DN11" si="5">$DB11*DD11</f>
        <v>134.0325</v>
      </c>
      <c r="DK11">
        <f t="shared" si="5"/>
        <v>0</v>
      </c>
      <c r="DL11">
        <f t="shared" si="5"/>
        <v>0</v>
      </c>
      <c r="DM11">
        <f t="shared" si="5"/>
        <v>0</v>
      </c>
      <c r="DN11">
        <f t="shared" si="5"/>
        <v>0</v>
      </c>
      <c r="DO11" s="6">
        <f>Constants!$C$10</f>
        <v>0.55000000000000004</v>
      </c>
      <c r="DP11" s="6">
        <f>Constants!$C$11</f>
        <v>0.2</v>
      </c>
      <c r="DQ11" s="6">
        <f>Constants!$C$12</f>
        <v>0.3</v>
      </c>
      <c r="DR11" s="6">
        <f>Constants!$C$13</f>
        <v>0</v>
      </c>
      <c r="DS11" s="6">
        <f>Constants!$C$14</f>
        <v>0.125</v>
      </c>
      <c r="DT11" s="6">
        <f>Constants!$C$15</f>
        <v>0.25</v>
      </c>
      <c r="DU11" s="6">
        <f>Constants!$D$10</f>
        <v>0</v>
      </c>
      <c r="DV11" s="6">
        <f>Constants!$D$11</f>
        <v>5.0000000000000001E-3</v>
      </c>
      <c r="DW11" s="6">
        <f>Constants!$D$12</f>
        <v>0.02</v>
      </c>
      <c r="DX11" s="6">
        <f>Constants!$D$13</f>
        <v>0</v>
      </c>
      <c r="DY11" s="6">
        <f>Constants!$D$14</f>
        <v>0.01</v>
      </c>
      <c r="DZ11" s="6">
        <f>Constants!$D$15</f>
        <v>2E-3</v>
      </c>
      <c r="EA11">
        <f>Constants!$B$23</f>
        <v>1.57</v>
      </c>
      <c r="EB11" s="18">
        <f>DI11*DU11*$EA11</f>
        <v>0</v>
      </c>
      <c r="EC11" s="18">
        <f t="shared" ref="EC11:EG11" si="6">DJ11*DV11*$EA11</f>
        <v>1.0521551250000001</v>
      </c>
      <c r="ED11" s="18">
        <f t="shared" si="6"/>
        <v>0</v>
      </c>
      <c r="EE11" s="18">
        <f t="shared" si="6"/>
        <v>0</v>
      </c>
      <c r="EF11" s="18">
        <f t="shared" si="6"/>
        <v>0</v>
      </c>
      <c r="EG11" s="18">
        <f t="shared" si="6"/>
        <v>0</v>
      </c>
      <c r="EH11">
        <f>DI11*(1-DO11-DU11)</f>
        <v>180.94387499999996</v>
      </c>
      <c r="EI11">
        <f>DJ11*(1-DP11-DV11)</f>
        <v>106.55583750000001</v>
      </c>
      <c r="EJ11">
        <f>DL11*(1-DR11-DX11)</f>
        <v>0</v>
      </c>
      <c r="EK11">
        <f>DM11*(1-DS11-DY11)</f>
        <v>0</v>
      </c>
      <c r="EL11">
        <f>DN11*(1-DT11-DZ11)</f>
        <v>0</v>
      </c>
      <c r="EM11">
        <f>$EH11*Z11+$EI11*AE11+$EJ11*AJ11+$EK11*AO11+$EL11*AT11</f>
        <v>0</v>
      </c>
      <c r="EN11">
        <f>$EH11*AA11+$EI11*AF11+$EJ11*AK11+$EK11*AP11+$EL11*AU11</f>
        <v>0</v>
      </c>
      <c r="EO11">
        <f>$EH11*AB11+$EI11*AG11+$EJ11*AL11+$EK11*AQ11+$EL11*AV11</f>
        <v>90.471937499999981</v>
      </c>
      <c r="EP11">
        <f>$EH11*AC11+$EI11*AH11+$EJ11*AM11+$EK11*AR11+$EL11*AW11</f>
        <v>53.277918750000005</v>
      </c>
      <c r="EQ11">
        <f>$EH11*AD11+$EI11*AI11+$EJ11*AN11+$EK11*AS11+$EL11*AX11</f>
        <v>143.74985624999999</v>
      </c>
      <c r="ER11">
        <f>EM11*DU11*$EA11</f>
        <v>0</v>
      </c>
      <c r="ES11">
        <f>EN11*DV11*$EA11</f>
        <v>0</v>
      </c>
      <c r="ET11">
        <f>EO11*DX11*$EA11</f>
        <v>0</v>
      </c>
      <c r="EU11">
        <f>EP11*DZ11*$EA11</f>
        <v>0.16729266487500002</v>
      </c>
      <c r="EV11">
        <f>EQ11*0*$EA11</f>
        <v>0</v>
      </c>
      <c r="EW11" s="18">
        <f>SUM(EB11:EG11,ER11:EV11)/1000</f>
        <v>1.2194477898750001E-3</v>
      </c>
      <c r="EX11">
        <f>SUM(EW11:EW14)</f>
        <v>0.18565691420414998</v>
      </c>
      <c r="EY11" s="18">
        <f>DI11*DO11</f>
        <v>221.15362500000001</v>
      </c>
      <c r="EZ11" s="18">
        <f t="shared" ref="EZ11:FD11" si="7">DJ11*DP11</f>
        <v>26.8065</v>
      </c>
      <c r="FA11" s="18">
        <f t="shared" si="7"/>
        <v>0</v>
      </c>
      <c r="FB11" s="18">
        <f t="shared" si="7"/>
        <v>0</v>
      </c>
      <c r="FC11" s="18">
        <f t="shared" si="7"/>
        <v>0</v>
      </c>
      <c r="FD11" s="18">
        <f t="shared" si="7"/>
        <v>0</v>
      </c>
      <c r="FE11" s="18">
        <f>EM11*DO11</f>
        <v>0</v>
      </c>
      <c r="FF11" s="18">
        <f>EN11*DP11</f>
        <v>0</v>
      </c>
      <c r="FG11" s="18">
        <f>EO11*DR11</f>
        <v>0</v>
      </c>
      <c r="FH11" s="18">
        <f>EP11*DT11</f>
        <v>13.319479687500001</v>
      </c>
      <c r="FI11" s="18">
        <f>EQ11*0</f>
        <v>0</v>
      </c>
      <c r="FJ11" s="18">
        <f>SUM(EY11:FI11)</f>
        <v>261.27960468750001</v>
      </c>
      <c r="FK11" s="18">
        <f>_xlfn.XLOOKUP(C11, Constants!$D$19:$D$23, Constants!$E$19:$E$23)</f>
        <v>7.0000000000000001E-3</v>
      </c>
      <c r="FL11">
        <f>(EA11*FJ11*FK11)/1000</f>
        <v>2.8714628555156253E-3</v>
      </c>
      <c r="FM11">
        <f>SUM(FL11:FL14)</f>
        <v>3.5358997318706252E-2</v>
      </c>
      <c r="FN11" s="18">
        <f>Constants!$B$24</f>
        <v>1.0999999999999999E-2</v>
      </c>
      <c r="FO11" s="18">
        <f>IF(D11, 1, 0)</f>
        <v>1</v>
      </c>
      <c r="FP11">
        <f>Constants!$B$25</f>
        <v>0.02</v>
      </c>
      <c r="FQ11">
        <f t="shared" ref="FQ11:FQ26" si="8">DK11*FO11*FP11</f>
        <v>0</v>
      </c>
      <c r="FR11" s="18">
        <f t="shared" ref="FR11:FR26" si="9">FQ11*FN11*EA11</f>
        <v>0</v>
      </c>
      <c r="FS11">
        <f>SUM(FR11:FR14)/1000</f>
        <v>0</v>
      </c>
    </row>
    <row r="12" spans="1:175" x14ac:dyDescent="0.2">
      <c r="A12" t="s">
        <v>14</v>
      </c>
      <c r="C12" t="s">
        <v>76</v>
      </c>
      <c r="D12" t="b">
        <v>1</v>
      </c>
      <c r="E12" t="s">
        <v>26</v>
      </c>
      <c r="F12">
        <v>222</v>
      </c>
      <c r="G12">
        <v>103</v>
      </c>
      <c r="K12">
        <v>1</v>
      </c>
      <c r="Q12" t="b">
        <v>1</v>
      </c>
      <c r="T12" t="b">
        <v>1</v>
      </c>
      <c r="W12" t="b">
        <v>1</v>
      </c>
      <c r="Z12" s="23"/>
      <c r="AB12">
        <v>0.5</v>
      </c>
      <c r="AD12">
        <v>0.5</v>
      </c>
      <c r="AF12" s="20"/>
      <c r="AH12">
        <v>0.5</v>
      </c>
      <c r="AI12">
        <v>0.5</v>
      </c>
      <c r="AL12" s="20"/>
      <c r="AW12" s="20"/>
      <c r="AY12" s="21">
        <f>IF(H12&lt;&gt;"", H12, _xlfn.XLOOKUP($E12,Constants!$A$3:$A$6, Constants!B$3:B$6))</f>
        <v>2.62</v>
      </c>
      <c r="AZ12">
        <f>IF(I12&lt;&gt;"", I12, _xlfn.XLOOKUP($E12,Constants!$A$3:$A$6, Constants!C$3:C$6))</f>
        <v>0.46</v>
      </c>
      <c r="BA12">
        <f>IF(J12&lt;&gt;"", J12, _xlfn.XLOOKUP($E12,Constants!$A$3:$A$6, Constants!D$3:D$6))</f>
        <v>4.9000000000000002E-2</v>
      </c>
      <c r="BB12">
        <f>IF(R12&lt;&gt;"", R12, IF(Q12, Constants!$B$19, 0))</f>
        <v>0.25</v>
      </c>
      <c r="BC12">
        <f>IF(U12&lt;&gt;"", U12,  IF(T12, Constants!$B$19, 0))</f>
        <v>0.25</v>
      </c>
      <c r="BD12">
        <f>IF(X12&lt;&gt;"", X12,  IF(W12, Constants!$B$19, 0))</f>
        <v>0.25</v>
      </c>
      <c r="BE12">
        <f>IF(S12&lt;&gt;"", S12, IF(Q12, Constants!$B$20, 0))</f>
        <v>0.25</v>
      </c>
      <c r="BF12">
        <f>IF(V12&lt;&gt;"", V12, IF(T12, Constants!$B$20, 0))</f>
        <v>0.25</v>
      </c>
      <c r="BG12">
        <f>IF(Y12&lt;&gt;"", Y12,  IF(W12, Constants!$B$20, 0))</f>
        <v>0.25</v>
      </c>
      <c r="BH12">
        <f t="shared" ref="BH12:BH15" si="10">K12*(1-BB12)</f>
        <v>0.75</v>
      </c>
      <c r="BI12">
        <f t="shared" ref="BI12:BI15" si="11">L12+(K12*BB12)+(N12*BC12)+(P12*BD12)</f>
        <v>0.25</v>
      </c>
      <c r="BJ12">
        <f t="shared" ref="BJ12:BJ15" si="12">M12</f>
        <v>0</v>
      </c>
      <c r="BK12">
        <f t="shared" ref="BK12:BK15" si="13">N12*(1-BC12)</f>
        <v>0</v>
      </c>
      <c r="BL12">
        <f t="shared" ref="BL12:BL15" si="14">O12</f>
        <v>0</v>
      </c>
      <c r="BM12">
        <f t="shared" ref="BM12:BM15" si="15">P12*(1-BD12)</f>
        <v>0</v>
      </c>
      <c r="BN12">
        <f>Constants!$B$21</f>
        <v>0.45</v>
      </c>
      <c r="BO12">
        <f>Constants!$B$22</f>
        <v>0.6784</v>
      </c>
      <c r="BP12">
        <f>_xlfn.XLOOKUP($A12,Constants!$F$9:$M$9,Constants!$F$10:$M$10)</f>
        <v>0.75</v>
      </c>
      <c r="BQ12">
        <f>_xlfn.XLOOKUP($A12,Constants!$F$9:$M$9,Constants!$F$11:$M$11)</f>
        <v>0.02</v>
      </c>
      <c r="BR12">
        <f>_xlfn.XLOOKUP($A12,Constants!$F$9:$M$9,Constants!$F$12:$M$12)</f>
        <v>0.01</v>
      </c>
      <c r="BS12">
        <f>_xlfn.XLOOKUP($A12,Constants!$F$9:$M$9,Constants!$F$13:$M$13)</f>
        <v>0.1</v>
      </c>
      <c r="BT12">
        <f>_xlfn.XLOOKUP($A12,Constants!$F$9:$M$9,Constants!$F$14:$M$14)</f>
        <v>0.04</v>
      </c>
      <c r="BU12">
        <f>_xlfn.XLOOKUP($A12,Constants!$F$9:$M$9,Constants!$F$15:$M$15)</f>
        <v>0.03</v>
      </c>
      <c r="BV12">
        <f>_xlfn.XLOOKUP($A12,Constants!$F$9:$M$9,Constants!$F$16:$M$16)</f>
        <v>0</v>
      </c>
      <c r="BW12">
        <f t="shared" si="0"/>
        <v>7.8991200000000011E-2</v>
      </c>
      <c r="BX12">
        <f t="shared" si="0"/>
        <v>7.0214400000000003E-4</v>
      </c>
      <c r="BY12">
        <f t="shared" si="0"/>
        <v>0</v>
      </c>
      <c r="BZ12">
        <f t="shared" si="0"/>
        <v>0</v>
      </c>
      <c r="CA12">
        <f t="shared" si="0"/>
        <v>0</v>
      </c>
      <c r="CB12">
        <f t="shared" si="0"/>
        <v>0</v>
      </c>
      <c r="CC12">
        <f>(SUM(BW12:CB12)*F12*G12)/1000</f>
        <v>1.8222680039040005</v>
      </c>
      <c r="CD12">
        <f>Constants!$E$10</f>
        <v>0</v>
      </c>
      <c r="CE12">
        <f>Constants!$E$11</f>
        <v>0</v>
      </c>
      <c r="CF12">
        <f>Constants!$E$13</f>
        <v>0.75</v>
      </c>
      <c r="CG12">
        <f>Constants!$E$14</f>
        <v>0.05</v>
      </c>
      <c r="CH12">
        <f>Constants!$E$15</f>
        <v>0</v>
      </c>
      <c r="CI12">
        <f t="shared" si="1"/>
        <v>0.75</v>
      </c>
      <c r="CJ12">
        <f t="shared" si="1"/>
        <v>0.25</v>
      </c>
      <c r="CK12">
        <f t="shared" si="2"/>
        <v>0</v>
      </c>
      <c r="CL12">
        <f t="shared" si="2"/>
        <v>0</v>
      </c>
      <c r="CM12">
        <f t="shared" si="2"/>
        <v>0</v>
      </c>
      <c r="CN12">
        <f>SUM(CI12:CM12)*I12</f>
        <v>0</v>
      </c>
      <c r="CO12">
        <f t="shared" si="3"/>
        <v>0</v>
      </c>
      <c r="CP12">
        <f t="shared" si="3"/>
        <v>0</v>
      </c>
      <c r="CQ12">
        <f t="shared" si="3"/>
        <v>0.375</v>
      </c>
      <c r="CR12">
        <f t="shared" si="3"/>
        <v>0.125</v>
      </c>
      <c r="CS12">
        <f t="shared" si="3"/>
        <v>0.5</v>
      </c>
      <c r="CT12">
        <f t="shared" ref="CT12:CT15" si="16">CO12*$BN12*BP12*$BO12*$AZ12</f>
        <v>0</v>
      </c>
      <c r="CU12">
        <f t="shared" ref="CU12:CU15" si="17">CP12*$BN12*BQ12*$BO12*$AZ12</f>
        <v>0</v>
      </c>
      <c r="CV12">
        <f t="shared" ref="CV12:CV15" si="18">CQ12*$BN12*BS12*$BO12*$AZ12</f>
        <v>5.2660800000000011E-3</v>
      </c>
      <c r="CW12">
        <f t="shared" ref="CW12:CW15" si="19">CR12*$BN12*BU12*$BO12*$AZ12</f>
        <v>5.2660800000000002E-4</v>
      </c>
      <c r="CX12">
        <f t="shared" ref="CX12:CX15" si="20">CS12*$BN12*BV12*$BO12*$AZ12</f>
        <v>0</v>
      </c>
      <c r="CY12">
        <f>(SUM(CT12:CX12)*F12*G12)/1000</f>
        <v>0.13245560380800001</v>
      </c>
      <c r="CZ12">
        <f t="shared" ref="CZ12:CZ15" si="21">CC12+CY12</f>
        <v>1.9547236077120005</v>
      </c>
      <c r="DB12">
        <f t="shared" ref="DB12:DB26" si="22">F12*G12*BA12</f>
        <v>1120.434</v>
      </c>
      <c r="DC12">
        <f t="shared" ref="DC12:DC15" si="23">K12*(1-BE12)</f>
        <v>0.75</v>
      </c>
      <c r="DD12">
        <f t="shared" ref="DD12:DD15" si="24">L12+(K12*BE12)+(N12*BF12)+(P12*BG12)</f>
        <v>0.25</v>
      </c>
      <c r="DE12">
        <f t="shared" ref="DE12:DE15" si="25">M12</f>
        <v>0</v>
      </c>
      <c r="DF12">
        <f t="shared" ref="DF12:DF15" si="26">N12*(1-BF12)</f>
        <v>0</v>
      </c>
      <c r="DG12">
        <f t="shared" ref="DG12:DG15" si="27">O12</f>
        <v>0</v>
      </c>
      <c r="DH12">
        <f t="shared" ref="DH12:DH15" si="28">P12*(1-BG12)</f>
        <v>0</v>
      </c>
      <c r="DI12">
        <f t="shared" ref="DI12:DI15" si="29">$DB12*DC12</f>
        <v>840.32549999999992</v>
      </c>
      <c r="DJ12">
        <f t="shared" ref="DJ12:DJ15" si="30">$DB12*DD12</f>
        <v>280.10849999999999</v>
      </c>
      <c r="DK12">
        <f t="shared" ref="DK12:DK15" si="31">$DB12*DE12</f>
        <v>0</v>
      </c>
      <c r="DL12">
        <f t="shared" ref="DL12:DL15" si="32">$DB12*DF12</f>
        <v>0</v>
      </c>
      <c r="DM12">
        <f t="shared" ref="DM12:DM15" si="33">$DB12*DG12</f>
        <v>0</v>
      </c>
      <c r="DN12">
        <f t="shared" ref="DN12:DN15" si="34">$DB12*DH12</f>
        <v>0</v>
      </c>
      <c r="DO12" s="6">
        <f>Constants!$C$10</f>
        <v>0.55000000000000004</v>
      </c>
      <c r="DP12" s="6">
        <f>Constants!$C$11</f>
        <v>0.2</v>
      </c>
      <c r="DQ12" s="6">
        <f>Constants!$C$12</f>
        <v>0.3</v>
      </c>
      <c r="DR12" s="6">
        <f>Constants!$C$13</f>
        <v>0</v>
      </c>
      <c r="DS12" s="6">
        <f>Constants!$C$14</f>
        <v>0.125</v>
      </c>
      <c r="DT12" s="6">
        <f>Constants!$C$15</f>
        <v>0.25</v>
      </c>
      <c r="DU12" s="6">
        <f>Constants!$D$10</f>
        <v>0</v>
      </c>
      <c r="DV12" s="6">
        <f>Constants!$D$11</f>
        <v>5.0000000000000001E-3</v>
      </c>
      <c r="DW12" s="6">
        <f>Constants!$D$12</f>
        <v>0.02</v>
      </c>
      <c r="DX12" s="6">
        <f>Constants!$D$13</f>
        <v>0</v>
      </c>
      <c r="DY12" s="6">
        <f>Constants!$D$14</f>
        <v>0.01</v>
      </c>
      <c r="DZ12" s="6">
        <f>Constants!$D$15</f>
        <v>2E-3</v>
      </c>
      <c r="EA12">
        <f>Constants!$B$23</f>
        <v>1.57</v>
      </c>
      <c r="EB12">
        <f t="shared" ref="EB12:EB15" si="35">DI12*DU12*$EA12</f>
        <v>0</v>
      </c>
      <c r="EC12">
        <f t="shared" ref="EC12:EC15" si="36">DJ12*DV12*$EA12</f>
        <v>2.1988517249999999</v>
      </c>
      <c r="ED12">
        <f t="shared" ref="ED12:ED15" si="37">DK12*DW12*$EA12</f>
        <v>0</v>
      </c>
      <c r="EE12">
        <f t="shared" ref="EE12:EE15" si="38">DL12*DX12*$EA12</f>
        <v>0</v>
      </c>
      <c r="EF12">
        <f t="shared" ref="EF12:EF15" si="39">DM12*DY12*$EA12</f>
        <v>0</v>
      </c>
      <c r="EG12">
        <f t="shared" ref="EG12:EG15" si="40">DN12*DZ12*$EA12</f>
        <v>0</v>
      </c>
      <c r="EH12">
        <f t="shared" ref="EH12:EH15" si="41">DI12*(1-DO12-DU12)</f>
        <v>378.14647499999995</v>
      </c>
      <c r="EI12">
        <f t="shared" ref="EI12:EI15" si="42">DJ12*(1-DP12-DV12)</f>
        <v>222.68625750000001</v>
      </c>
      <c r="EJ12">
        <f t="shared" ref="EJ12:EJ15" si="43">DL12*(1-DR12-DX12)</f>
        <v>0</v>
      </c>
      <c r="EK12">
        <f t="shared" ref="EK12:EK15" si="44">DM12*(1-DS12-DY12)</f>
        <v>0</v>
      </c>
      <c r="EL12">
        <f t="shared" ref="EL12:EL15" si="45">DN12*(1-DT12-DZ12)</f>
        <v>0</v>
      </c>
      <c r="EM12">
        <f t="shared" ref="EM12:EM15" si="46">$EH12*Z12+$EI12*AE12+$EJ12*AJ12+$EK12*AO12+$EL12*AT12</f>
        <v>0</v>
      </c>
      <c r="EN12">
        <f t="shared" ref="EN12:EN15" si="47">$EH12*AA12+$EI12*AF12+$EJ12*AK12+$EK12*AP12+$EL12*AU12</f>
        <v>0</v>
      </c>
      <c r="EO12">
        <f t="shared" ref="EO12:EO15" si="48">$EH12*AB12+$EI12*AG12+$EJ12*AL12+$EK12*AQ12+$EL12*AV12</f>
        <v>189.07323749999998</v>
      </c>
      <c r="EP12">
        <f t="shared" ref="EP12:EP15" si="49">$EH12*AC12+$EI12*AH12+$EJ12*AM12+$EK12*AR12+$EL12*AW12</f>
        <v>111.34312875000001</v>
      </c>
      <c r="EQ12">
        <f t="shared" ref="EQ12:EQ15" si="50">$EH12*AD12+$EI12*AI12+$EJ12*AN12+$EK12*AS12+$EL12*AX12</f>
        <v>300.41636625000001</v>
      </c>
      <c r="ER12">
        <f t="shared" ref="ER12:ER15" si="51">EM12*DU12*$EA12</f>
        <v>0</v>
      </c>
      <c r="ES12">
        <f t="shared" ref="ES12:ES15" si="52">EN12*DV12*$EA12</f>
        <v>0</v>
      </c>
      <c r="ET12">
        <f t="shared" ref="ET12:ET15" si="53">EO12*DX12*$EA12</f>
        <v>0</v>
      </c>
      <c r="EU12">
        <f t="shared" ref="EU12:EU15" si="54">EP12*DZ12*$EA12</f>
        <v>0.34961742427500003</v>
      </c>
      <c r="EV12">
        <f t="shared" ref="EV12:EV15" si="55">EQ12*0*$EA12</f>
        <v>0</v>
      </c>
      <c r="EW12">
        <f t="shared" ref="EW12:EW26" si="56">SUM(EB12:EG12,ER12:EV12)/1000</f>
        <v>2.5484691492749997E-3</v>
      </c>
      <c r="EY12">
        <f t="shared" ref="EY12:EY15" si="57">DI12*DO12</f>
        <v>462.17902499999997</v>
      </c>
      <c r="EZ12">
        <f t="shared" ref="EZ12:EZ15" si="58">DJ12*DP12</f>
        <v>56.021700000000003</v>
      </c>
      <c r="FA12">
        <f t="shared" ref="FA12:FA15" si="59">DK12*DQ12</f>
        <v>0</v>
      </c>
      <c r="FB12">
        <f t="shared" ref="FB12:FB15" si="60">DL12*DR12</f>
        <v>0</v>
      </c>
      <c r="FC12">
        <f t="shared" ref="FC12:FC15" si="61">DM12*DS12</f>
        <v>0</v>
      </c>
      <c r="FD12">
        <f t="shared" ref="FD12:FD15" si="62">DN12*DT12</f>
        <v>0</v>
      </c>
      <c r="FE12">
        <f t="shared" ref="FE12:FE15" si="63">EM12*DO12</f>
        <v>0</v>
      </c>
      <c r="FF12">
        <f t="shared" ref="FF12:FF15" si="64">EN12*DP12</f>
        <v>0</v>
      </c>
      <c r="FG12">
        <f t="shared" ref="FG12:FG15" si="65">EO12*DR12</f>
        <v>0</v>
      </c>
      <c r="FH12">
        <f t="shared" ref="FH12:FH15" si="66">EP12*DT12</f>
        <v>27.835782187500001</v>
      </c>
      <c r="FI12">
        <f t="shared" ref="FI12:FI15" si="67">EQ12*0</f>
        <v>0</v>
      </c>
      <c r="FJ12">
        <f t="shared" ref="FJ12:FJ26" si="68">SUM(EY12:FI12)</f>
        <v>546.03650718749986</v>
      </c>
      <c r="FK12">
        <f>_xlfn.XLOOKUP(C12, Constants!$D$19:$D$23, Constants!$E$19:$E$23)</f>
        <v>7.0000000000000001E-3</v>
      </c>
      <c r="FL12">
        <f t="shared" ref="FL12:FL26" si="69">(EA12*FJ12*FK12)/1000</f>
        <v>6.0009412139906239E-3</v>
      </c>
      <c r="FN12">
        <f>Constants!$B$24</f>
        <v>1.0999999999999999E-2</v>
      </c>
      <c r="FO12">
        <f t="shared" ref="FO12:FO15" si="70">IF(D12, 1, 0)</f>
        <v>1</v>
      </c>
      <c r="FP12">
        <f>Constants!$B$25</f>
        <v>0.02</v>
      </c>
      <c r="FQ12">
        <f t="shared" si="8"/>
        <v>0</v>
      </c>
      <c r="FR12">
        <f t="shared" si="9"/>
        <v>0</v>
      </c>
    </row>
    <row r="13" spans="1:175" x14ac:dyDescent="0.2">
      <c r="A13" t="s">
        <v>14</v>
      </c>
      <c r="C13" t="s">
        <v>76</v>
      </c>
      <c r="D13" t="b">
        <v>1</v>
      </c>
      <c r="E13" t="s">
        <v>27</v>
      </c>
      <c r="F13">
        <v>333</v>
      </c>
      <c r="G13">
        <v>200</v>
      </c>
      <c r="O13">
        <v>1</v>
      </c>
      <c r="Q13" t="b">
        <v>0</v>
      </c>
      <c r="T13" t="b">
        <v>0</v>
      </c>
      <c r="W13" t="b">
        <v>0</v>
      </c>
      <c r="Z13" s="23"/>
      <c r="AF13" s="20"/>
      <c r="AL13" s="20"/>
      <c r="AP13">
        <v>1</v>
      </c>
      <c r="AW13" s="20"/>
      <c r="AY13" s="21">
        <f>IF(H13&lt;&gt;"", H13, _xlfn.XLOOKUP($E13,Constants!$A$3:$A$6, Constants!B$3:B$6))</f>
        <v>2.5</v>
      </c>
      <c r="AZ13">
        <f>IF(I13&lt;&gt;"", I13, _xlfn.XLOOKUP($E13,Constants!$A$3:$A$6, Constants!C$3:C$6))</f>
        <v>0.55000000000000004</v>
      </c>
      <c r="BA13">
        <f>IF(J13&lt;&gt;"", J13, _xlfn.XLOOKUP($E13,Constants!$A$3:$A$6, Constants!D$3:D$6))</f>
        <v>4.5999999999999999E-2</v>
      </c>
      <c r="BB13">
        <f>IF(R13&lt;&gt;"", R13, IF(Q13, Constants!$B$19, 0))</f>
        <v>0</v>
      </c>
      <c r="BC13">
        <f>IF(U13&lt;&gt;"", U13,  IF(T13, Constants!$B$19, 0))</f>
        <v>0</v>
      </c>
      <c r="BD13">
        <f>IF(X13&lt;&gt;"", X13,  IF(W13, Constants!$B$19, 0))</f>
        <v>0</v>
      </c>
      <c r="BE13">
        <f>IF(S13&lt;&gt;"", S13, IF(Q13, Constants!$B$20, 0))</f>
        <v>0</v>
      </c>
      <c r="BF13">
        <f>IF(V13&lt;&gt;"", V13, IF(T13, Constants!$B$20, 0))</f>
        <v>0</v>
      </c>
      <c r="BG13">
        <f>IF(Y13&lt;&gt;"", Y13,  IF(W13, Constants!$B$20, 0))</f>
        <v>0</v>
      </c>
      <c r="BH13">
        <f t="shared" si="10"/>
        <v>0</v>
      </c>
      <c r="BI13">
        <f t="shared" si="11"/>
        <v>0</v>
      </c>
      <c r="BJ13">
        <f t="shared" si="12"/>
        <v>0</v>
      </c>
      <c r="BK13">
        <f t="shared" si="13"/>
        <v>0</v>
      </c>
      <c r="BL13">
        <f t="shared" si="14"/>
        <v>1</v>
      </c>
      <c r="BM13">
        <f t="shared" si="15"/>
        <v>0</v>
      </c>
      <c r="BN13">
        <f>Constants!$B$21</f>
        <v>0.45</v>
      </c>
      <c r="BO13">
        <f>Constants!$B$22</f>
        <v>0.6784</v>
      </c>
      <c r="BP13">
        <f>_xlfn.XLOOKUP($A13,Constants!$F$9:$M$9,Constants!$F$10:$M$10)</f>
        <v>0.75</v>
      </c>
      <c r="BQ13">
        <f>_xlfn.XLOOKUP($A13,Constants!$F$9:$M$9,Constants!$F$11:$M$11)</f>
        <v>0.02</v>
      </c>
      <c r="BR13">
        <f>_xlfn.XLOOKUP($A13,Constants!$F$9:$M$9,Constants!$F$12:$M$12)</f>
        <v>0.01</v>
      </c>
      <c r="BS13">
        <f>_xlfn.XLOOKUP($A13,Constants!$F$9:$M$9,Constants!$F$13:$M$13)</f>
        <v>0.1</v>
      </c>
      <c r="BT13">
        <f>_xlfn.XLOOKUP($A13,Constants!$F$9:$M$9,Constants!$F$14:$M$14)</f>
        <v>0.04</v>
      </c>
      <c r="BU13">
        <f>_xlfn.XLOOKUP($A13,Constants!$F$9:$M$9,Constants!$F$15:$M$15)</f>
        <v>0.03</v>
      </c>
      <c r="BV13">
        <f>_xlfn.XLOOKUP($A13,Constants!$F$9:$M$9,Constants!$F$16:$M$16)</f>
        <v>0</v>
      </c>
      <c r="BW13">
        <f t="shared" si="0"/>
        <v>0</v>
      </c>
      <c r="BX13">
        <f t="shared" si="0"/>
        <v>0</v>
      </c>
      <c r="BY13">
        <f t="shared" si="0"/>
        <v>0</v>
      </c>
      <c r="BZ13">
        <f t="shared" si="0"/>
        <v>0</v>
      </c>
      <c r="CA13">
        <f t="shared" si="0"/>
        <v>6.7161600000000005E-3</v>
      </c>
      <c r="CB13">
        <f t="shared" si="0"/>
        <v>0</v>
      </c>
      <c r="CC13">
        <f>(SUM(BW13:CB13)*F13*G13)/1000</f>
        <v>0.447296256</v>
      </c>
      <c r="CD13">
        <f>Constants!$E$10</f>
        <v>0</v>
      </c>
      <c r="CE13">
        <f>Constants!$E$11</f>
        <v>0</v>
      </c>
      <c r="CF13">
        <f>Constants!$E$13</f>
        <v>0.75</v>
      </c>
      <c r="CG13">
        <f>Constants!$E$14</f>
        <v>0.05</v>
      </c>
      <c r="CH13">
        <f>Constants!$E$15</f>
        <v>0</v>
      </c>
      <c r="CI13">
        <f t="shared" si="1"/>
        <v>0</v>
      </c>
      <c r="CJ13">
        <f t="shared" si="1"/>
        <v>0</v>
      </c>
      <c r="CK13">
        <f t="shared" si="2"/>
        <v>0</v>
      </c>
      <c r="CL13">
        <f t="shared" si="2"/>
        <v>0.95</v>
      </c>
      <c r="CM13">
        <f t="shared" si="2"/>
        <v>0</v>
      </c>
      <c r="CN13">
        <f>SUM(CI13:CM13)*I13</f>
        <v>0</v>
      </c>
      <c r="CO13">
        <f t="shared" si="3"/>
        <v>0</v>
      </c>
      <c r="CP13">
        <f t="shared" si="3"/>
        <v>0.95</v>
      </c>
      <c r="CQ13">
        <f t="shared" si="3"/>
        <v>0</v>
      </c>
      <c r="CR13">
        <f t="shared" si="3"/>
        <v>0</v>
      </c>
      <c r="CS13">
        <f t="shared" si="3"/>
        <v>0</v>
      </c>
      <c r="CT13">
        <f t="shared" si="16"/>
        <v>0</v>
      </c>
      <c r="CU13">
        <f t="shared" si="17"/>
        <v>3.1901760000000003E-3</v>
      </c>
      <c r="CV13">
        <f t="shared" si="18"/>
        <v>0</v>
      </c>
      <c r="CW13">
        <f t="shared" si="19"/>
        <v>0</v>
      </c>
      <c r="CX13">
        <f t="shared" si="20"/>
        <v>0</v>
      </c>
      <c r="CY13">
        <f>(SUM(CT13:CX13)*F13*G13)/1000</f>
        <v>0.21246572160000002</v>
      </c>
      <c r="CZ13">
        <f t="shared" si="21"/>
        <v>0.65976197759999999</v>
      </c>
      <c r="DB13">
        <f t="shared" si="22"/>
        <v>3063.6</v>
      </c>
      <c r="DC13">
        <f t="shared" si="23"/>
        <v>0</v>
      </c>
      <c r="DD13">
        <f t="shared" si="24"/>
        <v>0</v>
      </c>
      <c r="DE13">
        <f t="shared" si="25"/>
        <v>0</v>
      </c>
      <c r="DF13">
        <f t="shared" si="26"/>
        <v>0</v>
      </c>
      <c r="DG13">
        <f t="shared" si="27"/>
        <v>1</v>
      </c>
      <c r="DH13">
        <f t="shared" si="28"/>
        <v>0</v>
      </c>
      <c r="DI13">
        <f t="shared" si="29"/>
        <v>0</v>
      </c>
      <c r="DJ13">
        <f t="shared" si="30"/>
        <v>0</v>
      </c>
      <c r="DK13">
        <f t="shared" si="31"/>
        <v>0</v>
      </c>
      <c r="DL13">
        <f t="shared" si="32"/>
        <v>0</v>
      </c>
      <c r="DM13">
        <f t="shared" si="33"/>
        <v>3063.6</v>
      </c>
      <c r="DN13">
        <f t="shared" si="34"/>
        <v>0</v>
      </c>
      <c r="DO13" s="6">
        <f>Constants!$C$10</f>
        <v>0.55000000000000004</v>
      </c>
      <c r="DP13" s="6">
        <f>Constants!$C$11</f>
        <v>0.2</v>
      </c>
      <c r="DQ13" s="6">
        <f>Constants!$C$12</f>
        <v>0.3</v>
      </c>
      <c r="DR13" s="6">
        <f>Constants!$C$13</f>
        <v>0</v>
      </c>
      <c r="DS13" s="6">
        <f>Constants!$C$14</f>
        <v>0.125</v>
      </c>
      <c r="DT13" s="6">
        <f>Constants!$C$15</f>
        <v>0.25</v>
      </c>
      <c r="DU13" s="6">
        <f>Constants!$D$10</f>
        <v>0</v>
      </c>
      <c r="DV13" s="6">
        <f>Constants!$D$11</f>
        <v>5.0000000000000001E-3</v>
      </c>
      <c r="DW13" s="6">
        <f>Constants!$D$12</f>
        <v>0.02</v>
      </c>
      <c r="DX13" s="6">
        <f>Constants!$D$13</f>
        <v>0</v>
      </c>
      <c r="DY13" s="6">
        <f>Constants!$D$14</f>
        <v>0.01</v>
      </c>
      <c r="DZ13" s="6">
        <f>Constants!$D$15</f>
        <v>2E-3</v>
      </c>
      <c r="EA13">
        <f>Constants!$B$23</f>
        <v>1.57</v>
      </c>
      <c r="EB13">
        <f t="shared" si="35"/>
        <v>0</v>
      </c>
      <c r="EC13">
        <f t="shared" si="36"/>
        <v>0</v>
      </c>
      <c r="ED13">
        <f t="shared" si="37"/>
        <v>0</v>
      </c>
      <c r="EE13">
        <f t="shared" si="38"/>
        <v>0</v>
      </c>
      <c r="EF13">
        <f t="shared" si="39"/>
        <v>48.098520000000001</v>
      </c>
      <c r="EG13">
        <f t="shared" si="40"/>
        <v>0</v>
      </c>
      <c r="EH13">
        <f t="shared" si="41"/>
        <v>0</v>
      </c>
      <c r="EI13">
        <f t="shared" si="42"/>
        <v>0</v>
      </c>
      <c r="EJ13">
        <f t="shared" si="43"/>
        <v>0</v>
      </c>
      <c r="EK13">
        <f t="shared" si="44"/>
        <v>2650.0139999999997</v>
      </c>
      <c r="EL13">
        <f t="shared" si="45"/>
        <v>0</v>
      </c>
      <c r="EM13">
        <f t="shared" si="46"/>
        <v>0</v>
      </c>
      <c r="EN13">
        <f t="shared" si="47"/>
        <v>2650.0139999999997</v>
      </c>
      <c r="EO13">
        <f t="shared" si="48"/>
        <v>0</v>
      </c>
      <c r="EP13">
        <f t="shared" si="49"/>
        <v>0</v>
      </c>
      <c r="EQ13">
        <f t="shared" si="50"/>
        <v>0</v>
      </c>
      <c r="ER13">
        <f t="shared" si="51"/>
        <v>0</v>
      </c>
      <c r="ES13">
        <f t="shared" si="52"/>
        <v>20.8026099</v>
      </c>
      <c r="ET13">
        <f t="shared" si="53"/>
        <v>0</v>
      </c>
      <c r="EU13">
        <f t="shared" si="54"/>
        <v>0</v>
      </c>
      <c r="EV13">
        <f t="shared" si="55"/>
        <v>0</v>
      </c>
      <c r="EW13">
        <f t="shared" si="56"/>
        <v>6.8901129899999997E-2</v>
      </c>
      <c r="EY13">
        <f t="shared" si="57"/>
        <v>0</v>
      </c>
      <c r="EZ13">
        <f t="shared" si="58"/>
        <v>0</v>
      </c>
      <c r="FA13">
        <f t="shared" si="59"/>
        <v>0</v>
      </c>
      <c r="FB13">
        <f t="shared" si="60"/>
        <v>0</v>
      </c>
      <c r="FC13">
        <f t="shared" si="61"/>
        <v>382.95</v>
      </c>
      <c r="FD13">
        <f t="shared" si="62"/>
        <v>0</v>
      </c>
      <c r="FE13">
        <f t="shared" si="63"/>
        <v>0</v>
      </c>
      <c r="FF13">
        <f t="shared" si="64"/>
        <v>530.00279999999998</v>
      </c>
      <c r="FG13">
        <f t="shared" si="65"/>
        <v>0</v>
      </c>
      <c r="FH13">
        <f t="shared" si="66"/>
        <v>0</v>
      </c>
      <c r="FI13">
        <f t="shared" si="67"/>
        <v>0</v>
      </c>
      <c r="FJ13">
        <f t="shared" si="68"/>
        <v>912.95280000000002</v>
      </c>
      <c r="FK13">
        <f>_xlfn.XLOOKUP(C13, Constants!$D$19:$D$23, Constants!$E$19:$E$23)</f>
        <v>7.0000000000000001E-3</v>
      </c>
      <c r="FL13">
        <f t="shared" si="69"/>
        <v>1.0033351272E-2</v>
      </c>
      <c r="FN13">
        <f>Constants!$B$24</f>
        <v>1.0999999999999999E-2</v>
      </c>
      <c r="FO13">
        <f t="shared" si="70"/>
        <v>1</v>
      </c>
      <c r="FP13">
        <f>Constants!$B$25</f>
        <v>0.02</v>
      </c>
      <c r="FQ13">
        <f t="shared" si="8"/>
        <v>0</v>
      </c>
      <c r="FR13">
        <f t="shared" si="9"/>
        <v>0</v>
      </c>
    </row>
    <row r="14" spans="1:175" s="2" customFormat="1" x14ac:dyDescent="0.2">
      <c r="A14" s="2" t="s">
        <v>14</v>
      </c>
      <c r="C14" t="s">
        <v>76</v>
      </c>
      <c r="D14" s="2" t="b">
        <v>1</v>
      </c>
      <c r="E14" s="2" t="s">
        <v>28</v>
      </c>
      <c r="F14" s="2">
        <v>444</v>
      </c>
      <c r="G14" s="2">
        <v>365</v>
      </c>
      <c r="O14" s="2">
        <v>1</v>
      </c>
      <c r="Q14" s="2" t="b">
        <v>0</v>
      </c>
      <c r="T14" s="2" t="b">
        <v>0</v>
      </c>
      <c r="W14" s="2" t="b">
        <v>0</v>
      </c>
      <c r="Z14" s="22"/>
      <c r="AE14" s="25"/>
      <c r="AF14" s="19"/>
      <c r="AJ14" s="25"/>
      <c r="AL14" s="19"/>
      <c r="AO14" s="25"/>
      <c r="AP14" s="2">
        <v>1</v>
      </c>
      <c r="AT14" s="25"/>
      <c r="AW14" s="19"/>
      <c r="AY14" s="25">
        <f>IF(H14&lt;&gt;"", H14, _xlfn.XLOOKUP($E14,Constants!$A$3:$A$6, Constants!B$3:B$6))</f>
        <v>1.71</v>
      </c>
      <c r="AZ14" s="2">
        <f>IF(I14&lt;&gt;"", I14, _xlfn.XLOOKUP($E14,Constants!$A$3:$A$6, Constants!C$3:C$6))</f>
        <v>0.39</v>
      </c>
      <c r="BA14" s="2">
        <f>IF(J14&lt;&gt;"", J14, _xlfn.XLOOKUP($E14,Constants!$A$3:$A$6, Constants!D$3:D$6))</f>
        <v>3.1E-2</v>
      </c>
      <c r="BB14" s="2">
        <f>IF(R14&lt;&gt;"", R14, IF(Q14, Constants!$B$19, 0))</f>
        <v>0</v>
      </c>
      <c r="BC14" s="2">
        <f>IF(U14&lt;&gt;"", U14,  IF(T14, Constants!$B$19, 0))</f>
        <v>0</v>
      </c>
      <c r="BD14" s="2">
        <f>IF(X14&lt;&gt;"", X14,  IF(W14, Constants!$B$19, 0))</f>
        <v>0</v>
      </c>
      <c r="BE14" s="2">
        <f>IF(S14&lt;&gt;"", S14, IF(Q14, Constants!$B$20, 0))</f>
        <v>0</v>
      </c>
      <c r="BF14" s="2">
        <f>IF(V14&lt;&gt;"", V14, IF(T14, Constants!$B$20, 0))</f>
        <v>0</v>
      </c>
      <c r="BG14" s="2">
        <f>IF(Y14&lt;&gt;"", Y14,  IF(W14, Constants!$B$20, 0))</f>
        <v>0</v>
      </c>
      <c r="BH14" s="2">
        <f t="shared" si="10"/>
        <v>0</v>
      </c>
      <c r="BI14" s="2">
        <f t="shared" si="11"/>
        <v>0</v>
      </c>
      <c r="BJ14" s="2">
        <f t="shared" si="12"/>
        <v>0</v>
      </c>
      <c r="BK14" s="2">
        <f t="shared" si="13"/>
        <v>0</v>
      </c>
      <c r="BL14" s="2">
        <f t="shared" si="14"/>
        <v>1</v>
      </c>
      <c r="BM14" s="2">
        <f t="shared" si="15"/>
        <v>0</v>
      </c>
      <c r="BN14" s="2">
        <f>Constants!$B$21</f>
        <v>0.45</v>
      </c>
      <c r="BO14" s="2">
        <f>Constants!$B$22</f>
        <v>0.6784</v>
      </c>
      <c r="BP14" s="2">
        <f>_xlfn.XLOOKUP($A14,Constants!$F$9:$M$9,Constants!$F$10:$M$10)</f>
        <v>0.75</v>
      </c>
      <c r="BQ14" s="2">
        <f>_xlfn.XLOOKUP($A14,Constants!$F$9:$M$9,Constants!$F$11:$M$11)</f>
        <v>0.02</v>
      </c>
      <c r="BR14" s="2">
        <f>_xlfn.XLOOKUP($A14,Constants!$F$9:$M$9,Constants!$F$12:$M$12)</f>
        <v>0.01</v>
      </c>
      <c r="BS14" s="2">
        <f>_xlfn.XLOOKUP($A14,Constants!$F$9:$M$9,Constants!$F$13:$M$13)</f>
        <v>0.1</v>
      </c>
      <c r="BT14" s="2">
        <f>_xlfn.XLOOKUP($A14,Constants!$F$9:$M$9,Constants!$F$14:$M$14)</f>
        <v>0.04</v>
      </c>
      <c r="BU14" s="2">
        <f>_xlfn.XLOOKUP($A14,Constants!$F$9:$M$9,Constants!$F$15:$M$15)</f>
        <v>0.03</v>
      </c>
      <c r="BV14" s="2">
        <f>_xlfn.XLOOKUP($A14,Constants!$F$9:$M$9,Constants!$F$16:$M$16)</f>
        <v>0</v>
      </c>
      <c r="BW14" s="2">
        <f t="shared" si="0"/>
        <v>0</v>
      </c>
      <c r="BX14" s="2">
        <f t="shared" si="0"/>
        <v>0</v>
      </c>
      <c r="BY14" s="2">
        <f t="shared" si="0"/>
        <v>0</v>
      </c>
      <c r="BZ14" s="2">
        <f t="shared" si="0"/>
        <v>0</v>
      </c>
      <c r="CA14" s="2">
        <f t="shared" si="0"/>
        <v>4.7623680000000003E-3</v>
      </c>
      <c r="CB14" s="2">
        <f t="shared" si="0"/>
        <v>0</v>
      </c>
      <c r="CC14" s="2">
        <f>(SUM(BW14:CB14)*F14*G14)/1000</f>
        <v>0.77178935808000004</v>
      </c>
      <c r="CD14" s="2">
        <f>Constants!$E$10</f>
        <v>0</v>
      </c>
      <c r="CE14" s="2">
        <f>Constants!$E$11</f>
        <v>0</v>
      </c>
      <c r="CF14" s="2">
        <f>Constants!$E$13</f>
        <v>0.75</v>
      </c>
      <c r="CG14" s="2">
        <f>Constants!$E$14</f>
        <v>0.05</v>
      </c>
      <c r="CH14" s="2">
        <f>Constants!$E$15</f>
        <v>0</v>
      </c>
      <c r="CI14" s="2">
        <f t="shared" si="1"/>
        <v>0</v>
      </c>
      <c r="CJ14" s="2">
        <f t="shared" si="1"/>
        <v>0</v>
      </c>
      <c r="CK14" s="2">
        <f t="shared" si="2"/>
        <v>0</v>
      </c>
      <c r="CL14" s="2">
        <f t="shared" si="2"/>
        <v>0.95</v>
      </c>
      <c r="CM14" s="2">
        <f t="shared" si="2"/>
        <v>0</v>
      </c>
      <c r="CN14" s="2">
        <f>SUM(CI14:CM14)*I14</f>
        <v>0</v>
      </c>
      <c r="CO14" s="2">
        <f t="shared" si="3"/>
        <v>0</v>
      </c>
      <c r="CP14" s="2">
        <f t="shared" si="3"/>
        <v>0.95</v>
      </c>
      <c r="CQ14" s="2">
        <f t="shared" si="3"/>
        <v>0</v>
      </c>
      <c r="CR14" s="2">
        <f t="shared" si="3"/>
        <v>0</v>
      </c>
      <c r="CS14" s="2">
        <f t="shared" si="3"/>
        <v>0</v>
      </c>
      <c r="CT14" s="2">
        <f t="shared" si="16"/>
        <v>0</v>
      </c>
      <c r="CU14" s="2">
        <f t="shared" si="17"/>
        <v>2.2621248000000002E-3</v>
      </c>
      <c r="CV14" s="2">
        <f t="shared" si="18"/>
        <v>0</v>
      </c>
      <c r="CW14" s="2">
        <f t="shared" si="19"/>
        <v>0</v>
      </c>
      <c r="CX14" s="2">
        <f t="shared" si="20"/>
        <v>0</v>
      </c>
      <c r="CY14" s="2">
        <f>(SUM(CT14:CX14)*F14*G14)/1000</f>
        <v>0.36659994508800003</v>
      </c>
      <c r="CZ14" s="2">
        <f t="shared" si="21"/>
        <v>1.1383893031680001</v>
      </c>
      <c r="DB14" s="2">
        <f t="shared" si="22"/>
        <v>5023.8599999999997</v>
      </c>
      <c r="DC14" s="2">
        <f t="shared" si="23"/>
        <v>0</v>
      </c>
      <c r="DD14" s="2">
        <f t="shared" si="24"/>
        <v>0</v>
      </c>
      <c r="DE14" s="2">
        <f t="shared" si="25"/>
        <v>0</v>
      </c>
      <c r="DF14" s="2">
        <f t="shared" si="26"/>
        <v>0</v>
      </c>
      <c r="DG14" s="2">
        <f t="shared" si="27"/>
        <v>1</v>
      </c>
      <c r="DH14" s="2">
        <f t="shared" si="28"/>
        <v>0</v>
      </c>
      <c r="DI14" s="2">
        <f t="shared" si="29"/>
        <v>0</v>
      </c>
      <c r="DJ14" s="2">
        <f t="shared" si="30"/>
        <v>0</v>
      </c>
      <c r="DK14" s="2">
        <f t="shared" si="31"/>
        <v>0</v>
      </c>
      <c r="DL14" s="2">
        <f t="shared" si="32"/>
        <v>0</v>
      </c>
      <c r="DM14" s="2">
        <f t="shared" si="33"/>
        <v>5023.8599999999997</v>
      </c>
      <c r="DN14" s="2">
        <f t="shared" si="34"/>
        <v>0</v>
      </c>
      <c r="DO14" s="13">
        <f>Constants!$C$10</f>
        <v>0.55000000000000004</v>
      </c>
      <c r="DP14" s="13">
        <f>Constants!$C$11</f>
        <v>0.2</v>
      </c>
      <c r="DQ14" s="13">
        <f>Constants!$C$12</f>
        <v>0.3</v>
      </c>
      <c r="DR14" s="13">
        <f>Constants!$C$13</f>
        <v>0</v>
      </c>
      <c r="DS14" s="13">
        <f>Constants!$C$14</f>
        <v>0.125</v>
      </c>
      <c r="DT14" s="13">
        <f>Constants!$C$15</f>
        <v>0.25</v>
      </c>
      <c r="DU14" s="13">
        <f>Constants!$D$10</f>
        <v>0</v>
      </c>
      <c r="DV14" s="13">
        <f>Constants!$D$11</f>
        <v>5.0000000000000001E-3</v>
      </c>
      <c r="DW14" s="13">
        <f>Constants!$D$12</f>
        <v>0.02</v>
      </c>
      <c r="DX14" s="13">
        <f>Constants!$D$13</f>
        <v>0</v>
      </c>
      <c r="DY14" s="13">
        <f>Constants!$D$14</f>
        <v>0.01</v>
      </c>
      <c r="DZ14" s="13">
        <f>Constants!$D$15</f>
        <v>2E-3</v>
      </c>
      <c r="EA14" s="2">
        <f>Constants!$B$23</f>
        <v>1.57</v>
      </c>
      <c r="EB14" s="2">
        <f t="shared" si="35"/>
        <v>0</v>
      </c>
      <c r="EC14" s="2">
        <f t="shared" si="36"/>
        <v>0</v>
      </c>
      <c r="ED14" s="2">
        <f t="shared" si="37"/>
        <v>0</v>
      </c>
      <c r="EE14" s="2">
        <f t="shared" si="38"/>
        <v>0</v>
      </c>
      <c r="EF14" s="2">
        <f t="shared" si="39"/>
        <v>78.874601999999996</v>
      </c>
      <c r="EG14" s="2">
        <f t="shared" si="40"/>
        <v>0</v>
      </c>
      <c r="EH14" s="2">
        <f t="shared" si="41"/>
        <v>0</v>
      </c>
      <c r="EI14" s="2">
        <f t="shared" si="42"/>
        <v>0</v>
      </c>
      <c r="EJ14" s="2">
        <f t="shared" si="43"/>
        <v>0</v>
      </c>
      <c r="EK14" s="2">
        <f t="shared" si="44"/>
        <v>4345.6388999999999</v>
      </c>
      <c r="EL14" s="2">
        <f t="shared" si="45"/>
        <v>0</v>
      </c>
      <c r="EM14" s="2">
        <f t="shared" si="46"/>
        <v>0</v>
      </c>
      <c r="EN14" s="2">
        <f t="shared" si="47"/>
        <v>4345.6388999999999</v>
      </c>
      <c r="EO14" s="2">
        <f t="shared" si="48"/>
        <v>0</v>
      </c>
      <c r="EP14" s="2">
        <f t="shared" si="49"/>
        <v>0</v>
      </c>
      <c r="EQ14" s="2">
        <f t="shared" si="50"/>
        <v>0</v>
      </c>
      <c r="ER14" s="2">
        <f t="shared" si="51"/>
        <v>0</v>
      </c>
      <c r="ES14" s="2">
        <f t="shared" si="52"/>
        <v>34.113265365000004</v>
      </c>
      <c r="ET14" s="2">
        <f t="shared" si="53"/>
        <v>0</v>
      </c>
      <c r="EU14" s="2">
        <f t="shared" si="54"/>
        <v>0</v>
      </c>
      <c r="EV14" s="2">
        <f t="shared" si="55"/>
        <v>0</v>
      </c>
      <c r="EW14" s="2">
        <f t="shared" si="56"/>
        <v>0.11298786736499999</v>
      </c>
      <c r="EY14" s="2">
        <f t="shared" si="57"/>
        <v>0</v>
      </c>
      <c r="EZ14" s="2">
        <f t="shared" si="58"/>
        <v>0</v>
      </c>
      <c r="FA14" s="2">
        <f t="shared" si="59"/>
        <v>0</v>
      </c>
      <c r="FB14" s="2">
        <f t="shared" si="60"/>
        <v>0</v>
      </c>
      <c r="FC14" s="2">
        <f t="shared" si="61"/>
        <v>627.98249999999996</v>
      </c>
      <c r="FD14" s="2">
        <f t="shared" si="62"/>
        <v>0</v>
      </c>
      <c r="FE14" s="2">
        <f t="shared" si="63"/>
        <v>0</v>
      </c>
      <c r="FF14" s="2">
        <f t="shared" si="64"/>
        <v>869.12778000000003</v>
      </c>
      <c r="FG14" s="2">
        <f t="shared" si="65"/>
        <v>0</v>
      </c>
      <c r="FH14" s="2">
        <f t="shared" si="66"/>
        <v>0</v>
      </c>
      <c r="FI14" s="2">
        <f t="shared" si="67"/>
        <v>0</v>
      </c>
      <c r="FJ14" s="2">
        <f t="shared" si="68"/>
        <v>1497.1102799999999</v>
      </c>
      <c r="FK14" s="2">
        <f>_xlfn.XLOOKUP(C14, Constants!$D$19:$D$23, Constants!$E$19:$E$23)</f>
        <v>7.0000000000000001E-3</v>
      </c>
      <c r="FL14" s="2">
        <f t="shared" si="69"/>
        <v>1.6453241977200002E-2</v>
      </c>
      <c r="FN14" s="2">
        <f>Constants!$B$24</f>
        <v>1.0999999999999999E-2</v>
      </c>
      <c r="FO14" s="2">
        <f t="shared" si="70"/>
        <v>1</v>
      </c>
      <c r="FP14" s="2">
        <f>Constants!$B$25</f>
        <v>0.02</v>
      </c>
      <c r="FQ14" s="2">
        <f t="shared" si="8"/>
        <v>0</v>
      </c>
      <c r="FR14" s="2">
        <f t="shared" si="9"/>
        <v>0</v>
      </c>
    </row>
    <row r="15" spans="1:175" x14ac:dyDescent="0.2">
      <c r="A15" t="s">
        <v>41</v>
      </c>
      <c r="C15" t="s">
        <v>75</v>
      </c>
      <c r="D15" t="b">
        <v>1</v>
      </c>
      <c r="E15" t="s">
        <v>25</v>
      </c>
      <c r="F15">
        <v>105</v>
      </c>
      <c r="G15">
        <v>75</v>
      </c>
      <c r="K15">
        <v>0.2</v>
      </c>
      <c r="L15">
        <v>0.1</v>
      </c>
      <c r="M15">
        <v>0.2</v>
      </c>
      <c r="N15">
        <v>0.2</v>
      </c>
      <c r="O15">
        <v>0.2</v>
      </c>
      <c r="P15">
        <v>0.1</v>
      </c>
      <c r="Q15" t="b">
        <v>1</v>
      </c>
      <c r="T15" t="b">
        <v>1</v>
      </c>
      <c r="W15" t="b">
        <v>1</v>
      </c>
      <c r="Z15" s="23"/>
      <c r="AA15">
        <v>0.25</v>
      </c>
      <c r="AB15">
        <v>0.25</v>
      </c>
      <c r="AC15">
        <v>0.25</v>
      </c>
      <c r="AD15">
        <v>0.25</v>
      </c>
      <c r="AE15" s="29">
        <v>0.25</v>
      </c>
      <c r="AF15" s="20"/>
      <c r="AG15">
        <v>0.25</v>
      </c>
      <c r="AH15">
        <v>0.25</v>
      </c>
      <c r="AI15">
        <v>0.25</v>
      </c>
      <c r="AJ15" s="29">
        <v>0.25</v>
      </c>
      <c r="AK15">
        <v>0.25</v>
      </c>
      <c r="AL15" s="20"/>
      <c r="AM15">
        <v>0.25</v>
      </c>
      <c r="AN15">
        <v>0.25</v>
      </c>
      <c r="AO15" s="21">
        <v>0.2</v>
      </c>
      <c r="AP15">
        <v>0.2</v>
      </c>
      <c r="AQ15">
        <v>0.2</v>
      </c>
      <c r="AR15">
        <v>0.2</v>
      </c>
      <c r="AS15">
        <v>0.2</v>
      </c>
      <c r="AT15" s="29">
        <v>0.25</v>
      </c>
      <c r="AU15">
        <v>0.25</v>
      </c>
      <c r="AV15">
        <v>0.25</v>
      </c>
      <c r="AW15" s="20"/>
      <c r="AX15">
        <v>0.25</v>
      </c>
      <c r="AY15" s="29">
        <f>IF(H15&lt;&gt;"", H15, _xlfn.XLOOKUP($E15,Constants!$A$3:$A$6, Constants!B$3:B$6))</f>
        <v>2.2999999999999998</v>
      </c>
      <c r="AZ15" s="18">
        <f>IF(I15&lt;&gt;"", I15, _xlfn.XLOOKUP($E15,Constants!$A$3:$A$6, Constants!C$3:C$6))</f>
        <v>0.4</v>
      </c>
      <c r="BA15" s="18">
        <f>IF(J15&lt;&gt;"", J15, _xlfn.XLOOKUP($E15,Constants!$A$3:$A$6, Constants!D$3:D$6))</f>
        <v>4.5999999999999999E-2</v>
      </c>
      <c r="BB15">
        <f>IF(R15&lt;&gt;"", R15, IF(Q15, Constants!$B$19, 0))</f>
        <v>0.25</v>
      </c>
      <c r="BC15">
        <f>IF(U15&lt;&gt;"", U15,  IF(T15, Constants!$B$19, 0))</f>
        <v>0.25</v>
      </c>
      <c r="BD15">
        <f>IF(X15&lt;&gt;"", X15,  IF(W15, Constants!$B$19, 0))</f>
        <v>0.25</v>
      </c>
      <c r="BE15" s="18">
        <f>IF(S15&lt;&gt;"", S15, IF(Q15, Constants!$B$20, 0))</f>
        <v>0.25</v>
      </c>
      <c r="BF15" s="18">
        <f>IF(V15&lt;&gt;"", V15, IF(T15, Constants!$B$20, 0))</f>
        <v>0.25</v>
      </c>
      <c r="BG15" s="18">
        <f>IF(Y15&lt;&gt;"", Y15,  IF(W15, Constants!$B$20, 0))</f>
        <v>0.25</v>
      </c>
      <c r="BH15">
        <f t="shared" si="10"/>
        <v>0.15000000000000002</v>
      </c>
      <c r="BI15">
        <f t="shared" si="11"/>
        <v>0.22500000000000001</v>
      </c>
      <c r="BJ15">
        <f t="shared" si="12"/>
        <v>0.2</v>
      </c>
      <c r="BK15">
        <f t="shared" si="13"/>
        <v>0.15000000000000002</v>
      </c>
      <c r="BL15">
        <f t="shared" si="14"/>
        <v>0.2</v>
      </c>
      <c r="BM15">
        <f t="shared" si="15"/>
        <v>7.5000000000000011E-2</v>
      </c>
      <c r="BN15">
        <f>Constants!$B$21</f>
        <v>0.45</v>
      </c>
      <c r="BO15">
        <f>Constants!$B$22</f>
        <v>0.6784</v>
      </c>
      <c r="BP15">
        <f>_xlfn.XLOOKUP($A15,Constants!$F$9:$M$9,Constants!$F$10:$M$10)</f>
        <v>0.78</v>
      </c>
      <c r="BQ15">
        <f>_xlfn.XLOOKUP($A15,Constants!$F$9:$M$9,Constants!$F$11:$M$11)</f>
        <v>0.02</v>
      </c>
      <c r="BR15">
        <f>_xlfn.XLOOKUP($A15,Constants!$F$9:$M$9,Constants!$F$12:$M$12)</f>
        <v>0.03</v>
      </c>
      <c r="BS15">
        <f>_xlfn.XLOOKUP($A15,Constants!$F$9:$M$9,Constants!$F$13:$M$13)</f>
        <v>0.1</v>
      </c>
      <c r="BT15">
        <f>_xlfn.XLOOKUP($A15,Constants!$F$9:$M$9,Constants!$F$14:$M$14)</f>
        <v>0.04</v>
      </c>
      <c r="BU15">
        <f>_xlfn.XLOOKUP($A15,Constants!$F$9:$M$9,Constants!$F$15:$M$15)</f>
        <v>0.03</v>
      </c>
      <c r="BV15">
        <f>_xlfn.XLOOKUP($A15,Constants!$F$9:$M$9,Constants!$F$16:$M$16)</f>
        <v>0</v>
      </c>
      <c r="BW15" s="18">
        <f t="shared" ref="BW15:BW26" si="71">$AZ15*BH15*BP15*$BN15*$BO15</f>
        <v>1.4287104000000004E-2</v>
      </c>
      <c r="BX15" s="18">
        <f t="shared" ref="BX15:BX26" si="72">$AZ15*BI15*BQ15*$BN15*$BO15</f>
        <v>5.4950400000000003E-4</v>
      </c>
      <c r="BY15" s="18">
        <f>$AZ15*BJ15*BR15*$BN15*$BO15</f>
        <v>7.3267200000000018E-4</v>
      </c>
      <c r="BZ15" s="18">
        <f t="shared" ref="BZ15:BZ26" si="73">$AZ15*BK15*BS15*$BN15*$BO15</f>
        <v>1.8316800000000007E-3</v>
      </c>
      <c r="CA15" s="18">
        <f t="shared" ref="CA15:CA26" si="74">$AZ15*BL15*BT15*$BN15*$BO15</f>
        <v>9.7689600000000032E-4</v>
      </c>
      <c r="CB15" s="18">
        <f t="shared" ref="CB15:CB26" si="75">$AZ15*BM15*BU15*$BN15*$BO15</f>
        <v>2.7475200000000007E-4</v>
      </c>
      <c r="CC15">
        <f t="shared" ref="CC15:CC26" si="76">(SUM(BW15:CB15)*F15*G15)/1000</f>
        <v>0.14688928800000003</v>
      </c>
      <c r="CD15">
        <f>Constants!$E$10</f>
        <v>0</v>
      </c>
      <c r="CE15">
        <f>Constants!$E$11</f>
        <v>0</v>
      </c>
      <c r="CF15">
        <f>Constants!$E$13</f>
        <v>0.75</v>
      </c>
      <c r="CG15">
        <f>Constants!$E$14</f>
        <v>0.05</v>
      </c>
      <c r="CH15">
        <f>Constants!$E$15</f>
        <v>0</v>
      </c>
      <c r="CI15">
        <f t="shared" ref="CI15:CI26" si="77">(BH15*(1-CD15))</f>
        <v>0.15000000000000002</v>
      </c>
      <c r="CJ15">
        <f t="shared" ref="CJ15:CJ26" si="78">(BI15*(1-CE15))</f>
        <v>0.22500000000000001</v>
      </c>
      <c r="CK15">
        <f t="shared" ref="CK15:CK26" si="79">(BK15*(1-CF15))</f>
        <v>3.7500000000000006E-2</v>
      </c>
      <c r="CL15">
        <f t="shared" ref="CL15:CL26" si="80">(BL15*(1-CG15))</f>
        <v>0.19</v>
      </c>
      <c r="CM15">
        <f t="shared" ref="CM15:CM26" si="81">(BM15*(1-CH15))</f>
        <v>7.5000000000000011E-2</v>
      </c>
      <c r="CN15" s="18">
        <f t="shared" ref="CN15:CN26" si="82">SUM(CI15:CM15)*I15</f>
        <v>0</v>
      </c>
      <c r="CO15" s="18">
        <f t="shared" ref="CO15:CO26" si="83">$CI15*Z15+$CJ15*AE15+$CK15*AJ15+$CL15*AO15+$CM15*AT15</f>
        <v>0.12237500000000001</v>
      </c>
      <c r="CP15" s="18">
        <f t="shared" ref="CP15:CP26" si="84">$CI15*AA15+$CJ15*AF15+$CK15*AK15+$CL15*AP15+$CM15*AU15</f>
        <v>0.10362500000000001</v>
      </c>
      <c r="CQ15" s="18">
        <f t="shared" ref="CQ15:CQ26" si="85">$CI15*AB15+$CJ15*AG15+$CK15*AL15+$CL15*AQ15+$CM15*AV15</f>
        <v>0.15050000000000002</v>
      </c>
      <c r="CR15" s="18">
        <f t="shared" ref="CR15:CR26" si="86">$CI15*AC15+$CJ15*AH15+$CK15*AM15+$CL15*AR15+$CM15*AW15</f>
        <v>0.141125</v>
      </c>
      <c r="CS15" s="18">
        <f t="shared" ref="CS15:CS26" si="87">$CI15*AD15+$CJ15*AI15+$CK15*AN15+$CL15*AS15+$CM15*AX15</f>
        <v>0.15987499999999999</v>
      </c>
      <c r="CT15" s="18">
        <f t="shared" si="16"/>
        <v>1.1655895680000004E-2</v>
      </c>
      <c r="CU15" s="18">
        <f t="shared" si="17"/>
        <v>2.5307712000000005E-4</v>
      </c>
      <c r="CV15" s="18">
        <f t="shared" si="18"/>
        <v>1.8377856000000002E-3</v>
      </c>
      <c r="CW15" s="18">
        <f t="shared" si="19"/>
        <v>5.1699168000000006E-4</v>
      </c>
      <c r="CX15" s="18">
        <f t="shared" si="20"/>
        <v>0</v>
      </c>
      <c r="CY15">
        <f t="shared" ref="CY15:CY26" si="88">(SUM(CT15:CX15)*F15*G15)/1000</f>
        <v>0.11232703188000004</v>
      </c>
      <c r="CZ15" s="18">
        <f t="shared" si="21"/>
        <v>0.25921631988000005</v>
      </c>
      <c r="DA15">
        <f t="shared" ref="DA15" si="89">SUM(CZ15:CZ18)</f>
        <v>8.8582363301620823</v>
      </c>
      <c r="DB15">
        <f t="shared" si="22"/>
        <v>362.25</v>
      </c>
      <c r="DC15" s="18">
        <f t="shared" si="23"/>
        <v>0.15000000000000002</v>
      </c>
      <c r="DD15" s="18">
        <f t="shared" si="24"/>
        <v>0.22500000000000001</v>
      </c>
      <c r="DE15" s="18">
        <f t="shared" si="25"/>
        <v>0.2</v>
      </c>
      <c r="DF15" s="18">
        <f t="shared" si="26"/>
        <v>0.15000000000000002</v>
      </c>
      <c r="DG15" s="18">
        <f t="shared" si="27"/>
        <v>0.2</v>
      </c>
      <c r="DH15" s="18">
        <f t="shared" si="28"/>
        <v>7.5000000000000011E-2</v>
      </c>
      <c r="DI15">
        <f t="shared" si="29"/>
        <v>54.337500000000006</v>
      </c>
      <c r="DJ15">
        <f t="shared" si="30"/>
        <v>81.506250000000009</v>
      </c>
      <c r="DK15">
        <f t="shared" si="31"/>
        <v>72.45</v>
      </c>
      <c r="DL15">
        <f t="shared" si="32"/>
        <v>54.337500000000006</v>
      </c>
      <c r="DM15">
        <f t="shared" si="33"/>
        <v>72.45</v>
      </c>
      <c r="DN15">
        <f t="shared" si="34"/>
        <v>27.168750000000003</v>
      </c>
      <c r="DO15" s="6">
        <f>Constants!$C$10</f>
        <v>0.55000000000000004</v>
      </c>
      <c r="DP15" s="6">
        <f>Constants!$C$11</f>
        <v>0.2</v>
      </c>
      <c r="DQ15" s="6">
        <f>Constants!$C$12</f>
        <v>0.3</v>
      </c>
      <c r="DR15" s="6">
        <f>Constants!$C$13</f>
        <v>0</v>
      </c>
      <c r="DS15" s="6">
        <f>Constants!$C$14</f>
        <v>0.125</v>
      </c>
      <c r="DT15" s="6">
        <f>Constants!$C$15</f>
        <v>0.25</v>
      </c>
      <c r="DU15" s="6">
        <f>Constants!$D$10</f>
        <v>0</v>
      </c>
      <c r="DV15" s="6">
        <f>Constants!$D$11</f>
        <v>5.0000000000000001E-3</v>
      </c>
      <c r="DW15" s="6">
        <f>Constants!$D$12</f>
        <v>0.02</v>
      </c>
      <c r="DX15" s="6">
        <f>Constants!$D$13</f>
        <v>0</v>
      </c>
      <c r="DY15" s="6">
        <f>Constants!$D$14</f>
        <v>0.01</v>
      </c>
      <c r="DZ15" s="6">
        <f>Constants!$D$15</f>
        <v>2E-3</v>
      </c>
      <c r="EA15">
        <f>Constants!$B$23</f>
        <v>1.57</v>
      </c>
      <c r="EB15" s="18">
        <f t="shared" si="35"/>
        <v>0</v>
      </c>
      <c r="EC15" s="18">
        <f t="shared" si="36"/>
        <v>0.63982406250000012</v>
      </c>
      <c r="ED15" s="18">
        <f t="shared" si="37"/>
        <v>2.2749300000000003</v>
      </c>
      <c r="EE15" s="18">
        <f t="shared" si="38"/>
        <v>0</v>
      </c>
      <c r="EF15" s="18">
        <f t="shared" si="39"/>
        <v>1.1374650000000002</v>
      </c>
      <c r="EG15" s="18">
        <f t="shared" si="40"/>
        <v>8.5309875000000007E-2</v>
      </c>
      <c r="EH15">
        <f t="shared" si="41"/>
        <v>24.451875000000001</v>
      </c>
      <c r="EI15">
        <f t="shared" si="42"/>
        <v>64.797468750000007</v>
      </c>
      <c r="EJ15">
        <f t="shared" si="43"/>
        <v>54.337500000000006</v>
      </c>
      <c r="EK15">
        <f t="shared" si="44"/>
        <v>62.669250000000005</v>
      </c>
      <c r="EL15">
        <f t="shared" si="45"/>
        <v>20.322225000000003</v>
      </c>
      <c r="EM15">
        <f t="shared" si="46"/>
        <v>47.398148437500005</v>
      </c>
      <c r="EN15">
        <f t="shared" si="47"/>
        <v>37.311750000000004</v>
      </c>
      <c r="EO15">
        <f t="shared" si="48"/>
        <v>39.926742187500004</v>
      </c>
      <c r="EP15">
        <f t="shared" si="49"/>
        <v>48.430560937500005</v>
      </c>
      <c r="EQ15">
        <f t="shared" si="50"/>
        <v>53.511117187500005</v>
      </c>
      <c r="ER15">
        <f t="shared" si="51"/>
        <v>0</v>
      </c>
      <c r="ES15">
        <f t="shared" si="52"/>
        <v>0.29289723750000007</v>
      </c>
      <c r="ET15">
        <f t="shared" si="53"/>
        <v>0</v>
      </c>
      <c r="EU15">
        <f t="shared" si="54"/>
        <v>0.15207196134375003</v>
      </c>
      <c r="EV15">
        <f t="shared" si="55"/>
        <v>0</v>
      </c>
      <c r="EW15" s="18">
        <f t="shared" si="56"/>
        <v>4.5824981363437505E-3</v>
      </c>
      <c r="EX15">
        <f>SUM(EW15:EW18)</f>
        <v>0.12434009394558253</v>
      </c>
      <c r="EY15" s="18">
        <f t="shared" si="57"/>
        <v>29.885625000000005</v>
      </c>
      <c r="EZ15" s="18">
        <f t="shared" si="58"/>
        <v>16.301250000000003</v>
      </c>
      <c r="FA15" s="18">
        <f t="shared" si="59"/>
        <v>21.734999999999999</v>
      </c>
      <c r="FB15" s="18">
        <f t="shared" si="60"/>
        <v>0</v>
      </c>
      <c r="FC15" s="18">
        <f t="shared" si="61"/>
        <v>9.0562500000000004</v>
      </c>
      <c r="FD15" s="18">
        <f t="shared" si="62"/>
        <v>6.7921875000000007</v>
      </c>
      <c r="FE15" s="18">
        <f t="shared" si="63"/>
        <v>26.068981640625005</v>
      </c>
      <c r="FF15" s="18">
        <f t="shared" si="64"/>
        <v>7.4623500000000007</v>
      </c>
      <c r="FG15" s="18">
        <f t="shared" si="65"/>
        <v>0</v>
      </c>
      <c r="FH15" s="18">
        <f t="shared" si="66"/>
        <v>12.107640234375001</v>
      </c>
      <c r="FI15" s="18">
        <f t="shared" si="67"/>
        <v>0</v>
      </c>
      <c r="FJ15" s="18">
        <f t="shared" si="68"/>
        <v>129.40928437500003</v>
      </c>
      <c r="FK15" s="18">
        <f>_xlfn.XLOOKUP(C15, Constants!$D$19:$D$23, Constants!$E$19:$E$23)</f>
        <v>5.8999999999999999E-3</v>
      </c>
      <c r="FL15">
        <f t="shared" si="69"/>
        <v>1.1987182011656253E-3</v>
      </c>
      <c r="FM15">
        <f t="shared" ref="FM15" si="90">SUM(FL15:FL18)</f>
        <v>3.2525650706785758E-2</v>
      </c>
      <c r="FN15" s="18">
        <f>Constants!$B$24</f>
        <v>1.0999999999999999E-2</v>
      </c>
      <c r="FO15" s="18">
        <f t="shared" si="70"/>
        <v>1</v>
      </c>
      <c r="FP15">
        <f>Constants!$B$25</f>
        <v>0.02</v>
      </c>
      <c r="FQ15">
        <f t="shared" si="8"/>
        <v>1.4490000000000001</v>
      </c>
      <c r="FR15" s="18">
        <f t="shared" si="9"/>
        <v>2.5024229999999998E-2</v>
      </c>
      <c r="FS15">
        <f t="shared" ref="FS15" si="91">SUM(FR15:FR18)/1000</f>
        <v>6.7899975440000005E-4</v>
      </c>
    </row>
    <row r="16" spans="1:175" x14ac:dyDescent="0.2">
      <c r="A16" t="s">
        <v>41</v>
      </c>
      <c r="C16" t="s">
        <v>75</v>
      </c>
      <c r="D16" t="b">
        <v>1</v>
      </c>
      <c r="E16" t="s">
        <v>26</v>
      </c>
      <c r="F16">
        <v>245</v>
      </c>
      <c r="G16">
        <v>290</v>
      </c>
      <c r="K16">
        <v>0.2</v>
      </c>
      <c r="L16">
        <v>0.1</v>
      </c>
      <c r="M16">
        <v>0.2</v>
      </c>
      <c r="N16">
        <v>0.2</v>
      </c>
      <c r="O16">
        <v>0.2</v>
      </c>
      <c r="P16">
        <v>0.1</v>
      </c>
      <c r="Q16" t="b">
        <v>1</v>
      </c>
      <c r="T16" t="b">
        <v>1</v>
      </c>
      <c r="W16" t="b">
        <v>1</v>
      </c>
      <c r="Z16" s="23"/>
      <c r="AA16">
        <v>0.25</v>
      </c>
      <c r="AB16">
        <v>0.25</v>
      </c>
      <c r="AC16">
        <v>0.25</v>
      </c>
      <c r="AD16">
        <v>0.25</v>
      </c>
      <c r="AE16" s="21">
        <v>0.25</v>
      </c>
      <c r="AF16" s="20"/>
      <c r="AG16">
        <v>0.25</v>
      </c>
      <c r="AH16">
        <v>0.25</v>
      </c>
      <c r="AI16">
        <v>0.25</v>
      </c>
      <c r="AJ16" s="21">
        <v>0.25</v>
      </c>
      <c r="AK16">
        <v>0.25</v>
      </c>
      <c r="AL16" s="20"/>
      <c r="AM16">
        <v>0.25</v>
      </c>
      <c r="AN16">
        <v>0.25</v>
      </c>
      <c r="AO16" s="21">
        <v>0.2</v>
      </c>
      <c r="AP16">
        <v>0.2</v>
      </c>
      <c r="AQ16">
        <v>0.2</v>
      </c>
      <c r="AR16">
        <v>0.2</v>
      </c>
      <c r="AS16">
        <v>0.2</v>
      </c>
      <c r="AT16" s="21">
        <v>0.25</v>
      </c>
      <c r="AU16">
        <v>0.25</v>
      </c>
      <c r="AV16">
        <v>0.25</v>
      </c>
      <c r="AW16" s="20"/>
      <c r="AX16">
        <v>0.25</v>
      </c>
      <c r="AY16" s="21">
        <f>IF(H16&lt;&gt;"", H16, _xlfn.XLOOKUP($E16,Constants!$A$3:$A$6, Constants!B$3:B$6))</f>
        <v>2.62</v>
      </c>
      <c r="AZ16">
        <f>IF(I16&lt;&gt;"", I16, _xlfn.XLOOKUP($E16,Constants!$A$3:$A$6, Constants!C$3:C$6))</f>
        <v>0.46</v>
      </c>
      <c r="BA16">
        <f>IF(J16&lt;&gt;"", J16, _xlfn.XLOOKUP($E16,Constants!$A$3:$A$6, Constants!D$3:D$6))</f>
        <v>4.9000000000000002E-2</v>
      </c>
      <c r="BB16">
        <f>IF(R16&lt;&gt;"", R16, IF(Q16, Constants!$B$19, 0))</f>
        <v>0.25</v>
      </c>
      <c r="BC16">
        <f>IF(U16&lt;&gt;"", U16,  IF(T16, Constants!$B$19, 0))</f>
        <v>0.25</v>
      </c>
      <c r="BD16">
        <f>IF(X16&lt;&gt;"", X16,  IF(W16, Constants!$B$19, 0))</f>
        <v>0.25</v>
      </c>
      <c r="BE16">
        <f>IF(S16&lt;&gt;"", S16, IF(Q16, Constants!$B$20, 0))</f>
        <v>0.25</v>
      </c>
      <c r="BF16">
        <f>IF(V16&lt;&gt;"", V16, IF(T16, Constants!$B$20, 0))</f>
        <v>0.25</v>
      </c>
      <c r="BG16">
        <f>IF(Y16&lt;&gt;"", Y16,  IF(W16, Constants!$B$20, 0))</f>
        <v>0.25</v>
      </c>
      <c r="BH16">
        <f t="shared" ref="BH16:BH26" si="92">K16*(1-BB16)</f>
        <v>0.15000000000000002</v>
      </c>
      <c r="BI16">
        <f t="shared" ref="BI16:BI26" si="93">L16+(K16*BB16)+(N16*BC16)+(P16*BD16)</f>
        <v>0.22500000000000001</v>
      </c>
      <c r="BJ16">
        <f t="shared" ref="BJ16:BJ26" si="94">M16</f>
        <v>0.2</v>
      </c>
      <c r="BK16">
        <f t="shared" ref="BK16:BK26" si="95">N16*(1-BC16)</f>
        <v>0.15000000000000002</v>
      </c>
      <c r="BL16">
        <f t="shared" ref="BL16:BL26" si="96">O16</f>
        <v>0.2</v>
      </c>
      <c r="BM16">
        <f t="shared" ref="BM16:BM26" si="97">P16*(1-BD16)</f>
        <v>7.5000000000000011E-2</v>
      </c>
      <c r="BN16">
        <f>Constants!$B$21</f>
        <v>0.45</v>
      </c>
      <c r="BO16">
        <f>Constants!$B$22</f>
        <v>0.6784</v>
      </c>
      <c r="BP16">
        <f>_xlfn.XLOOKUP($A16,Constants!$F$9:$M$9,Constants!$F$10:$M$10)</f>
        <v>0.78</v>
      </c>
      <c r="BQ16">
        <f>_xlfn.XLOOKUP($A16,Constants!$F$9:$M$9,Constants!$F$11:$M$11)</f>
        <v>0.02</v>
      </c>
      <c r="BR16">
        <f>_xlfn.XLOOKUP($A16,Constants!$F$9:$M$9,Constants!$F$12:$M$12)</f>
        <v>0.03</v>
      </c>
      <c r="BS16">
        <f>_xlfn.XLOOKUP($A16,Constants!$F$9:$M$9,Constants!$F$13:$M$13)</f>
        <v>0.1</v>
      </c>
      <c r="BT16">
        <f>_xlfn.XLOOKUP($A16,Constants!$F$9:$M$9,Constants!$F$14:$M$14)</f>
        <v>0.04</v>
      </c>
      <c r="BU16">
        <f>_xlfn.XLOOKUP($A16,Constants!$F$9:$M$9,Constants!$F$15:$M$15)</f>
        <v>0.03</v>
      </c>
      <c r="BV16">
        <f>_xlfn.XLOOKUP($A16,Constants!$F$9:$M$9,Constants!$F$16:$M$16)</f>
        <v>0</v>
      </c>
      <c r="BW16">
        <f t="shared" si="71"/>
        <v>1.6430169600000009E-2</v>
      </c>
      <c r="BX16">
        <f t="shared" si="72"/>
        <v>6.3192960000000014E-4</v>
      </c>
      <c r="BY16">
        <f t="shared" ref="BY16:BY26" si="98">$AZ16*BJ16*BR16*$BN16*$BO16</f>
        <v>8.4257280000000015E-4</v>
      </c>
      <c r="BZ16">
        <f t="shared" si="73"/>
        <v>2.1064320000000005E-3</v>
      </c>
      <c r="CA16">
        <f t="shared" si="74"/>
        <v>1.1234304000000003E-3</v>
      </c>
      <c r="CB16">
        <f t="shared" si="75"/>
        <v>3.1596480000000012E-4</v>
      </c>
      <c r="CC16">
        <f t="shared" si="76"/>
        <v>1.5240579681600006</v>
      </c>
      <c r="CD16">
        <f>Constants!$E$10</f>
        <v>0</v>
      </c>
      <c r="CE16">
        <f>Constants!$E$11</f>
        <v>0</v>
      </c>
      <c r="CF16">
        <f>Constants!$E$13</f>
        <v>0.75</v>
      </c>
      <c r="CG16">
        <f>Constants!$E$14</f>
        <v>0.05</v>
      </c>
      <c r="CH16">
        <f>Constants!$E$15</f>
        <v>0</v>
      </c>
      <c r="CI16">
        <f t="shared" si="77"/>
        <v>0.15000000000000002</v>
      </c>
      <c r="CJ16">
        <f t="shared" si="78"/>
        <v>0.22500000000000001</v>
      </c>
      <c r="CK16">
        <f t="shared" si="79"/>
        <v>3.7500000000000006E-2</v>
      </c>
      <c r="CL16">
        <f t="shared" si="80"/>
        <v>0.19</v>
      </c>
      <c r="CM16">
        <f t="shared" si="81"/>
        <v>7.5000000000000011E-2</v>
      </c>
      <c r="CN16">
        <f t="shared" si="82"/>
        <v>0</v>
      </c>
      <c r="CO16">
        <f t="shared" si="83"/>
        <v>0.12237500000000001</v>
      </c>
      <c r="CP16">
        <f t="shared" si="84"/>
        <v>0.10362500000000001</v>
      </c>
      <c r="CQ16">
        <f t="shared" si="85"/>
        <v>0.15050000000000002</v>
      </c>
      <c r="CR16">
        <f t="shared" si="86"/>
        <v>0.141125</v>
      </c>
      <c r="CS16">
        <f t="shared" si="87"/>
        <v>0.15987499999999999</v>
      </c>
      <c r="CT16">
        <f t="shared" ref="CT16:CT26" si="99">CO16*$BN16*BP16*$BO16*$AZ16</f>
        <v>1.3404280032000004E-2</v>
      </c>
      <c r="CU16">
        <f t="shared" ref="CU16:CU26" si="100">CP16*$BN16*BQ16*$BO16*$AZ16</f>
        <v>2.9103868800000004E-4</v>
      </c>
      <c r="CV16">
        <f t="shared" ref="CV16:CV26" si="101">CQ16*$BN16*BS16*$BO16*$AZ16</f>
        <v>2.1134534400000004E-3</v>
      </c>
      <c r="CW16">
        <f t="shared" ref="CW16:CW26" si="102">CR16*$BN16*BU16*$BO16*$AZ16</f>
        <v>5.9454043200000007E-4</v>
      </c>
      <c r="CX16">
        <f t="shared" ref="CX16:CX26" si="103">CS16*$BN16*BV16*$BO16*$AZ16</f>
        <v>0</v>
      </c>
      <c r="CY16">
        <f t="shared" si="88"/>
        <v>1.1654553596616002</v>
      </c>
      <c r="CZ16">
        <f t="shared" ref="CZ16:CZ26" si="104">CC16+CY16</f>
        <v>2.6895133278216008</v>
      </c>
      <c r="DB16">
        <f t="shared" si="22"/>
        <v>3481.4500000000003</v>
      </c>
      <c r="DC16">
        <f t="shared" ref="DC16:DC26" si="105">K16*(1-BE16)</f>
        <v>0.15000000000000002</v>
      </c>
      <c r="DD16">
        <f t="shared" ref="DD16:DD26" si="106">L16+(K16*BE16)+(N16*BF16)+(P16*BG16)</f>
        <v>0.22500000000000001</v>
      </c>
      <c r="DE16">
        <f t="shared" ref="DE16:DE26" si="107">M16</f>
        <v>0.2</v>
      </c>
      <c r="DF16">
        <f t="shared" ref="DF16:DF26" si="108">N16*(1-BF16)</f>
        <v>0.15000000000000002</v>
      </c>
      <c r="DG16">
        <f t="shared" ref="DG16:DG26" si="109">O16</f>
        <v>0.2</v>
      </c>
      <c r="DH16">
        <f t="shared" ref="DH16:DH26" si="110">P16*(1-BG16)</f>
        <v>7.5000000000000011E-2</v>
      </c>
      <c r="DI16">
        <f t="shared" ref="DI16:DI26" si="111">$DB16*DC16</f>
        <v>522.21750000000009</v>
      </c>
      <c r="DJ16">
        <f t="shared" ref="DJ16:DJ26" si="112">$DB16*DD16</f>
        <v>783.32625000000007</v>
      </c>
      <c r="DK16">
        <f t="shared" ref="DK16:DK26" si="113">$DB16*DE16</f>
        <v>696.29000000000008</v>
      </c>
      <c r="DL16">
        <f t="shared" ref="DL16:DL26" si="114">$DB16*DF16</f>
        <v>522.21750000000009</v>
      </c>
      <c r="DM16">
        <f t="shared" ref="DM16:DM26" si="115">$DB16*DG16</f>
        <v>696.29000000000008</v>
      </c>
      <c r="DN16">
        <f t="shared" ref="DN16:DN26" si="116">$DB16*DH16</f>
        <v>261.10875000000004</v>
      </c>
      <c r="DO16" s="6">
        <f>Constants!$C$10</f>
        <v>0.55000000000000004</v>
      </c>
      <c r="DP16" s="6">
        <f>Constants!$C$11</f>
        <v>0.2</v>
      </c>
      <c r="DQ16" s="6">
        <f>Constants!$C$12</f>
        <v>0.3</v>
      </c>
      <c r="DR16" s="6">
        <f>Constants!$C$13</f>
        <v>0</v>
      </c>
      <c r="DS16" s="6">
        <f>Constants!$C$14</f>
        <v>0.125</v>
      </c>
      <c r="DT16" s="6">
        <f>Constants!$C$15</f>
        <v>0.25</v>
      </c>
      <c r="DU16" s="6">
        <f>Constants!$D$10</f>
        <v>0</v>
      </c>
      <c r="DV16" s="6">
        <f>Constants!$D$11</f>
        <v>5.0000000000000001E-3</v>
      </c>
      <c r="DW16" s="6">
        <f>Constants!$D$12</f>
        <v>0.02</v>
      </c>
      <c r="DX16" s="6">
        <f>Constants!$D$13</f>
        <v>0</v>
      </c>
      <c r="DY16" s="6">
        <f>Constants!$D$14</f>
        <v>0.01</v>
      </c>
      <c r="DZ16" s="6">
        <f>Constants!$D$15</f>
        <v>2E-3</v>
      </c>
      <c r="EA16">
        <f>Constants!$B$23</f>
        <v>1.57</v>
      </c>
      <c r="EB16">
        <f t="shared" ref="EB16:EB26" si="117">DI16*DU16*$EA16</f>
        <v>0</v>
      </c>
      <c r="EC16">
        <f t="shared" ref="EC16:EC26" si="118">DJ16*DV16*$EA16</f>
        <v>6.1491110625000012</v>
      </c>
      <c r="ED16">
        <f t="shared" ref="ED16:ED26" si="119">DK16*DW16*$EA16</f>
        <v>21.863506000000005</v>
      </c>
      <c r="EE16">
        <f t="shared" ref="EE16:EE26" si="120">DL16*DX16*$EA16</f>
        <v>0</v>
      </c>
      <c r="EF16">
        <f t="shared" ref="EF16:EF26" si="121">DM16*DY16*$EA16</f>
        <v>10.931753000000002</v>
      </c>
      <c r="EG16">
        <f t="shared" ref="EG16:EG26" si="122">DN16*DZ16*$EA16</f>
        <v>0.81988147500000019</v>
      </c>
      <c r="EH16">
        <f t="shared" ref="EH16:EH26" si="123">DI16*(1-DO16-DU16)</f>
        <v>234.99787500000002</v>
      </c>
      <c r="EI16">
        <f t="shared" ref="EI16:EI26" si="124">DJ16*(1-DP16-DV16)</f>
        <v>622.74436875000004</v>
      </c>
      <c r="EJ16">
        <f t="shared" ref="EJ16:EJ26" si="125">DL16*(1-DR16-DX16)</f>
        <v>522.21750000000009</v>
      </c>
      <c r="EK16">
        <f t="shared" ref="EK16:EK26" si="126">DM16*(1-DS16-DY16)</f>
        <v>602.29085000000009</v>
      </c>
      <c r="EL16">
        <f t="shared" ref="EL16:EL26" si="127">DN16*(1-DT16-DZ16)</f>
        <v>195.30934500000004</v>
      </c>
      <c r="EM16">
        <f t="shared" ref="EM16:EM26" si="128">$EH16*Z16+$EI16*AE16+$EJ16*AJ16+$EK16*AO16+$EL16*AT16</f>
        <v>455.52597343750006</v>
      </c>
      <c r="EN16">
        <f t="shared" ref="EN16:EN26" si="129">$EH16*AA16+$EI16*AF16+$EJ16*AK16+$EK16*AP16+$EL16*AU16</f>
        <v>358.58935000000008</v>
      </c>
      <c r="EO16">
        <f t="shared" ref="EO16:EO26" si="130">$EH16*AB16+$EI16*AG16+$EJ16*AL16+$EK16*AQ16+$EL16*AV16</f>
        <v>383.72106718750007</v>
      </c>
      <c r="EP16">
        <f t="shared" ref="EP16:EP26" si="131">$EH16*AC16+$EI16*AH16+$EJ16*AM16+$EK16*AR16+$EL16*AW16</f>
        <v>465.44810593750003</v>
      </c>
      <c r="EQ16">
        <f t="shared" ref="EQ16:EQ26" si="132">$EH16*AD16+$EI16*AI16+$EJ16*AN16+$EK16*AS16+$EL16*AX16</f>
        <v>514.27544218750006</v>
      </c>
      <c r="ER16">
        <f t="shared" ref="ER16:ER26" si="133">EM16*DU16*$EA16</f>
        <v>0</v>
      </c>
      <c r="ES16">
        <f t="shared" ref="ES16:ES26" si="134">EN16*DV16*$EA16</f>
        <v>2.8149263975000007</v>
      </c>
      <c r="ET16">
        <f t="shared" ref="ET16:ET26" si="135">EO16*DX16*$EA16</f>
        <v>0</v>
      </c>
      <c r="EU16">
        <f t="shared" ref="EU16:EU26" si="136">EP16*DZ16*$EA16</f>
        <v>1.4615070526437501</v>
      </c>
      <c r="EV16">
        <f t="shared" ref="EV16:EV26" si="137">EQ16*0*$EA16</f>
        <v>0</v>
      </c>
      <c r="EW16">
        <f t="shared" si="56"/>
        <v>4.4040684987643762E-2</v>
      </c>
      <c r="EY16">
        <f t="shared" ref="EY16:EY22" si="138">DI16*DO16</f>
        <v>287.21962500000006</v>
      </c>
      <c r="EZ16">
        <f t="shared" ref="EZ16:EZ22" si="139">DJ16*DP16</f>
        <v>156.66525000000001</v>
      </c>
      <c r="FA16">
        <f t="shared" ref="FA16:FA22" si="140">DK16*DQ16</f>
        <v>208.88700000000003</v>
      </c>
      <c r="FB16">
        <f t="shared" ref="FB16:FB22" si="141">DL16*DR16</f>
        <v>0</v>
      </c>
      <c r="FC16">
        <f t="shared" ref="FC16:FC22" si="142">DM16*DS16</f>
        <v>87.03625000000001</v>
      </c>
      <c r="FD16">
        <f t="shared" ref="FD16:FD22" si="143">DN16*DT16</f>
        <v>65.277187500000011</v>
      </c>
      <c r="FE16">
        <f t="shared" ref="FE16:FE22" si="144">EM16*DO16</f>
        <v>250.53928539062505</v>
      </c>
      <c r="FF16">
        <f t="shared" ref="FF16:FF22" si="145">EN16*DP16</f>
        <v>71.717870000000019</v>
      </c>
      <c r="FG16">
        <f t="shared" ref="FG16:FG22" si="146">EO16*DR16</f>
        <v>0</v>
      </c>
      <c r="FH16">
        <f t="shared" ref="FH16:FH22" si="147">EP16*DT16</f>
        <v>116.36202648437501</v>
      </c>
      <c r="FI16">
        <f t="shared" ref="FI16:FI22" si="148">EQ16*0</f>
        <v>0</v>
      </c>
      <c r="FJ16">
        <f t="shared" si="68"/>
        <v>1243.7044943750002</v>
      </c>
      <c r="FK16">
        <f>_xlfn.XLOOKUP(C16, Constants!$D$19:$D$23, Constants!$E$19:$E$23)</f>
        <v>5.8999999999999999E-3</v>
      </c>
      <c r="FL16">
        <f t="shared" si="69"/>
        <v>1.1520434731395626E-2</v>
      </c>
      <c r="FN16">
        <f>Constants!$B$24</f>
        <v>1.0999999999999999E-2</v>
      </c>
      <c r="FO16">
        <f t="shared" ref="FO16:FO26" si="149">IF(D16, 1, 0)</f>
        <v>1</v>
      </c>
      <c r="FP16">
        <f>Constants!$B$25</f>
        <v>0.02</v>
      </c>
      <c r="FQ16">
        <f t="shared" si="8"/>
        <v>13.925800000000002</v>
      </c>
      <c r="FR16">
        <f t="shared" si="9"/>
        <v>0.24049856600000002</v>
      </c>
    </row>
    <row r="17" spans="1:175" x14ac:dyDescent="0.2">
      <c r="A17" t="s">
        <v>41</v>
      </c>
      <c r="C17" t="s">
        <v>75</v>
      </c>
      <c r="D17" t="b">
        <v>1</v>
      </c>
      <c r="E17" t="s">
        <v>27</v>
      </c>
      <c r="F17">
        <v>434</v>
      </c>
      <c r="G17">
        <v>280</v>
      </c>
      <c r="K17">
        <v>0.2</v>
      </c>
      <c r="L17">
        <v>0.1</v>
      </c>
      <c r="M17">
        <v>0.2</v>
      </c>
      <c r="N17">
        <v>0.2</v>
      </c>
      <c r="O17">
        <v>0.2</v>
      </c>
      <c r="P17">
        <v>0.1</v>
      </c>
      <c r="Q17" t="b">
        <v>1</v>
      </c>
      <c r="T17" t="b">
        <v>1</v>
      </c>
      <c r="W17" t="b">
        <v>1</v>
      </c>
      <c r="Z17" s="23"/>
      <c r="AA17">
        <v>0.25</v>
      </c>
      <c r="AB17">
        <v>0.25</v>
      </c>
      <c r="AC17">
        <v>0.25</v>
      </c>
      <c r="AD17">
        <v>0.25</v>
      </c>
      <c r="AE17" s="21">
        <v>0.25</v>
      </c>
      <c r="AF17" s="20"/>
      <c r="AG17">
        <v>0.25</v>
      </c>
      <c r="AH17">
        <v>0.25</v>
      </c>
      <c r="AI17">
        <v>0.25</v>
      </c>
      <c r="AJ17" s="21">
        <v>0.25</v>
      </c>
      <c r="AK17">
        <v>0.25</v>
      </c>
      <c r="AL17" s="20"/>
      <c r="AM17">
        <v>0.25</v>
      </c>
      <c r="AN17">
        <v>0.25</v>
      </c>
      <c r="AO17" s="21">
        <v>0.2</v>
      </c>
      <c r="AP17">
        <v>0.2</v>
      </c>
      <c r="AQ17">
        <v>0.2</v>
      </c>
      <c r="AR17">
        <v>0.2</v>
      </c>
      <c r="AS17">
        <v>0.2</v>
      </c>
      <c r="AT17" s="21">
        <v>0.25</v>
      </c>
      <c r="AU17">
        <v>0.25</v>
      </c>
      <c r="AV17">
        <v>0.25</v>
      </c>
      <c r="AW17" s="20"/>
      <c r="AX17">
        <v>0.25</v>
      </c>
      <c r="AY17" s="21">
        <f>IF(H17&lt;&gt;"", H17, _xlfn.XLOOKUP($E17,Constants!$A$3:$A$6, Constants!B$3:B$6))</f>
        <v>2.5</v>
      </c>
      <c r="AZ17">
        <f>IF(I17&lt;&gt;"", I17, _xlfn.XLOOKUP($E17,Constants!$A$3:$A$6, Constants!C$3:C$6))</f>
        <v>0.55000000000000004</v>
      </c>
      <c r="BA17">
        <f>IF(J17&lt;&gt;"", J17, _xlfn.XLOOKUP($E17,Constants!$A$3:$A$6, Constants!D$3:D$6))</f>
        <v>4.5999999999999999E-2</v>
      </c>
      <c r="BB17">
        <f>IF(R17&lt;&gt;"", R17, IF(Q17, Constants!$B$19, 0))</f>
        <v>0.25</v>
      </c>
      <c r="BC17">
        <f>IF(U17&lt;&gt;"", U17,  IF(T17, Constants!$B$19, 0))</f>
        <v>0.25</v>
      </c>
      <c r="BD17">
        <f>IF(X17&lt;&gt;"", X17,  IF(W17, Constants!$B$19, 0))</f>
        <v>0.25</v>
      </c>
      <c r="BE17">
        <f>IF(S17&lt;&gt;"", S17, IF(Q17, Constants!$B$20, 0))</f>
        <v>0.25</v>
      </c>
      <c r="BF17">
        <f>IF(V17&lt;&gt;"", V17, IF(T17, Constants!$B$20, 0))</f>
        <v>0.25</v>
      </c>
      <c r="BG17">
        <f>IF(Y17&lt;&gt;"", Y17,  IF(W17, Constants!$B$20, 0))</f>
        <v>0.25</v>
      </c>
      <c r="BH17">
        <f t="shared" si="92"/>
        <v>0.15000000000000002</v>
      </c>
      <c r="BI17">
        <f t="shared" si="93"/>
        <v>0.22500000000000001</v>
      </c>
      <c r="BJ17">
        <f t="shared" si="94"/>
        <v>0.2</v>
      </c>
      <c r="BK17">
        <f t="shared" si="95"/>
        <v>0.15000000000000002</v>
      </c>
      <c r="BL17">
        <f t="shared" si="96"/>
        <v>0.2</v>
      </c>
      <c r="BM17">
        <f t="shared" si="97"/>
        <v>7.5000000000000011E-2</v>
      </c>
      <c r="BN17">
        <f>Constants!$B$21</f>
        <v>0.45</v>
      </c>
      <c r="BO17">
        <f>Constants!$B$22</f>
        <v>0.6784</v>
      </c>
      <c r="BP17">
        <f>_xlfn.XLOOKUP($A17,Constants!$F$9:$M$9,Constants!$F$10:$M$10)</f>
        <v>0.78</v>
      </c>
      <c r="BQ17">
        <f>_xlfn.XLOOKUP($A17,Constants!$F$9:$M$9,Constants!$F$11:$M$11)</f>
        <v>0.02</v>
      </c>
      <c r="BR17">
        <f>_xlfn.XLOOKUP($A17,Constants!$F$9:$M$9,Constants!$F$12:$M$12)</f>
        <v>0.03</v>
      </c>
      <c r="BS17">
        <f>_xlfn.XLOOKUP($A17,Constants!$F$9:$M$9,Constants!$F$13:$M$13)</f>
        <v>0.1</v>
      </c>
      <c r="BT17">
        <f>_xlfn.XLOOKUP($A17,Constants!$F$9:$M$9,Constants!$F$14:$M$14)</f>
        <v>0.04</v>
      </c>
      <c r="BU17">
        <f>_xlfn.XLOOKUP($A17,Constants!$F$9:$M$9,Constants!$F$15:$M$15)</f>
        <v>0.03</v>
      </c>
      <c r="BV17">
        <f>_xlfn.XLOOKUP($A17,Constants!$F$9:$M$9,Constants!$F$16:$M$16)</f>
        <v>0</v>
      </c>
      <c r="BW17">
        <f t="shared" si="71"/>
        <v>1.9644768000000007E-2</v>
      </c>
      <c r="BX17">
        <f t="shared" si="72"/>
        <v>7.5556800000000008E-4</v>
      </c>
      <c r="BY17">
        <f t="shared" si="98"/>
        <v>1.0074240000000003E-3</v>
      </c>
      <c r="BZ17">
        <f t="shared" si="73"/>
        <v>2.5185600000000009E-3</v>
      </c>
      <c r="CA17">
        <f t="shared" si="74"/>
        <v>1.343232E-3</v>
      </c>
      <c r="CB17">
        <f t="shared" si="75"/>
        <v>3.7778400000000015E-4</v>
      </c>
      <c r="CC17">
        <f t="shared" si="76"/>
        <v>3.1166642707200007</v>
      </c>
      <c r="CD17">
        <f>Constants!$E$10</f>
        <v>0</v>
      </c>
      <c r="CE17">
        <f>Constants!$E$11</f>
        <v>0</v>
      </c>
      <c r="CF17">
        <f>Constants!$E$13</f>
        <v>0.75</v>
      </c>
      <c r="CG17">
        <f>Constants!$E$14</f>
        <v>0.05</v>
      </c>
      <c r="CH17">
        <f>Constants!$E$15</f>
        <v>0</v>
      </c>
      <c r="CI17">
        <f t="shared" si="77"/>
        <v>0.15000000000000002</v>
      </c>
      <c r="CJ17">
        <f t="shared" si="78"/>
        <v>0.22500000000000001</v>
      </c>
      <c r="CK17">
        <f t="shared" si="79"/>
        <v>3.7500000000000006E-2</v>
      </c>
      <c r="CL17">
        <f t="shared" si="80"/>
        <v>0.19</v>
      </c>
      <c r="CM17">
        <f t="shared" si="81"/>
        <v>7.5000000000000011E-2</v>
      </c>
      <c r="CN17">
        <f t="shared" si="82"/>
        <v>0</v>
      </c>
      <c r="CO17">
        <f t="shared" si="83"/>
        <v>0.12237500000000001</v>
      </c>
      <c r="CP17">
        <f t="shared" si="84"/>
        <v>0.10362500000000001</v>
      </c>
      <c r="CQ17">
        <f t="shared" si="85"/>
        <v>0.15050000000000002</v>
      </c>
      <c r="CR17">
        <f t="shared" si="86"/>
        <v>0.141125</v>
      </c>
      <c r="CS17">
        <f t="shared" si="87"/>
        <v>0.15987499999999999</v>
      </c>
      <c r="CT17">
        <f t="shared" si="99"/>
        <v>1.6026856560000004E-2</v>
      </c>
      <c r="CU17">
        <f t="shared" si="100"/>
        <v>3.4798104000000009E-4</v>
      </c>
      <c r="CV17">
        <f t="shared" si="101"/>
        <v>2.5269552000000005E-3</v>
      </c>
      <c r="CW17">
        <f t="shared" si="102"/>
        <v>7.1086356000000009E-4</v>
      </c>
      <c r="CX17">
        <f t="shared" si="103"/>
        <v>0</v>
      </c>
      <c r="CY17">
        <f t="shared" si="88"/>
        <v>2.3833300008672005</v>
      </c>
      <c r="CZ17">
        <f t="shared" si="104"/>
        <v>5.4999942715872017</v>
      </c>
      <c r="DB17">
        <f t="shared" si="22"/>
        <v>5589.92</v>
      </c>
      <c r="DC17">
        <f t="shared" si="105"/>
        <v>0.15000000000000002</v>
      </c>
      <c r="DD17">
        <f t="shared" si="106"/>
        <v>0.22500000000000001</v>
      </c>
      <c r="DE17">
        <f t="shared" si="107"/>
        <v>0.2</v>
      </c>
      <c r="DF17">
        <f t="shared" si="108"/>
        <v>0.15000000000000002</v>
      </c>
      <c r="DG17">
        <f t="shared" si="109"/>
        <v>0.2</v>
      </c>
      <c r="DH17">
        <f t="shared" si="110"/>
        <v>7.5000000000000011E-2</v>
      </c>
      <c r="DI17">
        <f t="shared" si="111"/>
        <v>838.48800000000017</v>
      </c>
      <c r="DJ17">
        <f t="shared" si="112"/>
        <v>1257.732</v>
      </c>
      <c r="DK17">
        <f t="shared" si="113"/>
        <v>1117.9840000000002</v>
      </c>
      <c r="DL17">
        <f t="shared" si="114"/>
        <v>838.48800000000017</v>
      </c>
      <c r="DM17">
        <f t="shared" si="115"/>
        <v>1117.9840000000002</v>
      </c>
      <c r="DN17">
        <f t="shared" si="116"/>
        <v>419.24400000000009</v>
      </c>
      <c r="DO17" s="6">
        <f>Constants!$C$10</f>
        <v>0.55000000000000004</v>
      </c>
      <c r="DP17" s="6">
        <f>Constants!$C$11</f>
        <v>0.2</v>
      </c>
      <c r="DQ17" s="6">
        <f>Constants!$C$12</f>
        <v>0.3</v>
      </c>
      <c r="DR17" s="6">
        <f>Constants!$C$13</f>
        <v>0</v>
      </c>
      <c r="DS17" s="6">
        <f>Constants!$C$14</f>
        <v>0.125</v>
      </c>
      <c r="DT17" s="6">
        <f>Constants!$C$15</f>
        <v>0.25</v>
      </c>
      <c r="DU17" s="6">
        <f>Constants!$D$10</f>
        <v>0</v>
      </c>
      <c r="DV17" s="6">
        <f>Constants!$D$11</f>
        <v>5.0000000000000001E-3</v>
      </c>
      <c r="DW17" s="6">
        <f>Constants!$D$12</f>
        <v>0.02</v>
      </c>
      <c r="DX17" s="6">
        <f>Constants!$D$13</f>
        <v>0</v>
      </c>
      <c r="DY17" s="6">
        <f>Constants!$D$14</f>
        <v>0.01</v>
      </c>
      <c r="DZ17" s="6">
        <f>Constants!$D$15</f>
        <v>2E-3</v>
      </c>
      <c r="EA17">
        <f>Constants!$B$23</f>
        <v>1.57</v>
      </c>
      <c r="EB17">
        <f t="shared" si="117"/>
        <v>0</v>
      </c>
      <c r="EC17">
        <f t="shared" si="118"/>
        <v>9.8731962000000006</v>
      </c>
      <c r="ED17">
        <f t="shared" si="119"/>
        <v>35.104697600000009</v>
      </c>
      <c r="EE17">
        <f t="shared" si="120"/>
        <v>0</v>
      </c>
      <c r="EF17">
        <f t="shared" si="121"/>
        <v>17.552348800000004</v>
      </c>
      <c r="EG17">
        <f t="shared" si="122"/>
        <v>1.3164261600000005</v>
      </c>
      <c r="EH17">
        <f t="shared" si="123"/>
        <v>377.31960000000004</v>
      </c>
      <c r="EI17">
        <f t="shared" si="124"/>
        <v>999.89693999999997</v>
      </c>
      <c r="EJ17">
        <f t="shared" si="125"/>
        <v>838.48800000000017</v>
      </c>
      <c r="EK17">
        <f t="shared" si="126"/>
        <v>967.05616000000009</v>
      </c>
      <c r="EL17">
        <f t="shared" si="127"/>
        <v>313.59451200000007</v>
      </c>
      <c r="EM17">
        <f t="shared" si="128"/>
        <v>731.40609500000016</v>
      </c>
      <c r="EN17">
        <f t="shared" si="129"/>
        <v>575.76176000000009</v>
      </c>
      <c r="EO17">
        <f t="shared" si="130"/>
        <v>616.11399500000005</v>
      </c>
      <c r="EP17">
        <f t="shared" si="131"/>
        <v>747.33736700000009</v>
      </c>
      <c r="EQ17">
        <f t="shared" si="132"/>
        <v>825.73599500000012</v>
      </c>
      <c r="ER17">
        <f t="shared" si="133"/>
        <v>0</v>
      </c>
      <c r="ES17">
        <f t="shared" si="134"/>
        <v>4.5197298160000017</v>
      </c>
      <c r="ET17">
        <f t="shared" si="135"/>
        <v>0</v>
      </c>
      <c r="EU17">
        <f t="shared" si="136"/>
        <v>2.3466393323800006</v>
      </c>
      <c r="EV17">
        <f t="shared" si="137"/>
        <v>0</v>
      </c>
      <c r="EW17">
        <f t="shared" si="56"/>
        <v>7.0713037908380016E-2</v>
      </c>
      <c r="EY17">
        <f t="shared" si="138"/>
        <v>461.16840000000013</v>
      </c>
      <c r="EZ17">
        <f t="shared" si="139"/>
        <v>251.54640000000001</v>
      </c>
      <c r="FA17">
        <f t="shared" si="140"/>
        <v>335.39520000000005</v>
      </c>
      <c r="FB17">
        <f t="shared" si="141"/>
        <v>0</v>
      </c>
      <c r="FC17">
        <f t="shared" si="142"/>
        <v>139.74800000000002</v>
      </c>
      <c r="FD17">
        <f t="shared" si="143"/>
        <v>104.81100000000002</v>
      </c>
      <c r="FE17">
        <f t="shared" si="144"/>
        <v>402.27335225000013</v>
      </c>
      <c r="FF17">
        <f t="shared" si="145"/>
        <v>115.15235200000002</v>
      </c>
      <c r="FG17">
        <f t="shared" si="146"/>
        <v>0</v>
      </c>
      <c r="FH17">
        <f t="shared" si="147"/>
        <v>186.83434175000002</v>
      </c>
      <c r="FI17">
        <f t="shared" si="148"/>
        <v>0</v>
      </c>
      <c r="FJ17">
        <f t="shared" si="68"/>
        <v>1996.9290460000002</v>
      </c>
      <c r="FK17">
        <f>_xlfn.XLOOKUP(C17, Constants!$D$19:$D$23, Constants!$E$19:$E$23)</f>
        <v>5.8999999999999999E-3</v>
      </c>
      <c r="FL17">
        <f t="shared" si="69"/>
        <v>1.8497553753098004E-2</v>
      </c>
      <c r="FN17">
        <f>Constants!$B$24</f>
        <v>1.0999999999999999E-2</v>
      </c>
      <c r="FO17">
        <f t="shared" si="149"/>
        <v>1</v>
      </c>
      <c r="FP17">
        <f>Constants!$B$25</f>
        <v>0.02</v>
      </c>
      <c r="FQ17">
        <f t="shared" si="8"/>
        <v>22.359680000000004</v>
      </c>
      <c r="FR17">
        <f t="shared" si="9"/>
        <v>0.38615167360000008</v>
      </c>
    </row>
    <row r="18" spans="1:175" s="2" customFormat="1" x14ac:dyDescent="0.2">
      <c r="A18" s="2" t="s">
        <v>41</v>
      </c>
      <c r="C18" t="s">
        <v>75</v>
      </c>
      <c r="D18" s="2" t="b">
        <v>1</v>
      </c>
      <c r="E18" s="2" t="s">
        <v>28</v>
      </c>
      <c r="F18" s="2">
        <v>44</v>
      </c>
      <c r="G18" s="2">
        <v>290</v>
      </c>
      <c r="K18" s="2">
        <v>0.2</v>
      </c>
      <c r="L18" s="2">
        <v>0.1</v>
      </c>
      <c r="M18" s="2">
        <v>0.2</v>
      </c>
      <c r="N18" s="2">
        <v>0.2</v>
      </c>
      <c r="O18" s="2">
        <v>0.2</v>
      </c>
      <c r="P18" s="2">
        <v>0.1</v>
      </c>
      <c r="Q18" s="2" t="b">
        <v>1</v>
      </c>
      <c r="T18" s="2" t="b">
        <v>1</v>
      </c>
      <c r="W18" s="2" t="b">
        <v>1</v>
      </c>
      <c r="Z18" s="22"/>
      <c r="AA18" s="2">
        <v>0.25</v>
      </c>
      <c r="AB18" s="2">
        <v>0.25</v>
      </c>
      <c r="AC18" s="2">
        <v>0.25</v>
      </c>
      <c r="AD18" s="2">
        <v>0.25</v>
      </c>
      <c r="AE18" s="25">
        <v>0.25</v>
      </c>
      <c r="AF18" s="19"/>
      <c r="AG18" s="2">
        <v>0.25</v>
      </c>
      <c r="AH18" s="2">
        <v>0.25</v>
      </c>
      <c r="AI18" s="2">
        <v>0.25</v>
      </c>
      <c r="AJ18" s="25">
        <v>0.25</v>
      </c>
      <c r="AK18" s="2">
        <v>0.25</v>
      </c>
      <c r="AL18" s="19"/>
      <c r="AM18" s="2">
        <v>0.25</v>
      </c>
      <c r="AN18" s="2">
        <v>0.25</v>
      </c>
      <c r="AO18" s="25">
        <v>0.2</v>
      </c>
      <c r="AP18" s="2">
        <v>0.2</v>
      </c>
      <c r="AQ18" s="2">
        <v>0.2</v>
      </c>
      <c r="AR18" s="2">
        <v>0.2</v>
      </c>
      <c r="AS18" s="2">
        <v>0.2</v>
      </c>
      <c r="AT18" s="25">
        <v>0.25</v>
      </c>
      <c r="AU18" s="2">
        <v>0.25</v>
      </c>
      <c r="AV18" s="2">
        <v>0.25</v>
      </c>
      <c r="AW18" s="19"/>
      <c r="AX18" s="2">
        <v>0.25</v>
      </c>
      <c r="AY18" s="25">
        <f>IF(H18&lt;&gt;"", H18, _xlfn.XLOOKUP($E18,Constants!$A$3:$A$6, Constants!B$3:B$6))</f>
        <v>1.71</v>
      </c>
      <c r="AZ18" s="2">
        <f>IF(I18&lt;&gt;"", I18, _xlfn.XLOOKUP($E18,Constants!$A$3:$A$6, Constants!C$3:C$6))</f>
        <v>0.39</v>
      </c>
      <c r="BA18" s="2">
        <f>IF(J18&lt;&gt;"", J18, _xlfn.XLOOKUP($E18,Constants!$A$3:$A$6, Constants!D$3:D$6))</f>
        <v>3.1E-2</v>
      </c>
      <c r="BB18" s="2">
        <f>IF(R18&lt;&gt;"", R18, IF(Q18, Constants!$B$19, 0))</f>
        <v>0.25</v>
      </c>
      <c r="BC18" s="2">
        <f>IF(U18&lt;&gt;"", U18,  IF(T18, Constants!$B$19, 0))</f>
        <v>0.25</v>
      </c>
      <c r="BD18" s="2">
        <f>IF(X18&lt;&gt;"", X18,  IF(W18, Constants!$B$19, 0))</f>
        <v>0.25</v>
      </c>
      <c r="BE18" s="2">
        <f>IF(S18&lt;&gt;"", S18, IF(Q18, Constants!$B$20, 0))</f>
        <v>0.25</v>
      </c>
      <c r="BF18" s="2">
        <f>IF(V18&lt;&gt;"", V18, IF(T18, Constants!$B$20, 0))</f>
        <v>0.25</v>
      </c>
      <c r="BG18" s="2">
        <f>IF(Y18&lt;&gt;"", Y18,  IF(W18, Constants!$B$20, 0))</f>
        <v>0.25</v>
      </c>
      <c r="BH18" s="2">
        <f t="shared" si="92"/>
        <v>0.15000000000000002</v>
      </c>
      <c r="BI18" s="2">
        <f t="shared" si="93"/>
        <v>0.22500000000000001</v>
      </c>
      <c r="BJ18" s="2">
        <f t="shared" si="94"/>
        <v>0.2</v>
      </c>
      <c r="BK18" s="2">
        <f t="shared" si="95"/>
        <v>0.15000000000000002</v>
      </c>
      <c r="BL18" s="2">
        <f t="shared" si="96"/>
        <v>0.2</v>
      </c>
      <c r="BM18" s="2">
        <f t="shared" si="97"/>
        <v>7.5000000000000011E-2</v>
      </c>
      <c r="BN18" s="2">
        <f>Constants!$B$21</f>
        <v>0.45</v>
      </c>
      <c r="BO18" s="2">
        <f>Constants!$B$22</f>
        <v>0.6784</v>
      </c>
      <c r="BP18" s="2">
        <f>_xlfn.XLOOKUP($A18,Constants!$F$9:$M$9,Constants!$F$10:$M$10)</f>
        <v>0.78</v>
      </c>
      <c r="BQ18" s="2">
        <f>_xlfn.XLOOKUP($A18,Constants!$F$9:$M$9,Constants!$F$11:$M$11)</f>
        <v>0.02</v>
      </c>
      <c r="BR18" s="2">
        <f>_xlfn.XLOOKUP($A18,Constants!$F$9:$M$9,Constants!$F$12:$M$12)</f>
        <v>0.03</v>
      </c>
      <c r="BS18" s="2">
        <f>_xlfn.XLOOKUP($A18,Constants!$F$9:$M$9,Constants!$F$13:$M$13)</f>
        <v>0.1</v>
      </c>
      <c r="BT18" s="2">
        <f>_xlfn.XLOOKUP($A18,Constants!$F$9:$M$9,Constants!$F$14:$M$14)</f>
        <v>0.04</v>
      </c>
      <c r="BU18" s="2">
        <f>_xlfn.XLOOKUP($A18,Constants!$F$9:$M$9,Constants!$F$15:$M$15)</f>
        <v>0.03</v>
      </c>
      <c r="BV18" s="2">
        <f>_xlfn.XLOOKUP($A18,Constants!$F$9:$M$9,Constants!$F$16:$M$16)</f>
        <v>0</v>
      </c>
      <c r="BW18" s="2">
        <f t="shared" si="71"/>
        <v>1.3929926400000004E-2</v>
      </c>
      <c r="BX18" s="2">
        <f t="shared" si="72"/>
        <v>5.3576640000000005E-4</v>
      </c>
      <c r="BY18" s="2">
        <f t="shared" si="98"/>
        <v>7.1435520000000024E-4</v>
      </c>
      <c r="BZ18" s="2">
        <f t="shared" si="73"/>
        <v>1.7858880000000004E-3</v>
      </c>
      <c r="CA18" s="2">
        <f t="shared" si="74"/>
        <v>9.5247360000000022E-4</v>
      </c>
      <c r="CB18" s="2">
        <f t="shared" si="75"/>
        <v>2.6788320000000002E-4</v>
      </c>
      <c r="CC18" s="2">
        <f t="shared" si="76"/>
        <v>0.23205709612800005</v>
      </c>
      <c r="CD18" s="2">
        <f>Constants!$E$10</f>
        <v>0</v>
      </c>
      <c r="CE18" s="2">
        <f>Constants!$E$11</f>
        <v>0</v>
      </c>
      <c r="CF18" s="2">
        <f>Constants!$E$13</f>
        <v>0.75</v>
      </c>
      <c r="CG18" s="2">
        <f>Constants!$E$14</f>
        <v>0.05</v>
      </c>
      <c r="CH18" s="2">
        <f>Constants!$E$15</f>
        <v>0</v>
      </c>
      <c r="CI18" s="2">
        <f t="shared" si="77"/>
        <v>0.15000000000000002</v>
      </c>
      <c r="CJ18" s="2">
        <f t="shared" si="78"/>
        <v>0.22500000000000001</v>
      </c>
      <c r="CK18" s="2">
        <f t="shared" si="79"/>
        <v>3.7500000000000006E-2</v>
      </c>
      <c r="CL18" s="2">
        <f t="shared" si="80"/>
        <v>0.19</v>
      </c>
      <c r="CM18" s="2">
        <f t="shared" si="81"/>
        <v>7.5000000000000011E-2</v>
      </c>
      <c r="CN18" s="2">
        <f t="shared" si="82"/>
        <v>0</v>
      </c>
      <c r="CO18" s="2">
        <f t="shared" si="83"/>
        <v>0.12237500000000001</v>
      </c>
      <c r="CP18" s="2">
        <f t="shared" si="84"/>
        <v>0.10362500000000001</v>
      </c>
      <c r="CQ18" s="2">
        <f t="shared" si="85"/>
        <v>0.15050000000000002</v>
      </c>
      <c r="CR18" s="2">
        <f t="shared" si="86"/>
        <v>0.141125</v>
      </c>
      <c r="CS18" s="2">
        <f t="shared" si="87"/>
        <v>0.15987499999999999</v>
      </c>
      <c r="CT18" s="2">
        <f t="shared" si="99"/>
        <v>1.1364498288000003E-2</v>
      </c>
      <c r="CU18" s="2">
        <f t="shared" si="100"/>
        <v>2.4675019200000005E-4</v>
      </c>
      <c r="CV18" s="2">
        <f t="shared" si="101"/>
        <v>1.7918409600000001E-3</v>
      </c>
      <c r="CW18" s="2">
        <f t="shared" si="102"/>
        <v>5.0406688800000009E-4</v>
      </c>
      <c r="CX18" s="2">
        <f t="shared" si="103"/>
        <v>0</v>
      </c>
      <c r="CY18" s="2">
        <f t="shared" si="88"/>
        <v>0.17745531474528004</v>
      </c>
      <c r="CZ18" s="2">
        <f t="shared" si="104"/>
        <v>0.40951241087328005</v>
      </c>
      <c r="DB18" s="2">
        <f t="shared" si="22"/>
        <v>395.56</v>
      </c>
      <c r="DC18" s="2">
        <f t="shared" si="105"/>
        <v>0.15000000000000002</v>
      </c>
      <c r="DD18" s="2">
        <f t="shared" si="106"/>
        <v>0.22500000000000001</v>
      </c>
      <c r="DE18" s="2">
        <f t="shared" si="107"/>
        <v>0.2</v>
      </c>
      <c r="DF18" s="2">
        <f t="shared" si="108"/>
        <v>0.15000000000000002</v>
      </c>
      <c r="DG18" s="2">
        <f t="shared" si="109"/>
        <v>0.2</v>
      </c>
      <c r="DH18" s="2">
        <f t="shared" si="110"/>
        <v>7.5000000000000011E-2</v>
      </c>
      <c r="DI18" s="2">
        <f t="shared" si="111"/>
        <v>59.33400000000001</v>
      </c>
      <c r="DJ18" s="2">
        <f t="shared" si="112"/>
        <v>89.001000000000005</v>
      </c>
      <c r="DK18" s="2">
        <f t="shared" si="113"/>
        <v>79.112000000000009</v>
      </c>
      <c r="DL18" s="2">
        <f t="shared" si="114"/>
        <v>59.33400000000001</v>
      </c>
      <c r="DM18" s="2">
        <f t="shared" si="115"/>
        <v>79.112000000000009</v>
      </c>
      <c r="DN18" s="2">
        <f t="shared" si="116"/>
        <v>29.667000000000005</v>
      </c>
      <c r="DO18" s="13">
        <f>Constants!$C$10</f>
        <v>0.55000000000000004</v>
      </c>
      <c r="DP18" s="13">
        <f>Constants!$C$11</f>
        <v>0.2</v>
      </c>
      <c r="DQ18" s="13">
        <f>Constants!$C$12</f>
        <v>0.3</v>
      </c>
      <c r="DR18" s="13">
        <f>Constants!$C$13</f>
        <v>0</v>
      </c>
      <c r="DS18" s="13">
        <f>Constants!$C$14</f>
        <v>0.125</v>
      </c>
      <c r="DT18" s="13">
        <f>Constants!$C$15</f>
        <v>0.25</v>
      </c>
      <c r="DU18" s="13">
        <f>Constants!$D$10</f>
        <v>0</v>
      </c>
      <c r="DV18" s="13">
        <f>Constants!$D$11</f>
        <v>5.0000000000000001E-3</v>
      </c>
      <c r="DW18" s="13">
        <f>Constants!$D$12</f>
        <v>0.02</v>
      </c>
      <c r="DX18" s="13">
        <f>Constants!$D$13</f>
        <v>0</v>
      </c>
      <c r="DY18" s="13">
        <f>Constants!$D$14</f>
        <v>0.01</v>
      </c>
      <c r="DZ18" s="13">
        <f>Constants!$D$15</f>
        <v>2E-3</v>
      </c>
      <c r="EA18" s="2">
        <f>Constants!$B$23</f>
        <v>1.57</v>
      </c>
      <c r="EB18" s="2">
        <f t="shared" si="117"/>
        <v>0</v>
      </c>
      <c r="EC18" s="2">
        <f t="shared" si="118"/>
        <v>0.69865785000000014</v>
      </c>
      <c r="ED18" s="2">
        <f t="shared" si="119"/>
        <v>2.4841168000000007</v>
      </c>
      <c r="EE18" s="2">
        <f t="shared" si="120"/>
        <v>0</v>
      </c>
      <c r="EF18" s="2">
        <f t="shared" si="121"/>
        <v>1.2420584000000003</v>
      </c>
      <c r="EG18" s="2">
        <f t="shared" si="122"/>
        <v>9.3154380000000023E-2</v>
      </c>
      <c r="EH18" s="2">
        <f t="shared" si="123"/>
        <v>26.700300000000002</v>
      </c>
      <c r="EI18" s="2">
        <f t="shared" si="124"/>
        <v>70.755795000000006</v>
      </c>
      <c r="EJ18" s="2">
        <f t="shared" si="125"/>
        <v>59.33400000000001</v>
      </c>
      <c r="EK18" s="2">
        <f t="shared" si="126"/>
        <v>68.431880000000007</v>
      </c>
      <c r="EL18" s="2">
        <f t="shared" si="127"/>
        <v>22.190916000000005</v>
      </c>
      <c r="EM18" s="2">
        <f t="shared" si="128"/>
        <v>51.756553750000009</v>
      </c>
      <c r="EN18" s="2">
        <f t="shared" si="129"/>
        <v>40.742680000000007</v>
      </c>
      <c r="EO18" s="2">
        <f t="shared" si="130"/>
        <v>43.598128750000008</v>
      </c>
      <c r="EP18" s="2">
        <f t="shared" si="131"/>
        <v>52.883899750000005</v>
      </c>
      <c r="EQ18" s="2">
        <f t="shared" si="132"/>
        <v>58.431628750000009</v>
      </c>
      <c r="ER18" s="2">
        <f t="shared" si="133"/>
        <v>0</v>
      </c>
      <c r="ES18" s="2">
        <f t="shared" si="134"/>
        <v>0.31983003800000009</v>
      </c>
      <c r="ET18" s="2">
        <f t="shared" si="135"/>
        <v>0</v>
      </c>
      <c r="EU18" s="2">
        <f t="shared" si="136"/>
        <v>0.16605544521500001</v>
      </c>
      <c r="EV18" s="2">
        <f t="shared" si="137"/>
        <v>0</v>
      </c>
      <c r="EW18" s="2">
        <f t="shared" si="56"/>
        <v>5.0038729132150005E-3</v>
      </c>
      <c r="EY18" s="2">
        <f t="shared" si="138"/>
        <v>32.633700000000012</v>
      </c>
      <c r="EZ18" s="2">
        <f t="shared" si="139"/>
        <v>17.8002</v>
      </c>
      <c r="FA18" s="2">
        <f t="shared" si="140"/>
        <v>23.733600000000003</v>
      </c>
      <c r="FB18" s="2">
        <f t="shared" si="141"/>
        <v>0</v>
      </c>
      <c r="FC18" s="2">
        <f t="shared" si="142"/>
        <v>9.8890000000000011</v>
      </c>
      <c r="FD18" s="2">
        <f t="shared" si="143"/>
        <v>7.4167500000000013</v>
      </c>
      <c r="FE18" s="2">
        <f t="shared" si="144"/>
        <v>28.466104562500007</v>
      </c>
      <c r="FF18" s="2">
        <f t="shared" si="145"/>
        <v>8.1485360000000018</v>
      </c>
      <c r="FG18" s="2">
        <f t="shared" si="146"/>
        <v>0</v>
      </c>
      <c r="FH18" s="2">
        <f t="shared" si="147"/>
        <v>13.220974937500001</v>
      </c>
      <c r="FI18" s="2">
        <f t="shared" si="148"/>
        <v>0</v>
      </c>
      <c r="FJ18" s="2">
        <f t="shared" si="68"/>
        <v>141.30886550000002</v>
      </c>
      <c r="FK18" s="2">
        <f>_xlfn.XLOOKUP(C18, Constants!$D$19:$D$23, Constants!$E$19:$E$23)</f>
        <v>5.8999999999999999E-3</v>
      </c>
      <c r="FL18" s="2">
        <f t="shared" si="69"/>
        <v>1.3089440211265001E-3</v>
      </c>
      <c r="FN18" s="2">
        <f>Constants!$B$24</f>
        <v>1.0999999999999999E-2</v>
      </c>
      <c r="FO18" s="2">
        <f t="shared" si="149"/>
        <v>1</v>
      </c>
      <c r="FP18" s="2">
        <f>Constants!$B$25</f>
        <v>0.02</v>
      </c>
      <c r="FQ18" s="2">
        <f t="shared" si="8"/>
        <v>1.5822400000000003</v>
      </c>
      <c r="FR18" s="2">
        <f t="shared" si="9"/>
        <v>2.7325284800000006E-2</v>
      </c>
    </row>
    <row r="19" spans="1:175" x14ac:dyDescent="0.2">
      <c r="A19" t="s">
        <v>39</v>
      </c>
      <c r="C19" t="s">
        <v>77</v>
      </c>
      <c r="D19" t="b">
        <v>1</v>
      </c>
      <c r="E19" t="s">
        <v>25</v>
      </c>
      <c r="F19">
        <v>1000</v>
      </c>
      <c r="G19">
        <v>100</v>
      </c>
      <c r="K19">
        <v>0.3</v>
      </c>
      <c r="N19">
        <v>0.3</v>
      </c>
      <c r="P19">
        <v>0.4</v>
      </c>
      <c r="Q19" t="b">
        <v>0</v>
      </c>
      <c r="T19" t="b">
        <v>0</v>
      </c>
      <c r="W19" t="b">
        <v>0</v>
      </c>
      <c r="Z19" s="23"/>
      <c r="AB19">
        <v>1</v>
      </c>
      <c r="AF19" s="20"/>
      <c r="AJ19" s="21">
        <v>0.8</v>
      </c>
      <c r="AL19" s="20"/>
      <c r="AM19">
        <v>0.2</v>
      </c>
      <c r="AU19">
        <v>0.5</v>
      </c>
      <c r="AW19" s="20"/>
      <c r="AX19">
        <v>0.5</v>
      </c>
      <c r="AY19" s="29">
        <f>IF(H19&lt;&gt;"", H19, _xlfn.XLOOKUP($E19,Constants!$A$3:$A$6, Constants!B$3:B$6))</f>
        <v>2.2999999999999998</v>
      </c>
      <c r="AZ19" s="18">
        <f>IF(I19&lt;&gt;"", I19, _xlfn.XLOOKUP($E19,Constants!$A$3:$A$6, Constants!C$3:C$6))</f>
        <v>0.4</v>
      </c>
      <c r="BA19" s="18">
        <f>IF(J19&lt;&gt;"", J19, _xlfn.XLOOKUP($E19,Constants!$A$3:$A$6, Constants!D$3:D$6))</f>
        <v>4.5999999999999999E-2</v>
      </c>
      <c r="BB19">
        <f>IF(R19&lt;&gt;"", R19, IF(Q19, Constants!$B$19, 0))</f>
        <v>0</v>
      </c>
      <c r="BC19">
        <f>IF(U19&lt;&gt;"", U19,  IF(T19, Constants!$B$19, 0))</f>
        <v>0</v>
      </c>
      <c r="BD19">
        <f>IF(X19&lt;&gt;"", X19,  IF(W19, Constants!$B$19, 0))</f>
        <v>0</v>
      </c>
      <c r="BE19" s="18">
        <f>IF(S19&lt;&gt;"", S19, IF(Q19, Constants!$B$20, 0))</f>
        <v>0</v>
      </c>
      <c r="BF19" s="18">
        <f>IF(V19&lt;&gt;"", V19, IF(T19, Constants!$B$20, 0))</f>
        <v>0</v>
      </c>
      <c r="BG19" s="18">
        <f>IF(Y19&lt;&gt;"", Y19,  IF(W19, Constants!$B$20, 0))</f>
        <v>0</v>
      </c>
      <c r="BH19">
        <f t="shared" si="92"/>
        <v>0.3</v>
      </c>
      <c r="BI19">
        <f t="shared" si="93"/>
        <v>0</v>
      </c>
      <c r="BJ19">
        <f t="shared" si="94"/>
        <v>0</v>
      </c>
      <c r="BK19">
        <f t="shared" si="95"/>
        <v>0.3</v>
      </c>
      <c r="BL19">
        <f t="shared" si="96"/>
        <v>0</v>
      </c>
      <c r="BM19">
        <f t="shared" si="97"/>
        <v>0.4</v>
      </c>
      <c r="BN19">
        <f>Constants!$B$21</f>
        <v>0.45</v>
      </c>
      <c r="BO19">
        <f>Constants!$B$22</f>
        <v>0.6784</v>
      </c>
      <c r="BP19">
        <f>_xlfn.XLOOKUP($A19,Constants!$F$9:$M$9,Constants!$F$10:$M$10)</f>
        <v>0.78</v>
      </c>
      <c r="BQ19">
        <f>_xlfn.XLOOKUP($A19,Constants!$F$9:$M$9,Constants!$F$11:$M$11)</f>
        <v>0.02</v>
      </c>
      <c r="BR19">
        <f>_xlfn.XLOOKUP($A19,Constants!$F$9:$M$9,Constants!$F$12:$M$12)</f>
        <v>0.03</v>
      </c>
      <c r="BS19">
        <f>_xlfn.XLOOKUP($A19,Constants!$F$9:$M$9,Constants!$F$13:$M$13)</f>
        <v>0.1</v>
      </c>
      <c r="BT19">
        <f>_xlfn.XLOOKUP($A19,Constants!$F$9:$M$9,Constants!$F$14:$M$14)</f>
        <v>0.04</v>
      </c>
      <c r="BU19">
        <f>_xlfn.XLOOKUP($A19,Constants!$F$9:$M$9,Constants!$F$15:$M$15)</f>
        <v>0.03</v>
      </c>
      <c r="BV19">
        <f>_xlfn.XLOOKUP($A19,Constants!$F$9:$M$9,Constants!$F$16:$M$16)</f>
        <v>0</v>
      </c>
      <c r="BW19" s="18">
        <f t="shared" si="71"/>
        <v>2.8574208000000004E-2</v>
      </c>
      <c r="BX19" s="18">
        <f t="shared" si="72"/>
        <v>0</v>
      </c>
      <c r="BY19" s="18">
        <f t="shared" si="98"/>
        <v>0</v>
      </c>
      <c r="BZ19" s="18">
        <f t="shared" si="73"/>
        <v>3.6633600000000001E-3</v>
      </c>
      <c r="CA19" s="18">
        <f t="shared" si="74"/>
        <v>0</v>
      </c>
      <c r="CB19" s="18">
        <f t="shared" si="75"/>
        <v>1.4653440000000004E-3</v>
      </c>
      <c r="CC19">
        <f t="shared" si="76"/>
        <v>3.3702912000000005</v>
      </c>
      <c r="CD19">
        <f>Constants!$E$10</f>
        <v>0</v>
      </c>
      <c r="CE19">
        <f>Constants!$E$11</f>
        <v>0</v>
      </c>
      <c r="CF19">
        <f>Constants!$E$13</f>
        <v>0.75</v>
      </c>
      <c r="CG19">
        <f>Constants!$E$14</f>
        <v>0.05</v>
      </c>
      <c r="CH19">
        <f>Constants!$E$15</f>
        <v>0</v>
      </c>
      <c r="CI19">
        <f t="shared" si="77"/>
        <v>0.3</v>
      </c>
      <c r="CJ19">
        <f t="shared" si="78"/>
        <v>0</v>
      </c>
      <c r="CK19">
        <f t="shared" si="79"/>
        <v>7.4999999999999997E-2</v>
      </c>
      <c r="CL19">
        <f t="shared" si="80"/>
        <v>0</v>
      </c>
      <c r="CM19">
        <f t="shared" si="81"/>
        <v>0.4</v>
      </c>
      <c r="CN19" s="18">
        <f t="shared" si="82"/>
        <v>0</v>
      </c>
      <c r="CO19" s="18">
        <f t="shared" si="83"/>
        <v>0.06</v>
      </c>
      <c r="CP19" s="18">
        <f t="shared" si="84"/>
        <v>0.2</v>
      </c>
      <c r="CQ19" s="18">
        <f t="shared" si="85"/>
        <v>0.3</v>
      </c>
      <c r="CR19" s="18">
        <f t="shared" si="86"/>
        <v>1.4999999999999999E-2</v>
      </c>
      <c r="CS19" s="18">
        <f t="shared" si="87"/>
        <v>0.2</v>
      </c>
      <c r="CT19" s="18">
        <f t="shared" si="99"/>
        <v>5.7148416000000002E-3</v>
      </c>
      <c r="CU19" s="18">
        <f t="shared" si="100"/>
        <v>4.8844800000000005E-4</v>
      </c>
      <c r="CV19" s="18">
        <f t="shared" si="101"/>
        <v>3.6633600000000005E-3</v>
      </c>
      <c r="CW19" s="18">
        <f t="shared" si="102"/>
        <v>5.4950399999999995E-5</v>
      </c>
      <c r="CX19" s="18">
        <f t="shared" si="103"/>
        <v>0</v>
      </c>
      <c r="CY19">
        <f t="shared" si="88"/>
        <v>0.99216000000000015</v>
      </c>
      <c r="CZ19" s="18">
        <f t="shared" si="104"/>
        <v>4.3624512000000006</v>
      </c>
      <c r="DA19">
        <f t="shared" ref="DA19" si="150">SUM(CZ19:CZ22)</f>
        <v>6.2856477331200002</v>
      </c>
      <c r="DB19">
        <f t="shared" si="22"/>
        <v>4600</v>
      </c>
      <c r="DC19" s="18">
        <f t="shared" si="105"/>
        <v>0.3</v>
      </c>
      <c r="DD19" s="18">
        <f t="shared" si="106"/>
        <v>0</v>
      </c>
      <c r="DE19" s="18">
        <f t="shared" si="107"/>
        <v>0</v>
      </c>
      <c r="DF19" s="18">
        <f t="shared" si="108"/>
        <v>0.3</v>
      </c>
      <c r="DG19" s="18">
        <f t="shared" si="109"/>
        <v>0</v>
      </c>
      <c r="DH19" s="18">
        <f t="shared" si="110"/>
        <v>0.4</v>
      </c>
      <c r="DI19">
        <f t="shared" si="111"/>
        <v>1380</v>
      </c>
      <c r="DJ19">
        <f t="shared" si="112"/>
        <v>0</v>
      </c>
      <c r="DK19">
        <f t="shared" si="113"/>
        <v>0</v>
      </c>
      <c r="DL19">
        <f t="shared" si="114"/>
        <v>1380</v>
      </c>
      <c r="DM19">
        <f t="shared" si="115"/>
        <v>0</v>
      </c>
      <c r="DN19">
        <f t="shared" si="116"/>
        <v>1840</v>
      </c>
      <c r="DO19" s="6">
        <f>Constants!$C$10</f>
        <v>0.55000000000000004</v>
      </c>
      <c r="DP19" s="6">
        <f>Constants!$C$11</f>
        <v>0.2</v>
      </c>
      <c r="DQ19" s="6">
        <f>Constants!$C$12</f>
        <v>0.3</v>
      </c>
      <c r="DR19" s="6">
        <f>Constants!$C$13</f>
        <v>0</v>
      </c>
      <c r="DS19" s="6">
        <f>Constants!$C$14</f>
        <v>0.125</v>
      </c>
      <c r="DT19" s="6">
        <f>Constants!$C$15</f>
        <v>0.25</v>
      </c>
      <c r="DU19" s="6">
        <f>Constants!$D$10</f>
        <v>0</v>
      </c>
      <c r="DV19" s="6">
        <f>Constants!$D$11</f>
        <v>5.0000000000000001E-3</v>
      </c>
      <c r="DW19" s="6">
        <f>Constants!$D$12</f>
        <v>0.02</v>
      </c>
      <c r="DX19" s="6">
        <f>Constants!$D$13</f>
        <v>0</v>
      </c>
      <c r="DY19" s="6">
        <f>Constants!$D$14</f>
        <v>0.01</v>
      </c>
      <c r="DZ19" s="6">
        <f>Constants!$D$15</f>
        <v>2E-3</v>
      </c>
      <c r="EA19">
        <f>Constants!$B$23</f>
        <v>1.57</v>
      </c>
      <c r="EB19" s="18">
        <f t="shared" si="117"/>
        <v>0</v>
      </c>
      <c r="EC19" s="18">
        <f t="shared" si="118"/>
        <v>0</v>
      </c>
      <c r="ED19" s="18">
        <f t="shared" si="119"/>
        <v>0</v>
      </c>
      <c r="EE19" s="18">
        <f t="shared" si="120"/>
        <v>0</v>
      </c>
      <c r="EF19" s="18">
        <f t="shared" si="121"/>
        <v>0</v>
      </c>
      <c r="EG19" s="18">
        <f t="shared" si="122"/>
        <v>5.7776000000000005</v>
      </c>
      <c r="EH19">
        <f t="shared" si="123"/>
        <v>620.99999999999989</v>
      </c>
      <c r="EI19">
        <f t="shared" si="124"/>
        <v>0</v>
      </c>
      <c r="EJ19">
        <f t="shared" si="125"/>
        <v>1380</v>
      </c>
      <c r="EK19">
        <f t="shared" si="126"/>
        <v>0</v>
      </c>
      <c r="EL19">
        <f t="shared" si="127"/>
        <v>1376.32</v>
      </c>
      <c r="EM19">
        <f t="shared" si="128"/>
        <v>1104</v>
      </c>
      <c r="EN19">
        <f t="shared" si="129"/>
        <v>688.16</v>
      </c>
      <c r="EO19">
        <f t="shared" si="130"/>
        <v>620.99999999999989</v>
      </c>
      <c r="EP19">
        <f t="shared" si="131"/>
        <v>276</v>
      </c>
      <c r="EQ19">
        <f t="shared" si="132"/>
        <v>688.16</v>
      </c>
      <c r="ER19">
        <f t="shared" si="133"/>
        <v>0</v>
      </c>
      <c r="ES19">
        <f t="shared" si="134"/>
        <v>5.402056</v>
      </c>
      <c r="ET19">
        <f t="shared" si="135"/>
        <v>0</v>
      </c>
      <c r="EU19">
        <f t="shared" si="136"/>
        <v>0.86664000000000008</v>
      </c>
      <c r="EV19">
        <f t="shared" si="137"/>
        <v>0</v>
      </c>
      <c r="EW19" s="18">
        <f t="shared" si="56"/>
        <v>1.2046296000000001E-2</v>
      </c>
      <c r="EX19">
        <f>SUM(EW19:EW22)</f>
        <v>0.13963039229200003</v>
      </c>
      <c r="EY19" s="18">
        <f t="shared" si="138"/>
        <v>759.00000000000011</v>
      </c>
      <c r="EZ19" s="18">
        <f t="shared" si="139"/>
        <v>0</v>
      </c>
      <c r="FA19" s="18">
        <f t="shared" si="140"/>
        <v>0</v>
      </c>
      <c r="FB19" s="18">
        <f t="shared" si="141"/>
        <v>0</v>
      </c>
      <c r="FC19" s="18">
        <f t="shared" si="142"/>
        <v>0</v>
      </c>
      <c r="FD19" s="18">
        <f t="shared" si="143"/>
        <v>460</v>
      </c>
      <c r="FE19" s="18">
        <f t="shared" si="144"/>
        <v>607.20000000000005</v>
      </c>
      <c r="FF19" s="18">
        <f t="shared" si="145"/>
        <v>137.63200000000001</v>
      </c>
      <c r="FG19" s="18">
        <f t="shared" si="146"/>
        <v>0</v>
      </c>
      <c r="FH19" s="18">
        <f t="shared" si="147"/>
        <v>69</v>
      </c>
      <c r="FI19" s="18">
        <f t="shared" si="148"/>
        <v>0</v>
      </c>
      <c r="FJ19" s="18">
        <f t="shared" si="68"/>
        <v>2032.8320000000001</v>
      </c>
      <c r="FK19" s="18">
        <f>_xlfn.XLOOKUP(C19, Constants!$D$19:$D$23, Constants!$E$19:$E$23)</f>
        <v>1.8E-3</v>
      </c>
      <c r="FL19">
        <f t="shared" si="69"/>
        <v>5.7447832319999998E-3</v>
      </c>
      <c r="FM19">
        <f t="shared" ref="FM19" si="151">SUM(FL19:FL22)</f>
        <v>1.1077773228864E-2</v>
      </c>
      <c r="FN19" s="18">
        <f>Constants!$B$24</f>
        <v>1.0999999999999999E-2</v>
      </c>
      <c r="FO19" s="18">
        <f t="shared" si="149"/>
        <v>1</v>
      </c>
      <c r="FP19">
        <f>Constants!$B$25</f>
        <v>0.02</v>
      </c>
      <c r="FQ19">
        <f t="shared" si="8"/>
        <v>0</v>
      </c>
      <c r="FR19" s="18">
        <f t="shared" si="9"/>
        <v>0</v>
      </c>
      <c r="FS19">
        <f t="shared" ref="FS19" si="152">SUM(FR19:FR22)/1000</f>
        <v>7.9856480000000004E-4</v>
      </c>
    </row>
    <row r="20" spans="1:175" x14ac:dyDescent="0.2">
      <c r="A20" t="s">
        <v>39</v>
      </c>
      <c r="C20" t="s">
        <v>77</v>
      </c>
      <c r="D20" t="b">
        <v>1</v>
      </c>
      <c r="E20" t="s">
        <v>26</v>
      </c>
      <c r="F20">
        <v>233</v>
      </c>
      <c r="G20">
        <v>100</v>
      </c>
      <c r="K20">
        <v>0.3</v>
      </c>
      <c r="N20">
        <v>0.3</v>
      </c>
      <c r="P20">
        <v>0.4</v>
      </c>
      <c r="Q20" t="b">
        <v>0</v>
      </c>
      <c r="T20" t="b">
        <v>0</v>
      </c>
      <c r="W20" t="b">
        <v>0</v>
      </c>
      <c r="Z20" s="23"/>
      <c r="AB20">
        <v>1</v>
      </c>
      <c r="AF20" s="20"/>
      <c r="AJ20" s="21">
        <v>0.8</v>
      </c>
      <c r="AL20" s="20"/>
      <c r="AM20">
        <v>0.2</v>
      </c>
      <c r="AU20">
        <v>0.5</v>
      </c>
      <c r="AW20" s="20"/>
      <c r="AX20">
        <v>0.5</v>
      </c>
      <c r="AY20" s="21">
        <f>IF(H20&lt;&gt;"", H20, _xlfn.XLOOKUP($E20,Constants!$A$3:$A$6, Constants!B$3:B$6))</f>
        <v>2.62</v>
      </c>
      <c r="AZ20">
        <f>IF(I20&lt;&gt;"", I20, _xlfn.XLOOKUP($E20,Constants!$A$3:$A$6, Constants!C$3:C$6))</f>
        <v>0.46</v>
      </c>
      <c r="BA20">
        <f>IF(J20&lt;&gt;"", J20, _xlfn.XLOOKUP($E20,Constants!$A$3:$A$6, Constants!D$3:D$6))</f>
        <v>4.9000000000000002E-2</v>
      </c>
      <c r="BB20">
        <f>IF(R20&lt;&gt;"", R20, IF(Q20, Constants!$B$19, 0))</f>
        <v>0</v>
      </c>
      <c r="BC20">
        <f>IF(U20&lt;&gt;"", U20,  IF(T20, Constants!$B$19, 0))</f>
        <v>0</v>
      </c>
      <c r="BD20">
        <f>IF(X20&lt;&gt;"", X20,  IF(W20, Constants!$B$19, 0))</f>
        <v>0</v>
      </c>
      <c r="BE20">
        <f>IF(S20&lt;&gt;"", S20, IF(Q20, Constants!$B$20, 0))</f>
        <v>0</v>
      </c>
      <c r="BF20">
        <f>IF(V20&lt;&gt;"", V20, IF(T20, Constants!$B$20, 0))</f>
        <v>0</v>
      </c>
      <c r="BG20">
        <f>IF(Y20&lt;&gt;"", Y20,  IF(W20, Constants!$B$20, 0))</f>
        <v>0</v>
      </c>
      <c r="BH20">
        <f t="shared" si="92"/>
        <v>0.3</v>
      </c>
      <c r="BI20">
        <f t="shared" si="93"/>
        <v>0</v>
      </c>
      <c r="BJ20">
        <f t="shared" si="94"/>
        <v>0</v>
      </c>
      <c r="BK20">
        <f t="shared" si="95"/>
        <v>0.3</v>
      </c>
      <c r="BL20">
        <f t="shared" si="96"/>
        <v>0</v>
      </c>
      <c r="BM20">
        <f t="shared" si="97"/>
        <v>0.4</v>
      </c>
      <c r="BN20">
        <f>Constants!$B$21</f>
        <v>0.45</v>
      </c>
      <c r="BO20">
        <f>Constants!$B$22</f>
        <v>0.6784</v>
      </c>
      <c r="BP20">
        <f>_xlfn.XLOOKUP($A20,Constants!$F$9:$M$9,Constants!$F$10:$M$10)</f>
        <v>0.78</v>
      </c>
      <c r="BQ20">
        <f>_xlfn.XLOOKUP($A20,Constants!$F$9:$M$9,Constants!$F$11:$M$11)</f>
        <v>0.02</v>
      </c>
      <c r="BR20">
        <f>_xlfn.XLOOKUP($A20,Constants!$F$9:$M$9,Constants!$F$12:$M$12)</f>
        <v>0.03</v>
      </c>
      <c r="BS20">
        <f>_xlfn.XLOOKUP($A20,Constants!$F$9:$M$9,Constants!$F$13:$M$13)</f>
        <v>0.1</v>
      </c>
      <c r="BT20">
        <f>_xlfn.XLOOKUP($A20,Constants!$F$9:$M$9,Constants!$F$14:$M$14)</f>
        <v>0.04</v>
      </c>
      <c r="BU20">
        <f>_xlfn.XLOOKUP($A20,Constants!$F$9:$M$9,Constants!$F$15:$M$15)</f>
        <v>0.03</v>
      </c>
      <c r="BV20">
        <f>_xlfn.XLOOKUP($A20,Constants!$F$9:$M$9,Constants!$F$16:$M$16)</f>
        <v>0</v>
      </c>
      <c r="BW20">
        <f t="shared" si="71"/>
        <v>3.2860339200000005E-2</v>
      </c>
      <c r="BX20">
        <f t="shared" si="72"/>
        <v>0</v>
      </c>
      <c r="BY20">
        <f t="shared" si="98"/>
        <v>0</v>
      </c>
      <c r="BZ20">
        <f t="shared" si="73"/>
        <v>4.2128640000000011E-3</v>
      </c>
      <c r="CA20">
        <f t="shared" si="74"/>
        <v>0</v>
      </c>
      <c r="CB20">
        <f t="shared" si="75"/>
        <v>1.6851456000000003E-3</v>
      </c>
      <c r="CC20">
        <f t="shared" si="76"/>
        <v>0.90306952704000021</v>
      </c>
      <c r="CD20">
        <f>Constants!$E$10</f>
        <v>0</v>
      </c>
      <c r="CE20">
        <f>Constants!$E$11</f>
        <v>0</v>
      </c>
      <c r="CF20">
        <f>Constants!$E$13</f>
        <v>0.75</v>
      </c>
      <c r="CG20">
        <f>Constants!$E$14</f>
        <v>0.05</v>
      </c>
      <c r="CH20">
        <f>Constants!$E$15</f>
        <v>0</v>
      </c>
      <c r="CI20">
        <f t="shared" si="77"/>
        <v>0.3</v>
      </c>
      <c r="CJ20">
        <f t="shared" si="78"/>
        <v>0</v>
      </c>
      <c r="CK20">
        <f t="shared" si="79"/>
        <v>7.4999999999999997E-2</v>
      </c>
      <c r="CL20">
        <f t="shared" si="80"/>
        <v>0</v>
      </c>
      <c r="CM20">
        <f t="shared" si="81"/>
        <v>0.4</v>
      </c>
      <c r="CN20">
        <f t="shared" si="82"/>
        <v>0</v>
      </c>
      <c r="CO20">
        <f t="shared" si="83"/>
        <v>0.06</v>
      </c>
      <c r="CP20">
        <f t="shared" si="84"/>
        <v>0.2</v>
      </c>
      <c r="CQ20">
        <f t="shared" si="85"/>
        <v>0.3</v>
      </c>
      <c r="CR20">
        <f t="shared" si="86"/>
        <v>1.4999999999999999E-2</v>
      </c>
      <c r="CS20">
        <f t="shared" si="87"/>
        <v>0.2</v>
      </c>
      <c r="CT20">
        <f t="shared" si="99"/>
        <v>6.5720678400000001E-3</v>
      </c>
      <c r="CU20">
        <f t="shared" si="100"/>
        <v>5.6171520000000003E-4</v>
      </c>
      <c r="CV20">
        <f t="shared" si="101"/>
        <v>4.2128640000000002E-3</v>
      </c>
      <c r="CW20">
        <f t="shared" si="102"/>
        <v>6.319296E-5</v>
      </c>
      <c r="CX20">
        <f t="shared" si="103"/>
        <v>0</v>
      </c>
      <c r="CY20">
        <f t="shared" si="88"/>
        <v>0.26584927200000003</v>
      </c>
      <c r="CZ20">
        <f t="shared" si="104"/>
        <v>1.1689187990400003</v>
      </c>
      <c r="DB20">
        <f t="shared" si="22"/>
        <v>1141.7</v>
      </c>
      <c r="DC20">
        <f t="shared" si="105"/>
        <v>0.3</v>
      </c>
      <c r="DD20">
        <f t="shared" si="106"/>
        <v>0</v>
      </c>
      <c r="DE20">
        <f t="shared" si="107"/>
        <v>0</v>
      </c>
      <c r="DF20">
        <f t="shared" si="108"/>
        <v>0.3</v>
      </c>
      <c r="DG20">
        <f t="shared" si="109"/>
        <v>0</v>
      </c>
      <c r="DH20">
        <f t="shared" si="110"/>
        <v>0.4</v>
      </c>
      <c r="DI20">
        <f t="shared" si="111"/>
        <v>342.51</v>
      </c>
      <c r="DJ20">
        <f t="shared" si="112"/>
        <v>0</v>
      </c>
      <c r="DK20">
        <f t="shared" si="113"/>
        <v>0</v>
      </c>
      <c r="DL20">
        <f t="shared" si="114"/>
        <v>342.51</v>
      </c>
      <c r="DM20">
        <f t="shared" si="115"/>
        <v>0</v>
      </c>
      <c r="DN20">
        <f t="shared" si="116"/>
        <v>456.68000000000006</v>
      </c>
      <c r="DO20" s="6">
        <f>Constants!$C$10</f>
        <v>0.55000000000000004</v>
      </c>
      <c r="DP20" s="6">
        <f>Constants!$C$11</f>
        <v>0.2</v>
      </c>
      <c r="DQ20" s="6">
        <f>Constants!$C$12</f>
        <v>0.3</v>
      </c>
      <c r="DR20" s="6">
        <f>Constants!$C$13</f>
        <v>0</v>
      </c>
      <c r="DS20" s="6">
        <f>Constants!$C$14</f>
        <v>0.125</v>
      </c>
      <c r="DT20" s="6">
        <f>Constants!$C$15</f>
        <v>0.25</v>
      </c>
      <c r="DU20" s="6">
        <f>Constants!$D$10</f>
        <v>0</v>
      </c>
      <c r="DV20" s="6">
        <f>Constants!$D$11</f>
        <v>5.0000000000000001E-3</v>
      </c>
      <c r="DW20" s="6">
        <f>Constants!$D$12</f>
        <v>0.02</v>
      </c>
      <c r="DX20" s="6">
        <f>Constants!$D$13</f>
        <v>0</v>
      </c>
      <c r="DY20" s="6">
        <f>Constants!$D$14</f>
        <v>0.01</v>
      </c>
      <c r="DZ20" s="6">
        <f>Constants!$D$15</f>
        <v>2E-3</v>
      </c>
      <c r="EA20">
        <f>Constants!$B$23</f>
        <v>1.57</v>
      </c>
      <c r="EB20">
        <f t="shared" si="117"/>
        <v>0</v>
      </c>
      <c r="EC20">
        <f t="shared" si="118"/>
        <v>0</v>
      </c>
      <c r="ED20">
        <f t="shared" si="119"/>
        <v>0</v>
      </c>
      <c r="EE20">
        <f t="shared" si="120"/>
        <v>0</v>
      </c>
      <c r="EF20">
        <f t="shared" si="121"/>
        <v>0</v>
      </c>
      <c r="EG20">
        <f t="shared" si="122"/>
        <v>1.4339752000000003</v>
      </c>
      <c r="EH20">
        <f t="shared" si="123"/>
        <v>154.12949999999998</v>
      </c>
      <c r="EI20">
        <f t="shared" si="124"/>
        <v>0</v>
      </c>
      <c r="EJ20">
        <f t="shared" si="125"/>
        <v>342.51</v>
      </c>
      <c r="EK20">
        <f t="shared" si="126"/>
        <v>0</v>
      </c>
      <c r="EL20">
        <f t="shared" si="127"/>
        <v>341.59664000000004</v>
      </c>
      <c r="EM20">
        <f t="shared" si="128"/>
        <v>274.00799999999998</v>
      </c>
      <c r="EN20">
        <f t="shared" si="129"/>
        <v>170.79832000000002</v>
      </c>
      <c r="EO20">
        <f t="shared" si="130"/>
        <v>154.12949999999998</v>
      </c>
      <c r="EP20">
        <f t="shared" si="131"/>
        <v>68.501999999999995</v>
      </c>
      <c r="EQ20">
        <f t="shared" si="132"/>
        <v>170.79832000000002</v>
      </c>
      <c r="ER20">
        <f t="shared" si="133"/>
        <v>0</v>
      </c>
      <c r="ES20">
        <f t="shared" si="134"/>
        <v>1.3407668120000003</v>
      </c>
      <c r="ET20">
        <f t="shared" si="135"/>
        <v>0</v>
      </c>
      <c r="EU20">
        <f t="shared" si="136"/>
        <v>0.21509628</v>
      </c>
      <c r="EV20">
        <f t="shared" si="137"/>
        <v>0</v>
      </c>
      <c r="EW20">
        <f t="shared" si="56"/>
        <v>2.9898382920000009E-3</v>
      </c>
      <c r="EY20">
        <f t="shared" si="138"/>
        <v>188.38050000000001</v>
      </c>
      <c r="EZ20">
        <f t="shared" si="139"/>
        <v>0</v>
      </c>
      <c r="FA20">
        <f t="shared" si="140"/>
        <v>0</v>
      </c>
      <c r="FB20">
        <f t="shared" si="141"/>
        <v>0</v>
      </c>
      <c r="FC20">
        <f t="shared" si="142"/>
        <v>0</v>
      </c>
      <c r="FD20">
        <f t="shared" si="143"/>
        <v>114.17000000000002</v>
      </c>
      <c r="FE20">
        <f t="shared" si="144"/>
        <v>150.70439999999999</v>
      </c>
      <c r="FF20">
        <f t="shared" si="145"/>
        <v>34.159664000000006</v>
      </c>
      <c r="FG20">
        <f t="shared" si="146"/>
        <v>0</v>
      </c>
      <c r="FH20">
        <f t="shared" si="147"/>
        <v>17.125499999999999</v>
      </c>
      <c r="FI20">
        <f t="shared" si="148"/>
        <v>0</v>
      </c>
      <c r="FJ20">
        <f t="shared" si="68"/>
        <v>504.54006400000003</v>
      </c>
      <c r="FK20">
        <f>_xlfn.XLOOKUP(C20, Constants!$D$19:$D$23, Constants!$E$19:$E$23)</f>
        <v>1.8E-3</v>
      </c>
      <c r="FL20">
        <f t="shared" si="69"/>
        <v>1.4258302208640002E-3</v>
      </c>
      <c r="FN20">
        <f>Constants!$B$24</f>
        <v>1.0999999999999999E-2</v>
      </c>
      <c r="FO20">
        <f t="shared" si="149"/>
        <v>1</v>
      </c>
      <c r="FP20">
        <f>Constants!$B$25</f>
        <v>0.02</v>
      </c>
      <c r="FQ20">
        <f t="shared" si="8"/>
        <v>0</v>
      </c>
      <c r="FR20">
        <f t="shared" si="9"/>
        <v>0</v>
      </c>
    </row>
    <row r="21" spans="1:175" x14ac:dyDescent="0.2">
      <c r="A21" t="s">
        <v>39</v>
      </c>
      <c r="C21" t="s">
        <v>77</v>
      </c>
      <c r="D21" t="b">
        <v>1</v>
      </c>
      <c r="E21" t="s">
        <v>27</v>
      </c>
      <c r="F21">
        <v>923</v>
      </c>
      <c r="G21">
        <v>100</v>
      </c>
      <c r="M21">
        <v>0.5</v>
      </c>
      <c r="O21">
        <v>0.5</v>
      </c>
      <c r="Q21" t="b">
        <v>0</v>
      </c>
      <c r="T21" t="b">
        <v>0</v>
      </c>
      <c r="W21" t="b">
        <v>0</v>
      </c>
      <c r="Z21" s="23"/>
      <c r="AF21" s="20"/>
      <c r="AL21" s="20"/>
      <c r="AP21">
        <v>1</v>
      </c>
      <c r="AW21" s="20"/>
      <c r="AY21" s="21">
        <f>IF(H21&lt;&gt;"", H21, _xlfn.XLOOKUP($E21,Constants!$A$3:$A$6, Constants!B$3:B$6))</f>
        <v>2.5</v>
      </c>
      <c r="AZ21">
        <f>IF(I21&lt;&gt;"", I21, _xlfn.XLOOKUP($E21,Constants!$A$3:$A$6, Constants!C$3:C$6))</f>
        <v>0.55000000000000004</v>
      </c>
      <c r="BA21">
        <f>IF(J21&lt;&gt;"", J21, _xlfn.XLOOKUP($E21,Constants!$A$3:$A$6, Constants!D$3:D$6))</f>
        <v>4.5999999999999999E-2</v>
      </c>
      <c r="BB21">
        <f>IF(R21&lt;&gt;"", R21, IF(Q21, Constants!$B$19, 0))</f>
        <v>0</v>
      </c>
      <c r="BC21">
        <f>IF(U21&lt;&gt;"", U21,  IF(T21, Constants!$B$19, 0))</f>
        <v>0</v>
      </c>
      <c r="BD21">
        <f>IF(X21&lt;&gt;"", X21,  IF(W21, Constants!$B$19, 0))</f>
        <v>0</v>
      </c>
      <c r="BE21">
        <f>IF(S21&lt;&gt;"", S21, IF(Q21, Constants!$B$20, 0))</f>
        <v>0</v>
      </c>
      <c r="BF21">
        <f>IF(V21&lt;&gt;"", V21, IF(T21, Constants!$B$20, 0))</f>
        <v>0</v>
      </c>
      <c r="BG21">
        <f>IF(Y21&lt;&gt;"", Y21,  IF(W21, Constants!$B$20, 0))</f>
        <v>0</v>
      </c>
      <c r="BH21">
        <f t="shared" si="92"/>
        <v>0</v>
      </c>
      <c r="BI21">
        <f t="shared" si="93"/>
        <v>0</v>
      </c>
      <c r="BJ21">
        <f t="shared" si="94"/>
        <v>0.5</v>
      </c>
      <c r="BK21">
        <f t="shared" si="95"/>
        <v>0</v>
      </c>
      <c r="BL21">
        <f t="shared" si="96"/>
        <v>0.5</v>
      </c>
      <c r="BM21">
        <f t="shared" si="97"/>
        <v>0</v>
      </c>
      <c r="BN21">
        <f>Constants!$B$21</f>
        <v>0.45</v>
      </c>
      <c r="BO21">
        <f>Constants!$B$22</f>
        <v>0.6784</v>
      </c>
      <c r="BP21">
        <f>_xlfn.XLOOKUP($A21,Constants!$F$9:$M$9,Constants!$F$10:$M$10)</f>
        <v>0.78</v>
      </c>
      <c r="BQ21">
        <f>_xlfn.XLOOKUP($A21,Constants!$F$9:$M$9,Constants!$F$11:$M$11)</f>
        <v>0.02</v>
      </c>
      <c r="BR21">
        <f>_xlfn.XLOOKUP($A21,Constants!$F$9:$M$9,Constants!$F$12:$M$12)</f>
        <v>0.03</v>
      </c>
      <c r="BS21">
        <f>_xlfn.XLOOKUP($A21,Constants!$F$9:$M$9,Constants!$F$13:$M$13)</f>
        <v>0.1</v>
      </c>
      <c r="BT21">
        <f>_xlfn.XLOOKUP($A21,Constants!$F$9:$M$9,Constants!$F$14:$M$14)</f>
        <v>0.04</v>
      </c>
      <c r="BU21">
        <f>_xlfn.XLOOKUP($A21,Constants!$F$9:$M$9,Constants!$F$15:$M$15)</f>
        <v>0.03</v>
      </c>
      <c r="BV21">
        <f>_xlfn.XLOOKUP($A21,Constants!$F$9:$M$9,Constants!$F$16:$M$16)</f>
        <v>0</v>
      </c>
      <c r="BW21">
        <f t="shared" si="71"/>
        <v>0</v>
      </c>
      <c r="BX21">
        <f t="shared" si="72"/>
        <v>0</v>
      </c>
      <c r="BY21">
        <f t="shared" si="98"/>
        <v>2.51856E-3</v>
      </c>
      <c r="BZ21">
        <f t="shared" si="73"/>
        <v>0</v>
      </c>
      <c r="CA21">
        <f t="shared" si="74"/>
        <v>3.3580800000000003E-3</v>
      </c>
      <c r="CB21">
        <f t="shared" si="75"/>
        <v>0</v>
      </c>
      <c r="CC21">
        <f t="shared" si="76"/>
        <v>0.54241387200000002</v>
      </c>
      <c r="CD21">
        <f>Constants!$E$10</f>
        <v>0</v>
      </c>
      <c r="CE21">
        <f>Constants!$E$11</f>
        <v>0</v>
      </c>
      <c r="CF21">
        <f>Constants!$E$13</f>
        <v>0.75</v>
      </c>
      <c r="CG21">
        <f>Constants!$E$14</f>
        <v>0.05</v>
      </c>
      <c r="CH21">
        <f>Constants!$E$15</f>
        <v>0</v>
      </c>
      <c r="CI21">
        <f t="shared" si="77"/>
        <v>0</v>
      </c>
      <c r="CJ21">
        <f t="shared" si="78"/>
        <v>0</v>
      </c>
      <c r="CK21">
        <f t="shared" si="79"/>
        <v>0</v>
      </c>
      <c r="CL21">
        <f t="shared" si="80"/>
        <v>0.47499999999999998</v>
      </c>
      <c r="CM21">
        <f t="shared" si="81"/>
        <v>0</v>
      </c>
      <c r="CN21">
        <f t="shared" si="82"/>
        <v>0</v>
      </c>
      <c r="CO21">
        <f t="shared" si="83"/>
        <v>0</v>
      </c>
      <c r="CP21">
        <f t="shared" si="84"/>
        <v>0.47499999999999998</v>
      </c>
      <c r="CQ21">
        <f t="shared" si="85"/>
        <v>0</v>
      </c>
      <c r="CR21">
        <f t="shared" si="86"/>
        <v>0</v>
      </c>
      <c r="CS21">
        <f t="shared" si="87"/>
        <v>0</v>
      </c>
      <c r="CT21">
        <f t="shared" si="99"/>
        <v>0</v>
      </c>
      <c r="CU21">
        <f t="shared" si="100"/>
        <v>1.5950880000000001E-3</v>
      </c>
      <c r="CV21">
        <f t="shared" si="101"/>
        <v>0</v>
      </c>
      <c r="CW21">
        <f t="shared" si="102"/>
        <v>0</v>
      </c>
      <c r="CX21">
        <f t="shared" si="103"/>
        <v>0</v>
      </c>
      <c r="CY21">
        <f t="shared" si="88"/>
        <v>0.14722662240000003</v>
      </c>
      <c r="CZ21">
        <f t="shared" si="104"/>
        <v>0.68964049440000008</v>
      </c>
      <c r="DB21">
        <f t="shared" si="22"/>
        <v>4245.8</v>
      </c>
      <c r="DC21">
        <f t="shared" si="105"/>
        <v>0</v>
      </c>
      <c r="DD21">
        <f t="shared" si="106"/>
        <v>0</v>
      </c>
      <c r="DE21">
        <f t="shared" si="107"/>
        <v>0.5</v>
      </c>
      <c r="DF21">
        <f t="shared" si="108"/>
        <v>0</v>
      </c>
      <c r="DG21">
        <f t="shared" si="109"/>
        <v>0.5</v>
      </c>
      <c r="DH21">
        <f t="shared" si="110"/>
        <v>0</v>
      </c>
      <c r="DI21">
        <f t="shared" si="111"/>
        <v>0</v>
      </c>
      <c r="DJ21">
        <f t="shared" si="112"/>
        <v>0</v>
      </c>
      <c r="DK21">
        <f t="shared" si="113"/>
        <v>2122.9</v>
      </c>
      <c r="DL21">
        <f t="shared" si="114"/>
        <v>0</v>
      </c>
      <c r="DM21">
        <f t="shared" si="115"/>
        <v>2122.9</v>
      </c>
      <c r="DN21">
        <f t="shared" si="116"/>
        <v>0</v>
      </c>
      <c r="DO21" s="6">
        <f>Constants!$C$10</f>
        <v>0.55000000000000004</v>
      </c>
      <c r="DP21" s="6">
        <f>Constants!$C$11</f>
        <v>0.2</v>
      </c>
      <c r="DQ21" s="6">
        <f>Constants!$C$12</f>
        <v>0.3</v>
      </c>
      <c r="DR21" s="6">
        <f>Constants!$C$13</f>
        <v>0</v>
      </c>
      <c r="DS21" s="6">
        <f>Constants!$C$14</f>
        <v>0.125</v>
      </c>
      <c r="DT21" s="6">
        <f>Constants!$C$15</f>
        <v>0.25</v>
      </c>
      <c r="DU21" s="6">
        <f>Constants!$D$10</f>
        <v>0</v>
      </c>
      <c r="DV21" s="6">
        <f>Constants!$D$11</f>
        <v>5.0000000000000001E-3</v>
      </c>
      <c r="DW21" s="6">
        <f>Constants!$D$12</f>
        <v>0.02</v>
      </c>
      <c r="DX21" s="6">
        <f>Constants!$D$13</f>
        <v>0</v>
      </c>
      <c r="DY21" s="6">
        <f>Constants!$D$14</f>
        <v>0.01</v>
      </c>
      <c r="DZ21" s="6">
        <f>Constants!$D$15</f>
        <v>2E-3</v>
      </c>
      <c r="EA21">
        <f>Constants!$B$23</f>
        <v>1.57</v>
      </c>
      <c r="EB21">
        <f t="shared" si="117"/>
        <v>0</v>
      </c>
      <c r="EC21">
        <f t="shared" si="118"/>
        <v>0</v>
      </c>
      <c r="ED21">
        <f t="shared" si="119"/>
        <v>66.659060000000011</v>
      </c>
      <c r="EE21">
        <f t="shared" si="120"/>
        <v>0</v>
      </c>
      <c r="EF21">
        <f t="shared" si="121"/>
        <v>33.329530000000005</v>
      </c>
      <c r="EG21">
        <f t="shared" si="122"/>
        <v>0</v>
      </c>
      <c r="EH21">
        <f t="shared" si="123"/>
        <v>0</v>
      </c>
      <c r="EI21">
        <f t="shared" si="124"/>
        <v>0</v>
      </c>
      <c r="EJ21">
        <f t="shared" si="125"/>
        <v>0</v>
      </c>
      <c r="EK21">
        <f t="shared" si="126"/>
        <v>1836.3085000000001</v>
      </c>
      <c r="EL21">
        <f t="shared" si="127"/>
        <v>0</v>
      </c>
      <c r="EM21">
        <f t="shared" si="128"/>
        <v>0</v>
      </c>
      <c r="EN21">
        <f t="shared" si="129"/>
        <v>1836.3085000000001</v>
      </c>
      <c r="EO21">
        <f t="shared" si="130"/>
        <v>0</v>
      </c>
      <c r="EP21">
        <f t="shared" si="131"/>
        <v>0</v>
      </c>
      <c r="EQ21">
        <f t="shared" si="132"/>
        <v>0</v>
      </c>
      <c r="ER21">
        <f t="shared" si="133"/>
        <v>0</v>
      </c>
      <c r="ES21">
        <f t="shared" si="134"/>
        <v>14.415021725000003</v>
      </c>
      <c r="ET21">
        <f t="shared" si="135"/>
        <v>0</v>
      </c>
      <c r="EU21">
        <f t="shared" si="136"/>
        <v>0</v>
      </c>
      <c r="EV21">
        <f t="shared" si="137"/>
        <v>0</v>
      </c>
      <c r="EW21">
        <f t="shared" si="56"/>
        <v>0.11440361172500002</v>
      </c>
      <c r="EY21">
        <f t="shared" si="138"/>
        <v>0</v>
      </c>
      <c r="EZ21">
        <f t="shared" si="139"/>
        <v>0</v>
      </c>
      <c r="FA21">
        <f t="shared" si="140"/>
        <v>636.87</v>
      </c>
      <c r="FB21">
        <f t="shared" si="141"/>
        <v>0</v>
      </c>
      <c r="FC21">
        <f t="shared" si="142"/>
        <v>265.36250000000001</v>
      </c>
      <c r="FD21">
        <f t="shared" si="143"/>
        <v>0</v>
      </c>
      <c r="FE21">
        <f t="shared" si="144"/>
        <v>0</v>
      </c>
      <c r="FF21">
        <f t="shared" si="145"/>
        <v>367.26170000000002</v>
      </c>
      <c r="FG21">
        <f t="shared" si="146"/>
        <v>0</v>
      </c>
      <c r="FH21">
        <f t="shared" si="147"/>
        <v>0</v>
      </c>
      <c r="FI21">
        <f t="shared" si="148"/>
        <v>0</v>
      </c>
      <c r="FJ21">
        <f t="shared" si="68"/>
        <v>1269.4942000000001</v>
      </c>
      <c r="FK21">
        <f>_xlfn.XLOOKUP(C21, Constants!$D$19:$D$23, Constants!$E$19:$E$23)</f>
        <v>1.8E-3</v>
      </c>
      <c r="FL21">
        <f t="shared" si="69"/>
        <v>3.5875906092000002E-3</v>
      </c>
      <c r="FN21">
        <f>Constants!$B$24</f>
        <v>1.0999999999999999E-2</v>
      </c>
      <c r="FO21">
        <f t="shared" si="149"/>
        <v>1</v>
      </c>
      <c r="FP21">
        <f>Constants!$B$25</f>
        <v>0.02</v>
      </c>
      <c r="FQ21">
        <f t="shared" si="8"/>
        <v>42.458000000000006</v>
      </c>
      <c r="FR21">
        <f t="shared" si="9"/>
        <v>0.73324966000000003</v>
      </c>
    </row>
    <row r="22" spans="1:175" s="2" customFormat="1" x14ac:dyDescent="0.2">
      <c r="A22" s="2" t="s">
        <v>39</v>
      </c>
      <c r="C22" t="s">
        <v>77</v>
      </c>
      <c r="D22" s="2" t="b">
        <v>1</v>
      </c>
      <c r="E22" s="2" t="s">
        <v>28</v>
      </c>
      <c r="F22" s="2">
        <v>122</v>
      </c>
      <c r="G22" s="2">
        <v>100</v>
      </c>
      <c r="M22" s="2">
        <v>0.5</v>
      </c>
      <c r="O22" s="2">
        <v>0.5</v>
      </c>
      <c r="Q22" s="2" t="b">
        <v>0</v>
      </c>
      <c r="T22" s="2" t="b">
        <v>0</v>
      </c>
      <c r="W22" s="2" t="b">
        <v>0</v>
      </c>
      <c r="Z22" s="22"/>
      <c r="AE22" s="25"/>
      <c r="AF22" s="19"/>
      <c r="AJ22" s="25"/>
      <c r="AL22" s="19"/>
      <c r="AO22" s="25"/>
      <c r="AP22" s="2">
        <v>1</v>
      </c>
      <c r="AT22" s="25"/>
      <c r="AW22" s="19"/>
      <c r="AY22" s="25">
        <f>IF(H22&lt;&gt;"", H22, _xlfn.XLOOKUP($E22,Constants!$A$3:$A$6, Constants!B$3:B$6))</f>
        <v>1.71</v>
      </c>
      <c r="AZ22" s="2">
        <f>IF(I22&lt;&gt;"", I22, _xlfn.XLOOKUP($E22,Constants!$A$3:$A$6, Constants!C$3:C$6))</f>
        <v>0.39</v>
      </c>
      <c r="BA22" s="2">
        <f>IF(J22&lt;&gt;"", J22, _xlfn.XLOOKUP($E22,Constants!$A$3:$A$6, Constants!D$3:D$6))</f>
        <v>3.1E-2</v>
      </c>
      <c r="BB22" s="2">
        <f>IF(R22&lt;&gt;"", R22, IF(Q22, Constants!$B$19, 0))</f>
        <v>0</v>
      </c>
      <c r="BC22" s="2">
        <f>IF(U22&lt;&gt;"", U22,  IF(T22, Constants!$B$19, 0))</f>
        <v>0</v>
      </c>
      <c r="BD22" s="2">
        <f>IF(X22&lt;&gt;"", X22,  IF(W22, Constants!$B$19, 0))</f>
        <v>0</v>
      </c>
      <c r="BE22" s="2">
        <f>IF(S22&lt;&gt;"", S22, IF(Q22, Constants!$B$20, 0))</f>
        <v>0</v>
      </c>
      <c r="BF22" s="2">
        <f>IF(V22&lt;&gt;"", V22, IF(T22, Constants!$B$20, 0))</f>
        <v>0</v>
      </c>
      <c r="BG22" s="2">
        <f>IF(Y22&lt;&gt;"", Y22,  IF(W22, Constants!$B$20, 0))</f>
        <v>0</v>
      </c>
      <c r="BH22" s="2">
        <f t="shared" si="92"/>
        <v>0</v>
      </c>
      <c r="BI22" s="2">
        <f t="shared" si="93"/>
        <v>0</v>
      </c>
      <c r="BJ22" s="2">
        <f t="shared" si="94"/>
        <v>0.5</v>
      </c>
      <c r="BK22" s="2">
        <f t="shared" si="95"/>
        <v>0</v>
      </c>
      <c r="BL22" s="2">
        <f t="shared" si="96"/>
        <v>0.5</v>
      </c>
      <c r="BM22" s="2">
        <f t="shared" si="97"/>
        <v>0</v>
      </c>
      <c r="BN22" s="2">
        <f>Constants!$B$21</f>
        <v>0.45</v>
      </c>
      <c r="BO22" s="2">
        <f>Constants!$B$22</f>
        <v>0.6784</v>
      </c>
      <c r="BP22" s="2">
        <f>_xlfn.XLOOKUP($A22,Constants!$F$9:$M$9,Constants!$F$10:$M$10)</f>
        <v>0.78</v>
      </c>
      <c r="BQ22" s="2">
        <f>_xlfn.XLOOKUP($A22,Constants!$F$9:$M$9,Constants!$F$11:$M$11)</f>
        <v>0.02</v>
      </c>
      <c r="BR22" s="2">
        <f>_xlfn.XLOOKUP($A22,Constants!$F$9:$M$9,Constants!$F$12:$M$12)</f>
        <v>0.03</v>
      </c>
      <c r="BS22" s="2">
        <f>_xlfn.XLOOKUP($A22,Constants!$F$9:$M$9,Constants!$F$13:$M$13)</f>
        <v>0.1</v>
      </c>
      <c r="BT22" s="2">
        <f>_xlfn.XLOOKUP($A22,Constants!$F$9:$M$9,Constants!$F$14:$M$14)</f>
        <v>0.04</v>
      </c>
      <c r="BU22" s="2">
        <f>_xlfn.XLOOKUP($A22,Constants!$F$9:$M$9,Constants!$F$15:$M$15)</f>
        <v>0.03</v>
      </c>
      <c r="BV22" s="2">
        <f>_xlfn.XLOOKUP($A22,Constants!$F$9:$M$9,Constants!$F$16:$M$16)</f>
        <v>0</v>
      </c>
      <c r="BW22" s="2">
        <f t="shared" si="71"/>
        <v>0</v>
      </c>
      <c r="BX22" s="2">
        <f t="shared" si="72"/>
        <v>0</v>
      </c>
      <c r="BY22" s="2">
        <f t="shared" si="98"/>
        <v>1.7858880000000002E-3</v>
      </c>
      <c r="BZ22" s="2">
        <f t="shared" si="73"/>
        <v>0</v>
      </c>
      <c r="CA22" s="2">
        <f t="shared" si="74"/>
        <v>2.3811840000000002E-3</v>
      </c>
      <c r="CB22" s="2">
        <f t="shared" si="75"/>
        <v>0</v>
      </c>
      <c r="CC22" s="2">
        <f t="shared" si="76"/>
        <v>5.0838278400000013E-2</v>
      </c>
      <c r="CD22" s="2">
        <f>Constants!$E$10</f>
        <v>0</v>
      </c>
      <c r="CE22" s="2">
        <f>Constants!$E$11</f>
        <v>0</v>
      </c>
      <c r="CF22" s="2">
        <f>Constants!$E$13</f>
        <v>0.75</v>
      </c>
      <c r="CG22" s="2">
        <f>Constants!$E$14</f>
        <v>0.05</v>
      </c>
      <c r="CH22" s="2">
        <f>Constants!$E$15</f>
        <v>0</v>
      </c>
      <c r="CI22" s="2">
        <f t="shared" si="77"/>
        <v>0</v>
      </c>
      <c r="CJ22" s="2">
        <f t="shared" si="78"/>
        <v>0</v>
      </c>
      <c r="CK22" s="2">
        <f t="shared" si="79"/>
        <v>0</v>
      </c>
      <c r="CL22" s="2">
        <f t="shared" si="80"/>
        <v>0.47499999999999998</v>
      </c>
      <c r="CM22" s="2">
        <f t="shared" si="81"/>
        <v>0</v>
      </c>
      <c r="CN22" s="2">
        <f t="shared" si="82"/>
        <v>0</v>
      </c>
      <c r="CO22" s="2">
        <f t="shared" si="83"/>
        <v>0</v>
      </c>
      <c r="CP22" s="2">
        <f t="shared" si="84"/>
        <v>0.47499999999999998</v>
      </c>
      <c r="CQ22" s="2">
        <f t="shared" si="85"/>
        <v>0</v>
      </c>
      <c r="CR22" s="2">
        <f t="shared" si="86"/>
        <v>0</v>
      </c>
      <c r="CS22" s="2">
        <f t="shared" si="87"/>
        <v>0</v>
      </c>
      <c r="CT22" s="2">
        <f t="shared" si="99"/>
        <v>0</v>
      </c>
      <c r="CU22" s="2">
        <f t="shared" si="100"/>
        <v>1.1310624000000001E-3</v>
      </c>
      <c r="CV22" s="2">
        <f t="shared" si="101"/>
        <v>0</v>
      </c>
      <c r="CW22" s="2">
        <f t="shared" si="102"/>
        <v>0</v>
      </c>
      <c r="CX22" s="2">
        <f t="shared" si="103"/>
        <v>0</v>
      </c>
      <c r="CY22" s="2">
        <f t="shared" si="88"/>
        <v>1.3798961280000003E-2</v>
      </c>
      <c r="CZ22" s="2">
        <f t="shared" si="104"/>
        <v>6.4637239680000014E-2</v>
      </c>
      <c r="DB22" s="2">
        <f t="shared" si="22"/>
        <v>378.2</v>
      </c>
      <c r="DC22" s="2">
        <f t="shared" si="105"/>
        <v>0</v>
      </c>
      <c r="DD22" s="2">
        <f t="shared" si="106"/>
        <v>0</v>
      </c>
      <c r="DE22" s="2">
        <f t="shared" si="107"/>
        <v>0.5</v>
      </c>
      <c r="DF22" s="2">
        <f t="shared" si="108"/>
        <v>0</v>
      </c>
      <c r="DG22" s="2">
        <f t="shared" si="109"/>
        <v>0.5</v>
      </c>
      <c r="DH22" s="2">
        <f t="shared" si="110"/>
        <v>0</v>
      </c>
      <c r="DI22" s="2">
        <f t="shared" si="111"/>
        <v>0</v>
      </c>
      <c r="DJ22" s="2">
        <f t="shared" si="112"/>
        <v>0</v>
      </c>
      <c r="DK22" s="2">
        <f t="shared" si="113"/>
        <v>189.1</v>
      </c>
      <c r="DL22" s="2">
        <f t="shared" si="114"/>
        <v>0</v>
      </c>
      <c r="DM22" s="2">
        <f t="shared" si="115"/>
        <v>189.1</v>
      </c>
      <c r="DN22" s="2">
        <f t="shared" si="116"/>
        <v>0</v>
      </c>
      <c r="DO22" s="13">
        <f>Constants!$C$10</f>
        <v>0.55000000000000004</v>
      </c>
      <c r="DP22" s="13">
        <f>Constants!$C$11</f>
        <v>0.2</v>
      </c>
      <c r="DQ22" s="13">
        <f>Constants!$C$12</f>
        <v>0.3</v>
      </c>
      <c r="DR22" s="13">
        <f>Constants!$C$13</f>
        <v>0</v>
      </c>
      <c r="DS22" s="13">
        <f>Constants!$C$14</f>
        <v>0.125</v>
      </c>
      <c r="DT22" s="13">
        <f>Constants!$C$15</f>
        <v>0.25</v>
      </c>
      <c r="DU22" s="13">
        <f>Constants!$D$10</f>
        <v>0</v>
      </c>
      <c r="DV22" s="13">
        <f>Constants!$D$11</f>
        <v>5.0000000000000001E-3</v>
      </c>
      <c r="DW22" s="13">
        <f>Constants!$D$12</f>
        <v>0.02</v>
      </c>
      <c r="DX22" s="13">
        <f>Constants!$D$13</f>
        <v>0</v>
      </c>
      <c r="DY22" s="13">
        <f>Constants!$D$14</f>
        <v>0.01</v>
      </c>
      <c r="DZ22" s="13">
        <f>Constants!$D$15</f>
        <v>2E-3</v>
      </c>
      <c r="EA22" s="2">
        <f>Constants!$B$23</f>
        <v>1.57</v>
      </c>
      <c r="EB22" s="2">
        <f t="shared" si="117"/>
        <v>0</v>
      </c>
      <c r="EC22" s="2">
        <f t="shared" si="118"/>
        <v>0</v>
      </c>
      <c r="ED22" s="2">
        <f t="shared" si="119"/>
        <v>5.9377400000000007</v>
      </c>
      <c r="EE22" s="2">
        <f t="shared" si="120"/>
        <v>0</v>
      </c>
      <c r="EF22" s="2">
        <f t="shared" si="121"/>
        <v>2.9688700000000003</v>
      </c>
      <c r="EG22" s="2">
        <f t="shared" si="122"/>
        <v>0</v>
      </c>
      <c r="EH22" s="2">
        <f t="shared" si="123"/>
        <v>0</v>
      </c>
      <c r="EI22" s="2">
        <f t="shared" si="124"/>
        <v>0</v>
      </c>
      <c r="EJ22" s="2">
        <f t="shared" si="125"/>
        <v>0</v>
      </c>
      <c r="EK22" s="2">
        <f t="shared" si="126"/>
        <v>163.57149999999999</v>
      </c>
      <c r="EL22" s="2">
        <f t="shared" si="127"/>
        <v>0</v>
      </c>
      <c r="EM22" s="2">
        <f t="shared" si="128"/>
        <v>0</v>
      </c>
      <c r="EN22" s="2">
        <f t="shared" si="129"/>
        <v>163.57149999999999</v>
      </c>
      <c r="EO22" s="2">
        <f t="shared" si="130"/>
        <v>0</v>
      </c>
      <c r="EP22" s="2">
        <f t="shared" si="131"/>
        <v>0</v>
      </c>
      <c r="EQ22" s="2">
        <f t="shared" si="132"/>
        <v>0</v>
      </c>
      <c r="ER22" s="2">
        <f t="shared" si="133"/>
        <v>0</v>
      </c>
      <c r="ES22" s="2">
        <f t="shared" si="134"/>
        <v>1.2840362749999998</v>
      </c>
      <c r="ET22" s="2">
        <f t="shared" si="135"/>
        <v>0</v>
      </c>
      <c r="EU22" s="2">
        <f t="shared" si="136"/>
        <v>0</v>
      </c>
      <c r="EV22" s="2">
        <f t="shared" si="137"/>
        <v>0</v>
      </c>
      <c r="EW22" s="2">
        <f t="shared" si="56"/>
        <v>1.0190646275000001E-2</v>
      </c>
      <c r="EY22" s="2">
        <f t="shared" si="138"/>
        <v>0</v>
      </c>
      <c r="EZ22" s="2">
        <f t="shared" si="139"/>
        <v>0</v>
      </c>
      <c r="FA22" s="2">
        <f t="shared" si="140"/>
        <v>56.73</v>
      </c>
      <c r="FB22" s="2">
        <f t="shared" si="141"/>
        <v>0</v>
      </c>
      <c r="FC22" s="2">
        <f t="shared" si="142"/>
        <v>23.637499999999999</v>
      </c>
      <c r="FD22" s="2">
        <f t="shared" si="143"/>
        <v>0</v>
      </c>
      <c r="FE22" s="2">
        <f t="shared" si="144"/>
        <v>0</v>
      </c>
      <c r="FF22" s="2">
        <f t="shared" si="145"/>
        <v>32.714300000000001</v>
      </c>
      <c r="FG22" s="2">
        <f t="shared" si="146"/>
        <v>0</v>
      </c>
      <c r="FH22" s="2">
        <f t="shared" si="147"/>
        <v>0</v>
      </c>
      <c r="FI22" s="2">
        <f t="shared" si="148"/>
        <v>0</v>
      </c>
      <c r="FJ22" s="2">
        <f t="shared" si="68"/>
        <v>113.08179999999999</v>
      </c>
      <c r="FK22" s="2">
        <f>_xlfn.XLOOKUP(C22, Constants!$D$19:$D$23, Constants!$E$19:$E$23)</f>
        <v>1.8E-3</v>
      </c>
      <c r="FL22" s="2">
        <f t="shared" si="69"/>
        <v>3.1956916679999999E-4</v>
      </c>
      <c r="FN22" s="2">
        <f>Constants!$B$24</f>
        <v>1.0999999999999999E-2</v>
      </c>
      <c r="FO22" s="2">
        <f t="shared" si="149"/>
        <v>1</v>
      </c>
      <c r="FP22" s="2">
        <f>Constants!$B$25</f>
        <v>0.02</v>
      </c>
      <c r="FQ22" s="2">
        <f t="shared" si="8"/>
        <v>3.782</v>
      </c>
      <c r="FR22" s="2">
        <f t="shared" si="9"/>
        <v>6.5315140000000008E-2</v>
      </c>
    </row>
    <row r="23" spans="1:175" x14ac:dyDescent="0.2">
      <c r="A23" t="s">
        <v>40</v>
      </c>
      <c r="C23" t="s">
        <v>78</v>
      </c>
      <c r="D23" t="b">
        <v>0</v>
      </c>
      <c r="E23" t="s">
        <v>25</v>
      </c>
      <c r="F23">
        <v>750</v>
      </c>
      <c r="G23">
        <v>200</v>
      </c>
      <c r="K23">
        <v>0.3</v>
      </c>
      <c r="N23">
        <v>0.3</v>
      </c>
      <c r="P23">
        <v>0.4</v>
      </c>
      <c r="Q23" t="b">
        <v>0</v>
      </c>
      <c r="T23" t="b">
        <v>0</v>
      </c>
      <c r="W23" t="b">
        <v>0</v>
      </c>
      <c r="Z23" s="23"/>
      <c r="AA23" s="18">
        <v>0.1</v>
      </c>
      <c r="AB23" s="18">
        <v>0.2</v>
      </c>
      <c r="AC23" s="18">
        <v>0.3</v>
      </c>
      <c r="AD23" s="27">
        <v>0.4</v>
      </c>
      <c r="AE23" s="18">
        <v>0.1</v>
      </c>
      <c r="AF23" s="20"/>
      <c r="AG23" s="18">
        <v>0.2</v>
      </c>
      <c r="AH23" s="18">
        <v>0.3</v>
      </c>
      <c r="AI23" s="27">
        <v>0.4</v>
      </c>
      <c r="AJ23" s="18">
        <v>0.1</v>
      </c>
      <c r="AK23" s="18">
        <v>0.2</v>
      </c>
      <c r="AL23" s="20"/>
      <c r="AM23" s="18">
        <v>0.3</v>
      </c>
      <c r="AN23" s="27">
        <v>0.4</v>
      </c>
      <c r="AO23" s="21">
        <v>0.2</v>
      </c>
      <c r="AP23">
        <v>0.2</v>
      </c>
      <c r="AQ23">
        <v>0.2</v>
      </c>
      <c r="AR23">
        <v>0.2</v>
      </c>
      <c r="AS23">
        <v>0.2</v>
      </c>
      <c r="AT23" s="21">
        <v>0.2</v>
      </c>
      <c r="AU23">
        <v>0.2</v>
      </c>
      <c r="AV23">
        <v>0.2</v>
      </c>
      <c r="AW23" s="20"/>
      <c r="AX23">
        <v>0.2</v>
      </c>
      <c r="AY23" s="29">
        <f>IF(H23&lt;&gt;"", H23, _xlfn.XLOOKUP($E23,Constants!$A$3:$A$6, Constants!B$3:B$6))</f>
        <v>2.2999999999999998</v>
      </c>
      <c r="AZ23" s="18">
        <f>IF(I23&lt;&gt;"", I23, _xlfn.XLOOKUP($E23,Constants!$A$3:$A$6, Constants!C$3:C$6))</f>
        <v>0.4</v>
      </c>
      <c r="BA23" s="18">
        <f>IF(J23&lt;&gt;"", J23, _xlfn.XLOOKUP($E23,Constants!$A$3:$A$6, Constants!D$3:D$6))</f>
        <v>4.5999999999999999E-2</v>
      </c>
      <c r="BB23">
        <f>IF(R23&lt;&gt;"", R23, IF(Q23, Constants!$B$19, 0))</f>
        <v>0</v>
      </c>
      <c r="BC23">
        <f>IF(U23&lt;&gt;"", U23,  IF(T23, Constants!$B$19, 0))</f>
        <v>0</v>
      </c>
      <c r="BD23">
        <f>IF(X23&lt;&gt;"", X23,  IF(W23, Constants!$B$19, 0))</f>
        <v>0</v>
      </c>
      <c r="BE23" s="18">
        <f>IF(S23&lt;&gt;"", S23, IF(Q23, Constants!$B$20, 0))</f>
        <v>0</v>
      </c>
      <c r="BF23" s="18">
        <f>IF(V23&lt;&gt;"", V23, IF(T23, Constants!$B$20, 0))</f>
        <v>0</v>
      </c>
      <c r="BG23" s="18">
        <f>IF(Y23&lt;&gt;"", Y23,  IF(W23, Constants!$B$20, 0))</f>
        <v>0</v>
      </c>
      <c r="BH23">
        <f t="shared" si="92"/>
        <v>0.3</v>
      </c>
      <c r="BI23">
        <f t="shared" si="93"/>
        <v>0</v>
      </c>
      <c r="BJ23">
        <f t="shared" si="94"/>
        <v>0</v>
      </c>
      <c r="BK23">
        <f t="shared" si="95"/>
        <v>0.3</v>
      </c>
      <c r="BL23">
        <f t="shared" si="96"/>
        <v>0</v>
      </c>
      <c r="BM23">
        <f t="shared" si="97"/>
        <v>0.4</v>
      </c>
      <c r="BN23">
        <f>Constants!$B$21</f>
        <v>0.45</v>
      </c>
      <c r="BO23">
        <f>Constants!$B$22</f>
        <v>0.6784</v>
      </c>
      <c r="BP23">
        <f>_xlfn.XLOOKUP($A23,Constants!$F$9:$M$9,Constants!$F$10:$M$10)</f>
        <v>0.76</v>
      </c>
      <c r="BQ23">
        <f>_xlfn.XLOOKUP($A23,Constants!$F$9:$M$9,Constants!$F$11:$M$11)</f>
        <v>0.02</v>
      </c>
      <c r="BR23">
        <f>_xlfn.XLOOKUP($A23,Constants!$F$9:$M$9,Constants!$F$12:$M$12)</f>
        <v>0.01</v>
      </c>
      <c r="BS23">
        <f>_xlfn.XLOOKUP($A23,Constants!$F$9:$M$9,Constants!$F$13:$M$13)</f>
        <v>0.1</v>
      </c>
      <c r="BT23">
        <f>_xlfn.XLOOKUP($A23,Constants!$F$9:$M$9,Constants!$F$14:$M$14)</f>
        <v>0.04</v>
      </c>
      <c r="BU23">
        <f>_xlfn.XLOOKUP($A23,Constants!$F$9:$M$9,Constants!$F$15:$M$15)</f>
        <v>0.03</v>
      </c>
      <c r="BV23">
        <f>_xlfn.XLOOKUP($A23,Constants!$F$9:$M$9,Constants!$F$16:$M$16)</f>
        <v>0</v>
      </c>
      <c r="BW23" s="18">
        <f t="shared" si="71"/>
        <v>2.7841536E-2</v>
      </c>
      <c r="BX23" s="18">
        <f t="shared" si="72"/>
        <v>0</v>
      </c>
      <c r="BY23" s="18">
        <f t="shared" si="98"/>
        <v>0</v>
      </c>
      <c r="BZ23" s="18">
        <f t="shared" si="73"/>
        <v>3.6633600000000001E-3</v>
      </c>
      <c r="CA23" s="18">
        <f t="shared" si="74"/>
        <v>0</v>
      </c>
      <c r="CB23" s="18">
        <f t="shared" si="75"/>
        <v>1.4653440000000004E-3</v>
      </c>
      <c r="CC23">
        <f t="shared" si="76"/>
        <v>4.9455359999999997</v>
      </c>
      <c r="CD23">
        <f>Constants!$E$10</f>
        <v>0</v>
      </c>
      <c r="CE23">
        <f>Constants!$E$11</f>
        <v>0</v>
      </c>
      <c r="CF23">
        <f>Constants!$E$13</f>
        <v>0.75</v>
      </c>
      <c r="CG23">
        <f>Constants!$E$14</f>
        <v>0.05</v>
      </c>
      <c r="CH23">
        <f>Constants!$E$15</f>
        <v>0</v>
      </c>
      <c r="CI23">
        <f t="shared" si="77"/>
        <v>0.3</v>
      </c>
      <c r="CJ23">
        <f t="shared" si="78"/>
        <v>0</v>
      </c>
      <c r="CK23">
        <f t="shared" si="79"/>
        <v>7.4999999999999997E-2</v>
      </c>
      <c r="CL23">
        <f t="shared" si="80"/>
        <v>0</v>
      </c>
      <c r="CM23">
        <f t="shared" si="81"/>
        <v>0.4</v>
      </c>
      <c r="CN23" s="18">
        <f t="shared" si="82"/>
        <v>0</v>
      </c>
      <c r="CO23" s="18">
        <f t="shared" si="83"/>
        <v>8.7500000000000022E-2</v>
      </c>
      <c r="CP23" s="18">
        <f t="shared" si="84"/>
        <v>0.125</v>
      </c>
      <c r="CQ23" s="18">
        <f t="shared" si="85"/>
        <v>0.14000000000000001</v>
      </c>
      <c r="CR23" s="18">
        <f t="shared" si="86"/>
        <v>0.11249999999999999</v>
      </c>
      <c r="CS23" s="18">
        <f t="shared" si="87"/>
        <v>0.23</v>
      </c>
      <c r="CT23" s="18">
        <f t="shared" si="99"/>
        <v>8.1204480000000023E-3</v>
      </c>
      <c r="CU23" s="18">
        <f t="shared" si="100"/>
        <v>3.0528000000000006E-4</v>
      </c>
      <c r="CV23" s="18">
        <f t="shared" si="101"/>
        <v>1.7095680000000007E-3</v>
      </c>
      <c r="CW23" s="18">
        <f t="shared" si="102"/>
        <v>4.12128E-4</v>
      </c>
      <c r="CX23" s="18">
        <f t="shared" si="103"/>
        <v>0</v>
      </c>
      <c r="CY23">
        <f t="shared" si="88"/>
        <v>1.5821136000000005</v>
      </c>
      <c r="CZ23" s="18">
        <f t="shared" si="104"/>
        <v>6.5276496000000002</v>
      </c>
      <c r="DA23">
        <f t="shared" ref="DA23" si="153">SUM(CZ23:CZ26)</f>
        <v>13.86797737105584</v>
      </c>
      <c r="DB23">
        <f t="shared" si="22"/>
        <v>6900</v>
      </c>
      <c r="DC23" s="18">
        <f t="shared" si="105"/>
        <v>0.3</v>
      </c>
      <c r="DD23" s="18">
        <f t="shared" si="106"/>
        <v>0</v>
      </c>
      <c r="DE23" s="18">
        <f t="shared" si="107"/>
        <v>0</v>
      </c>
      <c r="DF23" s="18">
        <f t="shared" si="108"/>
        <v>0.3</v>
      </c>
      <c r="DG23" s="18">
        <f t="shared" si="109"/>
        <v>0</v>
      </c>
      <c r="DH23" s="18">
        <f t="shared" si="110"/>
        <v>0.4</v>
      </c>
      <c r="DI23">
        <f t="shared" si="111"/>
        <v>2070</v>
      </c>
      <c r="DJ23">
        <f t="shared" si="112"/>
        <v>0</v>
      </c>
      <c r="DK23">
        <f t="shared" si="113"/>
        <v>0</v>
      </c>
      <c r="DL23">
        <f t="shared" si="114"/>
        <v>2070</v>
      </c>
      <c r="DM23">
        <f t="shared" si="115"/>
        <v>0</v>
      </c>
      <c r="DN23">
        <f t="shared" si="116"/>
        <v>2760</v>
      </c>
      <c r="DO23" s="6">
        <f>Constants!$C$10</f>
        <v>0.55000000000000004</v>
      </c>
      <c r="DP23" s="6">
        <f>Constants!$C$11</f>
        <v>0.2</v>
      </c>
      <c r="DQ23" s="6">
        <f>Constants!$C$12</f>
        <v>0.3</v>
      </c>
      <c r="DR23" s="6">
        <f>Constants!$C$13</f>
        <v>0</v>
      </c>
      <c r="DS23" s="6">
        <f>Constants!$C$14</f>
        <v>0.125</v>
      </c>
      <c r="DT23" s="6">
        <f>Constants!$C$15</f>
        <v>0.25</v>
      </c>
      <c r="DU23" s="6">
        <f>Constants!$D$10</f>
        <v>0</v>
      </c>
      <c r="DV23" s="6">
        <f>Constants!$D$11</f>
        <v>5.0000000000000001E-3</v>
      </c>
      <c r="DW23" s="6">
        <f>Constants!$D$12</f>
        <v>0.02</v>
      </c>
      <c r="DX23" s="6">
        <f>Constants!$D$13</f>
        <v>0</v>
      </c>
      <c r="DY23" s="6">
        <f>Constants!$D$14</f>
        <v>0.01</v>
      </c>
      <c r="DZ23" s="6">
        <f>Constants!$D$15</f>
        <v>2E-3</v>
      </c>
      <c r="EA23">
        <f>Constants!$B$23</f>
        <v>1.57</v>
      </c>
      <c r="EB23" s="18">
        <f t="shared" si="117"/>
        <v>0</v>
      </c>
      <c r="EC23" s="18">
        <f>DJ23*DV23*$EA23</f>
        <v>0</v>
      </c>
      <c r="ED23" s="18">
        <f t="shared" si="119"/>
        <v>0</v>
      </c>
      <c r="EE23" s="18">
        <f t="shared" si="120"/>
        <v>0</v>
      </c>
      <c r="EF23" s="18">
        <f t="shared" si="121"/>
        <v>0</v>
      </c>
      <c r="EG23" s="18">
        <f t="shared" si="122"/>
        <v>8.6664000000000012</v>
      </c>
      <c r="EH23">
        <f t="shared" si="123"/>
        <v>931.49999999999989</v>
      </c>
      <c r="EI23">
        <f t="shared" si="124"/>
        <v>0</v>
      </c>
      <c r="EJ23">
        <f t="shared" si="125"/>
        <v>2070</v>
      </c>
      <c r="EK23">
        <f t="shared" si="126"/>
        <v>0</v>
      </c>
      <c r="EL23">
        <f t="shared" si="127"/>
        <v>2064.48</v>
      </c>
      <c r="EM23">
        <f t="shared" si="128"/>
        <v>619.89599999999996</v>
      </c>
      <c r="EN23">
        <f t="shared" si="129"/>
        <v>920.04600000000005</v>
      </c>
      <c r="EO23">
        <f t="shared" si="130"/>
        <v>599.19600000000003</v>
      </c>
      <c r="EP23">
        <f t="shared" si="131"/>
        <v>900.44999999999993</v>
      </c>
      <c r="EQ23">
        <f t="shared" si="132"/>
        <v>1613.4959999999999</v>
      </c>
      <c r="ER23">
        <f t="shared" si="133"/>
        <v>0</v>
      </c>
      <c r="ES23">
        <f t="shared" si="134"/>
        <v>7.2223611000000014</v>
      </c>
      <c r="ET23">
        <f t="shared" si="135"/>
        <v>0</v>
      </c>
      <c r="EU23">
        <f t="shared" si="136"/>
        <v>2.827413</v>
      </c>
      <c r="EV23">
        <f t="shared" si="137"/>
        <v>0</v>
      </c>
      <c r="EW23" s="18">
        <f t="shared" si="56"/>
        <v>1.8716174100000003E-2</v>
      </c>
      <c r="EX23">
        <f>SUM(EW23:EW26)</f>
        <v>0.39540399368363499</v>
      </c>
      <c r="EY23" s="18">
        <f t="shared" ref="EY23:EY26" si="154">DI23*DO23</f>
        <v>1138.5</v>
      </c>
      <c r="EZ23" s="18">
        <f t="shared" ref="EZ23:EZ26" si="155">DJ23*DP23</f>
        <v>0</v>
      </c>
      <c r="FA23" s="18">
        <f t="shared" ref="FA23:FA26" si="156">DK23*DQ23</f>
        <v>0</v>
      </c>
      <c r="FB23" s="18">
        <f t="shared" ref="FB23:FB26" si="157">DL23*DR23</f>
        <v>0</v>
      </c>
      <c r="FC23" s="18">
        <f t="shared" ref="FC23:FC26" si="158">DM23*DS23</f>
        <v>0</v>
      </c>
      <c r="FD23" s="18">
        <f t="shared" ref="FD23:FD26" si="159">DN23*DT23</f>
        <v>690</v>
      </c>
      <c r="FE23" s="18">
        <f t="shared" ref="FE23:FE26" si="160">EM23*DO23</f>
        <v>340.94279999999998</v>
      </c>
      <c r="FF23" s="18">
        <f t="shared" ref="FF23:FF26" si="161">EN23*DP23</f>
        <v>184.00920000000002</v>
      </c>
      <c r="FG23" s="18">
        <f t="shared" ref="FG23:FG26" si="162">EO23*DR23</f>
        <v>0</v>
      </c>
      <c r="FH23" s="18">
        <f t="shared" ref="FH23:FH26" si="163">EP23*DT23</f>
        <v>225.11249999999998</v>
      </c>
      <c r="FI23" s="18">
        <f t="shared" ref="FI23:FI26" si="164">EQ23*0</f>
        <v>0</v>
      </c>
      <c r="FJ23" s="18">
        <f t="shared" si="68"/>
        <v>2578.5645</v>
      </c>
      <c r="FK23" s="18">
        <f>_xlfn.XLOOKUP(C23, Constants!$D$19:$D$23, Constants!$E$19:$E$23)</f>
        <v>2.8999999999999998E-3</v>
      </c>
      <c r="FL23">
        <f t="shared" si="69"/>
        <v>1.1740204168499999E-2</v>
      </c>
      <c r="FM23">
        <f t="shared" ref="FM23" si="165">SUM(FL23:FL26)</f>
        <v>3.458070137366525E-2</v>
      </c>
      <c r="FN23" s="18">
        <f>Constants!$B$24</f>
        <v>1.0999999999999999E-2</v>
      </c>
      <c r="FO23" s="18">
        <f t="shared" si="149"/>
        <v>0</v>
      </c>
      <c r="FP23">
        <f>Constants!$B$25</f>
        <v>0.02</v>
      </c>
      <c r="FQ23">
        <f t="shared" si="8"/>
        <v>0</v>
      </c>
      <c r="FR23" s="18">
        <f t="shared" si="9"/>
        <v>0</v>
      </c>
      <c r="FS23">
        <f t="shared" ref="FS23" si="166">SUM(FR23:FR26)/1000</f>
        <v>0</v>
      </c>
    </row>
    <row r="24" spans="1:175" x14ac:dyDescent="0.2">
      <c r="A24" t="s">
        <v>40</v>
      </c>
      <c r="C24" t="s">
        <v>78</v>
      </c>
      <c r="D24" t="b">
        <v>0</v>
      </c>
      <c r="E24" t="s">
        <v>26</v>
      </c>
      <c r="F24">
        <v>600</v>
      </c>
      <c r="G24">
        <v>200</v>
      </c>
      <c r="M24">
        <v>0.5</v>
      </c>
      <c r="O24">
        <v>0.5</v>
      </c>
      <c r="Q24" t="b">
        <v>0</v>
      </c>
      <c r="T24" t="b">
        <v>0</v>
      </c>
      <c r="W24" t="b">
        <v>0</v>
      </c>
      <c r="Z24" s="23"/>
      <c r="AA24">
        <v>0.1</v>
      </c>
      <c r="AB24">
        <v>0.2</v>
      </c>
      <c r="AC24">
        <v>0.3</v>
      </c>
      <c r="AD24" s="28">
        <v>0.4</v>
      </c>
      <c r="AE24">
        <v>0.1</v>
      </c>
      <c r="AF24" s="20"/>
      <c r="AG24">
        <v>0.2</v>
      </c>
      <c r="AH24">
        <v>0.3</v>
      </c>
      <c r="AI24" s="28">
        <v>0.4</v>
      </c>
      <c r="AJ24">
        <v>0.1</v>
      </c>
      <c r="AK24">
        <v>0.2</v>
      </c>
      <c r="AL24" s="20"/>
      <c r="AM24">
        <v>0.3</v>
      </c>
      <c r="AN24" s="28">
        <v>0.4</v>
      </c>
      <c r="AO24" s="21">
        <v>0.2</v>
      </c>
      <c r="AP24">
        <v>0.2</v>
      </c>
      <c r="AQ24">
        <v>0.2</v>
      </c>
      <c r="AR24">
        <v>0.2</v>
      </c>
      <c r="AS24">
        <v>0.2</v>
      </c>
      <c r="AT24" s="21">
        <v>0.2</v>
      </c>
      <c r="AU24">
        <v>0.2</v>
      </c>
      <c r="AV24">
        <v>0.2</v>
      </c>
      <c r="AW24" s="20"/>
      <c r="AX24">
        <v>0.2</v>
      </c>
      <c r="AY24" s="21">
        <f>IF(H24&lt;&gt;"", H24, _xlfn.XLOOKUP($E24,Constants!$A$3:$A$6, Constants!B$3:B$6))</f>
        <v>2.62</v>
      </c>
      <c r="AZ24">
        <f>IF(I24&lt;&gt;"", I24, _xlfn.XLOOKUP($E24,Constants!$A$3:$A$6, Constants!C$3:C$6))</f>
        <v>0.46</v>
      </c>
      <c r="BA24">
        <f>IF(J24&lt;&gt;"", J24, _xlfn.XLOOKUP($E24,Constants!$A$3:$A$6, Constants!D$3:D$6))</f>
        <v>4.9000000000000002E-2</v>
      </c>
      <c r="BB24">
        <f>IF(R24&lt;&gt;"", R24, IF(Q24, Constants!$B$19, 0))</f>
        <v>0</v>
      </c>
      <c r="BC24">
        <f>IF(U24&lt;&gt;"", U24,  IF(T24, Constants!$B$19, 0))</f>
        <v>0</v>
      </c>
      <c r="BD24">
        <f>IF(X24&lt;&gt;"", X24,  IF(W24, Constants!$B$19, 0))</f>
        <v>0</v>
      </c>
      <c r="BE24">
        <f>IF(S24&lt;&gt;"", S24, IF(Q24, Constants!$B$20, 0))</f>
        <v>0</v>
      </c>
      <c r="BF24">
        <f>IF(V24&lt;&gt;"", V24, IF(T24, Constants!$B$20, 0))</f>
        <v>0</v>
      </c>
      <c r="BG24">
        <f>IF(Y24&lt;&gt;"", Y24,  IF(W24, Constants!$B$20, 0))</f>
        <v>0</v>
      </c>
      <c r="BH24">
        <f t="shared" si="92"/>
        <v>0</v>
      </c>
      <c r="BI24">
        <f t="shared" si="93"/>
        <v>0</v>
      </c>
      <c r="BJ24">
        <f t="shared" si="94"/>
        <v>0.5</v>
      </c>
      <c r="BK24">
        <f t="shared" si="95"/>
        <v>0</v>
      </c>
      <c r="BL24">
        <f t="shared" si="96"/>
        <v>0.5</v>
      </c>
      <c r="BM24">
        <f t="shared" si="97"/>
        <v>0</v>
      </c>
      <c r="BN24">
        <f>Constants!$B$21</f>
        <v>0.45</v>
      </c>
      <c r="BO24">
        <f>Constants!$B$22</f>
        <v>0.6784</v>
      </c>
      <c r="BP24">
        <f>_xlfn.XLOOKUP($A24,Constants!$F$9:$M$9,Constants!$F$10:$M$10)</f>
        <v>0.76</v>
      </c>
      <c r="BQ24">
        <f>_xlfn.XLOOKUP($A24,Constants!$F$9:$M$9,Constants!$F$11:$M$11)</f>
        <v>0.02</v>
      </c>
      <c r="BR24">
        <f>_xlfn.XLOOKUP($A24,Constants!$F$9:$M$9,Constants!$F$12:$M$12)</f>
        <v>0.01</v>
      </c>
      <c r="BS24">
        <f>_xlfn.XLOOKUP($A24,Constants!$F$9:$M$9,Constants!$F$13:$M$13)</f>
        <v>0.1</v>
      </c>
      <c r="BT24">
        <f>_xlfn.XLOOKUP($A24,Constants!$F$9:$M$9,Constants!$F$14:$M$14)</f>
        <v>0.04</v>
      </c>
      <c r="BU24">
        <f>_xlfn.XLOOKUP($A24,Constants!$F$9:$M$9,Constants!$F$15:$M$15)</f>
        <v>0.03</v>
      </c>
      <c r="BV24">
        <f>_xlfn.XLOOKUP($A24,Constants!$F$9:$M$9,Constants!$F$16:$M$16)</f>
        <v>0</v>
      </c>
      <c r="BW24">
        <f t="shared" si="71"/>
        <v>0</v>
      </c>
      <c r="BX24">
        <f t="shared" si="72"/>
        <v>0</v>
      </c>
      <c r="BY24">
        <f t="shared" si="98"/>
        <v>7.0214400000000003E-4</v>
      </c>
      <c r="BZ24">
        <f t="shared" si="73"/>
        <v>0</v>
      </c>
      <c r="CA24">
        <f t="shared" si="74"/>
        <v>2.8085760000000001E-3</v>
      </c>
      <c r="CB24">
        <f t="shared" si="75"/>
        <v>0</v>
      </c>
      <c r="CC24">
        <f t="shared" si="76"/>
        <v>0.42128640000000006</v>
      </c>
      <c r="CD24">
        <f>Constants!$E$10</f>
        <v>0</v>
      </c>
      <c r="CE24">
        <f>Constants!$E$11</f>
        <v>0</v>
      </c>
      <c r="CF24">
        <f>Constants!$E$13</f>
        <v>0.75</v>
      </c>
      <c r="CG24">
        <f>Constants!$E$14</f>
        <v>0.05</v>
      </c>
      <c r="CH24">
        <f>Constants!$E$15</f>
        <v>0</v>
      </c>
      <c r="CI24">
        <f t="shared" si="77"/>
        <v>0</v>
      </c>
      <c r="CJ24">
        <f t="shared" si="78"/>
        <v>0</v>
      </c>
      <c r="CK24">
        <f t="shared" si="79"/>
        <v>0</v>
      </c>
      <c r="CL24">
        <f t="shared" si="80"/>
        <v>0.47499999999999998</v>
      </c>
      <c r="CM24">
        <f t="shared" si="81"/>
        <v>0</v>
      </c>
      <c r="CN24">
        <f t="shared" si="82"/>
        <v>0</v>
      </c>
      <c r="CO24">
        <f t="shared" si="83"/>
        <v>9.5000000000000001E-2</v>
      </c>
      <c r="CP24">
        <f t="shared" si="84"/>
        <v>9.5000000000000001E-2</v>
      </c>
      <c r="CQ24">
        <f t="shared" si="85"/>
        <v>9.5000000000000001E-2</v>
      </c>
      <c r="CR24">
        <f t="shared" si="86"/>
        <v>9.5000000000000001E-2</v>
      </c>
      <c r="CS24">
        <f t="shared" si="87"/>
        <v>9.5000000000000001E-2</v>
      </c>
      <c r="CT24">
        <f t="shared" si="99"/>
        <v>1.0138959360000002E-2</v>
      </c>
      <c r="CU24">
        <f t="shared" si="100"/>
        <v>2.6681472000000003E-4</v>
      </c>
      <c r="CV24">
        <f t="shared" si="101"/>
        <v>1.3340736000000001E-3</v>
      </c>
      <c r="CW24">
        <f t="shared" si="102"/>
        <v>4.0022208E-4</v>
      </c>
      <c r="CX24">
        <f t="shared" si="103"/>
        <v>0</v>
      </c>
      <c r="CY24">
        <f t="shared" si="88"/>
        <v>1.4568083712000002</v>
      </c>
      <c r="CZ24">
        <f t="shared" si="104"/>
        <v>1.8780947712000002</v>
      </c>
      <c r="DB24">
        <f t="shared" si="22"/>
        <v>5880</v>
      </c>
      <c r="DC24">
        <f t="shared" si="105"/>
        <v>0</v>
      </c>
      <c r="DD24">
        <f t="shared" si="106"/>
        <v>0</v>
      </c>
      <c r="DE24">
        <f t="shared" si="107"/>
        <v>0.5</v>
      </c>
      <c r="DF24">
        <f t="shared" si="108"/>
        <v>0</v>
      </c>
      <c r="DG24">
        <f t="shared" si="109"/>
        <v>0.5</v>
      </c>
      <c r="DH24">
        <f t="shared" si="110"/>
        <v>0</v>
      </c>
      <c r="DI24">
        <f t="shared" si="111"/>
        <v>0</v>
      </c>
      <c r="DJ24">
        <f t="shared" si="112"/>
        <v>0</v>
      </c>
      <c r="DK24">
        <f t="shared" si="113"/>
        <v>2940</v>
      </c>
      <c r="DL24">
        <f t="shared" si="114"/>
        <v>0</v>
      </c>
      <c r="DM24">
        <f t="shared" si="115"/>
        <v>2940</v>
      </c>
      <c r="DN24">
        <f t="shared" si="116"/>
        <v>0</v>
      </c>
      <c r="DO24" s="6">
        <f>Constants!$C$10</f>
        <v>0.55000000000000004</v>
      </c>
      <c r="DP24" s="6">
        <f>Constants!$C$11</f>
        <v>0.2</v>
      </c>
      <c r="DQ24" s="6">
        <f>Constants!$C$12</f>
        <v>0.3</v>
      </c>
      <c r="DR24" s="6">
        <f>Constants!$C$13</f>
        <v>0</v>
      </c>
      <c r="DS24" s="6">
        <f>Constants!$C$14</f>
        <v>0.125</v>
      </c>
      <c r="DT24" s="6">
        <f>Constants!$C$15</f>
        <v>0.25</v>
      </c>
      <c r="DU24" s="6">
        <f>Constants!$D$10</f>
        <v>0</v>
      </c>
      <c r="DV24" s="6">
        <f>Constants!$D$11</f>
        <v>5.0000000000000001E-3</v>
      </c>
      <c r="DW24" s="6">
        <f>Constants!$D$12</f>
        <v>0.02</v>
      </c>
      <c r="DX24" s="6">
        <f>Constants!$D$13</f>
        <v>0</v>
      </c>
      <c r="DY24" s="6">
        <f>Constants!$D$14</f>
        <v>0.01</v>
      </c>
      <c r="DZ24" s="6">
        <f>Constants!$D$15</f>
        <v>2E-3</v>
      </c>
      <c r="EA24">
        <f>Constants!$B$23</f>
        <v>1.57</v>
      </c>
      <c r="EB24">
        <f t="shared" si="117"/>
        <v>0</v>
      </c>
      <c r="EC24">
        <f t="shared" si="118"/>
        <v>0</v>
      </c>
      <c r="ED24">
        <f t="shared" si="119"/>
        <v>92.316000000000017</v>
      </c>
      <c r="EE24">
        <f t="shared" si="120"/>
        <v>0</v>
      </c>
      <c r="EF24">
        <f t="shared" si="121"/>
        <v>46.158000000000008</v>
      </c>
      <c r="EG24">
        <f t="shared" si="122"/>
        <v>0</v>
      </c>
      <c r="EH24">
        <f t="shared" si="123"/>
        <v>0</v>
      </c>
      <c r="EI24">
        <f t="shared" si="124"/>
        <v>0</v>
      </c>
      <c r="EJ24">
        <f t="shared" si="125"/>
        <v>0</v>
      </c>
      <c r="EK24">
        <f t="shared" si="126"/>
        <v>2543.1</v>
      </c>
      <c r="EL24">
        <f t="shared" si="127"/>
        <v>0</v>
      </c>
      <c r="EM24">
        <f t="shared" si="128"/>
        <v>508.62</v>
      </c>
      <c r="EN24">
        <f t="shared" si="129"/>
        <v>508.62</v>
      </c>
      <c r="EO24">
        <f t="shared" si="130"/>
        <v>508.62</v>
      </c>
      <c r="EP24">
        <f t="shared" si="131"/>
        <v>508.62</v>
      </c>
      <c r="EQ24">
        <f t="shared" si="132"/>
        <v>508.62</v>
      </c>
      <c r="ER24">
        <f t="shared" si="133"/>
        <v>0</v>
      </c>
      <c r="ES24">
        <f t="shared" si="134"/>
        <v>3.992667</v>
      </c>
      <c r="ET24">
        <f t="shared" si="135"/>
        <v>0</v>
      </c>
      <c r="EU24">
        <f t="shared" si="136"/>
        <v>1.5970667999999999</v>
      </c>
      <c r="EV24">
        <f t="shared" si="137"/>
        <v>0</v>
      </c>
      <c r="EW24">
        <f t="shared" si="56"/>
        <v>0.14406373380000001</v>
      </c>
      <c r="EY24">
        <f t="shared" si="154"/>
        <v>0</v>
      </c>
      <c r="EZ24">
        <f t="shared" si="155"/>
        <v>0</v>
      </c>
      <c r="FA24">
        <f t="shared" si="156"/>
        <v>882</v>
      </c>
      <c r="FB24">
        <f t="shared" si="157"/>
        <v>0</v>
      </c>
      <c r="FC24">
        <f t="shared" si="158"/>
        <v>367.5</v>
      </c>
      <c r="FD24">
        <f t="shared" si="159"/>
        <v>0</v>
      </c>
      <c r="FE24">
        <f t="shared" si="160"/>
        <v>279.74100000000004</v>
      </c>
      <c r="FF24">
        <f t="shared" si="161"/>
        <v>101.724</v>
      </c>
      <c r="FG24">
        <f t="shared" si="162"/>
        <v>0</v>
      </c>
      <c r="FH24">
        <f t="shared" si="163"/>
        <v>127.155</v>
      </c>
      <c r="FI24">
        <f t="shared" si="164"/>
        <v>0</v>
      </c>
      <c r="FJ24">
        <f t="shared" si="68"/>
        <v>1758.12</v>
      </c>
      <c r="FK24">
        <f>_xlfn.XLOOKUP(C24, Constants!$D$19:$D$23, Constants!$E$19:$E$23)</f>
        <v>2.8999999999999998E-3</v>
      </c>
      <c r="FL24">
        <f t="shared" si="69"/>
        <v>8.0047203599999985E-3</v>
      </c>
      <c r="FN24">
        <f>Constants!$B$24</f>
        <v>1.0999999999999999E-2</v>
      </c>
      <c r="FO24">
        <f t="shared" si="149"/>
        <v>0</v>
      </c>
      <c r="FP24">
        <f>Constants!$B$25</f>
        <v>0.02</v>
      </c>
      <c r="FQ24">
        <f t="shared" si="8"/>
        <v>0</v>
      </c>
      <c r="FR24">
        <f t="shared" si="9"/>
        <v>0</v>
      </c>
    </row>
    <row r="25" spans="1:175" x14ac:dyDescent="0.2">
      <c r="A25" t="s">
        <v>40</v>
      </c>
      <c r="C25" t="s">
        <v>78</v>
      </c>
      <c r="D25" t="b">
        <v>0</v>
      </c>
      <c r="E25" t="s">
        <v>27</v>
      </c>
      <c r="F25">
        <v>100</v>
      </c>
      <c r="G25">
        <v>299</v>
      </c>
      <c r="K25">
        <v>0.3</v>
      </c>
      <c r="N25">
        <v>0.3</v>
      </c>
      <c r="P25">
        <v>0.4</v>
      </c>
      <c r="Q25" t="b">
        <v>1</v>
      </c>
      <c r="T25" t="b">
        <v>1</v>
      </c>
      <c r="W25" t="b">
        <v>1</v>
      </c>
      <c r="Z25" s="23"/>
      <c r="AA25">
        <v>0.1</v>
      </c>
      <c r="AB25">
        <v>0.2</v>
      </c>
      <c r="AC25">
        <v>0.3</v>
      </c>
      <c r="AD25" s="28">
        <v>0.4</v>
      </c>
      <c r="AE25">
        <v>0.1</v>
      </c>
      <c r="AF25" s="20"/>
      <c r="AG25">
        <v>0.2</v>
      </c>
      <c r="AH25">
        <v>0.3</v>
      </c>
      <c r="AI25" s="28">
        <v>0.4</v>
      </c>
      <c r="AJ25">
        <v>0.1</v>
      </c>
      <c r="AK25">
        <v>0.2</v>
      </c>
      <c r="AL25" s="20"/>
      <c r="AM25">
        <v>0.3</v>
      </c>
      <c r="AN25" s="28">
        <v>0.4</v>
      </c>
      <c r="AO25" s="21">
        <v>0.2</v>
      </c>
      <c r="AP25">
        <v>0.2</v>
      </c>
      <c r="AQ25">
        <v>0.2</v>
      </c>
      <c r="AR25">
        <v>0.2</v>
      </c>
      <c r="AS25">
        <v>0.2</v>
      </c>
      <c r="AT25" s="21">
        <v>0.2</v>
      </c>
      <c r="AU25">
        <v>0.2</v>
      </c>
      <c r="AV25">
        <v>0.2</v>
      </c>
      <c r="AW25" s="20"/>
      <c r="AX25">
        <v>0.2</v>
      </c>
      <c r="AY25" s="21">
        <f>IF(H25&lt;&gt;"", H25, _xlfn.XLOOKUP($E25,Constants!$A$3:$A$6, Constants!B$3:B$6))</f>
        <v>2.5</v>
      </c>
      <c r="AZ25">
        <f>IF(I25&lt;&gt;"", I25, _xlfn.XLOOKUP($E25,Constants!$A$3:$A$6, Constants!C$3:C$6))</f>
        <v>0.55000000000000004</v>
      </c>
      <c r="BA25">
        <f>IF(J25&lt;&gt;"", J25, _xlfn.XLOOKUP($E25,Constants!$A$3:$A$6, Constants!D$3:D$6))</f>
        <v>4.5999999999999999E-2</v>
      </c>
      <c r="BB25">
        <f>IF(R25&lt;&gt;"", R25, IF(Q25, Constants!$B$19, 0))</f>
        <v>0.25</v>
      </c>
      <c r="BC25">
        <f>IF(U25&lt;&gt;"", U25,  IF(T25, Constants!$B$19, 0))</f>
        <v>0.25</v>
      </c>
      <c r="BD25">
        <f>IF(X25&lt;&gt;"", X25,  IF(W25, Constants!$B$19, 0))</f>
        <v>0.25</v>
      </c>
      <c r="BE25">
        <f>IF(S25&lt;&gt;"", S25, IF(Q25, Constants!$B$20, 0))</f>
        <v>0.25</v>
      </c>
      <c r="BF25">
        <f>IF(V25&lt;&gt;"", V25, IF(T25, Constants!$B$20, 0))</f>
        <v>0.25</v>
      </c>
      <c r="BG25">
        <f>IF(Y25&lt;&gt;"", Y25,  IF(W25, Constants!$B$20, 0))</f>
        <v>0.25</v>
      </c>
      <c r="BH25">
        <f t="shared" si="92"/>
        <v>0.22499999999999998</v>
      </c>
      <c r="BI25">
        <f t="shared" si="93"/>
        <v>0.25</v>
      </c>
      <c r="BJ25">
        <f t="shared" si="94"/>
        <v>0</v>
      </c>
      <c r="BK25">
        <f t="shared" si="95"/>
        <v>0.22499999999999998</v>
      </c>
      <c r="BL25">
        <f t="shared" si="96"/>
        <v>0</v>
      </c>
      <c r="BM25">
        <f t="shared" si="97"/>
        <v>0.30000000000000004</v>
      </c>
      <c r="BN25">
        <f>Constants!$B$21</f>
        <v>0.45</v>
      </c>
      <c r="BO25">
        <f>Constants!$B$22</f>
        <v>0.6784</v>
      </c>
      <c r="BP25">
        <f>_xlfn.XLOOKUP($A25,Constants!$F$9:$M$9,Constants!$F$10:$M$10)</f>
        <v>0.76</v>
      </c>
      <c r="BQ25">
        <f>_xlfn.XLOOKUP($A25,Constants!$F$9:$M$9,Constants!$F$11:$M$11)</f>
        <v>0.02</v>
      </c>
      <c r="BR25">
        <f>_xlfn.XLOOKUP($A25,Constants!$F$9:$M$9,Constants!$F$12:$M$12)</f>
        <v>0.01</v>
      </c>
      <c r="BS25">
        <f>_xlfn.XLOOKUP($A25,Constants!$F$9:$M$9,Constants!$F$13:$M$13)</f>
        <v>0.1</v>
      </c>
      <c r="BT25">
        <f>_xlfn.XLOOKUP($A25,Constants!$F$9:$M$9,Constants!$F$14:$M$14)</f>
        <v>0.04</v>
      </c>
      <c r="BU25">
        <f>_xlfn.XLOOKUP($A25,Constants!$F$9:$M$9,Constants!$F$15:$M$15)</f>
        <v>0.03</v>
      </c>
      <c r="BV25">
        <f>_xlfn.XLOOKUP($A25,Constants!$F$9:$M$9,Constants!$F$16:$M$16)</f>
        <v>0</v>
      </c>
      <c r="BW25">
        <f t="shared" si="71"/>
        <v>2.8711583999999998E-2</v>
      </c>
      <c r="BX25">
        <f t="shared" si="72"/>
        <v>8.3952000000000007E-4</v>
      </c>
      <c r="BY25">
        <f t="shared" si="98"/>
        <v>0</v>
      </c>
      <c r="BZ25">
        <f t="shared" si="73"/>
        <v>3.7778400000000006E-3</v>
      </c>
      <c r="CA25">
        <f t="shared" si="74"/>
        <v>0</v>
      </c>
      <c r="CB25">
        <f t="shared" si="75"/>
        <v>1.5111360000000006E-3</v>
      </c>
      <c r="CC25">
        <f t="shared" si="76"/>
        <v>1.0417183919999999</v>
      </c>
      <c r="CD25">
        <f>Constants!$E$10</f>
        <v>0</v>
      </c>
      <c r="CE25">
        <f>Constants!$E$11</f>
        <v>0</v>
      </c>
      <c r="CF25">
        <f>Constants!$E$13</f>
        <v>0.75</v>
      </c>
      <c r="CG25">
        <f>Constants!$E$14</f>
        <v>0.05</v>
      </c>
      <c r="CH25">
        <f>Constants!$E$15</f>
        <v>0</v>
      </c>
      <c r="CI25">
        <f t="shared" si="77"/>
        <v>0.22499999999999998</v>
      </c>
      <c r="CJ25">
        <f t="shared" si="78"/>
        <v>0.25</v>
      </c>
      <c r="CK25">
        <f t="shared" si="79"/>
        <v>5.6249999999999994E-2</v>
      </c>
      <c r="CL25">
        <f t="shared" si="80"/>
        <v>0</v>
      </c>
      <c r="CM25">
        <f t="shared" si="81"/>
        <v>0.30000000000000004</v>
      </c>
      <c r="CN25">
        <f t="shared" si="82"/>
        <v>0</v>
      </c>
      <c r="CO25">
        <f t="shared" si="83"/>
        <v>9.0625000000000011E-2</v>
      </c>
      <c r="CP25">
        <f t="shared" si="84"/>
        <v>9.3750000000000014E-2</v>
      </c>
      <c r="CQ25">
        <f t="shared" si="85"/>
        <v>0.15500000000000003</v>
      </c>
      <c r="CR25">
        <f t="shared" si="86"/>
        <v>0.15937499999999999</v>
      </c>
      <c r="CS25">
        <f t="shared" si="87"/>
        <v>0.27250000000000002</v>
      </c>
      <c r="CT25">
        <f t="shared" si="99"/>
        <v>1.1564388000000002E-2</v>
      </c>
      <c r="CU25">
        <f t="shared" si="100"/>
        <v>3.1482000000000011E-4</v>
      </c>
      <c r="CV25">
        <f t="shared" si="101"/>
        <v>2.6025120000000008E-3</v>
      </c>
      <c r="CW25">
        <f t="shared" si="102"/>
        <v>8.0279099999999996E-4</v>
      </c>
      <c r="CX25">
        <f t="shared" si="103"/>
        <v>0</v>
      </c>
      <c r="CY25">
        <f t="shared" si="88"/>
        <v>0.45700687890000019</v>
      </c>
      <c r="CZ25">
        <f t="shared" si="104"/>
        <v>1.4987252709000001</v>
      </c>
      <c r="DB25">
        <f t="shared" si="22"/>
        <v>1375.3999999999999</v>
      </c>
      <c r="DC25">
        <f t="shared" si="105"/>
        <v>0.22499999999999998</v>
      </c>
      <c r="DD25">
        <f t="shared" si="106"/>
        <v>0.25</v>
      </c>
      <c r="DE25">
        <f t="shared" si="107"/>
        <v>0</v>
      </c>
      <c r="DF25">
        <f t="shared" si="108"/>
        <v>0.22499999999999998</v>
      </c>
      <c r="DG25">
        <f t="shared" si="109"/>
        <v>0</v>
      </c>
      <c r="DH25">
        <f t="shared" si="110"/>
        <v>0.30000000000000004</v>
      </c>
      <c r="DI25">
        <f t="shared" si="111"/>
        <v>309.46499999999992</v>
      </c>
      <c r="DJ25">
        <f t="shared" si="112"/>
        <v>343.84999999999997</v>
      </c>
      <c r="DK25">
        <f t="shared" si="113"/>
        <v>0</v>
      </c>
      <c r="DL25">
        <f t="shared" si="114"/>
        <v>309.46499999999992</v>
      </c>
      <c r="DM25">
        <f t="shared" si="115"/>
        <v>0</v>
      </c>
      <c r="DN25">
        <f t="shared" si="116"/>
        <v>412.62</v>
      </c>
      <c r="DO25" s="6">
        <f>Constants!$C$10</f>
        <v>0.55000000000000004</v>
      </c>
      <c r="DP25" s="6">
        <f>Constants!$C$11</f>
        <v>0.2</v>
      </c>
      <c r="DQ25" s="6">
        <f>Constants!$C$12</f>
        <v>0.3</v>
      </c>
      <c r="DR25" s="6">
        <f>Constants!$C$13</f>
        <v>0</v>
      </c>
      <c r="DS25" s="6">
        <f>Constants!$C$14</f>
        <v>0.125</v>
      </c>
      <c r="DT25" s="6">
        <f>Constants!$C$15</f>
        <v>0.25</v>
      </c>
      <c r="DU25" s="6">
        <f>Constants!$D$10</f>
        <v>0</v>
      </c>
      <c r="DV25" s="6">
        <f>Constants!$D$11</f>
        <v>5.0000000000000001E-3</v>
      </c>
      <c r="DW25" s="6">
        <f>Constants!$D$12</f>
        <v>0.02</v>
      </c>
      <c r="DX25" s="6">
        <f>Constants!$D$13</f>
        <v>0</v>
      </c>
      <c r="DY25" s="6">
        <f>Constants!$D$14</f>
        <v>0.01</v>
      </c>
      <c r="DZ25" s="6">
        <f>Constants!$D$15</f>
        <v>2E-3</v>
      </c>
      <c r="EA25">
        <f>Constants!$B$23</f>
        <v>1.57</v>
      </c>
      <c r="EB25">
        <f t="shared" si="117"/>
        <v>0</v>
      </c>
      <c r="EC25">
        <f t="shared" si="118"/>
        <v>2.6992224999999999</v>
      </c>
      <c r="ED25">
        <f t="shared" si="119"/>
        <v>0</v>
      </c>
      <c r="EE25">
        <f t="shared" si="120"/>
        <v>0</v>
      </c>
      <c r="EF25">
        <f t="shared" si="121"/>
        <v>0</v>
      </c>
      <c r="EG25">
        <f t="shared" si="122"/>
        <v>1.2956268</v>
      </c>
      <c r="EH25">
        <f t="shared" si="123"/>
        <v>139.25924999999995</v>
      </c>
      <c r="EI25">
        <f>DJ25*(1-DP25-DV25)</f>
        <v>273.36075</v>
      </c>
      <c r="EJ25">
        <f t="shared" si="125"/>
        <v>309.46499999999992</v>
      </c>
      <c r="EK25">
        <f t="shared" si="126"/>
        <v>0</v>
      </c>
      <c r="EL25">
        <f t="shared" si="127"/>
        <v>308.63976000000002</v>
      </c>
      <c r="EM25">
        <f>$EH25*Z25+$EI25*AE25+$EJ25*AJ25+$EK25*AO25+$EL25*AT25</f>
        <v>120.010527</v>
      </c>
      <c r="EN25">
        <f t="shared" si="129"/>
        <v>137.54687699999999</v>
      </c>
      <c r="EO25">
        <f t="shared" si="130"/>
        <v>144.25195200000002</v>
      </c>
      <c r="EP25">
        <f t="shared" si="131"/>
        <v>216.62549999999993</v>
      </c>
      <c r="EQ25">
        <f t="shared" si="132"/>
        <v>350.56195199999996</v>
      </c>
      <c r="ER25">
        <f t="shared" si="133"/>
        <v>0</v>
      </c>
      <c r="ES25">
        <f t="shared" si="134"/>
        <v>1.0797429844499999</v>
      </c>
      <c r="ET25">
        <f t="shared" si="135"/>
        <v>0</v>
      </c>
      <c r="EU25">
        <f t="shared" si="136"/>
        <v>0.68020406999999983</v>
      </c>
      <c r="EV25">
        <f t="shared" si="137"/>
        <v>0</v>
      </c>
      <c r="EW25">
        <f t="shared" si="56"/>
        <v>5.7547963544499993E-3</v>
      </c>
      <c r="EY25">
        <f t="shared" si="154"/>
        <v>170.20574999999997</v>
      </c>
      <c r="EZ25">
        <f t="shared" si="155"/>
        <v>68.77</v>
      </c>
      <c r="FA25">
        <f t="shared" si="156"/>
        <v>0</v>
      </c>
      <c r="FB25">
        <f t="shared" si="157"/>
        <v>0</v>
      </c>
      <c r="FC25">
        <f t="shared" si="158"/>
        <v>0</v>
      </c>
      <c r="FD25">
        <f t="shared" si="159"/>
        <v>103.155</v>
      </c>
      <c r="FE25">
        <f t="shared" si="160"/>
        <v>66.005789849999999</v>
      </c>
      <c r="FF25">
        <f t="shared" si="161"/>
        <v>27.5093754</v>
      </c>
      <c r="FG25">
        <f t="shared" si="162"/>
        <v>0</v>
      </c>
      <c r="FH25">
        <f t="shared" si="163"/>
        <v>54.156374999999983</v>
      </c>
      <c r="FI25">
        <f t="shared" si="164"/>
        <v>0</v>
      </c>
      <c r="FJ25">
        <f t="shared" si="68"/>
        <v>489.80229024999988</v>
      </c>
      <c r="FK25">
        <f>_xlfn.XLOOKUP(C25, Constants!$D$19:$D$23, Constants!$E$19:$E$23)</f>
        <v>2.8999999999999998E-3</v>
      </c>
      <c r="FL25">
        <f t="shared" si="69"/>
        <v>2.2300698275082493E-3</v>
      </c>
      <c r="FN25">
        <f>Constants!$B$24</f>
        <v>1.0999999999999999E-2</v>
      </c>
      <c r="FO25">
        <f t="shared" si="149"/>
        <v>0</v>
      </c>
      <c r="FP25">
        <f>Constants!$B$25</f>
        <v>0.02</v>
      </c>
      <c r="FQ25">
        <f t="shared" si="8"/>
        <v>0</v>
      </c>
      <c r="FR25">
        <f t="shared" si="9"/>
        <v>0</v>
      </c>
    </row>
    <row r="26" spans="1:175" s="2" customFormat="1" x14ac:dyDescent="0.2">
      <c r="A26" s="2" t="s">
        <v>40</v>
      </c>
      <c r="C26" t="s">
        <v>78</v>
      </c>
      <c r="D26" s="2" t="b">
        <v>0</v>
      </c>
      <c r="E26" s="2" t="s">
        <v>28</v>
      </c>
      <c r="F26" s="2">
        <v>999</v>
      </c>
      <c r="G26" s="2">
        <v>299</v>
      </c>
      <c r="M26" s="2">
        <v>0.5</v>
      </c>
      <c r="O26" s="2">
        <v>0.5</v>
      </c>
      <c r="Q26" s="2" t="b">
        <v>1</v>
      </c>
      <c r="T26" s="2" t="b">
        <v>1</v>
      </c>
      <c r="W26" s="2" t="b">
        <v>1</v>
      </c>
      <c r="Z26" s="22"/>
      <c r="AA26" s="2">
        <v>0.1</v>
      </c>
      <c r="AB26" s="2">
        <v>0.2</v>
      </c>
      <c r="AC26" s="2">
        <v>0.3</v>
      </c>
      <c r="AD26" s="26">
        <v>0.4</v>
      </c>
      <c r="AE26" s="2">
        <v>0.1</v>
      </c>
      <c r="AF26" s="19"/>
      <c r="AG26" s="2">
        <v>0.2</v>
      </c>
      <c r="AH26" s="2">
        <v>0.3</v>
      </c>
      <c r="AI26" s="26">
        <v>0.4</v>
      </c>
      <c r="AJ26" s="2">
        <v>0.1</v>
      </c>
      <c r="AK26" s="2">
        <v>0.2</v>
      </c>
      <c r="AL26" s="19"/>
      <c r="AM26" s="2">
        <v>0.3</v>
      </c>
      <c r="AN26" s="26">
        <v>0.4</v>
      </c>
      <c r="AO26" s="25">
        <v>0.2</v>
      </c>
      <c r="AP26" s="2">
        <v>0.2</v>
      </c>
      <c r="AQ26" s="2">
        <v>0.2</v>
      </c>
      <c r="AR26" s="2">
        <v>0.2</v>
      </c>
      <c r="AS26" s="2">
        <v>0.2</v>
      </c>
      <c r="AT26" s="25">
        <v>0.2</v>
      </c>
      <c r="AU26" s="2">
        <v>0.2</v>
      </c>
      <c r="AV26" s="2">
        <v>0.2</v>
      </c>
      <c r="AW26" s="19"/>
      <c r="AX26" s="2">
        <v>0.2</v>
      </c>
      <c r="AY26" s="25">
        <f>IF(H26&lt;&gt;"", H26, _xlfn.XLOOKUP($E26,Constants!$A$3:$A$6, Constants!B$3:B$6))</f>
        <v>1.71</v>
      </c>
      <c r="AZ26" s="2">
        <f>IF(I26&lt;&gt;"", I26, _xlfn.XLOOKUP($E26,Constants!$A$3:$A$6, Constants!C$3:C$6))</f>
        <v>0.39</v>
      </c>
      <c r="BA26" s="2">
        <f>IF(J26&lt;&gt;"", J26, _xlfn.XLOOKUP($E26,Constants!$A$3:$A$6, Constants!D$3:D$6))</f>
        <v>3.1E-2</v>
      </c>
      <c r="BB26" s="2">
        <f>IF(R26&lt;&gt;"", R26, IF(Q26, Constants!$B$19, 0))</f>
        <v>0.25</v>
      </c>
      <c r="BC26" s="2">
        <f>IF(U26&lt;&gt;"", U26,  IF(T26, Constants!$B$19, 0))</f>
        <v>0.25</v>
      </c>
      <c r="BD26" s="2">
        <f>IF(X26&lt;&gt;"", X26,  IF(W26, Constants!$B$19, 0))</f>
        <v>0.25</v>
      </c>
      <c r="BE26" s="2">
        <f>IF(S26&lt;&gt;"", S26, IF(Q26, Constants!$B$20, 0))</f>
        <v>0.25</v>
      </c>
      <c r="BF26" s="2">
        <f>IF(V26&lt;&gt;"", V26, IF(T26, Constants!$B$20, 0))</f>
        <v>0.25</v>
      </c>
      <c r="BG26" s="2">
        <f>IF(Y26&lt;&gt;"", Y26,  IF(W26, Constants!$B$20, 0))</f>
        <v>0.25</v>
      </c>
      <c r="BH26" s="2">
        <f t="shared" si="92"/>
        <v>0</v>
      </c>
      <c r="BI26" s="2">
        <f t="shared" si="93"/>
        <v>0</v>
      </c>
      <c r="BJ26" s="2">
        <f t="shared" si="94"/>
        <v>0.5</v>
      </c>
      <c r="BK26" s="2">
        <f t="shared" si="95"/>
        <v>0</v>
      </c>
      <c r="BL26" s="2">
        <f t="shared" si="96"/>
        <v>0.5</v>
      </c>
      <c r="BM26" s="2">
        <f t="shared" si="97"/>
        <v>0</v>
      </c>
      <c r="BN26" s="2">
        <f>Constants!$B$21</f>
        <v>0.45</v>
      </c>
      <c r="BO26" s="2">
        <f>Constants!$B$22</f>
        <v>0.6784</v>
      </c>
      <c r="BP26" s="2">
        <f>_xlfn.XLOOKUP($A26,Constants!$F$9:$M$9,Constants!$F$10:$M$10)</f>
        <v>0.76</v>
      </c>
      <c r="BQ26" s="2">
        <f>_xlfn.XLOOKUP($A26,Constants!$F$9:$M$9,Constants!$F$11:$M$11)</f>
        <v>0.02</v>
      </c>
      <c r="BR26" s="2">
        <f>_xlfn.XLOOKUP($A26,Constants!$F$9:$M$9,Constants!$F$12:$M$12)</f>
        <v>0.01</v>
      </c>
      <c r="BS26" s="2">
        <f>_xlfn.XLOOKUP($A26,Constants!$F$9:$M$9,Constants!$F$13:$M$13)</f>
        <v>0.1</v>
      </c>
      <c r="BT26" s="2">
        <f>_xlfn.XLOOKUP($A26,Constants!$F$9:$M$9,Constants!$F$14:$M$14)</f>
        <v>0.04</v>
      </c>
      <c r="BU26" s="2">
        <f>_xlfn.XLOOKUP($A26,Constants!$F$9:$M$9,Constants!$F$15:$M$15)</f>
        <v>0.03</v>
      </c>
      <c r="BV26" s="2">
        <f>_xlfn.XLOOKUP($A26,Constants!$F$9:$M$9,Constants!$F$16:$M$16)</f>
        <v>0</v>
      </c>
      <c r="BW26" s="2">
        <f t="shared" si="71"/>
        <v>0</v>
      </c>
      <c r="BX26" s="2">
        <f t="shared" si="72"/>
        <v>0</v>
      </c>
      <c r="BY26" s="2">
        <f t="shared" si="98"/>
        <v>5.9529600000000004E-4</v>
      </c>
      <c r="BZ26" s="2">
        <f t="shared" si="73"/>
        <v>0</v>
      </c>
      <c r="CA26" s="2">
        <f t="shared" si="74"/>
        <v>2.3811840000000002E-3</v>
      </c>
      <c r="CB26" s="2">
        <f t="shared" si="75"/>
        <v>0</v>
      </c>
      <c r="CC26" s="2">
        <f t="shared" si="76"/>
        <v>0.88907755247999998</v>
      </c>
      <c r="CD26" s="2">
        <f>Constants!$E$10</f>
        <v>0</v>
      </c>
      <c r="CE26" s="2">
        <f>Constants!$E$11</f>
        <v>0</v>
      </c>
      <c r="CF26" s="2">
        <f>Constants!$E$13</f>
        <v>0.75</v>
      </c>
      <c r="CG26" s="2">
        <f>Constants!$E$14</f>
        <v>0.05</v>
      </c>
      <c r="CH26" s="2">
        <f>Constants!$E$15</f>
        <v>0</v>
      </c>
      <c r="CI26" s="2">
        <f t="shared" si="77"/>
        <v>0</v>
      </c>
      <c r="CJ26" s="2">
        <f t="shared" si="78"/>
        <v>0</v>
      </c>
      <c r="CK26" s="2">
        <f t="shared" si="79"/>
        <v>0</v>
      </c>
      <c r="CL26" s="2">
        <f t="shared" si="80"/>
        <v>0.47499999999999998</v>
      </c>
      <c r="CM26" s="2">
        <f t="shared" si="81"/>
        <v>0</v>
      </c>
      <c r="CN26" s="2">
        <f t="shared" si="82"/>
        <v>0</v>
      </c>
      <c r="CO26" s="2">
        <f t="shared" si="83"/>
        <v>9.5000000000000001E-2</v>
      </c>
      <c r="CP26" s="2">
        <f t="shared" si="84"/>
        <v>9.5000000000000001E-2</v>
      </c>
      <c r="CQ26" s="2">
        <f t="shared" si="85"/>
        <v>9.5000000000000001E-2</v>
      </c>
      <c r="CR26" s="2">
        <f t="shared" si="86"/>
        <v>9.5000000000000001E-2</v>
      </c>
      <c r="CS26" s="2">
        <f t="shared" si="87"/>
        <v>9.5000000000000001E-2</v>
      </c>
      <c r="CT26" s="2">
        <f t="shared" si="99"/>
        <v>8.5960742400000012E-3</v>
      </c>
      <c r="CU26" s="2">
        <f t="shared" si="100"/>
        <v>2.2621248000000003E-4</v>
      </c>
      <c r="CV26" s="2">
        <f t="shared" si="101"/>
        <v>1.1310624000000001E-3</v>
      </c>
      <c r="CW26" s="2">
        <f t="shared" si="102"/>
        <v>3.3931872000000002E-4</v>
      </c>
      <c r="CX26" s="2">
        <f t="shared" si="103"/>
        <v>0</v>
      </c>
      <c r="CY26" s="2">
        <f t="shared" si="88"/>
        <v>3.0744301764758406</v>
      </c>
      <c r="CZ26" s="2">
        <f t="shared" si="104"/>
        <v>3.9635077289558405</v>
      </c>
      <c r="DB26" s="2">
        <f t="shared" si="22"/>
        <v>9259.7309999999998</v>
      </c>
      <c r="DC26" s="2">
        <f t="shared" si="105"/>
        <v>0</v>
      </c>
      <c r="DD26" s="2">
        <f t="shared" si="106"/>
        <v>0</v>
      </c>
      <c r="DE26" s="2">
        <f t="shared" si="107"/>
        <v>0.5</v>
      </c>
      <c r="DF26" s="2">
        <f t="shared" si="108"/>
        <v>0</v>
      </c>
      <c r="DG26" s="2">
        <f t="shared" si="109"/>
        <v>0.5</v>
      </c>
      <c r="DH26" s="2">
        <f t="shared" si="110"/>
        <v>0</v>
      </c>
      <c r="DI26" s="2">
        <f t="shared" si="111"/>
        <v>0</v>
      </c>
      <c r="DJ26" s="2">
        <f t="shared" si="112"/>
        <v>0</v>
      </c>
      <c r="DK26" s="2">
        <f t="shared" si="113"/>
        <v>4629.8654999999999</v>
      </c>
      <c r="DL26" s="2">
        <f t="shared" si="114"/>
        <v>0</v>
      </c>
      <c r="DM26" s="2">
        <f t="shared" si="115"/>
        <v>4629.8654999999999</v>
      </c>
      <c r="DN26" s="2">
        <f t="shared" si="116"/>
        <v>0</v>
      </c>
      <c r="DO26" s="13">
        <f>Constants!$C$10</f>
        <v>0.55000000000000004</v>
      </c>
      <c r="DP26" s="13">
        <f>Constants!$C$11</f>
        <v>0.2</v>
      </c>
      <c r="DQ26" s="13">
        <f>Constants!$C$12</f>
        <v>0.3</v>
      </c>
      <c r="DR26" s="13">
        <f>Constants!$C$13</f>
        <v>0</v>
      </c>
      <c r="DS26" s="13">
        <f>Constants!$C$14</f>
        <v>0.125</v>
      </c>
      <c r="DT26" s="13">
        <f>Constants!$C$15</f>
        <v>0.25</v>
      </c>
      <c r="DU26" s="13">
        <f>Constants!$D$10</f>
        <v>0</v>
      </c>
      <c r="DV26" s="13">
        <f>Constants!$D$11</f>
        <v>5.0000000000000001E-3</v>
      </c>
      <c r="DW26" s="13">
        <f>Constants!$D$12</f>
        <v>0.02</v>
      </c>
      <c r="DX26" s="13">
        <f>Constants!$D$13</f>
        <v>0</v>
      </c>
      <c r="DY26" s="13">
        <f>Constants!$D$14</f>
        <v>0.01</v>
      </c>
      <c r="DZ26" s="13">
        <f>Constants!$D$15</f>
        <v>2E-3</v>
      </c>
      <c r="EA26" s="2">
        <f>Constants!$B$23</f>
        <v>1.57</v>
      </c>
      <c r="EB26" s="2">
        <f t="shared" si="117"/>
        <v>0</v>
      </c>
      <c r="EC26" s="2">
        <f t="shared" si="118"/>
        <v>0</v>
      </c>
      <c r="ED26" s="2">
        <f t="shared" si="119"/>
        <v>145.3777767</v>
      </c>
      <c r="EE26" s="2">
        <f t="shared" si="120"/>
        <v>0</v>
      </c>
      <c r="EF26" s="2">
        <f t="shared" si="121"/>
        <v>72.688888349999999</v>
      </c>
      <c r="EG26" s="2">
        <f t="shared" si="122"/>
        <v>0</v>
      </c>
      <c r="EH26" s="2">
        <f t="shared" si="123"/>
        <v>0</v>
      </c>
      <c r="EI26" s="2">
        <f t="shared" si="124"/>
        <v>0</v>
      </c>
      <c r="EJ26" s="2">
        <f t="shared" si="125"/>
        <v>0</v>
      </c>
      <c r="EK26" s="2">
        <f t="shared" si="126"/>
        <v>4004.8336574999998</v>
      </c>
      <c r="EL26" s="2">
        <f t="shared" si="127"/>
        <v>0</v>
      </c>
      <c r="EM26" s="2">
        <f t="shared" si="128"/>
        <v>800.96673150000004</v>
      </c>
      <c r="EN26" s="2">
        <f t="shared" si="129"/>
        <v>800.96673150000004</v>
      </c>
      <c r="EO26" s="2">
        <f t="shared" si="130"/>
        <v>800.96673150000004</v>
      </c>
      <c r="EP26" s="2">
        <f t="shared" si="131"/>
        <v>800.96673150000004</v>
      </c>
      <c r="EQ26" s="2">
        <f t="shared" si="132"/>
        <v>800.96673150000004</v>
      </c>
      <c r="ER26" s="2">
        <f t="shared" si="133"/>
        <v>0</v>
      </c>
      <c r="ES26" s="2">
        <f t="shared" si="134"/>
        <v>6.2875888422750004</v>
      </c>
      <c r="ET26" s="2">
        <f t="shared" si="135"/>
        <v>0</v>
      </c>
      <c r="EU26" s="2">
        <f t="shared" si="136"/>
        <v>2.5150355369100001</v>
      </c>
      <c r="EV26" s="2">
        <f t="shared" si="137"/>
        <v>0</v>
      </c>
      <c r="EW26" s="2">
        <f t="shared" si="56"/>
        <v>0.22686928942918499</v>
      </c>
      <c r="EY26" s="2">
        <f t="shared" si="154"/>
        <v>0</v>
      </c>
      <c r="EZ26" s="2">
        <f t="shared" si="155"/>
        <v>0</v>
      </c>
      <c r="FA26" s="2">
        <f t="shared" si="156"/>
        <v>1388.95965</v>
      </c>
      <c r="FB26" s="2">
        <f t="shared" si="157"/>
        <v>0</v>
      </c>
      <c r="FC26" s="2">
        <f t="shared" si="158"/>
        <v>578.73318749999999</v>
      </c>
      <c r="FD26" s="2">
        <f t="shared" si="159"/>
        <v>0</v>
      </c>
      <c r="FE26" s="2">
        <f t="shared" si="160"/>
        <v>440.53170232500008</v>
      </c>
      <c r="FF26" s="2">
        <f t="shared" si="161"/>
        <v>160.19334630000003</v>
      </c>
      <c r="FG26" s="2">
        <f t="shared" si="162"/>
        <v>0</v>
      </c>
      <c r="FH26" s="2">
        <f t="shared" si="163"/>
        <v>200.24168287500001</v>
      </c>
      <c r="FI26" s="2">
        <f t="shared" si="164"/>
        <v>0</v>
      </c>
      <c r="FJ26" s="2">
        <f t="shared" si="68"/>
        <v>2768.6595690000004</v>
      </c>
      <c r="FK26" s="2">
        <f>_xlfn.XLOOKUP(C26, Constants!$D$19:$D$23, Constants!$E$19:$E$23)</f>
        <v>2.8999999999999998E-3</v>
      </c>
      <c r="FL26" s="2">
        <f t="shared" si="69"/>
        <v>1.2605707017657002E-2</v>
      </c>
      <c r="FN26" s="2">
        <f>Constants!$B$24</f>
        <v>1.0999999999999999E-2</v>
      </c>
      <c r="FO26" s="2">
        <f t="shared" si="149"/>
        <v>0</v>
      </c>
      <c r="FP26" s="2">
        <f>Constants!$B$25</f>
        <v>0.02</v>
      </c>
      <c r="FQ26" s="2">
        <f t="shared" si="8"/>
        <v>0</v>
      </c>
      <c r="FR26" s="2">
        <f t="shared" si="9"/>
        <v>0</v>
      </c>
    </row>
    <row r="29" spans="1:175" x14ac:dyDescent="0.2">
      <c r="A29" s="1" t="s">
        <v>194</v>
      </c>
      <c r="B29" s="1"/>
      <c r="C29" s="1"/>
      <c r="D29" s="1"/>
      <c r="E29" s="1"/>
      <c r="F29" s="1"/>
      <c r="G29" s="1"/>
      <c r="H29" s="1"/>
    </row>
    <row r="30" spans="1:175" x14ac:dyDescent="0.2">
      <c r="A30" s="1"/>
      <c r="B30" s="1"/>
      <c r="C30" s="1"/>
      <c r="D30" s="1"/>
      <c r="E30" s="1"/>
      <c r="F30" s="1"/>
      <c r="G30" s="1"/>
      <c r="H30" s="1"/>
    </row>
    <row r="31" spans="1:175" x14ac:dyDescent="0.2">
      <c r="A31" s="1" t="s">
        <v>1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/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BH31" s="1" t="s">
        <v>178</v>
      </c>
      <c r="BI31" s="1" t="s">
        <v>178</v>
      </c>
      <c r="BJ31" s="1" t="s">
        <v>178</v>
      </c>
      <c r="BK31" s="1" t="s">
        <v>178</v>
      </c>
      <c r="BL31" s="1" t="s">
        <v>178</v>
      </c>
      <c r="BM31" s="1" t="s">
        <v>178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 t="s">
        <v>179</v>
      </c>
      <c r="BW31" s="1" t="s">
        <v>178</v>
      </c>
      <c r="BX31" s="1" t="s">
        <v>178</v>
      </c>
      <c r="BY31" s="1" t="s">
        <v>178</v>
      </c>
      <c r="BZ31" s="1" t="s">
        <v>178</v>
      </c>
      <c r="CA31" s="1" t="s">
        <v>178</v>
      </c>
      <c r="CB31" s="1" t="s">
        <v>178</v>
      </c>
      <c r="CC31" t="s">
        <v>178</v>
      </c>
      <c r="CD31" s="1" t="s">
        <v>179</v>
      </c>
      <c r="CE31" s="1" t="s">
        <v>179</v>
      </c>
      <c r="CF31" s="1" t="s">
        <v>179</v>
      </c>
      <c r="CG31" s="1" t="s">
        <v>179</v>
      </c>
      <c r="CH31" s="1" t="s">
        <v>179</v>
      </c>
      <c r="CI31" t="s">
        <v>178</v>
      </c>
      <c r="CJ31" t="s">
        <v>178</v>
      </c>
      <c r="CK31" t="s">
        <v>178</v>
      </c>
      <c r="CL31" t="s">
        <v>178</v>
      </c>
      <c r="CM31" t="s">
        <v>178</v>
      </c>
      <c r="CN31" t="s">
        <v>178</v>
      </c>
      <c r="CO31" t="s">
        <v>178</v>
      </c>
      <c r="CP31" t="s">
        <v>178</v>
      </c>
      <c r="CS31" t="s">
        <v>178</v>
      </c>
      <c r="CT31" t="s">
        <v>178</v>
      </c>
      <c r="CU31" t="s">
        <v>178</v>
      </c>
      <c r="CX31" t="s">
        <v>178</v>
      </c>
      <c r="CY31" t="s">
        <v>178</v>
      </c>
      <c r="CZ31" t="s">
        <v>178</v>
      </c>
      <c r="DA31" t="s">
        <v>178</v>
      </c>
      <c r="DB31" s="1" t="s">
        <v>178</v>
      </c>
      <c r="DC31" s="1" t="s">
        <v>178</v>
      </c>
      <c r="DD31" s="1" t="s">
        <v>178</v>
      </c>
      <c r="DE31" s="1" t="s">
        <v>178</v>
      </c>
      <c r="DF31" s="1" t="s">
        <v>178</v>
      </c>
      <c r="DG31" s="1" t="s">
        <v>178</v>
      </c>
      <c r="DH31" s="1" t="s">
        <v>178</v>
      </c>
      <c r="DI31" s="1" t="s">
        <v>178</v>
      </c>
      <c r="DJ31" s="1" t="s">
        <v>178</v>
      </c>
      <c r="DK31" s="1" t="s">
        <v>178</v>
      </c>
      <c r="DL31" s="1" t="s">
        <v>178</v>
      </c>
      <c r="DM31" s="1" t="s">
        <v>178</v>
      </c>
      <c r="DN31" s="1" t="s">
        <v>178</v>
      </c>
      <c r="DO31" s="1" t="s">
        <v>179</v>
      </c>
      <c r="DP31" s="1" t="s">
        <v>179</v>
      </c>
      <c r="DQ31" s="1" t="s">
        <v>179</v>
      </c>
      <c r="DR31" s="1" t="s">
        <v>179</v>
      </c>
      <c r="DS31" s="1" t="s">
        <v>179</v>
      </c>
      <c r="DT31" s="1" t="s">
        <v>179</v>
      </c>
      <c r="DU31" s="1" t="s">
        <v>179</v>
      </c>
      <c r="DV31" s="1" t="s">
        <v>179</v>
      </c>
      <c r="DW31" s="1" t="s">
        <v>179</v>
      </c>
      <c r="DX31" s="1" t="s">
        <v>179</v>
      </c>
      <c r="DY31" s="1" t="s">
        <v>179</v>
      </c>
      <c r="DZ31" s="1" t="s">
        <v>179</v>
      </c>
      <c r="EA31" s="1" t="s">
        <v>179</v>
      </c>
      <c r="EB31" s="8" t="s">
        <v>178</v>
      </c>
      <c r="EC31" s="8" t="s">
        <v>178</v>
      </c>
      <c r="ED31" s="8" t="s">
        <v>178</v>
      </c>
      <c r="EE31" s="8" t="s">
        <v>178</v>
      </c>
      <c r="EF31" s="8" t="s">
        <v>178</v>
      </c>
      <c r="EG31" s="8" t="s">
        <v>178</v>
      </c>
    </row>
    <row r="32" spans="1:175" x14ac:dyDescent="0.2">
      <c r="A32" s="1"/>
      <c r="B32" s="1"/>
      <c r="C32" s="1"/>
      <c r="D32" s="1"/>
      <c r="E32" s="1"/>
      <c r="F32" s="1"/>
      <c r="G32" s="1"/>
      <c r="H32" s="1"/>
    </row>
    <row r="33" spans="1:175" x14ac:dyDescent="0.2">
      <c r="A33" s="1"/>
      <c r="B33" s="1"/>
      <c r="C33" s="1"/>
      <c r="D33" s="1"/>
      <c r="E33" s="1"/>
      <c r="F33" s="1"/>
      <c r="G33" s="1"/>
      <c r="H33" s="1"/>
      <c r="DC33" t="s">
        <v>188</v>
      </c>
      <c r="DD33" t="s">
        <v>189</v>
      </c>
    </row>
    <row r="34" spans="1:175" x14ac:dyDescent="0.2">
      <c r="A34" s="1"/>
      <c r="B34" s="1"/>
      <c r="C34" s="1"/>
      <c r="D34" s="1"/>
      <c r="E34" s="1"/>
      <c r="F34" s="1"/>
      <c r="G34" s="1"/>
      <c r="H34" s="1" t="s">
        <v>195</v>
      </c>
      <c r="BH34" t="s">
        <v>180</v>
      </c>
      <c r="BI34" t="s">
        <v>182</v>
      </c>
      <c r="BW34" t="s">
        <v>177</v>
      </c>
      <c r="DA34" t="s">
        <v>176</v>
      </c>
      <c r="DB34" t="s">
        <v>187</v>
      </c>
      <c r="DI34" t="s">
        <v>190</v>
      </c>
    </row>
    <row r="35" spans="1:175" x14ac:dyDescent="0.2">
      <c r="A35" s="1" t="s">
        <v>2</v>
      </c>
      <c r="B35" s="1" t="s">
        <v>3</v>
      </c>
      <c r="C35" s="1" t="s">
        <v>4</v>
      </c>
      <c r="D35" s="1" t="s">
        <v>5</v>
      </c>
      <c r="E35" s="1" t="s">
        <v>10</v>
      </c>
      <c r="F35" s="1" t="s">
        <v>6</v>
      </c>
      <c r="G35" s="1" t="s">
        <v>7</v>
      </c>
      <c r="H35" s="1" t="s">
        <v>113</v>
      </c>
      <c r="I35" s="1" t="s">
        <v>115</v>
      </c>
      <c r="J35" s="1" t="s">
        <v>116</v>
      </c>
      <c r="K35" t="s">
        <v>29</v>
      </c>
      <c r="L35" t="s">
        <v>30</v>
      </c>
      <c r="M35" t="s">
        <v>31</v>
      </c>
      <c r="N35" t="s">
        <v>32</v>
      </c>
      <c r="O35" t="s">
        <v>33</v>
      </c>
      <c r="P35" t="s">
        <v>34</v>
      </c>
      <c r="Q35" t="s">
        <v>36</v>
      </c>
      <c r="R35" t="s">
        <v>37</v>
      </c>
      <c r="S35" t="s">
        <v>38</v>
      </c>
      <c r="T35" t="s">
        <v>36</v>
      </c>
      <c r="U35" t="s">
        <v>37</v>
      </c>
      <c r="V35" t="s">
        <v>38</v>
      </c>
      <c r="W35" t="s">
        <v>36</v>
      </c>
      <c r="X35" t="s">
        <v>37</v>
      </c>
      <c r="Y35" t="s">
        <v>38</v>
      </c>
      <c r="Z35" s="21" t="s">
        <v>29</v>
      </c>
      <c r="AA35" t="s">
        <v>30</v>
      </c>
      <c r="AB35" t="s">
        <v>32</v>
      </c>
      <c r="AC35" t="s">
        <v>34</v>
      </c>
      <c r="AD35" t="s">
        <v>213</v>
      </c>
      <c r="AE35" s="21" t="s">
        <v>29</v>
      </c>
      <c r="AF35" t="s">
        <v>30</v>
      </c>
      <c r="AG35" t="s">
        <v>32</v>
      </c>
      <c r="AH35" t="s">
        <v>34</v>
      </c>
      <c r="AI35" t="s">
        <v>213</v>
      </c>
      <c r="AJ35" s="21" t="s">
        <v>29</v>
      </c>
      <c r="AK35" t="s">
        <v>30</v>
      </c>
      <c r="AL35" t="s">
        <v>32</v>
      </c>
      <c r="AM35" t="s">
        <v>34</v>
      </c>
      <c r="AN35" t="s">
        <v>213</v>
      </c>
      <c r="AO35" s="21" t="s">
        <v>29</v>
      </c>
      <c r="AP35" t="s">
        <v>30</v>
      </c>
      <c r="AQ35" t="s">
        <v>32</v>
      </c>
      <c r="AR35" t="s">
        <v>34</v>
      </c>
      <c r="AS35" t="s">
        <v>213</v>
      </c>
      <c r="AT35" s="21" t="s">
        <v>29</v>
      </c>
      <c r="AU35" t="s">
        <v>30</v>
      </c>
      <c r="AV35" t="s">
        <v>32</v>
      </c>
      <c r="AW35" t="s">
        <v>34</v>
      </c>
      <c r="AX35" t="s">
        <v>213</v>
      </c>
      <c r="AY35" s="30" t="s">
        <v>113</v>
      </c>
      <c r="AZ35" s="1" t="s">
        <v>115</v>
      </c>
      <c r="BA35" s="1" t="s">
        <v>116</v>
      </c>
      <c r="BB35" s="1"/>
      <c r="BC35" s="1"/>
      <c r="BD35" s="1"/>
      <c r="BE35" s="1"/>
      <c r="BF35" s="1"/>
      <c r="BG35" s="1"/>
      <c r="DB35" t="s">
        <v>183</v>
      </c>
      <c r="DC35" t="s">
        <v>184</v>
      </c>
      <c r="DI35" t="s">
        <v>185</v>
      </c>
    </row>
    <row r="36" spans="1:175" x14ac:dyDescent="0.2">
      <c r="A36" s="1"/>
      <c r="B36" s="1"/>
      <c r="C36" s="1"/>
      <c r="D36" s="1"/>
      <c r="E36" s="1"/>
      <c r="F36" s="1"/>
      <c r="G36" s="1"/>
      <c r="H36" s="1"/>
      <c r="Q36" t="s">
        <v>196</v>
      </c>
      <c r="T36" t="s">
        <v>198</v>
      </c>
      <c r="W36" t="s">
        <v>201</v>
      </c>
      <c r="Z36" s="21" t="s">
        <v>214</v>
      </c>
      <c r="AE36" s="21" t="s">
        <v>215</v>
      </c>
      <c r="AJ36" s="21" t="s">
        <v>216</v>
      </c>
      <c r="AO36" s="21" t="s">
        <v>217</v>
      </c>
      <c r="AT36" s="21" t="s">
        <v>218</v>
      </c>
      <c r="AY36" s="30"/>
      <c r="DC36" t="s">
        <v>29</v>
      </c>
      <c r="DD36" t="s">
        <v>30</v>
      </c>
      <c r="DE36" t="s">
        <v>31</v>
      </c>
      <c r="DF36" t="s">
        <v>32</v>
      </c>
      <c r="DG36" t="s">
        <v>33</v>
      </c>
      <c r="DH36" t="s">
        <v>34</v>
      </c>
      <c r="DI36" t="s">
        <v>29</v>
      </c>
      <c r="DJ36" t="s">
        <v>30</v>
      </c>
      <c r="DK36" t="s">
        <v>31</v>
      </c>
      <c r="DL36" t="s">
        <v>32</v>
      </c>
      <c r="DM36" t="s">
        <v>33</v>
      </c>
      <c r="DN36" t="s">
        <v>34</v>
      </c>
      <c r="DO36" t="s">
        <v>29</v>
      </c>
      <c r="DP36" t="s">
        <v>30</v>
      </c>
      <c r="DQ36" t="s">
        <v>31</v>
      </c>
      <c r="DR36" t="s">
        <v>32</v>
      </c>
      <c r="DS36" t="s">
        <v>33</v>
      </c>
      <c r="DT36" t="s">
        <v>34</v>
      </c>
      <c r="DU36" t="s">
        <v>29</v>
      </c>
      <c r="DV36" t="s">
        <v>30</v>
      </c>
      <c r="DW36" t="s">
        <v>31</v>
      </c>
      <c r="DX36" t="s">
        <v>32</v>
      </c>
      <c r="DY36" t="s">
        <v>33</v>
      </c>
      <c r="DZ36" t="s">
        <v>34</v>
      </c>
      <c r="EB36" t="s">
        <v>169</v>
      </c>
      <c r="EY36" t="s">
        <v>169</v>
      </c>
      <c r="FE36" t="s">
        <v>168</v>
      </c>
      <c r="FJ36" t="s">
        <v>240</v>
      </c>
    </row>
    <row r="37" spans="1:175" x14ac:dyDescent="0.2">
      <c r="A37" s="3" t="s">
        <v>8</v>
      </c>
      <c r="B37" s="3" t="s">
        <v>8</v>
      </c>
      <c r="C37" s="3"/>
      <c r="D37" s="3" t="s">
        <v>9</v>
      </c>
      <c r="E37" s="3" t="s">
        <v>13</v>
      </c>
      <c r="F37" s="3" t="s">
        <v>11</v>
      </c>
      <c r="G37" s="3" t="s">
        <v>12</v>
      </c>
      <c r="H37" s="3" t="s">
        <v>112</v>
      </c>
      <c r="I37" s="3" t="s">
        <v>16</v>
      </c>
      <c r="J37" s="3" t="s">
        <v>15</v>
      </c>
      <c r="K37" s="3" t="s">
        <v>18</v>
      </c>
      <c r="L37" s="3" t="s">
        <v>19</v>
      </c>
      <c r="M37" s="3" t="s">
        <v>17</v>
      </c>
      <c r="N37" s="3" t="s">
        <v>20</v>
      </c>
      <c r="O37" s="3" t="s">
        <v>21</v>
      </c>
      <c r="P37" s="3" t="s">
        <v>22</v>
      </c>
      <c r="Q37" s="3" t="s">
        <v>35</v>
      </c>
      <c r="R37" s="3" t="s">
        <v>202</v>
      </c>
      <c r="S37" s="3" t="s">
        <v>203</v>
      </c>
      <c r="T37" s="3" t="s">
        <v>35</v>
      </c>
      <c r="U37" s="3" t="s">
        <v>204</v>
      </c>
      <c r="V37" s="3" t="s">
        <v>205</v>
      </c>
      <c r="W37" s="3" t="s">
        <v>35</v>
      </c>
      <c r="X37" s="3" t="s">
        <v>206</v>
      </c>
      <c r="Y37" s="3" t="s">
        <v>207</v>
      </c>
      <c r="Z37" s="22"/>
      <c r="AA37" s="17" t="s">
        <v>209</v>
      </c>
      <c r="AB37" s="17" t="s">
        <v>210</v>
      </c>
      <c r="AC37" s="17" t="s">
        <v>211</v>
      </c>
      <c r="AD37" s="17" t="s">
        <v>212</v>
      </c>
      <c r="AE37" s="24" t="s">
        <v>208</v>
      </c>
      <c r="AF37" s="19"/>
      <c r="AG37" s="17" t="s">
        <v>210</v>
      </c>
      <c r="AH37" s="17" t="s">
        <v>211</v>
      </c>
      <c r="AI37" s="17" t="s">
        <v>212</v>
      </c>
      <c r="AJ37" s="24" t="s">
        <v>208</v>
      </c>
      <c r="AK37" s="17" t="s">
        <v>209</v>
      </c>
      <c r="AL37" s="19"/>
      <c r="AM37" s="17" t="s">
        <v>211</v>
      </c>
      <c r="AN37" s="17" t="s">
        <v>212</v>
      </c>
      <c r="AO37" s="24" t="s">
        <v>208</v>
      </c>
      <c r="AP37" s="17" t="s">
        <v>209</v>
      </c>
      <c r="AQ37" s="17" t="s">
        <v>210</v>
      </c>
      <c r="AR37" s="17" t="s">
        <v>211</v>
      </c>
      <c r="AS37" s="17" t="s">
        <v>212</v>
      </c>
      <c r="AT37" s="24" t="s">
        <v>208</v>
      </c>
      <c r="AU37" s="17" t="s">
        <v>209</v>
      </c>
      <c r="AV37" s="17" t="s">
        <v>210</v>
      </c>
      <c r="AW37" s="19"/>
      <c r="AX37" s="17" t="s">
        <v>212</v>
      </c>
      <c r="AY37" s="31" t="s">
        <v>112</v>
      </c>
      <c r="AZ37" s="3" t="s">
        <v>16</v>
      </c>
      <c r="BA37" s="3" t="s">
        <v>15</v>
      </c>
      <c r="BB37" s="3" t="s">
        <v>202</v>
      </c>
      <c r="BC37" s="3" t="s">
        <v>204</v>
      </c>
      <c r="BD37" s="3" t="s">
        <v>206</v>
      </c>
      <c r="BE37" s="3" t="s">
        <v>203</v>
      </c>
      <c r="BF37" s="3" t="s">
        <v>205</v>
      </c>
      <c r="BG37" s="3" t="s">
        <v>207</v>
      </c>
      <c r="BH37" s="3" t="s">
        <v>80</v>
      </c>
      <c r="BI37" s="14" t="s">
        <v>85</v>
      </c>
      <c r="BJ37" s="3" t="s">
        <v>81</v>
      </c>
      <c r="BK37" s="14" t="s">
        <v>82</v>
      </c>
      <c r="BL37" s="14" t="s">
        <v>83</v>
      </c>
      <c r="BM37" s="14" t="s">
        <v>84</v>
      </c>
      <c r="BN37" s="14" t="s">
        <v>243</v>
      </c>
      <c r="BO37" s="14" t="s">
        <v>70</v>
      </c>
      <c r="BP37" s="14" t="s">
        <v>92</v>
      </c>
      <c r="BQ37" s="14" t="s">
        <v>97</v>
      </c>
      <c r="BR37" s="14" t="s">
        <v>93</v>
      </c>
      <c r="BS37" s="14" t="s">
        <v>94</v>
      </c>
      <c r="BT37" s="14" t="s">
        <v>95</v>
      </c>
      <c r="BU37" s="14" t="s">
        <v>96</v>
      </c>
      <c r="BV37" s="14" t="s">
        <v>105</v>
      </c>
      <c r="BW37" s="14" t="s">
        <v>86</v>
      </c>
      <c r="BX37" s="14" t="s">
        <v>91</v>
      </c>
      <c r="BY37" s="14" t="s">
        <v>87</v>
      </c>
      <c r="BZ37" s="14" t="s">
        <v>88</v>
      </c>
      <c r="CA37" s="14" t="s">
        <v>89</v>
      </c>
      <c r="CB37" s="14" t="s">
        <v>90</v>
      </c>
      <c r="CC37" s="15" t="s">
        <v>98</v>
      </c>
      <c r="CD37" s="14" t="s">
        <v>99</v>
      </c>
      <c r="CE37" s="14" t="s">
        <v>103</v>
      </c>
      <c r="CF37" s="14" t="s">
        <v>100</v>
      </c>
      <c r="CG37" s="14" t="s">
        <v>101</v>
      </c>
      <c r="CH37" s="14" t="s">
        <v>102</v>
      </c>
      <c r="CI37" s="14" t="s">
        <v>163</v>
      </c>
      <c r="CJ37" s="14" t="s">
        <v>167</v>
      </c>
      <c r="CK37" s="14" t="s">
        <v>164</v>
      </c>
      <c r="CL37" s="14" t="s">
        <v>165</v>
      </c>
      <c r="CM37" s="14" t="s">
        <v>166</v>
      </c>
      <c r="CN37" s="15" t="s">
        <v>104</v>
      </c>
      <c r="CO37" s="14" t="s">
        <v>170</v>
      </c>
      <c r="CP37" s="14" t="s">
        <v>172</v>
      </c>
      <c r="CQ37" s="14" t="s">
        <v>219</v>
      </c>
      <c r="CR37" s="14" t="s">
        <v>220</v>
      </c>
      <c r="CS37" s="14" t="s">
        <v>171</v>
      </c>
      <c r="CT37" s="14" t="s">
        <v>106</v>
      </c>
      <c r="CU37" s="14" t="s">
        <v>107</v>
      </c>
      <c r="CV37" s="14" t="s">
        <v>221</v>
      </c>
      <c r="CW37" s="14" t="s">
        <v>222</v>
      </c>
      <c r="CX37" s="14" t="s">
        <v>108</v>
      </c>
      <c r="CY37" s="15" t="s">
        <v>109</v>
      </c>
      <c r="CZ37" s="15" t="s">
        <v>110</v>
      </c>
      <c r="DA37" s="15" t="s">
        <v>111</v>
      </c>
      <c r="DB37" s="3" t="s">
        <v>114</v>
      </c>
      <c r="DC37" s="3" t="s">
        <v>117</v>
      </c>
      <c r="DD37" s="14" t="s">
        <v>122</v>
      </c>
      <c r="DE37" s="3" t="s">
        <v>118</v>
      </c>
      <c r="DF37" s="14" t="s">
        <v>119</v>
      </c>
      <c r="DG37" s="14" t="s">
        <v>120</v>
      </c>
      <c r="DH37" s="14" t="s">
        <v>121</v>
      </c>
      <c r="DI37" s="14" t="s">
        <v>140</v>
      </c>
      <c r="DJ37" s="14" t="s">
        <v>145</v>
      </c>
      <c r="DK37" s="14" t="s">
        <v>141</v>
      </c>
      <c r="DL37" s="14" t="s">
        <v>142</v>
      </c>
      <c r="DM37" s="14" t="s">
        <v>143</v>
      </c>
      <c r="DN37" s="14" t="s">
        <v>144</v>
      </c>
      <c r="DO37" s="14" t="s">
        <v>123</v>
      </c>
      <c r="DP37" s="14" t="s">
        <v>124</v>
      </c>
      <c r="DQ37" s="14" t="s">
        <v>125</v>
      </c>
      <c r="DR37" s="14" t="s">
        <v>126</v>
      </c>
      <c r="DS37" s="14" t="s">
        <v>127</v>
      </c>
      <c r="DT37" s="14" t="s">
        <v>128</v>
      </c>
      <c r="DU37" s="14" t="s">
        <v>129</v>
      </c>
      <c r="DV37" s="14" t="s">
        <v>131</v>
      </c>
      <c r="DW37" s="14" t="s">
        <v>130</v>
      </c>
      <c r="DX37" s="14" t="s">
        <v>132</v>
      </c>
      <c r="DY37" s="14" t="s">
        <v>133</v>
      </c>
      <c r="DZ37" s="14" t="s">
        <v>134</v>
      </c>
      <c r="EA37" s="14" t="s">
        <v>71</v>
      </c>
      <c r="EB37" s="15" t="s">
        <v>223</v>
      </c>
      <c r="EC37" s="16" t="s">
        <v>224</v>
      </c>
      <c r="ED37" s="15" t="s">
        <v>225</v>
      </c>
      <c r="EE37" s="15" t="s">
        <v>226</v>
      </c>
      <c r="EF37" s="15" t="s">
        <v>227</v>
      </c>
      <c r="EG37" s="15" t="s">
        <v>228</v>
      </c>
      <c r="EH37" s="14" t="s">
        <v>135</v>
      </c>
      <c r="EI37" s="14" t="s">
        <v>137</v>
      </c>
      <c r="EJ37" s="14" t="s">
        <v>136</v>
      </c>
      <c r="EK37" s="14" t="s">
        <v>138</v>
      </c>
      <c r="EL37" s="14" t="s">
        <v>139</v>
      </c>
      <c r="EM37" s="14" t="s">
        <v>146</v>
      </c>
      <c r="EN37" s="14" t="s">
        <v>147</v>
      </c>
      <c r="EO37" s="14" t="s">
        <v>229</v>
      </c>
      <c r="EP37" s="14" t="s">
        <v>230</v>
      </c>
      <c r="EQ37" s="14" t="s">
        <v>173</v>
      </c>
      <c r="ER37" s="15" t="s">
        <v>231</v>
      </c>
      <c r="ES37" s="16" t="s">
        <v>232</v>
      </c>
      <c r="ET37" s="15" t="s">
        <v>233</v>
      </c>
      <c r="EU37" s="15" t="s">
        <v>234</v>
      </c>
      <c r="EV37" s="15" t="s">
        <v>235</v>
      </c>
      <c r="EW37" s="16" t="s">
        <v>236</v>
      </c>
      <c r="EX37" s="16" t="s">
        <v>148</v>
      </c>
      <c r="EY37" s="33" t="s">
        <v>149</v>
      </c>
      <c r="EZ37" s="33" t="s">
        <v>156</v>
      </c>
      <c r="FA37" s="33" t="s">
        <v>151</v>
      </c>
      <c r="FB37" s="33" t="s">
        <v>152</v>
      </c>
      <c r="FC37" s="33" t="s">
        <v>153</v>
      </c>
      <c r="FD37" s="33" t="s">
        <v>154</v>
      </c>
      <c r="FE37" s="33" t="s">
        <v>150</v>
      </c>
      <c r="FF37" s="33" t="s">
        <v>155</v>
      </c>
      <c r="FG37" s="33" t="s">
        <v>237</v>
      </c>
      <c r="FH37" s="33" t="s">
        <v>239</v>
      </c>
      <c r="FI37" s="33" t="s">
        <v>238</v>
      </c>
      <c r="FJ37" s="33" t="s">
        <v>157</v>
      </c>
      <c r="FK37" s="7" t="s">
        <v>74</v>
      </c>
      <c r="FL37" s="15" t="s">
        <v>159</v>
      </c>
      <c r="FM37" s="15" t="s">
        <v>158</v>
      </c>
      <c r="FN37" s="14" t="s">
        <v>72</v>
      </c>
      <c r="FO37" s="14" t="s">
        <v>160</v>
      </c>
      <c r="FP37" s="14" t="s">
        <v>162</v>
      </c>
      <c r="FQ37" s="14" t="s">
        <v>161</v>
      </c>
      <c r="FR37" s="15" t="s">
        <v>175</v>
      </c>
      <c r="FS37" s="15" t="s">
        <v>174</v>
      </c>
    </row>
    <row r="38" spans="1:175" x14ac:dyDescent="0.2">
      <c r="A38" t="s">
        <v>14</v>
      </c>
      <c r="B38" t="s">
        <v>192</v>
      </c>
      <c r="C38" t="s">
        <v>76</v>
      </c>
      <c r="D38" t="b">
        <v>1</v>
      </c>
      <c r="E38" t="s">
        <v>25</v>
      </c>
      <c r="F38">
        <v>111</v>
      </c>
      <c r="G38">
        <v>105</v>
      </c>
      <c r="I38">
        <v>0.37</v>
      </c>
      <c r="J38">
        <v>0.04</v>
      </c>
      <c r="K38">
        <v>1</v>
      </c>
      <c r="Q38" t="b">
        <v>1</v>
      </c>
      <c r="R38">
        <v>0.3</v>
      </c>
      <c r="S38">
        <v>0.3</v>
      </c>
      <c r="T38" t="b">
        <v>1</v>
      </c>
      <c r="U38">
        <v>0.28999999999999998</v>
      </c>
      <c r="V38">
        <v>0.28999999999999998</v>
      </c>
      <c r="W38" t="b">
        <v>1</v>
      </c>
      <c r="X38">
        <v>0.28000000000000003</v>
      </c>
      <c r="Y38">
        <v>0.28000000000000003</v>
      </c>
      <c r="Z38" s="23"/>
      <c r="AB38">
        <v>0.5</v>
      </c>
      <c r="AD38">
        <v>0.5</v>
      </c>
      <c r="AF38" s="20"/>
      <c r="AH38">
        <v>0.5</v>
      </c>
      <c r="AI38">
        <v>0.5</v>
      </c>
      <c r="AL38" s="20"/>
      <c r="AW38" s="20"/>
      <c r="AY38" s="29">
        <f>IF(H38&lt;&gt;"", H38, _xlfn.XLOOKUP($E38,Constants!$A$3:$A$6, Constants!B$3:B$6))</f>
        <v>2.2999999999999998</v>
      </c>
      <c r="AZ38" s="18">
        <f>IF(I38&lt;&gt;"", I38, _xlfn.XLOOKUP($E38,Constants!$A$3:$A$6, Constants!C$3:C$6))</f>
        <v>0.37</v>
      </c>
      <c r="BA38" s="18">
        <f>IF(J38&lt;&gt;"", J38, _xlfn.XLOOKUP($E38,Constants!$A$3:$A$6, Constants!D$3:D$6))</f>
        <v>0.04</v>
      </c>
      <c r="BB38">
        <f>IF(R38&lt;&gt;"", R38, IF(Q38, Constants!$B$19, 0))</f>
        <v>0.3</v>
      </c>
      <c r="BC38">
        <f>IF(U38&lt;&gt;"", U38,  IF(T38, Constants!$B$19, 0))</f>
        <v>0.28999999999999998</v>
      </c>
      <c r="BD38">
        <f>IF(X38&lt;&gt;"", X38,  IF(W38, Constants!$B$19, 0))</f>
        <v>0.28000000000000003</v>
      </c>
      <c r="BE38" s="18">
        <f>IF(S38&lt;&gt;"", S38, IF(Q38, Constants!$B$20, 0))</f>
        <v>0.3</v>
      </c>
      <c r="BF38" s="18">
        <f>IF(V38&lt;&gt;"", V38, IF(T38, Constants!$B$20, 0))</f>
        <v>0.28999999999999998</v>
      </c>
      <c r="BG38" s="18">
        <f>IF(Y38&lt;&gt;"", Y38,  IF(W38, Constants!$B$20, 0))</f>
        <v>0.28000000000000003</v>
      </c>
      <c r="BH38">
        <f>K38*(1-BB38)</f>
        <v>0.7</v>
      </c>
      <c r="BI38">
        <f>L38+(K38*BB38)+(N38*BC38)+(P38*BD38)</f>
        <v>0.3</v>
      </c>
      <c r="BJ38">
        <f>M38</f>
        <v>0</v>
      </c>
      <c r="BK38">
        <f>N38*(1-BC38)</f>
        <v>0</v>
      </c>
      <c r="BL38">
        <f>O38</f>
        <v>0</v>
      </c>
      <c r="BM38">
        <f>P38*(1-BD38)</f>
        <v>0</v>
      </c>
      <c r="BN38">
        <f>Constants!$B$21</f>
        <v>0.45</v>
      </c>
      <c r="BO38">
        <f>Constants!$B$22</f>
        <v>0.6784</v>
      </c>
      <c r="BP38">
        <f>_xlfn.XLOOKUP($B38,Constants!$G$20:$G$38, Constants!H$20:H$38)</f>
        <v>0.66</v>
      </c>
      <c r="BQ38">
        <f>_xlfn.XLOOKUP($B38,Constants!$G$20:$G$38, Constants!I$20:I$38)</f>
        <v>0.02</v>
      </c>
      <c r="BR38">
        <f>_xlfn.XLOOKUP($A38,Constants!$F$9:$M$9,Constants!$F$12:$M$12)</f>
        <v>0.01</v>
      </c>
      <c r="BS38">
        <f>_xlfn.XLOOKUP($B38,Constants!$G$20:$G$38, Constants!J$20:J$38)</f>
        <v>0.1</v>
      </c>
      <c r="BT38">
        <f>_xlfn.XLOOKUP($B38,Constants!$G$20:$G$38, Constants!K$20:K$38)</f>
        <v>0.04</v>
      </c>
      <c r="BU38">
        <f>_xlfn.XLOOKUP($B38,Constants!$G$20:$G$38, Constants!L$20:L$38)</f>
        <v>0.03</v>
      </c>
      <c r="BV38">
        <f>_xlfn.XLOOKUP($B38,Constants!$G$20:$G$38, Constants!P$20:P$38)</f>
        <v>0</v>
      </c>
      <c r="BW38" s="18">
        <f t="shared" ref="BW38:BW61" si="167">$AZ38*BH38*BP38*$BN38*$BO38</f>
        <v>5.2184563200000006E-2</v>
      </c>
      <c r="BX38" s="18">
        <f t="shared" ref="BX38:BX61" si="168">$AZ38*BI38*BQ38*$BN38*$BO38</f>
        <v>6.7772160000000004E-4</v>
      </c>
      <c r="BY38" s="18">
        <f t="shared" ref="BY38:BY61" si="169">$AZ38*BJ38*BR38*$BN38*$BO38</f>
        <v>0</v>
      </c>
      <c r="BZ38" s="18">
        <f t="shared" ref="BZ38:BZ61" si="170">$AZ38*BK38*BS38*$BN38*$BO38</f>
        <v>0</v>
      </c>
      <c r="CA38" s="18">
        <f t="shared" ref="CA38:CA61" si="171">$AZ38*BL38*BT38*$BN38*$BO38</f>
        <v>0</v>
      </c>
      <c r="CB38" s="18">
        <f t="shared" ref="CB38:CB61" si="172">$AZ38*BM38*BU38*$BN38*$BO38</f>
        <v>0</v>
      </c>
      <c r="CC38">
        <f t="shared" ref="CC38:CC61" si="173">(SUM(BW38:CB38)*F38*G38)/1000</f>
        <v>0.61610992934400011</v>
      </c>
      <c r="CD38">
        <f>Constants!$E$10</f>
        <v>0</v>
      </c>
      <c r="CE38">
        <f>Constants!$E$11</f>
        <v>0</v>
      </c>
      <c r="CF38">
        <f>Constants!$E$13</f>
        <v>0.75</v>
      </c>
      <c r="CG38">
        <f>Constants!$E$14</f>
        <v>0.05</v>
      </c>
      <c r="CH38">
        <f>Constants!$E$15</f>
        <v>0</v>
      </c>
      <c r="CI38">
        <f t="shared" ref="CI38:CI61" si="174">(BH38*(1-CD38))</f>
        <v>0.7</v>
      </c>
      <c r="CJ38">
        <f t="shared" ref="CJ38:CJ61" si="175">(BI38*(1-CE38))</f>
        <v>0.3</v>
      </c>
      <c r="CK38">
        <f t="shared" ref="CK38:CK61" si="176">(BK38*(1-CF38))</f>
        <v>0</v>
      </c>
      <c r="CL38">
        <f t="shared" ref="CL38:CL61" si="177">(BL38*(1-CG38))</f>
        <v>0</v>
      </c>
      <c r="CM38">
        <f t="shared" ref="CM38:CM61" si="178">(BM38*(1-CH38))</f>
        <v>0</v>
      </c>
      <c r="CN38">
        <f t="shared" ref="CN38:CN61" si="179">SUM(CI38:CM38)*I38</f>
        <v>0.37</v>
      </c>
      <c r="CO38" s="18">
        <f t="shared" ref="CO38:CO61" si="180">$CI38*Z38+$CJ38*AE38+$CK38*AJ38+$CL38*AO38+$CM38*AT38</f>
        <v>0</v>
      </c>
      <c r="CP38" s="18">
        <f t="shared" ref="CP38:CP61" si="181">$CI38*AA38+$CJ38*AF38+$CK38*AK38+$CL38*AP38+$CM38*AU38</f>
        <v>0</v>
      </c>
      <c r="CQ38" s="32">
        <f t="shared" ref="CQ38:CQ61" si="182">$CI38*AB38+$CJ38*AG38+$CK38*AL38+$CL38*AQ38+$CM38*AV38</f>
        <v>0.35</v>
      </c>
      <c r="CR38" s="32">
        <f t="shared" ref="CR38:CR61" si="183">$CI38*AC38+$CJ38*AH38+$CK38*AM38+$CL38*AR38+$CM38*AW38</f>
        <v>0.15</v>
      </c>
      <c r="CS38" s="18">
        <f t="shared" ref="CS38:CS61" si="184">$CI38*AD38+$CJ38*AI38+$CK38*AN38+$CL38*AS38+$CM38*AX38</f>
        <v>0.5</v>
      </c>
      <c r="CT38" s="18">
        <f>CO38*$BN38*BP38*$BO38*$AZ38</f>
        <v>0</v>
      </c>
      <c r="CU38" s="18">
        <f t="shared" ref="CU38:CU61" si="185">CP38*$BN38*BQ38*$BO38*$AZ38</f>
        <v>0</v>
      </c>
      <c r="CV38" s="18">
        <f>CQ38*$BN38*BS38*$BO38*$AZ38</f>
        <v>3.9533759999999998E-3</v>
      </c>
      <c r="CW38" s="18">
        <f>CR38*$BN38*BU38*$BO38*$AZ38</f>
        <v>5.0829119999999998E-4</v>
      </c>
      <c r="CX38" s="18">
        <f>CS38*$BN38*BV38*$BO38*$AZ38</f>
        <v>0</v>
      </c>
      <c r="CY38" s="18">
        <f t="shared" ref="CY38:CY61" si="186">(SUM(CT38:CX38)*F38*G38)/1000</f>
        <v>5.2000731215999997E-2</v>
      </c>
      <c r="CZ38" s="18">
        <f>CC38+CY38</f>
        <v>0.66811066056000012</v>
      </c>
      <c r="DA38">
        <f>SUM(CZ38:CZ41)</f>
        <v>3.5027303873760003</v>
      </c>
      <c r="DB38">
        <f>F38*G38*BA38</f>
        <v>466.2</v>
      </c>
      <c r="DC38" s="18">
        <f>K38*(1-BE38)</f>
        <v>0.7</v>
      </c>
      <c r="DD38" s="18">
        <f>L38+(K38*BE38)+(N38*BF38)+(P38*BG38)</f>
        <v>0.3</v>
      </c>
      <c r="DE38" s="18">
        <f>M38</f>
        <v>0</v>
      </c>
      <c r="DF38" s="18">
        <f>N38*(1-BF38)</f>
        <v>0</v>
      </c>
      <c r="DG38" s="18">
        <f>O38</f>
        <v>0</v>
      </c>
      <c r="DH38" s="18">
        <f>P38*(1-BG38)</f>
        <v>0</v>
      </c>
      <c r="DI38">
        <f>$DB38*DC38</f>
        <v>326.33999999999997</v>
      </c>
      <c r="DJ38">
        <f t="shared" ref="DJ38:DJ53" si="187">$DB38*DD38</f>
        <v>139.85999999999999</v>
      </c>
      <c r="DK38">
        <f t="shared" ref="DK38:DK53" si="188">$DB38*DE38</f>
        <v>0</v>
      </c>
      <c r="DL38">
        <f t="shared" ref="DL38:DL53" si="189">$DB38*DF38</f>
        <v>0</v>
      </c>
      <c r="DM38">
        <f t="shared" ref="DM38:DM53" si="190">$DB38*DG38</f>
        <v>0</v>
      </c>
      <c r="DN38">
        <f t="shared" ref="DN38:DN53" si="191">$DB38*DH38</f>
        <v>0</v>
      </c>
      <c r="DO38" s="6">
        <f>Constants!$C$10</f>
        <v>0.55000000000000004</v>
      </c>
      <c r="DP38" s="6">
        <f>Constants!$C$11</f>
        <v>0.2</v>
      </c>
      <c r="DQ38" s="6">
        <f>Constants!$C$12</f>
        <v>0.3</v>
      </c>
      <c r="DR38" s="6">
        <f>Constants!$C$13</f>
        <v>0</v>
      </c>
      <c r="DS38" s="6">
        <f>Constants!$C$14</f>
        <v>0.125</v>
      </c>
      <c r="DT38" s="6">
        <f>Constants!$C$15</f>
        <v>0.25</v>
      </c>
      <c r="DU38" s="6">
        <f>Constants!$D$10</f>
        <v>0</v>
      </c>
      <c r="DV38" s="6">
        <f>Constants!$D$11</f>
        <v>5.0000000000000001E-3</v>
      </c>
      <c r="DW38" s="6">
        <f>Constants!$D$12</f>
        <v>0.02</v>
      </c>
      <c r="DX38" s="6">
        <f>Constants!$D$13</f>
        <v>0</v>
      </c>
      <c r="DY38" s="6">
        <f>Constants!$D$14</f>
        <v>0.01</v>
      </c>
      <c r="DZ38" s="6">
        <f>Constants!$D$15</f>
        <v>2E-3</v>
      </c>
      <c r="EA38">
        <f>Constants!$B$23</f>
        <v>1.57</v>
      </c>
      <c r="EB38" s="18">
        <f>DI38*DU38*$EA38</f>
        <v>0</v>
      </c>
      <c r="EC38" s="18">
        <f t="shared" ref="EC38:EC61" si="192">DJ38*DV38*$EA38</f>
        <v>1.097901</v>
      </c>
      <c r="ED38" s="18">
        <f t="shared" ref="ED38:ED61" si="193">DK38*DW38*$EA38</f>
        <v>0</v>
      </c>
      <c r="EE38" s="18">
        <f t="shared" ref="EE38:EE61" si="194">DL38*DX38*$EA38</f>
        <v>0</v>
      </c>
      <c r="EF38" s="18">
        <f t="shared" ref="EF38:EF61" si="195">DM38*DY38*$EA38</f>
        <v>0</v>
      </c>
      <c r="EG38" s="18">
        <f t="shared" ref="EG38:EG61" si="196">DN38*DZ38*$EA38</f>
        <v>0</v>
      </c>
      <c r="EH38">
        <f>DI38*(1-DO38-DU38)</f>
        <v>146.85299999999998</v>
      </c>
      <c r="EI38">
        <f>DJ38*(1-DP38-DV38)</f>
        <v>111.1887</v>
      </c>
      <c r="EJ38">
        <f t="shared" ref="EJ38:EJ53" si="197">DL38*(1-DR38-DX38)</f>
        <v>0</v>
      </c>
      <c r="EK38">
        <f t="shared" ref="EK38:EK53" si="198">DM38*(1-DS38-DY38)</f>
        <v>0</v>
      </c>
      <c r="EL38">
        <f t="shared" ref="EL38:EL53" si="199">DN38*(1-DT38-DZ38)</f>
        <v>0</v>
      </c>
      <c r="EM38">
        <f t="shared" ref="EM38:EM46" si="200">$EH38*Z38+$EI38*AE38+$EJ38*AJ38+$EK38*AO38+$EL38*AT38</f>
        <v>0</v>
      </c>
      <c r="EN38">
        <f t="shared" ref="EN38:EN46" si="201">$EH38*AA38+$EI38*AF38+$EJ38*AK38+$EK38*AP38+$EL38*AU38</f>
        <v>0</v>
      </c>
      <c r="EO38">
        <f t="shared" ref="EO38:EO46" si="202">$EH38*AB38+$EI38*AG38+$EJ38*AL38+$EK38*AQ38+$EL38*AV38</f>
        <v>73.42649999999999</v>
      </c>
      <c r="EP38">
        <f t="shared" ref="EP38:EP46" si="203">$EH38*AC38+$EI38*AH38+$EJ38*AM38+$EK38*AR38+$EL38*AW38</f>
        <v>55.594349999999999</v>
      </c>
      <c r="EQ38">
        <f t="shared" ref="EQ38:EQ46" si="204">$EH38*AD38+$EI38*AI38+$EJ38*AN38+$EK38*AS38+$EL38*AX38</f>
        <v>129.02085</v>
      </c>
      <c r="ER38">
        <f>EM38*DU38*$EA38</f>
        <v>0</v>
      </c>
      <c r="ES38">
        <f>EN38*DV38*$EA38</f>
        <v>0</v>
      </c>
      <c r="ET38">
        <f>EO38*DX38*$EA38</f>
        <v>0</v>
      </c>
      <c r="EU38">
        <f>EP38*DZ38*$EA38</f>
        <v>0.174566259</v>
      </c>
      <c r="EV38">
        <f>EQ38*0*$EA38</f>
        <v>0</v>
      </c>
      <c r="EW38" s="18">
        <f>SUM(EB38:EG38,ER38:EV38)/1000</f>
        <v>1.2724672589999998E-3</v>
      </c>
      <c r="EX38">
        <f>SUM(EW38:EW41)</f>
        <v>0.20947374943380004</v>
      </c>
      <c r="EY38" s="18">
        <f>DI38*DO38</f>
        <v>179.48699999999999</v>
      </c>
      <c r="EZ38" s="18">
        <f t="shared" ref="EZ38:EZ61" si="205">DJ38*DP38</f>
        <v>27.971999999999998</v>
      </c>
      <c r="FA38" s="18">
        <f t="shared" ref="FA38:FA61" si="206">DK38*DQ38</f>
        <v>0</v>
      </c>
      <c r="FB38" s="18">
        <f t="shared" ref="FB38:FB61" si="207">DL38*DR38</f>
        <v>0</v>
      </c>
      <c r="FC38" s="18">
        <f t="shared" ref="FC38:FC61" si="208">DM38*DS38</f>
        <v>0</v>
      </c>
      <c r="FD38" s="18">
        <f t="shared" ref="FD38:FD61" si="209">DN38*DT38</f>
        <v>0</v>
      </c>
      <c r="FE38" s="18">
        <f>EM38*DO38</f>
        <v>0</v>
      </c>
      <c r="FF38" s="18">
        <f>EN38*DP38</f>
        <v>0</v>
      </c>
      <c r="FG38" s="18">
        <f>EO38*DR38</f>
        <v>0</v>
      </c>
      <c r="FH38" s="18">
        <f>EP38*DT38</f>
        <v>13.8985875</v>
      </c>
      <c r="FI38" s="18">
        <f>EQ38*0</f>
        <v>0</v>
      </c>
      <c r="FJ38" s="18">
        <f>SUM(EY38:FI38)</f>
        <v>221.35758749999999</v>
      </c>
      <c r="FK38" s="18">
        <f>_xlfn.XLOOKUP(C38, Constants!$D$19:$D$23, Constants!$E$19:$E$23)</f>
        <v>7.0000000000000001E-3</v>
      </c>
      <c r="FL38">
        <f>(EA38*FJ38*FK38)/1000</f>
        <v>2.4327198866250003E-3</v>
      </c>
      <c r="FM38">
        <f>SUM(FL38:FL41)</f>
        <v>3.7160127544574997E-2</v>
      </c>
      <c r="FN38" s="18">
        <f>Constants!$B$24</f>
        <v>1.0999999999999999E-2</v>
      </c>
      <c r="FO38" s="18">
        <f>IF(D38, 1, 0)</f>
        <v>1</v>
      </c>
      <c r="FP38">
        <f>Constants!$B$25</f>
        <v>0.02</v>
      </c>
      <c r="FQ38">
        <f t="shared" ref="FQ38:FQ61" si="210">DK38*FO38*FP38</f>
        <v>0</v>
      </c>
      <c r="FR38" s="18">
        <f t="shared" ref="FR38:FR61" si="211">FQ38*FN38*EA38</f>
        <v>0</v>
      </c>
      <c r="FS38">
        <f>SUM(FR38:FR41)/1000</f>
        <v>0</v>
      </c>
    </row>
    <row r="39" spans="1:175" x14ac:dyDescent="0.2">
      <c r="A39" t="s">
        <v>14</v>
      </c>
      <c r="B39" t="s">
        <v>192</v>
      </c>
      <c r="C39" t="s">
        <v>76</v>
      </c>
      <c r="D39" t="b">
        <v>1</v>
      </c>
      <c r="E39" t="s">
        <v>26</v>
      </c>
      <c r="F39">
        <v>222</v>
      </c>
      <c r="G39">
        <v>103</v>
      </c>
      <c r="I39">
        <v>0.37</v>
      </c>
      <c r="J39">
        <v>0.04</v>
      </c>
      <c r="K39">
        <v>1</v>
      </c>
      <c r="Q39" t="b">
        <v>1</v>
      </c>
      <c r="R39">
        <v>0.3</v>
      </c>
      <c r="S39">
        <v>0.3</v>
      </c>
      <c r="T39" t="b">
        <v>1</v>
      </c>
      <c r="U39">
        <v>0.28999999999999998</v>
      </c>
      <c r="V39">
        <v>0.28999999999999998</v>
      </c>
      <c r="W39" t="b">
        <v>1</v>
      </c>
      <c r="X39">
        <v>0.28000000000000003</v>
      </c>
      <c r="Y39">
        <v>0.28000000000000003</v>
      </c>
      <c r="Z39" s="23"/>
      <c r="AB39">
        <v>0.5</v>
      </c>
      <c r="AD39">
        <v>0.5</v>
      </c>
      <c r="AF39" s="20"/>
      <c r="AH39">
        <v>0.5</v>
      </c>
      <c r="AI39">
        <v>0.5</v>
      </c>
      <c r="AL39" s="20"/>
      <c r="AW39" s="20"/>
      <c r="AY39" s="21">
        <f>IF(H39&lt;&gt;"", H39, _xlfn.XLOOKUP($E39,Constants!$A$3:$A$6, Constants!B$3:B$6))</f>
        <v>2.62</v>
      </c>
      <c r="AZ39">
        <f>IF(I39&lt;&gt;"", I39, _xlfn.XLOOKUP($E39,Constants!$A$3:$A$6, Constants!C$3:C$6))</f>
        <v>0.37</v>
      </c>
      <c r="BA39">
        <f>IF(J39&lt;&gt;"", J39, _xlfn.XLOOKUP($E39,Constants!$A$3:$A$6, Constants!D$3:D$6))</f>
        <v>0.04</v>
      </c>
      <c r="BB39">
        <f>IF(R39&lt;&gt;"", R39, IF(Q39, Constants!$B$19, 0))</f>
        <v>0.3</v>
      </c>
      <c r="BC39">
        <f>IF(U39&lt;&gt;"", U39,  IF(T39, Constants!$B$19, 0))</f>
        <v>0.28999999999999998</v>
      </c>
      <c r="BD39">
        <f>IF(X39&lt;&gt;"", X39,  IF(W39, Constants!$B$19, 0))</f>
        <v>0.28000000000000003</v>
      </c>
      <c r="BE39">
        <f>IF(S39&lt;&gt;"", S39, IF(Q39, Constants!$B$20, 0))</f>
        <v>0.3</v>
      </c>
      <c r="BF39">
        <f>IF(V39&lt;&gt;"", V39, IF(T39, Constants!$B$20, 0))</f>
        <v>0.28999999999999998</v>
      </c>
      <c r="BG39">
        <f>IF(Y39&lt;&gt;"", Y39,  IF(W39, Constants!$B$20, 0))</f>
        <v>0.28000000000000003</v>
      </c>
      <c r="BH39">
        <f t="shared" ref="BH39:BH45" si="212">K39*(1-BB39)</f>
        <v>0.7</v>
      </c>
      <c r="BI39">
        <f t="shared" ref="BI39:BI45" si="213">L39+(K39*BB39)+(N39*BC39)+(P39*BD39)</f>
        <v>0.3</v>
      </c>
      <c r="BJ39">
        <f t="shared" ref="BJ39:BJ45" si="214">M39</f>
        <v>0</v>
      </c>
      <c r="BK39">
        <f t="shared" ref="BK39:BK45" si="215">N39*(1-BC39)</f>
        <v>0</v>
      </c>
      <c r="BL39">
        <f t="shared" ref="BL39:BL45" si="216">O39</f>
        <v>0</v>
      </c>
      <c r="BM39">
        <f t="shared" ref="BM39:BM45" si="217">P39*(1-BD39)</f>
        <v>0</v>
      </c>
      <c r="BN39">
        <f>Constants!$B$21</f>
        <v>0.45</v>
      </c>
      <c r="BO39">
        <f>Constants!$B$22</f>
        <v>0.6784</v>
      </c>
      <c r="BP39">
        <f>_xlfn.XLOOKUP($B39,Constants!$G$20:$G$38, Constants!H$20:H$38)</f>
        <v>0.66</v>
      </c>
      <c r="BQ39">
        <f>_xlfn.XLOOKUP($B39,Constants!$G$20:$G$38, Constants!I$20:I$38)</f>
        <v>0.02</v>
      </c>
      <c r="BR39">
        <f>_xlfn.XLOOKUP($A39,Constants!$F$9:$M$9,Constants!$F$12:$M$12)</f>
        <v>0.01</v>
      </c>
      <c r="BS39">
        <f>_xlfn.XLOOKUP($B39,Constants!$G$20:$G$38, Constants!J$20:J$38)</f>
        <v>0.1</v>
      </c>
      <c r="BT39">
        <f>_xlfn.XLOOKUP($B39,Constants!$G$20:$G$38, Constants!K$20:K$38)</f>
        <v>0.04</v>
      </c>
      <c r="BU39">
        <f>_xlfn.XLOOKUP($B39,Constants!$G$20:$G$38, Constants!L$20:L$38)</f>
        <v>0.03</v>
      </c>
      <c r="BV39">
        <f>_xlfn.XLOOKUP($B39,Constants!$G$20:$G$38, Constants!P$20:P$38)</f>
        <v>0</v>
      </c>
      <c r="BW39">
        <f t="shared" si="167"/>
        <v>5.2184563200000006E-2</v>
      </c>
      <c r="BX39">
        <f t="shared" si="168"/>
        <v>6.7772160000000004E-4</v>
      </c>
      <c r="BY39">
        <f t="shared" si="169"/>
        <v>0</v>
      </c>
      <c r="BZ39">
        <f t="shared" si="170"/>
        <v>0</v>
      </c>
      <c r="CA39">
        <f t="shared" si="171"/>
        <v>0</v>
      </c>
      <c r="CB39">
        <f t="shared" si="172"/>
        <v>0</v>
      </c>
      <c r="CC39">
        <f t="shared" si="173"/>
        <v>1.2087490042368001</v>
      </c>
      <c r="CD39">
        <f>Constants!$E$10</f>
        <v>0</v>
      </c>
      <c r="CE39">
        <f>Constants!$E$11</f>
        <v>0</v>
      </c>
      <c r="CF39">
        <f>Constants!$E$13</f>
        <v>0.75</v>
      </c>
      <c r="CG39">
        <f>Constants!$E$14</f>
        <v>0.05</v>
      </c>
      <c r="CH39">
        <f>Constants!$E$15</f>
        <v>0</v>
      </c>
      <c r="CI39">
        <f t="shared" si="174"/>
        <v>0.7</v>
      </c>
      <c r="CJ39">
        <f t="shared" si="175"/>
        <v>0.3</v>
      </c>
      <c r="CK39">
        <f t="shared" si="176"/>
        <v>0</v>
      </c>
      <c r="CL39">
        <f t="shared" si="177"/>
        <v>0</v>
      </c>
      <c r="CM39">
        <f t="shared" si="178"/>
        <v>0</v>
      </c>
      <c r="CN39">
        <f t="shared" si="179"/>
        <v>0.37</v>
      </c>
      <c r="CO39">
        <f t="shared" si="180"/>
        <v>0</v>
      </c>
      <c r="CP39">
        <f t="shared" si="181"/>
        <v>0</v>
      </c>
      <c r="CQ39">
        <f t="shared" si="182"/>
        <v>0.35</v>
      </c>
      <c r="CR39">
        <f t="shared" si="183"/>
        <v>0.15</v>
      </c>
      <c r="CS39">
        <f t="shared" si="184"/>
        <v>0.5</v>
      </c>
      <c r="CT39">
        <f t="shared" ref="CT39:CT45" si="218">CO39*$BN39*BP39*$BO39*$AZ39</f>
        <v>0</v>
      </c>
      <c r="CU39">
        <f t="shared" si="185"/>
        <v>0</v>
      </c>
      <c r="CV39">
        <f t="shared" ref="CV39:CV45" si="219">CQ39*$BN39*BS39*$BO39*$AZ39</f>
        <v>3.9533759999999998E-3</v>
      </c>
      <c r="CW39">
        <f t="shared" ref="CW39:CW45" si="220">CR39*$BN39*BU39*$BO39*$AZ39</f>
        <v>5.0829119999999998E-4</v>
      </c>
      <c r="CX39">
        <f t="shared" ref="CX39:CX45" si="221">CS39*$BN39*BV39*$BO39*$AZ39</f>
        <v>0</v>
      </c>
      <c r="CY39">
        <f t="shared" si="186"/>
        <v>0.1020204821952</v>
      </c>
      <c r="CZ39">
        <f t="shared" ref="CZ39:CZ45" si="222">CC39+CY39</f>
        <v>1.3107694864320001</v>
      </c>
      <c r="DB39">
        <f t="shared" ref="DB39:DB61" si="223">F39*G39*BA39</f>
        <v>914.64</v>
      </c>
      <c r="DC39">
        <f t="shared" ref="DC39:DC45" si="224">K39*(1-BE39)</f>
        <v>0.7</v>
      </c>
      <c r="DD39">
        <f t="shared" ref="DD39:DD45" si="225">L39+(K39*BE39)+(N39*BF39)+(P39*BG39)</f>
        <v>0.3</v>
      </c>
      <c r="DE39">
        <f t="shared" ref="DE39:DE45" si="226">M39</f>
        <v>0</v>
      </c>
      <c r="DF39">
        <f t="shared" ref="DF39:DF45" si="227">N39*(1-BF39)</f>
        <v>0</v>
      </c>
      <c r="DG39">
        <f t="shared" ref="DG39:DG45" si="228">O39</f>
        <v>0</v>
      </c>
      <c r="DH39">
        <f t="shared" ref="DH39:DH45" si="229">P39*(1-BG39)</f>
        <v>0</v>
      </c>
      <c r="DI39">
        <f t="shared" ref="DI39:DI53" si="230">$DB39*DC39</f>
        <v>640.24799999999993</v>
      </c>
      <c r="DJ39">
        <f t="shared" si="187"/>
        <v>274.392</v>
      </c>
      <c r="DK39">
        <f t="shared" si="188"/>
        <v>0</v>
      </c>
      <c r="DL39">
        <f t="shared" si="189"/>
        <v>0</v>
      </c>
      <c r="DM39">
        <f t="shared" si="190"/>
        <v>0</v>
      </c>
      <c r="DN39">
        <f t="shared" si="191"/>
        <v>0</v>
      </c>
      <c r="DO39" s="6">
        <f>Constants!$C$10</f>
        <v>0.55000000000000004</v>
      </c>
      <c r="DP39" s="6">
        <f>Constants!$C$11</f>
        <v>0.2</v>
      </c>
      <c r="DQ39" s="6">
        <f>Constants!$C$12</f>
        <v>0.3</v>
      </c>
      <c r="DR39" s="6">
        <f>Constants!$C$13</f>
        <v>0</v>
      </c>
      <c r="DS39" s="6">
        <f>Constants!$C$14</f>
        <v>0.125</v>
      </c>
      <c r="DT39" s="6">
        <f>Constants!$C$15</f>
        <v>0.25</v>
      </c>
      <c r="DU39" s="6">
        <f>Constants!$D$10</f>
        <v>0</v>
      </c>
      <c r="DV39" s="6">
        <f>Constants!$D$11</f>
        <v>5.0000000000000001E-3</v>
      </c>
      <c r="DW39" s="6">
        <f>Constants!$D$12</f>
        <v>0.02</v>
      </c>
      <c r="DX39" s="6">
        <f>Constants!$D$13</f>
        <v>0</v>
      </c>
      <c r="DY39" s="6">
        <f>Constants!$D$14</f>
        <v>0.01</v>
      </c>
      <c r="DZ39" s="6">
        <f>Constants!$D$15</f>
        <v>2E-3</v>
      </c>
      <c r="EA39">
        <f>Constants!$B$23</f>
        <v>1.57</v>
      </c>
      <c r="EB39">
        <f t="shared" ref="EB39:EB45" si="231">DI39*DU39*$EA39</f>
        <v>0</v>
      </c>
      <c r="EC39">
        <f t="shared" si="192"/>
        <v>2.1539772000000004</v>
      </c>
      <c r="ED39">
        <f t="shared" si="193"/>
        <v>0</v>
      </c>
      <c r="EE39">
        <f t="shared" si="194"/>
        <v>0</v>
      </c>
      <c r="EF39">
        <f t="shared" si="195"/>
        <v>0</v>
      </c>
      <c r="EG39">
        <f t="shared" si="196"/>
        <v>0</v>
      </c>
      <c r="EH39">
        <f t="shared" ref="EH39:EH53" si="232">DI39*(1-DO39-DU39)</f>
        <v>288.11159999999995</v>
      </c>
      <c r="EI39">
        <f t="shared" ref="EI39:EI53" si="233">DJ39*(1-DP39-DV39)</f>
        <v>218.14164</v>
      </c>
      <c r="EJ39">
        <f t="shared" si="197"/>
        <v>0</v>
      </c>
      <c r="EK39">
        <f t="shared" si="198"/>
        <v>0</v>
      </c>
      <c r="EL39">
        <f t="shared" si="199"/>
        <v>0</v>
      </c>
      <c r="EM39">
        <f t="shared" si="200"/>
        <v>0</v>
      </c>
      <c r="EN39">
        <f t="shared" si="201"/>
        <v>0</v>
      </c>
      <c r="EO39">
        <f t="shared" si="202"/>
        <v>144.05579999999998</v>
      </c>
      <c r="EP39">
        <f t="shared" si="203"/>
        <v>109.07082</v>
      </c>
      <c r="EQ39">
        <f t="shared" si="204"/>
        <v>253.12661999999997</v>
      </c>
      <c r="ER39">
        <f t="shared" ref="ER39:ER45" si="234">EM39*DU39*$EA39</f>
        <v>0</v>
      </c>
      <c r="ES39">
        <f t="shared" ref="ES39:ES45" si="235">EN39*DV39*$EA39</f>
        <v>0</v>
      </c>
      <c r="ET39">
        <f t="shared" ref="ET39:ET45" si="236">EO39*DX39*$EA39</f>
        <v>0</v>
      </c>
      <c r="EU39">
        <f t="shared" ref="EU39:EU45" si="237">EP39*DZ39*$EA39</f>
        <v>0.34248237479999999</v>
      </c>
      <c r="EV39">
        <f t="shared" ref="EV39:EV45" si="238">EQ39*0*$EA39</f>
        <v>0</v>
      </c>
      <c r="EW39">
        <f t="shared" ref="EW39:EW45" si="239">SUM(EB39:EG39,ER39:EV39)/1000</f>
        <v>2.4964595748E-3</v>
      </c>
      <c r="EY39">
        <f t="shared" ref="EY39:EY45" si="240">DI39*DO39</f>
        <v>352.13639999999998</v>
      </c>
      <c r="EZ39">
        <f t="shared" si="205"/>
        <v>54.878399999999999</v>
      </c>
      <c r="FA39">
        <f t="shared" si="206"/>
        <v>0</v>
      </c>
      <c r="FB39">
        <f t="shared" si="207"/>
        <v>0</v>
      </c>
      <c r="FC39">
        <f t="shared" si="208"/>
        <v>0</v>
      </c>
      <c r="FD39">
        <f t="shared" si="209"/>
        <v>0</v>
      </c>
      <c r="FE39">
        <f t="shared" ref="FE39:FE45" si="241">EM39*DO39</f>
        <v>0</v>
      </c>
      <c r="FF39">
        <f t="shared" ref="FF39:FF45" si="242">EN39*DP39</f>
        <v>0</v>
      </c>
      <c r="FG39">
        <f t="shared" ref="FG39:FG45" si="243">EO39*DR39</f>
        <v>0</v>
      </c>
      <c r="FH39">
        <f t="shared" ref="FH39:FH45" si="244">EP39*DT39</f>
        <v>27.267704999999999</v>
      </c>
      <c r="FI39">
        <f t="shared" ref="FI39:FI45" si="245">EQ39*0</f>
        <v>0</v>
      </c>
      <c r="FJ39">
        <f t="shared" ref="FJ39:FJ45" si="246">SUM(EY39:FI39)</f>
        <v>434.28250499999996</v>
      </c>
      <c r="FK39">
        <f>_xlfn.XLOOKUP(C39, Constants!$D$19:$D$23, Constants!$E$19:$E$23)</f>
        <v>7.0000000000000001E-3</v>
      </c>
      <c r="FL39">
        <f t="shared" ref="FL39:FL61" si="247">(EA39*FJ39*FK39)/1000</f>
        <v>4.7727647299500003E-3</v>
      </c>
      <c r="FN39">
        <f>Constants!$B$24</f>
        <v>1.0999999999999999E-2</v>
      </c>
      <c r="FO39">
        <f t="shared" ref="FO39:FO45" si="248">IF(D39, 1, 0)</f>
        <v>1</v>
      </c>
      <c r="FP39">
        <f>Constants!$B$25</f>
        <v>0.02</v>
      </c>
      <c r="FQ39">
        <f t="shared" si="210"/>
        <v>0</v>
      </c>
      <c r="FR39">
        <f t="shared" si="211"/>
        <v>0</v>
      </c>
    </row>
    <row r="40" spans="1:175" x14ac:dyDescent="0.2">
      <c r="A40" t="s">
        <v>14</v>
      </c>
      <c r="B40" t="s">
        <v>192</v>
      </c>
      <c r="C40" t="s">
        <v>76</v>
      </c>
      <c r="D40" t="b">
        <v>1</v>
      </c>
      <c r="E40" t="s">
        <v>27</v>
      </c>
      <c r="F40">
        <v>333</v>
      </c>
      <c r="G40">
        <v>200</v>
      </c>
      <c r="I40">
        <v>0.37</v>
      </c>
      <c r="J40">
        <v>0.04</v>
      </c>
      <c r="O40">
        <v>1</v>
      </c>
      <c r="Q40" t="b">
        <v>0</v>
      </c>
      <c r="R40">
        <v>0</v>
      </c>
      <c r="S40">
        <v>0</v>
      </c>
      <c r="T40" t="b">
        <v>0</v>
      </c>
      <c r="U40">
        <v>0</v>
      </c>
      <c r="V40">
        <v>0</v>
      </c>
      <c r="W40" t="b">
        <v>0</v>
      </c>
      <c r="X40">
        <v>0</v>
      </c>
      <c r="Y40">
        <v>0</v>
      </c>
      <c r="Z40" s="23"/>
      <c r="AF40" s="20"/>
      <c r="AL40" s="20"/>
      <c r="AP40">
        <v>1</v>
      </c>
      <c r="AW40" s="20"/>
      <c r="AY40" s="21">
        <f>IF(H40&lt;&gt;"", H40, _xlfn.XLOOKUP($E40,Constants!$A$3:$A$6, Constants!B$3:B$6))</f>
        <v>2.5</v>
      </c>
      <c r="AZ40">
        <f>IF(I40&lt;&gt;"", I40, _xlfn.XLOOKUP($E40,Constants!$A$3:$A$6, Constants!C$3:C$6))</f>
        <v>0.37</v>
      </c>
      <c r="BA40">
        <f>IF(J40&lt;&gt;"", J40, _xlfn.XLOOKUP($E40,Constants!$A$3:$A$6, Constants!D$3:D$6))</f>
        <v>0.04</v>
      </c>
      <c r="BB40">
        <f>IF(R40&lt;&gt;"", R40, IF(Q40, Constants!$B$19, 0))</f>
        <v>0</v>
      </c>
      <c r="BC40">
        <f>IF(U40&lt;&gt;"", U40,  IF(T40, Constants!$B$19, 0))</f>
        <v>0</v>
      </c>
      <c r="BD40">
        <f>IF(X40&lt;&gt;"", X40,  IF(W40, Constants!$B$19, 0))</f>
        <v>0</v>
      </c>
      <c r="BE40">
        <f>IF(S40&lt;&gt;"", S40, IF(Q40, Constants!$B$20, 0))</f>
        <v>0</v>
      </c>
      <c r="BF40">
        <f>IF(V40&lt;&gt;"", V40, IF(T40, Constants!$B$20, 0))</f>
        <v>0</v>
      </c>
      <c r="BG40">
        <f>IF(Y40&lt;&gt;"", Y40,  IF(W40, Constants!$B$20, 0))</f>
        <v>0</v>
      </c>
      <c r="BH40">
        <f t="shared" si="212"/>
        <v>0</v>
      </c>
      <c r="BI40">
        <f t="shared" si="213"/>
        <v>0</v>
      </c>
      <c r="BJ40">
        <f t="shared" si="214"/>
        <v>0</v>
      </c>
      <c r="BK40">
        <f t="shared" si="215"/>
        <v>0</v>
      </c>
      <c r="BL40">
        <f t="shared" si="216"/>
        <v>1</v>
      </c>
      <c r="BM40">
        <f t="shared" si="217"/>
        <v>0</v>
      </c>
      <c r="BN40">
        <f>Constants!$B$21</f>
        <v>0.45</v>
      </c>
      <c r="BO40">
        <f>Constants!$B$22</f>
        <v>0.6784</v>
      </c>
      <c r="BP40">
        <f>_xlfn.XLOOKUP($B40,Constants!$G$20:$G$38, Constants!H$20:H$38)</f>
        <v>0.66</v>
      </c>
      <c r="BQ40">
        <f>_xlfn.XLOOKUP($B40,Constants!$G$20:$G$38, Constants!I$20:I$38)</f>
        <v>0.02</v>
      </c>
      <c r="BR40">
        <f>_xlfn.XLOOKUP($A40,Constants!$F$9:$M$9,Constants!$F$12:$M$12)</f>
        <v>0.01</v>
      </c>
      <c r="BS40">
        <f>_xlfn.XLOOKUP($B40,Constants!$G$20:$G$38, Constants!J$20:J$38)</f>
        <v>0.1</v>
      </c>
      <c r="BT40">
        <f>_xlfn.XLOOKUP($B40,Constants!$G$20:$G$38, Constants!K$20:K$38)</f>
        <v>0.04</v>
      </c>
      <c r="BU40">
        <f>_xlfn.XLOOKUP($B40,Constants!$G$20:$G$38, Constants!L$20:L$38)</f>
        <v>0.03</v>
      </c>
      <c r="BV40">
        <f>_xlfn.XLOOKUP($B40,Constants!$G$20:$G$38, Constants!P$20:P$38)</f>
        <v>0</v>
      </c>
      <c r="BW40">
        <f t="shared" si="167"/>
        <v>0</v>
      </c>
      <c r="BX40">
        <f t="shared" si="168"/>
        <v>0</v>
      </c>
      <c r="BY40">
        <f t="shared" si="169"/>
        <v>0</v>
      </c>
      <c r="BZ40">
        <f t="shared" si="170"/>
        <v>0</v>
      </c>
      <c r="CA40">
        <f t="shared" si="171"/>
        <v>4.518144E-3</v>
      </c>
      <c r="CB40">
        <f t="shared" si="172"/>
        <v>0</v>
      </c>
      <c r="CC40">
        <f t="shared" si="173"/>
        <v>0.3009083904</v>
      </c>
      <c r="CD40">
        <f>Constants!$E$10</f>
        <v>0</v>
      </c>
      <c r="CE40">
        <f>Constants!$E$11</f>
        <v>0</v>
      </c>
      <c r="CF40">
        <f>Constants!$E$13</f>
        <v>0.75</v>
      </c>
      <c r="CG40">
        <f>Constants!$E$14</f>
        <v>0.05</v>
      </c>
      <c r="CH40">
        <f>Constants!$E$15</f>
        <v>0</v>
      </c>
      <c r="CI40">
        <f t="shared" si="174"/>
        <v>0</v>
      </c>
      <c r="CJ40">
        <f t="shared" si="175"/>
        <v>0</v>
      </c>
      <c r="CK40">
        <f t="shared" si="176"/>
        <v>0</v>
      </c>
      <c r="CL40">
        <f t="shared" si="177"/>
        <v>0.95</v>
      </c>
      <c r="CM40">
        <f t="shared" si="178"/>
        <v>0</v>
      </c>
      <c r="CN40">
        <f t="shared" si="179"/>
        <v>0.35149999999999998</v>
      </c>
      <c r="CO40">
        <f t="shared" si="180"/>
        <v>0</v>
      </c>
      <c r="CP40">
        <f t="shared" si="181"/>
        <v>0.95</v>
      </c>
      <c r="CQ40">
        <f t="shared" si="182"/>
        <v>0</v>
      </c>
      <c r="CR40">
        <f t="shared" si="183"/>
        <v>0</v>
      </c>
      <c r="CS40">
        <f t="shared" si="184"/>
        <v>0</v>
      </c>
      <c r="CT40">
        <f t="shared" si="218"/>
        <v>0</v>
      </c>
      <c r="CU40">
        <f t="shared" si="185"/>
        <v>2.1461183999999999E-3</v>
      </c>
      <c r="CV40">
        <f t="shared" si="219"/>
        <v>0</v>
      </c>
      <c r="CW40">
        <f t="shared" si="220"/>
        <v>0</v>
      </c>
      <c r="CX40">
        <f t="shared" si="221"/>
        <v>0</v>
      </c>
      <c r="CY40">
        <f t="shared" si="186"/>
        <v>0.14293148544000001</v>
      </c>
      <c r="CZ40">
        <f t="shared" si="222"/>
        <v>0.44383987584000001</v>
      </c>
      <c r="DB40">
        <f t="shared" si="223"/>
        <v>2664</v>
      </c>
      <c r="DC40">
        <f t="shared" si="224"/>
        <v>0</v>
      </c>
      <c r="DD40">
        <f t="shared" si="225"/>
        <v>0</v>
      </c>
      <c r="DE40">
        <f t="shared" si="226"/>
        <v>0</v>
      </c>
      <c r="DF40">
        <f t="shared" si="227"/>
        <v>0</v>
      </c>
      <c r="DG40">
        <f t="shared" si="228"/>
        <v>1</v>
      </c>
      <c r="DH40">
        <f t="shared" si="229"/>
        <v>0</v>
      </c>
      <c r="DI40">
        <f t="shared" si="230"/>
        <v>0</v>
      </c>
      <c r="DJ40">
        <f t="shared" si="187"/>
        <v>0</v>
      </c>
      <c r="DK40">
        <f t="shared" si="188"/>
        <v>0</v>
      </c>
      <c r="DL40">
        <f t="shared" si="189"/>
        <v>0</v>
      </c>
      <c r="DM40">
        <f t="shared" si="190"/>
        <v>2664</v>
      </c>
      <c r="DN40">
        <f t="shared" si="191"/>
        <v>0</v>
      </c>
      <c r="DO40" s="6">
        <f>Constants!$C$10</f>
        <v>0.55000000000000004</v>
      </c>
      <c r="DP40" s="6">
        <f>Constants!$C$11</f>
        <v>0.2</v>
      </c>
      <c r="DQ40" s="6">
        <f>Constants!$C$12</f>
        <v>0.3</v>
      </c>
      <c r="DR40" s="6">
        <f>Constants!$C$13</f>
        <v>0</v>
      </c>
      <c r="DS40" s="6">
        <f>Constants!$C$14</f>
        <v>0.125</v>
      </c>
      <c r="DT40" s="6">
        <f>Constants!$C$15</f>
        <v>0.25</v>
      </c>
      <c r="DU40" s="6">
        <f>Constants!$D$10</f>
        <v>0</v>
      </c>
      <c r="DV40" s="6">
        <f>Constants!$D$11</f>
        <v>5.0000000000000001E-3</v>
      </c>
      <c r="DW40" s="6">
        <f>Constants!$D$12</f>
        <v>0.02</v>
      </c>
      <c r="DX40" s="6">
        <f>Constants!$D$13</f>
        <v>0</v>
      </c>
      <c r="DY40" s="6">
        <f>Constants!$D$14</f>
        <v>0.01</v>
      </c>
      <c r="DZ40" s="6">
        <f>Constants!$D$15</f>
        <v>2E-3</v>
      </c>
      <c r="EA40">
        <f>Constants!$B$23</f>
        <v>1.57</v>
      </c>
      <c r="EB40">
        <f t="shared" si="231"/>
        <v>0</v>
      </c>
      <c r="EC40">
        <f t="shared" si="192"/>
        <v>0</v>
      </c>
      <c r="ED40">
        <f t="shared" si="193"/>
        <v>0</v>
      </c>
      <c r="EE40">
        <f t="shared" si="194"/>
        <v>0</v>
      </c>
      <c r="EF40">
        <f t="shared" si="195"/>
        <v>41.824800000000003</v>
      </c>
      <c r="EG40">
        <f t="shared" si="196"/>
        <v>0</v>
      </c>
      <c r="EH40">
        <f t="shared" si="232"/>
        <v>0</v>
      </c>
      <c r="EI40">
        <f t="shared" si="233"/>
        <v>0</v>
      </c>
      <c r="EJ40">
        <f t="shared" si="197"/>
        <v>0</v>
      </c>
      <c r="EK40">
        <f t="shared" si="198"/>
        <v>2304.36</v>
      </c>
      <c r="EL40">
        <f t="shared" si="199"/>
        <v>0</v>
      </c>
      <c r="EM40">
        <f t="shared" si="200"/>
        <v>0</v>
      </c>
      <c r="EN40">
        <f t="shared" si="201"/>
        <v>2304.36</v>
      </c>
      <c r="EO40">
        <f t="shared" si="202"/>
        <v>0</v>
      </c>
      <c r="EP40">
        <f t="shared" si="203"/>
        <v>0</v>
      </c>
      <c r="EQ40">
        <f t="shared" si="204"/>
        <v>0</v>
      </c>
      <c r="ER40">
        <f t="shared" si="234"/>
        <v>0</v>
      </c>
      <c r="ES40">
        <f t="shared" si="235"/>
        <v>18.089226000000004</v>
      </c>
      <c r="ET40">
        <f t="shared" si="236"/>
        <v>0</v>
      </c>
      <c r="EU40">
        <f t="shared" si="237"/>
        <v>0</v>
      </c>
      <c r="EV40">
        <f t="shared" si="238"/>
        <v>0</v>
      </c>
      <c r="EW40">
        <f t="shared" si="239"/>
        <v>5.9914026000000009E-2</v>
      </c>
      <c r="EY40">
        <f t="shared" si="240"/>
        <v>0</v>
      </c>
      <c r="EZ40">
        <f t="shared" si="205"/>
        <v>0</v>
      </c>
      <c r="FA40">
        <f t="shared" si="206"/>
        <v>0</v>
      </c>
      <c r="FB40">
        <f t="shared" si="207"/>
        <v>0</v>
      </c>
      <c r="FC40">
        <f t="shared" si="208"/>
        <v>333</v>
      </c>
      <c r="FD40">
        <f t="shared" si="209"/>
        <v>0</v>
      </c>
      <c r="FE40">
        <f t="shared" si="241"/>
        <v>0</v>
      </c>
      <c r="FF40">
        <f t="shared" si="242"/>
        <v>460.87200000000007</v>
      </c>
      <c r="FG40">
        <f t="shared" si="243"/>
        <v>0</v>
      </c>
      <c r="FH40">
        <f t="shared" si="244"/>
        <v>0</v>
      </c>
      <c r="FI40">
        <f t="shared" si="245"/>
        <v>0</v>
      </c>
      <c r="FJ40">
        <f t="shared" si="246"/>
        <v>793.87200000000007</v>
      </c>
      <c r="FK40">
        <f>_xlfn.XLOOKUP(C40, Constants!$D$19:$D$23, Constants!$E$19:$E$23)</f>
        <v>7.0000000000000001E-3</v>
      </c>
      <c r="FL40">
        <f t="shared" si="247"/>
        <v>8.7246532800000012E-3</v>
      </c>
      <c r="FN40">
        <f>Constants!$B$24</f>
        <v>1.0999999999999999E-2</v>
      </c>
      <c r="FO40">
        <f t="shared" si="248"/>
        <v>1</v>
      </c>
      <c r="FP40">
        <f>Constants!$B$25</f>
        <v>0.02</v>
      </c>
      <c r="FQ40">
        <f t="shared" si="210"/>
        <v>0</v>
      </c>
      <c r="FR40">
        <f t="shared" si="211"/>
        <v>0</v>
      </c>
    </row>
    <row r="41" spans="1:175" x14ac:dyDescent="0.2">
      <c r="A41" s="2" t="s">
        <v>14</v>
      </c>
      <c r="B41" s="2" t="s">
        <v>192</v>
      </c>
      <c r="C41" s="2" t="s">
        <v>76</v>
      </c>
      <c r="D41" s="2" t="b">
        <v>1</v>
      </c>
      <c r="E41" s="2" t="s">
        <v>28</v>
      </c>
      <c r="F41" s="2">
        <v>444</v>
      </c>
      <c r="G41" s="2">
        <v>365</v>
      </c>
      <c r="H41" s="2"/>
      <c r="I41" s="2">
        <v>0.37</v>
      </c>
      <c r="J41" s="2">
        <v>0.04</v>
      </c>
      <c r="K41" s="2"/>
      <c r="L41" s="2"/>
      <c r="M41" s="2"/>
      <c r="N41" s="2"/>
      <c r="O41" s="2">
        <v>1</v>
      </c>
      <c r="P41" s="2"/>
      <c r="Q41" s="2" t="b">
        <v>0</v>
      </c>
      <c r="R41" s="2">
        <v>0</v>
      </c>
      <c r="S41" s="2">
        <v>0</v>
      </c>
      <c r="T41" s="2" t="b">
        <v>0</v>
      </c>
      <c r="U41" s="2">
        <v>0</v>
      </c>
      <c r="V41" s="2">
        <v>0</v>
      </c>
      <c r="W41" s="2" t="b">
        <v>0</v>
      </c>
      <c r="X41" s="2">
        <v>0</v>
      </c>
      <c r="Y41" s="2">
        <v>0</v>
      </c>
      <c r="Z41" s="22"/>
      <c r="AA41" s="2"/>
      <c r="AB41" s="2"/>
      <c r="AC41" s="2"/>
      <c r="AD41" s="2"/>
      <c r="AE41" s="25"/>
      <c r="AF41" s="19"/>
      <c r="AG41" s="2"/>
      <c r="AH41" s="2"/>
      <c r="AI41" s="2"/>
      <c r="AJ41" s="25"/>
      <c r="AK41" s="2"/>
      <c r="AL41" s="19"/>
      <c r="AM41" s="2"/>
      <c r="AN41" s="2"/>
      <c r="AO41" s="25"/>
      <c r="AP41" s="2">
        <v>1</v>
      </c>
      <c r="AQ41" s="2"/>
      <c r="AR41" s="2"/>
      <c r="AS41" s="2"/>
      <c r="AT41" s="25"/>
      <c r="AU41" s="2"/>
      <c r="AV41" s="2"/>
      <c r="AW41" s="19"/>
      <c r="AX41" s="2"/>
      <c r="AY41" s="25">
        <f>IF(H41&lt;&gt;"", H41, _xlfn.XLOOKUP($E41,Constants!$A$3:$A$6, Constants!B$3:B$6))</f>
        <v>1.71</v>
      </c>
      <c r="AZ41" s="2">
        <f>IF(I41&lt;&gt;"", I41, _xlfn.XLOOKUP($E41,Constants!$A$3:$A$6, Constants!C$3:C$6))</f>
        <v>0.37</v>
      </c>
      <c r="BA41" s="2">
        <f>IF(J41&lt;&gt;"", J41, _xlfn.XLOOKUP($E41,Constants!$A$3:$A$6, Constants!D$3:D$6))</f>
        <v>0.04</v>
      </c>
      <c r="BB41" s="2">
        <f>IF(R41&lt;&gt;"", R41, IF(Q41, Constants!$B$19, 0))</f>
        <v>0</v>
      </c>
      <c r="BC41" s="2">
        <f>IF(U41&lt;&gt;"", U41,  IF(T41, Constants!$B$19, 0))</f>
        <v>0</v>
      </c>
      <c r="BD41" s="2">
        <f>IF(X41&lt;&gt;"", X41,  IF(W41, Constants!$B$19, 0))</f>
        <v>0</v>
      </c>
      <c r="BE41" s="2">
        <f>IF(S41&lt;&gt;"", S41, IF(Q41, Constants!$B$20, 0))</f>
        <v>0</v>
      </c>
      <c r="BF41" s="2">
        <f>IF(V41&lt;&gt;"", V41, IF(T41, Constants!$B$20, 0))</f>
        <v>0</v>
      </c>
      <c r="BG41" s="2">
        <f>IF(Y41&lt;&gt;"", Y41,  IF(W41, Constants!$B$20, 0))</f>
        <v>0</v>
      </c>
      <c r="BH41" s="2">
        <f t="shared" si="212"/>
        <v>0</v>
      </c>
      <c r="BI41" s="2">
        <f t="shared" si="213"/>
        <v>0</v>
      </c>
      <c r="BJ41" s="2">
        <f t="shared" si="214"/>
        <v>0</v>
      </c>
      <c r="BK41" s="2">
        <f t="shared" si="215"/>
        <v>0</v>
      </c>
      <c r="BL41" s="2">
        <f t="shared" si="216"/>
        <v>1</v>
      </c>
      <c r="BM41" s="2">
        <f t="shared" si="217"/>
        <v>0</v>
      </c>
      <c r="BN41" s="2">
        <f>Constants!$B$21</f>
        <v>0.45</v>
      </c>
      <c r="BO41" s="2">
        <f>Constants!$B$22</f>
        <v>0.6784</v>
      </c>
      <c r="BP41" s="2">
        <f>_xlfn.XLOOKUP($B41,Constants!$G$20:$G$38, Constants!H$20:H$38)</f>
        <v>0.66</v>
      </c>
      <c r="BQ41" s="2">
        <f>_xlfn.XLOOKUP($B41,Constants!$G$20:$G$38, Constants!I$20:I$38)</f>
        <v>0.02</v>
      </c>
      <c r="BR41" s="2">
        <f>_xlfn.XLOOKUP($A41,Constants!$F$9:$M$9,Constants!$F$12:$M$12)</f>
        <v>0.01</v>
      </c>
      <c r="BS41" s="2">
        <f>_xlfn.XLOOKUP($B41,Constants!$G$20:$G$38, Constants!J$20:J$38)</f>
        <v>0.1</v>
      </c>
      <c r="BT41" s="2">
        <f>_xlfn.XLOOKUP($B41,Constants!$G$20:$G$38, Constants!K$20:K$38)</f>
        <v>0.04</v>
      </c>
      <c r="BU41" s="2">
        <f>_xlfn.XLOOKUP($B41,Constants!$G$20:$G$38, Constants!L$20:L$38)</f>
        <v>0.03</v>
      </c>
      <c r="BV41" s="2">
        <f>_xlfn.XLOOKUP($B41,Constants!$G$20:$G$38, Constants!P$20:P$38)</f>
        <v>0</v>
      </c>
      <c r="BW41" s="2">
        <f t="shared" si="167"/>
        <v>0</v>
      </c>
      <c r="BX41" s="2">
        <f t="shared" si="168"/>
        <v>0</v>
      </c>
      <c r="BY41" s="2">
        <f t="shared" si="169"/>
        <v>0</v>
      </c>
      <c r="BZ41" s="2">
        <f t="shared" si="170"/>
        <v>0</v>
      </c>
      <c r="CA41" s="2">
        <f t="shared" si="171"/>
        <v>4.518144E-3</v>
      </c>
      <c r="CB41" s="2">
        <f t="shared" si="172"/>
        <v>0</v>
      </c>
      <c r="CC41" s="2">
        <f t="shared" si="173"/>
        <v>0.73221041664000008</v>
      </c>
      <c r="CD41" s="2">
        <f>Constants!$E$10</f>
        <v>0</v>
      </c>
      <c r="CE41" s="2">
        <f>Constants!$E$11</f>
        <v>0</v>
      </c>
      <c r="CF41" s="2">
        <f>Constants!$E$13</f>
        <v>0.75</v>
      </c>
      <c r="CG41" s="2">
        <f>Constants!$E$14</f>
        <v>0.05</v>
      </c>
      <c r="CH41" s="2">
        <f>Constants!$E$15</f>
        <v>0</v>
      </c>
      <c r="CI41" s="2">
        <f t="shared" si="174"/>
        <v>0</v>
      </c>
      <c r="CJ41" s="2">
        <f t="shared" si="175"/>
        <v>0</v>
      </c>
      <c r="CK41" s="2">
        <f t="shared" si="176"/>
        <v>0</v>
      </c>
      <c r="CL41" s="2">
        <f t="shared" si="177"/>
        <v>0.95</v>
      </c>
      <c r="CM41" s="2">
        <f t="shared" si="178"/>
        <v>0</v>
      </c>
      <c r="CN41" s="2">
        <f t="shared" si="179"/>
        <v>0.35149999999999998</v>
      </c>
      <c r="CO41" s="2">
        <f t="shared" si="180"/>
        <v>0</v>
      </c>
      <c r="CP41" s="2">
        <f t="shared" si="181"/>
        <v>0.95</v>
      </c>
      <c r="CQ41" s="2">
        <f t="shared" si="182"/>
        <v>0</v>
      </c>
      <c r="CR41" s="2">
        <f t="shared" si="183"/>
        <v>0</v>
      </c>
      <c r="CS41" s="2">
        <f t="shared" si="184"/>
        <v>0</v>
      </c>
      <c r="CT41" s="2">
        <f t="shared" si="218"/>
        <v>0</v>
      </c>
      <c r="CU41" s="2">
        <f t="shared" si="185"/>
        <v>2.1461183999999999E-3</v>
      </c>
      <c r="CV41" s="2">
        <f t="shared" si="219"/>
        <v>0</v>
      </c>
      <c r="CW41" s="2">
        <f t="shared" si="220"/>
        <v>0</v>
      </c>
      <c r="CX41" s="2">
        <f t="shared" si="221"/>
        <v>0</v>
      </c>
      <c r="CY41" s="2">
        <f t="shared" si="186"/>
        <v>0.34779994790400004</v>
      </c>
      <c r="CZ41" s="2">
        <f t="shared" si="222"/>
        <v>1.080010364544</v>
      </c>
      <c r="DA41" s="2"/>
      <c r="DB41" s="2">
        <f t="shared" si="223"/>
        <v>6482.4000000000005</v>
      </c>
      <c r="DC41" s="2">
        <f t="shared" si="224"/>
        <v>0</v>
      </c>
      <c r="DD41" s="2">
        <f t="shared" si="225"/>
        <v>0</v>
      </c>
      <c r="DE41" s="2">
        <f t="shared" si="226"/>
        <v>0</v>
      </c>
      <c r="DF41" s="2">
        <f t="shared" si="227"/>
        <v>0</v>
      </c>
      <c r="DG41" s="2">
        <f t="shared" si="228"/>
        <v>1</v>
      </c>
      <c r="DH41" s="2">
        <f t="shared" si="229"/>
        <v>0</v>
      </c>
      <c r="DI41" s="2">
        <f t="shared" si="230"/>
        <v>0</v>
      </c>
      <c r="DJ41" s="2">
        <f t="shared" si="187"/>
        <v>0</v>
      </c>
      <c r="DK41" s="2">
        <f t="shared" si="188"/>
        <v>0</v>
      </c>
      <c r="DL41" s="2">
        <f t="shared" si="189"/>
        <v>0</v>
      </c>
      <c r="DM41" s="2">
        <f t="shared" si="190"/>
        <v>6482.4000000000005</v>
      </c>
      <c r="DN41" s="2">
        <f t="shared" si="191"/>
        <v>0</v>
      </c>
      <c r="DO41" s="13">
        <f>Constants!$C$10</f>
        <v>0.55000000000000004</v>
      </c>
      <c r="DP41" s="13">
        <f>Constants!$C$11</f>
        <v>0.2</v>
      </c>
      <c r="DQ41" s="13">
        <f>Constants!$C$12</f>
        <v>0.3</v>
      </c>
      <c r="DR41" s="13">
        <f>Constants!$C$13</f>
        <v>0</v>
      </c>
      <c r="DS41" s="13">
        <f>Constants!$C$14</f>
        <v>0.125</v>
      </c>
      <c r="DT41" s="13">
        <f>Constants!$C$15</f>
        <v>0.25</v>
      </c>
      <c r="DU41" s="13">
        <f>Constants!$D$10</f>
        <v>0</v>
      </c>
      <c r="DV41" s="13">
        <f>Constants!$D$11</f>
        <v>5.0000000000000001E-3</v>
      </c>
      <c r="DW41" s="13">
        <f>Constants!$D$12</f>
        <v>0.02</v>
      </c>
      <c r="DX41" s="13">
        <f>Constants!$D$13</f>
        <v>0</v>
      </c>
      <c r="DY41" s="13">
        <f>Constants!$D$14</f>
        <v>0.01</v>
      </c>
      <c r="DZ41" s="13">
        <f>Constants!$D$15</f>
        <v>2E-3</v>
      </c>
      <c r="EA41" s="2">
        <f>Constants!$B$23</f>
        <v>1.57</v>
      </c>
      <c r="EB41" s="2">
        <f t="shared" si="231"/>
        <v>0</v>
      </c>
      <c r="EC41" s="2">
        <f t="shared" si="192"/>
        <v>0</v>
      </c>
      <c r="ED41" s="2">
        <f t="shared" si="193"/>
        <v>0</v>
      </c>
      <c r="EE41" s="2">
        <f t="shared" si="194"/>
        <v>0</v>
      </c>
      <c r="EF41" s="2">
        <f t="shared" si="195"/>
        <v>101.77368000000003</v>
      </c>
      <c r="EG41" s="2">
        <f t="shared" si="196"/>
        <v>0</v>
      </c>
      <c r="EH41" s="2">
        <f t="shared" si="232"/>
        <v>0</v>
      </c>
      <c r="EI41" s="2">
        <f t="shared" si="233"/>
        <v>0</v>
      </c>
      <c r="EJ41" s="2">
        <f t="shared" si="197"/>
        <v>0</v>
      </c>
      <c r="EK41" s="2">
        <f t="shared" si="198"/>
        <v>5607.2760000000007</v>
      </c>
      <c r="EL41" s="2">
        <f t="shared" si="199"/>
        <v>0</v>
      </c>
      <c r="EM41" s="2">
        <f t="shared" si="200"/>
        <v>0</v>
      </c>
      <c r="EN41" s="2">
        <f t="shared" si="201"/>
        <v>5607.2760000000007</v>
      </c>
      <c r="EO41" s="2">
        <f t="shared" si="202"/>
        <v>0</v>
      </c>
      <c r="EP41" s="2">
        <f t="shared" si="203"/>
        <v>0</v>
      </c>
      <c r="EQ41" s="2">
        <f t="shared" si="204"/>
        <v>0</v>
      </c>
      <c r="ER41" s="2">
        <f t="shared" si="234"/>
        <v>0</v>
      </c>
      <c r="ES41" s="2">
        <f t="shared" si="235"/>
        <v>44.017116600000008</v>
      </c>
      <c r="ET41" s="2">
        <f t="shared" si="236"/>
        <v>0</v>
      </c>
      <c r="EU41" s="2">
        <f t="shared" si="237"/>
        <v>0</v>
      </c>
      <c r="EV41" s="2">
        <f t="shared" si="238"/>
        <v>0</v>
      </c>
      <c r="EW41" s="2">
        <f t="shared" si="239"/>
        <v>0.14579079660000002</v>
      </c>
      <c r="EX41" s="2"/>
      <c r="EY41" s="2">
        <f t="shared" si="240"/>
        <v>0</v>
      </c>
      <c r="EZ41" s="2">
        <f t="shared" si="205"/>
        <v>0</v>
      </c>
      <c r="FA41" s="2">
        <f t="shared" si="206"/>
        <v>0</v>
      </c>
      <c r="FB41" s="2">
        <f t="shared" si="207"/>
        <v>0</v>
      </c>
      <c r="FC41" s="2">
        <f t="shared" si="208"/>
        <v>810.30000000000007</v>
      </c>
      <c r="FD41" s="2">
        <f t="shared" si="209"/>
        <v>0</v>
      </c>
      <c r="FE41" s="2">
        <f t="shared" si="241"/>
        <v>0</v>
      </c>
      <c r="FF41" s="2">
        <f t="shared" si="242"/>
        <v>1121.4552000000001</v>
      </c>
      <c r="FG41" s="2">
        <f t="shared" si="243"/>
        <v>0</v>
      </c>
      <c r="FH41" s="2">
        <f t="shared" si="244"/>
        <v>0</v>
      </c>
      <c r="FI41" s="2">
        <f t="shared" si="245"/>
        <v>0</v>
      </c>
      <c r="FJ41" s="2">
        <f t="shared" si="246"/>
        <v>1931.7552000000001</v>
      </c>
      <c r="FK41" s="2">
        <f>_xlfn.XLOOKUP(C41, Constants!$D$19:$D$23, Constants!$E$19:$E$23)</f>
        <v>7.0000000000000001E-3</v>
      </c>
      <c r="FL41" s="2">
        <f t="shared" si="247"/>
        <v>2.1229989647999999E-2</v>
      </c>
      <c r="FM41" s="2"/>
      <c r="FN41" s="2">
        <f>Constants!$B$24</f>
        <v>1.0999999999999999E-2</v>
      </c>
      <c r="FO41" s="2">
        <f t="shared" si="248"/>
        <v>1</v>
      </c>
      <c r="FP41" s="2">
        <f>Constants!$B$25</f>
        <v>0.02</v>
      </c>
      <c r="FQ41" s="2">
        <f t="shared" si="210"/>
        <v>0</v>
      </c>
      <c r="FR41" s="2">
        <f t="shared" si="211"/>
        <v>0</v>
      </c>
      <c r="FS41" s="2"/>
    </row>
    <row r="42" spans="1:175" x14ac:dyDescent="0.2">
      <c r="A42" t="s">
        <v>41</v>
      </c>
      <c r="B42">
        <v>14</v>
      </c>
      <c r="C42" t="s">
        <v>75</v>
      </c>
      <c r="D42" t="b">
        <v>1</v>
      </c>
      <c r="E42" t="s">
        <v>25</v>
      </c>
      <c r="F42">
        <v>105</v>
      </c>
      <c r="G42">
        <v>75</v>
      </c>
      <c r="I42">
        <v>0.5</v>
      </c>
      <c r="J42">
        <v>7.9000000000000001E-2</v>
      </c>
      <c r="K42">
        <v>0.2</v>
      </c>
      <c r="L42">
        <v>0.1</v>
      </c>
      <c r="M42">
        <v>0.2</v>
      </c>
      <c r="N42">
        <v>0.2</v>
      </c>
      <c r="O42">
        <v>0.2</v>
      </c>
      <c r="P42">
        <v>0.1</v>
      </c>
      <c r="Q42" t="b">
        <v>1</v>
      </c>
      <c r="R42">
        <v>0.45</v>
      </c>
      <c r="S42">
        <v>0.25</v>
      </c>
      <c r="T42" t="b">
        <v>1</v>
      </c>
      <c r="U42">
        <v>0.3</v>
      </c>
      <c r="V42">
        <v>0.26</v>
      </c>
      <c r="W42" t="b">
        <v>1</v>
      </c>
      <c r="X42">
        <v>0.33</v>
      </c>
      <c r="Y42">
        <v>0.27</v>
      </c>
      <c r="Z42" s="23"/>
      <c r="AA42">
        <v>0.25</v>
      </c>
      <c r="AB42">
        <v>0.25</v>
      </c>
      <c r="AC42">
        <v>0.25</v>
      </c>
      <c r="AD42">
        <v>0.25</v>
      </c>
      <c r="AE42" s="29">
        <v>0.25</v>
      </c>
      <c r="AF42" s="20"/>
      <c r="AG42">
        <v>0.25</v>
      </c>
      <c r="AH42">
        <v>0.25</v>
      </c>
      <c r="AI42">
        <v>0.25</v>
      </c>
      <c r="AJ42" s="29">
        <v>0.25</v>
      </c>
      <c r="AK42">
        <v>0.25</v>
      </c>
      <c r="AL42" s="20"/>
      <c r="AM42">
        <v>0.25</v>
      </c>
      <c r="AN42">
        <v>0.25</v>
      </c>
      <c r="AO42" s="21">
        <v>0.2</v>
      </c>
      <c r="AP42">
        <v>0.2</v>
      </c>
      <c r="AQ42">
        <v>0.2</v>
      </c>
      <c r="AR42">
        <v>0.2</v>
      </c>
      <c r="AS42">
        <v>0.2</v>
      </c>
      <c r="AT42" s="29">
        <v>0.25</v>
      </c>
      <c r="AU42">
        <v>0.25</v>
      </c>
      <c r="AV42">
        <v>0.25</v>
      </c>
      <c r="AW42" s="20"/>
      <c r="AX42">
        <v>0.25</v>
      </c>
      <c r="AY42" s="29">
        <f>IF(H42&lt;&gt;"", H42, _xlfn.XLOOKUP($E42,Constants!$A$3:$A$6, Constants!B$3:B$6))</f>
        <v>2.2999999999999998</v>
      </c>
      <c r="AZ42" s="18">
        <f>IF(I42&lt;&gt;"", I42, _xlfn.XLOOKUP($E42,Constants!$A$3:$A$6, Constants!C$3:C$6))</f>
        <v>0.5</v>
      </c>
      <c r="BA42" s="18">
        <f>IF(J42&lt;&gt;"", J42, _xlfn.XLOOKUP($E42,Constants!$A$3:$A$6, Constants!D$3:D$6))</f>
        <v>7.9000000000000001E-2</v>
      </c>
      <c r="BB42">
        <f>IF(R42&lt;&gt;"", R42, IF(Q42, Constants!$B$19, 0))</f>
        <v>0.45</v>
      </c>
      <c r="BC42">
        <f>IF(U42&lt;&gt;"", U42,  IF(T42, Constants!$B$19, 0))</f>
        <v>0.3</v>
      </c>
      <c r="BD42">
        <f>IF(X42&lt;&gt;"", X42,  IF(W42, Constants!$B$19, 0))</f>
        <v>0.33</v>
      </c>
      <c r="BE42" s="18">
        <f>IF(S42&lt;&gt;"", S42, IF(Q42, Constants!$B$20, 0))</f>
        <v>0.25</v>
      </c>
      <c r="BF42" s="18">
        <f>IF(V42&lt;&gt;"", V42, IF(T42, Constants!$B$20, 0))</f>
        <v>0.26</v>
      </c>
      <c r="BG42" s="18">
        <f>IF(Y42&lt;&gt;"", Y42,  IF(W42, Constants!$B$20, 0))</f>
        <v>0.27</v>
      </c>
      <c r="BH42">
        <f t="shared" si="212"/>
        <v>0.11000000000000001</v>
      </c>
      <c r="BI42">
        <f t="shared" si="213"/>
        <v>0.28300000000000003</v>
      </c>
      <c r="BJ42">
        <f t="shared" si="214"/>
        <v>0.2</v>
      </c>
      <c r="BK42">
        <f t="shared" si="215"/>
        <v>0.13999999999999999</v>
      </c>
      <c r="BL42">
        <f t="shared" si="216"/>
        <v>0.2</v>
      </c>
      <c r="BM42">
        <f t="shared" si="217"/>
        <v>6.699999999999999E-2</v>
      </c>
      <c r="BN42">
        <f>Constants!$B$21</f>
        <v>0.45</v>
      </c>
      <c r="BO42">
        <f>Constants!$B$22</f>
        <v>0.6784</v>
      </c>
      <c r="BP42">
        <f>_xlfn.XLOOKUP($B42,Constants!$G$20:$G$38, Constants!H$20:H$38)</f>
        <v>0.73</v>
      </c>
      <c r="BQ42">
        <f>_xlfn.XLOOKUP($B42,Constants!$G$20:$G$38, Constants!I$20:I$38)</f>
        <v>0.02</v>
      </c>
      <c r="BR42">
        <f>_xlfn.XLOOKUP($A42,Constants!$F$9:$M$9,Constants!$F$12:$M$12)</f>
        <v>0.03</v>
      </c>
      <c r="BS42">
        <f>_xlfn.XLOOKUP($B42,Constants!$G$20:$G$38, Constants!J$20:J$38)</f>
        <v>0.1</v>
      </c>
      <c r="BT42">
        <f>_xlfn.XLOOKUP($B42,Constants!$G$20:$G$38, Constants!K$20:K$38)</f>
        <v>0.04</v>
      </c>
      <c r="BU42">
        <f>_xlfn.XLOOKUP($B42,Constants!$G$20:$G$38, Constants!L$20:L$38)</f>
        <v>0.03</v>
      </c>
      <c r="BV42">
        <f>_xlfn.XLOOKUP($B42,Constants!$G$20:$G$38, Constants!P$20:P$38)</f>
        <v>0</v>
      </c>
      <c r="BW42" s="18">
        <f t="shared" si="167"/>
        <v>1.2256992000000003E-2</v>
      </c>
      <c r="BX42" s="18">
        <f t="shared" si="168"/>
        <v>8.6394240000000028E-4</v>
      </c>
      <c r="BY42" s="18">
        <f t="shared" si="169"/>
        <v>9.1584000000000001E-4</v>
      </c>
      <c r="BZ42" s="18">
        <f t="shared" si="170"/>
        <v>2.1369599999999998E-3</v>
      </c>
      <c r="CA42" s="18">
        <f t="shared" si="171"/>
        <v>1.22112E-3</v>
      </c>
      <c r="CB42" s="18">
        <f t="shared" si="172"/>
        <v>3.0680639999999994E-4</v>
      </c>
      <c r="CC42">
        <f t="shared" si="173"/>
        <v>0.13940057880000001</v>
      </c>
      <c r="CD42">
        <f>Constants!$E$10</f>
        <v>0</v>
      </c>
      <c r="CE42">
        <f>Constants!$E$11</f>
        <v>0</v>
      </c>
      <c r="CF42">
        <f>Constants!$E$13</f>
        <v>0.75</v>
      </c>
      <c r="CG42">
        <f>Constants!$E$14</f>
        <v>0.05</v>
      </c>
      <c r="CH42">
        <f>Constants!$E$15</f>
        <v>0</v>
      </c>
      <c r="CI42">
        <f t="shared" si="174"/>
        <v>0.11000000000000001</v>
      </c>
      <c r="CJ42">
        <f t="shared" si="175"/>
        <v>0.28300000000000003</v>
      </c>
      <c r="CK42">
        <f t="shared" si="176"/>
        <v>3.4999999999999996E-2</v>
      </c>
      <c r="CL42">
        <f t="shared" si="177"/>
        <v>0.19</v>
      </c>
      <c r="CM42">
        <f t="shared" si="178"/>
        <v>6.699999999999999E-2</v>
      </c>
      <c r="CN42">
        <f t="shared" si="179"/>
        <v>0.34249999999999997</v>
      </c>
      <c r="CO42" s="18">
        <f t="shared" si="180"/>
        <v>0.13425000000000001</v>
      </c>
      <c r="CP42" s="18">
        <f t="shared" si="181"/>
        <v>9.1000000000000011E-2</v>
      </c>
      <c r="CQ42" s="18">
        <f t="shared" si="182"/>
        <v>0.153</v>
      </c>
      <c r="CR42" s="18">
        <f t="shared" si="183"/>
        <v>0.14500000000000002</v>
      </c>
      <c r="CS42" s="18">
        <f t="shared" si="184"/>
        <v>0.16175</v>
      </c>
      <c r="CT42" s="18">
        <f t="shared" si="218"/>
        <v>1.4959101600000002E-2</v>
      </c>
      <c r="CU42" s="18">
        <f t="shared" si="185"/>
        <v>2.7780480000000004E-4</v>
      </c>
      <c r="CV42" s="18">
        <f t="shared" si="219"/>
        <v>2.3353919999999999E-3</v>
      </c>
      <c r="CW42" s="18">
        <f t="shared" si="220"/>
        <v>6.6398400000000017E-4</v>
      </c>
      <c r="CX42" s="18">
        <f t="shared" si="221"/>
        <v>0</v>
      </c>
      <c r="CY42" s="18">
        <f t="shared" si="186"/>
        <v>0.14361072390000001</v>
      </c>
      <c r="CZ42" s="18">
        <f t="shared" si="222"/>
        <v>0.28301130270000002</v>
      </c>
      <c r="DA42">
        <f t="shared" ref="DA42" si="249">SUM(CZ42:CZ45)</f>
        <v>7.5226668348081622</v>
      </c>
      <c r="DB42">
        <f t="shared" si="223"/>
        <v>622.125</v>
      </c>
      <c r="DC42" s="18">
        <f t="shared" si="224"/>
        <v>0.15000000000000002</v>
      </c>
      <c r="DD42" s="18">
        <f t="shared" si="225"/>
        <v>0.22900000000000001</v>
      </c>
      <c r="DE42" s="18">
        <f t="shared" si="226"/>
        <v>0.2</v>
      </c>
      <c r="DF42" s="18">
        <f t="shared" si="227"/>
        <v>0.14799999999999999</v>
      </c>
      <c r="DG42" s="18">
        <f t="shared" si="228"/>
        <v>0.2</v>
      </c>
      <c r="DH42" s="18">
        <f t="shared" si="229"/>
        <v>7.2999999999999995E-2</v>
      </c>
      <c r="DI42">
        <f t="shared" si="230"/>
        <v>93.318750000000009</v>
      </c>
      <c r="DJ42">
        <f t="shared" si="187"/>
        <v>142.46662499999999</v>
      </c>
      <c r="DK42">
        <f t="shared" si="188"/>
        <v>124.42500000000001</v>
      </c>
      <c r="DL42">
        <f t="shared" si="189"/>
        <v>92.0745</v>
      </c>
      <c r="DM42">
        <f t="shared" si="190"/>
        <v>124.42500000000001</v>
      </c>
      <c r="DN42">
        <f t="shared" si="191"/>
        <v>45.415124999999996</v>
      </c>
      <c r="DO42" s="6">
        <f>Constants!$C$10</f>
        <v>0.55000000000000004</v>
      </c>
      <c r="DP42" s="6">
        <f>Constants!$C$11</f>
        <v>0.2</v>
      </c>
      <c r="DQ42" s="6">
        <f>Constants!$C$12</f>
        <v>0.3</v>
      </c>
      <c r="DR42" s="6">
        <f>Constants!$C$13</f>
        <v>0</v>
      </c>
      <c r="DS42" s="6">
        <f>Constants!$C$14</f>
        <v>0.125</v>
      </c>
      <c r="DT42" s="6">
        <f>Constants!$C$15</f>
        <v>0.25</v>
      </c>
      <c r="DU42" s="6">
        <f>Constants!$D$10</f>
        <v>0</v>
      </c>
      <c r="DV42" s="6">
        <f>Constants!$D$11</f>
        <v>5.0000000000000001E-3</v>
      </c>
      <c r="DW42" s="6">
        <f>Constants!$D$12</f>
        <v>0.02</v>
      </c>
      <c r="DX42" s="6">
        <f>Constants!$D$13</f>
        <v>0</v>
      </c>
      <c r="DY42" s="6">
        <f>Constants!$D$14</f>
        <v>0.01</v>
      </c>
      <c r="DZ42" s="6">
        <f>Constants!$D$15</f>
        <v>2E-3</v>
      </c>
      <c r="EA42">
        <f>Constants!$B$23</f>
        <v>1.57</v>
      </c>
      <c r="EB42" s="18">
        <f t="shared" si="231"/>
        <v>0</v>
      </c>
      <c r="EC42" s="18">
        <f t="shared" si="192"/>
        <v>1.1183630062500001</v>
      </c>
      <c r="ED42" s="18">
        <f t="shared" si="193"/>
        <v>3.9069450000000003</v>
      </c>
      <c r="EE42" s="18">
        <f t="shared" si="194"/>
        <v>0</v>
      </c>
      <c r="EF42" s="18">
        <f t="shared" si="195"/>
        <v>1.9534725000000002</v>
      </c>
      <c r="EG42" s="18">
        <f t="shared" si="196"/>
        <v>0.14260349249999998</v>
      </c>
      <c r="EH42">
        <f t="shared" si="232"/>
        <v>41.993437499999999</v>
      </c>
      <c r="EI42">
        <f t="shared" si="233"/>
        <v>113.26096687499999</v>
      </c>
      <c r="EJ42">
        <f t="shared" si="197"/>
        <v>92.0745</v>
      </c>
      <c r="EK42">
        <f t="shared" si="198"/>
        <v>107.62762500000001</v>
      </c>
      <c r="EL42">
        <f t="shared" si="199"/>
        <v>33.970513499999996</v>
      </c>
      <c r="EM42">
        <f t="shared" si="200"/>
        <v>81.352020093749999</v>
      </c>
      <c r="EN42">
        <f t="shared" si="201"/>
        <v>63.535137750000004</v>
      </c>
      <c r="EO42">
        <f t="shared" si="202"/>
        <v>68.831754468749992</v>
      </c>
      <c r="EP42">
        <f t="shared" si="203"/>
        <v>83.357751093749997</v>
      </c>
      <c r="EQ42">
        <f t="shared" si="204"/>
        <v>91.850379468749992</v>
      </c>
      <c r="ER42">
        <f t="shared" si="234"/>
        <v>0</v>
      </c>
      <c r="ES42">
        <f t="shared" si="235"/>
        <v>0.49875083133750003</v>
      </c>
      <c r="ET42">
        <f t="shared" si="236"/>
        <v>0</v>
      </c>
      <c r="EU42">
        <f t="shared" si="237"/>
        <v>0.26174333843437503</v>
      </c>
      <c r="EV42">
        <f t="shared" si="238"/>
        <v>0</v>
      </c>
      <c r="EW42" s="18">
        <f t="shared" si="239"/>
        <v>7.8818781685218754E-3</v>
      </c>
      <c r="EX42">
        <f>SUM(EW42:EW45)</f>
        <v>0.16256855341467863</v>
      </c>
      <c r="EY42" s="18">
        <f t="shared" si="240"/>
        <v>51.32531250000001</v>
      </c>
      <c r="EZ42" s="18">
        <f t="shared" si="205"/>
        <v>28.493324999999999</v>
      </c>
      <c r="FA42" s="18">
        <f t="shared" si="206"/>
        <v>37.327500000000001</v>
      </c>
      <c r="FB42" s="18">
        <f t="shared" si="207"/>
        <v>0</v>
      </c>
      <c r="FC42" s="18">
        <f t="shared" si="208"/>
        <v>15.553125000000001</v>
      </c>
      <c r="FD42" s="18">
        <f t="shared" si="209"/>
        <v>11.353781249999999</v>
      </c>
      <c r="FE42" s="18">
        <f t="shared" si="241"/>
        <v>44.743611051562503</v>
      </c>
      <c r="FF42" s="18">
        <f t="shared" si="242"/>
        <v>12.707027550000001</v>
      </c>
      <c r="FG42" s="18">
        <f t="shared" si="243"/>
        <v>0</v>
      </c>
      <c r="FH42" s="18">
        <f t="shared" si="244"/>
        <v>20.839437773437499</v>
      </c>
      <c r="FI42" s="18">
        <f t="shared" si="245"/>
        <v>0</v>
      </c>
      <c r="FJ42" s="18">
        <f t="shared" si="246"/>
        <v>222.34312012500001</v>
      </c>
      <c r="FK42" s="18">
        <f>_xlfn.XLOOKUP(C42, Constants!$D$19:$D$23, Constants!$E$19:$E$23)</f>
        <v>5.8999999999999999E-3</v>
      </c>
      <c r="FL42">
        <f t="shared" si="247"/>
        <v>2.0595643217178748E-3</v>
      </c>
      <c r="FM42">
        <f t="shared" ref="FM42" si="250">SUM(FL42:FL45)</f>
        <v>4.2482155402268858E-2</v>
      </c>
      <c r="FN42" s="18">
        <f>Constants!$B$24</f>
        <v>1.0999999999999999E-2</v>
      </c>
      <c r="FO42" s="18">
        <f t="shared" si="248"/>
        <v>1</v>
      </c>
      <c r="FP42">
        <f>Constants!$B$25</f>
        <v>0.02</v>
      </c>
      <c r="FQ42">
        <f t="shared" si="210"/>
        <v>2.4885000000000002</v>
      </c>
      <c r="FR42" s="18">
        <f t="shared" si="211"/>
        <v>4.2976395000000001E-2</v>
      </c>
      <c r="FS42">
        <f t="shared" ref="FS42" si="251">SUM(FR42:FR45)/1000</f>
        <v>8.8611230180000024E-4</v>
      </c>
    </row>
    <row r="43" spans="1:175" x14ac:dyDescent="0.2">
      <c r="A43" t="s">
        <v>41</v>
      </c>
      <c r="B43">
        <v>14</v>
      </c>
      <c r="C43" t="s">
        <v>75</v>
      </c>
      <c r="D43" t="b">
        <v>1</v>
      </c>
      <c r="E43" t="s">
        <v>26</v>
      </c>
      <c r="F43">
        <v>245</v>
      </c>
      <c r="G43">
        <v>290</v>
      </c>
      <c r="I43">
        <v>0.56000000000000005</v>
      </c>
      <c r="J43">
        <v>6.9000000000000006E-2</v>
      </c>
      <c r="K43">
        <v>0.2</v>
      </c>
      <c r="L43">
        <v>0.1</v>
      </c>
      <c r="M43">
        <v>0.2</v>
      </c>
      <c r="N43">
        <v>0.2</v>
      </c>
      <c r="O43">
        <v>0.2</v>
      </c>
      <c r="P43">
        <v>0.1</v>
      </c>
      <c r="Q43" t="b">
        <v>1</v>
      </c>
      <c r="R43">
        <v>0.45</v>
      </c>
      <c r="S43">
        <v>0.25</v>
      </c>
      <c r="T43" t="b">
        <v>1</v>
      </c>
      <c r="U43">
        <v>0.3</v>
      </c>
      <c r="V43">
        <v>0.26</v>
      </c>
      <c r="W43" t="b">
        <v>1</v>
      </c>
      <c r="X43">
        <v>0.33</v>
      </c>
      <c r="Y43">
        <v>0.27</v>
      </c>
      <c r="Z43" s="23"/>
      <c r="AA43">
        <v>0.25</v>
      </c>
      <c r="AB43">
        <v>0.25</v>
      </c>
      <c r="AC43">
        <v>0.25</v>
      </c>
      <c r="AD43">
        <v>0.25</v>
      </c>
      <c r="AE43" s="21">
        <v>0.25</v>
      </c>
      <c r="AF43" s="20"/>
      <c r="AG43">
        <v>0.25</v>
      </c>
      <c r="AH43">
        <v>0.25</v>
      </c>
      <c r="AI43">
        <v>0.25</v>
      </c>
      <c r="AJ43" s="21">
        <v>0.25</v>
      </c>
      <c r="AK43">
        <v>0.25</v>
      </c>
      <c r="AL43" s="20"/>
      <c r="AM43">
        <v>0.25</v>
      </c>
      <c r="AN43">
        <v>0.25</v>
      </c>
      <c r="AO43" s="21">
        <v>0.2</v>
      </c>
      <c r="AP43">
        <v>0.2</v>
      </c>
      <c r="AQ43">
        <v>0.2</v>
      </c>
      <c r="AR43">
        <v>0.2</v>
      </c>
      <c r="AS43">
        <v>0.2</v>
      </c>
      <c r="AT43" s="21">
        <v>0.25</v>
      </c>
      <c r="AU43">
        <v>0.25</v>
      </c>
      <c r="AV43">
        <v>0.25</v>
      </c>
      <c r="AW43" s="20"/>
      <c r="AX43">
        <v>0.25</v>
      </c>
      <c r="AY43" s="21">
        <f>IF(H43&lt;&gt;"", H43, _xlfn.XLOOKUP($E43,Constants!$A$3:$A$6, Constants!B$3:B$6))</f>
        <v>2.62</v>
      </c>
      <c r="AZ43">
        <f>IF(I43&lt;&gt;"", I43, _xlfn.XLOOKUP($E43,Constants!$A$3:$A$6, Constants!C$3:C$6))</f>
        <v>0.56000000000000005</v>
      </c>
      <c r="BA43">
        <f>IF(J43&lt;&gt;"", J43, _xlfn.XLOOKUP($E43,Constants!$A$3:$A$6, Constants!D$3:D$6))</f>
        <v>6.9000000000000006E-2</v>
      </c>
      <c r="BB43">
        <f>IF(R43&lt;&gt;"", R43, IF(Q43, Constants!$B$19, 0))</f>
        <v>0.45</v>
      </c>
      <c r="BC43">
        <f>IF(U43&lt;&gt;"", U43,  IF(T43, Constants!$B$19, 0))</f>
        <v>0.3</v>
      </c>
      <c r="BD43">
        <f>IF(X43&lt;&gt;"", X43,  IF(W43, Constants!$B$19, 0))</f>
        <v>0.33</v>
      </c>
      <c r="BE43">
        <f>IF(S43&lt;&gt;"", S43, IF(Q43, Constants!$B$20, 0))</f>
        <v>0.25</v>
      </c>
      <c r="BF43">
        <f>IF(V43&lt;&gt;"", V43, IF(T43, Constants!$B$20, 0))</f>
        <v>0.26</v>
      </c>
      <c r="BG43">
        <f>IF(Y43&lt;&gt;"", Y43,  IF(W43, Constants!$B$20, 0))</f>
        <v>0.27</v>
      </c>
      <c r="BH43">
        <f t="shared" si="212"/>
        <v>0.11000000000000001</v>
      </c>
      <c r="BI43">
        <f t="shared" si="213"/>
        <v>0.28300000000000003</v>
      </c>
      <c r="BJ43">
        <f t="shared" si="214"/>
        <v>0.2</v>
      </c>
      <c r="BK43">
        <f t="shared" si="215"/>
        <v>0.13999999999999999</v>
      </c>
      <c r="BL43">
        <f t="shared" si="216"/>
        <v>0.2</v>
      </c>
      <c r="BM43">
        <f t="shared" si="217"/>
        <v>6.699999999999999E-2</v>
      </c>
      <c r="BN43">
        <f>Constants!$B$21</f>
        <v>0.45</v>
      </c>
      <c r="BO43">
        <f>Constants!$B$22</f>
        <v>0.6784</v>
      </c>
      <c r="BP43">
        <f>_xlfn.XLOOKUP($B43,Constants!$G$20:$G$38, Constants!H$20:H$38)</f>
        <v>0.73</v>
      </c>
      <c r="BQ43">
        <f>_xlfn.XLOOKUP($B43,Constants!$G$20:$G$38, Constants!I$20:I$38)</f>
        <v>0.02</v>
      </c>
      <c r="BR43">
        <f>_xlfn.XLOOKUP($A43,Constants!$F$9:$M$9,Constants!$F$12:$M$12)</f>
        <v>0.03</v>
      </c>
      <c r="BS43">
        <f>_xlfn.XLOOKUP($B43,Constants!$G$20:$G$38, Constants!J$20:J$38)</f>
        <v>0.1</v>
      </c>
      <c r="BT43">
        <f>_xlfn.XLOOKUP($B43,Constants!$G$20:$G$38, Constants!K$20:K$38)</f>
        <v>0.04</v>
      </c>
      <c r="BU43">
        <f>_xlfn.XLOOKUP($B43,Constants!$G$20:$G$38, Constants!L$20:L$38)</f>
        <v>0.03</v>
      </c>
      <c r="BV43">
        <f>_xlfn.XLOOKUP($B43,Constants!$G$20:$G$38, Constants!P$20:P$38)</f>
        <v>0</v>
      </c>
      <c r="BW43">
        <f t="shared" si="167"/>
        <v>1.3727831040000003E-2</v>
      </c>
      <c r="BX43">
        <f t="shared" si="168"/>
        <v>9.6761548800000034E-4</v>
      </c>
      <c r="BY43">
        <f t="shared" si="169"/>
        <v>1.0257408000000003E-3</v>
      </c>
      <c r="BZ43">
        <f t="shared" si="170"/>
        <v>2.3933952000000001E-3</v>
      </c>
      <c r="CA43">
        <f t="shared" si="171"/>
        <v>1.3676544000000004E-3</v>
      </c>
      <c r="CB43">
        <f t="shared" si="172"/>
        <v>3.4362316799999991E-4</v>
      </c>
      <c r="CC43">
        <f t="shared" si="173"/>
        <v>1.4086273598208003</v>
      </c>
      <c r="CD43">
        <f>Constants!$E$10</f>
        <v>0</v>
      </c>
      <c r="CE43">
        <f>Constants!$E$11</f>
        <v>0</v>
      </c>
      <c r="CF43">
        <f>Constants!$E$13</f>
        <v>0.75</v>
      </c>
      <c r="CG43">
        <f>Constants!$E$14</f>
        <v>0.05</v>
      </c>
      <c r="CH43">
        <f>Constants!$E$15</f>
        <v>0</v>
      </c>
      <c r="CI43">
        <f t="shared" si="174"/>
        <v>0.11000000000000001</v>
      </c>
      <c r="CJ43">
        <f t="shared" si="175"/>
        <v>0.28300000000000003</v>
      </c>
      <c r="CK43">
        <f t="shared" si="176"/>
        <v>3.4999999999999996E-2</v>
      </c>
      <c r="CL43">
        <f t="shared" si="177"/>
        <v>0.19</v>
      </c>
      <c r="CM43">
        <f t="shared" si="178"/>
        <v>6.699999999999999E-2</v>
      </c>
      <c r="CN43">
        <f t="shared" si="179"/>
        <v>0.3836</v>
      </c>
      <c r="CO43">
        <f t="shared" si="180"/>
        <v>0.13425000000000001</v>
      </c>
      <c r="CP43">
        <f t="shared" si="181"/>
        <v>9.1000000000000011E-2</v>
      </c>
      <c r="CQ43">
        <f t="shared" si="182"/>
        <v>0.153</v>
      </c>
      <c r="CR43">
        <f t="shared" si="183"/>
        <v>0.14500000000000002</v>
      </c>
      <c r="CS43">
        <f t="shared" si="184"/>
        <v>0.16175</v>
      </c>
      <c r="CT43">
        <f t="shared" si="218"/>
        <v>1.6754193792000004E-2</v>
      </c>
      <c r="CU43">
        <f t="shared" si="185"/>
        <v>3.1114137600000009E-4</v>
      </c>
      <c r="CV43">
        <f t="shared" si="219"/>
        <v>2.6156390400000002E-3</v>
      </c>
      <c r="CW43">
        <f t="shared" si="220"/>
        <v>7.436620800000003E-4</v>
      </c>
      <c r="CX43">
        <f t="shared" si="221"/>
        <v>0</v>
      </c>
      <c r="CY43">
        <f t="shared" si="186"/>
        <v>1.4511704082624004</v>
      </c>
      <c r="CZ43">
        <f t="shared" si="222"/>
        <v>2.859797768083201</v>
      </c>
      <c r="DB43">
        <f t="shared" si="223"/>
        <v>4902.4500000000007</v>
      </c>
      <c r="DC43">
        <f t="shared" si="224"/>
        <v>0.15000000000000002</v>
      </c>
      <c r="DD43">
        <f t="shared" si="225"/>
        <v>0.22900000000000001</v>
      </c>
      <c r="DE43">
        <f t="shared" si="226"/>
        <v>0.2</v>
      </c>
      <c r="DF43">
        <f t="shared" si="227"/>
        <v>0.14799999999999999</v>
      </c>
      <c r="DG43">
        <f t="shared" si="228"/>
        <v>0.2</v>
      </c>
      <c r="DH43">
        <f t="shared" si="229"/>
        <v>7.2999999999999995E-2</v>
      </c>
      <c r="DI43">
        <f t="shared" si="230"/>
        <v>735.36750000000018</v>
      </c>
      <c r="DJ43">
        <f t="shared" si="187"/>
        <v>1122.6610500000002</v>
      </c>
      <c r="DK43">
        <f t="shared" si="188"/>
        <v>980.49000000000024</v>
      </c>
      <c r="DL43">
        <f t="shared" si="189"/>
        <v>725.56260000000009</v>
      </c>
      <c r="DM43">
        <f t="shared" si="190"/>
        <v>980.49000000000024</v>
      </c>
      <c r="DN43">
        <f t="shared" si="191"/>
        <v>357.87885000000006</v>
      </c>
      <c r="DO43" s="6">
        <f>Constants!$C$10</f>
        <v>0.55000000000000004</v>
      </c>
      <c r="DP43" s="6">
        <f>Constants!$C$11</f>
        <v>0.2</v>
      </c>
      <c r="DQ43" s="6">
        <f>Constants!$C$12</f>
        <v>0.3</v>
      </c>
      <c r="DR43" s="6">
        <f>Constants!$C$13</f>
        <v>0</v>
      </c>
      <c r="DS43" s="6">
        <f>Constants!$C$14</f>
        <v>0.125</v>
      </c>
      <c r="DT43" s="6">
        <f>Constants!$C$15</f>
        <v>0.25</v>
      </c>
      <c r="DU43" s="6">
        <f>Constants!$D$10</f>
        <v>0</v>
      </c>
      <c r="DV43" s="6">
        <f>Constants!$D$11</f>
        <v>5.0000000000000001E-3</v>
      </c>
      <c r="DW43" s="6">
        <f>Constants!$D$12</f>
        <v>0.02</v>
      </c>
      <c r="DX43" s="6">
        <f>Constants!$D$13</f>
        <v>0</v>
      </c>
      <c r="DY43" s="6">
        <f>Constants!$D$14</f>
        <v>0.01</v>
      </c>
      <c r="DZ43" s="6">
        <f>Constants!$D$15</f>
        <v>2E-3</v>
      </c>
      <c r="EA43">
        <f>Constants!$B$23</f>
        <v>1.57</v>
      </c>
      <c r="EB43">
        <f t="shared" si="231"/>
        <v>0</v>
      </c>
      <c r="EC43">
        <f t="shared" si="192"/>
        <v>8.8128892425000007</v>
      </c>
      <c r="ED43">
        <f t="shared" si="193"/>
        <v>30.787386000000005</v>
      </c>
      <c r="EE43">
        <f t="shared" si="194"/>
        <v>0</v>
      </c>
      <c r="EF43">
        <f t="shared" si="195"/>
        <v>15.393693000000003</v>
      </c>
      <c r="EG43">
        <f t="shared" si="196"/>
        <v>1.1237395890000004</v>
      </c>
      <c r="EH43">
        <f t="shared" si="232"/>
        <v>330.91537500000004</v>
      </c>
      <c r="EI43">
        <f t="shared" si="233"/>
        <v>892.51553475000014</v>
      </c>
      <c r="EJ43">
        <f t="shared" si="197"/>
        <v>725.56260000000009</v>
      </c>
      <c r="EK43">
        <f t="shared" si="198"/>
        <v>848.12385000000017</v>
      </c>
      <c r="EL43">
        <f t="shared" si="199"/>
        <v>267.69337980000006</v>
      </c>
      <c r="EM43">
        <f t="shared" si="200"/>
        <v>641.06764863750004</v>
      </c>
      <c r="EN43">
        <f t="shared" si="201"/>
        <v>500.66760870000007</v>
      </c>
      <c r="EO43">
        <f t="shared" si="202"/>
        <v>542.40584238750012</v>
      </c>
      <c r="EP43">
        <f t="shared" si="203"/>
        <v>656.87314743750005</v>
      </c>
      <c r="EQ43">
        <f t="shared" si="204"/>
        <v>723.79649238750005</v>
      </c>
      <c r="ER43">
        <f t="shared" si="234"/>
        <v>0</v>
      </c>
      <c r="ES43">
        <f t="shared" si="235"/>
        <v>3.9302407282950007</v>
      </c>
      <c r="ET43">
        <f t="shared" si="236"/>
        <v>0</v>
      </c>
      <c r="EU43">
        <f t="shared" si="237"/>
        <v>2.0625816829537502</v>
      </c>
      <c r="EV43">
        <f t="shared" si="238"/>
        <v>0</v>
      </c>
      <c r="EW43">
        <f t="shared" si="239"/>
        <v>6.2110530242748749E-2</v>
      </c>
      <c r="EY43">
        <f t="shared" si="240"/>
        <v>404.45212500000014</v>
      </c>
      <c r="EZ43">
        <f t="shared" si="205"/>
        <v>224.53221000000005</v>
      </c>
      <c r="FA43">
        <f t="shared" si="206"/>
        <v>294.14700000000005</v>
      </c>
      <c r="FB43">
        <f t="shared" si="207"/>
        <v>0</v>
      </c>
      <c r="FC43">
        <f t="shared" si="208"/>
        <v>122.56125000000003</v>
      </c>
      <c r="FD43">
        <f t="shared" si="209"/>
        <v>89.469712500000014</v>
      </c>
      <c r="FE43">
        <f t="shared" si="241"/>
        <v>352.58720675062506</v>
      </c>
      <c r="FF43">
        <f t="shared" si="242"/>
        <v>100.13352174000002</v>
      </c>
      <c r="FG43">
        <f t="shared" si="243"/>
        <v>0</v>
      </c>
      <c r="FH43">
        <f t="shared" si="244"/>
        <v>164.21828685937501</v>
      </c>
      <c r="FI43">
        <f t="shared" si="245"/>
        <v>0</v>
      </c>
      <c r="FJ43">
        <f t="shared" si="246"/>
        <v>1752.1013128500003</v>
      </c>
      <c r="FK43">
        <f>_xlfn.XLOOKUP(C43, Constants!$D$19:$D$23, Constants!$E$19:$E$23)</f>
        <v>5.8999999999999999E-3</v>
      </c>
      <c r="FL43">
        <f t="shared" si="247"/>
        <v>1.6229714460929554E-2</v>
      </c>
      <c r="FN43">
        <f>Constants!$B$24</f>
        <v>1.0999999999999999E-2</v>
      </c>
      <c r="FO43">
        <f t="shared" si="248"/>
        <v>1</v>
      </c>
      <c r="FP43">
        <f>Constants!$B$25</f>
        <v>0.02</v>
      </c>
      <c r="FQ43">
        <f t="shared" si="210"/>
        <v>19.609800000000003</v>
      </c>
      <c r="FR43">
        <f t="shared" si="211"/>
        <v>0.33866124600000008</v>
      </c>
    </row>
    <row r="44" spans="1:175" x14ac:dyDescent="0.2">
      <c r="A44" t="s">
        <v>41</v>
      </c>
      <c r="B44">
        <v>14</v>
      </c>
      <c r="C44" t="s">
        <v>75</v>
      </c>
      <c r="D44" t="b">
        <v>1</v>
      </c>
      <c r="E44" t="s">
        <v>27</v>
      </c>
      <c r="F44">
        <v>434</v>
      </c>
      <c r="G44">
        <v>280</v>
      </c>
      <c r="I44">
        <v>0.45</v>
      </c>
      <c r="J44">
        <v>5.6000000000000001E-2</v>
      </c>
      <c r="K44">
        <v>0.2</v>
      </c>
      <c r="L44">
        <v>0.1</v>
      </c>
      <c r="M44">
        <v>0.2</v>
      </c>
      <c r="N44">
        <v>0.2</v>
      </c>
      <c r="O44">
        <v>0.2</v>
      </c>
      <c r="P44">
        <v>0.1</v>
      </c>
      <c r="Q44" t="b">
        <v>1</v>
      </c>
      <c r="R44">
        <v>0.45</v>
      </c>
      <c r="S44">
        <v>0.25</v>
      </c>
      <c r="T44" t="b">
        <v>1</v>
      </c>
      <c r="U44">
        <v>0.3</v>
      </c>
      <c r="V44">
        <v>0.27</v>
      </c>
      <c r="W44" t="b">
        <v>1</v>
      </c>
      <c r="X44">
        <v>0.33</v>
      </c>
      <c r="Y44">
        <v>0.26</v>
      </c>
      <c r="Z44" s="23"/>
      <c r="AA44">
        <v>0.25</v>
      </c>
      <c r="AB44">
        <v>0.25</v>
      </c>
      <c r="AC44">
        <v>0.25</v>
      </c>
      <c r="AD44">
        <v>0.25</v>
      </c>
      <c r="AE44" s="21">
        <v>0.25</v>
      </c>
      <c r="AF44" s="20"/>
      <c r="AG44">
        <v>0.25</v>
      </c>
      <c r="AH44">
        <v>0.25</v>
      </c>
      <c r="AI44">
        <v>0.25</v>
      </c>
      <c r="AJ44" s="21">
        <v>0.25</v>
      </c>
      <c r="AK44">
        <v>0.25</v>
      </c>
      <c r="AL44" s="20"/>
      <c r="AM44">
        <v>0.25</v>
      </c>
      <c r="AN44">
        <v>0.25</v>
      </c>
      <c r="AO44" s="21">
        <v>0.2</v>
      </c>
      <c r="AP44">
        <v>0.2</v>
      </c>
      <c r="AQ44">
        <v>0.2</v>
      </c>
      <c r="AR44">
        <v>0.2</v>
      </c>
      <c r="AS44">
        <v>0.2</v>
      </c>
      <c r="AT44" s="21">
        <v>0.25</v>
      </c>
      <c r="AU44">
        <v>0.25</v>
      </c>
      <c r="AV44">
        <v>0.25</v>
      </c>
      <c r="AW44" s="20"/>
      <c r="AX44">
        <v>0.25</v>
      </c>
      <c r="AY44" s="21">
        <f>IF(H44&lt;&gt;"", H44, _xlfn.XLOOKUP($E44,Constants!$A$3:$A$6, Constants!B$3:B$6))</f>
        <v>2.5</v>
      </c>
      <c r="AZ44">
        <f>IF(I44&lt;&gt;"", I44, _xlfn.XLOOKUP($E44,Constants!$A$3:$A$6, Constants!C$3:C$6))</f>
        <v>0.45</v>
      </c>
      <c r="BA44">
        <f>IF(J44&lt;&gt;"", J44, _xlfn.XLOOKUP($E44,Constants!$A$3:$A$6, Constants!D$3:D$6))</f>
        <v>5.6000000000000001E-2</v>
      </c>
      <c r="BB44">
        <f>IF(R44&lt;&gt;"", R44, IF(Q44, Constants!$B$19, 0))</f>
        <v>0.45</v>
      </c>
      <c r="BC44">
        <f>IF(U44&lt;&gt;"", U44,  IF(T44, Constants!$B$19, 0))</f>
        <v>0.3</v>
      </c>
      <c r="BD44">
        <f>IF(X44&lt;&gt;"", X44,  IF(W44, Constants!$B$19, 0))</f>
        <v>0.33</v>
      </c>
      <c r="BE44">
        <f>IF(S44&lt;&gt;"", S44, IF(Q44, Constants!$B$20, 0))</f>
        <v>0.25</v>
      </c>
      <c r="BF44">
        <f>IF(V44&lt;&gt;"", V44, IF(T44, Constants!$B$20, 0))</f>
        <v>0.27</v>
      </c>
      <c r="BG44">
        <f>IF(Y44&lt;&gt;"", Y44,  IF(W44, Constants!$B$20, 0))</f>
        <v>0.26</v>
      </c>
      <c r="BH44">
        <f t="shared" si="212"/>
        <v>0.11000000000000001</v>
      </c>
      <c r="BI44">
        <f t="shared" si="213"/>
        <v>0.28300000000000003</v>
      </c>
      <c r="BJ44">
        <f t="shared" si="214"/>
        <v>0.2</v>
      </c>
      <c r="BK44">
        <f t="shared" si="215"/>
        <v>0.13999999999999999</v>
      </c>
      <c r="BL44">
        <f t="shared" si="216"/>
        <v>0.2</v>
      </c>
      <c r="BM44">
        <f t="shared" si="217"/>
        <v>6.699999999999999E-2</v>
      </c>
      <c r="BN44">
        <f>Constants!$B$21</f>
        <v>0.45</v>
      </c>
      <c r="BO44">
        <f>Constants!$B$22</f>
        <v>0.6784</v>
      </c>
      <c r="BP44">
        <f>_xlfn.XLOOKUP($B44,Constants!$G$20:$G$38, Constants!H$20:H$38)</f>
        <v>0.73</v>
      </c>
      <c r="BQ44">
        <f>_xlfn.XLOOKUP($B44,Constants!$G$20:$G$38, Constants!I$20:I$38)</f>
        <v>0.02</v>
      </c>
      <c r="BR44">
        <f>_xlfn.XLOOKUP($A44,Constants!$F$9:$M$9,Constants!$F$12:$M$12)</f>
        <v>0.03</v>
      </c>
      <c r="BS44">
        <f>_xlfn.XLOOKUP($B44,Constants!$G$20:$G$38, Constants!J$20:J$38)</f>
        <v>0.1</v>
      </c>
      <c r="BT44">
        <f>_xlfn.XLOOKUP($B44,Constants!$G$20:$G$38, Constants!K$20:K$38)</f>
        <v>0.04</v>
      </c>
      <c r="BU44">
        <f>_xlfn.XLOOKUP($B44,Constants!$G$20:$G$38, Constants!L$20:L$38)</f>
        <v>0.03</v>
      </c>
      <c r="BV44">
        <f>_xlfn.XLOOKUP($B44,Constants!$G$20:$G$38, Constants!P$20:P$38)</f>
        <v>0</v>
      </c>
      <c r="BW44">
        <f t="shared" si="167"/>
        <v>1.1031292800000004E-2</v>
      </c>
      <c r="BX44">
        <f t="shared" si="168"/>
        <v>7.775481600000001E-4</v>
      </c>
      <c r="BY44">
        <f t="shared" si="169"/>
        <v>8.242560000000001E-4</v>
      </c>
      <c r="BZ44">
        <f t="shared" si="170"/>
        <v>1.9232640000000003E-3</v>
      </c>
      <c r="CA44">
        <f t="shared" si="171"/>
        <v>1.0990080000000001E-3</v>
      </c>
      <c r="CB44">
        <f t="shared" si="172"/>
        <v>2.7612575999999995E-4</v>
      </c>
      <c r="CC44">
        <f t="shared" si="173"/>
        <v>1.9359952383744008</v>
      </c>
      <c r="CD44">
        <f>Constants!$E$10</f>
        <v>0</v>
      </c>
      <c r="CE44">
        <f>Constants!$E$11</f>
        <v>0</v>
      </c>
      <c r="CF44">
        <f>Constants!$E$13</f>
        <v>0.75</v>
      </c>
      <c r="CG44">
        <f>Constants!$E$14</f>
        <v>0.05</v>
      </c>
      <c r="CH44">
        <f>Constants!$E$15</f>
        <v>0</v>
      </c>
      <c r="CI44">
        <f t="shared" si="174"/>
        <v>0.11000000000000001</v>
      </c>
      <c r="CJ44">
        <f t="shared" si="175"/>
        <v>0.28300000000000003</v>
      </c>
      <c r="CK44">
        <f t="shared" si="176"/>
        <v>3.4999999999999996E-2</v>
      </c>
      <c r="CL44">
        <f t="shared" si="177"/>
        <v>0.19</v>
      </c>
      <c r="CM44">
        <f t="shared" si="178"/>
        <v>6.699999999999999E-2</v>
      </c>
      <c r="CN44">
        <f t="shared" si="179"/>
        <v>0.30824999999999997</v>
      </c>
      <c r="CO44">
        <f t="shared" si="180"/>
        <v>0.13425000000000001</v>
      </c>
      <c r="CP44">
        <f t="shared" si="181"/>
        <v>9.1000000000000011E-2</v>
      </c>
      <c r="CQ44">
        <f t="shared" si="182"/>
        <v>0.153</v>
      </c>
      <c r="CR44">
        <f t="shared" si="183"/>
        <v>0.14500000000000002</v>
      </c>
      <c r="CS44">
        <f t="shared" si="184"/>
        <v>0.16175</v>
      </c>
      <c r="CT44">
        <f t="shared" si="218"/>
        <v>1.3463191440000001E-2</v>
      </c>
      <c r="CU44">
        <f t="shared" si="185"/>
        <v>2.5002432000000003E-4</v>
      </c>
      <c r="CV44">
        <f t="shared" si="219"/>
        <v>2.1018527999999998E-3</v>
      </c>
      <c r="CW44">
        <f t="shared" si="220"/>
        <v>5.9758560000000018E-4</v>
      </c>
      <c r="CX44">
        <f t="shared" si="221"/>
        <v>0</v>
      </c>
      <c r="CY44">
        <f t="shared" si="186"/>
        <v>1.9944657335231999</v>
      </c>
      <c r="CZ44">
        <f t="shared" si="222"/>
        <v>3.9304609718976007</v>
      </c>
      <c r="DB44">
        <f t="shared" si="223"/>
        <v>6805.12</v>
      </c>
      <c r="DC44">
        <f t="shared" si="224"/>
        <v>0.15000000000000002</v>
      </c>
      <c r="DD44">
        <f t="shared" si="225"/>
        <v>0.23</v>
      </c>
      <c r="DE44">
        <f t="shared" si="226"/>
        <v>0.2</v>
      </c>
      <c r="DF44">
        <f t="shared" si="227"/>
        <v>0.14599999999999999</v>
      </c>
      <c r="DG44">
        <f t="shared" si="228"/>
        <v>0.2</v>
      </c>
      <c r="DH44">
        <f t="shared" si="229"/>
        <v>7.3999999999999996E-2</v>
      </c>
      <c r="DI44">
        <f t="shared" si="230"/>
        <v>1020.7680000000001</v>
      </c>
      <c r="DJ44">
        <f t="shared" si="187"/>
        <v>1565.1776</v>
      </c>
      <c r="DK44">
        <f t="shared" si="188"/>
        <v>1361.0240000000001</v>
      </c>
      <c r="DL44">
        <f t="shared" si="189"/>
        <v>993.54751999999996</v>
      </c>
      <c r="DM44">
        <f t="shared" si="190"/>
        <v>1361.0240000000001</v>
      </c>
      <c r="DN44">
        <f t="shared" si="191"/>
        <v>503.57887999999997</v>
      </c>
      <c r="DO44" s="6">
        <f>Constants!$C$10</f>
        <v>0.55000000000000004</v>
      </c>
      <c r="DP44" s="6">
        <f>Constants!$C$11</f>
        <v>0.2</v>
      </c>
      <c r="DQ44" s="6">
        <f>Constants!$C$12</f>
        <v>0.3</v>
      </c>
      <c r="DR44" s="6">
        <f>Constants!$C$13</f>
        <v>0</v>
      </c>
      <c r="DS44" s="6">
        <f>Constants!$C$14</f>
        <v>0.125</v>
      </c>
      <c r="DT44" s="6">
        <f>Constants!$C$15</f>
        <v>0.25</v>
      </c>
      <c r="DU44" s="6">
        <f>Constants!$D$10</f>
        <v>0</v>
      </c>
      <c r="DV44" s="6">
        <f>Constants!$D$11</f>
        <v>5.0000000000000001E-3</v>
      </c>
      <c r="DW44" s="6">
        <f>Constants!$D$12</f>
        <v>0.02</v>
      </c>
      <c r="DX44" s="6">
        <f>Constants!$D$13</f>
        <v>0</v>
      </c>
      <c r="DY44" s="6">
        <f>Constants!$D$14</f>
        <v>0.01</v>
      </c>
      <c r="DZ44" s="6">
        <f>Constants!$D$15</f>
        <v>2E-3</v>
      </c>
      <c r="EA44">
        <f>Constants!$B$23</f>
        <v>1.57</v>
      </c>
      <c r="EB44">
        <f t="shared" si="231"/>
        <v>0</v>
      </c>
      <c r="EC44">
        <f t="shared" si="192"/>
        <v>12.28664416</v>
      </c>
      <c r="ED44">
        <f t="shared" si="193"/>
        <v>42.736153600000002</v>
      </c>
      <c r="EE44">
        <f t="shared" si="194"/>
        <v>0</v>
      </c>
      <c r="EF44">
        <f t="shared" si="195"/>
        <v>21.368076800000001</v>
      </c>
      <c r="EG44">
        <f t="shared" si="196"/>
        <v>1.5812376831999999</v>
      </c>
      <c r="EH44">
        <f t="shared" si="232"/>
        <v>459.34560000000005</v>
      </c>
      <c r="EI44">
        <f t="shared" si="233"/>
        <v>1244.316192</v>
      </c>
      <c r="EJ44">
        <f t="shared" si="197"/>
        <v>993.54751999999996</v>
      </c>
      <c r="EK44">
        <f t="shared" si="198"/>
        <v>1177.28576</v>
      </c>
      <c r="EL44">
        <f t="shared" si="199"/>
        <v>376.67700223999998</v>
      </c>
      <c r="EM44">
        <f t="shared" si="200"/>
        <v>889.09233056000005</v>
      </c>
      <c r="EN44">
        <f t="shared" si="201"/>
        <v>692.84968256000002</v>
      </c>
      <c r="EO44">
        <f t="shared" si="202"/>
        <v>755.54185056000006</v>
      </c>
      <c r="EP44">
        <f t="shared" si="203"/>
        <v>909.75947999999994</v>
      </c>
      <c r="EQ44">
        <f t="shared" si="204"/>
        <v>1003.92873056</v>
      </c>
      <c r="ER44">
        <f t="shared" si="234"/>
        <v>0</v>
      </c>
      <c r="ES44">
        <f t="shared" si="235"/>
        <v>5.438870008096</v>
      </c>
      <c r="ET44">
        <f t="shared" si="236"/>
        <v>0</v>
      </c>
      <c r="EU44">
        <f t="shared" si="237"/>
        <v>2.8566447672000002</v>
      </c>
      <c r="EV44">
        <f t="shared" si="238"/>
        <v>0</v>
      </c>
      <c r="EW44">
        <f t="shared" si="239"/>
        <v>8.6267627018495996E-2</v>
      </c>
      <c r="EY44">
        <f t="shared" si="240"/>
        <v>561.42240000000015</v>
      </c>
      <c r="EZ44">
        <f t="shared" si="205"/>
        <v>313.03552000000002</v>
      </c>
      <c r="FA44">
        <f t="shared" si="206"/>
        <v>408.30720000000002</v>
      </c>
      <c r="FB44">
        <f t="shared" si="207"/>
        <v>0</v>
      </c>
      <c r="FC44">
        <f t="shared" si="208"/>
        <v>170.12800000000001</v>
      </c>
      <c r="FD44">
        <f t="shared" si="209"/>
        <v>125.89471999999999</v>
      </c>
      <c r="FE44">
        <f t="shared" si="241"/>
        <v>489.00078180800006</v>
      </c>
      <c r="FF44">
        <f t="shared" si="242"/>
        <v>138.569936512</v>
      </c>
      <c r="FG44">
        <f t="shared" si="243"/>
        <v>0</v>
      </c>
      <c r="FH44">
        <f t="shared" si="244"/>
        <v>227.43986999999998</v>
      </c>
      <c r="FI44">
        <f t="shared" si="245"/>
        <v>0</v>
      </c>
      <c r="FJ44">
        <f t="shared" si="246"/>
        <v>2433.7984283200003</v>
      </c>
      <c r="FK44">
        <f>_xlfn.XLOOKUP(C44, Constants!$D$19:$D$23, Constants!$E$19:$E$23)</f>
        <v>5.8999999999999999E-3</v>
      </c>
      <c r="FL44">
        <f t="shared" si="247"/>
        <v>2.2544274841528159E-2</v>
      </c>
      <c r="FN44">
        <f>Constants!$B$24</f>
        <v>1.0999999999999999E-2</v>
      </c>
      <c r="FO44">
        <f t="shared" si="248"/>
        <v>1</v>
      </c>
      <c r="FP44">
        <f>Constants!$B$25</f>
        <v>0.02</v>
      </c>
      <c r="FQ44">
        <f t="shared" si="210"/>
        <v>27.220480000000002</v>
      </c>
      <c r="FR44">
        <f t="shared" si="211"/>
        <v>0.47009768960000003</v>
      </c>
    </row>
    <row r="45" spans="1:175" x14ac:dyDescent="0.2">
      <c r="A45" s="2" t="s">
        <v>41</v>
      </c>
      <c r="B45" s="2">
        <v>14</v>
      </c>
      <c r="C45" s="2" t="s">
        <v>75</v>
      </c>
      <c r="D45" s="2" t="b">
        <v>1</v>
      </c>
      <c r="E45" s="2" t="s">
        <v>28</v>
      </c>
      <c r="F45" s="2">
        <v>44</v>
      </c>
      <c r="G45" s="2">
        <v>290</v>
      </c>
      <c r="H45" s="2"/>
      <c r="I45" s="2">
        <v>0.49</v>
      </c>
      <c r="J45" s="2">
        <f>0.039</f>
        <v>3.9E-2</v>
      </c>
      <c r="K45" s="2">
        <v>0.2</v>
      </c>
      <c r="L45" s="2">
        <v>0.1</v>
      </c>
      <c r="M45" s="2">
        <v>0.2</v>
      </c>
      <c r="N45" s="2">
        <v>0.2</v>
      </c>
      <c r="O45" s="2">
        <v>0.2</v>
      </c>
      <c r="P45" s="2">
        <v>0.1</v>
      </c>
      <c r="Q45" s="2" t="b">
        <v>1</v>
      </c>
      <c r="R45" s="2">
        <v>0.45</v>
      </c>
      <c r="S45" s="2">
        <v>0.25</v>
      </c>
      <c r="T45" s="2" t="b">
        <v>1</v>
      </c>
      <c r="U45" s="2">
        <v>0.3</v>
      </c>
      <c r="V45" s="2">
        <v>0.27</v>
      </c>
      <c r="W45" s="2" t="b">
        <v>1</v>
      </c>
      <c r="X45" s="2">
        <v>0.33</v>
      </c>
      <c r="Y45" s="2">
        <v>0.26</v>
      </c>
      <c r="Z45" s="22"/>
      <c r="AA45" s="2">
        <v>0.25</v>
      </c>
      <c r="AB45" s="2">
        <v>0.25</v>
      </c>
      <c r="AC45" s="2">
        <v>0.25</v>
      </c>
      <c r="AD45" s="2">
        <v>0.25</v>
      </c>
      <c r="AE45" s="25">
        <v>0.25</v>
      </c>
      <c r="AF45" s="19"/>
      <c r="AG45" s="2">
        <v>0.25</v>
      </c>
      <c r="AH45" s="2">
        <v>0.25</v>
      </c>
      <c r="AI45" s="2">
        <v>0.25</v>
      </c>
      <c r="AJ45" s="25">
        <v>0.25</v>
      </c>
      <c r="AK45" s="2">
        <v>0.25</v>
      </c>
      <c r="AL45" s="19"/>
      <c r="AM45" s="2">
        <v>0.25</v>
      </c>
      <c r="AN45" s="2">
        <v>0.25</v>
      </c>
      <c r="AO45" s="25">
        <v>0.2</v>
      </c>
      <c r="AP45" s="2">
        <v>0.2</v>
      </c>
      <c r="AQ45" s="2">
        <v>0.2</v>
      </c>
      <c r="AR45" s="2">
        <v>0.2</v>
      </c>
      <c r="AS45" s="2">
        <v>0.2</v>
      </c>
      <c r="AT45" s="25">
        <v>0.25</v>
      </c>
      <c r="AU45" s="2">
        <v>0.25</v>
      </c>
      <c r="AV45" s="2">
        <v>0.25</v>
      </c>
      <c r="AW45" s="19"/>
      <c r="AX45" s="2">
        <v>0.25</v>
      </c>
      <c r="AY45" s="25">
        <f>IF(H45&lt;&gt;"", H45, _xlfn.XLOOKUP($E45,Constants!$A$3:$A$6, Constants!B$3:B$6))</f>
        <v>1.71</v>
      </c>
      <c r="AZ45" s="2">
        <f>IF(I45&lt;&gt;"", I45, _xlfn.XLOOKUP($E45,Constants!$A$3:$A$6, Constants!C$3:C$6))</f>
        <v>0.49</v>
      </c>
      <c r="BA45" s="2">
        <f>IF(J45&lt;&gt;"", J45, _xlfn.XLOOKUP($E45,Constants!$A$3:$A$6, Constants!D$3:D$6))</f>
        <v>3.9E-2</v>
      </c>
      <c r="BB45" s="2">
        <f>IF(R45&lt;&gt;"", R45, IF(Q45, Constants!$B$19, 0))</f>
        <v>0.45</v>
      </c>
      <c r="BC45" s="2">
        <f>IF(U45&lt;&gt;"", U45,  IF(T45, Constants!$B$19, 0))</f>
        <v>0.3</v>
      </c>
      <c r="BD45" s="2">
        <f>IF(X45&lt;&gt;"", X45,  IF(W45, Constants!$B$19, 0))</f>
        <v>0.33</v>
      </c>
      <c r="BE45" s="2">
        <f>IF(S45&lt;&gt;"", S45, IF(Q45, Constants!$B$20, 0))</f>
        <v>0.25</v>
      </c>
      <c r="BF45" s="2">
        <f>IF(V45&lt;&gt;"", V45, IF(T45, Constants!$B$20, 0))</f>
        <v>0.27</v>
      </c>
      <c r="BG45" s="2">
        <f>IF(Y45&lt;&gt;"", Y45,  IF(W45, Constants!$B$20, 0))</f>
        <v>0.26</v>
      </c>
      <c r="BH45" s="2">
        <f t="shared" si="212"/>
        <v>0.11000000000000001</v>
      </c>
      <c r="BI45" s="2">
        <f t="shared" si="213"/>
        <v>0.28300000000000003</v>
      </c>
      <c r="BJ45" s="2">
        <f t="shared" si="214"/>
        <v>0.2</v>
      </c>
      <c r="BK45" s="2">
        <f t="shared" si="215"/>
        <v>0.13999999999999999</v>
      </c>
      <c r="BL45" s="2">
        <f t="shared" si="216"/>
        <v>0.2</v>
      </c>
      <c r="BM45" s="2">
        <f t="shared" si="217"/>
        <v>6.699999999999999E-2</v>
      </c>
      <c r="BN45" s="2">
        <f>Constants!$B$21</f>
        <v>0.45</v>
      </c>
      <c r="BO45" s="2">
        <f>Constants!$B$22</f>
        <v>0.6784</v>
      </c>
      <c r="BP45" s="2">
        <f>_xlfn.XLOOKUP($B45,Constants!$G$20:$G$38, Constants!H$20:H$38)</f>
        <v>0.73</v>
      </c>
      <c r="BQ45" s="2">
        <f>_xlfn.XLOOKUP($B45,Constants!$G$20:$G$38, Constants!I$20:I$38)</f>
        <v>0.02</v>
      </c>
      <c r="BR45" s="2">
        <f>_xlfn.XLOOKUP($A45,Constants!$F$9:$M$9,Constants!$F$12:$M$12)</f>
        <v>0.03</v>
      </c>
      <c r="BS45" s="2">
        <f>_xlfn.XLOOKUP($B45,Constants!$G$20:$G$38, Constants!J$20:J$38)</f>
        <v>0.1</v>
      </c>
      <c r="BT45" s="2">
        <f>_xlfn.XLOOKUP($B45,Constants!$G$20:$G$38, Constants!K$20:K$38)</f>
        <v>0.04</v>
      </c>
      <c r="BU45" s="2">
        <f>_xlfn.XLOOKUP($B45,Constants!$G$20:$G$38, Constants!L$20:L$38)</f>
        <v>0.03</v>
      </c>
      <c r="BV45" s="2">
        <f>_xlfn.XLOOKUP($B45,Constants!$G$20:$G$38, Constants!P$20:P$38)</f>
        <v>0</v>
      </c>
      <c r="BW45" s="2">
        <f t="shared" si="167"/>
        <v>1.2011852160000001E-2</v>
      </c>
      <c r="BX45" s="2">
        <f t="shared" si="168"/>
        <v>8.4666355200000017E-4</v>
      </c>
      <c r="BY45" s="2">
        <f t="shared" si="169"/>
        <v>8.9752319999999997E-4</v>
      </c>
      <c r="BZ45" s="2">
        <f t="shared" si="170"/>
        <v>2.0942207999999998E-3</v>
      </c>
      <c r="CA45" s="2">
        <f t="shared" si="171"/>
        <v>1.1966976E-3</v>
      </c>
      <c r="CB45" s="2">
        <f t="shared" si="172"/>
        <v>3.0067027199999995E-4</v>
      </c>
      <c r="CC45" s="2">
        <f t="shared" si="173"/>
        <v>0.22135572797184003</v>
      </c>
      <c r="CD45" s="2">
        <f>Constants!$E$10</f>
        <v>0</v>
      </c>
      <c r="CE45" s="2">
        <f>Constants!$E$11</f>
        <v>0</v>
      </c>
      <c r="CF45" s="2">
        <f>Constants!$E$13</f>
        <v>0.75</v>
      </c>
      <c r="CG45" s="2">
        <f>Constants!$E$14</f>
        <v>0.05</v>
      </c>
      <c r="CH45" s="2">
        <f>Constants!$E$15</f>
        <v>0</v>
      </c>
      <c r="CI45" s="2">
        <f t="shared" si="174"/>
        <v>0.11000000000000001</v>
      </c>
      <c r="CJ45" s="2">
        <f t="shared" si="175"/>
        <v>0.28300000000000003</v>
      </c>
      <c r="CK45" s="2">
        <f t="shared" si="176"/>
        <v>3.4999999999999996E-2</v>
      </c>
      <c r="CL45" s="2">
        <f t="shared" si="177"/>
        <v>0.19</v>
      </c>
      <c r="CM45" s="2">
        <f t="shared" si="178"/>
        <v>6.699999999999999E-2</v>
      </c>
      <c r="CN45" s="2">
        <f t="shared" si="179"/>
        <v>0.33564999999999995</v>
      </c>
      <c r="CO45" s="2">
        <f t="shared" si="180"/>
        <v>0.13425000000000001</v>
      </c>
      <c r="CP45" s="2">
        <f t="shared" si="181"/>
        <v>9.1000000000000011E-2</v>
      </c>
      <c r="CQ45" s="2">
        <f t="shared" si="182"/>
        <v>0.153</v>
      </c>
      <c r="CR45" s="2">
        <f t="shared" si="183"/>
        <v>0.14500000000000002</v>
      </c>
      <c r="CS45" s="2">
        <f t="shared" si="184"/>
        <v>0.16175</v>
      </c>
      <c r="CT45" s="2">
        <f t="shared" si="218"/>
        <v>1.4659919568000002E-2</v>
      </c>
      <c r="CU45" s="2">
        <f t="shared" si="185"/>
        <v>2.7224870400000006E-4</v>
      </c>
      <c r="CV45" s="2">
        <f t="shared" si="219"/>
        <v>2.2886841599999998E-3</v>
      </c>
      <c r="CW45" s="2">
        <f t="shared" si="220"/>
        <v>6.5070432000000013E-4</v>
      </c>
      <c r="CX45" s="2">
        <f t="shared" si="221"/>
        <v>0</v>
      </c>
      <c r="CY45" s="2">
        <f t="shared" si="186"/>
        <v>0.22804106415552003</v>
      </c>
      <c r="CZ45" s="2">
        <f t="shared" si="222"/>
        <v>0.44939679212736006</v>
      </c>
      <c r="DA45" s="2"/>
      <c r="DB45" s="2">
        <f t="shared" si="223"/>
        <v>497.64</v>
      </c>
      <c r="DC45" s="2">
        <f t="shared" si="224"/>
        <v>0.15000000000000002</v>
      </c>
      <c r="DD45" s="2">
        <f t="shared" si="225"/>
        <v>0.23</v>
      </c>
      <c r="DE45" s="2">
        <f t="shared" si="226"/>
        <v>0.2</v>
      </c>
      <c r="DF45" s="2">
        <f t="shared" si="227"/>
        <v>0.14599999999999999</v>
      </c>
      <c r="DG45" s="2">
        <f t="shared" si="228"/>
        <v>0.2</v>
      </c>
      <c r="DH45" s="2">
        <f t="shared" si="229"/>
        <v>7.3999999999999996E-2</v>
      </c>
      <c r="DI45" s="2">
        <f t="shared" si="230"/>
        <v>74.646000000000015</v>
      </c>
      <c r="DJ45" s="2">
        <f t="shared" si="187"/>
        <v>114.4572</v>
      </c>
      <c r="DK45" s="2">
        <f t="shared" si="188"/>
        <v>99.528000000000006</v>
      </c>
      <c r="DL45" s="2">
        <f t="shared" si="189"/>
        <v>72.655439999999999</v>
      </c>
      <c r="DM45" s="2">
        <f t="shared" si="190"/>
        <v>99.528000000000006</v>
      </c>
      <c r="DN45" s="2">
        <f t="shared" si="191"/>
        <v>36.825359999999996</v>
      </c>
      <c r="DO45" s="13">
        <f>Constants!$C$10</f>
        <v>0.55000000000000004</v>
      </c>
      <c r="DP45" s="13">
        <f>Constants!$C$11</f>
        <v>0.2</v>
      </c>
      <c r="DQ45" s="13">
        <f>Constants!$C$12</f>
        <v>0.3</v>
      </c>
      <c r="DR45" s="13">
        <f>Constants!$C$13</f>
        <v>0</v>
      </c>
      <c r="DS45" s="13">
        <f>Constants!$C$14</f>
        <v>0.125</v>
      </c>
      <c r="DT45" s="13">
        <f>Constants!$C$15</f>
        <v>0.25</v>
      </c>
      <c r="DU45" s="13">
        <f>Constants!$D$10</f>
        <v>0</v>
      </c>
      <c r="DV45" s="13">
        <f>Constants!$D$11</f>
        <v>5.0000000000000001E-3</v>
      </c>
      <c r="DW45" s="13">
        <f>Constants!$D$12</f>
        <v>0.02</v>
      </c>
      <c r="DX45" s="13">
        <f>Constants!$D$13</f>
        <v>0</v>
      </c>
      <c r="DY45" s="13">
        <f>Constants!$D$14</f>
        <v>0.01</v>
      </c>
      <c r="DZ45" s="13">
        <f>Constants!$D$15</f>
        <v>2E-3</v>
      </c>
      <c r="EA45" s="2">
        <f>Constants!$B$23</f>
        <v>1.57</v>
      </c>
      <c r="EB45" s="2">
        <f t="shared" si="231"/>
        <v>0</v>
      </c>
      <c r="EC45" s="2">
        <f t="shared" si="192"/>
        <v>0.89848901999999997</v>
      </c>
      <c r="ED45" s="2">
        <f t="shared" si="193"/>
        <v>3.1251792000000003</v>
      </c>
      <c r="EE45" s="2">
        <f t="shared" si="194"/>
        <v>0</v>
      </c>
      <c r="EF45" s="2">
        <f t="shared" si="195"/>
        <v>1.5625896000000001</v>
      </c>
      <c r="EG45" s="2">
        <f t="shared" si="196"/>
        <v>0.11563163039999999</v>
      </c>
      <c r="EH45" s="2">
        <f t="shared" si="232"/>
        <v>33.590700000000005</v>
      </c>
      <c r="EI45" s="2">
        <f t="shared" si="233"/>
        <v>90.993474000000006</v>
      </c>
      <c r="EJ45" s="2">
        <f t="shared" si="197"/>
        <v>72.655439999999999</v>
      </c>
      <c r="EK45" s="2">
        <f t="shared" si="198"/>
        <v>86.091720000000009</v>
      </c>
      <c r="EL45" s="2">
        <f t="shared" si="199"/>
        <v>27.545369279999996</v>
      </c>
      <c r="EM45" s="2">
        <f t="shared" si="200"/>
        <v>65.016914819999997</v>
      </c>
      <c r="EN45" s="2">
        <f t="shared" si="201"/>
        <v>50.666221319999998</v>
      </c>
      <c r="EO45" s="2">
        <f t="shared" si="202"/>
        <v>55.250729820000004</v>
      </c>
      <c r="EP45" s="2">
        <f t="shared" si="203"/>
        <v>66.528247500000006</v>
      </c>
      <c r="EQ45" s="2">
        <f t="shared" si="204"/>
        <v>73.414589820000003</v>
      </c>
      <c r="ER45" s="2">
        <f t="shared" si="234"/>
        <v>0</v>
      </c>
      <c r="ES45" s="2">
        <f t="shared" si="235"/>
        <v>0.39772983736200007</v>
      </c>
      <c r="ET45" s="2">
        <f t="shared" si="236"/>
        <v>0</v>
      </c>
      <c r="EU45" s="2">
        <f t="shared" si="237"/>
        <v>0.20889869715000003</v>
      </c>
      <c r="EV45" s="2">
        <f t="shared" si="238"/>
        <v>0</v>
      </c>
      <c r="EW45" s="2">
        <f t="shared" si="239"/>
        <v>6.3085179849120014E-3</v>
      </c>
      <c r="EX45" s="2"/>
      <c r="EY45" s="2">
        <f t="shared" si="240"/>
        <v>41.05530000000001</v>
      </c>
      <c r="EZ45" s="2">
        <f t="shared" si="205"/>
        <v>22.891440000000003</v>
      </c>
      <c r="FA45" s="2">
        <f t="shared" si="206"/>
        <v>29.8584</v>
      </c>
      <c r="FB45" s="2">
        <f t="shared" si="207"/>
        <v>0</v>
      </c>
      <c r="FC45" s="2">
        <f t="shared" si="208"/>
        <v>12.441000000000001</v>
      </c>
      <c r="FD45" s="2">
        <f t="shared" si="209"/>
        <v>9.2063399999999991</v>
      </c>
      <c r="FE45" s="2">
        <f t="shared" si="241"/>
        <v>35.759303151000005</v>
      </c>
      <c r="FF45" s="2">
        <f t="shared" si="242"/>
        <v>10.133244264</v>
      </c>
      <c r="FG45" s="2">
        <f t="shared" si="243"/>
        <v>0</v>
      </c>
      <c r="FH45" s="2">
        <f t="shared" si="244"/>
        <v>16.632061875000002</v>
      </c>
      <c r="FI45" s="2">
        <f t="shared" si="245"/>
        <v>0</v>
      </c>
      <c r="FJ45" s="2">
        <f t="shared" si="246"/>
        <v>177.97708929000004</v>
      </c>
      <c r="FK45" s="2">
        <f>_xlfn.XLOOKUP(C45, Constants!$D$19:$D$23, Constants!$E$19:$E$23)</f>
        <v>5.8999999999999999E-3</v>
      </c>
      <c r="FL45" s="2">
        <f t="shared" si="247"/>
        <v>1.6486017780932706E-3</v>
      </c>
      <c r="FM45" s="2"/>
      <c r="FN45" s="2">
        <f>Constants!$B$24</f>
        <v>1.0999999999999999E-2</v>
      </c>
      <c r="FO45" s="2">
        <f t="shared" si="248"/>
        <v>1</v>
      </c>
      <c r="FP45" s="2">
        <f>Constants!$B$25</f>
        <v>0.02</v>
      </c>
      <c r="FQ45" s="2">
        <f t="shared" si="210"/>
        <v>1.9905600000000001</v>
      </c>
      <c r="FR45" s="2">
        <f t="shared" si="211"/>
        <v>3.4376971200000002E-2</v>
      </c>
      <c r="FS45" s="2"/>
    </row>
    <row r="46" spans="1:175" x14ac:dyDescent="0.2">
      <c r="A46" t="s">
        <v>64</v>
      </c>
      <c r="B46">
        <v>15</v>
      </c>
      <c r="C46" t="s">
        <v>77</v>
      </c>
      <c r="D46" t="b">
        <v>1</v>
      </c>
      <c r="E46" t="s">
        <v>25</v>
      </c>
      <c r="F46">
        <v>1000</v>
      </c>
      <c r="G46">
        <v>100</v>
      </c>
      <c r="I46">
        <v>0.46500000000000002</v>
      </c>
      <c r="J46">
        <v>4.4999999999999998E-2</v>
      </c>
      <c r="K46">
        <v>0.3</v>
      </c>
      <c r="N46">
        <v>0.3</v>
      </c>
      <c r="P46">
        <v>0.4</v>
      </c>
      <c r="Q46" t="b">
        <v>0</v>
      </c>
      <c r="R46">
        <v>0</v>
      </c>
      <c r="S46">
        <v>0</v>
      </c>
      <c r="T46" t="b">
        <v>0</v>
      </c>
      <c r="U46">
        <v>0</v>
      </c>
      <c r="V46">
        <v>0</v>
      </c>
      <c r="W46" t="b">
        <v>0</v>
      </c>
      <c r="X46">
        <v>0</v>
      </c>
      <c r="Y46">
        <v>0</v>
      </c>
      <c r="Z46" s="23"/>
      <c r="AB46">
        <v>1</v>
      </c>
      <c r="AF46" s="20"/>
      <c r="AJ46" s="21">
        <v>0.8</v>
      </c>
      <c r="AL46" s="20"/>
      <c r="AM46">
        <v>0.2</v>
      </c>
      <c r="AU46">
        <v>0.5</v>
      </c>
      <c r="AW46" s="20"/>
      <c r="AX46">
        <v>0.5</v>
      </c>
      <c r="AY46" s="29">
        <f>IF(H46&lt;&gt;"", H46, _xlfn.XLOOKUP($E46,Constants!$A$3:$A$6, Constants!B$3:B$6))</f>
        <v>2.2999999999999998</v>
      </c>
      <c r="AZ46" s="18">
        <f>IF(I46&lt;&gt;"", I46, _xlfn.XLOOKUP($E46,Constants!$A$3:$A$6, Constants!C$3:C$6))</f>
        <v>0.46500000000000002</v>
      </c>
      <c r="BA46" s="18">
        <f>IF(J46&lt;&gt;"", J46, _xlfn.XLOOKUP($E46,Constants!$A$3:$A$6, Constants!D$3:D$6))</f>
        <v>4.4999999999999998E-2</v>
      </c>
      <c r="BB46">
        <f>IF(R46&lt;&gt;"", R46, IF(Q46, Constants!$B$19, 0))</f>
        <v>0</v>
      </c>
      <c r="BC46">
        <f>IF(U46&lt;&gt;"", U46,  IF(T46, Constants!$B$19, 0))</f>
        <v>0</v>
      </c>
      <c r="BD46">
        <f>IF(X46&lt;&gt;"", X46,  IF(W46, Constants!$B$19, 0))</f>
        <v>0</v>
      </c>
      <c r="BE46" s="18">
        <f>IF(S46&lt;&gt;"", S46, IF(Q46, Constants!$B$20, 0))</f>
        <v>0</v>
      </c>
      <c r="BF46" s="18">
        <f>IF(V46&lt;&gt;"", V46, IF(T46, Constants!$B$20, 0))</f>
        <v>0</v>
      </c>
      <c r="BG46" s="18">
        <f>IF(Y46&lt;&gt;"", Y46,  IF(W46, Constants!$B$20, 0))</f>
        <v>0</v>
      </c>
      <c r="BH46">
        <f>K46*(1-BB46)</f>
        <v>0.3</v>
      </c>
      <c r="BI46">
        <f>L46+(K46*BB46)+(N46*BC46)+(P46*BD46)</f>
        <v>0</v>
      </c>
      <c r="BJ46">
        <f>M46</f>
        <v>0</v>
      </c>
      <c r="BK46">
        <f>N46*(1-BC46)</f>
        <v>0.3</v>
      </c>
      <c r="BL46">
        <f>O46</f>
        <v>0</v>
      </c>
      <c r="BM46">
        <f>P46*(1-BD46)</f>
        <v>0.4</v>
      </c>
      <c r="BN46">
        <f>Constants!$B$21</f>
        <v>0.45</v>
      </c>
      <c r="BO46">
        <f>Constants!$B$22</f>
        <v>0.6784</v>
      </c>
      <c r="BP46">
        <f>_xlfn.XLOOKUP($B46,Constants!$G$20:$G$38, Constants!H$20:H$38)</f>
        <v>0.74</v>
      </c>
      <c r="BQ46">
        <f>_xlfn.XLOOKUP($B46,Constants!$G$20:$G$38, Constants!I$20:I$38)</f>
        <v>0.02</v>
      </c>
      <c r="BR46">
        <f>_xlfn.XLOOKUP($A46,Constants!$F$9:$M$9,Constants!$F$12:$M$12)</f>
        <v>0.01</v>
      </c>
      <c r="BS46">
        <f>_xlfn.XLOOKUP($B46,Constants!$G$20:$G$38, Constants!J$20:J$38)</f>
        <v>0.1</v>
      </c>
      <c r="BT46">
        <f>_xlfn.XLOOKUP($B46,Constants!$G$20:$G$38, Constants!K$20:K$38)</f>
        <v>0.04</v>
      </c>
      <c r="BU46">
        <f>_xlfn.XLOOKUP($B46,Constants!$G$20:$G$38, Constants!L$20:L$38)</f>
        <v>0.03</v>
      </c>
      <c r="BV46">
        <f>_xlfn.XLOOKUP($B46,Constants!$G$20:$G$38, Constants!P$20:P$38)</f>
        <v>0</v>
      </c>
      <c r="BW46" s="18">
        <f t="shared" si="167"/>
        <v>3.1514054399999998E-2</v>
      </c>
      <c r="BX46" s="18">
        <f t="shared" si="168"/>
        <v>0</v>
      </c>
      <c r="BY46" s="18">
        <f t="shared" si="169"/>
        <v>0</v>
      </c>
      <c r="BZ46" s="18">
        <f t="shared" si="170"/>
        <v>4.2586560000000004E-3</v>
      </c>
      <c r="CA46" s="18">
        <f t="shared" si="171"/>
        <v>0</v>
      </c>
      <c r="CB46" s="18">
        <f t="shared" si="172"/>
        <v>1.7034624000000001E-3</v>
      </c>
      <c r="CC46">
        <f t="shared" si="173"/>
        <v>3.7476172800000001</v>
      </c>
      <c r="CD46">
        <f>Constants!$E$10</f>
        <v>0</v>
      </c>
      <c r="CE46">
        <f>Constants!$E$11</f>
        <v>0</v>
      </c>
      <c r="CF46">
        <f>Constants!$E$13</f>
        <v>0.75</v>
      </c>
      <c r="CG46">
        <f>Constants!$E$14</f>
        <v>0.05</v>
      </c>
      <c r="CH46">
        <f>Constants!$E$15</f>
        <v>0</v>
      </c>
      <c r="CI46">
        <f t="shared" si="174"/>
        <v>0.3</v>
      </c>
      <c r="CJ46">
        <f t="shared" si="175"/>
        <v>0</v>
      </c>
      <c r="CK46">
        <f t="shared" si="176"/>
        <v>7.4999999999999997E-2</v>
      </c>
      <c r="CL46">
        <f t="shared" si="177"/>
        <v>0</v>
      </c>
      <c r="CM46">
        <f t="shared" si="178"/>
        <v>0.4</v>
      </c>
      <c r="CN46">
        <f t="shared" si="179"/>
        <v>0.36037500000000006</v>
      </c>
      <c r="CO46" s="18">
        <f t="shared" si="180"/>
        <v>0.06</v>
      </c>
      <c r="CP46" s="18">
        <f t="shared" si="181"/>
        <v>0.2</v>
      </c>
      <c r="CQ46" s="18">
        <f t="shared" si="182"/>
        <v>0.3</v>
      </c>
      <c r="CR46" s="18">
        <f t="shared" si="183"/>
        <v>1.4999999999999999E-2</v>
      </c>
      <c r="CS46" s="18">
        <f t="shared" si="184"/>
        <v>0.2</v>
      </c>
      <c r="CT46" s="18">
        <f>CO46*$BN46*BP46*$BO46*$AZ46</f>
        <v>6.3028108800000015E-3</v>
      </c>
      <c r="CU46" s="18">
        <f t="shared" si="185"/>
        <v>5.6782080000000008E-4</v>
      </c>
      <c r="CV46" s="18">
        <f>CQ46*$BN46*BS46*$BO46*$AZ46</f>
        <v>4.2586560000000004E-3</v>
      </c>
      <c r="CW46" s="18">
        <f>CR46*$BN46*BU46*$BO46*$AZ46</f>
        <v>6.3879839999999994E-5</v>
      </c>
      <c r="CX46" s="18">
        <f>CS46*$BN46*BV46*$BO46*$AZ46</f>
        <v>0</v>
      </c>
      <c r="CY46" s="18">
        <f t="shared" si="186"/>
        <v>1.1193167520000002</v>
      </c>
      <c r="CZ46" s="18">
        <f>CC46+CY46</f>
        <v>4.8669340320000005</v>
      </c>
      <c r="DA46">
        <f t="shared" ref="DA46" si="252">SUM(CZ46:CZ49)</f>
        <v>6.4459558492704003</v>
      </c>
      <c r="DB46">
        <f t="shared" si="223"/>
        <v>4500</v>
      </c>
      <c r="DC46" s="18">
        <f>K46*(1-BE46)</f>
        <v>0.3</v>
      </c>
      <c r="DD46" s="18">
        <f>L46+(K46*BE46)+(N46*BF46)+(P46*BG46)</f>
        <v>0</v>
      </c>
      <c r="DE46" s="18">
        <f>M46</f>
        <v>0</v>
      </c>
      <c r="DF46" s="18">
        <f>N46*(1-BF46)</f>
        <v>0.3</v>
      </c>
      <c r="DG46" s="18">
        <f>O46</f>
        <v>0</v>
      </c>
      <c r="DH46" s="18">
        <f>P46*(1-BG46)</f>
        <v>0.4</v>
      </c>
      <c r="DI46">
        <f t="shared" si="230"/>
        <v>1350</v>
      </c>
      <c r="DJ46">
        <f t="shared" si="187"/>
        <v>0</v>
      </c>
      <c r="DK46">
        <f t="shared" si="188"/>
        <v>0</v>
      </c>
      <c r="DL46">
        <f t="shared" si="189"/>
        <v>1350</v>
      </c>
      <c r="DM46">
        <f t="shared" si="190"/>
        <v>0</v>
      </c>
      <c r="DN46">
        <f t="shared" si="191"/>
        <v>1800</v>
      </c>
      <c r="DO46" s="6">
        <f>Constants!$C$10</f>
        <v>0.55000000000000004</v>
      </c>
      <c r="DP46" s="6">
        <f>Constants!$C$11</f>
        <v>0.2</v>
      </c>
      <c r="DQ46" s="6">
        <f>Constants!$C$12</f>
        <v>0.3</v>
      </c>
      <c r="DR46" s="6">
        <f>Constants!$C$13</f>
        <v>0</v>
      </c>
      <c r="DS46" s="6">
        <f>Constants!$C$14</f>
        <v>0.125</v>
      </c>
      <c r="DT46" s="6">
        <f>Constants!$C$15</f>
        <v>0.25</v>
      </c>
      <c r="DU46" s="6">
        <f>Constants!$D$10</f>
        <v>0</v>
      </c>
      <c r="DV46" s="6">
        <f>Constants!$D$11</f>
        <v>5.0000000000000001E-3</v>
      </c>
      <c r="DW46" s="6">
        <f>Constants!$D$12</f>
        <v>0.02</v>
      </c>
      <c r="DX46" s="6">
        <f>Constants!$D$13</f>
        <v>0</v>
      </c>
      <c r="DY46" s="6">
        <f>Constants!$D$14</f>
        <v>0.01</v>
      </c>
      <c r="DZ46" s="6">
        <f>Constants!$D$15</f>
        <v>2E-3</v>
      </c>
      <c r="EA46">
        <f>Constants!$B$23</f>
        <v>1.57</v>
      </c>
      <c r="EB46" s="18">
        <f>DI46*DU46*$EA46</f>
        <v>0</v>
      </c>
      <c r="EC46" s="18">
        <f t="shared" si="192"/>
        <v>0</v>
      </c>
      <c r="ED46" s="18">
        <f t="shared" si="193"/>
        <v>0</v>
      </c>
      <c r="EE46" s="18">
        <f t="shared" si="194"/>
        <v>0</v>
      </c>
      <c r="EF46" s="18">
        <f t="shared" si="195"/>
        <v>0</v>
      </c>
      <c r="EG46" s="18">
        <f t="shared" si="196"/>
        <v>5.6520000000000001</v>
      </c>
      <c r="EH46">
        <f t="shared" si="232"/>
        <v>607.49999999999989</v>
      </c>
      <c r="EI46">
        <f t="shared" si="233"/>
        <v>0</v>
      </c>
      <c r="EJ46">
        <f t="shared" si="197"/>
        <v>1350</v>
      </c>
      <c r="EK46">
        <f t="shared" si="198"/>
        <v>0</v>
      </c>
      <c r="EL46">
        <f t="shared" si="199"/>
        <v>1346.4</v>
      </c>
      <c r="EM46">
        <f t="shared" si="200"/>
        <v>1080</v>
      </c>
      <c r="EN46">
        <f t="shared" si="201"/>
        <v>673.2</v>
      </c>
      <c r="EO46">
        <f t="shared" si="202"/>
        <v>607.49999999999989</v>
      </c>
      <c r="EP46">
        <f t="shared" si="203"/>
        <v>270</v>
      </c>
      <c r="EQ46">
        <f t="shared" si="204"/>
        <v>673.2</v>
      </c>
      <c r="ER46">
        <f>EM46*DU46*$EA46</f>
        <v>0</v>
      </c>
      <c r="ES46">
        <f>EN46*DV46*$EA46</f>
        <v>5.2846200000000003</v>
      </c>
      <c r="ET46">
        <f>EO46*DX46*$EA46</f>
        <v>0</v>
      </c>
      <c r="EU46">
        <f>EP46*DZ46*$EA46</f>
        <v>0.84780000000000011</v>
      </c>
      <c r="EV46">
        <f>EQ46*0*$EA46</f>
        <v>0</v>
      </c>
      <c r="EW46" s="18">
        <f>SUM(EB46:EG46,ER46:EV46)/1000</f>
        <v>1.178442E-2</v>
      </c>
      <c r="EX46">
        <f t="shared" ref="EX46" si="253">SUM(EW46:EW49)</f>
        <v>8.1363754418000006E-2</v>
      </c>
      <c r="EY46" s="18">
        <f>DI46*DO46</f>
        <v>742.50000000000011</v>
      </c>
      <c r="EZ46" s="18">
        <f t="shared" si="205"/>
        <v>0</v>
      </c>
      <c r="FA46" s="18">
        <f t="shared" si="206"/>
        <v>0</v>
      </c>
      <c r="FB46" s="18">
        <f t="shared" si="207"/>
        <v>0</v>
      </c>
      <c r="FC46" s="18">
        <f t="shared" si="208"/>
        <v>0</v>
      </c>
      <c r="FD46" s="18">
        <f t="shared" si="209"/>
        <v>450</v>
      </c>
      <c r="FE46" s="18">
        <f>EM46*DO46</f>
        <v>594</v>
      </c>
      <c r="FF46" s="18">
        <f>EN46*DP46</f>
        <v>134.64000000000001</v>
      </c>
      <c r="FG46" s="18">
        <f>EO46*DR46</f>
        <v>0</v>
      </c>
      <c r="FH46" s="18">
        <f>EP46*DT46</f>
        <v>67.5</v>
      </c>
      <c r="FI46" s="18">
        <f>EQ46*0</f>
        <v>0</v>
      </c>
      <c r="FJ46" s="18">
        <f>SUM(EY46:FI46)</f>
        <v>1988.64</v>
      </c>
      <c r="FK46" s="18">
        <f>_xlfn.XLOOKUP(C46, Constants!$D$19:$D$23, Constants!$E$19:$E$23)</f>
        <v>1.8E-3</v>
      </c>
      <c r="FL46">
        <f t="shared" si="247"/>
        <v>5.6198966400000001E-3</v>
      </c>
      <c r="FM46">
        <f>SUM(FL46:FL49)</f>
        <v>8.7125417674560005E-3</v>
      </c>
      <c r="FN46" s="18">
        <f>Constants!$B$24</f>
        <v>1.0999999999999999E-2</v>
      </c>
      <c r="FO46" s="18">
        <f>IF(D46, 1, 0)</f>
        <v>1</v>
      </c>
      <c r="FP46">
        <f>Constants!$B$25</f>
        <v>0.02</v>
      </c>
      <c r="FQ46">
        <f t="shared" si="210"/>
        <v>0</v>
      </c>
      <c r="FR46" s="18">
        <f t="shared" si="211"/>
        <v>0</v>
      </c>
      <c r="FS46">
        <f>SUM(FR46:FR49)/1000</f>
        <v>4.3285528000000002E-4</v>
      </c>
    </row>
    <row r="47" spans="1:175" x14ac:dyDescent="0.2">
      <c r="A47" t="s">
        <v>64</v>
      </c>
      <c r="B47">
        <v>15</v>
      </c>
      <c r="C47" t="s">
        <v>77</v>
      </c>
      <c r="D47" t="b">
        <v>1</v>
      </c>
      <c r="E47" t="s">
        <v>26</v>
      </c>
      <c r="F47">
        <v>233</v>
      </c>
      <c r="G47">
        <v>100</v>
      </c>
      <c r="I47">
        <v>0.45100000000000001</v>
      </c>
      <c r="J47">
        <v>3.3500000000000002E-2</v>
      </c>
      <c r="K47">
        <v>0.3</v>
      </c>
      <c r="N47">
        <v>0.3</v>
      </c>
      <c r="P47">
        <v>0.4</v>
      </c>
      <c r="Q47" t="b">
        <v>0</v>
      </c>
      <c r="R47">
        <v>0</v>
      </c>
      <c r="S47">
        <v>0</v>
      </c>
      <c r="T47" t="b">
        <v>0</v>
      </c>
      <c r="U47">
        <v>0</v>
      </c>
      <c r="V47">
        <v>0</v>
      </c>
      <c r="W47" t="b">
        <v>0</v>
      </c>
      <c r="X47">
        <v>0</v>
      </c>
      <c r="Y47">
        <v>0</v>
      </c>
      <c r="Z47" s="23"/>
      <c r="AB47">
        <v>1</v>
      </c>
      <c r="AF47" s="20"/>
      <c r="AJ47" s="21">
        <v>0.8</v>
      </c>
      <c r="AL47" s="20"/>
      <c r="AM47">
        <v>0.2</v>
      </c>
      <c r="AU47">
        <v>0.5</v>
      </c>
      <c r="AW47" s="20"/>
      <c r="AX47">
        <v>0.5</v>
      </c>
      <c r="AY47" s="21">
        <f>IF(H47&lt;&gt;"", H47, _xlfn.XLOOKUP($E47,Constants!$A$3:$A$6, Constants!B$3:B$6))</f>
        <v>2.62</v>
      </c>
      <c r="AZ47">
        <f>IF(I47&lt;&gt;"", I47, _xlfn.XLOOKUP($E47,Constants!$A$3:$A$6, Constants!C$3:C$6))</f>
        <v>0.45100000000000001</v>
      </c>
      <c r="BA47">
        <f>IF(J47&lt;&gt;"", J47, _xlfn.XLOOKUP($E47,Constants!$A$3:$A$6, Constants!D$3:D$6))</f>
        <v>3.3500000000000002E-2</v>
      </c>
      <c r="BB47">
        <f>IF(R47&lt;&gt;"", R47, IF(Q47, Constants!$B$19, 0))</f>
        <v>0</v>
      </c>
      <c r="BC47">
        <f>IF(U47&lt;&gt;"", U47,  IF(T47, Constants!$B$19, 0))</f>
        <v>0</v>
      </c>
      <c r="BD47">
        <f>IF(X47&lt;&gt;"", X47,  IF(W47, Constants!$B$19, 0))</f>
        <v>0</v>
      </c>
      <c r="BE47">
        <f>IF(S47&lt;&gt;"", S47, IF(Q47, Constants!$B$20, 0))</f>
        <v>0</v>
      </c>
      <c r="BF47">
        <f>IF(V47&lt;&gt;"", V47, IF(T47, Constants!$B$20, 0))</f>
        <v>0</v>
      </c>
      <c r="BG47">
        <f>IF(Y47&lt;&gt;"", Y47,  IF(W47, Constants!$B$20, 0))</f>
        <v>0</v>
      </c>
      <c r="BH47">
        <f t="shared" ref="BH47:BH61" si="254">K47*(1-BB47)</f>
        <v>0.3</v>
      </c>
      <c r="BI47">
        <f t="shared" ref="BI47:BI61" si="255">L47+(K47*BB47)+(N47*BC47)+(P47*BD47)</f>
        <v>0</v>
      </c>
      <c r="BJ47">
        <f t="shared" ref="BJ47:BJ61" si="256">M47</f>
        <v>0</v>
      </c>
      <c r="BK47">
        <f t="shared" ref="BK47:BK61" si="257">N47*(1-BC47)</f>
        <v>0.3</v>
      </c>
      <c r="BL47">
        <f t="shared" ref="BL47:BL61" si="258">O47</f>
        <v>0</v>
      </c>
      <c r="BM47">
        <f t="shared" ref="BM47:BM61" si="259">P47*(1-BD47)</f>
        <v>0.4</v>
      </c>
      <c r="BN47">
        <f>Constants!$B$21</f>
        <v>0.45</v>
      </c>
      <c r="BO47">
        <f>Constants!$B$22</f>
        <v>0.6784</v>
      </c>
      <c r="BP47">
        <f>_xlfn.XLOOKUP($B47,Constants!$G$20:$G$38, Constants!H$20:H$38)</f>
        <v>0.74</v>
      </c>
      <c r="BQ47">
        <f>_xlfn.XLOOKUP($B47,Constants!$G$20:$G$38, Constants!I$20:I$38)</f>
        <v>0.02</v>
      </c>
      <c r="BR47">
        <f>_xlfn.XLOOKUP($A47,Constants!$F$9:$M$9,Constants!$F$12:$M$12)</f>
        <v>0.01</v>
      </c>
      <c r="BS47">
        <f>_xlfn.XLOOKUP($B47,Constants!$G$20:$G$38, Constants!J$20:J$38)</f>
        <v>0.1</v>
      </c>
      <c r="BT47">
        <f>_xlfn.XLOOKUP($B47,Constants!$G$20:$G$38, Constants!K$20:K$38)</f>
        <v>0.04</v>
      </c>
      <c r="BU47">
        <f>_xlfn.XLOOKUP($B47,Constants!$G$20:$G$38, Constants!L$20:L$38)</f>
        <v>0.03</v>
      </c>
      <c r="BV47">
        <f>_xlfn.XLOOKUP($B47,Constants!$G$20:$G$38, Constants!P$20:P$38)</f>
        <v>0</v>
      </c>
      <c r="BW47">
        <f t="shared" si="167"/>
        <v>3.0565244160000001E-2</v>
      </c>
      <c r="BX47">
        <f t="shared" si="168"/>
        <v>0</v>
      </c>
      <c r="BY47">
        <f t="shared" si="169"/>
        <v>0</v>
      </c>
      <c r="BZ47">
        <f t="shared" si="170"/>
        <v>4.1304384000000003E-3</v>
      </c>
      <c r="CA47">
        <f t="shared" si="171"/>
        <v>0</v>
      </c>
      <c r="CB47">
        <f t="shared" si="172"/>
        <v>1.6521753600000002E-3</v>
      </c>
      <c r="CC47">
        <f t="shared" si="173"/>
        <v>0.84690508953600008</v>
      </c>
      <c r="CD47">
        <f>Constants!$E$10</f>
        <v>0</v>
      </c>
      <c r="CE47">
        <f>Constants!$E$11</f>
        <v>0</v>
      </c>
      <c r="CF47">
        <f>Constants!$E$13</f>
        <v>0.75</v>
      </c>
      <c r="CG47">
        <f>Constants!$E$14</f>
        <v>0.05</v>
      </c>
      <c r="CH47">
        <f>Constants!$E$15</f>
        <v>0</v>
      </c>
      <c r="CI47">
        <f t="shared" si="174"/>
        <v>0.3</v>
      </c>
      <c r="CJ47">
        <f t="shared" si="175"/>
        <v>0</v>
      </c>
      <c r="CK47">
        <f t="shared" si="176"/>
        <v>7.4999999999999997E-2</v>
      </c>
      <c r="CL47">
        <f t="shared" si="177"/>
        <v>0</v>
      </c>
      <c r="CM47">
        <f t="shared" si="178"/>
        <v>0.4</v>
      </c>
      <c r="CN47">
        <f t="shared" si="179"/>
        <v>0.34952500000000003</v>
      </c>
      <c r="CO47">
        <f t="shared" si="180"/>
        <v>0.06</v>
      </c>
      <c r="CP47">
        <f t="shared" si="181"/>
        <v>0.2</v>
      </c>
      <c r="CQ47">
        <f t="shared" si="182"/>
        <v>0.3</v>
      </c>
      <c r="CR47">
        <f t="shared" si="183"/>
        <v>1.4999999999999999E-2</v>
      </c>
      <c r="CS47">
        <f t="shared" si="184"/>
        <v>0.2</v>
      </c>
      <c r="CT47">
        <f t="shared" ref="CT47:CT61" si="260">CO47*$BN47*BP47*$BO47*$AZ47</f>
        <v>6.1130488320000013E-3</v>
      </c>
      <c r="CU47">
        <f t="shared" si="185"/>
        <v>5.5072512000000002E-4</v>
      </c>
      <c r="CV47">
        <f t="shared" ref="CV47:CV61" si="261">CQ47*$BN47*BS47*$BO47*$AZ47</f>
        <v>4.1304384000000003E-3</v>
      </c>
      <c r="CW47">
        <f t="shared" ref="CW47:CW61" si="262">CR47*$BN47*BU47*$BO47*$AZ47</f>
        <v>6.195657599999999E-5</v>
      </c>
      <c r="CX47">
        <f t="shared" ref="CX47:CX61" si="263">CS47*$BN47*BV47*$BO47*$AZ47</f>
        <v>0</v>
      </c>
      <c r="CY47">
        <f t="shared" si="186"/>
        <v>0.25294873602239998</v>
      </c>
      <c r="CZ47">
        <f t="shared" ref="CZ47:CZ61" si="264">CC47+CY47</f>
        <v>1.0998538255584001</v>
      </c>
      <c r="DB47">
        <f t="shared" si="223"/>
        <v>780.55000000000007</v>
      </c>
      <c r="DC47">
        <f t="shared" ref="DC47:DC61" si="265">K47*(1-BE47)</f>
        <v>0.3</v>
      </c>
      <c r="DD47">
        <f t="shared" ref="DD47:DD61" si="266">L47+(K47*BE47)+(N47*BF47)+(P47*BG47)</f>
        <v>0</v>
      </c>
      <c r="DE47">
        <f t="shared" ref="DE47:DE61" si="267">M47</f>
        <v>0</v>
      </c>
      <c r="DF47">
        <f t="shared" ref="DF47:DF61" si="268">N47*(1-BF47)</f>
        <v>0.3</v>
      </c>
      <c r="DG47">
        <f t="shared" ref="DG47:DG61" si="269">O47</f>
        <v>0</v>
      </c>
      <c r="DH47">
        <f t="shared" ref="DH47:DH61" si="270">P47*(1-BG47)</f>
        <v>0.4</v>
      </c>
      <c r="DI47">
        <f t="shared" si="230"/>
        <v>234.16500000000002</v>
      </c>
      <c r="DJ47">
        <f t="shared" si="187"/>
        <v>0</v>
      </c>
      <c r="DK47">
        <f t="shared" si="188"/>
        <v>0</v>
      </c>
      <c r="DL47">
        <f t="shared" si="189"/>
        <v>234.16500000000002</v>
      </c>
      <c r="DM47">
        <f t="shared" si="190"/>
        <v>0</v>
      </c>
      <c r="DN47">
        <f t="shared" si="191"/>
        <v>312.22000000000003</v>
      </c>
      <c r="DO47" s="6">
        <f>Constants!$C$10</f>
        <v>0.55000000000000004</v>
      </c>
      <c r="DP47" s="6">
        <f>Constants!$C$11</f>
        <v>0.2</v>
      </c>
      <c r="DQ47" s="6">
        <f>Constants!$C$12</f>
        <v>0.3</v>
      </c>
      <c r="DR47" s="6">
        <f>Constants!$C$13</f>
        <v>0</v>
      </c>
      <c r="DS47" s="6">
        <f>Constants!$C$14</f>
        <v>0.125</v>
      </c>
      <c r="DT47" s="6">
        <f>Constants!$C$15</f>
        <v>0.25</v>
      </c>
      <c r="DU47" s="6">
        <f>Constants!$D$10</f>
        <v>0</v>
      </c>
      <c r="DV47" s="6">
        <f>Constants!$D$11</f>
        <v>5.0000000000000001E-3</v>
      </c>
      <c r="DW47" s="6">
        <f>Constants!$D$12</f>
        <v>0.02</v>
      </c>
      <c r="DX47" s="6">
        <f>Constants!$D$13</f>
        <v>0</v>
      </c>
      <c r="DY47" s="6">
        <f>Constants!$D$14</f>
        <v>0.01</v>
      </c>
      <c r="DZ47" s="6">
        <f>Constants!$D$15</f>
        <v>2E-3</v>
      </c>
      <c r="EA47">
        <f>Constants!$B$23</f>
        <v>1.57</v>
      </c>
      <c r="EB47">
        <f t="shared" ref="EB47:EB61" si="271">DI47*DU47*$EA47</f>
        <v>0</v>
      </c>
      <c r="EC47">
        <f t="shared" si="192"/>
        <v>0</v>
      </c>
      <c r="ED47">
        <f t="shared" si="193"/>
        <v>0</v>
      </c>
      <c r="EE47">
        <f t="shared" si="194"/>
        <v>0</v>
      </c>
      <c r="EF47">
        <f t="shared" si="195"/>
        <v>0</v>
      </c>
      <c r="EG47">
        <f t="shared" si="196"/>
        <v>0.98037080000000021</v>
      </c>
      <c r="EH47">
        <f t="shared" si="232"/>
        <v>105.37425</v>
      </c>
      <c r="EI47">
        <f t="shared" si="233"/>
        <v>0</v>
      </c>
      <c r="EJ47">
        <f t="shared" si="197"/>
        <v>234.16500000000002</v>
      </c>
      <c r="EK47">
        <f t="shared" si="198"/>
        <v>0</v>
      </c>
      <c r="EL47">
        <f t="shared" si="199"/>
        <v>233.54056000000003</v>
      </c>
      <c r="EM47">
        <f t="shared" ref="EM47:EM61" si="272">$EH47*Z47+$EI47*AE47+$EJ47*AJ47+$EK47*AO47+$EL47*AT47</f>
        <v>187.33200000000002</v>
      </c>
      <c r="EN47">
        <f t="shared" ref="EN47:EN61" si="273">$EH47*AA47+$EI47*AF47+$EJ47*AK47+$EK47*AP47+$EL47*AU47</f>
        <v>116.77028000000001</v>
      </c>
      <c r="EO47">
        <f t="shared" ref="EO47:EO61" si="274">$EH47*AB47+$EI47*AG47+$EJ47*AL47+$EK47*AQ47+$EL47*AV47</f>
        <v>105.37425</v>
      </c>
      <c r="EP47">
        <f t="shared" ref="EP47:EP61" si="275">$EH47*AC47+$EI47*AH47+$EJ47*AM47+$EK47*AR47+$EL47*AW47</f>
        <v>46.833000000000006</v>
      </c>
      <c r="EQ47">
        <f t="shared" ref="EQ47:EQ61" si="276">$EH47*AD47+$EI47*AI47+$EJ47*AN47+$EK47*AS47+$EL47*AX47</f>
        <v>116.77028000000001</v>
      </c>
      <c r="ER47">
        <f t="shared" ref="ER47:ER61" si="277">EM47*DU47*$EA47</f>
        <v>0</v>
      </c>
      <c r="ES47">
        <f t="shared" ref="ES47:ES61" si="278">EN47*DV47*$EA47</f>
        <v>0.9166466980000002</v>
      </c>
      <c r="ET47">
        <f t="shared" ref="ET47:ET61" si="279">EO47*DX47*$EA47</f>
        <v>0</v>
      </c>
      <c r="EU47">
        <f t="shared" ref="EU47:EU61" si="280">EP47*DZ47*$EA47</f>
        <v>0.14705562000000003</v>
      </c>
      <c r="EV47">
        <f t="shared" ref="EV47:EV61" si="281">EQ47*0*$EA47</f>
        <v>0</v>
      </c>
      <c r="EW47">
        <f t="shared" ref="EW47:EW61" si="282">SUM(EB47:EG47,ER47:EV47)/1000</f>
        <v>2.0440731180000004E-3</v>
      </c>
      <c r="EY47">
        <f t="shared" ref="EY47:EY61" si="283">DI47*DO47</f>
        <v>128.79075000000003</v>
      </c>
      <c r="EZ47">
        <f t="shared" si="205"/>
        <v>0</v>
      </c>
      <c r="FA47">
        <f t="shared" si="206"/>
        <v>0</v>
      </c>
      <c r="FB47">
        <f t="shared" si="207"/>
        <v>0</v>
      </c>
      <c r="FC47">
        <f t="shared" si="208"/>
        <v>0</v>
      </c>
      <c r="FD47">
        <f t="shared" si="209"/>
        <v>78.055000000000007</v>
      </c>
      <c r="FE47">
        <f t="shared" ref="FE47:FE61" si="284">EM47*DO47</f>
        <v>103.03260000000002</v>
      </c>
      <c r="FF47">
        <f t="shared" ref="FF47:FF61" si="285">EN47*DP47</f>
        <v>23.354056000000003</v>
      </c>
      <c r="FG47">
        <f t="shared" ref="FG47:FG61" si="286">EO47*DR47</f>
        <v>0</v>
      </c>
      <c r="FH47">
        <f t="shared" ref="FH47:FH61" si="287">EP47*DT47</f>
        <v>11.708250000000001</v>
      </c>
      <c r="FI47">
        <f t="shared" ref="FI47:FI61" si="288">EQ47*0</f>
        <v>0</v>
      </c>
      <c r="FJ47">
        <f t="shared" ref="FJ47:FJ61" si="289">SUM(EY47:FI47)</f>
        <v>344.9406560000001</v>
      </c>
      <c r="FK47">
        <f>_xlfn.XLOOKUP(C47, Constants!$D$19:$D$23, Constants!$E$19:$E$23)</f>
        <v>1.8E-3</v>
      </c>
      <c r="FL47">
        <f t="shared" si="247"/>
        <v>9.7480229385600028E-4</v>
      </c>
      <c r="FN47">
        <f>Constants!$B$24</f>
        <v>1.0999999999999999E-2</v>
      </c>
      <c r="FO47">
        <f t="shared" ref="FO47:FO61" si="290">IF(D47, 1, 0)</f>
        <v>1</v>
      </c>
      <c r="FP47">
        <f>Constants!$B$25</f>
        <v>0.02</v>
      </c>
      <c r="FQ47">
        <f t="shared" si="210"/>
        <v>0</v>
      </c>
      <c r="FR47">
        <f t="shared" si="211"/>
        <v>0</v>
      </c>
    </row>
    <row r="48" spans="1:175" x14ac:dyDescent="0.2">
      <c r="A48" t="s">
        <v>64</v>
      </c>
      <c r="B48">
        <v>15</v>
      </c>
      <c r="C48" t="s">
        <v>77</v>
      </c>
      <c r="D48" t="b">
        <v>1</v>
      </c>
      <c r="E48" t="s">
        <v>27</v>
      </c>
      <c r="F48">
        <v>923</v>
      </c>
      <c r="G48">
        <v>100</v>
      </c>
      <c r="I48">
        <v>0.437</v>
      </c>
      <c r="J48">
        <v>2.1999999999999999E-2</v>
      </c>
      <c r="M48">
        <v>0.5</v>
      </c>
      <c r="O48">
        <v>0.5</v>
      </c>
      <c r="Q48" t="b">
        <v>0</v>
      </c>
      <c r="R48">
        <v>0</v>
      </c>
      <c r="S48">
        <v>0</v>
      </c>
      <c r="T48" t="b">
        <v>0</v>
      </c>
      <c r="U48">
        <v>0</v>
      </c>
      <c r="V48">
        <v>0</v>
      </c>
      <c r="W48" t="b">
        <v>0</v>
      </c>
      <c r="X48">
        <v>0</v>
      </c>
      <c r="Y48">
        <v>0</v>
      </c>
      <c r="Z48" s="23"/>
      <c r="AF48" s="20"/>
      <c r="AL48" s="20"/>
      <c r="AP48">
        <v>1</v>
      </c>
      <c r="AW48" s="20"/>
      <c r="AY48" s="21">
        <f>IF(H48&lt;&gt;"", H48, _xlfn.XLOOKUP($E48,Constants!$A$3:$A$6, Constants!B$3:B$6))</f>
        <v>2.5</v>
      </c>
      <c r="AZ48">
        <f>IF(I48&lt;&gt;"", I48, _xlfn.XLOOKUP($E48,Constants!$A$3:$A$6, Constants!C$3:C$6))</f>
        <v>0.437</v>
      </c>
      <c r="BA48">
        <f>IF(J48&lt;&gt;"", J48, _xlfn.XLOOKUP($E48,Constants!$A$3:$A$6, Constants!D$3:D$6))</f>
        <v>2.1999999999999999E-2</v>
      </c>
      <c r="BB48">
        <f>IF(R48&lt;&gt;"", R48, IF(Q48, Constants!$B$19, 0))</f>
        <v>0</v>
      </c>
      <c r="BC48">
        <f>IF(U48&lt;&gt;"", U48,  IF(T48, Constants!$B$19, 0))</f>
        <v>0</v>
      </c>
      <c r="BD48">
        <f>IF(X48&lt;&gt;"", X48,  IF(W48, Constants!$B$19, 0))</f>
        <v>0</v>
      </c>
      <c r="BE48">
        <f>IF(S48&lt;&gt;"", S48, IF(Q48, Constants!$B$20, 0))</f>
        <v>0</v>
      </c>
      <c r="BF48">
        <f>IF(V48&lt;&gt;"", V48, IF(T48, Constants!$B$20, 0))</f>
        <v>0</v>
      </c>
      <c r="BG48">
        <f>IF(Y48&lt;&gt;"", Y48,  IF(W48, Constants!$B$20, 0))</f>
        <v>0</v>
      </c>
      <c r="BH48">
        <f t="shared" si="254"/>
        <v>0</v>
      </c>
      <c r="BI48">
        <f t="shared" si="255"/>
        <v>0</v>
      </c>
      <c r="BJ48">
        <f t="shared" si="256"/>
        <v>0.5</v>
      </c>
      <c r="BK48">
        <f t="shared" si="257"/>
        <v>0</v>
      </c>
      <c r="BL48">
        <f t="shared" si="258"/>
        <v>0.5</v>
      </c>
      <c r="BM48">
        <f t="shared" si="259"/>
        <v>0</v>
      </c>
      <c r="BN48">
        <f>Constants!$B$21</f>
        <v>0.45</v>
      </c>
      <c r="BO48">
        <f>Constants!$B$22</f>
        <v>0.6784</v>
      </c>
      <c r="BP48">
        <f>_xlfn.XLOOKUP($B48,Constants!$G$20:$G$38, Constants!H$20:H$38)</f>
        <v>0.74</v>
      </c>
      <c r="BQ48">
        <f>_xlfn.XLOOKUP($B48,Constants!$G$20:$G$38, Constants!I$20:I$38)</f>
        <v>0.02</v>
      </c>
      <c r="BR48">
        <f>_xlfn.XLOOKUP($A48,Constants!$F$9:$M$9,Constants!$F$12:$M$12)</f>
        <v>0.01</v>
      </c>
      <c r="BS48">
        <f>_xlfn.XLOOKUP($B48,Constants!$G$20:$G$38, Constants!J$20:J$38)</f>
        <v>0.1</v>
      </c>
      <c r="BT48">
        <f>_xlfn.XLOOKUP($B48,Constants!$G$20:$G$38, Constants!K$20:K$38)</f>
        <v>0.04</v>
      </c>
      <c r="BU48">
        <f>_xlfn.XLOOKUP($B48,Constants!$G$20:$G$38, Constants!L$20:L$38)</f>
        <v>0.03</v>
      </c>
      <c r="BV48">
        <f>_xlfn.XLOOKUP($B48,Constants!$G$20:$G$38, Constants!P$20:P$38)</f>
        <v>0</v>
      </c>
      <c r="BW48">
        <f t="shared" si="167"/>
        <v>0</v>
      </c>
      <c r="BX48">
        <f t="shared" si="168"/>
        <v>0</v>
      </c>
      <c r="BY48">
        <f t="shared" si="169"/>
        <v>6.6703680000000003E-4</v>
      </c>
      <c r="BZ48">
        <f t="shared" si="170"/>
        <v>0</v>
      </c>
      <c r="CA48">
        <f t="shared" si="171"/>
        <v>2.6681472000000001E-3</v>
      </c>
      <c r="CB48">
        <f t="shared" si="172"/>
        <v>0</v>
      </c>
      <c r="CC48">
        <f t="shared" si="173"/>
        <v>0.30783748319999998</v>
      </c>
      <c r="CD48">
        <f>Constants!$E$10</f>
        <v>0</v>
      </c>
      <c r="CE48">
        <f>Constants!$E$11</f>
        <v>0</v>
      </c>
      <c r="CF48">
        <f>Constants!$E$13</f>
        <v>0.75</v>
      </c>
      <c r="CG48">
        <f>Constants!$E$14</f>
        <v>0.05</v>
      </c>
      <c r="CH48">
        <f>Constants!$E$15</f>
        <v>0</v>
      </c>
      <c r="CI48">
        <f t="shared" si="174"/>
        <v>0</v>
      </c>
      <c r="CJ48">
        <f t="shared" si="175"/>
        <v>0</v>
      </c>
      <c r="CK48">
        <f t="shared" si="176"/>
        <v>0</v>
      </c>
      <c r="CL48">
        <f t="shared" si="177"/>
        <v>0.47499999999999998</v>
      </c>
      <c r="CM48">
        <f t="shared" si="178"/>
        <v>0</v>
      </c>
      <c r="CN48">
        <f t="shared" si="179"/>
        <v>0.20757499999999998</v>
      </c>
      <c r="CO48">
        <f t="shared" si="180"/>
        <v>0</v>
      </c>
      <c r="CP48">
        <f t="shared" si="181"/>
        <v>0.47499999999999998</v>
      </c>
      <c r="CQ48">
        <f t="shared" si="182"/>
        <v>0</v>
      </c>
      <c r="CR48">
        <f t="shared" si="183"/>
        <v>0</v>
      </c>
      <c r="CS48">
        <f t="shared" si="184"/>
        <v>0</v>
      </c>
      <c r="CT48">
        <f t="shared" si="260"/>
        <v>0</v>
      </c>
      <c r="CU48">
        <f t="shared" si="185"/>
        <v>1.26736992E-3</v>
      </c>
      <c r="CV48">
        <f t="shared" si="261"/>
        <v>0</v>
      </c>
      <c r="CW48">
        <f t="shared" si="262"/>
        <v>0</v>
      </c>
      <c r="CX48">
        <f t="shared" si="263"/>
        <v>0</v>
      </c>
      <c r="CY48">
        <f t="shared" si="186"/>
        <v>0.116978243616</v>
      </c>
      <c r="CZ48">
        <f t="shared" si="264"/>
        <v>0.42481572681599999</v>
      </c>
      <c r="DB48">
        <f t="shared" si="223"/>
        <v>2030.6</v>
      </c>
      <c r="DC48">
        <f t="shared" si="265"/>
        <v>0</v>
      </c>
      <c r="DD48">
        <f t="shared" si="266"/>
        <v>0</v>
      </c>
      <c r="DE48">
        <f t="shared" si="267"/>
        <v>0.5</v>
      </c>
      <c r="DF48">
        <f t="shared" si="268"/>
        <v>0</v>
      </c>
      <c r="DG48">
        <f t="shared" si="269"/>
        <v>0.5</v>
      </c>
      <c r="DH48">
        <f t="shared" si="270"/>
        <v>0</v>
      </c>
      <c r="DI48">
        <f t="shared" si="230"/>
        <v>0</v>
      </c>
      <c r="DJ48">
        <f t="shared" si="187"/>
        <v>0</v>
      </c>
      <c r="DK48">
        <f t="shared" si="188"/>
        <v>1015.3</v>
      </c>
      <c r="DL48">
        <f t="shared" si="189"/>
        <v>0</v>
      </c>
      <c r="DM48">
        <f t="shared" si="190"/>
        <v>1015.3</v>
      </c>
      <c r="DN48">
        <f t="shared" si="191"/>
        <v>0</v>
      </c>
      <c r="DO48" s="6">
        <f>Constants!$C$10</f>
        <v>0.55000000000000004</v>
      </c>
      <c r="DP48" s="6">
        <f>Constants!$C$11</f>
        <v>0.2</v>
      </c>
      <c r="DQ48" s="6">
        <f>Constants!$C$12</f>
        <v>0.3</v>
      </c>
      <c r="DR48" s="6">
        <f>Constants!$C$13</f>
        <v>0</v>
      </c>
      <c r="DS48" s="6">
        <f>Constants!$C$14</f>
        <v>0.125</v>
      </c>
      <c r="DT48" s="6">
        <f>Constants!$C$15</f>
        <v>0.25</v>
      </c>
      <c r="DU48" s="6">
        <f>Constants!$D$10</f>
        <v>0</v>
      </c>
      <c r="DV48" s="6">
        <f>Constants!$D$11</f>
        <v>5.0000000000000001E-3</v>
      </c>
      <c r="DW48" s="6">
        <f>Constants!$D$12</f>
        <v>0.02</v>
      </c>
      <c r="DX48" s="6">
        <f>Constants!$D$13</f>
        <v>0</v>
      </c>
      <c r="DY48" s="6">
        <f>Constants!$D$14</f>
        <v>0.01</v>
      </c>
      <c r="DZ48" s="6">
        <f>Constants!$D$15</f>
        <v>2E-3</v>
      </c>
      <c r="EA48">
        <f>Constants!$B$23</f>
        <v>1.57</v>
      </c>
      <c r="EB48">
        <f t="shared" si="271"/>
        <v>0</v>
      </c>
      <c r="EC48">
        <f t="shared" si="192"/>
        <v>0</v>
      </c>
      <c r="ED48">
        <f t="shared" si="193"/>
        <v>31.880420000000004</v>
      </c>
      <c r="EE48">
        <f t="shared" si="194"/>
        <v>0</v>
      </c>
      <c r="EF48">
        <f t="shared" si="195"/>
        <v>15.940210000000002</v>
      </c>
      <c r="EG48">
        <f t="shared" si="196"/>
        <v>0</v>
      </c>
      <c r="EH48">
        <f t="shared" si="232"/>
        <v>0</v>
      </c>
      <c r="EI48">
        <f t="shared" si="233"/>
        <v>0</v>
      </c>
      <c r="EJ48">
        <f t="shared" si="197"/>
        <v>0</v>
      </c>
      <c r="EK48">
        <f t="shared" si="198"/>
        <v>878.23449999999991</v>
      </c>
      <c r="EL48">
        <f t="shared" si="199"/>
        <v>0</v>
      </c>
      <c r="EM48">
        <f t="shared" si="272"/>
        <v>0</v>
      </c>
      <c r="EN48">
        <f t="shared" si="273"/>
        <v>878.23449999999991</v>
      </c>
      <c r="EO48">
        <f t="shared" si="274"/>
        <v>0</v>
      </c>
      <c r="EP48">
        <f t="shared" si="275"/>
        <v>0</v>
      </c>
      <c r="EQ48">
        <f t="shared" si="276"/>
        <v>0</v>
      </c>
      <c r="ER48">
        <f t="shared" si="277"/>
        <v>0</v>
      </c>
      <c r="ES48">
        <f t="shared" si="278"/>
        <v>6.894140825</v>
      </c>
      <c r="ET48">
        <f t="shared" si="279"/>
        <v>0</v>
      </c>
      <c r="EU48">
        <f t="shared" si="280"/>
        <v>0</v>
      </c>
      <c r="EV48">
        <f t="shared" si="281"/>
        <v>0</v>
      </c>
      <c r="EW48">
        <f t="shared" si="282"/>
        <v>5.4714770825000009E-2</v>
      </c>
      <c r="EY48">
        <f t="shared" si="283"/>
        <v>0</v>
      </c>
      <c r="EZ48">
        <f t="shared" si="205"/>
        <v>0</v>
      </c>
      <c r="FA48">
        <f t="shared" si="206"/>
        <v>304.58999999999997</v>
      </c>
      <c r="FB48">
        <f t="shared" si="207"/>
        <v>0</v>
      </c>
      <c r="FC48">
        <f t="shared" si="208"/>
        <v>126.91249999999999</v>
      </c>
      <c r="FD48">
        <f t="shared" si="209"/>
        <v>0</v>
      </c>
      <c r="FE48">
        <f t="shared" si="284"/>
        <v>0</v>
      </c>
      <c r="FF48">
        <f t="shared" si="285"/>
        <v>175.64689999999999</v>
      </c>
      <c r="FG48">
        <f t="shared" si="286"/>
        <v>0</v>
      </c>
      <c r="FH48">
        <f t="shared" si="287"/>
        <v>0</v>
      </c>
      <c r="FI48">
        <f t="shared" si="288"/>
        <v>0</v>
      </c>
      <c r="FJ48">
        <f t="shared" si="289"/>
        <v>607.1493999999999</v>
      </c>
      <c r="FK48">
        <f>_xlfn.XLOOKUP(C48, Constants!$D$19:$D$23, Constants!$E$19:$E$23)</f>
        <v>1.8E-3</v>
      </c>
      <c r="FL48">
        <f t="shared" si="247"/>
        <v>1.7158042043999998E-3</v>
      </c>
      <c r="FN48">
        <f>Constants!$B$24</f>
        <v>1.0999999999999999E-2</v>
      </c>
      <c r="FO48">
        <f t="shared" si="290"/>
        <v>1</v>
      </c>
      <c r="FP48">
        <f>Constants!$B$25</f>
        <v>0.02</v>
      </c>
      <c r="FQ48">
        <f t="shared" si="210"/>
        <v>20.306000000000001</v>
      </c>
      <c r="FR48">
        <f t="shared" si="211"/>
        <v>0.35068462</v>
      </c>
    </row>
    <row r="49" spans="1:175" x14ac:dyDescent="0.2">
      <c r="A49" s="2" t="s">
        <v>64</v>
      </c>
      <c r="B49" s="2">
        <v>15</v>
      </c>
      <c r="C49" s="2" t="s">
        <v>77</v>
      </c>
      <c r="D49" s="2" t="b">
        <v>1</v>
      </c>
      <c r="E49" s="2" t="s">
        <v>28</v>
      </c>
      <c r="F49" s="2">
        <v>122</v>
      </c>
      <c r="G49" s="2">
        <v>100</v>
      </c>
      <c r="H49" s="2"/>
      <c r="I49" s="2">
        <v>0.42299999999999999</v>
      </c>
      <c r="J49" s="2">
        <f>0.039</f>
        <v>3.9E-2</v>
      </c>
      <c r="K49" s="2"/>
      <c r="L49" s="2"/>
      <c r="M49" s="2">
        <v>0.5</v>
      </c>
      <c r="N49" s="2"/>
      <c r="O49" s="2">
        <v>0.5</v>
      </c>
      <c r="P49" s="2"/>
      <c r="Q49" s="2" t="b">
        <v>0</v>
      </c>
      <c r="R49" s="2">
        <v>0</v>
      </c>
      <c r="S49" s="2">
        <v>0</v>
      </c>
      <c r="T49" s="2" t="b">
        <v>0</v>
      </c>
      <c r="U49" s="2">
        <v>0</v>
      </c>
      <c r="V49" s="2">
        <v>0</v>
      </c>
      <c r="W49" s="2" t="b">
        <v>0</v>
      </c>
      <c r="X49" s="2">
        <v>0</v>
      </c>
      <c r="Y49" s="2">
        <v>0</v>
      </c>
      <c r="Z49" s="22"/>
      <c r="AA49" s="2"/>
      <c r="AB49" s="2"/>
      <c r="AC49" s="2"/>
      <c r="AD49" s="2"/>
      <c r="AE49" s="25"/>
      <c r="AF49" s="19"/>
      <c r="AG49" s="2"/>
      <c r="AH49" s="2"/>
      <c r="AI49" s="2"/>
      <c r="AJ49" s="25"/>
      <c r="AK49" s="2"/>
      <c r="AL49" s="19"/>
      <c r="AM49" s="2"/>
      <c r="AN49" s="2"/>
      <c r="AO49" s="25"/>
      <c r="AP49" s="2">
        <v>1</v>
      </c>
      <c r="AQ49" s="2"/>
      <c r="AR49" s="2"/>
      <c r="AS49" s="2"/>
      <c r="AT49" s="25"/>
      <c r="AU49" s="2"/>
      <c r="AV49" s="2"/>
      <c r="AW49" s="19"/>
      <c r="AX49" s="2"/>
      <c r="AY49" s="25">
        <f>IF(H49&lt;&gt;"", H49, _xlfn.XLOOKUP($E49,Constants!$A$3:$A$6, Constants!B$3:B$6))</f>
        <v>1.71</v>
      </c>
      <c r="AZ49" s="2">
        <f>IF(I49&lt;&gt;"", I49, _xlfn.XLOOKUP($E49,Constants!$A$3:$A$6, Constants!C$3:C$6))</f>
        <v>0.42299999999999999</v>
      </c>
      <c r="BA49" s="2">
        <f>IF(J49&lt;&gt;"", J49, _xlfn.XLOOKUP($E49,Constants!$A$3:$A$6, Constants!D$3:D$6))</f>
        <v>3.9E-2</v>
      </c>
      <c r="BB49" s="2">
        <f>IF(R49&lt;&gt;"", R49, IF(Q49, Constants!$B$19, 0))</f>
        <v>0</v>
      </c>
      <c r="BC49" s="2">
        <f>IF(U49&lt;&gt;"", U49,  IF(T49, Constants!$B$19, 0))</f>
        <v>0</v>
      </c>
      <c r="BD49" s="2">
        <f>IF(X49&lt;&gt;"", X49,  IF(W49, Constants!$B$19, 0))</f>
        <v>0</v>
      </c>
      <c r="BE49" s="2">
        <f>IF(S49&lt;&gt;"", S49, IF(Q49, Constants!$B$20, 0))</f>
        <v>0</v>
      </c>
      <c r="BF49" s="2">
        <f>IF(V49&lt;&gt;"", V49, IF(T49, Constants!$B$20, 0))</f>
        <v>0</v>
      </c>
      <c r="BG49" s="2">
        <f>IF(Y49&lt;&gt;"", Y49,  IF(W49, Constants!$B$20, 0))</f>
        <v>0</v>
      </c>
      <c r="BH49" s="2">
        <f t="shared" si="254"/>
        <v>0</v>
      </c>
      <c r="BI49" s="2">
        <f t="shared" si="255"/>
        <v>0</v>
      </c>
      <c r="BJ49" s="2">
        <f t="shared" si="256"/>
        <v>0.5</v>
      </c>
      <c r="BK49" s="2">
        <f t="shared" si="257"/>
        <v>0</v>
      </c>
      <c r="BL49" s="2">
        <f t="shared" si="258"/>
        <v>0.5</v>
      </c>
      <c r="BM49" s="2">
        <f t="shared" si="259"/>
        <v>0</v>
      </c>
      <c r="BN49" s="2">
        <f>Constants!$B$21</f>
        <v>0.45</v>
      </c>
      <c r="BO49" s="2">
        <f>Constants!$B$22</f>
        <v>0.6784</v>
      </c>
      <c r="BP49" s="2">
        <f>_xlfn.XLOOKUP($B49,Constants!$G$20:$G$38, Constants!H$20:H$38)</f>
        <v>0.74</v>
      </c>
      <c r="BQ49" s="2">
        <f>_xlfn.XLOOKUP($B49,Constants!$G$20:$G$38, Constants!I$20:I$38)</f>
        <v>0.02</v>
      </c>
      <c r="BR49" s="2">
        <f>_xlfn.XLOOKUP($A49,Constants!$F$9:$M$9,Constants!$F$12:$M$12)</f>
        <v>0.01</v>
      </c>
      <c r="BS49" s="2">
        <f>_xlfn.XLOOKUP($B49,Constants!$G$20:$G$38, Constants!J$20:J$38)</f>
        <v>0.1</v>
      </c>
      <c r="BT49" s="2">
        <f>_xlfn.XLOOKUP($B49,Constants!$G$20:$G$38, Constants!K$20:K$38)</f>
        <v>0.04</v>
      </c>
      <c r="BU49" s="2">
        <f>_xlfn.XLOOKUP($B49,Constants!$G$20:$G$38, Constants!L$20:L$38)</f>
        <v>0.03</v>
      </c>
      <c r="BV49" s="2">
        <f>_xlfn.XLOOKUP($B49,Constants!$G$20:$G$38, Constants!P$20:P$38)</f>
        <v>0</v>
      </c>
      <c r="BW49" s="2">
        <f t="shared" si="167"/>
        <v>0</v>
      </c>
      <c r="BX49" s="2">
        <f t="shared" si="168"/>
        <v>0</v>
      </c>
      <c r="BY49" s="2">
        <f t="shared" si="169"/>
        <v>6.4566720000000012E-4</v>
      </c>
      <c r="BZ49" s="2">
        <f t="shared" si="170"/>
        <v>0</v>
      </c>
      <c r="CA49" s="2">
        <f t="shared" si="171"/>
        <v>2.5826688000000005E-3</v>
      </c>
      <c r="CB49" s="2">
        <f t="shared" si="172"/>
        <v>0</v>
      </c>
      <c r="CC49" s="2">
        <f t="shared" si="173"/>
        <v>3.9385699200000006E-2</v>
      </c>
      <c r="CD49" s="2">
        <f>Constants!$E$10</f>
        <v>0</v>
      </c>
      <c r="CE49" s="2">
        <f>Constants!$E$11</f>
        <v>0</v>
      </c>
      <c r="CF49" s="2">
        <f>Constants!$E$13</f>
        <v>0.75</v>
      </c>
      <c r="CG49" s="2">
        <f>Constants!$E$14</f>
        <v>0.05</v>
      </c>
      <c r="CH49" s="2">
        <f>Constants!$E$15</f>
        <v>0</v>
      </c>
      <c r="CI49" s="2">
        <f t="shared" si="174"/>
        <v>0</v>
      </c>
      <c r="CJ49" s="2">
        <f t="shared" si="175"/>
        <v>0</v>
      </c>
      <c r="CK49" s="2">
        <f t="shared" si="176"/>
        <v>0</v>
      </c>
      <c r="CL49" s="2">
        <f t="shared" si="177"/>
        <v>0.47499999999999998</v>
      </c>
      <c r="CM49" s="2">
        <f t="shared" si="178"/>
        <v>0</v>
      </c>
      <c r="CN49" s="2">
        <f t="shared" si="179"/>
        <v>0.20092499999999999</v>
      </c>
      <c r="CO49" s="2">
        <f t="shared" si="180"/>
        <v>0</v>
      </c>
      <c r="CP49" s="2">
        <f t="shared" si="181"/>
        <v>0.47499999999999998</v>
      </c>
      <c r="CQ49" s="2">
        <f t="shared" si="182"/>
        <v>0</v>
      </c>
      <c r="CR49" s="2">
        <f t="shared" si="183"/>
        <v>0</v>
      </c>
      <c r="CS49" s="2">
        <f t="shared" si="184"/>
        <v>0</v>
      </c>
      <c r="CT49" s="2">
        <f t="shared" si="260"/>
        <v>0</v>
      </c>
      <c r="CU49" s="2">
        <f t="shared" si="185"/>
        <v>1.22676768E-3</v>
      </c>
      <c r="CV49" s="2">
        <f t="shared" si="261"/>
        <v>0</v>
      </c>
      <c r="CW49" s="2">
        <f t="shared" si="262"/>
        <v>0</v>
      </c>
      <c r="CX49" s="2">
        <f t="shared" si="263"/>
        <v>0</v>
      </c>
      <c r="CY49" s="2">
        <f t="shared" si="186"/>
        <v>1.4966565696E-2</v>
      </c>
      <c r="CZ49" s="2">
        <f t="shared" si="264"/>
        <v>5.4352264896000008E-2</v>
      </c>
      <c r="DA49" s="2"/>
      <c r="DB49" s="2">
        <f t="shared" si="223"/>
        <v>475.8</v>
      </c>
      <c r="DC49" s="2">
        <f t="shared" si="265"/>
        <v>0</v>
      </c>
      <c r="DD49" s="2">
        <f t="shared" si="266"/>
        <v>0</v>
      </c>
      <c r="DE49" s="2">
        <f t="shared" si="267"/>
        <v>0.5</v>
      </c>
      <c r="DF49" s="2">
        <f t="shared" si="268"/>
        <v>0</v>
      </c>
      <c r="DG49" s="2">
        <f t="shared" si="269"/>
        <v>0.5</v>
      </c>
      <c r="DH49" s="2">
        <f t="shared" si="270"/>
        <v>0</v>
      </c>
      <c r="DI49" s="2">
        <f t="shared" si="230"/>
        <v>0</v>
      </c>
      <c r="DJ49" s="2">
        <f t="shared" si="187"/>
        <v>0</v>
      </c>
      <c r="DK49" s="2">
        <f t="shared" si="188"/>
        <v>237.9</v>
      </c>
      <c r="DL49" s="2">
        <f t="shared" si="189"/>
        <v>0</v>
      </c>
      <c r="DM49" s="2">
        <f t="shared" si="190"/>
        <v>237.9</v>
      </c>
      <c r="DN49" s="2">
        <f t="shared" si="191"/>
        <v>0</v>
      </c>
      <c r="DO49" s="13">
        <f>Constants!$C$10</f>
        <v>0.55000000000000004</v>
      </c>
      <c r="DP49" s="13">
        <f>Constants!$C$11</f>
        <v>0.2</v>
      </c>
      <c r="DQ49" s="13">
        <f>Constants!$C$12</f>
        <v>0.3</v>
      </c>
      <c r="DR49" s="13">
        <f>Constants!$C$13</f>
        <v>0</v>
      </c>
      <c r="DS49" s="13">
        <f>Constants!$C$14</f>
        <v>0.125</v>
      </c>
      <c r="DT49" s="13">
        <f>Constants!$C$15</f>
        <v>0.25</v>
      </c>
      <c r="DU49" s="13">
        <f>Constants!$D$10</f>
        <v>0</v>
      </c>
      <c r="DV49" s="13">
        <f>Constants!$D$11</f>
        <v>5.0000000000000001E-3</v>
      </c>
      <c r="DW49" s="13">
        <f>Constants!$D$12</f>
        <v>0.02</v>
      </c>
      <c r="DX49" s="13">
        <f>Constants!$D$13</f>
        <v>0</v>
      </c>
      <c r="DY49" s="13">
        <f>Constants!$D$14</f>
        <v>0.01</v>
      </c>
      <c r="DZ49" s="13">
        <f>Constants!$D$15</f>
        <v>2E-3</v>
      </c>
      <c r="EA49" s="2">
        <f>Constants!$B$23</f>
        <v>1.57</v>
      </c>
      <c r="EB49" s="2">
        <f t="shared" si="271"/>
        <v>0</v>
      </c>
      <c r="EC49" s="2">
        <f t="shared" si="192"/>
        <v>0</v>
      </c>
      <c r="ED49" s="2">
        <f t="shared" si="193"/>
        <v>7.4700600000000001</v>
      </c>
      <c r="EE49" s="2">
        <f t="shared" si="194"/>
        <v>0</v>
      </c>
      <c r="EF49" s="2">
        <f t="shared" si="195"/>
        <v>3.7350300000000001</v>
      </c>
      <c r="EG49" s="2">
        <f t="shared" si="196"/>
        <v>0</v>
      </c>
      <c r="EH49" s="2">
        <f t="shared" si="232"/>
        <v>0</v>
      </c>
      <c r="EI49" s="2">
        <f t="shared" si="233"/>
        <v>0</v>
      </c>
      <c r="EJ49" s="2">
        <f t="shared" si="197"/>
        <v>0</v>
      </c>
      <c r="EK49" s="2">
        <f t="shared" si="198"/>
        <v>205.7835</v>
      </c>
      <c r="EL49" s="2">
        <f t="shared" si="199"/>
        <v>0</v>
      </c>
      <c r="EM49" s="2">
        <f t="shared" si="272"/>
        <v>0</v>
      </c>
      <c r="EN49" s="2">
        <f t="shared" si="273"/>
        <v>205.7835</v>
      </c>
      <c r="EO49" s="2">
        <f t="shared" si="274"/>
        <v>0</v>
      </c>
      <c r="EP49" s="2">
        <f t="shared" si="275"/>
        <v>0</v>
      </c>
      <c r="EQ49" s="2">
        <f t="shared" si="276"/>
        <v>0</v>
      </c>
      <c r="ER49" s="2">
        <f t="shared" si="277"/>
        <v>0</v>
      </c>
      <c r="ES49" s="2">
        <f t="shared" si="278"/>
        <v>1.6154004749999999</v>
      </c>
      <c r="ET49" s="2">
        <f t="shared" si="279"/>
        <v>0</v>
      </c>
      <c r="EU49" s="2">
        <f t="shared" si="280"/>
        <v>0</v>
      </c>
      <c r="EV49" s="2">
        <f t="shared" si="281"/>
        <v>0</v>
      </c>
      <c r="EW49" s="2">
        <f t="shared" si="282"/>
        <v>1.2820490475E-2</v>
      </c>
      <c r="EX49" s="2"/>
      <c r="EY49" s="2">
        <f t="shared" si="283"/>
        <v>0</v>
      </c>
      <c r="EZ49" s="2">
        <f t="shared" si="205"/>
        <v>0</v>
      </c>
      <c r="FA49" s="2">
        <f t="shared" si="206"/>
        <v>71.37</v>
      </c>
      <c r="FB49" s="2">
        <f t="shared" si="207"/>
        <v>0</v>
      </c>
      <c r="FC49" s="2">
        <f t="shared" si="208"/>
        <v>29.737500000000001</v>
      </c>
      <c r="FD49" s="2">
        <f t="shared" si="209"/>
        <v>0</v>
      </c>
      <c r="FE49" s="2">
        <f t="shared" si="284"/>
        <v>0</v>
      </c>
      <c r="FF49" s="2">
        <f t="shared" si="285"/>
        <v>41.156700000000001</v>
      </c>
      <c r="FG49" s="2">
        <f t="shared" si="286"/>
        <v>0</v>
      </c>
      <c r="FH49" s="2">
        <f t="shared" si="287"/>
        <v>0</v>
      </c>
      <c r="FI49" s="2">
        <f t="shared" si="288"/>
        <v>0</v>
      </c>
      <c r="FJ49" s="2">
        <f t="shared" si="289"/>
        <v>142.26420000000002</v>
      </c>
      <c r="FK49" s="2">
        <f>_xlfn.XLOOKUP(C49, Constants!$D$19:$D$23, Constants!$E$19:$E$23)</f>
        <v>1.8E-3</v>
      </c>
      <c r="FL49" s="2">
        <f t="shared" si="247"/>
        <v>4.0203862920000006E-4</v>
      </c>
      <c r="FM49" s="2"/>
      <c r="FN49" s="2">
        <f>Constants!$B$24</f>
        <v>1.0999999999999999E-2</v>
      </c>
      <c r="FO49" s="2">
        <f t="shared" si="290"/>
        <v>1</v>
      </c>
      <c r="FP49" s="2">
        <f>Constants!$B$25</f>
        <v>0.02</v>
      </c>
      <c r="FQ49" s="2">
        <f t="shared" si="210"/>
        <v>4.758</v>
      </c>
      <c r="FR49" s="2">
        <f t="shared" si="211"/>
        <v>8.2170659999999993E-2</v>
      </c>
      <c r="FS49" s="2"/>
    </row>
    <row r="50" spans="1:175" x14ac:dyDescent="0.2">
      <c r="A50" t="s">
        <v>40</v>
      </c>
      <c r="B50">
        <v>25</v>
      </c>
      <c r="C50" t="s">
        <v>78</v>
      </c>
      <c r="D50" t="b">
        <v>0</v>
      </c>
      <c r="E50" t="s">
        <v>25</v>
      </c>
      <c r="F50">
        <v>750</v>
      </c>
      <c r="G50">
        <v>200</v>
      </c>
      <c r="I50">
        <v>0.38600000000000001</v>
      </c>
      <c r="J50">
        <v>5.6000000000000001E-2</v>
      </c>
      <c r="K50">
        <v>0.3</v>
      </c>
      <c r="N50">
        <v>0.3</v>
      </c>
      <c r="P50">
        <v>0.4</v>
      </c>
      <c r="Q50" t="b">
        <v>0</v>
      </c>
      <c r="R50">
        <v>0</v>
      </c>
      <c r="S50">
        <v>0</v>
      </c>
      <c r="T50" t="b">
        <v>0</v>
      </c>
      <c r="U50">
        <v>0</v>
      </c>
      <c r="V50">
        <v>0</v>
      </c>
      <c r="W50" t="b">
        <v>0</v>
      </c>
      <c r="X50">
        <v>0</v>
      </c>
      <c r="Y50">
        <v>0</v>
      </c>
      <c r="Z50" s="23"/>
      <c r="AA50" s="18">
        <v>0.1</v>
      </c>
      <c r="AB50" s="18">
        <v>0.2</v>
      </c>
      <c r="AC50" s="18">
        <v>0.3</v>
      </c>
      <c r="AD50" s="27">
        <v>0.4</v>
      </c>
      <c r="AE50" s="18">
        <v>0.1</v>
      </c>
      <c r="AF50" s="20"/>
      <c r="AG50" s="18">
        <v>0.2</v>
      </c>
      <c r="AH50" s="18">
        <v>0.3</v>
      </c>
      <c r="AI50" s="27">
        <v>0.4</v>
      </c>
      <c r="AJ50" s="18">
        <v>0.1</v>
      </c>
      <c r="AK50" s="18">
        <v>0.2</v>
      </c>
      <c r="AL50" s="20"/>
      <c r="AM50" s="18">
        <v>0.3</v>
      </c>
      <c r="AN50" s="27">
        <v>0.4</v>
      </c>
      <c r="AO50" s="21">
        <v>0.2</v>
      </c>
      <c r="AP50">
        <v>0.2</v>
      </c>
      <c r="AQ50">
        <v>0.2</v>
      </c>
      <c r="AR50">
        <v>0.2</v>
      </c>
      <c r="AS50">
        <v>0.2</v>
      </c>
      <c r="AT50" s="21">
        <v>0.2</v>
      </c>
      <c r="AU50">
        <v>0.2</v>
      </c>
      <c r="AV50">
        <v>0.2</v>
      </c>
      <c r="AW50" s="20"/>
      <c r="AX50">
        <v>0.2</v>
      </c>
      <c r="AY50" s="29">
        <f>IF(H50&lt;&gt;"", H50, _xlfn.XLOOKUP($E50,Constants!$A$3:$A$6, Constants!B$3:B$6))</f>
        <v>2.2999999999999998</v>
      </c>
      <c r="AZ50" s="18">
        <f>IF(I50&lt;&gt;"", I50, _xlfn.XLOOKUP($E50,Constants!$A$3:$A$6, Constants!C$3:C$6))</f>
        <v>0.38600000000000001</v>
      </c>
      <c r="BA50" s="18">
        <f>IF(J50&lt;&gt;"", J50, _xlfn.XLOOKUP($E50,Constants!$A$3:$A$6, Constants!D$3:D$6))</f>
        <v>5.6000000000000001E-2</v>
      </c>
      <c r="BB50">
        <f>IF(R50&lt;&gt;"", R50, IF(Q50, Constants!$B$19, 0))</f>
        <v>0</v>
      </c>
      <c r="BC50">
        <f>IF(U50&lt;&gt;"", U50,  IF(T50, Constants!$B$19, 0))</f>
        <v>0</v>
      </c>
      <c r="BD50">
        <f>IF(X50&lt;&gt;"", X50,  IF(W50, Constants!$B$19, 0))</f>
        <v>0</v>
      </c>
      <c r="BE50" s="18">
        <f>IF(S50&lt;&gt;"", S50, IF(Q50, Constants!$B$20, 0))</f>
        <v>0</v>
      </c>
      <c r="BF50" s="18">
        <f>IF(V50&lt;&gt;"", V50, IF(T50, Constants!$B$20, 0))</f>
        <v>0</v>
      </c>
      <c r="BG50" s="18">
        <f>IF(Y50&lt;&gt;"", Y50,  IF(W50, Constants!$B$20, 0))</f>
        <v>0</v>
      </c>
      <c r="BH50">
        <f t="shared" si="254"/>
        <v>0.3</v>
      </c>
      <c r="BI50">
        <f t="shared" si="255"/>
        <v>0</v>
      </c>
      <c r="BJ50">
        <f t="shared" si="256"/>
        <v>0</v>
      </c>
      <c r="BK50">
        <f t="shared" si="257"/>
        <v>0.3</v>
      </c>
      <c r="BL50">
        <f t="shared" si="258"/>
        <v>0</v>
      </c>
      <c r="BM50">
        <f t="shared" si="259"/>
        <v>0.4</v>
      </c>
      <c r="BN50">
        <f>Constants!$B$21</f>
        <v>0.45</v>
      </c>
      <c r="BO50">
        <f>Constants!$B$22</f>
        <v>0.6784</v>
      </c>
      <c r="BP50">
        <f>_xlfn.XLOOKUP($B50,Constants!$G$20:$G$38, Constants!H$20:H$38)</f>
        <v>0.79</v>
      </c>
      <c r="BQ50">
        <f>_xlfn.XLOOKUP($B50,Constants!$G$20:$G$38, Constants!I$20:I$38)</f>
        <v>0.02</v>
      </c>
      <c r="BR50">
        <f>_xlfn.XLOOKUP($A50,Constants!$F$9:$M$9,Constants!$F$12:$M$12)</f>
        <v>0.01</v>
      </c>
      <c r="BS50">
        <f>_xlfn.XLOOKUP($B50,Constants!$G$20:$G$38, Constants!J$20:J$38)</f>
        <v>0.1</v>
      </c>
      <c r="BT50">
        <f>_xlfn.XLOOKUP($B50,Constants!$G$20:$G$38, Constants!K$20:K$38)</f>
        <v>0.04</v>
      </c>
      <c r="BU50">
        <f>_xlfn.XLOOKUP($B50,Constants!$G$20:$G$38, Constants!L$20:L$38)</f>
        <v>0.03</v>
      </c>
      <c r="BV50">
        <f>_xlfn.XLOOKUP($B50,Constants!$G$20:$G$38, Constants!P$20:P$38)</f>
        <v>0</v>
      </c>
      <c r="BW50" s="18">
        <f t="shared" si="167"/>
        <v>2.7927624960000005E-2</v>
      </c>
      <c r="BX50" s="18">
        <f t="shared" si="168"/>
        <v>0</v>
      </c>
      <c r="BY50" s="18">
        <f t="shared" si="169"/>
        <v>0</v>
      </c>
      <c r="BZ50" s="18">
        <f t="shared" si="170"/>
        <v>3.5351424000000004E-3</v>
      </c>
      <c r="CA50" s="18">
        <f t="shared" si="171"/>
        <v>0</v>
      </c>
      <c r="CB50" s="18">
        <f t="shared" si="172"/>
        <v>1.4140569600000002E-3</v>
      </c>
      <c r="CC50">
        <f t="shared" si="173"/>
        <v>4.9315236480000015</v>
      </c>
      <c r="CD50">
        <f>Constants!$E$10</f>
        <v>0</v>
      </c>
      <c r="CE50">
        <f>Constants!$E$11</f>
        <v>0</v>
      </c>
      <c r="CF50">
        <f>Constants!$E$13</f>
        <v>0.75</v>
      </c>
      <c r="CG50">
        <f>Constants!$E$14</f>
        <v>0.05</v>
      </c>
      <c r="CH50">
        <f>Constants!$E$15</f>
        <v>0</v>
      </c>
      <c r="CI50">
        <f t="shared" si="174"/>
        <v>0.3</v>
      </c>
      <c r="CJ50">
        <f t="shared" si="175"/>
        <v>0</v>
      </c>
      <c r="CK50">
        <f t="shared" si="176"/>
        <v>7.4999999999999997E-2</v>
      </c>
      <c r="CL50">
        <f t="shared" si="177"/>
        <v>0</v>
      </c>
      <c r="CM50">
        <f t="shared" si="178"/>
        <v>0.4</v>
      </c>
      <c r="CN50">
        <f t="shared" si="179"/>
        <v>0.29915000000000003</v>
      </c>
      <c r="CO50" s="18">
        <f t="shared" si="180"/>
        <v>8.7500000000000022E-2</v>
      </c>
      <c r="CP50" s="18">
        <f t="shared" si="181"/>
        <v>0.125</v>
      </c>
      <c r="CQ50" s="18">
        <f t="shared" si="182"/>
        <v>0.14000000000000001</v>
      </c>
      <c r="CR50" s="18">
        <f t="shared" si="183"/>
        <v>0.11249999999999999</v>
      </c>
      <c r="CS50" s="18">
        <f t="shared" si="184"/>
        <v>0.23</v>
      </c>
      <c r="CT50" s="18">
        <f t="shared" si="260"/>
        <v>8.1455572800000035E-3</v>
      </c>
      <c r="CU50" s="18">
        <f t="shared" si="185"/>
        <v>2.9459520000000005E-4</v>
      </c>
      <c r="CV50" s="18">
        <f t="shared" si="261"/>
        <v>1.6497331200000006E-3</v>
      </c>
      <c r="CW50" s="18">
        <f t="shared" si="262"/>
        <v>3.9770351999999999E-4</v>
      </c>
      <c r="CX50" s="18">
        <f t="shared" si="263"/>
        <v>0</v>
      </c>
      <c r="CY50" s="18">
        <f t="shared" si="186"/>
        <v>1.5731383680000008</v>
      </c>
      <c r="CZ50" s="18">
        <f t="shared" si="264"/>
        <v>6.5046620160000028</v>
      </c>
      <c r="DA50">
        <f t="shared" ref="DA50" si="291">SUM(CZ50:CZ53)</f>
        <v>14.874787151740804</v>
      </c>
      <c r="DB50">
        <f t="shared" si="223"/>
        <v>8400</v>
      </c>
      <c r="DC50" s="18">
        <f t="shared" si="265"/>
        <v>0.3</v>
      </c>
      <c r="DD50" s="18">
        <f t="shared" si="266"/>
        <v>0</v>
      </c>
      <c r="DE50" s="18">
        <f t="shared" si="267"/>
        <v>0</v>
      </c>
      <c r="DF50" s="18">
        <f t="shared" si="268"/>
        <v>0.3</v>
      </c>
      <c r="DG50" s="18">
        <f t="shared" si="269"/>
        <v>0</v>
      </c>
      <c r="DH50" s="18">
        <f t="shared" si="270"/>
        <v>0.4</v>
      </c>
      <c r="DI50">
        <f t="shared" si="230"/>
        <v>2520</v>
      </c>
      <c r="DJ50">
        <f t="shared" si="187"/>
        <v>0</v>
      </c>
      <c r="DK50">
        <f t="shared" si="188"/>
        <v>0</v>
      </c>
      <c r="DL50">
        <f t="shared" si="189"/>
        <v>2520</v>
      </c>
      <c r="DM50">
        <f t="shared" si="190"/>
        <v>0</v>
      </c>
      <c r="DN50">
        <f t="shared" si="191"/>
        <v>3360</v>
      </c>
      <c r="DO50" s="6">
        <f>Constants!$C$10</f>
        <v>0.55000000000000004</v>
      </c>
      <c r="DP50" s="6">
        <f>Constants!$C$11</f>
        <v>0.2</v>
      </c>
      <c r="DQ50" s="6">
        <f>Constants!$C$12</f>
        <v>0.3</v>
      </c>
      <c r="DR50" s="6">
        <f>Constants!$C$13</f>
        <v>0</v>
      </c>
      <c r="DS50" s="6">
        <f>Constants!$C$14</f>
        <v>0.125</v>
      </c>
      <c r="DT50" s="6">
        <f>Constants!$C$15</f>
        <v>0.25</v>
      </c>
      <c r="DU50" s="6">
        <f>Constants!$D$10</f>
        <v>0</v>
      </c>
      <c r="DV50" s="6">
        <f>Constants!$D$11</f>
        <v>5.0000000000000001E-3</v>
      </c>
      <c r="DW50" s="6">
        <f>Constants!$D$12</f>
        <v>0.02</v>
      </c>
      <c r="DX50" s="6">
        <f>Constants!$D$13</f>
        <v>0</v>
      </c>
      <c r="DY50" s="6">
        <f>Constants!$D$14</f>
        <v>0.01</v>
      </c>
      <c r="DZ50" s="6">
        <f>Constants!$D$15</f>
        <v>2E-3</v>
      </c>
      <c r="EA50">
        <f>Constants!$B$23</f>
        <v>1.57</v>
      </c>
      <c r="EB50" s="18">
        <f t="shared" si="271"/>
        <v>0</v>
      </c>
      <c r="EC50" s="18">
        <f t="shared" si="192"/>
        <v>0</v>
      </c>
      <c r="ED50" s="18">
        <f t="shared" si="193"/>
        <v>0</v>
      </c>
      <c r="EE50" s="18">
        <f t="shared" si="194"/>
        <v>0</v>
      </c>
      <c r="EF50" s="18">
        <f t="shared" si="195"/>
        <v>0</v>
      </c>
      <c r="EG50" s="18">
        <f t="shared" si="196"/>
        <v>10.5504</v>
      </c>
      <c r="EH50">
        <f t="shared" si="232"/>
        <v>1134</v>
      </c>
      <c r="EI50">
        <f t="shared" si="233"/>
        <v>0</v>
      </c>
      <c r="EJ50">
        <f t="shared" si="197"/>
        <v>2520</v>
      </c>
      <c r="EK50">
        <f t="shared" si="198"/>
        <v>0</v>
      </c>
      <c r="EL50">
        <f t="shared" si="199"/>
        <v>2513.2800000000002</v>
      </c>
      <c r="EM50">
        <f t="shared" si="272"/>
        <v>754.65600000000006</v>
      </c>
      <c r="EN50">
        <f t="shared" si="273"/>
        <v>1120.056</v>
      </c>
      <c r="EO50">
        <f t="shared" si="274"/>
        <v>729.45600000000013</v>
      </c>
      <c r="EP50">
        <f t="shared" si="275"/>
        <v>1096.2</v>
      </c>
      <c r="EQ50">
        <f t="shared" si="276"/>
        <v>1964.2559999999999</v>
      </c>
      <c r="ER50">
        <f t="shared" si="277"/>
        <v>0</v>
      </c>
      <c r="ES50">
        <f t="shared" si="278"/>
        <v>8.7924396000000016</v>
      </c>
      <c r="ET50">
        <f t="shared" si="279"/>
        <v>0</v>
      </c>
      <c r="EU50">
        <f t="shared" si="280"/>
        <v>3.4420680000000003</v>
      </c>
      <c r="EV50">
        <f t="shared" si="281"/>
        <v>0</v>
      </c>
      <c r="EW50" s="18">
        <f t="shared" si="282"/>
        <v>2.2784907600000001E-2</v>
      </c>
      <c r="EX50">
        <f t="shared" ref="EX50" si="292">SUM(EW50:EW53)</f>
        <v>0.5251202734403565</v>
      </c>
      <c r="EY50" s="18">
        <f t="shared" si="283"/>
        <v>1386</v>
      </c>
      <c r="EZ50" s="18">
        <f t="shared" si="205"/>
        <v>0</v>
      </c>
      <c r="FA50" s="18">
        <f t="shared" si="206"/>
        <v>0</v>
      </c>
      <c r="FB50" s="18">
        <f t="shared" si="207"/>
        <v>0</v>
      </c>
      <c r="FC50" s="18">
        <f t="shared" si="208"/>
        <v>0</v>
      </c>
      <c r="FD50" s="18">
        <f t="shared" si="209"/>
        <v>840</v>
      </c>
      <c r="FE50" s="18">
        <f t="shared" si="284"/>
        <v>415.06080000000009</v>
      </c>
      <c r="FF50" s="18">
        <f t="shared" si="285"/>
        <v>224.01120000000003</v>
      </c>
      <c r="FG50" s="18">
        <f t="shared" si="286"/>
        <v>0</v>
      </c>
      <c r="FH50" s="18">
        <f t="shared" si="287"/>
        <v>274.05</v>
      </c>
      <c r="FI50" s="18">
        <f t="shared" si="288"/>
        <v>0</v>
      </c>
      <c r="FJ50" s="18">
        <f t="shared" si="289"/>
        <v>3139.1220000000003</v>
      </c>
      <c r="FK50" s="18">
        <f>_xlfn.XLOOKUP(C50, Constants!$D$19:$D$23, Constants!$E$19:$E$23)</f>
        <v>2.8999999999999998E-3</v>
      </c>
      <c r="FL50">
        <f t="shared" si="247"/>
        <v>1.4292422466E-2</v>
      </c>
      <c r="FM50">
        <f t="shared" ref="FM50" si="293">SUM(FL50:FL53)</f>
        <v>4.3409750439902806E-2</v>
      </c>
      <c r="FN50" s="18">
        <f>Constants!$B$24</f>
        <v>1.0999999999999999E-2</v>
      </c>
      <c r="FO50" s="18">
        <f t="shared" si="290"/>
        <v>0</v>
      </c>
      <c r="FP50">
        <f>Constants!$B$25</f>
        <v>0.02</v>
      </c>
      <c r="FQ50">
        <f t="shared" si="210"/>
        <v>0</v>
      </c>
      <c r="FR50" s="18">
        <f t="shared" si="211"/>
        <v>0</v>
      </c>
      <c r="FS50">
        <f t="shared" ref="FS50" si="294">SUM(FR50:FR53)/1000</f>
        <v>0</v>
      </c>
    </row>
    <row r="51" spans="1:175" x14ac:dyDescent="0.2">
      <c r="A51" t="s">
        <v>40</v>
      </c>
      <c r="B51">
        <v>25</v>
      </c>
      <c r="C51" t="s">
        <v>78</v>
      </c>
      <c r="D51" t="b">
        <v>0</v>
      </c>
      <c r="E51" t="s">
        <v>26</v>
      </c>
      <c r="F51">
        <v>600</v>
      </c>
      <c r="G51">
        <v>200</v>
      </c>
      <c r="I51">
        <v>0.64700000000000002</v>
      </c>
      <c r="J51">
        <v>5.6000000000000001E-2</v>
      </c>
      <c r="M51">
        <v>0.5</v>
      </c>
      <c r="O51">
        <v>0.5</v>
      </c>
      <c r="Q51" t="b">
        <v>0</v>
      </c>
      <c r="R51">
        <v>0</v>
      </c>
      <c r="S51">
        <v>0</v>
      </c>
      <c r="T51" t="b">
        <v>0</v>
      </c>
      <c r="U51">
        <v>0</v>
      </c>
      <c r="V51">
        <v>0</v>
      </c>
      <c r="W51" t="b">
        <v>0</v>
      </c>
      <c r="X51">
        <v>0</v>
      </c>
      <c r="Y51">
        <v>0</v>
      </c>
      <c r="Z51" s="23"/>
      <c r="AA51">
        <v>0.1</v>
      </c>
      <c r="AB51">
        <v>0.2</v>
      </c>
      <c r="AC51">
        <v>0.3</v>
      </c>
      <c r="AD51" s="28">
        <v>0.4</v>
      </c>
      <c r="AE51">
        <v>0.1</v>
      </c>
      <c r="AF51" s="20"/>
      <c r="AG51">
        <v>0.2</v>
      </c>
      <c r="AH51">
        <v>0.3</v>
      </c>
      <c r="AI51" s="28">
        <v>0.4</v>
      </c>
      <c r="AJ51">
        <v>0.1</v>
      </c>
      <c r="AK51">
        <v>0.2</v>
      </c>
      <c r="AL51" s="20"/>
      <c r="AM51">
        <v>0.3</v>
      </c>
      <c r="AN51" s="28">
        <v>0.4</v>
      </c>
      <c r="AO51" s="21">
        <v>0.2</v>
      </c>
      <c r="AP51">
        <v>0.2</v>
      </c>
      <c r="AQ51">
        <v>0.2</v>
      </c>
      <c r="AR51">
        <v>0.2</v>
      </c>
      <c r="AS51">
        <v>0.2</v>
      </c>
      <c r="AT51" s="21">
        <v>0.2</v>
      </c>
      <c r="AU51">
        <v>0.2</v>
      </c>
      <c r="AV51">
        <v>0.2</v>
      </c>
      <c r="AW51" s="20"/>
      <c r="AX51">
        <v>0.2</v>
      </c>
      <c r="AY51" s="21">
        <f>IF(H51&lt;&gt;"", H51, _xlfn.XLOOKUP($E51,Constants!$A$3:$A$6, Constants!B$3:B$6))</f>
        <v>2.62</v>
      </c>
      <c r="AZ51">
        <f>IF(I51&lt;&gt;"", I51, _xlfn.XLOOKUP($E51,Constants!$A$3:$A$6, Constants!C$3:C$6))</f>
        <v>0.64700000000000002</v>
      </c>
      <c r="BA51">
        <f>IF(J51&lt;&gt;"", J51, _xlfn.XLOOKUP($E51,Constants!$A$3:$A$6, Constants!D$3:D$6))</f>
        <v>5.6000000000000001E-2</v>
      </c>
      <c r="BB51">
        <f>IF(R51&lt;&gt;"", R51, IF(Q51, Constants!$B$19, 0))</f>
        <v>0</v>
      </c>
      <c r="BC51">
        <f>IF(U51&lt;&gt;"", U51,  IF(T51, Constants!$B$19, 0))</f>
        <v>0</v>
      </c>
      <c r="BD51">
        <f>IF(X51&lt;&gt;"", X51,  IF(W51, Constants!$B$19, 0))</f>
        <v>0</v>
      </c>
      <c r="BE51">
        <f>IF(S51&lt;&gt;"", S51, IF(Q51, Constants!$B$20, 0))</f>
        <v>0</v>
      </c>
      <c r="BF51">
        <f>IF(V51&lt;&gt;"", V51, IF(T51, Constants!$B$20, 0))</f>
        <v>0</v>
      </c>
      <c r="BG51">
        <f>IF(Y51&lt;&gt;"", Y51,  IF(W51, Constants!$B$20, 0))</f>
        <v>0</v>
      </c>
      <c r="BH51">
        <f t="shared" si="254"/>
        <v>0</v>
      </c>
      <c r="BI51">
        <f t="shared" si="255"/>
        <v>0</v>
      </c>
      <c r="BJ51">
        <f t="shared" si="256"/>
        <v>0.5</v>
      </c>
      <c r="BK51">
        <f t="shared" si="257"/>
        <v>0</v>
      </c>
      <c r="BL51">
        <f t="shared" si="258"/>
        <v>0.5</v>
      </c>
      <c r="BM51">
        <f t="shared" si="259"/>
        <v>0</v>
      </c>
      <c r="BN51">
        <f>Constants!$B$21</f>
        <v>0.45</v>
      </c>
      <c r="BO51">
        <f>Constants!$B$22</f>
        <v>0.6784</v>
      </c>
      <c r="BP51">
        <f>_xlfn.XLOOKUP($B51,Constants!$G$20:$G$38, Constants!H$20:H$38)</f>
        <v>0.79</v>
      </c>
      <c r="BQ51">
        <f>_xlfn.XLOOKUP($B51,Constants!$G$20:$G$38, Constants!I$20:I$38)</f>
        <v>0.02</v>
      </c>
      <c r="BR51">
        <f>_xlfn.XLOOKUP($A51,Constants!$F$9:$M$9,Constants!$F$12:$M$12)</f>
        <v>0.01</v>
      </c>
      <c r="BS51">
        <f>_xlfn.XLOOKUP($B51,Constants!$G$20:$G$38, Constants!J$20:J$38)</f>
        <v>0.1</v>
      </c>
      <c r="BT51">
        <f>_xlfn.XLOOKUP($B51,Constants!$G$20:$G$38, Constants!K$20:K$38)</f>
        <v>0.04</v>
      </c>
      <c r="BU51">
        <f>_xlfn.XLOOKUP($B51,Constants!$G$20:$G$38, Constants!L$20:L$38)</f>
        <v>0.03</v>
      </c>
      <c r="BV51">
        <f>_xlfn.XLOOKUP($B51,Constants!$G$20:$G$38, Constants!P$20:P$38)</f>
        <v>0</v>
      </c>
      <c r="BW51">
        <f t="shared" si="167"/>
        <v>0</v>
      </c>
      <c r="BX51">
        <f t="shared" si="168"/>
        <v>0</v>
      </c>
      <c r="BY51">
        <f t="shared" si="169"/>
        <v>9.8758080000000011E-4</v>
      </c>
      <c r="BZ51">
        <f t="shared" si="170"/>
        <v>0</v>
      </c>
      <c r="CA51">
        <f t="shared" si="171"/>
        <v>3.9503232000000004E-3</v>
      </c>
      <c r="CB51">
        <f t="shared" si="172"/>
        <v>0</v>
      </c>
      <c r="CC51">
        <f t="shared" si="173"/>
        <v>0.59254848000000016</v>
      </c>
      <c r="CD51">
        <f>Constants!$E$10</f>
        <v>0</v>
      </c>
      <c r="CE51">
        <f>Constants!$E$11</f>
        <v>0</v>
      </c>
      <c r="CF51">
        <f>Constants!$E$13</f>
        <v>0.75</v>
      </c>
      <c r="CG51">
        <f>Constants!$E$14</f>
        <v>0.05</v>
      </c>
      <c r="CH51">
        <f>Constants!$E$15</f>
        <v>0</v>
      </c>
      <c r="CI51">
        <f t="shared" si="174"/>
        <v>0</v>
      </c>
      <c r="CJ51">
        <f t="shared" si="175"/>
        <v>0</v>
      </c>
      <c r="CK51">
        <f t="shared" si="176"/>
        <v>0</v>
      </c>
      <c r="CL51">
        <f t="shared" si="177"/>
        <v>0.47499999999999998</v>
      </c>
      <c r="CM51">
        <f t="shared" si="178"/>
        <v>0</v>
      </c>
      <c r="CN51">
        <f t="shared" si="179"/>
        <v>0.30732500000000001</v>
      </c>
      <c r="CO51">
        <f t="shared" si="180"/>
        <v>9.5000000000000001E-2</v>
      </c>
      <c r="CP51">
        <f t="shared" si="181"/>
        <v>9.5000000000000001E-2</v>
      </c>
      <c r="CQ51">
        <f t="shared" si="182"/>
        <v>9.5000000000000001E-2</v>
      </c>
      <c r="CR51">
        <f t="shared" si="183"/>
        <v>9.5000000000000001E-2</v>
      </c>
      <c r="CS51">
        <f t="shared" si="184"/>
        <v>9.5000000000000001E-2</v>
      </c>
      <c r="CT51">
        <f t="shared" si="260"/>
        <v>1.4823587808000003E-2</v>
      </c>
      <c r="CU51">
        <f t="shared" si="185"/>
        <v>3.7528070400000009E-4</v>
      </c>
      <c r="CV51">
        <f t="shared" si="261"/>
        <v>1.8764035200000001E-3</v>
      </c>
      <c r="CW51">
        <f t="shared" si="262"/>
        <v>5.6292105599999997E-4</v>
      </c>
      <c r="CX51">
        <f t="shared" si="263"/>
        <v>0</v>
      </c>
      <c r="CY51">
        <f t="shared" si="186"/>
        <v>2.1165831705600002</v>
      </c>
      <c r="CZ51">
        <f t="shared" si="264"/>
        <v>2.7091316505600003</v>
      </c>
      <c r="DB51">
        <f t="shared" si="223"/>
        <v>6720</v>
      </c>
      <c r="DC51">
        <f t="shared" si="265"/>
        <v>0</v>
      </c>
      <c r="DD51">
        <f t="shared" si="266"/>
        <v>0</v>
      </c>
      <c r="DE51">
        <f t="shared" si="267"/>
        <v>0.5</v>
      </c>
      <c r="DF51">
        <f t="shared" si="268"/>
        <v>0</v>
      </c>
      <c r="DG51">
        <f t="shared" si="269"/>
        <v>0.5</v>
      </c>
      <c r="DH51">
        <f t="shared" si="270"/>
        <v>0</v>
      </c>
      <c r="DI51">
        <f t="shared" si="230"/>
        <v>0</v>
      </c>
      <c r="DJ51">
        <f t="shared" si="187"/>
        <v>0</v>
      </c>
      <c r="DK51">
        <f t="shared" si="188"/>
        <v>3360</v>
      </c>
      <c r="DL51">
        <f t="shared" si="189"/>
        <v>0</v>
      </c>
      <c r="DM51">
        <f t="shared" si="190"/>
        <v>3360</v>
      </c>
      <c r="DN51">
        <f t="shared" si="191"/>
        <v>0</v>
      </c>
      <c r="DO51" s="6">
        <f>Constants!$C$10</f>
        <v>0.55000000000000004</v>
      </c>
      <c r="DP51" s="6">
        <f>Constants!$C$11</f>
        <v>0.2</v>
      </c>
      <c r="DQ51" s="6">
        <f>Constants!$C$12</f>
        <v>0.3</v>
      </c>
      <c r="DR51" s="6">
        <f>Constants!$C$13</f>
        <v>0</v>
      </c>
      <c r="DS51" s="6">
        <f>Constants!$C$14</f>
        <v>0.125</v>
      </c>
      <c r="DT51" s="6">
        <f>Constants!$C$15</f>
        <v>0.25</v>
      </c>
      <c r="DU51" s="6">
        <f>Constants!$D$10</f>
        <v>0</v>
      </c>
      <c r="DV51" s="6">
        <f>Constants!$D$11</f>
        <v>5.0000000000000001E-3</v>
      </c>
      <c r="DW51" s="6">
        <f>Constants!$D$12</f>
        <v>0.02</v>
      </c>
      <c r="DX51" s="6">
        <f>Constants!$D$13</f>
        <v>0</v>
      </c>
      <c r="DY51" s="6">
        <f>Constants!$D$14</f>
        <v>0.01</v>
      </c>
      <c r="DZ51" s="6">
        <f>Constants!$D$15</f>
        <v>2E-3</v>
      </c>
      <c r="EA51">
        <f>Constants!$B$23</f>
        <v>1.57</v>
      </c>
      <c r="EB51">
        <f t="shared" si="271"/>
        <v>0</v>
      </c>
      <c r="EC51">
        <f t="shared" si="192"/>
        <v>0</v>
      </c>
      <c r="ED51">
        <f t="shared" si="193"/>
        <v>105.504</v>
      </c>
      <c r="EE51">
        <f t="shared" si="194"/>
        <v>0</v>
      </c>
      <c r="EF51">
        <f t="shared" si="195"/>
        <v>52.752000000000002</v>
      </c>
      <c r="EG51">
        <f t="shared" si="196"/>
        <v>0</v>
      </c>
      <c r="EH51">
        <f t="shared" si="232"/>
        <v>0</v>
      </c>
      <c r="EI51">
        <f t="shared" si="233"/>
        <v>0</v>
      </c>
      <c r="EJ51">
        <f t="shared" si="197"/>
        <v>0</v>
      </c>
      <c r="EK51">
        <f t="shared" si="198"/>
        <v>2906.4</v>
      </c>
      <c r="EL51">
        <f t="shared" si="199"/>
        <v>0</v>
      </c>
      <c r="EM51">
        <f t="shared" si="272"/>
        <v>581.28000000000009</v>
      </c>
      <c r="EN51">
        <f t="shared" si="273"/>
        <v>581.28000000000009</v>
      </c>
      <c r="EO51">
        <f t="shared" si="274"/>
        <v>581.28000000000009</v>
      </c>
      <c r="EP51">
        <f t="shared" si="275"/>
        <v>581.28000000000009</v>
      </c>
      <c r="EQ51">
        <f t="shared" si="276"/>
        <v>581.28000000000009</v>
      </c>
      <c r="ER51">
        <f t="shared" si="277"/>
        <v>0</v>
      </c>
      <c r="ES51">
        <f t="shared" si="278"/>
        <v>4.5630480000000011</v>
      </c>
      <c r="ET51">
        <f t="shared" si="279"/>
        <v>0</v>
      </c>
      <c r="EU51">
        <f t="shared" si="280"/>
        <v>1.8252192000000005</v>
      </c>
      <c r="EV51">
        <f t="shared" si="281"/>
        <v>0</v>
      </c>
      <c r="EW51">
        <f t="shared" si="282"/>
        <v>0.1646442672</v>
      </c>
      <c r="EY51">
        <f t="shared" si="283"/>
        <v>0</v>
      </c>
      <c r="EZ51">
        <f t="shared" si="205"/>
        <v>0</v>
      </c>
      <c r="FA51">
        <f t="shared" si="206"/>
        <v>1008</v>
      </c>
      <c r="FB51">
        <f t="shared" si="207"/>
        <v>0</v>
      </c>
      <c r="FC51">
        <f t="shared" si="208"/>
        <v>420</v>
      </c>
      <c r="FD51">
        <f t="shared" si="209"/>
        <v>0</v>
      </c>
      <c r="FE51">
        <f t="shared" si="284"/>
        <v>319.70400000000006</v>
      </c>
      <c r="FF51">
        <f t="shared" si="285"/>
        <v>116.25600000000003</v>
      </c>
      <c r="FG51">
        <f t="shared" si="286"/>
        <v>0</v>
      </c>
      <c r="FH51">
        <f t="shared" si="287"/>
        <v>145.32000000000002</v>
      </c>
      <c r="FI51">
        <f t="shared" si="288"/>
        <v>0</v>
      </c>
      <c r="FJ51">
        <f t="shared" si="289"/>
        <v>2009.2800000000002</v>
      </c>
      <c r="FK51">
        <f>_xlfn.XLOOKUP(C51, Constants!$D$19:$D$23, Constants!$E$19:$E$23)</f>
        <v>2.8999999999999998E-3</v>
      </c>
      <c r="FL51">
        <f t="shared" si="247"/>
        <v>9.1482518399999997E-3</v>
      </c>
      <c r="FN51">
        <f>Constants!$B$24</f>
        <v>1.0999999999999999E-2</v>
      </c>
      <c r="FO51">
        <f t="shared" si="290"/>
        <v>0</v>
      </c>
      <c r="FP51">
        <f>Constants!$B$25</f>
        <v>0.02</v>
      </c>
      <c r="FQ51">
        <f t="shared" si="210"/>
        <v>0</v>
      </c>
      <c r="FR51">
        <f t="shared" si="211"/>
        <v>0</v>
      </c>
    </row>
    <row r="52" spans="1:175" x14ac:dyDescent="0.2">
      <c r="A52" t="s">
        <v>40</v>
      </c>
      <c r="B52">
        <v>25</v>
      </c>
      <c r="C52" t="s">
        <v>78</v>
      </c>
      <c r="D52" t="b">
        <v>0</v>
      </c>
      <c r="E52" t="s">
        <v>27</v>
      </c>
      <c r="F52">
        <v>100</v>
      </c>
      <c r="G52">
        <v>299</v>
      </c>
      <c r="I52">
        <v>0.34</v>
      </c>
      <c r="J52">
        <v>3.4500000000000003E-2</v>
      </c>
      <c r="K52">
        <v>0.3</v>
      </c>
      <c r="N52">
        <v>0.3</v>
      </c>
      <c r="P52">
        <v>0.4</v>
      </c>
      <c r="Q52" t="b">
        <v>1</v>
      </c>
      <c r="R52">
        <v>0.23</v>
      </c>
      <c r="S52">
        <v>0.57999999999999996</v>
      </c>
      <c r="T52" t="b">
        <v>1</v>
      </c>
      <c r="U52">
        <v>0.23</v>
      </c>
      <c r="V52">
        <v>0.5</v>
      </c>
      <c r="W52" t="b">
        <v>1</v>
      </c>
      <c r="X52">
        <v>0.23</v>
      </c>
      <c r="Y52">
        <v>0.57999999999999996</v>
      </c>
      <c r="Z52" s="23"/>
      <c r="AA52">
        <v>0.1</v>
      </c>
      <c r="AB52">
        <v>0.2</v>
      </c>
      <c r="AC52">
        <v>0.3</v>
      </c>
      <c r="AD52" s="28">
        <v>0.4</v>
      </c>
      <c r="AE52">
        <v>0.1</v>
      </c>
      <c r="AF52" s="20"/>
      <c r="AG52">
        <v>0.2</v>
      </c>
      <c r="AH52">
        <v>0.3</v>
      </c>
      <c r="AI52" s="28">
        <v>0.4</v>
      </c>
      <c r="AJ52">
        <v>0.1</v>
      </c>
      <c r="AK52">
        <v>0.2</v>
      </c>
      <c r="AL52" s="20"/>
      <c r="AM52">
        <v>0.3</v>
      </c>
      <c r="AN52" s="28">
        <v>0.4</v>
      </c>
      <c r="AO52" s="21">
        <v>0.2</v>
      </c>
      <c r="AP52">
        <v>0.2</v>
      </c>
      <c r="AQ52">
        <v>0.2</v>
      </c>
      <c r="AR52">
        <v>0.2</v>
      </c>
      <c r="AS52">
        <v>0.2</v>
      </c>
      <c r="AT52" s="21">
        <v>0.2</v>
      </c>
      <c r="AU52">
        <v>0.2</v>
      </c>
      <c r="AV52">
        <v>0.2</v>
      </c>
      <c r="AW52" s="20"/>
      <c r="AX52">
        <v>0.2</v>
      </c>
      <c r="AY52" s="21">
        <f>IF(H52&lt;&gt;"", H52, _xlfn.XLOOKUP($E52,Constants!$A$3:$A$6, Constants!B$3:B$6))</f>
        <v>2.5</v>
      </c>
      <c r="AZ52">
        <f>IF(I52&lt;&gt;"", I52, _xlfn.XLOOKUP($E52,Constants!$A$3:$A$6, Constants!C$3:C$6))</f>
        <v>0.34</v>
      </c>
      <c r="BA52">
        <f>IF(J52&lt;&gt;"", J52, _xlfn.XLOOKUP($E52,Constants!$A$3:$A$6, Constants!D$3:D$6))</f>
        <v>3.4500000000000003E-2</v>
      </c>
      <c r="BB52">
        <f>IF(R52&lt;&gt;"", R52, IF(Q52, Constants!$B$19, 0))</f>
        <v>0.23</v>
      </c>
      <c r="BC52">
        <f>IF(U52&lt;&gt;"", U52,  IF(T52, Constants!$B$19, 0))</f>
        <v>0.23</v>
      </c>
      <c r="BD52">
        <f>IF(X52&lt;&gt;"", X52,  IF(W52, Constants!$B$19, 0))</f>
        <v>0.23</v>
      </c>
      <c r="BE52">
        <f>IF(S52&lt;&gt;"", S52, IF(Q52, Constants!$B$20, 0))</f>
        <v>0.57999999999999996</v>
      </c>
      <c r="BF52">
        <f>IF(V52&lt;&gt;"", V52, IF(T52, Constants!$B$20, 0))</f>
        <v>0.5</v>
      </c>
      <c r="BG52">
        <f>IF(Y52&lt;&gt;"", Y52,  IF(W52, Constants!$B$20, 0))</f>
        <v>0.57999999999999996</v>
      </c>
      <c r="BH52">
        <f t="shared" si="254"/>
        <v>0.23099999999999998</v>
      </c>
      <c r="BI52">
        <f t="shared" si="255"/>
        <v>0.23000000000000004</v>
      </c>
      <c r="BJ52">
        <f t="shared" si="256"/>
        <v>0</v>
      </c>
      <c r="BK52">
        <f t="shared" si="257"/>
        <v>0.23099999999999998</v>
      </c>
      <c r="BL52">
        <f t="shared" si="258"/>
        <v>0</v>
      </c>
      <c r="BM52">
        <f t="shared" si="259"/>
        <v>0.30800000000000005</v>
      </c>
      <c r="BN52">
        <f>Constants!$B$21</f>
        <v>0.45</v>
      </c>
      <c r="BO52">
        <f>Constants!$B$22</f>
        <v>0.6784</v>
      </c>
      <c r="BP52">
        <f>_xlfn.XLOOKUP($B52,Constants!$G$20:$G$38, Constants!H$20:H$38)</f>
        <v>0.79</v>
      </c>
      <c r="BQ52">
        <f>_xlfn.XLOOKUP($B52,Constants!$G$20:$G$38, Constants!I$20:I$38)</f>
        <v>0.02</v>
      </c>
      <c r="BR52">
        <f>_xlfn.XLOOKUP($A52,Constants!$F$9:$M$9,Constants!$F$12:$M$12)</f>
        <v>0.01</v>
      </c>
      <c r="BS52">
        <f>_xlfn.XLOOKUP($B52,Constants!$G$20:$G$38, Constants!J$20:J$38)</f>
        <v>0.1</v>
      </c>
      <c r="BT52">
        <f>_xlfn.XLOOKUP($B52,Constants!$G$20:$G$38, Constants!K$20:K$38)</f>
        <v>0.04</v>
      </c>
      <c r="BU52">
        <f>_xlfn.XLOOKUP($B52,Constants!$G$20:$G$38, Constants!L$20:L$38)</f>
        <v>0.03</v>
      </c>
      <c r="BV52">
        <f>_xlfn.XLOOKUP($B52,Constants!$G$20:$G$38, Constants!P$20:P$38)</f>
        <v>0</v>
      </c>
      <c r="BW52">
        <f t="shared" si="167"/>
        <v>1.8941586048E-2</v>
      </c>
      <c r="BX52">
        <f t="shared" si="168"/>
        <v>4.7745792000000015E-4</v>
      </c>
      <c r="BY52">
        <f t="shared" si="169"/>
        <v>0</v>
      </c>
      <c r="BZ52">
        <f t="shared" si="170"/>
        <v>2.3976691200000002E-3</v>
      </c>
      <c r="CA52">
        <f t="shared" si="171"/>
        <v>0</v>
      </c>
      <c r="CB52">
        <f t="shared" si="172"/>
        <v>9.590676480000002E-4</v>
      </c>
      <c r="CC52">
        <f t="shared" si="173"/>
        <v>0.68099584400640012</v>
      </c>
      <c r="CD52">
        <f>Constants!$E$10</f>
        <v>0</v>
      </c>
      <c r="CE52">
        <f>Constants!$E$11</f>
        <v>0</v>
      </c>
      <c r="CF52">
        <f>Constants!$E$13</f>
        <v>0.75</v>
      </c>
      <c r="CG52">
        <f>Constants!$E$14</f>
        <v>0.05</v>
      </c>
      <c r="CH52">
        <f>Constants!$E$15</f>
        <v>0</v>
      </c>
      <c r="CI52">
        <f t="shared" si="174"/>
        <v>0.23099999999999998</v>
      </c>
      <c r="CJ52">
        <f t="shared" si="175"/>
        <v>0.23000000000000004</v>
      </c>
      <c r="CK52">
        <f t="shared" si="176"/>
        <v>5.7749999999999996E-2</v>
      </c>
      <c r="CL52">
        <f t="shared" si="177"/>
        <v>0</v>
      </c>
      <c r="CM52">
        <f t="shared" si="178"/>
        <v>0.30800000000000005</v>
      </c>
      <c r="CN52">
        <f t="shared" si="179"/>
        <v>0.28109500000000004</v>
      </c>
      <c r="CO52">
        <f t="shared" si="180"/>
        <v>9.0375000000000025E-2</v>
      </c>
      <c r="CP52">
        <f t="shared" si="181"/>
        <v>9.6250000000000016E-2</v>
      </c>
      <c r="CQ52">
        <f t="shared" si="182"/>
        <v>0.15380000000000002</v>
      </c>
      <c r="CR52">
        <f t="shared" si="183"/>
        <v>0.15562499999999999</v>
      </c>
      <c r="CS52">
        <f t="shared" si="184"/>
        <v>0.26910000000000001</v>
      </c>
      <c r="CT52">
        <f t="shared" si="260"/>
        <v>7.4105880480000042E-3</v>
      </c>
      <c r="CU52">
        <f t="shared" si="185"/>
        <v>1.9980576000000008E-4</v>
      </c>
      <c r="CV52">
        <f t="shared" si="261"/>
        <v>1.5963701760000003E-3</v>
      </c>
      <c r="CW52">
        <f t="shared" si="262"/>
        <v>4.8459383999999991E-4</v>
      </c>
      <c r="CX52">
        <f t="shared" si="263"/>
        <v>0</v>
      </c>
      <c r="CY52">
        <f t="shared" si="186"/>
        <v>0.28977159893760013</v>
      </c>
      <c r="CZ52">
        <f t="shared" si="264"/>
        <v>0.9707674429440003</v>
      </c>
      <c r="DB52">
        <f t="shared" si="223"/>
        <v>1031.5500000000002</v>
      </c>
      <c r="DC52">
        <f t="shared" si="265"/>
        <v>0.126</v>
      </c>
      <c r="DD52">
        <f t="shared" si="266"/>
        <v>0.55599999999999994</v>
      </c>
      <c r="DE52">
        <f t="shared" si="267"/>
        <v>0</v>
      </c>
      <c r="DF52">
        <f t="shared" si="268"/>
        <v>0.15</v>
      </c>
      <c r="DG52">
        <f t="shared" si="269"/>
        <v>0</v>
      </c>
      <c r="DH52">
        <f t="shared" si="270"/>
        <v>0.16800000000000004</v>
      </c>
      <c r="DI52">
        <f t="shared" si="230"/>
        <v>129.97530000000003</v>
      </c>
      <c r="DJ52">
        <f t="shared" si="187"/>
        <v>573.54180000000008</v>
      </c>
      <c r="DK52">
        <f t="shared" si="188"/>
        <v>0</v>
      </c>
      <c r="DL52">
        <f t="shared" si="189"/>
        <v>154.73250000000002</v>
      </c>
      <c r="DM52">
        <f t="shared" si="190"/>
        <v>0</v>
      </c>
      <c r="DN52">
        <f t="shared" si="191"/>
        <v>173.30040000000008</v>
      </c>
      <c r="DO52" s="6">
        <f>Constants!$C$10</f>
        <v>0.55000000000000004</v>
      </c>
      <c r="DP52" s="6">
        <f>Constants!$C$11</f>
        <v>0.2</v>
      </c>
      <c r="DQ52" s="6">
        <f>Constants!$C$12</f>
        <v>0.3</v>
      </c>
      <c r="DR52" s="6">
        <f>Constants!$C$13</f>
        <v>0</v>
      </c>
      <c r="DS52" s="6">
        <f>Constants!$C$14</f>
        <v>0.125</v>
      </c>
      <c r="DT52" s="6">
        <f>Constants!$C$15</f>
        <v>0.25</v>
      </c>
      <c r="DU52" s="6">
        <f>Constants!$D$10</f>
        <v>0</v>
      </c>
      <c r="DV52" s="6">
        <f>Constants!$D$11</f>
        <v>5.0000000000000001E-3</v>
      </c>
      <c r="DW52" s="6">
        <f>Constants!$D$12</f>
        <v>0.02</v>
      </c>
      <c r="DX52" s="6">
        <f>Constants!$D$13</f>
        <v>0</v>
      </c>
      <c r="DY52" s="6">
        <f>Constants!$D$14</f>
        <v>0.01</v>
      </c>
      <c r="DZ52" s="6">
        <f>Constants!$D$15</f>
        <v>2E-3</v>
      </c>
      <c r="EA52">
        <f>Constants!$B$23</f>
        <v>1.57</v>
      </c>
      <c r="EB52">
        <f t="shared" si="271"/>
        <v>0</v>
      </c>
      <c r="EC52">
        <f t="shared" si="192"/>
        <v>4.5023031300000014</v>
      </c>
      <c r="ED52">
        <f t="shared" si="193"/>
        <v>0</v>
      </c>
      <c r="EE52">
        <f t="shared" si="194"/>
        <v>0</v>
      </c>
      <c r="EF52">
        <f t="shared" si="195"/>
        <v>0</v>
      </c>
      <c r="EG52">
        <f t="shared" si="196"/>
        <v>0.54416325600000026</v>
      </c>
      <c r="EH52">
        <f t="shared" si="232"/>
        <v>58.48888500000001</v>
      </c>
      <c r="EI52">
        <f t="shared" si="233"/>
        <v>455.96573100000006</v>
      </c>
      <c r="EJ52">
        <f t="shared" si="197"/>
        <v>154.73250000000002</v>
      </c>
      <c r="EK52">
        <f t="shared" si="198"/>
        <v>0</v>
      </c>
      <c r="EL52">
        <f t="shared" si="199"/>
        <v>129.62869920000006</v>
      </c>
      <c r="EM52">
        <f t="shared" si="272"/>
        <v>86.995562940000013</v>
      </c>
      <c r="EN52">
        <f t="shared" si="273"/>
        <v>62.721128340000014</v>
      </c>
      <c r="EO52">
        <f t="shared" si="274"/>
        <v>128.81666304000004</v>
      </c>
      <c r="EP52">
        <f t="shared" si="275"/>
        <v>200.75613480000001</v>
      </c>
      <c r="EQ52">
        <f t="shared" si="276"/>
        <v>293.60058624000004</v>
      </c>
      <c r="ER52">
        <f t="shared" si="277"/>
        <v>0</v>
      </c>
      <c r="ES52">
        <f t="shared" si="278"/>
        <v>0.49236085746900016</v>
      </c>
      <c r="ET52">
        <f t="shared" si="279"/>
        <v>0</v>
      </c>
      <c r="EU52">
        <f t="shared" si="280"/>
        <v>0.63037426327200008</v>
      </c>
      <c r="EV52">
        <f t="shared" si="281"/>
        <v>0</v>
      </c>
      <c r="EW52">
        <f t="shared" si="282"/>
        <v>6.1692015067410025E-3</v>
      </c>
      <c r="EY52">
        <f t="shared" si="283"/>
        <v>71.486415000000022</v>
      </c>
      <c r="EZ52">
        <f t="shared" si="205"/>
        <v>114.70836000000003</v>
      </c>
      <c r="FA52">
        <f t="shared" si="206"/>
        <v>0</v>
      </c>
      <c r="FB52">
        <f t="shared" si="207"/>
        <v>0</v>
      </c>
      <c r="FC52">
        <f t="shared" si="208"/>
        <v>0</v>
      </c>
      <c r="FD52">
        <f t="shared" si="209"/>
        <v>43.32510000000002</v>
      </c>
      <c r="FE52">
        <f t="shared" si="284"/>
        <v>47.847559617000009</v>
      </c>
      <c r="FF52">
        <f t="shared" si="285"/>
        <v>12.544225668000003</v>
      </c>
      <c r="FG52">
        <f t="shared" si="286"/>
        <v>0</v>
      </c>
      <c r="FH52">
        <f t="shared" si="287"/>
        <v>50.189033700000003</v>
      </c>
      <c r="FI52">
        <f t="shared" si="288"/>
        <v>0</v>
      </c>
      <c r="FJ52">
        <f t="shared" si="289"/>
        <v>340.10069398500008</v>
      </c>
      <c r="FK52">
        <f>_xlfn.XLOOKUP(C52, Constants!$D$19:$D$23, Constants!$E$19:$E$23)</f>
        <v>2.8999999999999998E-3</v>
      </c>
      <c r="FL52">
        <f t="shared" si="247"/>
        <v>1.5484784597137051E-3</v>
      </c>
      <c r="FN52">
        <f>Constants!$B$24</f>
        <v>1.0999999999999999E-2</v>
      </c>
      <c r="FO52">
        <f t="shared" si="290"/>
        <v>0</v>
      </c>
      <c r="FP52">
        <f>Constants!$B$25</f>
        <v>0.02</v>
      </c>
      <c r="FQ52">
        <f t="shared" si="210"/>
        <v>0</v>
      </c>
      <c r="FR52">
        <f t="shared" si="211"/>
        <v>0</v>
      </c>
    </row>
    <row r="53" spans="1:175" x14ac:dyDescent="0.2">
      <c r="A53" s="2" t="s">
        <v>40</v>
      </c>
      <c r="B53" s="2">
        <v>25</v>
      </c>
      <c r="C53" s="2" t="s">
        <v>78</v>
      </c>
      <c r="D53" s="2" t="b">
        <v>0</v>
      </c>
      <c r="E53" s="2" t="s">
        <v>28</v>
      </c>
      <c r="F53" s="2">
        <v>999</v>
      </c>
      <c r="G53" s="2">
        <v>299</v>
      </c>
      <c r="H53" s="2"/>
      <c r="I53" s="2">
        <v>0.45</v>
      </c>
      <c r="J53" s="2">
        <v>4.53E-2</v>
      </c>
      <c r="K53" s="2"/>
      <c r="L53" s="2"/>
      <c r="M53" s="2">
        <v>0.5</v>
      </c>
      <c r="N53" s="2"/>
      <c r="O53" s="2">
        <v>0.5</v>
      </c>
      <c r="P53" s="2"/>
      <c r="Q53" s="2" t="b">
        <v>1</v>
      </c>
      <c r="R53" s="2">
        <v>0.23</v>
      </c>
      <c r="S53" s="2">
        <v>0.57999999999999996</v>
      </c>
      <c r="T53" s="2" t="b">
        <v>1</v>
      </c>
      <c r="U53" s="2">
        <v>0.23</v>
      </c>
      <c r="V53" s="2">
        <v>0.5</v>
      </c>
      <c r="W53" s="2" t="b">
        <v>1</v>
      </c>
      <c r="X53" s="2">
        <v>0.23</v>
      </c>
      <c r="Y53" s="2">
        <v>0.57999999999999996</v>
      </c>
      <c r="Z53" s="22"/>
      <c r="AA53" s="2">
        <v>0.1</v>
      </c>
      <c r="AB53" s="2">
        <v>0.2</v>
      </c>
      <c r="AC53" s="2">
        <v>0.3</v>
      </c>
      <c r="AD53" s="26">
        <v>0.4</v>
      </c>
      <c r="AE53" s="2">
        <v>0.1</v>
      </c>
      <c r="AF53" s="19"/>
      <c r="AG53" s="2">
        <v>0.2</v>
      </c>
      <c r="AH53" s="2">
        <v>0.3</v>
      </c>
      <c r="AI53" s="26">
        <v>0.4</v>
      </c>
      <c r="AJ53" s="2">
        <v>0.1</v>
      </c>
      <c r="AK53" s="2">
        <v>0.2</v>
      </c>
      <c r="AL53" s="19"/>
      <c r="AM53" s="2">
        <v>0.3</v>
      </c>
      <c r="AN53" s="26">
        <v>0.4</v>
      </c>
      <c r="AO53" s="25">
        <v>0.2</v>
      </c>
      <c r="AP53" s="2">
        <v>0.2</v>
      </c>
      <c r="AQ53" s="2">
        <v>0.2</v>
      </c>
      <c r="AR53" s="2">
        <v>0.2</v>
      </c>
      <c r="AS53" s="2">
        <v>0.2</v>
      </c>
      <c r="AT53" s="25">
        <v>0.2</v>
      </c>
      <c r="AU53" s="2">
        <v>0.2</v>
      </c>
      <c r="AV53" s="2">
        <v>0.2</v>
      </c>
      <c r="AW53" s="19"/>
      <c r="AX53" s="2">
        <v>0.2</v>
      </c>
      <c r="AY53" s="25">
        <f>IF(H53&lt;&gt;"", H53, _xlfn.XLOOKUP($E53,Constants!$A$3:$A$6, Constants!B$3:B$6))</f>
        <v>1.71</v>
      </c>
      <c r="AZ53" s="2">
        <f>IF(I53&lt;&gt;"", I53, _xlfn.XLOOKUP($E53,Constants!$A$3:$A$6, Constants!C$3:C$6))</f>
        <v>0.45</v>
      </c>
      <c r="BA53" s="2">
        <f>IF(J53&lt;&gt;"", J53, _xlfn.XLOOKUP($E53,Constants!$A$3:$A$6, Constants!D$3:D$6))</f>
        <v>4.53E-2</v>
      </c>
      <c r="BB53" s="2">
        <f>IF(R53&lt;&gt;"", R53, IF(Q53, Constants!$B$19, 0))</f>
        <v>0.23</v>
      </c>
      <c r="BC53" s="2">
        <f>IF(U53&lt;&gt;"", U53,  IF(T53, Constants!$B$19, 0))</f>
        <v>0.23</v>
      </c>
      <c r="BD53" s="2">
        <f>IF(X53&lt;&gt;"", X53,  IF(W53, Constants!$B$19, 0))</f>
        <v>0.23</v>
      </c>
      <c r="BE53" s="2">
        <f>IF(S53&lt;&gt;"", S53, IF(Q53, Constants!$B$20, 0))</f>
        <v>0.57999999999999996</v>
      </c>
      <c r="BF53" s="2">
        <f>IF(V53&lt;&gt;"", V53, IF(T53, Constants!$B$20, 0))</f>
        <v>0.5</v>
      </c>
      <c r="BG53" s="2">
        <f>IF(Y53&lt;&gt;"", Y53,  IF(W53, Constants!$B$20, 0))</f>
        <v>0.57999999999999996</v>
      </c>
      <c r="BH53" s="2">
        <f t="shared" si="254"/>
        <v>0</v>
      </c>
      <c r="BI53" s="2">
        <f t="shared" si="255"/>
        <v>0</v>
      </c>
      <c r="BJ53" s="2">
        <f t="shared" si="256"/>
        <v>0.5</v>
      </c>
      <c r="BK53" s="2">
        <f t="shared" si="257"/>
        <v>0</v>
      </c>
      <c r="BL53" s="2">
        <f t="shared" si="258"/>
        <v>0.5</v>
      </c>
      <c r="BM53" s="2">
        <f t="shared" si="259"/>
        <v>0</v>
      </c>
      <c r="BN53" s="2">
        <f>Constants!$B$21</f>
        <v>0.45</v>
      </c>
      <c r="BO53" s="2">
        <f>Constants!$B$22</f>
        <v>0.6784</v>
      </c>
      <c r="BP53" s="2">
        <f>_xlfn.XLOOKUP($B53,Constants!$G$20:$G$38, Constants!H$20:H$38)</f>
        <v>0.79</v>
      </c>
      <c r="BQ53" s="2">
        <f>_xlfn.XLOOKUP($B53,Constants!$G$20:$G$38, Constants!I$20:I$38)</f>
        <v>0.02</v>
      </c>
      <c r="BR53" s="2">
        <f>_xlfn.XLOOKUP($A53,Constants!$F$9:$M$9,Constants!$F$12:$M$12)</f>
        <v>0.01</v>
      </c>
      <c r="BS53" s="2">
        <f>_xlfn.XLOOKUP($B53,Constants!$G$20:$G$38, Constants!J$20:J$38)</f>
        <v>0.1</v>
      </c>
      <c r="BT53" s="2">
        <f>_xlfn.XLOOKUP($B53,Constants!$G$20:$G$38, Constants!K$20:K$38)</f>
        <v>0.04</v>
      </c>
      <c r="BU53" s="2">
        <f>_xlfn.XLOOKUP($B53,Constants!$G$20:$G$38, Constants!L$20:L$38)</f>
        <v>0.03</v>
      </c>
      <c r="BV53" s="2">
        <f>_xlfn.XLOOKUP($B53,Constants!$G$20:$G$38, Constants!P$20:P$38)</f>
        <v>0</v>
      </c>
      <c r="BW53" s="2">
        <f t="shared" si="167"/>
        <v>0</v>
      </c>
      <c r="BX53" s="2">
        <f t="shared" si="168"/>
        <v>0</v>
      </c>
      <c r="BY53" s="2">
        <f t="shared" si="169"/>
        <v>6.8688000000000006E-4</v>
      </c>
      <c r="BZ53" s="2">
        <f t="shared" si="170"/>
        <v>0</v>
      </c>
      <c r="CA53" s="2">
        <f t="shared" si="171"/>
        <v>2.7475200000000003E-3</v>
      </c>
      <c r="CB53" s="2">
        <f t="shared" si="172"/>
        <v>0</v>
      </c>
      <c r="CC53" s="2">
        <f t="shared" si="173"/>
        <v>1.0258587144</v>
      </c>
      <c r="CD53" s="2">
        <f>Constants!$E$10</f>
        <v>0</v>
      </c>
      <c r="CE53" s="2">
        <f>Constants!$E$11</f>
        <v>0</v>
      </c>
      <c r="CF53" s="2">
        <f>Constants!$E$13</f>
        <v>0.75</v>
      </c>
      <c r="CG53" s="2">
        <f>Constants!$E$14</f>
        <v>0.05</v>
      </c>
      <c r="CH53" s="2">
        <f>Constants!$E$15</f>
        <v>0</v>
      </c>
      <c r="CI53" s="2">
        <f t="shared" si="174"/>
        <v>0</v>
      </c>
      <c r="CJ53" s="2">
        <f t="shared" si="175"/>
        <v>0</v>
      </c>
      <c r="CK53" s="2">
        <f t="shared" si="176"/>
        <v>0</v>
      </c>
      <c r="CL53" s="2">
        <f t="shared" si="177"/>
        <v>0.47499999999999998</v>
      </c>
      <c r="CM53" s="2">
        <f t="shared" si="178"/>
        <v>0</v>
      </c>
      <c r="CN53" s="2">
        <f t="shared" si="179"/>
        <v>0.21375</v>
      </c>
      <c r="CO53" s="2">
        <f t="shared" si="180"/>
        <v>9.5000000000000001E-2</v>
      </c>
      <c r="CP53" s="2">
        <f t="shared" si="181"/>
        <v>9.5000000000000001E-2</v>
      </c>
      <c r="CQ53" s="2">
        <f t="shared" si="182"/>
        <v>9.5000000000000001E-2</v>
      </c>
      <c r="CR53" s="2">
        <f t="shared" si="183"/>
        <v>9.5000000000000001E-2</v>
      </c>
      <c r="CS53" s="2">
        <f t="shared" si="184"/>
        <v>9.5000000000000001E-2</v>
      </c>
      <c r="CT53" s="2">
        <f t="shared" si="260"/>
        <v>1.0310068800000002E-2</v>
      </c>
      <c r="CU53" s="2">
        <f t="shared" si="185"/>
        <v>2.6101440000000003E-4</v>
      </c>
      <c r="CV53" s="2">
        <f t="shared" si="261"/>
        <v>1.305072E-3</v>
      </c>
      <c r="CW53" s="2">
        <f t="shared" si="262"/>
        <v>3.9152160000000002E-4</v>
      </c>
      <c r="CX53" s="2">
        <f t="shared" si="263"/>
        <v>0</v>
      </c>
      <c r="CY53" s="2">
        <f t="shared" si="186"/>
        <v>3.6643673278368007</v>
      </c>
      <c r="CZ53" s="2">
        <f t="shared" si="264"/>
        <v>4.6902260422368007</v>
      </c>
      <c r="DA53" s="2"/>
      <c r="DB53" s="2">
        <f t="shared" si="223"/>
        <v>13531.1553</v>
      </c>
      <c r="DC53" s="2">
        <f t="shared" si="265"/>
        <v>0</v>
      </c>
      <c r="DD53" s="2">
        <f t="shared" si="266"/>
        <v>0</v>
      </c>
      <c r="DE53" s="2">
        <f t="shared" si="267"/>
        <v>0.5</v>
      </c>
      <c r="DF53" s="2">
        <f t="shared" si="268"/>
        <v>0</v>
      </c>
      <c r="DG53" s="2">
        <f t="shared" si="269"/>
        <v>0.5</v>
      </c>
      <c r="DH53" s="2">
        <f t="shared" si="270"/>
        <v>0</v>
      </c>
      <c r="DI53" s="2">
        <f t="shared" si="230"/>
        <v>0</v>
      </c>
      <c r="DJ53" s="2">
        <f t="shared" si="187"/>
        <v>0</v>
      </c>
      <c r="DK53" s="2">
        <f t="shared" si="188"/>
        <v>6765.5776500000002</v>
      </c>
      <c r="DL53" s="2">
        <f t="shared" si="189"/>
        <v>0</v>
      </c>
      <c r="DM53" s="2">
        <f t="shared" si="190"/>
        <v>6765.5776500000002</v>
      </c>
      <c r="DN53" s="2">
        <f t="shared" si="191"/>
        <v>0</v>
      </c>
      <c r="DO53" s="13">
        <f>Constants!$C$10</f>
        <v>0.55000000000000004</v>
      </c>
      <c r="DP53" s="13">
        <f>Constants!$C$11</f>
        <v>0.2</v>
      </c>
      <c r="DQ53" s="13">
        <f>Constants!$C$12</f>
        <v>0.3</v>
      </c>
      <c r="DR53" s="13">
        <f>Constants!$C$13</f>
        <v>0</v>
      </c>
      <c r="DS53" s="13">
        <f>Constants!$C$14</f>
        <v>0.125</v>
      </c>
      <c r="DT53" s="13">
        <f>Constants!$C$15</f>
        <v>0.25</v>
      </c>
      <c r="DU53" s="13">
        <f>Constants!$D$10</f>
        <v>0</v>
      </c>
      <c r="DV53" s="13">
        <f>Constants!$D$11</f>
        <v>5.0000000000000001E-3</v>
      </c>
      <c r="DW53" s="13">
        <f>Constants!$D$12</f>
        <v>0.02</v>
      </c>
      <c r="DX53" s="13">
        <f>Constants!$D$13</f>
        <v>0</v>
      </c>
      <c r="DY53" s="13">
        <f>Constants!$D$14</f>
        <v>0.01</v>
      </c>
      <c r="DZ53" s="13">
        <f>Constants!$D$15</f>
        <v>2E-3</v>
      </c>
      <c r="EA53" s="2">
        <f>Constants!$B$23</f>
        <v>1.57</v>
      </c>
      <c r="EB53" s="2">
        <f t="shared" si="271"/>
        <v>0</v>
      </c>
      <c r="EC53" s="2">
        <f t="shared" si="192"/>
        <v>0</v>
      </c>
      <c r="ED53" s="2">
        <f t="shared" si="193"/>
        <v>212.43913821000001</v>
      </c>
      <c r="EE53" s="2">
        <f t="shared" si="194"/>
        <v>0</v>
      </c>
      <c r="EF53" s="2">
        <f t="shared" si="195"/>
        <v>106.21956910500001</v>
      </c>
      <c r="EG53" s="2">
        <f t="shared" si="196"/>
        <v>0</v>
      </c>
      <c r="EH53" s="2">
        <f t="shared" si="232"/>
        <v>0</v>
      </c>
      <c r="EI53" s="2">
        <f t="shared" si="233"/>
        <v>0</v>
      </c>
      <c r="EJ53" s="2">
        <f t="shared" si="197"/>
        <v>0</v>
      </c>
      <c r="EK53" s="2">
        <f t="shared" si="198"/>
        <v>5852.2246672500005</v>
      </c>
      <c r="EL53" s="2">
        <f t="shared" si="199"/>
        <v>0</v>
      </c>
      <c r="EM53" s="2">
        <f t="shared" si="272"/>
        <v>1170.4449334500002</v>
      </c>
      <c r="EN53" s="2">
        <f t="shared" si="273"/>
        <v>1170.4449334500002</v>
      </c>
      <c r="EO53" s="2">
        <f t="shared" si="274"/>
        <v>1170.4449334500002</v>
      </c>
      <c r="EP53" s="2">
        <f t="shared" si="275"/>
        <v>1170.4449334500002</v>
      </c>
      <c r="EQ53" s="2">
        <f t="shared" si="276"/>
        <v>1170.4449334500002</v>
      </c>
      <c r="ER53" s="2">
        <f t="shared" si="277"/>
        <v>0</v>
      </c>
      <c r="ES53" s="2">
        <f t="shared" si="278"/>
        <v>9.1879927275825022</v>
      </c>
      <c r="ET53" s="2">
        <f t="shared" si="279"/>
        <v>0</v>
      </c>
      <c r="EU53" s="2">
        <f t="shared" si="280"/>
        <v>3.675197091033001</v>
      </c>
      <c r="EV53" s="2">
        <f t="shared" si="281"/>
        <v>0</v>
      </c>
      <c r="EW53" s="2">
        <f t="shared" si="282"/>
        <v>0.33152189713361552</v>
      </c>
      <c r="EX53" s="2"/>
      <c r="EY53" s="2">
        <f t="shared" si="283"/>
        <v>0</v>
      </c>
      <c r="EZ53" s="2">
        <f t="shared" si="205"/>
        <v>0</v>
      </c>
      <c r="FA53" s="2">
        <f t="shared" si="206"/>
        <v>2029.6732950000001</v>
      </c>
      <c r="FB53" s="2">
        <f t="shared" si="207"/>
        <v>0</v>
      </c>
      <c r="FC53" s="2">
        <f t="shared" si="208"/>
        <v>845.69720625000002</v>
      </c>
      <c r="FD53" s="2">
        <f t="shared" si="209"/>
        <v>0</v>
      </c>
      <c r="FE53" s="2">
        <f t="shared" si="284"/>
        <v>643.74471339750016</v>
      </c>
      <c r="FF53" s="2">
        <f t="shared" si="285"/>
        <v>234.08898669000007</v>
      </c>
      <c r="FG53" s="2">
        <f t="shared" si="286"/>
        <v>0</v>
      </c>
      <c r="FH53" s="2">
        <f t="shared" si="287"/>
        <v>292.61123336250006</v>
      </c>
      <c r="FI53" s="2">
        <f t="shared" si="288"/>
        <v>0</v>
      </c>
      <c r="FJ53" s="2">
        <f t="shared" si="289"/>
        <v>4045.8154347000004</v>
      </c>
      <c r="FK53" s="2">
        <f>_xlfn.XLOOKUP(C53, Constants!$D$19:$D$23, Constants!$E$19:$E$23)</f>
        <v>2.8999999999999998E-3</v>
      </c>
      <c r="FL53" s="2">
        <f t="shared" si="247"/>
        <v>1.8420597674189101E-2</v>
      </c>
      <c r="FM53" s="2"/>
      <c r="FN53" s="2">
        <f>Constants!$B$24</f>
        <v>1.0999999999999999E-2</v>
      </c>
      <c r="FO53" s="2">
        <f t="shared" si="290"/>
        <v>0</v>
      </c>
      <c r="FP53" s="2">
        <f>Constants!$B$25</f>
        <v>0.02</v>
      </c>
      <c r="FQ53" s="2">
        <f t="shared" si="210"/>
        <v>0</v>
      </c>
      <c r="FR53" s="2">
        <f t="shared" si="211"/>
        <v>0</v>
      </c>
      <c r="FS53" s="2"/>
    </row>
    <row r="54" spans="1:175" x14ac:dyDescent="0.2">
      <c r="A54" t="s">
        <v>62</v>
      </c>
      <c r="B54">
        <v>26</v>
      </c>
      <c r="C54" t="s">
        <v>79</v>
      </c>
      <c r="D54" t="b">
        <v>1</v>
      </c>
      <c r="E54" t="s">
        <v>25</v>
      </c>
      <c r="F54">
        <v>105</v>
      </c>
      <c r="G54">
        <v>75</v>
      </c>
      <c r="I54">
        <v>0.68</v>
      </c>
      <c r="J54">
        <v>6.7799999999999999E-2</v>
      </c>
      <c r="K54">
        <v>0.2</v>
      </c>
      <c r="L54">
        <v>0.1</v>
      </c>
      <c r="M54">
        <v>0.2</v>
      </c>
      <c r="N54">
        <v>0.2</v>
      </c>
      <c r="O54">
        <v>0.2</v>
      </c>
      <c r="P54">
        <v>0.1</v>
      </c>
      <c r="Q54" t="b">
        <v>1</v>
      </c>
      <c r="R54">
        <v>0.25</v>
      </c>
      <c r="S54">
        <v>0.25</v>
      </c>
      <c r="T54" t="b">
        <v>1</v>
      </c>
      <c r="U54">
        <v>0.25</v>
      </c>
      <c r="V54">
        <v>0.25</v>
      </c>
      <c r="W54" t="b">
        <v>1</v>
      </c>
      <c r="X54">
        <v>0.25</v>
      </c>
      <c r="Y54">
        <v>0.25</v>
      </c>
      <c r="Z54" s="23"/>
      <c r="AA54">
        <v>0.25</v>
      </c>
      <c r="AB54">
        <v>0.25</v>
      </c>
      <c r="AC54">
        <v>0.25</v>
      </c>
      <c r="AD54">
        <v>0.25</v>
      </c>
      <c r="AE54" s="29">
        <v>0.25</v>
      </c>
      <c r="AF54" s="20"/>
      <c r="AG54">
        <v>0.25</v>
      </c>
      <c r="AH54">
        <v>0.25</v>
      </c>
      <c r="AI54">
        <v>0.25</v>
      </c>
      <c r="AJ54" s="29">
        <v>0.25</v>
      </c>
      <c r="AK54">
        <v>0.25</v>
      </c>
      <c r="AL54" s="20"/>
      <c r="AM54">
        <v>0.25</v>
      </c>
      <c r="AN54">
        <v>0.25</v>
      </c>
      <c r="AO54" s="21">
        <v>0.2</v>
      </c>
      <c r="AP54">
        <v>0.2</v>
      </c>
      <c r="AQ54">
        <v>0.2</v>
      </c>
      <c r="AR54">
        <v>0.2</v>
      </c>
      <c r="AS54">
        <v>0.2</v>
      </c>
      <c r="AT54" s="29">
        <v>0.25</v>
      </c>
      <c r="AU54">
        <v>0.25</v>
      </c>
      <c r="AV54">
        <v>0.25</v>
      </c>
      <c r="AW54" s="20"/>
      <c r="AX54">
        <v>0.25</v>
      </c>
      <c r="AY54" s="29">
        <f>IF(H54&lt;&gt;"", H54, _xlfn.XLOOKUP($E54,Constants!$A$3:$A$6, Constants!B$3:B$6))</f>
        <v>2.2999999999999998</v>
      </c>
      <c r="AZ54" s="18">
        <f>IF(I54&lt;&gt;"", I54, _xlfn.XLOOKUP($E54,Constants!$A$3:$A$6, Constants!C$3:C$6))</f>
        <v>0.68</v>
      </c>
      <c r="BA54" s="18">
        <f>IF(J54&lt;&gt;"", J54, _xlfn.XLOOKUP($E54,Constants!$A$3:$A$6, Constants!D$3:D$6))</f>
        <v>6.7799999999999999E-2</v>
      </c>
      <c r="BB54">
        <f>IF(R54&lt;&gt;"", R54, IF(Q54, Constants!$B$19, 0))</f>
        <v>0.25</v>
      </c>
      <c r="BC54">
        <f>IF(U54&lt;&gt;"", U54,  IF(T54, Constants!$B$19, 0))</f>
        <v>0.25</v>
      </c>
      <c r="BD54">
        <f>IF(X54&lt;&gt;"", X54,  IF(W54, Constants!$B$19, 0))</f>
        <v>0.25</v>
      </c>
      <c r="BE54" s="18">
        <f>IF(S54&lt;&gt;"", S54, IF(Q54, Constants!$B$20, 0))</f>
        <v>0.25</v>
      </c>
      <c r="BF54" s="18">
        <f>IF(V54&lt;&gt;"", V54, IF(T54, Constants!$B$20, 0))</f>
        <v>0.25</v>
      </c>
      <c r="BG54" s="18">
        <f>IF(Y54&lt;&gt;"", Y54,  IF(W54, Constants!$B$20, 0))</f>
        <v>0.25</v>
      </c>
      <c r="BH54">
        <f t="shared" si="254"/>
        <v>0.15000000000000002</v>
      </c>
      <c r="BI54">
        <f t="shared" si="255"/>
        <v>0.22500000000000001</v>
      </c>
      <c r="BJ54">
        <f t="shared" si="256"/>
        <v>0.2</v>
      </c>
      <c r="BK54">
        <f t="shared" si="257"/>
        <v>0.15000000000000002</v>
      </c>
      <c r="BL54">
        <f t="shared" si="258"/>
        <v>0.2</v>
      </c>
      <c r="BM54">
        <f t="shared" si="259"/>
        <v>7.5000000000000011E-2</v>
      </c>
      <c r="BN54">
        <f>Constants!$B$21</f>
        <v>0.45</v>
      </c>
      <c r="BO54">
        <f>Constants!$B$22</f>
        <v>0.6784</v>
      </c>
      <c r="BP54">
        <f>_xlfn.XLOOKUP($B54,Constants!$G$20:$G$38, Constants!H$20:H$38)</f>
        <v>0.79</v>
      </c>
      <c r="BQ54">
        <f>_xlfn.XLOOKUP($B54,Constants!$G$20:$G$38, Constants!I$20:I$38)</f>
        <v>0.02</v>
      </c>
      <c r="BR54">
        <f>_xlfn.XLOOKUP($A54,Constants!$F$9:$M$9,Constants!$F$12:$M$12)</f>
        <v>0.01</v>
      </c>
      <c r="BS54">
        <f>_xlfn.XLOOKUP($B54,Constants!$G$20:$G$38, Constants!J$20:J$38)</f>
        <v>0.1</v>
      </c>
      <c r="BT54">
        <f>_xlfn.XLOOKUP($B54,Constants!$G$20:$G$38, Constants!K$20:K$38)</f>
        <v>0.04</v>
      </c>
      <c r="BU54">
        <f>_xlfn.XLOOKUP($B54,Constants!$G$20:$G$38, Constants!L$20:L$38)</f>
        <v>0.03</v>
      </c>
      <c r="BV54">
        <f>_xlfn.XLOOKUP($B54,Constants!$G$20:$G$38, Constants!P$20:P$38)</f>
        <v>0</v>
      </c>
      <c r="BW54" s="18">
        <f t="shared" si="167"/>
        <v>2.4599462400000011E-2</v>
      </c>
      <c r="BX54" s="18">
        <f t="shared" si="168"/>
        <v>9.3415680000000028E-4</v>
      </c>
      <c r="BY54" s="18">
        <f t="shared" si="169"/>
        <v>4.1518080000000002E-4</v>
      </c>
      <c r="BZ54" s="18">
        <f t="shared" si="170"/>
        <v>3.1138560000000008E-3</v>
      </c>
      <c r="CA54" s="18">
        <f t="shared" si="171"/>
        <v>1.6607232000000001E-3</v>
      </c>
      <c r="CB54" s="18">
        <f t="shared" si="172"/>
        <v>4.6707840000000014E-4</v>
      </c>
      <c r="CC54">
        <f t="shared" si="173"/>
        <v>0.24562485360000011</v>
      </c>
      <c r="CD54">
        <f>Constants!$E$10</f>
        <v>0</v>
      </c>
      <c r="CE54">
        <f>Constants!$E$11</f>
        <v>0</v>
      </c>
      <c r="CF54">
        <f>Constants!$E$13</f>
        <v>0.75</v>
      </c>
      <c r="CG54">
        <f>Constants!$E$14</f>
        <v>0.05</v>
      </c>
      <c r="CH54">
        <f>Constants!$E$15</f>
        <v>0</v>
      </c>
      <c r="CI54">
        <f t="shared" si="174"/>
        <v>0.15000000000000002</v>
      </c>
      <c r="CJ54">
        <f t="shared" si="175"/>
        <v>0.22500000000000001</v>
      </c>
      <c r="CK54">
        <f t="shared" si="176"/>
        <v>3.7500000000000006E-2</v>
      </c>
      <c r="CL54">
        <f t="shared" si="177"/>
        <v>0.19</v>
      </c>
      <c r="CM54">
        <f t="shared" si="178"/>
        <v>7.5000000000000011E-2</v>
      </c>
      <c r="CN54">
        <f t="shared" si="179"/>
        <v>0.46070000000000005</v>
      </c>
      <c r="CO54" s="18">
        <f t="shared" si="180"/>
        <v>0.12237500000000001</v>
      </c>
      <c r="CP54" s="18">
        <f t="shared" si="181"/>
        <v>0.10362500000000001</v>
      </c>
      <c r="CQ54" s="18">
        <f t="shared" si="182"/>
        <v>0.15050000000000002</v>
      </c>
      <c r="CR54" s="18">
        <f t="shared" si="183"/>
        <v>0.141125</v>
      </c>
      <c r="CS54" s="18">
        <f t="shared" si="184"/>
        <v>0.15987499999999999</v>
      </c>
      <c r="CT54" s="18">
        <f t="shared" si="260"/>
        <v>2.0069061408000008E-2</v>
      </c>
      <c r="CU54" s="18">
        <f t="shared" si="185"/>
        <v>4.3023110400000007E-4</v>
      </c>
      <c r="CV54" s="18">
        <f t="shared" si="261"/>
        <v>3.1242355200000005E-3</v>
      </c>
      <c r="CW54" s="18">
        <f t="shared" si="262"/>
        <v>8.7888585600000009E-4</v>
      </c>
      <c r="CX54" s="18">
        <f t="shared" si="263"/>
        <v>0</v>
      </c>
      <c r="CY54" s="18">
        <f t="shared" si="186"/>
        <v>0.19295650936800005</v>
      </c>
      <c r="CZ54" s="18">
        <f t="shared" si="264"/>
        <v>0.43858136296800015</v>
      </c>
      <c r="DA54">
        <f t="shared" ref="DA54" si="295">SUM(CZ54:CZ57)</f>
        <v>12.058825571925121</v>
      </c>
      <c r="DB54">
        <f t="shared" si="223"/>
        <v>533.92499999999995</v>
      </c>
      <c r="DC54" s="18">
        <f t="shared" si="265"/>
        <v>0.15000000000000002</v>
      </c>
      <c r="DD54" s="18">
        <f t="shared" si="266"/>
        <v>0.22500000000000001</v>
      </c>
      <c r="DE54" s="18">
        <f t="shared" si="267"/>
        <v>0.2</v>
      </c>
      <c r="DF54" s="18">
        <f t="shared" si="268"/>
        <v>0.15000000000000002</v>
      </c>
      <c r="DG54" s="18">
        <f t="shared" si="269"/>
        <v>0.2</v>
      </c>
      <c r="DH54" s="18">
        <f t="shared" si="270"/>
        <v>7.5000000000000011E-2</v>
      </c>
      <c r="DI54">
        <f>$DB54*DC54</f>
        <v>80.088750000000005</v>
      </c>
      <c r="DJ54">
        <f t="shared" ref="DJ54:DJ61" si="296">$DB54*DD54</f>
        <v>120.13312499999999</v>
      </c>
      <c r="DK54">
        <f t="shared" ref="DK54:DK61" si="297">$DB54*DE54</f>
        <v>106.785</v>
      </c>
      <c r="DL54">
        <f t="shared" ref="DL54:DL61" si="298">$DB54*DF54</f>
        <v>80.088750000000005</v>
      </c>
      <c r="DM54">
        <f t="shared" ref="DM54:DM61" si="299">$DB54*DG54</f>
        <v>106.785</v>
      </c>
      <c r="DN54">
        <f t="shared" ref="DN54:DN61" si="300">$DB54*DH54</f>
        <v>40.044375000000002</v>
      </c>
      <c r="DO54" s="6">
        <f>Constants!$C$10</f>
        <v>0.55000000000000004</v>
      </c>
      <c r="DP54" s="6">
        <f>Constants!$C$11</f>
        <v>0.2</v>
      </c>
      <c r="DQ54" s="6">
        <f>Constants!$C$12</f>
        <v>0.3</v>
      </c>
      <c r="DR54" s="6">
        <f>Constants!$C$13</f>
        <v>0</v>
      </c>
      <c r="DS54" s="6">
        <f>Constants!$C$14</f>
        <v>0.125</v>
      </c>
      <c r="DT54" s="6">
        <f>Constants!$C$15</f>
        <v>0.25</v>
      </c>
      <c r="DU54" s="6">
        <f>Constants!$D$10</f>
        <v>0</v>
      </c>
      <c r="DV54" s="6">
        <f>Constants!$D$11</f>
        <v>5.0000000000000001E-3</v>
      </c>
      <c r="DW54" s="6">
        <f>Constants!$D$12</f>
        <v>0.02</v>
      </c>
      <c r="DX54" s="6">
        <f>Constants!$D$13</f>
        <v>0</v>
      </c>
      <c r="DY54" s="6">
        <f>Constants!$D$14</f>
        <v>0.01</v>
      </c>
      <c r="DZ54" s="6">
        <f>Constants!$D$15</f>
        <v>2E-3</v>
      </c>
      <c r="EA54">
        <f>Constants!$B$23</f>
        <v>1.57</v>
      </c>
      <c r="EB54" s="18">
        <f t="shared" si="271"/>
        <v>0</v>
      </c>
      <c r="EC54" s="18">
        <f t="shared" si="192"/>
        <v>0.94304503125000005</v>
      </c>
      <c r="ED54" s="18">
        <f t="shared" si="193"/>
        <v>3.3530489999999999</v>
      </c>
      <c r="EE54" s="18">
        <f t="shared" si="194"/>
        <v>0</v>
      </c>
      <c r="EF54" s="18">
        <f t="shared" si="195"/>
        <v>1.6765245</v>
      </c>
      <c r="EG54" s="18">
        <f t="shared" si="196"/>
        <v>0.12573933749999999</v>
      </c>
      <c r="EH54">
        <f t="shared" ref="EH54:EH61" si="301">DI54*(1-DO54-DU54)</f>
        <v>36.039937500000001</v>
      </c>
      <c r="EI54">
        <f t="shared" ref="EI54:EI61" si="302">DJ54*(1-DP54-DV54)</f>
        <v>95.505834374999992</v>
      </c>
      <c r="EJ54">
        <f t="shared" ref="EJ54:EJ61" si="303">DL54*(1-DR54-DX54)</f>
        <v>80.088750000000005</v>
      </c>
      <c r="EK54">
        <f t="shared" ref="EK54:EK61" si="304">DM54*(1-DS54-DY54)</f>
        <v>92.369024999999993</v>
      </c>
      <c r="EL54">
        <f t="shared" ref="EL54:EL61" si="305">DN54*(1-DT54-DZ54)</f>
        <v>29.9531925</v>
      </c>
      <c r="EM54">
        <f t="shared" si="272"/>
        <v>69.860749218750001</v>
      </c>
      <c r="EN54">
        <f t="shared" si="273"/>
        <v>54.994275000000002</v>
      </c>
      <c r="EO54">
        <f t="shared" si="274"/>
        <v>58.848546093749995</v>
      </c>
      <c r="EP54">
        <f t="shared" si="275"/>
        <v>71.382435468750003</v>
      </c>
      <c r="EQ54">
        <f t="shared" si="276"/>
        <v>78.870733593750003</v>
      </c>
      <c r="ER54">
        <f t="shared" si="277"/>
        <v>0</v>
      </c>
      <c r="ES54">
        <f t="shared" si="278"/>
        <v>0.43170505875000004</v>
      </c>
      <c r="ET54">
        <f t="shared" si="279"/>
        <v>0</v>
      </c>
      <c r="EU54">
        <f t="shared" si="280"/>
        <v>0.22414084737187503</v>
      </c>
      <c r="EV54">
        <f t="shared" si="281"/>
        <v>0</v>
      </c>
      <c r="EW54" s="18">
        <f t="shared" si="282"/>
        <v>6.7542037748718753E-3</v>
      </c>
      <c r="EX54">
        <f t="shared" ref="EX54" si="306">SUM(EW54:EW57)</f>
        <v>0.13582393414605087</v>
      </c>
      <c r="EY54" s="18">
        <f t="shared" si="283"/>
        <v>44.048812500000004</v>
      </c>
      <c r="EZ54" s="18">
        <f t="shared" si="205"/>
        <v>24.026624999999999</v>
      </c>
      <c r="FA54" s="18">
        <f t="shared" si="206"/>
        <v>32.035499999999999</v>
      </c>
      <c r="FB54" s="18">
        <f t="shared" si="207"/>
        <v>0</v>
      </c>
      <c r="FC54" s="18">
        <f t="shared" si="208"/>
        <v>13.348125</v>
      </c>
      <c r="FD54" s="18">
        <f t="shared" si="209"/>
        <v>10.011093750000001</v>
      </c>
      <c r="FE54" s="18">
        <f t="shared" si="284"/>
        <v>38.423412070312501</v>
      </c>
      <c r="FF54" s="18">
        <f t="shared" si="285"/>
        <v>10.998855000000001</v>
      </c>
      <c r="FG54" s="18">
        <f t="shared" si="286"/>
        <v>0</v>
      </c>
      <c r="FH54" s="18">
        <f t="shared" si="287"/>
        <v>17.845608867187501</v>
      </c>
      <c r="FI54" s="18">
        <f t="shared" si="288"/>
        <v>0</v>
      </c>
      <c r="FJ54" s="18">
        <f t="shared" si="289"/>
        <v>190.73803218750001</v>
      </c>
      <c r="FK54" s="18">
        <f>_xlfn.XLOOKUP(C54, Constants!$D$19:$D$23, Constants!$E$19:$E$23)</f>
        <v>8.0000000000000002E-3</v>
      </c>
      <c r="FL54">
        <f>(EA54*FJ54*FK54)/1000</f>
        <v>2.3956696842750004E-3</v>
      </c>
      <c r="FM54">
        <f t="shared" ref="FM54" si="307">SUM(FL54:FL57)</f>
        <v>4.7923862968215797E-2</v>
      </c>
      <c r="FN54" s="18">
        <f>Constants!$B$24</f>
        <v>1.0999999999999999E-2</v>
      </c>
      <c r="FO54" s="18">
        <f t="shared" si="290"/>
        <v>1</v>
      </c>
      <c r="FP54">
        <f>Constants!$B$25</f>
        <v>0.02</v>
      </c>
      <c r="FQ54">
        <f t="shared" si="210"/>
        <v>2.1356999999999999</v>
      </c>
      <c r="FR54" s="18">
        <f t="shared" si="211"/>
        <v>3.6883539E-2</v>
      </c>
      <c r="FS54">
        <f t="shared" ref="FS54" si="308">SUM(FR54:FR57)/1000</f>
        <v>7.3884272219999986E-4</v>
      </c>
    </row>
    <row r="55" spans="1:175" x14ac:dyDescent="0.2">
      <c r="A55" t="s">
        <v>62</v>
      </c>
      <c r="B55">
        <v>26</v>
      </c>
      <c r="C55" t="s">
        <v>79</v>
      </c>
      <c r="D55" t="b">
        <v>1</v>
      </c>
      <c r="E55" t="s">
        <v>26</v>
      </c>
      <c r="F55">
        <v>245</v>
      </c>
      <c r="G55">
        <v>290</v>
      </c>
      <c r="I55">
        <v>0.69</v>
      </c>
      <c r="J55">
        <v>4.5999999999999999E-2</v>
      </c>
      <c r="K55">
        <v>0.2</v>
      </c>
      <c r="L55">
        <v>0.1</v>
      </c>
      <c r="M55">
        <v>0.2</v>
      </c>
      <c r="N55">
        <v>0.2</v>
      </c>
      <c r="O55">
        <v>0.2</v>
      </c>
      <c r="P55">
        <v>0.1</v>
      </c>
      <c r="Q55" t="b">
        <v>1</v>
      </c>
      <c r="R55">
        <v>0.26</v>
      </c>
      <c r="S55">
        <v>0.26</v>
      </c>
      <c r="T55" t="b">
        <v>1</v>
      </c>
      <c r="U55">
        <v>0.26</v>
      </c>
      <c r="V55">
        <v>0.26</v>
      </c>
      <c r="W55" t="b">
        <v>1</v>
      </c>
      <c r="X55">
        <v>0.26</v>
      </c>
      <c r="Y55">
        <v>0.26</v>
      </c>
      <c r="Z55" s="23"/>
      <c r="AA55">
        <v>0.25</v>
      </c>
      <c r="AB55">
        <v>0.25</v>
      </c>
      <c r="AC55">
        <v>0.25</v>
      </c>
      <c r="AD55">
        <v>0.25</v>
      </c>
      <c r="AE55" s="21">
        <v>0.25</v>
      </c>
      <c r="AF55" s="20"/>
      <c r="AG55">
        <v>0.25</v>
      </c>
      <c r="AH55">
        <v>0.25</v>
      </c>
      <c r="AI55">
        <v>0.25</v>
      </c>
      <c r="AJ55" s="21">
        <v>0.25</v>
      </c>
      <c r="AK55">
        <v>0.25</v>
      </c>
      <c r="AL55" s="20"/>
      <c r="AM55">
        <v>0.25</v>
      </c>
      <c r="AN55">
        <v>0.25</v>
      </c>
      <c r="AO55" s="21">
        <v>0.2</v>
      </c>
      <c r="AP55">
        <v>0.2</v>
      </c>
      <c r="AQ55">
        <v>0.2</v>
      </c>
      <c r="AR55">
        <v>0.2</v>
      </c>
      <c r="AS55">
        <v>0.2</v>
      </c>
      <c r="AT55" s="21">
        <v>0.25</v>
      </c>
      <c r="AU55">
        <v>0.25</v>
      </c>
      <c r="AV55">
        <v>0.25</v>
      </c>
      <c r="AW55" s="20"/>
      <c r="AX55">
        <v>0.25</v>
      </c>
      <c r="AY55" s="21">
        <f>IF(H55&lt;&gt;"", H55, _xlfn.XLOOKUP($E55,Constants!$A$3:$A$6, Constants!B$3:B$6))</f>
        <v>2.62</v>
      </c>
      <c r="AZ55">
        <f>IF(I55&lt;&gt;"", I55, _xlfn.XLOOKUP($E55,Constants!$A$3:$A$6, Constants!C$3:C$6))</f>
        <v>0.69</v>
      </c>
      <c r="BA55">
        <f>IF(J55&lt;&gt;"", J55, _xlfn.XLOOKUP($E55,Constants!$A$3:$A$6, Constants!D$3:D$6))</f>
        <v>4.5999999999999999E-2</v>
      </c>
      <c r="BB55">
        <f>IF(R55&lt;&gt;"", R55, IF(Q55, Constants!$B$19, 0))</f>
        <v>0.26</v>
      </c>
      <c r="BC55">
        <f>IF(U55&lt;&gt;"", U55,  IF(T55, Constants!$B$19, 0))</f>
        <v>0.26</v>
      </c>
      <c r="BD55">
        <f>IF(X55&lt;&gt;"", X55,  IF(W55, Constants!$B$19, 0))</f>
        <v>0.26</v>
      </c>
      <c r="BE55">
        <f>IF(S55&lt;&gt;"", S55, IF(Q55, Constants!$B$20, 0))</f>
        <v>0.26</v>
      </c>
      <c r="BF55">
        <f>IF(V55&lt;&gt;"", V55, IF(T55, Constants!$B$20, 0))</f>
        <v>0.26</v>
      </c>
      <c r="BG55">
        <f>IF(Y55&lt;&gt;"", Y55,  IF(W55, Constants!$B$20, 0))</f>
        <v>0.26</v>
      </c>
      <c r="BH55">
        <f t="shared" si="254"/>
        <v>0.14799999999999999</v>
      </c>
      <c r="BI55">
        <f t="shared" si="255"/>
        <v>0.23</v>
      </c>
      <c r="BJ55">
        <f t="shared" si="256"/>
        <v>0.2</v>
      </c>
      <c r="BK55">
        <f t="shared" si="257"/>
        <v>0.14799999999999999</v>
      </c>
      <c r="BL55">
        <f t="shared" si="258"/>
        <v>0.2</v>
      </c>
      <c r="BM55">
        <f t="shared" si="259"/>
        <v>7.3999999999999996E-2</v>
      </c>
      <c r="BN55">
        <f>Constants!$B$21</f>
        <v>0.45</v>
      </c>
      <c r="BO55">
        <f>Constants!$B$22</f>
        <v>0.6784</v>
      </c>
      <c r="BP55">
        <f>_xlfn.XLOOKUP($B55,Constants!$G$20:$G$38, Constants!H$20:H$38)</f>
        <v>0.79</v>
      </c>
      <c r="BQ55">
        <f>_xlfn.XLOOKUP($B55,Constants!$G$20:$G$38, Constants!I$20:I$38)</f>
        <v>0.02</v>
      </c>
      <c r="BR55">
        <f>_xlfn.XLOOKUP($A55,Constants!$F$9:$M$9,Constants!$F$12:$M$12)</f>
        <v>0.01</v>
      </c>
      <c r="BS55">
        <f>_xlfn.XLOOKUP($B55,Constants!$G$20:$G$38, Constants!J$20:J$38)</f>
        <v>0.1</v>
      </c>
      <c r="BT55">
        <f>_xlfn.XLOOKUP($B55,Constants!$G$20:$G$38, Constants!K$20:K$38)</f>
        <v>0.04</v>
      </c>
      <c r="BU55">
        <f>_xlfn.XLOOKUP($B55,Constants!$G$20:$G$38, Constants!L$20:L$38)</f>
        <v>0.03</v>
      </c>
      <c r="BV55">
        <f>_xlfn.XLOOKUP($B55,Constants!$G$20:$G$38, Constants!P$20:P$38)</f>
        <v>0</v>
      </c>
      <c r="BW55">
        <f t="shared" si="167"/>
        <v>2.4628402943999997E-2</v>
      </c>
      <c r="BX55">
        <f t="shared" si="168"/>
        <v>9.6895872000000017E-4</v>
      </c>
      <c r="BY55">
        <f t="shared" si="169"/>
        <v>4.2128640000000002E-4</v>
      </c>
      <c r="BZ55">
        <f t="shared" si="170"/>
        <v>3.1175193599999994E-3</v>
      </c>
      <c r="CA55">
        <f t="shared" si="171"/>
        <v>1.6851456000000001E-3</v>
      </c>
      <c r="CB55">
        <f t="shared" si="172"/>
        <v>4.6762790399999994E-4</v>
      </c>
      <c r="CC55">
        <f t="shared" si="173"/>
        <v>2.2230792529343999</v>
      </c>
      <c r="CD55">
        <f>Constants!$E$10</f>
        <v>0</v>
      </c>
      <c r="CE55">
        <f>Constants!$E$11</f>
        <v>0</v>
      </c>
      <c r="CF55">
        <f>Constants!$E$13</f>
        <v>0.75</v>
      </c>
      <c r="CG55">
        <f>Constants!$E$14</f>
        <v>0.05</v>
      </c>
      <c r="CH55">
        <f>Constants!$E$15</f>
        <v>0</v>
      </c>
      <c r="CI55">
        <f t="shared" si="174"/>
        <v>0.14799999999999999</v>
      </c>
      <c r="CJ55">
        <f t="shared" si="175"/>
        <v>0.23</v>
      </c>
      <c r="CK55">
        <f t="shared" si="176"/>
        <v>3.6999999999999998E-2</v>
      </c>
      <c r="CL55">
        <f t="shared" si="177"/>
        <v>0.19</v>
      </c>
      <c r="CM55">
        <f t="shared" si="178"/>
        <v>7.3999999999999996E-2</v>
      </c>
      <c r="CN55">
        <f t="shared" si="179"/>
        <v>0.46850999999999993</v>
      </c>
      <c r="CO55">
        <f t="shared" si="180"/>
        <v>0.12325000000000001</v>
      </c>
      <c r="CP55">
        <f t="shared" si="181"/>
        <v>0.10275000000000001</v>
      </c>
      <c r="CQ55">
        <f t="shared" si="182"/>
        <v>0.151</v>
      </c>
      <c r="CR55">
        <f t="shared" si="183"/>
        <v>0.14174999999999999</v>
      </c>
      <c r="CS55">
        <f t="shared" si="184"/>
        <v>0.16024999999999998</v>
      </c>
      <c r="CT55">
        <f t="shared" si="260"/>
        <v>2.0509801776000001E-2</v>
      </c>
      <c r="CU55">
        <f t="shared" si="185"/>
        <v>4.3287177600000008E-4</v>
      </c>
      <c r="CV55">
        <f t="shared" si="261"/>
        <v>3.1807123199999996E-3</v>
      </c>
      <c r="CW55">
        <f t="shared" si="262"/>
        <v>8.9576020799999982E-4</v>
      </c>
      <c r="CX55">
        <f t="shared" si="263"/>
        <v>0</v>
      </c>
      <c r="CY55">
        <f t="shared" si="186"/>
        <v>1.7776103289840004</v>
      </c>
      <c r="CZ55">
        <f t="shared" si="264"/>
        <v>4.0006895819184001</v>
      </c>
      <c r="DB55">
        <f t="shared" si="223"/>
        <v>3268.2999999999997</v>
      </c>
      <c r="DC55">
        <f t="shared" si="265"/>
        <v>0.14799999999999999</v>
      </c>
      <c r="DD55">
        <f t="shared" si="266"/>
        <v>0.23</v>
      </c>
      <c r="DE55">
        <f t="shared" si="267"/>
        <v>0.2</v>
      </c>
      <c r="DF55">
        <f t="shared" si="268"/>
        <v>0.14799999999999999</v>
      </c>
      <c r="DG55">
        <f t="shared" si="269"/>
        <v>0.2</v>
      </c>
      <c r="DH55">
        <f t="shared" si="270"/>
        <v>7.3999999999999996E-2</v>
      </c>
      <c r="DI55">
        <f t="shared" ref="DI55:DI61" si="309">$DB55*DC55</f>
        <v>483.70839999999993</v>
      </c>
      <c r="DJ55">
        <f t="shared" si="296"/>
        <v>751.70899999999995</v>
      </c>
      <c r="DK55">
        <f t="shared" si="297"/>
        <v>653.66</v>
      </c>
      <c r="DL55">
        <f t="shared" si="298"/>
        <v>483.70839999999993</v>
      </c>
      <c r="DM55">
        <f t="shared" si="299"/>
        <v>653.66</v>
      </c>
      <c r="DN55">
        <f t="shared" si="300"/>
        <v>241.85419999999996</v>
      </c>
      <c r="DO55" s="6">
        <f>Constants!$C$10</f>
        <v>0.55000000000000004</v>
      </c>
      <c r="DP55" s="6">
        <f>Constants!$C$11</f>
        <v>0.2</v>
      </c>
      <c r="DQ55" s="6">
        <f>Constants!$C$12</f>
        <v>0.3</v>
      </c>
      <c r="DR55" s="6">
        <f>Constants!$C$13</f>
        <v>0</v>
      </c>
      <c r="DS55" s="6">
        <f>Constants!$C$14</f>
        <v>0.125</v>
      </c>
      <c r="DT55" s="6">
        <f>Constants!$C$15</f>
        <v>0.25</v>
      </c>
      <c r="DU55" s="6">
        <f>Constants!$D$10</f>
        <v>0</v>
      </c>
      <c r="DV55" s="6">
        <f>Constants!$D$11</f>
        <v>5.0000000000000001E-3</v>
      </c>
      <c r="DW55" s="6">
        <f>Constants!$D$12</f>
        <v>0.02</v>
      </c>
      <c r="DX55" s="6">
        <f>Constants!$D$13</f>
        <v>0</v>
      </c>
      <c r="DY55" s="6">
        <f>Constants!$D$14</f>
        <v>0.01</v>
      </c>
      <c r="DZ55" s="6">
        <f>Constants!$D$15</f>
        <v>2E-3</v>
      </c>
      <c r="EA55">
        <f>Constants!$B$23</f>
        <v>1.57</v>
      </c>
      <c r="EB55">
        <f t="shared" si="271"/>
        <v>0</v>
      </c>
      <c r="EC55">
        <f t="shared" si="192"/>
        <v>5.90091565</v>
      </c>
      <c r="ED55">
        <f t="shared" si="193"/>
        <v>20.524924000000002</v>
      </c>
      <c r="EE55">
        <f t="shared" si="194"/>
        <v>0</v>
      </c>
      <c r="EF55">
        <f t="shared" si="195"/>
        <v>10.262462000000001</v>
      </c>
      <c r="EG55">
        <f t="shared" si="196"/>
        <v>0.75942218799999994</v>
      </c>
      <c r="EH55">
        <f t="shared" si="301"/>
        <v>217.66877999999994</v>
      </c>
      <c r="EI55">
        <f t="shared" si="302"/>
        <v>597.608655</v>
      </c>
      <c r="EJ55">
        <f t="shared" si="303"/>
        <v>483.70839999999993</v>
      </c>
      <c r="EK55">
        <f t="shared" si="304"/>
        <v>565.41589999999997</v>
      </c>
      <c r="EL55">
        <f t="shared" si="305"/>
        <v>180.90694159999998</v>
      </c>
      <c r="EM55">
        <f t="shared" si="272"/>
        <v>428.63917914999996</v>
      </c>
      <c r="EN55">
        <f t="shared" si="273"/>
        <v>333.65421039999995</v>
      </c>
      <c r="EO55">
        <f t="shared" si="274"/>
        <v>362.12927414999996</v>
      </c>
      <c r="EP55">
        <f t="shared" si="275"/>
        <v>437.82963874999996</v>
      </c>
      <c r="EQ55">
        <f t="shared" si="276"/>
        <v>483.05637414999995</v>
      </c>
      <c r="ER55">
        <f t="shared" si="277"/>
        <v>0</v>
      </c>
      <c r="ES55">
        <f t="shared" si="278"/>
        <v>2.6191855516399998</v>
      </c>
      <c r="ET55">
        <f t="shared" si="279"/>
        <v>0</v>
      </c>
      <c r="EU55">
        <f t="shared" si="280"/>
        <v>1.374785065675</v>
      </c>
      <c r="EV55">
        <f t="shared" si="281"/>
        <v>0</v>
      </c>
      <c r="EW55">
        <f t="shared" si="282"/>
        <v>4.1441694455315002E-2</v>
      </c>
      <c r="EY55">
        <f t="shared" si="283"/>
        <v>266.03961999999996</v>
      </c>
      <c r="EZ55">
        <f t="shared" si="205"/>
        <v>150.34180000000001</v>
      </c>
      <c r="FA55">
        <f t="shared" si="206"/>
        <v>196.09799999999998</v>
      </c>
      <c r="FB55">
        <f t="shared" si="207"/>
        <v>0</v>
      </c>
      <c r="FC55">
        <f t="shared" si="208"/>
        <v>81.707499999999996</v>
      </c>
      <c r="FD55">
        <f t="shared" si="209"/>
        <v>60.463549999999991</v>
      </c>
      <c r="FE55">
        <f t="shared" si="284"/>
        <v>235.75154853250001</v>
      </c>
      <c r="FF55">
        <f t="shared" si="285"/>
        <v>66.730842079999988</v>
      </c>
      <c r="FG55">
        <f t="shared" si="286"/>
        <v>0</v>
      </c>
      <c r="FH55">
        <f t="shared" si="287"/>
        <v>109.45740968749999</v>
      </c>
      <c r="FI55">
        <f t="shared" si="288"/>
        <v>0</v>
      </c>
      <c r="FJ55">
        <f t="shared" si="289"/>
        <v>1166.5902702999997</v>
      </c>
      <c r="FK55">
        <f>_xlfn.XLOOKUP(C55, Constants!$D$19:$D$23, Constants!$E$19:$E$23)</f>
        <v>8.0000000000000002E-3</v>
      </c>
      <c r="FL55">
        <f t="shared" si="247"/>
        <v>1.4652373794967996E-2</v>
      </c>
      <c r="FN55">
        <f>Constants!$B$24</f>
        <v>1.0999999999999999E-2</v>
      </c>
      <c r="FO55">
        <f t="shared" si="290"/>
        <v>1</v>
      </c>
      <c r="FP55">
        <f>Constants!$B$25</f>
        <v>0.02</v>
      </c>
      <c r="FQ55">
        <f t="shared" si="210"/>
        <v>13.0732</v>
      </c>
      <c r="FR55">
        <f t="shared" si="211"/>
        <v>0.225774164</v>
      </c>
    </row>
    <row r="56" spans="1:175" x14ac:dyDescent="0.2">
      <c r="A56" t="s">
        <v>62</v>
      </c>
      <c r="B56">
        <v>26</v>
      </c>
      <c r="C56" t="s">
        <v>79</v>
      </c>
      <c r="D56" t="b">
        <v>1</v>
      </c>
      <c r="E56" t="s">
        <v>27</v>
      </c>
      <c r="F56">
        <v>434</v>
      </c>
      <c r="G56">
        <v>280</v>
      </c>
      <c r="I56">
        <v>0.7</v>
      </c>
      <c r="J56">
        <v>5.1999999999999998E-2</v>
      </c>
      <c r="K56">
        <v>0.2</v>
      </c>
      <c r="L56">
        <v>0.1</v>
      </c>
      <c r="M56">
        <v>0.2</v>
      </c>
      <c r="N56">
        <v>0.2</v>
      </c>
      <c r="O56">
        <v>0.2</v>
      </c>
      <c r="P56">
        <v>0.1</v>
      </c>
      <c r="Q56" t="b">
        <v>1</v>
      </c>
      <c r="R56">
        <v>0.27</v>
      </c>
      <c r="S56">
        <v>0.27</v>
      </c>
      <c r="T56" t="b">
        <v>1</v>
      </c>
      <c r="U56">
        <v>0.27</v>
      </c>
      <c r="V56">
        <v>0.27</v>
      </c>
      <c r="W56" t="b">
        <v>1</v>
      </c>
      <c r="X56">
        <v>0.27</v>
      </c>
      <c r="Y56">
        <v>0.27</v>
      </c>
      <c r="Z56" s="23"/>
      <c r="AA56">
        <v>0.25</v>
      </c>
      <c r="AB56">
        <v>0.25</v>
      </c>
      <c r="AC56">
        <v>0.25</v>
      </c>
      <c r="AD56">
        <v>0.25</v>
      </c>
      <c r="AE56" s="21">
        <v>0.25</v>
      </c>
      <c r="AF56" s="20"/>
      <c r="AG56">
        <v>0.25</v>
      </c>
      <c r="AH56">
        <v>0.25</v>
      </c>
      <c r="AI56">
        <v>0.25</v>
      </c>
      <c r="AJ56" s="21">
        <v>0.25</v>
      </c>
      <c r="AK56">
        <v>0.25</v>
      </c>
      <c r="AL56" s="20"/>
      <c r="AM56">
        <v>0.25</v>
      </c>
      <c r="AN56">
        <v>0.25</v>
      </c>
      <c r="AO56" s="21">
        <v>0.2</v>
      </c>
      <c r="AP56">
        <v>0.2</v>
      </c>
      <c r="AQ56">
        <v>0.2</v>
      </c>
      <c r="AR56">
        <v>0.2</v>
      </c>
      <c r="AS56">
        <v>0.2</v>
      </c>
      <c r="AT56" s="21">
        <v>0.25</v>
      </c>
      <c r="AU56">
        <v>0.25</v>
      </c>
      <c r="AV56">
        <v>0.25</v>
      </c>
      <c r="AW56" s="20"/>
      <c r="AX56">
        <v>0.25</v>
      </c>
      <c r="AY56" s="21">
        <f>IF(H56&lt;&gt;"", H56, _xlfn.XLOOKUP($E56,Constants!$A$3:$A$6, Constants!B$3:B$6))</f>
        <v>2.5</v>
      </c>
      <c r="AZ56">
        <f>IF(I56&lt;&gt;"", I56, _xlfn.XLOOKUP($E56,Constants!$A$3:$A$6, Constants!C$3:C$6))</f>
        <v>0.7</v>
      </c>
      <c r="BA56">
        <f>IF(J56&lt;&gt;"", J56, _xlfn.XLOOKUP($E56,Constants!$A$3:$A$6, Constants!D$3:D$6))</f>
        <v>5.1999999999999998E-2</v>
      </c>
      <c r="BB56">
        <f>IF(R56&lt;&gt;"", R56, IF(Q56, Constants!$B$19, 0))</f>
        <v>0.27</v>
      </c>
      <c r="BC56">
        <f>IF(U56&lt;&gt;"", U56,  IF(T56, Constants!$B$19, 0))</f>
        <v>0.27</v>
      </c>
      <c r="BD56">
        <f>IF(X56&lt;&gt;"", X56,  IF(W56, Constants!$B$19, 0))</f>
        <v>0.27</v>
      </c>
      <c r="BE56">
        <f>IF(S56&lt;&gt;"", S56, IF(Q56, Constants!$B$20, 0))</f>
        <v>0.27</v>
      </c>
      <c r="BF56">
        <f>IF(V56&lt;&gt;"", V56, IF(T56, Constants!$B$20, 0))</f>
        <v>0.27</v>
      </c>
      <c r="BG56">
        <f>IF(Y56&lt;&gt;"", Y56,  IF(W56, Constants!$B$20, 0))</f>
        <v>0.27</v>
      </c>
      <c r="BH56">
        <f t="shared" si="254"/>
        <v>0.14599999999999999</v>
      </c>
      <c r="BI56">
        <f t="shared" si="255"/>
        <v>0.23500000000000001</v>
      </c>
      <c r="BJ56">
        <f t="shared" si="256"/>
        <v>0.2</v>
      </c>
      <c r="BK56">
        <f t="shared" si="257"/>
        <v>0.14599999999999999</v>
      </c>
      <c r="BL56">
        <f t="shared" si="258"/>
        <v>0.2</v>
      </c>
      <c r="BM56">
        <f t="shared" si="259"/>
        <v>7.2999999999999995E-2</v>
      </c>
      <c r="BN56">
        <f>Constants!$B$21</f>
        <v>0.45</v>
      </c>
      <c r="BO56">
        <f>Constants!$B$22</f>
        <v>0.6784</v>
      </c>
      <c r="BP56">
        <f>_xlfn.XLOOKUP($B56,Constants!$G$20:$G$38, Constants!H$20:H$38)</f>
        <v>0.79</v>
      </c>
      <c r="BQ56">
        <f>_xlfn.XLOOKUP($B56,Constants!$G$20:$G$38, Constants!I$20:I$38)</f>
        <v>0.02</v>
      </c>
      <c r="BR56">
        <f>_xlfn.XLOOKUP($A56,Constants!$F$9:$M$9,Constants!$F$12:$M$12)</f>
        <v>0.01</v>
      </c>
      <c r="BS56">
        <f>_xlfn.XLOOKUP($B56,Constants!$G$20:$G$38, Constants!J$20:J$38)</f>
        <v>0.1</v>
      </c>
      <c r="BT56">
        <f>_xlfn.XLOOKUP($B56,Constants!$G$20:$G$38, Constants!K$20:K$38)</f>
        <v>0.04</v>
      </c>
      <c r="BU56">
        <f>_xlfn.XLOOKUP($B56,Constants!$G$20:$G$38, Constants!L$20:L$38)</f>
        <v>0.03</v>
      </c>
      <c r="BV56">
        <f>_xlfn.XLOOKUP($B56,Constants!$G$20:$G$38, Constants!P$20:P$38)</f>
        <v>0</v>
      </c>
      <c r="BW56">
        <f t="shared" si="167"/>
        <v>2.4647696640000001E-2</v>
      </c>
      <c r="BX56">
        <f t="shared" si="168"/>
        <v>1.0043712000000003E-3</v>
      </c>
      <c r="BY56">
        <f t="shared" si="169"/>
        <v>4.2739200000000002E-4</v>
      </c>
      <c r="BZ56">
        <f t="shared" si="170"/>
        <v>3.1199615999999999E-3</v>
      </c>
      <c r="CA56">
        <f t="shared" si="171"/>
        <v>1.7095680000000001E-3</v>
      </c>
      <c r="CB56">
        <f t="shared" si="172"/>
        <v>4.6799423999999991E-4</v>
      </c>
      <c r="CC56">
        <f t="shared" si="173"/>
        <v>3.8129310567935994</v>
      </c>
      <c r="CD56">
        <f>Constants!$E$10</f>
        <v>0</v>
      </c>
      <c r="CE56">
        <f>Constants!$E$11</f>
        <v>0</v>
      </c>
      <c r="CF56">
        <f>Constants!$E$13</f>
        <v>0.75</v>
      </c>
      <c r="CG56">
        <f>Constants!$E$14</f>
        <v>0.05</v>
      </c>
      <c r="CH56">
        <f>Constants!$E$15</f>
        <v>0</v>
      </c>
      <c r="CI56">
        <f t="shared" si="174"/>
        <v>0.14599999999999999</v>
      </c>
      <c r="CJ56">
        <f t="shared" si="175"/>
        <v>0.23500000000000001</v>
      </c>
      <c r="CK56">
        <f t="shared" si="176"/>
        <v>3.6499999999999998E-2</v>
      </c>
      <c r="CL56">
        <f t="shared" si="177"/>
        <v>0.19</v>
      </c>
      <c r="CM56">
        <f t="shared" si="178"/>
        <v>7.2999999999999995E-2</v>
      </c>
      <c r="CN56">
        <f t="shared" si="179"/>
        <v>0.47634999999999988</v>
      </c>
      <c r="CO56">
        <f t="shared" si="180"/>
        <v>0.12412500000000001</v>
      </c>
      <c r="CP56">
        <f t="shared" si="181"/>
        <v>0.10187500000000001</v>
      </c>
      <c r="CQ56">
        <f t="shared" si="182"/>
        <v>0.1515</v>
      </c>
      <c r="CR56">
        <f t="shared" si="183"/>
        <v>0.142375</v>
      </c>
      <c r="CS56">
        <f t="shared" si="184"/>
        <v>0.16062499999999999</v>
      </c>
      <c r="CT56">
        <f t="shared" si="260"/>
        <v>2.0954762640000003E-2</v>
      </c>
      <c r="CU56">
        <f t="shared" si="185"/>
        <v>4.3540560000000002E-4</v>
      </c>
      <c r="CV56">
        <f t="shared" si="261"/>
        <v>3.2374944000000002E-3</v>
      </c>
      <c r="CW56">
        <f t="shared" si="262"/>
        <v>9.1274904000000008E-4</v>
      </c>
      <c r="CX56">
        <f t="shared" si="263"/>
        <v>0</v>
      </c>
      <c r="CY56">
        <f t="shared" si="186"/>
        <v>3.1036708273536</v>
      </c>
      <c r="CZ56">
        <f t="shared" si="264"/>
        <v>6.9166018841471999</v>
      </c>
      <c r="DB56">
        <f t="shared" si="223"/>
        <v>6319.04</v>
      </c>
      <c r="DC56">
        <f t="shared" si="265"/>
        <v>0.14599999999999999</v>
      </c>
      <c r="DD56">
        <f t="shared" si="266"/>
        <v>0.23500000000000001</v>
      </c>
      <c r="DE56">
        <f t="shared" si="267"/>
        <v>0.2</v>
      </c>
      <c r="DF56">
        <f t="shared" si="268"/>
        <v>0.14599999999999999</v>
      </c>
      <c r="DG56">
        <f t="shared" si="269"/>
        <v>0.2</v>
      </c>
      <c r="DH56">
        <f t="shared" si="270"/>
        <v>7.2999999999999995E-2</v>
      </c>
      <c r="DI56">
        <f t="shared" si="309"/>
        <v>922.57983999999999</v>
      </c>
      <c r="DJ56">
        <f t="shared" si="296"/>
        <v>1484.9744000000001</v>
      </c>
      <c r="DK56">
        <f t="shared" si="297"/>
        <v>1263.808</v>
      </c>
      <c r="DL56">
        <f t="shared" si="298"/>
        <v>922.57983999999999</v>
      </c>
      <c r="DM56">
        <f t="shared" si="299"/>
        <v>1263.808</v>
      </c>
      <c r="DN56">
        <f t="shared" si="300"/>
        <v>461.28992</v>
      </c>
      <c r="DO56" s="6">
        <f>Constants!$C$10</f>
        <v>0.55000000000000004</v>
      </c>
      <c r="DP56" s="6">
        <f>Constants!$C$11</f>
        <v>0.2</v>
      </c>
      <c r="DQ56" s="6">
        <f>Constants!$C$12</f>
        <v>0.3</v>
      </c>
      <c r="DR56" s="6">
        <f>Constants!$C$13</f>
        <v>0</v>
      </c>
      <c r="DS56" s="6">
        <f>Constants!$C$14</f>
        <v>0.125</v>
      </c>
      <c r="DT56" s="6">
        <f>Constants!$C$15</f>
        <v>0.25</v>
      </c>
      <c r="DU56" s="6">
        <f>Constants!$D$10</f>
        <v>0</v>
      </c>
      <c r="DV56" s="6">
        <f>Constants!$D$11</f>
        <v>5.0000000000000001E-3</v>
      </c>
      <c r="DW56" s="6">
        <f>Constants!$D$12</f>
        <v>0.02</v>
      </c>
      <c r="DX56" s="6">
        <f>Constants!$D$13</f>
        <v>0</v>
      </c>
      <c r="DY56" s="6">
        <f>Constants!$D$14</f>
        <v>0.01</v>
      </c>
      <c r="DZ56" s="6">
        <f>Constants!$D$15</f>
        <v>2E-3</v>
      </c>
      <c r="EA56">
        <f>Constants!$B$23</f>
        <v>1.57</v>
      </c>
      <c r="EB56">
        <f t="shared" si="271"/>
        <v>0</v>
      </c>
      <c r="EC56">
        <f t="shared" si="192"/>
        <v>11.657049040000002</v>
      </c>
      <c r="ED56">
        <f t="shared" si="193"/>
        <v>39.683571200000003</v>
      </c>
      <c r="EE56">
        <f t="shared" si="194"/>
        <v>0</v>
      </c>
      <c r="EF56">
        <f t="shared" si="195"/>
        <v>19.841785600000001</v>
      </c>
      <c r="EG56">
        <f t="shared" si="196"/>
        <v>1.4484503488</v>
      </c>
      <c r="EH56">
        <f t="shared" si="301"/>
        <v>415.16092799999996</v>
      </c>
      <c r="EI56">
        <f t="shared" si="302"/>
        <v>1180.554648</v>
      </c>
      <c r="EJ56">
        <f t="shared" si="303"/>
        <v>922.57983999999999</v>
      </c>
      <c r="EK56">
        <f t="shared" si="304"/>
        <v>1093.1939199999999</v>
      </c>
      <c r="EL56">
        <f t="shared" si="305"/>
        <v>345.04486015999998</v>
      </c>
      <c r="EM56">
        <f t="shared" si="272"/>
        <v>830.68362104000005</v>
      </c>
      <c r="EN56">
        <f t="shared" si="273"/>
        <v>639.33519103999993</v>
      </c>
      <c r="EO56">
        <f t="shared" si="274"/>
        <v>703.82889304000003</v>
      </c>
      <c r="EP56">
        <f t="shared" si="275"/>
        <v>848.21263799999997</v>
      </c>
      <c r="EQ56">
        <f t="shared" si="276"/>
        <v>934.47385303999999</v>
      </c>
      <c r="ER56">
        <f t="shared" si="277"/>
        <v>0</v>
      </c>
      <c r="ES56">
        <f t="shared" si="278"/>
        <v>5.0187812496640003</v>
      </c>
      <c r="ET56">
        <f t="shared" si="279"/>
        <v>0</v>
      </c>
      <c r="EU56">
        <f t="shared" si="280"/>
        <v>2.6633876833200003</v>
      </c>
      <c r="EV56">
        <f t="shared" si="281"/>
        <v>0</v>
      </c>
      <c r="EW56">
        <f t="shared" si="282"/>
        <v>8.0313025121783996E-2</v>
      </c>
      <c r="EY56">
        <f t="shared" si="283"/>
        <v>507.41891200000003</v>
      </c>
      <c r="EZ56">
        <f t="shared" si="205"/>
        <v>296.99488000000002</v>
      </c>
      <c r="FA56">
        <f t="shared" si="206"/>
        <v>379.14240000000001</v>
      </c>
      <c r="FB56">
        <f t="shared" si="207"/>
        <v>0</v>
      </c>
      <c r="FC56">
        <f t="shared" si="208"/>
        <v>157.976</v>
      </c>
      <c r="FD56">
        <f t="shared" si="209"/>
        <v>115.32248</v>
      </c>
      <c r="FE56">
        <f t="shared" si="284"/>
        <v>456.87599157200009</v>
      </c>
      <c r="FF56">
        <f t="shared" si="285"/>
        <v>127.867038208</v>
      </c>
      <c r="FG56">
        <f t="shared" si="286"/>
        <v>0</v>
      </c>
      <c r="FH56">
        <f t="shared" si="287"/>
        <v>212.05315949999999</v>
      </c>
      <c r="FI56">
        <f t="shared" si="288"/>
        <v>0</v>
      </c>
      <c r="FJ56">
        <f t="shared" si="289"/>
        <v>2253.6508612799998</v>
      </c>
      <c r="FK56">
        <f>_xlfn.XLOOKUP(C56, Constants!$D$19:$D$23, Constants!$E$19:$E$23)</f>
        <v>8.0000000000000002E-3</v>
      </c>
      <c r="FL56">
        <f t="shared" si="247"/>
        <v>2.83058548176768E-2</v>
      </c>
      <c r="FN56">
        <f>Constants!$B$24</f>
        <v>1.0999999999999999E-2</v>
      </c>
      <c r="FO56">
        <f t="shared" si="290"/>
        <v>1</v>
      </c>
      <c r="FP56">
        <f>Constants!$B$25</f>
        <v>0.02</v>
      </c>
      <c r="FQ56">
        <f t="shared" si="210"/>
        <v>25.276160000000001</v>
      </c>
      <c r="FR56">
        <f t="shared" si="211"/>
        <v>0.43651928319999994</v>
      </c>
    </row>
    <row r="57" spans="1:175" x14ac:dyDescent="0.2">
      <c r="A57" s="2" t="s">
        <v>62</v>
      </c>
      <c r="B57" s="2">
        <v>26</v>
      </c>
      <c r="C57" s="2" t="s">
        <v>79</v>
      </c>
      <c r="D57" s="2" t="b">
        <v>1</v>
      </c>
      <c r="E57" s="2" t="s">
        <v>28</v>
      </c>
      <c r="F57" s="2">
        <v>44</v>
      </c>
      <c r="G57" s="2">
        <v>290</v>
      </c>
      <c r="H57" s="2"/>
      <c r="I57" s="2">
        <v>0.68</v>
      </c>
      <c r="J57" s="2">
        <v>4.4999999999999998E-2</v>
      </c>
      <c r="K57" s="2">
        <v>0.2</v>
      </c>
      <c r="L57" s="2">
        <v>0.1</v>
      </c>
      <c r="M57" s="2">
        <v>0.2</v>
      </c>
      <c r="N57" s="2">
        <v>0.2</v>
      </c>
      <c r="O57" s="2">
        <v>0.2</v>
      </c>
      <c r="P57" s="2">
        <v>0.1</v>
      </c>
      <c r="Q57" s="2" t="b">
        <v>1</v>
      </c>
      <c r="R57" s="2">
        <v>0.28000000000000003</v>
      </c>
      <c r="S57" s="2">
        <v>0.28000000000000003</v>
      </c>
      <c r="T57" s="2" t="b">
        <v>1</v>
      </c>
      <c r="U57" s="2">
        <v>0.28000000000000003</v>
      </c>
      <c r="V57" s="2">
        <v>0.28000000000000003</v>
      </c>
      <c r="W57" s="2" t="b">
        <v>1</v>
      </c>
      <c r="X57" s="2">
        <v>0.28000000000000003</v>
      </c>
      <c r="Y57" s="2">
        <v>0.28000000000000003</v>
      </c>
      <c r="Z57" s="22"/>
      <c r="AA57" s="2">
        <v>0.25</v>
      </c>
      <c r="AB57" s="2">
        <v>0.25</v>
      </c>
      <c r="AC57" s="2">
        <v>0.25</v>
      </c>
      <c r="AD57" s="2">
        <v>0.25</v>
      </c>
      <c r="AE57" s="25">
        <v>0.25</v>
      </c>
      <c r="AF57" s="19"/>
      <c r="AG57" s="2">
        <v>0.25</v>
      </c>
      <c r="AH57" s="2">
        <v>0.25</v>
      </c>
      <c r="AI57" s="2">
        <v>0.25</v>
      </c>
      <c r="AJ57" s="25">
        <v>0.25</v>
      </c>
      <c r="AK57" s="2">
        <v>0.25</v>
      </c>
      <c r="AL57" s="19"/>
      <c r="AM57" s="2">
        <v>0.25</v>
      </c>
      <c r="AN57" s="2">
        <v>0.25</v>
      </c>
      <c r="AO57" s="25">
        <v>0.2</v>
      </c>
      <c r="AP57" s="2">
        <v>0.2</v>
      </c>
      <c r="AQ57" s="2">
        <v>0.2</v>
      </c>
      <c r="AR57" s="2">
        <v>0.2</v>
      </c>
      <c r="AS57" s="2">
        <v>0.2</v>
      </c>
      <c r="AT57" s="25">
        <v>0.25</v>
      </c>
      <c r="AU57" s="2">
        <v>0.25</v>
      </c>
      <c r="AV57" s="2">
        <v>0.25</v>
      </c>
      <c r="AW57" s="19"/>
      <c r="AX57" s="2">
        <v>0.25</v>
      </c>
      <c r="AY57" s="25">
        <f>IF(H57&lt;&gt;"", H57, _xlfn.XLOOKUP($E57,Constants!$A$3:$A$6, Constants!B$3:B$6))</f>
        <v>1.71</v>
      </c>
      <c r="AZ57" s="2">
        <f>IF(I57&lt;&gt;"", I57, _xlfn.XLOOKUP($E57,Constants!$A$3:$A$6, Constants!C$3:C$6))</f>
        <v>0.68</v>
      </c>
      <c r="BA57" s="2">
        <f>IF(J57&lt;&gt;"", J57, _xlfn.XLOOKUP($E57,Constants!$A$3:$A$6, Constants!D$3:D$6))</f>
        <v>4.4999999999999998E-2</v>
      </c>
      <c r="BB57" s="2">
        <f>IF(R57&lt;&gt;"", R57, IF(Q57, Constants!$B$19, 0))</f>
        <v>0.28000000000000003</v>
      </c>
      <c r="BC57" s="2">
        <f>IF(U57&lt;&gt;"", U57,  IF(T57, Constants!$B$19, 0))</f>
        <v>0.28000000000000003</v>
      </c>
      <c r="BD57" s="2">
        <f>IF(X57&lt;&gt;"", X57,  IF(W57, Constants!$B$19, 0))</f>
        <v>0.28000000000000003</v>
      </c>
      <c r="BE57" s="2">
        <f>IF(S57&lt;&gt;"", S57, IF(Q57, Constants!$B$20, 0))</f>
        <v>0.28000000000000003</v>
      </c>
      <c r="BF57" s="2">
        <f>IF(V57&lt;&gt;"", V57, IF(T57, Constants!$B$20, 0))</f>
        <v>0.28000000000000003</v>
      </c>
      <c r="BG57" s="2">
        <f>IF(Y57&lt;&gt;"", Y57,  IF(W57, Constants!$B$20, 0))</f>
        <v>0.28000000000000003</v>
      </c>
      <c r="BH57" s="2">
        <f t="shared" si="254"/>
        <v>0.14399999999999999</v>
      </c>
      <c r="BI57" s="2">
        <f t="shared" si="255"/>
        <v>0.24000000000000002</v>
      </c>
      <c r="BJ57" s="2">
        <f t="shared" si="256"/>
        <v>0.2</v>
      </c>
      <c r="BK57" s="2">
        <f t="shared" si="257"/>
        <v>0.14399999999999999</v>
      </c>
      <c r="BL57" s="2">
        <f t="shared" si="258"/>
        <v>0.2</v>
      </c>
      <c r="BM57" s="2">
        <f t="shared" si="259"/>
        <v>7.1999999999999995E-2</v>
      </c>
      <c r="BN57" s="2">
        <f>Constants!$B$21</f>
        <v>0.45</v>
      </c>
      <c r="BO57" s="2">
        <f>Constants!$B$22</f>
        <v>0.6784</v>
      </c>
      <c r="BP57" s="2">
        <f>_xlfn.XLOOKUP($B57,Constants!$G$20:$G$38, Constants!H$20:H$38)</f>
        <v>0.79</v>
      </c>
      <c r="BQ57" s="2">
        <f>_xlfn.XLOOKUP($B57,Constants!$G$20:$G$38, Constants!I$20:I$38)</f>
        <v>0.02</v>
      </c>
      <c r="BR57" s="2">
        <f>_xlfn.XLOOKUP($A57,Constants!$F$9:$M$9,Constants!$F$12:$M$12)</f>
        <v>0.01</v>
      </c>
      <c r="BS57" s="2">
        <f>_xlfn.XLOOKUP($B57,Constants!$G$20:$G$38, Constants!J$20:J$38)</f>
        <v>0.1</v>
      </c>
      <c r="BT57" s="2">
        <f>_xlfn.XLOOKUP($B57,Constants!$G$20:$G$38, Constants!K$20:K$38)</f>
        <v>0.04</v>
      </c>
      <c r="BU57" s="2">
        <f>_xlfn.XLOOKUP($B57,Constants!$G$20:$G$38, Constants!L$20:L$38)</f>
        <v>0.03</v>
      </c>
      <c r="BV57" s="2">
        <f>_xlfn.XLOOKUP($B57,Constants!$G$20:$G$38, Constants!P$20:P$38)</f>
        <v>0</v>
      </c>
      <c r="BW57" s="2">
        <f t="shared" si="167"/>
        <v>2.3615483904000003E-2</v>
      </c>
      <c r="BX57" s="2">
        <f t="shared" si="168"/>
        <v>9.9643392000000014E-4</v>
      </c>
      <c r="BY57" s="2">
        <f t="shared" si="169"/>
        <v>4.1518080000000002E-4</v>
      </c>
      <c r="BZ57" s="2">
        <f t="shared" si="170"/>
        <v>2.9893017600000002E-3</v>
      </c>
      <c r="CA57" s="2">
        <f t="shared" si="171"/>
        <v>1.6607232000000001E-3</v>
      </c>
      <c r="CB57" s="2">
        <f t="shared" si="172"/>
        <v>4.4839526399999995E-4</v>
      </c>
      <c r="CC57" s="2">
        <f t="shared" si="173"/>
        <v>0.3844016205004801</v>
      </c>
      <c r="CD57" s="2">
        <f>Constants!$E$10</f>
        <v>0</v>
      </c>
      <c r="CE57" s="2">
        <f>Constants!$E$11</f>
        <v>0</v>
      </c>
      <c r="CF57" s="2">
        <f>Constants!$E$13</f>
        <v>0.75</v>
      </c>
      <c r="CG57" s="2">
        <f>Constants!$E$14</f>
        <v>0.05</v>
      </c>
      <c r="CH57" s="2">
        <f>Constants!$E$15</f>
        <v>0</v>
      </c>
      <c r="CI57" s="2">
        <f t="shared" si="174"/>
        <v>0.14399999999999999</v>
      </c>
      <c r="CJ57" s="2">
        <f t="shared" si="175"/>
        <v>0.24000000000000002</v>
      </c>
      <c r="CK57" s="2">
        <f t="shared" si="176"/>
        <v>3.5999999999999997E-2</v>
      </c>
      <c r="CL57" s="2">
        <f t="shared" si="177"/>
        <v>0.19</v>
      </c>
      <c r="CM57" s="2">
        <f t="shared" si="178"/>
        <v>7.1999999999999995E-2</v>
      </c>
      <c r="CN57" s="2">
        <f t="shared" si="179"/>
        <v>0.46376000000000001</v>
      </c>
      <c r="CO57" s="2">
        <f t="shared" si="180"/>
        <v>0.125</v>
      </c>
      <c r="CP57" s="2">
        <f t="shared" si="181"/>
        <v>0.10100000000000001</v>
      </c>
      <c r="CQ57" s="2">
        <f t="shared" si="182"/>
        <v>0.152</v>
      </c>
      <c r="CR57" s="2">
        <f t="shared" si="183"/>
        <v>0.14300000000000002</v>
      </c>
      <c r="CS57" s="2">
        <f t="shared" si="184"/>
        <v>0.161</v>
      </c>
      <c r="CT57" s="2">
        <f t="shared" si="260"/>
        <v>2.0499552000000004E-2</v>
      </c>
      <c r="CU57" s="2">
        <f t="shared" si="185"/>
        <v>4.1933260800000008E-4</v>
      </c>
      <c r="CV57" s="2">
        <f t="shared" si="261"/>
        <v>3.1553740800000008E-3</v>
      </c>
      <c r="CW57" s="2">
        <f t="shared" si="262"/>
        <v>8.9056281600000012E-4</v>
      </c>
      <c r="CX57" s="2">
        <f t="shared" si="263"/>
        <v>0</v>
      </c>
      <c r="CY57" s="2">
        <f t="shared" si="186"/>
        <v>0.31855112239104005</v>
      </c>
      <c r="CZ57" s="2">
        <f t="shared" si="264"/>
        <v>0.7029527428915201</v>
      </c>
      <c r="DA57" s="2"/>
      <c r="DB57" s="2">
        <f t="shared" si="223"/>
        <v>574.19999999999993</v>
      </c>
      <c r="DC57" s="2">
        <f t="shared" si="265"/>
        <v>0.14399999999999999</v>
      </c>
      <c r="DD57" s="2">
        <f t="shared" si="266"/>
        <v>0.24000000000000002</v>
      </c>
      <c r="DE57" s="2">
        <f t="shared" si="267"/>
        <v>0.2</v>
      </c>
      <c r="DF57" s="2">
        <f t="shared" si="268"/>
        <v>0.14399999999999999</v>
      </c>
      <c r="DG57" s="2">
        <f t="shared" si="269"/>
        <v>0.2</v>
      </c>
      <c r="DH57" s="2">
        <f t="shared" si="270"/>
        <v>7.1999999999999995E-2</v>
      </c>
      <c r="DI57" s="2">
        <f t="shared" si="309"/>
        <v>82.684799999999981</v>
      </c>
      <c r="DJ57" s="2">
        <f t="shared" si="296"/>
        <v>137.80799999999999</v>
      </c>
      <c r="DK57" s="2">
        <f t="shared" si="297"/>
        <v>114.83999999999999</v>
      </c>
      <c r="DL57" s="2">
        <f t="shared" si="298"/>
        <v>82.684799999999981</v>
      </c>
      <c r="DM57" s="2">
        <f t="shared" si="299"/>
        <v>114.83999999999999</v>
      </c>
      <c r="DN57" s="2">
        <f t="shared" si="300"/>
        <v>41.342399999999991</v>
      </c>
      <c r="DO57" s="13">
        <f>Constants!$C$10</f>
        <v>0.55000000000000004</v>
      </c>
      <c r="DP57" s="13">
        <f>Constants!$C$11</f>
        <v>0.2</v>
      </c>
      <c r="DQ57" s="13">
        <f>Constants!$C$12</f>
        <v>0.3</v>
      </c>
      <c r="DR57" s="13">
        <f>Constants!$C$13</f>
        <v>0</v>
      </c>
      <c r="DS57" s="13">
        <f>Constants!$C$14</f>
        <v>0.125</v>
      </c>
      <c r="DT57" s="13">
        <f>Constants!$C$15</f>
        <v>0.25</v>
      </c>
      <c r="DU57" s="13">
        <f>Constants!$D$10</f>
        <v>0</v>
      </c>
      <c r="DV57" s="13">
        <f>Constants!$D$11</f>
        <v>5.0000000000000001E-3</v>
      </c>
      <c r="DW57" s="13">
        <f>Constants!$D$12</f>
        <v>0.02</v>
      </c>
      <c r="DX57" s="13">
        <f>Constants!$D$13</f>
        <v>0</v>
      </c>
      <c r="DY57" s="13">
        <f>Constants!$D$14</f>
        <v>0.01</v>
      </c>
      <c r="DZ57" s="13">
        <f>Constants!$D$15</f>
        <v>2E-3</v>
      </c>
      <c r="EA57" s="2">
        <f>Constants!$B$23</f>
        <v>1.57</v>
      </c>
      <c r="EB57" s="2">
        <f t="shared" si="271"/>
        <v>0</v>
      </c>
      <c r="EC57" s="2">
        <f t="shared" si="192"/>
        <v>1.0817928000000001</v>
      </c>
      <c r="ED57" s="2">
        <f t="shared" si="193"/>
        <v>3.6059759999999996</v>
      </c>
      <c r="EE57" s="2">
        <f t="shared" si="194"/>
        <v>0</v>
      </c>
      <c r="EF57" s="2">
        <f t="shared" si="195"/>
        <v>1.8029879999999998</v>
      </c>
      <c r="EG57" s="2">
        <f t="shared" si="196"/>
        <v>0.129815136</v>
      </c>
      <c r="EH57" s="2">
        <f t="shared" si="301"/>
        <v>37.208159999999985</v>
      </c>
      <c r="EI57" s="2">
        <f t="shared" si="302"/>
        <v>109.55736</v>
      </c>
      <c r="EJ57" s="2">
        <f t="shared" si="303"/>
        <v>82.684799999999981</v>
      </c>
      <c r="EK57" s="2">
        <f t="shared" si="304"/>
        <v>99.33659999999999</v>
      </c>
      <c r="EL57" s="2">
        <f t="shared" si="305"/>
        <v>30.924115199999992</v>
      </c>
      <c r="EM57" s="2">
        <f t="shared" si="272"/>
        <v>75.6588888</v>
      </c>
      <c r="EN57" s="2">
        <f t="shared" si="273"/>
        <v>57.571588799999986</v>
      </c>
      <c r="EO57" s="2">
        <f t="shared" si="274"/>
        <v>64.289728799999992</v>
      </c>
      <c r="EP57" s="2">
        <f t="shared" si="275"/>
        <v>77.229899999999986</v>
      </c>
      <c r="EQ57" s="2">
        <f t="shared" si="276"/>
        <v>84.960928799999991</v>
      </c>
      <c r="ER57" s="2">
        <f t="shared" si="277"/>
        <v>0</v>
      </c>
      <c r="ES57" s="2">
        <f t="shared" si="278"/>
        <v>0.45193697207999989</v>
      </c>
      <c r="ET57" s="2">
        <f t="shared" si="279"/>
        <v>0</v>
      </c>
      <c r="EU57" s="2">
        <f t="shared" si="280"/>
        <v>0.24250188599999997</v>
      </c>
      <c r="EV57" s="2">
        <f t="shared" si="281"/>
        <v>0</v>
      </c>
      <c r="EW57" s="2">
        <f t="shared" si="282"/>
        <v>7.3150107940799999E-3</v>
      </c>
      <c r="EX57" s="2"/>
      <c r="EY57" s="2">
        <f t="shared" si="283"/>
        <v>45.476639999999996</v>
      </c>
      <c r="EZ57" s="2">
        <f t="shared" si="205"/>
        <v>27.561599999999999</v>
      </c>
      <c r="FA57" s="2">
        <f t="shared" si="206"/>
        <v>34.451999999999998</v>
      </c>
      <c r="FB57" s="2">
        <f t="shared" si="207"/>
        <v>0</v>
      </c>
      <c r="FC57" s="2">
        <f t="shared" si="208"/>
        <v>14.354999999999999</v>
      </c>
      <c r="FD57" s="2">
        <f t="shared" si="209"/>
        <v>10.335599999999998</v>
      </c>
      <c r="FE57" s="2">
        <f t="shared" si="284"/>
        <v>41.612388840000001</v>
      </c>
      <c r="FF57" s="2">
        <f t="shared" si="285"/>
        <v>11.514317759999997</v>
      </c>
      <c r="FG57" s="2">
        <f t="shared" si="286"/>
        <v>0</v>
      </c>
      <c r="FH57" s="2">
        <f t="shared" si="287"/>
        <v>19.307474999999997</v>
      </c>
      <c r="FI57" s="2">
        <f t="shared" si="288"/>
        <v>0</v>
      </c>
      <c r="FJ57" s="2">
        <f t="shared" si="289"/>
        <v>204.61502159999998</v>
      </c>
      <c r="FK57" s="2">
        <f>_xlfn.XLOOKUP(C57, Constants!$D$19:$D$23, Constants!$E$19:$E$23)</f>
        <v>8.0000000000000002E-3</v>
      </c>
      <c r="FL57" s="2">
        <f t="shared" si="247"/>
        <v>2.5699646712959998E-3</v>
      </c>
      <c r="FM57" s="2"/>
      <c r="FN57" s="2">
        <f>Constants!$B$24</f>
        <v>1.0999999999999999E-2</v>
      </c>
      <c r="FO57" s="2">
        <f t="shared" si="290"/>
        <v>1</v>
      </c>
      <c r="FP57" s="2">
        <f>Constants!$B$25</f>
        <v>0.02</v>
      </c>
      <c r="FQ57" s="2">
        <f t="shared" si="210"/>
        <v>2.2967999999999997</v>
      </c>
      <c r="FR57" s="2">
        <f t="shared" si="211"/>
        <v>3.9665736E-2</v>
      </c>
      <c r="FS57" s="2"/>
    </row>
    <row r="58" spans="1:175" x14ac:dyDescent="0.2">
      <c r="A58" t="s">
        <v>39</v>
      </c>
      <c r="B58" s="6" t="s">
        <v>193</v>
      </c>
      <c r="C58" s="6" t="s">
        <v>75</v>
      </c>
      <c r="D58" s="6" t="b">
        <v>1</v>
      </c>
      <c r="E58" s="6" t="s">
        <v>25</v>
      </c>
      <c r="F58" s="6">
        <v>105</v>
      </c>
      <c r="G58" s="6">
        <v>75</v>
      </c>
      <c r="H58" s="6"/>
      <c r="I58">
        <v>0.37</v>
      </c>
      <c r="J58">
        <v>0.04</v>
      </c>
      <c r="K58" s="6">
        <v>0.2</v>
      </c>
      <c r="L58" s="6">
        <v>0.1</v>
      </c>
      <c r="M58" s="6">
        <v>0.2</v>
      </c>
      <c r="N58" s="6">
        <v>0.2</v>
      </c>
      <c r="O58" s="6">
        <v>0.2</v>
      </c>
      <c r="P58" s="6">
        <v>0.1</v>
      </c>
      <c r="Q58" s="6" t="b">
        <v>1</v>
      </c>
      <c r="R58">
        <v>0.28000000000000003</v>
      </c>
      <c r="S58">
        <v>0.25</v>
      </c>
      <c r="T58" s="6" t="b">
        <v>1</v>
      </c>
      <c r="U58">
        <v>0.28000000000000003</v>
      </c>
      <c r="V58">
        <v>0.25</v>
      </c>
      <c r="W58" s="6" t="b">
        <v>1</v>
      </c>
      <c r="X58">
        <v>0.28000000000000003</v>
      </c>
      <c r="Y58">
        <v>0.25</v>
      </c>
      <c r="Z58" s="23"/>
      <c r="AA58">
        <v>0.25</v>
      </c>
      <c r="AB58">
        <v>0.25</v>
      </c>
      <c r="AC58">
        <v>0.25</v>
      </c>
      <c r="AD58">
        <v>0.25</v>
      </c>
      <c r="AE58" s="29">
        <v>0.25</v>
      </c>
      <c r="AF58" s="20"/>
      <c r="AG58">
        <v>0.25</v>
      </c>
      <c r="AH58">
        <v>0.25</v>
      </c>
      <c r="AI58">
        <v>0.25</v>
      </c>
      <c r="AJ58" s="29">
        <v>0.25</v>
      </c>
      <c r="AK58">
        <v>0.25</v>
      </c>
      <c r="AL58" s="20"/>
      <c r="AM58">
        <v>0.25</v>
      </c>
      <c r="AN58">
        <v>0.25</v>
      </c>
      <c r="AO58" s="21">
        <v>0.2</v>
      </c>
      <c r="AP58">
        <v>0.2</v>
      </c>
      <c r="AQ58">
        <v>0.2</v>
      </c>
      <c r="AR58">
        <v>0.2</v>
      </c>
      <c r="AS58">
        <v>0.2</v>
      </c>
      <c r="AT58" s="29">
        <v>0.25</v>
      </c>
      <c r="AU58">
        <v>0.25</v>
      </c>
      <c r="AV58">
        <v>0.25</v>
      </c>
      <c r="AW58" s="20"/>
      <c r="AX58">
        <v>0.25</v>
      </c>
      <c r="AY58" s="29">
        <f>IF(H58&lt;&gt;"", H58, _xlfn.XLOOKUP($E58,Constants!$A$3:$A$6, Constants!B$3:B$6))</f>
        <v>2.2999999999999998</v>
      </c>
      <c r="AZ58" s="18">
        <f>IF(I58&lt;&gt;"", I58, _xlfn.XLOOKUP($E58,Constants!$A$3:$A$6, Constants!C$3:C$6))</f>
        <v>0.37</v>
      </c>
      <c r="BA58" s="18">
        <f>IF(J58&lt;&gt;"", J58, _xlfn.XLOOKUP($E58,Constants!$A$3:$A$6, Constants!D$3:D$6))</f>
        <v>0.04</v>
      </c>
      <c r="BB58">
        <f>IF(R58&lt;&gt;"", R58, IF(Q58, Constants!$B$19, 0))</f>
        <v>0.28000000000000003</v>
      </c>
      <c r="BC58">
        <f>IF(U58&lt;&gt;"", U58,  IF(T58, Constants!$B$19, 0))</f>
        <v>0.28000000000000003</v>
      </c>
      <c r="BD58">
        <f>IF(X58&lt;&gt;"", X58,  IF(W58, Constants!$B$19, 0))</f>
        <v>0.28000000000000003</v>
      </c>
      <c r="BE58" s="18">
        <f>IF(S58&lt;&gt;"", S58, IF(Q58, Constants!$B$20, 0))</f>
        <v>0.25</v>
      </c>
      <c r="BF58" s="18">
        <f>IF(V58&lt;&gt;"", V58, IF(T58, Constants!$B$20, 0))</f>
        <v>0.25</v>
      </c>
      <c r="BG58" s="18">
        <f>IF(Y58&lt;&gt;"", Y58,  IF(W58, Constants!$B$20, 0))</f>
        <v>0.25</v>
      </c>
      <c r="BH58">
        <f t="shared" si="254"/>
        <v>0.14399999999999999</v>
      </c>
      <c r="BI58">
        <f t="shared" si="255"/>
        <v>0.24000000000000002</v>
      </c>
      <c r="BJ58">
        <f t="shared" si="256"/>
        <v>0.2</v>
      </c>
      <c r="BK58">
        <f t="shared" si="257"/>
        <v>0.14399999999999999</v>
      </c>
      <c r="BL58">
        <f t="shared" si="258"/>
        <v>0.2</v>
      </c>
      <c r="BM58">
        <f t="shared" si="259"/>
        <v>7.1999999999999995E-2</v>
      </c>
      <c r="BN58">
        <f>Constants!$B$21</f>
        <v>0.45</v>
      </c>
      <c r="BO58">
        <f>Constants!$B$22</f>
        <v>0.6784</v>
      </c>
      <c r="BP58">
        <f>_xlfn.XLOOKUP($B58,Constants!$G$20:$G$38, Constants!H$20:H$38)</f>
        <v>0.8</v>
      </c>
      <c r="BQ58">
        <f>_xlfn.XLOOKUP($B58,Constants!$G$20:$G$38, Constants!I$20:I$38)</f>
        <v>0.02</v>
      </c>
      <c r="BR58">
        <f>_xlfn.XLOOKUP($A58,Constants!$F$9:$M$9,Constants!$F$12:$M$12)</f>
        <v>0.03</v>
      </c>
      <c r="BS58">
        <f>_xlfn.XLOOKUP($B58,Constants!$G$20:$G$38, Constants!J$20:J$38)</f>
        <v>0.1</v>
      </c>
      <c r="BT58">
        <f>_xlfn.XLOOKUP($B58,Constants!$G$20:$G$38, Constants!K$20:K$38)</f>
        <v>0.04</v>
      </c>
      <c r="BU58">
        <f>_xlfn.XLOOKUP($B58,Constants!$G$20:$G$38, Constants!L$20:L$38)</f>
        <v>0.03</v>
      </c>
      <c r="BV58">
        <f>_xlfn.XLOOKUP($B58,Constants!$G$20:$G$38, Constants!P$20:P$38)</f>
        <v>0</v>
      </c>
      <c r="BW58" s="18">
        <f t="shared" si="167"/>
        <v>1.3012254719999998E-2</v>
      </c>
      <c r="BX58" s="18">
        <f t="shared" si="168"/>
        <v>5.4217727999999999E-4</v>
      </c>
      <c r="BY58" s="18">
        <f t="shared" si="169"/>
        <v>6.7772159999999993E-4</v>
      </c>
      <c r="BZ58" s="18">
        <f t="shared" si="170"/>
        <v>1.6265318399999997E-3</v>
      </c>
      <c r="CA58" s="18">
        <f t="shared" si="171"/>
        <v>9.0362880000000002E-4</v>
      </c>
      <c r="CB58" s="18">
        <f t="shared" si="172"/>
        <v>2.4397977600000001E-4</v>
      </c>
      <c r="CC58">
        <f t="shared" si="173"/>
        <v>0.13392456537599998</v>
      </c>
      <c r="CD58">
        <f>Constants!$E$10</f>
        <v>0</v>
      </c>
      <c r="CE58">
        <f>Constants!$E$11</f>
        <v>0</v>
      </c>
      <c r="CF58">
        <f>Constants!$E$13</f>
        <v>0.75</v>
      </c>
      <c r="CG58">
        <f>Constants!$E$14</f>
        <v>0.05</v>
      </c>
      <c r="CH58">
        <f>Constants!$E$15</f>
        <v>0</v>
      </c>
      <c r="CI58">
        <f t="shared" si="174"/>
        <v>0.14399999999999999</v>
      </c>
      <c r="CJ58">
        <f t="shared" si="175"/>
        <v>0.24000000000000002</v>
      </c>
      <c r="CK58">
        <f t="shared" si="176"/>
        <v>3.5999999999999997E-2</v>
      </c>
      <c r="CL58">
        <f t="shared" si="177"/>
        <v>0.19</v>
      </c>
      <c r="CM58">
        <f t="shared" si="178"/>
        <v>7.1999999999999995E-2</v>
      </c>
      <c r="CN58">
        <f t="shared" si="179"/>
        <v>0.25233999999999995</v>
      </c>
      <c r="CO58" s="18">
        <f t="shared" si="180"/>
        <v>0.125</v>
      </c>
      <c r="CP58" s="18">
        <f t="shared" si="181"/>
        <v>0.10100000000000001</v>
      </c>
      <c r="CQ58" s="18">
        <f t="shared" si="182"/>
        <v>0.152</v>
      </c>
      <c r="CR58" s="18">
        <f t="shared" si="183"/>
        <v>0.14300000000000002</v>
      </c>
      <c r="CS58" s="18">
        <f t="shared" si="184"/>
        <v>0.161</v>
      </c>
      <c r="CT58" s="18">
        <f t="shared" si="260"/>
        <v>1.1295360000000001E-2</v>
      </c>
      <c r="CU58" s="18">
        <f t="shared" si="185"/>
        <v>2.2816627200000002E-4</v>
      </c>
      <c r="CV58" s="18">
        <f t="shared" si="261"/>
        <v>1.7168947200000002E-3</v>
      </c>
      <c r="CW58" s="18">
        <f t="shared" si="262"/>
        <v>4.84570944E-4</v>
      </c>
      <c r="CX58" s="18">
        <f t="shared" si="263"/>
        <v>0</v>
      </c>
      <c r="CY58" s="18">
        <f t="shared" si="186"/>
        <v>0.10808431149600002</v>
      </c>
      <c r="CZ58" s="18">
        <f t="shared" si="264"/>
        <v>0.24200887687200001</v>
      </c>
      <c r="DA58">
        <f t="shared" ref="DA58" si="310">SUM(CZ58:CZ61)</f>
        <v>6.5910195004024814</v>
      </c>
      <c r="DB58">
        <f t="shared" si="223"/>
        <v>315</v>
      </c>
      <c r="DC58" s="18">
        <f t="shared" si="265"/>
        <v>0.15000000000000002</v>
      </c>
      <c r="DD58" s="18">
        <f t="shared" si="266"/>
        <v>0.22500000000000001</v>
      </c>
      <c r="DE58" s="18">
        <f t="shared" si="267"/>
        <v>0.2</v>
      </c>
      <c r="DF58" s="18">
        <f t="shared" si="268"/>
        <v>0.15000000000000002</v>
      </c>
      <c r="DG58" s="18">
        <f t="shared" si="269"/>
        <v>0.2</v>
      </c>
      <c r="DH58" s="18">
        <f t="shared" si="270"/>
        <v>7.5000000000000011E-2</v>
      </c>
      <c r="DI58">
        <f t="shared" si="309"/>
        <v>47.250000000000007</v>
      </c>
      <c r="DJ58">
        <f t="shared" si="296"/>
        <v>70.875</v>
      </c>
      <c r="DK58">
        <f t="shared" si="297"/>
        <v>63</v>
      </c>
      <c r="DL58">
        <f t="shared" si="298"/>
        <v>47.250000000000007</v>
      </c>
      <c r="DM58">
        <f t="shared" si="299"/>
        <v>63</v>
      </c>
      <c r="DN58">
        <f t="shared" si="300"/>
        <v>23.625000000000004</v>
      </c>
      <c r="DO58" s="6">
        <f>Constants!$C$10</f>
        <v>0.55000000000000004</v>
      </c>
      <c r="DP58" s="6">
        <f>Constants!$C$11</f>
        <v>0.2</v>
      </c>
      <c r="DQ58" s="6">
        <f>Constants!$C$12</f>
        <v>0.3</v>
      </c>
      <c r="DR58" s="6">
        <f>Constants!$C$13</f>
        <v>0</v>
      </c>
      <c r="DS58" s="6">
        <f>Constants!$C$14</f>
        <v>0.125</v>
      </c>
      <c r="DT58" s="6">
        <f>Constants!$C$15</f>
        <v>0.25</v>
      </c>
      <c r="DU58" s="6">
        <f>Constants!$D$10</f>
        <v>0</v>
      </c>
      <c r="DV58" s="6">
        <f>Constants!$D$11</f>
        <v>5.0000000000000001E-3</v>
      </c>
      <c r="DW58" s="6">
        <f>Constants!$D$12</f>
        <v>0.02</v>
      </c>
      <c r="DX58" s="6">
        <f>Constants!$D$13</f>
        <v>0</v>
      </c>
      <c r="DY58" s="6">
        <f>Constants!$D$14</f>
        <v>0.01</v>
      </c>
      <c r="DZ58" s="6">
        <f>Constants!$D$15</f>
        <v>2E-3</v>
      </c>
      <c r="EA58">
        <f>Constants!$B$23</f>
        <v>1.57</v>
      </c>
      <c r="EB58" s="18">
        <f t="shared" si="271"/>
        <v>0</v>
      </c>
      <c r="EC58" s="18">
        <f t="shared" si="192"/>
        <v>0.55636874999999997</v>
      </c>
      <c r="ED58" s="18">
        <f t="shared" si="193"/>
        <v>1.9782000000000002</v>
      </c>
      <c r="EE58" s="18">
        <f t="shared" si="194"/>
        <v>0</v>
      </c>
      <c r="EF58" s="18">
        <f t="shared" si="195"/>
        <v>0.98910000000000009</v>
      </c>
      <c r="EG58" s="18">
        <f t="shared" si="196"/>
        <v>7.4182500000000012E-2</v>
      </c>
      <c r="EH58">
        <f t="shared" si="301"/>
        <v>21.262500000000003</v>
      </c>
      <c r="EI58">
        <f t="shared" si="302"/>
        <v>56.345625000000005</v>
      </c>
      <c r="EJ58">
        <f t="shared" si="303"/>
        <v>47.250000000000007</v>
      </c>
      <c r="EK58">
        <f t="shared" si="304"/>
        <v>54.494999999999997</v>
      </c>
      <c r="EL58">
        <f t="shared" si="305"/>
        <v>17.671500000000002</v>
      </c>
      <c r="EM58">
        <f t="shared" si="272"/>
        <v>41.215781250000006</v>
      </c>
      <c r="EN58">
        <f t="shared" si="273"/>
        <v>32.445000000000007</v>
      </c>
      <c r="EO58">
        <f t="shared" si="274"/>
        <v>34.718906250000003</v>
      </c>
      <c r="EP58">
        <f t="shared" si="275"/>
        <v>42.113531250000001</v>
      </c>
      <c r="EQ58">
        <f t="shared" si="276"/>
        <v>46.531406250000003</v>
      </c>
      <c r="ER58">
        <f t="shared" si="277"/>
        <v>0</v>
      </c>
      <c r="ES58">
        <f t="shared" si="278"/>
        <v>0.25469325000000009</v>
      </c>
      <c r="ET58">
        <f t="shared" si="279"/>
        <v>0</v>
      </c>
      <c r="EU58">
        <f t="shared" si="280"/>
        <v>0.13223648812500002</v>
      </c>
      <c r="EV58">
        <f t="shared" si="281"/>
        <v>0</v>
      </c>
      <c r="EW58" s="18">
        <f t="shared" si="282"/>
        <v>3.9847809881250005E-3</v>
      </c>
      <c r="EX58">
        <f t="shared" ref="EX58" si="311">SUM(EW58:EW61)</f>
        <v>0.10830251894686499</v>
      </c>
      <c r="EY58" s="18">
        <f t="shared" si="283"/>
        <v>25.987500000000004</v>
      </c>
      <c r="EZ58" s="18">
        <f t="shared" si="205"/>
        <v>14.175000000000001</v>
      </c>
      <c r="FA58" s="18">
        <f t="shared" si="206"/>
        <v>18.899999999999999</v>
      </c>
      <c r="FB58" s="18">
        <f t="shared" si="207"/>
        <v>0</v>
      </c>
      <c r="FC58" s="18">
        <f t="shared" si="208"/>
        <v>7.875</v>
      </c>
      <c r="FD58" s="18">
        <f t="shared" si="209"/>
        <v>5.9062500000000009</v>
      </c>
      <c r="FE58" s="18">
        <f t="shared" si="284"/>
        <v>22.668679687500006</v>
      </c>
      <c r="FF58" s="18">
        <f t="shared" si="285"/>
        <v>6.4890000000000017</v>
      </c>
      <c r="FG58" s="18">
        <f t="shared" si="286"/>
        <v>0</v>
      </c>
      <c r="FH58" s="18">
        <f t="shared" si="287"/>
        <v>10.5283828125</v>
      </c>
      <c r="FI58" s="18">
        <f t="shared" si="288"/>
        <v>0</v>
      </c>
      <c r="FJ58" s="18">
        <f t="shared" si="289"/>
        <v>112.52981250000001</v>
      </c>
      <c r="FK58" s="18">
        <f>_xlfn.XLOOKUP(C58, Constants!$D$19:$D$23, Constants!$E$19:$E$23)</f>
        <v>5.8999999999999999E-3</v>
      </c>
      <c r="FL58">
        <f t="shared" si="247"/>
        <v>1.0423636531875001E-3</v>
      </c>
      <c r="FM58">
        <f t="shared" ref="FM58" si="312">SUM(FL58:FL61)</f>
        <v>2.81818784671359E-2</v>
      </c>
      <c r="FN58" s="18">
        <f>Constants!$B$24</f>
        <v>1.0999999999999999E-2</v>
      </c>
      <c r="FO58" s="18">
        <f t="shared" si="290"/>
        <v>1</v>
      </c>
      <c r="FP58">
        <f>Constants!$B$25</f>
        <v>0.02</v>
      </c>
      <c r="FQ58">
        <f t="shared" si="210"/>
        <v>1.26</v>
      </c>
      <c r="FR58" s="18">
        <f t="shared" si="211"/>
        <v>2.17602E-2</v>
      </c>
      <c r="FS58">
        <f t="shared" ref="FS58" si="313">SUM(FR58:FR61)/1000</f>
        <v>5.8912805600000006E-4</v>
      </c>
    </row>
    <row r="59" spans="1:175" x14ac:dyDescent="0.2">
      <c r="A59" t="s">
        <v>39</v>
      </c>
      <c r="B59" s="6" t="s">
        <v>193</v>
      </c>
      <c r="C59" s="6" t="s">
        <v>75</v>
      </c>
      <c r="D59" s="6" t="b">
        <v>1</v>
      </c>
      <c r="E59" s="6" t="s">
        <v>26</v>
      </c>
      <c r="F59" s="6">
        <v>245</v>
      </c>
      <c r="G59" s="6">
        <v>290</v>
      </c>
      <c r="H59" s="6"/>
      <c r="I59">
        <v>0.37</v>
      </c>
      <c r="J59">
        <v>0.04</v>
      </c>
      <c r="K59" s="6">
        <v>0.2</v>
      </c>
      <c r="L59" s="6">
        <v>0.1</v>
      </c>
      <c r="M59" s="6">
        <v>0.2</v>
      </c>
      <c r="N59" s="6">
        <v>0.2</v>
      </c>
      <c r="O59" s="6">
        <v>0.2</v>
      </c>
      <c r="P59" s="6">
        <v>0.1</v>
      </c>
      <c r="Q59" s="6" t="b">
        <v>1</v>
      </c>
      <c r="R59">
        <v>0.27</v>
      </c>
      <c r="S59">
        <v>0.26</v>
      </c>
      <c r="T59" s="6" t="b">
        <v>1</v>
      </c>
      <c r="U59">
        <v>0.27</v>
      </c>
      <c r="V59">
        <v>0.26</v>
      </c>
      <c r="W59" s="6" t="b">
        <v>1</v>
      </c>
      <c r="X59">
        <v>0.27</v>
      </c>
      <c r="Y59">
        <v>0.26</v>
      </c>
      <c r="Z59" s="23"/>
      <c r="AA59">
        <v>0.25</v>
      </c>
      <c r="AB59">
        <v>0.25</v>
      </c>
      <c r="AC59">
        <v>0.25</v>
      </c>
      <c r="AD59">
        <v>0.25</v>
      </c>
      <c r="AE59" s="21">
        <v>0.25</v>
      </c>
      <c r="AF59" s="20"/>
      <c r="AG59">
        <v>0.25</v>
      </c>
      <c r="AH59">
        <v>0.25</v>
      </c>
      <c r="AI59">
        <v>0.25</v>
      </c>
      <c r="AJ59" s="21">
        <v>0.25</v>
      </c>
      <c r="AK59">
        <v>0.25</v>
      </c>
      <c r="AL59" s="20"/>
      <c r="AM59">
        <v>0.25</v>
      </c>
      <c r="AN59">
        <v>0.25</v>
      </c>
      <c r="AO59" s="21">
        <v>0.2</v>
      </c>
      <c r="AP59">
        <v>0.2</v>
      </c>
      <c r="AQ59">
        <v>0.2</v>
      </c>
      <c r="AR59">
        <v>0.2</v>
      </c>
      <c r="AS59">
        <v>0.2</v>
      </c>
      <c r="AT59" s="21">
        <v>0.25</v>
      </c>
      <c r="AU59">
        <v>0.25</v>
      </c>
      <c r="AV59">
        <v>0.25</v>
      </c>
      <c r="AW59" s="20"/>
      <c r="AX59">
        <v>0.25</v>
      </c>
      <c r="AY59" s="21">
        <f>IF(H59&lt;&gt;"", H59, _xlfn.XLOOKUP($E59,Constants!$A$3:$A$6, Constants!B$3:B$6))</f>
        <v>2.62</v>
      </c>
      <c r="AZ59">
        <f>IF(I59&lt;&gt;"", I59, _xlfn.XLOOKUP($E59,Constants!$A$3:$A$6, Constants!C$3:C$6))</f>
        <v>0.37</v>
      </c>
      <c r="BA59">
        <f>IF(J59&lt;&gt;"", J59, _xlfn.XLOOKUP($E59,Constants!$A$3:$A$6, Constants!D$3:D$6))</f>
        <v>0.04</v>
      </c>
      <c r="BB59">
        <f>IF(R59&lt;&gt;"", R59, IF(Q59, Constants!$B$19, 0))</f>
        <v>0.27</v>
      </c>
      <c r="BC59">
        <f>IF(U59&lt;&gt;"", U59,  IF(T59, Constants!$B$19, 0))</f>
        <v>0.27</v>
      </c>
      <c r="BD59">
        <f>IF(X59&lt;&gt;"", X59,  IF(W59, Constants!$B$19, 0))</f>
        <v>0.27</v>
      </c>
      <c r="BE59">
        <f>IF(S59&lt;&gt;"", S59, IF(Q59, Constants!$B$20, 0))</f>
        <v>0.26</v>
      </c>
      <c r="BF59">
        <f>IF(V59&lt;&gt;"", V59, IF(T59, Constants!$B$20, 0))</f>
        <v>0.26</v>
      </c>
      <c r="BG59">
        <f>IF(Y59&lt;&gt;"", Y59,  IF(W59, Constants!$B$20, 0))</f>
        <v>0.26</v>
      </c>
      <c r="BH59">
        <f t="shared" si="254"/>
        <v>0.14599999999999999</v>
      </c>
      <c r="BI59">
        <f t="shared" si="255"/>
        <v>0.23500000000000001</v>
      </c>
      <c r="BJ59">
        <f t="shared" si="256"/>
        <v>0.2</v>
      </c>
      <c r="BK59">
        <f t="shared" si="257"/>
        <v>0.14599999999999999</v>
      </c>
      <c r="BL59">
        <f t="shared" si="258"/>
        <v>0.2</v>
      </c>
      <c r="BM59">
        <f t="shared" si="259"/>
        <v>7.2999999999999995E-2</v>
      </c>
      <c r="BN59">
        <f>Constants!$B$21</f>
        <v>0.45</v>
      </c>
      <c r="BO59">
        <f>Constants!$B$22</f>
        <v>0.6784</v>
      </c>
      <c r="BP59">
        <f>_xlfn.XLOOKUP($B59,Constants!$G$20:$G$38, Constants!H$20:H$38)</f>
        <v>0.8</v>
      </c>
      <c r="BQ59">
        <f>_xlfn.XLOOKUP($B59,Constants!$G$20:$G$38, Constants!I$20:I$38)</f>
        <v>0.02</v>
      </c>
      <c r="BR59">
        <f>_xlfn.XLOOKUP($A59,Constants!$F$9:$M$9,Constants!$F$12:$M$12)</f>
        <v>0.03</v>
      </c>
      <c r="BS59">
        <f>_xlfn.XLOOKUP($B59,Constants!$G$20:$G$38, Constants!J$20:J$38)</f>
        <v>0.1</v>
      </c>
      <c r="BT59">
        <f>_xlfn.XLOOKUP($B59,Constants!$G$20:$G$38, Constants!K$20:K$38)</f>
        <v>0.04</v>
      </c>
      <c r="BU59">
        <f>_xlfn.XLOOKUP($B59,Constants!$G$20:$G$38, Constants!L$20:L$38)</f>
        <v>0.03</v>
      </c>
      <c r="BV59">
        <f>_xlfn.XLOOKUP($B59,Constants!$G$20:$G$38, Constants!P$20:P$38)</f>
        <v>0</v>
      </c>
      <c r="BW59">
        <f t="shared" si="167"/>
        <v>1.3192980480000002E-2</v>
      </c>
      <c r="BX59">
        <f t="shared" si="168"/>
        <v>5.3088191999999998E-4</v>
      </c>
      <c r="BY59">
        <f t="shared" si="169"/>
        <v>6.7772159999999993E-4</v>
      </c>
      <c r="BZ59">
        <f t="shared" si="170"/>
        <v>1.6491225600000002E-3</v>
      </c>
      <c r="CA59">
        <f t="shared" si="171"/>
        <v>9.0362880000000002E-4</v>
      </c>
      <c r="CB59">
        <f t="shared" si="172"/>
        <v>2.4736838399999996E-4</v>
      </c>
      <c r="CC59">
        <f t="shared" si="173"/>
        <v>1.2221810510112001</v>
      </c>
      <c r="CD59">
        <f>Constants!$E$10</f>
        <v>0</v>
      </c>
      <c r="CE59">
        <f>Constants!$E$11</f>
        <v>0</v>
      </c>
      <c r="CF59">
        <f>Constants!$E$13</f>
        <v>0.75</v>
      </c>
      <c r="CG59">
        <f>Constants!$E$14</f>
        <v>0.05</v>
      </c>
      <c r="CH59">
        <f>Constants!$E$15</f>
        <v>0</v>
      </c>
      <c r="CI59">
        <f t="shared" si="174"/>
        <v>0.14599999999999999</v>
      </c>
      <c r="CJ59">
        <f t="shared" si="175"/>
        <v>0.23500000000000001</v>
      </c>
      <c r="CK59">
        <f t="shared" si="176"/>
        <v>3.6499999999999998E-2</v>
      </c>
      <c r="CL59">
        <f t="shared" si="177"/>
        <v>0.19</v>
      </c>
      <c r="CM59">
        <f t="shared" si="178"/>
        <v>7.2999999999999995E-2</v>
      </c>
      <c r="CN59">
        <f t="shared" si="179"/>
        <v>0.25178499999999998</v>
      </c>
      <c r="CO59">
        <f t="shared" si="180"/>
        <v>0.12412500000000001</v>
      </c>
      <c r="CP59">
        <f t="shared" si="181"/>
        <v>0.10187500000000001</v>
      </c>
      <c r="CQ59">
        <f t="shared" si="182"/>
        <v>0.1515</v>
      </c>
      <c r="CR59">
        <f t="shared" si="183"/>
        <v>0.142375</v>
      </c>
      <c r="CS59">
        <f t="shared" si="184"/>
        <v>0.16062499999999999</v>
      </c>
      <c r="CT59">
        <f t="shared" si="260"/>
        <v>1.1216292480000003E-2</v>
      </c>
      <c r="CU59">
        <f t="shared" si="185"/>
        <v>2.3014296000000003E-4</v>
      </c>
      <c r="CV59">
        <f t="shared" si="261"/>
        <v>1.7112470400000002E-3</v>
      </c>
      <c r="CW59">
        <f t="shared" si="262"/>
        <v>4.8245306400000005E-4</v>
      </c>
      <c r="CX59">
        <f t="shared" si="263"/>
        <v>0</v>
      </c>
      <c r="CY59">
        <f t="shared" si="186"/>
        <v>0.96913163040120032</v>
      </c>
      <c r="CZ59">
        <f t="shared" si="264"/>
        <v>2.1913126814124002</v>
      </c>
      <c r="DB59">
        <f t="shared" si="223"/>
        <v>2842</v>
      </c>
      <c r="DC59">
        <f t="shared" si="265"/>
        <v>0.14799999999999999</v>
      </c>
      <c r="DD59">
        <f t="shared" si="266"/>
        <v>0.23</v>
      </c>
      <c r="DE59">
        <f t="shared" si="267"/>
        <v>0.2</v>
      </c>
      <c r="DF59">
        <f t="shared" si="268"/>
        <v>0.14799999999999999</v>
      </c>
      <c r="DG59">
        <f t="shared" si="269"/>
        <v>0.2</v>
      </c>
      <c r="DH59">
        <f t="shared" si="270"/>
        <v>7.3999999999999996E-2</v>
      </c>
      <c r="DI59">
        <f t="shared" si="309"/>
        <v>420.61599999999999</v>
      </c>
      <c r="DJ59">
        <f t="shared" si="296"/>
        <v>653.66000000000008</v>
      </c>
      <c r="DK59">
        <f t="shared" si="297"/>
        <v>568.4</v>
      </c>
      <c r="DL59">
        <f t="shared" si="298"/>
        <v>420.61599999999999</v>
      </c>
      <c r="DM59">
        <f t="shared" si="299"/>
        <v>568.4</v>
      </c>
      <c r="DN59">
        <f t="shared" si="300"/>
        <v>210.30799999999999</v>
      </c>
      <c r="DO59" s="6">
        <f>Constants!$C$10</f>
        <v>0.55000000000000004</v>
      </c>
      <c r="DP59" s="6">
        <f>Constants!$C$11</f>
        <v>0.2</v>
      </c>
      <c r="DQ59" s="6">
        <f>Constants!$C$12</f>
        <v>0.3</v>
      </c>
      <c r="DR59" s="6">
        <f>Constants!$C$13</f>
        <v>0</v>
      </c>
      <c r="DS59" s="6">
        <f>Constants!$C$14</f>
        <v>0.125</v>
      </c>
      <c r="DT59" s="6">
        <f>Constants!$C$15</f>
        <v>0.25</v>
      </c>
      <c r="DU59" s="6">
        <f>Constants!$D$10</f>
        <v>0</v>
      </c>
      <c r="DV59" s="6">
        <f>Constants!$D$11</f>
        <v>5.0000000000000001E-3</v>
      </c>
      <c r="DW59" s="6">
        <f>Constants!$D$12</f>
        <v>0.02</v>
      </c>
      <c r="DX59" s="6">
        <f>Constants!$D$13</f>
        <v>0</v>
      </c>
      <c r="DY59" s="6">
        <f>Constants!$D$14</f>
        <v>0.01</v>
      </c>
      <c r="DZ59" s="6">
        <f>Constants!$D$15</f>
        <v>2E-3</v>
      </c>
      <c r="EA59">
        <f>Constants!$B$23</f>
        <v>1.57</v>
      </c>
      <c r="EB59">
        <f t="shared" si="271"/>
        <v>0</v>
      </c>
      <c r="EC59">
        <f t="shared" si="192"/>
        <v>5.1312310000000005</v>
      </c>
      <c r="ED59">
        <f t="shared" si="193"/>
        <v>17.847760000000001</v>
      </c>
      <c r="EE59">
        <f t="shared" si="194"/>
        <v>0</v>
      </c>
      <c r="EF59">
        <f t="shared" si="195"/>
        <v>8.9238800000000005</v>
      </c>
      <c r="EG59">
        <f t="shared" si="196"/>
        <v>0.66036711999999997</v>
      </c>
      <c r="EH59">
        <f t="shared" si="301"/>
        <v>189.27719999999997</v>
      </c>
      <c r="EI59">
        <f t="shared" si="302"/>
        <v>519.65970000000004</v>
      </c>
      <c r="EJ59">
        <f t="shared" si="303"/>
        <v>420.61599999999999</v>
      </c>
      <c r="EK59">
        <f t="shared" si="304"/>
        <v>491.666</v>
      </c>
      <c r="EL59">
        <f t="shared" si="305"/>
        <v>157.310384</v>
      </c>
      <c r="EM59">
        <f t="shared" si="272"/>
        <v>372.72972100000004</v>
      </c>
      <c r="EN59">
        <f t="shared" si="273"/>
        <v>290.134096</v>
      </c>
      <c r="EO59">
        <f t="shared" si="274"/>
        <v>314.89502100000004</v>
      </c>
      <c r="EP59">
        <f t="shared" si="275"/>
        <v>380.72142500000007</v>
      </c>
      <c r="EQ59">
        <f t="shared" si="276"/>
        <v>420.04902100000004</v>
      </c>
      <c r="ER59">
        <f t="shared" si="277"/>
        <v>0</v>
      </c>
      <c r="ES59">
        <f t="shared" si="278"/>
        <v>2.2775526536000004</v>
      </c>
      <c r="ET59">
        <f t="shared" si="279"/>
        <v>0</v>
      </c>
      <c r="EU59">
        <f t="shared" si="280"/>
        <v>1.1954652745000003</v>
      </c>
      <c r="EV59">
        <f t="shared" si="281"/>
        <v>0</v>
      </c>
      <c r="EW59">
        <f t="shared" si="282"/>
        <v>3.6036256048099999E-2</v>
      </c>
      <c r="EY59">
        <f t="shared" si="283"/>
        <v>231.33880000000002</v>
      </c>
      <c r="EZ59">
        <f t="shared" si="205"/>
        <v>130.73200000000003</v>
      </c>
      <c r="FA59">
        <f t="shared" si="206"/>
        <v>170.51999999999998</v>
      </c>
      <c r="FB59">
        <f t="shared" si="207"/>
        <v>0</v>
      </c>
      <c r="FC59">
        <f t="shared" si="208"/>
        <v>71.05</v>
      </c>
      <c r="FD59">
        <f t="shared" si="209"/>
        <v>52.576999999999998</v>
      </c>
      <c r="FE59">
        <f t="shared" si="284"/>
        <v>205.00134655000005</v>
      </c>
      <c r="FF59">
        <f t="shared" si="285"/>
        <v>58.026819200000006</v>
      </c>
      <c r="FG59">
        <f t="shared" si="286"/>
        <v>0</v>
      </c>
      <c r="FH59">
        <f t="shared" si="287"/>
        <v>95.180356250000017</v>
      </c>
      <c r="FI59">
        <f t="shared" si="288"/>
        <v>0</v>
      </c>
      <c r="FJ59">
        <f t="shared" si="289"/>
        <v>1014.426322</v>
      </c>
      <c r="FK59">
        <f>_xlfn.XLOOKUP(C59, Constants!$D$19:$D$23, Constants!$E$19:$E$23)</f>
        <v>5.8999999999999999E-3</v>
      </c>
      <c r="FL59">
        <f t="shared" si="247"/>
        <v>9.3966310206860006E-3</v>
      </c>
      <c r="FN59">
        <f>Constants!$B$24</f>
        <v>1.0999999999999999E-2</v>
      </c>
      <c r="FO59">
        <f t="shared" si="290"/>
        <v>1</v>
      </c>
      <c r="FP59">
        <f>Constants!$B$25</f>
        <v>0.02</v>
      </c>
      <c r="FQ59">
        <f t="shared" si="210"/>
        <v>11.368</v>
      </c>
      <c r="FR59">
        <f t="shared" si="211"/>
        <v>0.19632536</v>
      </c>
    </row>
    <row r="60" spans="1:175" x14ac:dyDescent="0.2">
      <c r="A60" t="s">
        <v>39</v>
      </c>
      <c r="B60" s="6" t="s">
        <v>193</v>
      </c>
      <c r="C60" s="6" t="s">
        <v>75</v>
      </c>
      <c r="D60" s="6" t="b">
        <v>1</v>
      </c>
      <c r="E60" s="6" t="s">
        <v>27</v>
      </c>
      <c r="F60" s="6">
        <v>434</v>
      </c>
      <c r="G60" s="6">
        <v>280</v>
      </c>
      <c r="H60" s="6"/>
      <c r="I60">
        <v>0.37</v>
      </c>
      <c r="J60">
        <v>0.04</v>
      </c>
      <c r="K60" s="6">
        <v>0.2</v>
      </c>
      <c r="L60" s="6">
        <v>0.1</v>
      </c>
      <c r="M60" s="6">
        <v>0.2</v>
      </c>
      <c r="N60" s="6">
        <v>0.2</v>
      </c>
      <c r="O60" s="6">
        <v>0.2</v>
      </c>
      <c r="P60" s="6">
        <v>0.1</v>
      </c>
      <c r="Q60" s="6" t="b">
        <v>1</v>
      </c>
      <c r="R60">
        <v>0.26</v>
      </c>
      <c r="S60">
        <v>0.27</v>
      </c>
      <c r="T60" s="6" t="b">
        <v>1</v>
      </c>
      <c r="U60">
        <v>0.26</v>
      </c>
      <c r="V60">
        <v>0.27</v>
      </c>
      <c r="W60" s="6" t="b">
        <v>1</v>
      </c>
      <c r="X60">
        <v>0.26</v>
      </c>
      <c r="Y60">
        <v>0.27</v>
      </c>
      <c r="Z60" s="23"/>
      <c r="AA60">
        <v>0.25</v>
      </c>
      <c r="AB60">
        <v>0.25</v>
      </c>
      <c r="AC60">
        <v>0.25</v>
      </c>
      <c r="AD60">
        <v>0.25</v>
      </c>
      <c r="AE60" s="21">
        <v>0.25</v>
      </c>
      <c r="AF60" s="20"/>
      <c r="AG60">
        <v>0.25</v>
      </c>
      <c r="AH60">
        <v>0.25</v>
      </c>
      <c r="AI60">
        <v>0.25</v>
      </c>
      <c r="AJ60" s="21">
        <v>0.25</v>
      </c>
      <c r="AK60">
        <v>0.25</v>
      </c>
      <c r="AL60" s="20"/>
      <c r="AM60">
        <v>0.25</v>
      </c>
      <c r="AN60">
        <v>0.25</v>
      </c>
      <c r="AO60" s="21">
        <v>0.2</v>
      </c>
      <c r="AP60">
        <v>0.2</v>
      </c>
      <c r="AQ60">
        <v>0.2</v>
      </c>
      <c r="AR60">
        <v>0.2</v>
      </c>
      <c r="AS60">
        <v>0.2</v>
      </c>
      <c r="AT60" s="21">
        <v>0.25</v>
      </c>
      <c r="AU60">
        <v>0.25</v>
      </c>
      <c r="AV60">
        <v>0.25</v>
      </c>
      <c r="AW60" s="20"/>
      <c r="AX60">
        <v>0.25</v>
      </c>
      <c r="AY60" s="21">
        <f>IF(H60&lt;&gt;"", H60, _xlfn.XLOOKUP($E60,Constants!$A$3:$A$6, Constants!B$3:B$6))</f>
        <v>2.5</v>
      </c>
      <c r="AZ60">
        <f>IF(I60&lt;&gt;"", I60, _xlfn.XLOOKUP($E60,Constants!$A$3:$A$6, Constants!C$3:C$6))</f>
        <v>0.37</v>
      </c>
      <c r="BA60">
        <f>IF(J60&lt;&gt;"", J60, _xlfn.XLOOKUP($E60,Constants!$A$3:$A$6, Constants!D$3:D$6))</f>
        <v>0.04</v>
      </c>
      <c r="BB60">
        <f>IF(R60&lt;&gt;"", R60, IF(Q60, Constants!$B$19, 0))</f>
        <v>0.26</v>
      </c>
      <c r="BC60">
        <f>IF(U60&lt;&gt;"", U60,  IF(T60, Constants!$B$19, 0))</f>
        <v>0.26</v>
      </c>
      <c r="BD60">
        <f>IF(X60&lt;&gt;"", X60,  IF(W60, Constants!$B$19, 0))</f>
        <v>0.26</v>
      </c>
      <c r="BE60">
        <f>IF(S60&lt;&gt;"", S60, IF(Q60, Constants!$B$20, 0))</f>
        <v>0.27</v>
      </c>
      <c r="BF60">
        <f>IF(V60&lt;&gt;"", V60, IF(T60, Constants!$B$20, 0))</f>
        <v>0.27</v>
      </c>
      <c r="BG60">
        <f>IF(Y60&lt;&gt;"", Y60,  IF(W60, Constants!$B$20, 0))</f>
        <v>0.27</v>
      </c>
      <c r="BH60">
        <f t="shared" si="254"/>
        <v>0.14799999999999999</v>
      </c>
      <c r="BI60">
        <f t="shared" si="255"/>
        <v>0.23</v>
      </c>
      <c r="BJ60">
        <f t="shared" si="256"/>
        <v>0.2</v>
      </c>
      <c r="BK60">
        <f t="shared" si="257"/>
        <v>0.14799999999999999</v>
      </c>
      <c r="BL60">
        <f t="shared" si="258"/>
        <v>0.2</v>
      </c>
      <c r="BM60">
        <f t="shared" si="259"/>
        <v>7.3999999999999996E-2</v>
      </c>
      <c r="BN60">
        <f>Constants!$B$21</f>
        <v>0.45</v>
      </c>
      <c r="BO60">
        <f>Constants!$B$22</f>
        <v>0.6784</v>
      </c>
      <c r="BP60">
        <f>_xlfn.XLOOKUP($B60,Constants!$G$20:$G$38, Constants!H$20:H$38)</f>
        <v>0.8</v>
      </c>
      <c r="BQ60">
        <f>_xlfn.XLOOKUP($B60,Constants!$G$20:$G$38, Constants!I$20:I$38)</f>
        <v>0.02</v>
      </c>
      <c r="BR60">
        <f>_xlfn.XLOOKUP($A60,Constants!$F$9:$M$9,Constants!$F$12:$M$12)</f>
        <v>0.03</v>
      </c>
      <c r="BS60">
        <f>_xlfn.XLOOKUP($B60,Constants!$G$20:$G$38, Constants!J$20:J$38)</f>
        <v>0.1</v>
      </c>
      <c r="BT60">
        <f>_xlfn.XLOOKUP($B60,Constants!$G$20:$G$38, Constants!K$20:K$38)</f>
        <v>0.04</v>
      </c>
      <c r="BU60">
        <f>_xlfn.XLOOKUP($B60,Constants!$G$20:$G$38, Constants!L$20:L$38)</f>
        <v>0.03</v>
      </c>
      <c r="BV60">
        <f>_xlfn.XLOOKUP($B60,Constants!$G$20:$G$38, Constants!P$20:P$38)</f>
        <v>0</v>
      </c>
      <c r="BW60">
        <f t="shared" si="167"/>
        <v>1.3373706240000002E-2</v>
      </c>
      <c r="BX60">
        <f t="shared" si="168"/>
        <v>5.1958656000000009E-4</v>
      </c>
      <c r="BY60">
        <f t="shared" si="169"/>
        <v>6.7772159999999993E-4</v>
      </c>
      <c r="BZ60">
        <f t="shared" si="170"/>
        <v>1.6717132800000002E-3</v>
      </c>
      <c r="CA60">
        <f t="shared" si="171"/>
        <v>9.0362880000000002E-4</v>
      </c>
      <c r="CB60">
        <f t="shared" si="172"/>
        <v>2.5075699199999998E-4</v>
      </c>
      <c r="CC60">
        <f t="shared" si="173"/>
        <v>2.1140972291174407</v>
      </c>
      <c r="CD60">
        <f>Constants!$E$10</f>
        <v>0</v>
      </c>
      <c r="CE60">
        <f>Constants!$E$11</f>
        <v>0</v>
      </c>
      <c r="CF60">
        <f>Constants!$E$13</f>
        <v>0.75</v>
      </c>
      <c r="CG60">
        <f>Constants!$E$14</f>
        <v>0.05</v>
      </c>
      <c r="CH60">
        <f>Constants!$E$15</f>
        <v>0</v>
      </c>
      <c r="CI60">
        <f t="shared" si="174"/>
        <v>0.14799999999999999</v>
      </c>
      <c r="CJ60">
        <f t="shared" si="175"/>
        <v>0.23</v>
      </c>
      <c r="CK60">
        <f t="shared" si="176"/>
        <v>3.6999999999999998E-2</v>
      </c>
      <c r="CL60">
        <f t="shared" si="177"/>
        <v>0.19</v>
      </c>
      <c r="CM60">
        <f t="shared" si="178"/>
        <v>7.3999999999999996E-2</v>
      </c>
      <c r="CN60">
        <f t="shared" si="179"/>
        <v>0.25122999999999995</v>
      </c>
      <c r="CO60">
        <f t="shared" si="180"/>
        <v>0.12325000000000001</v>
      </c>
      <c r="CP60">
        <f t="shared" si="181"/>
        <v>0.10275000000000001</v>
      </c>
      <c r="CQ60">
        <f t="shared" si="182"/>
        <v>0.151</v>
      </c>
      <c r="CR60">
        <f t="shared" si="183"/>
        <v>0.14174999999999999</v>
      </c>
      <c r="CS60">
        <f t="shared" si="184"/>
        <v>0.16024999999999998</v>
      </c>
      <c r="CT60">
        <f t="shared" si="260"/>
        <v>1.1137224960000001E-2</v>
      </c>
      <c r="CU60">
        <f t="shared" si="185"/>
        <v>2.3211964800000007E-4</v>
      </c>
      <c r="CV60">
        <f t="shared" si="261"/>
        <v>1.7055993599999998E-3</v>
      </c>
      <c r="CW60">
        <f t="shared" si="262"/>
        <v>4.8033518399999994E-4</v>
      </c>
      <c r="CX60">
        <f t="shared" si="263"/>
        <v>0</v>
      </c>
      <c r="CY60">
        <f t="shared" si="186"/>
        <v>1.6472375225510403</v>
      </c>
      <c r="CZ60">
        <f t="shared" si="264"/>
        <v>3.761334751668481</v>
      </c>
      <c r="DB60">
        <f t="shared" si="223"/>
        <v>4860.8</v>
      </c>
      <c r="DC60">
        <f t="shared" si="265"/>
        <v>0.14599999999999999</v>
      </c>
      <c r="DD60">
        <f t="shared" si="266"/>
        <v>0.23500000000000001</v>
      </c>
      <c r="DE60">
        <f t="shared" si="267"/>
        <v>0.2</v>
      </c>
      <c r="DF60">
        <f t="shared" si="268"/>
        <v>0.14599999999999999</v>
      </c>
      <c r="DG60">
        <f t="shared" si="269"/>
        <v>0.2</v>
      </c>
      <c r="DH60">
        <f t="shared" si="270"/>
        <v>7.2999999999999995E-2</v>
      </c>
      <c r="DI60">
        <f t="shared" si="309"/>
        <v>709.67679999999996</v>
      </c>
      <c r="DJ60">
        <f t="shared" si="296"/>
        <v>1142.288</v>
      </c>
      <c r="DK60">
        <f t="shared" si="297"/>
        <v>972.16000000000008</v>
      </c>
      <c r="DL60">
        <f t="shared" si="298"/>
        <v>709.67679999999996</v>
      </c>
      <c r="DM60">
        <f t="shared" si="299"/>
        <v>972.16000000000008</v>
      </c>
      <c r="DN60">
        <f t="shared" si="300"/>
        <v>354.83839999999998</v>
      </c>
      <c r="DO60" s="6">
        <f>Constants!$C$10</f>
        <v>0.55000000000000004</v>
      </c>
      <c r="DP60" s="6">
        <f>Constants!$C$11</f>
        <v>0.2</v>
      </c>
      <c r="DQ60" s="6">
        <f>Constants!$C$12</f>
        <v>0.3</v>
      </c>
      <c r="DR60" s="6">
        <f>Constants!$C$13</f>
        <v>0</v>
      </c>
      <c r="DS60" s="6">
        <f>Constants!$C$14</f>
        <v>0.125</v>
      </c>
      <c r="DT60" s="6">
        <f>Constants!$C$15</f>
        <v>0.25</v>
      </c>
      <c r="DU60" s="6">
        <f>Constants!$D$10</f>
        <v>0</v>
      </c>
      <c r="DV60" s="6">
        <f>Constants!$D$11</f>
        <v>5.0000000000000001E-3</v>
      </c>
      <c r="DW60" s="6">
        <f>Constants!$D$12</f>
        <v>0.02</v>
      </c>
      <c r="DX60" s="6">
        <f>Constants!$D$13</f>
        <v>0</v>
      </c>
      <c r="DY60" s="6">
        <f>Constants!$D$14</f>
        <v>0.01</v>
      </c>
      <c r="DZ60" s="6">
        <f>Constants!$D$15</f>
        <v>2E-3</v>
      </c>
      <c r="EA60">
        <f>Constants!$B$23</f>
        <v>1.57</v>
      </c>
      <c r="EB60">
        <f t="shared" si="271"/>
        <v>0</v>
      </c>
      <c r="EC60">
        <f t="shared" si="192"/>
        <v>8.9669608000000007</v>
      </c>
      <c r="ED60">
        <f t="shared" si="193"/>
        <v>30.525824000000004</v>
      </c>
      <c r="EE60">
        <f t="shared" si="194"/>
        <v>0</v>
      </c>
      <c r="EF60">
        <f t="shared" si="195"/>
        <v>15.262912000000002</v>
      </c>
      <c r="EG60">
        <f t="shared" si="196"/>
        <v>1.114192576</v>
      </c>
      <c r="EH60">
        <f t="shared" si="301"/>
        <v>319.35455999999994</v>
      </c>
      <c r="EI60">
        <f t="shared" si="302"/>
        <v>908.11896000000002</v>
      </c>
      <c r="EJ60">
        <f t="shared" si="303"/>
        <v>709.67679999999996</v>
      </c>
      <c r="EK60">
        <f t="shared" si="304"/>
        <v>840.91840000000002</v>
      </c>
      <c r="EL60">
        <f t="shared" si="305"/>
        <v>265.4191232</v>
      </c>
      <c r="EM60">
        <f t="shared" si="272"/>
        <v>638.98740079999993</v>
      </c>
      <c r="EN60">
        <f t="shared" si="273"/>
        <v>491.79630079999998</v>
      </c>
      <c r="EO60">
        <f t="shared" si="274"/>
        <v>541.40684079999994</v>
      </c>
      <c r="EP60">
        <f t="shared" si="275"/>
        <v>652.47126000000003</v>
      </c>
      <c r="EQ60">
        <f t="shared" si="276"/>
        <v>718.82604079999999</v>
      </c>
      <c r="ER60">
        <f t="shared" si="277"/>
        <v>0</v>
      </c>
      <c r="ES60">
        <f t="shared" si="278"/>
        <v>3.8606009612800003</v>
      </c>
      <c r="ET60">
        <f t="shared" si="279"/>
        <v>0</v>
      </c>
      <c r="EU60">
        <f t="shared" si="280"/>
        <v>2.0487597564</v>
      </c>
      <c r="EV60">
        <f t="shared" si="281"/>
        <v>0</v>
      </c>
      <c r="EW60">
        <f t="shared" si="282"/>
        <v>6.1779250093680002E-2</v>
      </c>
      <c r="EY60">
        <f t="shared" si="283"/>
        <v>390.32224000000002</v>
      </c>
      <c r="EZ60">
        <f t="shared" si="205"/>
        <v>228.45760000000001</v>
      </c>
      <c r="FA60">
        <f t="shared" si="206"/>
        <v>291.64800000000002</v>
      </c>
      <c r="FB60">
        <f t="shared" si="207"/>
        <v>0</v>
      </c>
      <c r="FC60">
        <f t="shared" si="208"/>
        <v>121.52000000000001</v>
      </c>
      <c r="FD60">
        <f t="shared" si="209"/>
        <v>88.709599999999995</v>
      </c>
      <c r="FE60">
        <f t="shared" si="284"/>
        <v>351.44307043999999</v>
      </c>
      <c r="FF60">
        <f t="shared" si="285"/>
        <v>98.359260160000005</v>
      </c>
      <c r="FG60">
        <f t="shared" si="286"/>
        <v>0</v>
      </c>
      <c r="FH60">
        <f t="shared" si="287"/>
        <v>163.11781500000001</v>
      </c>
      <c r="FI60">
        <f t="shared" si="288"/>
        <v>0</v>
      </c>
      <c r="FJ60">
        <f t="shared" si="289"/>
        <v>1733.5775856</v>
      </c>
      <c r="FK60">
        <f>_xlfn.XLOOKUP(C60, Constants!$D$19:$D$23, Constants!$E$19:$E$23)</f>
        <v>5.8999999999999999E-3</v>
      </c>
      <c r="FL60">
        <f t="shared" si="247"/>
        <v>1.60581291754128E-2</v>
      </c>
      <c r="FN60">
        <f>Constants!$B$24</f>
        <v>1.0999999999999999E-2</v>
      </c>
      <c r="FO60">
        <f t="shared" si="290"/>
        <v>1</v>
      </c>
      <c r="FP60">
        <f>Constants!$B$25</f>
        <v>0.02</v>
      </c>
      <c r="FQ60">
        <f t="shared" si="210"/>
        <v>19.443200000000001</v>
      </c>
      <c r="FR60">
        <f t="shared" si="211"/>
        <v>0.33578406399999999</v>
      </c>
    </row>
    <row r="61" spans="1:175" x14ac:dyDescent="0.2">
      <c r="A61" s="2" t="s">
        <v>39</v>
      </c>
      <c r="B61" s="13" t="s">
        <v>193</v>
      </c>
      <c r="C61" s="13" t="s">
        <v>75</v>
      </c>
      <c r="D61" s="13" t="b">
        <v>1</v>
      </c>
      <c r="E61" s="13" t="s">
        <v>28</v>
      </c>
      <c r="F61" s="13">
        <v>44</v>
      </c>
      <c r="G61" s="13">
        <v>290</v>
      </c>
      <c r="H61" s="13"/>
      <c r="I61" s="2">
        <v>0.37</v>
      </c>
      <c r="J61" s="2">
        <v>0.04</v>
      </c>
      <c r="K61" s="13">
        <v>0.2</v>
      </c>
      <c r="L61" s="13">
        <v>0.1</v>
      </c>
      <c r="M61" s="13">
        <v>0.2</v>
      </c>
      <c r="N61" s="13">
        <v>0.2</v>
      </c>
      <c r="O61" s="13">
        <v>0.2</v>
      </c>
      <c r="P61" s="13">
        <v>0.1</v>
      </c>
      <c r="Q61" s="13" t="b">
        <v>1</v>
      </c>
      <c r="R61" s="2">
        <v>0.25</v>
      </c>
      <c r="S61" s="2">
        <v>0.28000000000000003</v>
      </c>
      <c r="T61" s="13" t="b">
        <v>1</v>
      </c>
      <c r="U61" s="2">
        <v>0.25</v>
      </c>
      <c r="V61" s="2">
        <v>0.28000000000000003</v>
      </c>
      <c r="W61" s="13" t="b">
        <v>1</v>
      </c>
      <c r="X61" s="2">
        <v>0.25</v>
      </c>
      <c r="Y61" s="2">
        <v>0.28000000000000003</v>
      </c>
      <c r="Z61" s="22"/>
      <c r="AA61" s="2">
        <v>0.25</v>
      </c>
      <c r="AB61" s="2">
        <v>0.25</v>
      </c>
      <c r="AC61" s="2">
        <v>0.25</v>
      </c>
      <c r="AD61" s="2">
        <v>0.25</v>
      </c>
      <c r="AE61" s="25">
        <v>0.25</v>
      </c>
      <c r="AF61" s="19"/>
      <c r="AG61" s="2">
        <v>0.25</v>
      </c>
      <c r="AH61" s="2">
        <v>0.25</v>
      </c>
      <c r="AI61" s="2">
        <v>0.25</v>
      </c>
      <c r="AJ61" s="25">
        <v>0.25</v>
      </c>
      <c r="AK61" s="2">
        <v>0.25</v>
      </c>
      <c r="AL61" s="19"/>
      <c r="AM61" s="2">
        <v>0.25</v>
      </c>
      <c r="AN61" s="2">
        <v>0.25</v>
      </c>
      <c r="AO61" s="25">
        <v>0.2</v>
      </c>
      <c r="AP61" s="2">
        <v>0.2</v>
      </c>
      <c r="AQ61" s="2">
        <v>0.2</v>
      </c>
      <c r="AR61" s="2">
        <v>0.2</v>
      </c>
      <c r="AS61" s="2">
        <v>0.2</v>
      </c>
      <c r="AT61" s="25">
        <v>0.25</v>
      </c>
      <c r="AU61" s="2">
        <v>0.25</v>
      </c>
      <c r="AV61" s="2">
        <v>0.25</v>
      </c>
      <c r="AW61" s="19"/>
      <c r="AX61" s="2">
        <v>0.25</v>
      </c>
      <c r="AY61" s="25">
        <f>IF(H61&lt;&gt;"", H61, _xlfn.XLOOKUP($E61,Constants!$A$3:$A$6, Constants!B$3:B$6))</f>
        <v>1.71</v>
      </c>
      <c r="AZ61" s="2">
        <f>IF(I61&lt;&gt;"", I61, _xlfn.XLOOKUP($E61,Constants!$A$3:$A$6, Constants!C$3:C$6))</f>
        <v>0.37</v>
      </c>
      <c r="BA61" s="2">
        <f>IF(J61&lt;&gt;"", J61, _xlfn.XLOOKUP($E61,Constants!$A$3:$A$6, Constants!D$3:D$6))</f>
        <v>0.04</v>
      </c>
      <c r="BB61" s="2">
        <f>IF(R61&lt;&gt;"", R61, IF(Q61, Constants!$B$19, 0))</f>
        <v>0.25</v>
      </c>
      <c r="BC61" s="2">
        <f>IF(U61&lt;&gt;"", U61,  IF(T61, Constants!$B$19, 0))</f>
        <v>0.25</v>
      </c>
      <c r="BD61" s="2">
        <f>IF(X61&lt;&gt;"", X61,  IF(W61, Constants!$B$19, 0))</f>
        <v>0.25</v>
      </c>
      <c r="BE61" s="2">
        <f>IF(S61&lt;&gt;"", S61, IF(Q61, Constants!$B$20, 0))</f>
        <v>0.28000000000000003</v>
      </c>
      <c r="BF61" s="2">
        <f>IF(V61&lt;&gt;"", V61, IF(T61, Constants!$B$20, 0))</f>
        <v>0.28000000000000003</v>
      </c>
      <c r="BG61" s="2">
        <f>IF(Y61&lt;&gt;"", Y61,  IF(W61, Constants!$B$20, 0))</f>
        <v>0.28000000000000003</v>
      </c>
      <c r="BH61" s="2">
        <f t="shared" si="254"/>
        <v>0.15000000000000002</v>
      </c>
      <c r="BI61" s="2">
        <f t="shared" si="255"/>
        <v>0.22500000000000001</v>
      </c>
      <c r="BJ61" s="2">
        <f t="shared" si="256"/>
        <v>0.2</v>
      </c>
      <c r="BK61" s="2">
        <f t="shared" si="257"/>
        <v>0.15000000000000002</v>
      </c>
      <c r="BL61" s="2">
        <f t="shared" si="258"/>
        <v>0.2</v>
      </c>
      <c r="BM61" s="2">
        <f t="shared" si="259"/>
        <v>7.5000000000000011E-2</v>
      </c>
      <c r="BN61" s="2">
        <f>Constants!$B$21</f>
        <v>0.45</v>
      </c>
      <c r="BO61" s="2">
        <f>Constants!$B$22</f>
        <v>0.6784</v>
      </c>
      <c r="BP61" s="2">
        <f>_xlfn.XLOOKUP($B61,Constants!$G$20:$G$38, Constants!H$20:H$38)</f>
        <v>0.8</v>
      </c>
      <c r="BQ61" s="2">
        <f>_xlfn.XLOOKUP($B61,Constants!$G$20:$G$38, Constants!I$20:I$38)</f>
        <v>0.02</v>
      </c>
      <c r="BR61" s="2">
        <f>_xlfn.XLOOKUP($A61,Constants!$F$9:$M$9,Constants!$F$12:$M$12)</f>
        <v>0.03</v>
      </c>
      <c r="BS61" s="2">
        <f>_xlfn.XLOOKUP($B61,Constants!$G$20:$G$38, Constants!J$20:J$38)</f>
        <v>0.1</v>
      </c>
      <c r="BT61" s="2">
        <f>_xlfn.XLOOKUP($B61,Constants!$G$20:$G$38, Constants!K$20:K$38)</f>
        <v>0.04</v>
      </c>
      <c r="BU61" s="2">
        <f>_xlfn.XLOOKUP($B61,Constants!$G$20:$G$38, Constants!L$20:L$38)</f>
        <v>0.03</v>
      </c>
      <c r="BV61" s="2">
        <f>_xlfn.XLOOKUP($B61,Constants!$G$20:$G$38, Constants!P$20:P$38)</f>
        <v>0</v>
      </c>
      <c r="BW61" s="2">
        <f t="shared" si="167"/>
        <v>1.3554432000000003E-2</v>
      </c>
      <c r="BX61" s="2">
        <f t="shared" si="168"/>
        <v>5.0829119999999998E-4</v>
      </c>
      <c r="BY61" s="2">
        <f t="shared" si="169"/>
        <v>6.7772159999999993E-4</v>
      </c>
      <c r="BZ61" s="2">
        <f t="shared" si="170"/>
        <v>1.6943040000000004E-3</v>
      </c>
      <c r="CA61" s="2">
        <f t="shared" si="171"/>
        <v>9.0362880000000002E-4</v>
      </c>
      <c r="CB61" s="2">
        <f t="shared" si="172"/>
        <v>2.5414560000000004E-4</v>
      </c>
      <c r="CC61" s="2">
        <f t="shared" si="173"/>
        <v>0.22448059603200002</v>
      </c>
      <c r="CD61" s="2">
        <f>Constants!$E$10</f>
        <v>0</v>
      </c>
      <c r="CE61" s="2">
        <f>Constants!$E$11</f>
        <v>0</v>
      </c>
      <c r="CF61" s="2">
        <f>Constants!$E$13</f>
        <v>0.75</v>
      </c>
      <c r="CG61" s="2">
        <f>Constants!$E$14</f>
        <v>0.05</v>
      </c>
      <c r="CH61" s="2">
        <f>Constants!$E$15</f>
        <v>0</v>
      </c>
      <c r="CI61" s="2">
        <f t="shared" si="174"/>
        <v>0.15000000000000002</v>
      </c>
      <c r="CJ61" s="2">
        <f t="shared" si="175"/>
        <v>0.22500000000000001</v>
      </c>
      <c r="CK61" s="2">
        <f t="shared" si="176"/>
        <v>3.7500000000000006E-2</v>
      </c>
      <c r="CL61" s="2">
        <f t="shared" si="177"/>
        <v>0.19</v>
      </c>
      <c r="CM61" s="2">
        <f t="shared" si="178"/>
        <v>7.5000000000000011E-2</v>
      </c>
      <c r="CN61" s="2">
        <f t="shared" si="179"/>
        <v>0.25067499999999998</v>
      </c>
      <c r="CO61" s="2">
        <f t="shared" si="180"/>
        <v>0.12237500000000001</v>
      </c>
      <c r="CP61" s="2">
        <f t="shared" si="181"/>
        <v>0.10362500000000001</v>
      </c>
      <c r="CQ61" s="2">
        <f t="shared" si="182"/>
        <v>0.15050000000000002</v>
      </c>
      <c r="CR61" s="2">
        <f t="shared" si="183"/>
        <v>0.141125</v>
      </c>
      <c r="CS61" s="2">
        <f t="shared" si="184"/>
        <v>0.15987499999999999</v>
      </c>
      <c r="CT61" s="2">
        <f t="shared" si="260"/>
        <v>1.1058157440000002E-2</v>
      </c>
      <c r="CU61" s="2">
        <f t="shared" si="185"/>
        <v>2.3409633600000003E-4</v>
      </c>
      <c r="CV61" s="2">
        <f t="shared" si="261"/>
        <v>1.6999516800000002E-3</v>
      </c>
      <c r="CW61" s="2">
        <f t="shared" si="262"/>
        <v>4.7821730400000005E-4</v>
      </c>
      <c r="CX61" s="2">
        <f t="shared" si="263"/>
        <v>0</v>
      </c>
      <c r="CY61" s="2">
        <f t="shared" si="186"/>
        <v>0.17188259441760004</v>
      </c>
      <c r="CZ61" s="2">
        <f t="shared" si="264"/>
        <v>0.39636319044960006</v>
      </c>
      <c r="DA61" s="2"/>
      <c r="DB61" s="2">
        <f t="shared" si="223"/>
        <v>510.40000000000003</v>
      </c>
      <c r="DC61" s="2">
        <f t="shared" si="265"/>
        <v>0.14399999999999999</v>
      </c>
      <c r="DD61" s="2">
        <f t="shared" si="266"/>
        <v>0.24000000000000002</v>
      </c>
      <c r="DE61" s="2">
        <f t="shared" si="267"/>
        <v>0.2</v>
      </c>
      <c r="DF61" s="2">
        <f t="shared" si="268"/>
        <v>0.14399999999999999</v>
      </c>
      <c r="DG61" s="2">
        <f t="shared" si="269"/>
        <v>0.2</v>
      </c>
      <c r="DH61" s="2">
        <f t="shared" si="270"/>
        <v>7.1999999999999995E-2</v>
      </c>
      <c r="DI61" s="2">
        <f t="shared" si="309"/>
        <v>73.497600000000006</v>
      </c>
      <c r="DJ61" s="2">
        <f t="shared" si="296"/>
        <v>122.49600000000002</v>
      </c>
      <c r="DK61" s="2">
        <f t="shared" si="297"/>
        <v>102.08000000000001</v>
      </c>
      <c r="DL61" s="2">
        <f t="shared" si="298"/>
        <v>73.497600000000006</v>
      </c>
      <c r="DM61" s="2">
        <f t="shared" si="299"/>
        <v>102.08000000000001</v>
      </c>
      <c r="DN61" s="2">
        <f t="shared" si="300"/>
        <v>36.748800000000003</v>
      </c>
      <c r="DO61" s="13">
        <f>Constants!$C$10</f>
        <v>0.55000000000000004</v>
      </c>
      <c r="DP61" s="13">
        <f>Constants!$C$11</f>
        <v>0.2</v>
      </c>
      <c r="DQ61" s="13">
        <f>Constants!$C$12</f>
        <v>0.3</v>
      </c>
      <c r="DR61" s="13">
        <f>Constants!$C$13</f>
        <v>0</v>
      </c>
      <c r="DS61" s="13">
        <f>Constants!$C$14</f>
        <v>0.125</v>
      </c>
      <c r="DT61" s="13">
        <f>Constants!$C$15</f>
        <v>0.25</v>
      </c>
      <c r="DU61" s="13">
        <f>Constants!$D$10</f>
        <v>0</v>
      </c>
      <c r="DV61" s="13">
        <f>Constants!$D$11</f>
        <v>5.0000000000000001E-3</v>
      </c>
      <c r="DW61" s="13">
        <f>Constants!$D$12</f>
        <v>0.02</v>
      </c>
      <c r="DX61" s="13">
        <f>Constants!$D$13</f>
        <v>0</v>
      </c>
      <c r="DY61" s="13">
        <f>Constants!$D$14</f>
        <v>0.01</v>
      </c>
      <c r="DZ61" s="13">
        <f>Constants!$D$15</f>
        <v>2E-3</v>
      </c>
      <c r="EA61" s="2">
        <f>Constants!$B$23</f>
        <v>1.57</v>
      </c>
      <c r="EB61" s="2">
        <f t="shared" si="271"/>
        <v>0</v>
      </c>
      <c r="EC61" s="2">
        <f t="shared" si="192"/>
        <v>0.96159360000000027</v>
      </c>
      <c r="ED61" s="2">
        <f t="shared" si="193"/>
        <v>3.2053120000000006</v>
      </c>
      <c r="EE61" s="2">
        <f t="shared" si="194"/>
        <v>0</v>
      </c>
      <c r="EF61" s="2">
        <f t="shared" si="195"/>
        <v>1.6026560000000003</v>
      </c>
      <c r="EG61" s="2">
        <f t="shared" si="196"/>
        <v>0.11539123200000002</v>
      </c>
      <c r="EH61" s="2">
        <f t="shared" si="301"/>
        <v>33.073920000000001</v>
      </c>
      <c r="EI61" s="2">
        <f t="shared" si="302"/>
        <v>97.384320000000017</v>
      </c>
      <c r="EJ61" s="2">
        <f t="shared" si="303"/>
        <v>73.497600000000006</v>
      </c>
      <c r="EK61" s="2">
        <f t="shared" si="304"/>
        <v>88.299200000000013</v>
      </c>
      <c r="EL61" s="2">
        <f t="shared" si="305"/>
        <v>27.488102400000002</v>
      </c>
      <c r="EM61" s="2">
        <f t="shared" si="272"/>
        <v>67.252345600000012</v>
      </c>
      <c r="EN61" s="2">
        <f t="shared" si="273"/>
        <v>51.174745600000008</v>
      </c>
      <c r="EO61" s="2">
        <f t="shared" si="274"/>
        <v>57.146425600000008</v>
      </c>
      <c r="EP61" s="2">
        <f t="shared" si="275"/>
        <v>68.648800000000008</v>
      </c>
      <c r="EQ61" s="2">
        <f t="shared" si="276"/>
        <v>75.520825600000009</v>
      </c>
      <c r="ER61" s="2">
        <f t="shared" si="277"/>
        <v>0</v>
      </c>
      <c r="ES61" s="2">
        <f t="shared" si="278"/>
        <v>0.40172175296000007</v>
      </c>
      <c r="ET61" s="2">
        <f t="shared" si="279"/>
        <v>0</v>
      </c>
      <c r="EU61" s="2">
        <f t="shared" si="280"/>
        <v>0.21555723200000004</v>
      </c>
      <c r="EV61" s="2">
        <f t="shared" si="281"/>
        <v>0</v>
      </c>
      <c r="EW61" s="2">
        <f t="shared" si="282"/>
        <v>6.5022318169600021E-3</v>
      </c>
      <c r="EX61" s="2"/>
      <c r="EY61" s="2">
        <f t="shared" si="283"/>
        <v>40.423680000000004</v>
      </c>
      <c r="EZ61" s="2">
        <f t="shared" si="205"/>
        <v>24.499200000000005</v>
      </c>
      <c r="FA61" s="2">
        <f t="shared" si="206"/>
        <v>30.624000000000002</v>
      </c>
      <c r="FB61" s="2">
        <f t="shared" si="207"/>
        <v>0</v>
      </c>
      <c r="FC61" s="2">
        <f t="shared" si="208"/>
        <v>12.760000000000002</v>
      </c>
      <c r="FD61" s="2">
        <f t="shared" si="209"/>
        <v>9.1872000000000007</v>
      </c>
      <c r="FE61" s="2">
        <f t="shared" si="284"/>
        <v>36.988790080000008</v>
      </c>
      <c r="FF61" s="2">
        <f t="shared" si="285"/>
        <v>10.234949120000003</v>
      </c>
      <c r="FG61" s="2">
        <f t="shared" si="286"/>
        <v>0</v>
      </c>
      <c r="FH61" s="2">
        <f t="shared" si="287"/>
        <v>17.162200000000002</v>
      </c>
      <c r="FI61" s="2">
        <f t="shared" si="288"/>
        <v>0</v>
      </c>
      <c r="FJ61" s="2">
        <f t="shared" si="289"/>
        <v>181.88001920000005</v>
      </c>
      <c r="FK61" s="2">
        <f>_xlfn.XLOOKUP(C61, Constants!$D$19:$D$23, Constants!$E$19:$E$23)</f>
        <v>5.8999999999999999E-3</v>
      </c>
      <c r="FL61" s="2">
        <f t="shared" si="247"/>
        <v>1.6847546178496006E-3</v>
      </c>
      <c r="FM61" s="2"/>
      <c r="FN61" s="2">
        <f>Constants!$B$24</f>
        <v>1.0999999999999999E-2</v>
      </c>
      <c r="FO61" s="2">
        <f t="shared" si="290"/>
        <v>1</v>
      </c>
      <c r="FP61" s="2">
        <f>Constants!$B$25</f>
        <v>0.02</v>
      </c>
      <c r="FQ61" s="2">
        <f t="shared" si="210"/>
        <v>2.0416000000000003</v>
      </c>
      <c r="FR61" s="2">
        <f t="shared" si="211"/>
        <v>3.5258432000000006E-2</v>
      </c>
      <c r="FS61" s="2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2026-06-04T01:48:29Z</dcterms:created>
  <dcterms:modified xsi:type="dcterms:W3CDTF">2026-10-22T06:06:45Z</dcterms:modified>
</cp:coreProperties>
</file>