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660E7225-7D1D-D746-832C-34021BECDE36}" xr6:coauthVersionLast="47" xr6:coauthVersionMax="47" xr10:uidLastSave="{00000000-0000-0000-0000-000000000000}"/>
  <bookViews>
    <workbookView xWindow="0" yWindow="600" windowWidth="38400" windowHeight="21000" activeTab="4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6" l="1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11" i="2"/>
  <c r="K33" i="2"/>
  <c r="K34" i="2" s="1"/>
  <c r="K32" i="2"/>
  <c r="K31" i="2"/>
  <c r="K29" i="2"/>
  <c r="K30" i="2" s="1"/>
  <c r="K28" i="2"/>
  <c r="K27" i="2"/>
  <c r="K26" i="2"/>
  <c r="K25" i="2"/>
  <c r="K24" i="2"/>
  <c r="K23" i="2"/>
  <c r="N11" i="2" a="1"/>
  <c r="N11" i="2" s="1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L84" i="2"/>
  <c r="Q84" i="2" s="1"/>
  <c r="L83" i="2"/>
  <c r="Q83" i="2" s="1"/>
  <c r="L82" i="2"/>
  <c r="Q82" i="2" s="1"/>
  <c r="L81" i="2"/>
  <c r="Q81" i="2" s="1"/>
  <c r="L80" i="2"/>
  <c r="Q80" i="2" s="1"/>
  <c r="L79" i="2"/>
  <c r="Q79" i="2" s="1"/>
  <c r="L78" i="2"/>
  <c r="Q78" i="2" s="1"/>
  <c r="L77" i="2"/>
  <c r="Q77" i="2" s="1"/>
  <c r="L76" i="2"/>
  <c r="Q76" i="2" s="1"/>
  <c r="L75" i="2"/>
  <c r="Q75" i="2" s="1"/>
  <c r="L74" i="2"/>
  <c r="Q74" i="2" s="1"/>
  <c r="L73" i="2"/>
  <c r="Q73" i="2" s="1"/>
  <c r="Q72" i="2"/>
  <c r="Q71" i="2"/>
  <c r="Q70" i="2"/>
  <c r="Q69" i="2"/>
  <c r="Q68" i="2"/>
  <c r="Q67" i="2"/>
  <c r="Q66" i="2"/>
  <c r="Q65" i="2"/>
  <c r="Q64" i="2"/>
  <c r="Q63" i="2"/>
  <c r="Q62" i="2"/>
  <c r="Q61" i="2"/>
  <c r="P61" i="2" a="1"/>
  <c r="P61" i="2" s="1"/>
  <c r="N61" i="2" a="1"/>
  <c r="P11" i="2" a="1"/>
  <c r="P11" i="2" s="1"/>
  <c r="S78" i="2" l="1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N61" i="2"/>
  <c r="S61" i="2" s="1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S34" i="2" s="1"/>
  <c r="T34" i="2" s="1"/>
  <c r="U34" i="2" s="1"/>
  <c r="L33" i="2"/>
  <c r="S33" i="2" s="1"/>
  <c r="T33" i="2" s="1"/>
  <c r="U33" i="2" s="1"/>
  <c r="L32" i="2"/>
  <c r="S32" i="2" s="1"/>
  <c r="T32" i="2" s="1"/>
  <c r="U32" i="2" s="1"/>
  <c r="L31" i="2"/>
  <c r="S31" i="2" s="1"/>
  <c r="T31" i="2" s="1"/>
  <c r="U31" i="2" s="1"/>
  <c r="L30" i="2"/>
  <c r="S30" i="2" s="1"/>
  <c r="T30" i="2" s="1"/>
  <c r="U30" i="2" s="1"/>
  <c r="L29" i="2"/>
  <c r="S29" i="2" s="1"/>
  <c r="T29" i="2" s="1"/>
  <c r="U29" i="2" s="1"/>
  <c r="L28" i="2"/>
  <c r="S28" i="2" s="1"/>
  <c r="T28" i="2" s="1"/>
  <c r="U28" i="2" s="1"/>
  <c r="L27" i="2"/>
  <c r="S27" i="2" s="1"/>
  <c r="T27" i="2" s="1"/>
  <c r="U27" i="2" s="1"/>
  <c r="L26" i="2"/>
  <c r="S26" i="2" s="1"/>
  <c r="T26" i="2" s="1"/>
  <c r="U26" i="2" s="1"/>
  <c r="L25" i="2"/>
  <c r="S25" i="2" s="1"/>
  <c r="T25" i="2" s="1"/>
  <c r="U25" i="2" s="1"/>
  <c r="L24" i="2"/>
  <c r="S24" i="2" s="1"/>
  <c r="T24" i="2" s="1"/>
  <c r="U24" i="2" s="1"/>
  <c r="L23" i="2"/>
  <c r="S23" i="2" s="1"/>
  <c r="T23" i="2" s="1"/>
  <c r="U23" i="2" s="1"/>
  <c r="AC180" i="1" l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E127" i="1"/>
  <c r="AG12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K127" i="1" l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BF91" i="1"/>
  <c r="BH91" i="1" s="1"/>
  <c r="BC91" i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11" i="1" l="1"/>
  <c r="BH11" i="1" s="1"/>
  <c r="BC11" i="1"/>
  <c r="BN91" i="1"/>
  <c r="BF51" i="1"/>
  <c r="BH51" i="1" s="1"/>
  <c r="BC51" i="1"/>
  <c r="BN141" i="1"/>
  <c r="BN11" i="1" l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<sst xmlns="http://schemas.openxmlformats.org/spreadsheetml/2006/main" count="1516" uniqueCount="298">
  <si>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</si>
  <si>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</si>
  <si>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</si>
  <si>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</si>
  <si>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</si>
  <si>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</si>
  <si>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</si>
  <si>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</si>
  <si>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</si>
  <si>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</si>
  <si>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</si>
  <si>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</si>
  <si>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</si>
  <si>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</si>
  <si>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</si>
  <si>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</si>
  <si>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</si>
  <si>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</si>
  <si>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</si>
  <si>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</si>
  <si>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</si>
  <si>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</si>
  <si>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</si>
  <si>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</si>
  <si>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</si>
  <si>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</si>
  <si>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</si>
  <si>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</si>
  <si>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</si>
  <si>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</si>
  <si>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</si>
  <si>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</si>
  <si>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</si>
  <si>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</si>
  <si>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</si>
  <si>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</si>
  <si>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</si>
  <si>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</si>
  <si>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</si>
  <si>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</si>
  <si>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</si>
  <si>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</si>
  <si>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</si>
  <si>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</si>
  <si>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</si>
  <si>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</si>
  <si>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</si>
  <si>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</si>
  <si>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</si>
  <si>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</si>
  <si>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</si>
  <si>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</si>
  <si>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</si>
  <si>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</si>
  <si>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</si>
  <si>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</si>
  <si>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</si>
  <si>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</si>
  <si>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</si>
  <si>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</si>
  <si>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</si>
  <si>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</si>
  <si>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</si>
  <si>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</si>
  <si>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</si>
  <si>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</si>
  <si>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</si>
  <si>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</si>
  <si>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</si>
  <si>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</si>
  <si>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</si>
  <si>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</si>
  <si>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</si>
  <si>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</si>
  <si>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</si>
  <si>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</si>
  <si>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</si>
  <si>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</si>
  <si>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</si>
  <si>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</si>
  <si>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</si>
  <si>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</si>
  <si>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</si>
  <si>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</si>
  <si>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</si>
  <si>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</si>
  <si>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</si>
  <si>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</si>
  <si>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</si>
  <si>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</si>
  <si>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</si>
  <si>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</si>
  <si>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</si>
  <si>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</si>
  <si>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</si>
  <si>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</si>
  <si>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</si>
  <si>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</si>
  <si>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</si>
  <si>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</si>
  <si>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</si>
  <si>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</si>
  <si>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</si>
  <si>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</si>
  <si>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</si>
  <si>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</si>
  <si>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</si>
  <si>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</si>
  <si>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</si>
  <si>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</si>
  <si>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</si>
  <si>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</si>
  <si>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</si>
  <si>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</si>
  <si>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</si>
  <si>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</si>
  <si>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</si>
  <si>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</si>
  <si>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</si>
  <si>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</si>
  <si>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</si>
  <si>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</si>
  <si>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</si>
  <si>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</si>
  <si>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</si>
  <si>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</si>
  <si>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</si>
  <si>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</si>
  <si>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</si>
  <si>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</si>
  <si>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</si>
  <si>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</si>
  <si>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</si>
  <si>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</si>
  <si>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</si>
  <si>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</si>
  <si>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</si>
  <si>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</si>
  <si>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</si>
  <si>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</si>
  <si>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</si>
  <si>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</si>
  <si>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</si>
  <si>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</si>
  <si>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</si>
  <si>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</si>
  <si>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</si>
  <si>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</si>
  <si>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</si>
  <si>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</si>
  <si>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</si>
  <si>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</si>
  <si>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</si>
  <si>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</si>
  <si>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</si>
  <si>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</si>
  <si>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</si>
  <si>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</si>
  <si>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</si>
  <si>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</si>
  <si>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</si>
  <si>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</si>
  <si>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</si>
  <si>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</si>
  <si>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</si>
  <si>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</si>
  <si>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</si>
  <si>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</si>
  <si>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</si>
  <si>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</si>
  <si>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</si>
  <si>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</si>
  <si>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</si>
  <si>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</si>
  <si>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</si>
  <si>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</si>
  <si>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</si>
  <si>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</si>
  <si>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</si>
  <si>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</si>
  <si>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</si>
  <si>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</si>
  <si>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</si>
  <si>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</si>
  <si>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</si>
  <si>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</si>
  <si>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</si>
  <si>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</si>
  <si>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</si>
  <si>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</si>
  <si>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</si>
  <si>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</si>
  <si>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</si>
  <si>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</si>
  <si>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</si>
  <si>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</si>
  <si>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</si>
  <si>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</si>
  <si>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</si>
  <si>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</si>
  <si>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</si>
  <si>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</si>
  <si>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</si>
  <si>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</si>
  <si>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</si>
  <si>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</si>
  <si>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</si>
  <si>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</si>
  <si>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</si>
  <si>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</si>
  <si>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</si>
  <si>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</si>
  <si>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</si>
  <si>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</si>
  <si>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</si>
  <si>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</si>
  <si>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</si>
  <si>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</si>
  <si>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</si>
  <si>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</si>
  <si>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</si>
  <si>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</si>
  <si>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</si>
  <si>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</si>
  <si>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LCjk=4,5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</si>
  <si>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</si>
  <si>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</si>
  <si>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</si>
  <si>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</si>
  <si>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</si>
  <si>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</si>
  <si>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</si>
  <si>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</si>
  <si>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</si>
  <si>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</si>
  <si>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</si>
  <si>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</si>
  <si>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</si>
  <si>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</si>
  <si>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</si>
  <si>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</si>
  <si>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</si>
  <si>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</si>
  <si>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</si>
  <si>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</si>
  <si>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</si>
  <si>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</si>
  <si>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</si>
  <si>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</si>
  <si>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</si>
  <si>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</si>
  <si>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</si>
  <si>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</si>
  <si>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</si>
  <si>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</si>
  <si>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</si>
  <si>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</si>
  <si>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</si>
  <si>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</si>
  <si>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</si>
  <si>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</si>
  <si>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</si>
  <si>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</si>
  <si>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</si>
  <si>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</si>
  <si>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</si>
  <si>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</si>
  <si>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</si>
  <si>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</si>
  <si>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</si>
  <si>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</si>
  <si>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</si>
  <si>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</si>
  <si>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</si>
  <si>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LC effective</t>
  </si>
  <si>
    <t>Curent or previous season LC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</si>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</sst>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3" borderId="0" xfId="0" applyFont="1" applyFill="1" applyBorder="1"/>
    <xf numFmtId="0" fontId="1" fillId="3" borderId="4" xfId="0" applyFont="1" applyFill="1" applyBorder="1"/>
    <xf numFmtId="0" fontId="4" fillId="3" borderId="4" xfId="0" applyFont="1" applyFill="1" applyBorder="1"/>
    <xf numFmtId="16" fontId="4" fillId="3" borderId="4" xfId="0" applyNumberFormat="1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2" fillId="4" borderId="6" xfId="0" applyFont="1" applyFill="1" applyBorder="1"/>
    <xf numFmtId="16" fontId="2" fillId="4" borderId="6" xfId="0" applyNumberFormat="1" applyFont="1" applyFill="1" applyBorder="1"/>
    <xf numFmtId="0" fontId="0" fillId="5" borderId="7" xfId="0" applyFont="1" applyFill="1" applyBorder="1"/>
    <xf numFmtId="0" fontId="0" fillId="5" borderId="3" xfId="0" applyFont="1" applyFill="1" applyBorder="1"/>
    <xf numFmtId="0" fontId="0" fillId="4" borderId="7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4" xfId="0" applyFont="1" applyFill="1" applyBorder="1"/>
    <xf numFmtId="0" fontId="2" fillId="4" borderId="4" xfId="0" applyFont="1" applyFill="1" applyBorder="1"/>
    <xf numFmtId="16" fontId="2" fillId="4" borderId="4" xfId="0" applyNumberFormat="1" applyFont="1" applyFill="1" applyBorder="1"/>
    <xf numFmtId="0" fontId="0" fillId="4" borderId="8" xfId="0" applyFont="1" applyFill="1" applyBorder="1"/>
    <xf numFmtId="0" fontId="0" fillId="6" borderId="0" xfId="0" applyFill="1"/>
    <xf numFmtId="0" fontId="5" fillId="0" borderId="0" xfId="0" applyFont="1"/>
    <xf numFmtId="0" fontId="0" fillId="0" borderId="0" xfId="0" applyFill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8"/>
    <tableColumn id="2" xr3:uid="{D5B02C07-4A90-C14B-9FC6-52E5398E7E46}" uniqueName="2" name="Column2" queryTableFieldId="2" dataDxfId="27"/>
    <tableColumn id="3" xr3:uid="{05C830C2-1868-794F-8615-24A6D55DBC7E}" uniqueName="3" name="Column3" queryTableFieldId="3" dataDxfId="26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11" dataDxfId="12" tableBorderDxfId="25">
  <autoFilter ref="AQ24:BB81" xr:uid="{0CAF71EA-16D4-1246-A2A0-21D440662AB0}"/>
  <tableColumns count="12">
    <tableColumn id="1" xr3:uid="{AF401494-3BE9-C649-AE23-F2AE5B452704}" name="Column1" dataDxfId="24"/>
    <tableColumn id="2" xr3:uid="{C341C274-EEE9-5E4C-A0D8-32C393EB078C}" name="Column2" dataDxfId="23"/>
    <tableColumn id="3" xr3:uid="{D5DACFA4-C4C3-124A-AA3E-5218CCEA8533}" name="Column3" dataDxfId="22"/>
    <tableColumn id="4" xr3:uid="{B1BB2B47-95A0-4E4A-ABBE-5A0750277047}" name="Column4" dataDxfId="21"/>
    <tableColumn id="5" xr3:uid="{418FF04C-DC64-4C4E-979D-83538BFF93D4}" name="Column5" dataDxfId="20"/>
    <tableColumn id="6" xr3:uid="{EA98495B-B817-8141-A549-D901E3CD73AE}" name="Column6" dataDxfId="19"/>
    <tableColumn id="7" xr3:uid="{02BE50D5-D07A-8A4A-8985-83681D425138}" name="Column7" dataDxfId="18"/>
    <tableColumn id="8" xr3:uid="{19F28A06-5863-DA4C-BE0E-D9490B4C37C8}" name="Column8" dataDxfId="17"/>
    <tableColumn id="9" xr3:uid="{0CD4F2F1-74C3-0542-80BB-67CE57361EFC}" name="Column9" dataDxfId="16"/>
    <tableColumn id="10" xr3:uid="{5D0CDB83-579B-6649-8DB5-E33BAFE8F479}" name="Column10" dataDxfId="15"/>
    <tableColumn id="11" xr3:uid="{BD6A19B1-24ED-8B4D-B1A8-2BBE75A41575}" name="Column11" dataDxfId="14"/>
    <tableColumn id="12" xr3:uid="{31C74817-9922-7D48-B01A-B8E902D70143}" name="Column12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10"/>
    <tableColumn id="3" xr3:uid="{4D533652-5013-DE4D-B610-57C54A69E4E3}" uniqueName="3" name="Class" queryTableFieldId="3" dataDxfId="9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2" tableBorderDxfId="8">
  <autoFilter ref="AQ88:BB145" xr:uid="{3F509DB7-AE9B-E54E-8790-8B6C867D8B0A}"/>
  <tableColumns count="12">
    <tableColumn id="1" xr3:uid="{EBF52EB7-24D1-4243-A07C-42ED21328F0F}" name="Column1" dataDxfId="7"/>
    <tableColumn id="2" xr3:uid="{96EB278F-1104-7F42-8390-DA909DF56F92}" name="Column2" dataDxfId="6"/>
    <tableColumn id="3" xr3:uid="{E48ECE96-6290-B443-9B7D-28C9E192FBAC}" name="Column3"/>
    <tableColumn id="4" xr3:uid="{6AA5A38B-688B-1C48-B04D-BE4E36CDFB1F}" name="Column4" dataDxfId="5"/>
    <tableColumn id="5" xr3:uid="{6E096708-B5F2-5E47-BDE6-9522FB30DB9C}" name="Column5" dataDxfId="4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243</v>
      </c>
      <c r="B1" t="s">
        <v>244</v>
      </c>
      <c r="C1" t="s">
        <v>245</v>
      </c>
      <c r="D1" t="s">
        <v>246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</row>
    <row r="2" spans="1:13" x14ac:dyDescent="0.2">
      <c r="A2" s="9" t="s">
        <v>241</v>
      </c>
      <c r="B2" s="9" t="s">
        <v>242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145"/>
  <sheetViews>
    <sheetView workbookViewId="0">
      <selection activeCell="F11" sqref="F11"/>
    </sheetView>
  </sheetViews>
  <sheetFormatPr baseColWidth="10" defaultRowHeight="16" x14ac:dyDescent="0.2"/>
  <cols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K9" t="s">
        <v>275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232</v>
      </c>
      <c r="C10" s="1" t="s">
        <v>273</v>
      </c>
      <c r="D10" s="1" t="s">
        <v>62</v>
      </c>
      <c r="G10" t="s">
        <v>272</v>
      </c>
      <c r="H10" s="1" t="s">
        <v>222</v>
      </c>
      <c r="I10" s="1" t="s">
        <v>223</v>
      </c>
      <c r="J10" s="1" t="s">
        <v>224</v>
      </c>
      <c r="K10" s="33" t="s">
        <v>274</v>
      </c>
      <c r="L10" t="s">
        <v>225</v>
      </c>
      <c r="M10" s="1" t="s">
        <v>270</v>
      </c>
      <c r="N10" t="s">
        <v>226</v>
      </c>
      <c r="O10" s="1" t="s">
        <v>269</v>
      </c>
      <c r="P10" t="s">
        <v>227</v>
      </c>
      <c r="Q10" t="s">
        <v>228</v>
      </c>
      <c r="R10" t="s">
        <v>271</v>
      </c>
      <c r="S10" t="s">
        <v>229</v>
      </c>
      <c r="T10" t="s">
        <v>230</v>
      </c>
      <c r="U10" t="s">
        <v>231</v>
      </c>
      <c r="V10" s="31" t="s">
        <v>231</v>
      </c>
      <c r="AC10" t="s">
        <v>235</v>
      </c>
      <c r="AD10" t="s">
        <v>126</v>
      </c>
    </row>
    <row r="11" spans="1:30" x14ac:dyDescent="0.2">
      <c r="A11" t="s">
        <v>110</v>
      </c>
      <c r="B11" t="s">
        <v>233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2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(K11 * L11)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>H11*T11*I11</f>
        <v>592.16382360000011</v>
      </c>
      <c r="V11">
        <f>SUM(U11:U50)/1000</f>
        <v>53.861310054946088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0">(K12 * L12) + (1 - J12 )</f>
        <v>1</v>
      </c>
      <c r="S12">
        <f t="shared" ref="S12:S50" si="1">(1.185 + 0.00454 * N12- 0.0000026 * N12^2 + 0.315 * P12 )^2 * Q12</f>
        <v>5.5521968161000004</v>
      </c>
      <c r="T12">
        <f t="shared" ref="T12:T50" si="2">20.7 * S12 * 10^-3</f>
        <v>0.11493047409327001</v>
      </c>
      <c r="U12">
        <f t="shared" ref="U12:U50" si="3">H12*T12*I12</f>
        <v>1048.7405761010889</v>
      </c>
      <c r="AA12" t="s">
        <v>233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0"/>
        <v>1</v>
      </c>
      <c r="S13">
        <f t="shared" si="1"/>
        <v>3.1346702499999997</v>
      </c>
      <c r="T13">
        <f t="shared" si="2"/>
        <v>6.4887674174999993E-2</v>
      </c>
      <c r="U13">
        <f t="shared" si="3"/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0"/>
        <v>1</v>
      </c>
      <c r="S14">
        <f t="shared" si="1"/>
        <v>3.9233705625000002</v>
      </c>
      <c r="T14">
        <f t="shared" si="2"/>
        <v>8.1213770643750002E-2</v>
      </c>
      <c r="U14">
        <f t="shared" si="3"/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0"/>
        <v>1</v>
      </c>
      <c r="S15">
        <f t="shared" si="1"/>
        <v>12.292456723599997</v>
      </c>
      <c r="T15">
        <f t="shared" si="2"/>
        <v>0.25445385417851996</v>
      </c>
      <c r="U15">
        <f t="shared" si="3"/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0"/>
        <v>1</v>
      </c>
      <c r="S16">
        <f t="shared" si="1"/>
        <v>10.689303302500006</v>
      </c>
      <c r="T16">
        <f t="shared" si="2"/>
        <v>0.22126857836175012</v>
      </c>
      <c r="U16">
        <f t="shared" si="3"/>
        <v>1615.2606220407758</v>
      </c>
      <c r="AA16" t="s">
        <v>234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0"/>
        <v>1</v>
      </c>
      <c r="S17">
        <f t="shared" si="1"/>
        <v>9.9351039999999973</v>
      </c>
      <c r="T17">
        <f t="shared" si="2"/>
        <v>0.20565665279999992</v>
      </c>
      <c r="U17">
        <f t="shared" si="3"/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0"/>
        <v>1</v>
      </c>
      <c r="S18">
        <f t="shared" si="1"/>
        <v>10.082276067599995</v>
      </c>
      <c r="T18">
        <f t="shared" si="2"/>
        <v>0.20870311459931989</v>
      </c>
      <c r="U18">
        <f t="shared" si="3"/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141</v>
      </c>
      <c r="F19" t="s">
        <v>117</v>
      </c>
      <c r="H19">
        <v>91.25</v>
      </c>
      <c r="I19">
        <v>100</v>
      </c>
      <c r="J19">
        <v>0</v>
      </c>
      <c r="K19">
        <v>0</v>
      </c>
      <c r="L19">
        <v>0</v>
      </c>
      <c r="N19">
        <v>410</v>
      </c>
      <c r="P19">
        <v>0.99</v>
      </c>
      <c r="Q19">
        <f t="shared" si="0"/>
        <v>1</v>
      </c>
      <c r="S19">
        <f t="shared" si="1"/>
        <v>8.5333510161000028</v>
      </c>
      <c r="T19">
        <f t="shared" si="2"/>
        <v>0.17664036603327005</v>
      </c>
      <c r="U19">
        <f t="shared" si="3"/>
        <v>1611.8433400535891</v>
      </c>
      <c r="AB19" t="s">
        <v>121</v>
      </c>
      <c r="AC19">
        <v>0</v>
      </c>
      <c r="AD19">
        <v>0</v>
      </c>
    </row>
    <row r="20" spans="5:54" x14ac:dyDescent="0.2">
      <c r="E20">
        <v>3</v>
      </c>
      <c r="F20" t="s">
        <v>119</v>
      </c>
      <c r="H20">
        <v>91.25</v>
      </c>
      <c r="I20">
        <v>180</v>
      </c>
      <c r="J20">
        <v>0</v>
      </c>
      <c r="K20">
        <v>0</v>
      </c>
      <c r="L20">
        <v>0</v>
      </c>
      <c r="N20">
        <v>440</v>
      </c>
      <c r="P20">
        <v>0.33</v>
      </c>
      <c r="Q20">
        <f t="shared" si="0"/>
        <v>1</v>
      </c>
      <c r="S20">
        <f t="shared" si="1"/>
        <v>7.7461465761000019</v>
      </c>
      <c r="T20">
        <f t="shared" si="2"/>
        <v>0.16034523412527002</v>
      </c>
      <c r="U20">
        <f t="shared" si="3"/>
        <v>2633.6704705075599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0"/>
        <v>1</v>
      </c>
      <c r="S21">
        <f t="shared" si="1"/>
        <v>6.010342559999998</v>
      </c>
      <c r="T21">
        <f t="shared" si="2"/>
        <v>0.12441409099199996</v>
      </c>
      <c r="U21">
        <f t="shared" si="3"/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0"/>
        <v>1</v>
      </c>
      <c r="S22">
        <f t="shared" si="1"/>
        <v>5.9577975395999987</v>
      </c>
      <c r="T22">
        <f t="shared" si="2"/>
        <v>0.12332640906971998</v>
      </c>
      <c r="U22">
        <f t="shared" si="3"/>
        <v>1800.5655724179114</v>
      </c>
      <c r="X22" t="s">
        <v>268</v>
      </c>
      <c r="AP22" t="s">
        <v>184</v>
      </c>
    </row>
    <row r="23" spans="5:54" ht="17" thickBot="1" x14ac:dyDescent="0.25">
      <c r="E23" t="s">
        <v>146</v>
      </c>
      <c r="F23" t="s">
        <v>117</v>
      </c>
      <c r="H23">
        <v>91.25</v>
      </c>
      <c r="I23">
        <v>150</v>
      </c>
      <c r="J23">
        <v>0.7</v>
      </c>
      <c r="K23">
        <f>J23+J26</f>
        <v>0.79999999999999993</v>
      </c>
      <c r="L23">
        <f>$AC$12</f>
        <v>1.3</v>
      </c>
      <c r="N23">
        <v>560</v>
      </c>
      <c r="P23">
        <v>0.99</v>
      </c>
      <c r="Q23">
        <f t="shared" si="0"/>
        <v>1.34</v>
      </c>
      <c r="S23">
        <f t="shared" si="1"/>
        <v>13.927245421014002</v>
      </c>
      <c r="T23">
        <f t="shared" si="2"/>
        <v>0.28829398021498981</v>
      </c>
      <c r="U23">
        <f t="shared" si="3"/>
        <v>3946.0238541926733</v>
      </c>
      <c r="X23" t="s">
        <v>130</v>
      </c>
      <c r="Y23" t="s">
        <v>266</v>
      </c>
      <c r="Z23" t="s">
        <v>113</v>
      </c>
      <c r="AA23" t="s">
        <v>133</v>
      </c>
      <c r="AB23" t="s">
        <v>134</v>
      </c>
      <c r="AC23" t="s">
        <v>135</v>
      </c>
      <c r="AD23" t="s">
        <v>256</v>
      </c>
      <c r="AE23" t="s">
        <v>257</v>
      </c>
      <c r="AF23" t="s">
        <v>258</v>
      </c>
      <c r="AG23" t="s">
        <v>259</v>
      </c>
      <c r="AH23" t="s">
        <v>260</v>
      </c>
      <c r="AI23" t="s">
        <v>261</v>
      </c>
      <c r="AJ23" t="s">
        <v>262</v>
      </c>
      <c r="AK23" t="s">
        <v>263</v>
      </c>
      <c r="AL23" t="s">
        <v>264</v>
      </c>
      <c r="AM23" t="s">
        <v>265</v>
      </c>
      <c r="AN23" t="s">
        <v>267</v>
      </c>
      <c r="AP23" s="10"/>
      <c r="AQ23" s="11"/>
      <c r="AR23" s="11"/>
      <c r="AS23" s="12"/>
      <c r="AT23" s="12"/>
      <c r="AU23" s="12"/>
      <c r="AV23" s="13"/>
      <c r="AW23" s="12"/>
      <c r="AX23" s="12"/>
      <c r="AY23" s="12"/>
      <c r="AZ23" s="12"/>
      <c r="BA23" s="12"/>
      <c r="BB23" s="12"/>
    </row>
    <row r="24" spans="5:54" ht="18" thickTop="1" thickBot="1" x14ac:dyDescent="0.25">
      <c r="E24">
        <v>4</v>
      </c>
      <c r="F24" t="s">
        <v>119</v>
      </c>
      <c r="H24">
        <v>91.25</v>
      </c>
      <c r="I24">
        <v>250</v>
      </c>
      <c r="J24">
        <v>0</v>
      </c>
      <c r="K24">
        <f>J24+J23</f>
        <v>0.7</v>
      </c>
      <c r="L24">
        <f>$AC$13</f>
        <v>1.1000000000000001</v>
      </c>
      <c r="N24">
        <v>550</v>
      </c>
      <c r="P24">
        <v>-0.1</v>
      </c>
      <c r="Q24">
        <f t="shared" si="0"/>
        <v>1.77</v>
      </c>
      <c r="S24">
        <f t="shared" si="1"/>
        <v>14.518417920000003</v>
      </c>
      <c r="T24">
        <f t="shared" si="2"/>
        <v>0.30053125094400002</v>
      </c>
      <c r="U24">
        <f t="shared" si="3"/>
        <v>6855.8691621600001</v>
      </c>
      <c r="X24" s="9" t="s">
        <v>117</v>
      </c>
      <c r="Y24" s="9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4"/>
      <c r="AQ24" s="26" t="s">
        <v>243</v>
      </c>
      <c r="AR24" s="27" t="s">
        <v>244</v>
      </c>
      <c r="AS24" s="28" t="s">
        <v>245</v>
      </c>
      <c r="AT24" s="28" t="s">
        <v>246</v>
      </c>
      <c r="AU24" s="28" t="s">
        <v>247</v>
      </c>
      <c r="AV24" s="29" t="s">
        <v>248</v>
      </c>
      <c r="AW24" s="28" t="s">
        <v>249</v>
      </c>
      <c r="AX24" s="28" t="s">
        <v>250</v>
      </c>
      <c r="AY24" s="28" t="s">
        <v>251</v>
      </c>
      <c r="AZ24" s="28" t="s">
        <v>252</v>
      </c>
      <c r="BA24" s="28" t="s">
        <v>253</v>
      </c>
      <c r="BB24" s="28" t="s">
        <v>254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f>J25+J24</f>
        <v>0</v>
      </c>
      <c r="L25">
        <f>$AC$14</f>
        <v>0</v>
      </c>
      <c r="N25">
        <v>450</v>
      </c>
      <c r="P25">
        <v>0.2</v>
      </c>
      <c r="Q25">
        <f t="shared" si="0"/>
        <v>1</v>
      </c>
      <c r="S25">
        <f t="shared" si="1"/>
        <v>7.6424602500000001</v>
      </c>
      <c r="T25">
        <f t="shared" si="2"/>
        <v>0.158198927175</v>
      </c>
      <c r="U25">
        <f t="shared" si="3"/>
        <v>3464.5565051325002</v>
      </c>
      <c r="X25" s="9" t="s">
        <v>119</v>
      </c>
      <c r="Y25" s="9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8"/>
      <c r="AQ25" s="14" t="s">
        <v>242</v>
      </c>
      <c r="AR25" s="15" t="s">
        <v>130</v>
      </c>
      <c r="AS25" s="16" t="s">
        <v>116</v>
      </c>
      <c r="AT25" s="16" t="s">
        <v>122</v>
      </c>
      <c r="AU25" s="16" t="s">
        <v>141</v>
      </c>
      <c r="AV25" s="17" t="s">
        <v>146</v>
      </c>
      <c r="AW25" s="16" t="s">
        <v>152</v>
      </c>
      <c r="AX25" s="16" t="s">
        <v>156</v>
      </c>
      <c r="AY25" s="16" t="s">
        <v>164</v>
      </c>
      <c r="AZ25" s="16" t="s">
        <v>169</v>
      </c>
      <c r="BA25" s="16" t="s">
        <v>171</v>
      </c>
      <c r="BB25" s="16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f>J26+K25</f>
        <v>0.1</v>
      </c>
      <c r="L26">
        <f>$AC$14</f>
        <v>0</v>
      </c>
      <c r="N26">
        <v>470</v>
      </c>
      <c r="P26">
        <v>0.22</v>
      </c>
      <c r="Q26">
        <f t="shared" si="0"/>
        <v>0.9</v>
      </c>
      <c r="S26">
        <f t="shared" si="1"/>
        <v>7.1255208038400015</v>
      </c>
      <c r="T26">
        <f t="shared" si="2"/>
        <v>0.14749828063948803</v>
      </c>
      <c r="U26">
        <f t="shared" si="3"/>
        <v>2691.8436216706564</v>
      </c>
      <c r="X26" s="9" t="s">
        <v>120</v>
      </c>
      <c r="Y26" s="9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0"/>
      <c r="AQ26" s="18" t="s">
        <v>113</v>
      </c>
      <c r="AR26" s="19" t="s">
        <v>117</v>
      </c>
      <c r="AS26" s="19">
        <v>0.5</v>
      </c>
      <c r="AT26" s="19">
        <v>0.2</v>
      </c>
      <c r="AU26" s="19">
        <v>0.5</v>
      </c>
      <c r="AV26" s="19">
        <v>0.4</v>
      </c>
      <c r="AW26" s="19">
        <v>0.3</v>
      </c>
      <c r="AX26" s="19">
        <v>0.3</v>
      </c>
      <c r="AY26" s="19">
        <v>0.5</v>
      </c>
      <c r="AZ26" s="19">
        <v>0.4</v>
      </c>
      <c r="BA26" s="19">
        <v>0.4</v>
      </c>
      <c r="BB26" s="19">
        <v>0.4</v>
      </c>
    </row>
    <row r="27" spans="5:54" x14ac:dyDescent="0.2">
      <c r="E27" t="s">
        <v>152</v>
      </c>
      <c r="F27" t="s">
        <v>117</v>
      </c>
      <c r="H27">
        <v>91.25</v>
      </c>
      <c r="I27">
        <v>100</v>
      </c>
      <c r="J27">
        <v>0.8</v>
      </c>
      <c r="K27">
        <f>J27+J30</f>
        <v>0.9</v>
      </c>
      <c r="L27">
        <f>$AC$12</f>
        <v>1.3</v>
      </c>
      <c r="N27">
        <v>240</v>
      </c>
      <c r="P27">
        <v>1.1000000000000001</v>
      </c>
      <c r="Q27">
        <f t="shared" si="0"/>
        <v>1.37</v>
      </c>
      <c r="S27">
        <f t="shared" si="1"/>
        <v>8.3673043119719992</v>
      </c>
      <c r="T27">
        <f t="shared" si="2"/>
        <v>0.17320319925782038</v>
      </c>
      <c r="U27">
        <f t="shared" si="3"/>
        <v>1580.4791932276109</v>
      </c>
      <c r="X27" s="9" t="s">
        <v>121</v>
      </c>
      <c r="Y27" s="9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8"/>
      <c r="AQ27" s="20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 t="s">
        <v>236</v>
      </c>
      <c r="F28" t="s">
        <v>119</v>
      </c>
      <c r="H28">
        <v>91.25</v>
      </c>
      <c r="I28">
        <v>190</v>
      </c>
      <c r="J28">
        <v>0</v>
      </c>
      <c r="K28">
        <f>J28+J27</f>
        <v>0.8</v>
      </c>
      <c r="L28">
        <f>$AC$13</f>
        <v>1.1000000000000001</v>
      </c>
      <c r="N28">
        <v>260</v>
      </c>
      <c r="P28">
        <v>0.22</v>
      </c>
      <c r="Q28">
        <f t="shared" si="0"/>
        <v>1.8800000000000001</v>
      </c>
      <c r="S28">
        <f t="shared" si="1"/>
        <v>9.5932826563680038</v>
      </c>
      <c r="T28">
        <f t="shared" si="2"/>
        <v>0.19858095098681766</v>
      </c>
      <c r="U28">
        <f t="shared" si="3"/>
        <v>3442.897237733951</v>
      </c>
      <c r="X28" s="9" t="s">
        <v>117</v>
      </c>
      <c r="Y28" s="9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0"/>
      <c r="AQ28" s="18"/>
      <c r="AR28" s="19" t="s">
        <v>120</v>
      </c>
      <c r="AS28" s="19">
        <v>0.8</v>
      </c>
      <c r="AT28" s="19">
        <v>0.3</v>
      </c>
      <c r="AU28" s="19">
        <v>0.7</v>
      </c>
      <c r="AV28" s="19">
        <v>0.3</v>
      </c>
      <c r="AW28" s="19">
        <v>0.2</v>
      </c>
      <c r="AX28" s="19">
        <v>0.2</v>
      </c>
      <c r="AY28" s="19">
        <v>0.7</v>
      </c>
      <c r="AZ28" s="19">
        <v>0.3</v>
      </c>
      <c r="BA28" s="19">
        <v>0.3</v>
      </c>
      <c r="BB28" s="19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f>J29+J28</f>
        <v>0</v>
      </c>
      <c r="L29">
        <f>$AC$14</f>
        <v>0</v>
      </c>
      <c r="N29">
        <v>95</v>
      </c>
      <c r="P29">
        <v>0.55000000000000004</v>
      </c>
      <c r="Q29">
        <f t="shared" si="0"/>
        <v>1</v>
      </c>
      <c r="S29">
        <f t="shared" si="1"/>
        <v>3.1190562272249998</v>
      </c>
      <c r="T29">
        <f t="shared" si="2"/>
        <v>6.4564463903557495E-2</v>
      </c>
      <c r="U29">
        <f t="shared" si="3"/>
        <v>1148.8439295839262</v>
      </c>
      <c r="X29" s="9" t="s">
        <v>119</v>
      </c>
      <c r="Y29" s="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8"/>
      <c r="AQ29" s="20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0.1</v>
      </c>
      <c r="K30">
        <f>J30+K29</f>
        <v>0.1</v>
      </c>
      <c r="L30">
        <f>$AC$14</f>
        <v>0</v>
      </c>
      <c r="N30">
        <v>140</v>
      </c>
      <c r="P30">
        <v>0.49</v>
      </c>
      <c r="Q30">
        <f t="shared" si="0"/>
        <v>0.9</v>
      </c>
      <c r="S30">
        <f t="shared" si="1"/>
        <v>3.3315637680899997</v>
      </c>
      <c r="T30">
        <f t="shared" si="2"/>
        <v>6.8963369999462981E-2</v>
      </c>
      <c r="U30">
        <f t="shared" si="3"/>
        <v>1258.5815024901995</v>
      </c>
      <c r="X30" s="9" t="s">
        <v>120</v>
      </c>
      <c r="Y30" s="9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0"/>
      <c r="AQ30" s="18" t="s">
        <v>133</v>
      </c>
      <c r="AR30" s="19" t="s">
        <v>117</v>
      </c>
      <c r="AS30" s="19">
        <v>0.99</v>
      </c>
      <c r="AT30" s="19">
        <v>1.1000000000000001</v>
      </c>
      <c r="AU30" s="19">
        <v>0.88</v>
      </c>
      <c r="AV30" s="19">
        <v>0.55000000000000004</v>
      </c>
      <c r="AW30" s="19">
        <v>0.55000000000000004</v>
      </c>
      <c r="AX30" s="19">
        <v>0.55000000000000004</v>
      </c>
      <c r="AY30" s="19">
        <v>0.88</v>
      </c>
      <c r="AZ30" s="19">
        <v>0.22</v>
      </c>
      <c r="BA30" s="19">
        <v>0.22</v>
      </c>
      <c r="BB30" s="19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f>J31+J34</f>
        <v>0.9</v>
      </c>
      <c r="L31">
        <f>$AC$12</f>
        <v>1.3</v>
      </c>
      <c r="N31">
        <v>560</v>
      </c>
      <c r="P31">
        <v>0.99</v>
      </c>
      <c r="Q31">
        <f t="shared" si="0"/>
        <v>1.27</v>
      </c>
      <c r="S31">
        <f t="shared" si="1"/>
        <v>13.199702749767001</v>
      </c>
      <c r="T31">
        <f t="shared" si="2"/>
        <v>0.27323384692017694</v>
      </c>
      <c r="U31">
        <f t="shared" si="3"/>
        <v>1246.6294265733072</v>
      </c>
      <c r="X31" s="9" t="s">
        <v>121</v>
      </c>
      <c r="Y31" s="9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8"/>
      <c r="AQ31" s="20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237</v>
      </c>
      <c r="F32" t="s">
        <v>119</v>
      </c>
      <c r="H32">
        <v>91.25</v>
      </c>
      <c r="I32">
        <v>100</v>
      </c>
      <c r="J32">
        <v>0</v>
      </c>
      <c r="K32">
        <f>J32+J31</f>
        <v>0.9</v>
      </c>
      <c r="L32">
        <f>$AC$13</f>
        <v>1.1000000000000001</v>
      </c>
      <c r="N32">
        <v>550</v>
      </c>
      <c r="P32">
        <v>-0.1</v>
      </c>
      <c r="Q32">
        <f t="shared" si="0"/>
        <v>1.9900000000000002</v>
      </c>
      <c r="S32">
        <f t="shared" si="1"/>
        <v>16.322967040000005</v>
      </c>
      <c r="T32">
        <f t="shared" si="2"/>
        <v>0.33788541772800013</v>
      </c>
      <c r="U32">
        <f t="shared" si="3"/>
        <v>3083.2044367680014</v>
      </c>
      <c r="X32" s="9" t="s">
        <v>117</v>
      </c>
      <c r="Y32" s="9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0"/>
      <c r="AQ32" s="18"/>
      <c r="AR32" s="19" t="s">
        <v>120</v>
      </c>
      <c r="AS32" s="19">
        <v>0.9</v>
      </c>
      <c r="AT32" s="19">
        <v>-1.1000000000000001</v>
      </c>
      <c r="AU32" s="19">
        <v>0.7</v>
      </c>
      <c r="AV32" s="19">
        <v>0.22</v>
      </c>
      <c r="AW32" s="19">
        <v>-0.55000000000000004</v>
      </c>
      <c r="AX32" s="19">
        <v>-0.55000000000000004</v>
      </c>
      <c r="AY32" s="19">
        <v>0.8</v>
      </c>
      <c r="AZ32" s="19">
        <v>-0.22</v>
      </c>
      <c r="BA32" s="19">
        <v>-0.22</v>
      </c>
      <c r="BB32" s="19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f>J33+J32</f>
        <v>0</v>
      </c>
      <c r="L33">
        <f>$AC$14</f>
        <v>0</v>
      </c>
      <c r="N33">
        <v>450</v>
      </c>
      <c r="P33">
        <v>0.2</v>
      </c>
      <c r="Q33">
        <f t="shared" si="0"/>
        <v>1</v>
      </c>
      <c r="S33">
        <f t="shared" si="1"/>
        <v>7.6424602500000001</v>
      </c>
      <c r="T33">
        <f t="shared" si="2"/>
        <v>0.158198927175</v>
      </c>
      <c r="U33">
        <f t="shared" si="3"/>
        <v>1299.2086894246875</v>
      </c>
      <c r="X33" s="9" t="s">
        <v>119</v>
      </c>
      <c r="Y33" s="9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8"/>
      <c r="AQ33" s="20"/>
      <c r="AR33" s="8" t="s">
        <v>121</v>
      </c>
      <c r="AS33" s="8">
        <v>0.88</v>
      </c>
      <c r="AT33" s="8">
        <v>0</v>
      </c>
      <c r="AU33" s="8">
        <v>0.77</v>
      </c>
      <c r="AV33" s="21">
        <v>0.55000000000000004</v>
      </c>
      <c r="AW33" s="21">
        <v>0</v>
      </c>
      <c r="AX33" s="21">
        <v>0</v>
      </c>
      <c r="AY33" s="21">
        <v>0.82</v>
      </c>
      <c r="AZ33" s="21">
        <v>0</v>
      </c>
      <c r="BA33" s="21">
        <v>0</v>
      </c>
      <c r="BB33" s="21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f>J34+K33</f>
        <v>0</v>
      </c>
      <c r="L34">
        <f>$AC$14</f>
        <v>0</v>
      </c>
      <c r="N34">
        <v>470</v>
      </c>
      <c r="P34">
        <v>0.22</v>
      </c>
      <c r="Q34">
        <f t="shared" si="0"/>
        <v>1</v>
      </c>
      <c r="S34">
        <f t="shared" si="1"/>
        <v>7.9172453376000016</v>
      </c>
      <c r="T34">
        <f t="shared" si="2"/>
        <v>0.16388697848832004</v>
      </c>
      <c r="U34">
        <f t="shared" si="3"/>
        <v>1196.3749429647364</v>
      </c>
      <c r="X34" s="9" t="s">
        <v>120</v>
      </c>
      <c r="Y34" s="9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0"/>
      <c r="AQ34" s="18" t="s">
        <v>134</v>
      </c>
      <c r="AR34" s="19" t="s">
        <v>117</v>
      </c>
      <c r="AS34" s="19">
        <v>1</v>
      </c>
      <c r="AT34" s="19">
        <v>0.5</v>
      </c>
      <c r="AU34" s="19">
        <v>1</v>
      </c>
      <c r="AV34" s="22">
        <v>1</v>
      </c>
      <c r="AW34" s="22">
        <v>-0.44</v>
      </c>
      <c r="AX34" s="22">
        <v>-0.44</v>
      </c>
      <c r="AY34" s="22">
        <v>1</v>
      </c>
      <c r="AZ34" s="22">
        <v>0.5</v>
      </c>
      <c r="BA34" s="22">
        <v>0.5</v>
      </c>
      <c r="BB34" s="22">
        <v>0.5</v>
      </c>
    </row>
    <row r="35" spans="5:54" x14ac:dyDescent="0.2">
      <c r="E35" t="s">
        <v>164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>(K35 * L35) + (1 - J35 )</f>
        <v>1</v>
      </c>
      <c r="S35">
        <f t="shared" si="1"/>
        <v>9.4045875560999992</v>
      </c>
      <c r="T35">
        <f t="shared" si="2"/>
        <v>0.19467496241126997</v>
      </c>
      <c r="U35">
        <f t="shared" si="3"/>
        <v>532.92270960085148</v>
      </c>
      <c r="X35" s="9" t="s">
        <v>121</v>
      </c>
      <c r="Y35" s="9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8"/>
      <c r="AQ35" s="20"/>
      <c r="AR35" s="8" t="s">
        <v>119</v>
      </c>
      <c r="AS35" s="8">
        <v>0.82</v>
      </c>
      <c r="AT35" s="8">
        <v>0.55000000000000004</v>
      </c>
      <c r="AU35" s="8">
        <v>0.71</v>
      </c>
      <c r="AV35" s="21">
        <v>0.55000000000000004</v>
      </c>
      <c r="AW35" s="21">
        <v>0.99</v>
      </c>
      <c r="AX35" s="21">
        <v>0.99</v>
      </c>
      <c r="AY35" s="21">
        <v>0.77</v>
      </c>
      <c r="AZ35" s="21">
        <v>0.5</v>
      </c>
      <c r="BA35" s="21">
        <v>0.5</v>
      </c>
      <c r="BB35" s="21">
        <v>0.5</v>
      </c>
    </row>
    <row r="36" spans="5:54" x14ac:dyDescent="0.2">
      <c r="E36">
        <v>6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0"/>
        <v>1</v>
      </c>
      <c r="S36">
        <f t="shared" si="1"/>
        <v>8.2794883080999995</v>
      </c>
      <c r="T36">
        <f t="shared" si="2"/>
        <v>0.17138540797766999</v>
      </c>
      <c r="U36">
        <f t="shared" si="3"/>
        <v>1094.7242934573671</v>
      </c>
      <c r="X36" s="9" t="s">
        <v>117</v>
      </c>
      <c r="Y36" s="9" t="s">
        <v>152</v>
      </c>
      <c r="Z36">
        <v>0.3</v>
      </c>
      <c r="AA36">
        <v>0.55000000000000004</v>
      </c>
      <c r="AB36">
        <v>-0.44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0"/>
      <c r="AQ36" s="18"/>
      <c r="AR36" s="19" t="s">
        <v>120</v>
      </c>
      <c r="AS36" s="19">
        <v>0.77</v>
      </c>
      <c r="AT36" s="19">
        <v>0.5</v>
      </c>
      <c r="AU36" s="19">
        <v>0.55000000000000004</v>
      </c>
      <c r="AV36" s="22">
        <v>0.11</v>
      </c>
      <c r="AW36" s="22">
        <v>-0.33</v>
      </c>
      <c r="AX36" s="22">
        <v>-0.33</v>
      </c>
      <c r="AY36" s="22">
        <v>0.6</v>
      </c>
      <c r="AZ36" s="22">
        <v>0.33</v>
      </c>
      <c r="BA36" s="22">
        <v>0.33</v>
      </c>
      <c r="BB36" s="22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0"/>
        <v>1</v>
      </c>
      <c r="S37">
        <f t="shared" si="1"/>
        <v>7.1414010756000028</v>
      </c>
      <c r="T37">
        <f t="shared" si="2"/>
        <v>0.14782700226492007</v>
      </c>
      <c r="U37">
        <f t="shared" si="3"/>
        <v>539.56855826695823</v>
      </c>
      <c r="X37" s="9" t="s">
        <v>119</v>
      </c>
      <c r="Y37" s="9" t="s">
        <v>152</v>
      </c>
      <c r="Z37">
        <v>0.3</v>
      </c>
      <c r="AA37">
        <v>0</v>
      </c>
      <c r="AB37">
        <v>0.99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8"/>
      <c r="AQ37" s="20"/>
      <c r="AR37" s="8" t="s">
        <v>121</v>
      </c>
      <c r="AS37" s="8">
        <v>0.11</v>
      </c>
      <c r="AT37" s="8">
        <v>-0.27</v>
      </c>
      <c r="AU37" s="8">
        <v>0.11</v>
      </c>
      <c r="AV37" s="21">
        <v>0.22</v>
      </c>
      <c r="AW37" s="21">
        <v>-0.44</v>
      </c>
      <c r="AX37" s="21">
        <v>-0.44</v>
      </c>
      <c r="AY37" s="21">
        <v>0.16</v>
      </c>
      <c r="AZ37" s="21">
        <v>-0.22</v>
      </c>
      <c r="BA37" s="21">
        <v>-0.22</v>
      </c>
      <c r="BB37" s="21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0"/>
        <v>1</v>
      </c>
      <c r="S38">
        <f t="shared" si="1"/>
        <v>7.7461465761000019</v>
      </c>
      <c r="T38">
        <f t="shared" si="2"/>
        <v>0.16034523412527002</v>
      </c>
      <c r="U38">
        <f t="shared" si="3"/>
        <v>292.63005227861777</v>
      </c>
      <c r="X38" s="9" t="s">
        <v>120</v>
      </c>
      <c r="Y38" s="9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0"/>
      <c r="AQ38" s="18" t="s">
        <v>135</v>
      </c>
      <c r="AR38" s="19" t="s">
        <v>117</v>
      </c>
      <c r="AS38" s="19">
        <v>1.1000000000000001</v>
      </c>
      <c r="AT38" s="19">
        <v>1.1000000000000001</v>
      </c>
      <c r="AU38" s="19">
        <v>1.1000000000000001</v>
      </c>
      <c r="AV38" s="22">
        <v>0.99</v>
      </c>
      <c r="AW38" s="22">
        <v>0.99</v>
      </c>
      <c r="AX38" s="22">
        <v>0.99</v>
      </c>
      <c r="AY38" s="22">
        <v>1.1000000000000001</v>
      </c>
      <c r="AZ38" s="22">
        <v>0.77</v>
      </c>
      <c r="BA38" s="22">
        <v>0.77</v>
      </c>
      <c r="BB38" s="22">
        <v>0.77</v>
      </c>
    </row>
    <row r="39" spans="5:54" x14ac:dyDescent="0.2">
      <c r="E39" t="s">
        <v>169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0"/>
        <v>1</v>
      </c>
      <c r="S39">
        <f t="shared" si="1"/>
        <v>9.4045875560999992</v>
      </c>
      <c r="T39">
        <f t="shared" si="2"/>
        <v>0.19467496241126997</v>
      </c>
      <c r="U39">
        <f t="shared" si="3"/>
        <v>532.92270960085148</v>
      </c>
      <c r="X39" s="9" t="s">
        <v>121</v>
      </c>
      <c r="Y39" s="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8"/>
      <c r="AQ39" s="20"/>
      <c r="AR39" s="8" t="s">
        <v>119</v>
      </c>
      <c r="AS39" s="8">
        <v>0.33</v>
      </c>
      <c r="AT39" s="8">
        <v>0.33</v>
      </c>
      <c r="AU39" s="8">
        <v>0.22</v>
      </c>
      <c r="AV39" s="21">
        <v>0.33</v>
      </c>
      <c r="AW39" s="21">
        <v>-0.1</v>
      </c>
      <c r="AX39" s="21">
        <v>-0.1</v>
      </c>
      <c r="AY39" s="21">
        <v>0.33</v>
      </c>
      <c r="AZ39" s="21">
        <v>0.11</v>
      </c>
      <c r="BA39" s="21">
        <v>0.11</v>
      </c>
      <c r="BB39" s="21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0"/>
        <v>1</v>
      </c>
      <c r="S40">
        <f t="shared" si="1"/>
        <v>8.2794883080999995</v>
      </c>
      <c r="T40">
        <f t="shared" si="2"/>
        <v>0.17138540797766999</v>
      </c>
      <c r="U40">
        <f t="shared" si="3"/>
        <v>1563.8918477962386</v>
      </c>
      <c r="X40" s="9" t="s">
        <v>117</v>
      </c>
      <c r="Y40" s="9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0"/>
      <c r="AQ40" s="18"/>
      <c r="AR40" s="19" t="s">
        <v>120</v>
      </c>
      <c r="AS40" s="19">
        <v>0.5</v>
      </c>
      <c r="AT40" s="19">
        <v>0.2</v>
      </c>
      <c r="AU40" s="19">
        <v>0.55000000000000004</v>
      </c>
      <c r="AV40" s="22">
        <v>0.44</v>
      </c>
      <c r="AW40" s="22">
        <v>0.2</v>
      </c>
      <c r="AX40" s="22">
        <v>0.2</v>
      </c>
      <c r="AY40" s="22">
        <v>0.55000000000000004</v>
      </c>
      <c r="AZ40" s="22">
        <v>0.2</v>
      </c>
      <c r="BA40" s="22">
        <v>0.2</v>
      </c>
      <c r="BB40" s="22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0"/>
        <v>1</v>
      </c>
      <c r="S41">
        <f t="shared" si="1"/>
        <v>7.1414010756000028</v>
      </c>
      <c r="T41">
        <f t="shared" si="2"/>
        <v>0.14782700226492007</v>
      </c>
      <c r="U41">
        <f t="shared" si="3"/>
        <v>539.56855826695823</v>
      </c>
      <c r="X41" s="9" t="s">
        <v>119</v>
      </c>
      <c r="Y41" s="9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8"/>
      <c r="AQ41" s="20"/>
      <c r="AR41" s="8" t="s">
        <v>121</v>
      </c>
      <c r="AS41" s="8">
        <v>0.55000000000000004</v>
      </c>
      <c r="AT41" s="8">
        <v>0.22</v>
      </c>
      <c r="AU41" s="8">
        <v>0.49</v>
      </c>
      <c r="AV41" s="21">
        <v>0.22</v>
      </c>
      <c r="AW41" s="21">
        <v>0.22</v>
      </c>
      <c r="AX41" s="21">
        <v>0.22</v>
      </c>
      <c r="AY41" s="21">
        <v>0.49</v>
      </c>
      <c r="AZ41" s="21">
        <v>0.33</v>
      </c>
      <c r="BA41" s="21">
        <v>0.33</v>
      </c>
      <c r="BB41" s="21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0"/>
        <v>1</v>
      </c>
      <c r="S42">
        <f t="shared" si="1"/>
        <v>7.7461465761000019</v>
      </c>
      <c r="T42">
        <f t="shared" si="2"/>
        <v>0.16034523412527002</v>
      </c>
      <c r="U42">
        <f t="shared" si="3"/>
        <v>0</v>
      </c>
      <c r="X42" s="9" t="s">
        <v>120</v>
      </c>
      <c r="Y42" s="9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0"/>
      <c r="AQ42" s="18" t="s">
        <v>256</v>
      </c>
      <c r="AR42" s="19" t="s">
        <v>117</v>
      </c>
      <c r="AS42" s="19">
        <v>1.64</v>
      </c>
      <c r="AT42" s="19">
        <v>1.1000000000000001</v>
      </c>
      <c r="AU42" s="19">
        <v>1.21</v>
      </c>
      <c r="AV42" s="22">
        <v>0.99</v>
      </c>
      <c r="AW42" s="22">
        <v>0.66</v>
      </c>
      <c r="AX42" s="22">
        <v>0.66</v>
      </c>
      <c r="AY42" s="22">
        <v>1.42</v>
      </c>
      <c r="AZ42" s="22">
        <v>1.1000000000000001</v>
      </c>
      <c r="BA42" s="22">
        <v>1.1000000000000001</v>
      </c>
      <c r="BB42" s="22">
        <v>1.1000000000000001</v>
      </c>
    </row>
    <row r="43" spans="5:54" x14ac:dyDescent="0.2">
      <c r="E43" t="s">
        <v>171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0"/>
        <v>1</v>
      </c>
      <c r="S43">
        <f t="shared" si="1"/>
        <v>6.1075213955999983</v>
      </c>
      <c r="T43">
        <f t="shared" si="2"/>
        <v>0.12642569288891994</v>
      </c>
      <c r="U43">
        <f t="shared" si="3"/>
        <v>230.7268895222789</v>
      </c>
      <c r="X43" s="9" t="s">
        <v>121</v>
      </c>
      <c r="Y43" s="9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8"/>
      <c r="AQ43" s="20"/>
      <c r="AR43" s="8" t="s">
        <v>119</v>
      </c>
      <c r="AS43" s="8">
        <v>0.44</v>
      </c>
      <c r="AT43" s="8">
        <v>-0.22</v>
      </c>
      <c r="AU43" s="8">
        <v>0.44</v>
      </c>
      <c r="AV43" s="21">
        <v>0.33</v>
      </c>
      <c r="AW43" s="21">
        <v>-0.22</v>
      </c>
      <c r="AX43" s="21">
        <v>-0.22</v>
      </c>
      <c r="AY43" s="21">
        <v>0.44</v>
      </c>
      <c r="AZ43" s="21">
        <v>-0.11</v>
      </c>
      <c r="BA43" s="21">
        <v>-0.11</v>
      </c>
      <c r="BB43" s="21">
        <v>-0.11</v>
      </c>
    </row>
    <row r="44" spans="5:54" x14ac:dyDescent="0.2">
      <c r="E44" t="s">
        <v>239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0"/>
        <v>1</v>
      </c>
      <c r="S44">
        <f t="shared" si="1"/>
        <v>5.4066015441000008</v>
      </c>
      <c r="T44">
        <f t="shared" si="2"/>
        <v>0.11191665196287003</v>
      </c>
      <c r="U44">
        <f t="shared" si="3"/>
        <v>408.49577966447561</v>
      </c>
      <c r="X44" s="9" t="s">
        <v>117</v>
      </c>
      <c r="Y44" s="9" t="s">
        <v>156</v>
      </c>
      <c r="Z44">
        <v>0.3</v>
      </c>
      <c r="AA44">
        <v>0.55000000000000004</v>
      </c>
      <c r="AB44">
        <v>-0.44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0"/>
      <c r="AQ44" s="18"/>
      <c r="AR44" s="19" t="s">
        <v>120</v>
      </c>
      <c r="AS44" s="19">
        <v>0.6</v>
      </c>
      <c r="AT44" s="19">
        <v>0</v>
      </c>
      <c r="AU44" s="19">
        <v>0.6</v>
      </c>
      <c r="AV44" s="22">
        <v>0.22</v>
      </c>
      <c r="AW44" s="22">
        <v>-0.55000000000000004</v>
      </c>
      <c r="AX44" s="22">
        <v>-0.55000000000000004</v>
      </c>
      <c r="AY44" s="22">
        <v>0.6</v>
      </c>
      <c r="AZ44" s="22">
        <v>0</v>
      </c>
      <c r="BA44" s="22">
        <v>0</v>
      </c>
      <c r="BB44" s="22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0"/>
        <v>1</v>
      </c>
      <c r="S45">
        <f t="shared" si="1"/>
        <v>3.1190562272249998</v>
      </c>
      <c r="T45">
        <f t="shared" si="2"/>
        <v>6.4564463903557495E-2</v>
      </c>
      <c r="U45">
        <f t="shared" si="3"/>
        <v>206.20275659198674</v>
      </c>
      <c r="X45" s="9" t="s">
        <v>119</v>
      </c>
      <c r="Y45" s="9" t="s">
        <v>156</v>
      </c>
      <c r="Z45">
        <v>0.3</v>
      </c>
      <c r="AA45">
        <v>0</v>
      </c>
      <c r="AB45">
        <v>0.99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8"/>
      <c r="AQ45" s="20"/>
      <c r="AR45" s="8" t="s">
        <v>121</v>
      </c>
      <c r="AS45" s="8">
        <v>0.99</v>
      </c>
      <c r="AT45" s="8">
        <v>0.22</v>
      </c>
      <c r="AU45" s="8">
        <v>0.77</v>
      </c>
      <c r="AV45" s="21">
        <v>0.11</v>
      </c>
      <c r="AW45" s="21">
        <v>0.11</v>
      </c>
      <c r="AX45" s="21">
        <v>0.11</v>
      </c>
      <c r="AY45" s="21">
        <v>0.77</v>
      </c>
      <c r="AZ45" s="21">
        <v>0.44</v>
      </c>
      <c r="BA45" s="21">
        <v>0.44</v>
      </c>
      <c r="BB45" s="21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0"/>
        <v>1</v>
      </c>
      <c r="S46">
        <f t="shared" si="1"/>
        <v>3.7017375200999996</v>
      </c>
      <c r="T46">
        <f t="shared" si="2"/>
        <v>7.6625966666069981E-2</v>
      </c>
      <c r="U46">
        <f t="shared" si="3"/>
        <v>209.76358374836656</v>
      </c>
      <c r="X46" s="9" t="s">
        <v>120</v>
      </c>
      <c r="Y46" s="9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0"/>
      <c r="AQ46" s="18" t="s">
        <v>257</v>
      </c>
      <c r="AR46" s="19" t="s">
        <v>117</v>
      </c>
      <c r="AS46" s="19">
        <v>0.7</v>
      </c>
      <c r="AT46" s="19">
        <v>-0.55000000000000004</v>
      </c>
      <c r="AU46" s="19">
        <v>0.7</v>
      </c>
      <c r="AV46" s="22">
        <v>0.22</v>
      </c>
      <c r="AW46" s="22">
        <v>-0.22</v>
      </c>
      <c r="AX46" s="22">
        <v>-0.22</v>
      </c>
      <c r="AY46" s="22">
        <v>0.7</v>
      </c>
      <c r="AZ46" s="22">
        <v>-0.22</v>
      </c>
      <c r="BA46" s="22">
        <v>-0.22</v>
      </c>
      <c r="BB46" s="22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0"/>
        <v>1</v>
      </c>
      <c r="S47">
        <f t="shared" si="1"/>
        <v>9.4045875560999992</v>
      </c>
      <c r="T47">
        <f t="shared" si="2"/>
        <v>0.19467496241126997</v>
      </c>
      <c r="U47">
        <f t="shared" si="3"/>
        <v>532.92270960085148</v>
      </c>
      <c r="X47" s="9" t="s">
        <v>121</v>
      </c>
      <c r="Y47" s="9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8"/>
      <c r="AQ47" s="20"/>
      <c r="AR47" s="8" t="s">
        <v>119</v>
      </c>
      <c r="AS47" s="8">
        <v>0.77</v>
      </c>
      <c r="AT47" s="8">
        <v>0.55000000000000004</v>
      </c>
      <c r="AU47" s="8">
        <v>0.77</v>
      </c>
      <c r="AV47" s="21">
        <v>0.66</v>
      </c>
      <c r="AW47" s="21">
        <v>0.55000000000000004</v>
      </c>
      <c r="AX47" s="21">
        <v>0.55000000000000004</v>
      </c>
      <c r="AY47" s="21">
        <v>0.77</v>
      </c>
      <c r="AZ47" s="21">
        <v>0.33</v>
      </c>
      <c r="BA47" s="21">
        <v>0.33</v>
      </c>
      <c r="BB47" s="21">
        <v>0.33</v>
      </c>
    </row>
    <row r="48" spans="5:54" x14ac:dyDescent="0.2">
      <c r="E48" t="s">
        <v>240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0"/>
        <v>1</v>
      </c>
      <c r="S48">
        <f t="shared" si="1"/>
        <v>8.2794883080999995</v>
      </c>
      <c r="T48">
        <f t="shared" si="2"/>
        <v>0.17138540797766999</v>
      </c>
      <c r="U48">
        <f t="shared" si="3"/>
        <v>547.36214672868357</v>
      </c>
      <c r="X48" s="9" t="s">
        <v>117</v>
      </c>
      <c r="Y48" s="9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-0.55000000000000004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0"/>
      <c r="AQ48" s="18"/>
      <c r="AR48" s="19" t="s">
        <v>120</v>
      </c>
      <c r="AS48" s="19">
        <v>0.88</v>
      </c>
      <c r="AT48" s="19">
        <v>0.55000000000000004</v>
      </c>
      <c r="AU48" s="19">
        <v>0.88</v>
      </c>
      <c r="AV48" s="22">
        <v>0.22</v>
      </c>
      <c r="AW48" s="22">
        <v>0.22</v>
      </c>
      <c r="AX48" s="22">
        <v>0.22</v>
      </c>
      <c r="AY48" s="22">
        <v>0.88</v>
      </c>
      <c r="AZ48" s="22">
        <v>0.22</v>
      </c>
      <c r="BA48" s="22">
        <v>0.22</v>
      </c>
      <c r="BB48" s="22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0"/>
        <v>1</v>
      </c>
      <c r="S49">
        <f t="shared" si="1"/>
        <v>7.1414010756000028</v>
      </c>
      <c r="T49">
        <f t="shared" si="2"/>
        <v>0.14782700226492007</v>
      </c>
      <c r="U49">
        <f t="shared" si="3"/>
        <v>269.78427913347912</v>
      </c>
      <c r="X49" s="9" t="s">
        <v>119</v>
      </c>
      <c r="Y49" s="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8"/>
      <c r="AQ49" s="20"/>
      <c r="AR49" s="8" t="s">
        <v>121</v>
      </c>
      <c r="AS49" s="8">
        <v>0.22</v>
      </c>
      <c r="AT49" s="8">
        <v>-0.55000000000000004</v>
      </c>
      <c r="AU49" s="8">
        <v>0.22</v>
      </c>
      <c r="AV49" s="23">
        <v>0.11</v>
      </c>
      <c r="AW49" s="23">
        <v>-0.22</v>
      </c>
      <c r="AX49" s="23">
        <v>-0.22</v>
      </c>
      <c r="AY49" s="23">
        <v>0.22</v>
      </c>
      <c r="AZ49" s="23">
        <v>-0.33</v>
      </c>
      <c r="BA49" s="23">
        <v>-0.33</v>
      </c>
      <c r="BB49" s="23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0"/>
        <v>1</v>
      </c>
      <c r="S50">
        <f t="shared" si="1"/>
        <v>7.7461465761000019</v>
      </c>
      <c r="T50">
        <f t="shared" si="2"/>
        <v>0.16034523412527002</v>
      </c>
      <c r="U50">
        <f t="shared" si="3"/>
        <v>0</v>
      </c>
      <c r="X50" s="9" t="s">
        <v>120</v>
      </c>
      <c r="Y50" s="9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0.55000000000000004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0"/>
      <c r="AQ50" s="18" t="s">
        <v>258</v>
      </c>
      <c r="AR50" s="19" t="s">
        <v>117</v>
      </c>
      <c r="AS50" s="19">
        <v>0.22</v>
      </c>
      <c r="AT50" s="19">
        <v>-0.55000000000000004</v>
      </c>
      <c r="AU50" s="19">
        <v>0.33</v>
      </c>
      <c r="AV50" s="24">
        <v>0.22</v>
      </c>
      <c r="AW50" s="24">
        <v>-0.33</v>
      </c>
      <c r="AX50" s="24">
        <v>-0.33</v>
      </c>
      <c r="AY50" s="24">
        <v>0.22</v>
      </c>
      <c r="AZ50" s="24">
        <v>-0.55000000000000004</v>
      </c>
      <c r="BA50" s="24">
        <v>-0.55000000000000004</v>
      </c>
      <c r="BB50" s="24">
        <v>-0.55000000000000004</v>
      </c>
    </row>
    <row r="51" spans="1:54" x14ac:dyDescent="0.2">
      <c r="X51" s="9" t="s">
        <v>121</v>
      </c>
      <c r="Y51" s="9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-0.55000000000000004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8"/>
      <c r="AQ51" s="20"/>
      <c r="AR51" s="8" t="s">
        <v>119</v>
      </c>
      <c r="AS51" s="8">
        <v>0.8</v>
      </c>
      <c r="AT51" s="8">
        <v>0.55000000000000004</v>
      </c>
      <c r="AU51" s="8">
        <v>0.7</v>
      </c>
      <c r="AV51" s="23">
        <v>0.44</v>
      </c>
      <c r="AW51" s="23">
        <v>0.66</v>
      </c>
      <c r="AX51" s="23">
        <v>0.66</v>
      </c>
      <c r="AY51" s="23">
        <v>0.8</v>
      </c>
      <c r="AZ51" s="23">
        <v>0.55000000000000004</v>
      </c>
      <c r="BA51" s="23">
        <v>0.55000000000000004</v>
      </c>
      <c r="BB51" s="23">
        <v>0.55000000000000004</v>
      </c>
    </row>
    <row r="52" spans="1:54" x14ac:dyDescent="0.2">
      <c r="X52" s="9" t="s">
        <v>117</v>
      </c>
      <c r="Y52" s="9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-0.55000000000000004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0"/>
      <c r="AQ52" s="18"/>
      <c r="AR52" s="19" t="s">
        <v>120</v>
      </c>
      <c r="AS52" s="19">
        <v>0.66</v>
      </c>
      <c r="AT52" s="19">
        <v>0.55000000000000004</v>
      </c>
      <c r="AU52" s="19">
        <v>0.55000000000000004</v>
      </c>
      <c r="AV52" s="24">
        <v>0.55000000000000004</v>
      </c>
      <c r="AW52" s="24">
        <v>0.11</v>
      </c>
      <c r="AX52" s="24">
        <v>0.11</v>
      </c>
      <c r="AY52" s="24">
        <v>0.66</v>
      </c>
      <c r="AZ52" s="24">
        <v>0.55000000000000004</v>
      </c>
      <c r="BA52" s="24">
        <v>0.55000000000000004</v>
      </c>
      <c r="BB52" s="24">
        <v>0.55000000000000004</v>
      </c>
    </row>
    <row r="53" spans="1:54" x14ac:dyDescent="0.2">
      <c r="X53" s="9" t="s">
        <v>119</v>
      </c>
      <c r="Y53" s="9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8"/>
      <c r="AQ53" s="20"/>
      <c r="AR53" s="8" t="s">
        <v>121</v>
      </c>
      <c r="AS53" s="8">
        <v>0.33</v>
      </c>
      <c r="AT53" s="8">
        <v>-0.55000000000000004</v>
      </c>
      <c r="AU53" s="8">
        <v>0.11</v>
      </c>
      <c r="AV53" s="23">
        <v>0.11</v>
      </c>
      <c r="AW53" s="23">
        <v>-0.44</v>
      </c>
      <c r="AX53" s="23">
        <v>-0.44</v>
      </c>
      <c r="AY53" s="23">
        <v>0.33</v>
      </c>
      <c r="AZ53" s="23">
        <v>-0.55000000000000004</v>
      </c>
      <c r="BA53" s="23">
        <v>-0.55000000000000004</v>
      </c>
      <c r="BB53" s="23">
        <v>-0.55000000000000004</v>
      </c>
    </row>
    <row r="54" spans="1:54" x14ac:dyDescent="0.2">
      <c r="X54" s="9" t="s">
        <v>120</v>
      </c>
      <c r="Y54" s="9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0.55000000000000004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0"/>
      <c r="AQ54" s="18" t="s">
        <v>259</v>
      </c>
      <c r="AR54" s="19" t="s">
        <v>117</v>
      </c>
      <c r="AS54" s="19">
        <v>0.22</v>
      </c>
      <c r="AT54" s="19">
        <v>-0.23</v>
      </c>
      <c r="AU54" s="19">
        <v>0.25</v>
      </c>
      <c r="AV54" s="24">
        <v>0.17</v>
      </c>
      <c r="AW54" s="24">
        <v>0.18</v>
      </c>
      <c r="AX54" s="24">
        <v>-0.28000000000000003</v>
      </c>
      <c r="AY54" s="24">
        <v>0.32</v>
      </c>
      <c r="AZ54" s="24">
        <v>0.24</v>
      </c>
      <c r="BA54" s="24">
        <v>0.25</v>
      </c>
      <c r="BB54" s="19">
        <v>-0.05</v>
      </c>
    </row>
    <row r="55" spans="1:54" x14ac:dyDescent="0.2">
      <c r="X55" s="9" t="s">
        <v>121</v>
      </c>
      <c r="Y55" s="9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-0.55000000000000004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8"/>
      <c r="AQ55" s="20"/>
      <c r="AR55" s="8" t="s">
        <v>119</v>
      </c>
      <c r="AS55" s="8">
        <v>0.66</v>
      </c>
      <c r="AT55" s="8">
        <v>0.2</v>
      </c>
      <c r="AU55" s="8">
        <v>0.62</v>
      </c>
      <c r="AV55" s="23">
        <v>0.54</v>
      </c>
      <c r="AW55" s="23">
        <v>0.38</v>
      </c>
      <c r="AX55" s="23">
        <v>0.27</v>
      </c>
      <c r="AY55" s="23">
        <v>0.75</v>
      </c>
      <c r="AZ55" s="23">
        <v>0.64</v>
      </c>
      <c r="BA55" s="23">
        <v>0.55000000000000004</v>
      </c>
      <c r="BB55" s="8">
        <v>0.48</v>
      </c>
    </row>
    <row r="56" spans="1:54" x14ac:dyDescent="0.2">
      <c r="X56" s="9" t="s">
        <v>117</v>
      </c>
      <c r="Y56" s="9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0"/>
      <c r="AQ56" s="18"/>
      <c r="AR56" s="19" t="s">
        <v>120</v>
      </c>
      <c r="AS56" s="19">
        <v>0.49</v>
      </c>
      <c r="AT56" s="19">
        <v>0.13</v>
      </c>
      <c r="AU56" s="19">
        <v>0.54</v>
      </c>
      <c r="AV56" s="24">
        <v>0.45</v>
      </c>
      <c r="AW56" s="24">
        <v>0.35</v>
      </c>
      <c r="AX56" s="24">
        <v>0.15</v>
      </c>
      <c r="AY56" s="24">
        <v>0.63</v>
      </c>
      <c r="AZ56" s="24">
        <v>0.54</v>
      </c>
      <c r="BA56" s="24">
        <v>0.42</v>
      </c>
      <c r="BB56" s="19">
        <v>0.26</v>
      </c>
    </row>
    <row r="57" spans="1:54" x14ac:dyDescent="0.2">
      <c r="X57" s="9" t="s">
        <v>119</v>
      </c>
      <c r="Y57" s="9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8"/>
      <c r="AQ57" s="20"/>
      <c r="AR57" s="8" t="s">
        <v>121</v>
      </c>
      <c r="AS57" s="8">
        <v>0.27</v>
      </c>
      <c r="AT57" s="8">
        <v>-0.8</v>
      </c>
      <c r="AU57" s="8">
        <v>0.22</v>
      </c>
      <c r="AV57" s="23">
        <v>0.09</v>
      </c>
      <c r="AW57" s="23">
        <v>0.12</v>
      </c>
      <c r="AX57" s="23">
        <v>0.02</v>
      </c>
      <c r="AY57" s="23">
        <v>0.25</v>
      </c>
      <c r="AZ57" s="23">
        <v>0.18</v>
      </c>
      <c r="BA57" s="23">
        <v>0.12</v>
      </c>
      <c r="BB57" s="8">
        <v>0.03</v>
      </c>
    </row>
    <row r="58" spans="1:54" x14ac:dyDescent="0.2">
      <c r="X58" s="9" t="s">
        <v>120</v>
      </c>
      <c r="Y58" s="9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0"/>
      <c r="AQ58" s="18" t="s">
        <v>260</v>
      </c>
      <c r="AR58" s="19" t="s">
        <v>117</v>
      </c>
      <c r="AS58" s="19">
        <v>0.22</v>
      </c>
      <c r="AT58" s="19">
        <v>-0.44</v>
      </c>
      <c r="AU58" s="19">
        <v>0.2</v>
      </c>
      <c r="AV58" s="24">
        <v>0.21</v>
      </c>
      <c r="AW58" s="24">
        <v>0.18</v>
      </c>
      <c r="AX58" s="24">
        <v>0.01</v>
      </c>
      <c r="AY58" s="24">
        <v>0.12</v>
      </c>
      <c r="AZ58" s="24">
        <v>0.09</v>
      </c>
      <c r="BA58" s="24" t="s">
        <v>181</v>
      </c>
      <c r="BB58" s="19" t="s">
        <v>181</v>
      </c>
    </row>
    <row r="59" spans="1:54" x14ac:dyDescent="0.2">
      <c r="X59" s="9" t="s">
        <v>121</v>
      </c>
      <c r="Y59" s="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8"/>
      <c r="AQ59" s="20"/>
      <c r="AR59" s="8" t="s">
        <v>119</v>
      </c>
      <c r="AS59" s="8">
        <v>0.66</v>
      </c>
      <c r="AT59" s="8">
        <v>0.22</v>
      </c>
      <c r="AU59" s="8">
        <v>0.68</v>
      </c>
      <c r="AV59" s="23">
        <v>0.22</v>
      </c>
      <c r="AW59" s="23">
        <v>0.24</v>
      </c>
      <c r="AX59" s="23">
        <v>0.25</v>
      </c>
      <c r="AY59" s="23">
        <v>0.64</v>
      </c>
      <c r="AZ59" s="23">
        <v>0.37</v>
      </c>
      <c r="BA59" s="23" t="s">
        <v>181</v>
      </c>
      <c r="BB59" s="8" t="s">
        <v>181</v>
      </c>
    </row>
    <row r="60" spans="1:54" x14ac:dyDescent="0.2">
      <c r="X60" s="9" t="s">
        <v>117</v>
      </c>
      <c r="Y60" s="9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-0.55000000000000004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0"/>
      <c r="AQ60" s="18"/>
      <c r="AR60" s="19" t="s">
        <v>120</v>
      </c>
      <c r="AS60" s="19">
        <v>0.49</v>
      </c>
      <c r="AT60" s="19">
        <v>0.05</v>
      </c>
      <c r="AU60" s="19">
        <v>0.64</v>
      </c>
      <c r="AV60" s="24">
        <v>0.25</v>
      </c>
      <c r="AW60" s="24">
        <v>0.28999999999999998</v>
      </c>
      <c r="AX60" s="24">
        <v>0.12</v>
      </c>
      <c r="AY60" s="24">
        <v>0.56999999999999995</v>
      </c>
      <c r="AZ60" s="24">
        <v>0.49</v>
      </c>
      <c r="BA60" s="24" t="s">
        <v>181</v>
      </c>
      <c r="BB60" s="19" t="s">
        <v>181</v>
      </c>
    </row>
    <row r="61" spans="1:54" x14ac:dyDescent="0.2">
      <c r="A61" t="s">
        <v>110</v>
      </c>
      <c r="B61" t="s">
        <v>233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L61">
        <v>0</v>
      </c>
      <c r="N61" t="e" cm="1">
        <f t="array" ref="N61">_xlfn.DROP(_xlfn.XLOOKUP($C61,#REF!,#REF!),1)</f>
        <v>#REF!</v>
      </c>
      <c r="P61" cm="1">
        <f t="array" ref="P61:P100">_xlfn.DROP(_xlfn.XLOOKUP($C61,TableLWG[[#Headers],[ACT/NSW]:[QLD - Low]],TableLWG[[#All],[ACT/NSW]:[QLD - Low]]),1)</f>
        <v>0.5</v>
      </c>
      <c r="Q61">
        <f>(J61 * L61) + (1 - J61 )</f>
        <v>1</v>
      </c>
      <c r="S61" t="e">
        <f>(1.185 + 0.00454 * N61- 0.0000026 * N61^2 + 0.315 * P61 )^2 * Q61</f>
        <v>#REF!</v>
      </c>
      <c r="T61" t="e">
        <f>20.7 * S61 * 10^-3</f>
        <v>#REF!</v>
      </c>
      <c r="U61" t="e">
        <f>H61*T61*I61</f>
        <v>#REF!</v>
      </c>
      <c r="V61" t="e">
        <f>SUM(U61:U100)/1000</f>
        <v>#REF!</v>
      </c>
      <c r="X61" s="9" t="s">
        <v>119</v>
      </c>
      <c r="Y61" s="9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8"/>
      <c r="AQ61" s="20"/>
      <c r="AR61" s="8" t="s">
        <v>121</v>
      </c>
      <c r="AS61" s="8">
        <v>0.27</v>
      </c>
      <c r="AT61" s="8">
        <v>-0.27</v>
      </c>
      <c r="AU61" s="8">
        <v>0.31</v>
      </c>
      <c r="AV61" s="23">
        <v>0.28999999999999998</v>
      </c>
      <c r="AW61" s="23">
        <v>0.19</v>
      </c>
      <c r="AX61" s="23">
        <v>0.04</v>
      </c>
      <c r="AY61" s="23">
        <v>0.26</v>
      </c>
      <c r="AZ61" s="23">
        <v>0.28000000000000003</v>
      </c>
      <c r="BA61" s="23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L62">
        <v>0</v>
      </c>
      <c r="P62">
        <v>1</v>
      </c>
      <c r="Q62">
        <f t="shared" ref="Q62:Q100" si="4">(J62 * L62) + (1 - J62 )</f>
        <v>1</v>
      </c>
      <c r="S62">
        <f t="shared" ref="S62:S100" si="5">(1.185 + 0.00454 * N62- 0.0000026 * N62^2 + 0.315 * P62 )^2 * Q62</f>
        <v>2.25</v>
      </c>
      <c r="T62">
        <f t="shared" ref="T62:T100" si="6">20.7 * S62 * 10^-3</f>
        <v>4.6574999999999998E-2</v>
      </c>
      <c r="U62">
        <f t="shared" ref="U62:U100" si="7">H62*T62*I62</f>
        <v>424.99687499999999</v>
      </c>
      <c r="X62" s="9" t="s">
        <v>120</v>
      </c>
      <c r="Y62" s="9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0.55000000000000004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0"/>
      <c r="AQ62" s="18" t="s">
        <v>261</v>
      </c>
      <c r="AR62" s="19" t="s">
        <v>117</v>
      </c>
      <c r="AS62" s="19">
        <v>0.22</v>
      </c>
      <c r="AT62" s="19">
        <v>-0.44</v>
      </c>
      <c r="AU62" s="19">
        <v>0</v>
      </c>
      <c r="AV62" s="24">
        <v>0.15</v>
      </c>
      <c r="AW62" s="24">
        <v>0.08</v>
      </c>
      <c r="AX62" s="24">
        <v>0.17</v>
      </c>
      <c r="AY62" s="24">
        <v>0.06</v>
      </c>
      <c r="AZ62" s="24">
        <v>0.02</v>
      </c>
      <c r="BA62" s="24">
        <v>-0.14000000000000001</v>
      </c>
      <c r="BB62" s="19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L63">
        <v>0</v>
      </c>
      <c r="P63">
        <v>0.8</v>
      </c>
      <c r="Q63">
        <f t="shared" si="4"/>
        <v>1</v>
      </c>
      <c r="S63">
        <f t="shared" si="5"/>
        <v>2.0649690000000001</v>
      </c>
      <c r="T63">
        <f t="shared" si="6"/>
        <v>4.2744858300000001E-2</v>
      </c>
      <c r="U63">
        <f t="shared" si="7"/>
        <v>312.03746559000001</v>
      </c>
      <c r="X63" s="9" t="s">
        <v>121</v>
      </c>
      <c r="Y63" s="9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-0.55000000000000004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8"/>
      <c r="AQ63" s="20"/>
      <c r="AR63" s="8" t="s">
        <v>119</v>
      </c>
      <c r="AS63" s="8">
        <v>0.66</v>
      </c>
      <c r="AT63" s="8">
        <v>0.22</v>
      </c>
      <c r="AU63" s="8">
        <v>0.79</v>
      </c>
      <c r="AV63" s="23">
        <v>0.4</v>
      </c>
      <c r="AW63" s="23">
        <v>0.38</v>
      </c>
      <c r="AX63" s="23">
        <v>0.27</v>
      </c>
      <c r="AY63" s="23">
        <v>0.8</v>
      </c>
      <c r="AZ63" s="23">
        <v>0.16</v>
      </c>
      <c r="BA63" s="23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L64">
        <v>0</v>
      </c>
      <c r="P64">
        <v>0.4</v>
      </c>
      <c r="Q64">
        <f t="shared" si="4"/>
        <v>1</v>
      </c>
      <c r="S64">
        <f t="shared" si="5"/>
        <v>1.7187209999999999</v>
      </c>
      <c r="T64">
        <f t="shared" si="6"/>
        <v>3.5577524700000002E-2</v>
      </c>
      <c r="U64">
        <f t="shared" si="7"/>
        <v>227.25143902125001</v>
      </c>
      <c r="AP64" s="20"/>
      <c r="AQ64" s="18"/>
      <c r="AR64" s="19" t="s">
        <v>120</v>
      </c>
      <c r="AS64" s="19">
        <v>0.49</v>
      </c>
      <c r="AT64" s="19">
        <v>0.05</v>
      </c>
      <c r="AU64" s="19">
        <v>0.55000000000000004</v>
      </c>
      <c r="AV64" s="24">
        <v>0.38</v>
      </c>
      <c r="AW64" s="24">
        <v>0.36</v>
      </c>
      <c r="AX64" s="24">
        <v>0.06</v>
      </c>
      <c r="AY64" s="24">
        <v>0.57999999999999996</v>
      </c>
      <c r="AZ64" s="24">
        <v>0.23</v>
      </c>
      <c r="BA64" s="24">
        <v>0.4</v>
      </c>
      <c r="BB64" s="19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L65">
        <v>0</v>
      </c>
      <c r="P65">
        <v>0.2</v>
      </c>
      <c r="Q65">
        <f t="shared" si="4"/>
        <v>1</v>
      </c>
      <c r="S65">
        <f t="shared" si="5"/>
        <v>1.557504</v>
      </c>
      <c r="T65">
        <f t="shared" si="6"/>
        <v>3.22403328E-2</v>
      </c>
      <c r="U65">
        <f t="shared" si="7"/>
        <v>58.838607359999997</v>
      </c>
      <c r="AP65" s="18"/>
      <c r="AQ65" s="20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L66">
        <v>0</v>
      </c>
      <c r="P66">
        <v>0.4</v>
      </c>
      <c r="Q66">
        <f t="shared" si="4"/>
        <v>1</v>
      </c>
      <c r="S66">
        <f t="shared" si="5"/>
        <v>1.7187209999999999</v>
      </c>
      <c r="T66">
        <f t="shared" si="6"/>
        <v>3.5577524700000002E-2</v>
      </c>
      <c r="U66">
        <f t="shared" si="7"/>
        <v>259.71593031000003</v>
      </c>
      <c r="AP66" s="20"/>
      <c r="AQ66" s="18" t="s">
        <v>262</v>
      </c>
      <c r="AR66" s="19" t="s">
        <v>117</v>
      </c>
      <c r="AS66" s="19">
        <v>0.27</v>
      </c>
      <c r="AT66" s="19">
        <v>-0.19</v>
      </c>
      <c r="AU66" s="19">
        <v>0.38</v>
      </c>
      <c r="AV66" s="25">
        <v>0.25</v>
      </c>
      <c r="AW66" s="19">
        <v>7.0000000000000007E-2</v>
      </c>
      <c r="AX66" s="19">
        <v>0.05</v>
      </c>
      <c r="AY66" s="19">
        <v>0.52</v>
      </c>
      <c r="AZ66" s="19">
        <v>0.55000000000000004</v>
      </c>
      <c r="BA66" s="19">
        <v>0.19</v>
      </c>
      <c r="BB66" s="19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L67">
        <v>0</v>
      </c>
      <c r="P67">
        <v>0.3</v>
      </c>
      <c r="Q67">
        <f t="shared" si="4"/>
        <v>1</v>
      </c>
      <c r="S67">
        <f t="shared" si="5"/>
        <v>1.6371202500000002</v>
      </c>
      <c r="T67">
        <f t="shared" si="6"/>
        <v>3.3888389174999999E-2</v>
      </c>
      <c r="U67">
        <f t="shared" si="7"/>
        <v>216.46208585531249</v>
      </c>
      <c r="AP67" s="18"/>
      <c r="AQ67" s="20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60</v>
      </c>
      <c r="J68">
        <v>0</v>
      </c>
      <c r="L68">
        <v>0</v>
      </c>
      <c r="P68">
        <v>0.1</v>
      </c>
      <c r="Q68">
        <f t="shared" si="4"/>
        <v>1</v>
      </c>
      <c r="S68">
        <f t="shared" si="5"/>
        <v>1.4798722500000003</v>
      </c>
      <c r="T68">
        <f t="shared" si="6"/>
        <v>3.0633355575000007E-2</v>
      </c>
      <c r="U68">
        <f t="shared" si="7"/>
        <v>167.71762177312505</v>
      </c>
      <c r="AP68" s="20"/>
      <c r="AQ68" s="18"/>
      <c r="AR68" s="19" t="s">
        <v>120</v>
      </c>
      <c r="AS68" s="19">
        <v>0.45</v>
      </c>
      <c r="AT68" s="19">
        <v>0.1</v>
      </c>
      <c r="AU68" s="19">
        <v>0.49</v>
      </c>
      <c r="AV68" s="24">
        <v>0.41</v>
      </c>
      <c r="AW68" s="19">
        <v>0.4</v>
      </c>
      <c r="AX68" s="19">
        <v>0.17</v>
      </c>
      <c r="AY68" s="19">
        <v>0.54</v>
      </c>
      <c r="AZ68" s="19">
        <v>0.64</v>
      </c>
      <c r="BA68" s="19">
        <v>-0.05</v>
      </c>
      <c r="BB68" s="19">
        <v>0.32</v>
      </c>
    </row>
    <row r="69" spans="5:54" x14ac:dyDescent="0.2">
      <c r="E69" t="s">
        <v>141</v>
      </c>
      <c r="F69" t="s">
        <v>117</v>
      </c>
      <c r="H69">
        <v>91.25</v>
      </c>
      <c r="I69">
        <v>100</v>
      </c>
      <c r="J69">
        <v>0</v>
      </c>
      <c r="L69">
        <v>0</v>
      </c>
      <c r="P69">
        <v>0.4</v>
      </c>
      <c r="Q69">
        <f t="shared" si="4"/>
        <v>1</v>
      </c>
      <c r="S69">
        <f t="shared" si="5"/>
        <v>1.7187209999999999</v>
      </c>
      <c r="T69">
        <f t="shared" si="6"/>
        <v>3.5577524700000002E-2</v>
      </c>
      <c r="U69">
        <f t="shared" si="7"/>
        <v>324.64491288750003</v>
      </c>
      <c r="AP69" s="18"/>
      <c r="AQ69" s="20"/>
      <c r="AR69" s="8" t="s">
        <v>121</v>
      </c>
      <c r="AS69" s="8">
        <v>0.51</v>
      </c>
      <c r="AT69" s="8">
        <v>-7.0000000000000007E-2</v>
      </c>
      <c r="AU69" s="8">
        <v>0.13</v>
      </c>
      <c r="AV69" s="23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3</v>
      </c>
      <c r="F70" t="s">
        <v>119</v>
      </c>
      <c r="H70">
        <v>91.25</v>
      </c>
      <c r="I70">
        <v>180</v>
      </c>
      <c r="J70">
        <v>0</v>
      </c>
      <c r="L70">
        <v>0</v>
      </c>
      <c r="P70">
        <v>0.7</v>
      </c>
      <c r="Q70">
        <f t="shared" si="4"/>
        <v>1</v>
      </c>
      <c r="S70">
        <f t="shared" si="5"/>
        <v>1.9754302499999998</v>
      </c>
      <c r="T70">
        <f t="shared" si="6"/>
        <v>4.0891406174999992E-2</v>
      </c>
      <c r="U70">
        <f t="shared" si="7"/>
        <v>671.64134642437489</v>
      </c>
      <c r="AP70" s="20"/>
      <c r="AQ70" s="18" t="s">
        <v>263</v>
      </c>
      <c r="AR70" s="19" t="s">
        <v>117</v>
      </c>
      <c r="AS70" s="19">
        <v>-0.12</v>
      </c>
      <c r="AT70" s="19">
        <v>-0.19</v>
      </c>
      <c r="AU70" s="19">
        <v>0.41</v>
      </c>
      <c r="AV70" s="19">
        <v>0.09</v>
      </c>
      <c r="AW70" s="19">
        <v>0.41</v>
      </c>
      <c r="AX70" s="19">
        <v>-0.19</v>
      </c>
      <c r="AY70" s="19">
        <v>7.0000000000000007E-2</v>
      </c>
      <c r="AZ70" s="19">
        <v>1.07</v>
      </c>
      <c r="BA70" s="19">
        <v>-0.08</v>
      </c>
      <c r="BB70" s="19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L71">
        <v>0</v>
      </c>
      <c r="P71">
        <v>0.3</v>
      </c>
      <c r="Q71">
        <f t="shared" si="4"/>
        <v>1</v>
      </c>
      <c r="S71">
        <f t="shared" si="5"/>
        <v>1.6371202500000002</v>
      </c>
      <c r="T71">
        <f t="shared" si="6"/>
        <v>3.3888389174999999E-2</v>
      </c>
      <c r="U71">
        <f t="shared" si="7"/>
        <v>525.69363707718742</v>
      </c>
      <c r="AP71" s="18"/>
      <c r="AQ71" s="20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L72">
        <v>0</v>
      </c>
      <c r="P72">
        <v>0.2</v>
      </c>
      <c r="Q72">
        <f t="shared" si="4"/>
        <v>1</v>
      </c>
      <c r="S72">
        <f t="shared" si="5"/>
        <v>1.557504</v>
      </c>
      <c r="T72">
        <f t="shared" si="6"/>
        <v>3.22403328E-2</v>
      </c>
      <c r="U72">
        <f t="shared" si="7"/>
        <v>470.70885887999998</v>
      </c>
      <c r="AP72" s="20"/>
      <c r="AQ72" s="18"/>
      <c r="AR72" s="19" t="s">
        <v>120</v>
      </c>
      <c r="AS72" s="19">
        <v>0.7</v>
      </c>
      <c r="AT72" s="19">
        <v>0.13</v>
      </c>
      <c r="AU72" s="19">
        <v>0.52</v>
      </c>
      <c r="AV72" s="19">
        <v>0.34</v>
      </c>
      <c r="AW72" s="19">
        <v>0.02</v>
      </c>
      <c r="AX72" s="19">
        <v>0.04</v>
      </c>
      <c r="AY72" s="19">
        <v>0.77</v>
      </c>
      <c r="AZ72" s="19">
        <v>0.42</v>
      </c>
      <c r="BA72" s="19">
        <v>0.12</v>
      </c>
      <c r="BB72" s="19">
        <v>0.74</v>
      </c>
    </row>
    <row r="73" spans="5:54" x14ac:dyDescent="0.2">
      <c r="E73" t="s">
        <v>146</v>
      </c>
      <c r="F73" t="s">
        <v>117</v>
      </c>
      <c r="H73">
        <v>91.25</v>
      </c>
      <c r="I73">
        <v>150</v>
      </c>
      <c r="J73">
        <v>0.7</v>
      </c>
      <c r="L73">
        <f>$AC$12</f>
        <v>1.3</v>
      </c>
      <c r="P73">
        <v>0.3</v>
      </c>
      <c r="Q73">
        <f t="shared" si="4"/>
        <v>1.21</v>
      </c>
      <c r="S73">
        <f t="shared" si="5"/>
        <v>1.9809155025</v>
      </c>
      <c r="T73">
        <f t="shared" si="6"/>
        <v>4.1004950901749999E-2</v>
      </c>
      <c r="U73">
        <f t="shared" si="7"/>
        <v>561.25526546770311</v>
      </c>
      <c r="AP73" s="18"/>
      <c r="AQ73" s="20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>
        <v>4</v>
      </c>
      <c r="F74" t="s">
        <v>119</v>
      </c>
      <c r="H74">
        <v>91.25</v>
      </c>
      <c r="I74">
        <v>250</v>
      </c>
      <c r="J74">
        <v>0</v>
      </c>
      <c r="L74">
        <f>$AC$13</f>
        <v>1.1000000000000001</v>
      </c>
      <c r="P74">
        <v>0.3</v>
      </c>
      <c r="Q74">
        <f t="shared" si="4"/>
        <v>1</v>
      </c>
      <c r="S74">
        <f t="shared" si="5"/>
        <v>1.6371202500000002</v>
      </c>
      <c r="T74">
        <f t="shared" si="6"/>
        <v>3.3888389174999999E-2</v>
      </c>
      <c r="U74">
        <f t="shared" si="7"/>
        <v>773.07887805468749</v>
      </c>
      <c r="AP74" s="20"/>
      <c r="AQ74" s="18" t="s">
        <v>264</v>
      </c>
      <c r="AR74" s="19" t="s">
        <v>117</v>
      </c>
      <c r="AS74" s="19">
        <v>0.62</v>
      </c>
      <c r="AT74" s="19">
        <v>-0.19</v>
      </c>
      <c r="AU74" s="19">
        <v>0.37</v>
      </c>
      <c r="AV74" s="19">
        <v>0.41</v>
      </c>
      <c r="AW74" s="19">
        <v>0.06</v>
      </c>
      <c r="AX74" s="19">
        <v>-0.02</v>
      </c>
      <c r="AY74" s="19">
        <v>0.47</v>
      </c>
      <c r="AZ74" s="19">
        <v>0.44</v>
      </c>
      <c r="BA74" s="19">
        <v>0.3</v>
      </c>
      <c r="BB74" s="19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L75">
        <f>$AC$14</f>
        <v>0</v>
      </c>
      <c r="P75">
        <v>0.2</v>
      </c>
      <c r="Q75">
        <f t="shared" si="4"/>
        <v>1</v>
      </c>
      <c r="S75">
        <f t="shared" si="5"/>
        <v>1.557504</v>
      </c>
      <c r="T75">
        <f t="shared" si="6"/>
        <v>3.22403328E-2</v>
      </c>
      <c r="U75">
        <f t="shared" si="7"/>
        <v>706.06328831999997</v>
      </c>
      <c r="AP75" s="18"/>
      <c r="AQ75" s="20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L76">
        <f>$AC$14</f>
        <v>0</v>
      </c>
      <c r="P76">
        <v>0.1</v>
      </c>
      <c r="Q76">
        <f t="shared" si="4"/>
        <v>0.9</v>
      </c>
      <c r="S76">
        <f t="shared" si="5"/>
        <v>1.3318850250000003</v>
      </c>
      <c r="T76">
        <f t="shared" si="6"/>
        <v>2.7570020017500006E-2</v>
      </c>
      <c r="U76">
        <f t="shared" si="7"/>
        <v>503.15286531937511</v>
      </c>
      <c r="AP76" s="20"/>
      <c r="AQ76" s="18"/>
      <c r="AR76" s="19" t="s">
        <v>120</v>
      </c>
      <c r="AS76" s="19">
        <v>0.33</v>
      </c>
      <c r="AT76" s="19">
        <v>0.13</v>
      </c>
      <c r="AU76" s="19">
        <v>0.39</v>
      </c>
      <c r="AV76" s="19">
        <v>0.36</v>
      </c>
      <c r="AW76" s="19">
        <v>0.26</v>
      </c>
      <c r="AX76" s="19">
        <v>0.11</v>
      </c>
      <c r="AY76" s="19">
        <v>0.4</v>
      </c>
      <c r="AZ76" s="19">
        <v>0.44</v>
      </c>
      <c r="BA76" s="19">
        <v>0.37</v>
      </c>
      <c r="BB76" s="19">
        <v>-0.01</v>
      </c>
    </row>
    <row r="77" spans="5:54" x14ac:dyDescent="0.2">
      <c r="E77" t="s">
        <v>152</v>
      </c>
      <c r="F77" t="s">
        <v>117</v>
      </c>
      <c r="H77">
        <v>91.25</v>
      </c>
      <c r="I77">
        <v>100</v>
      </c>
      <c r="J77">
        <v>0.8</v>
      </c>
      <c r="L77">
        <f>$AC$12</f>
        <v>1.3</v>
      </c>
      <c r="P77">
        <v>0.5</v>
      </c>
      <c r="Q77">
        <f t="shared" si="4"/>
        <v>1.24</v>
      </c>
      <c r="S77">
        <f t="shared" si="5"/>
        <v>2.23485975</v>
      </c>
      <c r="T77">
        <f t="shared" si="6"/>
        <v>4.6261596825000001E-2</v>
      </c>
      <c r="U77">
        <f t="shared" si="7"/>
        <v>422.13707102812504</v>
      </c>
      <c r="AP77" s="18"/>
      <c r="AQ77" s="20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 t="s">
        <v>236</v>
      </c>
      <c r="F78" t="s">
        <v>119</v>
      </c>
      <c r="H78">
        <v>91.25</v>
      </c>
      <c r="I78">
        <v>190</v>
      </c>
      <c r="J78">
        <v>0</v>
      </c>
      <c r="L78">
        <f>$AC$13</f>
        <v>1.1000000000000001</v>
      </c>
      <c r="P78">
        <v>0.9</v>
      </c>
      <c r="Q78">
        <f t="shared" si="4"/>
        <v>1</v>
      </c>
      <c r="S78">
        <f t="shared" si="5"/>
        <v>2.1564922500000003</v>
      </c>
      <c r="T78">
        <f t="shared" si="6"/>
        <v>4.4639389575000001E-2</v>
      </c>
      <c r="U78">
        <f t="shared" si="7"/>
        <v>773.93541675656252</v>
      </c>
      <c r="AP78" s="20"/>
      <c r="AQ78" s="18" t="s">
        <v>265</v>
      </c>
      <c r="AR78" s="19" t="s">
        <v>117</v>
      </c>
      <c r="AS78" s="19">
        <v>-0.2</v>
      </c>
      <c r="AT78" s="19">
        <v>0.02</v>
      </c>
      <c r="AU78" s="19">
        <v>0.24</v>
      </c>
      <c r="AV78" s="19">
        <v>0.3</v>
      </c>
      <c r="AW78" s="19">
        <v>0.23</v>
      </c>
      <c r="AX78" s="19">
        <v>-0.05</v>
      </c>
      <c r="AY78" s="19">
        <v>0.34</v>
      </c>
      <c r="AZ78" s="19">
        <v>0.3</v>
      </c>
      <c r="BA78" s="19">
        <v>0.56999999999999995</v>
      </c>
      <c r="BB78" s="19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L79">
        <f>$AC$14</f>
        <v>0</v>
      </c>
      <c r="P79">
        <v>0.7</v>
      </c>
      <c r="Q79">
        <f t="shared" si="4"/>
        <v>1</v>
      </c>
      <c r="S79">
        <f t="shared" si="5"/>
        <v>1.9754302499999998</v>
      </c>
      <c r="T79">
        <f t="shared" si="6"/>
        <v>4.0891406174999992E-2</v>
      </c>
      <c r="U79">
        <f t="shared" si="7"/>
        <v>727.61145862640603</v>
      </c>
      <c r="AP79" s="18"/>
      <c r="AQ79" s="20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0.1</v>
      </c>
      <c r="L80">
        <f>$AC$14</f>
        <v>0</v>
      </c>
      <c r="P80">
        <v>0.4</v>
      </c>
      <c r="Q80">
        <f t="shared" si="4"/>
        <v>0.9</v>
      </c>
      <c r="S80">
        <f t="shared" si="5"/>
        <v>1.5468489000000001</v>
      </c>
      <c r="T80">
        <f t="shared" si="6"/>
        <v>3.201977223E-2</v>
      </c>
      <c r="U80">
        <f t="shared" si="7"/>
        <v>584.3608431975</v>
      </c>
      <c r="AP80" s="20"/>
      <c r="AQ80" s="18"/>
      <c r="AR80" s="19" t="s">
        <v>120</v>
      </c>
      <c r="AS80" s="19">
        <v>0.4</v>
      </c>
      <c r="AT80" s="19">
        <v>0.13</v>
      </c>
      <c r="AU80" s="19">
        <v>0.12</v>
      </c>
      <c r="AV80" s="19">
        <v>0.27</v>
      </c>
      <c r="AW80" s="19">
        <v>0.3</v>
      </c>
      <c r="AX80" s="19">
        <v>0.08</v>
      </c>
      <c r="AY80" s="19">
        <v>0.13</v>
      </c>
      <c r="AZ80" s="19">
        <v>0.24</v>
      </c>
      <c r="BA80" s="19">
        <v>0.15</v>
      </c>
      <c r="BB80" s="19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0.9</v>
      </c>
      <c r="L81">
        <f>$AC$12</f>
        <v>1.3</v>
      </c>
      <c r="P81">
        <v>0.3</v>
      </c>
      <c r="Q81">
        <f t="shared" si="4"/>
        <v>1.27</v>
      </c>
      <c r="S81">
        <f t="shared" si="5"/>
        <v>2.0791427175000003</v>
      </c>
      <c r="T81">
        <f t="shared" si="6"/>
        <v>4.3038254252250004E-2</v>
      </c>
      <c r="U81">
        <f t="shared" si="7"/>
        <v>196.36203502589063</v>
      </c>
      <c r="AQ81" s="20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237</v>
      </c>
      <c r="F82" t="s">
        <v>119</v>
      </c>
      <c r="H82">
        <v>91.25</v>
      </c>
      <c r="I82">
        <v>100</v>
      </c>
      <c r="J82">
        <v>0</v>
      </c>
      <c r="L82">
        <f>$AC$13</f>
        <v>1.1000000000000001</v>
      </c>
      <c r="P82">
        <v>0.3</v>
      </c>
      <c r="Q82">
        <f t="shared" si="4"/>
        <v>1</v>
      </c>
      <c r="S82">
        <f t="shared" si="5"/>
        <v>1.6371202500000002</v>
      </c>
      <c r="T82">
        <f t="shared" si="6"/>
        <v>3.3888389174999999E-2</v>
      </c>
      <c r="U82">
        <f t="shared" si="7"/>
        <v>309.23155122187495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L83">
        <f>$AC$14</f>
        <v>0</v>
      </c>
      <c r="P83">
        <v>0.2</v>
      </c>
      <c r="Q83">
        <f t="shared" si="4"/>
        <v>1</v>
      </c>
      <c r="S83">
        <f t="shared" si="5"/>
        <v>1.557504</v>
      </c>
      <c r="T83">
        <f t="shared" si="6"/>
        <v>3.22403328E-2</v>
      </c>
      <c r="U83">
        <f t="shared" si="7"/>
        <v>264.77373311999997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L84">
        <f>$AC$14</f>
        <v>0</v>
      </c>
      <c r="P84">
        <v>0.1</v>
      </c>
      <c r="Q84">
        <f t="shared" si="4"/>
        <v>1</v>
      </c>
      <c r="S84">
        <f t="shared" si="5"/>
        <v>1.4798722500000003</v>
      </c>
      <c r="T84">
        <f t="shared" si="6"/>
        <v>3.0633355575000007E-2</v>
      </c>
      <c r="U84">
        <f t="shared" si="7"/>
        <v>223.62349569750006</v>
      </c>
    </row>
    <row r="85" spans="5:54" x14ac:dyDescent="0.2">
      <c r="E85" t="s">
        <v>164</v>
      </c>
      <c r="F85" t="s">
        <v>117</v>
      </c>
      <c r="H85">
        <v>91.25</v>
      </c>
      <c r="I85">
        <v>30</v>
      </c>
      <c r="J85">
        <v>0</v>
      </c>
      <c r="L85">
        <v>0</v>
      </c>
      <c r="P85">
        <v>0.4</v>
      </c>
      <c r="Q85">
        <f t="shared" si="4"/>
        <v>1</v>
      </c>
      <c r="S85">
        <f t="shared" si="5"/>
        <v>1.7187209999999999</v>
      </c>
      <c r="T85">
        <f t="shared" si="6"/>
        <v>3.5577524700000002E-2</v>
      </c>
      <c r="U85">
        <f t="shared" si="7"/>
        <v>97.393473866250005</v>
      </c>
    </row>
    <row r="86" spans="5:54" x14ac:dyDescent="0.2">
      <c r="E86">
        <v>6</v>
      </c>
      <c r="F86" t="s">
        <v>119</v>
      </c>
      <c r="H86">
        <v>91.25</v>
      </c>
      <c r="I86">
        <v>70</v>
      </c>
      <c r="J86">
        <v>0</v>
      </c>
      <c r="L86">
        <v>0</v>
      </c>
      <c r="P86">
        <v>0.4</v>
      </c>
      <c r="Q86">
        <f t="shared" si="4"/>
        <v>1</v>
      </c>
      <c r="S86">
        <f t="shared" si="5"/>
        <v>1.7187209999999999</v>
      </c>
      <c r="T86">
        <f t="shared" si="6"/>
        <v>3.5577524700000002E-2</v>
      </c>
      <c r="U86">
        <f t="shared" si="7"/>
        <v>227.25143902125001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L87">
        <v>0</v>
      </c>
      <c r="P87">
        <v>0.3</v>
      </c>
      <c r="Q87">
        <f t="shared" si="4"/>
        <v>1</v>
      </c>
      <c r="S87">
        <f t="shared" si="5"/>
        <v>1.6371202500000002</v>
      </c>
      <c r="T87">
        <f t="shared" si="6"/>
        <v>3.3888389174999999E-2</v>
      </c>
      <c r="U87">
        <f t="shared" si="7"/>
        <v>123.69262048874999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L88">
        <v>0</v>
      </c>
      <c r="P88">
        <v>0.1</v>
      </c>
      <c r="Q88">
        <f t="shared" si="4"/>
        <v>1</v>
      </c>
      <c r="S88">
        <f t="shared" si="5"/>
        <v>1.4798722500000003</v>
      </c>
      <c r="T88">
        <f t="shared" si="6"/>
        <v>3.0633355575000007E-2</v>
      </c>
      <c r="U88">
        <f t="shared" si="7"/>
        <v>55.905873924375015</v>
      </c>
      <c r="AQ88" s="30" t="s">
        <v>243</v>
      </c>
      <c r="AR88" t="s">
        <v>244</v>
      </c>
      <c r="AS88" s="2" t="s">
        <v>245</v>
      </c>
      <c r="AT88" s="2" t="s">
        <v>246</v>
      </c>
      <c r="AU88" s="2" t="s">
        <v>247</v>
      </c>
      <c r="AV88" s="3" t="s">
        <v>248</v>
      </c>
      <c r="AW88" s="2" t="s">
        <v>249</v>
      </c>
      <c r="AX88" s="2" t="s">
        <v>250</v>
      </c>
      <c r="AY88" s="2" t="s">
        <v>251</v>
      </c>
      <c r="AZ88" s="2" t="s">
        <v>252</v>
      </c>
      <c r="BA88" s="2" t="s">
        <v>253</v>
      </c>
      <c r="BB88" s="2" t="s">
        <v>254</v>
      </c>
    </row>
    <row r="89" spans="5:54" ht="17" thickTop="1" x14ac:dyDescent="0.2">
      <c r="E89" t="s">
        <v>169</v>
      </c>
      <c r="F89" t="s">
        <v>117</v>
      </c>
      <c r="H89">
        <v>91.25</v>
      </c>
      <c r="I89">
        <v>30</v>
      </c>
      <c r="J89">
        <v>0</v>
      </c>
      <c r="L89">
        <v>0</v>
      </c>
      <c r="P89">
        <v>0.4</v>
      </c>
      <c r="Q89">
        <f t="shared" si="4"/>
        <v>1</v>
      </c>
      <c r="S89">
        <f t="shared" si="5"/>
        <v>1.7187209999999999</v>
      </c>
      <c r="T89">
        <f t="shared" si="6"/>
        <v>3.5577524700000002E-2</v>
      </c>
      <c r="U89">
        <f t="shared" si="7"/>
        <v>97.393473866250005</v>
      </c>
      <c r="X89" t="s">
        <v>130</v>
      </c>
      <c r="Y89" t="s">
        <v>266</v>
      </c>
      <c r="Z89" t="s">
        <v>113</v>
      </c>
      <c r="AA89" t="s">
        <v>133</v>
      </c>
      <c r="AB89" t="s">
        <v>134</v>
      </c>
      <c r="AC89" t="s">
        <v>135</v>
      </c>
      <c r="AD89" t="s">
        <v>256</v>
      </c>
      <c r="AE89" t="s">
        <v>257</v>
      </c>
      <c r="AF89" t="s">
        <v>258</v>
      </c>
      <c r="AG89" t="s">
        <v>259</v>
      </c>
      <c r="AH89" t="s">
        <v>260</v>
      </c>
      <c r="AI89" t="s">
        <v>261</v>
      </c>
      <c r="AJ89" t="s">
        <v>262</v>
      </c>
      <c r="AK89" t="s">
        <v>263</v>
      </c>
      <c r="AL89" t="s">
        <v>264</v>
      </c>
      <c r="AM89" t="s">
        <v>265</v>
      </c>
      <c r="AN89" t="s">
        <v>267</v>
      </c>
      <c r="AP89" t="s">
        <v>113</v>
      </c>
      <c r="AQ89" s="30" t="s">
        <v>242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L90">
        <v>0</v>
      </c>
      <c r="P90">
        <v>0.4</v>
      </c>
      <c r="Q90">
        <f t="shared" si="4"/>
        <v>1</v>
      </c>
      <c r="S90">
        <f t="shared" si="5"/>
        <v>1.7187209999999999</v>
      </c>
      <c r="T90">
        <f t="shared" si="6"/>
        <v>3.5577524700000002E-2</v>
      </c>
      <c r="U90">
        <f t="shared" si="7"/>
        <v>324.64491288750003</v>
      </c>
      <c r="X90" s="9" t="s">
        <v>117</v>
      </c>
      <c r="Y90" s="9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L91">
        <v>0</v>
      </c>
      <c r="P91">
        <v>0.3</v>
      </c>
      <c r="Q91">
        <f t="shared" si="4"/>
        <v>1</v>
      </c>
      <c r="S91">
        <f t="shared" si="5"/>
        <v>1.6371202500000002</v>
      </c>
      <c r="T91">
        <f t="shared" si="6"/>
        <v>3.3888389174999999E-2</v>
      </c>
      <c r="U91">
        <f t="shared" si="7"/>
        <v>123.69262048874999</v>
      </c>
      <c r="X91" s="9" t="s">
        <v>119</v>
      </c>
      <c r="Y91" s="9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0</v>
      </c>
      <c r="J92">
        <v>0</v>
      </c>
      <c r="L92">
        <v>0</v>
      </c>
      <c r="P92">
        <v>0.1</v>
      </c>
      <c r="Q92">
        <f t="shared" si="4"/>
        <v>1</v>
      </c>
      <c r="S92">
        <f t="shared" si="5"/>
        <v>1.4798722500000003</v>
      </c>
      <c r="T92">
        <f t="shared" si="6"/>
        <v>3.0633355575000007E-2</v>
      </c>
      <c r="U92">
        <f t="shared" si="7"/>
        <v>0</v>
      </c>
      <c r="X92" s="9" t="s">
        <v>120</v>
      </c>
      <c r="Y92" s="9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171</v>
      </c>
      <c r="F93" t="s">
        <v>117</v>
      </c>
      <c r="H93">
        <v>91.25</v>
      </c>
      <c r="I93">
        <v>20</v>
      </c>
      <c r="J93">
        <v>0</v>
      </c>
      <c r="L93">
        <v>0</v>
      </c>
      <c r="P93">
        <v>0.5</v>
      </c>
      <c r="Q93">
        <f t="shared" si="4"/>
        <v>1</v>
      </c>
      <c r="S93">
        <f t="shared" si="5"/>
        <v>1.80230625</v>
      </c>
      <c r="T93">
        <f t="shared" si="6"/>
        <v>3.7307739374999996E-2</v>
      </c>
      <c r="U93">
        <f t="shared" si="7"/>
        <v>68.086624359374994</v>
      </c>
      <c r="X93" s="9" t="s">
        <v>121</v>
      </c>
      <c r="Y93" s="9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 t="s">
        <v>239</v>
      </c>
      <c r="F94" t="s">
        <v>119</v>
      </c>
      <c r="H94">
        <v>91.25</v>
      </c>
      <c r="I94">
        <v>40</v>
      </c>
      <c r="J94">
        <v>0</v>
      </c>
      <c r="L94">
        <v>0</v>
      </c>
      <c r="P94">
        <v>0.9</v>
      </c>
      <c r="Q94">
        <f t="shared" si="4"/>
        <v>1</v>
      </c>
      <c r="S94">
        <f t="shared" si="5"/>
        <v>2.1564922500000003</v>
      </c>
      <c r="T94">
        <f t="shared" si="6"/>
        <v>4.4639389575000001E-2</v>
      </c>
      <c r="U94">
        <f t="shared" si="7"/>
        <v>162.93377194875001</v>
      </c>
      <c r="X94" s="9" t="s">
        <v>117</v>
      </c>
      <c r="Y94" s="9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L95">
        <v>0</v>
      </c>
      <c r="P95">
        <v>0.7</v>
      </c>
      <c r="Q95">
        <f t="shared" si="4"/>
        <v>1</v>
      </c>
      <c r="S95">
        <f t="shared" si="5"/>
        <v>1.9754302499999998</v>
      </c>
      <c r="T95">
        <f t="shared" si="6"/>
        <v>4.0891406174999992E-2</v>
      </c>
      <c r="U95">
        <f t="shared" si="7"/>
        <v>130.59692847140622</v>
      </c>
      <c r="X95" s="9" t="s">
        <v>119</v>
      </c>
      <c r="Y95" s="9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L96">
        <v>0</v>
      </c>
      <c r="P96">
        <v>0.4</v>
      </c>
      <c r="Q96">
        <f t="shared" si="4"/>
        <v>1</v>
      </c>
      <c r="S96">
        <f t="shared" si="5"/>
        <v>1.7187209999999999</v>
      </c>
      <c r="T96">
        <f t="shared" si="6"/>
        <v>3.5577524700000002E-2</v>
      </c>
      <c r="U96">
        <f t="shared" si="7"/>
        <v>97.393473866250005</v>
      </c>
      <c r="X96" s="9" t="s">
        <v>120</v>
      </c>
      <c r="Y96" s="9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5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L97">
        <v>0</v>
      </c>
      <c r="P97">
        <v>0.4</v>
      </c>
      <c r="Q97">
        <f t="shared" si="4"/>
        <v>1</v>
      </c>
      <c r="S97">
        <f t="shared" si="5"/>
        <v>1.7187209999999999</v>
      </c>
      <c r="T97">
        <f t="shared" si="6"/>
        <v>3.5577524700000002E-2</v>
      </c>
      <c r="U97">
        <f t="shared" si="7"/>
        <v>97.393473866250005</v>
      </c>
      <c r="X97" s="9" t="s">
        <v>121</v>
      </c>
      <c r="Y97" s="9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5:54" x14ac:dyDescent="0.2">
      <c r="E98" t="s">
        <v>240</v>
      </c>
      <c r="F98" t="s">
        <v>119</v>
      </c>
      <c r="H98">
        <v>91.25</v>
      </c>
      <c r="I98">
        <v>35</v>
      </c>
      <c r="J98">
        <v>0</v>
      </c>
      <c r="L98">
        <v>0</v>
      </c>
      <c r="P98">
        <v>0.4</v>
      </c>
      <c r="Q98">
        <f t="shared" si="4"/>
        <v>1</v>
      </c>
      <c r="S98">
        <f t="shared" si="5"/>
        <v>1.7187209999999999</v>
      </c>
      <c r="T98">
        <f t="shared" si="6"/>
        <v>3.5577524700000002E-2</v>
      </c>
      <c r="U98">
        <f t="shared" si="7"/>
        <v>113.625719510625</v>
      </c>
      <c r="X98" s="9" t="s">
        <v>117</v>
      </c>
      <c r="Y98" s="9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5:54" x14ac:dyDescent="0.2">
      <c r="F99" t="s">
        <v>120</v>
      </c>
      <c r="H99">
        <v>91.25</v>
      </c>
      <c r="I99">
        <v>20</v>
      </c>
      <c r="J99">
        <v>0</v>
      </c>
      <c r="L99">
        <v>0</v>
      </c>
      <c r="P99">
        <v>0.3</v>
      </c>
      <c r="Q99">
        <f t="shared" si="4"/>
        <v>1</v>
      </c>
      <c r="S99">
        <f t="shared" si="5"/>
        <v>1.6371202500000002</v>
      </c>
      <c r="T99">
        <f t="shared" si="6"/>
        <v>3.3888389174999999E-2</v>
      </c>
      <c r="U99">
        <f t="shared" si="7"/>
        <v>61.846310244374997</v>
      </c>
      <c r="X99" s="9" t="s">
        <v>119</v>
      </c>
      <c r="Y99" s="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5:54" x14ac:dyDescent="0.2">
      <c r="F100" t="s">
        <v>121</v>
      </c>
      <c r="H100">
        <v>91.25</v>
      </c>
      <c r="I100">
        <v>0</v>
      </c>
      <c r="J100">
        <v>0</v>
      </c>
      <c r="L100">
        <v>0</v>
      </c>
      <c r="P100">
        <v>0.1</v>
      </c>
      <c r="Q100">
        <f t="shared" si="4"/>
        <v>1</v>
      </c>
      <c r="S100">
        <f t="shared" si="5"/>
        <v>1.4798722500000003</v>
      </c>
      <c r="T100">
        <f t="shared" si="6"/>
        <v>3.0633355575000007E-2</v>
      </c>
      <c r="U100">
        <f t="shared" si="7"/>
        <v>0</v>
      </c>
      <c r="X100" s="9" t="s">
        <v>120</v>
      </c>
      <c r="Y100" s="9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5:54" x14ac:dyDescent="0.2">
      <c r="X101" s="9" t="s">
        <v>121</v>
      </c>
      <c r="Y101" s="9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5:54" x14ac:dyDescent="0.2">
      <c r="X102" s="9" t="s">
        <v>117</v>
      </c>
      <c r="Y102" s="9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5:54" x14ac:dyDescent="0.2">
      <c r="X103" s="9" t="s">
        <v>119</v>
      </c>
      <c r="Y103" s="9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5:54" x14ac:dyDescent="0.2">
      <c r="X104" s="9" t="s">
        <v>120</v>
      </c>
      <c r="Y104" s="9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5:54" x14ac:dyDescent="0.2">
      <c r="X105" s="9" t="s">
        <v>121</v>
      </c>
      <c r="Y105" s="9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5:54" x14ac:dyDescent="0.2">
      <c r="X106" s="9" t="s">
        <v>117</v>
      </c>
      <c r="Y106" s="9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256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5:54" x14ac:dyDescent="0.2">
      <c r="X107" s="9" t="s">
        <v>119</v>
      </c>
      <c r="Y107" s="9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5:54" x14ac:dyDescent="0.2">
      <c r="X108" s="9" t="s">
        <v>120</v>
      </c>
      <c r="Y108" s="9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5:54" x14ac:dyDescent="0.2">
      <c r="X109" s="9" t="s">
        <v>121</v>
      </c>
      <c r="Y109" s="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5:54" x14ac:dyDescent="0.2">
      <c r="X110" s="9" t="s">
        <v>117</v>
      </c>
      <c r="Y110" s="9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257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5:54" x14ac:dyDescent="0.2">
      <c r="X111" s="9" t="s">
        <v>119</v>
      </c>
      <c r="Y111" s="9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5:54" x14ac:dyDescent="0.2">
      <c r="X112" s="9" t="s">
        <v>120</v>
      </c>
      <c r="Y112" s="9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24:54" x14ac:dyDescent="0.2">
      <c r="X113" s="9" t="s">
        <v>121</v>
      </c>
      <c r="Y113" s="9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24:54" x14ac:dyDescent="0.2">
      <c r="X114" s="9" t="s">
        <v>117</v>
      </c>
      <c r="Y114" s="9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258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24:54" x14ac:dyDescent="0.2">
      <c r="X115" s="9" t="s">
        <v>119</v>
      </c>
      <c r="Y115" s="9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24:54" x14ac:dyDescent="0.2">
      <c r="X116" s="9" t="s">
        <v>120</v>
      </c>
      <c r="Y116" s="9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24:54" x14ac:dyDescent="0.2">
      <c r="X117" s="9" t="s">
        <v>121</v>
      </c>
      <c r="Y117" s="9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24:54" x14ac:dyDescent="0.2">
      <c r="X118" s="9" t="s">
        <v>117</v>
      </c>
      <c r="Y118" s="9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259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24:54" x14ac:dyDescent="0.2">
      <c r="X119" s="9" t="s">
        <v>119</v>
      </c>
      <c r="Y119" s="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24:54" x14ac:dyDescent="0.2">
      <c r="X120" s="9" t="s">
        <v>120</v>
      </c>
      <c r="Y120" s="9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24:54" x14ac:dyDescent="0.2">
      <c r="X121" s="9" t="s">
        <v>121</v>
      </c>
      <c r="Y121" s="9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24:54" x14ac:dyDescent="0.2">
      <c r="X122" s="9" t="s">
        <v>117</v>
      </c>
      <c r="Y122" s="9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260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24:54" x14ac:dyDescent="0.2">
      <c r="X123" s="9" t="s">
        <v>119</v>
      </c>
      <c r="Y123" s="9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24:54" x14ac:dyDescent="0.2">
      <c r="X124" s="9" t="s">
        <v>120</v>
      </c>
      <c r="Y124" s="9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24:54" x14ac:dyDescent="0.2">
      <c r="X125" s="9" t="s">
        <v>121</v>
      </c>
      <c r="Y125" s="9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24:54" x14ac:dyDescent="0.2">
      <c r="X126" s="9" t="s">
        <v>117</v>
      </c>
      <c r="Y126" s="9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261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24:54" x14ac:dyDescent="0.2">
      <c r="X127" s="9" t="s">
        <v>119</v>
      </c>
      <c r="Y127" s="9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24:54" x14ac:dyDescent="0.2">
      <c r="X128" s="9" t="s">
        <v>120</v>
      </c>
      <c r="Y128" s="9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24:54" x14ac:dyDescent="0.2">
      <c r="X129" s="9" t="s">
        <v>121</v>
      </c>
      <c r="Y129" s="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24:54" x14ac:dyDescent="0.2">
      <c r="AQ130" s="6" t="s">
        <v>262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24:54" x14ac:dyDescent="0.2"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24:54" x14ac:dyDescent="0.2"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24:54" x14ac:dyDescent="0.2"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24:54" x14ac:dyDescent="0.2">
      <c r="AQ134" s="6" t="s">
        <v>263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24:54" x14ac:dyDescent="0.2"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24:54" x14ac:dyDescent="0.2"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24:54" x14ac:dyDescent="0.2"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24:54" x14ac:dyDescent="0.2">
      <c r="AQ138" s="6" t="s">
        <v>264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24:54" x14ac:dyDescent="0.2"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24:54" x14ac:dyDescent="0.2"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24:54" x14ac:dyDescent="0.2"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24:54" x14ac:dyDescent="0.2">
      <c r="AQ142" s="6" t="s">
        <v>265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24:54" x14ac:dyDescent="0.2"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24:54" x14ac:dyDescent="0.2"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43:54" x14ac:dyDescent="0.2"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</sheetData>
  <pageMargins left="0.7" right="0.7" top="0.75" bottom="0.75" header="0.3" footer="0.3"/>
  <ignoredErrors>
    <ignoredError sqref="V2:V10 T11 S2:T10 N2:N10 L2:L10 P2:Q10 H2:J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abSelected="1"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294</v>
      </c>
      <c r="D1" t="s">
        <v>292</v>
      </c>
      <c r="E1" t="s">
        <v>295</v>
      </c>
      <c r="F1" t="s">
        <v>296</v>
      </c>
    </row>
    <row r="2" spans="2:6" ht="106" customHeight="1" x14ac:dyDescent="0.2">
      <c r="F2" s="34" t="s">
        <v>297</v>
      </c>
    </row>
    <row r="3" spans="2:6" x14ac:dyDescent="0.2">
      <c r="B3">
        <v>2025</v>
      </c>
      <c r="C3" t="s">
        <v>279</v>
      </c>
      <c r="D3">
        <v>0.1</v>
      </c>
    </row>
    <row r="4" spans="2:6" x14ac:dyDescent="0.2">
      <c r="B4">
        <v>2025</v>
      </c>
      <c r="C4" t="s">
        <v>276</v>
      </c>
      <c r="D4">
        <v>0.7</v>
      </c>
      <c r="E4">
        <v>0.7</v>
      </c>
      <c r="F4">
        <v>0.1</v>
      </c>
    </row>
    <row r="5" spans="2:6" x14ac:dyDescent="0.2">
      <c r="B5" t="s">
        <v>293</v>
      </c>
      <c r="C5" t="s">
        <v>277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278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279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286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287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288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289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290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291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280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281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282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283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284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285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286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287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288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289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290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291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2026-06-22T02:46:15Z</dcterms:modified>
</cp:coreProperties>
</file>