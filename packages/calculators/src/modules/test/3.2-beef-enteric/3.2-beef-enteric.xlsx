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ckcheesman/Desktop/Work/EAP/Code/emissions-calculators-internal/packages/calculators/src/modules/test/3.2-beef-enteric/"/>
    </mc:Choice>
  </mc:AlternateContent>
  <xr:revisionPtr revIDLastSave="0" documentId="13_ncr:1_{55F2BE2B-1630-E84F-AF43-2F82CFE88775}" xr6:coauthVersionLast="47" xr6:coauthVersionMax="47" xr10:uidLastSave="{00000000-0000-0000-0000-000000000000}"/>
  <bookViews>
    <workbookView xWindow="0" yWindow="600" windowWidth="28800" windowHeight="15940" activeTab="3" xr2:uid="{00000000-000D-0000-FFFF-FFFF00000000}"/>
  </bookViews>
  <sheets>
    <sheet name="3.2.1 methane" sheetId="1" r:id="rId1"/>
    <sheet name="Table1" sheetId="3" r:id="rId2"/>
    <sheet name="3 2 1" sheetId="4" r:id="rId3"/>
    <sheet name="3.2.1" sheetId="2" r:id="rId4"/>
    <sheet name="Sheet1" sheetId="6" r:id="rId5"/>
  </sheets>
  <definedNames>
    <definedName name="ExternalData_1" localSheetId="3" hidden="1">'3.2.1'!$X$23:$AN$63</definedName>
    <definedName name="ExternalData_1" localSheetId="1" hidden="1">Table1!$A$1:$M$58</definedName>
    <definedName name="ExternalData_2" localSheetId="3" hidden="1">'3.2.1'!$X$89:$AN$129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2" l="1"/>
  <c r="Q20" i="2"/>
  <c r="Q21" i="2"/>
  <c r="Q22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771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U830" i="2"/>
  <c r="N885" i="2"/>
  <c r="P885" i="2"/>
  <c r="S885" i="2" s="1"/>
  <c r="T885" i="2" s="1"/>
  <c r="U885" i="2" s="1"/>
  <c r="N886" i="2"/>
  <c r="P886" i="2"/>
  <c r="N884" i="2"/>
  <c r="P884" i="2"/>
  <c r="N882" i="2"/>
  <c r="P882" i="2"/>
  <c r="S882" i="2" s="1"/>
  <c r="T882" i="2" s="1"/>
  <c r="U882" i="2" s="1"/>
  <c r="N883" i="2"/>
  <c r="P883" i="2"/>
  <c r="P881" i="2"/>
  <c r="S881" i="2" s="1"/>
  <c r="T881" i="2" s="1"/>
  <c r="U881" i="2" s="1"/>
  <c r="N881" i="2"/>
  <c r="P880" i="2"/>
  <c r="S880" i="2" s="1"/>
  <c r="T880" i="2" s="1"/>
  <c r="U880" i="2" s="1"/>
  <c r="N880" i="2"/>
  <c r="P879" i="2"/>
  <c r="N879" i="2"/>
  <c r="N890" i="2"/>
  <c r="P890" i="2"/>
  <c r="N873" i="2"/>
  <c r="P873" i="2"/>
  <c r="S873" i="2" s="1"/>
  <c r="T873" i="2" s="1"/>
  <c r="U873" i="2" s="1"/>
  <c r="N874" i="2"/>
  <c r="P874" i="2"/>
  <c r="N872" i="2"/>
  <c r="P872" i="2"/>
  <c r="S872" i="2" s="1"/>
  <c r="T872" i="2" s="1"/>
  <c r="U872" i="2" s="1"/>
  <c r="N870" i="2"/>
  <c r="P870" i="2"/>
  <c r="S870" i="2" s="1"/>
  <c r="T870" i="2" s="1"/>
  <c r="U870" i="2" s="1"/>
  <c r="N871" i="2"/>
  <c r="P871" i="2"/>
  <c r="S871" i="2" s="1"/>
  <c r="T871" i="2" s="1"/>
  <c r="U871" i="2" s="1"/>
  <c r="P869" i="2"/>
  <c r="S869" i="2" s="1"/>
  <c r="T869" i="2" s="1"/>
  <c r="U869" i="2" s="1"/>
  <c r="N869" i="2"/>
  <c r="P868" i="2"/>
  <c r="S868" i="2" s="1"/>
  <c r="T868" i="2" s="1"/>
  <c r="U868" i="2" s="1"/>
  <c r="N868" i="2"/>
  <c r="P867" i="2"/>
  <c r="N867" i="2"/>
  <c r="N878" i="2"/>
  <c r="P878" i="2"/>
  <c r="S878" i="2" s="1"/>
  <c r="T878" i="2" s="1"/>
  <c r="U878" i="2" s="1"/>
  <c r="N861" i="2"/>
  <c r="P861" i="2"/>
  <c r="S861" i="2" s="1"/>
  <c r="T861" i="2" s="1"/>
  <c r="U861" i="2" s="1"/>
  <c r="N862" i="2"/>
  <c r="P862" i="2"/>
  <c r="S862" i="2" s="1"/>
  <c r="T862" i="2" s="1"/>
  <c r="U862" i="2" s="1"/>
  <c r="N860" i="2"/>
  <c r="P860" i="2"/>
  <c r="N858" i="2"/>
  <c r="P858" i="2"/>
  <c r="S858" i="2" s="1"/>
  <c r="T858" i="2" s="1"/>
  <c r="U858" i="2" s="1"/>
  <c r="N859" i="2"/>
  <c r="P859" i="2"/>
  <c r="P857" i="2"/>
  <c r="S857" i="2" s="1"/>
  <c r="T857" i="2" s="1"/>
  <c r="U857" i="2" s="1"/>
  <c r="N857" i="2"/>
  <c r="P856" i="2"/>
  <c r="N856" i="2"/>
  <c r="P855" i="2"/>
  <c r="N855" i="2"/>
  <c r="N866" i="2"/>
  <c r="P866" i="2"/>
  <c r="S866" i="2" s="1"/>
  <c r="T866" i="2" s="1"/>
  <c r="U866" i="2" s="1"/>
  <c r="P864" i="2"/>
  <c r="S864" i="2" s="1"/>
  <c r="T864" i="2" s="1"/>
  <c r="U864" i="2" s="1"/>
  <c r="P865" i="2"/>
  <c r="S865" i="2" s="1"/>
  <c r="T865" i="2" s="1"/>
  <c r="U865" i="2" s="1"/>
  <c r="P863" i="2"/>
  <c r="N849" i="2"/>
  <c r="P849" i="2"/>
  <c r="S849" i="2" s="1"/>
  <c r="T849" i="2" s="1"/>
  <c r="U849" i="2" s="1"/>
  <c r="N850" i="2"/>
  <c r="P850" i="2"/>
  <c r="N848" i="2"/>
  <c r="P848" i="2"/>
  <c r="S848" i="2" s="1"/>
  <c r="T848" i="2" s="1"/>
  <c r="U848" i="2" s="1"/>
  <c r="N846" i="2"/>
  <c r="P846" i="2"/>
  <c r="N847" i="2"/>
  <c r="P847" i="2"/>
  <c r="P845" i="2"/>
  <c r="S845" i="2" s="1"/>
  <c r="T845" i="2" s="1"/>
  <c r="U845" i="2" s="1"/>
  <c r="N845" i="2"/>
  <c r="P844" i="2"/>
  <c r="S844" i="2" s="1"/>
  <c r="T844" i="2" s="1"/>
  <c r="U844" i="2" s="1"/>
  <c r="N844" i="2"/>
  <c r="P843" i="2"/>
  <c r="N843" i="2"/>
  <c r="N854" i="2"/>
  <c r="P854" i="2"/>
  <c r="S854" i="2" s="1"/>
  <c r="T854" i="2" s="1"/>
  <c r="U854" i="2" s="1"/>
  <c r="P852" i="2"/>
  <c r="P853" i="2"/>
  <c r="S853" i="2" s="1"/>
  <c r="T853" i="2" s="1"/>
  <c r="U853" i="2" s="1"/>
  <c r="P851" i="2"/>
  <c r="N837" i="2"/>
  <c r="P837" i="2"/>
  <c r="N838" i="2"/>
  <c r="P838" i="2"/>
  <c r="N836" i="2"/>
  <c r="P836" i="2"/>
  <c r="S836" i="2" s="1"/>
  <c r="T836" i="2" s="1"/>
  <c r="U836" i="2" s="1"/>
  <c r="N834" i="2"/>
  <c r="P834" i="2"/>
  <c r="N835" i="2"/>
  <c r="P835" i="2"/>
  <c r="S835" i="2" s="1"/>
  <c r="T835" i="2" s="1"/>
  <c r="U835" i="2" s="1"/>
  <c r="P833" i="2"/>
  <c r="N833" i="2"/>
  <c r="P832" i="2"/>
  <c r="S832" i="2" s="1"/>
  <c r="T832" i="2" s="1"/>
  <c r="U832" i="2" s="1"/>
  <c r="N832" i="2"/>
  <c r="P831" i="2"/>
  <c r="N831" i="2"/>
  <c r="N842" i="2"/>
  <c r="P842" i="2"/>
  <c r="S842" i="2" s="1"/>
  <c r="T842" i="2" s="1"/>
  <c r="U842" i="2" s="1"/>
  <c r="P840" i="2"/>
  <c r="P841" i="2"/>
  <c r="S841" i="2" s="1"/>
  <c r="T841" i="2" s="1"/>
  <c r="U841" i="2" s="1"/>
  <c r="P839" i="2"/>
  <c r="N825" i="2"/>
  <c r="P825" i="2"/>
  <c r="N826" i="2"/>
  <c r="P826" i="2"/>
  <c r="T826" i="2" s="1"/>
  <c r="U826" i="2" s="1"/>
  <c r="P824" i="2"/>
  <c r="N824" i="2"/>
  <c r="N822" i="2"/>
  <c r="P822" i="2"/>
  <c r="N823" i="2"/>
  <c r="P823" i="2"/>
  <c r="T824" i="2"/>
  <c r="U824" i="2" s="1"/>
  <c r="P821" i="2"/>
  <c r="N821" i="2"/>
  <c r="N820" i="2"/>
  <c r="P820" i="2"/>
  <c r="P819" i="2"/>
  <c r="N819" i="2"/>
  <c r="N830" i="2"/>
  <c r="P830" i="2"/>
  <c r="P828" i="2"/>
  <c r="P829" i="2"/>
  <c r="P827" i="2"/>
  <c r="N813" i="2"/>
  <c r="P813" i="2"/>
  <c r="N814" i="2"/>
  <c r="P814" i="2"/>
  <c r="P812" i="2"/>
  <c r="N812" i="2"/>
  <c r="N810" i="2"/>
  <c r="P810" i="2"/>
  <c r="N811" i="2"/>
  <c r="P811" i="2"/>
  <c r="P809" i="2"/>
  <c r="N809" i="2"/>
  <c r="N808" i="2"/>
  <c r="P808" i="2"/>
  <c r="P807" i="2"/>
  <c r="N807" i="2"/>
  <c r="N818" i="2"/>
  <c r="P818" i="2"/>
  <c r="S818" i="2" s="1"/>
  <c r="T818" i="2" s="1"/>
  <c r="U818" i="2" s="1"/>
  <c r="N789" i="2"/>
  <c r="P789" i="2"/>
  <c r="N790" i="2"/>
  <c r="P790" i="2"/>
  <c r="N788" i="2"/>
  <c r="P788" i="2"/>
  <c r="N786" i="2"/>
  <c r="P786" i="2"/>
  <c r="N787" i="2"/>
  <c r="P787" i="2"/>
  <c r="P785" i="2"/>
  <c r="N785" i="2"/>
  <c r="N784" i="2"/>
  <c r="P784" i="2"/>
  <c r="P783" i="2"/>
  <c r="N783" i="2"/>
  <c r="P794" i="2"/>
  <c r="P792" i="2"/>
  <c r="P793" i="2"/>
  <c r="P791" i="2"/>
  <c r="N794" i="2"/>
  <c r="N777" i="2"/>
  <c r="P777" i="2"/>
  <c r="N778" i="2"/>
  <c r="P778" i="2"/>
  <c r="N776" i="2"/>
  <c r="P776" i="2"/>
  <c r="N774" i="2"/>
  <c r="P774" i="2"/>
  <c r="N775" i="2"/>
  <c r="P775" i="2"/>
  <c r="P773" i="2"/>
  <c r="N773" i="2"/>
  <c r="N772" i="2"/>
  <c r="P772" i="2"/>
  <c r="P771" i="2"/>
  <c r="N771" i="2"/>
  <c r="P782" i="2"/>
  <c r="N782" i="2"/>
  <c r="N888" i="2"/>
  <c r="P888" i="2"/>
  <c r="N889" i="2"/>
  <c r="P889" i="2"/>
  <c r="N887" i="2"/>
  <c r="N876" i="2"/>
  <c r="P876" i="2"/>
  <c r="N877" i="2"/>
  <c r="P877" i="2"/>
  <c r="N875" i="2"/>
  <c r="N864" i="2"/>
  <c r="N865" i="2"/>
  <c r="N863" i="2"/>
  <c r="N852" i="2"/>
  <c r="N853" i="2"/>
  <c r="N851" i="2"/>
  <c r="N840" i="2"/>
  <c r="N841" i="2"/>
  <c r="N839" i="2"/>
  <c r="N828" i="2"/>
  <c r="N829" i="2"/>
  <c r="T829" i="2"/>
  <c r="U829" i="2" s="1"/>
  <c r="T830" i="2"/>
  <c r="N827" i="2"/>
  <c r="N816" i="2"/>
  <c r="P816" i="2"/>
  <c r="S816" i="2" s="1"/>
  <c r="T816" i="2" s="1"/>
  <c r="U816" i="2" s="1"/>
  <c r="N817" i="2"/>
  <c r="P817" i="2"/>
  <c r="P887" i="2"/>
  <c r="S887" i="2" s="1"/>
  <c r="T887" i="2" s="1"/>
  <c r="U887" i="2" s="1"/>
  <c r="P875" i="2"/>
  <c r="P815" i="2"/>
  <c r="N815" i="2"/>
  <c r="N792" i="2"/>
  <c r="N793" i="2"/>
  <c r="N791" i="2"/>
  <c r="N780" i="2"/>
  <c r="P780" i="2"/>
  <c r="N781" i="2"/>
  <c r="P781" i="2"/>
  <c r="N779" i="2"/>
  <c r="P779" i="2"/>
  <c r="T819" i="2"/>
  <c r="U819" i="2" s="1"/>
  <c r="T820" i="2"/>
  <c r="U820" i="2" s="1"/>
  <c r="T821" i="2"/>
  <c r="U821" i="2" s="1"/>
  <c r="T822" i="2"/>
  <c r="U822" i="2" s="1"/>
  <c r="T823" i="2"/>
  <c r="U823" i="2" s="1"/>
  <c r="T825" i="2"/>
  <c r="U825" i="2" s="1"/>
  <c r="T827" i="2"/>
  <c r="U827" i="2" s="1"/>
  <c r="T828" i="2"/>
  <c r="U828" i="2" s="1"/>
  <c r="S833" i="2"/>
  <c r="T833" i="2" s="1"/>
  <c r="U833" i="2" s="1"/>
  <c r="S856" i="2"/>
  <c r="T856" i="2" s="1"/>
  <c r="U856" i="2" s="1"/>
  <c r="S883" i="2"/>
  <c r="T883" i="2" s="1"/>
  <c r="U883" i="2" s="1"/>
  <c r="S815" i="2"/>
  <c r="T815" i="2" s="1"/>
  <c r="U815" i="2" s="1"/>
  <c r="S846" i="2"/>
  <c r="T846" i="2" s="1"/>
  <c r="U846" i="2" s="1"/>
  <c r="L834" i="2"/>
  <c r="L833" i="2"/>
  <c r="L832" i="2"/>
  <c r="L831" i="2"/>
  <c r="L810" i="2"/>
  <c r="L809" i="2"/>
  <c r="L808" i="2"/>
  <c r="L807" i="2"/>
  <c r="L734" i="2"/>
  <c r="L733" i="2"/>
  <c r="Q732" i="2"/>
  <c r="L732" i="2"/>
  <c r="Q731" i="2"/>
  <c r="L731" i="2"/>
  <c r="Q730" i="2"/>
  <c r="Q729" i="2"/>
  <c r="Q728" i="2"/>
  <c r="Q727" i="2"/>
  <c r="Q726" i="2"/>
  <c r="L726" i="2"/>
  <c r="Q725" i="2"/>
  <c r="L725" i="2"/>
  <c r="Q724" i="2"/>
  <c r="L724" i="2"/>
  <c r="Q723" i="2"/>
  <c r="L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P711" i="2" a="1"/>
  <c r="P711" i="2" s="1"/>
  <c r="N711" i="2" a="1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L684" i="2"/>
  <c r="Q683" i="2"/>
  <c r="L683" i="2"/>
  <c r="Q682" i="2"/>
  <c r="L682" i="2"/>
  <c r="Q681" i="2"/>
  <c r="L681" i="2"/>
  <c r="Q680" i="2"/>
  <c r="Q679" i="2"/>
  <c r="Q678" i="2"/>
  <c r="Q677" i="2"/>
  <c r="Q676" i="2"/>
  <c r="L676" i="2"/>
  <c r="Q675" i="2"/>
  <c r="L675" i="2"/>
  <c r="Q674" i="2"/>
  <c r="L674" i="2"/>
  <c r="Q673" i="2"/>
  <c r="L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P661" i="2" a="1"/>
  <c r="P661" i="2" s="1"/>
  <c r="N661" i="2" a="1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L634" i="2"/>
  <c r="Q633" i="2"/>
  <c r="L633" i="2"/>
  <c r="Q632" i="2"/>
  <c r="L632" i="2"/>
  <c r="Q631" i="2"/>
  <c r="L631" i="2"/>
  <c r="Q630" i="2"/>
  <c r="Q629" i="2"/>
  <c r="Q628" i="2"/>
  <c r="Q627" i="2"/>
  <c r="Q626" i="2"/>
  <c r="L626" i="2"/>
  <c r="Q625" i="2"/>
  <c r="L625" i="2"/>
  <c r="Q624" i="2"/>
  <c r="L624" i="2"/>
  <c r="Q623" i="2"/>
  <c r="L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P611" i="2" a="1"/>
  <c r="P611" i="2" s="1"/>
  <c r="N611" i="2" a="1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L584" i="2"/>
  <c r="Q583" i="2"/>
  <c r="L583" i="2"/>
  <c r="Q582" i="2"/>
  <c r="L582" i="2"/>
  <c r="Q581" i="2"/>
  <c r="L581" i="2"/>
  <c r="Q580" i="2"/>
  <c r="Q579" i="2"/>
  <c r="Q578" i="2"/>
  <c r="Q577" i="2"/>
  <c r="Q576" i="2"/>
  <c r="L576" i="2"/>
  <c r="Q575" i="2"/>
  <c r="L575" i="2"/>
  <c r="Q574" i="2"/>
  <c r="L574" i="2"/>
  <c r="Q573" i="2"/>
  <c r="L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P561" i="2" a="1"/>
  <c r="P561" i="2" s="1"/>
  <c r="N561" i="2" a="1"/>
  <c r="N561" i="2" s="1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L534" i="2"/>
  <c r="Q533" i="2"/>
  <c r="L533" i="2"/>
  <c r="Q532" i="2"/>
  <c r="L532" i="2"/>
  <c r="Q531" i="2"/>
  <c r="L531" i="2"/>
  <c r="Q530" i="2"/>
  <c r="Q529" i="2"/>
  <c r="Q528" i="2"/>
  <c r="Q527" i="2"/>
  <c r="Q526" i="2"/>
  <c r="L526" i="2"/>
  <c r="Q525" i="2"/>
  <c r="L525" i="2"/>
  <c r="Q524" i="2"/>
  <c r="L524" i="2"/>
  <c r="Q523" i="2"/>
  <c r="L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P511" i="2" a="1"/>
  <c r="P511" i="2" s="1"/>
  <c r="N511" i="2" a="1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L484" i="2"/>
  <c r="Q483" i="2"/>
  <c r="L483" i="2"/>
  <c r="Q482" i="2"/>
  <c r="L482" i="2"/>
  <c r="Q481" i="2"/>
  <c r="L481" i="2"/>
  <c r="Q480" i="2"/>
  <c r="Q479" i="2"/>
  <c r="Q478" i="2"/>
  <c r="Q477" i="2"/>
  <c r="Q476" i="2"/>
  <c r="L476" i="2"/>
  <c r="Q475" i="2"/>
  <c r="L475" i="2"/>
  <c r="Q474" i="2"/>
  <c r="L474" i="2"/>
  <c r="Q473" i="2"/>
  <c r="L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P461" i="2" a="1"/>
  <c r="P461" i="2" s="1"/>
  <c r="N461" i="2" a="1"/>
  <c r="N461" i="2" s="1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L434" i="2"/>
  <c r="Q433" i="2"/>
  <c r="L433" i="2"/>
  <c r="Q432" i="2"/>
  <c r="L432" i="2"/>
  <c r="Q431" i="2"/>
  <c r="L431" i="2"/>
  <c r="Q430" i="2"/>
  <c r="Q429" i="2"/>
  <c r="Q428" i="2"/>
  <c r="Q427" i="2"/>
  <c r="Q426" i="2"/>
  <c r="L426" i="2"/>
  <c r="Q425" i="2"/>
  <c r="L425" i="2"/>
  <c r="Q424" i="2"/>
  <c r="L424" i="2"/>
  <c r="Q423" i="2"/>
  <c r="L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P411" i="2" a="1"/>
  <c r="P411" i="2" s="1"/>
  <c r="N411" i="2" a="1"/>
  <c r="N411" i="2" s="1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L384" i="2"/>
  <c r="Q383" i="2"/>
  <c r="L383" i="2"/>
  <c r="Q382" i="2"/>
  <c r="L382" i="2"/>
  <c r="Q381" i="2"/>
  <c r="L381" i="2"/>
  <c r="Q380" i="2"/>
  <c r="Q379" i="2"/>
  <c r="Q378" i="2"/>
  <c r="Q377" i="2"/>
  <c r="Q376" i="2"/>
  <c r="L376" i="2"/>
  <c r="Q375" i="2"/>
  <c r="L375" i="2"/>
  <c r="Q374" i="2"/>
  <c r="L374" i="2"/>
  <c r="Q373" i="2"/>
  <c r="L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P361" i="2" a="1"/>
  <c r="P361" i="2" s="1"/>
  <c r="N361" i="2" a="1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L334" i="2"/>
  <c r="Q333" i="2"/>
  <c r="L333" i="2"/>
  <c r="Q332" i="2"/>
  <c r="L332" i="2"/>
  <c r="Q331" i="2"/>
  <c r="L331" i="2"/>
  <c r="Q330" i="2"/>
  <c r="Q329" i="2"/>
  <c r="Q328" i="2"/>
  <c r="Q327" i="2"/>
  <c r="Q326" i="2"/>
  <c r="L326" i="2"/>
  <c r="Q325" i="2"/>
  <c r="L325" i="2"/>
  <c r="Q324" i="2"/>
  <c r="L324" i="2"/>
  <c r="Q323" i="2"/>
  <c r="L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P311" i="2" a="1"/>
  <c r="P311" i="2" s="1"/>
  <c r="N311" i="2" a="1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L284" i="2"/>
  <c r="Q283" i="2"/>
  <c r="L283" i="2"/>
  <c r="Q282" i="2"/>
  <c r="L282" i="2"/>
  <c r="Q281" i="2"/>
  <c r="L281" i="2"/>
  <c r="Q280" i="2"/>
  <c r="Q279" i="2"/>
  <c r="Q278" i="2"/>
  <c r="Q277" i="2"/>
  <c r="Q276" i="2"/>
  <c r="L276" i="2"/>
  <c r="Q275" i="2"/>
  <c r="L275" i="2"/>
  <c r="Q274" i="2"/>
  <c r="L274" i="2"/>
  <c r="Q273" i="2"/>
  <c r="L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P261" i="2" a="1"/>
  <c r="P261" i="2" s="1"/>
  <c r="N261" i="2" a="1"/>
  <c r="N261" i="2" s="1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L234" i="2"/>
  <c r="Q233" i="2"/>
  <c r="L233" i="2"/>
  <c r="Q232" i="2"/>
  <c r="L232" i="2"/>
  <c r="Q231" i="2"/>
  <c r="L231" i="2"/>
  <c r="Q230" i="2"/>
  <c r="Q229" i="2"/>
  <c r="Q228" i="2"/>
  <c r="Q227" i="2"/>
  <c r="Q226" i="2"/>
  <c r="L226" i="2"/>
  <c r="Q225" i="2"/>
  <c r="L225" i="2"/>
  <c r="Q224" i="2"/>
  <c r="L224" i="2"/>
  <c r="Q223" i="2"/>
  <c r="L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P211" i="2" a="1"/>
  <c r="P211" i="2" s="1"/>
  <c r="N211" i="2" a="1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L184" i="2"/>
  <c r="Q183" i="2"/>
  <c r="L183" i="2"/>
  <c r="Q182" i="2"/>
  <c r="L182" i="2"/>
  <c r="Q181" i="2"/>
  <c r="L181" i="2"/>
  <c r="Q180" i="2"/>
  <c r="Q179" i="2"/>
  <c r="Q178" i="2"/>
  <c r="Q177" i="2"/>
  <c r="Q176" i="2"/>
  <c r="L176" i="2"/>
  <c r="Q175" i="2"/>
  <c r="L175" i="2"/>
  <c r="Q174" i="2"/>
  <c r="L174" i="2"/>
  <c r="Q173" i="2"/>
  <c r="L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P161" i="2" a="1"/>
  <c r="P161" i="2" s="1"/>
  <c r="N161" i="2" a="1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L134" i="2"/>
  <c r="Q133" i="2"/>
  <c r="L133" i="2"/>
  <c r="Q132" i="2"/>
  <c r="L132" i="2"/>
  <c r="Q131" i="2"/>
  <c r="L131" i="2"/>
  <c r="Q130" i="2"/>
  <c r="Q129" i="2"/>
  <c r="Q128" i="2"/>
  <c r="Q127" i="2"/>
  <c r="Q126" i="2"/>
  <c r="L126" i="2"/>
  <c r="Q125" i="2"/>
  <c r="L125" i="2"/>
  <c r="Q124" i="2"/>
  <c r="L124" i="2"/>
  <c r="Q123" i="2"/>
  <c r="L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P111" i="2" a="1"/>
  <c r="P111" i="2" s="1"/>
  <c r="N111" i="2" a="1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73" i="2"/>
  <c r="Q24" i="2"/>
  <c r="Q25" i="2"/>
  <c r="Q26" i="2"/>
  <c r="Q27" i="2"/>
  <c r="Q28" i="2"/>
  <c r="Q29" i="2"/>
  <c r="Q30" i="2"/>
  <c r="Q31" i="2"/>
  <c r="Q32" i="2"/>
  <c r="Q33" i="2"/>
  <c r="Q23" i="2"/>
  <c r="S876" i="2" l="1"/>
  <c r="T876" i="2" s="1"/>
  <c r="U876" i="2" s="1"/>
  <c r="S837" i="2"/>
  <c r="T837" i="2" s="1"/>
  <c r="U837" i="2" s="1"/>
  <c r="S813" i="2"/>
  <c r="T813" i="2" s="1"/>
  <c r="U813" i="2" s="1"/>
  <c r="S884" i="2"/>
  <c r="T884" i="2" s="1"/>
  <c r="U884" i="2" s="1"/>
  <c r="S860" i="2"/>
  <c r="T860" i="2" s="1"/>
  <c r="U860" i="2" s="1"/>
  <c r="S852" i="2"/>
  <c r="T852" i="2" s="1"/>
  <c r="U852" i="2" s="1"/>
  <c r="S812" i="2"/>
  <c r="T812" i="2" s="1"/>
  <c r="U812" i="2" s="1"/>
  <c r="S875" i="2"/>
  <c r="T875" i="2" s="1"/>
  <c r="U875" i="2" s="1"/>
  <c r="S867" i="2"/>
  <c r="T867" i="2" s="1"/>
  <c r="U867" i="2" s="1"/>
  <c r="S851" i="2"/>
  <c r="T851" i="2" s="1"/>
  <c r="U851" i="2" s="1"/>
  <c r="S843" i="2"/>
  <c r="T843" i="2" s="1"/>
  <c r="U843" i="2" s="1"/>
  <c r="S890" i="2"/>
  <c r="T890" i="2" s="1"/>
  <c r="U890" i="2" s="1"/>
  <c r="S874" i="2"/>
  <c r="T874" i="2" s="1"/>
  <c r="U874" i="2" s="1"/>
  <c r="S834" i="2"/>
  <c r="T834" i="2" s="1"/>
  <c r="U834" i="2" s="1"/>
  <c r="S182" i="2"/>
  <c r="T182" i="2" s="1"/>
  <c r="U182" i="2" s="1"/>
  <c r="S273" i="2"/>
  <c r="T273" i="2" s="1"/>
  <c r="U273" i="2" s="1"/>
  <c r="S150" i="2"/>
  <c r="T150" i="2" s="1"/>
  <c r="U150" i="2" s="1"/>
  <c r="S888" i="2"/>
  <c r="T888" i="2" s="1"/>
  <c r="U888" i="2" s="1"/>
  <c r="S840" i="2"/>
  <c r="T840" i="2" s="1"/>
  <c r="U840" i="2" s="1"/>
  <c r="S879" i="2"/>
  <c r="T879" i="2" s="1"/>
  <c r="U879" i="2" s="1"/>
  <c r="S863" i="2"/>
  <c r="T863" i="2" s="1"/>
  <c r="U863" i="2" s="1"/>
  <c r="S855" i="2"/>
  <c r="T855" i="2" s="1"/>
  <c r="U855" i="2" s="1"/>
  <c r="S839" i="2"/>
  <c r="T839" i="2" s="1"/>
  <c r="U839" i="2" s="1"/>
  <c r="S831" i="2"/>
  <c r="T831" i="2" s="1"/>
  <c r="U831" i="2" s="1"/>
  <c r="S807" i="2"/>
  <c r="T807" i="2" s="1"/>
  <c r="U807" i="2" s="1"/>
  <c r="S886" i="2"/>
  <c r="T886" i="2" s="1"/>
  <c r="U886" i="2" s="1"/>
  <c r="S811" i="2"/>
  <c r="T811" i="2" s="1"/>
  <c r="U811" i="2" s="1"/>
  <c r="S850" i="2"/>
  <c r="T850" i="2" s="1"/>
  <c r="U850" i="2" s="1"/>
  <c r="S838" i="2"/>
  <c r="T838" i="2" s="1"/>
  <c r="U838" i="2" s="1"/>
  <c r="S747" i="2"/>
  <c r="T747" i="2" s="1"/>
  <c r="U747" i="2" s="1"/>
  <c r="S859" i="2"/>
  <c r="T859" i="2" s="1"/>
  <c r="U859" i="2" s="1"/>
  <c r="S889" i="2"/>
  <c r="T889" i="2" s="1"/>
  <c r="U889" i="2" s="1"/>
  <c r="S877" i="2"/>
  <c r="T877" i="2" s="1"/>
  <c r="U877" i="2" s="1"/>
  <c r="S817" i="2"/>
  <c r="T817" i="2" s="1"/>
  <c r="U817" i="2" s="1"/>
  <c r="S814" i="2"/>
  <c r="T814" i="2" s="1"/>
  <c r="U814" i="2" s="1"/>
  <c r="S847" i="2"/>
  <c r="T847" i="2" s="1"/>
  <c r="U847" i="2" s="1"/>
  <c r="S673" i="2"/>
  <c r="T673" i="2" s="1"/>
  <c r="U673" i="2" s="1"/>
  <c r="S464" i="2"/>
  <c r="T464" i="2" s="1"/>
  <c r="U464" i="2" s="1"/>
  <c r="S561" i="2"/>
  <c r="T561" i="2" s="1"/>
  <c r="U561" i="2" s="1"/>
  <c r="S587" i="2"/>
  <c r="T587" i="2" s="1"/>
  <c r="U587" i="2" s="1"/>
  <c r="S347" i="2"/>
  <c r="T347" i="2" s="1"/>
  <c r="U347" i="2" s="1"/>
  <c r="S599" i="2"/>
  <c r="T599" i="2" s="1"/>
  <c r="U599" i="2" s="1"/>
  <c r="S475" i="2"/>
  <c r="T475" i="2" s="1"/>
  <c r="U475" i="2" s="1"/>
  <c r="S647" i="2"/>
  <c r="T647" i="2" s="1"/>
  <c r="U647" i="2" s="1"/>
  <c r="S411" i="2"/>
  <c r="T411" i="2" s="1"/>
  <c r="U411" i="2" s="1"/>
  <c r="S700" i="2"/>
  <c r="T700" i="2" s="1"/>
  <c r="U700" i="2" s="1"/>
  <c r="S670" i="2"/>
  <c r="T670" i="2" s="1"/>
  <c r="U670" i="2" s="1"/>
  <c r="S470" i="2"/>
  <c r="T470" i="2" s="1"/>
  <c r="U470" i="2" s="1"/>
  <c r="S261" i="2"/>
  <c r="T261" i="2" s="1"/>
  <c r="U261" i="2" s="1"/>
  <c r="S473" i="2"/>
  <c r="T473" i="2" s="1"/>
  <c r="U473" i="2" s="1"/>
  <c r="S804" i="2"/>
  <c r="T804" i="2" s="1"/>
  <c r="U804" i="2" s="1"/>
  <c r="S781" i="2"/>
  <c r="T781" i="2" s="1"/>
  <c r="U781" i="2" s="1"/>
  <c r="S793" i="2"/>
  <c r="T793" i="2" s="1"/>
  <c r="U793" i="2" s="1"/>
  <c r="S772" i="2"/>
  <c r="T772" i="2" s="1"/>
  <c r="U772" i="2" s="1"/>
  <c r="S778" i="2"/>
  <c r="T778" i="2" s="1"/>
  <c r="U778" i="2" s="1"/>
  <c r="S784" i="2"/>
  <c r="T784" i="2" s="1"/>
  <c r="U784" i="2" s="1"/>
  <c r="S771" i="2"/>
  <c r="T771" i="2" s="1"/>
  <c r="U771" i="2" s="1"/>
  <c r="S785" i="2"/>
  <c r="T785" i="2" s="1"/>
  <c r="U785" i="2" s="1"/>
  <c r="S774" i="2"/>
  <c r="T774" i="2" s="1"/>
  <c r="U774" i="2" s="1"/>
  <c r="S777" i="2"/>
  <c r="T777" i="2" s="1"/>
  <c r="U777" i="2" s="1"/>
  <c r="S780" i="2"/>
  <c r="T780" i="2" s="1"/>
  <c r="U780" i="2" s="1"/>
  <c r="S788" i="2"/>
  <c r="T788" i="2" s="1"/>
  <c r="U788" i="2" s="1"/>
  <c r="S796" i="2"/>
  <c r="T796" i="2" s="1"/>
  <c r="U796" i="2" s="1"/>
  <c r="S799" i="2"/>
  <c r="T799" i="2" s="1"/>
  <c r="U799" i="2" s="1"/>
  <c r="S802" i="2"/>
  <c r="T802" i="2" s="1"/>
  <c r="U802" i="2" s="1"/>
  <c r="S805" i="2"/>
  <c r="T805" i="2" s="1"/>
  <c r="U805" i="2" s="1"/>
  <c r="S808" i="2"/>
  <c r="T808" i="2" s="1"/>
  <c r="U808" i="2" s="1"/>
  <c r="S783" i="2"/>
  <c r="T783" i="2" s="1"/>
  <c r="U783" i="2" s="1"/>
  <c r="S791" i="2"/>
  <c r="T791" i="2" s="1"/>
  <c r="U791" i="2" s="1"/>
  <c r="S775" i="2"/>
  <c r="T775" i="2" s="1"/>
  <c r="U775" i="2" s="1"/>
  <c r="S786" i="2"/>
  <c r="T786" i="2" s="1"/>
  <c r="U786" i="2" s="1"/>
  <c r="S789" i="2"/>
  <c r="T789" i="2" s="1"/>
  <c r="U789" i="2" s="1"/>
  <c r="S794" i="2"/>
  <c r="T794" i="2" s="1"/>
  <c r="U794" i="2" s="1"/>
  <c r="S797" i="2"/>
  <c r="T797" i="2" s="1"/>
  <c r="U797" i="2" s="1"/>
  <c r="S800" i="2"/>
  <c r="T800" i="2" s="1"/>
  <c r="U800" i="2" s="1"/>
  <c r="S803" i="2"/>
  <c r="T803" i="2" s="1"/>
  <c r="U803" i="2" s="1"/>
  <c r="S806" i="2"/>
  <c r="T806" i="2" s="1"/>
  <c r="U806" i="2" s="1"/>
  <c r="S809" i="2"/>
  <c r="T809" i="2" s="1"/>
  <c r="U809" i="2" s="1"/>
  <c r="S810" i="2"/>
  <c r="T810" i="2" s="1"/>
  <c r="U810" i="2" s="1"/>
  <c r="S776" i="2"/>
  <c r="T776" i="2" s="1"/>
  <c r="U776" i="2" s="1"/>
  <c r="S782" i="2"/>
  <c r="T782" i="2" s="1"/>
  <c r="U782" i="2" s="1"/>
  <c r="S787" i="2"/>
  <c r="T787" i="2" s="1"/>
  <c r="U787" i="2" s="1"/>
  <c r="S798" i="2"/>
  <c r="T798" i="2" s="1"/>
  <c r="U798" i="2" s="1"/>
  <c r="S792" i="2"/>
  <c r="T792" i="2" s="1"/>
  <c r="U792" i="2" s="1"/>
  <c r="S773" i="2"/>
  <c r="T773" i="2" s="1"/>
  <c r="U773" i="2" s="1"/>
  <c r="S779" i="2"/>
  <c r="T779" i="2" s="1"/>
  <c r="U779" i="2" s="1"/>
  <c r="S790" i="2"/>
  <c r="T790" i="2" s="1"/>
  <c r="U790" i="2" s="1"/>
  <c r="S795" i="2"/>
  <c r="T795" i="2" s="1"/>
  <c r="U795" i="2" s="1"/>
  <c r="S801" i="2"/>
  <c r="T801" i="2" s="1"/>
  <c r="U801" i="2" s="1"/>
  <c r="S224" i="2"/>
  <c r="T224" i="2" s="1"/>
  <c r="U224" i="2" s="1"/>
  <c r="S750" i="2"/>
  <c r="T750" i="2" s="1"/>
  <c r="U750" i="2" s="1"/>
  <c r="S712" i="2"/>
  <c r="T712" i="2" s="1"/>
  <c r="U712" i="2" s="1"/>
  <c r="S718" i="2"/>
  <c r="T718" i="2" s="1"/>
  <c r="U718" i="2" s="1"/>
  <c r="S726" i="2"/>
  <c r="T726" i="2" s="1"/>
  <c r="U726" i="2" s="1"/>
  <c r="S740" i="2"/>
  <c r="T740" i="2" s="1"/>
  <c r="U740" i="2" s="1"/>
  <c r="S746" i="2"/>
  <c r="T746" i="2" s="1"/>
  <c r="U746" i="2" s="1"/>
  <c r="S725" i="2"/>
  <c r="T725" i="2" s="1"/>
  <c r="U725" i="2" s="1"/>
  <c r="S733" i="2"/>
  <c r="T733" i="2" s="1"/>
  <c r="U733" i="2" s="1"/>
  <c r="S714" i="2"/>
  <c r="T714" i="2" s="1"/>
  <c r="U714" i="2" s="1"/>
  <c r="S717" i="2"/>
  <c r="T717" i="2" s="1"/>
  <c r="U717" i="2" s="1"/>
  <c r="S720" i="2"/>
  <c r="T720" i="2" s="1"/>
  <c r="U720" i="2" s="1"/>
  <c r="S728" i="2"/>
  <c r="T728" i="2" s="1"/>
  <c r="U728" i="2" s="1"/>
  <c r="S736" i="2"/>
  <c r="T736" i="2" s="1"/>
  <c r="U736" i="2" s="1"/>
  <c r="S739" i="2"/>
  <c r="T739" i="2" s="1"/>
  <c r="U739" i="2" s="1"/>
  <c r="S742" i="2"/>
  <c r="T742" i="2" s="1"/>
  <c r="U742" i="2" s="1"/>
  <c r="S745" i="2"/>
  <c r="T745" i="2" s="1"/>
  <c r="U745" i="2" s="1"/>
  <c r="S748" i="2"/>
  <c r="T748" i="2" s="1"/>
  <c r="U748" i="2" s="1"/>
  <c r="S723" i="2"/>
  <c r="T723" i="2" s="1"/>
  <c r="U723" i="2" s="1"/>
  <c r="S731" i="2"/>
  <c r="T731" i="2" s="1"/>
  <c r="U731" i="2" s="1"/>
  <c r="S749" i="2"/>
  <c r="T749" i="2" s="1"/>
  <c r="U749" i="2" s="1"/>
  <c r="S724" i="2"/>
  <c r="T724" i="2" s="1"/>
  <c r="U724" i="2" s="1"/>
  <c r="S732" i="2"/>
  <c r="T732" i="2" s="1"/>
  <c r="U732" i="2" s="1"/>
  <c r="N711" i="2"/>
  <c r="S711" i="2" s="1"/>
  <c r="T711" i="2" s="1"/>
  <c r="U711" i="2" s="1"/>
  <c r="S713" i="2"/>
  <c r="T713" i="2" s="1"/>
  <c r="U713" i="2" s="1"/>
  <c r="S719" i="2"/>
  <c r="T719" i="2" s="1"/>
  <c r="U719" i="2" s="1"/>
  <c r="S730" i="2"/>
  <c r="T730" i="2" s="1"/>
  <c r="U730" i="2" s="1"/>
  <c r="S735" i="2"/>
  <c r="T735" i="2" s="1"/>
  <c r="U735" i="2" s="1"/>
  <c r="S741" i="2"/>
  <c r="T741" i="2" s="1"/>
  <c r="U741" i="2" s="1"/>
  <c r="S744" i="2"/>
  <c r="T744" i="2" s="1"/>
  <c r="U744" i="2" s="1"/>
  <c r="S715" i="2"/>
  <c r="T715" i="2" s="1"/>
  <c r="U715" i="2" s="1"/>
  <c r="S721" i="2"/>
  <c r="T721" i="2" s="1"/>
  <c r="U721" i="2" s="1"/>
  <c r="S729" i="2"/>
  <c r="T729" i="2" s="1"/>
  <c r="U729" i="2" s="1"/>
  <c r="S734" i="2"/>
  <c r="T734" i="2" s="1"/>
  <c r="U734" i="2" s="1"/>
  <c r="S737" i="2"/>
  <c r="T737" i="2" s="1"/>
  <c r="U737" i="2" s="1"/>
  <c r="S743" i="2"/>
  <c r="T743" i="2" s="1"/>
  <c r="U743" i="2" s="1"/>
  <c r="S716" i="2"/>
  <c r="T716" i="2" s="1"/>
  <c r="U716" i="2" s="1"/>
  <c r="S722" i="2"/>
  <c r="T722" i="2" s="1"/>
  <c r="U722" i="2" s="1"/>
  <c r="S727" i="2"/>
  <c r="T727" i="2" s="1"/>
  <c r="U727" i="2" s="1"/>
  <c r="S738" i="2"/>
  <c r="T738" i="2" s="1"/>
  <c r="U738" i="2" s="1"/>
  <c r="S678" i="2"/>
  <c r="T678" i="2" s="1"/>
  <c r="U678" i="2" s="1"/>
  <c r="S695" i="2"/>
  <c r="T695" i="2" s="1"/>
  <c r="U695" i="2" s="1"/>
  <c r="S681" i="2"/>
  <c r="T681" i="2" s="1"/>
  <c r="U681" i="2" s="1"/>
  <c r="S692" i="2"/>
  <c r="T692" i="2" s="1"/>
  <c r="U692" i="2" s="1"/>
  <c r="S686" i="2"/>
  <c r="T686" i="2" s="1"/>
  <c r="U686" i="2" s="1"/>
  <c r="S689" i="2"/>
  <c r="T689" i="2" s="1"/>
  <c r="U689" i="2" s="1"/>
  <c r="S698" i="2"/>
  <c r="T698" i="2" s="1"/>
  <c r="U698" i="2" s="1"/>
  <c r="S664" i="2"/>
  <c r="T664" i="2" s="1"/>
  <c r="U664" i="2" s="1"/>
  <c r="S667" i="2"/>
  <c r="T667" i="2" s="1"/>
  <c r="U667" i="2" s="1"/>
  <c r="S615" i="2"/>
  <c r="T615" i="2" s="1"/>
  <c r="U615" i="2" s="1"/>
  <c r="S612" i="2"/>
  <c r="T612" i="2" s="1"/>
  <c r="U612" i="2" s="1"/>
  <c r="S568" i="2"/>
  <c r="T568" i="2" s="1"/>
  <c r="U568" i="2" s="1"/>
  <c r="S576" i="2"/>
  <c r="T576" i="2" s="1"/>
  <c r="U576" i="2" s="1"/>
  <c r="S596" i="2"/>
  <c r="T596" i="2" s="1"/>
  <c r="U596" i="2" s="1"/>
  <c r="S565" i="2"/>
  <c r="T565" i="2" s="1"/>
  <c r="U565" i="2" s="1"/>
  <c r="S581" i="2"/>
  <c r="T581" i="2" s="1"/>
  <c r="U581" i="2" s="1"/>
  <c r="S593" i="2"/>
  <c r="T593" i="2" s="1"/>
  <c r="U593" i="2" s="1"/>
  <c r="S584" i="2"/>
  <c r="T584" i="2" s="1"/>
  <c r="U584" i="2" s="1"/>
  <c r="S571" i="2"/>
  <c r="T571" i="2" s="1"/>
  <c r="U571" i="2" s="1"/>
  <c r="S579" i="2"/>
  <c r="T579" i="2" s="1"/>
  <c r="U579" i="2" s="1"/>
  <c r="S562" i="2"/>
  <c r="T562" i="2" s="1"/>
  <c r="U562" i="2" s="1"/>
  <c r="S573" i="2"/>
  <c r="T573" i="2" s="1"/>
  <c r="U573" i="2" s="1"/>
  <c r="S590" i="2"/>
  <c r="T590" i="2" s="1"/>
  <c r="U590" i="2" s="1"/>
  <c r="S546" i="2"/>
  <c r="T546" i="2" s="1"/>
  <c r="U546" i="2" s="1"/>
  <c r="S547" i="2"/>
  <c r="T547" i="2" s="1"/>
  <c r="U547" i="2" s="1"/>
  <c r="S521" i="2"/>
  <c r="T521" i="2" s="1"/>
  <c r="U521" i="2" s="1"/>
  <c r="S534" i="2"/>
  <c r="T534" i="2" s="1"/>
  <c r="U534" i="2" s="1"/>
  <c r="S529" i="2"/>
  <c r="T529" i="2" s="1"/>
  <c r="U529" i="2" s="1"/>
  <c r="S512" i="2"/>
  <c r="T512" i="2" s="1"/>
  <c r="U512" i="2" s="1"/>
  <c r="S549" i="2"/>
  <c r="T549" i="2" s="1"/>
  <c r="U549" i="2" s="1"/>
  <c r="S523" i="2"/>
  <c r="T523" i="2" s="1"/>
  <c r="U523" i="2" s="1"/>
  <c r="S531" i="2"/>
  <c r="T531" i="2" s="1"/>
  <c r="U531" i="2" s="1"/>
  <c r="S515" i="2"/>
  <c r="T515" i="2" s="1"/>
  <c r="U515" i="2" s="1"/>
  <c r="S543" i="2"/>
  <c r="T543" i="2" s="1"/>
  <c r="U543" i="2" s="1"/>
  <c r="S518" i="2"/>
  <c r="T518" i="2" s="1"/>
  <c r="U518" i="2" s="1"/>
  <c r="S537" i="2"/>
  <c r="T537" i="2" s="1"/>
  <c r="U537" i="2" s="1"/>
  <c r="S540" i="2"/>
  <c r="T540" i="2" s="1"/>
  <c r="U540" i="2" s="1"/>
  <c r="S526" i="2"/>
  <c r="T526" i="2" s="1"/>
  <c r="U526" i="2" s="1"/>
  <c r="S489" i="2"/>
  <c r="T489" i="2" s="1"/>
  <c r="U489" i="2" s="1"/>
  <c r="S465" i="2"/>
  <c r="T465" i="2" s="1"/>
  <c r="U465" i="2" s="1"/>
  <c r="S483" i="2"/>
  <c r="T483" i="2" s="1"/>
  <c r="U483" i="2" s="1"/>
  <c r="S495" i="2"/>
  <c r="T495" i="2" s="1"/>
  <c r="U495" i="2" s="1"/>
  <c r="S462" i="2"/>
  <c r="T462" i="2" s="1"/>
  <c r="U462" i="2" s="1"/>
  <c r="S481" i="2"/>
  <c r="T481" i="2" s="1"/>
  <c r="U481" i="2" s="1"/>
  <c r="S492" i="2"/>
  <c r="T492" i="2" s="1"/>
  <c r="U492" i="2" s="1"/>
  <c r="S467" i="2"/>
  <c r="T467" i="2" s="1"/>
  <c r="U467" i="2" s="1"/>
  <c r="S468" i="2"/>
  <c r="T468" i="2" s="1"/>
  <c r="U468" i="2" s="1"/>
  <c r="S476" i="2"/>
  <c r="T476" i="2" s="1"/>
  <c r="U476" i="2" s="1"/>
  <c r="S461" i="2"/>
  <c r="T461" i="2" s="1"/>
  <c r="U461" i="2" s="1"/>
  <c r="S471" i="2"/>
  <c r="T471" i="2" s="1"/>
  <c r="U471" i="2" s="1"/>
  <c r="S478" i="2"/>
  <c r="T478" i="2" s="1"/>
  <c r="U478" i="2" s="1"/>
  <c r="S486" i="2"/>
  <c r="T486" i="2" s="1"/>
  <c r="U486" i="2" s="1"/>
  <c r="S498" i="2"/>
  <c r="T498" i="2" s="1"/>
  <c r="U498" i="2" s="1"/>
  <c r="S499" i="2"/>
  <c r="T499" i="2" s="1"/>
  <c r="U499" i="2" s="1"/>
  <c r="S417" i="2"/>
  <c r="T417" i="2" s="1"/>
  <c r="U417" i="2" s="1"/>
  <c r="S425" i="2"/>
  <c r="T425" i="2" s="1"/>
  <c r="U425" i="2" s="1"/>
  <c r="S433" i="2"/>
  <c r="T433" i="2" s="1"/>
  <c r="U433" i="2" s="1"/>
  <c r="S443" i="2"/>
  <c r="T443" i="2" s="1"/>
  <c r="U443" i="2" s="1"/>
  <c r="S423" i="2"/>
  <c r="T423" i="2" s="1"/>
  <c r="U423" i="2" s="1"/>
  <c r="S439" i="2"/>
  <c r="T439" i="2" s="1"/>
  <c r="U439" i="2" s="1"/>
  <c r="S414" i="2"/>
  <c r="T414" i="2" s="1"/>
  <c r="U414" i="2" s="1"/>
  <c r="S445" i="2"/>
  <c r="T445" i="2" s="1"/>
  <c r="U445" i="2" s="1"/>
  <c r="S448" i="2"/>
  <c r="T448" i="2" s="1"/>
  <c r="U448" i="2" s="1"/>
  <c r="S431" i="2"/>
  <c r="T431" i="2" s="1"/>
  <c r="U431" i="2" s="1"/>
  <c r="S420" i="2"/>
  <c r="T420" i="2" s="1"/>
  <c r="U420" i="2" s="1"/>
  <c r="S428" i="2"/>
  <c r="T428" i="2" s="1"/>
  <c r="U428" i="2" s="1"/>
  <c r="S436" i="2"/>
  <c r="T436" i="2" s="1"/>
  <c r="U436" i="2" s="1"/>
  <c r="S442" i="2"/>
  <c r="T442" i="2" s="1"/>
  <c r="U442" i="2" s="1"/>
  <c r="S675" i="2"/>
  <c r="T675" i="2" s="1"/>
  <c r="U675" i="2" s="1"/>
  <c r="S683" i="2"/>
  <c r="T683" i="2" s="1"/>
  <c r="U683" i="2" s="1"/>
  <c r="S662" i="2"/>
  <c r="T662" i="2" s="1"/>
  <c r="U662" i="2" s="1"/>
  <c r="S665" i="2"/>
  <c r="T665" i="2" s="1"/>
  <c r="U665" i="2" s="1"/>
  <c r="S668" i="2"/>
  <c r="T668" i="2" s="1"/>
  <c r="U668" i="2" s="1"/>
  <c r="S671" i="2"/>
  <c r="T671" i="2" s="1"/>
  <c r="U671" i="2" s="1"/>
  <c r="S676" i="2"/>
  <c r="T676" i="2" s="1"/>
  <c r="U676" i="2" s="1"/>
  <c r="S679" i="2"/>
  <c r="T679" i="2" s="1"/>
  <c r="U679" i="2" s="1"/>
  <c r="S684" i="2"/>
  <c r="T684" i="2" s="1"/>
  <c r="U684" i="2" s="1"/>
  <c r="S687" i="2"/>
  <c r="T687" i="2" s="1"/>
  <c r="U687" i="2" s="1"/>
  <c r="S690" i="2"/>
  <c r="T690" i="2" s="1"/>
  <c r="U690" i="2" s="1"/>
  <c r="S693" i="2"/>
  <c r="T693" i="2" s="1"/>
  <c r="U693" i="2" s="1"/>
  <c r="S696" i="2"/>
  <c r="T696" i="2" s="1"/>
  <c r="U696" i="2" s="1"/>
  <c r="S699" i="2"/>
  <c r="T699" i="2" s="1"/>
  <c r="U699" i="2" s="1"/>
  <c r="S674" i="2"/>
  <c r="T674" i="2" s="1"/>
  <c r="U674" i="2" s="1"/>
  <c r="S682" i="2"/>
  <c r="T682" i="2" s="1"/>
  <c r="U682" i="2" s="1"/>
  <c r="N661" i="2"/>
  <c r="S661" i="2" s="1"/>
  <c r="T661" i="2" s="1"/>
  <c r="U661" i="2" s="1"/>
  <c r="S663" i="2"/>
  <c r="T663" i="2" s="1"/>
  <c r="U663" i="2" s="1"/>
  <c r="S666" i="2"/>
  <c r="T666" i="2" s="1"/>
  <c r="U666" i="2" s="1"/>
  <c r="S669" i="2"/>
  <c r="T669" i="2" s="1"/>
  <c r="U669" i="2" s="1"/>
  <c r="S672" i="2"/>
  <c r="T672" i="2" s="1"/>
  <c r="U672" i="2" s="1"/>
  <c r="S677" i="2"/>
  <c r="T677" i="2" s="1"/>
  <c r="U677" i="2" s="1"/>
  <c r="S680" i="2"/>
  <c r="T680" i="2" s="1"/>
  <c r="U680" i="2" s="1"/>
  <c r="S685" i="2"/>
  <c r="T685" i="2" s="1"/>
  <c r="U685" i="2" s="1"/>
  <c r="S688" i="2"/>
  <c r="T688" i="2" s="1"/>
  <c r="U688" i="2" s="1"/>
  <c r="S691" i="2"/>
  <c r="T691" i="2" s="1"/>
  <c r="U691" i="2" s="1"/>
  <c r="S694" i="2"/>
  <c r="T694" i="2" s="1"/>
  <c r="U694" i="2" s="1"/>
  <c r="S697" i="2"/>
  <c r="T697" i="2" s="1"/>
  <c r="U697" i="2" s="1"/>
  <c r="S629" i="2"/>
  <c r="T629" i="2" s="1"/>
  <c r="U629" i="2" s="1"/>
  <c r="S634" i="2"/>
  <c r="T634" i="2" s="1"/>
  <c r="U634" i="2" s="1"/>
  <c r="S637" i="2"/>
  <c r="T637" i="2" s="1"/>
  <c r="U637" i="2" s="1"/>
  <c r="S640" i="2"/>
  <c r="T640" i="2" s="1"/>
  <c r="U640" i="2" s="1"/>
  <c r="S643" i="2"/>
  <c r="T643" i="2" s="1"/>
  <c r="U643" i="2" s="1"/>
  <c r="S649" i="2"/>
  <c r="T649" i="2" s="1"/>
  <c r="U649" i="2" s="1"/>
  <c r="S624" i="2"/>
  <c r="T624" i="2" s="1"/>
  <c r="U624" i="2" s="1"/>
  <c r="S625" i="2"/>
  <c r="T625" i="2" s="1"/>
  <c r="U625" i="2" s="1"/>
  <c r="S633" i="2"/>
  <c r="T633" i="2" s="1"/>
  <c r="U633" i="2" s="1"/>
  <c r="S614" i="2"/>
  <c r="T614" i="2" s="1"/>
  <c r="U614" i="2" s="1"/>
  <c r="S617" i="2"/>
  <c r="T617" i="2" s="1"/>
  <c r="U617" i="2" s="1"/>
  <c r="S620" i="2"/>
  <c r="T620" i="2" s="1"/>
  <c r="U620" i="2" s="1"/>
  <c r="S628" i="2"/>
  <c r="T628" i="2" s="1"/>
  <c r="U628" i="2" s="1"/>
  <c r="S636" i="2"/>
  <c r="T636" i="2" s="1"/>
  <c r="U636" i="2" s="1"/>
  <c r="S639" i="2"/>
  <c r="T639" i="2" s="1"/>
  <c r="U639" i="2" s="1"/>
  <c r="S642" i="2"/>
  <c r="T642" i="2" s="1"/>
  <c r="U642" i="2" s="1"/>
  <c r="S645" i="2"/>
  <c r="T645" i="2" s="1"/>
  <c r="U645" i="2" s="1"/>
  <c r="S648" i="2"/>
  <c r="T648" i="2" s="1"/>
  <c r="U648" i="2" s="1"/>
  <c r="S623" i="2"/>
  <c r="T623" i="2" s="1"/>
  <c r="U623" i="2" s="1"/>
  <c r="S631" i="2"/>
  <c r="T631" i="2" s="1"/>
  <c r="U631" i="2" s="1"/>
  <c r="S632" i="2"/>
  <c r="T632" i="2" s="1"/>
  <c r="U632" i="2" s="1"/>
  <c r="N611" i="2"/>
  <c r="S611" i="2" s="1"/>
  <c r="T611" i="2" s="1"/>
  <c r="U611" i="2" s="1"/>
  <c r="S613" i="2"/>
  <c r="T613" i="2" s="1"/>
  <c r="U613" i="2" s="1"/>
  <c r="S619" i="2"/>
  <c r="T619" i="2" s="1"/>
  <c r="U619" i="2" s="1"/>
  <c r="S630" i="2"/>
  <c r="T630" i="2" s="1"/>
  <c r="U630" i="2" s="1"/>
  <c r="S635" i="2"/>
  <c r="T635" i="2" s="1"/>
  <c r="U635" i="2" s="1"/>
  <c r="S644" i="2"/>
  <c r="T644" i="2" s="1"/>
  <c r="U644" i="2" s="1"/>
  <c r="S650" i="2"/>
  <c r="T650" i="2" s="1"/>
  <c r="U650" i="2" s="1"/>
  <c r="S618" i="2"/>
  <c r="T618" i="2" s="1"/>
  <c r="U618" i="2" s="1"/>
  <c r="S621" i="2"/>
  <c r="T621" i="2" s="1"/>
  <c r="U621" i="2" s="1"/>
  <c r="S626" i="2"/>
  <c r="T626" i="2" s="1"/>
  <c r="U626" i="2" s="1"/>
  <c r="S646" i="2"/>
  <c r="T646" i="2" s="1"/>
  <c r="U646" i="2" s="1"/>
  <c r="S616" i="2"/>
  <c r="T616" i="2" s="1"/>
  <c r="U616" i="2" s="1"/>
  <c r="S622" i="2"/>
  <c r="T622" i="2" s="1"/>
  <c r="U622" i="2" s="1"/>
  <c r="S627" i="2"/>
  <c r="T627" i="2" s="1"/>
  <c r="U627" i="2" s="1"/>
  <c r="S638" i="2"/>
  <c r="T638" i="2" s="1"/>
  <c r="U638" i="2" s="1"/>
  <c r="S641" i="2"/>
  <c r="T641" i="2" s="1"/>
  <c r="U641" i="2" s="1"/>
  <c r="S575" i="2"/>
  <c r="T575" i="2" s="1"/>
  <c r="U575" i="2" s="1"/>
  <c r="S583" i="2"/>
  <c r="T583" i="2" s="1"/>
  <c r="U583" i="2" s="1"/>
  <c r="S564" i="2"/>
  <c r="T564" i="2" s="1"/>
  <c r="U564" i="2" s="1"/>
  <c r="S567" i="2"/>
  <c r="T567" i="2" s="1"/>
  <c r="U567" i="2" s="1"/>
  <c r="S570" i="2"/>
  <c r="T570" i="2" s="1"/>
  <c r="U570" i="2" s="1"/>
  <c r="S578" i="2"/>
  <c r="T578" i="2" s="1"/>
  <c r="U578" i="2" s="1"/>
  <c r="S586" i="2"/>
  <c r="T586" i="2" s="1"/>
  <c r="U586" i="2" s="1"/>
  <c r="S589" i="2"/>
  <c r="T589" i="2" s="1"/>
  <c r="U589" i="2" s="1"/>
  <c r="S592" i="2"/>
  <c r="T592" i="2" s="1"/>
  <c r="U592" i="2" s="1"/>
  <c r="S595" i="2"/>
  <c r="T595" i="2" s="1"/>
  <c r="U595" i="2" s="1"/>
  <c r="S598" i="2"/>
  <c r="T598" i="2" s="1"/>
  <c r="U598" i="2" s="1"/>
  <c r="S574" i="2"/>
  <c r="T574" i="2" s="1"/>
  <c r="U574" i="2" s="1"/>
  <c r="S563" i="2"/>
  <c r="T563" i="2" s="1"/>
  <c r="U563" i="2" s="1"/>
  <c r="S566" i="2"/>
  <c r="T566" i="2" s="1"/>
  <c r="U566" i="2" s="1"/>
  <c r="S569" i="2"/>
  <c r="T569" i="2" s="1"/>
  <c r="U569" i="2" s="1"/>
  <c r="S572" i="2"/>
  <c r="T572" i="2" s="1"/>
  <c r="U572" i="2" s="1"/>
  <c r="S577" i="2"/>
  <c r="T577" i="2" s="1"/>
  <c r="U577" i="2" s="1"/>
  <c r="S580" i="2"/>
  <c r="T580" i="2" s="1"/>
  <c r="U580" i="2" s="1"/>
  <c r="S585" i="2"/>
  <c r="T585" i="2" s="1"/>
  <c r="U585" i="2" s="1"/>
  <c r="S588" i="2"/>
  <c r="T588" i="2" s="1"/>
  <c r="U588" i="2" s="1"/>
  <c r="S591" i="2"/>
  <c r="T591" i="2" s="1"/>
  <c r="U591" i="2" s="1"/>
  <c r="S594" i="2"/>
  <c r="T594" i="2" s="1"/>
  <c r="U594" i="2" s="1"/>
  <c r="S597" i="2"/>
  <c r="T597" i="2" s="1"/>
  <c r="U597" i="2" s="1"/>
  <c r="S600" i="2"/>
  <c r="T600" i="2" s="1"/>
  <c r="U600" i="2" s="1"/>
  <c r="S582" i="2"/>
  <c r="T582" i="2" s="1"/>
  <c r="U582" i="2" s="1"/>
  <c r="S525" i="2"/>
  <c r="T525" i="2" s="1"/>
  <c r="U525" i="2" s="1"/>
  <c r="S533" i="2"/>
  <c r="T533" i="2" s="1"/>
  <c r="U533" i="2" s="1"/>
  <c r="S514" i="2"/>
  <c r="T514" i="2" s="1"/>
  <c r="U514" i="2" s="1"/>
  <c r="S517" i="2"/>
  <c r="T517" i="2" s="1"/>
  <c r="U517" i="2" s="1"/>
  <c r="S520" i="2"/>
  <c r="T520" i="2" s="1"/>
  <c r="U520" i="2" s="1"/>
  <c r="S528" i="2"/>
  <c r="T528" i="2" s="1"/>
  <c r="U528" i="2" s="1"/>
  <c r="S536" i="2"/>
  <c r="T536" i="2" s="1"/>
  <c r="U536" i="2" s="1"/>
  <c r="S539" i="2"/>
  <c r="T539" i="2" s="1"/>
  <c r="U539" i="2" s="1"/>
  <c r="S542" i="2"/>
  <c r="T542" i="2" s="1"/>
  <c r="U542" i="2" s="1"/>
  <c r="S545" i="2"/>
  <c r="T545" i="2" s="1"/>
  <c r="U545" i="2" s="1"/>
  <c r="S548" i="2"/>
  <c r="T548" i="2" s="1"/>
  <c r="U548" i="2" s="1"/>
  <c r="S524" i="2"/>
  <c r="T524" i="2" s="1"/>
  <c r="U524" i="2" s="1"/>
  <c r="S532" i="2"/>
  <c r="T532" i="2" s="1"/>
  <c r="U532" i="2" s="1"/>
  <c r="N511" i="2"/>
  <c r="S511" i="2" s="1"/>
  <c r="T511" i="2" s="1"/>
  <c r="U511" i="2" s="1"/>
  <c r="S513" i="2"/>
  <c r="T513" i="2" s="1"/>
  <c r="U513" i="2" s="1"/>
  <c r="S522" i="2"/>
  <c r="T522" i="2" s="1"/>
  <c r="U522" i="2" s="1"/>
  <c r="S550" i="2"/>
  <c r="T550" i="2" s="1"/>
  <c r="U550" i="2" s="1"/>
  <c r="S516" i="2"/>
  <c r="T516" i="2" s="1"/>
  <c r="U516" i="2" s="1"/>
  <c r="S519" i="2"/>
  <c r="T519" i="2" s="1"/>
  <c r="U519" i="2" s="1"/>
  <c r="S527" i="2"/>
  <c r="T527" i="2" s="1"/>
  <c r="U527" i="2" s="1"/>
  <c r="S530" i="2"/>
  <c r="T530" i="2" s="1"/>
  <c r="U530" i="2" s="1"/>
  <c r="S535" i="2"/>
  <c r="T535" i="2" s="1"/>
  <c r="U535" i="2" s="1"/>
  <c r="S538" i="2"/>
  <c r="T538" i="2" s="1"/>
  <c r="U538" i="2" s="1"/>
  <c r="S541" i="2"/>
  <c r="T541" i="2" s="1"/>
  <c r="U541" i="2" s="1"/>
  <c r="S544" i="2"/>
  <c r="T544" i="2" s="1"/>
  <c r="U544" i="2" s="1"/>
  <c r="S490" i="2"/>
  <c r="T490" i="2" s="1"/>
  <c r="U490" i="2" s="1"/>
  <c r="S474" i="2"/>
  <c r="T474" i="2" s="1"/>
  <c r="U474" i="2" s="1"/>
  <c r="S463" i="2"/>
  <c r="T463" i="2" s="1"/>
  <c r="U463" i="2" s="1"/>
  <c r="S466" i="2"/>
  <c r="T466" i="2" s="1"/>
  <c r="U466" i="2" s="1"/>
  <c r="S469" i="2"/>
  <c r="T469" i="2" s="1"/>
  <c r="U469" i="2" s="1"/>
  <c r="S472" i="2"/>
  <c r="T472" i="2" s="1"/>
  <c r="U472" i="2" s="1"/>
  <c r="S477" i="2"/>
  <c r="T477" i="2" s="1"/>
  <c r="U477" i="2" s="1"/>
  <c r="S480" i="2"/>
  <c r="T480" i="2" s="1"/>
  <c r="U480" i="2" s="1"/>
  <c r="S485" i="2"/>
  <c r="T485" i="2" s="1"/>
  <c r="U485" i="2" s="1"/>
  <c r="S488" i="2"/>
  <c r="T488" i="2" s="1"/>
  <c r="U488" i="2" s="1"/>
  <c r="S491" i="2"/>
  <c r="T491" i="2" s="1"/>
  <c r="U491" i="2" s="1"/>
  <c r="S494" i="2"/>
  <c r="T494" i="2" s="1"/>
  <c r="U494" i="2" s="1"/>
  <c r="S497" i="2"/>
  <c r="T497" i="2" s="1"/>
  <c r="U497" i="2" s="1"/>
  <c r="S500" i="2"/>
  <c r="T500" i="2" s="1"/>
  <c r="U500" i="2" s="1"/>
  <c r="S496" i="2"/>
  <c r="T496" i="2" s="1"/>
  <c r="U496" i="2" s="1"/>
  <c r="S479" i="2"/>
  <c r="T479" i="2" s="1"/>
  <c r="U479" i="2" s="1"/>
  <c r="S484" i="2"/>
  <c r="T484" i="2" s="1"/>
  <c r="U484" i="2" s="1"/>
  <c r="S487" i="2"/>
  <c r="T487" i="2" s="1"/>
  <c r="U487" i="2" s="1"/>
  <c r="S493" i="2"/>
  <c r="T493" i="2" s="1"/>
  <c r="U493" i="2" s="1"/>
  <c r="S482" i="2"/>
  <c r="T482" i="2" s="1"/>
  <c r="U482" i="2" s="1"/>
  <c r="S412" i="2"/>
  <c r="T412" i="2" s="1"/>
  <c r="U412" i="2" s="1"/>
  <c r="S418" i="2"/>
  <c r="T418" i="2" s="1"/>
  <c r="U418" i="2" s="1"/>
  <c r="S429" i="2"/>
  <c r="T429" i="2" s="1"/>
  <c r="U429" i="2" s="1"/>
  <c r="S434" i="2"/>
  <c r="T434" i="2" s="1"/>
  <c r="U434" i="2" s="1"/>
  <c r="S440" i="2"/>
  <c r="T440" i="2" s="1"/>
  <c r="U440" i="2" s="1"/>
  <c r="S449" i="2"/>
  <c r="T449" i="2" s="1"/>
  <c r="U449" i="2" s="1"/>
  <c r="S424" i="2"/>
  <c r="T424" i="2" s="1"/>
  <c r="U424" i="2" s="1"/>
  <c r="S413" i="2"/>
  <c r="T413" i="2" s="1"/>
  <c r="U413" i="2" s="1"/>
  <c r="S416" i="2"/>
  <c r="T416" i="2" s="1"/>
  <c r="U416" i="2" s="1"/>
  <c r="S419" i="2"/>
  <c r="T419" i="2" s="1"/>
  <c r="U419" i="2" s="1"/>
  <c r="S422" i="2"/>
  <c r="T422" i="2" s="1"/>
  <c r="U422" i="2" s="1"/>
  <c r="S427" i="2"/>
  <c r="T427" i="2" s="1"/>
  <c r="U427" i="2" s="1"/>
  <c r="S430" i="2"/>
  <c r="T430" i="2" s="1"/>
  <c r="U430" i="2" s="1"/>
  <c r="S435" i="2"/>
  <c r="T435" i="2" s="1"/>
  <c r="U435" i="2" s="1"/>
  <c r="S438" i="2"/>
  <c r="T438" i="2" s="1"/>
  <c r="U438" i="2" s="1"/>
  <c r="S441" i="2"/>
  <c r="T441" i="2" s="1"/>
  <c r="U441" i="2" s="1"/>
  <c r="S444" i="2"/>
  <c r="T444" i="2" s="1"/>
  <c r="U444" i="2" s="1"/>
  <c r="S447" i="2"/>
  <c r="T447" i="2" s="1"/>
  <c r="U447" i="2" s="1"/>
  <c r="S450" i="2"/>
  <c r="T450" i="2" s="1"/>
  <c r="U450" i="2" s="1"/>
  <c r="S415" i="2"/>
  <c r="T415" i="2" s="1"/>
  <c r="U415" i="2" s="1"/>
  <c r="S421" i="2"/>
  <c r="T421" i="2" s="1"/>
  <c r="U421" i="2" s="1"/>
  <c r="S426" i="2"/>
  <c r="T426" i="2" s="1"/>
  <c r="U426" i="2" s="1"/>
  <c r="S437" i="2"/>
  <c r="T437" i="2" s="1"/>
  <c r="U437" i="2" s="1"/>
  <c r="S446" i="2"/>
  <c r="T446" i="2" s="1"/>
  <c r="U446" i="2" s="1"/>
  <c r="S432" i="2"/>
  <c r="T432" i="2" s="1"/>
  <c r="U432" i="2" s="1"/>
  <c r="S396" i="2"/>
  <c r="T396" i="2" s="1"/>
  <c r="U396" i="2" s="1"/>
  <c r="S378" i="2"/>
  <c r="T378" i="2" s="1"/>
  <c r="U378" i="2" s="1"/>
  <c r="S397" i="2"/>
  <c r="T397" i="2" s="1"/>
  <c r="U397" i="2" s="1"/>
  <c r="S386" i="2"/>
  <c r="T386" i="2" s="1"/>
  <c r="U386" i="2" s="1"/>
  <c r="S398" i="2"/>
  <c r="T398" i="2" s="1"/>
  <c r="U398" i="2" s="1"/>
  <c r="S362" i="2"/>
  <c r="T362" i="2" s="1"/>
  <c r="U362" i="2" s="1"/>
  <c r="S373" i="2"/>
  <c r="T373" i="2" s="1"/>
  <c r="U373" i="2" s="1"/>
  <c r="S399" i="2"/>
  <c r="T399" i="2" s="1"/>
  <c r="U399" i="2" s="1"/>
  <c r="S364" i="2"/>
  <c r="T364" i="2" s="1"/>
  <c r="U364" i="2" s="1"/>
  <c r="S390" i="2"/>
  <c r="T390" i="2" s="1"/>
  <c r="U390" i="2" s="1"/>
  <c r="S365" i="2"/>
  <c r="T365" i="2" s="1"/>
  <c r="U365" i="2" s="1"/>
  <c r="S392" i="2"/>
  <c r="T392" i="2" s="1"/>
  <c r="U392" i="2" s="1"/>
  <c r="S367" i="2"/>
  <c r="T367" i="2" s="1"/>
  <c r="U367" i="2" s="1"/>
  <c r="S375" i="2"/>
  <c r="T375" i="2" s="1"/>
  <c r="U375" i="2" s="1"/>
  <c r="S393" i="2"/>
  <c r="T393" i="2" s="1"/>
  <c r="U393" i="2" s="1"/>
  <c r="S368" i="2"/>
  <c r="T368" i="2" s="1"/>
  <c r="U368" i="2" s="1"/>
  <c r="S383" i="2"/>
  <c r="T383" i="2" s="1"/>
  <c r="U383" i="2" s="1"/>
  <c r="S376" i="2"/>
  <c r="T376" i="2" s="1"/>
  <c r="U376" i="2" s="1"/>
  <c r="S395" i="2"/>
  <c r="T395" i="2" s="1"/>
  <c r="U395" i="2" s="1"/>
  <c r="S370" i="2"/>
  <c r="T370" i="2" s="1"/>
  <c r="U370" i="2" s="1"/>
  <c r="S384" i="2"/>
  <c r="T384" i="2" s="1"/>
  <c r="U384" i="2" s="1"/>
  <c r="S371" i="2"/>
  <c r="T371" i="2" s="1"/>
  <c r="U371" i="2" s="1"/>
  <c r="S379" i="2"/>
  <c r="T379" i="2" s="1"/>
  <c r="U379" i="2" s="1"/>
  <c r="S387" i="2"/>
  <c r="T387" i="2" s="1"/>
  <c r="U387" i="2" s="1"/>
  <c r="S381" i="2"/>
  <c r="T381" i="2" s="1"/>
  <c r="U381" i="2" s="1"/>
  <c r="S389" i="2"/>
  <c r="T389" i="2" s="1"/>
  <c r="U389" i="2" s="1"/>
  <c r="S333" i="2"/>
  <c r="T333" i="2" s="1"/>
  <c r="U333" i="2" s="1"/>
  <c r="S320" i="2"/>
  <c r="T320" i="2" s="1"/>
  <c r="U320" i="2" s="1"/>
  <c r="S326" i="2"/>
  <c r="T326" i="2" s="1"/>
  <c r="U326" i="2" s="1"/>
  <c r="S345" i="2"/>
  <c r="T345" i="2" s="1"/>
  <c r="U345" i="2" s="1"/>
  <c r="S312" i="2"/>
  <c r="T312" i="2" s="1"/>
  <c r="U312" i="2" s="1"/>
  <c r="S321" i="2"/>
  <c r="T321" i="2" s="1"/>
  <c r="U321" i="2" s="1"/>
  <c r="S329" i="2"/>
  <c r="T329" i="2" s="1"/>
  <c r="U329" i="2" s="1"/>
  <c r="S315" i="2"/>
  <c r="T315" i="2" s="1"/>
  <c r="U315" i="2" s="1"/>
  <c r="S328" i="2"/>
  <c r="T328" i="2" s="1"/>
  <c r="U328" i="2" s="1"/>
  <c r="S336" i="2"/>
  <c r="T336" i="2" s="1"/>
  <c r="U336" i="2" s="1"/>
  <c r="S339" i="2"/>
  <c r="T339" i="2" s="1"/>
  <c r="U339" i="2" s="1"/>
  <c r="S317" i="2"/>
  <c r="T317" i="2" s="1"/>
  <c r="U317" i="2" s="1"/>
  <c r="S342" i="2"/>
  <c r="T342" i="2" s="1"/>
  <c r="U342" i="2" s="1"/>
  <c r="S348" i="2"/>
  <c r="T348" i="2" s="1"/>
  <c r="U348" i="2" s="1"/>
  <c r="S323" i="2"/>
  <c r="T323" i="2" s="1"/>
  <c r="U323" i="2" s="1"/>
  <c r="S314" i="2"/>
  <c r="T314" i="2" s="1"/>
  <c r="U314" i="2" s="1"/>
  <c r="S331" i="2"/>
  <c r="T331" i="2" s="1"/>
  <c r="U331" i="2" s="1"/>
  <c r="S318" i="2"/>
  <c r="T318" i="2" s="1"/>
  <c r="U318" i="2" s="1"/>
  <c r="S325" i="2"/>
  <c r="T325" i="2" s="1"/>
  <c r="U325" i="2" s="1"/>
  <c r="S281" i="2"/>
  <c r="T281" i="2" s="1"/>
  <c r="U281" i="2" s="1"/>
  <c r="S275" i="2"/>
  <c r="T275" i="2" s="1"/>
  <c r="U275" i="2" s="1"/>
  <c r="S283" i="2"/>
  <c r="T283" i="2" s="1"/>
  <c r="U283" i="2" s="1"/>
  <c r="S220" i="2"/>
  <c r="T220" i="2" s="1"/>
  <c r="U220" i="2" s="1"/>
  <c r="S248" i="2"/>
  <c r="T248" i="2" s="1"/>
  <c r="U248" i="2" s="1"/>
  <c r="S225" i="2"/>
  <c r="T225" i="2" s="1"/>
  <c r="U225" i="2" s="1"/>
  <c r="S233" i="2"/>
  <c r="T233" i="2" s="1"/>
  <c r="U233" i="2" s="1"/>
  <c r="S236" i="2"/>
  <c r="T236" i="2" s="1"/>
  <c r="U236" i="2" s="1"/>
  <c r="S239" i="2"/>
  <c r="T239" i="2" s="1"/>
  <c r="U239" i="2" s="1"/>
  <c r="S214" i="2"/>
  <c r="T214" i="2" s="1"/>
  <c r="U214" i="2" s="1"/>
  <c r="S217" i="2"/>
  <c r="T217" i="2" s="1"/>
  <c r="U217" i="2" s="1"/>
  <c r="S245" i="2"/>
  <c r="T245" i="2" s="1"/>
  <c r="U245" i="2" s="1"/>
  <c r="S231" i="2"/>
  <c r="T231" i="2" s="1"/>
  <c r="U231" i="2" s="1"/>
  <c r="S228" i="2"/>
  <c r="T228" i="2" s="1"/>
  <c r="U228" i="2" s="1"/>
  <c r="S223" i="2"/>
  <c r="T223" i="2" s="1"/>
  <c r="U223" i="2" s="1"/>
  <c r="S242" i="2"/>
  <c r="T242" i="2" s="1"/>
  <c r="U242" i="2" s="1"/>
  <c r="S366" i="2"/>
  <c r="T366" i="2" s="1"/>
  <c r="U366" i="2" s="1"/>
  <c r="S372" i="2"/>
  <c r="T372" i="2" s="1"/>
  <c r="U372" i="2" s="1"/>
  <c r="S377" i="2"/>
  <c r="T377" i="2" s="1"/>
  <c r="U377" i="2" s="1"/>
  <c r="S385" i="2"/>
  <c r="T385" i="2" s="1"/>
  <c r="U385" i="2" s="1"/>
  <c r="S400" i="2"/>
  <c r="T400" i="2" s="1"/>
  <c r="U400" i="2" s="1"/>
  <c r="S374" i="2"/>
  <c r="T374" i="2" s="1"/>
  <c r="U374" i="2" s="1"/>
  <c r="S382" i="2"/>
  <c r="T382" i="2" s="1"/>
  <c r="U382" i="2" s="1"/>
  <c r="N361" i="2"/>
  <c r="S361" i="2" s="1"/>
  <c r="T361" i="2" s="1"/>
  <c r="U361" i="2" s="1"/>
  <c r="S363" i="2"/>
  <c r="T363" i="2" s="1"/>
  <c r="U363" i="2" s="1"/>
  <c r="S369" i="2"/>
  <c r="T369" i="2" s="1"/>
  <c r="U369" i="2" s="1"/>
  <c r="S380" i="2"/>
  <c r="T380" i="2" s="1"/>
  <c r="U380" i="2" s="1"/>
  <c r="S388" i="2"/>
  <c r="T388" i="2" s="1"/>
  <c r="U388" i="2" s="1"/>
  <c r="S391" i="2"/>
  <c r="T391" i="2" s="1"/>
  <c r="U391" i="2" s="1"/>
  <c r="S394" i="2"/>
  <c r="T394" i="2" s="1"/>
  <c r="U394" i="2" s="1"/>
  <c r="S334" i="2"/>
  <c r="T334" i="2" s="1"/>
  <c r="U334" i="2" s="1"/>
  <c r="S337" i="2"/>
  <c r="T337" i="2" s="1"/>
  <c r="U337" i="2" s="1"/>
  <c r="S340" i="2"/>
  <c r="T340" i="2" s="1"/>
  <c r="U340" i="2" s="1"/>
  <c r="S343" i="2"/>
  <c r="T343" i="2" s="1"/>
  <c r="U343" i="2" s="1"/>
  <c r="S346" i="2"/>
  <c r="T346" i="2" s="1"/>
  <c r="U346" i="2" s="1"/>
  <c r="S349" i="2"/>
  <c r="T349" i="2" s="1"/>
  <c r="U349" i="2" s="1"/>
  <c r="S313" i="2"/>
  <c r="T313" i="2" s="1"/>
  <c r="U313" i="2" s="1"/>
  <c r="S319" i="2"/>
  <c r="T319" i="2" s="1"/>
  <c r="U319" i="2" s="1"/>
  <c r="S330" i="2"/>
  <c r="T330" i="2" s="1"/>
  <c r="U330" i="2" s="1"/>
  <c r="S350" i="2"/>
  <c r="T350" i="2" s="1"/>
  <c r="U350" i="2" s="1"/>
  <c r="S324" i="2"/>
  <c r="T324" i="2" s="1"/>
  <c r="U324" i="2" s="1"/>
  <c r="S332" i="2"/>
  <c r="T332" i="2" s="1"/>
  <c r="U332" i="2" s="1"/>
  <c r="N311" i="2"/>
  <c r="S311" i="2" s="1"/>
  <c r="T311" i="2" s="1"/>
  <c r="U311" i="2" s="1"/>
  <c r="S316" i="2"/>
  <c r="T316" i="2" s="1"/>
  <c r="U316" i="2" s="1"/>
  <c r="S322" i="2"/>
  <c r="T322" i="2" s="1"/>
  <c r="U322" i="2" s="1"/>
  <c r="S327" i="2"/>
  <c r="T327" i="2" s="1"/>
  <c r="U327" i="2" s="1"/>
  <c r="S335" i="2"/>
  <c r="T335" i="2" s="1"/>
  <c r="U335" i="2" s="1"/>
  <c r="S338" i="2"/>
  <c r="T338" i="2" s="1"/>
  <c r="U338" i="2" s="1"/>
  <c r="S341" i="2"/>
  <c r="T341" i="2" s="1"/>
  <c r="U341" i="2" s="1"/>
  <c r="S344" i="2"/>
  <c r="T344" i="2" s="1"/>
  <c r="U344" i="2" s="1"/>
  <c r="S264" i="2"/>
  <c r="T264" i="2" s="1"/>
  <c r="U264" i="2" s="1"/>
  <c r="S267" i="2"/>
  <c r="T267" i="2" s="1"/>
  <c r="U267" i="2" s="1"/>
  <c r="S270" i="2"/>
  <c r="T270" i="2" s="1"/>
  <c r="U270" i="2" s="1"/>
  <c r="S278" i="2"/>
  <c r="T278" i="2" s="1"/>
  <c r="U278" i="2" s="1"/>
  <c r="S286" i="2"/>
  <c r="T286" i="2" s="1"/>
  <c r="U286" i="2" s="1"/>
  <c r="S289" i="2"/>
  <c r="T289" i="2" s="1"/>
  <c r="U289" i="2" s="1"/>
  <c r="S292" i="2"/>
  <c r="T292" i="2" s="1"/>
  <c r="U292" i="2" s="1"/>
  <c r="S295" i="2"/>
  <c r="T295" i="2" s="1"/>
  <c r="U295" i="2" s="1"/>
  <c r="S298" i="2"/>
  <c r="T298" i="2" s="1"/>
  <c r="U298" i="2" s="1"/>
  <c r="S262" i="2"/>
  <c r="T262" i="2" s="1"/>
  <c r="U262" i="2" s="1"/>
  <c r="S265" i="2"/>
  <c r="T265" i="2" s="1"/>
  <c r="U265" i="2" s="1"/>
  <c r="S271" i="2"/>
  <c r="T271" i="2" s="1"/>
  <c r="U271" i="2" s="1"/>
  <c r="S279" i="2"/>
  <c r="T279" i="2" s="1"/>
  <c r="U279" i="2" s="1"/>
  <c r="S284" i="2"/>
  <c r="T284" i="2" s="1"/>
  <c r="U284" i="2" s="1"/>
  <c r="S290" i="2"/>
  <c r="T290" i="2" s="1"/>
  <c r="U290" i="2" s="1"/>
  <c r="S296" i="2"/>
  <c r="T296" i="2" s="1"/>
  <c r="U296" i="2" s="1"/>
  <c r="S263" i="2"/>
  <c r="T263" i="2" s="1"/>
  <c r="U263" i="2" s="1"/>
  <c r="S266" i="2"/>
  <c r="T266" i="2" s="1"/>
  <c r="U266" i="2" s="1"/>
  <c r="S269" i="2"/>
  <c r="T269" i="2" s="1"/>
  <c r="U269" i="2" s="1"/>
  <c r="S272" i="2"/>
  <c r="T272" i="2" s="1"/>
  <c r="U272" i="2" s="1"/>
  <c r="S277" i="2"/>
  <c r="T277" i="2" s="1"/>
  <c r="U277" i="2" s="1"/>
  <c r="S280" i="2"/>
  <c r="T280" i="2" s="1"/>
  <c r="U280" i="2" s="1"/>
  <c r="S285" i="2"/>
  <c r="T285" i="2" s="1"/>
  <c r="U285" i="2" s="1"/>
  <c r="S288" i="2"/>
  <c r="T288" i="2" s="1"/>
  <c r="U288" i="2" s="1"/>
  <c r="S291" i="2"/>
  <c r="T291" i="2" s="1"/>
  <c r="U291" i="2" s="1"/>
  <c r="S294" i="2"/>
  <c r="T294" i="2" s="1"/>
  <c r="U294" i="2" s="1"/>
  <c r="S297" i="2"/>
  <c r="T297" i="2" s="1"/>
  <c r="U297" i="2" s="1"/>
  <c r="S300" i="2"/>
  <c r="T300" i="2" s="1"/>
  <c r="U300" i="2" s="1"/>
  <c r="S274" i="2"/>
  <c r="T274" i="2" s="1"/>
  <c r="U274" i="2" s="1"/>
  <c r="S282" i="2"/>
  <c r="T282" i="2" s="1"/>
  <c r="U282" i="2" s="1"/>
  <c r="S268" i="2"/>
  <c r="T268" i="2" s="1"/>
  <c r="U268" i="2" s="1"/>
  <c r="S276" i="2"/>
  <c r="T276" i="2" s="1"/>
  <c r="U276" i="2" s="1"/>
  <c r="S287" i="2"/>
  <c r="T287" i="2" s="1"/>
  <c r="U287" i="2" s="1"/>
  <c r="S293" i="2"/>
  <c r="T293" i="2" s="1"/>
  <c r="U293" i="2" s="1"/>
  <c r="S299" i="2"/>
  <c r="T299" i="2" s="1"/>
  <c r="U299" i="2" s="1"/>
  <c r="S212" i="2"/>
  <c r="T212" i="2" s="1"/>
  <c r="U212" i="2" s="1"/>
  <c r="S218" i="2"/>
  <c r="T218" i="2" s="1"/>
  <c r="U218" i="2" s="1"/>
  <c r="S246" i="2"/>
  <c r="T246" i="2" s="1"/>
  <c r="U246" i="2" s="1"/>
  <c r="S213" i="2"/>
  <c r="T213" i="2" s="1"/>
  <c r="U213" i="2" s="1"/>
  <c r="S216" i="2"/>
  <c r="T216" i="2" s="1"/>
  <c r="U216" i="2" s="1"/>
  <c r="S219" i="2"/>
  <c r="T219" i="2" s="1"/>
  <c r="U219" i="2" s="1"/>
  <c r="S222" i="2"/>
  <c r="T222" i="2" s="1"/>
  <c r="U222" i="2" s="1"/>
  <c r="S227" i="2"/>
  <c r="T227" i="2" s="1"/>
  <c r="U227" i="2" s="1"/>
  <c r="S230" i="2"/>
  <c r="T230" i="2" s="1"/>
  <c r="U230" i="2" s="1"/>
  <c r="S235" i="2"/>
  <c r="T235" i="2" s="1"/>
  <c r="U235" i="2" s="1"/>
  <c r="S238" i="2"/>
  <c r="T238" i="2" s="1"/>
  <c r="U238" i="2" s="1"/>
  <c r="S241" i="2"/>
  <c r="T241" i="2" s="1"/>
  <c r="U241" i="2" s="1"/>
  <c r="S244" i="2"/>
  <c r="T244" i="2" s="1"/>
  <c r="U244" i="2" s="1"/>
  <c r="S247" i="2"/>
  <c r="T247" i="2" s="1"/>
  <c r="U247" i="2" s="1"/>
  <c r="S250" i="2"/>
  <c r="T250" i="2" s="1"/>
  <c r="U250" i="2" s="1"/>
  <c r="S232" i="2"/>
  <c r="T232" i="2" s="1"/>
  <c r="U232" i="2" s="1"/>
  <c r="N211" i="2"/>
  <c r="S211" i="2" s="1"/>
  <c r="T211" i="2" s="1"/>
  <c r="U211" i="2" s="1"/>
  <c r="S215" i="2"/>
  <c r="T215" i="2" s="1"/>
  <c r="U215" i="2" s="1"/>
  <c r="S221" i="2"/>
  <c r="T221" i="2" s="1"/>
  <c r="U221" i="2" s="1"/>
  <c r="S226" i="2"/>
  <c r="T226" i="2" s="1"/>
  <c r="U226" i="2" s="1"/>
  <c r="S229" i="2"/>
  <c r="T229" i="2" s="1"/>
  <c r="U229" i="2" s="1"/>
  <c r="S234" i="2"/>
  <c r="T234" i="2" s="1"/>
  <c r="U234" i="2" s="1"/>
  <c r="S237" i="2"/>
  <c r="T237" i="2" s="1"/>
  <c r="U237" i="2" s="1"/>
  <c r="S240" i="2"/>
  <c r="T240" i="2" s="1"/>
  <c r="U240" i="2" s="1"/>
  <c r="S243" i="2"/>
  <c r="T243" i="2" s="1"/>
  <c r="U243" i="2" s="1"/>
  <c r="S249" i="2"/>
  <c r="T249" i="2" s="1"/>
  <c r="U249" i="2" s="1"/>
  <c r="S183" i="2"/>
  <c r="T183" i="2" s="1"/>
  <c r="U183" i="2" s="1"/>
  <c r="S178" i="2"/>
  <c r="T178" i="2" s="1"/>
  <c r="U178" i="2" s="1"/>
  <c r="S189" i="2"/>
  <c r="T189" i="2" s="1"/>
  <c r="U189" i="2" s="1"/>
  <c r="S192" i="2"/>
  <c r="T192" i="2" s="1"/>
  <c r="U192" i="2" s="1"/>
  <c r="S198" i="2"/>
  <c r="T198" i="2" s="1"/>
  <c r="U198" i="2" s="1"/>
  <c r="S173" i="2"/>
  <c r="T173" i="2" s="1"/>
  <c r="U173" i="2" s="1"/>
  <c r="S181" i="2"/>
  <c r="T181" i="2" s="1"/>
  <c r="U181" i="2" s="1"/>
  <c r="S167" i="2"/>
  <c r="T167" i="2" s="1"/>
  <c r="U167" i="2" s="1"/>
  <c r="S164" i="2"/>
  <c r="T164" i="2" s="1"/>
  <c r="U164" i="2" s="1"/>
  <c r="S163" i="2"/>
  <c r="T163" i="2" s="1"/>
  <c r="U163" i="2" s="1"/>
  <c r="S166" i="2"/>
  <c r="T166" i="2" s="1"/>
  <c r="U166" i="2" s="1"/>
  <c r="S169" i="2"/>
  <c r="T169" i="2" s="1"/>
  <c r="U169" i="2" s="1"/>
  <c r="S172" i="2"/>
  <c r="T172" i="2" s="1"/>
  <c r="U172" i="2" s="1"/>
  <c r="S177" i="2"/>
  <c r="T177" i="2" s="1"/>
  <c r="U177" i="2" s="1"/>
  <c r="S180" i="2"/>
  <c r="T180" i="2" s="1"/>
  <c r="U180" i="2" s="1"/>
  <c r="S185" i="2"/>
  <c r="T185" i="2" s="1"/>
  <c r="U185" i="2" s="1"/>
  <c r="S188" i="2"/>
  <c r="T188" i="2" s="1"/>
  <c r="U188" i="2" s="1"/>
  <c r="S191" i="2"/>
  <c r="T191" i="2" s="1"/>
  <c r="U191" i="2" s="1"/>
  <c r="S194" i="2"/>
  <c r="T194" i="2" s="1"/>
  <c r="U194" i="2" s="1"/>
  <c r="S197" i="2"/>
  <c r="T197" i="2" s="1"/>
  <c r="U197" i="2" s="1"/>
  <c r="S200" i="2"/>
  <c r="T200" i="2" s="1"/>
  <c r="U200" i="2" s="1"/>
  <c r="N161" i="2"/>
  <c r="S161" i="2" s="1"/>
  <c r="T161" i="2" s="1"/>
  <c r="U161" i="2" s="1"/>
  <c r="S175" i="2"/>
  <c r="T175" i="2" s="1"/>
  <c r="U175" i="2" s="1"/>
  <c r="S170" i="2"/>
  <c r="T170" i="2" s="1"/>
  <c r="U170" i="2" s="1"/>
  <c r="S186" i="2"/>
  <c r="T186" i="2" s="1"/>
  <c r="U186" i="2" s="1"/>
  <c r="S195" i="2"/>
  <c r="T195" i="2" s="1"/>
  <c r="U195" i="2" s="1"/>
  <c r="S162" i="2"/>
  <c r="T162" i="2" s="1"/>
  <c r="U162" i="2" s="1"/>
  <c r="S165" i="2"/>
  <c r="T165" i="2" s="1"/>
  <c r="U165" i="2" s="1"/>
  <c r="S168" i="2"/>
  <c r="T168" i="2" s="1"/>
  <c r="U168" i="2" s="1"/>
  <c r="S171" i="2"/>
  <c r="T171" i="2" s="1"/>
  <c r="U171" i="2" s="1"/>
  <c r="S176" i="2"/>
  <c r="T176" i="2" s="1"/>
  <c r="U176" i="2" s="1"/>
  <c r="S179" i="2"/>
  <c r="T179" i="2" s="1"/>
  <c r="U179" i="2" s="1"/>
  <c r="S184" i="2"/>
  <c r="T184" i="2" s="1"/>
  <c r="U184" i="2" s="1"/>
  <c r="S187" i="2"/>
  <c r="T187" i="2" s="1"/>
  <c r="U187" i="2" s="1"/>
  <c r="S190" i="2"/>
  <c r="T190" i="2" s="1"/>
  <c r="U190" i="2" s="1"/>
  <c r="S193" i="2"/>
  <c r="T193" i="2" s="1"/>
  <c r="U193" i="2" s="1"/>
  <c r="S196" i="2"/>
  <c r="T196" i="2" s="1"/>
  <c r="U196" i="2" s="1"/>
  <c r="S199" i="2"/>
  <c r="T199" i="2" s="1"/>
  <c r="U199" i="2" s="1"/>
  <c r="S174" i="2"/>
  <c r="T174" i="2" s="1"/>
  <c r="U174" i="2" s="1"/>
  <c r="S124" i="2"/>
  <c r="T124" i="2" s="1"/>
  <c r="U124" i="2" s="1"/>
  <c r="S132" i="2"/>
  <c r="T132" i="2" s="1"/>
  <c r="U132" i="2" s="1"/>
  <c r="N111" i="2"/>
  <c r="S111" i="2" s="1"/>
  <c r="T111" i="2" s="1"/>
  <c r="U111" i="2" s="1"/>
  <c r="S113" i="2"/>
  <c r="T113" i="2" s="1"/>
  <c r="U113" i="2" s="1"/>
  <c r="S119" i="2"/>
  <c r="T119" i="2" s="1"/>
  <c r="U119" i="2" s="1"/>
  <c r="S130" i="2"/>
  <c r="T130" i="2" s="1"/>
  <c r="U130" i="2" s="1"/>
  <c r="S135" i="2"/>
  <c r="T135" i="2" s="1"/>
  <c r="U135" i="2" s="1"/>
  <c r="S141" i="2"/>
  <c r="T141" i="2" s="1"/>
  <c r="U141" i="2" s="1"/>
  <c r="S147" i="2"/>
  <c r="T147" i="2" s="1"/>
  <c r="U147" i="2" s="1"/>
  <c r="S125" i="2"/>
  <c r="T125" i="2" s="1"/>
  <c r="U125" i="2" s="1"/>
  <c r="S133" i="2"/>
  <c r="T133" i="2" s="1"/>
  <c r="U133" i="2" s="1"/>
  <c r="S148" i="2"/>
  <c r="T148" i="2" s="1"/>
  <c r="U148" i="2" s="1"/>
  <c r="S116" i="2"/>
  <c r="T116" i="2" s="1"/>
  <c r="U116" i="2" s="1"/>
  <c r="S122" i="2"/>
  <c r="T122" i="2" s="1"/>
  <c r="U122" i="2" s="1"/>
  <c r="S127" i="2"/>
  <c r="T127" i="2" s="1"/>
  <c r="U127" i="2" s="1"/>
  <c r="S138" i="2"/>
  <c r="T138" i="2" s="1"/>
  <c r="U138" i="2" s="1"/>
  <c r="S144" i="2"/>
  <c r="T144" i="2" s="1"/>
  <c r="U144" i="2" s="1"/>
  <c r="S114" i="2"/>
  <c r="T114" i="2" s="1"/>
  <c r="U114" i="2" s="1"/>
  <c r="S117" i="2"/>
  <c r="T117" i="2" s="1"/>
  <c r="U117" i="2" s="1"/>
  <c r="S120" i="2"/>
  <c r="T120" i="2" s="1"/>
  <c r="U120" i="2" s="1"/>
  <c r="S128" i="2"/>
  <c r="T128" i="2" s="1"/>
  <c r="U128" i="2" s="1"/>
  <c r="S136" i="2"/>
  <c r="T136" i="2" s="1"/>
  <c r="U136" i="2" s="1"/>
  <c r="S139" i="2"/>
  <c r="T139" i="2" s="1"/>
  <c r="U139" i="2" s="1"/>
  <c r="S142" i="2"/>
  <c r="T142" i="2" s="1"/>
  <c r="U142" i="2" s="1"/>
  <c r="S145" i="2"/>
  <c r="T145" i="2" s="1"/>
  <c r="U145" i="2" s="1"/>
  <c r="S123" i="2"/>
  <c r="T123" i="2" s="1"/>
  <c r="U123" i="2" s="1"/>
  <c r="S131" i="2"/>
  <c r="T131" i="2" s="1"/>
  <c r="U131" i="2" s="1"/>
  <c r="S112" i="2"/>
  <c r="T112" i="2" s="1"/>
  <c r="U112" i="2" s="1"/>
  <c r="S115" i="2"/>
  <c r="T115" i="2" s="1"/>
  <c r="U115" i="2" s="1"/>
  <c r="S118" i="2"/>
  <c r="T118" i="2" s="1"/>
  <c r="U118" i="2" s="1"/>
  <c r="S121" i="2"/>
  <c r="T121" i="2" s="1"/>
  <c r="U121" i="2" s="1"/>
  <c r="S126" i="2"/>
  <c r="T126" i="2" s="1"/>
  <c r="U126" i="2" s="1"/>
  <c r="S129" i="2"/>
  <c r="T129" i="2" s="1"/>
  <c r="U129" i="2" s="1"/>
  <c r="S134" i="2"/>
  <c r="T134" i="2" s="1"/>
  <c r="U134" i="2" s="1"/>
  <c r="S137" i="2"/>
  <c r="T137" i="2" s="1"/>
  <c r="U137" i="2" s="1"/>
  <c r="S140" i="2"/>
  <c r="T140" i="2" s="1"/>
  <c r="U140" i="2" s="1"/>
  <c r="S143" i="2"/>
  <c r="T143" i="2" s="1"/>
  <c r="U143" i="2" s="1"/>
  <c r="S146" i="2"/>
  <c r="T146" i="2" s="1"/>
  <c r="U146" i="2" s="1"/>
  <c r="S149" i="2"/>
  <c r="T149" i="2" s="1"/>
  <c r="U149" i="2" s="1"/>
  <c r="Q62" i="2"/>
  <c r="Q63" i="2"/>
  <c r="Q64" i="2"/>
  <c r="Q65" i="2"/>
  <c r="Q66" i="2"/>
  <c r="Q67" i="2"/>
  <c r="Q68" i="2"/>
  <c r="Q69" i="2"/>
  <c r="Q70" i="2"/>
  <c r="Q71" i="2"/>
  <c r="Q72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61" i="2"/>
  <c r="N61" i="2" a="1"/>
  <c r="N61" i="2" s="1"/>
  <c r="Q12" i="2"/>
  <c r="Q13" i="2"/>
  <c r="Q14" i="2"/>
  <c r="Q15" i="2"/>
  <c r="Q16" i="2"/>
  <c r="Q17" i="2"/>
  <c r="Q18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11" i="2"/>
  <c r="F19" i="6"/>
  <c r="F20" i="6"/>
  <c r="F21" i="6"/>
  <c r="F22" i="6"/>
  <c r="F23" i="6"/>
  <c r="F24" i="6"/>
  <c r="F25" i="6"/>
  <c r="F26" i="6"/>
  <c r="F27" i="6"/>
  <c r="F28" i="6"/>
  <c r="F29" i="6"/>
  <c r="F18" i="6"/>
  <c r="E12" i="6"/>
  <c r="E13" i="6"/>
  <c r="E14" i="6"/>
  <c r="E15" i="6"/>
  <c r="E16" i="6"/>
  <c r="E17" i="6"/>
  <c r="E19" i="6"/>
  <c r="E20" i="6"/>
  <c r="E21" i="6"/>
  <c r="E22" i="6"/>
  <c r="E23" i="6"/>
  <c r="E24" i="6"/>
  <c r="E25" i="6"/>
  <c r="E26" i="6"/>
  <c r="E27" i="6"/>
  <c r="E28" i="6"/>
  <c r="E29" i="6"/>
  <c r="E18" i="6"/>
  <c r="N11" i="2" a="1"/>
  <c r="N11" i="2" s="1"/>
  <c r="L84" i="2"/>
  <c r="L83" i="2"/>
  <c r="L82" i="2"/>
  <c r="L81" i="2"/>
  <c r="L76" i="2"/>
  <c r="L75" i="2"/>
  <c r="L74" i="2"/>
  <c r="L73" i="2"/>
  <c r="P61" i="2" a="1"/>
  <c r="P61" i="2" s="1"/>
  <c r="P11" i="2" a="1"/>
  <c r="P11" i="2" s="1"/>
  <c r="V771" i="2" l="1"/>
  <c r="V711" i="2"/>
  <c r="V561" i="2"/>
  <c r="V461" i="2"/>
  <c r="V411" i="2"/>
  <c r="V661" i="2"/>
  <c r="V611" i="2"/>
  <c r="V511" i="2"/>
  <c r="V261" i="2"/>
  <c r="V161" i="2"/>
  <c r="V361" i="2"/>
  <c r="V311" i="2"/>
  <c r="V211" i="2"/>
  <c r="V111" i="2"/>
  <c r="S78" i="2"/>
  <c r="T78" i="2" s="1"/>
  <c r="U78" i="2" s="1"/>
  <c r="S83" i="2"/>
  <c r="T83" i="2" s="1"/>
  <c r="U83" i="2" s="1"/>
  <c r="S79" i="2"/>
  <c r="T79" i="2" s="1"/>
  <c r="U79" i="2" s="1"/>
  <c r="S66" i="2"/>
  <c r="T66" i="2" s="1"/>
  <c r="U66" i="2" s="1"/>
  <c r="S84" i="2"/>
  <c r="T84" i="2" s="1"/>
  <c r="U84" i="2" s="1"/>
  <c r="S90" i="2"/>
  <c r="T90" i="2" s="1"/>
  <c r="U90" i="2" s="1"/>
  <c r="S62" i="2"/>
  <c r="T62" i="2" s="1"/>
  <c r="U62" i="2" s="1"/>
  <c r="S65" i="2"/>
  <c r="T65" i="2" s="1"/>
  <c r="U65" i="2" s="1"/>
  <c r="S68" i="2"/>
  <c r="T68" i="2" s="1"/>
  <c r="U68" i="2" s="1"/>
  <c r="S71" i="2"/>
  <c r="T71" i="2" s="1"/>
  <c r="U71" i="2" s="1"/>
  <c r="S76" i="2"/>
  <c r="T76" i="2" s="1"/>
  <c r="U76" i="2" s="1"/>
  <c r="S86" i="2"/>
  <c r="T86" i="2" s="1"/>
  <c r="U86" i="2" s="1"/>
  <c r="S89" i="2"/>
  <c r="T89" i="2" s="1"/>
  <c r="U89" i="2" s="1"/>
  <c r="S92" i="2"/>
  <c r="T92" i="2" s="1"/>
  <c r="U92" i="2" s="1"/>
  <c r="S95" i="2"/>
  <c r="T95" i="2" s="1"/>
  <c r="U95" i="2" s="1"/>
  <c r="S98" i="2"/>
  <c r="T98" i="2" s="1"/>
  <c r="U98" i="2" s="1"/>
  <c r="S81" i="2"/>
  <c r="T81" i="2" s="1"/>
  <c r="U81" i="2" s="1"/>
  <c r="S74" i="2"/>
  <c r="T74" i="2" s="1"/>
  <c r="U74" i="2" s="1"/>
  <c r="S96" i="2"/>
  <c r="T96" i="2" s="1"/>
  <c r="U96" i="2" s="1"/>
  <c r="S99" i="2"/>
  <c r="T99" i="2" s="1"/>
  <c r="U99" i="2" s="1"/>
  <c r="S64" i="2"/>
  <c r="T64" i="2" s="1"/>
  <c r="U64" i="2" s="1"/>
  <c r="S67" i="2"/>
  <c r="T67" i="2" s="1"/>
  <c r="U67" i="2" s="1"/>
  <c r="S70" i="2"/>
  <c r="T70" i="2" s="1"/>
  <c r="U70" i="2" s="1"/>
  <c r="S80" i="2"/>
  <c r="T80" i="2" s="1"/>
  <c r="U80" i="2" s="1"/>
  <c r="S85" i="2"/>
  <c r="T85" i="2" s="1"/>
  <c r="U85" i="2" s="1"/>
  <c r="S88" i="2"/>
  <c r="T88" i="2" s="1"/>
  <c r="U88" i="2" s="1"/>
  <c r="S91" i="2"/>
  <c r="T91" i="2" s="1"/>
  <c r="U91" i="2" s="1"/>
  <c r="S94" i="2"/>
  <c r="T94" i="2" s="1"/>
  <c r="U94" i="2" s="1"/>
  <c r="S97" i="2"/>
  <c r="T97" i="2" s="1"/>
  <c r="U97" i="2" s="1"/>
  <c r="S100" i="2"/>
  <c r="T100" i="2" s="1"/>
  <c r="U100" i="2" s="1"/>
  <c r="S61" i="2"/>
  <c r="T61" i="2" s="1"/>
  <c r="U61" i="2" s="1"/>
  <c r="S63" i="2"/>
  <c r="T63" i="2" s="1"/>
  <c r="U63" i="2" s="1"/>
  <c r="S72" i="2"/>
  <c r="T72" i="2" s="1"/>
  <c r="U72" i="2" s="1"/>
  <c r="S87" i="2"/>
  <c r="T87" i="2" s="1"/>
  <c r="U87" i="2" s="1"/>
  <c r="S82" i="2"/>
  <c r="T82" i="2" s="1"/>
  <c r="U82" i="2" s="1"/>
  <c r="S73" i="2"/>
  <c r="T73" i="2" s="1"/>
  <c r="U73" i="2" s="1"/>
  <c r="S69" i="2"/>
  <c r="T69" i="2" s="1"/>
  <c r="U69" i="2" s="1"/>
  <c r="S93" i="2"/>
  <c r="T93" i="2" s="1"/>
  <c r="U93" i="2" s="1"/>
  <c r="S77" i="2"/>
  <c r="T77" i="2" s="1"/>
  <c r="U77" i="2" s="1"/>
  <c r="S75" i="2"/>
  <c r="T75" i="2" s="1"/>
  <c r="U75" i="2" s="1"/>
  <c r="S20" i="2"/>
  <c r="T20" i="2" s="1"/>
  <c r="U20" i="2" s="1"/>
  <c r="S42" i="2"/>
  <c r="T42" i="2" s="1"/>
  <c r="U42" i="2" s="1"/>
  <c r="S38" i="2"/>
  <c r="T38" i="2" s="1"/>
  <c r="U38" i="2" s="1"/>
  <c r="S37" i="2"/>
  <c r="T37" i="2" s="1"/>
  <c r="U37" i="2" s="1"/>
  <c r="S47" i="2"/>
  <c r="T47" i="2" s="1"/>
  <c r="U47" i="2" s="1"/>
  <c r="S35" i="2"/>
  <c r="T35" i="2" s="1"/>
  <c r="U35" i="2" s="1"/>
  <c r="S44" i="2"/>
  <c r="T44" i="2" s="1"/>
  <c r="U44" i="2" s="1"/>
  <c r="S19" i="2"/>
  <c r="T19" i="2" s="1"/>
  <c r="U19" i="2" s="1"/>
  <c r="S18" i="2"/>
  <c r="T18" i="2" s="1"/>
  <c r="U18" i="2" s="1"/>
  <c r="S17" i="2"/>
  <c r="T17" i="2" s="1"/>
  <c r="U17" i="2" s="1"/>
  <c r="S40" i="2"/>
  <c r="T40" i="2" s="1"/>
  <c r="U40" i="2" s="1"/>
  <c r="S16" i="2"/>
  <c r="T16" i="2" s="1"/>
  <c r="U16" i="2" s="1"/>
  <c r="S15" i="2"/>
  <c r="T15" i="2" s="1"/>
  <c r="U15" i="2" s="1"/>
  <c r="S14" i="2"/>
  <c r="T14" i="2" s="1"/>
  <c r="U14" i="2" s="1"/>
  <c r="S49" i="2"/>
  <c r="T49" i="2" s="1"/>
  <c r="U49" i="2" s="1"/>
  <c r="S46" i="2"/>
  <c r="T46" i="2" s="1"/>
  <c r="U46" i="2" s="1"/>
  <c r="S22" i="2"/>
  <c r="T22" i="2" s="1"/>
  <c r="U22" i="2" s="1"/>
  <c r="S43" i="2"/>
  <c r="T43" i="2" s="1"/>
  <c r="U43" i="2" s="1"/>
  <c r="S41" i="2"/>
  <c r="T41" i="2" s="1"/>
  <c r="U41" i="2" s="1"/>
  <c r="S39" i="2"/>
  <c r="T39" i="2" s="1"/>
  <c r="U39" i="2" s="1"/>
  <c r="S50" i="2"/>
  <c r="T50" i="2" s="1"/>
  <c r="U50" i="2" s="1"/>
  <c r="S13" i="2"/>
  <c r="T13" i="2" s="1"/>
  <c r="U13" i="2" s="1"/>
  <c r="S48" i="2"/>
  <c r="T48" i="2" s="1"/>
  <c r="U48" i="2" s="1"/>
  <c r="S36" i="2"/>
  <c r="T36" i="2" s="1"/>
  <c r="U36" i="2" s="1"/>
  <c r="S12" i="2"/>
  <c r="T12" i="2" s="1"/>
  <c r="U12" i="2" s="1"/>
  <c r="S45" i="2"/>
  <c r="T45" i="2" s="1"/>
  <c r="U45" i="2" s="1"/>
  <c r="S21" i="2"/>
  <c r="T21" i="2" s="1"/>
  <c r="U21" i="2" s="1"/>
  <c r="V61" i="2" l="1"/>
  <c r="L34" i="2" l="1"/>
  <c r="L33" i="2"/>
  <c r="L32" i="2"/>
  <c r="L31" i="2"/>
  <c r="L26" i="2"/>
  <c r="L25" i="2"/>
  <c r="L24" i="2"/>
  <c r="L23" i="2"/>
  <c r="S24" i="2" l="1"/>
  <c r="T24" i="2" s="1"/>
  <c r="U24" i="2" s="1"/>
  <c r="S26" i="2"/>
  <c r="T26" i="2" s="1"/>
  <c r="U26" i="2" s="1"/>
  <c r="S30" i="2"/>
  <c r="T30" i="2" s="1"/>
  <c r="U30" i="2" s="1"/>
  <c r="S25" i="2"/>
  <c r="T25" i="2" s="1"/>
  <c r="U25" i="2" s="1"/>
  <c r="S27" i="2"/>
  <c r="T27" i="2" s="1"/>
  <c r="U27" i="2" s="1"/>
  <c r="S28" i="2"/>
  <c r="T28" i="2" s="1"/>
  <c r="U28" i="2" s="1"/>
  <c r="S29" i="2"/>
  <c r="T29" i="2" s="1"/>
  <c r="U29" i="2" s="1"/>
  <c r="S31" i="2"/>
  <c r="T31" i="2" s="1"/>
  <c r="U31" i="2" s="1"/>
  <c r="S32" i="2"/>
  <c r="T32" i="2" s="1"/>
  <c r="U32" i="2" s="1"/>
  <c r="S33" i="2"/>
  <c r="T33" i="2" s="1"/>
  <c r="U33" i="2" s="1"/>
  <c r="S34" i="2"/>
  <c r="T34" i="2" s="1"/>
  <c r="U34" i="2" s="1"/>
  <c r="S23" i="2"/>
  <c r="T23" i="2" s="1"/>
  <c r="U23" i="2" s="1"/>
  <c r="AC180" i="1"/>
  <c r="AB180" i="1" s="1"/>
  <c r="Z180" i="1"/>
  <c r="Y180" i="1"/>
  <c r="P180" i="1" a="1"/>
  <c r="P180" i="1" s="1"/>
  <c r="Q180" i="1" s="1"/>
  <c r="AC179" i="1"/>
  <c r="AB179" i="1"/>
  <c r="Z179" i="1"/>
  <c r="Y179" i="1"/>
  <c r="P179" i="1" a="1"/>
  <c r="P179" i="1" s="1"/>
  <c r="Q179" i="1" s="1"/>
  <c r="AJ178" i="1"/>
  <c r="AI178" i="1"/>
  <c r="AC178" i="1"/>
  <c r="AB178" i="1"/>
  <c r="Z178" i="1"/>
  <c r="Y178" i="1"/>
  <c r="P178" i="1" a="1"/>
  <c r="P178" i="1" s="1"/>
  <c r="Q178" i="1" s="1"/>
  <c r="AC177" i="1"/>
  <c r="AB177" i="1"/>
  <c r="Z177" i="1"/>
  <c r="Y177" i="1"/>
  <c r="P177" i="1" a="1"/>
  <c r="P177" i="1" s="1"/>
  <c r="Q177" i="1" s="1"/>
  <c r="AI176" i="1"/>
  <c r="AJ176" i="1" s="1"/>
  <c r="AC176" i="1"/>
  <c r="AB176" i="1"/>
  <c r="Z176" i="1"/>
  <c r="Y176" i="1"/>
  <c r="P176" i="1" a="1"/>
  <c r="P176" i="1" s="1"/>
  <c r="Q176" i="1" s="1"/>
  <c r="AC175" i="1"/>
  <c r="AB175" i="1"/>
  <c r="Z175" i="1"/>
  <c r="AI175" i="1" s="1"/>
  <c r="AJ175" i="1" s="1"/>
  <c r="Y175" i="1"/>
  <c r="P175" i="1" a="1"/>
  <c r="P175" i="1" s="1"/>
  <c r="Q175" i="1" s="1"/>
  <c r="AC174" i="1"/>
  <c r="AI174" i="1" s="1"/>
  <c r="AJ174" i="1" s="1"/>
  <c r="Z174" i="1"/>
  <c r="Y174" i="1"/>
  <c r="P174" i="1" a="1"/>
  <c r="P174" i="1" s="1"/>
  <c r="Q174" i="1" s="1"/>
  <c r="AC173" i="1"/>
  <c r="AB173" i="1"/>
  <c r="Z173" i="1"/>
  <c r="Y173" i="1"/>
  <c r="P173" i="1" a="1"/>
  <c r="P173" i="1" s="1"/>
  <c r="Q173" i="1" s="1"/>
  <c r="AC172" i="1"/>
  <c r="Z172" i="1"/>
  <c r="Y172" i="1"/>
  <c r="P172" i="1" a="1"/>
  <c r="P172" i="1" s="1"/>
  <c r="Q172" i="1" s="1"/>
  <c r="AC171" i="1"/>
  <c r="Z171" i="1"/>
  <c r="Y171" i="1"/>
  <c r="P171" i="1" a="1"/>
  <c r="P171" i="1" s="1"/>
  <c r="Q171" i="1" s="1"/>
  <c r="AC170" i="1"/>
  <c r="Z170" i="1"/>
  <c r="Y170" i="1"/>
  <c r="P170" i="1" a="1"/>
  <c r="P170" i="1" s="1"/>
  <c r="Q170" i="1" s="1"/>
  <c r="AJ169" i="1"/>
  <c r="AI169" i="1"/>
  <c r="AC169" i="1"/>
  <c r="AB169" i="1" s="1"/>
  <c r="Z169" i="1"/>
  <c r="Y169" i="1"/>
  <c r="P169" i="1" a="1"/>
  <c r="P169" i="1" s="1"/>
  <c r="Q169" i="1" s="1"/>
  <c r="AC168" i="1"/>
  <c r="AB168" i="1" s="1"/>
  <c r="Z168" i="1"/>
  <c r="Y168" i="1"/>
  <c r="P168" i="1" a="1"/>
  <c r="P168" i="1" s="1"/>
  <c r="Q168" i="1" s="1"/>
  <c r="AI167" i="1"/>
  <c r="AJ167" i="1" s="1"/>
  <c r="AC167" i="1"/>
  <c r="AB167" i="1"/>
  <c r="Z167" i="1"/>
  <c r="Y167" i="1"/>
  <c r="P167" i="1" a="1"/>
  <c r="P167" i="1" s="1"/>
  <c r="Q167" i="1" s="1"/>
  <c r="AC166" i="1"/>
  <c r="AI166" i="1" s="1"/>
  <c r="AJ166" i="1" s="1"/>
  <c r="AB166" i="1"/>
  <c r="Z166" i="1"/>
  <c r="Y166" i="1"/>
  <c r="W166" i="1"/>
  <c r="P166" i="1" a="1"/>
  <c r="P166" i="1" s="1"/>
  <c r="Q166" i="1" s="1"/>
  <c r="AA166" i="1" s="1"/>
  <c r="AC165" i="1"/>
  <c r="AB165" i="1"/>
  <c r="Z165" i="1"/>
  <c r="AI165" i="1" s="1"/>
  <c r="AJ165" i="1" s="1"/>
  <c r="Y165" i="1"/>
  <c r="W165" i="1"/>
  <c r="P165" i="1" a="1"/>
  <c r="P165" i="1" s="1"/>
  <c r="Q165" i="1" s="1"/>
  <c r="AA165" i="1" s="1"/>
  <c r="Z164" i="1"/>
  <c r="Y164" i="1"/>
  <c r="V164" i="1"/>
  <c r="AC164" i="1" s="1"/>
  <c r="T164" i="1"/>
  <c r="P164" i="1" a="1"/>
  <c r="P164" i="1" s="1"/>
  <c r="Q164" i="1" s="1"/>
  <c r="Z163" i="1"/>
  <c r="Y163" i="1"/>
  <c r="T163" i="1"/>
  <c r="V163" i="1" s="1"/>
  <c r="AC163" i="1" s="1"/>
  <c r="P163" i="1" a="1"/>
  <c r="P163" i="1" s="1"/>
  <c r="Q163" i="1" s="1"/>
  <c r="AC162" i="1"/>
  <c r="Z162" i="1"/>
  <c r="X162" i="1"/>
  <c r="V162" i="1"/>
  <c r="T162" i="1"/>
  <c r="Y162" i="1" s="1"/>
  <c r="P162" i="1" a="1"/>
  <c r="P162" i="1" s="1"/>
  <c r="Q162" i="1" s="1"/>
  <c r="AB161" i="1"/>
  <c r="Z161" i="1"/>
  <c r="Y161" i="1"/>
  <c r="X161" i="1"/>
  <c r="T161" i="1"/>
  <c r="V161" i="1" s="1"/>
  <c r="AC161" i="1" s="1"/>
  <c r="P161" i="1" a="1"/>
  <c r="P161" i="1" s="1"/>
  <c r="Q161" i="1" s="1"/>
  <c r="Z160" i="1"/>
  <c r="V160" i="1"/>
  <c r="T160" i="1"/>
  <c r="Y160" i="1" s="1"/>
  <c r="P160" i="1" a="1"/>
  <c r="P160" i="1" s="1"/>
  <c r="Q160" i="1" s="1"/>
  <c r="Z159" i="1"/>
  <c r="T159" i="1"/>
  <c r="V159" i="1" s="1"/>
  <c r="P159" i="1" a="1"/>
  <c r="P159" i="1" s="1"/>
  <c r="Q159" i="1" s="1"/>
  <c r="Z158" i="1"/>
  <c r="X158" i="1"/>
  <c r="V158" i="1"/>
  <c r="T158" i="1"/>
  <c r="Y158" i="1" s="1"/>
  <c r="P158" i="1" a="1"/>
  <c r="P158" i="1" s="1"/>
  <c r="Q158" i="1" s="1"/>
  <c r="Z157" i="1"/>
  <c r="X157" i="1"/>
  <c r="T157" i="1"/>
  <c r="P157" i="1" a="1"/>
  <c r="P157" i="1" s="1"/>
  <c r="Q157" i="1" s="1"/>
  <c r="O157" i="1" a="1"/>
  <c r="AC156" i="1"/>
  <c r="AB156" i="1"/>
  <c r="Z156" i="1"/>
  <c r="Y156" i="1"/>
  <c r="P156" i="1" a="1"/>
  <c r="P156" i="1" s="1"/>
  <c r="Q156" i="1" s="1"/>
  <c r="AI155" i="1"/>
  <c r="AJ155" i="1" s="1"/>
  <c r="AC155" i="1"/>
  <c r="Z155" i="1"/>
  <c r="Y155" i="1"/>
  <c r="P155" i="1" a="1"/>
  <c r="P155" i="1" s="1"/>
  <c r="Q155" i="1" s="1"/>
  <c r="AC154" i="1"/>
  <c r="AB154" i="1"/>
  <c r="Z154" i="1"/>
  <c r="Y154" i="1"/>
  <c r="P154" i="1" a="1"/>
  <c r="P154" i="1" s="1"/>
  <c r="Q154" i="1" s="1"/>
  <c r="AA154" i="1" s="1"/>
  <c r="AI153" i="1"/>
  <c r="AJ153" i="1" s="1"/>
  <c r="AC153" i="1"/>
  <c r="Z153" i="1"/>
  <c r="Y153" i="1"/>
  <c r="P153" i="1" a="1"/>
  <c r="P153" i="1" s="1"/>
  <c r="Q153" i="1" s="1"/>
  <c r="AJ152" i="1"/>
  <c r="AC152" i="1"/>
  <c r="AB152" i="1"/>
  <c r="Z152" i="1"/>
  <c r="AI152" i="1" s="1"/>
  <c r="Y152" i="1"/>
  <c r="P152" i="1" a="1"/>
  <c r="P152" i="1" s="1"/>
  <c r="Q152" i="1" s="1"/>
  <c r="AI151" i="1"/>
  <c r="AJ151" i="1" s="1"/>
  <c r="AC151" i="1"/>
  <c r="AB151" i="1" s="1"/>
  <c r="Z151" i="1"/>
  <c r="Y151" i="1"/>
  <c r="P151" i="1" a="1"/>
  <c r="P151" i="1" s="1"/>
  <c r="Q151" i="1" s="1"/>
  <c r="AI150" i="1"/>
  <c r="AJ150" i="1" s="1"/>
  <c r="AC150" i="1"/>
  <c r="AB150" i="1"/>
  <c r="Z150" i="1"/>
  <c r="Y150" i="1"/>
  <c r="W150" i="1"/>
  <c r="P150" i="1" a="1"/>
  <c r="P150" i="1" s="1"/>
  <c r="Q150" i="1" s="1"/>
  <c r="AC149" i="1"/>
  <c r="Z149" i="1"/>
  <c r="Y149" i="1"/>
  <c r="W149" i="1"/>
  <c r="P149" i="1" a="1"/>
  <c r="P149" i="1" s="1"/>
  <c r="Q149" i="1" s="1"/>
  <c r="AI148" i="1"/>
  <c r="AJ148" i="1" s="1"/>
  <c r="AC148" i="1"/>
  <c r="AB148" i="1"/>
  <c r="Z148" i="1"/>
  <c r="Y148" i="1"/>
  <c r="P148" i="1" a="1"/>
  <c r="P148" i="1" s="1"/>
  <c r="Q148" i="1" s="1"/>
  <c r="AC147" i="1"/>
  <c r="AB147" i="1" s="1"/>
  <c r="Z147" i="1"/>
  <c r="Y147" i="1"/>
  <c r="P147" i="1" a="1"/>
  <c r="P147" i="1" s="1"/>
  <c r="Q147" i="1" s="1"/>
  <c r="AJ146" i="1"/>
  <c r="AC146" i="1"/>
  <c r="AB146" i="1"/>
  <c r="Z146" i="1"/>
  <c r="AI146" i="1" s="1"/>
  <c r="Y146" i="1"/>
  <c r="P146" i="1" a="1"/>
  <c r="P146" i="1" s="1"/>
  <c r="Q146" i="1" s="1"/>
  <c r="AC145" i="1"/>
  <c r="Z145" i="1"/>
  <c r="Y145" i="1"/>
  <c r="P145" i="1" a="1"/>
  <c r="P145" i="1" s="1"/>
  <c r="Q145" i="1" s="1"/>
  <c r="AC144" i="1"/>
  <c r="AB144" i="1"/>
  <c r="Z144" i="1"/>
  <c r="Y144" i="1"/>
  <c r="P144" i="1" a="1"/>
  <c r="P144" i="1" s="1"/>
  <c r="Q144" i="1" s="1"/>
  <c r="AC143" i="1"/>
  <c r="Z143" i="1"/>
  <c r="Y143" i="1"/>
  <c r="P143" i="1" a="1"/>
  <c r="P143" i="1" s="1"/>
  <c r="Q143" i="1" s="1"/>
  <c r="AC142" i="1"/>
  <c r="AB142" i="1" s="1"/>
  <c r="Z142" i="1"/>
  <c r="Y142" i="1"/>
  <c r="W142" i="1"/>
  <c r="P142" i="1" a="1"/>
  <c r="P142" i="1" s="1"/>
  <c r="Q142" i="1" s="1"/>
  <c r="BK141" i="1"/>
  <c r="BJ141" i="1"/>
  <c r="BI141" i="1"/>
  <c r="BG141" i="1"/>
  <c r="BE141" i="1"/>
  <c r="BD141" i="1"/>
  <c r="BA141" i="1"/>
  <c r="AY141" i="1"/>
  <c r="AV141" i="1"/>
  <c r="AU141" i="1"/>
  <c r="AT141" i="1"/>
  <c r="AS141" i="1"/>
  <c r="AR141" i="1"/>
  <c r="AQ141" i="1"/>
  <c r="AP141" i="1"/>
  <c r="AC141" i="1"/>
  <c r="AB141" i="1"/>
  <c r="Z141" i="1"/>
  <c r="Y141" i="1"/>
  <c r="W141" i="1"/>
  <c r="P141" i="1" a="1"/>
  <c r="P141" i="1" s="1"/>
  <c r="Q141" i="1" s="1"/>
  <c r="J141" i="1"/>
  <c r="AC130" i="1"/>
  <c r="Y130" i="1"/>
  <c r="P130" i="1" a="1"/>
  <c r="P130" i="1" s="1"/>
  <c r="Z129" i="1"/>
  <c r="Y129" i="1"/>
  <c r="P129" i="1" a="1"/>
  <c r="P129" i="1" s="1"/>
  <c r="Q129" i="1" s="1"/>
  <c r="AC128" i="1"/>
  <c r="AB128" i="1" s="1"/>
  <c r="Y128" i="1"/>
  <c r="P128" i="1" a="1"/>
  <c r="P128" i="1" s="1"/>
  <c r="AN127" i="1" a="1"/>
  <c r="AN127" i="1" s="1"/>
  <c r="AM127" i="1" a="1"/>
  <c r="Y127" i="1"/>
  <c r="P127" i="1" a="1"/>
  <c r="P127" i="1" s="1"/>
  <c r="O127" i="1" a="1"/>
  <c r="O127" i="1" s="1"/>
  <c r="N127" i="1" a="1"/>
  <c r="N127" i="1" s="1"/>
  <c r="Y126" i="1"/>
  <c r="P126" i="1" a="1"/>
  <c r="P126" i="1" s="1"/>
  <c r="Y125" i="1"/>
  <c r="P125" i="1" a="1"/>
  <c r="P125" i="1" s="1"/>
  <c r="Y124" i="1"/>
  <c r="P124" i="1" a="1"/>
  <c r="P124" i="1" s="1"/>
  <c r="AN123" i="1" a="1"/>
  <c r="AN123" i="1" s="1"/>
  <c r="AM123" i="1" a="1"/>
  <c r="Y123" i="1"/>
  <c r="P123" i="1" a="1"/>
  <c r="P123" i="1" s="1"/>
  <c r="O123" i="1" a="1"/>
  <c r="N123" i="1" a="1"/>
  <c r="AC122" i="1"/>
  <c r="AB122" i="1"/>
  <c r="Y122" i="1"/>
  <c r="P122" i="1" a="1"/>
  <c r="P122" i="1" s="1"/>
  <c r="Y121" i="1"/>
  <c r="P121" i="1" a="1"/>
  <c r="P121" i="1" s="1"/>
  <c r="Q121" i="1" s="1"/>
  <c r="Y120" i="1"/>
  <c r="P120" i="1" a="1"/>
  <c r="P120" i="1" s="1"/>
  <c r="Q120" i="1" s="1"/>
  <c r="AN119" i="1" a="1"/>
  <c r="AN119" i="1" s="1"/>
  <c r="AM119" i="1" a="1"/>
  <c r="Y119" i="1"/>
  <c r="P119" i="1" a="1"/>
  <c r="P119" i="1" s="1"/>
  <c r="O119" i="1" a="1"/>
  <c r="AC120" i="1" s="1"/>
  <c r="N119" i="1" a="1"/>
  <c r="N119" i="1" s="1"/>
  <c r="Y118" i="1"/>
  <c r="P118" i="1" a="1"/>
  <c r="P118" i="1" s="1"/>
  <c r="Y117" i="1"/>
  <c r="T117" i="1"/>
  <c r="P117" i="1" a="1"/>
  <c r="P117" i="1" s="1"/>
  <c r="Q117" i="1" s="1"/>
  <c r="Z116" i="1"/>
  <c r="W116" i="1"/>
  <c r="T116" i="1"/>
  <c r="Y116" i="1" s="1"/>
  <c r="P116" i="1" a="1"/>
  <c r="P116" i="1" s="1"/>
  <c r="Q116" i="1" s="1"/>
  <c r="AN115" i="1" a="1"/>
  <c r="AN115" i="1" s="1"/>
  <c r="AM115" i="1" a="1"/>
  <c r="Z118" i="1" s="1"/>
  <c r="W115" i="1"/>
  <c r="T115" i="1"/>
  <c r="Y115" i="1" s="1"/>
  <c r="P115" i="1" a="1"/>
  <c r="P115" i="1" s="1"/>
  <c r="O115" i="1" a="1"/>
  <c r="O115" i="1" s="1"/>
  <c r="N115" i="1" a="1"/>
  <c r="Z114" i="1"/>
  <c r="U114" i="1"/>
  <c r="T114" i="1"/>
  <c r="Y114" i="1" s="1"/>
  <c r="P114" i="1" a="1"/>
  <c r="P114" i="1" s="1"/>
  <c r="Z113" i="1"/>
  <c r="U113" i="1"/>
  <c r="T113" i="1"/>
  <c r="P113" i="1" a="1"/>
  <c r="P113" i="1" s="1"/>
  <c r="Z112" i="1"/>
  <c r="Y112" i="1"/>
  <c r="X112" i="1"/>
  <c r="U112" i="1"/>
  <c r="T112" i="1"/>
  <c r="V112" i="1" s="1"/>
  <c r="P112" i="1" a="1"/>
  <c r="P112" i="1" s="1"/>
  <c r="AN111" i="1" a="1"/>
  <c r="AN111" i="1" s="1"/>
  <c r="AM111" i="1" a="1"/>
  <c r="AM111" i="1" s="1"/>
  <c r="Z111" i="1" s="1"/>
  <c r="Y111" i="1"/>
  <c r="X111" i="1"/>
  <c r="V111" i="1"/>
  <c r="U111" i="1"/>
  <c r="T111" i="1"/>
  <c r="P111" i="1" a="1"/>
  <c r="P111" i="1" s="1"/>
  <c r="O111" i="1" a="1"/>
  <c r="O111" i="1" s="1"/>
  <c r="N111" i="1" a="1"/>
  <c r="Z110" i="1"/>
  <c r="U110" i="1"/>
  <c r="T110" i="1"/>
  <c r="P110" i="1" a="1"/>
  <c r="P110" i="1" s="1"/>
  <c r="Q110" i="1" s="1"/>
  <c r="AC109" i="1"/>
  <c r="AB109" i="1" s="1"/>
  <c r="Z109" i="1"/>
  <c r="V109" i="1"/>
  <c r="U109" i="1"/>
  <c r="T109" i="1"/>
  <c r="Y109" i="1" s="1"/>
  <c r="P109" i="1" a="1"/>
  <c r="P109" i="1" s="1"/>
  <c r="X108" i="1"/>
  <c r="Y108" i="1" s="1"/>
  <c r="U108" i="1"/>
  <c r="T108" i="1"/>
  <c r="P108" i="1" a="1"/>
  <c r="P108" i="1" s="1"/>
  <c r="Q108" i="1" s="1"/>
  <c r="AN107" i="1" a="1"/>
  <c r="AN107" i="1" s="1"/>
  <c r="AM107" i="1" a="1"/>
  <c r="AM107" i="1" s="1"/>
  <c r="Z107" i="1" s="1"/>
  <c r="X107" i="1"/>
  <c r="U107" i="1"/>
  <c r="T107" i="1"/>
  <c r="Y107" i="1" s="1"/>
  <c r="P107" i="1" a="1"/>
  <c r="P107" i="1" s="1"/>
  <c r="O107" i="1" a="1"/>
  <c r="O107" i="1" s="1"/>
  <c r="N107" i="1" a="1"/>
  <c r="AC106" i="1"/>
  <c r="AB106" i="1" s="1"/>
  <c r="T106" i="1"/>
  <c r="Y106" i="1" s="1"/>
  <c r="P106" i="1" a="1"/>
  <c r="P106" i="1" s="1"/>
  <c r="T105" i="1"/>
  <c r="Y105" i="1" s="1"/>
  <c r="P105" i="1" a="1"/>
  <c r="P105" i="1" s="1"/>
  <c r="Q105" i="1" s="1"/>
  <c r="Y104" i="1"/>
  <c r="T104" i="1"/>
  <c r="P104" i="1" a="1"/>
  <c r="P104" i="1" s="1"/>
  <c r="AN103" i="1" a="1"/>
  <c r="AN103" i="1" s="1"/>
  <c r="AM103" i="1" a="1"/>
  <c r="T103" i="1"/>
  <c r="Y103" i="1" s="1"/>
  <c r="P103" i="1" a="1"/>
  <c r="P103" i="1" s="1"/>
  <c r="O103" i="1" a="1"/>
  <c r="O103" i="1" s="1"/>
  <c r="N103" i="1" a="1"/>
  <c r="T102" i="1"/>
  <c r="Y102" i="1" s="1"/>
  <c r="P102" i="1" a="1"/>
  <c r="P102" i="1" s="1"/>
  <c r="Z101" i="1"/>
  <c r="Y101" i="1"/>
  <c r="T101" i="1"/>
  <c r="P101" i="1" a="1"/>
  <c r="P101" i="1" s="1"/>
  <c r="W100" i="1"/>
  <c r="T100" i="1"/>
  <c r="Y100" i="1" s="1"/>
  <c r="P100" i="1" a="1"/>
  <c r="P100" i="1" s="1"/>
  <c r="AN99" i="1" a="1"/>
  <c r="AN99" i="1" s="1"/>
  <c r="AM99" i="1" a="1"/>
  <c r="AM99" i="1" s="1"/>
  <c r="Z99" i="1" s="1"/>
  <c r="W99" i="1"/>
  <c r="T99" i="1"/>
  <c r="Y99" i="1" s="1"/>
  <c r="P99" i="1" a="1"/>
  <c r="P99" i="1" s="1"/>
  <c r="O99" i="1" a="1"/>
  <c r="O99" i="1" s="1"/>
  <c r="N99" i="1" a="1"/>
  <c r="Y98" i="1"/>
  <c r="T98" i="1"/>
  <c r="P98" i="1" a="1"/>
  <c r="P98" i="1" s="1"/>
  <c r="Y97" i="1"/>
  <c r="T97" i="1"/>
  <c r="P97" i="1" a="1"/>
  <c r="P97" i="1" s="1"/>
  <c r="T96" i="1"/>
  <c r="Y96" i="1" s="1"/>
  <c r="P96" i="1" a="1"/>
  <c r="P96" i="1" s="1"/>
  <c r="AN95" i="1" a="1"/>
  <c r="AN95" i="1" s="1"/>
  <c r="AM95" i="1" a="1"/>
  <c r="Y95" i="1"/>
  <c r="T95" i="1"/>
  <c r="P95" i="1" a="1"/>
  <c r="P95" i="1" s="1"/>
  <c r="O95" i="1" a="1"/>
  <c r="O95" i="1" s="1"/>
  <c r="N95" i="1" a="1"/>
  <c r="N95" i="1" s="1"/>
  <c r="AC94" i="1"/>
  <c r="AB94" i="1" s="1"/>
  <c r="Z94" i="1"/>
  <c r="Y94" i="1"/>
  <c r="T94" i="1"/>
  <c r="P94" i="1" a="1"/>
  <c r="P94" i="1" s="1"/>
  <c r="T93" i="1"/>
  <c r="Y93" i="1" s="1"/>
  <c r="P93" i="1" a="1"/>
  <c r="P93" i="1" s="1"/>
  <c r="Z92" i="1"/>
  <c r="Y92" i="1"/>
  <c r="W92" i="1"/>
  <c r="T92" i="1"/>
  <c r="P92" i="1" a="1"/>
  <c r="P92" i="1" s="1"/>
  <c r="BK91" i="1"/>
  <c r="BJ91" i="1"/>
  <c r="BI91" i="1"/>
  <c r="BG91" i="1"/>
  <c r="BE91" i="1"/>
  <c r="BD91" i="1"/>
  <c r="BA91" i="1"/>
  <c r="AY91" i="1"/>
  <c r="AV91" i="1"/>
  <c r="AU91" i="1"/>
  <c r="AT91" i="1"/>
  <c r="AS91" i="1"/>
  <c r="AR91" i="1"/>
  <c r="AQ91" i="1"/>
  <c r="AP91" i="1"/>
  <c r="AN91" i="1" a="1"/>
  <c r="AN91" i="1" s="1"/>
  <c r="AM91" i="1" a="1"/>
  <c r="Z93" i="1" s="1"/>
  <c r="Y91" i="1"/>
  <c r="W91" i="1"/>
  <c r="T91" i="1"/>
  <c r="P91" i="1" a="1"/>
  <c r="P91" i="1" s="1"/>
  <c r="O91" i="1" a="1"/>
  <c r="O91" i="1" s="1"/>
  <c r="N91" i="1" a="1"/>
  <c r="J91" i="1"/>
  <c r="T90" i="1"/>
  <c r="Y90" i="1" s="1"/>
  <c r="P90" i="1" a="1"/>
  <c r="P90" i="1" s="1"/>
  <c r="Y89" i="1"/>
  <c r="T89" i="1"/>
  <c r="P89" i="1" a="1"/>
  <c r="P89" i="1" s="1"/>
  <c r="T88" i="1"/>
  <c r="Y88" i="1" s="1"/>
  <c r="P88" i="1" a="1"/>
  <c r="P88" i="1" s="1"/>
  <c r="AN87" i="1" a="1"/>
  <c r="AN87" i="1" s="1"/>
  <c r="AM87" i="1" a="1"/>
  <c r="T87" i="1"/>
  <c r="Y87" i="1" s="1"/>
  <c r="P87" i="1" a="1"/>
  <c r="P87" i="1" s="1"/>
  <c r="O87" i="1" a="1"/>
  <c r="O87" i="1" s="1"/>
  <c r="N87" i="1" a="1"/>
  <c r="T86" i="1"/>
  <c r="Y86" i="1" s="1"/>
  <c r="P86" i="1" a="1"/>
  <c r="P86" i="1" s="1"/>
  <c r="T85" i="1"/>
  <c r="Y85" i="1" s="1"/>
  <c r="P85" i="1" a="1"/>
  <c r="P85" i="1" s="1"/>
  <c r="T84" i="1"/>
  <c r="Y84" i="1" s="1"/>
  <c r="P84" i="1" a="1"/>
  <c r="P84" i="1" s="1"/>
  <c r="AN83" i="1" a="1"/>
  <c r="AN83" i="1" s="1"/>
  <c r="AM83" i="1" a="1"/>
  <c r="T83" i="1"/>
  <c r="Y83" i="1" s="1"/>
  <c r="P83" i="1" a="1"/>
  <c r="P83" i="1" s="1"/>
  <c r="O83" i="1" a="1"/>
  <c r="O83" i="1" s="1"/>
  <c r="N83" i="1" a="1"/>
  <c r="Z82" i="1"/>
  <c r="T82" i="1"/>
  <c r="Y82" i="1" s="1"/>
  <c r="P82" i="1" a="1"/>
  <c r="P82" i="1" s="1"/>
  <c r="T81" i="1"/>
  <c r="Y81" i="1" s="1"/>
  <c r="P81" i="1" a="1"/>
  <c r="P81" i="1" s="1"/>
  <c r="T80" i="1"/>
  <c r="Y80" i="1" s="1"/>
  <c r="P80" i="1" a="1"/>
  <c r="P80" i="1" s="1"/>
  <c r="Q80" i="1" s="1"/>
  <c r="AN79" i="1" a="1"/>
  <c r="AN79" i="1" s="1"/>
  <c r="AM79" i="1" a="1"/>
  <c r="Z81" i="1" s="1"/>
  <c r="T79" i="1"/>
  <c r="Y79" i="1" s="1"/>
  <c r="P79" i="1" a="1"/>
  <c r="P79" i="1" s="1"/>
  <c r="O79" i="1" a="1"/>
  <c r="O79" i="1" s="1"/>
  <c r="N79" i="1" a="1"/>
  <c r="AC78" i="1"/>
  <c r="AB78" i="1" s="1"/>
  <c r="Z78" i="1"/>
  <c r="Y78" i="1"/>
  <c r="T78" i="1"/>
  <c r="P78" i="1" a="1"/>
  <c r="P78" i="1" s="1"/>
  <c r="Y77" i="1"/>
  <c r="T77" i="1"/>
  <c r="P77" i="1" a="1"/>
  <c r="P77" i="1" s="1"/>
  <c r="Z76" i="1"/>
  <c r="Y76" i="1"/>
  <c r="W76" i="1"/>
  <c r="T76" i="1"/>
  <c r="P76" i="1" a="1"/>
  <c r="P76" i="1" s="1"/>
  <c r="Q76" i="1" s="1"/>
  <c r="AN75" i="1" a="1"/>
  <c r="AN75" i="1" s="1"/>
  <c r="AM75" i="1" a="1"/>
  <c r="Z77" i="1" s="1"/>
  <c r="W75" i="1"/>
  <c r="T75" i="1"/>
  <c r="Y75" i="1" s="1"/>
  <c r="P75" i="1" a="1"/>
  <c r="P75" i="1" s="1"/>
  <c r="O75" i="1" a="1"/>
  <c r="O75" i="1" s="1"/>
  <c r="N75" i="1" a="1"/>
  <c r="U74" i="1"/>
  <c r="T74" i="1"/>
  <c r="P74" i="1" a="1"/>
  <c r="P74" i="1" s="1"/>
  <c r="U73" i="1"/>
  <c r="T73" i="1"/>
  <c r="Y73" i="1" s="1"/>
  <c r="P73" i="1" a="1"/>
  <c r="P73" i="1" s="1"/>
  <c r="Z72" i="1"/>
  <c r="X72" i="1"/>
  <c r="Y72" i="1" s="1"/>
  <c r="V72" i="1"/>
  <c r="U72" i="1"/>
  <c r="T72" i="1"/>
  <c r="P72" i="1" a="1"/>
  <c r="P72" i="1" s="1"/>
  <c r="AN71" i="1" a="1"/>
  <c r="AN71" i="1" s="1"/>
  <c r="AM71" i="1" a="1"/>
  <c r="X71" i="1"/>
  <c r="Y71" i="1" s="1"/>
  <c r="U71" i="1"/>
  <c r="T71" i="1"/>
  <c r="V71" i="1" s="1"/>
  <c r="P71" i="1" a="1"/>
  <c r="P71" i="1" s="1"/>
  <c r="O71" i="1" a="1"/>
  <c r="O71" i="1" s="1"/>
  <c r="N71" i="1" a="1"/>
  <c r="Z70" i="1"/>
  <c r="Y70" i="1"/>
  <c r="U70" i="1"/>
  <c r="T70" i="1"/>
  <c r="V70" i="1" s="1"/>
  <c r="AC70" i="1" s="1"/>
  <c r="P70" i="1" a="1"/>
  <c r="P70" i="1" s="1"/>
  <c r="Z69" i="1"/>
  <c r="U69" i="1"/>
  <c r="T69" i="1"/>
  <c r="Y69" i="1" s="1"/>
  <c r="P69" i="1" a="1"/>
  <c r="P69" i="1" s="1"/>
  <c r="Q69" i="1" s="1"/>
  <c r="Y68" i="1"/>
  <c r="X68" i="1"/>
  <c r="U68" i="1"/>
  <c r="V68" i="1" s="1"/>
  <c r="AC68" i="1" s="1"/>
  <c r="T68" i="1"/>
  <c r="P68" i="1" a="1"/>
  <c r="P68" i="1" s="1"/>
  <c r="Q68" i="1" s="1"/>
  <c r="AN67" i="1" a="1"/>
  <c r="AN67" i="1" s="1"/>
  <c r="AM67" i="1" a="1"/>
  <c r="Z68" i="1" s="1"/>
  <c r="X67" i="1"/>
  <c r="U67" i="1"/>
  <c r="T67" i="1"/>
  <c r="P67" i="1" a="1"/>
  <c r="P67" i="1" s="1"/>
  <c r="O67" i="1" a="1"/>
  <c r="O67" i="1" s="1"/>
  <c r="N67" i="1" a="1"/>
  <c r="N67" i="1" s="1"/>
  <c r="Z66" i="1"/>
  <c r="T66" i="1"/>
  <c r="Y66" i="1" s="1"/>
  <c r="P66" i="1" a="1"/>
  <c r="P66" i="1" s="1"/>
  <c r="Z65" i="1"/>
  <c r="Y65" i="1"/>
  <c r="T65" i="1"/>
  <c r="P65" i="1" a="1"/>
  <c r="P65" i="1" s="1"/>
  <c r="Z64" i="1"/>
  <c r="T64" i="1"/>
  <c r="Y64" i="1" s="1"/>
  <c r="P64" i="1" a="1"/>
  <c r="P64" i="1" s="1"/>
  <c r="Q64" i="1" s="1"/>
  <c r="AN63" i="1" a="1"/>
  <c r="AN63" i="1" s="1"/>
  <c r="AM63" i="1" a="1"/>
  <c r="AM63" i="1" s="1"/>
  <c r="Z63" i="1" s="1"/>
  <c r="Y63" i="1"/>
  <c r="T63" i="1"/>
  <c r="P63" i="1" a="1"/>
  <c r="P63" i="1" s="1"/>
  <c r="O63" i="1" a="1"/>
  <c r="O63" i="1" s="1"/>
  <c r="N63" i="1" a="1"/>
  <c r="T62" i="1"/>
  <c r="Y62" i="1" s="1"/>
  <c r="P62" i="1" a="1"/>
  <c r="P62" i="1" s="1"/>
  <c r="T61" i="1"/>
  <c r="Y61" i="1" s="1"/>
  <c r="P61" i="1" a="1"/>
  <c r="P61" i="1" s="1"/>
  <c r="W60" i="1"/>
  <c r="T60" i="1"/>
  <c r="Y60" i="1" s="1"/>
  <c r="P60" i="1" a="1"/>
  <c r="P60" i="1" s="1"/>
  <c r="AN59" i="1" a="1"/>
  <c r="AN59" i="1" s="1"/>
  <c r="AM59" i="1" a="1"/>
  <c r="W59" i="1"/>
  <c r="T59" i="1"/>
  <c r="Y59" i="1" s="1"/>
  <c r="P59" i="1" a="1"/>
  <c r="P59" i="1" s="1"/>
  <c r="O59" i="1" a="1"/>
  <c r="O59" i="1" s="1"/>
  <c r="N59" i="1" a="1"/>
  <c r="Y58" i="1"/>
  <c r="T58" i="1"/>
  <c r="P58" i="1" a="1"/>
  <c r="P58" i="1" s="1"/>
  <c r="T57" i="1"/>
  <c r="Y57" i="1" s="1"/>
  <c r="P57" i="1" a="1"/>
  <c r="P57" i="1" s="1"/>
  <c r="Y56" i="1"/>
  <c r="T56" i="1"/>
  <c r="P56" i="1" a="1"/>
  <c r="P56" i="1" s="1"/>
  <c r="AN55" i="1" a="1"/>
  <c r="AN55" i="1" s="1"/>
  <c r="AM55" i="1" a="1"/>
  <c r="Y55" i="1"/>
  <c r="T55" i="1"/>
  <c r="P55" i="1" a="1"/>
  <c r="P55" i="1" s="1"/>
  <c r="O55" i="1" a="1"/>
  <c r="O55" i="1" s="1"/>
  <c r="N55" i="1" a="1"/>
  <c r="Y54" i="1"/>
  <c r="T54" i="1"/>
  <c r="P54" i="1" a="1"/>
  <c r="P54" i="1" s="1"/>
  <c r="T53" i="1"/>
  <c r="Y53" i="1" s="1"/>
  <c r="P53" i="1" a="1"/>
  <c r="P53" i="1" s="1"/>
  <c r="Y52" i="1"/>
  <c r="W52" i="1"/>
  <c r="T52" i="1"/>
  <c r="P52" i="1" a="1"/>
  <c r="P52" i="1" s="1"/>
  <c r="BK51" i="1"/>
  <c r="BJ51" i="1"/>
  <c r="BI51" i="1"/>
  <c r="BE51" i="1"/>
  <c r="BD51" i="1"/>
  <c r="BA51" i="1"/>
  <c r="AY51" i="1"/>
  <c r="AV51" i="1"/>
  <c r="AU51" i="1"/>
  <c r="AT51" i="1"/>
  <c r="AS51" i="1"/>
  <c r="AR51" i="1"/>
  <c r="AQ51" i="1"/>
  <c r="AP51" i="1"/>
  <c r="AN51" i="1" a="1"/>
  <c r="AN51" i="1" s="1"/>
  <c r="AM51" i="1" a="1"/>
  <c r="Z53" i="1" s="1"/>
  <c r="W51" i="1"/>
  <c r="T51" i="1"/>
  <c r="Y51" i="1" s="1"/>
  <c r="P51" i="1" a="1"/>
  <c r="P51" i="1" s="1"/>
  <c r="O51" i="1" a="1"/>
  <c r="O51" i="1" s="1"/>
  <c r="N51" i="1" a="1"/>
  <c r="J51" i="1"/>
  <c r="BG51" i="1" s="1"/>
  <c r="T50" i="1"/>
  <c r="Y50" i="1" s="1"/>
  <c r="P50" i="1" a="1"/>
  <c r="P50" i="1" s="1"/>
  <c r="Q50" i="1" s="1"/>
  <c r="T49" i="1"/>
  <c r="Y49" i="1" s="1"/>
  <c r="P49" i="1" a="1"/>
  <c r="P49" i="1" s="1"/>
  <c r="Q49" i="1" s="1"/>
  <c r="T48" i="1"/>
  <c r="Y48" i="1" s="1"/>
  <c r="P48" i="1" a="1"/>
  <c r="P48" i="1" s="1"/>
  <c r="Q48" i="1" s="1"/>
  <c r="AN47" i="1" a="1"/>
  <c r="AN47" i="1" s="1"/>
  <c r="AM47" i="1" a="1"/>
  <c r="AM47" i="1" s="1"/>
  <c r="T47" i="1"/>
  <c r="Y47" i="1" s="1"/>
  <c r="P47" i="1" a="1"/>
  <c r="P47" i="1" s="1"/>
  <c r="O47" i="1" a="1"/>
  <c r="AC50" i="1" s="1"/>
  <c r="N47" i="1" a="1"/>
  <c r="N47" i="1" s="1"/>
  <c r="AC46" i="1"/>
  <c r="T46" i="1"/>
  <c r="Y46" i="1" s="1"/>
  <c r="P46" i="1" a="1"/>
  <c r="P46" i="1" s="1"/>
  <c r="T45" i="1"/>
  <c r="Y45" i="1" s="1"/>
  <c r="P45" i="1" a="1"/>
  <c r="P45" i="1" s="1"/>
  <c r="Q45" i="1" s="1"/>
  <c r="AC44" i="1"/>
  <c r="AB44" i="1"/>
  <c r="T44" i="1"/>
  <c r="Y44" i="1" s="1"/>
  <c r="P44" i="1" a="1"/>
  <c r="P44" i="1" s="1"/>
  <c r="AN43" i="1" a="1"/>
  <c r="AN43" i="1" s="1"/>
  <c r="AM43" i="1" a="1"/>
  <c r="AM43" i="1" s="1"/>
  <c r="Y43" i="1"/>
  <c r="T43" i="1"/>
  <c r="P43" i="1" a="1"/>
  <c r="P43" i="1" s="1"/>
  <c r="O43" i="1" a="1"/>
  <c r="O43" i="1" s="1"/>
  <c r="N43" i="1" a="1"/>
  <c r="N43" i="1" s="1"/>
  <c r="T42" i="1"/>
  <c r="Y42" i="1" s="1"/>
  <c r="P42" i="1" a="1"/>
  <c r="P42" i="1" s="1"/>
  <c r="Q42" i="1" s="1"/>
  <c r="T41" i="1"/>
  <c r="Y41" i="1" s="1"/>
  <c r="P41" i="1" a="1"/>
  <c r="P41" i="1" s="1"/>
  <c r="Q41" i="1" s="1"/>
  <c r="Y40" i="1"/>
  <c r="T40" i="1"/>
  <c r="P40" i="1" a="1"/>
  <c r="P40" i="1" s="1"/>
  <c r="Q40" i="1" s="1"/>
  <c r="AN39" i="1" a="1"/>
  <c r="AN39" i="1" s="1"/>
  <c r="AM39" i="1" a="1"/>
  <c r="AM39" i="1" s="1"/>
  <c r="T39" i="1"/>
  <c r="Y39" i="1" s="1"/>
  <c r="P39" i="1" a="1"/>
  <c r="P39" i="1" s="1"/>
  <c r="O39" i="1" a="1"/>
  <c r="N39" i="1" a="1"/>
  <c r="N39" i="1" s="1"/>
  <c r="Y38" i="1"/>
  <c r="T38" i="1"/>
  <c r="P38" i="1" a="1"/>
  <c r="P38" i="1" s="1"/>
  <c r="T37" i="1"/>
  <c r="Y37" i="1" s="1"/>
  <c r="P37" i="1" a="1"/>
  <c r="P37" i="1" s="1"/>
  <c r="Y36" i="1"/>
  <c r="W36" i="1"/>
  <c r="T36" i="1"/>
  <c r="P36" i="1" a="1"/>
  <c r="P36" i="1" s="1"/>
  <c r="AN35" i="1" a="1"/>
  <c r="AN35" i="1" s="1"/>
  <c r="AM35" i="1" a="1"/>
  <c r="AM35" i="1" s="1"/>
  <c r="W35" i="1"/>
  <c r="T35" i="1"/>
  <c r="Y35" i="1" s="1"/>
  <c r="P35" i="1" a="1"/>
  <c r="P35" i="1" s="1"/>
  <c r="O35" i="1" a="1"/>
  <c r="O35" i="1" s="1"/>
  <c r="N35" i="1" a="1"/>
  <c r="U34" i="1"/>
  <c r="V34" i="1" s="1"/>
  <c r="T34" i="1"/>
  <c r="Y34" i="1" s="1"/>
  <c r="P34" i="1" a="1"/>
  <c r="P34" i="1" s="1"/>
  <c r="Y33" i="1"/>
  <c r="V33" i="1"/>
  <c r="U33" i="1"/>
  <c r="T33" i="1"/>
  <c r="P33" i="1" a="1"/>
  <c r="P33" i="1" s="1"/>
  <c r="X32" i="1"/>
  <c r="U32" i="1"/>
  <c r="T32" i="1"/>
  <c r="Y32" i="1" s="1"/>
  <c r="P32" i="1" a="1"/>
  <c r="P32" i="1" s="1"/>
  <c r="AN31" i="1" a="1"/>
  <c r="AN31" i="1" s="1"/>
  <c r="AM31" i="1" a="1"/>
  <c r="AM31" i="1" s="1"/>
  <c r="X31" i="1"/>
  <c r="U31" i="1"/>
  <c r="T31" i="1"/>
  <c r="Y31" i="1" s="1"/>
  <c r="P31" i="1" a="1"/>
  <c r="P31" i="1" s="1"/>
  <c r="O31" i="1" a="1"/>
  <c r="O31" i="1" s="1"/>
  <c r="N31" i="1" a="1"/>
  <c r="Y30" i="1"/>
  <c r="U30" i="1"/>
  <c r="V30" i="1" s="1"/>
  <c r="T30" i="1"/>
  <c r="P30" i="1" a="1"/>
  <c r="P30" i="1" s="1"/>
  <c r="Z29" i="1"/>
  <c r="U29" i="1"/>
  <c r="T29" i="1"/>
  <c r="Y29" i="1" s="1"/>
  <c r="P29" i="1" a="1"/>
  <c r="P29" i="1" s="1"/>
  <c r="X28" i="1"/>
  <c r="U28" i="1"/>
  <c r="T28" i="1"/>
  <c r="P28" i="1" a="1"/>
  <c r="P28" i="1" s="1"/>
  <c r="AN27" i="1" a="1"/>
  <c r="AN27" i="1" s="1"/>
  <c r="AM27" i="1" a="1"/>
  <c r="AM27" i="1" s="1"/>
  <c r="X27" i="1"/>
  <c r="U27" i="1"/>
  <c r="T27" i="1"/>
  <c r="Y27" i="1" s="1"/>
  <c r="P27" i="1" a="1"/>
  <c r="P27" i="1" s="1"/>
  <c r="O27" i="1" a="1"/>
  <c r="O27" i="1" s="1"/>
  <c r="N27" i="1" a="1"/>
  <c r="Y26" i="1"/>
  <c r="P26" i="1" a="1"/>
  <c r="P26" i="1" s="1"/>
  <c r="Y25" i="1"/>
  <c r="P25" i="1" a="1"/>
  <c r="P25" i="1" s="1"/>
  <c r="Q25" i="1" s="1"/>
  <c r="Z24" i="1"/>
  <c r="Y24" i="1"/>
  <c r="P24" i="1" a="1"/>
  <c r="P24" i="1" s="1"/>
  <c r="AN23" i="1" a="1"/>
  <c r="AN23" i="1" s="1"/>
  <c r="AM23" i="1" a="1"/>
  <c r="AM23" i="1" s="1"/>
  <c r="Y23" i="1"/>
  <c r="P23" i="1" a="1"/>
  <c r="P23" i="1" s="1"/>
  <c r="O23" i="1" a="1"/>
  <c r="O23" i="1" s="1"/>
  <c r="N23" i="1" a="1"/>
  <c r="Y22" i="1"/>
  <c r="P22" i="1" a="1"/>
  <c r="P22" i="1" s="1"/>
  <c r="Y21" i="1"/>
  <c r="P21" i="1" a="1"/>
  <c r="P21" i="1" s="1"/>
  <c r="Z20" i="1"/>
  <c r="Y20" i="1"/>
  <c r="W20" i="1"/>
  <c r="P20" i="1" a="1"/>
  <c r="P20" i="1" s="1"/>
  <c r="AN19" i="1" a="1"/>
  <c r="AN19" i="1" s="1"/>
  <c r="AM19" i="1" a="1"/>
  <c r="AM19" i="1" s="1"/>
  <c r="Y19" i="1"/>
  <c r="W19" i="1"/>
  <c r="P19" i="1" a="1"/>
  <c r="P19" i="1" s="1"/>
  <c r="O19" i="1" a="1"/>
  <c r="O19" i="1" s="1"/>
  <c r="N19" i="1" a="1"/>
  <c r="Y18" i="1"/>
  <c r="P18" i="1" a="1"/>
  <c r="P18" i="1" s="1"/>
  <c r="Y17" i="1"/>
  <c r="P17" i="1" a="1"/>
  <c r="P17" i="1" s="1"/>
  <c r="Z16" i="1"/>
  <c r="Y16" i="1"/>
  <c r="P16" i="1" a="1"/>
  <c r="P16" i="1" s="1"/>
  <c r="AN15" i="1" a="1"/>
  <c r="AN15" i="1" s="1"/>
  <c r="AM15" i="1" a="1"/>
  <c r="AM15" i="1" s="1"/>
  <c r="Y15" i="1"/>
  <c r="P15" i="1" a="1"/>
  <c r="P15" i="1" s="1"/>
  <c r="O15" i="1" a="1"/>
  <c r="O15" i="1" s="1"/>
  <c r="N15" i="1" a="1"/>
  <c r="Y14" i="1"/>
  <c r="P14" i="1" a="1"/>
  <c r="P14" i="1" s="1"/>
  <c r="Y13" i="1"/>
  <c r="P13" i="1" a="1"/>
  <c r="P13" i="1" s="1"/>
  <c r="Y12" i="1"/>
  <c r="W12" i="1"/>
  <c r="P12" i="1" a="1"/>
  <c r="P12" i="1" s="1"/>
  <c r="Q12" i="1" s="1"/>
  <c r="BK11" i="1"/>
  <c r="BJ11" i="1"/>
  <c r="BI11" i="1"/>
  <c r="BG11" i="1"/>
  <c r="BE11" i="1"/>
  <c r="BD11" i="1"/>
  <c r="BA11" i="1"/>
  <c r="AY11" i="1"/>
  <c r="AV11" i="1"/>
  <c r="AU11" i="1"/>
  <c r="AT11" i="1"/>
  <c r="AS11" i="1"/>
  <c r="AR11" i="1"/>
  <c r="AQ11" i="1"/>
  <c r="AP11" i="1"/>
  <c r="AN11" i="1" a="1"/>
  <c r="AN11" i="1" s="1"/>
  <c r="AM11" i="1" a="1"/>
  <c r="Y11" i="1"/>
  <c r="W11" i="1"/>
  <c r="P11" i="1" a="1"/>
  <c r="P11" i="1" s="1"/>
  <c r="O11" i="1" a="1"/>
  <c r="O11" i="1" s="1"/>
  <c r="N11" i="1" a="1"/>
  <c r="J11" i="1"/>
  <c r="F11" i="1"/>
  <c r="CD7" i="1"/>
  <c r="S11" i="2" l="1"/>
  <c r="T11" i="2" s="1"/>
  <c r="Q47" i="1"/>
  <c r="Q119" i="1"/>
  <c r="AK165" i="1"/>
  <c r="AL165" i="1" s="1"/>
  <c r="Q127" i="1"/>
  <c r="AA167" i="1"/>
  <c r="AK167" i="1" s="1"/>
  <c r="AL167" i="1" s="1"/>
  <c r="Q16" i="1"/>
  <c r="AA151" i="1"/>
  <c r="AK151" i="1" s="1"/>
  <c r="AL151" i="1" s="1"/>
  <c r="Q67" i="1"/>
  <c r="AA142" i="1"/>
  <c r="AA147" i="1"/>
  <c r="AC127" i="1"/>
  <c r="Q43" i="1"/>
  <c r="N83" i="1"/>
  <c r="AC84" i="1"/>
  <c r="Q85" i="1"/>
  <c r="AC86" i="1"/>
  <c r="Q84" i="1"/>
  <c r="Q86" i="1"/>
  <c r="AC85" i="1"/>
  <c r="Z106" i="1"/>
  <c r="AI106" i="1" s="1"/>
  <c r="AJ106" i="1" s="1"/>
  <c r="AM103" i="1"/>
  <c r="Z103" i="1" s="1"/>
  <c r="Z104" i="1"/>
  <c r="Z105" i="1"/>
  <c r="Z49" i="1"/>
  <c r="Z46" i="1"/>
  <c r="AM11" i="1"/>
  <c r="Z41" i="1"/>
  <c r="Z34" i="1"/>
  <c r="Z26" i="1"/>
  <c r="Z45" i="1"/>
  <c r="Z12" i="1"/>
  <c r="Z14" i="1"/>
  <c r="Z30" i="1"/>
  <c r="Z38" i="1"/>
  <c r="Z32" i="1"/>
  <c r="Z18" i="1"/>
  <c r="Z22" i="1"/>
  <c r="Z25" i="1"/>
  <c r="Z48" i="1"/>
  <c r="Z50" i="1"/>
  <c r="AI50" i="1" s="1"/>
  <c r="AJ50" i="1" s="1"/>
  <c r="Z42" i="1"/>
  <c r="Z40" i="1"/>
  <c r="Z28" i="1"/>
  <c r="Z37" i="1"/>
  <c r="Z13" i="1"/>
  <c r="Z88" i="1"/>
  <c r="Z90" i="1"/>
  <c r="Z89" i="1"/>
  <c r="AB68" i="1"/>
  <c r="AI68" i="1"/>
  <c r="AJ68" i="1" s="1"/>
  <c r="AD68" i="1"/>
  <c r="Q30" i="1"/>
  <c r="N27" i="1"/>
  <c r="Q28" i="1"/>
  <c r="Q29" i="1"/>
  <c r="AC30" i="1"/>
  <c r="Q72" i="1"/>
  <c r="Q73" i="1"/>
  <c r="AC72" i="1"/>
  <c r="N71" i="1"/>
  <c r="Q74" i="1"/>
  <c r="Q33" i="1"/>
  <c r="N31" i="1"/>
  <c r="Q32" i="1"/>
  <c r="AC33" i="1"/>
  <c r="AC34" i="1"/>
  <c r="AB46" i="1"/>
  <c r="AI46" i="1"/>
  <c r="AJ46" i="1" s="1"/>
  <c r="AD46" i="1"/>
  <c r="Q21" i="1"/>
  <c r="AC20" i="1"/>
  <c r="AC22" i="1"/>
  <c r="Q20" i="1"/>
  <c r="O39" i="1"/>
  <c r="AC39" i="1" s="1"/>
  <c r="AC42" i="1"/>
  <c r="AC41" i="1"/>
  <c r="AC40" i="1"/>
  <c r="AC14" i="1"/>
  <c r="AC18" i="1"/>
  <c r="Q24" i="1"/>
  <c r="Q26" i="1"/>
  <c r="Z57" i="1"/>
  <c r="Z56" i="1"/>
  <c r="AB50" i="1"/>
  <c r="AA50" i="1" s="1"/>
  <c r="AK50" i="1" s="1"/>
  <c r="AL50" i="1" s="1"/>
  <c r="AD50" i="1"/>
  <c r="AC54" i="1"/>
  <c r="AC53" i="1"/>
  <c r="Q54" i="1"/>
  <c r="Q53" i="1"/>
  <c r="Q52" i="1"/>
  <c r="N51" i="1"/>
  <c r="AC52" i="1"/>
  <c r="AC38" i="1"/>
  <c r="Q37" i="1"/>
  <c r="AC36" i="1"/>
  <c r="N35" i="1"/>
  <c r="Q36" i="1"/>
  <c r="AC37" i="1"/>
  <c r="Q38" i="1"/>
  <c r="N59" i="1"/>
  <c r="AC62" i="1"/>
  <c r="AC61" i="1"/>
  <c r="Q62" i="1"/>
  <c r="AC60" i="1"/>
  <c r="Q98" i="1"/>
  <c r="AC97" i="1"/>
  <c r="Q96" i="1"/>
  <c r="AC98" i="1"/>
  <c r="Q97" i="1"/>
  <c r="AC96" i="1"/>
  <c r="Z33" i="1"/>
  <c r="Q34" i="1"/>
  <c r="AC49" i="1"/>
  <c r="Z58" i="1"/>
  <c r="Q61" i="1"/>
  <c r="AC66" i="1"/>
  <c r="Q65" i="1"/>
  <c r="AC64" i="1"/>
  <c r="AC65" i="1"/>
  <c r="Q66" i="1"/>
  <c r="Z21" i="1"/>
  <c r="Q22" i="1"/>
  <c r="N23" i="1"/>
  <c r="AC43" i="1"/>
  <c r="Z44" i="1"/>
  <c r="AI44" i="1" s="1"/>
  <c r="AJ44" i="1" s="1"/>
  <c r="AM55" i="1"/>
  <c r="Z55" i="1" s="1"/>
  <c r="Z62" i="1"/>
  <c r="Z60" i="1"/>
  <c r="V69" i="1"/>
  <c r="AC69" i="1" s="1"/>
  <c r="Q113" i="1"/>
  <c r="AC112" i="1"/>
  <c r="Q112" i="1"/>
  <c r="Q114" i="1"/>
  <c r="N111" i="1"/>
  <c r="AD175" i="1"/>
  <c r="AD177" i="1"/>
  <c r="AD169" i="1"/>
  <c r="AD178" i="1"/>
  <c r="AD166" i="1"/>
  <c r="AD156" i="1"/>
  <c r="AD141" i="1"/>
  <c r="AD144" i="1"/>
  <c r="AD146" i="1"/>
  <c r="AD152" i="1"/>
  <c r="AD150" i="1"/>
  <c r="AD148" i="1"/>
  <c r="AD154" i="1"/>
  <c r="AD165" i="1"/>
  <c r="AD151" i="1"/>
  <c r="AD130" i="1"/>
  <c r="AC12" i="1"/>
  <c r="Z17" i="1"/>
  <c r="AC21" i="1"/>
  <c r="Z36" i="1"/>
  <c r="AC45" i="1"/>
  <c r="Q44" i="1"/>
  <c r="AA44" i="1" s="1"/>
  <c r="Q46" i="1"/>
  <c r="AC80" i="1"/>
  <c r="Q81" i="1"/>
  <c r="AC82" i="1"/>
  <c r="AC81" i="1"/>
  <c r="Z85" i="1"/>
  <c r="AM83" i="1"/>
  <c r="Z83" i="1" s="1"/>
  <c r="Z84" i="1"/>
  <c r="Z86" i="1"/>
  <c r="AZ141" i="1"/>
  <c r="AZ91" i="1"/>
  <c r="AZ51" i="1"/>
  <c r="AZ11" i="1"/>
  <c r="AC25" i="1"/>
  <c r="AC26" i="1"/>
  <c r="V32" i="1"/>
  <c r="AC32" i="1" s="1"/>
  <c r="AD44" i="1"/>
  <c r="AI70" i="1"/>
  <c r="AJ70" i="1" s="1"/>
  <c r="AD70" i="1"/>
  <c r="AB70" i="1"/>
  <c r="O123" i="1"/>
  <c r="AC125" i="1"/>
  <c r="AC126" i="1"/>
  <c r="Q18" i="1"/>
  <c r="Q58" i="1"/>
  <c r="AC57" i="1"/>
  <c r="Q56" i="1"/>
  <c r="AC56" i="1"/>
  <c r="Q57" i="1"/>
  <c r="Q60" i="1"/>
  <c r="Y67" i="1"/>
  <c r="V67" i="1"/>
  <c r="Z98" i="1"/>
  <c r="Z96" i="1"/>
  <c r="Z97" i="1"/>
  <c r="Q14" i="1"/>
  <c r="AC17" i="1"/>
  <c r="V31" i="1"/>
  <c r="O47" i="1"/>
  <c r="AC47" i="1" s="1"/>
  <c r="Q17" i="1"/>
  <c r="Q13" i="1"/>
  <c r="AC24" i="1"/>
  <c r="Y28" i="1"/>
  <c r="V28" i="1"/>
  <c r="AC28" i="1" s="1"/>
  <c r="AC48" i="1"/>
  <c r="N11" i="1"/>
  <c r="AC13" i="1"/>
  <c r="N19" i="1"/>
  <c r="AD106" i="1"/>
  <c r="N15" i="1"/>
  <c r="V27" i="1"/>
  <c r="V29" i="1"/>
  <c r="AC29" i="1" s="1"/>
  <c r="AA68" i="1"/>
  <c r="AK68" i="1" s="1"/>
  <c r="AL68" i="1" s="1"/>
  <c r="Z73" i="1"/>
  <c r="Z74" i="1"/>
  <c r="AI94" i="1"/>
  <c r="AJ94" i="1" s="1"/>
  <c r="AD94" i="1"/>
  <c r="AC16" i="1"/>
  <c r="Q39" i="1"/>
  <c r="AC95" i="1"/>
  <c r="Q95" i="1"/>
  <c r="Y113" i="1"/>
  <c r="V113" i="1"/>
  <c r="AC113" i="1" s="1"/>
  <c r="Z52" i="1"/>
  <c r="AC58" i="1"/>
  <c r="N63" i="1"/>
  <c r="AM71" i="1"/>
  <c r="Z71" i="1" s="1"/>
  <c r="Q78" i="1"/>
  <c r="AA78" i="1" s="1"/>
  <c r="AK78" i="1" s="1"/>
  <c r="AL78" i="1" s="1"/>
  <c r="AC77" i="1"/>
  <c r="Q82" i="1"/>
  <c r="Z122" i="1"/>
  <c r="Z121" i="1"/>
  <c r="Z120" i="1"/>
  <c r="AD122" i="1"/>
  <c r="Z61" i="1"/>
  <c r="N55" i="1"/>
  <c r="AM59" i="1"/>
  <c r="Z59" i="1" s="1"/>
  <c r="AM87" i="1"/>
  <c r="Z87" i="1" s="1"/>
  <c r="AC102" i="1"/>
  <c r="Q101" i="1"/>
  <c r="AC100" i="1"/>
  <c r="N99" i="1"/>
  <c r="Q102" i="1"/>
  <c r="AC101" i="1"/>
  <c r="Q100" i="1"/>
  <c r="AI78" i="1"/>
  <c r="AJ78" i="1" s="1"/>
  <c r="AD78" i="1"/>
  <c r="Q106" i="1"/>
  <c r="AA106" i="1" s="1"/>
  <c r="AC105" i="1"/>
  <c r="Q104" i="1"/>
  <c r="AI109" i="1"/>
  <c r="AJ109" i="1" s="1"/>
  <c r="AD109" i="1"/>
  <c r="Z54" i="1"/>
  <c r="AM123" i="1"/>
  <c r="Z123" i="1" s="1"/>
  <c r="Z124" i="1"/>
  <c r="Z125" i="1"/>
  <c r="AM51" i="1"/>
  <c r="Z51" i="1" s="1"/>
  <c r="AC67" i="1"/>
  <c r="Y74" i="1"/>
  <c r="V74" i="1"/>
  <c r="AC74" i="1" s="1"/>
  <c r="N79" i="1"/>
  <c r="Q92" i="1"/>
  <c r="Q94" i="1"/>
  <c r="AA94" i="1" s="1"/>
  <c r="AK94" i="1" s="1"/>
  <c r="AL94" i="1" s="1"/>
  <c r="AC93" i="1"/>
  <c r="Q70" i="1"/>
  <c r="Q90" i="1"/>
  <c r="AC89" i="1"/>
  <c r="Q88" i="1"/>
  <c r="AC88" i="1"/>
  <c r="Q89" i="1"/>
  <c r="AC90" i="1"/>
  <c r="AI149" i="1"/>
  <c r="AJ149" i="1" s="1"/>
  <c r="AB149" i="1"/>
  <c r="AA149" i="1" s="1"/>
  <c r="AK149" i="1" s="1"/>
  <c r="AL149" i="1" s="1"/>
  <c r="AM119" i="1"/>
  <c r="Z119" i="1" s="1"/>
  <c r="AD149" i="1"/>
  <c r="Z126" i="1"/>
  <c r="N87" i="1"/>
  <c r="AM91" i="1"/>
  <c r="Z91" i="1" s="1"/>
  <c r="Q93" i="1"/>
  <c r="AA146" i="1"/>
  <c r="AK146" i="1" s="1"/>
  <c r="AL146" i="1" s="1"/>
  <c r="AI164" i="1"/>
  <c r="AJ164" i="1" s="1"/>
  <c r="AB164" i="1"/>
  <c r="AA164" i="1" s="1"/>
  <c r="AK164" i="1" s="1"/>
  <c r="AL164" i="1" s="1"/>
  <c r="AD164" i="1"/>
  <c r="AC92" i="1"/>
  <c r="AM95" i="1"/>
  <c r="Z95" i="1" s="1"/>
  <c r="AC110" i="1"/>
  <c r="Z128" i="1"/>
  <c r="AI128" i="1" s="1"/>
  <c r="AJ128" i="1" s="1"/>
  <c r="Z130" i="1"/>
  <c r="AI130" i="1" s="1"/>
  <c r="AJ130" i="1" s="1"/>
  <c r="AA141" i="1"/>
  <c r="AK141" i="1" s="1"/>
  <c r="AL141" i="1" s="1"/>
  <c r="BB141" i="1" s="1"/>
  <c r="AM75" i="1"/>
  <c r="Z75" i="1" s="1"/>
  <c r="Q77" i="1"/>
  <c r="Z80" i="1"/>
  <c r="N91" i="1"/>
  <c r="Y110" i="1"/>
  <c r="V110" i="1"/>
  <c r="AC118" i="1"/>
  <c r="AB120" i="1"/>
  <c r="AA120" i="1"/>
  <c r="AK120" i="1" s="1"/>
  <c r="AL120" i="1" s="1"/>
  <c r="AI141" i="1"/>
  <c r="AJ141" i="1" s="1"/>
  <c r="AC76" i="1"/>
  <c r="AD120" i="1"/>
  <c r="Q128" i="1"/>
  <c r="AA128" i="1" s="1"/>
  <c r="Q130" i="1"/>
  <c r="AC129" i="1"/>
  <c r="AI142" i="1"/>
  <c r="AJ142" i="1" s="1"/>
  <c r="AD142" i="1"/>
  <c r="N75" i="1"/>
  <c r="AM67" i="1"/>
  <c r="Z67" i="1" s="1"/>
  <c r="V73" i="1"/>
  <c r="AC73" i="1" s="1"/>
  <c r="AM79" i="1"/>
  <c r="Z79" i="1" s="1"/>
  <c r="AI122" i="1"/>
  <c r="AJ122" i="1" s="1"/>
  <c r="AI120" i="1"/>
  <c r="AJ120" i="1" s="1"/>
  <c r="O157" i="1"/>
  <c r="AC160" i="1"/>
  <c r="AC158" i="1"/>
  <c r="AC159" i="1"/>
  <c r="Q126" i="1"/>
  <c r="AC124" i="1"/>
  <c r="AD128" i="1"/>
  <c r="AB130" i="1"/>
  <c r="AD145" i="1"/>
  <c r="AB145" i="1"/>
  <c r="AA145" i="1" s="1"/>
  <c r="AI145" i="1"/>
  <c r="AJ145" i="1" s="1"/>
  <c r="AD147" i="1"/>
  <c r="AI147" i="1"/>
  <c r="AJ147" i="1" s="1"/>
  <c r="AD143" i="1"/>
  <c r="AB143" i="1"/>
  <c r="AA143" i="1" s="1"/>
  <c r="AK143" i="1" s="1"/>
  <c r="AL143" i="1" s="1"/>
  <c r="AI144" i="1"/>
  <c r="AJ144" i="1" s="1"/>
  <c r="AD167" i="1"/>
  <c r="AA179" i="1"/>
  <c r="AK179" i="1" s="1"/>
  <c r="AL179" i="1" s="1"/>
  <c r="AC104" i="1"/>
  <c r="V108" i="1"/>
  <c r="AC108" i="1" s="1"/>
  <c r="Y159" i="1"/>
  <c r="AD163" i="1"/>
  <c r="AB163" i="1"/>
  <c r="AI163" i="1"/>
  <c r="AJ163" i="1" s="1"/>
  <c r="AD172" i="1"/>
  <c r="AA175" i="1"/>
  <c r="AK175" i="1" s="1"/>
  <c r="AL175" i="1" s="1"/>
  <c r="AC116" i="1"/>
  <c r="AM127" i="1"/>
  <c r="Z127" i="1" s="1"/>
  <c r="AI143" i="1"/>
  <c r="AJ143" i="1" s="1"/>
  <c r="AA163" i="1"/>
  <c r="AK163" i="1" s="1"/>
  <c r="AL163" i="1" s="1"/>
  <c r="AK166" i="1"/>
  <c r="AL166" i="1" s="1"/>
  <c r="AA177" i="1"/>
  <c r="AM115" i="1"/>
  <c r="Z115" i="1" s="1"/>
  <c r="Z117" i="1"/>
  <c r="AA162" i="1"/>
  <c r="AK162" i="1" s="1"/>
  <c r="AL162" i="1" s="1"/>
  <c r="AD179" i="1"/>
  <c r="V107" i="1"/>
  <c r="Q118" i="1"/>
  <c r="Y157" i="1"/>
  <c r="V157" i="1"/>
  <c r="AD170" i="1"/>
  <c r="AA173" i="1"/>
  <c r="Z100" i="1"/>
  <c r="Z102" i="1"/>
  <c r="Z108" i="1"/>
  <c r="Q122" i="1"/>
  <c r="AA122" i="1" s="1"/>
  <c r="AK122" i="1" s="1"/>
  <c r="AL122" i="1" s="1"/>
  <c r="AC121" i="1"/>
  <c r="Q124" i="1"/>
  <c r="AA152" i="1"/>
  <c r="AK152" i="1" s="1"/>
  <c r="AL152" i="1" s="1"/>
  <c r="AA168" i="1"/>
  <c r="AK168" i="1" s="1"/>
  <c r="AL168" i="1" s="1"/>
  <c r="AA178" i="1"/>
  <c r="AK178" i="1" s="1"/>
  <c r="AL178" i="1" s="1"/>
  <c r="N103" i="1"/>
  <c r="Q109" i="1"/>
  <c r="AA109" i="1" s="1"/>
  <c r="AK109" i="1" s="1"/>
  <c r="AL109" i="1" s="1"/>
  <c r="AC117" i="1"/>
  <c r="O119" i="1"/>
  <c r="AC119" i="1" s="1"/>
  <c r="N123" i="1"/>
  <c r="Q125" i="1"/>
  <c r="AA148" i="1"/>
  <c r="AK148" i="1" s="1"/>
  <c r="AL148" i="1" s="1"/>
  <c r="AA150" i="1"/>
  <c r="AK150" i="1" s="1"/>
  <c r="AL150" i="1" s="1"/>
  <c r="AA156" i="1"/>
  <c r="AK156" i="1" s="1"/>
  <c r="AL156" i="1" s="1"/>
  <c r="AI161" i="1"/>
  <c r="AJ161" i="1" s="1"/>
  <c r="AD161" i="1"/>
  <c r="AA171" i="1"/>
  <c r="AK171" i="1" s="1"/>
  <c r="AL171" i="1" s="1"/>
  <c r="AA176" i="1"/>
  <c r="AK176" i="1" s="1"/>
  <c r="AL176" i="1" s="1"/>
  <c r="N107" i="1"/>
  <c r="V114" i="1"/>
  <c r="AC114" i="1" s="1"/>
  <c r="N115" i="1"/>
  <c r="AD153" i="1"/>
  <c r="AB153" i="1"/>
  <c r="AA153" i="1" s="1"/>
  <c r="AK153" i="1" s="1"/>
  <c r="AL153" i="1" s="1"/>
  <c r="AD155" i="1"/>
  <c r="AB155" i="1"/>
  <c r="AA155" i="1" s="1"/>
  <c r="AK155" i="1" s="1"/>
  <c r="AL155" i="1" s="1"/>
  <c r="AI156" i="1"/>
  <c r="AJ156" i="1" s="1"/>
  <c r="AB162" i="1"/>
  <c r="AI162" i="1"/>
  <c r="AJ162" i="1" s="1"/>
  <c r="AD162" i="1"/>
  <c r="AA169" i="1"/>
  <c r="AK169" i="1" s="1"/>
  <c r="AL169" i="1" s="1"/>
  <c r="AA180" i="1"/>
  <c r="AK180" i="1" s="1"/>
  <c r="AL180" i="1" s="1"/>
  <c r="AA144" i="1"/>
  <c r="AK144" i="1" s="1"/>
  <c r="AL144" i="1" s="1"/>
  <c r="AI154" i="1"/>
  <c r="AJ154" i="1" s="1"/>
  <c r="AA161" i="1"/>
  <c r="AK161" i="1" s="1"/>
  <c r="AL161" i="1" s="1"/>
  <c r="AD168" i="1"/>
  <c r="AI179" i="1"/>
  <c r="AJ179" i="1" s="1"/>
  <c r="AD180" i="1"/>
  <c r="AB171" i="1"/>
  <c r="AI172" i="1"/>
  <c r="AJ172" i="1" s="1"/>
  <c r="AD173" i="1"/>
  <c r="AI177" i="1"/>
  <c r="AJ177" i="1" s="1"/>
  <c r="AI170" i="1"/>
  <c r="AJ170" i="1" s="1"/>
  <c r="AD171" i="1"/>
  <c r="AB174" i="1"/>
  <c r="AA174" i="1" s="1"/>
  <c r="AK174" i="1" s="1"/>
  <c r="AL174" i="1" s="1"/>
  <c r="AD176" i="1"/>
  <c r="AI168" i="1"/>
  <c r="AJ168" i="1" s="1"/>
  <c r="AI180" i="1"/>
  <c r="AJ180" i="1" s="1"/>
  <c r="AB172" i="1"/>
  <c r="AA172" i="1" s="1"/>
  <c r="AK172" i="1" s="1"/>
  <c r="AL172" i="1" s="1"/>
  <c r="AI173" i="1"/>
  <c r="AJ173" i="1" s="1"/>
  <c r="AD174" i="1"/>
  <c r="AB170" i="1"/>
  <c r="AA170" i="1" s="1"/>
  <c r="AK170" i="1" s="1"/>
  <c r="AL170" i="1" s="1"/>
  <c r="AI171" i="1"/>
  <c r="AJ171" i="1" s="1"/>
  <c r="U11" i="2" l="1"/>
  <c r="V11" i="2" s="1"/>
  <c r="AI127" i="1"/>
  <c r="AJ127" i="1" s="1"/>
  <c r="AB127" i="1"/>
  <c r="AA127" i="1" s="1"/>
  <c r="AD127" i="1"/>
  <c r="AF127" i="1" s="1"/>
  <c r="AH127" i="1" s="1"/>
  <c r="AA70" i="1"/>
  <c r="AK70" i="1" s="1"/>
  <c r="AL70" i="1" s="1"/>
  <c r="AA130" i="1"/>
  <c r="AK130" i="1" s="1"/>
  <c r="AL130" i="1" s="1"/>
  <c r="AD69" i="1"/>
  <c r="AB69" i="1"/>
  <c r="AA69" i="1" s="1"/>
  <c r="AK69" i="1" s="1"/>
  <c r="AL69" i="1" s="1"/>
  <c r="AI69" i="1"/>
  <c r="AJ69" i="1" s="1"/>
  <c r="AK128" i="1"/>
  <c r="AL128" i="1" s="1"/>
  <c r="AI114" i="1"/>
  <c r="AJ114" i="1" s="1"/>
  <c r="AD114" i="1"/>
  <c r="AB114" i="1"/>
  <c r="AA114" i="1" s="1"/>
  <c r="AK114" i="1" s="1"/>
  <c r="AL114" i="1" s="1"/>
  <c r="AD32" i="1"/>
  <c r="AB32" i="1"/>
  <c r="AA32" i="1" s="1"/>
  <c r="AK32" i="1" s="1"/>
  <c r="AL32" i="1" s="1"/>
  <c r="AI32" i="1"/>
  <c r="AJ32" i="1" s="1"/>
  <c r="AI73" i="1"/>
  <c r="AJ73" i="1" s="1"/>
  <c r="AD73" i="1"/>
  <c r="AB73" i="1"/>
  <c r="AA73" i="1" s="1"/>
  <c r="AK73" i="1" s="1"/>
  <c r="AL73" i="1" s="1"/>
  <c r="AB29" i="1"/>
  <c r="AA29" i="1" s="1"/>
  <c r="AK29" i="1" s="1"/>
  <c r="AL29" i="1" s="1"/>
  <c r="AI29" i="1"/>
  <c r="AJ29" i="1" s="1"/>
  <c r="AD29" i="1"/>
  <c r="AK44" i="1"/>
  <c r="AL44" i="1" s="1"/>
  <c r="AD39" i="1"/>
  <c r="AB39" i="1"/>
  <c r="AA39" i="1" s="1"/>
  <c r="AI28" i="1"/>
  <c r="AJ28" i="1" s="1"/>
  <c r="AD28" i="1"/>
  <c r="AB28" i="1"/>
  <c r="AD74" i="1"/>
  <c r="AB74" i="1"/>
  <c r="AI74" i="1"/>
  <c r="AJ74" i="1" s="1"/>
  <c r="AI108" i="1"/>
  <c r="AJ108" i="1" s="1"/>
  <c r="AB108" i="1"/>
  <c r="AA108" i="1" s="1"/>
  <c r="AD108" i="1"/>
  <c r="AD113" i="1"/>
  <c r="AB113" i="1"/>
  <c r="AI113" i="1"/>
  <c r="AJ113" i="1" s="1"/>
  <c r="AK106" i="1"/>
  <c r="AL106" i="1" s="1"/>
  <c r="AE142" i="1"/>
  <c r="AG142" i="1" s="1"/>
  <c r="AF142" i="1"/>
  <c r="AH142" i="1" s="1"/>
  <c r="AF168" i="1"/>
  <c r="AH168" i="1" s="1"/>
  <c r="AE168" i="1"/>
  <c r="AG168" i="1" s="1"/>
  <c r="AC103" i="1"/>
  <c r="Q103" i="1"/>
  <c r="AF147" i="1"/>
  <c r="AH147" i="1" s="1"/>
  <c r="AE147" i="1"/>
  <c r="AG147" i="1" s="1"/>
  <c r="AD105" i="1"/>
  <c r="AB105" i="1"/>
  <c r="AA105" i="1" s="1"/>
  <c r="AI105" i="1"/>
  <c r="AJ105" i="1" s="1"/>
  <c r="AB100" i="1"/>
  <c r="AA100" i="1" s="1"/>
  <c r="AK100" i="1" s="1"/>
  <c r="AL100" i="1" s="1"/>
  <c r="AI100" i="1"/>
  <c r="AJ100" i="1" s="1"/>
  <c r="AD100" i="1"/>
  <c r="AD13" i="1"/>
  <c r="AB13" i="1"/>
  <c r="AA13" i="1" s="1"/>
  <c r="AK13" i="1" s="1"/>
  <c r="AL13" i="1" s="1"/>
  <c r="AI13" i="1"/>
  <c r="AJ13" i="1" s="1"/>
  <c r="AF165" i="1"/>
  <c r="AH165" i="1" s="1"/>
  <c r="AE165" i="1"/>
  <c r="AG165" i="1" s="1"/>
  <c r="AF177" i="1"/>
  <c r="AH177" i="1" s="1"/>
  <c r="AE177" i="1"/>
  <c r="AG177" i="1" s="1"/>
  <c r="Q11" i="1"/>
  <c r="AC11" i="1"/>
  <c r="AI56" i="1"/>
  <c r="AJ56" i="1" s="1"/>
  <c r="AB56" i="1"/>
  <c r="AA56" i="1" s="1"/>
  <c r="AK56" i="1" s="1"/>
  <c r="AL56" i="1" s="1"/>
  <c r="AD56" i="1"/>
  <c r="AF70" i="1"/>
  <c r="AH70" i="1" s="1"/>
  <c r="AE70" i="1"/>
  <c r="AG70" i="1" s="1"/>
  <c r="AE154" i="1"/>
  <c r="AG154" i="1" s="1"/>
  <c r="AF154" i="1"/>
  <c r="AH154" i="1" s="1"/>
  <c r="AF175" i="1"/>
  <c r="AH175" i="1" s="1"/>
  <c r="AE175" i="1"/>
  <c r="AG175" i="1" s="1"/>
  <c r="AD43" i="1"/>
  <c r="AB43" i="1"/>
  <c r="AA43" i="1" s="1"/>
  <c r="AD66" i="1"/>
  <c r="AB66" i="1"/>
  <c r="AA66" i="1" s="1"/>
  <c r="AK66" i="1" s="1"/>
  <c r="AL66" i="1" s="1"/>
  <c r="AI66" i="1"/>
  <c r="AJ66" i="1" s="1"/>
  <c r="AD97" i="1"/>
  <c r="AI97" i="1"/>
  <c r="AJ97" i="1" s="1"/>
  <c r="AB97" i="1"/>
  <c r="AA97" i="1" s="1"/>
  <c r="AK97" i="1" s="1"/>
  <c r="AL97" i="1" s="1"/>
  <c r="AD40" i="1"/>
  <c r="AB40" i="1"/>
  <c r="AA40" i="1" s="1"/>
  <c r="AK40" i="1" s="1"/>
  <c r="AL40" i="1" s="1"/>
  <c r="AI40" i="1"/>
  <c r="AJ40" i="1" s="1"/>
  <c r="AE46" i="1"/>
  <c r="AG46" i="1" s="1"/>
  <c r="AF46" i="1"/>
  <c r="AH46" i="1" s="1"/>
  <c r="AE148" i="1"/>
  <c r="AG148" i="1" s="1"/>
  <c r="AF148" i="1"/>
  <c r="AH148" i="1" s="1"/>
  <c r="AD41" i="1"/>
  <c r="AI41" i="1"/>
  <c r="AJ41" i="1" s="1"/>
  <c r="AB41" i="1"/>
  <c r="AA41" i="1" s="1"/>
  <c r="AK41" i="1" s="1"/>
  <c r="AL41" i="1" s="1"/>
  <c r="Q71" i="1"/>
  <c r="AC71" i="1"/>
  <c r="AF68" i="1"/>
  <c r="AH68" i="1" s="1"/>
  <c r="AE68" i="1"/>
  <c r="AG68" i="1" s="1"/>
  <c r="AK142" i="1"/>
  <c r="AL142" i="1" s="1"/>
  <c r="AD45" i="1"/>
  <c r="AB45" i="1"/>
  <c r="AA45" i="1" s="1"/>
  <c r="AK45" i="1" s="1"/>
  <c r="AL45" i="1" s="1"/>
  <c r="AI45" i="1"/>
  <c r="AJ45" i="1" s="1"/>
  <c r="AC23" i="1"/>
  <c r="Q23" i="1"/>
  <c r="AI60" i="1"/>
  <c r="AJ60" i="1" s="1"/>
  <c r="AD60" i="1"/>
  <c r="AB60" i="1"/>
  <c r="AA60" i="1" s="1"/>
  <c r="AK60" i="1" s="1"/>
  <c r="AL60" i="1" s="1"/>
  <c r="AD53" i="1"/>
  <c r="AB53" i="1"/>
  <c r="AA53" i="1" s="1"/>
  <c r="AK53" i="1" s="1"/>
  <c r="AL53" i="1" s="1"/>
  <c r="AI53" i="1"/>
  <c r="AJ53" i="1" s="1"/>
  <c r="AD42" i="1"/>
  <c r="AB42" i="1"/>
  <c r="AA42" i="1" s="1"/>
  <c r="AK42" i="1" s="1"/>
  <c r="AL42" i="1" s="1"/>
  <c r="AI42" i="1"/>
  <c r="AJ42" i="1" s="1"/>
  <c r="AD72" i="1"/>
  <c r="AI72" i="1"/>
  <c r="AJ72" i="1" s="1"/>
  <c r="AB72" i="1"/>
  <c r="AA72" i="1" s="1"/>
  <c r="AK72" i="1" s="1"/>
  <c r="AL72" i="1" s="1"/>
  <c r="AA46" i="1"/>
  <c r="AK46" i="1" s="1"/>
  <c r="AL46" i="1" s="1"/>
  <c r="AB77" i="1"/>
  <c r="AA77" i="1" s="1"/>
  <c r="AK77" i="1" s="1"/>
  <c r="AL77" i="1" s="1"/>
  <c r="AI77" i="1"/>
  <c r="AJ77" i="1" s="1"/>
  <c r="AD77" i="1"/>
  <c r="AI104" i="1"/>
  <c r="AJ104" i="1" s="1"/>
  <c r="AD104" i="1"/>
  <c r="AB104" i="1"/>
  <c r="AA104" i="1" s="1"/>
  <c r="AK104" i="1" s="1"/>
  <c r="AL104" i="1" s="1"/>
  <c r="AF145" i="1"/>
  <c r="AH145" i="1" s="1"/>
  <c r="AE145" i="1"/>
  <c r="AG145" i="1" s="1"/>
  <c r="AA28" i="1"/>
  <c r="AK28" i="1" s="1"/>
  <c r="AL28" i="1" s="1"/>
  <c r="AE153" i="1"/>
  <c r="AG153" i="1" s="1"/>
  <c r="AF153" i="1"/>
  <c r="AH153" i="1" s="1"/>
  <c r="AI121" i="1"/>
  <c r="AJ121" i="1" s="1"/>
  <c r="AD121" i="1"/>
  <c r="AB121" i="1"/>
  <c r="AA121" i="1" s="1"/>
  <c r="AK121" i="1" s="1"/>
  <c r="AL121" i="1" s="1"/>
  <c r="AF167" i="1"/>
  <c r="AH167" i="1" s="1"/>
  <c r="AE167" i="1"/>
  <c r="AG167" i="1" s="1"/>
  <c r="AC157" i="1"/>
  <c r="AB118" i="1"/>
  <c r="AA118" i="1" s="1"/>
  <c r="AK118" i="1" s="1"/>
  <c r="AL118" i="1" s="1"/>
  <c r="AD118" i="1"/>
  <c r="AI118" i="1"/>
  <c r="AJ118" i="1" s="1"/>
  <c r="Q55" i="1"/>
  <c r="AC55" i="1"/>
  <c r="Q63" i="1"/>
  <c r="AC63" i="1"/>
  <c r="Q15" i="1"/>
  <c r="AC15" i="1"/>
  <c r="AF44" i="1"/>
  <c r="AH44" i="1" s="1"/>
  <c r="AE44" i="1"/>
  <c r="AG44" i="1" s="1"/>
  <c r="AI21" i="1"/>
  <c r="AJ21" i="1" s="1"/>
  <c r="AB21" i="1"/>
  <c r="AA21" i="1" s="1"/>
  <c r="AK21" i="1" s="1"/>
  <c r="AL21" i="1" s="1"/>
  <c r="AD21" i="1"/>
  <c r="AE146" i="1"/>
  <c r="AG146" i="1" s="1"/>
  <c r="AF146" i="1"/>
  <c r="AH146" i="1" s="1"/>
  <c r="AI49" i="1"/>
  <c r="AJ49" i="1" s="1"/>
  <c r="AD49" i="1"/>
  <c r="AB49" i="1"/>
  <c r="AA49" i="1" s="1"/>
  <c r="AK49" i="1" s="1"/>
  <c r="AL49" i="1" s="1"/>
  <c r="AD61" i="1"/>
  <c r="AI61" i="1"/>
  <c r="AJ61" i="1" s="1"/>
  <c r="AB61" i="1"/>
  <c r="AA61" i="1" s="1"/>
  <c r="AK61" i="1" s="1"/>
  <c r="AL61" i="1" s="1"/>
  <c r="AI85" i="1"/>
  <c r="AJ85" i="1" s="1"/>
  <c r="AB85" i="1"/>
  <c r="AA85" i="1" s="1"/>
  <c r="AK85" i="1" s="1"/>
  <c r="AL85" i="1" s="1"/>
  <c r="AD85" i="1"/>
  <c r="AF155" i="1"/>
  <c r="AH155" i="1" s="1"/>
  <c r="AE155" i="1"/>
  <c r="AG155" i="1" s="1"/>
  <c r="AD47" i="1"/>
  <c r="AB47" i="1"/>
  <c r="AA47" i="1" s="1"/>
  <c r="AD54" i="1"/>
  <c r="AB54" i="1"/>
  <c r="AA54" i="1" s="1"/>
  <c r="AI54" i="1"/>
  <c r="AJ54" i="1" s="1"/>
  <c r="AF179" i="1"/>
  <c r="AH179" i="1" s="1"/>
  <c r="AE179" i="1"/>
  <c r="AG179" i="1" s="1"/>
  <c r="AI116" i="1"/>
  <c r="AJ116" i="1" s="1"/>
  <c r="AD116" i="1"/>
  <c r="AB116" i="1"/>
  <c r="AA116" i="1" s="1"/>
  <c r="AK116" i="1" s="1"/>
  <c r="AL116" i="1" s="1"/>
  <c r="AB93" i="1"/>
  <c r="AA93" i="1" s="1"/>
  <c r="AK93" i="1" s="1"/>
  <c r="AL93" i="1" s="1"/>
  <c r="AD93" i="1"/>
  <c r="AI93" i="1"/>
  <c r="AJ93" i="1" s="1"/>
  <c r="AI58" i="1"/>
  <c r="AJ58" i="1" s="1"/>
  <c r="AD58" i="1"/>
  <c r="AB58" i="1"/>
  <c r="AA58" i="1" s="1"/>
  <c r="AK58" i="1" s="1"/>
  <c r="AL58" i="1" s="1"/>
  <c r="AF94" i="1"/>
  <c r="AH94" i="1" s="1"/>
  <c r="AE94" i="1"/>
  <c r="AG94" i="1" s="1"/>
  <c r="AI24" i="1"/>
  <c r="AJ24" i="1" s="1"/>
  <c r="AB24" i="1"/>
  <c r="AA24" i="1" s="1"/>
  <c r="AK24" i="1" s="1"/>
  <c r="AL24" i="1" s="1"/>
  <c r="AD24" i="1"/>
  <c r="AI81" i="1"/>
  <c r="AJ81" i="1" s="1"/>
  <c r="AB81" i="1"/>
  <c r="AA81" i="1" s="1"/>
  <c r="AK81" i="1" s="1"/>
  <c r="AL81" i="1" s="1"/>
  <c r="AD81" i="1"/>
  <c r="AF144" i="1"/>
  <c r="AH144" i="1" s="1"/>
  <c r="AE144" i="1"/>
  <c r="AG144" i="1" s="1"/>
  <c r="Q111" i="1"/>
  <c r="AC111" i="1"/>
  <c r="AD62" i="1"/>
  <c r="AB62" i="1"/>
  <c r="AA62" i="1" s="1"/>
  <c r="AK62" i="1" s="1"/>
  <c r="AL62" i="1" s="1"/>
  <c r="AI62" i="1"/>
  <c r="AJ62" i="1" s="1"/>
  <c r="AC35" i="1"/>
  <c r="Q35" i="1"/>
  <c r="AB18" i="1"/>
  <c r="AA18" i="1" s="1"/>
  <c r="AK18" i="1" s="1"/>
  <c r="AL18" i="1" s="1"/>
  <c r="AI18" i="1"/>
  <c r="AJ18" i="1" s="1"/>
  <c r="AD18" i="1"/>
  <c r="AB67" i="1"/>
  <c r="AA67" i="1" s="1"/>
  <c r="AD67" i="1"/>
  <c r="AI67" i="1"/>
  <c r="AJ67" i="1" s="1"/>
  <c r="AI129" i="1"/>
  <c r="AJ129" i="1" s="1"/>
  <c r="AD129" i="1"/>
  <c r="AB129" i="1"/>
  <c r="AA129" i="1" s="1"/>
  <c r="AK129" i="1" s="1"/>
  <c r="AL129" i="1" s="1"/>
  <c r="AI16" i="1"/>
  <c r="AJ16" i="1" s="1"/>
  <c r="AB16" i="1"/>
  <c r="AA16" i="1" s="1"/>
  <c r="AK16" i="1" s="1"/>
  <c r="AL16" i="1" s="1"/>
  <c r="AD16" i="1"/>
  <c r="AE152" i="1"/>
  <c r="AG152" i="1" s="1"/>
  <c r="AF152" i="1"/>
  <c r="AH152" i="1" s="1"/>
  <c r="AF120" i="1"/>
  <c r="AH120" i="1" s="1"/>
  <c r="AE120" i="1"/>
  <c r="AG120" i="1" s="1"/>
  <c r="AA110" i="1"/>
  <c r="AK110" i="1" s="1"/>
  <c r="AL110" i="1" s="1"/>
  <c r="AD110" i="1"/>
  <c r="AB110" i="1"/>
  <c r="AI110" i="1"/>
  <c r="AJ110" i="1" s="1"/>
  <c r="Q87" i="1"/>
  <c r="AC87" i="1"/>
  <c r="AI90" i="1"/>
  <c r="AJ90" i="1" s="1"/>
  <c r="AD90" i="1"/>
  <c r="AB90" i="1"/>
  <c r="AA90" i="1" s="1"/>
  <c r="AK90" i="1" s="1"/>
  <c r="AL90" i="1" s="1"/>
  <c r="AF106" i="1"/>
  <c r="AH106" i="1" s="1"/>
  <c r="AE106" i="1"/>
  <c r="AG106" i="1" s="1"/>
  <c r="AD26" i="1"/>
  <c r="AB26" i="1"/>
  <c r="AA26" i="1" s="1"/>
  <c r="AK26" i="1" s="1"/>
  <c r="AL26" i="1" s="1"/>
  <c r="AI26" i="1"/>
  <c r="AJ26" i="1" s="1"/>
  <c r="AI82" i="1"/>
  <c r="AJ82" i="1" s="1"/>
  <c r="AD82" i="1"/>
  <c r="AB82" i="1"/>
  <c r="AA82" i="1" s="1"/>
  <c r="AK82" i="1" s="1"/>
  <c r="AL82" i="1" s="1"/>
  <c r="AE141" i="1"/>
  <c r="AG141" i="1" s="1"/>
  <c r="AF141" i="1"/>
  <c r="AH141" i="1" s="1"/>
  <c r="AC59" i="1"/>
  <c r="Q59" i="1"/>
  <c r="AB36" i="1"/>
  <c r="AA36" i="1" s="1"/>
  <c r="AK36" i="1" s="1"/>
  <c r="AL36" i="1" s="1"/>
  <c r="AI36" i="1"/>
  <c r="AJ36" i="1" s="1"/>
  <c r="AD36" i="1"/>
  <c r="AF50" i="1"/>
  <c r="AH50" i="1" s="1"/>
  <c r="AE50" i="1"/>
  <c r="AG50" i="1" s="1"/>
  <c r="AD34" i="1"/>
  <c r="AB34" i="1"/>
  <c r="AA34" i="1" s="1"/>
  <c r="AK34" i="1" s="1"/>
  <c r="AL34" i="1" s="1"/>
  <c r="AI34" i="1"/>
  <c r="AJ34" i="1" s="1"/>
  <c r="AI30" i="1"/>
  <c r="AJ30" i="1" s="1"/>
  <c r="AD30" i="1"/>
  <c r="AB30" i="1"/>
  <c r="AA30" i="1" s="1"/>
  <c r="AK30" i="1" s="1"/>
  <c r="AL30" i="1" s="1"/>
  <c r="Z27" i="1"/>
  <c r="Z35" i="1"/>
  <c r="Z43" i="1"/>
  <c r="AI43" i="1" s="1"/>
  <c r="AJ43" i="1" s="1"/>
  <c r="Z31" i="1"/>
  <c r="Z23" i="1"/>
  <c r="Z11" i="1"/>
  <c r="Z19" i="1"/>
  <c r="Z15" i="1"/>
  <c r="Z47" i="1"/>
  <c r="AI47" i="1" s="1"/>
  <c r="AJ47" i="1" s="1"/>
  <c r="Z39" i="1"/>
  <c r="AI39" i="1" s="1"/>
  <c r="AK145" i="1"/>
  <c r="AL145" i="1" s="1"/>
  <c r="AB102" i="1"/>
  <c r="AA102" i="1" s="1"/>
  <c r="AI102" i="1"/>
  <c r="AJ102" i="1" s="1"/>
  <c r="AD102" i="1"/>
  <c r="AE150" i="1"/>
  <c r="AG150" i="1" s="1"/>
  <c r="AF150" i="1"/>
  <c r="AH150" i="1" s="1"/>
  <c r="AF174" i="1"/>
  <c r="AH174" i="1" s="1"/>
  <c r="AE174" i="1"/>
  <c r="AG174" i="1" s="1"/>
  <c r="AF173" i="1"/>
  <c r="AH173" i="1" s="1"/>
  <c r="AE173" i="1"/>
  <c r="AG173" i="1" s="1"/>
  <c r="AC91" i="1"/>
  <c r="Q91" i="1"/>
  <c r="AE109" i="1"/>
  <c r="AG109" i="1" s="1"/>
  <c r="AF109" i="1"/>
  <c r="AH109" i="1" s="1"/>
  <c r="AF122" i="1"/>
  <c r="AH122" i="1" s="1"/>
  <c r="AE122" i="1"/>
  <c r="AG122" i="1" s="1"/>
  <c r="AD25" i="1"/>
  <c r="AI25" i="1"/>
  <c r="AJ25" i="1" s="1"/>
  <c r="AB25" i="1"/>
  <c r="AA25" i="1" s="1"/>
  <c r="AK25" i="1" s="1"/>
  <c r="AL25" i="1" s="1"/>
  <c r="AI12" i="1"/>
  <c r="AJ12" i="1" s="1"/>
  <c r="AB12" i="1"/>
  <c r="AA12" i="1" s="1"/>
  <c r="AK12" i="1" s="1"/>
  <c r="AL12" i="1" s="1"/>
  <c r="AD12" i="1"/>
  <c r="AE156" i="1"/>
  <c r="AG156" i="1" s="1"/>
  <c r="AF156" i="1"/>
  <c r="AH156" i="1" s="1"/>
  <c r="AI33" i="1"/>
  <c r="AJ33" i="1" s="1"/>
  <c r="AB33" i="1"/>
  <c r="AA33" i="1" s="1"/>
  <c r="AK33" i="1" s="1"/>
  <c r="AL33" i="1" s="1"/>
  <c r="AD33" i="1"/>
  <c r="AD86" i="1"/>
  <c r="AB86" i="1"/>
  <c r="AA86" i="1" s="1"/>
  <c r="AI86" i="1"/>
  <c r="AJ86" i="1" s="1"/>
  <c r="AF78" i="1"/>
  <c r="AH78" i="1" s="1"/>
  <c r="AE78" i="1"/>
  <c r="AG78" i="1" s="1"/>
  <c r="AI119" i="1"/>
  <c r="AJ119" i="1" s="1"/>
  <c r="AD119" i="1"/>
  <c r="AB119" i="1"/>
  <c r="AA119" i="1" s="1"/>
  <c r="AI160" i="1"/>
  <c r="AJ160" i="1" s="1"/>
  <c r="AD160" i="1"/>
  <c r="AB160" i="1"/>
  <c r="AA160" i="1" s="1"/>
  <c r="AK160" i="1" s="1"/>
  <c r="AL160" i="1" s="1"/>
  <c r="AE162" i="1"/>
  <c r="AG162" i="1" s="1"/>
  <c r="AF162" i="1"/>
  <c r="AH162" i="1" s="1"/>
  <c r="AC123" i="1"/>
  <c r="Q123" i="1"/>
  <c r="AF128" i="1"/>
  <c r="AH128" i="1" s="1"/>
  <c r="AE128" i="1"/>
  <c r="AG128" i="1" s="1"/>
  <c r="AK154" i="1"/>
  <c r="AL154" i="1" s="1"/>
  <c r="AD124" i="1"/>
  <c r="AB124" i="1"/>
  <c r="AA124" i="1" s="1"/>
  <c r="AK124" i="1" s="1"/>
  <c r="AL124" i="1" s="1"/>
  <c r="AI124" i="1"/>
  <c r="AJ124" i="1" s="1"/>
  <c r="AC75" i="1"/>
  <c r="Q75" i="1"/>
  <c r="AI76" i="1"/>
  <c r="AJ76" i="1" s="1"/>
  <c r="AD76" i="1"/>
  <c r="AB76" i="1"/>
  <c r="AA76" i="1" s="1"/>
  <c r="AI92" i="1"/>
  <c r="AJ92" i="1" s="1"/>
  <c r="AD92" i="1"/>
  <c r="AB92" i="1"/>
  <c r="AA92" i="1" s="1"/>
  <c r="AK92" i="1" s="1"/>
  <c r="AL92" i="1" s="1"/>
  <c r="AI88" i="1"/>
  <c r="AJ88" i="1" s="1"/>
  <c r="AB88" i="1"/>
  <c r="AA88" i="1" s="1"/>
  <c r="AK88" i="1" s="1"/>
  <c r="AL88" i="1" s="1"/>
  <c r="AD88" i="1"/>
  <c r="AI101" i="1"/>
  <c r="AJ101" i="1" s="1"/>
  <c r="AB101" i="1"/>
  <c r="AA101" i="1" s="1"/>
  <c r="AK101" i="1" s="1"/>
  <c r="AL101" i="1" s="1"/>
  <c r="AD101" i="1"/>
  <c r="AA113" i="1"/>
  <c r="AK113" i="1" s="1"/>
  <c r="AL113" i="1" s="1"/>
  <c r="AD126" i="1"/>
  <c r="AB126" i="1"/>
  <c r="AA126" i="1" s="1"/>
  <c r="AK126" i="1" s="1"/>
  <c r="AL126" i="1" s="1"/>
  <c r="AI126" i="1"/>
  <c r="AJ126" i="1" s="1"/>
  <c r="AD80" i="1"/>
  <c r="AB80" i="1"/>
  <c r="AA80" i="1" s="1"/>
  <c r="AI80" i="1"/>
  <c r="AJ80" i="1" s="1"/>
  <c r="AF166" i="1"/>
  <c r="AH166" i="1" s="1"/>
  <c r="AE166" i="1"/>
  <c r="AG166" i="1" s="1"/>
  <c r="AI96" i="1"/>
  <c r="AJ96" i="1" s="1"/>
  <c r="AB96" i="1"/>
  <c r="AA96" i="1" s="1"/>
  <c r="AK96" i="1" s="1"/>
  <c r="AL96" i="1" s="1"/>
  <c r="AD96" i="1"/>
  <c r="AB38" i="1"/>
  <c r="AA38" i="1" s="1"/>
  <c r="AK38" i="1" s="1"/>
  <c r="AL38" i="1" s="1"/>
  <c r="AD38" i="1"/>
  <c r="AI38" i="1"/>
  <c r="AJ38" i="1" s="1"/>
  <c r="AA74" i="1"/>
  <c r="AK74" i="1" s="1"/>
  <c r="AL74" i="1" s="1"/>
  <c r="AE161" i="1"/>
  <c r="AG161" i="1" s="1"/>
  <c r="AF161" i="1"/>
  <c r="AH161" i="1" s="1"/>
  <c r="AD159" i="1"/>
  <c r="AI159" i="1"/>
  <c r="AJ159" i="1" s="1"/>
  <c r="AB159" i="1"/>
  <c r="AA159" i="1" s="1"/>
  <c r="AK159" i="1" s="1"/>
  <c r="AL159" i="1" s="1"/>
  <c r="AB158" i="1"/>
  <c r="AA158" i="1" s="1"/>
  <c r="AK158" i="1" s="1"/>
  <c r="AL158" i="1" s="1"/>
  <c r="AD158" i="1"/>
  <c r="AI158" i="1"/>
  <c r="AJ158" i="1" s="1"/>
  <c r="AC115" i="1"/>
  <c r="Q115" i="1"/>
  <c r="AK177" i="1"/>
  <c r="AL177" i="1" s="1"/>
  <c r="AF143" i="1"/>
  <c r="AH143" i="1" s="1"/>
  <c r="AE143" i="1"/>
  <c r="AG143" i="1" s="1"/>
  <c r="AF180" i="1"/>
  <c r="AH180" i="1" s="1"/>
  <c r="AE180" i="1"/>
  <c r="AG180" i="1" s="1"/>
  <c r="Q107" i="1"/>
  <c r="AC107" i="1"/>
  <c r="AD117" i="1"/>
  <c r="AB117" i="1"/>
  <c r="AA117" i="1" s="1"/>
  <c r="AI117" i="1"/>
  <c r="AJ117" i="1" s="1"/>
  <c r="AF164" i="1"/>
  <c r="AH164" i="1" s="1"/>
  <c r="AE164" i="1"/>
  <c r="AG164" i="1" s="1"/>
  <c r="AE149" i="1"/>
  <c r="AG149" i="1" s="1"/>
  <c r="AF149" i="1"/>
  <c r="AH149" i="1" s="1"/>
  <c r="Q79" i="1"/>
  <c r="AC79" i="1"/>
  <c r="AI125" i="1"/>
  <c r="AJ125" i="1" s="1"/>
  <c r="AD125" i="1"/>
  <c r="AB125" i="1"/>
  <c r="AA125" i="1" s="1"/>
  <c r="AK125" i="1" s="1"/>
  <c r="AL125" i="1" s="1"/>
  <c r="AF130" i="1"/>
  <c r="AH130" i="1" s="1"/>
  <c r="AE130" i="1"/>
  <c r="AG130" i="1" s="1"/>
  <c r="AF178" i="1"/>
  <c r="AH178" i="1" s="1"/>
  <c r="AE178" i="1"/>
  <c r="AG178" i="1" s="1"/>
  <c r="AI112" i="1"/>
  <c r="AJ112" i="1" s="1"/>
  <c r="AD112" i="1"/>
  <c r="AB112" i="1"/>
  <c r="AA112" i="1" s="1"/>
  <c r="AK112" i="1" s="1"/>
  <c r="AL112" i="1" s="1"/>
  <c r="AI65" i="1"/>
  <c r="AJ65" i="1" s="1"/>
  <c r="AB65" i="1"/>
  <c r="AA65" i="1" s="1"/>
  <c r="AK65" i="1" s="1"/>
  <c r="AL65" i="1" s="1"/>
  <c r="AD65" i="1"/>
  <c r="AD52" i="1"/>
  <c r="AI52" i="1"/>
  <c r="AJ52" i="1" s="1"/>
  <c r="AB52" i="1"/>
  <c r="AA52" i="1" s="1"/>
  <c r="AK52" i="1" s="1"/>
  <c r="AL52" i="1" s="1"/>
  <c r="AD22" i="1"/>
  <c r="AI22" i="1"/>
  <c r="AJ22" i="1" s="1"/>
  <c r="AB22" i="1"/>
  <c r="AA22" i="1" s="1"/>
  <c r="AK22" i="1" s="1"/>
  <c r="AL22" i="1" s="1"/>
  <c r="Q31" i="1"/>
  <c r="AC31" i="1"/>
  <c r="AD84" i="1"/>
  <c r="AB84" i="1"/>
  <c r="AA84" i="1" s="1"/>
  <c r="AI84" i="1"/>
  <c r="AJ84" i="1" s="1"/>
  <c r="AF171" i="1"/>
  <c r="AH171" i="1" s="1"/>
  <c r="AE171" i="1"/>
  <c r="AG171" i="1" s="1"/>
  <c r="AI48" i="1"/>
  <c r="AJ48" i="1" s="1"/>
  <c r="AB48" i="1"/>
  <c r="AA48" i="1" s="1"/>
  <c r="AK48" i="1" s="1"/>
  <c r="AL48" i="1" s="1"/>
  <c r="AD48" i="1"/>
  <c r="AD57" i="1"/>
  <c r="AB57" i="1"/>
  <c r="AA57" i="1" s="1"/>
  <c r="AI57" i="1"/>
  <c r="AJ57" i="1" s="1"/>
  <c r="AD17" i="1"/>
  <c r="AB17" i="1"/>
  <c r="AA17" i="1" s="1"/>
  <c r="AK17" i="1" s="1"/>
  <c r="AL17" i="1" s="1"/>
  <c r="AI17" i="1"/>
  <c r="AJ17" i="1" s="1"/>
  <c r="AI37" i="1"/>
  <c r="AJ37" i="1" s="1"/>
  <c r="AD37" i="1"/>
  <c r="AB37" i="1"/>
  <c r="AA37" i="1" s="1"/>
  <c r="AK37" i="1" s="1"/>
  <c r="AL37" i="1" s="1"/>
  <c r="AK173" i="1"/>
  <c r="AL173" i="1" s="1"/>
  <c r="AF172" i="1"/>
  <c r="AH172" i="1" s="1"/>
  <c r="AE172" i="1"/>
  <c r="AG172" i="1" s="1"/>
  <c r="AF176" i="1"/>
  <c r="AH176" i="1" s="1"/>
  <c r="AE176" i="1"/>
  <c r="AG176" i="1" s="1"/>
  <c r="AE170" i="1"/>
  <c r="AG170" i="1" s="1"/>
  <c r="AF170" i="1"/>
  <c r="AH170" i="1" s="1"/>
  <c r="AF163" i="1"/>
  <c r="AH163" i="1" s="1"/>
  <c r="AE163" i="1"/>
  <c r="AG163" i="1" s="1"/>
  <c r="AK147" i="1"/>
  <c r="AL147" i="1" s="1"/>
  <c r="AI89" i="1"/>
  <c r="AJ89" i="1" s="1"/>
  <c r="AD89" i="1"/>
  <c r="AB89" i="1"/>
  <c r="AA89" i="1" s="1"/>
  <c r="AK89" i="1" s="1"/>
  <c r="AL89" i="1" s="1"/>
  <c r="Q99" i="1"/>
  <c r="AC99" i="1"/>
  <c r="AI95" i="1"/>
  <c r="AJ95" i="1" s="1"/>
  <c r="AB95" i="1"/>
  <c r="AA95" i="1" s="1"/>
  <c r="AD95" i="1"/>
  <c r="Q19" i="1"/>
  <c r="AC19" i="1"/>
  <c r="AF151" i="1"/>
  <c r="AH151" i="1" s="1"/>
  <c r="AE151" i="1"/>
  <c r="AG151" i="1" s="1"/>
  <c r="AF169" i="1"/>
  <c r="AH169" i="1" s="1"/>
  <c r="AE169" i="1"/>
  <c r="AG169" i="1" s="1"/>
  <c r="AD64" i="1"/>
  <c r="AB64" i="1"/>
  <c r="AA64" i="1" s="1"/>
  <c r="AI64" i="1"/>
  <c r="AJ64" i="1" s="1"/>
  <c r="AI98" i="1"/>
  <c r="AJ98" i="1" s="1"/>
  <c r="AD98" i="1"/>
  <c r="AB98" i="1"/>
  <c r="AA98" i="1" s="1"/>
  <c r="AK98" i="1" s="1"/>
  <c r="AL98" i="1" s="1"/>
  <c r="AC51" i="1"/>
  <c r="Q51" i="1"/>
  <c r="AI14" i="1"/>
  <c r="AJ14" i="1" s="1"/>
  <c r="AB14" i="1"/>
  <c r="AA14" i="1" s="1"/>
  <c r="AK14" i="1" s="1"/>
  <c r="AL14" i="1" s="1"/>
  <c r="AD14" i="1"/>
  <c r="AD20" i="1"/>
  <c r="AI20" i="1"/>
  <c r="AJ20" i="1" s="1"/>
  <c r="AB20" i="1"/>
  <c r="AA20" i="1" s="1"/>
  <c r="AK20" i="1" s="1"/>
  <c r="AL20" i="1" s="1"/>
  <c r="Q27" i="1"/>
  <c r="AC27" i="1"/>
  <c r="AC83" i="1"/>
  <c r="Q83" i="1"/>
  <c r="AE127" i="1" l="1"/>
  <c r="AG127" i="1" s="1"/>
  <c r="AK127" i="1"/>
  <c r="AL127" i="1" s="1"/>
  <c r="AK43" i="1"/>
  <c r="AL43" i="1" s="1"/>
  <c r="AK119" i="1"/>
  <c r="AL119" i="1" s="1"/>
  <c r="AJ39" i="1"/>
  <c r="AK39" i="1"/>
  <c r="AL39" i="1" s="1"/>
  <c r="AK47" i="1"/>
  <c r="AL47" i="1" s="1"/>
  <c r="AK64" i="1"/>
  <c r="AL64" i="1" s="1"/>
  <c r="AK105" i="1"/>
  <c r="AL105" i="1" s="1"/>
  <c r="AF76" i="1"/>
  <c r="AH76" i="1" s="1"/>
  <c r="AE76" i="1"/>
  <c r="AG76" i="1" s="1"/>
  <c r="AI123" i="1"/>
  <c r="AJ123" i="1" s="1"/>
  <c r="AD123" i="1"/>
  <c r="AB123" i="1"/>
  <c r="AA123" i="1" s="1"/>
  <c r="AF12" i="1"/>
  <c r="AH12" i="1" s="1"/>
  <c r="AE12" i="1"/>
  <c r="AG12" i="1" s="1"/>
  <c r="AI91" i="1"/>
  <c r="AJ91" i="1" s="1"/>
  <c r="AX91" i="1" s="1"/>
  <c r="AD91" i="1"/>
  <c r="AB91" i="1"/>
  <c r="AA91" i="1" s="1"/>
  <c r="AF24" i="1"/>
  <c r="AH24" i="1" s="1"/>
  <c r="AE24" i="1"/>
  <c r="AG24" i="1" s="1"/>
  <c r="AE93" i="1"/>
  <c r="AG93" i="1" s="1"/>
  <c r="AF93" i="1"/>
  <c r="AH93" i="1" s="1"/>
  <c r="AF40" i="1"/>
  <c r="AH40" i="1" s="1"/>
  <c r="AE40" i="1"/>
  <c r="AG40" i="1" s="1"/>
  <c r="AE39" i="1"/>
  <c r="AG39" i="1" s="1"/>
  <c r="AF39" i="1"/>
  <c r="AH39" i="1" s="1"/>
  <c r="AD15" i="1"/>
  <c r="AB15" i="1"/>
  <c r="AA15" i="1" s="1"/>
  <c r="AI15" i="1"/>
  <c r="AJ15" i="1" s="1"/>
  <c r="AB23" i="1"/>
  <c r="AA23" i="1" s="1"/>
  <c r="AI23" i="1"/>
  <c r="AJ23" i="1" s="1"/>
  <c r="AD23" i="1"/>
  <c r="AF41" i="1"/>
  <c r="AH41" i="1" s="1"/>
  <c r="AE41" i="1"/>
  <c r="AG41" i="1" s="1"/>
  <c r="AF29" i="1"/>
  <c r="AH29" i="1" s="1"/>
  <c r="AE29" i="1"/>
  <c r="AG29" i="1" s="1"/>
  <c r="AF97" i="1"/>
  <c r="AH97" i="1" s="1"/>
  <c r="AE97" i="1"/>
  <c r="AG97" i="1" s="1"/>
  <c r="AF105" i="1"/>
  <c r="AH105" i="1" s="1"/>
  <c r="AE105" i="1"/>
  <c r="AG105" i="1" s="1"/>
  <c r="AE74" i="1"/>
  <c r="AG74" i="1" s="1"/>
  <c r="AF74" i="1"/>
  <c r="AH74" i="1" s="1"/>
  <c r="AF114" i="1"/>
  <c r="AH114" i="1" s="1"/>
  <c r="AE114" i="1"/>
  <c r="AG114" i="1" s="1"/>
  <c r="AF14" i="1"/>
  <c r="AH14" i="1" s="1"/>
  <c r="AE14" i="1"/>
  <c r="AG14" i="1" s="1"/>
  <c r="AF65" i="1"/>
  <c r="AH65" i="1" s="1"/>
  <c r="AE65" i="1"/>
  <c r="AG65" i="1" s="1"/>
  <c r="AE47" i="1"/>
  <c r="AG47" i="1" s="1"/>
  <c r="AF47" i="1"/>
  <c r="AH47" i="1" s="1"/>
  <c r="AE34" i="1"/>
  <c r="AG34" i="1" s="1"/>
  <c r="AF34" i="1"/>
  <c r="AH34" i="1" s="1"/>
  <c r="AD31" i="1"/>
  <c r="AI31" i="1"/>
  <c r="AJ31" i="1" s="1"/>
  <c r="AB31" i="1"/>
  <c r="AA31" i="1" s="1"/>
  <c r="AE158" i="1"/>
  <c r="AG158" i="1" s="1"/>
  <c r="AF158" i="1"/>
  <c r="AH158" i="1" s="1"/>
  <c r="AE38" i="1"/>
  <c r="AG38" i="1" s="1"/>
  <c r="AF38" i="1"/>
  <c r="AH38" i="1" s="1"/>
  <c r="AF33" i="1"/>
  <c r="AH33" i="1" s="1"/>
  <c r="AE33" i="1"/>
  <c r="AG33" i="1" s="1"/>
  <c r="AF16" i="1"/>
  <c r="AH16" i="1" s="1"/>
  <c r="AE16" i="1"/>
  <c r="AG16" i="1" s="1"/>
  <c r="AB63" i="1"/>
  <c r="AA63" i="1" s="1"/>
  <c r="AI63" i="1"/>
  <c r="AJ63" i="1" s="1"/>
  <c r="AD63" i="1"/>
  <c r="AF121" i="1"/>
  <c r="AH121" i="1" s="1"/>
  <c r="AE121" i="1"/>
  <c r="AG121" i="1" s="1"/>
  <c r="AF77" i="1"/>
  <c r="AH77" i="1" s="1"/>
  <c r="AE77" i="1"/>
  <c r="AG77" i="1" s="1"/>
  <c r="AF42" i="1"/>
  <c r="AH42" i="1" s="1"/>
  <c r="AE42" i="1"/>
  <c r="AG42" i="1" s="1"/>
  <c r="AF17" i="1"/>
  <c r="AH17" i="1" s="1"/>
  <c r="AE17" i="1"/>
  <c r="AG17" i="1" s="1"/>
  <c r="AF61" i="1"/>
  <c r="AH61" i="1" s="1"/>
  <c r="AE61" i="1"/>
  <c r="AG61" i="1" s="1"/>
  <c r="AE32" i="1"/>
  <c r="AG32" i="1" s="1"/>
  <c r="AF32" i="1"/>
  <c r="AH32" i="1" s="1"/>
  <c r="AF64" i="1"/>
  <c r="AH64" i="1" s="1"/>
  <c r="AE64" i="1"/>
  <c r="AG64" i="1" s="1"/>
  <c r="AF49" i="1"/>
  <c r="AH49" i="1" s="1"/>
  <c r="AE49" i="1"/>
  <c r="AG49" i="1" s="1"/>
  <c r="AF89" i="1"/>
  <c r="AH89" i="1" s="1"/>
  <c r="AE89" i="1"/>
  <c r="AG89" i="1" s="1"/>
  <c r="AF57" i="1"/>
  <c r="AH57" i="1" s="1"/>
  <c r="AE57" i="1"/>
  <c r="AG57" i="1" s="1"/>
  <c r="AE117" i="1"/>
  <c r="AG117" i="1" s="1"/>
  <c r="AF117" i="1"/>
  <c r="AH117" i="1" s="1"/>
  <c r="AF25" i="1"/>
  <c r="AH25" i="1" s="1"/>
  <c r="AE25" i="1"/>
  <c r="AG25" i="1" s="1"/>
  <c r="AF82" i="1"/>
  <c r="AH82" i="1" s="1"/>
  <c r="AE82" i="1"/>
  <c r="AG82" i="1" s="1"/>
  <c r="AI87" i="1"/>
  <c r="AJ87" i="1" s="1"/>
  <c r="AD87" i="1"/>
  <c r="AB87" i="1"/>
  <c r="AA87" i="1" s="1"/>
  <c r="AF18" i="1"/>
  <c r="AH18" i="1" s="1"/>
  <c r="AE18" i="1"/>
  <c r="AG18" i="1" s="1"/>
  <c r="AF28" i="1"/>
  <c r="AH28" i="1" s="1"/>
  <c r="AE28" i="1"/>
  <c r="AG28" i="1" s="1"/>
  <c r="AF52" i="1"/>
  <c r="AH52" i="1" s="1"/>
  <c r="AE52" i="1"/>
  <c r="AG52" i="1" s="1"/>
  <c r="AF88" i="1"/>
  <c r="AH88" i="1" s="1"/>
  <c r="AE88" i="1"/>
  <c r="AG88" i="1" s="1"/>
  <c r="AD115" i="1"/>
  <c r="AB115" i="1"/>
  <c r="AA115" i="1" s="1"/>
  <c r="AI115" i="1"/>
  <c r="AJ115" i="1" s="1"/>
  <c r="AD75" i="1"/>
  <c r="AB75" i="1"/>
  <c r="AA75" i="1" s="1"/>
  <c r="AI75" i="1"/>
  <c r="AJ75" i="1" s="1"/>
  <c r="AK67" i="1"/>
  <c r="AL67" i="1" s="1"/>
  <c r="AK117" i="1"/>
  <c r="AL117" i="1" s="1"/>
  <c r="AF48" i="1"/>
  <c r="AH48" i="1" s="1"/>
  <c r="AE48" i="1"/>
  <c r="AG48" i="1" s="1"/>
  <c r="AI107" i="1"/>
  <c r="AJ107" i="1" s="1"/>
  <c r="AD107" i="1"/>
  <c r="AB107" i="1"/>
  <c r="AA107" i="1" s="1"/>
  <c r="AF96" i="1"/>
  <c r="AH96" i="1" s="1"/>
  <c r="AE96" i="1"/>
  <c r="AG96" i="1" s="1"/>
  <c r="AF124" i="1"/>
  <c r="AH124" i="1" s="1"/>
  <c r="AE124" i="1"/>
  <c r="AG124" i="1" s="1"/>
  <c r="AE102" i="1"/>
  <c r="AG102" i="1" s="1"/>
  <c r="AF102" i="1"/>
  <c r="AH102" i="1" s="1"/>
  <c r="AF58" i="1"/>
  <c r="AH58" i="1" s="1"/>
  <c r="AE58" i="1"/>
  <c r="AG58" i="1" s="1"/>
  <c r="AF85" i="1"/>
  <c r="AH85" i="1" s="1"/>
  <c r="AE85" i="1"/>
  <c r="AG85" i="1" s="1"/>
  <c r="AI55" i="1"/>
  <c r="AJ55" i="1" s="1"/>
  <c r="AD55" i="1"/>
  <c r="AB55" i="1"/>
  <c r="AA55" i="1" s="1"/>
  <c r="AE45" i="1"/>
  <c r="AG45" i="1" s="1"/>
  <c r="AF45" i="1"/>
  <c r="AH45" i="1" s="1"/>
  <c r="AF56" i="1"/>
  <c r="AH56" i="1" s="1"/>
  <c r="AE56" i="1"/>
  <c r="AG56" i="1" s="1"/>
  <c r="AE13" i="1"/>
  <c r="AG13" i="1" s="1"/>
  <c r="AF13" i="1"/>
  <c r="AH13" i="1" s="1"/>
  <c r="AI157" i="1"/>
  <c r="AJ157" i="1" s="1"/>
  <c r="AX141" i="1" s="1"/>
  <c r="AD157" i="1"/>
  <c r="AB157" i="1"/>
  <c r="AA157" i="1" s="1"/>
  <c r="AE20" i="1"/>
  <c r="AG20" i="1" s="1"/>
  <c r="AF20" i="1"/>
  <c r="AH20" i="1" s="1"/>
  <c r="AE62" i="1"/>
  <c r="AG62" i="1" s="1"/>
  <c r="AF62" i="1"/>
  <c r="AH62" i="1" s="1"/>
  <c r="AF104" i="1"/>
  <c r="AH104" i="1" s="1"/>
  <c r="AE104" i="1"/>
  <c r="AG104" i="1" s="1"/>
  <c r="AE84" i="1"/>
  <c r="AG84" i="1" s="1"/>
  <c r="AF84" i="1"/>
  <c r="AH84" i="1" s="1"/>
  <c r="AD111" i="1"/>
  <c r="AB111" i="1"/>
  <c r="AA111" i="1" s="1"/>
  <c r="AI111" i="1"/>
  <c r="AJ111" i="1" s="1"/>
  <c r="AF112" i="1"/>
  <c r="AH112" i="1" s="1"/>
  <c r="AE112" i="1"/>
  <c r="AG112" i="1" s="1"/>
  <c r="AF126" i="1"/>
  <c r="AH126" i="1" s="1"/>
  <c r="AE126" i="1"/>
  <c r="AG126" i="1" s="1"/>
  <c r="AF81" i="1"/>
  <c r="AH81" i="1" s="1"/>
  <c r="AE81" i="1"/>
  <c r="AG81" i="1" s="1"/>
  <c r="AF53" i="1"/>
  <c r="AH53" i="1" s="1"/>
  <c r="AE53" i="1"/>
  <c r="AG53" i="1" s="1"/>
  <c r="AF66" i="1"/>
  <c r="AH66" i="1" s="1"/>
  <c r="AE66" i="1"/>
  <c r="AG66" i="1" s="1"/>
  <c r="AE113" i="1"/>
  <c r="AG113" i="1" s="1"/>
  <c r="AF113" i="1"/>
  <c r="AH113" i="1" s="1"/>
  <c r="AF73" i="1"/>
  <c r="AH73" i="1" s="1"/>
  <c r="AE73" i="1"/>
  <c r="AG73" i="1" s="1"/>
  <c r="AI59" i="1"/>
  <c r="AJ59" i="1" s="1"/>
  <c r="AB59" i="1"/>
  <c r="AA59" i="1" s="1"/>
  <c r="AD59" i="1"/>
  <c r="AF116" i="1"/>
  <c r="AH116" i="1" s="1"/>
  <c r="AE116" i="1"/>
  <c r="AG116" i="1" s="1"/>
  <c r="AE86" i="1"/>
  <c r="AG86" i="1" s="1"/>
  <c r="AF86" i="1"/>
  <c r="AH86" i="1" s="1"/>
  <c r="AF90" i="1"/>
  <c r="AH90" i="1" s="1"/>
  <c r="AE90" i="1"/>
  <c r="AG90" i="1" s="1"/>
  <c r="AE119" i="1"/>
  <c r="AG119" i="1" s="1"/>
  <c r="AF119" i="1"/>
  <c r="AH119" i="1" s="1"/>
  <c r="AK102" i="1"/>
  <c r="AL102" i="1" s="1"/>
  <c r="AF36" i="1"/>
  <c r="AH36" i="1" s="1"/>
  <c r="AE36" i="1"/>
  <c r="AG36" i="1" s="1"/>
  <c r="AK54" i="1"/>
  <c r="AL54" i="1" s="1"/>
  <c r="AF21" i="1"/>
  <c r="AH21" i="1" s="1"/>
  <c r="AE21" i="1"/>
  <c r="AG21" i="1" s="1"/>
  <c r="AF100" i="1"/>
  <c r="AH100" i="1" s="1"/>
  <c r="AE100" i="1"/>
  <c r="AG100" i="1" s="1"/>
  <c r="AF108" i="1"/>
  <c r="AH108" i="1" s="1"/>
  <c r="AE108" i="1"/>
  <c r="AG108" i="1" s="1"/>
  <c r="AK84" i="1"/>
  <c r="AL84" i="1" s="1"/>
  <c r="AK86" i="1"/>
  <c r="AL86" i="1" s="1"/>
  <c r="AB99" i="1"/>
  <c r="AA99" i="1" s="1"/>
  <c r="AI99" i="1"/>
  <c r="AJ99" i="1" s="1"/>
  <c r="AD99" i="1"/>
  <c r="AK57" i="1"/>
  <c r="AL57" i="1" s="1"/>
  <c r="AF125" i="1"/>
  <c r="AH125" i="1" s="1"/>
  <c r="AE125" i="1"/>
  <c r="AG125" i="1" s="1"/>
  <c r="AF80" i="1"/>
  <c r="AH80" i="1" s="1"/>
  <c r="AE80" i="1"/>
  <c r="AG80" i="1" s="1"/>
  <c r="AF160" i="1"/>
  <c r="AH160" i="1" s="1"/>
  <c r="AE160" i="1"/>
  <c r="AG160" i="1" s="1"/>
  <c r="AI83" i="1"/>
  <c r="AJ83" i="1" s="1"/>
  <c r="AD83" i="1"/>
  <c r="AB83" i="1"/>
  <c r="AA83" i="1" s="1"/>
  <c r="AF92" i="1"/>
  <c r="AH92" i="1" s="1"/>
  <c r="AE92" i="1"/>
  <c r="AG92" i="1" s="1"/>
  <c r="AF101" i="1"/>
  <c r="AH101" i="1" s="1"/>
  <c r="AE101" i="1"/>
  <c r="AG101" i="1" s="1"/>
  <c r="AK76" i="1"/>
  <c r="AL76" i="1" s="1"/>
  <c r="AF26" i="1"/>
  <c r="AH26" i="1" s="1"/>
  <c r="AE26" i="1"/>
  <c r="AG26" i="1" s="1"/>
  <c r="AE129" i="1"/>
  <c r="AG129" i="1" s="1"/>
  <c r="AF129" i="1"/>
  <c r="AH129" i="1" s="1"/>
  <c r="AK108" i="1"/>
  <c r="AL108" i="1" s="1"/>
  <c r="AF72" i="1"/>
  <c r="AH72" i="1" s="1"/>
  <c r="AE72" i="1"/>
  <c r="AG72" i="1" s="1"/>
  <c r="AK95" i="1"/>
  <c r="AL95" i="1" s="1"/>
  <c r="AK80" i="1"/>
  <c r="AL80" i="1" s="1"/>
  <c r="AF67" i="1"/>
  <c r="AH67" i="1" s="1"/>
  <c r="AE67" i="1"/>
  <c r="AG67" i="1" s="1"/>
  <c r="AI51" i="1"/>
  <c r="AJ51" i="1" s="1"/>
  <c r="AX51" i="1" s="1"/>
  <c r="AB51" i="1"/>
  <c r="AA51" i="1" s="1"/>
  <c r="AD51" i="1"/>
  <c r="AB79" i="1"/>
  <c r="AA79" i="1" s="1"/>
  <c r="AI79" i="1"/>
  <c r="AJ79" i="1" s="1"/>
  <c r="AD79" i="1"/>
  <c r="AD27" i="1"/>
  <c r="AI27" i="1"/>
  <c r="AJ27" i="1" s="1"/>
  <c r="AB27" i="1"/>
  <c r="AA27" i="1" s="1"/>
  <c r="AD19" i="1"/>
  <c r="AB19" i="1"/>
  <c r="AA19" i="1" s="1"/>
  <c r="AI19" i="1"/>
  <c r="AJ19" i="1" s="1"/>
  <c r="AE37" i="1"/>
  <c r="AG37" i="1" s="1"/>
  <c r="AF37" i="1"/>
  <c r="AH37" i="1" s="1"/>
  <c r="AF98" i="1"/>
  <c r="AH98" i="1" s="1"/>
  <c r="AE98" i="1"/>
  <c r="AG98" i="1" s="1"/>
  <c r="AE22" i="1"/>
  <c r="AG22" i="1" s="1"/>
  <c r="AF22" i="1"/>
  <c r="AH22" i="1" s="1"/>
  <c r="AE95" i="1"/>
  <c r="AG95" i="1" s="1"/>
  <c r="AF95" i="1"/>
  <c r="AH95" i="1" s="1"/>
  <c r="AF159" i="1"/>
  <c r="AH159" i="1" s="1"/>
  <c r="AE159" i="1"/>
  <c r="AG159" i="1" s="1"/>
  <c r="AF30" i="1"/>
  <c r="AH30" i="1" s="1"/>
  <c r="AE30" i="1"/>
  <c r="AG30" i="1" s="1"/>
  <c r="AE110" i="1"/>
  <c r="AG110" i="1" s="1"/>
  <c r="AF110" i="1"/>
  <c r="AH110" i="1" s="1"/>
  <c r="AB35" i="1"/>
  <c r="AA35" i="1" s="1"/>
  <c r="AI35" i="1"/>
  <c r="AJ35" i="1" s="1"/>
  <c r="AD35" i="1"/>
  <c r="AF54" i="1"/>
  <c r="AH54" i="1" s="1"/>
  <c r="AE54" i="1"/>
  <c r="AG54" i="1" s="1"/>
  <c r="AF118" i="1"/>
  <c r="AH118" i="1" s="1"/>
  <c r="AE118" i="1"/>
  <c r="AG118" i="1" s="1"/>
  <c r="AF60" i="1"/>
  <c r="AH60" i="1" s="1"/>
  <c r="AE60" i="1"/>
  <c r="AG60" i="1" s="1"/>
  <c r="AI71" i="1"/>
  <c r="AJ71" i="1" s="1"/>
  <c r="AD71" i="1"/>
  <c r="AB71" i="1"/>
  <c r="AA71" i="1" s="1"/>
  <c r="AF43" i="1"/>
  <c r="AH43" i="1" s="1"/>
  <c r="AE43" i="1"/>
  <c r="AG43" i="1" s="1"/>
  <c r="AD11" i="1"/>
  <c r="AB11" i="1"/>
  <c r="AA11" i="1" s="1"/>
  <c r="AI11" i="1"/>
  <c r="AJ11" i="1" s="1"/>
  <c r="AX11" i="1" s="1"/>
  <c r="AD103" i="1"/>
  <c r="AB103" i="1"/>
  <c r="AA103" i="1" s="1"/>
  <c r="AI103" i="1"/>
  <c r="AJ103" i="1" s="1"/>
  <c r="AF69" i="1"/>
  <c r="AH69" i="1" s="1"/>
  <c r="AE69" i="1"/>
  <c r="AG69" i="1" s="1"/>
  <c r="AK157" i="1" l="1"/>
  <c r="AL157" i="1" s="1"/>
  <c r="AK91" i="1"/>
  <c r="AL91" i="1" s="1"/>
  <c r="BB91" i="1" s="1"/>
  <c r="BL91" i="1" s="1"/>
  <c r="BM91" i="1" s="1"/>
  <c r="AK111" i="1"/>
  <c r="AL111" i="1" s="1"/>
  <c r="AK59" i="1"/>
  <c r="AL59" i="1" s="1"/>
  <c r="AK27" i="1"/>
  <c r="AL27" i="1" s="1"/>
  <c r="AK83" i="1"/>
  <c r="AL83" i="1" s="1"/>
  <c r="AK123" i="1"/>
  <c r="AL123" i="1" s="1"/>
  <c r="AK55" i="1"/>
  <c r="AL55" i="1" s="1"/>
  <c r="AK87" i="1"/>
  <c r="AL87" i="1" s="1"/>
  <c r="AK11" i="1"/>
  <c r="AL11" i="1" s="1"/>
  <c r="BB11" i="1" s="1"/>
  <c r="BL11" i="1" s="1"/>
  <c r="BM11" i="1" s="1"/>
  <c r="AK63" i="1"/>
  <c r="AL63" i="1" s="1"/>
  <c r="AK23" i="1"/>
  <c r="AL23" i="1" s="1"/>
  <c r="AK79" i="1"/>
  <c r="AL79" i="1" s="1"/>
  <c r="AK71" i="1"/>
  <c r="AL71" i="1" s="1"/>
  <c r="AK107" i="1"/>
  <c r="AL107" i="1" s="1"/>
  <c r="AK75" i="1"/>
  <c r="AL75" i="1" s="1"/>
  <c r="AK31" i="1"/>
  <c r="AL31" i="1" s="1"/>
  <c r="AK99" i="1"/>
  <c r="AL99" i="1" s="1"/>
  <c r="AK51" i="1"/>
  <c r="AL51" i="1" s="1"/>
  <c r="BB51" i="1" s="1"/>
  <c r="BL51" i="1" s="1"/>
  <c r="BM51" i="1" s="1"/>
  <c r="AK15" i="1"/>
  <c r="AL15" i="1" s="1"/>
  <c r="AK103" i="1"/>
  <c r="AL103" i="1" s="1"/>
  <c r="AK19" i="1"/>
  <c r="AL19" i="1" s="1"/>
  <c r="AF111" i="1"/>
  <c r="AH111" i="1" s="1"/>
  <c r="AE111" i="1"/>
  <c r="AG111" i="1" s="1"/>
  <c r="AE115" i="1"/>
  <c r="AG115" i="1" s="1"/>
  <c r="AF115" i="1"/>
  <c r="AH115" i="1" s="1"/>
  <c r="AF123" i="1"/>
  <c r="AH123" i="1" s="1"/>
  <c r="AE123" i="1"/>
  <c r="AG123" i="1" s="1"/>
  <c r="AF63" i="1"/>
  <c r="AH63" i="1" s="1"/>
  <c r="AE63" i="1"/>
  <c r="AG63" i="1" s="1"/>
  <c r="AF23" i="1"/>
  <c r="AH23" i="1" s="1"/>
  <c r="AE23" i="1"/>
  <c r="AG23" i="1" s="1"/>
  <c r="AK35" i="1"/>
  <c r="AL35" i="1" s="1"/>
  <c r="AF59" i="1"/>
  <c r="AH59" i="1" s="1"/>
  <c r="AE59" i="1"/>
  <c r="AG59" i="1" s="1"/>
  <c r="AF71" i="1"/>
  <c r="AH71" i="1" s="1"/>
  <c r="AE71" i="1"/>
  <c r="AG71" i="1" s="1"/>
  <c r="AE27" i="1"/>
  <c r="AG27" i="1" s="1"/>
  <c r="AF27" i="1"/>
  <c r="AH27" i="1" s="1"/>
  <c r="AF31" i="1"/>
  <c r="AH31" i="1" s="1"/>
  <c r="AE31" i="1"/>
  <c r="AG31" i="1" s="1"/>
  <c r="AF79" i="1"/>
  <c r="AH79" i="1" s="1"/>
  <c r="AE79" i="1"/>
  <c r="AG79" i="1" s="1"/>
  <c r="AF51" i="1"/>
  <c r="AH51" i="1" s="1"/>
  <c r="AE51" i="1"/>
  <c r="AG51" i="1" s="1"/>
  <c r="AW51" i="1" s="1"/>
  <c r="BO51" i="1" s="1"/>
  <c r="AF55" i="1"/>
  <c r="AH55" i="1" s="1"/>
  <c r="AE55" i="1"/>
  <c r="AG55" i="1" s="1"/>
  <c r="AE75" i="1"/>
  <c r="AG75" i="1" s="1"/>
  <c r="AF75" i="1"/>
  <c r="AH75" i="1" s="1"/>
  <c r="AF35" i="1"/>
  <c r="AH35" i="1" s="1"/>
  <c r="AE35" i="1"/>
  <c r="AG35" i="1" s="1"/>
  <c r="AF99" i="1"/>
  <c r="AH99" i="1" s="1"/>
  <c r="AE99" i="1"/>
  <c r="AG99" i="1" s="1"/>
  <c r="AF15" i="1"/>
  <c r="AH15" i="1" s="1"/>
  <c r="AE15" i="1"/>
  <c r="AG15" i="1" s="1"/>
  <c r="AF91" i="1"/>
  <c r="AH91" i="1" s="1"/>
  <c r="AE91" i="1"/>
  <c r="AG91" i="1" s="1"/>
  <c r="AW91" i="1" s="1"/>
  <c r="BO91" i="1" s="1"/>
  <c r="AF83" i="1"/>
  <c r="AH83" i="1" s="1"/>
  <c r="AE83" i="1"/>
  <c r="AG83" i="1" s="1"/>
  <c r="AF103" i="1"/>
  <c r="AH103" i="1" s="1"/>
  <c r="AE103" i="1"/>
  <c r="AG103" i="1" s="1"/>
  <c r="AF157" i="1"/>
  <c r="AH157" i="1" s="1"/>
  <c r="AE157" i="1"/>
  <c r="AG157" i="1" s="1"/>
  <c r="AW141" i="1" s="1"/>
  <c r="BO141" i="1" s="1"/>
  <c r="AF107" i="1"/>
  <c r="AH107" i="1" s="1"/>
  <c r="AE107" i="1"/>
  <c r="AG107" i="1" s="1"/>
  <c r="AK115" i="1"/>
  <c r="AL115" i="1" s="1"/>
  <c r="AF87" i="1"/>
  <c r="AH87" i="1" s="1"/>
  <c r="AE87" i="1"/>
  <c r="AG87" i="1" s="1"/>
  <c r="AF19" i="1"/>
  <c r="AH19" i="1" s="1"/>
  <c r="AE19" i="1"/>
  <c r="AG19" i="1" s="1"/>
  <c r="AF11" i="1"/>
  <c r="AH11" i="1" s="1"/>
  <c r="AE11" i="1"/>
  <c r="AG11" i="1" s="1"/>
  <c r="AW11" i="1" s="1"/>
  <c r="BO11" i="1" s="1"/>
  <c r="BF141" i="1"/>
  <c r="BH141" i="1" s="1"/>
  <c r="BC141" i="1"/>
  <c r="BL141" i="1"/>
  <c r="BM141" i="1" s="1"/>
  <c r="BF91" i="1" l="1"/>
  <c r="BH91" i="1" s="1"/>
  <c r="BC91" i="1"/>
  <c r="BF11" i="1"/>
  <c r="BH11" i="1" s="1"/>
  <c r="BC11" i="1"/>
  <c r="BF51" i="1"/>
  <c r="BH51" i="1" s="1"/>
  <c r="BC51" i="1"/>
  <c r="BN141" i="1"/>
  <c r="BN91" i="1" l="1"/>
  <c r="BN11" i="1"/>
  <c r="BN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AA15C5-AA8C-984F-887A-0D770D3143C4}" keepAlive="1" name="Query - beefFunction" description="Connection to the 'beefFunction' query in the workbook." type="5" refreshedVersion="0" background="1">
    <dbPr connection="Provider=Microsoft.Mashup.OleDb.1;Data Source=$Workbook$;Location=beefFunction;Extended Properties=&quot;&quot;" command="SELECT * FROM [beefFunction]"/>
  </connection>
  <connection id="2" xr16:uid="{EA2BCEFA-61B4-0B42-8D52-922C05B1163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4BFAAB8E-BD06-2C41-9F15-81304C912B4B}" keepAlive="1" name="Query - TableLWG" description="Connection to the 'TableLWG' query in the workbook." type="5" refreshedVersion="8" background="1" saveData="1">
    <dbPr connection="Provider=Microsoft.Mashup.OleDb.1;Data Source=$Workbook$;Location=TableLWG;Extended Properties=&quot;&quot;" command="SELECT * FROM [TableLWG]"/>
  </connection>
  <connection id="4" xr16:uid="{44173876-E068-934B-B77D-478CD804E0C1}" keepAlive="1" name="Query - TableW" description="Connection to the 'TableW' query in the workbook." type="5" refreshedVersion="8" background="1" saveData="1">
    <dbPr connection="Provider=Microsoft.Mashup.OleDb.1;Data Source=$Workbook$;Location=TableW;Extended Properties=&quot;&quot;" command="SELECT * FROM [TableW]"/>
  </connection>
  <connection id="5" xr16:uid="{81641F5C-1680-624E-9D1D-F5F9044610CA}" keepAlive="1" name="Query - TableW (2)" description="Connection to the 'TableW (2)' query in the workbook." type="5" refreshedVersion="8" background="1" saveData="1">
    <dbPr connection="Provider=Microsoft.Mashup.OleDb.1;Data Source=$Workbook$;Location=&quot;TableW (2)&quot;;Extended Properties=&quot;&quot;" command="SELECT * FROM [TableW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<sst xmlns="http://schemas.openxmlformats.org/spreadsheetml/2006/main" count="2435" uniqueCount="313">
  <si>
    <t>EFPRP</t>
  </si>
  <si>
    <t>FracLEACH</t>
  </si>
  <si>
    <t>Wijkln / WRil</t>
  </si>
  <si>
    <t>(LCijkl=5 * FAijkl=5) + (1 - LCijkl=5 )</t>
  </si>
  <si>
    <t>LCijkl=5 * DMPijkl=5</t>
  </si>
  <si>
    <t>0.1604 * DMDijk- 1.037</t>
  </si>
  <si>
    <t>(0.032 * MPijkl=5 /6.38) + {{0.212 - 0.008 * (Lijkln - 2) - [0.140 - 0.008 * (Lijkln - 2) / 1 + e  ^ (-6 * Zijkln - 0.4)]} * (LWGijkln * 0.92)} / 6.25</t>
  </si>
  <si>
    <t>Iijkln / (1.185 + 0.00454 * Wijkln - 0.0000026 * Wijkln ^ 2 ) ^ 2 * MAijkl=5</t>
  </si>
  <si>
    <t>(1.185 + 0.00454 * Wijkln - 0.0000026 * Wijkln^2 + 0.315 * LWGijkln)^2 * MAijkl=5</t>
  </si>
  <si>
    <t>(Iijkln * (1 - DMDijk) + (0.04 * Iijkln)) * ( 1 - A )</t>
  </si>
  <si>
    <t>VSijkln * BO * MMSm * MCFm * 𝜌</t>
  </si>
  <si>
    <t>SUM SUM SUM SUM SUM ( Nkln * Mmijklnm * 91.25)</t>
  </si>
  <si>
    <t>[{0.3 * Iijkln * CPijkln * (1 - (DMDijk + 0.1)) + (0.105 * MEijkl * Iijkln * 0.008) + (0.0152 * Iijkln)} / 6.25] + (0.08 * 0.032 * MCijkl=236 / 6.38)</t>
  </si>
  <si>
    <t>(Iijkln * CPijkln / 6.25) + (0.032 * MCijkl=236 / 6.38) - NRijkln - Fijkln - [(1.1 * 10 ^ -4 * Wijkln ^ 0.75) / 6.25]</t>
  </si>
  <si>
    <t>{(AFi * EFPRP * Cg,N2O) + (AUi * EFPRP * Cg,N2O)} * GWPN2O * 10^-3</t>
  </si>
  <si>
    <t>Mvol * EFad * Cg</t>
  </si>
  <si>
    <t>N2O * 10^-3</t>
  </si>
  <si>
    <t>(AUi + AFi) * FracWET,soil,i,j * FracLEACH</t>
  </si>
  <si>
    <t>Mleach * EFleach * Cg,N2O * 10^-3</t>
  </si>
  <si>
    <t>EN2O,dir + EN2O,ad + EN2O,leach</t>
  </si>
  <si>
    <t>Mmm * GWPCH4 * 10^-3</t>
  </si>
  <si>
    <t>unfenced</t>
  </si>
  <si>
    <t>fenced</t>
  </si>
  <si>
    <t>Bo</t>
  </si>
  <si>
    <t>wet</t>
  </si>
  <si>
    <t>547</t>
  </si>
  <si>
    <t>3.2 152</t>
  </si>
  <si>
    <t>3.2 166</t>
  </si>
  <si>
    <t>3.2 143</t>
  </si>
  <si>
    <t>3.2 136</t>
  </si>
  <si>
    <t>425</t>
  </si>
  <si>
    <t>405</t>
  </si>
  <si>
    <t>396</t>
  </si>
  <si>
    <t>551</t>
  </si>
  <si>
    <t>569</t>
  </si>
  <si>
    <t>581</t>
  </si>
  <si>
    <t>578</t>
  </si>
  <si>
    <t>582</t>
  </si>
  <si>
    <t>584</t>
  </si>
  <si>
    <t>390</t>
  </si>
  <si>
    <t>MMSm=1</t>
  </si>
  <si>
    <t>p</t>
  </si>
  <si>
    <t>dry</t>
  </si>
  <si>
    <t>input</t>
  </si>
  <si>
    <t>3.2 162</t>
  </si>
  <si>
    <t>3.2 163</t>
  </si>
  <si>
    <t>constant</t>
  </si>
  <si>
    <t>expression</t>
  </si>
  <si>
    <t>MMSm=14</t>
  </si>
  <si>
    <t>A</t>
  </si>
  <si>
    <t>CgN2O</t>
  </si>
  <si>
    <t>GWPch4</t>
  </si>
  <si>
    <t>GWPN2O</t>
  </si>
  <si>
    <t>DMDijk</t>
  </si>
  <si>
    <t>CPijk</t>
  </si>
  <si>
    <t>anaerobic lagoon</t>
  </si>
  <si>
    <t>pasture</t>
  </si>
  <si>
    <t>EFleach</t>
  </si>
  <si>
    <t>FracGASMSoil</t>
  </si>
  <si>
    <t>Scenario</t>
  </si>
  <si>
    <t>Climate zone</t>
  </si>
  <si>
    <t>wet / dry</t>
  </si>
  <si>
    <t>State or region</t>
  </si>
  <si>
    <t>Pure state</t>
  </si>
  <si>
    <t>Limited region</t>
  </si>
  <si>
    <t>Extended Region</t>
  </si>
  <si>
    <t>Grazing system</t>
  </si>
  <si>
    <t>rainfall</t>
  </si>
  <si>
    <t>Nkln</t>
  </si>
  <si>
    <t>Wijkln</t>
  </si>
  <si>
    <t>LWGijkln</t>
  </si>
  <si>
    <t>WRil</t>
  </si>
  <si>
    <t>Zijkln</t>
  </si>
  <si>
    <t>LC calving</t>
  </si>
  <si>
    <t>LC post calving</t>
  </si>
  <si>
    <t>LCijkl=5</t>
  </si>
  <si>
    <t>FAijkl=5</t>
  </si>
  <si>
    <t>MAijkl=5</t>
  </si>
  <si>
    <t>MCijkl=236</t>
  </si>
  <si>
    <t>DMPijkl=5</t>
  </si>
  <si>
    <t>MPijkl</t>
  </si>
  <si>
    <t>MEijkl</t>
  </si>
  <si>
    <t>NRijkl</t>
  </si>
  <si>
    <t>Lijkln</t>
  </si>
  <si>
    <t>Iijkln</t>
  </si>
  <si>
    <t>VSijkln</t>
  </si>
  <si>
    <t>Mmijklnm=1</t>
  </si>
  <si>
    <t>Mmijklnm=14</t>
  </si>
  <si>
    <t>Mmm=1</t>
  </si>
  <si>
    <t>Mmm=14</t>
  </si>
  <si>
    <t>Fijkln</t>
  </si>
  <si>
    <t>AFi</t>
  </si>
  <si>
    <t>Uijkln</t>
  </si>
  <si>
    <t>AUi</t>
  </si>
  <si>
    <t>Unfenced water?</t>
  </si>
  <si>
    <t>MCFm=1</t>
  </si>
  <si>
    <t>MCFm=14</t>
  </si>
  <si>
    <t>BO</t>
  </si>
  <si>
    <t>𝜌</t>
  </si>
  <si>
    <t>Mmm</t>
  </si>
  <si>
    <t>EN2O,dir</t>
  </si>
  <si>
    <t>GWPCH4</t>
  </si>
  <si>
    <t>Mvol</t>
  </si>
  <si>
    <t>EFad</t>
  </si>
  <si>
    <t>EN2O,ad</t>
  </si>
  <si>
    <t>FracWETsoilij</t>
  </si>
  <si>
    <t>Mleach</t>
  </si>
  <si>
    <t>EN2Oleach</t>
  </si>
  <si>
    <t>EN2O</t>
  </si>
  <si>
    <t>EMCH4</t>
  </si>
  <si>
    <t>Baseline</t>
  </si>
  <si>
    <t>Warm temperate moist</t>
  </si>
  <si>
    <t>ACT</t>
  </si>
  <si>
    <t>ACT/NSW</t>
  </si>
  <si>
    <t>Irrigated crop</t>
  </si>
  <si>
    <t>high</t>
  </si>
  <si>
    <t>Bulls &lt; 1 year</t>
  </si>
  <si>
    <t>Spring</t>
  </si>
  <si>
    <t>yes</t>
  </si>
  <si>
    <t>Summer</t>
  </si>
  <si>
    <t>Autumn</t>
  </si>
  <si>
    <t>Winter</t>
  </si>
  <si>
    <t>Bulls &gt; 1 year</t>
  </si>
  <si>
    <t>Milk production</t>
  </si>
  <si>
    <t>DMP</t>
  </si>
  <si>
    <t>DMD</t>
  </si>
  <si>
    <t>Milk intake</t>
  </si>
  <si>
    <t>MC</t>
  </si>
  <si>
    <t>Calving</t>
  </si>
  <si>
    <t>After calving</t>
  </si>
  <si>
    <t>Season</t>
  </si>
  <si>
    <t>NT</t>
  </si>
  <si>
    <t>QLD</t>
  </si>
  <si>
    <t>SA</t>
  </si>
  <si>
    <t>TAS</t>
  </si>
  <si>
    <t>VIC</t>
  </si>
  <si>
    <t>South West</t>
  </si>
  <si>
    <t>Pilbara</t>
  </si>
  <si>
    <t>Kimberley</t>
  </si>
  <si>
    <t>Cool Temperate Moist</t>
  </si>
  <si>
    <t>Cool Temperate Dry</t>
  </si>
  <si>
    <t>Cows &lt; 1 year</t>
  </si>
  <si>
    <t>Boreal Moist</t>
  </si>
  <si>
    <t>Boreal Dry</t>
  </si>
  <si>
    <t>Warm Temperate Moist</t>
  </si>
  <si>
    <t>Warm Temperate Dry</t>
  </si>
  <si>
    <t>Cows 1-2 years</t>
  </si>
  <si>
    <t>Tropical Montane</t>
  </si>
  <si>
    <t>WA</t>
  </si>
  <si>
    <t>Tropical Wet</t>
  </si>
  <si>
    <t>Tropical Moist</t>
  </si>
  <si>
    <t>Tropical Dry</t>
  </si>
  <si>
    <t>Cows 2-3 years</t>
  </si>
  <si>
    <t>CP</t>
  </si>
  <si>
    <t>Irrigated pasture</t>
  </si>
  <si>
    <t>NSW</t>
  </si>
  <si>
    <t>Cows &gt; 3 years</t>
  </si>
  <si>
    <t>Non-irrigated pasture</t>
  </si>
  <si>
    <t>NT average</t>
  </si>
  <si>
    <t>Non-irrigated crop (low rainfall)</t>
  </si>
  <si>
    <t>Alice Springs</t>
  </si>
  <si>
    <t>Non-irrigated crop (high rainfall)</t>
  </si>
  <si>
    <t>Barkly</t>
  </si>
  <si>
    <t>Northern</t>
  </si>
  <si>
    <t>Steers &lt; 1 year</t>
  </si>
  <si>
    <t>QLD average</t>
  </si>
  <si>
    <t>High</t>
  </si>
  <si>
    <t>Moderate/High</t>
  </si>
  <si>
    <t>Moderate/Low</t>
  </si>
  <si>
    <t>Steers 1-2 years</t>
  </si>
  <si>
    <t>Low</t>
  </si>
  <si>
    <t>Steers 2-3 years</t>
  </si>
  <si>
    <t>average</t>
  </si>
  <si>
    <t>Bull</t>
  </si>
  <si>
    <t>Cow</t>
  </si>
  <si>
    <t>Steer</t>
  </si>
  <si>
    <t>Steers &gt;3 years</t>
  </si>
  <si>
    <t>Missing classes</t>
  </si>
  <si>
    <t>South Australia</t>
  </si>
  <si>
    <t>Tasmania</t>
  </si>
  <si>
    <t>Victoria</t>
  </si>
  <si>
    <t>NO</t>
  </si>
  <si>
    <t>Queensland</t>
  </si>
  <si>
    <t>Partial calving</t>
  </si>
  <si>
    <t>Liveweight gain</t>
  </si>
  <si>
    <t>TODO: Need to switch the state and region</t>
  </si>
  <si>
    <t>Method 2 inputs</t>
  </si>
  <si>
    <t>no</t>
  </si>
  <si>
    <t>Reference weight</t>
  </si>
  <si>
    <t>(LCjk=4,5 * FAjk=4,5) + (1 - LCjk=4,5 )</t>
  </si>
  <si>
    <t>(1.185 + 0.00454 * Wjkl- 0.0000026 * Wjkl^2 + 0.315 * LWGjkl )^2 * MAjk=4,5</t>
  </si>
  <si>
    <t>20.7 * Ijkl * 10^-3</t>
  </si>
  <si>
    <t>SUM SUM SUM (Dj * Mjkl * Njkl) * 10^-3</t>
  </si>
  <si>
    <t>161</t>
  </si>
  <si>
    <t>157</t>
  </si>
  <si>
    <t>159</t>
  </si>
  <si>
    <t>166</t>
  </si>
  <si>
    <t>163</t>
  </si>
  <si>
    <t>164</t>
  </si>
  <si>
    <t>138</t>
  </si>
  <si>
    <t>128,162</t>
  </si>
  <si>
    <t>124</t>
  </si>
  <si>
    <t>116</t>
  </si>
  <si>
    <t/>
  </si>
  <si>
    <t>days</t>
  </si>
  <si>
    <t>head</t>
  </si>
  <si>
    <t>d</t>
  </si>
  <si>
    <t>kg</t>
  </si>
  <si>
    <t>kg/head/day</t>
  </si>
  <si>
    <t>kg DM/head/day</t>
  </si>
  <si>
    <t>kg CH4/head/day</t>
  </si>
  <si>
    <t>t CH4</t>
  </si>
  <si>
    <t>number of days the animal is on the farm in each time-period</t>
  </si>
  <si>
    <t>number of beef cattle in each time-period, class and sub class</t>
  </si>
  <si>
    <t>proportion of cows &gt; 1 years (k=4,5) in calf in the season of calving</t>
  </si>
  <si>
    <t>feed adjustment value for cows &gt; 1 years lactating for the season of calving and the season immediately after calving</t>
  </si>
  <si>
    <t>liveweight</t>
  </si>
  <si>
    <t>live weight gain</t>
  </si>
  <si>
    <t>additional intake for milk production in cows &gt;2 years</t>
  </si>
  <si>
    <t>dry matter intake</t>
  </si>
  <si>
    <t>daily production of enteric methane in each time-period, class and sub class</t>
  </si>
  <si>
    <t>Total annual methane production from enteric fermentation</t>
  </si>
  <si>
    <t>Dj</t>
  </si>
  <si>
    <t>Njkl</t>
  </si>
  <si>
    <t>FAjk=4,5</t>
  </si>
  <si>
    <t>Wjkl</t>
  </si>
  <si>
    <t>LWGjkl</t>
  </si>
  <si>
    <t>MAjk=4,5</t>
  </si>
  <si>
    <t>Ijkl</t>
  </si>
  <si>
    <t>Mjkl</t>
  </si>
  <si>
    <t>Eenteric</t>
  </si>
  <si>
    <t>Breed</t>
  </si>
  <si>
    <t>Hereford or Shorthorn breeds</t>
  </si>
  <si>
    <t>Northern Brahman cross bredd</t>
  </si>
  <si>
    <t>Feed adjustment</t>
  </si>
  <si>
    <t>5a</t>
  </si>
  <si>
    <t>5b</t>
  </si>
  <si>
    <t>7a</t>
  </si>
  <si>
    <t>7b</t>
  </si>
  <si>
    <t>7c</t>
  </si>
  <si>
    <t>State</t>
  </si>
  <si>
    <t>Region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</si>
  <si>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</si>
  <si>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</si>
  <si>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</si>
  <si>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</si>
  <si>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</si>
  <si>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</si>
  <si>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</si>
  <si>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</si>
  <si>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</si>
  <si>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</si>
  <si>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</si>
  <si>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</si>
  <si>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</si>
  <si>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WA - South West</t>
  </si>
  <si>
    <t>WA - Pilbara</t>
  </si>
  <si>
    <t>WA - Kimberley</t>
  </si>
  <si>
    <t>NT - Alice Springs</t>
  </si>
  <si>
    <t>NT - Barkly</t>
  </si>
  <si>
    <t>NT - Northern</t>
  </si>
  <si>
    <t>QLD - High</t>
  </si>
  <si>
    <t>QLD - Moderate/High</t>
  </si>
  <si>
    <t>QLD - Moderate/Low</t>
  </si>
  <si>
    <t>QLD - Low</t>
  </si>
  <si>
    <t>Class</t>
  </si>
  <si>
    <t>SeasonOrder</t>
  </si>
  <si>
    <t>LWG</t>
  </si>
  <si>
    <t>Custom LWG</t>
  </si>
  <si>
    <t>Custom W</t>
  </si>
  <si>
    <t>Custom I</t>
  </si>
  <si>
    <t>Custom D</t>
  </si>
  <si>
    <t>Extended region</t>
  </si>
  <si>
    <t>spring</t>
  </si>
  <si>
    <t>summer</t>
  </si>
  <si>
    <t>autumn</t>
  </si>
  <si>
    <t>winter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</si>
  <si>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</si>
  <si>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</si>
  <si>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</si>
  <si>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</si>
  <si>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</si>
  <si>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</si>
  <si>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</si>
  <si>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</si>
  <si>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</si>
  <si>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</si>
  <si>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</si>
  <si>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</si>
  <si>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Calving event</t>
  </si>
  <si>
    <t>2025/2026</t>
  </si>
  <si>
    <t>year</t>
  </si>
  <si>
    <t>In season</t>
  </si>
  <si>
    <t>Season post calving</t>
  </si>
  <si>
    <t>Remember this needs to calculated allowing for herd movements</t>
  </si>
  <si>
    <t>LCk=5 (this)</t>
  </si>
  <si>
    <t>LCk=5 (prev)</t>
  </si>
  <si>
    <t>FA (this season)</t>
  </si>
  <si>
    <t>FA (previous season)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</si>
  <si>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</si>
  <si>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</si>
  <si>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</si>
  <si>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</si>
  <si>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</si>
  <si>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</si>
  <si>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</si>
  <si>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</si>
  <si>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</si>
  <si>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</si>
  <si>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</si>
  <si>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</si>
  <si>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QLD - Moderate/High - no calving</t>
  </si>
  <si>
    <t>No calving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</si>
</sst>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Helvetica"/>
      <family val="2"/>
    </font>
    <font>
      <sz val="12"/>
      <color theme="1"/>
      <name val="Helvetica"/>
      <family val="2"/>
    </font>
    <font>
      <b/>
      <sz val="10"/>
      <color theme="0"/>
      <name val="Helvetica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2" fillId="0" borderId="0" xfId="0" applyFont="1"/>
    <xf numFmtId="16" fontId="2" fillId="0" borderId="0" xfId="0" applyNumberFormat="1" applyFont="1"/>
    <xf numFmtId="0" fontId="3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/>
    <xf numFmtId="0" fontId="0" fillId="4" borderId="3" xfId="0" applyFill="1" applyBorder="1"/>
    <xf numFmtId="0" fontId="1" fillId="6" borderId="4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4" fillId="3" borderId="5" xfId="0" applyFont="1" applyFill="1" applyBorder="1"/>
    <xf numFmtId="16" fontId="4" fillId="3" borderId="5" xfId="0" applyNumberFormat="1" applyFont="1" applyFill="1" applyBorder="1"/>
    <xf numFmtId="0" fontId="0" fillId="4" borderId="6" xfId="0" applyFill="1" applyBorder="1"/>
    <xf numFmtId="0" fontId="0" fillId="4" borderId="7" xfId="0" applyFill="1" applyBorder="1"/>
    <xf numFmtId="0" fontId="2" fillId="4" borderId="7" xfId="0" applyFont="1" applyFill="1" applyBorder="1"/>
    <xf numFmtId="16" fontId="2" fillId="4" borderId="7" xfId="0" applyNumberFormat="1" applyFont="1" applyFill="1" applyBorder="1"/>
    <xf numFmtId="0" fontId="0" fillId="5" borderId="8" xfId="0" applyFill="1" applyBorder="1"/>
    <xf numFmtId="0" fontId="0" fillId="5" borderId="3" xfId="0" applyFill="1" applyBorder="1"/>
    <xf numFmtId="0" fontId="0" fillId="4" borderId="8" xfId="0" applyFill="1" applyBorder="1"/>
    <xf numFmtId="0" fontId="3" fillId="4" borderId="3" xfId="0" applyFont="1" applyFill="1" applyBorder="1"/>
    <xf numFmtId="0" fontId="3" fillId="5" borderId="3" xfId="0" applyFont="1" applyFill="1" applyBorder="1"/>
    <xf numFmtId="2" fontId="0" fillId="4" borderId="3" xfId="0" applyNumberFormat="1" applyFill="1" applyBorder="1"/>
    <xf numFmtId="2" fontId="0" fillId="5" borderId="3" xfId="0" applyNumberFormat="1" applyFill="1" applyBorder="1"/>
    <xf numFmtId="164" fontId="0" fillId="5" borderId="3" xfId="0" applyNumberFormat="1" applyFill="1" applyBorder="1"/>
    <xf numFmtId="0" fontId="0" fillId="4" borderId="0" xfId="0" applyFill="1"/>
    <xf numFmtId="0" fontId="0" fillId="4" borderId="5" xfId="0" applyFill="1" applyBorder="1"/>
    <xf numFmtId="0" fontId="2" fillId="4" borderId="5" xfId="0" applyFont="1" applyFill="1" applyBorder="1"/>
    <xf numFmtId="16" fontId="2" fillId="4" borderId="5" xfId="0" applyNumberFormat="1" applyFont="1" applyFill="1" applyBorder="1"/>
    <xf numFmtId="0" fontId="0" fillId="4" borderId="9" xfId="0" applyFill="1" applyBorder="1"/>
    <xf numFmtId="0" fontId="0" fillId="7" borderId="0" xfId="0" applyFill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thin">
          <color theme="0"/>
        </left>
        <top style="thick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5076068-96F8-6642-A28E-844BBFD2396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134421EE-A0CB-0244-91AF-80B3E6FF4057}" autoFormatId="16" applyNumberFormats="0" applyBorderFormats="0" applyFontFormats="0" applyPatternFormats="0" applyAlignmentFormats="0" applyWidthHeightFormats="0">
  <queryTableRefresh nextId="18">
    <queryTableFields count="17">
      <queryTableField id="1" name="Season" tableColumnId="1"/>
      <queryTableField id="2" name="Class" tableColumnId="2"/>
      <queryTableField id="3" name="ACT/NSW" tableColumnId="3"/>
      <queryTableField id="4" name="SA" tableColumnId="4"/>
      <queryTableField id="5" name="TAS" tableColumnId="5"/>
      <queryTableField id="6" name="VIC" tableColumnId="6"/>
      <queryTableField id="7" name="WA - South West" tableColumnId="7"/>
      <queryTableField id="8" name="WA - Pilbara" tableColumnId="8"/>
      <queryTableField id="9" name="WA - Kimberley" tableColumnId="9"/>
      <queryTableField id="10" name="NT - Alice Springs" tableColumnId="10"/>
      <queryTableField id="11" name="NT - Barkly" tableColumnId="11"/>
      <queryTableField id="12" name="NT - Northern" tableColumnId="12"/>
      <queryTableField id="13" name="QLD - High" tableColumnId="13"/>
      <queryTableField id="14" name="QLD - Moderate/High" tableColumnId="14"/>
      <queryTableField id="15" name="QLD - Moderate/Low" tableColumnId="15"/>
      <queryTableField id="16" name="QLD - Low" tableColumnId="16"/>
      <queryTableField id="17" name="SeasonOrde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21595EA-A586-9342-9372-0123C4179598}" autoFormatId="16" applyNumberFormats="0" applyBorderFormats="0" applyFontFormats="0" applyPatternFormats="0" applyAlignmentFormats="0" applyWidthHeightFormats="0">
  <queryTableRefresh nextId="19">
    <queryTableFields count="17">
      <queryTableField id="2" name="Season" tableColumnId="2"/>
      <queryTableField id="3" name="Class" tableColumnId="3"/>
      <queryTableField id="4" name="ACT/NSW" tableColumnId="4"/>
      <queryTableField id="5" name="SA" tableColumnId="5"/>
      <queryTableField id="6" name="TAS" tableColumnId="6"/>
      <queryTableField id="7" name="VIC" tableColumnId="7"/>
      <queryTableField id="8" name="WA - South West" tableColumnId="8"/>
      <queryTableField id="9" name="WA - Pilbara" tableColumnId="9"/>
      <queryTableField id="10" name="WA - Kimberley" tableColumnId="10"/>
      <queryTableField id="11" name="NT - Alice Springs" tableColumnId="11"/>
      <queryTableField id="12" name="NT - Barkly" tableColumnId="12"/>
      <queryTableField id="13" name="NT - Northern" tableColumnId="13"/>
      <queryTableField id="14" name="QLD - High" tableColumnId="14"/>
      <queryTableField id="15" name="QLD - Moderate/High" tableColumnId="15"/>
      <queryTableField id="16" name="QLD - Moderate/Low" tableColumnId="16"/>
      <queryTableField id="17" name="QLD - Low" tableColumnId="17"/>
      <queryTableField id="18" name="SeasonOrder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0EF3BD-8869-564A-AC30-3CFBDA0735BD}" name="Table1" displayName="Table1" ref="A1:M58" tableType="queryTable" totalsRowShown="0">
  <autoFilter ref="A1:M58" xr:uid="{420EF3BD-8869-564A-AC30-3CFBDA0735BD}"/>
  <tableColumns count="13">
    <tableColumn id="1" xr3:uid="{8046ABC1-ECBF-B445-80AE-4B9EE134EB2D}" uniqueName="1" name="Column1" queryTableFieldId="1" dataDxfId="4"/>
    <tableColumn id="2" xr3:uid="{D5B02C07-4A90-C14B-9FC6-52E5398E7E46}" uniqueName="2" name="Column2" queryTableFieldId="2" dataDxfId="3"/>
    <tableColumn id="3" xr3:uid="{05C830C2-1868-794F-8615-24A6D55DBC7E}" uniqueName="3" name="Column3" queryTableFieldId="3" dataDxfId="2"/>
    <tableColumn id="4" xr3:uid="{7B3E2470-714D-A247-B223-2A71F85E4D96}" uniqueName="4" name="Column4" queryTableFieldId="4"/>
    <tableColumn id="5" xr3:uid="{2184AD9E-4C8D-2342-A95B-6B9533492777}" uniqueName="5" name="Column5" queryTableFieldId="5"/>
    <tableColumn id="6" xr3:uid="{1DC9398D-7E62-1D4C-8F6A-E600C76A1655}" uniqueName="6" name="Column6" queryTableFieldId="6"/>
    <tableColumn id="7" xr3:uid="{51850F89-7870-884E-BA40-85302CBF98A0}" uniqueName="7" name="Column7" queryTableFieldId="7"/>
    <tableColumn id="8" xr3:uid="{78834666-F829-D742-A81B-6A5B6D0CE5A5}" uniqueName="8" name="Column8" queryTableFieldId="8"/>
    <tableColumn id="9" xr3:uid="{1F484C90-ED04-3845-8D5C-52FA65A39E79}" uniqueName="9" name="Column9" queryTableFieldId="9"/>
    <tableColumn id="10" xr3:uid="{5415EA85-2B73-0345-8D2D-6BC247418C63}" uniqueName="10" name="Column10" queryTableFieldId="10"/>
    <tableColumn id="11" xr3:uid="{ED833BC4-F939-C940-85B5-1D0C0A795E07}" uniqueName="11" name="Column11" queryTableFieldId="11"/>
    <tableColumn id="12" xr3:uid="{6BDFD974-B281-7341-93EE-082B3214773E}" uniqueName="12" name="Column12" queryTableFieldId="12"/>
    <tableColumn id="13" xr3:uid="{A7287DC3-17E3-3A49-93F5-5E5B73B4F785}" uniqueName="13" name="Column13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AF71EA-16D4-1246-A2A0-21D440662AB0}" name="DataLWG" displayName="DataLWG" ref="AQ24:BB81" totalsRowShown="0" headerRowDxfId="28" dataDxfId="27" tableBorderDxfId="26">
  <autoFilter ref="AQ24:BB81" xr:uid="{0CAF71EA-16D4-1246-A2A0-21D440662AB0}"/>
  <tableColumns count="12">
    <tableColumn id="1" xr3:uid="{AF401494-3BE9-C649-AE23-F2AE5B452704}" name="Column1" dataDxfId="25"/>
    <tableColumn id="2" xr3:uid="{C341C274-EEE9-5E4C-A0D8-32C393EB078C}" name="Column2" dataDxfId="24"/>
    <tableColumn id="3" xr3:uid="{D5DACFA4-C4C3-124A-AA3E-5218CCEA8533}" name="Column3" dataDxfId="23"/>
    <tableColumn id="4" xr3:uid="{B1BB2B47-95A0-4E4A-ABBE-5A0750277047}" name="Column4" dataDxfId="22"/>
    <tableColumn id="5" xr3:uid="{418FF04C-DC64-4C4E-979D-83538BFF93D4}" name="Column5" dataDxfId="21"/>
    <tableColumn id="6" xr3:uid="{EA98495B-B817-8141-A549-D901E3CD73AE}" name="Column6" dataDxfId="20"/>
    <tableColumn id="7" xr3:uid="{02BE50D5-D07A-8A4A-8985-83681D425138}" name="Column7" dataDxfId="19"/>
    <tableColumn id="8" xr3:uid="{19F28A06-5863-DA4C-BE0E-D9490B4C37C8}" name="Column8" dataDxfId="18"/>
    <tableColumn id="9" xr3:uid="{0CD4F2F1-74C3-0542-80BB-67CE57361EFC}" name="Column9" dataDxfId="17"/>
    <tableColumn id="10" xr3:uid="{5D0CDB83-579B-6649-8DB5-E33BAFE8F479}" name="Column10" dataDxfId="16"/>
    <tableColumn id="11" xr3:uid="{BD6A19B1-24ED-8B4D-B1A8-2BBE75A41575}" name="Column11" dataDxfId="15"/>
    <tableColumn id="12" xr3:uid="{31C74817-9922-7D48-B01A-B8E902D70143}" name="Column12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509DB7-AE9B-E54E-8790-8B6C867D8B0A}" name="DataW" displayName="DataW" ref="AQ88:BB145" totalsRowShown="0" headerRowDxfId="13" tableBorderDxfId="12">
  <autoFilter ref="AQ88:BB145" xr:uid="{3F509DB7-AE9B-E54E-8790-8B6C867D8B0A}"/>
  <tableColumns count="12">
    <tableColumn id="1" xr3:uid="{EBF52EB7-24D1-4243-A07C-42ED21328F0F}" name="Column1" dataDxfId="11"/>
    <tableColumn id="2" xr3:uid="{96EB278F-1104-7F42-8390-DA909DF56F92}" name="Column2" dataDxfId="10"/>
    <tableColumn id="3" xr3:uid="{E48ECE96-6290-B443-9B7D-28C9E192FBAC}" name="Column3"/>
    <tableColumn id="4" xr3:uid="{6AA5A38B-688B-1C48-B04D-BE4E36CDFB1F}" name="Column4" dataDxfId="9"/>
    <tableColumn id="5" xr3:uid="{6E096708-B5F2-5E47-BDE6-9522FB30DB9C}" name="Column5" dataDxfId="8"/>
    <tableColumn id="6" xr3:uid="{636BDDDF-77B5-EE4B-A0B4-FE0FEE23D01D}" name="Column6"/>
    <tableColumn id="7" xr3:uid="{6AA6B916-6D93-DF4E-9886-78C9CE43D8AA}" name="Column7"/>
    <tableColumn id="8" xr3:uid="{1BA16F52-C5F0-9841-B333-F81E99CCDD37}" name="Column8"/>
    <tableColumn id="9" xr3:uid="{CCF06B85-E02A-4F46-94B7-9299E32079F7}" name="Column9"/>
    <tableColumn id="10" xr3:uid="{646A0059-73CC-9B46-BCDE-8CAF22DB13E4}" name="Column10"/>
    <tableColumn id="11" xr3:uid="{BA29EF25-4DB5-5B48-A7C0-713DB6C4FDE8}" name="Column11"/>
    <tableColumn id="12" xr3:uid="{C70FC573-BE01-ED49-9F46-BAAC88E619A8}" name="Column12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00CFA1-3450-E845-A2B9-771E41FE9B70}" name="TableW" displayName="TableW" ref="X89:AN129" tableType="queryTable" totalsRowShown="0">
  <autoFilter ref="X89:AN129" xr:uid="{9D00CFA1-3450-E845-A2B9-771E41FE9B70}"/>
  <tableColumns count="17">
    <tableColumn id="1" xr3:uid="{89BF0743-5D05-8646-82A7-38B8C1C36B7A}" uniqueName="1" name="Season" queryTableFieldId="1" dataDxfId="6"/>
    <tableColumn id="2" xr3:uid="{392FFB22-461E-AE4E-9B3A-20D4BA53B70C}" uniqueName="2" name="Class" queryTableFieldId="2" dataDxfId="5"/>
    <tableColumn id="3" xr3:uid="{6D26E40E-D448-5040-9032-972E7148B341}" uniqueName="3" name="ACT/NSW" queryTableFieldId="3"/>
    <tableColumn id="4" xr3:uid="{3ED4BBF3-8886-5C4B-BEE2-0668E2629CA5}" uniqueName="4" name="SA" queryTableFieldId="4"/>
    <tableColumn id="5" xr3:uid="{4E3E9086-791F-1644-8385-9CEC83F2342E}" uniqueName="5" name="TAS" queryTableFieldId="5"/>
    <tableColumn id="6" xr3:uid="{72A49881-C411-4D4C-8D85-F0B2AF18878A}" uniqueName="6" name="VIC" queryTableFieldId="6"/>
    <tableColumn id="7" xr3:uid="{E3E279C3-075B-DD49-AF3A-58AE6A1A3041}" uniqueName="7" name="WA - South West" queryTableFieldId="7"/>
    <tableColumn id="8" xr3:uid="{A1234EE3-7CC7-9E4E-B1D4-ED6880BAF983}" uniqueName="8" name="WA - Pilbara" queryTableFieldId="8"/>
    <tableColumn id="9" xr3:uid="{C32D6BF9-164A-1047-906E-89F9EA17CF57}" uniqueName="9" name="WA - Kimberley" queryTableFieldId="9"/>
    <tableColumn id="10" xr3:uid="{7D086281-DA9B-8F43-BEC1-F1A0F7032870}" uniqueName="10" name="NT - Alice Springs" queryTableFieldId="10"/>
    <tableColumn id="11" xr3:uid="{20156631-6CFD-5040-835B-BB3F480C305E}" uniqueName="11" name="NT - Barkly" queryTableFieldId="11"/>
    <tableColumn id="12" xr3:uid="{60EF74BD-11CD-7340-84F2-C811A8301016}" uniqueName="12" name="NT - Northern" queryTableFieldId="12"/>
    <tableColumn id="13" xr3:uid="{1631CE36-729E-454D-9855-B5AB566CA848}" uniqueName="13" name="QLD - High" queryTableFieldId="13"/>
    <tableColumn id="14" xr3:uid="{B9624B23-DAE3-D24D-A395-67E0359AB140}" uniqueName="14" name="QLD - Moderate/High" queryTableFieldId="14"/>
    <tableColumn id="15" xr3:uid="{1B575AE6-32C4-B14C-833D-67E42D486CFB}" uniqueName="15" name="QLD - Moderate/Low" queryTableFieldId="15"/>
    <tableColumn id="16" xr3:uid="{0A55759D-4F95-F143-BDC3-7BBB7565DC45}" uniqueName="16" name="QLD - Low" queryTableFieldId="16"/>
    <tableColumn id="17" xr3:uid="{C110CB82-6A67-3A42-88E6-09E28E2258A8}" uniqueName="17" name="SeasonOrder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B3466D-5B19-2F42-AD2B-57D5F103527C}" name="TableLWG" displayName="TableLWG" ref="X23:AN63" tableType="queryTable" totalsRowShown="0">
  <autoFilter ref="X23:AN63" xr:uid="{1DB3466D-5B19-2F42-AD2B-57D5F103527C}"/>
  <tableColumns count="17">
    <tableColumn id="2" xr3:uid="{9DBFF1DA-DC38-A141-85CC-ECBF8B2B62C1}" uniqueName="2" name="Season" queryTableFieldId="2" dataDxfId="1"/>
    <tableColumn id="3" xr3:uid="{4D533652-5013-DE4D-B610-57C54A69E4E3}" uniqueName="3" name="Class" queryTableFieldId="3" dataDxfId="0"/>
    <tableColumn id="4" xr3:uid="{9CD989C1-3306-F544-997B-8438ECA8579C}" uniqueName="4" name="ACT/NSW" queryTableFieldId="4"/>
    <tableColumn id="5" xr3:uid="{294F0417-AE13-804C-9E7E-E3F1BBA4867A}" uniqueName="5" name="SA" queryTableFieldId="5"/>
    <tableColumn id="6" xr3:uid="{B56ADC37-291D-C641-AFA5-9E3AE815A5AF}" uniqueName="6" name="TAS" queryTableFieldId="6"/>
    <tableColumn id="7" xr3:uid="{4C30344A-BC09-F447-9878-0AF2D1137A3F}" uniqueName="7" name="VIC" queryTableFieldId="7"/>
    <tableColumn id="8" xr3:uid="{6B6EAFCC-C516-F84C-A089-F9659E82B323}" uniqueName="8" name="WA - South West" queryTableFieldId="8"/>
    <tableColumn id="9" xr3:uid="{6CCBA4F1-CC92-CE40-A530-E64BA3C5113E}" uniqueName="9" name="WA - Pilbara" queryTableFieldId="9"/>
    <tableColumn id="10" xr3:uid="{DAACF52B-0CE6-DD4B-8174-14087522472B}" uniqueName="10" name="WA - Kimberley" queryTableFieldId="10"/>
    <tableColumn id="11" xr3:uid="{E0B2C903-9265-074A-A9C0-BE38FE3454C0}" uniqueName="11" name="NT - Alice Springs" queryTableFieldId="11"/>
    <tableColumn id="12" xr3:uid="{6FE91BE0-10A3-0C4C-841A-F37CD7179146}" uniqueName="12" name="NT - Barkly" queryTableFieldId="12"/>
    <tableColumn id="13" xr3:uid="{A88E630E-E97C-6F45-AEFD-80AAE984E852}" uniqueName="13" name="NT - Northern" queryTableFieldId="13"/>
    <tableColumn id="14" xr3:uid="{8B717BD6-09B3-704B-B3CC-F813687173A5}" uniqueName="14" name="QLD - High" queryTableFieldId="14"/>
    <tableColumn id="15" xr3:uid="{BDDFA98A-41C0-E045-8002-806BFCB3DC49}" uniqueName="15" name="QLD - Moderate/High" queryTableFieldId="15"/>
    <tableColumn id="16" xr3:uid="{9D0D71ED-24DF-4045-B1B3-8F144CA4DB6F}" uniqueName="16" name="QLD - Moderate/Low" queryTableFieldId="16"/>
    <tableColumn id="17" xr3:uid="{8B0EDCE6-1350-3748-A554-F759E1A0457B}" uniqueName="17" name="QLD - Low" queryTableFieldId="17"/>
    <tableColumn id="18" xr3:uid="{221964EE-9741-8E48-A1B3-5C57A00D3E45}" uniqueName="18" name="SeasonOrder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P180"/>
  <sheetViews>
    <sheetView workbookViewId="0">
      <selection activeCell="N55" sqref="N55"/>
    </sheetView>
  </sheetViews>
  <sheetFormatPr baseColWidth="10" defaultRowHeight="16" x14ac:dyDescent="0.2"/>
  <sheetData>
    <row r="4" spans="1:92" x14ac:dyDescent="0.2">
      <c r="CC4" t="s">
        <v>0</v>
      </c>
      <c r="CF4" t="s">
        <v>1</v>
      </c>
      <c r="CG4">
        <v>0.24</v>
      </c>
    </row>
    <row r="5" spans="1:92" x14ac:dyDescent="0.2">
      <c r="Q5" t="s">
        <v>2</v>
      </c>
      <c r="V5" t="s">
        <v>3</v>
      </c>
      <c r="Y5" t="s">
        <v>4</v>
      </c>
      <c r="Z5" t="s">
        <v>5</v>
      </c>
      <c r="AA5" t="s">
        <v>6</v>
      </c>
      <c r="AB5" t="s">
        <v>7</v>
      </c>
      <c r="AC5" t="s">
        <v>8</v>
      </c>
      <c r="AD5" t="s">
        <v>9</v>
      </c>
      <c r="AE5" t="s">
        <v>10</v>
      </c>
      <c r="AG5" t="s">
        <v>11</v>
      </c>
      <c r="AI5" t="s">
        <v>12</v>
      </c>
      <c r="AK5" t="s">
        <v>13</v>
      </c>
      <c r="BC5" t="s">
        <v>14</v>
      </c>
      <c r="BH5" t="s">
        <v>15</v>
      </c>
      <c r="BI5" t="s">
        <v>16</v>
      </c>
      <c r="BL5" t="s">
        <v>17</v>
      </c>
      <c r="BM5" t="s">
        <v>18</v>
      </c>
      <c r="BN5" t="s">
        <v>19</v>
      </c>
      <c r="BO5" t="s">
        <v>20</v>
      </c>
      <c r="BV5" t="s">
        <v>21</v>
      </c>
      <c r="BW5" t="s">
        <v>22</v>
      </c>
      <c r="BZ5" t="s">
        <v>23</v>
      </c>
      <c r="CA5">
        <v>0.19</v>
      </c>
      <c r="CC5" t="s">
        <v>24</v>
      </c>
      <c r="CD5">
        <v>6.0000000000000001E-3</v>
      </c>
    </row>
    <row r="6" spans="1:92" x14ac:dyDescent="0.2">
      <c r="M6" t="s">
        <v>25</v>
      </c>
      <c r="P6">
        <v>593</v>
      </c>
      <c r="Q6">
        <v>521</v>
      </c>
      <c r="T6" t="s">
        <v>26</v>
      </c>
      <c r="U6" t="s">
        <v>27</v>
      </c>
      <c r="V6" t="s">
        <v>28</v>
      </c>
      <c r="W6">
        <v>590</v>
      </c>
      <c r="X6">
        <v>592</v>
      </c>
      <c r="Y6">
        <v>503</v>
      </c>
      <c r="Z6">
        <v>475</v>
      </c>
      <c r="AA6">
        <v>492</v>
      </c>
      <c r="AB6">
        <v>514</v>
      </c>
      <c r="AC6" t="s">
        <v>29</v>
      </c>
      <c r="AD6" t="s">
        <v>30</v>
      </c>
      <c r="AE6" t="s">
        <v>31</v>
      </c>
      <c r="AG6" t="s">
        <v>32</v>
      </c>
      <c r="AI6">
        <v>464</v>
      </c>
      <c r="AJ6">
        <v>454</v>
      </c>
      <c r="AK6">
        <v>486</v>
      </c>
      <c r="AL6">
        <v>478</v>
      </c>
      <c r="AM6" t="s">
        <v>33</v>
      </c>
      <c r="AN6">
        <v>553</v>
      </c>
      <c r="AP6" t="s">
        <v>34</v>
      </c>
      <c r="AR6" t="s">
        <v>35</v>
      </c>
      <c r="AT6" t="s">
        <v>36</v>
      </c>
      <c r="AU6" t="s">
        <v>37</v>
      </c>
      <c r="AV6" t="s">
        <v>38</v>
      </c>
      <c r="AX6">
        <v>454</v>
      </c>
      <c r="AY6">
        <v>587</v>
      </c>
      <c r="AZ6">
        <v>328</v>
      </c>
      <c r="BA6">
        <v>589</v>
      </c>
      <c r="BB6">
        <v>478</v>
      </c>
      <c r="BC6">
        <v>442</v>
      </c>
      <c r="BD6" t="s">
        <v>36</v>
      </c>
      <c r="BE6">
        <v>595</v>
      </c>
      <c r="BF6">
        <v>530</v>
      </c>
      <c r="BG6">
        <v>575</v>
      </c>
      <c r="BH6">
        <v>524</v>
      </c>
      <c r="BI6">
        <v>597</v>
      </c>
      <c r="BJ6">
        <v>570</v>
      </c>
      <c r="BK6">
        <v>596</v>
      </c>
      <c r="BL6">
        <v>540</v>
      </c>
      <c r="BM6">
        <v>535</v>
      </c>
      <c r="BN6">
        <v>436</v>
      </c>
      <c r="BO6" t="s">
        <v>39</v>
      </c>
      <c r="BU6" t="s">
        <v>40</v>
      </c>
      <c r="BV6">
        <v>0.05</v>
      </c>
      <c r="BW6">
        <v>0</v>
      </c>
      <c r="BZ6" t="s">
        <v>41</v>
      </c>
      <c r="CA6">
        <v>0.6784</v>
      </c>
      <c r="CC6" t="s">
        <v>42</v>
      </c>
      <c r="CD6">
        <v>2E-3</v>
      </c>
    </row>
    <row r="7" spans="1:92" x14ac:dyDescent="0.2">
      <c r="M7" t="s">
        <v>43</v>
      </c>
      <c r="N7" t="s">
        <v>44</v>
      </c>
      <c r="O7" t="s">
        <v>45</v>
      </c>
      <c r="P7" t="s">
        <v>46</v>
      </c>
      <c r="Q7" t="s">
        <v>46</v>
      </c>
      <c r="T7" t="s">
        <v>43</v>
      </c>
      <c r="U7" t="s">
        <v>46</v>
      </c>
      <c r="V7" t="s">
        <v>47</v>
      </c>
      <c r="W7" t="s">
        <v>46</v>
      </c>
      <c r="X7" t="s">
        <v>46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G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46</v>
      </c>
      <c r="AN7" t="s">
        <v>46</v>
      </c>
      <c r="AP7" t="s">
        <v>46</v>
      </c>
      <c r="AR7" t="s">
        <v>46</v>
      </c>
      <c r="AT7" t="s">
        <v>46</v>
      </c>
      <c r="AU7" t="s">
        <v>46</v>
      </c>
      <c r="AV7" t="s">
        <v>46</v>
      </c>
      <c r="AY7" t="s">
        <v>46</v>
      </c>
      <c r="AZ7" t="s">
        <v>46</v>
      </c>
      <c r="BA7" t="s">
        <v>46</v>
      </c>
      <c r="BD7" t="s">
        <v>46</v>
      </c>
      <c r="BE7" t="s">
        <v>46</v>
      </c>
      <c r="BF7" t="s">
        <v>47</v>
      </c>
      <c r="BG7" t="s">
        <v>46</v>
      </c>
      <c r="BH7" t="s">
        <v>47</v>
      </c>
      <c r="BI7" t="s">
        <v>46</v>
      </c>
      <c r="BJ7" t="s">
        <v>46</v>
      </c>
      <c r="BK7" t="s">
        <v>46</v>
      </c>
      <c r="BL7" t="s">
        <v>47</v>
      </c>
      <c r="BM7" t="s">
        <v>47</v>
      </c>
      <c r="BO7" t="s">
        <v>47</v>
      </c>
      <c r="BU7" t="s">
        <v>48</v>
      </c>
      <c r="BV7">
        <v>0.95</v>
      </c>
      <c r="BW7">
        <v>1</v>
      </c>
      <c r="BZ7" t="s">
        <v>49</v>
      </c>
      <c r="CA7">
        <v>0.16</v>
      </c>
      <c r="CC7" t="s">
        <v>50</v>
      </c>
      <c r="CD7">
        <f>44/28</f>
        <v>1.5714285714285714</v>
      </c>
    </row>
    <row r="8" spans="1:92" x14ac:dyDescent="0.2">
      <c r="N8" t="s">
        <v>46</v>
      </c>
      <c r="O8" t="s">
        <v>46</v>
      </c>
      <c r="AM8" t="s">
        <v>43</v>
      </c>
      <c r="AN8" t="s">
        <v>43</v>
      </c>
      <c r="AP8" t="s">
        <v>43</v>
      </c>
      <c r="AY8" t="s">
        <v>43</v>
      </c>
      <c r="BG8" t="s">
        <v>43</v>
      </c>
      <c r="BJ8" t="s">
        <v>43</v>
      </c>
      <c r="BZ8" t="s">
        <v>51</v>
      </c>
      <c r="CA8">
        <v>28</v>
      </c>
      <c r="CC8" t="s">
        <v>52</v>
      </c>
      <c r="CD8">
        <v>265</v>
      </c>
    </row>
    <row r="9" spans="1:92" x14ac:dyDescent="0.2">
      <c r="N9" t="s">
        <v>43</v>
      </c>
      <c r="O9" t="s">
        <v>43</v>
      </c>
      <c r="AM9" t="s">
        <v>53</v>
      </c>
      <c r="AN9" t="s">
        <v>54</v>
      </c>
      <c r="AP9" t="s">
        <v>55</v>
      </c>
      <c r="AQ9" t="s">
        <v>56</v>
      </c>
      <c r="BZ9" t="s">
        <v>57</v>
      </c>
      <c r="CA9">
        <v>1.0999999999999999E-2</v>
      </c>
      <c r="CC9" t="s">
        <v>58</v>
      </c>
      <c r="CD9">
        <v>0.21</v>
      </c>
    </row>
    <row r="10" spans="1:92" x14ac:dyDescent="0.2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66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  <c r="R10" t="s">
        <v>73</v>
      </c>
      <c r="S10" t="s">
        <v>74</v>
      </c>
      <c r="T10" t="s">
        <v>75</v>
      </c>
      <c r="U10" t="s">
        <v>76</v>
      </c>
      <c r="V10" t="s">
        <v>77</v>
      </c>
      <c r="W10" t="s">
        <v>78</v>
      </c>
      <c r="X10" t="s">
        <v>79</v>
      </c>
      <c r="Y10" t="s">
        <v>80</v>
      </c>
      <c r="Z10" t="s">
        <v>81</v>
      </c>
      <c r="AA10" t="s">
        <v>82</v>
      </c>
      <c r="AB10" t="s">
        <v>83</v>
      </c>
      <c r="AC10" t="s">
        <v>84</v>
      </c>
      <c r="AD10" t="s">
        <v>85</v>
      </c>
      <c r="AE10" t="s">
        <v>86</v>
      </c>
      <c r="AF10" t="s">
        <v>87</v>
      </c>
      <c r="AG10" t="s">
        <v>88</v>
      </c>
      <c r="AH10" t="s">
        <v>89</v>
      </c>
      <c r="AI10" t="s">
        <v>90</v>
      </c>
      <c r="AJ10" t="s">
        <v>91</v>
      </c>
      <c r="AK10" t="s">
        <v>92</v>
      </c>
      <c r="AL10" t="s">
        <v>93</v>
      </c>
      <c r="AO10" t="s">
        <v>94</v>
      </c>
      <c r="AP10" t="s">
        <v>40</v>
      </c>
      <c r="AQ10" t="s">
        <v>48</v>
      </c>
      <c r="AR10" t="s">
        <v>95</v>
      </c>
      <c r="AS10" t="s">
        <v>96</v>
      </c>
      <c r="AT10" t="s">
        <v>97</v>
      </c>
      <c r="AU10" t="s">
        <v>98</v>
      </c>
      <c r="AV10" t="s">
        <v>49</v>
      </c>
      <c r="AW10" t="s">
        <v>99</v>
      </c>
      <c r="AX10" t="s">
        <v>91</v>
      </c>
      <c r="AY10" t="s">
        <v>0</v>
      </c>
      <c r="AZ10" t="s">
        <v>50</v>
      </c>
      <c r="BA10" t="s">
        <v>52</v>
      </c>
      <c r="BB10" t="s">
        <v>93</v>
      </c>
      <c r="BC10" t="s">
        <v>100</v>
      </c>
      <c r="BD10" t="s">
        <v>101</v>
      </c>
      <c r="BE10" t="s">
        <v>58</v>
      </c>
      <c r="BF10" t="s">
        <v>102</v>
      </c>
      <c r="BG10" t="s">
        <v>103</v>
      </c>
      <c r="BH10" t="s">
        <v>104</v>
      </c>
      <c r="BI10" t="s">
        <v>57</v>
      </c>
      <c r="BJ10" t="s">
        <v>105</v>
      </c>
      <c r="BK10" t="s">
        <v>1</v>
      </c>
      <c r="BL10" t="s">
        <v>106</v>
      </c>
      <c r="BM10" t="s">
        <v>107</v>
      </c>
      <c r="BN10" t="s">
        <v>108</v>
      </c>
      <c r="BO10" t="s">
        <v>109</v>
      </c>
    </row>
    <row r="11" spans="1:92" x14ac:dyDescent="0.2">
      <c r="A11" t="s">
        <v>110</v>
      </c>
      <c r="B11" t="s">
        <v>111</v>
      </c>
      <c r="C11" t="s">
        <v>24</v>
      </c>
      <c r="D11" t="s">
        <v>112</v>
      </c>
      <c r="E11" t="s">
        <v>112</v>
      </c>
      <c r="F11" t="str">
        <f>IF(OR(D11="ACT", D11="NSW"), "ACT/NSW", D11)</f>
        <v>ACT/NSW</v>
      </c>
      <c r="G11" t="s">
        <v>113</v>
      </c>
      <c r="H11" t="s">
        <v>114</v>
      </c>
      <c r="I11" t="s">
        <v>115</v>
      </c>
      <c r="J11" t="str">
        <f>IF(H11="Non-irrigated crop", IF(I11="high", "Non-irrigated crop (high rainfall)", "Non-irrigated crop (low rainfall)"), H11)</f>
        <v>Irrigated crop</v>
      </c>
      <c r="K11" t="s">
        <v>116</v>
      </c>
      <c r="L11" t="s">
        <v>117</v>
      </c>
      <c r="M11">
        <v>100</v>
      </c>
      <c r="N11" t="e" cm="1">
        <f t="array" aca="1" ref="N11" ca="1">_xludf.XLOOKUP(K11, $BX$46:$CG$46, $BX$47:$CG$50)</f>
        <v>#NAME?</v>
      </c>
      <c r="O11" t="e" cm="1">
        <f t="array" aca="1" ref="O11" ca="1">_xludf.XLOOKUP(K11, $BX$106:$CG$106, $BX$107:$CG$110)</f>
        <v>#NAME?</v>
      </c>
      <c r="P11" t="e" cm="1">
        <f t="array" aca="1" ref="P11" ca="1">_xludf.XLOOKUP(K$11,$BX$169:$CG$169,_xludf.XLOOKUP($E$11,$BW$170:$BW$176,$BX$170:$CG$176))</f>
        <v>#NAME?</v>
      </c>
      <c r="Q11" t="e">
        <f t="shared" ref="Q11:Q42" ca="1" si="0">N11/P11</f>
        <v>#NAME?</v>
      </c>
      <c r="T11">
        <v>0</v>
      </c>
      <c r="V11">
        <v>1</v>
      </c>
      <c r="W11">
        <f>VLOOKUP($G$11, $CL$17:$CN$25, 2, FALSE)</f>
        <v>6</v>
      </c>
      <c r="X11">
        <v>0</v>
      </c>
      <c r="Y11">
        <f t="shared" ref="Y11:Y42" si="1">T11*X11</f>
        <v>0</v>
      </c>
      <c r="Z11" t="e">
        <f ca="1">0.1604 * ($AM$11*100) - 1.037</f>
        <v>#NAME?</v>
      </c>
      <c r="AA11" t="e">
        <f t="shared" ref="AA11:AA42" ca="1" si="2">(0.032 * Y11 /6.38) + ((0.212 - 0.008 * (AB11 - 2) - ((0.14 - 0.008 * (AB11 - 2)) / (1 + EXP(-6 * (Q11 - 0.4))))) * (O11 * 0.92)) / 6.25</f>
        <v>#NAME?</v>
      </c>
      <c r="AB11" t="e">
        <f t="shared" ref="AB11:AB42" ca="1" si="3">AC11 / ((1.185 + 0.00454 * N11 - 0.0000026 * N11 ^ 2 ) ^ 2 * V11)</f>
        <v>#NAME?</v>
      </c>
      <c r="AC11" t="e">
        <f t="shared" ref="AC11:AC42" ca="1" si="4">(1.185 + 0.00454 * N11 - 0.0000026 * N11^2 + 0.315 * O11)^2 * V11</f>
        <v>#NAME?</v>
      </c>
      <c r="AD11" t="e">
        <f t="shared" ref="AD11:AD50" ca="1" si="5">(AC11 * (1 -AM11) + (0.04 * AC11)) * ( 1 - AV$11 )</f>
        <v>#NAME?</v>
      </c>
      <c r="AE11" t="e">
        <f t="shared" ref="AE11:AE50" ca="1" si="6">AD11 * AT$11 * AP$11 * AR$11 * AU$11</f>
        <v>#NAME?</v>
      </c>
      <c r="AF11" t="e">
        <f t="shared" ref="AF11:AF50" ca="1" si="7">AD11 * AT$11 * AQ$11 * AS$11 * AU$11</f>
        <v>#NAME?</v>
      </c>
      <c r="AG11" t="e">
        <f t="shared" ref="AG11:AG42" ca="1" si="8">M11*AE11*91.25</f>
        <v>#NAME?</v>
      </c>
      <c r="AH11" t="e">
        <f t="shared" ref="AH11:AH42" ca="1" si="9">M11*AF11*91.25</f>
        <v>#NAME?</v>
      </c>
      <c r="AI11" t="e">
        <f ca="1">((0.3 * AC11 * $AN$11 * (1 - ($AM$11 + 0.1)) + (0.105 * $Z11 * $AC11 * 0.008) + (0.0152 * $AC11)) / 6.25) + (0.08 * 0.032 * $W11 / 6.38)</f>
        <v>#NAME?</v>
      </c>
      <c r="AJ11" t="e">
        <f t="shared" ref="AJ11:AJ42" ca="1" si="10">M11*AI11*91.25</f>
        <v>#NAME?</v>
      </c>
      <c r="AK11" t="e">
        <f t="shared" ref="AK11:AK42" ca="1" si="11">(AC11 * $AN11 / 6.25) + (0.032 * W11 / 6.38) - AA11 - AI11 - ((1.1 * (10 ^ -4) * (N11 ^ 0.75)) / 6.25)</f>
        <v>#NAME?</v>
      </c>
      <c r="AL11" t="e">
        <f t="shared" ref="AL11:AL42" ca="1" si="12">M11*AK11*91.25</f>
        <v>#NAME?</v>
      </c>
      <c r="AM11" t="e" cm="1">
        <f t="array" aca="1" ref="AM11" ca="1">_xludf.XLOOKUP(G$11,$BV$17:$CD$17,$BV$18:$CD$21)</f>
        <v>#NAME?</v>
      </c>
      <c r="AN11" t="e" cm="1">
        <f t="array" aca="1" ref="AN11" ca="1">_xludf.XLOOKUP(G$11,$BV$29:$CD$29,$BV$30:$CD$33)</f>
        <v>#NAME?</v>
      </c>
      <c r="AO11" t="s">
        <v>118</v>
      </c>
      <c r="AP11">
        <f>IF(AO11="yes", $BV$6, $BW$6)</f>
        <v>0.05</v>
      </c>
      <c r="AQ11">
        <f>IF(AO11="yes", $BV$7, $BW$7)</f>
        <v>0.95</v>
      </c>
      <c r="AR11">
        <f>VLOOKUP(B11, $CH$17:$CI$26, 2, FALSE)</f>
        <v>7.3000000000000001E-3</v>
      </c>
      <c r="AS11">
        <f>$CI$14</f>
        <v>4.5999999999999999E-3</v>
      </c>
      <c r="AT11">
        <f>$CA$5</f>
        <v>0.19</v>
      </c>
      <c r="AU11">
        <f>$CA$6</f>
        <v>0.6784</v>
      </c>
      <c r="AV11">
        <f>$CA$7</f>
        <v>0.16</v>
      </c>
      <c r="AW11" t="e">
        <f ca="1">SUM(AG11:AH50)</f>
        <v>#NAME?</v>
      </c>
      <c r="AX11" t="e">
        <f ca="1">SUM(AJ11:AJ50)</f>
        <v>#NAME?</v>
      </c>
      <c r="AY11">
        <f>IF(C11="wet",$CD$5,$CD$6)</f>
        <v>6.0000000000000001E-3</v>
      </c>
      <c r="AZ11">
        <f>$CD$7</f>
        <v>1.5714285714285714</v>
      </c>
      <c r="BA11">
        <f>$CD$8</f>
        <v>265</v>
      </c>
      <c r="BB11" t="e">
        <f ca="1">SUM(AL11:AL50)</f>
        <v>#NAME?</v>
      </c>
      <c r="BC11" t="e">
        <f ca="1">((AX11 * AY11 * AZ11) + (BB11 * AY11 * AZ11))  * (10^-3)</f>
        <v>#NAME?</v>
      </c>
      <c r="BD11">
        <f>$CA$8</f>
        <v>28</v>
      </c>
      <c r="BE11">
        <f>$CD$9</f>
        <v>0.21</v>
      </c>
      <c r="BF11" t="e">
        <f ca="1">(AX11+BB11)*BE11</f>
        <v>#NAME?</v>
      </c>
      <c r="BG11">
        <f>VLOOKUP(J11, $CH$29:$CI$33,2,FALSE)</f>
        <v>7.0000000000000001E-3</v>
      </c>
      <c r="BH11" t="e">
        <f ca="1">BF11*BG11*AZ11*(10^-3)</f>
        <v>#NAME?</v>
      </c>
      <c r="BI11">
        <f>$CA$9</f>
        <v>1.0999999999999999E-2</v>
      </c>
      <c r="BJ11">
        <f>VLOOKUP(D11, $CL$29:$CM$46, 2, FALSE)</f>
        <v>0.87</v>
      </c>
      <c r="BK11">
        <f>$CG$4</f>
        <v>0.24</v>
      </c>
      <c r="BL11" t="e">
        <f ca="1">(BB11+AX11)*BJ11*BK11</f>
        <v>#NAME?</v>
      </c>
      <c r="BM11" t="e">
        <f ca="1">BL11*BI11*AZ11*(10^-3)</f>
        <v>#NAME?</v>
      </c>
      <c r="BN11" t="e">
        <f ca="1">BC11+BH11+BM11</f>
        <v>#NAME?</v>
      </c>
      <c r="BO11" t="e">
        <f ca="1">AW11 * BD11 * 10^-3</f>
        <v>#NAME?</v>
      </c>
    </row>
    <row r="12" spans="1:92" x14ac:dyDescent="0.2">
      <c r="L12" t="s">
        <v>119</v>
      </c>
      <c r="M12">
        <v>110</v>
      </c>
      <c r="P12" t="e" cm="1">
        <f t="array" aca="1" ref="P12" ca="1">_xludf.XLOOKUP(K$11,$BX$169:$CG$169,_xludf.XLOOKUP($E$11,$BW$170:$BW$176,$BX$170:$CG$176))</f>
        <v>#NAME?</v>
      </c>
      <c r="Q12" t="e">
        <f t="shared" ca="1" si="0"/>
        <v>#NAME?</v>
      </c>
      <c r="V12">
        <v>1</v>
      </c>
      <c r="W12">
        <f>VLOOKUP($G$11, $CL$17:$CN$25, 3, FALSE)</f>
        <v>4</v>
      </c>
      <c r="X12">
        <v>0</v>
      </c>
      <c r="Y12">
        <f t="shared" si="1"/>
        <v>0</v>
      </c>
      <c r="Z12">
        <f>0.1604 * ($AM$12*100) - 1.037</f>
        <v>-1.0369999999999999</v>
      </c>
      <c r="AA12" t="e">
        <f t="shared" ca="1" si="2"/>
        <v>#NAME?</v>
      </c>
      <c r="AB12">
        <f t="shared" si="3"/>
        <v>1</v>
      </c>
      <c r="AC12">
        <f t="shared" si="4"/>
        <v>1.4042250000000001</v>
      </c>
      <c r="AD12">
        <f t="shared" si="5"/>
        <v>1.22673096</v>
      </c>
      <c r="AE12">
        <f t="shared" si="6"/>
        <v>5.7714060544358416E-5</v>
      </c>
      <c r="AF12">
        <f t="shared" si="7"/>
        <v>6.9098751939409913E-4</v>
      </c>
      <c r="AG12">
        <f t="shared" si="8"/>
        <v>0.5793048827139976</v>
      </c>
      <c r="AH12">
        <f t="shared" si="9"/>
        <v>6.9357872259182702</v>
      </c>
      <c r="AI12">
        <f>((0.3 * AC12 * $AN$12 * (1 - ($AM$12 + 0.1)) + (0.105 * $Z12 * $AC12 * 0.008) + (0.0152 * $AC12)) / 6.25) + (0.08 * 0.032 * $W12 / 6.38)</f>
        <v>4.824380103901192E-3</v>
      </c>
      <c r="AJ12">
        <f t="shared" si="10"/>
        <v>48.424715292908211</v>
      </c>
      <c r="AK12" t="e">
        <f t="shared" ca="1" si="11"/>
        <v>#NAME?</v>
      </c>
      <c r="AL12" t="e">
        <f t="shared" ca="1" si="12"/>
        <v>#NAME?</v>
      </c>
    </row>
    <row r="13" spans="1:92" x14ac:dyDescent="0.2">
      <c r="L13" t="s">
        <v>120</v>
      </c>
      <c r="M13">
        <v>120</v>
      </c>
      <c r="P13" t="e" cm="1">
        <f t="array" aca="1" ref="P13" ca="1">_xludf.XLOOKUP(K$11,$BX$169:$CG$169,_xludf.XLOOKUP($E$11,$BW$170:$BW$176,$BX$170:$CG$176))</f>
        <v>#NAME?</v>
      </c>
      <c r="Q13" t="e">
        <f t="shared" ca="1" si="0"/>
        <v>#NAME?</v>
      </c>
      <c r="V13">
        <v>1</v>
      </c>
      <c r="W13">
        <v>0</v>
      </c>
      <c r="X13">
        <v>0</v>
      </c>
      <c r="Y13">
        <f t="shared" si="1"/>
        <v>0</v>
      </c>
      <c r="Z13">
        <f>0.1604 * ($AM$13*100) - 1.037</f>
        <v>-1.0369999999999999</v>
      </c>
      <c r="AA13" t="e">
        <f t="shared" ca="1" si="2"/>
        <v>#NAME?</v>
      </c>
      <c r="AB13">
        <f t="shared" si="3"/>
        <v>1</v>
      </c>
      <c r="AC13">
        <f t="shared" si="4"/>
        <v>1.4042250000000001</v>
      </c>
      <c r="AD13">
        <f t="shared" si="5"/>
        <v>1.22673096</v>
      </c>
      <c r="AE13">
        <f t="shared" si="6"/>
        <v>5.7714060544358416E-5</v>
      </c>
      <c r="AF13">
        <f t="shared" si="7"/>
        <v>6.9098751939409913E-4</v>
      </c>
      <c r="AG13">
        <f t="shared" si="8"/>
        <v>0.63196896296072469</v>
      </c>
      <c r="AH13">
        <f t="shared" si="9"/>
        <v>7.5663133373653855</v>
      </c>
      <c r="AI13">
        <f>((0.3 * AC13 * $AN$13 * (1 - ($AM$13 + 0.1)) + (0.105 * $Z13 * $AC13 * 0.008) + (0.0152 * $AC13)) / 6.25) + (0.08 * 0.032 * $W13 / 6.38)</f>
        <v>3.2193644299200004E-3</v>
      </c>
      <c r="AJ13">
        <f t="shared" si="10"/>
        <v>35.25204050762401</v>
      </c>
      <c r="AK13" t="e">
        <f t="shared" ca="1" si="11"/>
        <v>#NAME?</v>
      </c>
      <c r="AL13" t="e">
        <f t="shared" ca="1" si="12"/>
        <v>#NAME?</v>
      </c>
    </row>
    <row r="14" spans="1:92" x14ac:dyDescent="0.2">
      <c r="L14" t="s">
        <v>121</v>
      </c>
      <c r="M14">
        <v>130</v>
      </c>
      <c r="P14" t="e" cm="1">
        <f t="array" aca="1" ref="P14" ca="1">_xludf.XLOOKUP(K$11,$BX$169:$CG$169,_xludf.XLOOKUP($E$11,$BW$170:$BW$176,$BX$170:$CG$176))</f>
        <v>#NAME?</v>
      </c>
      <c r="Q14" t="e">
        <f t="shared" ca="1" si="0"/>
        <v>#NAME?</v>
      </c>
      <c r="V14">
        <v>1</v>
      </c>
      <c r="W14">
        <v>0</v>
      </c>
      <c r="X14">
        <v>0</v>
      </c>
      <c r="Y14">
        <f t="shared" si="1"/>
        <v>0</v>
      </c>
      <c r="Z14">
        <f>0.1604 * ($AM$14*100) - 1.037</f>
        <v>-1.0369999999999999</v>
      </c>
      <c r="AA14" t="e">
        <f t="shared" ca="1" si="2"/>
        <v>#NAME?</v>
      </c>
      <c r="AB14">
        <f t="shared" si="3"/>
        <v>1</v>
      </c>
      <c r="AC14">
        <f t="shared" si="4"/>
        <v>1.4042250000000001</v>
      </c>
      <c r="AD14">
        <f t="shared" si="5"/>
        <v>1.22673096</v>
      </c>
      <c r="AE14">
        <f t="shared" si="6"/>
        <v>5.7714060544358416E-5</v>
      </c>
      <c r="AF14">
        <f t="shared" si="7"/>
        <v>6.9098751939409913E-4</v>
      </c>
      <c r="AG14">
        <f t="shared" si="8"/>
        <v>0.68463304320745177</v>
      </c>
      <c r="AH14">
        <f t="shared" si="9"/>
        <v>8.1968394488125007</v>
      </c>
      <c r="AI14">
        <f>((0.3 * AC14 * $AN$14 * (1 - ($AM$14 + 0.1)) + (0.105 * $Z14 * $AC14 * 0.008) + (0.0152 * $AC14)) / 6.25) + (0.08 * 0.032 * $W14 / 6.38)</f>
        <v>3.2193644299200004E-3</v>
      </c>
      <c r="AJ14">
        <f t="shared" si="10"/>
        <v>38.189710549926005</v>
      </c>
      <c r="AK14" t="e">
        <f t="shared" ca="1" si="11"/>
        <v>#NAME?</v>
      </c>
      <c r="AL14" t="e">
        <f t="shared" ca="1" si="12"/>
        <v>#NAME?</v>
      </c>
      <c r="CH14" t="s">
        <v>96</v>
      </c>
      <c r="CI14">
        <v>4.5999999999999999E-3</v>
      </c>
    </row>
    <row r="15" spans="1:92" x14ac:dyDescent="0.2">
      <c r="K15" t="s">
        <v>122</v>
      </c>
      <c r="L15" t="s">
        <v>117</v>
      </c>
      <c r="M15">
        <v>50</v>
      </c>
      <c r="N15" t="e" cm="1">
        <f t="array" aca="1" ref="N15" ca="1">_xludf.XLOOKUP(K15, $BX$46:$CG$46, $BX$47:$CG$50)</f>
        <v>#NAME?</v>
      </c>
      <c r="O15" t="e" cm="1">
        <f t="array" aca="1" ref="O15" ca="1">_xludf.XLOOKUP(K15, $BX$106:$CG$106, $BX$107:$CG$110)</f>
        <v>#NAME?</v>
      </c>
      <c r="P15" t="e" cm="1">
        <f t="array" aca="1" ref="P15" ca="1">_xludf.XLOOKUP(K$15,$BX$169:$CG$169,_xludf.XLOOKUP($E$11,$BW$170:$BW$176,$BX$170:$CG$176))</f>
        <v>#NAME?</v>
      </c>
      <c r="Q15" t="e">
        <f t="shared" ca="1" si="0"/>
        <v>#NAME?</v>
      </c>
      <c r="V15">
        <v>1</v>
      </c>
      <c r="W15">
        <v>0</v>
      </c>
      <c r="X15">
        <v>0</v>
      </c>
      <c r="Y15">
        <f t="shared" si="1"/>
        <v>0</v>
      </c>
      <c r="Z15" t="e">
        <f ca="1">0.1604 * ($AM$11*100) - 1.037</f>
        <v>#NAME?</v>
      </c>
      <c r="AA15" t="e">
        <f t="shared" ca="1" si="2"/>
        <v>#NAME?</v>
      </c>
      <c r="AB15" t="e">
        <f t="shared" ca="1" si="3"/>
        <v>#NAME?</v>
      </c>
      <c r="AC15" t="e">
        <f t="shared" ca="1" si="4"/>
        <v>#NAME?</v>
      </c>
      <c r="AD15" t="e">
        <f t="shared" ca="1" si="5"/>
        <v>#NAME?</v>
      </c>
      <c r="AE15" t="e">
        <f t="shared" ca="1" si="6"/>
        <v>#NAME?</v>
      </c>
      <c r="AF15" t="e">
        <f t="shared" ca="1" si="7"/>
        <v>#NAME?</v>
      </c>
      <c r="AG15" t="e">
        <f t="shared" ca="1" si="8"/>
        <v>#NAME?</v>
      </c>
      <c r="AH15" t="e">
        <f t="shared" ca="1" si="9"/>
        <v>#NAME?</v>
      </c>
      <c r="AI15" t="e">
        <f ca="1">((0.3 * AC15 * $AN$11 * (1 - ($AM$11 + 0.1)) + (0.105 * $Z15 * $AC15 * 0.008) + (0.0152 * $AC15)) / 6.25) + (0.08 * 0.032 * $W15 / 6.38)</f>
        <v>#NAME?</v>
      </c>
      <c r="AJ15" t="e">
        <f t="shared" ca="1" si="10"/>
        <v>#NAME?</v>
      </c>
      <c r="AK15" t="e">
        <f t="shared" ca="1" si="11"/>
        <v>#NAME?</v>
      </c>
      <c r="AL15" t="e">
        <f t="shared" ca="1" si="12"/>
        <v>#NAME?</v>
      </c>
      <c r="AM15" t="e" cm="1">
        <f t="array" aca="1" ref="AM15" ca="1">_xludf.XLOOKUP(G$11,$BV$17:$CD$17,$BV$18:$CD$21)</f>
        <v>#NAME?</v>
      </c>
      <c r="AN15" t="e" cm="1">
        <f t="array" aca="1" ref="AN15" ca="1">_xludf.XLOOKUP(G$11,$BV$29:$CD$29,$BV$30:$CD$33)</f>
        <v>#NAME?</v>
      </c>
      <c r="CK15" t="s">
        <v>123</v>
      </c>
      <c r="CL15" t="s">
        <v>124</v>
      </c>
    </row>
    <row r="16" spans="1:92" x14ac:dyDescent="0.2">
      <c r="L16" t="s">
        <v>119</v>
      </c>
      <c r="M16">
        <v>55</v>
      </c>
      <c r="P16" t="e" cm="1">
        <f t="array" aca="1" ref="P16" ca="1">_xludf.XLOOKUP(K$15,$BX$169:$CG$169,_xludf.XLOOKUP($E$11,$BW$170:$BW$176,$BX$170:$CG$176))</f>
        <v>#NAME?</v>
      </c>
      <c r="Q16" t="e">
        <f t="shared" ca="1" si="0"/>
        <v>#NAME?</v>
      </c>
      <c r="V16">
        <v>1</v>
      </c>
      <c r="W16">
        <v>0</v>
      </c>
      <c r="X16">
        <v>0</v>
      </c>
      <c r="Y16">
        <f t="shared" si="1"/>
        <v>0</v>
      </c>
      <c r="Z16">
        <f>0.1604 * ($AM$12*100) - 1.037</f>
        <v>-1.0369999999999999</v>
      </c>
      <c r="AA16" t="e">
        <f t="shared" ca="1" si="2"/>
        <v>#NAME?</v>
      </c>
      <c r="AB16">
        <f t="shared" si="3"/>
        <v>1</v>
      </c>
      <c r="AC16">
        <f t="shared" si="4"/>
        <v>1.4042250000000001</v>
      </c>
      <c r="AD16">
        <f t="shared" si="5"/>
        <v>1.22673096</v>
      </c>
      <c r="AE16">
        <f t="shared" si="6"/>
        <v>5.7714060544358416E-5</v>
      </c>
      <c r="AF16">
        <f t="shared" si="7"/>
        <v>6.9098751939409913E-4</v>
      </c>
      <c r="AG16">
        <f t="shared" si="8"/>
        <v>0.2896524413569988</v>
      </c>
      <c r="AH16">
        <f t="shared" si="9"/>
        <v>3.4678936129591351</v>
      </c>
      <c r="AI16">
        <f>((0.3 * AC16 * $AN$12 * (1 - ($AM$12 + 0.1)) + (0.105 * $Z16 * $AC16 * 0.008) + (0.0152 * $AC16)) / 6.25) + (0.08 * 0.032 * $W16 / 6.38)</f>
        <v>3.2193644299200004E-3</v>
      </c>
      <c r="AJ16">
        <f t="shared" si="10"/>
        <v>16.157185232661003</v>
      </c>
      <c r="AK16" t="e">
        <f t="shared" ca="1" si="11"/>
        <v>#NAME?</v>
      </c>
      <c r="AL16" t="e">
        <f t="shared" ca="1" si="12"/>
        <v>#NAME?</v>
      </c>
      <c r="BU16" t="s">
        <v>125</v>
      </c>
      <c r="CH16" t="s">
        <v>95</v>
      </c>
      <c r="CK16" t="s">
        <v>126</v>
      </c>
      <c r="CL16" t="s">
        <v>127</v>
      </c>
      <c r="CM16" t="s">
        <v>128</v>
      </c>
      <c r="CN16" t="s">
        <v>129</v>
      </c>
    </row>
    <row r="17" spans="11:92" x14ac:dyDescent="0.2">
      <c r="L17" t="s">
        <v>120</v>
      </c>
      <c r="M17">
        <v>60</v>
      </c>
      <c r="P17" t="e" cm="1">
        <f t="array" aca="1" ref="P17" ca="1">_xludf.XLOOKUP(K$15,$BX$169:$CG$169,_xludf.XLOOKUP($E$11,$BW$170:$BW$176,$BX$170:$CG$176))</f>
        <v>#NAME?</v>
      </c>
      <c r="Q17" t="e">
        <f t="shared" ca="1" si="0"/>
        <v>#NAME?</v>
      </c>
      <c r="V17">
        <v>1</v>
      </c>
      <c r="W17">
        <v>0</v>
      </c>
      <c r="X17">
        <v>0</v>
      </c>
      <c r="Y17">
        <f t="shared" si="1"/>
        <v>0</v>
      </c>
      <c r="Z17">
        <f>0.1604 * ($AM$13*100) - 1.037</f>
        <v>-1.0369999999999999</v>
      </c>
      <c r="AA17" t="e">
        <f t="shared" ca="1" si="2"/>
        <v>#NAME?</v>
      </c>
      <c r="AB17">
        <f t="shared" si="3"/>
        <v>1</v>
      </c>
      <c r="AC17">
        <f t="shared" si="4"/>
        <v>1.4042250000000001</v>
      </c>
      <c r="AD17">
        <f t="shared" si="5"/>
        <v>1.22673096</v>
      </c>
      <c r="AE17">
        <f t="shared" si="6"/>
        <v>5.7714060544358416E-5</v>
      </c>
      <c r="AF17">
        <f t="shared" si="7"/>
        <v>6.9098751939409913E-4</v>
      </c>
      <c r="AG17">
        <f t="shared" si="8"/>
        <v>0.31598448148036234</v>
      </c>
      <c r="AH17">
        <f t="shared" si="9"/>
        <v>3.7831566686826927</v>
      </c>
      <c r="AI17">
        <f>((0.3 * AC17 * $AN$13 * (1 - ($AM$13 + 0.1)) + (0.105 * $Z17 * $AC17 * 0.008) + (0.0152 * $AC17)) / 6.25) + (0.08 * 0.032 * $W17 / 6.38)</f>
        <v>3.2193644299200004E-3</v>
      </c>
      <c r="AJ17">
        <f t="shared" si="10"/>
        <v>17.626020253812005</v>
      </c>
      <c r="AK17" t="e">
        <f t="shared" ca="1" si="11"/>
        <v>#NAME?</v>
      </c>
      <c r="AL17" t="e">
        <f t="shared" ca="1" si="12"/>
        <v>#NAME?</v>
      </c>
      <c r="BU17" t="s">
        <v>130</v>
      </c>
      <c r="BV17" t="s">
        <v>113</v>
      </c>
      <c r="BW17" t="s">
        <v>131</v>
      </c>
      <c r="BX17" t="s">
        <v>132</v>
      </c>
      <c r="BY17" t="s">
        <v>133</v>
      </c>
      <c r="BZ17" t="s">
        <v>134</v>
      </c>
      <c r="CA17" t="s">
        <v>135</v>
      </c>
      <c r="CB17" t="s">
        <v>136</v>
      </c>
      <c r="CC17" t="s">
        <v>137</v>
      </c>
      <c r="CD17" t="s">
        <v>138</v>
      </c>
      <c r="CH17" t="s">
        <v>139</v>
      </c>
      <c r="CI17">
        <v>6.0000000000000001E-3</v>
      </c>
      <c r="CL17" t="s">
        <v>113</v>
      </c>
      <c r="CM17">
        <v>6</v>
      </c>
      <c r="CN17">
        <v>4</v>
      </c>
    </row>
    <row r="18" spans="11:92" x14ac:dyDescent="0.2">
      <c r="L18" t="s">
        <v>121</v>
      </c>
      <c r="M18">
        <v>65</v>
      </c>
      <c r="P18" t="e" cm="1">
        <f t="array" aca="1" ref="P18" ca="1">_xludf.XLOOKUP(K$15,$BX$169:$CG$169,_xludf.XLOOKUP($E$11,$BW$170:$BW$176,$BX$170:$CG$176))</f>
        <v>#NAME?</v>
      </c>
      <c r="Q18" t="e">
        <f t="shared" ca="1" si="0"/>
        <v>#NAME?</v>
      </c>
      <c r="V18">
        <v>1</v>
      </c>
      <c r="W18">
        <v>0</v>
      </c>
      <c r="X18">
        <v>0</v>
      </c>
      <c r="Y18">
        <f t="shared" si="1"/>
        <v>0</v>
      </c>
      <c r="Z18">
        <f>0.1604 * ($AM$14*100) - 1.037</f>
        <v>-1.0369999999999999</v>
      </c>
      <c r="AA18" t="e">
        <f t="shared" ca="1" si="2"/>
        <v>#NAME?</v>
      </c>
      <c r="AB18">
        <f t="shared" si="3"/>
        <v>1</v>
      </c>
      <c r="AC18">
        <f t="shared" si="4"/>
        <v>1.4042250000000001</v>
      </c>
      <c r="AD18">
        <f t="shared" si="5"/>
        <v>1.22673096</v>
      </c>
      <c r="AE18">
        <f t="shared" si="6"/>
        <v>5.7714060544358416E-5</v>
      </c>
      <c r="AF18">
        <f t="shared" si="7"/>
        <v>6.9098751939409913E-4</v>
      </c>
      <c r="AG18">
        <f t="shared" si="8"/>
        <v>0.34231652160372589</v>
      </c>
      <c r="AH18">
        <f t="shared" si="9"/>
        <v>4.0984197244062504</v>
      </c>
      <c r="AI18">
        <f>((0.3 * AC18 * $AN$14 * (1 - ($AM$14 + 0.1)) + (0.105 * $Z18 * $AC18 * 0.008) + (0.0152 * $AC18)) / 6.25) + (0.08 * 0.032 * $W18 / 6.38)</f>
        <v>3.2193644299200004E-3</v>
      </c>
      <c r="AJ18">
        <f t="shared" si="10"/>
        <v>19.094855274963003</v>
      </c>
      <c r="AK18" t="e">
        <f t="shared" ca="1" si="11"/>
        <v>#NAME?</v>
      </c>
      <c r="AL18" t="e">
        <f t="shared" ca="1" si="12"/>
        <v>#NAME?</v>
      </c>
      <c r="BU18" t="s">
        <v>117</v>
      </c>
      <c r="BV18">
        <v>0.55000000000000004</v>
      </c>
      <c r="BW18">
        <v>0.55000000000000004</v>
      </c>
      <c r="BX18">
        <v>0.53</v>
      </c>
      <c r="BY18">
        <v>0.7</v>
      </c>
      <c r="BZ18">
        <v>0.75</v>
      </c>
      <c r="CA18">
        <v>0.8</v>
      </c>
      <c r="CB18">
        <v>0.8</v>
      </c>
      <c r="CC18">
        <v>0.4</v>
      </c>
      <c r="CD18">
        <v>0.4</v>
      </c>
      <c r="CH18" t="s">
        <v>140</v>
      </c>
      <c r="CI18">
        <v>6.7000000000000002E-3</v>
      </c>
      <c r="CL18" t="s">
        <v>131</v>
      </c>
      <c r="CM18">
        <v>4</v>
      </c>
      <c r="CN18">
        <v>3</v>
      </c>
    </row>
    <row r="19" spans="11:92" x14ac:dyDescent="0.2">
      <c r="K19" t="s">
        <v>141</v>
      </c>
      <c r="L19" t="s">
        <v>117</v>
      </c>
      <c r="M19">
        <v>200</v>
      </c>
      <c r="N19" t="e" cm="1">
        <f t="array" aca="1" ref="N19" ca="1">_xludf.XLOOKUP(K19, $BX$46:$CG$46, $BX$47:$CG$50)</f>
        <v>#NAME?</v>
      </c>
      <c r="O19" t="e" cm="1">
        <f t="array" aca="1" ref="O19" ca="1">_xludf.XLOOKUP(K19, $BX$106:$CG$106, $BX$107:$CG$110)</f>
        <v>#NAME?</v>
      </c>
      <c r="P19" t="e" cm="1">
        <f t="array" aca="1" ref="P19" ca="1">_xludf.XLOOKUP(K$19,$BX$169:$CG$169,_xludf.XLOOKUP($E$11,$BW$170:$BW$176,$BX$170:$CG$176))</f>
        <v>#NAME?</v>
      </c>
      <c r="Q19" t="e">
        <f t="shared" ca="1" si="0"/>
        <v>#NAME?</v>
      </c>
      <c r="V19">
        <v>1</v>
      </c>
      <c r="W19">
        <f>VLOOKUP($G$11, $CL$17:$CN$25, 2, FALSE)</f>
        <v>6</v>
      </c>
      <c r="X19">
        <v>0</v>
      </c>
      <c r="Y19">
        <f t="shared" si="1"/>
        <v>0</v>
      </c>
      <c r="Z19" t="e">
        <f ca="1">0.1604 * ($AM$11*100) - 1.037</f>
        <v>#NAME?</v>
      </c>
      <c r="AA19" t="e">
        <f t="shared" ca="1" si="2"/>
        <v>#NAME?</v>
      </c>
      <c r="AB19" t="e">
        <f t="shared" ca="1" si="3"/>
        <v>#NAME?</v>
      </c>
      <c r="AC19" t="e">
        <f t="shared" ca="1" si="4"/>
        <v>#NAME?</v>
      </c>
      <c r="AD19" t="e">
        <f t="shared" ca="1" si="5"/>
        <v>#NAME?</v>
      </c>
      <c r="AE19" t="e">
        <f t="shared" ca="1" si="6"/>
        <v>#NAME?</v>
      </c>
      <c r="AF19" t="e">
        <f t="shared" ca="1" si="7"/>
        <v>#NAME?</v>
      </c>
      <c r="AG19" t="e">
        <f t="shared" ca="1" si="8"/>
        <v>#NAME?</v>
      </c>
      <c r="AH19" t="e">
        <f t="shared" ca="1" si="9"/>
        <v>#NAME?</v>
      </c>
      <c r="AI19" t="e">
        <f ca="1">((0.3 * AC19 * $AN$11 * (1 - ($AM$11 + 0.1)) + (0.105 * $Z19 * $AC19 * 0.008) + (0.0152 * $AC19)) / 6.25) + (0.08 * 0.032 * $W19 / 6.38)</f>
        <v>#NAME?</v>
      </c>
      <c r="AJ19" t="e">
        <f t="shared" ca="1" si="10"/>
        <v>#NAME?</v>
      </c>
      <c r="AK19" t="e">
        <f t="shared" ca="1" si="11"/>
        <v>#NAME?</v>
      </c>
      <c r="AL19" t="e">
        <f t="shared" ca="1" si="12"/>
        <v>#NAME?</v>
      </c>
      <c r="AM19" t="e" cm="1">
        <f t="array" aca="1" ref="AM19" ca="1">_xludf.XLOOKUP(G$11,$BV$17:$CD$17,$BV$18:$CD$21)</f>
        <v>#NAME?</v>
      </c>
      <c r="AN19" t="e" cm="1">
        <f t="array" aca="1" ref="AN19" ca="1">_xludf.XLOOKUP(G$11,$BV$29:$CD$29,$BV$30:$CD$33)</f>
        <v>#NAME?</v>
      </c>
      <c r="BU19" t="s">
        <v>119</v>
      </c>
      <c r="BV19">
        <v>0.65</v>
      </c>
      <c r="BW19">
        <v>0.61</v>
      </c>
      <c r="BX19">
        <v>0.56999999999999995</v>
      </c>
      <c r="BY19">
        <v>0.55000000000000004</v>
      </c>
      <c r="BZ19">
        <v>0.6</v>
      </c>
      <c r="CA19">
        <v>0.55000000000000004</v>
      </c>
      <c r="CB19">
        <v>0.57999999999999996</v>
      </c>
      <c r="CC19">
        <v>0.65</v>
      </c>
      <c r="CD19">
        <v>0.65</v>
      </c>
      <c r="CH19" t="s">
        <v>142</v>
      </c>
      <c r="CI19">
        <v>5.0000000000000001E-3</v>
      </c>
      <c r="CL19" t="s">
        <v>132</v>
      </c>
      <c r="CM19">
        <v>4</v>
      </c>
      <c r="CN19">
        <v>3</v>
      </c>
    </row>
    <row r="20" spans="11:92" x14ac:dyDescent="0.2">
      <c r="L20" t="s">
        <v>119</v>
      </c>
      <c r="M20">
        <v>130</v>
      </c>
      <c r="P20" t="e" cm="1">
        <f t="array" aca="1" ref="P20" ca="1">_xludf.XLOOKUP(K$19,$BX$169:$CG$169,_xludf.XLOOKUP($E$11,$BW$170:$BW$176,$BX$170:$CG$176))</f>
        <v>#NAME?</v>
      </c>
      <c r="Q20" t="e">
        <f t="shared" ca="1" si="0"/>
        <v>#NAME?</v>
      </c>
      <c r="V20">
        <v>1</v>
      </c>
      <c r="W20">
        <f>VLOOKUP($G$11, $CL$17:$CN$25, 3, FALSE)</f>
        <v>4</v>
      </c>
      <c r="X20">
        <v>0</v>
      </c>
      <c r="Y20">
        <f t="shared" si="1"/>
        <v>0</v>
      </c>
      <c r="Z20">
        <f>0.1604 * ($AM$12*100) - 1.037</f>
        <v>-1.0369999999999999</v>
      </c>
      <c r="AA20" t="e">
        <f t="shared" ca="1" si="2"/>
        <v>#NAME?</v>
      </c>
      <c r="AB20">
        <f t="shared" si="3"/>
        <v>1</v>
      </c>
      <c r="AC20">
        <f t="shared" si="4"/>
        <v>1.4042250000000001</v>
      </c>
      <c r="AD20">
        <f t="shared" si="5"/>
        <v>1.22673096</v>
      </c>
      <c r="AE20">
        <f t="shared" si="6"/>
        <v>5.7714060544358416E-5</v>
      </c>
      <c r="AF20">
        <f t="shared" si="7"/>
        <v>6.9098751939409913E-4</v>
      </c>
      <c r="AG20">
        <f t="shared" si="8"/>
        <v>0.68463304320745177</v>
      </c>
      <c r="AH20">
        <f t="shared" si="9"/>
        <v>8.1968394488125007</v>
      </c>
      <c r="AI20">
        <f>((0.3 * AC20 * $AN$12 * (1 - ($AM$12 + 0.1)) + (0.105 * $Z20 * $AC20 * 0.008) + (0.0152 * $AC20)) / 6.25) + (0.08 * 0.032 * $W20 / 6.38)</f>
        <v>4.824380103901192E-3</v>
      </c>
      <c r="AJ20">
        <f t="shared" si="10"/>
        <v>57.229208982527886</v>
      </c>
      <c r="AK20" t="e">
        <f t="shared" ca="1" si="11"/>
        <v>#NAME?</v>
      </c>
      <c r="AL20" t="e">
        <f t="shared" ca="1" si="12"/>
        <v>#NAME?</v>
      </c>
      <c r="BU20" t="s">
        <v>120</v>
      </c>
      <c r="BV20">
        <v>0.6</v>
      </c>
      <c r="BW20">
        <v>0.56999999999999995</v>
      </c>
      <c r="BX20">
        <v>0.55000000000000004</v>
      </c>
      <c r="BY20">
        <v>0.55000000000000004</v>
      </c>
      <c r="BZ20">
        <v>0.7</v>
      </c>
      <c r="CA20">
        <v>0.6</v>
      </c>
      <c r="CB20">
        <v>0.5</v>
      </c>
      <c r="CC20">
        <v>0.55000000000000004</v>
      </c>
      <c r="CD20">
        <v>0.55000000000000004</v>
      </c>
      <c r="CH20" t="s">
        <v>143</v>
      </c>
      <c r="CI20">
        <v>4.8999999999999998E-3</v>
      </c>
      <c r="CL20" t="s">
        <v>133</v>
      </c>
      <c r="CM20">
        <v>6</v>
      </c>
      <c r="CN20">
        <v>4</v>
      </c>
    </row>
    <row r="21" spans="11:92" x14ac:dyDescent="0.2">
      <c r="L21" t="s">
        <v>120</v>
      </c>
      <c r="M21">
        <v>250</v>
      </c>
      <c r="P21" t="e" cm="1">
        <f t="array" aca="1" ref="P21" ca="1">_xludf.XLOOKUP(K$19,$BX$169:$CG$169,_xludf.XLOOKUP($E$11,$BW$170:$BW$176,$BX$170:$CG$176))</f>
        <v>#NAME?</v>
      </c>
      <c r="Q21" t="e">
        <f t="shared" ca="1" si="0"/>
        <v>#NAME?</v>
      </c>
      <c r="V21">
        <v>1</v>
      </c>
      <c r="W21">
        <v>0</v>
      </c>
      <c r="X21">
        <v>0</v>
      </c>
      <c r="Y21">
        <f t="shared" si="1"/>
        <v>0</v>
      </c>
      <c r="Z21">
        <f>0.1604 * ($AM$13*100) - 1.037</f>
        <v>-1.0369999999999999</v>
      </c>
      <c r="AA21" t="e">
        <f t="shared" ca="1" si="2"/>
        <v>#NAME?</v>
      </c>
      <c r="AB21">
        <f t="shared" si="3"/>
        <v>1</v>
      </c>
      <c r="AC21">
        <f t="shared" si="4"/>
        <v>1.4042250000000001</v>
      </c>
      <c r="AD21">
        <f t="shared" si="5"/>
        <v>1.22673096</v>
      </c>
      <c r="AE21">
        <f t="shared" si="6"/>
        <v>5.7714060544358416E-5</v>
      </c>
      <c r="AF21">
        <f t="shared" si="7"/>
        <v>6.9098751939409913E-4</v>
      </c>
      <c r="AG21">
        <f t="shared" si="8"/>
        <v>1.3166020061681765</v>
      </c>
      <c r="AH21">
        <f t="shared" si="9"/>
        <v>15.763152786177885</v>
      </c>
      <c r="AI21">
        <f>((0.3 * AC21 * $AN$13 * (1 - ($AM$13 + 0.1)) + (0.105 * $Z21 * $AC21 * 0.008) + (0.0152 * $AC21)) / 6.25) + (0.08 * 0.032 * $W21 / 6.38)</f>
        <v>3.2193644299200004E-3</v>
      </c>
      <c r="AJ21">
        <f t="shared" si="10"/>
        <v>73.441751057550007</v>
      </c>
      <c r="AK21" t="e">
        <f t="shared" ca="1" si="11"/>
        <v>#NAME?</v>
      </c>
      <c r="AL21" t="e">
        <f t="shared" ca="1" si="12"/>
        <v>#NAME?</v>
      </c>
      <c r="BU21" t="s">
        <v>121</v>
      </c>
      <c r="BV21">
        <v>0.5</v>
      </c>
      <c r="BW21">
        <v>0.54</v>
      </c>
      <c r="BX21">
        <v>0.51</v>
      </c>
      <c r="BY21">
        <v>0.75</v>
      </c>
      <c r="BZ21">
        <v>0.75</v>
      </c>
      <c r="CA21">
        <v>0.76</v>
      </c>
      <c r="CB21">
        <v>0.75</v>
      </c>
      <c r="CC21">
        <v>0.45</v>
      </c>
      <c r="CD21">
        <v>0.45</v>
      </c>
      <c r="CH21" t="s">
        <v>144</v>
      </c>
      <c r="CI21">
        <v>7.3000000000000001E-3</v>
      </c>
      <c r="CL21" t="s">
        <v>134</v>
      </c>
      <c r="CM21">
        <v>6</v>
      </c>
      <c r="CN21">
        <v>4</v>
      </c>
    </row>
    <row r="22" spans="11:92" x14ac:dyDescent="0.2">
      <c r="L22" t="s">
        <v>121</v>
      </c>
      <c r="M22">
        <v>150</v>
      </c>
      <c r="P22" t="e" cm="1">
        <f t="array" aca="1" ref="P22" ca="1">_xludf.XLOOKUP(K$19,$BX$169:$CG$169,_xludf.XLOOKUP($E$11,$BW$170:$BW$176,$BX$170:$CG$176))</f>
        <v>#NAME?</v>
      </c>
      <c r="Q22" t="e">
        <f t="shared" ca="1" si="0"/>
        <v>#NAME?</v>
      </c>
      <c r="V22">
        <v>1</v>
      </c>
      <c r="W22">
        <v>0</v>
      </c>
      <c r="X22">
        <v>0</v>
      </c>
      <c r="Y22">
        <f t="shared" si="1"/>
        <v>0</v>
      </c>
      <c r="Z22">
        <f>0.1604 * ($AM$14*100) - 1.037</f>
        <v>-1.0369999999999999</v>
      </c>
      <c r="AA22" t="e">
        <f t="shared" ca="1" si="2"/>
        <v>#NAME?</v>
      </c>
      <c r="AB22">
        <f t="shared" si="3"/>
        <v>1</v>
      </c>
      <c r="AC22">
        <f t="shared" si="4"/>
        <v>1.4042250000000001</v>
      </c>
      <c r="AD22">
        <f t="shared" si="5"/>
        <v>1.22673096</v>
      </c>
      <c r="AE22">
        <f t="shared" si="6"/>
        <v>5.7714060544358416E-5</v>
      </c>
      <c r="AF22">
        <f t="shared" si="7"/>
        <v>6.9098751939409913E-4</v>
      </c>
      <c r="AG22">
        <f t="shared" si="8"/>
        <v>0.78996120370090595</v>
      </c>
      <c r="AH22">
        <f t="shared" si="9"/>
        <v>9.457891671706733</v>
      </c>
      <c r="AI22">
        <f>((0.3 * AC22 * $AN$14 * (1 - ($AM$14 + 0.1)) + (0.105 * $Z22 * $AC22 * 0.008) + (0.0152 * $AC22)) / 6.25) + (0.08 * 0.032 * $W22 / 6.38)</f>
        <v>3.2193644299200004E-3</v>
      </c>
      <c r="AJ22">
        <f t="shared" si="10"/>
        <v>44.065050634530003</v>
      </c>
      <c r="AK22" t="e">
        <f t="shared" ca="1" si="11"/>
        <v>#NAME?</v>
      </c>
      <c r="AL22" t="e">
        <f t="shared" ca="1" si="12"/>
        <v>#NAME?</v>
      </c>
      <c r="CH22" t="s">
        <v>145</v>
      </c>
      <c r="CI22">
        <v>7.6E-3</v>
      </c>
      <c r="CL22" t="s">
        <v>135</v>
      </c>
      <c r="CM22">
        <v>6</v>
      </c>
      <c r="CN22">
        <v>4</v>
      </c>
    </row>
    <row r="23" spans="11:92" x14ac:dyDescent="0.2">
      <c r="K23" t="s">
        <v>146</v>
      </c>
      <c r="L23" t="s">
        <v>117</v>
      </c>
      <c r="M23">
        <v>20</v>
      </c>
      <c r="N23" t="e" cm="1">
        <f t="array" aca="1" ref="N23" ca="1">_xludf.XLOOKUP(K23, $BX$46:$CG$46, $BX$47:$CG$50)</f>
        <v>#NAME?</v>
      </c>
      <c r="O23" t="e" cm="1">
        <f t="array" aca="1" ref="O23" ca="1">_xludf.XLOOKUP(K23, $BX$106:$CG$106, $BX$107:$CG$110)</f>
        <v>#NAME?</v>
      </c>
      <c r="P23" t="e" cm="1">
        <f t="array" aca="1" ref="P23" ca="1">_xludf.XLOOKUP(K$23,$BX$169:$CG$169,_xludf.XLOOKUP($E$11,$BW$170:$BW$176,$BX$170:$CG$176))</f>
        <v>#NAME?</v>
      </c>
      <c r="Q23" t="e">
        <f t="shared" ca="1" si="0"/>
        <v>#NAME?</v>
      </c>
      <c r="V23">
        <v>1</v>
      </c>
      <c r="W23">
        <v>0</v>
      </c>
      <c r="X23">
        <v>0</v>
      </c>
      <c r="Y23">
        <f t="shared" si="1"/>
        <v>0</v>
      </c>
      <c r="Z23" t="e">
        <f ca="1">0.1604 * ($AM$11*100) - 1.037</f>
        <v>#NAME?</v>
      </c>
      <c r="AA23" t="e">
        <f t="shared" ca="1" si="2"/>
        <v>#NAME?</v>
      </c>
      <c r="AB23" t="e">
        <f t="shared" ca="1" si="3"/>
        <v>#NAME?</v>
      </c>
      <c r="AC23" t="e">
        <f t="shared" ca="1" si="4"/>
        <v>#NAME?</v>
      </c>
      <c r="AD23" t="e">
        <f t="shared" ca="1" si="5"/>
        <v>#NAME?</v>
      </c>
      <c r="AE23" t="e">
        <f t="shared" ca="1" si="6"/>
        <v>#NAME?</v>
      </c>
      <c r="AF23" t="e">
        <f t="shared" ca="1" si="7"/>
        <v>#NAME?</v>
      </c>
      <c r="AG23" t="e">
        <f t="shared" ca="1" si="8"/>
        <v>#NAME?</v>
      </c>
      <c r="AH23" t="e">
        <f t="shared" ca="1" si="9"/>
        <v>#NAME?</v>
      </c>
      <c r="AI23" t="e">
        <f ca="1">((0.3 * AC23 * $AN$11 * (1 - ($AM$11 + 0.1)) + (0.105 * $Z23 * $AC23 * 0.008) + (0.0152 * $AC23)) / 6.25) + (0.08 * 0.032 * $W23 / 6.38)</f>
        <v>#NAME?</v>
      </c>
      <c r="AJ23" t="e">
        <f t="shared" ca="1" si="10"/>
        <v>#NAME?</v>
      </c>
      <c r="AK23" t="e">
        <f t="shared" ca="1" si="11"/>
        <v>#NAME?</v>
      </c>
      <c r="AL23" t="e">
        <f t="shared" ca="1" si="12"/>
        <v>#NAME?</v>
      </c>
      <c r="AM23" t="e" cm="1">
        <f t="array" aca="1" ref="AM23" ca="1">_xludf.XLOOKUP(G$11,$BV$17:$CD$17,$BV$18:$CD$21)</f>
        <v>#NAME?</v>
      </c>
      <c r="AN23" t="e" cm="1">
        <f t="array" aca="1" ref="AN23" ca="1">_xludf.XLOOKUP(G$11,$BV$29:$CD$29,$BV$30:$CD$33)</f>
        <v>#NAME?</v>
      </c>
      <c r="CH23" t="s">
        <v>147</v>
      </c>
      <c r="CI23">
        <v>7.6E-3</v>
      </c>
      <c r="CK23" t="s">
        <v>148</v>
      </c>
      <c r="CL23" t="s">
        <v>136</v>
      </c>
      <c r="CM23">
        <v>6</v>
      </c>
      <c r="CN23">
        <v>4</v>
      </c>
    </row>
    <row r="24" spans="11:92" x14ac:dyDescent="0.2">
      <c r="L24" t="s">
        <v>119</v>
      </c>
      <c r="M24">
        <v>30</v>
      </c>
      <c r="P24" t="e" cm="1">
        <f t="array" aca="1" ref="P24" ca="1">_xludf.XLOOKUP(K$23,$BX$169:$CG$169,_xludf.XLOOKUP($E$11,$BW$170:$BW$176,$BX$170:$CG$176))</f>
        <v>#NAME?</v>
      </c>
      <c r="Q24" t="e">
        <f t="shared" ca="1" si="0"/>
        <v>#NAME?</v>
      </c>
      <c r="V24">
        <v>1</v>
      </c>
      <c r="W24">
        <v>0</v>
      </c>
      <c r="X24">
        <v>0</v>
      </c>
      <c r="Y24">
        <f t="shared" si="1"/>
        <v>0</v>
      </c>
      <c r="Z24">
        <f>0.1604 * ($AM$12*100) - 1.037</f>
        <v>-1.0369999999999999</v>
      </c>
      <c r="AA24" t="e">
        <f t="shared" ca="1" si="2"/>
        <v>#NAME?</v>
      </c>
      <c r="AB24">
        <f t="shared" si="3"/>
        <v>1</v>
      </c>
      <c r="AC24">
        <f t="shared" si="4"/>
        <v>1.4042250000000001</v>
      </c>
      <c r="AD24">
        <f t="shared" si="5"/>
        <v>1.22673096</v>
      </c>
      <c r="AE24">
        <f t="shared" si="6"/>
        <v>5.7714060544358416E-5</v>
      </c>
      <c r="AF24">
        <f t="shared" si="7"/>
        <v>6.9098751939409913E-4</v>
      </c>
      <c r="AG24">
        <f t="shared" si="8"/>
        <v>0.15799224074018117</v>
      </c>
      <c r="AH24">
        <f t="shared" si="9"/>
        <v>1.8915783343413464</v>
      </c>
      <c r="AI24">
        <f>((0.3 * AC24 * $AN$12 * (1 - ($AM$12 + 0.1)) + (0.105 * $Z24 * $AC24 * 0.008) + (0.0152 * $AC24)) / 6.25) + (0.08 * 0.032 * $W24 / 6.38)</f>
        <v>3.2193644299200004E-3</v>
      </c>
      <c r="AJ24">
        <f t="shared" si="10"/>
        <v>8.8130101269060024</v>
      </c>
      <c r="AK24" t="e">
        <f t="shared" ca="1" si="11"/>
        <v>#NAME?</v>
      </c>
      <c r="AL24" t="e">
        <f t="shared" ca="1" si="12"/>
        <v>#NAME?</v>
      </c>
      <c r="CH24" t="s">
        <v>149</v>
      </c>
      <c r="CI24">
        <v>8.0000000000000002E-3</v>
      </c>
      <c r="CK24" t="s">
        <v>148</v>
      </c>
      <c r="CL24" t="s">
        <v>137</v>
      </c>
      <c r="CM24">
        <v>4</v>
      </c>
      <c r="CN24">
        <v>3</v>
      </c>
    </row>
    <row r="25" spans="11:92" x14ac:dyDescent="0.2">
      <c r="L25" t="s">
        <v>120</v>
      </c>
      <c r="M25">
        <v>60</v>
      </c>
      <c r="P25" t="e" cm="1">
        <f t="array" aca="1" ref="P25" ca="1">_xludf.XLOOKUP(K$23,$BX$169:$CG$169,_xludf.XLOOKUP($E$11,$BW$170:$BW$176,$BX$170:$CG$176))</f>
        <v>#NAME?</v>
      </c>
      <c r="Q25" t="e">
        <f t="shared" ca="1" si="0"/>
        <v>#NAME?</v>
      </c>
      <c r="V25">
        <v>1</v>
      </c>
      <c r="W25">
        <v>0</v>
      </c>
      <c r="X25">
        <v>0</v>
      </c>
      <c r="Y25">
        <f t="shared" si="1"/>
        <v>0</v>
      </c>
      <c r="Z25">
        <f>0.1604 * ($AM$13*100) - 1.037</f>
        <v>-1.0369999999999999</v>
      </c>
      <c r="AA25" t="e">
        <f t="shared" ca="1" si="2"/>
        <v>#NAME?</v>
      </c>
      <c r="AB25">
        <f t="shared" si="3"/>
        <v>1</v>
      </c>
      <c r="AC25">
        <f t="shared" si="4"/>
        <v>1.4042250000000001</v>
      </c>
      <c r="AD25">
        <f t="shared" si="5"/>
        <v>1.22673096</v>
      </c>
      <c r="AE25">
        <f t="shared" si="6"/>
        <v>5.7714060544358416E-5</v>
      </c>
      <c r="AF25">
        <f t="shared" si="7"/>
        <v>6.9098751939409913E-4</v>
      </c>
      <c r="AG25">
        <f t="shared" si="8"/>
        <v>0.31598448148036234</v>
      </c>
      <c r="AH25">
        <f t="shared" si="9"/>
        <v>3.7831566686826927</v>
      </c>
      <c r="AI25">
        <f>((0.3 * AC25 * $AN$13 * (1 - ($AM$13 + 0.1)) + (0.105 * $Z25 * $AC25 * 0.008) + (0.0152 * $AC25)) / 6.25) + (0.08 * 0.032 * $W25 / 6.38)</f>
        <v>3.2193644299200004E-3</v>
      </c>
      <c r="AJ25">
        <f t="shared" si="10"/>
        <v>17.626020253812005</v>
      </c>
      <c r="AK25" t="e">
        <f t="shared" ca="1" si="11"/>
        <v>#NAME?</v>
      </c>
      <c r="AL25" t="e">
        <f t="shared" ca="1" si="12"/>
        <v>#NAME?</v>
      </c>
      <c r="CH25" t="s">
        <v>150</v>
      </c>
      <c r="CI25">
        <v>8.0000000000000002E-3</v>
      </c>
      <c r="CK25" t="s">
        <v>148</v>
      </c>
      <c r="CL25" t="s">
        <v>138</v>
      </c>
      <c r="CM25">
        <v>4</v>
      </c>
      <c r="CN25">
        <v>3</v>
      </c>
    </row>
    <row r="26" spans="11:92" x14ac:dyDescent="0.2">
      <c r="L26" t="s">
        <v>121</v>
      </c>
      <c r="M26">
        <v>30</v>
      </c>
      <c r="P26" t="e" cm="1">
        <f t="array" aca="1" ref="P26" ca="1">_xludf.XLOOKUP(K$23,$BX$169:$CG$169,_xludf.XLOOKUP($E$11,$BW$170:$BW$176,$BX$170:$CG$176))</f>
        <v>#NAME?</v>
      </c>
      <c r="Q26" t="e">
        <f t="shared" ca="1" si="0"/>
        <v>#NAME?</v>
      </c>
      <c r="V26">
        <v>1</v>
      </c>
      <c r="W26">
        <v>0</v>
      </c>
      <c r="X26">
        <v>0</v>
      </c>
      <c r="Y26">
        <f t="shared" si="1"/>
        <v>0</v>
      </c>
      <c r="Z26">
        <f>0.1604 * ($AM$14*100) - 1.037</f>
        <v>-1.0369999999999999</v>
      </c>
      <c r="AA26" t="e">
        <f t="shared" ca="1" si="2"/>
        <v>#NAME?</v>
      </c>
      <c r="AB26">
        <f t="shared" si="3"/>
        <v>1</v>
      </c>
      <c r="AC26">
        <f t="shared" si="4"/>
        <v>1.4042250000000001</v>
      </c>
      <c r="AD26">
        <f t="shared" si="5"/>
        <v>1.22673096</v>
      </c>
      <c r="AE26">
        <f t="shared" si="6"/>
        <v>5.7714060544358416E-5</v>
      </c>
      <c r="AF26">
        <f t="shared" si="7"/>
        <v>6.9098751939409913E-4</v>
      </c>
      <c r="AG26">
        <f t="shared" si="8"/>
        <v>0.15799224074018117</v>
      </c>
      <c r="AH26">
        <f t="shared" si="9"/>
        <v>1.8915783343413464</v>
      </c>
      <c r="AI26">
        <f>((0.3 * AC26 * $AN$14 * (1 - ($AM$14 + 0.1)) + (0.105 * $Z26 * $AC26 * 0.008) + (0.0152 * $AC26)) / 6.25) + (0.08 * 0.032 * $W26 / 6.38)</f>
        <v>3.2193644299200004E-3</v>
      </c>
      <c r="AJ26">
        <f t="shared" si="10"/>
        <v>8.8130101269060024</v>
      </c>
      <c r="AK26" t="e">
        <f t="shared" ca="1" si="11"/>
        <v>#NAME?</v>
      </c>
      <c r="AL26" t="e">
        <f t="shared" ca="1" si="12"/>
        <v>#NAME?</v>
      </c>
      <c r="CH26" t="s">
        <v>151</v>
      </c>
      <c r="CI26">
        <v>8.0000000000000002E-3</v>
      </c>
    </row>
    <row r="27" spans="11:92" x14ac:dyDescent="0.2">
      <c r="K27" t="s">
        <v>152</v>
      </c>
      <c r="L27" t="s">
        <v>117</v>
      </c>
      <c r="M27">
        <v>100</v>
      </c>
      <c r="N27" t="e" cm="1">
        <f t="array" aca="1" ref="N27" ca="1">_xludf.XLOOKUP(K27, $BX$46:$CG$46, $BX$47:$CG$50)</f>
        <v>#NAME?</v>
      </c>
      <c r="O27" t="e" cm="1">
        <f t="array" aca="1" ref="O27" ca="1">_xludf.XLOOKUP(K27, $BX$106:$CG$106, $BX$107:$CG$110)</f>
        <v>#NAME?</v>
      </c>
      <c r="P27" t="e" cm="1">
        <f t="array" aca="1" ref="P27" ca="1">_xludf.XLOOKUP(K$27,$BX$169:$CG$169,_xludf.XLOOKUP($E$11,$BW$170:$BW$176,$BX$170:$CG$176))</f>
        <v>#NAME?</v>
      </c>
      <c r="Q27" t="e">
        <f t="shared" ca="1" si="0"/>
        <v>#NAME?</v>
      </c>
      <c r="R27">
        <v>1</v>
      </c>
      <c r="T27">
        <f t="shared" ref="T27:T58" si="13">R27+S27</f>
        <v>1</v>
      </c>
      <c r="U27">
        <f t="shared" ref="U27:U34" si="14">1+(0.3*R27)+(0.1*S27)</f>
        <v>1.3</v>
      </c>
      <c r="V27">
        <f t="shared" ref="V27:V34" si="15">(T27*U27)+(1 - T27)</f>
        <v>1.3</v>
      </c>
      <c r="W27">
        <v>0</v>
      </c>
      <c r="X27">
        <f>VLOOKUP($G$11, $CL$17:$CN$25, 2, FALSE)</f>
        <v>6</v>
      </c>
      <c r="Y27">
        <f t="shared" si="1"/>
        <v>6</v>
      </c>
      <c r="Z27" t="e">
        <f ca="1">0.1604 * ($AM$11*100) - 1.037</f>
        <v>#NAME?</v>
      </c>
      <c r="AA27" t="e">
        <f t="shared" ca="1" si="2"/>
        <v>#NAME?</v>
      </c>
      <c r="AB27" t="e">
        <f t="shared" ca="1" si="3"/>
        <v>#NAME?</v>
      </c>
      <c r="AC27" t="e">
        <f t="shared" ca="1" si="4"/>
        <v>#NAME?</v>
      </c>
      <c r="AD27" t="e">
        <f t="shared" ca="1" si="5"/>
        <v>#NAME?</v>
      </c>
      <c r="AE27" t="e">
        <f t="shared" ca="1" si="6"/>
        <v>#NAME?</v>
      </c>
      <c r="AF27" t="e">
        <f t="shared" ca="1" si="7"/>
        <v>#NAME?</v>
      </c>
      <c r="AG27" t="e">
        <f t="shared" ca="1" si="8"/>
        <v>#NAME?</v>
      </c>
      <c r="AH27" t="e">
        <f t="shared" ca="1" si="9"/>
        <v>#NAME?</v>
      </c>
      <c r="AI27" t="e">
        <f ca="1">((0.3 * AC27 * $AN$11 * (1 - ($AM$11 + 0.1)) + (0.105 * $Z27 * $AC27 * 0.008) + (0.0152 * $AC27)) / 6.25) + (0.08 * 0.032 * $W27 / 6.38)</f>
        <v>#NAME?</v>
      </c>
      <c r="AJ27" t="e">
        <f t="shared" ca="1" si="10"/>
        <v>#NAME?</v>
      </c>
      <c r="AK27" t="e">
        <f t="shared" ca="1" si="11"/>
        <v>#NAME?</v>
      </c>
      <c r="AL27" t="e">
        <f t="shared" ca="1" si="12"/>
        <v>#NAME?</v>
      </c>
      <c r="AM27" t="e" cm="1">
        <f t="array" aca="1" ref="AM27" ca="1">_xludf.XLOOKUP(G$11,$BV$17:$CD$17,$BV$18:$CD$21)</f>
        <v>#NAME?</v>
      </c>
      <c r="AN27" t="e" cm="1">
        <f t="array" aca="1" ref="AN27" ca="1">_xludf.XLOOKUP(G$11,$BV$29:$CD$29,$BV$30:$CD$33)</f>
        <v>#NAME?</v>
      </c>
    </row>
    <row r="28" spans="11:92" x14ac:dyDescent="0.2">
      <c r="L28" t="s">
        <v>119</v>
      </c>
      <c r="M28">
        <v>110</v>
      </c>
      <c r="P28" t="e" cm="1">
        <f t="array" aca="1" ref="P28" ca="1">_xludf.XLOOKUP(K$27,$BX$169:$CG$169,_xludf.XLOOKUP($E$11,$BW$170:$BW$176,$BX$170:$CG$176))</f>
        <v>#NAME?</v>
      </c>
      <c r="Q28" t="e">
        <f t="shared" ca="1" si="0"/>
        <v>#NAME?</v>
      </c>
      <c r="R28">
        <v>0</v>
      </c>
      <c r="S28">
        <v>1</v>
      </c>
      <c r="T28">
        <f t="shared" si="13"/>
        <v>1</v>
      </c>
      <c r="U28">
        <f t="shared" si="14"/>
        <v>1.1000000000000001</v>
      </c>
      <c r="V28">
        <f t="shared" si="15"/>
        <v>1.1000000000000001</v>
      </c>
      <c r="W28">
        <v>0</v>
      </c>
      <c r="X28">
        <f>VLOOKUP($G$11, $CL$17:$CN$25, 3, FALSE)</f>
        <v>4</v>
      </c>
      <c r="Y28">
        <f t="shared" si="1"/>
        <v>4</v>
      </c>
      <c r="Z28">
        <f>0.1604 * ($AM$12*100) - 1.037</f>
        <v>-1.0369999999999999</v>
      </c>
      <c r="AA28" t="e">
        <f t="shared" ca="1" si="2"/>
        <v>#NAME?</v>
      </c>
      <c r="AB28">
        <f t="shared" si="3"/>
        <v>1</v>
      </c>
      <c r="AC28">
        <f t="shared" si="4"/>
        <v>1.5446475000000002</v>
      </c>
      <c r="AD28">
        <f t="shared" si="5"/>
        <v>1.3494040560000002</v>
      </c>
      <c r="AE28">
        <f t="shared" si="6"/>
        <v>6.3485466598794263E-5</v>
      </c>
      <c r="AF28">
        <f t="shared" si="7"/>
        <v>7.6008627133350914E-4</v>
      </c>
      <c r="AG28">
        <f t="shared" si="8"/>
        <v>0.6372353709853974</v>
      </c>
      <c r="AH28">
        <f t="shared" si="9"/>
        <v>7.629365948510098</v>
      </c>
      <c r="AI28">
        <f>((0.3 * AC28 * $AN$12 * (1 - ($AM$12 + 0.1)) + (0.105 * $Z28 * $AC28 * 0.008) + (0.0152 * $AC28)) / 6.25) + (0.08 * 0.032 * $W28 / 6.38)</f>
        <v>3.5413008729119999E-3</v>
      </c>
      <c r="AJ28">
        <f t="shared" si="10"/>
        <v>35.5458075118542</v>
      </c>
      <c r="AK28" t="e">
        <f t="shared" ca="1" si="11"/>
        <v>#NAME?</v>
      </c>
      <c r="AL28" t="e">
        <f t="shared" ca="1" si="12"/>
        <v>#NAME?</v>
      </c>
      <c r="BU28" t="s">
        <v>153</v>
      </c>
      <c r="CK28" t="s">
        <v>105</v>
      </c>
    </row>
    <row r="29" spans="11:92" x14ac:dyDescent="0.2">
      <c r="L29" t="s">
        <v>120</v>
      </c>
      <c r="M29">
        <v>120</v>
      </c>
      <c r="P29" t="e" cm="1">
        <f t="array" aca="1" ref="P29" ca="1">_xludf.XLOOKUP(K$27,$BX$169:$CG$169,_xludf.XLOOKUP($E$11,$BW$170:$BW$176,$BX$170:$CG$176))</f>
        <v>#NAME?</v>
      </c>
      <c r="Q29" t="e">
        <f t="shared" ca="1" si="0"/>
        <v>#NAME?</v>
      </c>
      <c r="R29">
        <v>0</v>
      </c>
      <c r="S29">
        <v>0</v>
      </c>
      <c r="T29">
        <f t="shared" si="13"/>
        <v>0</v>
      </c>
      <c r="U29">
        <f t="shared" si="14"/>
        <v>1</v>
      </c>
      <c r="V29">
        <f t="shared" si="15"/>
        <v>1</v>
      </c>
      <c r="W29">
        <v>0</v>
      </c>
      <c r="X29">
        <v>0</v>
      </c>
      <c r="Y29">
        <f t="shared" si="1"/>
        <v>0</v>
      </c>
      <c r="Z29">
        <f>0.1604 * ($AM$13*100) - 1.037</f>
        <v>-1.0369999999999999</v>
      </c>
      <c r="AA29" t="e">
        <f t="shared" ca="1" si="2"/>
        <v>#NAME?</v>
      </c>
      <c r="AB29">
        <f t="shared" si="3"/>
        <v>1</v>
      </c>
      <c r="AC29">
        <f t="shared" si="4"/>
        <v>1.4042250000000001</v>
      </c>
      <c r="AD29">
        <f t="shared" si="5"/>
        <v>1.22673096</v>
      </c>
      <c r="AE29">
        <f t="shared" si="6"/>
        <v>5.7714060544358416E-5</v>
      </c>
      <c r="AF29">
        <f t="shared" si="7"/>
        <v>6.9098751939409913E-4</v>
      </c>
      <c r="AG29">
        <f t="shared" si="8"/>
        <v>0.63196896296072469</v>
      </c>
      <c r="AH29">
        <f t="shared" si="9"/>
        <v>7.5663133373653855</v>
      </c>
      <c r="AI29">
        <f>((0.3 * AC29 * $AN$13 * (1 - ($AM$13 + 0.1)) + (0.105 * $Z29 * $AC29 * 0.008) + (0.0152 * $AC29)) / 6.25) + (0.08 * 0.032 * $W29 / 6.38)</f>
        <v>3.2193644299200004E-3</v>
      </c>
      <c r="AJ29">
        <f t="shared" si="10"/>
        <v>35.25204050762401</v>
      </c>
      <c r="AK29" t="e">
        <f t="shared" ca="1" si="11"/>
        <v>#NAME?</v>
      </c>
      <c r="AL29" t="e">
        <f t="shared" ca="1" si="12"/>
        <v>#NAME?</v>
      </c>
      <c r="BU29" t="s">
        <v>130</v>
      </c>
      <c r="BV29" t="s">
        <v>113</v>
      </c>
      <c r="BW29" t="s">
        <v>131</v>
      </c>
      <c r="BX29" t="s">
        <v>132</v>
      </c>
      <c r="BY29" t="s">
        <v>133</v>
      </c>
      <c r="BZ29" t="s">
        <v>134</v>
      </c>
      <c r="CA29" t="s">
        <v>135</v>
      </c>
      <c r="CB29" t="s">
        <v>136</v>
      </c>
      <c r="CC29" t="s">
        <v>137</v>
      </c>
      <c r="CD29" t="s">
        <v>138</v>
      </c>
      <c r="CH29" t="s">
        <v>154</v>
      </c>
      <c r="CI29">
        <v>5.8999999999999999E-3</v>
      </c>
      <c r="CL29" t="s">
        <v>112</v>
      </c>
      <c r="CM29">
        <v>0.87</v>
      </c>
    </row>
    <row r="30" spans="11:92" x14ac:dyDescent="0.2">
      <c r="L30" t="s">
        <v>121</v>
      </c>
      <c r="M30">
        <v>130</v>
      </c>
      <c r="P30" t="e" cm="1">
        <f t="array" aca="1" ref="P30" ca="1">_xludf.XLOOKUP(K$27,$BX$169:$CG$169,_xludf.XLOOKUP($E$11,$BW$170:$BW$176,$BX$170:$CG$176))</f>
        <v>#NAME?</v>
      </c>
      <c r="Q30" t="e">
        <f t="shared" ca="1" si="0"/>
        <v>#NAME?</v>
      </c>
      <c r="R30">
        <v>0</v>
      </c>
      <c r="S30">
        <v>0</v>
      </c>
      <c r="T30">
        <f t="shared" si="13"/>
        <v>0</v>
      </c>
      <c r="U30">
        <f t="shared" si="14"/>
        <v>1</v>
      </c>
      <c r="V30">
        <f t="shared" si="15"/>
        <v>1</v>
      </c>
      <c r="W30">
        <v>0</v>
      </c>
      <c r="X30">
        <v>0</v>
      </c>
      <c r="Y30">
        <f t="shared" si="1"/>
        <v>0</v>
      </c>
      <c r="Z30">
        <f>0.1604 * ($AM$14*100) - 1.037</f>
        <v>-1.0369999999999999</v>
      </c>
      <c r="AA30" t="e">
        <f t="shared" ca="1" si="2"/>
        <v>#NAME?</v>
      </c>
      <c r="AB30">
        <f t="shared" si="3"/>
        <v>1</v>
      </c>
      <c r="AC30">
        <f t="shared" si="4"/>
        <v>1.4042250000000001</v>
      </c>
      <c r="AD30">
        <f t="shared" si="5"/>
        <v>1.22673096</v>
      </c>
      <c r="AE30">
        <f t="shared" si="6"/>
        <v>5.7714060544358416E-5</v>
      </c>
      <c r="AF30">
        <f t="shared" si="7"/>
        <v>6.9098751939409913E-4</v>
      </c>
      <c r="AG30">
        <f t="shared" si="8"/>
        <v>0.68463304320745177</v>
      </c>
      <c r="AH30">
        <f t="shared" si="9"/>
        <v>8.1968394488125007</v>
      </c>
      <c r="AI30">
        <f>((0.3 * AC30 * $AN$14 * (1 - ($AM$14 + 0.1)) + (0.105 * $Z30 * $AC30 * 0.008) + (0.0152 * $AC30)) / 6.25) + (0.08 * 0.032 * $W30 / 6.38)</f>
        <v>3.2193644299200004E-3</v>
      </c>
      <c r="AJ30">
        <f t="shared" si="10"/>
        <v>38.189710549926005</v>
      </c>
      <c r="AK30" t="e">
        <f t="shared" ca="1" si="11"/>
        <v>#NAME?</v>
      </c>
      <c r="AL30" t="e">
        <f t="shared" ca="1" si="12"/>
        <v>#NAME?</v>
      </c>
      <c r="BU30" t="s">
        <v>117</v>
      </c>
      <c r="BV30">
        <v>7.0000000000000007E-2</v>
      </c>
      <c r="BW30">
        <v>5.8000000000000003E-2</v>
      </c>
      <c r="BX30">
        <v>7.1999999999999995E-2</v>
      </c>
      <c r="BY30">
        <v>0.16</v>
      </c>
      <c r="BZ30">
        <v>0.2</v>
      </c>
      <c r="CA30">
        <v>0.25</v>
      </c>
      <c r="CB30">
        <v>0.2</v>
      </c>
      <c r="CC30">
        <v>0.04</v>
      </c>
      <c r="CD30">
        <v>0.04</v>
      </c>
      <c r="CH30" t="s">
        <v>114</v>
      </c>
      <c r="CI30">
        <v>7.0000000000000001E-3</v>
      </c>
      <c r="CL30" t="s">
        <v>155</v>
      </c>
      <c r="CM30">
        <v>0.54</v>
      </c>
    </row>
    <row r="31" spans="11:92" x14ac:dyDescent="0.2">
      <c r="K31" t="s">
        <v>156</v>
      </c>
      <c r="L31" t="s">
        <v>117</v>
      </c>
      <c r="M31">
        <v>50</v>
      </c>
      <c r="N31" t="e" cm="1">
        <f t="array" aca="1" ref="N31" ca="1">_xludf.XLOOKUP(K31, $BX$46:$CG$46, $BX$47:$CG$50)</f>
        <v>#NAME?</v>
      </c>
      <c r="O31" t="e" cm="1">
        <f t="array" aca="1" ref="O31" ca="1">_xludf.XLOOKUP(K31, $BX$106:$CG$106, $BX$107:$CG$110)</f>
        <v>#NAME?</v>
      </c>
      <c r="P31" t="e" cm="1">
        <f t="array" aca="1" ref="P31" ca="1">_xludf.XLOOKUP(K$31,$BX$169:$CG$169,_xludf.XLOOKUP($E$11,$BW$170:$BW$176,$BX$170:$CG$176))</f>
        <v>#NAME?</v>
      </c>
      <c r="Q31" t="e">
        <f t="shared" ca="1" si="0"/>
        <v>#NAME?</v>
      </c>
      <c r="R31">
        <v>1</v>
      </c>
      <c r="S31">
        <v>0</v>
      </c>
      <c r="T31">
        <f t="shared" si="13"/>
        <v>1</v>
      </c>
      <c r="U31">
        <f t="shared" si="14"/>
        <v>1.3</v>
      </c>
      <c r="V31">
        <f t="shared" si="15"/>
        <v>1.3</v>
      </c>
      <c r="W31">
        <v>0</v>
      </c>
      <c r="X31">
        <f>VLOOKUP($G$11, $CL$17:$CN$25, 2, FALSE)</f>
        <v>6</v>
      </c>
      <c r="Y31">
        <f t="shared" si="1"/>
        <v>6</v>
      </c>
      <c r="Z31" t="e">
        <f ca="1">0.1604 * ($AM$11*100) - 1.037</f>
        <v>#NAME?</v>
      </c>
      <c r="AA31" t="e">
        <f t="shared" ca="1" si="2"/>
        <v>#NAME?</v>
      </c>
      <c r="AB31" t="e">
        <f t="shared" ca="1" si="3"/>
        <v>#NAME?</v>
      </c>
      <c r="AC31" t="e">
        <f t="shared" ca="1" si="4"/>
        <v>#NAME?</v>
      </c>
      <c r="AD31" t="e">
        <f t="shared" ca="1" si="5"/>
        <v>#NAME?</v>
      </c>
      <c r="AE31" t="e">
        <f t="shared" ca="1" si="6"/>
        <v>#NAME?</v>
      </c>
      <c r="AF31" t="e">
        <f t="shared" ca="1" si="7"/>
        <v>#NAME?</v>
      </c>
      <c r="AG31" t="e">
        <f t="shared" ca="1" si="8"/>
        <v>#NAME?</v>
      </c>
      <c r="AH31" t="e">
        <f t="shared" ca="1" si="9"/>
        <v>#NAME?</v>
      </c>
      <c r="AI31" t="e">
        <f ca="1">((0.3 * AC31 * $AN$11 * (1 - ($AM$11 + 0.1)) + (0.105 * $Z31 * $AC31 * 0.008) + (0.0152 * $AC31)) / 6.25) + (0.08 * 0.032 * $W31 / 6.38)</f>
        <v>#NAME?</v>
      </c>
      <c r="AJ31" t="e">
        <f t="shared" ca="1" si="10"/>
        <v>#NAME?</v>
      </c>
      <c r="AK31" t="e">
        <f t="shared" ca="1" si="11"/>
        <v>#NAME?</v>
      </c>
      <c r="AL31" t="e">
        <f t="shared" ca="1" si="12"/>
        <v>#NAME?</v>
      </c>
      <c r="AM31" t="e" cm="1">
        <f t="array" aca="1" ref="AM31" ca="1">_xludf.XLOOKUP(G$11,$BV$17:$CD$17,$BV$18:$CD$21)</f>
        <v>#NAME?</v>
      </c>
      <c r="AN31" t="e" cm="1">
        <f t="array" aca="1" ref="AN31" ca="1">_xludf.XLOOKUP(G$11,$BV$29:$CD$29,$BV$30:$CD$33)</f>
        <v>#NAME?</v>
      </c>
      <c r="BU31" t="s">
        <v>119</v>
      </c>
      <c r="BV31">
        <v>0.13</v>
      </c>
      <c r="BW31">
        <v>9.1999999999999998E-2</v>
      </c>
      <c r="BX31">
        <v>9.9000000000000005E-2</v>
      </c>
      <c r="BY31">
        <v>7.0000000000000007E-2</v>
      </c>
      <c r="BZ31">
        <v>0.1</v>
      </c>
      <c r="CA31">
        <v>7.0000000000000007E-2</v>
      </c>
      <c r="CB31">
        <v>0.09</v>
      </c>
      <c r="CC31">
        <v>0.12</v>
      </c>
      <c r="CD31">
        <v>0.12</v>
      </c>
      <c r="CH31" t="s">
        <v>157</v>
      </c>
      <c r="CI31">
        <v>1.8E-3</v>
      </c>
      <c r="CK31" t="s">
        <v>131</v>
      </c>
      <c r="CL31" t="s">
        <v>158</v>
      </c>
      <c r="CM31">
        <v>0.51</v>
      </c>
    </row>
    <row r="32" spans="11:92" x14ac:dyDescent="0.2">
      <c r="L32" t="s">
        <v>119</v>
      </c>
      <c r="M32">
        <v>55</v>
      </c>
      <c r="P32" t="e" cm="1">
        <f t="array" aca="1" ref="P32" ca="1">_xludf.XLOOKUP(K$31,$BX$169:$CG$169,_xludf.XLOOKUP($E$11,$BW$170:$BW$176,$BX$170:$CG$176))</f>
        <v>#NAME?</v>
      </c>
      <c r="Q32" t="e">
        <f t="shared" ca="1" si="0"/>
        <v>#NAME?</v>
      </c>
      <c r="R32">
        <v>0</v>
      </c>
      <c r="S32">
        <v>1</v>
      </c>
      <c r="T32">
        <f t="shared" si="13"/>
        <v>1</v>
      </c>
      <c r="U32">
        <f t="shared" si="14"/>
        <v>1.1000000000000001</v>
      </c>
      <c r="V32">
        <f t="shared" si="15"/>
        <v>1.1000000000000001</v>
      </c>
      <c r="W32">
        <v>0</v>
      </c>
      <c r="X32">
        <f>VLOOKUP($G$11, $CL$17:$CN$25, 3, FALSE)</f>
        <v>4</v>
      </c>
      <c r="Y32">
        <f t="shared" si="1"/>
        <v>4</v>
      </c>
      <c r="Z32">
        <f>0.1604 * ($AM$12*100) - 1.037</f>
        <v>-1.0369999999999999</v>
      </c>
      <c r="AA32" t="e">
        <f t="shared" ca="1" si="2"/>
        <v>#NAME?</v>
      </c>
      <c r="AB32">
        <f t="shared" si="3"/>
        <v>1</v>
      </c>
      <c r="AC32">
        <f t="shared" si="4"/>
        <v>1.5446475000000002</v>
      </c>
      <c r="AD32">
        <f t="shared" si="5"/>
        <v>1.3494040560000002</v>
      </c>
      <c r="AE32">
        <f t="shared" si="6"/>
        <v>6.3485466598794263E-5</v>
      </c>
      <c r="AF32">
        <f t="shared" si="7"/>
        <v>7.6008627133350914E-4</v>
      </c>
      <c r="AG32">
        <f t="shared" si="8"/>
        <v>0.3186176854926987</v>
      </c>
      <c r="AH32">
        <f t="shared" si="9"/>
        <v>3.814682974255049</v>
      </c>
      <c r="AI32">
        <f>((0.3 * AC32 * $AN$12 * (1 - ($AM$12 + 0.1)) + (0.105 * $Z32 * $AC32 * 0.008) + (0.0152 * $AC32)) / 6.25) + (0.08 * 0.032 * $W32 / 6.38)</f>
        <v>3.5413008729119999E-3</v>
      </c>
      <c r="AJ32">
        <f t="shared" si="10"/>
        <v>17.7729037559271</v>
      </c>
      <c r="AK32" t="e">
        <f t="shared" ca="1" si="11"/>
        <v>#NAME?</v>
      </c>
      <c r="AL32" t="e">
        <f t="shared" ca="1" si="12"/>
        <v>#NAME?</v>
      </c>
      <c r="BU32" t="s">
        <v>120</v>
      </c>
      <c r="BV32">
        <v>0.1</v>
      </c>
      <c r="BW32">
        <v>7.4999999999999997E-2</v>
      </c>
      <c r="BX32">
        <v>7.8E-2</v>
      </c>
      <c r="BY32">
        <v>0.09</v>
      </c>
      <c r="BZ32">
        <v>0.16</v>
      </c>
      <c r="CA32">
        <v>0.1</v>
      </c>
      <c r="CB32">
        <v>0.06</v>
      </c>
      <c r="CC32">
        <v>0.09</v>
      </c>
      <c r="CD32">
        <v>0.09</v>
      </c>
      <c r="CH32" t="s">
        <v>159</v>
      </c>
      <c r="CI32">
        <v>2.8999999999999998E-3</v>
      </c>
      <c r="CL32" t="s">
        <v>160</v>
      </c>
      <c r="CM32">
        <v>0.03</v>
      </c>
    </row>
    <row r="33" spans="11:91" x14ac:dyDescent="0.2">
      <c r="L33" t="s">
        <v>120</v>
      </c>
      <c r="M33">
        <v>60</v>
      </c>
      <c r="P33" t="e" cm="1">
        <f t="array" aca="1" ref="P33" ca="1">_xludf.XLOOKUP(K$31,$BX$169:$CG$169,_xludf.XLOOKUP($E$11,$BW$170:$BW$176,$BX$170:$CG$176))</f>
        <v>#NAME?</v>
      </c>
      <c r="Q33" t="e">
        <f t="shared" ca="1" si="0"/>
        <v>#NAME?</v>
      </c>
      <c r="R33">
        <v>0</v>
      </c>
      <c r="S33">
        <v>0</v>
      </c>
      <c r="T33">
        <f t="shared" si="13"/>
        <v>0</v>
      </c>
      <c r="U33">
        <f t="shared" si="14"/>
        <v>1</v>
      </c>
      <c r="V33">
        <f t="shared" si="15"/>
        <v>1</v>
      </c>
      <c r="W33">
        <v>0</v>
      </c>
      <c r="X33">
        <v>0</v>
      </c>
      <c r="Y33">
        <f t="shared" si="1"/>
        <v>0</v>
      </c>
      <c r="Z33">
        <f>0.1604 * ($AM$13*100) - 1.037</f>
        <v>-1.0369999999999999</v>
      </c>
      <c r="AA33" t="e">
        <f t="shared" ca="1" si="2"/>
        <v>#NAME?</v>
      </c>
      <c r="AB33">
        <f t="shared" si="3"/>
        <v>1</v>
      </c>
      <c r="AC33">
        <f t="shared" si="4"/>
        <v>1.4042250000000001</v>
      </c>
      <c r="AD33">
        <f t="shared" si="5"/>
        <v>1.22673096</v>
      </c>
      <c r="AE33">
        <f t="shared" si="6"/>
        <v>5.7714060544358416E-5</v>
      </c>
      <c r="AF33">
        <f t="shared" si="7"/>
        <v>6.9098751939409913E-4</v>
      </c>
      <c r="AG33">
        <f t="shared" si="8"/>
        <v>0.31598448148036234</v>
      </c>
      <c r="AH33">
        <f t="shared" si="9"/>
        <v>3.7831566686826927</v>
      </c>
      <c r="AI33">
        <f>((0.3 * AC33 * $AN$13 * (1 - ($AM$13 + 0.1)) + (0.105 * $Z33 * $AC33 * 0.008) + (0.0152 * $AC33)) / 6.25) + (0.08 * 0.032 * $W33 / 6.38)</f>
        <v>3.2193644299200004E-3</v>
      </c>
      <c r="AJ33">
        <f t="shared" si="10"/>
        <v>17.626020253812005</v>
      </c>
      <c r="AK33" t="e">
        <f t="shared" ca="1" si="11"/>
        <v>#NAME?</v>
      </c>
      <c r="AL33" t="e">
        <f t="shared" ca="1" si="12"/>
        <v>#NAME?</v>
      </c>
      <c r="BU33" t="s">
        <v>121</v>
      </c>
      <c r="BV33">
        <v>0.06</v>
      </c>
      <c r="BW33">
        <v>5.2999999999999999E-2</v>
      </c>
      <c r="BX33">
        <v>5.8999999999999997E-2</v>
      </c>
      <c r="BY33">
        <v>0.2</v>
      </c>
      <c r="BZ33">
        <v>0.2</v>
      </c>
      <c r="CA33">
        <v>0.21</v>
      </c>
      <c r="CB33">
        <v>0.2</v>
      </c>
      <c r="CC33">
        <v>0.06</v>
      </c>
      <c r="CD33">
        <v>0.06</v>
      </c>
      <c r="CH33" t="s">
        <v>161</v>
      </c>
      <c r="CI33">
        <v>8.0000000000000002E-3</v>
      </c>
      <c r="CL33" t="s">
        <v>162</v>
      </c>
      <c r="CM33">
        <v>7.0000000000000007E-2</v>
      </c>
    </row>
    <row r="34" spans="11:91" x14ac:dyDescent="0.2">
      <c r="L34" t="s">
        <v>121</v>
      </c>
      <c r="M34">
        <v>65</v>
      </c>
      <c r="P34" t="e" cm="1">
        <f t="array" aca="1" ref="P34" ca="1">_xludf.XLOOKUP(K$31,$BX$169:$CG$169,_xludf.XLOOKUP($E$11,$BW$170:$BW$176,$BX$170:$CG$176))</f>
        <v>#NAME?</v>
      </c>
      <c r="Q34" t="e">
        <f t="shared" ca="1" si="0"/>
        <v>#NAME?</v>
      </c>
      <c r="R34">
        <v>0</v>
      </c>
      <c r="S34">
        <v>0</v>
      </c>
      <c r="T34">
        <f t="shared" si="13"/>
        <v>0</v>
      </c>
      <c r="U34">
        <f t="shared" si="14"/>
        <v>1</v>
      </c>
      <c r="V34">
        <f t="shared" si="15"/>
        <v>1</v>
      </c>
      <c r="W34">
        <v>0</v>
      </c>
      <c r="X34">
        <v>0</v>
      </c>
      <c r="Y34">
        <f t="shared" si="1"/>
        <v>0</v>
      </c>
      <c r="Z34">
        <f>0.1604 * ($AM$14*100) - 1.037</f>
        <v>-1.0369999999999999</v>
      </c>
      <c r="AA34" t="e">
        <f t="shared" ca="1" si="2"/>
        <v>#NAME?</v>
      </c>
      <c r="AB34">
        <f t="shared" si="3"/>
        <v>1</v>
      </c>
      <c r="AC34">
        <f t="shared" si="4"/>
        <v>1.4042250000000001</v>
      </c>
      <c r="AD34">
        <f t="shared" si="5"/>
        <v>1.22673096</v>
      </c>
      <c r="AE34">
        <f t="shared" si="6"/>
        <v>5.7714060544358416E-5</v>
      </c>
      <c r="AF34">
        <f t="shared" si="7"/>
        <v>6.9098751939409913E-4</v>
      </c>
      <c r="AG34">
        <f t="shared" si="8"/>
        <v>0.34231652160372589</v>
      </c>
      <c r="AH34">
        <f t="shared" si="9"/>
        <v>4.0984197244062504</v>
      </c>
      <c r="AI34">
        <f>((0.3 * AC34 * $AN$14 * (1 - ($AM$14 + 0.1)) + (0.105 * $Z34 * $AC34 * 0.008) + (0.0152 * $AC34)) / 6.25) + (0.08 * 0.032 * $W34 / 6.38)</f>
        <v>3.2193644299200004E-3</v>
      </c>
      <c r="AJ34">
        <f t="shared" si="10"/>
        <v>19.094855274963003</v>
      </c>
      <c r="AK34" t="e">
        <f t="shared" ca="1" si="11"/>
        <v>#NAME?</v>
      </c>
      <c r="AL34" t="e">
        <f t="shared" ca="1" si="12"/>
        <v>#NAME?</v>
      </c>
      <c r="CL34" t="s">
        <v>163</v>
      </c>
      <c r="CM34">
        <v>0.92</v>
      </c>
    </row>
    <row r="35" spans="11:91" x14ac:dyDescent="0.2">
      <c r="K35" t="s">
        <v>164</v>
      </c>
      <c r="L35" t="s">
        <v>117</v>
      </c>
      <c r="M35">
        <v>200</v>
      </c>
      <c r="N35" t="e" cm="1">
        <f t="array" aca="1" ref="N35" ca="1">_xludf.XLOOKUP(K35, $BX$46:$CG$46, $BX$47:$CG$50)</f>
        <v>#NAME?</v>
      </c>
      <c r="O35" t="e" cm="1">
        <f t="array" aca="1" ref="O35" ca="1">_xludf.XLOOKUP(K35, $BX$106:$CG$106, $BX$107:$CG$110)</f>
        <v>#NAME?</v>
      </c>
      <c r="P35" t="e" cm="1">
        <f t="array" aca="1" ref="P35" ca="1">_xludf.XLOOKUP(K$35,$BX$169:$CG$169,_xludf.XLOOKUP($E$11,$BW$170:$BW$176,$BX$170:$CG$176))</f>
        <v>#NAME?</v>
      </c>
      <c r="Q35" t="e">
        <f t="shared" ca="1" si="0"/>
        <v>#NAME?</v>
      </c>
      <c r="S35">
        <v>0</v>
      </c>
      <c r="T35">
        <f t="shared" si="13"/>
        <v>0</v>
      </c>
      <c r="V35">
        <v>1</v>
      </c>
      <c r="W35">
        <f>VLOOKUP($G$11, $CL$17:$CN$25, 2, FALSE)</f>
        <v>6</v>
      </c>
      <c r="X35">
        <v>0</v>
      </c>
      <c r="Y35">
        <f t="shared" si="1"/>
        <v>0</v>
      </c>
      <c r="Z35" t="e">
        <f ca="1">0.1604 * ($AM$11*100) - 1.037</f>
        <v>#NAME?</v>
      </c>
      <c r="AA35" t="e">
        <f t="shared" ca="1" si="2"/>
        <v>#NAME?</v>
      </c>
      <c r="AB35" t="e">
        <f t="shared" ca="1" si="3"/>
        <v>#NAME?</v>
      </c>
      <c r="AC35" t="e">
        <f t="shared" ca="1" si="4"/>
        <v>#NAME?</v>
      </c>
      <c r="AD35" t="e">
        <f t="shared" ca="1" si="5"/>
        <v>#NAME?</v>
      </c>
      <c r="AE35" t="e">
        <f t="shared" ca="1" si="6"/>
        <v>#NAME?</v>
      </c>
      <c r="AF35" t="e">
        <f t="shared" ca="1" si="7"/>
        <v>#NAME?</v>
      </c>
      <c r="AG35" t="e">
        <f t="shared" ca="1" si="8"/>
        <v>#NAME?</v>
      </c>
      <c r="AH35" t="e">
        <f t="shared" ca="1" si="9"/>
        <v>#NAME?</v>
      </c>
      <c r="AI35" t="e">
        <f ca="1">((0.3 * AC35 * $AN$11 * (1 - ($AM$11 + 0.1)) + (0.105 * $Z35 * $AC35 * 0.008) + (0.0152 * $AC35)) / 6.25) + (0.08 * 0.032 * $W35 / 6.38)</f>
        <v>#NAME?</v>
      </c>
      <c r="AJ35" t="e">
        <f t="shared" ca="1" si="10"/>
        <v>#NAME?</v>
      </c>
      <c r="AK35" t="e">
        <f t="shared" ca="1" si="11"/>
        <v>#NAME?</v>
      </c>
      <c r="AL35" t="e">
        <f t="shared" ca="1" si="12"/>
        <v>#NAME?</v>
      </c>
      <c r="AM35" t="e" cm="1">
        <f t="array" aca="1" ref="AM35" ca="1">_xludf.XLOOKUP(G$11,$BV$17:$CD$17,$BV$18:$CD$21)</f>
        <v>#NAME?</v>
      </c>
      <c r="AN35" t="e" cm="1">
        <f t="array" aca="1" ref="AN35" ca="1">_xludf.XLOOKUP(G$11,$BV$29:$CD$29,$BV$30:$CD$33)</f>
        <v>#NAME?</v>
      </c>
      <c r="CK35" t="s">
        <v>132</v>
      </c>
      <c r="CL35" t="s">
        <v>165</v>
      </c>
      <c r="CM35">
        <v>0.22</v>
      </c>
    </row>
    <row r="36" spans="11:91" x14ac:dyDescent="0.2">
      <c r="L36" t="s">
        <v>119</v>
      </c>
      <c r="M36">
        <v>130</v>
      </c>
      <c r="P36" t="e" cm="1">
        <f t="array" aca="1" ref="P36" ca="1">_xludf.XLOOKUP(K$35,$BX$169:$CG$169,_xludf.XLOOKUP($E$11,$BW$170:$BW$176,$BX$170:$CG$176))</f>
        <v>#NAME?</v>
      </c>
      <c r="Q36" t="e">
        <f t="shared" ca="1" si="0"/>
        <v>#NAME?</v>
      </c>
      <c r="T36">
        <f t="shared" si="13"/>
        <v>0</v>
      </c>
      <c r="V36">
        <v>1</v>
      </c>
      <c r="W36">
        <f>VLOOKUP($G$11, $CL$17:$CN$25, 3, FALSE)</f>
        <v>4</v>
      </c>
      <c r="X36">
        <v>0</v>
      </c>
      <c r="Y36">
        <f t="shared" si="1"/>
        <v>0</v>
      </c>
      <c r="Z36">
        <f>0.1604 * ($AM$12*100) - 1.037</f>
        <v>-1.0369999999999999</v>
      </c>
      <c r="AA36" t="e">
        <f t="shared" ca="1" si="2"/>
        <v>#NAME?</v>
      </c>
      <c r="AB36">
        <f t="shared" si="3"/>
        <v>1</v>
      </c>
      <c r="AC36">
        <f t="shared" si="4"/>
        <v>1.4042250000000001</v>
      </c>
      <c r="AD36">
        <f t="shared" si="5"/>
        <v>1.22673096</v>
      </c>
      <c r="AE36">
        <f t="shared" si="6"/>
        <v>5.7714060544358416E-5</v>
      </c>
      <c r="AF36">
        <f t="shared" si="7"/>
        <v>6.9098751939409913E-4</v>
      </c>
      <c r="AG36">
        <f t="shared" si="8"/>
        <v>0.68463304320745177</v>
      </c>
      <c r="AH36">
        <f t="shared" si="9"/>
        <v>8.1968394488125007</v>
      </c>
      <c r="AI36">
        <f>((0.3 * AC36 * $AN$12 * (1 - ($AM$12 + 0.1)) + (0.105 * $Z36 * $AC36 * 0.008) + (0.0152 * $AC36)) / 6.25) + (0.08 * 0.032 * $W36 / 6.38)</f>
        <v>4.824380103901192E-3</v>
      </c>
      <c r="AJ36">
        <f t="shared" si="10"/>
        <v>57.229208982527886</v>
      </c>
      <c r="AK36" t="e">
        <f t="shared" ca="1" si="11"/>
        <v>#NAME?</v>
      </c>
      <c r="AL36" t="e">
        <f t="shared" ca="1" si="12"/>
        <v>#NAME?</v>
      </c>
      <c r="CL36" t="s">
        <v>166</v>
      </c>
      <c r="CM36">
        <v>0.18</v>
      </c>
    </row>
    <row r="37" spans="11:91" x14ac:dyDescent="0.2">
      <c r="L37" t="s">
        <v>120</v>
      </c>
      <c r="M37">
        <v>250</v>
      </c>
      <c r="P37" t="e" cm="1">
        <f t="array" aca="1" ref="P37" ca="1">_xludf.XLOOKUP(K$35,$BX$169:$CG$169,_xludf.XLOOKUP($E$11,$BW$170:$BW$176,$BX$170:$CG$176))</f>
        <v>#NAME?</v>
      </c>
      <c r="Q37" t="e">
        <f t="shared" ca="1" si="0"/>
        <v>#NAME?</v>
      </c>
      <c r="T37">
        <f t="shared" si="13"/>
        <v>0</v>
      </c>
      <c r="V37">
        <v>1</v>
      </c>
      <c r="W37">
        <v>0</v>
      </c>
      <c r="X37">
        <v>0</v>
      </c>
      <c r="Y37">
        <f t="shared" si="1"/>
        <v>0</v>
      </c>
      <c r="Z37">
        <f>0.1604 * ($AM$13*100) - 1.037</f>
        <v>-1.0369999999999999</v>
      </c>
      <c r="AA37" t="e">
        <f t="shared" ca="1" si="2"/>
        <v>#NAME?</v>
      </c>
      <c r="AB37">
        <f t="shared" si="3"/>
        <v>1</v>
      </c>
      <c r="AC37">
        <f t="shared" si="4"/>
        <v>1.4042250000000001</v>
      </c>
      <c r="AD37">
        <f t="shared" si="5"/>
        <v>1.22673096</v>
      </c>
      <c r="AE37">
        <f t="shared" si="6"/>
        <v>5.7714060544358416E-5</v>
      </c>
      <c r="AF37">
        <f t="shared" si="7"/>
        <v>6.9098751939409913E-4</v>
      </c>
      <c r="AG37">
        <f t="shared" si="8"/>
        <v>1.3166020061681765</v>
      </c>
      <c r="AH37">
        <f t="shared" si="9"/>
        <v>15.763152786177885</v>
      </c>
      <c r="AI37">
        <f>((0.3 * AC37 * $AN$13 * (1 - ($AM$13 + 0.1)) + (0.105 * $Z37 * $AC37 * 0.008) + (0.0152 * $AC37)) / 6.25) + (0.08 * 0.032 * $W37 / 6.38)</f>
        <v>3.2193644299200004E-3</v>
      </c>
      <c r="AJ37">
        <f t="shared" si="10"/>
        <v>73.441751057550007</v>
      </c>
      <c r="AK37" t="e">
        <f t="shared" ca="1" si="11"/>
        <v>#NAME?</v>
      </c>
      <c r="AL37" t="e">
        <f t="shared" ca="1" si="12"/>
        <v>#NAME?</v>
      </c>
      <c r="CL37" t="s">
        <v>167</v>
      </c>
      <c r="CM37">
        <v>0.64</v>
      </c>
    </row>
    <row r="38" spans="11:91" x14ac:dyDescent="0.2">
      <c r="L38" t="s">
        <v>121</v>
      </c>
      <c r="M38">
        <v>150</v>
      </c>
      <c r="P38" t="e" cm="1">
        <f t="array" aca="1" ref="P38" ca="1">_xludf.XLOOKUP(K$35,$BX$169:$CG$169,_xludf.XLOOKUP($E$11,$BW$170:$BW$176,$BX$170:$CG$176))</f>
        <v>#NAME?</v>
      </c>
      <c r="Q38" t="e">
        <f t="shared" ca="1" si="0"/>
        <v>#NAME?</v>
      </c>
      <c r="T38">
        <f t="shared" si="13"/>
        <v>0</v>
      </c>
      <c r="V38">
        <v>1</v>
      </c>
      <c r="W38">
        <v>0</v>
      </c>
      <c r="X38">
        <v>0</v>
      </c>
      <c r="Y38">
        <f t="shared" si="1"/>
        <v>0</v>
      </c>
      <c r="Z38">
        <f>0.1604 * ($AM$14*100) - 1.037</f>
        <v>-1.0369999999999999</v>
      </c>
      <c r="AA38" t="e">
        <f t="shared" ca="1" si="2"/>
        <v>#NAME?</v>
      </c>
      <c r="AB38">
        <f t="shared" si="3"/>
        <v>1</v>
      </c>
      <c r="AC38">
        <f t="shared" si="4"/>
        <v>1.4042250000000001</v>
      </c>
      <c r="AD38">
        <f t="shared" si="5"/>
        <v>1.22673096</v>
      </c>
      <c r="AE38">
        <f t="shared" si="6"/>
        <v>5.7714060544358416E-5</v>
      </c>
      <c r="AF38">
        <f t="shared" si="7"/>
        <v>6.9098751939409913E-4</v>
      </c>
      <c r="AG38">
        <f t="shared" si="8"/>
        <v>0.78996120370090595</v>
      </c>
      <c r="AH38">
        <f t="shared" si="9"/>
        <v>9.457891671706733</v>
      </c>
      <c r="AI38">
        <f>((0.3 * AC38 * $AN$14 * (1 - ($AM$14 + 0.1)) + (0.105 * $Z38 * $AC38 * 0.008) + (0.0152 * $AC38)) / 6.25) + (0.08 * 0.032 * $W38 / 6.38)</f>
        <v>3.2193644299200004E-3</v>
      </c>
      <c r="AJ38">
        <f t="shared" si="10"/>
        <v>44.065050634530003</v>
      </c>
      <c r="AK38" t="e">
        <f t="shared" ca="1" si="11"/>
        <v>#NAME?</v>
      </c>
      <c r="AL38" t="e">
        <f t="shared" ca="1" si="12"/>
        <v>#NAME?</v>
      </c>
      <c r="CL38" t="s">
        <v>168</v>
      </c>
      <c r="CM38">
        <v>7.0000000000000007E-2</v>
      </c>
    </row>
    <row r="39" spans="11:91" x14ac:dyDescent="0.2">
      <c r="K39" t="s">
        <v>169</v>
      </c>
      <c r="L39" t="s">
        <v>117</v>
      </c>
      <c r="M39">
        <v>20</v>
      </c>
      <c r="N39" t="e" cm="1">
        <f t="array" aca="1" ref="N39" ca="1">_xludf.XLOOKUP(K39, $BX$46:$CG$46, $BX$47:$CG$50)</f>
        <v>#NAME?</v>
      </c>
      <c r="O39" t="e" cm="1">
        <f t="array" aca="1" ref="O39" ca="1">_xludf.XLOOKUP(K39, $BX$106:$CG$106, $BX$107:$CG$110)</f>
        <v>#NAME?</v>
      </c>
      <c r="P39" t="e" cm="1">
        <f t="array" aca="1" ref="P39" ca="1">_xludf.XLOOKUP(K$39,$BX$169:$CG$169,_xludf.XLOOKUP($E$11,$BW$170:$BW$176,$BX$170:$CG$176))</f>
        <v>#NAME?</v>
      </c>
      <c r="Q39" t="e">
        <f t="shared" ca="1" si="0"/>
        <v>#NAME?</v>
      </c>
      <c r="T39">
        <f t="shared" si="13"/>
        <v>0</v>
      </c>
      <c r="V39">
        <v>1</v>
      </c>
      <c r="W39">
        <v>0</v>
      </c>
      <c r="X39">
        <v>0</v>
      </c>
      <c r="Y39">
        <f t="shared" si="1"/>
        <v>0</v>
      </c>
      <c r="Z39" t="e">
        <f ca="1">0.1604 * ($AM$11*100) - 1.037</f>
        <v>#NAME?</v>
      </c>
      <c r="AA39" t="e">
        <f t="shared" ca="1" si="2"/>
        <v>#NAME?</v>
      </c>
      <c r="AB39" t="e">
        <f t="shared" ca="1" si="3"/>
        <v>#NAME?</v>
      </c>
      <c r="AC39" t="e">
        <f t="shared" ca="1" si="4"/>
        <v>#NAME?</v>
      </c>
      <c r="AD39" t="e">
        <f t="shared" ca="1" si="5"/>
        <v>#NAME?</v>
      </c>
      <c r="AE39" t="e">
        <f t="shared" ca="1" si="6"/>
        <v>#NAME?</v>
      </c>
      <c r="AF39" t="e">
        <f t="shared" ca="1" si="7"/>
        <v>#NAME?</v>
      </c>
      <c r="AG39" t="e">
        <f t="shared" ca="1" si="8"/>
        <v>#NAME?</v>
      </c>
      <c r="AH39" t="e">
        <f t="shared" ca="1" si="9"/>
        <v>#NAME?</v>
      </c>
      <c r="AI39" t="e">
        <f ca="1">((0.3 * AC39 * $AN$11 * (1 - ($AM$11 + 0.1)) + (0.105 * $Z39 * $AC39 * 0.008) + (0.0152 * $AC39)) / 6.25) + (0.08 * 0.032 * $W39 / 6.38)</f>
        <v>#NAME?</v>
      </c>
      <c r="AJ39" t="e">
        <f t="shared" ca="1" si="10"/>
        <v>#NAME?</v>
      </c>
      <c r="AK39" t="e">
        <f t="shared" ca="1" si="11"/>
        <v>#NAME?</v>
      </c>
      <c r="AL39" t="e">
        <f t="shared" ca="1" si="12"/>
        <v>#NAME?</v>
      </c>
      <c r="AM39" t="e" cm="1">
        <f t="array" aca="1" ref="AM39" ca="1">_xludf.XLOOKUP(G$11,$BV$17:$CD$17,$BV$18:$CD$21)</f>
        <v>#NAME?</v>
      </c>
      <c r="AN39" t="e" cm="1">
        <f t="array" aca="1" ref="AN39" ca="1">_xludf.XLOOKUP(G$11,$BV$29:$CD$29,$BV$30:$CD$33)</f>
        <v>#NAME?</v>
      </c>
      <c r="CL39" t="s">
        <v>170</v>
      </c>
      <c r="CM39">
        <v>0.18</v>
      </c>
    </row>
    <row r="40" spans="11:91" x14ac:dyDescent="0.2">
      <c r="L40" t="s">
        <v>119</v>
      </c>
      <c r="M40">
        <v>30</v>
      </c>
      <c r="P40" t="e" cm="1">
        <f t="array" aca="1" ref="P40" ca="1">_xludf.XLOOKUP(K$39,$BX$169:$CG$169,_xludf.XLOOKUP($E$11,$BW$170:$BW$176,$BX$170:$CG$176))</f>
        <v>#NAME?</v>
      </c>
      <c r="Q40" t="e">
        <f t="shared" ca="1" si="0"/>
        <v>#NAME?</v>
      </c>
      <c r="T40">
        <f t="shared" si="13"/>
        <v>0</v>
      </c>
      <c r="V40">
        <v>1</v>
      </c>
      <c r="W40">
        <v>0</v>
      </c>
      <c r="X40">
        <v>0</v>
      </c>
      <c r="Y40">
        <f t="shared" si="1"/>
        <v>0</v>
      </c>
      <c r="Z40">
        <f>0.1604 * ($AM$12*100) - 1.037</f>
        <v>-1.0369999999999999</v>
      </c>
      <c r="AA40" t="e">
        <f t="shared" ca="1" si="2"/>
        <v>#NAME?</v>
      </c>
      <c r="AB40">
        <f t="shared" si="3"/>
        <v>1</v>
      </c>
      <c r="AC40">
        <f t="shared" si="4"/>
        <v>1.4042250000000001</v>
      </c>
      <c r="AD40">
        <f t="shared" si="5"/>
        <v>1.22673096</v>
      </c>
      <c r="AE40">
        <f t="shared" si="6"/>
        <v>5.7714060544358416E-5</v>
      </c>
      <c r="AF40">
        <f t="shared" si="7"/>
        <v>6.9098751939409913E-4</v>
      </c>
      <c r="AG40">
        <f t="shared" si="8"/>
        <v>0.15799224074018117</v>
      </c>
      <c r="AH40">
        <f t="shared" si="9"/>
        <v>1.8915783343413464</v>
      </c>
      <c r="AI40">
        <f>((0.3 * AC40 * $AN$12 * (1 - ($AM$12 + 0.1)) + (0.105 * $Z40 * $AC40 * 0.008) + (0.0152 * $AC40)) / 6.25) + (0.08 * 0.032 * $W40 / 6.38)</f>
        <v>3.2193644299200004E-3</v>
      </c>
      <c r="AJ40">
        <f t="shared" si="10"/>
        <v>8.8130101269060024</v>
      </c>
      <c r="AK40" t="e">
        <f t="shared" ca="1" si="11"/>
        <v>#NAME?</v>
      </c>
      <c r="AL40" t="e">
        <f t="shared" ca="1" si="12"/>
        <v>#NAME?</v>
      </c>
      <c r="CL40" t="s">
        <v>133</v>
      </c>
      <c r="CM40">
        <v>0.22</v>
      </c>
    </row>
    <row r="41" spans="11:91" x14ac:dyDescent="0.2">
      <c r="L41" t="s">
        <v>120</v>
      </c>
      <c r="M41">
        <v>60</v>
      </c>
      <c r="P41" t="e" cm="1">
        <f t="array" aca="1" ref="P41" ca="1">_xludf.XLOOKUP(K$39,$BX$169:$CG$169,_xludf.XLOOKUP($E$11,$BW$170:$BW$176,$BX$170:$CG$176))</f>
        <v>#NAME?</v>
      </c>
      <c r="Q41" t="e">
        <f t="shared" ca="1" si="0"/>
        <v>#NAME?</v>
      </c>
      <c r="T41">
        <f t="shared" si="13"/>
        <v>0</v>
      </c>
      <c r="V41">
        <v>1</v>
      </c>
      <c r="W41">
        <v>0</v>
      </c>
      <c r="X41">
        <v>0</v>
      </c>
      <c r="Y41">
        <f t="shared" si="1"/>
        <v>0</v>
      </c>
      <c r="Z41">
        <f>0.1604 * ($AM$13*100) - 1.037</f>
        <v>-1.0369999999999999</v>
      </c>
      <c r="AA41" t="e">
        <f t="shared" ca="1" si="2"/>
        <v>#NAME?</v>
      </c>
      <c r="AB41">
        <f t="shared" si="3"/>
        <v>1</v>
      </c>
      <c r="AC41">
        <f t="shared" si="4"/>
        <v>1.4042250000000001</v>
      </c>
      <c r="AD41">
        <f t="shared" si="5"/>
        <v>1.22673096</v>
      </c>
      <c r="AE41">
        <f t="shared" si="6"/>
        <v>5.7714060544358416E-5</v>
      </c>
      <c r="AF41">
        <f t="shared" si="7"/>
        <v>6.9098751939409913E-4</v>
      </c>
      <c r="AG41">
        <f t="shared" si="8"/>
        <v>0.31598448148036234</v>
      </c>
      <c r="AH41">
        <f t="shared" si="9"/>
        <v>3.7831566686826927</v>
      </c>
      <c r="AI41">
        <f>((0.3 * AC41 * $AN$13 * (1 - ($AM$13 + 0.1)) + (0.105 * $Z41 * $AC41 * 0.008) + (0.0152 * $AC41)) / 6.25) + (0.08 * 0.032 * $W41 / 6.38)</f>
        <v>3.2193644299200004E-3</v>
      </c>
      <c r="AJ41">
        <f t="shared" si="10"/>
        <v>17.626020253812005</v>
      </c>
      <c r="AK41" t="e">
        <f t="shared" ca="1" si="11"/>
        <v>#NAME?</v>
      </c>
      <c r="AL41" t="e">
        <f t="shared" ca="1" si="12"/>
        <v>#NAME?</v>
      </c>
      <c r="CL41" t="s">
        <v>134</v>
      </c>
      <c r="CM41">
        <v>0.71</v>
      </c>
    </row>
    <row r="42" spans="11:91" x14ac:dyDescent="0.2">
      <c r="L42" t="s">
        <v>121</v>
      </c>
      <c r="M42">
        <v>30</v>
      </c>
      <c r="P42" t="e" cm="1">
        <f t="array" aca="1" ref="P42" ca="1">_xludf.XLOOKUP(K$39,$BX$169:$CG$169,_xludf.XLOOKUP($E$11,$BW$170:$BW$176,$BX$170:$CG$176))</f>
        <v>#NAME?</v>
      </c>
      <c r="Q42" t="e">
        <f t="shared" ca="1" si="0"/>
        <v>#NAME?</v>
      </c>
      <c r="T42">
        <f t="shared" si="13"/>
        <v>0</v>
      </c>
      <c r="V42">
        <v>1</v>
      </c>
      <c r="W42">
        <v>0</v>
      </c>
      <c r="X42">
        <v>0</v>
      </c>
      <c r="Y42">
        <f t="shared" si="1"/>
        <v>0</v>
      </c>
      <c r="Z42">
        <f>0.1604 * ($AM$14*100) - 1.037</f>
        <v>-1.0369999999999999</v>
      </c>
      <c r="AA42" t="e">
        <f t="shared" ca="1" si="2"/>
        <v>#NAME?</v>
      </c>
      <c r="AB42">
        <f t="shared" si="3"/>
        <v>1</v>
      </c>
      <c r="AC42">
        <f t="shared" si="4"/>
        <v>1.4042250000000001</v>
      </c>
      <c r="AD42">
        <f t="shared" si="5"/>
        <v>1.22673096</v>
      </c>
      <c r="AE42">
        <f t="shared" si="6"/>
        <v>5.7714060544358416E-5</v>
      </c>
      <c r="AF42">
        <f t="shared" si="7"/>
        <v>6.9098751939409913E-4</v>
      </c>
      <c r="AG42">
        <f t="shared" si="8"/>
        <v>0.15799224074018117</v>
      </c>
      <c r="AH42">
        <f t="shared" si="9"/>
        <v>1.8915783343413464</v>
      </c>
      <c r="AI42">
        <f>((0.3 * AC42 * $AN$14 * (1 - ($AM$14 + 0.1)) + (0.105 * $Z42 * $AC42 * 0.008) + (0.0152 * $AC42)) / 6.25) + (0.08 * 0.032 * $W42 / 6.38)</f>
        <v>3.2193644299200004E-3</v>
      </c>
      <c r="AJ42">
        <f t="shared" si="10"/>
        <v>8.8130101269060024</v>
      </c>
      <c r="AK42" t="e">
        <f t="shared" ca="1" si="11"/>
        <v>#NAME?</v>
      </c>
      <c r="AL42" t="e">
        <f t="shared" ca="1" si="12"/>
        <v>#NAME?</v>
      </c>
      <c r="CL42" t="s">
        <v>135</v>
      </c>
      <c r="CM42">
        <v>0.56000000000000005</v>
      </c>
    </row>
    <row r="43" spans="11:91" x14ac:dyDescent="0.2">
      <c r="K43" t="s">
        <v>171</v>
      </c>
      <c r="L43" t="s">
        <v>117</v>
      </c>
      <c r="M43">
        <v>100</v>
      </c>
      <c r="N43" t="e" cm="1">
        <f t="array" aca="1" ref="N43" ca="1">_xludf.XLOOKUP(K43, $BX$46:$CG$46, $BX$47:$CG$50)</f>
        <v>#NAME?</v>
      </c>
      <c r="O43" t="e" cm="1">
        <f t="array" aca="1" ref="O43" ca="1">_xludf.XLOOKUP(K43, $BX$106:$CG$106, $BX$107:$CG$110)</f>
        <v>#NAME?</v>
      </c>
      <c r="P43" t="e" cm="1">
        <f t="array" aca="1" ref="P43" ca="1">_xludf.XLOOKUP(K$43,$BX$169:$CG$169,_xludf.XLOOKUP($E$11,$BW$170:$BW$176,$BX$170:$CG$176))</f>
        <v>#NAME?</v>
      </c>
      <c r="Q43" t="e">
        <f t="shared" ref="Q43:Q74" ca="1" si="16">N43/P43</f>
        <v>#NAME?</v>
      </c>
      <c r="T43">
        <f t="shared" si="13"/>
        <v>0</v>
      </c>
      <c r="V43">
        <v>1</v>
      </c>
      <c r="W43">
        <v>0</v>
      </c>
      <c r="X43">
        <v>0</v>
      </c>
      <c r="Y43">
        <f t="shared" ref="Y43:Y74" si="17">T43*X43</f>
        <v>0</v>
      </c>
      <c r="Z43" t="e">
        <f ca="1">0.1604 * ($AM$11*100) - 1.037</f>
        <v>#NAME?</v>
      </c>
      <c r="AA43" t="e">
        <f t="shared" ref="AA43:AA74" ca="1" si="18">(0.032 * Y43 /6.38) + ((0.212 - 0.008 * (AB43 - 2) - ((0.14 - 0.008 * (AB43 - 2)) / (1 + EXP(-6 * (Q43 - 0.4))))) * (O43 * 0.92)) / 6.25</f>
        <v>#NAME?</v>
      </c>
      <c r="AB43" t="e">
        <f t="shared" ref="AB43:AB74" ca="1" si="19">AC43 / ((1.185 + 0.00454 * N43 - 0.0000026 * N43 ^ 2 ) ^ 2 * V43)</f>
        <v>#NAME?</v>
      </c>
      <c r="AC43" t="e">
        <f t="shared" ref="AC43:AC74" ca="1" si="20">(1.185 + 0.00454 * N43 - 0.0000026 * N43^2 + 0.315 * O43)^2 * V43</f>
        <v>#NAME?</v>
      </c>
      <c r="AD43" t="e">
        <f t="shared" ca="1" si="5"/>
        <v>#NAME?</v>
      </c>
      <c r="AE43" t="e">
        <f t="shared" ca="1" si="6"/>
        <v>#NAME?</v>
      </c>
      <c r="AF43" t="e">
        <f t="shared" ca="1" si="7"/>
        <v>#NAME?</v>
      </c>
      <c r="AG43" t="e">
        <f t="shared" ref="AG43:AG74" ca="1" si="21">M43*AE43*91.25</f>
        <v>#NAME?</v>
      </c>
      <c r="AH43" t="e">
        <f t="shared" ref="AH43:AH74" ca="1" si="22">M43*AF43*91.25</f>
        <v>#NAME?</v>
      </c>
      <c r="AI43" t="e">
        <f ca="1">((0.3 * AC43 * $AN$11 * (1 - ($AM$11 + 0.1)) + (0.105 * $Z43 * $AC43 * 0.008) + (0.0152 * $AC43)) / 6.25) + (0.08 * 0.032 * $W43 / 6.38)</f>
        <v>#NAME?</v>
      </c>
      <c r="AJ43" t="e">
        <f t="shared" ref="AJ43:AJ74" ca="1" si="23">M43*AI43*91.25</f>
        <v>#NAME?</v>
      </c>
      <c r="AK43" t="e">
        <f t="shared" ref="AK43:AK74" ca="1" si="24">(AC43 * $AN43 / 6.25) + (0.032 * W43 / 6.38) - AA43 - AI43 - ((1.1 * (10 ^ -4) * (N43 ^ 0.75)) / 6.25)</f>
        <v>#NAME?</v>
      </c>
      <c r="AL43" t="e">
        <f t="shared" ref="AL43:AL74" ca="1" si="25">M43*AK43*91.25</f>
        <v>#NAME?</v>
      </c>
      <c r="AM43" t="e" cm="1">
        <f t="array" aca="1" ref="AM43" ca="1">_xludf.XLOOKUP(G$11,$BV$17:$CD$17,$BV$18:$CD$21)</f>
        <v>#NAME?</v>
      </c>
      <c r="AN43" t="e" cm="1">
        <f t="array" aca="1" ref="AN43" ca="1">_xludf.XLOOKUP(G$11,$BV$29:$CD$29,$BV$30:$CD$33)</f>
        <v>#NAME?</v>
      </c>
      <c r="CK43" t="s">
        <v>148</v>
      </c>
      <c r="CL43" t="s">
        <v>172</v>
      </c>
      <c r="CM43">
        <v>0.51</v>
      </c>
    </row>
    <row r="44" spans="11:91" x14ac:dyDescent="0.2">
      <c r="L44" t="s">
        <v>119</v>
      </c>
      <c r="M44">
        <v>110</v>
      </c>
      <c r="P44" t="e" cm="1">
        <f t="array" aca="1" ref="P44" ca="1">_xludf.XLOOKUP(K$43,$BX$169:$CG$169,_xludf.XLOOKUP($E$11,$BW$170:$BW$176,$BX$170:$CG$176))</f>
        <v>#NAME?</v>
      </c>
      <c r="Q44" t="e">
        <f t="shared" ca="1" si="16"/>
        <v>#NAME?</v>
      </c>
      <c r="T44">
        <f t="shared" si="13"/>
        <v>0</v>
      </c>
      <c r="V44">
        <v>1</v>
      </c>
      <c r="W44">
        <v>0</v>
      </c>
      <c r="X44">
        <v>0</v>
      </c>
      <c r="Y44">
        <f t="shared" si="17"/>
        <v>0</v>
      </c>
      <c r="Z44">
        <f>0.1604 * ($AM$12*100) - 1.037</f>
        <v>-1.0369999999999999</v>
      </c>
      <c r="AA44" t="e">
        <f t="shared" ca="1" si="18"/>
        <v>#NAME?</v>
      </c>
      <c r="AB44">
        <f t="shared" si="19"/>
        <v>1</v>
      </c>
      <c r="AC44">
        <f t="shared" si="20"/>
        <v>1.4042250000000001</v>
      </c>
      <c r="AD44">
        <f t="shared" si="5"/>
        <v>1.22673096</v>
      </c>
      <c r="AE44">
        <f t="shared" si="6"/>
        <v>5.7714060544358416E-5</v>
      </c>
      <c r="AF44">
        <f t="shared" si="7"/>
        <v>6.9098751939409913E-4</v>
      </c>
      <c r="AG44">
        <f t="shared" si="21"/>
        <v>0.5793048827139976</v>
      </c>
      <c r="AH44">
        <f t="shared" si="22"/>
        <v>6.9357872259182702</v>
      </c>
      <c r="AI44">
        <f>((0.3 * AC44 * $AN$12 * (1 - ($AM$12 + 0.1)) + (0.105 * $Z44 * $AC44 * 0.008) + (0.0152 * $AC44)) / 6.25) + (0.08 * 0.032 * $W44 / 6.38)</f>
        <v>3.2193644299200004E-3</v>
      </c>
      <c r="AJ44">
        <f t="shared" si="23"/>
        <v>32.314370465322007</v>
      </c>
      <c r="AK44" t="e">
        <f t="shared" ca="1" si="24"/>
        <v>#NAME?</v>
      </c>
      <c r="AL44" t="e">
        <f t="shared" ca="1" si="25"/>
        <v>#NAME?</v>
      </c>
      <c r="CK44" t="s">
        <v>148</v>
      </c>
      <c r="CL44" t="s">
        <v>136</v>
      </c>
      <c r="CM44">
        <v>0.89</v>
      </c>
    </row>
    <row r="45" spans="11:91" x14ac:dyDescent="0.2">
      <c r="L45" t="s">
        <v>120</v>
      </c>
      <c r="M45">
        <v>120</v>
      </c>
      <c r="P45" t="e" cm="1">
        <f t="array" aca="1" ref="P45" ca="1">_xludf.XLOOKUP(K$43,$BX$169:$CG$169,_xludf.XLOOKUP($E$11,$BW$170:$BW$176,$BX$170:$CG$176))</f>
        <v>#NAME?</v>
      </c>
      <c r="Q45" t="e">
        <f t="shared" ca="1" si="16"/>
        <v>#NAME?</v>
      </c>
      <c r="T45">
        <f t="shared" si="13"/>
        <v>0</v>
      </c>
      <c r="V45">
        <v>1</v>
      </c>
      <c r="W45">
        <v>0</v>
      </c>
      <c r="X45">
        <v>0</v>
      </c>
      <c r="Y45">
        <f t="shared" si="17"/>
        <v>0</v>
      </c>
      <c r="Z45">
        <f>0.1604 * ($AM$13*100) - 1.037</f>
        <v>-1.0369999999999999</v>
      </c>
      <c r="AA45" t="e">
        <f t="shared" ca="1" si="18"/>
        <v>#NAME?</v>
      </c>
      <c r="AB45">
        <f t="shared" si="19"/>
        <v>1</v>
      </c>
      <c r="AC45">
        <f t="shared" si="20"/>
        <v>1.4042250000000001</v>
      </c>
      <c r="AD45">
        <f t="shared" si="5"/>
        <v>1.22673096</v>
      </c>
      <c r="AE45">
        <f t="shared" si="6"/>
        <v>5.7714060544358416E-5</v>
      </c>
      <c r="AF45">
        <f t="shared" si="7"/>
        <v>6.9098751939409913E-4</v>
      </c>
      <c r="AG45">
        <f t="shared" si="21"/>
        <v>0.63196896296072469</v>
      </c>
      <c r="AH45">
        <f t="shared" si="22"/>
        <v>7.5663133373653855</v>
      </c>
      <c r="AI45">
        <f>((0.3 * AC45 * $AN$13 * (1 - ($AM$13 + 0.1)) + (0.105 * $Z45 * $AC45 * 0.008) + (0.0152 * $AC45)) / 6.25) + (0.08 * 0.032 * $W45 / 6.38)</f>
        <v>3.2193644299200004E-3</v>
      </c>
      <c r="AJ45">
        <f t="shared" si="23"/>
        <v>35.25204050762401</v>
      </c>
      <c r="AK45" t="e">
        <f t="shared" ca="1" si="24"/>
        <v>#NAME?</v>
      </c>
      <c r="AL45" t="e">
        <f t="shared" ca="1" si="25"/>
        <v>#NAME?</v>
      </c>
      <c r="BX45" t="s">
        <v>173</v>
      </c>
      <c r="BY45" t="s">
        <v>173</v>
      </c>
      <c r="BZ45" t="s">
        <v>174</v>
      </c>
      <c r="CA45" t="s">
        <v>174</v>
      </c>
      <c r="CB45" t="s">
        <v>174</v>
      </c>
      <c r="CC45" t="s">
        <v>174</v>
      </c>
      <c r="CD45" t="s">
        <v>175</v>
      </c>
      <c r="CE45" t="s">
        <v>175</v>
      </c>
      <c r="CF45" t="s">
        <v>175</v>
      </c>
      <c r="CG45" t="s">
        <v>175</v>
      </c>
      <c r="CK45" t="s">
        <v>148</v>
      </c>
      <c r="CL45" t="s">
        <v>137</v>
      </c>
      <c r="CM45">
        <v>0.28000000000000003</v>
      </c>
    </row>
    <row r="46" spans="11:91" x14ac:dyDescent="0.2">
      <c r="L46" t="s">
        <v>121</v>
      </c>
      <c r="M46">
        <v>130</v>
      </c>
      <c r="P46" t="e" cm="1">
        <f t="array" aca="1" ref="P46" ca="1">_xludf.XLOOKUP(K$43,$BX$169:$CG$169,_xludf.XLOOKUP($E$11,$BW$170:$BW$176,$BX$170:$CG$176))</f>
        <v>#NAME?</v>
      </c>
      <c r="Q46" t="e">
        <f t="shared" ca="1" si="16"/>
        <v>#NAME?</v>
      </c>
      <c r="T46">
        <f t="shared" si="13"/>
        <v>0</v>
      </c>
      <c r="V46">
        <v>1</v>
      </c>
      <c r="W46">
        <v>0</v>
      </c>
      <c r="X46">
        <v>0</v>
      </c>
      <c r="Y46">
        <f t="shared" si="17"/>
        <v>0</v>
      </c>
      <c r="Z46">
        <f>0.1604 * ($AM$14*100) - 1.037</f>
        <v>-1.0369999999999999</v>
      </c>
      <c r="AA46" t="e">
        <f t="shared" ca="1" si="18"/>
        <v>#NAME?</v>
      </c>
      <c r="AB46">
        <f t="shared" si="19"/>
        <v>1</v>
      </c>
      <c r="AC46">
        <f t="shared" si="20"/>
        <v>1.4042250000000001</v>
      </c>
      <c r="AD46">
        <f t="shared" si="5"/>
        <v>1.22673096</v>
      </c>
      <c r="AE46">
        <f t="shared" si="6"/>
        <v>5.7714060544358416E-5</v>
      </c>
      <c r="AF46">
        <f t="shared" si="7"/>
        <v>6.9098751939409913E-4</v>
      </c>
      <c r="AG46">
        <f t="shared" si="21"/>
        <v>0.68463304320745177</v>
      </c>
      <c r="AH46">
        <f t="shared" si="22"/>
        <v>8.1968394488125007</v>
      </c>
      <c r="AI46">
        <f>((0.3 * AC46 * $AN$14 * (1 - ($AM$14 + 0.1)) + (0.105 * $Z46 * $AC46 * 0.008) + (0.0152 * $AC46)) / 6.25) + (0.08 * 0.032 * $W46 / 6.38)</f>
        <v>3.2193644299200004E-3</v>
      </c>
      <c r="AJ46">
        <f t="shared" si="23"/>
        <v>38.189710549926005</v>
      </c>
      <c r="AK46" t="e">
        <f t="shared" ca="1" si="24"/>
        <v>#NAME?</v>
      </c>
      <c r="AL46" t="e">
        <f t="shared" ca="1" si="25"/>
        <v>#NAME?</v>
      </c>
      <c r="BX46" t="s">
        <v>116</v>
      </c>
      <c r="BY46" t="s">
        <v>122</v>
      </c>
      <c r="BZ46" t="s">
        <v>141</v>
      </c>
      <c r="CA46" t="s">
        <v>146</v>
      </c>
      <c r="CB46" t="s">
        <v>152</v>
      </c>
      <c r="CC46" t="s">
        <v>156</v>
      </c>
      <c r="CD46" t="s">
        <v>164</v>
      </c>
      <c r="CE46" t="s">
        <v>169</v>
      </c>
      <c r="CF46" t="s">
        <v>171</v>
      </c>
      <c r="CG46" t="s">
        <v>176</v>
      </c>
      <c r="CK46" t="s">
        <v>148</v>
      </c>
      <c r="CL46" t="s">
        <v>138</v>
      </c>
      <c r="CM46">
        <v>0.3</v>
      </c>
    </row>
    <row r="47" spans="11:91" x14ac:dyDescent="0.2">
      <c r="K47" t="s">
        <v>176</v>
      </c>
      <c r="L47" t="s">
        <v>117</v>
      </c>
      <c r="M47">
        <v>50</v>
      </c>
      <c r="N47" t="e" cm="1">
        <f t="array" aca="1" ref="N47" ca="1">_xludf.XLOOKUP(K47, $BX$46:$CG$46, $BX$47:$CG$50)</f>
        <v>#NAME?</v>
      </c>
      <c r="O47" t="e" cm="1">
        <f t="array" aca="1" ref="O47" ca="1">_xludf.XLOOKUP(K47, $BX$106:$CG$106, $BX$107:$CG$110)</f>
        <v>#NAME?</v>
      </c>
      <c r="P47" t="e" cm="1">
        <f t="array" aca="1" ref="P47" ca="1">_xludf.XLOOKUP(K$47,$BX$169:$CG$169,_xludf.XLOOKUP($E$11,$BW$170:$BW$176,$BX$170:$CG$176))</f>
        <v>#NAME?</v>
      </c>
      <c r="Q47" t="e">
        <f t="shared" ca="1" si="16"/>
        <v>#NAME?</v>
      </c>
      <c r="T47">
        <f t="shared" si="13"/>
        <v>0</v>
      </c>
      <c r="V47">
        <v>1</v>
      </c>
      <c r="W47">
        <v>0</v>
      </c>
      <c r="X47">
        <v>0</v>
      </c>
      <c r="Y47">
        <f t="shared" si="17"/>
        <v>0</v>
      </c>
      <c r="Z47" t="e">
        <f ca="1">0.1604 * ($AM$11*100) - 1.037</f>
        <v>#NAME?</v>
      </c>
      <c r="AA47" t="e">
        <f t="shared" ca="1" si="18"/>
        <v>#NAME?</v>
      </c>
      <c r="AB47" t="e">
        <f t="shared" ca="1" si="19"/>
        <v>#NAME?</v>
      </c>
      <c r="AC47" t="e">
        <f t="shared" ca="1" si="20"/>
        <v>#NAME?</v>
      </c>
      <c r="AD47" t="e">
        <f t="shared" ca="1" si="5"/>
        <v>#NAME?</v>
      </c>
      <c r="AE47" t="e">
        <f t="shared" ca="1" si="6"/>
        <v>#NAME?</v>
      </c>
      <c r="AF47" t="e">
        <f t="shared" ca="1" si="7"/>
        <v>#NAME?</v>
      </c>
      <c r="AG47" t="e">
        <f t="shared" ca="1" si="21"/>
        <v>#NAME?</v>
      </c>
      <c r="AH47" t="e">
        <f t="shared" ca="1" si="22"/>
        <v>#NAME?</v>
      </c>
      <c r="AI47" t="e">
        <f ca="1">((0.3 * AC47 * $AN$11 * (1 - ($AM$11 + 0.1)) + (0.105 * $Z47 * $AC47 * 0.008) + (0.0152 * $AC47)) / 6.25) + (0.08 * 0.032 * $W47 / 6.38)</f>
        <v>#NAME?</v>
      </c>
      <c r="AJ47" t="e">
        <f t="shared" ca="1" si="23"/>
        <v>#NAME?</v>
      </c>
      <c r="AK47" t="e">
        <f t="shared" ca="1" si="24"/>
        <v>#NAME?</v>
      </c>
      <c r="AL47" t="e">
        <f t="shared" ca="1" si="25"/>
        <v>#NAME?</v>
      </c>
      <c r="AM47" t="e" cm="1">
        <f t="array" aca="1" ref="AM47" ca="1">_xludf.XLOOKUP(G$11,$BV$17:$CD$17,$BV$18:$CD$21)</f>
        <v>#NAME?</v>
      </c>
      <c r="AN47" t="e" cm="1">
        <f t="array" aca="1" ref="AN47" ca="1">_xludf.XLOOKUP(G$11,$BV$29:$CD$29,$BV$30:$CD$33)</f>
        <v>#NAME?</v>
      </c>
      <c r="BU47" t="s">
        <v>113</v>
      </c>
      <c r="BW47" t="s">
        <v>117</v>
      </c>
      <c r="BX47">
        <v>80</v>
      </c>
      <c r="BY47">
        <v>480</v>
      </c>
      <c r="BZ47">
        <v>75</v>
      </c>
      <c r="CA47">
        <v>300</v>
      </c>
      <c r="CB47">
        <v>440</v>
      </c>
      <c r="CC47">
        <v>440</v>
      </c>
      <c r="CD47">
        <v>75</v>
      </c>
      <c r="CE47">
        <v>380</v>
      </c>
      <c r="CF47">
        <v>380</v>
      </c>
      <c r="CG47">
        <v>380</v>
      </c>
    </row>
    <row r="48" spans="11:91" x14ac:dyDescent="0.2">
      <c r="L48" t="s">
        <v>119</v>
      </c>
      <c r="M48">
        <v>55</v>
      </c>
      <c r="P48" t="e" cm="1">
        <f t="array" aca="1" ref="P48" ca="1">_xludf.XLOOKUP(K$47,$BX$169:$CG$169,_xludf.XLOOKUP($E$11,$BW$170:$BW$176,$BX$170:$CG$176))</f>
        <v>#NAME?</v>
      </c>
      <c r="Q48" t="e">
        <f t="shared" ca="1" si="16"/>
        <v>#NAME?</v>
      </c>
      <c r="T48">
        <f t="shared" si="13"/>
        <v>0</v>
      </c>
      <c r="V48">
        <v>1</v>
      </c>
      <c r="W48">
        <v>0</v>
      </c>
      <c r="X48">
        <v>0</v>
      </c>
      <c r="Y48">
        <f t="shared" si="17"/>
        <v>0</v>
      </c>
      <c r="Z48">
        <f>0.1604 * ($AM$12*100) - 1.037</f>
        <v>-1.0369999999999999</v>
      </c>
      <c r="AA48" t="e">
        <f t="shared" ca="1" si="18"/>
        <v>#NAME?</v>
      </c>
      <c r="AB48">
        <f t="shared" si="19"/>
        <v>1</v>
      </c>
      <c r="AC48">
        <f t="shared" si="20"/>
        <v>1.4042250000000001</v>
      </c>
      <c r="AD48">
        <f t="shared" si="5"/>
        <v>1.22673096</v>
      </c>
      <c r="AE48">
        <f t="shared" si="6"/>
        <v>5.7714060544358416E-5</v>
      </c>
      <c r="AF48">
        <f t="shared" si="7"/>
        <v>6.9098751939409913E-4</v>
      </c>
      <c r="AG48">
        <f t="shared" si="21"/>
        <v>0.2896524413569988</v>
      </c>
      <c r="AH48">
        <f t="shared" si="22"/>
        <v>3.4678936129591351</v>
      </c>
      <c r="AI48">
        <f>((0.3 * AC48 * $AN$12 * (1 - ($AM$12 + 0.1)) + (0.105 * $Z48 * $AC48 * 0.008) + (0.0152 * $AC48)) / 6.25) + (0.08 * 0.032 * $W48 / 6.38)</f>
        <v>3.2193644299200004E-3</v>
      </c>
      <c r="AJ48">
        <f t="shared" si="23"/>
        <v>16.157185232661003</v>
      </c>
      <c r="AK48" t="e">
        <f t="shared" ca="1" si="24"/>
        <v>#NAME?</v>
      </c>
      <c r="AL48" t="e">
        <f t="shared" ca="1" si="25"/>
        <v>#NAME?</v>
      </c>
      <c r="BW48" t="s">
        <v>119</v>
      </c>
      <c r="BX48">
        <v>170</v>
      </c>
      <c r="BY48">
        <v>520</v>
      </c>
      <c r="BZ48">
        <v>160</v>
      </c>
      <c r="CA48">
        <v>360</v>
      </c>
      <c r="CB48">
        <v>470</v>
      </c>
      <c r="CC48">
        <v>470</v>
      </c>
      <c r="CD48">
        <v>160</v>
      </c>
      <c r="CE48">
        <v>420</v>
      </c>
      <c r="CF48">
        <v>420</v>
      </c>
      <c r="CG48">
        <v>420</v>
      </c>
    </row>
    <row r="49" spans="1:85" x14ac:dyDescent="0.2">
      <c r="L49" t="s">
        <v>120</v>
      </c>
      <c r="M49">
        <v>60</v>
      </c>
      <c r="P49" t="e" cm="1">
        <f t="array" aca="1" ref="P49" ca="1">_xludf.XLOOKUP(K$47,$BX$169:$CG$169,_xludf.XLOOKUP($E$11,$BW$170:$BW$176,$BX$170:$CG$176))</f>
        <v>#NAME?</v>
      </c>
      <c r="Q49" t="e">
        <f t="shared" ca="1" si="16"/>
        <v>#NAME?</v>
      </c>
      <c r="T49">
        <f t="shared" si="13"/>
        <v>0</v>
      </c>
      <c r="V49">
        <v>1</v>
      </c>
      <c r="W49">
        <v>0</v>
      </c>
      <c r="X49">
        <v>0</v>
      </c>
      <c r="Y49">
        <f t="shared" si="17"/>
        <v>0</v>
      </c>
      <c r="Z49">
        <f>0.1604 * ($AM$13*100) - 1.037</f>
        <v>-1.0369999999999999</v>
      </c>
      <c r="AA49" t="e">
        <f t="shared" ca="1" si="18"/>
        <v>#NAME?</v>
      </c>
      <c r="AB49">
        <f t="shared" si="19"/>
        <v>1</v>
      </c>
      <c r="AC49">
        <f t="shared" si="20"/>
        <v>1.4042250000000001</v>
      </c>
      <c r="AD49">
        <f t="shared" si="5"/>
        <v>1.22673096</v>
      </c>
      <c r="AE49">
        <f t="shared" si="6"/>
        <v>5.7714060544358416E-5</v>
      </c>
      <c r="AF49">
        <f t="shared" si="7"/>
        <v>6.9098751939409913E-4</v>
      </c>
      <c r="AG49">
        <f t="shared" si="21"/>
        <v>0.31598448148036234</v>
      </c>
      <c r="AH49">
        <f t="shared" si="22"/>
        <v>3.7831566686826927</v>
      </c>
      <c r="AI49">
        <f>((0.3 * AC49 * $AN$13 * (1 - ($AM$13 + 0.1)) + (0.105 * $Z49 * $AC49 * 0.008) + (0.0152 * $AC49)) / 6.25) + (0.08 * 0.032 * $W49 / 6.38)</f>
        <v>3.2193644299200004E-3</v>
      </c>
      <c r="AJ49">
        <f t="shared" si="23"/>
        <v>17.626020253812005</v>
      </c>
      <c r="AK49" t="e">
        <f t="shared" ca="1" si="24"/>
        <v>#NAME?</v>
      </c>
      <c r="AL49" t="e">
        <f t="shared" ca="1" si="25"/>
        <v>#NAME?</v>
      </c>
      <c r="BW49" t="s">
        <v>120</v>
      </c>
      <c r="BX49">
        <v>240</v>
      </c>
      <c r="BY49">
        <v>550</v>
      </c>
      <c r="BZ49">
        <v>220</v>
      </c>
      <c r="CA49">
        <v>390</v>
      </c>
      <c r="CB49">
        <v>490</v>
      </c>
      <c r="CC49">
        <v>490</v>
      </c>
      <c r="CD49">
        <v>220</v>
      </c>
      <c r="CE49">
        <v>450</v>
      </c>
      <c r="CF49">
        <v>450</v>
      </c>
      <c r="CG49">
        <v>450</v>
      </c>
    </row>
    <row r="50" spans="1:85" x14ac:dyDescent="0.2">
      <c r="L50" t="s">
        <v>121</v>
      </c>
      <c r="M50">
        <v>65</v>
      </c>
      <c r="P50" t="e" cm="1">
        <f t="array" aca="1" ref="P50" ca="1">_xludf.XLOOKUP(K$47,$BX$169:$CG$169,_xludf.XLOOKUP($E$11,$BW$170:$BW$176,$BX$170:$CG$176))</f>
        <v>#NAME?</v>
      </c>
      <c r="Q50" t="e">
        <f t="shared" ca="1" si="16"/>
        <v>#NAME?</v>
      </c>
      <c r="T50">
        <f t="shared" si="13"/>
        <v>0</v>
      </c>
      <c r="V50">
        <v>1</v>
      </c>
      <c r="W50">
        <v>0</v>
      </c>
      <c r="X50">
        <v>0</v>
      </c>
      <c r="Y50">
        <f t="shared" si="17"/>
        <v>0</v>
      </c>
      <c r="Z50">
        <f>0.1604 * ($AM$14*100) - 1.037</f>
        <v>-1.0369999999999999</v>
      </c>
      <c r="AA50" t="e">
        <f t="shared" ca="1" si="18"/>
        <v>#NAME?</v>
      </c>
      <c r="AB50">
        <f t="shared" si="19"/>
        <v>1</v>
      </c>
      <c r="AC50">
        <f t="shared" si="20"/>
        <v>1.4042250000000001</v>
      </c>
      <c r="AD50">
        <f t="shared" si="5"/>
        <v>1.22673096</v>
      </c>
      <c r="AE50">
        <f t="shared" si="6"/>
        <v>5.7714060544358416E-5</v>
      </c>
      <c r="AF50">
        <f t="shared" si="7"/>
        <v>6.9098751939409913E-4</v>
      </c>
      <c r="AG50">
        <f t="shared" si="21"/>
        <v>0.34231652160372589</v>
      </c>
      <c r="AH50">
        <f t="shared" si="22"/>
        <v>4.0984197244062504</v>
      </c>
      <c r="AI50">
        <f>((0.3 * AC50 * $AN$14 * (1 - ($AM$14 + 0.1)) + (0.105 * $Z50 * $AC50 * 0.008) + (0.0152 * $AC50)) / 6.25) + (0.08 * 0.032 * $W50 / 6.38)</f>
        <v>3.2193644299200004E-3</v>
      </c>
      <c r="AJ50">
        <f t="shared" si="23"/>
        <v>19.094855274963003</v>
      </c>
      <c r="AK50" t="e">
        <f t="shared" ca="1" si="24"/>
        <v>#NAME?</v>
      </c>
      <c r="AL50" t="e">
        <f t="shared" ca="1" si="25"/>
        <v>#NAME?</v>
      </c>
      <c r="BW50" t="s">
        <v>121</v>
      </c>
      <c r="BX50">
        <v>280</v>
      </c>
      <c r="BY50">
        <v>560</v>
      </c>
      <c r="BZ50">
        <v>260</v>
      </c>
      <c r="CA50">
        <v>410</v>
      </c>
      <c r="CB50">
        <v>500</v>
      </c>
      <c r="CC50">
        <v>500</v>
      </c>
      <c r="CD50">
        <v>260</v>
      </c>
      <c r="CE50">
        <v>460</v>
      </c>
      <c r="CF50">
        <v>460</v>
      </c>
      <c r="CG50">
        <v>460</v>
      </c>
    </row>
    <row r="51" spans="1:85" x14ac:dyDescent="0.2">
      <c r="A51" t="s">
        <v>177</v>
      </c>
      <c r="B51" t="s">
        <v>111</v>
      </c>
      <c r="C51" t="s">
        <v>24</v>
      </c>
      <c r="D51" t="s">
        <v>112</v>
      </c>
      <c r="F51" t="s">
        <v>113</v>
      </c>
      <c r="G51" t="s">
        <v>113</v>
      </c>
      <c r="H51" t="s">
        <v>114</v>
      </c>
      <c r="I51" t="s">
        <v>115</v>
      </c>
      <c r="J51" t="str">
        <f>IF(H51="Non-irrigated crop", IF(I51="high", "Non-irrigated crop (high rainfall)", "Non-irrigated crop (low rainfall)"), H51)</f>
        <v>Irrigated crop</v>
      </c>
      <c r="K51" t="s">
        <v>116</v>
      </c>
      <c r="L51" t="s">
        <v>117</v>
      </c>
      <c r="M51">
        <v>100</v>
      </c>
      <c r="N51" t="e" cm="1">
        <f t="array" aca="1" ref="N51" ca="1">_xludf.XLOOKUP(K51, $BX$46:$CG$46, $BX$47:$CG$50)</f>
        <v>#NAME?</v>
      </c>
      <c r="O51" t="e" cm="1">
        <f t="array" aca="1" ref="O51" ca="1">_xludf.XLOOKUP(K51, $BX$106:$CG$106, $BX$107:$CG$110)</f>
        <v>#NAME?</v>
      </c>
      <c r="P51" t="e" cm="1">
        <f t="array" aca="1" ref="P51" ca="1">_xludf.XLOOKUP(K$11,$BX$169:$CG$169,_xludf.XLOOKUP($D$11,$BW$170:$BW$176,$BX$170:$CG$176))</f>
        <v>#NAME?</v>
      </c>
      <c r="Q51" t="e">
        <f t="shared" ca="1" si="16"/>
        <v>#NAME?</v>
      </c>
      <c r="R51">
        <v>0</v>
      </c>
      <c r="T51">
        <f t="shared" si="13"/>
        <v>0</v>
      </c>
      <c r="V51">
        <v>1</v>
      </c>
      <c r="W51">
        <f>VLOOKUP($G$51, $CL$17:$CN$25, 2, FALSE)</f>
        <v>6</v>
      </c>
      <c r="X51">
        <v>0</v>
      </c>
      <c r="Y51">
        <f t="shared" si="17"/>
        <v>0</v>
      </c>
      <c r="Z51" t="e">
        <f t="shared" ref="Z51:Z82" ca="1" si="26">0.1604 * ($AM51*100) - 1.037</f>
        <v>#NAME?</v>
      </c>
      <c r="AA51" t="e">
        <f t="shared" ca="1" si="18"/>
        <v>#NAME?</v>
      </c>
      <c r="AB51" t="e">
        <f t="shared" ca="1" si="19"/>
        <v>#NAME?</v>
      </c>
      <c r="AC51" t="e">
        <f t="shared" ca="1" si="20"/>
        <v>#NAME?</v>
      </c>
      <c r="AD51" t="e">
        <f t="shared" ref="AD51:AD90" ca="1" si="27">(AC51 * (1 -AM51) + (0.04 * AC51)) * ( 1 - AV$51 )</f>
        <v>#NAME?</v>
      </c>
      <c r="AE51" t="e">
        <f t="shared" ref="AE51:AE90" ca="1" si="28">AD51 * AT$51 * AP$51 * AR$51 * AU$51</f>
        <v>#NAME?</v>
      </c>
      <c r="AF51" t="e">
        <f t="shared" ref="AF51:AF90" ca="1" si="29">AD51 * AT$51 * AQ$51 * AS$51 * AU$51</f>
        <v>#NAME?</v>
      </c>
      <c r="AG51" t="e">
        <f t="shared" ca="1" si="21"/>
        <v>#NAME?</v>
      </c>
      <c r="AH51" t="e">
        <f t="shared" ca="1" si="22"/>
        <v>#NAME?</v>
      </c>
      <c r="AI51" t="e">
        <f t="shared" ref="AI51:AI82" ca="1" si="30">((0.3 * AC51 * $AN51 * (1 - ($AM51 + 0.1)) + (0.105 * $Z51 * $AC51 * 0.008) + (0.0152 * $AC51)) / 6.25) + (0.08 * 0.032 * $W51 / 6.38)</f>
        <v>#NAME?</v>
      </c>
      <c r="AJ51" t="e">
        <f t="shared" ca="1" si="23"/>
        <v>#NAME?</v>
      </c>
      <c r="AK51" t="e">
        <f t="shared" ca="1" si="24"/>
        <v>#NAME?</v>
      </c>
      <c r="AL51" t="e">
        <f t="shared" ca="1" si="25"/>
        <v>#NAME?</v>
      </c>
      <c r="AM51" t="e" cm="1">
        <f t="array" aca="1" ref="AM51" ca="1">_xludf.XLOOKUP(G$51,$BV$17:$CD$17,$BV$18:$CD$21)</f>
        <v>#NAME?</v>
      </c>
      <c r="AN51" t="e" cm="1">
        <f t="array" aca="1" ref="AN51" ca="1">_xludf.XLOOKUP(G$51,$BV$29:$CD$29,$BV$30:$CD$33)</f>
        <v>#NAME?</v>
      </c>
      <c r="AO51" t="s">
        <v>118</v>
      </c>
      <c r="AP51">
        <f>IF(AO51="yes", $BV$6, $BW$6)</f>
        <v>0.05</v>
      </c>
      <c r="AQ51">
        <f>IF(AO51="yes", $BV$7, $BW$7)</f>
        <v>0.95</v>
      </c>
      <c r="AR51">
        <f>VLOOKUP(B51, $CH$17:$CI$26, 2, FALSE)</f>
        <v>7.3000000000000001E-3</v>
      </c>
      <c r="AS51">
        <f>$CI$14</f>
        <v>4.5999999999999999E-3</v>
      </c>
      <c r="AT51">
        <f>$CA$5</f>
        <v>0.19</v>
      </c>
      <c r="AU51">
        <f>$CA$6</f>
        <v>0.6784</v>
      </c>
      <c r="AV51">
        <f>$CA$7</f>
        <v>0.16</v>
      </c>
      <c r="AW51" t="e">
        <f ca="1">SUM(AG51:AH90)</f>
        <v>#NAME?</v>
      </c>
      <c r="AX51" t="e">
        <f ca="1">SUM(AJ51:AJ90)</f>
        <v>#NAME?</v>
      </c>
      <c r="AY51">
        <f>IF(C51="wet",$CD$5,$CD$6)</f>
        <v>6.0000000000000001E-3</v>
      </c>
      <c r="AZ51">
        <f>$CD$7</f>
        <v>1.5714285714285714</v>
      </c>
      <c r="BA51">
        <f>$CD$8</f>
        <v>265</v>
      </c>
      <c r="BB51" t="e">
        <f ca="1">SUM(AL51:AL90)</f>
        <v>#NAME?</v>
      </c>
      <c r="BC51" t="e">
        <f ca="1">((AX51 * AY51 * AZ51) + (BB51 * AY51 * AZ51))  * (10^-3)</f>
        <v>#NAME?</v>
      </c>
      <c r="BD51">
        <f>$CA$8</f>
        <v>28</v>
      </c>
      <c r="BE51">
        <f>$CD$9</f>
        <v>0.21</v>
      </c>
      <c r="BF51" t="e">
        <f ca="1">(AX51+BB51)*BE51</f>
        <v>#NAME?</v>
      </c>
      <c r="BG51">
        <f>VLOOKUP(J51, $CH$29:$CI$33,2,FALSE)</f>
        <v>7.0000000000000001E-3</v>
      </c>
      <c r="BH51" t="e">
        <f ca="1">BF51*BG51*AZ51*(10^-3)</f>
        <v>#NAME?</v>
      </c>
      <c r="BI51">
        <f>$CA$9</f>
        <v>1.0999999999999999E-2</v>
      </c>
      <c r="BJ51">
        <f>VLOOKUP(D51, $CL$29:$CM$46, 2, FALSE)</f>
        <v>0.87</v>
      </c>
      <c r="BK51">
        <f>$CG$4</f>
        <v>0.24</v>
      </c>
      <c r="BL51" t="e">
        <f ca="1">(BB51+AX51)*BJ51*BK51</f>
        <v>#NAME?</v>
      </c>
      <c r="BM51" t="e">
        <f ca="1">BL51*BI51*AZ51*(10^-3)</f>
        <v>#NAME?</v>
      </c>
      <c r="BN51" t="e">
        <f ca="1">BC51+BH51+BM51</f>
        <v>#NAME?</v>
      </c>
      <c r="BO51" t="e">
        <f ca="1">AW51 * BD51 * 10^-3</f>
        <v>#NAME?</v>
      </c>
      <c r="BU51" t="s">
        <v>178</v>
      </c>
      <c r="BW51" t="s">
        <v>117</v>
      </c>
      <c r="BX51">
        <v>250</v>
      </c>
      <c r="BY51">
        <v>800</v>
      </c>
      <c r="BZ51">
        <v>220</v>
      </c>
      <c r="CA51">
        <v>400</v>
      </c>
      <c r="CB51">
        <v>500</v>
      </c>
      <c r="CC51">
        <v>500</v>
      </c>
      <c r="CD51">
        <v>230</v>
      </c>
      <c r="CE51">
        <v>420</v>
      </c>
      <c r="CF51">
        <v>420</v>
      </c>
      <c r="CG51">
        <v>420</v>
      </c>
    </row>
    <row r="52" spans="1:85" x14ac:dyDescent="0.2">
      <c r="L52" t="s">
        <v>119</v>
      </c>
      <c r="M52">
        <v>110</v>
      </c>
      <c r="P52" t="e" cm="1">
        <f t="array" aca="1" ref="P52" ca="1">_xludf.XLOOKUP(K$11,$BX$169:$CG$169,_xludf.XLOOKUP($D$11,$BW$170:$BW$176,$BX$170:$CG$176))</f>
        <v>#NAME?</v>
      </c>
      <c r="Q52" t="e">
        <f t="shared" ca="1" si="16"/>
        <v>#NAME?</v>
      </c>
      <c r="S52">
        <v>0</v>
      </c>
      <c r="T52">
        <f t="shared" si="13"/>
        <v>0</v>
      </c>
      <c r="V52">
        <v>1</v>
      </c>
      <c r="W52">
        <f>VLOOKUP($G$51, $CL$17:$CN$25, 3, FALSE)</f>
        <v>4</v>
      </c>
      <c r="X52">
        <v>0</v>
      </c>
      <c r="Y52">
        <f t="shared" si="17"/>
        <v>0</v>
      </c>
      <c r="Z52">
        <f t="shared" si="26"/>
        <v>-1.0369999999999999</v>
      </c>
      <c r="AA52" t="e">
        <f t="shared" ca="1" si="18"/>
        <v>#NAME?</v>
      </c>
      <c r="AB52">
        <f t="shared" si="19"/>
        <v>1</v>
      </c>
      <c r="AC52">
        <f t="shared" si="20"/>
        <v>1.4042250000000001</v>
      </c>
      <c r="AD52">
        <f t="shared" si="27"/>
        <v>1.22673096</v>
      </c>
      <c r="AE52">
        <f t="shared" si="28"/>
        <v>5.7714060544358416E-5</v>
      </c>
      <c r="AF52">
        <f t="shared" si="29"/>
        <v>6.9098751939409913E-4</v>
      </c>
      <c r="AG52">
        <f t="shared" si="21"/>
        <v>0.5793048827139976</v>
      </c>
      <c r="AH52">
        <f t="shared" si="22"/>
        <v>6.9357872259182702</v>
      </c>
      <c r="AI52">
        <f t="shared" si="30"/>
        <v>4.824380103901192E-3</v>
      </c>
      <c r="AJ52">
        <f t="shared" si="23"/>
        <v>48.424715292908211</v>
      </c>
      <c r="AK52" t="e">
        <f t="shared" ca="1" si="24"/>
        <v>#NAME?</v>
      </c>
      <c r="AL52" t="e">
        <f t="shared" ca="1" si="25"/>
        <v>#NAME?</v>
      </c>
      <c r="BW52" t="s">
        <v>119</v>
      </c>
      <c r="BX52">
        <v>320</v>
      </c>
      <c r="BY52">
        <v>800</v>
      </c>
      <c r="BZ52">
        <v>280</v>
      </c>
      <c r="CA52">
        <v>420</v>
      </c>
      <c r="CB52">
        <v>500</v>
      </c>
      <c r="CC52">
        <v>500</v>
      </c>
      <c r="CD52">
        <v>290</v>
      </c>
      <c r="CE52">
        <v>420</v>
      </c>
      <c r="CF52">
        <v>420</v>
      </c>
      <c r="CG52">
        <v>420</v>
      </c>
    </row>
    <row r="53" spans="1:85" x14ac:dyDescent="0.2">
      <c r="L53" t="s">
        <v>120</v>
      </c>
      <c r="M53">
        <v>120</v>
      </c>
      <c r="P53" t="e" cm="1">
        <f t="array" aca="1" ref="P53" ca="1">_xludf.XLOOKUP(K$11,$BX$169:$CG$169,_xludf.XLOOKUP($D$11,$BW$170:$BW$176,$BX$170:$CG$176))</f>
        <v>#NAME?</v>
      </c>
      <c r="Q53" t="e">
        <f t="shared" ca="1" si="16"/>
        <v>#NAME?</v>
      </c>
      <c r="T53">
        <f t="shared" si="13"/>
        <v>0</v>
      </c>
      <c r="V53">
        <v>1</v>
      </c>
      <c r="W53">
        <v>0</v>
      </c>
      <c r="X53">
        <v>0</v>
      </c>
      <c r="Y53">
        <f t="shared" si="17"/>
        <v>0</v>
      </c>
      <c r="Z53">
        <f t="shared" si="26"/>
        <v>-1.0369999999999999</v>
      </c>
      <c r="AA53" t="e">
        <f t="shared" ca="1" si="18"/>
        <v>#NAME?</v>
      </c>
      <c r="AB53">
        <f t="shared" si="19"/>
        <v>1</v>
      </c>
      <c r="AC53">
        <f t="shared" si="20"/>
        <v>1.4042250000000001</v>
      </c>
      <c r="AD53">
        <f t="shared" si="27"/>
        <v>1.22673096</v>
      </c>
      <c r="AE53">
        <f t="shared" si="28"/>
        <v>5.7714060544358416E-5</v>
      </c>
      <c r="AF53">
        <f t="shared" si="29"/>
        <v>6.9098751939409913E-4</v>
      </c>
      <c r="AG53">
        <f t="shared" si="21"/>
        <v>0.63196896296072469</v>
      </c>
      <c r="AH53">
        <f t="shared" si="22"/>
        <v>7.5663133373653855</v>
      </c>
      <c r="AI53">
        <f t="shared" si="30"/>
        <v>3.2193644299200004E-3</v>
      </c>
      <c r="AJ53">
        <f t="shared" si="23"/>
        <v>35.25204050762401</v>
      </c>
      <c r="AK53" t="e">
        <f t="shared" ca="1" si="24"/>
        <v>#NAME?</v>
      </c>
      <c r="AL53" t="e">
        <f t="shared" ca="1" si="25"/>
        <v>#NAME?</v>
      </c>
      <c r="BW53" t="s">
        <v>120</v>
      </c>
      <c r="BX53">
        <v>80</v>
      </c>
      <c r="BY53">
        <v>700</v>
      </c>
      <c r="BZ53">
        <v>70</v>
      </c>
      <c r="CA53">
        <v>300</v>
      </c>
      <c r="CB53">
        <v>450</v>
      </c>
      <c r="CC53">
        <v>450</v>
      </c>
      <c r="CD53">
        <v>75</v>
      </c>
      <c r="CE53">
        <v>400</v>
      </c>
      <c r="CF53">
        <v>400</v>
      </c>
      <c r="CG53">
        <v>400</v>
      </c>
    </row>
    <row r="54" spans="1:85" x14ac:dyDescent="0.2">
      <c r="L54" t="s">
        <v>121</v>
      </c>
      <c r="M54">
        <v>130</v>
      </c>
      <c r="P54" t="e" cm="1">
        <f t="array" aca="1" ref="P54" ca="1">_xludf.XLOOKUP(K$11,$BX$169:$CG$169,_xludf.XLOOKUP($D$11,$BW$170:$BW$176,$BX$170:$CG$176))</f>
        <v>#NAME?</v>
      </c>
      <c r="Q54" t="e">
        <f t="shared" ca="1" si="16"/>
        <v>#NAME?</v>
      </c>
      <c r="T54">
        <f t="shared" si="13"/>
        <v>0</v>
      </c>
      <c r="V54">
        <v>1</v>
      </c>
      <c r="W54">
        <v>0</v>
      </c>
      <c r="X54">
        <v>0</v>
      </c>
      <c r="Y54">
        <f t="shared" si="17"/>
        <v>0</v>
      </c>
      <c r="Z54">
        <f t="shared" si="26"/>
        <v>-1.0369999999999999</v>
      </c>
      <c r="AA54" t="e">
        <f t="shared" ca="1" si="18"/>
        <v>#NAME?</v>
      </c>
      <c r="AB54">
        <f t="shared" si="19"/>
        <v>1</v>
      </c>
      <c r="AC54">
        <f t="shared" si="20"/>
        <v>1.4042250000000001</v>
      </c>
      <c r="AD54">
        <f t="shared" si="27"/>
        <v>1.22673096</v>
      </c>
      <c r="AE54">
        <f t="shared" si="28"/>
        <v>5.7714060544358416E-5</v>
      </c>
      <c r="AF54">
        <f t="shared" si="29"/>
        <v>6.9098751939409913E-4</v>
      </c>
      <c r="AG54">
        <f t="shared" si="21"/>
        <v>0.68463304320745177</v>
      </c>
      <c r="AH54">
        <f t="shared" si="22"/>
        <v>8.1968394488125007</v>
      </c>
      <c r="AI54">
        <f t="shared" si="30"/>
        <v>3.2193644299200004E-3</v>
      </c>
      <c r="AJ54">
        <f t="shared" si="23"/>
        <v>38.189710549926005</v>
      </c>
      <c r="AK54" t="e">
        <f t="shared" ca="1" si="24"/>
        <v>#NAME?</v>
      </c>
      <c r="AL54" t="e">
        <f t="shared" ca="1" si="25"/>
        <v>#NAME?</v>
      </c>
      <c r="BW54" t="s">
        <v>121</v>
      </c>
      <c r="BX54">
        <v>160</v>
      </c>
      <c r="BY54">
        <v>700</v>
      </c>
      <c r="BZ54">
        <v>140</v>
      </c>
      <c r="CA54">
        <v>350</v>
      </c>
      <c r="CB54">
        <v>450</v>
      </c>
      <c r="CC54">
        <v>450</v>
      </c>
      <c r="CD54">
        <v>150</v>
      </c>
      <c r="CE54">
        <v>400</v>
      </c>
      <c r="CF54">
        <v>400</v>
      </c>
      <c r="CG54">
        <v>400</v>
      </c>
    </row>
    <row r="55" spans="1:85" x14ac:dyDescent="0.2">
      <c r="K55" t="s">
        <v>122</v>
      </c>
      <c r="L55" t="s">
        <v>117</v>
      </c>
      <c r="N55" t="e" cm="1">
        <f t="array" aca="1" ref="N55" ca="1">_xludf.XLOOKUP(K55, $BX$46:$CG$46, $BX$47:$CG$50)</f>
        <v>#NAME?</v>
      </c>
      <c r="O55" t="e" cm="1">
        <f t="array" aca="1" ref="O55" ca="1">_xludf.XLOOKUP(K55, $BX$106:$CG$106, $BX$107:$CG$110)</f>
        <v>#NAME?</v>
      </c>
      <c r="P55" t="e" cm="1">
        <f t="array" aca="1" ref="P55" ca="1">_xludf.XLOOKUP(K$15,$BX$169:$CG$169,_xludf.XLOOKUP($D$11,$BW$170:$BW$176,$BX$170:$CG$176))</f>
        <v>#NAME?</v>
      </c>
      <c r="Q55" t="e">
        <f t="shared" ca="1" si="16"/>
        <v>#NAME?</v>
      </c>
      <c r="T55">
        <f t="shared" si="13"/>
        <v>0</v>
      </c>
      <c r="V55">
        <v>1</v>
      </c>
      <c r="W55">
        <v>0</v>
      </c>
      <c r="X55">
        <v>0</v>
      </c>
      <c r="Y55">
        <f t="shared" si="17"/>
        <v>0</v>
      </c>
      <c r="Z55" t="e">
        <f t="shared" ca="1" si="26"/>
        <v>#NAME?</v>
      </c>
      <c r="AA55" t="e">
        <f t="shared" ca="1" si="18"/>
        <v>#NAME?</v>
      </c>
      <c r="AB55" t="e">
        <f t="shared" ca="1" si="19"/>
        <v>#NAME?</v>
      </c>
      <c r="AC55" t="e">
        <f t="shared" ca="1" si="20"/>
        <v>#NAME?</v>
      </c>
      <c r="AD55" t="e">
        <f t="shared" ca="1" si="27"/>
        <v>#NAME?</v>
      </c>
      <c r="AE55" t="e">
        <f t="shared" ca="1" si="28"/>
        <v>#NAME?</v>
      </c>
      <c r="AF55" t="e">
        <f t="shared" ca="1" si="29"/>
        <v>#NAME?</v>
      </c>
      <c r="AG55" t="e">
        <f t="shared" ca="1" si="21"/>
        <v>#NAME?</v>
      </c>
      <c r="AH55" t="e">
        <f t="shared" ca="1" si="22"/>
        <v>#NAME?</v>
      </c>
      <c r="AI55" t="e">
        <f t="shared" ca="1" si="30"/>
        <v>#NAME?</v>
      </c>
      <c r="AJ55" t="e">
        <f t="shared" ca="1" si="23"/>
        <v>#NAME?</v>
      </c>
      <c r="AK55" t="e">
        <f t="shared" ca="1" si="24"/>
        <v>#NAME?</v>
      </c>
      <c r="AL55" t="e">
        <f t="shared" ca="1" si="25"/>
        <v>#NAME?</v>
      </c>
      <c r="AM55" t="e" cm="1">
        <f t="array" aca="1" ref="AM55" ca="1">_xludf.XLOOKUP(G$51,$BV$17:$CD$17,$BV$18:$CD$21)</f>
        <v>#NAME?</v>
      </c>
      <c r="AN55" t="e" cm="1">
        <f t="array" aca="1" ref="AN55" ca="1">_xludf.XLOOKUP(G$51,$BV$29:$CD$29,$BV$30:$CD$33)</f>
        <v>#NAME?</v>
      </c>
      <c r="BU55" t="s">
        <v>179</v>
      </c>
      <c r="BW55" t="s">
        <v>117</v>
      </c>
      <c r="BX55">
        <v>105</v>
      </c>
      <c r="BY55">
        <v>700</v>
      </c>
      <c r="BZ55">
        <v>85</v>
      </c>
      <c r="CA55">
        <v>300</v>
      </c>
      <c r="CB55">
        <v>490</v>
      </c>
      <c r="CC55">
        <v>490</v>
      </c>
      <c r="CD55">
        <v>90</v>
      </c>
      <c r="CE55">
        <v>480</v>
      </c>
      <c r="CF55">
        <v>480</v>
      </c>
      <c r="CG55">
        <v>480</v>
      </c>
    </row>
    <row r="56" spans="1:85" x14ac:dyDescent="0.2">
      <c r="L56" t="s">
        <v>119</v>
      </c>
      <c r="P56" t="e" cm="1">
        <f t="array" aca="1" ref="P56" ca="1">_xludf.XLOOKUP(K$15,$BX$169:$CG$169,_xludf.XLOOKUP($D$11,$BW$170:$BW$176,$BX$170:$CG$176))</f>
        <v>#NAME?</v>
      </c>
      <c r="Q56" t="e">
        <f t="shared" ca="1" si="16"/>
        <v>#NAME?</v>
      </c>
      <c r="T56">
        <f t="shared" si="13"/>
        <v>0</v>
      </c>
      <c r="V56">
        <v>1</v>
      </c>
      <c r="W56">
        <v>0</v>
      </c>
      <c r="X56">
        <v>0</v>
      </c>
      <c r="Y56">
        <f t="shared" si="17"/>
        <v>0</v>
      </c>
      <c r="Z56">
        <f t="shared" si="26"/>
        <v>-1.0369999999999999</v>
      </c>
      <c r="AA56" t="e">
        <f t="shared" ca="1" si="18"/>
        <v>#NAME?</v>
      </c>
      <c r="AB56">
        <f t="shared" si="19"/>
        <v>1</v>
      </c>
      <c r="AC56">
        <f t="shared" si="20"/>
        <v>1.4042250000000001</v>
      </c>
      <c r="AD56">
        <f t="shared" si="27"/>
        <v>1.22673096</v>
      </c>
      <c r="AE56">
        <f t="shared" si="28"/>
        <v>5.7714060544358416E-5</v>
      </c>
      <c r="AF56">
        <f t="shared" si="29"/>
        <v>6.9098751939409913E-4</v>
      </c>
      <c r="AG56">
        <f t="shared" si="21"/>
        <v>0</v>
      </c>
      <c r="AH56">
        <f t="shared" si="22"/>
        <v>0</v>
      </c>
      <c r="AI56">
        <f t="shared" si="30"/>
        <v>3.2193644299200004E-3</v>
      </c>
      <c r="AJ56">
        <f t="shared" si="23"/>
        <v>0</v>
      </c>
      <c r="AK56" t="e">
        <f t="shared" ca="1" si="24"/>
        <v>#NAME?</v>
      </c>
      <c r="AL56" t="e">
        <f t="shared" ca="1" si="25"/>
        <v>#NAME?</v>
      </c>
      <c r="BW56" t="s">
        <v>119</v>
      </c>
      <c r="BX56">
        <v>480</v>
      </c>
      <c r="BY56">
        <v>750</v>
      </c>
      <c r="BZ56">
        <v>150</v>
      </c>
      <c r="CA56">
        <v>350</v>
      </c>
      <c r="CB56">
        <v>530</v>
      </c>
      <c r="CC56">
        <v>530</v>
      </c>
      <c r="CD56">
        <v>160</v>
      </c>
      <c r="CE56">
        <v>460</v>
      </c>
      <c r="CF56">
        <v>460</v>
      </c>
      <c r="CG56">
        <v>460</v>
      </c>
    </row>
    <row r="57" spans="1:85" x14ac:dyDescent="0.2">
      <c r="L57" t="s">
        <v>120</v>
      </c>
      <c r="P57" t="e" cm="1">
        <f t="array" aca="1" ref="P57" ca="1">_xludf.XLOOKUP(K$15,$BX$169:$CG$169,_xludf.XLOOKUP($D$11,$BW$170:$BW$176,$BX$170:$CG$176))</f>
        <v>#NAME?</v>
      </c>
      <c r="Q57" t="e">
        <f t="shared" ca="1" si="16"/>
        <v>#NAME?</v>
      </c>
      <c r="T57">
        <f t="shared" si="13"/>
        <v>0</v>
      </c>
      <c r="V57">
        <v>1</v>
      </c>
      <c r="W57">
        <v>0</v>
      </c>
      <c r="X57">
        <v>0</v>
      </c>
      <c r="Y57">
        <f t="shared" si="17"/>
        <v>0</v>
      </c>
      <c r="Z57">
        <f t="shared" si="26"/>
        <v>-1.0369999999999999</v>
      </c>
      <c r="AA57" t="e">
        <f t="shared" ca="1" si="18"/>
        <v>#NAME?</v>
      </c>
      <c r="AB57">
        <f t="shared" si="19"/>
        <v>1</v>
      </c>
      <c r="AC57">
        <f t="shared" si="20"/>
        <v>1.4042250000000001</v>
      </c>
      <c r="AD57">
        <f t="shared" si="27"/>
        <v>1.22673096</v>
      </c>
      <c r="AE57">
        <f t="shared" si="28"/>
        <v>5.7714060544358416E-5</v>
      </c>
      <c r="AF57">
        <f t="shared" si="29"/>
        <v>6.9098751939409913E-4</v>
      </c>
      <c r="AG57">
        <f t="shared" si="21"/>
        <v>0</v>
      </c>
      <c r="AH57">
        <f t="shared" si="22"/>
        <v>0</v>
      </c>
      <c r="AI57">
        <f t="shared" si="30"/>
        <v>3.2193644299200004E-3</v>
      </c>
      <c r="AJ57">
        <f t="shared" si="23"/>
        <v>0</v>
      </c>
      <c r="AK57" t="e">
        <f t="shared" ca="1" si="24"/>
        <v>#NAME?</v>
      </c>
      <c r="AL57" t="e">
        <f t="shared" ca="1" si="25"/>
        <v>#NAME?</v>
      </c>
      <c r="BW57" t="s">
        <v>120</v>
      </c>
      <c r="BX57">
        <v>250</v>
      </c>
      <c r="BY57">
        <v>725</v>
      </c>
      <c r="BZ57">
        <v>200</v>
      </c>
      <c r="CA57">
        <v>360</v>
      </c>
      <c r="CB57">
        <v>500</v>
      </c>
      <c r="CC57">
        <v>500</v>
      </c>
      <c r="CD57">
        <v>215</v>
      </c>
      <c r="CE57">
        <v>490</v>
      </c>
      <c r="CF57">
        <v>490</v>
      </c>
      <c r="CG57">
        <v>490</v>
      </c>
    </row>
    <row r="58" spans="1:85" x14ac:dyDescent="0.2">
      <c r="L58" t="s">
        <v>121</v>
      </c>
      <c r="P58" t="e" cm="1">
        <f t="array" aca="1" ref="P58" ca="1">_xludf.XLOOKUP(K$15,$BX$169:$CG$169,_xludf.XLOOKUP($D$11,$BW$170:$BW$176,$BX$170:$CG$176))</f>
        <v>#NAME?</v>
      </c>
      <c r="Q58" t="e">
        <f t="shared" ca="1" si="16"/>
        <v>#NAME?</v>
      </c>
      <c r="T58">
        <f t="shared" si="13"/>
        <v>0</v>
      </c>
      <c r="V58">
        <v>1</v>
      </c>
      <c r="W58">
        <v>0</v>
      </c>
      <c r="X58">
        <v>0</v>
      </c>
      <c r="Y58">
        <f t="shared" si="17"/>
        <v>0</v>
      </c>
      <c r="Z58">
        <f t="shared" si="26"/>
        <v>-1.0369999999999999</v>
      </c>
      <c r="AA58" t="e">
        <f t="shared" ca="1" si="18"/>
        <v>#NAME?</v>
      </c>
      <c r="AB58">
        <f t="shared" si="19"/>
        <v>1</v>
      </c>
      <c r="AC58">
        <f t="shared" si="20"/>
        <v>1.4042250000000001</v>
      </c>
      <c r="AD58">
        <f t="shared" si="27"/>
        <v>1.22673096</v>
      </c>
      <c r="AE58">
        <f t="shared" si="28"/>
        <v>5.7714060544358416E-5</v>
      </c>
      <c r="AF58">
        <f t="shared" si="29"/>
        <v>6.9098751939409913E-4</v>
      </c>
      <c r="AG58">
        <f t="shared" si="21"/>
        <v>0</v>
      </c>
      <c r="AH58">
        <f t="shared" si="22"/>
        <v>0</v>
      </c>
      <c r="AI58">
        <f t="shared" si="30"/>
        <v>3.2193644299200004E-3</v>
      </c>
      <c r="AJ58">
        <f t="shared" si="23"/>
        <v>0</v>
      </c>
      <c r="AK58" t="e">
        <f t="shared" ca="1" si="24"/>
        <v>#NAME?</v>
      </c>
      <c r="AL58" t="e">
        <f t="shared" ca="1" si="25"/>
        <v>#NAME?</v>
      </c>
      <c r="BW58" t="s">
        <v>121</v>
      </c>
      <c r="BX58">
        <v>260</v>
      </c>
      <c r="BY58">
        <v>700</v>
      </c>
      <c r="BZ58">
        <v>210</v>
      </c>
      <c r="CA58">
        <v>380</v>
      </c>
      <c r="CB58">
        <v>460</v>
      </c>
      <c r="CC58">
        <v>460</v>
      </c>
      <c r="CD58">
        <v>230</v>
      </c>
      <c r="CE58">
        <v>470</v>
      </c>
      <c r="CF58">
        <v>470</v>
      </c>
      <c r="CG58">
        <v>470</v>
      </c>
    </row>
    <row r="59" spans="1:85" x14ac:dyDescent="0.2">
      <c r="K59" t="s">
        <v>141</v>
      </c>
      <c r="L59" t="s">
        <v>117</v>
      </c>
      <c r="N59" t="e" cm="1">
        <f t="array" aca="1" ref="N59" ca="1">_xludf.XLOOKUP(K59, $BX$46:$CG$46, $BX$47:$CG$50)</f>
        <v>#NAME?</v>
      </c>
      <c r="O59" t="e" cm="1">
        <f t="array" aca="1" ref="O59" ca="1">_xludf.XLOOKUP(K59, $BX$106:$CG$106, $BX$107:$CG$110)</f>
        <v>#NAME?</v>
      </c>
      <c r="P59" t="e" cm="1">
        <f t="array" aca="1" ref="P59" ca="1">_xludf.XLOOKUP(K$19,$BX$169:$CG$169,_xludf.XLOOKUP($D$11,$BW$170:$BW$176,$BX$170:$CG$176))</f>
        <v>#NAME?</v>
      </c>
      <c r="Q59" t="e">
        <f t="shared" ca="1" si="16"/>
        <v>#NAME?</v>
      </c>
      <c r="T59">
        <f t="shared" ref="T59:T90" si="31">R59+S59</f>
        <v>0</v>
      </c>
      <c r="V59">
        <v>1</v>
      </c>
      <c r="W59">
        <f>VLOOKUP($G$51, $CL$17:$CN$25, 2, FALSE)</f>
        <v>6</v>
      </c>
      <c r="X59">
        <v>0</v>
      </c>
      <c r="Y59">
        <f t="shared" si="17"/>
        <v>0</v>
      </c>
      <c r="Z59" t="e">
        <f t="shared" ca="1" si="26"/>
        <v>#NAME?</v>
      </c>
      <c r="AA59" t="e">
        <f t="shared" ca="1" si="18"/>
        <v>#NAME?</v>
      </c>
      <c r="AB59" t="e">
        <f t="shared" ca="1" si="19"/>
        <v>#NAME?</v>
      </c>
      <c r="AC59" t="e">
        <f t="shared" ca="1" si="20"/>
        <v>#NAME?</v>
      </c>
      <c r="AD59" t="e">
        <f t="shared" ca="1" si="27"/>
        <v>#NAME?</v>
      </c>
      <c r="AE59" t="e">
        <f t="shared" ca="1" si="28"/>
        <v>#NAME?</v>
      </c>
      <c r="AF59" t="e">
        <f t="shared" ca="1" si="29"/>
        <v>#NAME?</v>
      </c>
      <c r="AG59" t="e">
        <f t="shared" ca="1" si="21"/>
        <v>#NAME?</v>
      </c>
      <c r="AH59" t="e">
        <f t="shared" ca="1" si="22"/>
        <v>#NAME?</v>
      </c>
      <c r="AI59" t="e">
        <f t="shared" ca="1" si="30"/>
        <v>#NAME?</v>
      </c>
      <c r="AJ59" t="e">
        <f t="shared" ca="1" si="23"/>
        <v>#NAME?</v>
      </c>
      <c r="AK59" t="e">
        <f t="shared" ca="1" si="24"/>
        <v>#NAME?</v>
      </c>
      <c r="AL59" t="e">
        <f t="shared" ca="1" si="25"/>
        <v>#NAME?</v>
      </c>
      <c r="AM59" t="e" cm="1">
        <f t="array" aca="1" ref="AM59" ca="1">_xludf.XLOOKUP(G$51,$BV$17:$CD$17,$BV$18:$CD$21)</f>
        <v>#NAME?</v>
      </c>
      <c r="AN59" t="e" cm="1">
        <f t="array" aca="1" ref="AN59" ca="1">_xludf.XLOOKUP(G$51,$BV$29:$CD$29,$BV$30:$CD$33)</f>
        <v>#NAME?</v>
      </c>
      <c r="BU59" t="s">
        <v>180</v>
      </c>
      <c r="BW59" t="s">
        <v>117</v>
      </c>
      <c r="BX59">
        <v>250</v>
      </c>
      <c r="BY59">
        <v>820</v>
      </c>
      <c r="BZ59">
        <v>240</v>
      </c>
      <c r="CA59">
        <v>410</v>
      </c>
      <c r="CB59">
        <v>560</v>
      </c>
      <c r="CC59">
        <v>560</v>
      </c>
      <c r="CD59">
        <v>240</v>
      </c>
      <c r="CE59">
        <v>510</v>
      </c>
      <c r="CF59">
        <v>510</v>
      </c>
      <c r="CG59">
        <v>510</v>
      </c>
    </row>
    <row r="60" spans="1:85" x14ac:dyDescent="0.2">
      <c r="L60" t="s">
        <v>119</v>
      </c>
      <c r="P60" t="e" cm="1">
        <f t="array" aca="1" ref="P60" ca="1">_xludf.XLOOKUP(K$19,$BX$169:$CG$169,_xludf.XLOOKUP($D$11,$BW$170:$BW$176,$BX$170:$CG$176))</f>
        <v>#NAME?</v>
      </c>
      <c r="Q60" t="e">
        <f t="shared" ca="1" si="16"/>
        <v>#NAME?</v>
      </c>
      <c r="T60">
        <f t="shared" si="31"/>
        <v>0</v>
      </c>
      <c r="V60">
        <v>1</v>
      </c>
      <c r="W60">
        <f>VLOOKUP($G$51, $CL$17:$CN$25, 3, FALSE)</f>
        <v>4</v>
      </c>
      <c r="X60">
        <v>0</v>
      </c>
      <c r="Y60">
        <f t="shared" si="17"/>
        <v>0</v>
      </c>
      <c r="Z60">
        <f t="shared" si="26"/>
        <v>-1.0369999999999999</v>
      </c>
      <c r="AA60" t="e">
        <f t="shared" ca="1" si="18"/>
        <v>#NAME?</v>
      </c>
      <c r="AB60">
        <f t="shared" si="19"/>
        <v>1</v>
      </c>
      <c r="AC60">
        <f t="shared" si="20"/>
        <v>1.4042250000000001</v>
      </c>
      <c r="AD60">
        <f t="shared" si="27"/>
        <v>1.22673096</v>
      </c>
      <c r="AE60">
        <f t="shared" si="28"/>
        <v>5.7714060544358416E-5</v>
      </c>
      <c r="AF60">
        <f t="shared" si="29"/>
        <v>6.9098751939409913E-4</v>
      </c>
      <c r="AG60">
        <f t="shared" si="21"/>
        <v>0</v>
      </c>
      <c r="AH60">
        <f t="shared" si="22"/>
        <v>0</v>
      </c>
      <c r="AI60">
        <f t="shared" si="30"/>
        <v>4.824380103901192E-3</v>
      </c>
      <c r="AJ60">
        <f t="shared" si="23"/>
        <v>0</v>
      </c>
      <c r="AK60" t="e">
        <f t="shared" ca="1" si="24"/>
        <v>#NAME?</v>
      </c>
      <c r="AL60" t="e">
        <f t="shared" ca="1" si="25"/>
        <v>#NAME?</v>
      </c>
      <c r="BW60" t="s">
        <v>119</v>
      </c>
      <c r="BX60">
        <v>280</v>
      </c>
      <c r="BY60">
        <v>850</v>
      </c>
      <c r="BZ60">
        <v>260</v>
      </c>
      <c r="CA60">
        <v>440</v>
      </c>
      <c r="CB60">
        <v>550</v>
      </c>
      <c r="CC60">
        <v>550</v>
      </c>
      <c r="CD60">
        <v>270</v>
      </c>
      <c r="CE60">
        <v>520</v>
      </c>
      <c r="CF60">
        <v>520</v>
      </c>
      <c r="CG60">
        <v>520</v>
      </c>
    </row>
    <row r="61" spans="1:85" x14ac:dyDescent="0.2">
      <c r="L61" t="s">
        <v>120</v>
      </c>
      <c r="P61" t="e" cm="1">
        <f t="array" aca="1" ref="P61" ca="1">_xludf.XLOOKUP(K$19,$BX$169:$CG$169,_xludf.XLOOKUP($D$11,$BW$170:$BW$176,$BX$170:$CG$176))</f>
        <v>#NAME?</v>
      </c>
      <c r="Q61" t="e">
        <f t="shared" ca="1" si="16"/>
        <v>#NAME?</v>
      </c>
      <c r="T61">
        <f t="shared" si="31"/>
        <v>0</v>
      </c>
      <c r="V61">
        <v>1</v>
      </c>
      <c r="W61">
        <v>0</v>
      </c>
      <c r="X61">
        <v>0</v>
      </c>
      <c r="Y61">
        <f t="shared" si="17"/>
        <v>0</v>
      </c>
      <c r="Z61">
        <f t="shared" si="26"/>
        <v>-1.0369999999999999</v>
      </c>
      <c r="AA61" t="e">
        <f t="shared" ca="1" si="18"/>
        <v>#NAME?</v>
      </c>
      <c r="AB61">
        <f t="shared" si="19"/>
        <v>1</v>
      </c>
      <c r="AC61">
        <f t="shared" si="20"/>
        <v>1.4042250000000001</v>
      </c>
      <c r="AD61">
        <f t="shared" si="27"/>
        <v>1.22673096</v>
      </c>
      <c r="AE61">
        <f t="shared" si="28"/>
        <v>5.7714060544358416E-5</v>
      </c>
      <c r="AF61">
        <f t="shared" si="29"/>
        <v>6.9098751939409913E-4</v>
      </c>
      <c r="AG61">
        <f t="shared" si="21"/>
        <v>0</v>
      </c>
      <c r="AH61">
        <f t="shared" si="22"/>
        <v>0</v>
      </c>
      <c r="AI61">
        <f t="shared" si="30"/>
        <v>3.2193644299200004E-3</v>
      </c>
      <c r="AJ61">
        <f t="shared" si="23"/>
        <v>0</v>
      </c>
      <c r="AK61" t="e">
        <f t="shared" ca="1" si="24"/>
        <v>#NAME?</v>
      </c>
      <c r="AL61" t="e">
        <f t="shared" ca="1" si="25"/>
        <v>#NAME?</v>
      </c>
      <c r="BW61" t="s">
        <v>120</v>
      </c>
      <c r="BX61">
        <v>100</v>
      </c>
      <c r="BY61">
        <v>700</v>
      </c>
      <c r="BZ61">
        <v>95</v>
      </c>
      <c r="CA61">
        <v>300</v>
      </c>
      <c r="CB61">
        <v>450</v>
      </c>
      <c r="CC61">
        <v>450</v>
      </c>
      <c r="CD61">
        <v>95</v>
      </c>
      <c r="CE61">
        <v>410</v>
      </c>
      <c r="CF61">
        <v>410</v>
      </c>
      <c r="CG61">
        <v>410</v>
      </c>
    </row>
    <row r="62" spans="1:85" x14ac:dyDescent="0.2">
      <c r="L62" t="s">
        <v>121</v>
      </c>
      <c r="P62" t="e" cm="1">
        <f t="array" aca="1" ref="P62" ca="1">_xludf.XLOOKUP(K$19,$BX$169:$CG$169,_xludf.XLOOKUP($D$11,$BW$170:$BW$176,$BX$170:$CG$176))</f>
        <v>#NAME?</v>
      </c>
      <c r="Q62" t="e">
        <f t="shared" ca="1" si="16"/>
        <v>#NAME?</v>
      </c>
      <c r="T62">
        <f t="shared" si="31"/>
        <v>0</v>
      </c>
      <c r="V62">
        <v>1</v>
      </c>
      <c r="W62">
        <v>0</v>
      </c>
      <c r="X62">
        <v>0</v>
      </c>
      <c r="Y62">
        <f t="shared" si="17"/>
        <v>0</v>
      </c>
      <c r="Z62">
        <f t="shared" si="26"/>
        <v>-1.0369999999999999</v>
      </c>
      <c r="AA62" t="e">
        <f t="shared" ca="1" si="18"/>
        <v>#NAME?</v>
      </c>
      <c r="AB62">
        <f t="shared" si="19"/>
        <v>1</v>
      </c>
      <c r="AC62">
        <f t="shared" si="20"/>
        <v>1.4042250000000001</v>
      </c>
      <c r="AD62">
        <f t="shared" si="27"/>
        <v>1.22673096</v>
      </c>
      <c r="AE62">
        <f t="shared" si="28"/>
        <v>5.7714060544358416E-5</v>
      </c>
      <c r="AF62">
        <f t="shared" si="29"/>
        <v>6.9098751939409913E-4</v>
      </c>
      <c r="AG62">
        <f t="shared" si="21"/>
        <v>0</v>
      </c>
      <c r="AH62">
        <f t="shared" si="22"/>
        <v>0</v>
      </c>
      <c r="AI62">
        <f t="shared" si="30"/>
        <v>3.2193644299200004E-3</v>
      </c>
      <c r="AJ62">
        <f t="shared" si="23"/>
        <v>0</v>
      </c>
      <c r="AK62" t="e">
        <f t="shared" ca="1" si="24"/>
        <v>#NAME?</v>
      </c>
      <c r="AL62" t="e">
        <f t="shared" ca="1" si="25"/>
        <v>#NAME?</v>
      </c>
      <c r="BW62" t="s">
        <v>121</v>
      </c>
      <c r="BX62">
        <v>150</v>
      </c>
      <c r="BY62">
        <v>720</v>
      </c>
      <c r="BZ62">
        <v>140</v>
      </c>
      <c r="CA62">
        <v>320</v>
      </c>
      <c r="CB62">
        <v>470</v>
      </c>
      <c r="CC62">
        <v>470</v>
      </c>
      <c r="CD62">
        <v>140</v>
      </c>
      <c r="CE62">
        <v>440</v>
      </c>
      <c r="CF62">
        <v>440</v>
      </c>
      <c r="CG62">
        <v>440</v>
      </c>
    </row>
    <row r="63" spans="1:85" x14ac:dyDescent="0.2">
      <c r="K63" t="s">
        <v>146</v>
      </c>
      <c r="L63" t="s">
        <v>117</v>
      </c>
      <c r="N63" t="e" cm="1">
        <f t="array" aca="1" ref="N63" ca="1">_xludf.XLOOKUP(K63, $BX$46:$CG$46, $BX$47:$CG$50)</f>
        <v>#NAME?</v>
      </c>
      <c r="O63" t="e" cm="1">
        <f t="array" aca="1" ref="O63" ca="1">_xludf.XLOOKUP(K63, $BX$106:$CG$106, $BX$107:$CG$110)</f>
        <v>#NAME?</v>
      </c>
      <c r="P63" t="e" cm="1">
        <f t="array" aca="1" ref="P63" ca="1">_xludf.XLOOKUP(K$23,$BX$169:$CG$169,_xludf.XLOOKUP($D$11,$BW$170:$BW$176,$BX$170:$CG$176))</f>
        <v>#NAME?</v>
      </c>
      <c r="Q63" t="e">
        <f t="shared" ca="1" si="16"/>
        <v>#NAME?</v>
      </c>
      <c r="T63">
        <f t="shared" si="31"/>
        <v>0</v>
      </c>
      <c r="V63">
        <v>1</v>
      </c>
      <c r="W63">
        <v>0</v>
      </c>
      <c r="X63">
        <v>0</v>
      </c>
      <c r="Y63">
        <f t="shared" si="17"/>
        <v>0</v>
      </c>
      <c r="Z63" t="e">
        <f t="shared" ca="1" si="26"/>
        <v>#NAME?</v>
      </c>
      <c r="AA63" t="e">
        <f t="shared" ca="1" si="18"/>
        <v>#NAME?</v>
      </c>
      <c r="AB63" t="e">
        <f t="shared" ca="1" si="19"/>
        <v>#NAME?</v>
      </c>
      <c r="AC63" t="e">
        <f t="shared" ca="1" si="20"/>
        <v>#NAME?</v>
      </c>
      <c r="AD63" t="e">
        <f t="shared" ca="1" si="27"/>
        <v>#NAME?</v>
      </c>
      <c r="AE63" t="e">
        <f t="shared" ca="1" si="28"/>
        <v>#NAME?</v>
      </c>
      <c r="AF63" t="e">
        <f t="shared" ca="1" si="29"/>
        <v>#NAME?</v>
      </c>
      <c r="AG63" t="e">
        <f t="shared" ca="1" si="21"/>
        <v>#NAME?</v>
      </c>
      <c r="AH63" t="e">
        <f t="shared" ca="1" si="22"/>
        <v>#NAME?</v>
      </c>
      <c r="AI63" t="e">
        <f t="shared" ca="1" si="30"/>
        <v>#NAME?</v>
      </c>
      <c r="AJ63" t="e">
        <f t="shared" ca="1" si="23"/>
        <v>#NAME?</v>
      </c>
      <c r="AK63" t="e">
        <f t="shared" ca="1" si="24"/>
        <v>#NAME?</v>
      </c>
      <c r="AL63" t="e">
        <f t="shared" ca="1" si="25"/>
        <v>#NAME?</v>
      </c>
      <c r="AM63" t="e" cm="1">
        <f t="array" aca="1" ref="AM63" ca="1">_xludf.XLOOKUP(G$51,$BV$17:$CD$17,$BV$18:$CD$21)</f>
        <v>#NAME?</v>
      </c>
      <c r="AN63" t="e" cm="1">
        <f t="array" aca="1" ref="AN63" ca="1">_xludf.XLOOKUP(G$51,$BV$29:$CD$29,$BV$30:$CD$33)</f>
        <v>#NAME?</v>
      </c>
      <c r="BU63" t="s">
        <v>148</v>
      </c>
      <c r="BV63" t="s">
        <v>136</v>
      </c>
      <c r="BW63" t="s">
        <v>117</v>
      </c>
      <c r="BX63">
        <v>340</v>
      </c>
      <c r="BY63">
        <v>800</v>
      </c>
      <c r="BZ63">
        <v>260</v>
      </c>
      <c r="CA63">
        <v>420</v>
      </c>
      <c r="CB63">
        <v>550</v>
      </c>
      <c r="CC63">
        <v>550</v>
      </c>
      <c r="CD63">
        <v>300</v>
      </c>
      <c r="CE63">
        <v>480</v>
      </c>
      <c r="CF63">
        <v>480</v>
      </c>
      <c r="CG63">
        <v>480</v>
      </c>
    </row>
    <row r="64" spans="1:85" x14ac:dyDescent="0.2">
      <c r="L64" t="s">
        <v>119</v>
      </c>
      <c r="P64" t="e" cm="1">
        <f t="array" aca="1" ref="P64" ca="1">_xludf.XLOOKUP(K$23,$BX$169:$CG$169,_xludf.XLOOKUP($D$11,$BW$170:$BW$176,$BX$170:$CG$176))</f>
        <v>#NAME?</v>
      </c>
      <c r="Q64" t="e">
        <f t="shared" ca="1" si="16"/>
        <v>#NAME?</v>
      </c>
      <c r="T64">
        <f t="shared" si="31"/>
        <v>0</v>
      </c>
      <c r="V64">
        <v>1</v>
      </c>
      <c r="W64">
        <v>0</v>
      </c>
      <c r="X64">
        <v>0</v>
      </c>
      <c r="Y64">
        <f t="shared" si="17"/>
        <v>0</v>
      </c>
      <c r="Z64">
        <f t="shared" si="26"/>
        <v>-1.0369999999999999</v>
      </c>
      <c r="AA64" t="e">
        <f t="shared" ca="1" si="18"/>
        <v>#NAME?</v>
      </c>
      <c r="AB64">
        <f t="shared" si="19"/>
        <v>1</v>
      </c>
      <c r="AC64">
        <f t="shared" si="20"/>
        <v>1.4042250000000001</v>
      </c>
      <c r="AD64">
        <f t="shared" si="27"/>
        <v>1.22673096</v>
      </c>
      <c r="AE64">
        <f t="shared" si="28"/>
        <v>5.7714060544358416E-5</v>
      </c>
      <c r="AF64">
        <f t="shared" si="29"/>
        <v>6.9098751939409913E-4</v>
      </c>
      <c r="AG64">
        <f t="shared" si="21"/>
        <v>0</v>
      </c>
      <c r="AH64">
        <f t="shared" si="22"/>
        <v>0</v>
      </c>
      <c r="AI64">
        <f t="shared" si="30"/>
        <v>3.2193644299200004E-3</v>
      </c>
      <c r="AJ64">
        <f t="shared" si="23"/>
        <v>0</v>
      </c>
      <c r="AK64" t="e">
        <f t="shared" ca="1" si="24"/>
        <v>#NAME?</v>
      </c>
      <c r="AL64" t="e">
        <f t="shared" ca="1" si="25"/>
        <v>#NAME?</v>
      </c>
      <c r="BW64" t="s">
        <v>119</v>
      </c>
      <c r="BX64">
        <v>380</v>
      </c>
      <c r="BY64">
        <v>780</v>
      </c>
      <c r="BZ64">
        <v>300</v>
      </c>
      <c r="CA64">
        <v>450</v>
      </c>
      <c r="CB64">
        <v>530</v>
      </c>
      <c r="CC64">
        <v>530</v>
      </c>
      <c r="CD64">
        <v>340</v>
      </c>
      <c r="CE64">
        <v>470</v>
      </c>
      <c r="CF64">
        <v>470</v>
      </c>
      <c r="CG64">
        <v>470</v>
      </c>
    </row>
    <row r="65" spans="11:85" x14ac:dyDescent="0.2">
      <c r="L65" t="s">
        <v>120</v>
      </c>
      <c r="P65" t="e" cm="1">
        <f t="array" aca="1" ref="P65" ca="1">_xludf.XLOOKUP(K$23,$BX$169:$CG$169,_xludf.XLOOKUP($D$11,$BW$170:$BW$176,$BX$170:$CG$176))</f>
        <v>#NAME?</v>
      </c>
      <c r="Q65" t="e">
        <f t="shared" ca="1" si="16"/>
        <v>#NAME?</v>
      </c>
      <c r="T65">
        <f t="shared" si="31"/>
        <v>0</v>
      </c>
      <c r="V65">
        <v>1</v>
      </c>
      <c r="W65">
        <v>0</v>
      </c>
      <c r="X65">
        <v>0</v>
      </c>
      <c r="Y65">
        <f t="shared" si="17"/>
        <v>0</v>
      </c>
      <c r="Z65">
        <f t="shared" si="26"/>
        <v>-1.0369999999999999</v>
      </c>
      <c r="AA65" t="e">
        <f t="shared" ca="1" si="18"/>
        <v>#NAME?</v>
      </c>
      <c r="AB65">
        <f t="shared" si="19"/>
        <v>1</v>
      </c>
      <c r="AC65">
        <f t="shared" si="20"/>
        <v>1.4042250000000001</v>
      </c>
      <c r="AD65">
        <f t="shared" si="27"/>
        <v>1.22673096</v>
      </c>
      <c r="AE65">
        <f t="shared" si="28"/>
        <v>5.7714060544358416E-5</v>
      </c>
      <c r="AF65">
        <f t="shared" si="29"/>
        <v>6.9098751939409913E-4</v>
      </c>
      <c r="AG65">
        <f t="shared" si="21"/>
        <v>0</v>
      </c>
      <c r="AH65">
        <f t="shared" si="22"/>
        <v>0</v>
      </c>
      <c r="AI65">
        <f t="shared" si="30"/>
        <v>3.2193644299200004E-3</v>
      </c>
      <c r="AJ65">
        <f t="shared" si="23"/>
        <v>0</v>
      </c>
      <c r="AK65" t="e">
        <f t="shared" ca="1" si="24"/>
        <v>#NAME?</v>
      </c>
      <c r="AL65" t="e">
        <f t="shared" ca="1" si="25"/>
        <v>#NAME?</v>
      </c>
      <c r="BW65" t="s">
        <v>120</v>
      </c>
      <c r="BX65">
        <v>100</v>
      </c>
      <c r="BY65">
        <v>680</v>
      </c>
      <c r="BZ65">
        <v>80</v>
      </c>
      <c r="CA65">
        <v>320</v>
      </c>
      <c r="CB65">
        <v>480</v>
      </c>
      <c r="CC65">
        <v>480</v>
      </c>
      <c r="CD65">
        <v>100</v>
      </c>
      <c r="CE65">
        <v>340</v>
      </c>
      <c r="CF65">
        <v>340</v>
      </c>
      <c r="CG65">
        <v>340</v>
      </c>
    </row>
    <row r="66" spans="11:85" x14ac:dyDescent="0.2">
      <c r="L66" t="s">
        <v>121</v>
      </c>
      <c r="P66" t="e" cm="1">
        <f t="array" aca="1" ref="P66" ca="1">_xludf.XLOOKUP(K$23,$BX$169:$CG$169,_xludf.XLOOKUP($D$11,$BW$170:$BW$176,$BX$170:$CG$176))</f>
        <v>#NAME?</v>
      </c>
      <c r="Q66" t="e">
        <f t="shared" ca="1" si="16"/>
        <v>#NAME?</v>
      </c>
      <c r="T66">
        <f t="shared" si="31"/>
        <v>0</v>
      </c>
      <c r="V66">
        <v>1</v>
      </c>
      <c r="W66">
        <v>0</v>
      </c>
      <c r="X66">
        <v>0</v>
      </c>
      <c r="Y66">
        <f t="shared" si="17"/>
        <v>0</v>
      </c>
      <c r="Z66">
        <f t="shared" si="26"/>
        <v>-1.0369999999999999</v>
      </c>
      <c r="AA66" t="e">
        <f t="shared" ca="1" si="18"/>
        <v>#NAME?</v>
      </c>
      <c r="AB66">
        <f t="shared" si="19"/>
        <v>1</v>
      </c>
      <c r="AC66">
        <f t="shared" si="20"/>
        <v>1.4042250000000001</v>
      </c>
      <c r="AD66">
        <f t="shared" si="27"/>
        <v>1.22673096</v>
      </c>
      <c r="AE66">
        <f t="shared" si="28"/>
        <v>5.7714060544358416E-5</v>
      </c>
      <c r="AF66">
        <f t="shared" si="29"/>
        <v>6.9098751939409913E-4</v>
      </c>
      <c r="AG66">
        <f t="shared" si="21"/>
        <v>0</v>
      </c>
      <c r="AH66">
        <f t="shared" si="22"/>
        <v>0</v>
      </c>
      <c r="AI66">
        <f t="shared" si="30"/>
        <v>3.2193644299200004E-3</v>
      </c>
      <c r="AJ66">
        <f t="shared" si="23"/>
        <v>0</v>
      </c>
      <c r="AK66" t="e">
        <f t="shared" ca="1" si="24"/>
        <v>#NAME?</v>
      </c>
      <c r="AL66" t="e">
        <f t="shared" ca="1" si="25"/>
        <v>#NAME?</v>
      </c>
      <c r="BW66" t="s">
        <v>121</v>
      </c>
      <c r="BX66">
        <v>190</v>
      </c>
      <c r="BY66">
        <v>700</v>
      </c>
      <c r="BZ66">
        <v>150</v>
      </c>
      <c r="CA66">
        <v>330</v>
      </c>
      <c r="CB66">
        <v>490</v>
      </c>
      <c r="CC66">
        <v>490</v>
      </c>
      <c r="CD66">
        <v>170</v>
      </c>
      <c r="CE66">
        <v>360</v>
      </c>
      <c r="CF66">
        <v>360</v>
      </c>
      <c r="CG66">
        <v>360</v>
      </c>
    </row>
    <row r="67" spans="11:85" x14ac:dyDescent="0.2">
      <c r="K67" t="s">
        <v>152</v>
      </c>
      <c r="L67" t="s">
        <v>117</v>
      </c>
      <c r="M67">
        <v>100</v>
      </c>
      <c r="N67" t="e" cm="1">
        <f t="array" aca="1" ref="N67" ca="1">_xludf.XLOOKUP(K67, $BX$46:$CG$46, $BX$47:$CG$50)</f>
        <v>#NAME?</v>
      </c>
      <c r="O67" t="e" cm="1">
        <f t="array" aca="1" ref="O67" ca="1">_xludf.XLOOKUP(K67, $BX$106:$CG$106, $BX$107:$CG$110)</f>
        <v>#NAME?</v>
      </c>
      <c r="P67" t="e" cm="1">
        <f t="array" aca="1" ref="P67" ca="1">_xludf.XLOOKUP(K$27,$BX$169:$CG$169,_xludf.XLOOKUP($D$11,$BW$170:$BW$176,$BX$170:$CG$176))</f>
        <v>#NAME?</v>
      </c>
      <c r="Q67" t="e">
        <f t="shared" ca="1" si="16"/>
        <v>#NAME?</v>
      </c>
      <c r="R67">
        <v>1</v>
      </c>
      <c r="T67">
        <f t="shared" si="31"/>
        <v>1</v>
      </c>
      <c r="U67">
        <f t="shared" ref="U67:U74" si="32">1+(0.3*R67)+(0.1*S67)</f>
        <v>1.3</v>
      </c>
      <c r="V67">
        <f t="shared" ref="V67:V74" si="33">(T67*U67)+(1 - T67)</f>
        <v>1.3</v>
      </c>
      <c r="W67">
        <v>0</v>
      </c>
      <c r="X67">
        <f>VLOOKUP($G$11, $CL$17:$CN$25, 2, FALSE)</f>
        <v>6</v>
      </c>
      <c r="Y67">
        <f t="shared" si="17"/>
        <v>6</v>
      </c>
      <c r="Z67" t="e">
        <f t="shared" ca="1" si="26"/>
        <v>#NAME?</v>
      </c>
      <c r="AA67" t="e">
        <f t="shared" ca="1" si="18"/>
        <v>#NAME?</v>
      </c>
      <c r="AB67" t="e">
        <f t="shared" ca="1" si="19"/>
        <v>#NAME?</v>
      </c>
      <c r="AC67" t="e">
        <f t="shared" ca="1" si="20"/>
        <v>#NAME?</v>
      </c>
      <c r="AD67" t="e">
        <f t="shared" ca="1" si="27"/>
        <v>#NAME?</v>
      </c>
      <c r="AE67" t="e">
        <f t="shared" ca="1" si="28"/>
        <v>#NAME?</v>
      </c>
      <c r="AF67" t="e">
        <f t="shared" ca="1" si="29"/>
        <v>#NAME?</v>
      </c>
      <c r="AG67" t="e">
        <f t="shared" ca="1" si="21"/>
        <v>#NAME?</v>
      </c>
      <c r="AH67" t="e">
        <f t="shared" ca="1" si="22"/>
        <v>#NAME?</v>
      </c>
      <c r="AI67" t="e">
        <f t="shared" ca="1" si="30"/>
        <v>#NAME?</v>
      </c>
      <c r="AJ67" t="e">
        <f t="shared" ca="1" si="23"/>
        <v>#NAME?</v>
      </c>
      <c r="AK67" t="e">
        <f t="shared" ca="1" si="24"/>
        <v>#NAME?</v>
      </c>
      <c r="AL67" t="e">
        <f t="shared" ca="1" si="25"/>
        <v>#NAME?</v>
      </c>
      <c r="AM67" t="e" cm="1">
        <f t="array" aca="1" ref="AM67" ca="1">_xludf.XLOOKUP(G$51,$BV$17:$CD$17,$BV$18:$CD$21)</f>
        <v>#NAME?</v>
      </c>
      <c r="AN67" t="e" cm="1">
        <f t="array" aca="1" ref="AN67" ca="1">_xludf.XLOOKUP(G$51,$BV$29:$CD$29,$BV$30:$CD$33)</f>
        <v>#NAME?</v>
      </c>
      <c r="BU67" t="s">
        <v>148</v>
      </c>
      <c r="BV67" t="s">
        <v>137</v>
      </c>
      <c r="BW67" t="s">
        <v>117</v>
      </c>
      <c r="BX67">
        <v>80</v>
      </c>
      <c r="BY67">
        <v>450</v>
      </c>
      <c r="BZ67">
        <v>70</v>
      </c>
      <c r="CA67">
        <v>260</v>
      </c>
      <c r="CB67">
        <v>340</v>
      </c>
      <c r="CC67">
        <v>340</v>
      </c>
      <c r="CD67">
        <v>80</v>
      </c>
      <c r="CE67">
        <v>370</v>
      </c>
      <c r="CF67">
        <v>370</v>
      </c>
      <c r="CG67">
        <v>370</v>
      </c>
    </row>
    <row r="68" spans="11:85" x14ac:dyDescent="0.2">
      <c r="L68" t="s">
        <v>119</v>
      </c>
      <c r="M68">
        <v>110</v>
      </c>
      <c r="P68" t="e" cm="1">
        <f t="array" aca="1" ref="P68" ca="1">_xludf.XLOOKUP(K$27,$BX$169:$CG$169,_xludf.XLOOKUP($D$11,$BW$170:$BW$176,$BX$170:$CG$176))</f>
        <v>#NAME?</v>
      </c>
      <c r="Q68" t="e">
        <f t="shared" ca="1" si="16"/>
        <v>#NAME?</v>
      </c>
      <c r="R68">
        <v>0</v>
      </c>
      <c r="S68">
        <v>1</v>
      </c>
      <c r="T68">
        <f t="shared" si="31"/>
        <v>1</v>
      </c>
      <c r="U68">
        <f t="shared" si="32"/>
        <v>1.1000000000000001</v>
      </c>
      <c r="V68">
        <f t="shared" si="33"/>
        <v>1.1000000000000001</v>
      </c>
      <c r="W68">
        <v>0</v>
      </c>
      <c r="X68">
        <f>VLOOKUP($G$11, $CL$17:$CN$25, 3, FALSE)</f>
        <v>4</v>
      </c>
      <c r="Y68">
        <f t="shared" si="17"/>
        <v>4</v>
      </c>
      <c r="Z68">
        <f t="shared" si="26"/>
        <v>-1.0369999999999999</v>
      </c>
      <c r="AA68" t="e">
        <f t="shared" ca="1" si="18"/>
        <v>#NAME?</v>
      </c>
      <c r="AB68">
        <f t="shared" si="19"/>
        <v>1</v>
      </c>
      <c r="AC68">
        <f t="shared" si="20"/>
        <v>1.5446475000000002</v>
      </c>
      <c r="AD68">
        <f t="shared" si="27"/>
        <v>1.3494040560000002</v>
      </c>
      <c r="AE68">
        <f t="shared" si="28"/>
        <v>6.3485466598794263E-5</v>
      </c>
      <c r="AF68">
        <f t="shared" si="29"/>
        <v>7.6008627133350914E-4</v>
      </c>
      <c r="AG68">
        <f t="shared" si="21"/>
        <v>0.6372353709853974</v>
      </c>
      <c r="AH68">
        <f t="shared" si="22"/>
        <v>7.629365948510098</v>
      </c>
      <c r="AI68">
        <f t="shared" si="30"/>
        <v>3.5413008729119999E-3</v>
      </c>
      <c r="AJ68">
        <f t="shared" si="23"/>
        <v>35.5458075118542</v>
      </c>
      <c r="AK68" t="e">
        <f t="shared" ca="1" si="24"/>
        <v>#NAME?</v>
      </c>
      <c r="AL68" t="e">
        <f t="shared" ca="1" si="25"/>
        <v>#NAME?</v>
      </c>
      <c r="BW68" t="s">
        <v>119</v>
      </c>
      <c r="BX68">
        <v>150</v>
      </c>
      <c r="BY68">
        <v>500</v>
      </c>
      <c r="BZ68">
        <v>140</v>
      </c>
      <c r="CA68">
        <v>310</v>
      </c>
      <c r="CB68">
        <v>360</v>
      </c>
      <c r="CC68">
        <v>360</v>
      </c>
      <c r="CD68">
        <v>150</v>
      </c>
      <c r="CE68">
        <v>400</v>
      </c>
      <c r="CF68">
        <v>400</v>
      </c>
      <c r="CG68">
        <v>400</v>
      </c>
    </row>
    <row r="69" spans="11:85" x14ac:dyDescent="0.2">
      <c r="L69" t="s">
        <v>120</v>
      </c>
      <c r="M69">
        <v>120</v>
      </c>
      <c r="P69" t="e" cm="1">
        <f t="array" aca="1" ref="P69" ca="1">_xludf.XLOOKUP(K$27,$BX$169:$CG$169,_xludf.XLOOKUP($D$11,$BW$170:$BW$176,$BX$170:$CG$176))</f>
        <v>#NAME?</v>
      </c>
      <c r="Q69" t="e">
        <f t="shared" ca="1" si="16"/>
        <v>#NAME?</v>
      </c>
      <c r="R69">
        <v>0</v>
      </c>
      <c r="S69">
        <v>0</v>
      </c>
      <c r="T69">
        <f t="shared" si="31"/>
        <v>0</v>
      </c>
      <c r="U69">
        <f t="shared" si="32"/>
        <v>1</v>
      </c>
      <c r="V69">
        <f t="shared" si="33"/>
        <v>1</v>
      </c>
      <c r="W69">
        <v>0</v>
      </c>
      <c r="X69">
        <v>0</v>
      </c>
      <c r="Y69">
        <f t="shared" si="17"/>
        <v>0</v>
      </c>
      <c r="Z69">
        <f t="shared" si="26"/>
        <v>-1.0369999999999999</v>
      </c>
      <c r="AA69" t="e">
        <f t="shared" ca="1" si="18"/>
        <v>#NAME?</v>
      </c>
      <c r="AB69">
        <f t="shared" si="19"/>
        <v>1</v>
      </c>
      <c r="AC69">
        <f t="shared" si="20"/>
        <v>1.4042250000000001</v>
      </c>
      <c r="AD69">
        <f t="shared" si="27"/>
        <v>1.22673096</v>
      </c>
      <c r="AE69">
        <f t="shared" si="28"/>
        <v>5.7714060544358416E-5</v>
      </c>
      <c r="AF69">
        <f t="shared" si="29"/>
        <v>6.9098751939409913E-4</v>
      </c>
      <c r="AG69">
        <f t="shared" si="21"/>
        <v>0.63196896296072469</v>
      </c>
      <c r="AH69">
        <f t="shared" si="22"/>
        <v>7.5663133373653855</v>
      </c>
      <c r="AI69">
        <f t="shared" si="30"/>
        <v>3.2193644299200004E-3</v>
      </c>
      <c r="AJ69">
        <f t="shared" si="23"/>
        <v>35.25204050762401</v>
      </c>
      <c r="AK69" t="e">
        <f t="shared" ca="1" si="24"/>
        <v>#NAME?</v>
      </c>
      <c r="AL69" t="e">
        <f t="shared" ca="1" si="25"/>
        <v>#NAME?</v>
      </c>
      <c r="BW69" t="s">
        <v>120</v>
      </c>
      <c r="BX69">
        <v>230</v>
      </c>
      <c r="BY69">
        <v>550</v>
      </c>
      <c r="BZ69">
        <v>220</v>
      </c>
      <c r="CA69">
        <v>330</v>
      </c>
      <c r="CB69">
        <v>380</v>
      </c>
      <c r="CC69">
        <v>380</v>
      </c>
      <c r="CD69">
        <v>230</v>
      </c>
      <c r="CE69">
        <v>420</v>
      </c>
      <c r="CF69">
        <v>420</v>
      </c>
      <c r="CG69">
        <v>420</v>
      </c>
    </row>
    <row r="70" spans="11:85" x14ac:dyDescent="0.2">
      <c r="L70" t="s">
        <v>121</v>
      </c>
      <c r="M70">
        <v>130</v>
      </c>
      <c r="P70" t="e" cm="1">
        <f t="array" aca="1" ref="P70" ca="1">_xludf.XLOOKUP(K$27,$BX$169:$CG$169,_xludf.XLOOKUP($D$11,$BW$170:$BW$176,$BX$170:$CG$176))</f>
        <v>#NAME?</v>
      </c>
      <c r="Q70" t="e">
        <f t="shared" ca="1" si="16"/>
        <v>#NAME?</v>
      </c>
      <c r="R70">
        <v>0</v>
      </c>
      <c r="S70">
        <v>0</v>
      </c>
      <c r="T70">
        <f t="shared" si="31"/>
        <v>0</v>
      </c>
      <c r="U70">
        <f t="shared" si="32"/>
        <v>1</v>
      </c>
      <c r="V70">
        <f t="shared" si="33"/>
        <v>1</v>
      </c>
      <c r="W70">
        <v>0</v>
      </c>
      <c r="X70">
        <v>0</v>
      </c>
      <c r="Y70">
        <f t="shared" si="17"/>
        <v>0</v>
      </c>
      <c r="Z70">
        <f t="shared" si="26"/>
        <v>-1.0369999999999999</v>
      </c>
      <c r="AA70" t="e">
        <f t="shared" ca="1" si="18"/>
        <v>#NAME?</v>
      </c>
      <c r="AB70">
        <f t="shared" si="19"/>
        <v>1</v>
      </c>
      <c r="AC70">
        <f t="shared" si="20"/>
        <v>1.4042250000000001</v>
      </c>
      <c r="AD70">
        <f t="shared" si="27"/>
        <v>1.22673096</v>
      </c>
      <c r="AE70">
        <f t="shared" si="28"/>
        <v>5.7714060544358416E-5</v>
      </c>
      <c r="AF70">
        <f t="shared" si="29"/>
        <v>6.9098751939409913E-4</v>
      </c>
      <c r="AG70">
        <f t="shared" si="21"/>
        <v>0.68463304320745177</v>
      </c>
      <c r="AH70">
        <f t="shared" si="22"/>
        <v>8.1968394488125007</v>
      </c>
      <c r="AI70">
        <f t="shared" si="30"/>
        <v>3.2193644299200004E-3</v>
      </c>
      <c r="AJ70">
        <f t="shared" si="23"/>
        <v>38.189710549926005</v>
      </c>
      <c r="AK70" t="e">
        <f t="shared" ca="1" si="24"/>
        <v>#NAME?</v>
      </c>
      <c r="AL70" t="e">
        <f t="shared" ca="1" si="25"/>
        <v>#NAME?</v>
      </c>
      <c r="BW70" t="s">
        <v>121</v>
      </c>
      <c r="BX70">
        <v>250</v>
      </c>
      <c r="BY70">
        <v>500</v>
      </c>
      <c r="BZ70">
        <v>240</v>
      </c>
      <c r="CA70">
        <v>340</v>
      </c>
      <c r="CB70">
        <v>360</v>
      </c>
      <c r="CC70">
        <v>360</v>
      </c>
      <c r="CD70">
        <v>250</v>
      </c>
      <c r="CE70">
        <v>390</v>
      </c>
      <c r="CF70">
        <v>390</v>
      </c>
      <c r="CG70">
        <v>390</v>
      </c>
    </row>
    <row r="71" spans="11:85" x14ac:dyDescent="0.2">
      <c r="K71" t="s">
        <v>156</v>
      </c>
      <c r="L71" t="s">
        <v>117</v>
      </c>
      <c r="N71" t="e" cm="1">
        <f t="array" aca="1" ref="N71" ca="1">_xludf.XLOOKUP(K71, $BX$46:$CG$46, $BX$47:$CG$50)</f>
        <v>#NAME?</v>
      </c>
      <c r="O71" t="e" cm="1">
        <f t="array" aca="1" ref="O71" ca="1">_xludf.XLOOKUP(K71, $BX$106:$CG$106, $BX$107:$CG$110)</f>
        <v>#NAME?</v>
      </c>
      <c r="P71" t="e" cm="1">
        <f t="array" aca="1" ref="P71" ca="1">_xludf.XLOOKUP(K$31,$BX$169:$CG$169,_xludf.XLOOKUP($D$11,$BW$170:$BW$176,$BX$170:$CG$176))</f>
        <v>#NAME?</v>
      </c>
      <c r="Q71" t="e">
        <f t="shared" ca="1" si="16"/>
        <v>#NAME?</v>
      </c>
      <c r="R71">
        <v>1</v>
      </c>
      <c r="S71">
        <v>0</v>
      </c>
      <c r="T71">
        <f t="shared" si="31"/>
        <v>1</v>
      </c>
      <c r="U71">
        <f t="shared" si="32"/>
        <v>1.3</v>
      </c>
      <c r="V71">
        <f t="shared" si="33"/>
        <v>1.3</v>
      </c>
      <c r="W71">
        <v>0</v>
      </c>
      <c r="X71">
        <f>VLOOKUP($G$11, $CL$17:$CN$25, 2, FALSE)</f>
        <v>6</v>
      </c>
      <c r="Y71">
        <f t="shared" si="17"/>
        <v>6</v>
      </c>
      <c r="Z71" t="e">
        <f t="shared" ca="1" si="26"/>
        <v>#NAME?</v>
      </c>
      <c r="AA71" t="e">
        <f t="shared" ca="1" si="18"/>
        <v>#NAME?</v>
      </c>
      <c r="AB71" t="e">
        <f t="shared" ca="1" si="19"/>
        <v>#NAME?</v>
      </c>
      <c r="AC71" t="e">
        <f t="shared" ca="1" si="20"/>
        <v>#NAME?</v>
      </c>
      <c r="AD71" t="e">
        <f t="shared" ca="1" si="27"/>
        <v>#NAME?</v>
      </c>
      <c r="AE71" t="e">
        <f t="shared" ca="1" si="28"/>
        <v>#NAME?</v>
      </c>
      <c r="AF71" t="e">
        <f t="shared" ca="1" si="29"/>
        <v>#NAME?</v>
      </c>
      <c r="AG71" t="e">
        <f t="shared" ca="1" si="21"/>
        <v>#NAME?</v>
      </c>
      <c r="AH71" t="e">
        <f t="shared" ca="1" si="22"/>
        <v>#NAME?</v>
      </c>
      <c r="AI71" t="e">
        <f t="shared" ca="1" si="30"/>
        <v>#NAME?</v>
      </c>
      <c r="AJ71" t="e">
        <f t="shared" ca="1" si="23"/>
        <v>#NAME?</v>
      </c>
      <c r="AK71" t="e">
        <f t="shared" ca="1" si="24"/>
        <v>#NAME?</v>
      </c>
      <c r="AL71" t="e">
        <f t="shared" ca="1" si="25"/>
        <v>#NAME?</v>
      </c>
      <c r="AM71" t="e" cm="1">
        <f t="array" aca="1" ref="AM71" ca="1">_xludf.XLOOKUP(G$51,$BV$17:$CD$17,$BV$18:$CD$21)</f>
        <v>#NAME?</v>
      </c>
      <c r="AN71" t="e" cm="1">
        <f t="array" aca="1" ref="AN71" ca="1">_xludf.XLOOKUP(G$51,$BV$29:$CD$29,$BV$30:$CD$33)</f>
        <v>#NAME?</v>
      </c>
      <c r="BU71" t="s">
        <v>148</v>
      </c>
      <c r="BV71" t="s">
        <v>138</v>
      </c>
      <c r="BW71" t="s">
        <v>117</v>
      </c>
      <c r="BX71">
        <v>220</v>
      </c>
      <c r="BY71">
        <v>500</v>
      </c>
      <c r="BZ71">
        <v>180</v>
      </c>
      <c r="CA71">
        <v>300</v>
      </c>
      <c r="CB71">
        <v>320</v>
      </c>
      <c r="CC71">
        <v>320</v>
      </c>
      <c r="CD71">
        <v>210</v>
      </c>
      <c r="CE71">
        <v>340</v>
      </c>
      <c r="CF71">
        <v>340</v>
      </c>
      <c r="CG71">
        <v>340</v>
      </c>
    </row>
    <row r="72" spans="11:85" x14ac:dyDescent="0.2">
      <c r="L72" t="s">
        <v>119</v>
      </c>
      <c r="P72" t="e" cm="1">
        <f t="array" aca="1" ref="P72" ca="1">_xludf.XLOOKUP(K$31,$BX$169:$CG$169,_xludf.XLOOKUP($D$11,$BW$170:$BW$176,$BX$170:$CG$176))</f>
        <v>#NAME?</v>
      </c>
      <c r="Q72" t="e">
        <f t="shared" ca="1" si="16"/>
        <v>#NAME?</v>
      </c>
      <c r="R72">
        <v>0</v>
      </c>
      <c r="S72">
        <v>1</v>
      </c>
      <c r="T72">
        <f t="shared" si="31"/>
        <v>1</v>
      </c>
      <c r="U72">
        <f t="shared" si="32"/>
        <v>1.1000000000000001</v>
      </c>
      <c r="V72">
        <f t="shared" si="33"/>
        <v>1.1000000000000001</v>
      </c>
      <c r="W72">
        <v>0</v>
      </c>
      <c r="X72">
        <f>VLOOKUP($G$11, $CL$17:$CN$25, 3, FALSE)</f>
        <v>4</v>
      </c>
      <c r="Y72">
        <f t="shared" si="17"/>
        <v>4</v>
      </c>
      <c r="Z72">
        <f t="shared" si="26"/>
        <v>-1.0369999999999999</v>
      </c>
      <c r="AA72" t="e">
        <f t="shared" ca="1" si="18"/>
        <v>#NAME?</v>
      </c>
      <c r="AB72">
        <f t="shared" si="19"/>
        <v>1</v>
      </c>
      <c r="AC72">
        <f t="shared" si="20"/>
        <v>1.5446475000000002</v>
      </c>
      <c r="AD72">
        <f t="shared" si="27"/>
        <v>1.3494040560000002</v>
      </c>
      <c r="AE72">
        <f t="shared" si="28"/>
        <v>6.3485466598794263E-5</v>
      </c>
      <c r="AF72">
        <f t="shared" si="29"/>
        <v>7.6008627133350914E-4</v>
      </c>
      <c r="AG72">
        <f t="shared" si="21"/>
        <v>0</v>
      </c>
      <c r="AH72">
        <f t="shared" si="22"/>
        <v>0</v>
      </c>
      <c r="AI72">
        <f t="shared" si="30"/>
        <v>3.5413008729119999E-3</v>
      </c>
      <c r="AJ72">
        <f t="shared" si="23"/>
        <v>0</v>
      </c>
      <c r="AK72" t="e">
        <f t="shared" ca="1" si="24"/>
        <v>#NAME?</v>
      </c>
      <c r="AL72" t="e">
        <f t="shared" ca="1" si="25"/>
        <v>#NAME?</v>
      </c>
      <c r="BW72" t="s">
        <v>119</v>
      </c>
      <c r="BX72">
        <v>110</v>
      </c>
      <c r="BY72">
        <v>550</v>
      </c>
      <c r="BZ72">
        <v>90</v>
      </c>
      <c r="CA72">
        <v>220</v>
      </c>
      <c r="CB72">
        <v>380</v>
      </c>
      <c r="CC72">
        <v>380</v>
      </c>
      <c r="CD72">
        <v>100</v>
      </c>
      <c r="CE72">
        <v>390</v>
      </c>
      <c r="CF72">
        <v>390</v>
      </c>
      <c r="CG72">
        <v>390</v>
      </c>
    </row>
    <row r="73" spans="11:85" x14ac:dyDescent="0.2">
      <c r="L73" t="s">
        <v>120</v>
      </c>
      <c r="P73" t="e" cm="1">
        <f t="array" aca="1" ref="P73" ca="1">_xludf.XLOOKUP(K$31,$BX$169:$CG$169,_xludf.XLOOKUP($D$11,$BW$170:$BW$176,$BX$170:$CG$176))</f>
        <v>#NAME?</v>
      </c>
      <c r="Q73" t="e">
        <f t="shared" ca="1" si="16"/>
        <v>#NAME?</v>
      </c>
      <c r="R73">
        <v>0</v>
      </c>
      <c r="S73">
        <v>0</v>
      </c>
      <c r="T73">
        <f t="shared" si="31"/>
        <v>0</v>
      </c>
      <c r="U73">
        <f t="shared" si="32"/>
        <v>1</v>
      </c>
      <c r="V73">
        <f t="shared" si="33"/>
        <v>1</v>
      </c>
      <c r="W73">
        <v>0</v>
      </c>
      <c r="X73">
        <v>0</v>
      </c>
      <c r="Y73">
        <f t="shared" si="17"/>
        <v>0</v>
      </c>
      <c r="Z73">
        <f t="shared" si="26"/>
        <v>-1.0369999999999999</v>
      </c>
      <c r="AA73" t="e">
        <f t="shared" ca="1" si="18"/>
        <v>#NAME?</v>
      </c>
      <c r="AB73">
        <f t="shared" si="19"/>
        <v>1</v>
      </c>
      <c r="AC73">
        <f t="shared" si="20"/>
        <v>1.4042250000000001</v>
      </c>
      <c r="AD73">
        <f t="shared" si="27"/>
        <v>1.22673096</v>
      </c>
      <c r="AE73">
        <f t="shared" si="28"/>
        <v>5.7714060544358416E-5</v>
      </c>
      <c r="AF73">
        <f t="shared" si="29"/>
        <v>6.9098751939409913E-4</v>
      </c>
      <c r="AG73">
        <f t="shared" si="21"/>
        <v>0</v>
      </c>
      <c r="AH73">
        <f t="shared" si="22"/>
        <v>0</v>
      </c>
      <c r="AI73">
        <f t="shared" si="30"/>
        <v>3.2193644299200004E-3</v>
      </c>
      <c r="AJ73">
        <f t="shared" si="23"/>
        <v>0</v>
      </c>
      <c r="AK73" t="e">
        <f t="shared" ca="1" si="24"/>
        <v>#NAME?</v>
      </c>
      <c r="AL73" t="e">
        <f t="shared" ca="1" si="25"/>
        <v>#NAME?</v>
      </c>
      <c r="BW73" t="s">
        <v>120</v>
      </c>
      <c r="BX73">
        <v>170</v>
      </c>
      <c r="BY73">
        <v>600</v>
      </c>
      <c r="BZ73">
        <v>140</v>
      </c>
      <c r="CA73">
        <v>270</v>
      </c>
      <c r="CB73">
        <v>390</v>
      </c>
      <c r="CC73">
        <v>390</v>
      </c>
      <c r="CD73">
        <v>160</v>
      </c>
      <c r="CE73">
        <v>430</v>
      </c>
      <c r="CF73">
        <v>430</v>
      </c>
      <c r="CG73">
        <v>430</v>
      </c>
    </row>
    <row r="74" spans="11:85" x14ac:dyDescent="0.2">
      <c r="L74" t="s">
        <v>121</v>
      </c>
      <c r="P74" t="e" cm="1">
        <f t="array" aca="1" ref="P74" ca="1">_xludf.XLOOKUP(K$31,$BX$169:$CG$169,_xludf.XLOOKUP($D$11,$BW$170:$BW$176,$BX$170:$CG$176))</f>
        <v>#NAME?</v>
      </c>
      <c r="Q74" t="e">
        <f t="shared" ca="1" si="16"/>
        <v>#NAME?</v>
      </c>
      <c r="R74">
        <v>0</v>
      </c>
      <c r="S74">
        <v>0</v>
      </c>
      <c r="T74">
        <f t="shared" si="31"/>
        <v>0</v>
      </c>
      <c r="U74">
        <f t="shared" si="32"/>
        <v>1</v>
      </c>
      <c r="V74">
        <f t="shared" si="33"/>
        <v>1</v>
      </c>
      <c r="W74">
        <v>0</v>
      </c>
      <c r="X74">
        <v>0</v>
      </c>
      <c r="Y74">
        <f t="shared" si="17"/>
        <v>0</v>
      </c>
      <c r="Z74">
        <f t="shared" si="26"/>
        <v>-1.0369999999999999</v>
      </c>
      <c r="AA74" t="e">
        <f t="shared" ca="1" si="18"/>
        <v>#NAME?</v>
      </c>
      <c r="AB74">
        <f t="shared" si="19"/>
        <v>1</v>
      </c>
      <c r="AC74">
        <f t="shared" si="20"/>
        <v>1.4042250000000001</v>
      </c>
      <c r="AD74">
        <f t="shared" si="27"/>
        <v>1.22673096</v>
      </c>
      <c r="AE74">
        <f t="shared" si="28"/>
        <v>5.7714060544358416E-5</v>
      </c>
      <c r="AF74">
        <f t="shared" si="29"/>
        <v>6.9098751939409913E-4</v>
      </c>
      <c r="AG74">
        <f t="shared" si="21"/>
        <v>0</v>
      </c>
      <c r="AH74">
        <f t="shared" si="22"/>
        <v>0</v>
      </c>
      <c r="AI74">
        <f t="shared" si="30"/>
        <v>3.2193644299200004E-3</v>
      </c>
      <c r="AJ74">
        <f t="shared" si="23"/>
        <v>0</v>
      </c>
      <c r="AK74" t="e">
        <f t="shared" ca="1" si="24"/>
        <v>#NAME?</v>
      </c>
      <c r="AL74" t="e">
        <f t="shared" ca="1" si="25"/>
        <v>#NAME?</v>
      </c>
      <c r="BW74" t="s">
        <v>121</v>
      </c>
      <c r="BX74">
        <v>200</v>
      </c>
      <c r="BY74">
        <v>550</v>
      </c>
      <c r="BZ74">
        <v>150</v>
      </c>
      <c r="CA74">
        <v>280</v>
      </c>
      <c r="CB74">
        <v>350</v>
      </c>
      <c r="CC74">
        <v>350</v>
      </c>
      <c r="CD74">
        <v>190</v>
      </c>
      <c r="CE74">
        <v>400</v>
      </c>
      <c r="CF74">
        <v>400</v>
      </c>
      <c r="CG74">
        <v>400</v>
      </c>
    </row>
    <row r="75" spans="11:85" x14ac:dyDescent="0.2">
      <c r="K75" t="s">
        <v>164</v>
      </c>
      <c r="L75" t="s">
        <v>117</v>
      </c>
      <c r="M75">
        <v>200</v>
      </c>
      <c r="N75" t="e" cm="1">
        <f t="array" aca="1" ref="N75" ca="1">_xludf.XLOOKUP(K75, $BX$46:$CG$46, $BX$47:$CG$50)</f>
        <v>#NAME?</v>
      </c>
      <c r="O75" t="e" cm="1">
        <f t="array" aca="1" ref="O75" ca="1">_xludf.XLOOKUP(K75, $BX$106:$CG$106, $BX$107:$CG$110)</f>
        <v>#NAME?</v>
      </c>
      <c r="P75" t="e" cm="1">
        <f t="array" aca="1" ref="P75" ca="1">_xludf.XLOOKUP(K$35,$BX$169:$CG$169,_xludf.XLOOKUP($D$11,$BW$170:$BW$176,$BX$170:$CG$176))</f>
        <v>#NAME?</v>
      </c>
      <c r="Q75" t="e">
        <f t="shared" ref="Q75:Q106" ca="1" si="34">N75/P75</f>
        <v>#NAME?</v>
      </c>
      <c r="S75">
        <v>0</v>
      </c>
      <c r="T75">
        <f t="shared" si="31"/>
        <v>0</v>
      </c>
      <c r="V75">
        <v>1</v>
      </c>
      <c r="W75">
        <f>VLOOKUP($G$51, $CL$17:$CN$25, 2, FALSE)</f>
        <v>6</v>
      </c>
      <c r="X75">
        <v>0</v>
      </c>
      <c r="Y75">
        <f t="shared" ref="Y75:Y106" si="35">T75*X75</f>
        <v>0</v>
      </c>
      <c r="Z75" t="e">
        <f t="shared" ca="1" si="26"/>
        <v>#NAME?</v>
      </c>
      <c r="AA75" t="e">
        <f t="shared" ref="AA75:AA106" ca="1" si="36">(0.032 * Y75 /6.38) + ((0.212 - 0.008 * (AB75 - 2) - ((0.14 - 0.008 * (AB75 - 2)) / (1 + EXP(-6 * (Q75 - 0.4))))) * (O75 * 0.92)) / 6.25</f>
        <v>#NAME?</v>
      </c>
      <c r="AB75" t="e">
        <f t="shared" ref="AB75:AB106" ca="1" si="37">AC75 / ((1.185 + 0.00454 * N75 - 0.0000026 * N75 ^ 2 ) ^ 2 * V75)</f>
        <v>#NAME?</v>
      </c>
      <c r="AC75" t="e">
        <f t="shared" ref="AC75:AC106" ca="1" si="38">(1.185 + 0.00454 * N75 - 0.0000026 * N75^2 + 0.315 * O75)^2 * V75</f>
        <v>#NAME?</v>
      </c>
      <c r="AD75" t="e">
        <f t="shared" ca="1" si="27"/>
        <v>#NAME?</v>
      </c>
      <c r="AE75" t="e">
        <f t="shared" ca="1" si="28"/>
        <v>#NAME?</v>
      </c>
      <c r="AF75" t="e">
        <f t="shared" ca="1" si="29"/>
        <v>#NAME?</v>
      </c>
      <c r="AG75" t="e">
        <f t="shared" ref="AG75:AG106" ca="1" si="39">M75*AE75*91.25</f>
        <v>#NAME?</v>
      </c>
      <c r="AH75" t="e">
        <f t="shared" ref="AH75:AH106" ca="1" si="40">M75*AF75*91.25</f>
        <v>#NAME?</v>
      </c>
      <c r="AI75" t="e">
        <f t="shared" ca="1" si="30"/>
        <v>#NAME?</v>
      </c>
      <c r="AJ75" t="e">
        <f t="shared" ref="AJ75:AJ106" ca="1" si="41">M75*AI75*91.25</f>
        <v>#NAME?</v>
      </c>
      <c r="AK75" t="e">
        <f t="shared" ref="AK75:AK106" ca="1" si="42">(AC75 * $AN75 / 6.25) + (0.032 * W75 / 6.38) - AA75 - AI75 - ((1.1 * (10 ^ -4) * (N75 ^ 0.75)) / 6.25)</f>
        <v>#NAME?</v>
      </c>
      <c r="AL75" t="e">
        <f t="shared" ref="AL75:AL106" ca="1" si="43">M75*AK75*91.25</f>
        <v>#NAME?</v>
      </c>
      <c r="AM75" t="e" cm="1">
        <f t="array" aca="1" ref="AM75" ca="1">_xludf.XLOOKUP(G$51,$BV$17:$CD$17,$BV$18:$CD$21)</f>
        <v>#NAME?</v>
      </c>
      <c r="AN75" t="e" cm="1">
        <f t="array" aca="1" ref="AN75" ca="1">_xludf.XLOOKUP(G$51,$BV$29:$CD$29,$BV$30:$CD$33)</f>
        <v>#NAME?</v>
      </c>
      <c r="BU75" t="s">
        <v>131</v>
      </c>
      <c r="BV75" t="s">
        <v>160</v>
      </c>
      <c r="BW75" t="s">
        <v>117</v>
      </c>
      <c r="BX75">
        <v>220</v>
      </c>
      <c r="BY75">
        <v>706</v>
      </c>
      <c r="BZ75">
        <v>208</v>
      </c>
      <c r="CA75">
        <v>323</v>
      </c>
      <c r="CB75">
        <v>415</v>
      </c>
      <c r="CC75">
        <v>467</v>
      </c>
      <c r="CD75">
        <v>223</v>
      </c>
      <c r="CE75">
        <v>371</v>
      </c>
      <c r="CF75">
        <v>493</v>
      </c>
      <c r="CG75">
        <v>585</v>
      </c>
    </row>
    <row r="76" spans="11:85" x14ac:dyDescent="0.2">
      <c r="L76" t="s">
        <v>119</v>
      </c>
      <c r="M76">
        <v>130</v>
      </c>
      <c r="P76" t="e" cm="1">
        <f t="array" aca="1" ref="P76" ca="1">_xludf.XLOOKUP(K$35,$BX$169:$CG$169,_xludf.XLOOKUP($D$11,$BW$170:$BW$176,$BX$170:$CG$176))</f>
        <v>#NAME?</v>
      </c>
      <c r="Q76" t="e">
        <f t="shared" ca="1" si="34"/>
        <v>#NAME?</v>
      </c>
      <c r="T76">
        <f t="shared" si="31"/>
        <v>0</v>
      </c>
      <c r="V76">
        <v>1</v>
      </c>
      <c r="W76">
        <f>VLOOKUP($G$51, $CL$17:$CN$25, 3, FALSE)</f>
        <v>4</v>
      </c>
      <c r="X76">
        <v>0</v>
      </c>
      <c r="Y76">
        <f t="shared" si="35"/>
        <v>0</v>
      </c>
      <c r="Z76">
        <f t="shared" si="26"/>
        <v>-1.0369999999999999</v>
      </c>
      <c r="AA76" t="e">
        <f t="shared" ca="1" si="36"/>
        <v>#NAME?</v>
      </c>
      <c r="AB76">
        <f t="shared" si="37"/>
        <v>1</v>
      </c>
      <c r="AC76">
        <f t="shared" si="38"/>
        <v>1.4042250000000001</v>
      </c>
      <c r="AD76">
        <f t="shared" si="27"/>
        <v>1.22673096</v>
      </c>
      <c r="AE76">
        <f t="shared" si="28"/>
        <v>5.7714060544358416E-5</v>
      </c>
      <c r="AF76">
        <f t="shared" si="29"/>
        <v>6.9098751939409913E-4</v>
      </c>
      <c r="AG76">
        <f t="shared" si="39"/>
        <v>0.68463304320745177</v>
      </c>
      <c r="AH76">
        <f t="shared" si="40"/>
        <v>8.1968394488125007</v>
      </c>
      <c r="AI76">
        <f t="shared" si="30"/>
        <v>4.824380103901192E-3</v>
      </c>
      <c r="AJ76">
        <f t="shared" si="41"/>
        <v>57.229208982527886</v>
      </c>
      <c r="AK76" t="e">
        <f t="shared" ca="1" si="42"/>
        <v>#NAME?</v>
      </c>
      <c r="AL76" t="e">
        <f t="shared" ca="1" si="43"/>
        <v>#NAME?</v>
      </c>
      <c r="BW76" t="s">
        <v>119</v>
      </c>
      <c r="BX76">
        <v>110</v>
      </c>
      <c r="BY76">
        <v>703</v>
      </c>
      <c r="BZ76">
        <v>112</v>
      </c>
      <c r="CA76">
        <v>256</v>
      </c>
      <c r="CB76">
        <v>368</v>
      </c>
      <c r="CC76">
        <v>465</v>
      </c>
      <c r="CD76">
        <v>108</v>
      </c>
      <c r="CE76">
        <v>280</v>
      </c>
      <c r="CF76">
        <v>421</v>
      </c>
      <c r="CG76">
        <v>543</v>
      </c>
    </row>
    <row r="77" spans="11:85" x14ac:dyDescent="0.2">
      <c r="L77" t="s">
        <v>120</v>
      </c>
      <c r="M77">
        <v>250</v>
      </c>
      <c r="P77" t="e" cm="1">
        <f t="array" aca="1" ref="P77" ca="1">_xludf.XLOOKUP(K$35,$BX$169:$CG$169,_xludf.XLOOKUP($D$11,$BW$170:$BW$176,$BX$170:$CG$176))</f>
        <v>#NAME?</v>
      </c>
      <c r="Q77" t="e">
        <f t="shared" ca="1" si="34"/>
        <v>#NAME?</v>
      </c>
      <c r="T77">
        <f t="shared" si="31"/>
        <v>0</v>
      </c>
      <c r="V77">
        <v>1</v>
      </c>
      <c r="W77">
        <v>0</v>
      </c>
      <c r="X77">
        <v>0</v>
      </c>
      <c r="Y77">
        <f t="shared" si="35"/>
        <v>0</v>
      </c>
      <c r="Z77">
        <f t="shared" si="26"/>
        <v>-1.0369999999999999</v>
      </c>
      <c r="AA77" t="e">
        <f t="shared" ca="1" si="36"/>
        <v>#NAME?</v>
      </c>
      <c r="AB77">
        <f t="shared" si="37"/>
        <v>1</v>
      </c>
      <c r="AC77">
        <f t="shared" si="38"/>
        <v>1.4042250000000001</v>
      </c>
      <c r="AD77">
        <f t="shared" si="27"/>
        <v>1.22673096</v>
      </c>
      <c r="AE77">
        <f t="shared" si="28"/>
        <v>5.7714060544358416E-5</v>
      </c>
      <c r="AF77">
        <f t="shared" si="29"/>
        <v>6.9098751939409913E-4</v>
      </c>
      <c r="AG77">
        <f t="shared" si="39"/>
        <v>1.3166020061681765</v>
      </c>
      <c r="AH77">
        <f t="shared" si="40"/>
        <v>15.763152786177885</v>
      </c>
      <c r="AI77">
        <f t="shared" si="30"/>
        <v>3.2193644299200004E-3</v>
      </c>
      <c r="AJ77">
        <f t="shared" si="41"/>
        <v>73.441751057550007</v>
      </c>
      <c r="AK77" t="e">
        <f t="shared" ca="1" si="42"/>
        <v>#NAME?</v>
      </c>
      <c r="AL77" t="e">
        <f t="shared" ca="1" si="43"/>
        <v>#NAME?</v>
      </c>
      <c r="BW77" t="s">
        <v>120</v>
      </c>
      <c r="BX77">
        <v>170</v>
      </c>
      <c r="BY77">
        <v>721</v>
      </c>
      <c r="BZ77">
        <v>169</v>
      </c>
      <c r="CA77">
        <v>306</v>
      </c>
      <c r="CB77">
        <v>392</v>
      </c>
      <c r="CC77">
        <v>464</v>
      </c>
      <c r="CD77">
        <v>176</v>
      </c>
      <c r="CE77">
        <v>339</v>
      </c>
      <c r="CF77">
        <v>470</v>
      </c>
      <c r="CG77">
        <v>580</v>
      </c>
    </row>
    <row r="78" spans="11:85" x14ac:dyDescent="0.2">
      <c r="L78" t="s">
        <v>121</v>
      </c>
      <c r="M78">
        <v>150</v>
      </c>
      <c r="P78" t="e" cm="1">
        <f t="array" aca="1" ref="P78" ca="1">_xludf.XLOOKUP(K$35,$BX$169:$CG$169,_xludf.XLOOKUP($D$11,$BW$170:$BW$176,$BX$170:$CG$176))</f>
        <v>#NAME?</v>
      </c>
      <c r="Q78" t="e">
        <f t="shared" ca="1" si="34"/>
        <v>#NAME?</v>
      </c>
      <c r="T78">
        <f t="shared" si="31"/>
        <v>0</v>
      </c>
      <c r="V78">
        <v>1</v>
      </c>
      <c r="W78">
        <v>0</v>
      </c>
      <c r="X78">
        <v>0</v>
      </c>
      <c r="Y78">
        <f t="shared" si="35"/>
        <v>0</v>
      </c>
      <c r="Z78">
        <f t="shared" si="26"/>
        <v>-1.0369999999999999</v>
      </c>
      <c r="AA78" t="e">
        <f t="shared" ca="1" si="36"/>
        <v>#NAME?</v>
      </c>
      <c r="AB78">
        <f t="shared" si="37"/>
        <v>1</v>
      </c>
      <c r="AC78">
        <f t="shared" si="38"/>
        <v>1.4042250000000001</v>
      </c>
      <c r="AD78">
        <f t="shared" si="27"/>
        <v>1.22673096</v>
      </c>
      <c r="AE78">
        <f t="shared" si="28"/>
        <v>5.7714060544358416E-5</v>
      </c>
      <c r="AF78">
        <f t="shared" si="29"/>
        <v>6.9098751939409913E-4</v>
      </c>
      <c r="AG78">
        <f t="shared" si="39"/>
        <v>0.78996120370090595</v>
      </c>
      <c r="AH78">
        <f t="shared" si="40"/>
        <v>9.457891671706733</v>
      </c>
      <c r="AI78">
        <f t="shared" si="30"/>
        <v>3.2193644299200004E-3</v>
      </c>
      <c r="AJ78">
        <f t="shared" si="41"/>
        <v>44.065050634530003</v>
      </c>
      <c r="AK78" t="e">
        <f t="shared" ca="1" si="42"/>
        <v>#NAME?</v>
      </c>
      <c r="AL78" t="e">
        <f t="shared" ca="1" si="43"/>
        <v>#NAME?</v>
      </c>
      <c r="BW78" t="s">
        <v>121</v>
      </c>
      <c r="BX78">
        <v>200</v>
      </c>
      <c r="BY78">
        <v>727</v>
      </c>
      <c r="BZ78">
        <v>211</v>
      </c>
      <c r="CA78">
        <v>338</v>
      </c>
      <c r="CB78">
        <v>432</v>
      </c>
      <c r="CC78">
        <v>492</v>
      </c>
      <c r="CD78">
        <v>222</v>
      </c>
      <c r="CE78">
        <v>377</v>
      </c>
      <c r="CF78">
        <v>498</v>
      </c>
      <c r="CG78">
        <v>590</v>
      </c>
    </row>
    <row r="79" spans="11:85" x14ac:dyDescent="0.2">
      <c r="K79" t="s">
        <v>169</v>
      </c>
      <c r="L79" t="s">
        <v>117</v>
      </c>
      <c r="N79" t="e" cm="1">
        <f t="array" aca="1" ref="N79" ca="1">_xludf.XLOOKUP(K79, $BX$46:$CG$46, $BX$47:$CG$50)</f>
        <v>#NAME?</v>
      </c>
      <c r="O79" t="e" cm="1">
        <f t="array" aca="1" ref="O79" ca="1">_xludf.XLOOKUP(K79, $BX$106:$CG$106, $BX$107:$CG$110)</f>
        <v>#NAME?</v>
      </c>
      <c r="P79" t="e" cm="1">
        <f t="array" aca="1" ref="P79" ca="1">_xludf.XLOOKUP(K$39,$BX$169:$CG$169,_xludf.XLOOKUP($D$11,$BW$170:$BW$176,$BX$170:$CG$176))</f>
        <v>#NAME?</v>
      </c>
      <c r="Q79" t="e">
        <f t="shared" ca="1" si="34"/>
        <v>#NAME?</v>
      </c>
      <c r="T79">
        <f t="shared" si="31"/>
        <v>0</v>
      </c>
      <c r="V79">
        <v>1</v>
      </c>
      <c r="W79">
        <v>0</v>
      </c>
      <c r="X79">
        <v>0</v>
      </c>
      <c r="Y79">
        <f t="shared" si="35"/>
        <v>0</v>
      </c>
      <c r="Z79" t="e">
        <f t="shared" ca="1" si="26"/>
        <v>#NAME?</v>
      </c>
      <c r="AA79" t="e">
        <f t="shared" ca="1" si="36"/>
        <v>#NAME?</v>
      </c>
      <c r="AB79" t="e">
        <f t="shared" ca="1" si="37"/>
        <v>#NAME?</v>
      </c>
      <c r="AC79" t="e">
        <f t="shared" ca="1" si="38"/>
        <v>#NAME?</v>
      </c>
      <c r="AD79" t="e">
        <f t="shared" ca="1" si="27"/>
        <v>#NAME?</v>
      </c>
      <c r="AE79" t="e">
        <f t="shared" ca="1" si="28"/>
        <v>#NAME?</v>
      </c>
      <c r="AF79" t="e">
        <f t="shared" ca="1" si="29"/>
        <v>#NAME?</v>
      </c>
      <c r="AG79" t="e">
        <f t="shared" ca="1" si="39"/>
        <v>#NAME?</v>
      </c>
      <c r="AH79" t="e">
        <f t="shared" ca="1" si="40"/>
        <v>#NAME?</v>
      </c>
      <c r="AI79" t="e">
        <f t="shared" ca="1" si="30"/>
        <v>#NAME?</v>
      </c>
      <c r="AJ79" t="e">
        <f t="shared" ca="1" si="41"/>
        <v>#NAME?</v>
      </c>
      <c r="AK79" t="e">
        <f t="shared" ca="1" si="42"/>
        <v>#NAME?</v>
      </c>
      <c r="AL79" t="e">
        <f t="shared" ca="1" si="43"/>
        <v>#NAME?</v>
      </c>
      <c r="AM79" t="e" cm="1">
        <f t="array" aca="1" ref="AM79" ca="1">_xludf.XLOOKUP(G$51,$BV$17:$CD$17,$BV$18:$CD$21)</f>
        <v>#NAME?</v>
      </c>
      <c r="AN79" t="e" cm="1">
        <f t="array" aca="1" ref="AN79" ca="1">_xludf.XLOOKUP(G$51,$BV$29:$CD$29,$BV$30:$CD$33)</f>
        <v>#NAME?</v>
      </c>
      <c r="BU79" t="s">
        <v>131</v>
      </c>
      <c r="BV79" t="s">
        <v>162</v>
      </c>
      <c r="BW79" t="s">
        <v>117</v>
      </c>
      <c r="BX79">
        <v>220</v>
      </c>
      <c r="BY79">
        <v>620</v>
      </c>
      <c r="BZ79">
        <v>227</v>
      </c>
      <c r="CA79">
        <v>319</v>
      </c>
      <c r="CB79">
        <v>398</v>
      </c>
      <c r="CC79">
        <v>452</v>
      </c>
      <c r="CD79">
        <v>216</v>
      </c>
      <c r="CE79">
        <v>334</v>
      </c>
      <c r="CF79" t="s">
        <v>181</v>
      </c>
      <c r="CG79" t="s">
        <v>181</v>
      </c>
    </row>
    <row r="80" spans="11:85" x14ac:dyDescent="0.2">
      <c r="L80" t="s">
        <v>119</v>
      </c>
      <c r="P80" t="e" cm="1">
        <f t="array" aca="1" ref="P80" ca="1">_xludf.XLOOKUP(K$39,$BX$169:$CG$169,_xludf.XLOOKUP($D$11,$BW$170:$BW$176,$BX$170:$CG$176))</f>
        <v>#NAME?</v>
      </c>
      <c r="Q80" t="e">
        <f t="shared" ca="1" si="34"/>
        <v>#NAME?</v>
      </c>
      <c r="T80">
        <f t="shared" si="31"/>
        <v>0</v>
      </c>
      <c r="V80">
        <v>1</v>
      </c>
      <c r="W80">
        <v>0</v>
      </c>
      <c r="X80">
        <v>0</v>
      </c>
      <c r="Y80">
        <f t="shared" si="35"/>
        <v>0</v>
      </c>
      <c r="Z80">
        <f t="shared" si="26"/>
        <v>-1.0369999999999999</v>
      </c>
      <c r="AA80" t="e">
        <f t="shared" ca="1" si="36"/>
        <v>#NAME?</v>
      </c>
      <c r="AB80">
        <f t="shared" si="37"/>
        <v>1</v>
      </c>
      <c r="AC80">
        <f t="shared" si="38"/>
        <v>1.4042250000000001</v>
      </c>
      <c r="AD80">
        <f t="shared" si="27"/>
        <v>1.22673096</v>
      </c>
      <c r="AE80">
        <f t="shared" si="28"/>
        <v>5.7714060544358416E-5</v>
      </c>
      <c r="AF80">
        <f t="shared" si="29"/>
        <v>6.9098751939409913E-4</v>
      </c>
      <c r="AG80">
        <f t="shared" si="39"/>
        <v>0</v>
      </c>
      <c r="AH80">
        <f t="shared" si="40"/>
        <v>0</v>
      </c>
      <c r="AI80">
        <f t="shared" si="30"/>
        <v>3.2193644299200004E-3</v>
      </c>
      <c r="AJ80">
        <f t="shared" si="41"/>
        <v>0</v>
      </c>
      <c r="AK80" t="e">
        <f t="shared" ca="1" si="42"/>
        <v>#NAME?</v>
      </c>
      <c r="AL80" t="e">
        <f t="shared" ca="1" si="43"/>
        <v>#NAME?</v>
      </c>
      <c r="BW80" t="s">
        <v>119</v>
      </c>
      <c r="BX80">
        <v>110</v>
      </c>
      <c r="BY80">
        <v>650</v>
      </c>
      <c r="BZ80">
        <v>108</v>
      </c>
      <c r="CA80">
        <v>262</v>
      </c>
      <c r="CB80">
        <v>346</v>
      </c>
      <c r="CC80">
        <v>430</v>
      </c>
      <c r="CD80">
        <v>111</v>
      </c>
      <c r="CE80">
        <v>236</v>
      </c>
      <c r="CF80" t="s">
        <v>181</v>
      </c>
      <c r="CG80" t="s">
        <v>181</v>
      </c>
    </row>
    <row r="81" spans="1:85" x14ac:dyDescent="0.2">
      <c r="L81" t="s">
        <v>120</v>
      </c>
      <c r="P81" t="e" cm="1">
        <f t="array" aca="1" ref="P81" ca="1">_xludf.XLOOKUP(K$39,$BX$169:$CG$169,_xludf.XLOOKUP($D$11,$BW$170:$BW$176,$BX$170:$CG$176))</f>
        <v>#NAME?</v>
      </c>
      <c r="Q81" t="e">
        <f t="shared" ca="1" si="34"/>
        <v>#NAME?</v>
      </c>
      <c r="T81">
        <f t="shared" si="31"/>
        <v>0</v>
      </c>
      <c r="V81">
        <v>1</v>
      </c>
      <c r="W81">
        <v>0</v>
      </c>
      <c r="X81">
        <v>0</v>
      </c>
      <c r="Y81">
        <f t="shared" si="35"/>
        <v>0</v>
      </c>
      <c r="Z81">
        <f t="shared" si="26"/>
        <v>-1.0369999999999999</v>
      </c>
      <c r="AA81" t="e">
        <f t="shared" ca="1" si="36"/>
        <v>#NAME?</v>
      </c>
      <c r="AB81">
        <f t="shared" si="37"/>
        <v>1</v>
      </c>
      <c r="AC81">
        <f t="shared" si="38"/>
        <v>1.4042250000000001</v>
      </c>
      <c r="AD81">
        <f t="shared" si="27"/>
        <v>1.22673096</v>
      </c>
      <c r="AE81">
        <f t="shared" si="28"/>
        <v>5.7714060544358416E-5</v>
      </c>
      <c r="AF81">
        <f t="shared" si="29"/>
        <v>6.9098751939409913E-4</v>
      </c>
      <c r="AG81">
        <f t="shared" si="39"/>
        <v>0</v>
      </c>
      <c r="AH81">
        <f t="shared" si="40"/>
        <v>0</v>
      </c>
      <c r="AI81">
        <f t="shared" si="30"/>
        <v>3.2193644299200004E-3</v>
      </c>
      <c r="AJ81">
        <f t="shared" si="41"/>
        <v>0</v>
      </c>
      <c r="AK81" t="e">
        <f t="shared" ca="1" si="42"/>
        <v>#NAME?</v>
      </c>
      <c r="AL81" t="e">
        <f t="shared" ca="1" si="43"/>
        <v>#NAME?</v>
      </c>
      <c r="BW81" t="s">
        <v>120</v>
      </c>
      <c r="BX81">
        <v>170</v>
      </c>
      <c r="BY81">
        <v>670</v>
      </c>
      <c r="BZ81">
        <v>170</v>
      </c>
      <c r="CA81">
        <v>266</v>
      </c>
      <c r="CB81">
        <v>363</v>
      </c>
      <c r="CC81">
        <v>444</v>
      </c>
      <c r="CD81">
        <v>169</v>
      </c>
      <c r="CE81">
        <v>282</v>
      </c>
      <c r="CF81" t="s">
        <v>181</v>
      </c>
      <c r="CG81" t="s">
        <v>181</v>
      </c>
    </row>
    <row r="82" spans="1:85" x14ac:dyDescent="0.2">
      <c r="L82" t="s">
        <v>121</v>
      </c>
      <c r="P82" t="e" cm="1">
        <f t="array" aca="1" ref="P82" ca="1">_xludf.XLOOKUP(K$39,$BX$169:$CG$169,_xludf.XLOOKUP($D$11,$BW$170:$BW$176,$BX$170:$CG$176))</f>
        <v>#NAME?</v>
      </c>
      <c r="Q82" t="e">
        <f t="shared" ca="1" si="34"/>
        <v>#NAME?</v>
      </c>
      <c r="T82">
        <f t="shared" si="31"/>
        <v>0</v>
      </c>
      <c r="V82">
        <v>1</v>
      </c>
      <c r="W82">
        <v>0</v>
      </c>
      <c r="X82">
        <v>0</v>
      </c>
      <c r="Y82">
        <f t="shared" si="35"/>
        <v>0</v>
      </c>
      <c r="Z82">
        <f t="shared" si="26"/>
        <v>-1.0369999999999999</v>
      </c>
      <c r="AA82" t="e">
        <f t="shared" ca="1" si="36"/>
        <v>#NAME?</v>
      </c>
      <c r="AB82">
        <f t="shared" si="37"/>
        <v>1</v>
      </c>
      <c r="AC82">
        <f t="shared" si="38"/>
        <v>1.4042250000000001</v>
      </c>
      <c r="AD82">
        <f t="shared" si="27"/>
        <v>1.22673096</v>
      </c>
      <c r="AE82">
        <f t="shared" si="28"/>
        <v>5.7714060544358416E-5</v>
      </c>
      <c r="AF82">
        <f t="shared" si="29"/>
        <v>6.9098751939409913E-4</v>
      </c>
      <c r="AG82">
        <f t="shared" si="39"/>
        <v>0</v>
      </c>
      <c r="AH82">
        <f t="shared" si="40"/>
        <v>0</v>
      </c>
      <c r="AI82">
        <f t="shared" si="30"/>
        <v>3.2193644299200004E-3</v>
      </c>
      <c r="AJ82">
        <f t="shared" si="41"/>
        <v>0</v>
      </c>
      <c r="AK82" t="e">
        <f t="shared" ca="1" si="42"/>
        <v>#NAME?</v>
      </c>
      <c r="AL82" t="e">
        <f t="shared" ca="1" si="43"/>
        <v>#NAME?</v>
      </c>
      <c r="BW82" t="s">
        <v>121</v>
      </c>
      <c r="BX82">
        <v>200</v>
      </c>
      <c r="BY82">
        <v>660</v>
      </c>
      <c r="BZ82">
        <v>225</v>
      </c>
      <c r="CA82">
        <v>307</v>
      </c>
      <c r="CB82">
        <v>398</v>
      </c>
      <c r="CC82">
        <v>452</v>
      </c>
      <c r="CD82">
        <v>214</v>
      </c>
      <c r="CE82">
        <v>326</v>
      </c>
      <c r="CF82" t="s">
        <v>181</v>
      </c>
      <c r="CG82" t="s">
        <v>181</v>
      </c>
    </row>
    <row r="83" spans="1:85" x14ac:dyDescent="0.2">
      <c r="K83" t="s">
        <v>171</v>
      </c>
      <c r="L83" t="s">
        <v>117</v>
      </c>
      <c r="N83" t="e" cm="1">
        <f t="array" aca="1" ref="N83" ca="1">_xludf.XLOOKUP(K83, $BX$46:$CG$46, $BX$47:$CG$50)</f>
        <v>#NAME?</v>
      </c>
      <c r="O83" t="e" cm="1">
        <f t="array" aca="1" ref="O83" ca="1">_xludf.XLOOKUP(K83, $BX$106:$CG$106, $BX$107:$CG$110)</f>
        <v>#NAME?</v>
      </c>
      <c r="P83" t="e" cm="1">
        <f t="array" aca="1" ref="P83" ca="1">_xludf.XLOOKUP(K$43,$BX$169:$CG$169,_xludf.XLOOKUP($D$11,$BW$170:$BW$176,$BX$170:$CG$176))</f>
        <v>#NAME?</v>
      </c>
      <c r="Q83" t="e">
        <f t="shared" ca="1" si="34"/>
        <v>#NAME?</v>
      </c>
      <c r="T83">
        <f t="shared" si="31"/>
        <v>0</v>
      </c>
      <c r="V83">
        <v>1</v>
      </c>
      <c r="W83">
        <v>0</v>
      </c>
      <c r="X83">
        <v>0</v>
      </c>
      <c r="Y83">
        <f t="shared" si="35"/>
        <v>0</v>
      </c>
      <c r="Z83" t="e">
        <f t="shared" ref="Z83:Z114" ca="1" si="44">0.1604 * ($AM83*100) - 1.037</f>
        <v>#NAME?</v>
      </c>
      <c r="AA83" t="e">
        <f t="shared" ca="1" si="36"/>
        <v>#NAME?</v>
      </c>
      <c r="AB83" t="e">
        <f t="shared" ca="1" si="37"/>
        <v>#NAME?</v>
      </c>
      <c r="AC83" t="e">
        <f t="shared" ca="1" si="38"/>
        <v>#NAME?</v>
      </c>
      <c r="AD83" t="e">
        <f t="shared" ca="1" si="27"/>
        <v>#NAME?</v>
      </c>
      <c r="AE83" t="e">
        <f t="shared" ca="1" si="28"/>
        <v>#NAME?</v>
      </c>
      <c r="AF83" t="e">
        <f t="shared" ca="1" si="29"/>
        <v>#NAME?</v>
      </c>
      <c r="AG83" t="e">
        <f t="shared" ca="1" si="39"/>
        <v>#NAME?</v>
      </c>
      <c r="AH83" t="e">
        <f t="shared" ca="1" si="40"/>
        <v>#NAME?</v>
      </c>
      <c r="AI83" t="e">
        <f t="shared" ref="AI83:AI114" ca="1" si="45">((0.3 * AC83 * $AN83 * (1 - ($AM83 + 0.1)) + (0.105 * $Z83 * $AC83 * 0.008) + (0.0152 * $AC83)) / 6.25) + (0.08 * 0.032 * $W83 / 6.38)</f>
        <v>#NAME?</v>
      </c>
      <c r="AJ83" t="e">
        <f t="shared" ca="1" si="41"/>
        <v>#NAME?</v>
      </c>
      <c r="AK83" t="e">
        <f t="shared" ca="1" si="42"/>
        <v>#NAME?</v>
      </c>
      <c r="AL83" t="e">
        <f t="shared" ca="1" si="43"/>
        <v>#NAME?</v>
      </c>
      <c r="AM83" t="e" cm="1">
        <f t="array" aca="1" ref="AM83" ca="1">_xludf.XLOOKUP(G$51,$BV$17:$CD$17,$BV$18:$CD$21)</f>
        <v>#NAME?</v>
      </c>
      <c r="AN83" t="e" cm="1">
        <f t="array" aca="1" ref="AN83" ca="1">_xludf.XLOOKUP(G$51,$BV$29:$CD$29,$BV$30:$CD$33)</f>
        <v>#NAME?</v>
      </c>
      <c r="BU83" t="s">
        <v>131</v>
      </c>
      <c r="BV83" t="s">
        <v>163</v>
      </c>
      <c r="BW83" t="s">
        <v>117</v>
      </c>
      <c r="BX83">
        <v>220</v>
      </c>
      <c r="BY83">
        <v>620</v>
      </c>
      <c r="BZ83">
        <v>177</v>
      </c>
      <c r="CA83">
        <v>267</v>
      </c>
      <c r="CB83">
        <v>365</v>
      </c>
      <c r="CC83">
        <v>406</v>
      </c>
      <c r="CD83">
        <v>231</v>
      </c>
      <c r="CE83">
        <v>249</v>
      </c>
      <c r="CF83">
        <v>324</v>
      </c>
      <c r="CG83" t="s">
        <v>181</v>
      </c>
    </row>
    <row r="84" spans="1:85" x14ac:dyDescent="0.2">
      <c r="L84" t="s">
        <v>119</v>
      </c>
      <c r="P84" t="e" cm="1">
        <f t="array" aca="1" ref="P84" ca="1">_xludf.XLOOKUP(K$43,$BX$169:$CG$169,_xludf.XLOOKUP($D$11,$BW$170:$BW$176,$BX$170:$CG$176))</f>
        <v>#NAME?</v>
      </c>
      <c r="Q84" t="e">
        <f t="shared" ca="1" si="34"/>
        <v>#NAME?</v>
      </c>
      <c r="T84">
        <f t="shared" si="31"/>
        <v>0</v>
      </c>
      <c r="V84">
        <v>1</v>
      </c>
      <c r="W84">
        <v>0</v>
      </c>
      <c r="X84">
        <v>0</v>
      </c>
      <c r="Y84">
        <f t="shared" si="35"/>
        <v>0</v>
      </c>
      <c r="Z84">
        <f t="shared" si="44"/>
        <v>-1.0369999999999999</v>
      </c>
      <c r="AA84" t="e">
        <f t="shared" ca="1" si="36"/>
        <v>#NAME?</v>
      </c>
      <c r="AB84">
        <f t="shared" si="37"/>
        <v>1</v>
      </c>
      <c r="AC84">
        <f t="shared" si="38"/>
        <v>1.4042250000000001</v>
      </c>
      <c r="AD84">
        <f t="shared" si="27"/>
        <v>1.22673096</v>
      </c>
      <c r="AE84">
        <f t="shared" si="28"/>
        <v>5.7714060544358416E-5</v>
      </c>
      <c r="AF84">
        <f t="shared" si="29"/>
        <v>6.9098751939409913E-4</v>
      </c>
      <c r="AG84">
        <f t="shared" si="39"/>
        <v>0</v>
      </c>
      <c r="AH84">
        <f t="shared" si="40"/>
        <v>0</v>
      </c>
      <c r="AI84">
        <f t="shared" si="45"/>
        <v>3.2193644299200004E-3</v>
      </c>
      <c r="AJ84">
        <f t="shared" si="41"/>
        <v>0</v>
      </c>
      <c r="AK84" t="e">
        <f t="shared" ca="1" si="42"/>
        <v>#NAME?</v>
      </c>
      <c r="AL84" t="e">
        <f t="shared" ca="1" si="43"/>
        <v>#NAME?</v>
      </c>
      <c r="BW84" t="s">
        <v>119</v>
      </c>
      <c r="BX84">
        <v>110</v>
      </c>
      <c r="BY84">
        <v>650</v>
      </c>
      <c r="BZ84">
        <v>102</v>
      </c>
      <c r="CA84">
        <v>203</v>
      </c>
      <c r="CB84">
        <v>299</v>
      </c>
      <c r="CC84">
        <v>380</v>
      </c>
      <c r="CD84">
        <v>102</v>
      </c>
      <c r="CE84">
        <v>218</v>
      </c>
      <c r="CF84">
        <v>263</v>
      </c>
      <c r="CG84" t="s">
        <v>181</v>
      </c>
    </row>
    <row r="85" spans="1:85" x14ac:dyDescent="0.2">
      <c r="L85" t="s">
        <v>120</v>
      </c>
      <c r="P85" t="e" cm="1">
        <f t="array" aca="1" ref="P85" ca="1">_xludf.XLOOKUP(K$43,$BX$169:$CG$169,_xludf.XLOOKUP($D$11,$BW$170:$BW$176,$BX$170:$CG$176))</f>
        <v>#NAME?</v>
      </c>
      <c r="Q85" t="e">
        <f t="shared" ca="1" si="34"/>
        <v>#NAME?</v>
      </c>
      <c r="T85">
        <f t="shared" si="31"/>
        <v>0</v>
      </c>
      <c r="V85">
        <v>1</v>
      </c>
      <c r="W85">
        <v>0</v>
      </c>
      <c r="X85">
        <v>0</v>
      </c>
      <c r="Y85">
        <f t="shared" si="35"/>
        <v>0</v>
      </c>
      <c r="Z85">
        <f t="shared" si="44"/>
        <v>-1.0369999999999999</v>
      </c>
      <c r="AA85" t="e">
        <f t="shared" ca="1" si="36"/>
        <v>#NAME?</v>
      </c>
      <c r="AB85">
        <f t="shared" si="37"/>
        <v>1</v>
      </c>
      <c r="AC85">
        <f t="shared" si="38"/>
        <v>1.4042250000000001</v>
      </c>
      <c r="AD85">
        <f t="shared" si="27"/>
        <v>1.22673096</v>
      </c>
      <c r="AE85">
        <f t="shared" si="28"/>
        <v>5.7714060544358416E-5</v>
      </c>
      <c r="AF85">
        <f t="shared" si="29"/>
        <v>6.9098751939409913E-4</v>
      </c>
      <c r="AG85">
        <f t="shared" si="39"/>
        <v>0</v>
      </c>
      <c r="AH85">
        <f t="shared" si="40"/>
        <v>0</v>
      </c>
      <c r="AI85">
        <f t="shared" si="45"/>
        <v>3.2193644299200004E-3</v>
      </c>
      <c r="AJ85">
        <f t="shared" si="41"/>
        <v>0</v>
      </c>
      <c r="AK85" t="e">
        <f t="shared" ca="1" si="42"/>
        <v>#NAME?</v>
      </c>
      <c r="AL85" t="e">
        <f t="shared" ca="1" si="43"/>
        <v>#NAME?</v>
      </c>
      <c r="BW85" t="s">
        <v>120</v>
      </c>
      <c r="BX85">
        <v>170</v>
      </c>
      <c r="BY85">
        <v>670</v>
      </c>
      <c r="BZ85">
        <v>173</v>
      </c>
      <c r="CA85">
        <v>250</v>
      </c>
      <c r="CB85">
        <v>336</v>
      </c>
      <c r="CC85">
        <v>414</v>
      </c>
      <c r="CD85">
        <v>175</v>
      </c>
      <c r="CE85">
        <v>243</v>
      </c>
      <c r="CF85">
        <v>304</v>
      </c>
      <c r="CG85" t="s">
        <v>181</v>
      </c>
    </row>
    <row r="86" spans="1:85" x14ac:dyDescent="0.2">
      <c r="L86" t="s">
        <v>121</v>
      </c>
      <c r="P86" t="e" cm="1">
        <f t="array" aca="1" ref="P86" ca="1">_xludf.XLOOKUP(K$43,$BX$169:$CG$169,_xludf.XLOOKUP($D$11,$BW$170:$BW$176,$BX$170:$CG$176))</f>
        <v>#NAME?</v>
      </c>
      <c r="Q86" t="e">
        <f t="shared" ca="1" si="34"/>
        <v>#NAME?</v>
      </c>
      <c r="T86">
        <f t="shared" si="31"/>
        <v>0</v>
      </c>
      <c r="V86">
        <v>1</v>
      </c>
      <c r="W86">
        <v>0</v>
      </c>
      <c r="X86">
        <v>0</v>
      </c>
      <c r="Y86">
        <f t="shared" si="35"/>
        <v>0</v>
      </c>
      <c r="Z86">
        <f t="shared" si="44"/>
        <v>-1.0369999999999999</v>
      </c>
      <c r="AA86" t="e">
        <f t="shared" ca="1" si="36"/>
        <v>#NAME?</v>
      </c>
      <c r="AB86">
        <f t="shared" si="37"/>
        <v>1</v>
      </c>
      <c r="AC86">
        <f t="shared" si="38"/>
        <v>1.4042250000000001</v>
      </c>
      <c r="AD86">
        <f t="shared" si="27"/>
        <v>1.22673096</v>
      </c>
      <c r="AE86">
        <f t="shared" si="28"/>
        <v>5.7714060544358416E-5</v>
      </c>
      <c r="AF86">
        <f t="shared" si="29"/>
        <v>6.9098751939409913E-4</v>
      </c>
      <c r="AG86">
        <f t="shared" si="39"/>
        <v>0</v>
      </c>
      <c r="AH86">
        <f t="shared" si="40"/>
        <v>0</v>
      </c>
      <c r="AI86">
        <f t="shared" si="45"/>
        <v>3.2193644299200004E-3</v>
      </c>
      <c r="AJ86">
        <f t="shared" si="41"/>
        <v>0</v>
      </c>
      <c r="AK86" t="e">
        <f t="shared" ca="1" si="42"/>
        <v>#NAME?</v>
      </c>
      <c r="AL86" t="e">
        <f t="shared" ca="1" si="43"/>
        <v>#NAME?</v>
      </c>
      <c r="BW86" t="s">
        <v>121</v>
      </c>
      <c r="BX86">
        <v>200</v>
      </c>
      <c r="BY86">
        <v>660</v>
      </c>
      <c r="BZ86">
        <v>202</v>
      </c>
      <c r="CA86">
        <v>272</v>
      </c>
      <c r="CB86">
        <v>365</v>
      </c>
      <c r="CC86">
        <v>390</v>
      </c>
      <c r="CD86">
        <v>208</v>
      </c>
      <c r="CE86">
        <v>260</v>
      </c>
      <c r="CF86">
        <v>337</v>
      </c>
      <c r="CG86" t="s">
        <v>181</v>
      </c>
    </row>
    <row r="87" spans="1:85" x14ac:dyDescent="0.2">
      <c r="K87" t="s">
        <v>176</v>
      </c>
      <c r="L87" t="s">
        <v>117</v>
      </c>
      <c r="N87" t="e" cm="1">
        <f t="array" aca="1" ref="N87" ca="1">_xludf.XLOOKUP(K87, $BX$46:$CG$46, $BX$47:$CG$50)</f>
        <v>#NAME?</v>
      </c>
      <c r="O87" t="e" cm="1">
        <f t="array" aca="1" ref="O87" ca="1">_xludf.XLOOKUP(K87, $BX$106:$CG$106, $BX$107:$CG$110)</f>
        <v>#NAME?</v>
      </c>
      <c r="P87" t="e" cm="1">
        <f t="array" aca="1" ref="P87" ca="1">_xludf.XLOOKUP(K$47,$BX$169:$CG$169,_xludf.XLOOKUP($D$11,$BW$170:$BW$176,$BX$170:$CG$176))</f>
        <v>#NAME?</v>
      </c>
      <c r="Q87" t="e">
        <f t="shared" ca="1" si="34"/>
        <v>#NAME?</v>
      </c>
      <c r="T87">
        <f t="shared" si="31"/>
        <v>0</v>
      </c>
      <c r="V87">
        <v>1</v>
      </c>
      <c r="W87">
        <v>0</v>
      </c>
      <c r="X87">
        <v>0</v>
      </c>
      <c r="Y87">
        <f t="shared" si="35"/>
        <v>0</v>
      </c>
      <c r="Z87" t="e">
        <f t="shared" ca="1" si="44"/>
        <v>#NAME?</v>
      </c>
      <c r="AA87" t="e">
        <f t="shared" ca="1" si="36"/>
        <v>#NAME?</v>
      </c>
      <c r="AB87" t="e">
        <f t="shared" ca="1" si="37"/>
        <v>#NAME?</v>
      </c>
      <c r="AC87" t="e">
        <f t="shared" ca="1" si="38"/>
        <v>#NAME?</v>
      </c>
      <c r="AD87" t="e">
        <f t="shared" ca="1" si="27"/>
        <v>#NAME?</v>
      </c>
      <c r="AE87" t="e">
        <f t="shared" ca="1" si="28"/>
        <v>#NAME?</v>
      </c>
      <c r="AF87" t="e">
        <f t="shared" ca="1" si="29"/>
        <v>#NAME?</v>
      </c>
      <c r="AG87" t="e">
        <f t="shared" ca="1" si="39"/>
        <v>#NAME?</v>
      </c>
      <c r="AH87" t="e">
        <f t="shared" ca="1" si="40"/>
        <v>#NAME?</v>
      </c>
      <c r="AI87" t="e">
        <f t="shared" ca="1" si="45"/>
        <v>#NAME?</v>
      </c>
      <c r="AJ87" t="e">
        <f t="shared" ca="1" si="41"/>
        <v>#NAME?</v>
      </c>
      <c r="AK87" t="e">
        <f t="shared" ca="1" si="42"/>
        <v>#NAME?</v>
      </c>
      <c r="AL87" t="e">
        <f t="shared" ca="1" si="43"/>
        <v>#NAME?</v>
      </c>
      <c r="AM87" t="e" cm="1">
        <f t="array" aca="1" ref="AM87" ca="1">_xludf.XLOOKUP(G$51,$BV$17:$CD$17,$BV$18:$CD$21)</f>
        <v>#NAME?</v>
      </c>
      <c r="AN87" t="e" cm="1">
        <f t="array" aca="1" ref="AN87" ca="1">_xludf.XLOOKUP(G$51,$BV$29:$CD$29,$BV$30:$CD$33)</f>
        <v>#NAME?</v>
      </c>
      <c r="BU87" t="s">
        <v>182</v>
      </c>
      <c r="BV87" t="s">
        <v>166</v>
      </c>
      <c r="BW87" t="s">
        <v>117</v>
      </c>
      <c r="BX87">
        <v>260</v>
      </c>
      <c r="BY87">
        <v>705</v>
      </c>
      <c r="BZ87">
        <v>215</v>
      </c>
      <c r="CA87">
        <v>302</v>
      </c>
      <c r="CB87">
        <v>416</v>
      </c>
      <c r="CC87">
        <v>519</v>
      </c>
      <c r="CD87">
        <v>234</v>
      </c>
      <c r="CE87">
        <v>455</v>
      </c>
      <c r="CF87">
        <v>551</v>
      </c>
      <c r="CG87">
        <v>660</v>
      </c>
    </row>
    <row r="88" spans="1:85" x14ac:dyDescent="0.2">
      <c r="L88" t="s">
        <v>119</v>
      </c>
      <c r="P88" t="e" cm="1">
        <f t="array" aca="1" ref="P88" ca="1">_xludf.XLOOKUP(K$47,$BX$169:$CG$169,_xludf.XLOOKUP($D$11,$BW$170:$BW$176,$BX$170:$CG$176))</f>
        <v>#NAME?</v>
      </c>
      <c r="Q88" t="e">
        <f t="shared" ca="1" si="34"/>
        <v>#NAME?</v>
      </c>
      <c r="T88">
        <f t="shared" si="31"/>
        <v>0</v>
      </c>
      <c r="V88">
        <v>1</v>
      </c>
      <c r="W88">
        <v>0</v>
      </c>
      <c r="X88">
        <v>0</v>
      </c>
      <c r="Y88">
        <f t="shared" si="35"/>
        <v>0</v>
      </c>
      <c r="Z88">
        <f t="shared" si="44"/>
        <v>-1.0369999999999999</v>
      </c>
      <c r="AA88" t="e">
        <f t="shared" ca="1" si="36"/>
        <v>#NAME?</v>
      </c>
      <c r="AB88">
        <f t="shared" si="37"/>
        <v>1</v>
      </c>
      <c r="AC88">
        <f t="shared" si="38"/>
        <v>1.4042250000000001</v>
      </c>
      <c r="AD88">
        <f t="shared" si="27"/>
        <v>1.22673096</v>
      </c>
      <c r="AE88">
        <f t="shared" si="28"/>
        <v>5.7714060544358416E-5</v>
      </c>
      <c r="AF88">
        <f t="shared" si="29"/>
        <v>6.9098751939409913E-4</v>
      </c>
      <c r="AG88">
        <f t="shared" si="39"/>
        <v>0</v>
      </c>
      <c r="AH88">
        <f t="shared" si="40"/>
        <v>0</v>
      </c>
      <c r="AI88">
        <f t="shared" si="45"/>
        <v>3.2193644299200004E-3</v>
      </c>
      <c r="AJ88">
        <f t="shared" si="41"/>
        <v>0</v>
      </c>
      <c r="AK88" t="e">
        <f t="shared" ca="1" si="42"/>
        <v>#NAME?</v>
      </c>
      <c r="AL88" t="e">
        <f t="shared" ca="1" si="43"/>
        <v>#NAME?</v>
      </c>
      <c r="BW88" t="s">
        <v>119</v>
      </c>
      <c r="BX88">
        <v>153</v>
      </c>
      <c r="BY88">
        <v>703</v>
      </c>
      <c r="BZ88">
        <v>118</v>
      </c>
      <c r="CA88">
        <v>277</v>
      </c>
      <c r="CB88">
        <v>397</v>
      </c>
      <c r="CC88">
        <v>483</v>
      </c>
      <c r="CD88">
        <v>111</v>
      </c>
      <c r="CE88">
        <v>304</v>
      </c>
      <c r="CF88">
        <v>521</v>
      </c>
      <c r="CG88">
        <v>547</v>
      </c>
    </row>
    <row r="89" spans="1:85" x14ac:dyDescent="0.2">
      <c r="L89" t="s">
        <v>120</v>
      </c>
      <c r="P89" t="e" cm="1">
        <f t="array" aca="1" ref="P89" ca="1">_xludf.XLOOKUP(K$47,$BX$169:$CG$169,_xludf.XLOOKUP($D$11,$BW$170:$BW$176,$BX$170:$CG$176))</f>
        <v>#NAME?</v>
      </c>
      <c r="Q89" t="e">
        <f t="shared" ca="1" si="34"/>
        <v>#NAME?</v>
      </c>
      <c r="T89">
        <f t="shared" si="31"/>
        <v>0</v>
      </c>
      <c r="V89">
        <v>1</v>
      </c>
      <c r="W89">
        <v>0</v>
      </c>
      <c r="X89">
        <v>0</v>
      </c>
      <c r="Y89">
        <f t="shared" si="35"/>
        <v>0</v>
      </c>
      <c r="Z89">
        <f t="shared" si="44"/>
        <v>-1.0369999999999999</v>
      </c>
      <c r="AA89" t="e">
        <f t="shared" ca="1" si="36"/>
        <v>#NAME?</v>
      </c>
      <c r="AB89">
        <f t="shared" si="37"/>
        <v>1</v>
      </c>
      <c r="AC89">
        <f t="shared" si="38"/>
        <v>1.4042250000000001</v>
      </c>
      <c r="AD89">
        <f t="shared" si="27"/>
        <v>1.22673096</v>
      </c>
      <c r="AE89">
        <f t="shared" si="28"/>
        <v>5.7714060544358416E-5</v>
      </c>
      <c r="AF89">
        <f t="shared" si="29"/>
        <v>6.9098751939409913E-4</v>
      </c>
      <c r="AG89">
        <f t="shared" si="39"/>
        <v>0</v>
      </c>
      <c r="AH89">
        <f t="shared" si="40"/>
        <v>0</v>
      </c>
      <c r="AI89">
        <f t="shared" si="45"/>
        <v>3.2193644299200004E-3</v>
      </c>
      <c r="AJ89">
        <f t="shared" si="41"/>
        <v>0</v>
      </c>
      <c r="AK89" t="e">
        <f t="shared" ca="1" si="42"/>
        <v>#NAME?</v>
      </c>
      <c r="AL89" t="e">
        <f t="shared" ca="1" si="43"/>
        <v>#NAME?</v>
      </c>
      <c r="BW89" t="s">
        <v>120</v>
      </c>
      <c r="BX89">
        <v>168</v>
      </c>
      <c r="BY89">
        <v>718</v>
      </c>
      <c r="BZ89">
        <v>191</v>
      </c>
      <c r="CA89">
        <v>319</v>
      </c>
      <c r="CB89">
        <v>440</v>
      </c>
      <c r="CC89">
        <v>506</v>
      </c>
      <c r="CD89">
        <v>188</v>
      </c>
      <c r="CE89">
        <v>326</v>
      </c>
      <c r="CF89">
        <v>520</v>
      </c>
      <c r="CG89">
        <v>582</v>
      </c>
    </row>
    <row r="90" spans="1:85" x14ac:dyDescent="0.2">
      <c r="L90" t="s">
        <v>121</v>
      </c>
      <c r="P90" t="e" cm="1">
        <f t="array" aca="1" ref="P90" ca="1">_xludf.XLOOKUP(K$47,$BX$169:$CG$169,_xludf.XLOOKUP($D$11,$BW$170:$BW$176,$BX$170:$CG$176))</f>
        <v>#NAME?</v>
      </c>
      <c r="Q90" t="e">
        <f t="shared" ca="1" si="34"/>
        <v>#NAME?</v>
      </c>
      <c r="T90">
        <f t="shared" si="31"/>
        <v>0</v>
      </c>
      <c r="V90">
        <v>1</v>
      </c>
      <c r="W90">
        <v>0</v>
      </c>
      <c r="X90">
        <v>0</v>
      </c>
      <c r="Y90">
        <f t="shared" si="35"/>
        <v>0</v>
      </c>
      <c r="Z90">
        <f t="shared" si="44"/>
        <v>-1.0369999999999999</v>
      </c>
      <c r="AA90" t="e">
        <f t="shared" ca="1" si="36"/>
        <v>#NAME?</v>
      </c>
      <c r="AB90">
        <f t="shared" si="37"/>
        <v>1</v>
      </c>
      <c r="AC90">
        <f t="shared" si="38"/>
        <v>1.4042250000000001</v>
      </c>
      <c r="AD90">
        <f t="shared" si="27"/>
        <v>1.22673096</v>
      </c>
      <c r="AE90">
        <f t="shared" si="28"/>
        <v>5.7714060544358416E-5</v>
      </c>
      <c r="AF90">
        <f t="shared" si="29"/>
        <v>6.9098751939409913E-4</v>
      </c>
      <c r="AG90">
        <f t="shared" si="39"/>
        <v>0</v>
      </c>
      <c r="AH90">
        <f t="shared" si="40"/>
        <v>0</v>
      </c>
      <c r="AI90">
        <f t="shared" si="45"/>
        <v>3.2193644299200004E-3</v>
      </c>
      <c r="AJ90">
        <f t="shared" si="41"/>
        <v>0</v>
      </c>
      <c r="AK90" t="e">
        <f t="shared" ca="1" si="42"/>
        <v>#NAME?</v>
      </c>
      <c r="AL90" t="e">
        <f t="shared" ca="1" si="43"/>
        <v>#NAME?</v>
      </c>
      <c r="BW90" t="s">
        <v>121</v>
      </c>
      <c r="BX90">
        <v>235</v>
      </c>
      <c r="BY90">
        <v>722</v>
      </c>
      <c r="BZ90">
        <v>207</v>
      </c>
      <c r="CA90">
        <v>352</v>
      </c>
      <c r="CB90">
        <v>470</v>
      </c>
      <c r="CC90">
        <v>514</v>
      </c>
      <c r="CD90">
        <v>209</v>
      </c>
      <c r="CE90">
        <v>421</v>
      </c>
      <c r="CF90">
        <v>512</v>
      </c>
      <c r="CG90">
        <v>605</v>
      </c>
    </row>
    <row r="91" spans="1:85" x14ac:dyDescent="0.2">
      <c r="A91" t="s">
        <v>183</v>
      </c>
      <c r="B91" t="s">
        <v>111</v>
      </c>
      <c r="C91" t="s">
        <v>24</v>
      </c>
      <c r="D91" t="s">
        <v>112</v>
      </c>
      <c r="F91" t="s">
        <v>113</v>
      </c>
      <c r="G91" t="s">
        <v>113</v>
      </c>
      <c r="H91" t="s">
        <v>114</v>
      </c>
      <c r="I91" t="s">
        <v>115</v>
      </c>
      <c r="J91" t="str">
        <f>IF(H91="Non-irrigated crop", IF(I91="high", "Non-irrigated crop (high rainfall)", "Non-irrigated crop (low rainfall)"), H91)</f>
        <v>Irrigated crop</v>
      </c>
      <c r="K91" t="s">
        <v>116</v>
      </c>
      <c r="L91" t="s">
        <v>117</v>
      </c>
      <c r="M91">
        <v>100</v>
      </c>
      <c r="N91" t="e" cm="1">
        <f t="array" aca="1" ref="N91" ca="1">_xludf.XLOOKUP(K91, $BX$46:$CG$46, $BX$47:$CG$50)</f>
        <v>#NAME?</v>
      </c>
      <c r="O91" t="e" cm="1">
        <f t="array" aca="1" ref="O91" ca="1">_xludf.XLOOKUP(K91, $BX$106:$CG$106, $BX$107:$CG$110)</f>
        <v>#NAME?</v>
      </c>
      <c r="P91" t="e" cm="1">
        <f t="array" aca="1" ref="P91" ca="1">_xludf.XLOOKUP(K$11,$BX$169:$CG$169,_xludf.XLOOKUP($D$11,$BW$170:$BW$176,$BX$170:$CG$176))</f>
        <v>#NAME?</v>
      </c>
      <c r="Q91" t="e">
        <f t="shared" ca="1" si="34"/>
        <v>#NAME?</v>
      </c>
      <c r="R91">
        <v>0</v>
      </c>
      <c r="T91">
        <f t="shared" ref="T91:T117" si="46">R91+S91</f>
        <v>0</v>
      </c>
      <c r="V91">
        <v>1</v>
      </c>
      <c r="W91">
        <f>VLOOKUP($G$91, $CL$17:$CN$25, 2, FALSE)</f>
        <v>6</v>
      </c>
      <c r="X91">
        <v>0</v>
      </c>
      <c r="Y91">
        <f t="shared" si="35"/>
        <v>0</v>
      </c>
      <c r="Z91" t="e">
        <f t="shared" ca="1" si="44"/>
        <v>#NAME?</v>
      </c>
      <c r="AA91" t="e">
        <f t="shared" ca="1" si="36"/>
        <v>#NAME?</v>
      </c>
      <c r="AB91" t="e">
        <f t="shared" ca="1" si="37"/>
        <v>#NAME?</v>
      </c>
      <c r="AC91" t="e">
        <f t="shared" ca="1" si="38"/>
        <v>#NAME?</v>
      </c>
      <c r="AD91" t="e">
        <f t="shared" ref="AD91:AD130" ca="1" si="47">(AC91 * (1 -AM91) + (0.04 * AC91)) * ( 1 - AV$11 )</f>
        <v>#NAME?</v>
      </c>
      <c r="AE91" t="e">
        <f t="shared" ref="AE91:AE130" ca="1" si="48">AD91 * AT$91 * AP$91 * AR$91 * AU$91</f>
        <v>#NAME?</v>
      </c>
      <c r="AF91" t="e">
        <f t="shared" ref="AF91:AF130" ca="1" si="49">AD91 * AT$91 * AQ$91 * AS$91 * AU$91</f>
        <v>#NAME?</v>
      </c>
      <c r="AG91" t="e">
        <f t="shared" ca="1" si="39"/>
        <v>#NAME?</v>
      </c>
      <c r="AH91" t="e">
        <f t="shared" ca="1" si="40"/>
        <v>#NAME?</v>
      </c>
      <c r="AI91" t="e">
        <f t="shared" ca="1" si="45"/>
        <v>#NAME?</v>
      </c>
      <c r="AJ91" t="e">
        <f t="shared" ca="1" si="41"/>
        <v>#NAME?</v>
      </c>
      <c r="AK91" t="e">
        <f t="shared" ca="1" si="42"/>
        <v>#NAME?</v>
      </c>
      <c r="AL91" t="e">
        <f t="shared" ca="1" si="43"/>
        <v>#NAME?</v>
      </c>
      <c r="AM91" t="e" cm="1">
        <f t="array" aca="1" ref="AM91" ca="1">_xludf.XLOOKUP(G$91,$BV$17:$CD$17,$BV$18:$CD$21)</f>
        <v>#NAME?</v>
      </c>
      <c r="AN91" t="e" cm="1">
        <f t="array" aca="1" ref="AN91" ca="1">_xludf.XLOOKUP(G$91,$BV$29:$CD$29,$BV$30:$CD$33)</f>
        <v>#NAME?</v>
      </c>
      <c r="AO91" t="s">
        <v>118</v>
      </c>
      <c r="AP91">
        <f>IF(AO91="yes", $BV$6, $BW$6)</f>
        <v>0.05</v>
      </c>
      <c r="AQ91">
        <f>IF(AO91="yes", $BV$7, $BW$7)</f>
        <v>0.95</v>
      </c>
      <c r="AR91">
        <f>VLOOKUP(B91, $CH$17:$CI$26, 2, FALSE)</f>
        <v>7.3000000000000001E-3</v>
      </c>
      <c r="AS91">
        <f>$CI$14</f>
        <v>4.5999999999999999E-3</v>
      </c>
      <c r="AT91">
        <f>$CA$5</f>
        <v>0.19</v>
      </c>
      <c r="AU91">
        <f>$CA$6</f>
        <v>0.6784</v>
      </c>
      <c r="AV91">
        <f>$CA$7</f>
        <v>0.16</v>
      </c>
      <c r="AW91" t="e">
        <f ca="1">SUM(AG91:AH130)</f>
        <v>#NAME?</v>
      </c>
      <c r="AX91" t="e">
        <f ca="1">SUM(AJ91:AJ130)</f>
        <v>#NAME?</v>
      </c>
      <c r="AY91">
        <f>IF(C91="wet",$CD$5,$CD$6)</f>
        <v>6.0000000000000001E-3</v>
      </c>
      <c r="AZ91">
        <f>$CD$7</f>
        <v>1.5714285714285714</v>
      </c>
      <c r="BA91">
        <f>$CD$8</f>
        <v>265</v>
      </c>
      <c r="BB91" t="e">
        <f ca="1">SUM(AL91:AL130)</f>
        <v>#NAME?</v>
      </c>
      <c r="BC91" t="e">
        <f ca="1">((AX91 * AY91 * AZ91) + (BB91 * AY91 * AZ91))  * (10^-3)</f>
        <v>#NAME?</v>
      </c>
      <c r="BD91">
        <f>$CA$8</f>
        <v>28</v>
      </c>
      <c r="BE91">
        <f>$CD$9</f>
        <v>0.21</v>
      </c>
      <c r="BF91" t="e">
        <f ca="1">(AX91+BB91)*BE91</f>
        <v>#NAME?</v>
      </c>
      <c r="BG91">
        <f>VLOOKUP(J91, $CH$29:$CI$33,2,FALSE)</f>
        <v>7.0000000000000001E-3</v>
      </c>
      <c r="BH91" t="e">
        <f ca="1">BF91*BG91*AZ91*(10^-3)</f>
        <v>#NAME?</v>
      </c>
      <c r="BI91">
        <f>$CA$9</f>
        <v>1.0999999999999999E-2</v>
      </c>
      <c r="BJ91">
        <f>VLOOKUP(D91, $CL$29:$CM$46, 2, FALSE)</f>
        <v>0.87</v>
      </c>
      <c r="BK91">
        <f>$CG$4</f>
        <v>0.24</v>
      </c>
      <c r="BL91" t="e">
        <f ca="1">(BB91+AX91)*BJ91*BK91</f>
        <v>#NAME?</v>
      </c>
      <c r="BM91" t="e">
        <f ca="1">BL91*BI91*AZ91*(10^-3)</f>
        <v>#NAME?</v>
      </c>
      <c r="BN91" t="e">
        <f ca="1">BC91+BH91+BM91</f>
        <v>#NAME?</v>
      </c>
      <c r="BO91" t="e">
        <f ca="1">AW91 * BD91 * 10^-3</f>
        <v>#NAME?</v>
      </c>
      <c r="BU91" t="s">
        <v>182</v>
      </c>
      <c r="BV91" t="s">
        <v>167</v>
      </c>
      <c r="BW91" t="s">
        <v>117</v>
      </c>
      <c r="BX91">
        <v>230</v>
      </c>
      <c r="BY91">
        <v>674</v>
      </c>
      <c r="BZ91">
        <v>217</v>
      </c>
      <c r="CA91">
        <v>344</v>
      </c>
      <c r="CB91">
        <v>357</v>
      </c>
      <c r="CC91">
        <v>467</v>
      </c>
      <c r="CD91">
        <v>242</v>
      </c>
      <c r="CE91">
        <v>370</v>
      </c>
      <c r="CF91">
        <v>550</v>
      </c>
      <c r="CG91">
        <v>620</v>
      </c>
    </row>
    <row r="92" spans="1:85" x14ac:dyDescent="0.2">
      <c r="L92" t="s">
        <v>119</v>
      </c>
      <c r="M92">
        <v>110</v>
      </c>
      <c r="P92" t="e" cm="1">
        <f t="array" aca="1" ref="P92" ca="1">_xludf.XLOOKUP(K$11,$BX$169:$CG$169,_xludf.XLOOKUP($D$11,$BW$170:$BW$176,$BX$170:$CG$176))</f>
        <v>#NAME?</v>
      </c>
      <c r="Q92" t="e">
        <f t="shared" ca="1" si="34"/>
        <v>#NAME?</v>
      </c>
      <c r="S92">
        <v>0</v>
      </c>
      <c r="T92">
        <f t="shared" si="46"/>
        <v>0</v>
      </c>
      <c r="V92">
        <v>1</v>
      </c>
      <c r="W92">
        <f>VLOOKUP($G$91, $CL$17:$CN$25, 3, FALSE)</f>
        <v>4</v>
      </c>
      <c r="X92">
        <v>0</v>
      </c>
      <c r="Y92">
        <f t="shared" si="35"/>
        <v>0</v>
      </c>
      <c r="Z92">
        <f t="shared" si="44"/>
        <v>-1.0369999999999999</v>
      </c>
      <c r="AA92" t="e">
        <f t="shared" ca="1" si="36"/>
        <v>#NAME?</v>
      </c>
      <c r="AB92">
        <f t="shared" si="37"/>
        <v>1</v>
      </c>
      <c r="AC92">
        <f t="shared" si="38"/>
        <v>1.4042250000000001</v>
      </c>
      <c r="AD92">
        <f t="shared" si="47"/>
        <v>1.22673096</v>
      </c>
      <c r="AE92">
        <f t="shared" si="48"/>
        <v>5.7714060544358416E-5</v>
      </c>
      <c r="AF92">
        <f t="shared" si="49"/>
        <v>6.9098751939409913E-4</v>
      </c>
      <c r="AG92">
        <f t="shared" si="39"/>
        <v>0.5793048827139976</v>
      </c>
      <c r="AH92">
        <f t="shared" si="40"/>
        <v>6.9357872259182702</v>
      </c>
      <c r="AI92">
        <f t="shared" si="45"/>
        <v>4.824380103901192E-3</v>
      </c>
      <c r="AJ92">
        <f t="shared" si="41"/>
        <v>48.424715292908211</v>
      </c>
      <c r="AK92" t="e">
        <f t="shared" ca="1" si="42"/>
        <v>#NAME?</v>
      </c>
      <c r="AL92" t="e">
        <f t="shared" ca="1" si="43"/>
        <v>#NAME?</v>
      </c>
      <c r="BW92" t="s">
        <v>119</v>
      </c>
      <c r="BX92">
        <v>113</v>
      </c>
      <c r="BY92">
        <v>669</v>
      </c>
      <c r="BZ92">
        <v>113</v>
      </c>
      <c r="CA92">
        <v>283</v>
      </c>
      <c r="CB92">
        <v>361</v>
      </c>
      <c r="CC92">
        <v>477</v>
      </c>
      <c r="CD92">
        <v>120</v>
      </c>
      <c r="CE92">
        <v>273</v>
      </c>
      <c r="CF92">
        <v>545</v>
      </c>
      <c r="CG92">
        <v>553</v>
      </c>
    </row>
    <row r="93" spans="1:85" x14ac:dyDescent="0.2">
      <c r="L93" t="s">
        <v>120</v>
      </c>
      <c r="M93">
        <v>120</v>
      </c>
      <c r="P93" t="e" cm="1">
        <f t="array" aca="1" ref="P93" ca="1">_xludf.XLOOKUP(K$11,$BX$169:$CG$169,_xludf.XLOOKUP($D$11,$BW$170:$BW$176,$BX$170:$CG$176))</f>
        <v>#NAME?</v>
      </c>
      <c r="Q93" t="e">
        <f t="shared" ca="1" si="34"/>
        <v>#NAME?</v>
      </c>
      <c r="T93">
        <f t="shared" si="46"/>
        <v>0</v>
      </c>
      <c r="V93">
        <v>1</v>
      </c>
      <c r="W93">
        <v>0</v>
      </c>
      <c r="X93">
        <v>0</v>
      </c>
      <c r="Y93">
        <f t="shared" si="35"/>
        <v>0</v>
      </c>
      <c r="Z93">
        <f t="shared" si="44"/>
        <v>-1.0369999999999999</v>
      </c>
      <c r="AA93" t="e">
        <f t="shared" ca="1" si="36"/>
        <v>#NAME?</v>
      </c>
      <c r="AB93">
        <f t="shared" si="37"/>
        <v>1</v>
      </c>
      <c r="AC93">
        <f t="shared" si="38"/>
        <v>1.4042250000000001</v>
      </c>
      <c r="AD93">
        <f t="shared" si="47"/>
        <v>1.22673096</v>
      </c>
      <c r="AE93">
        <f t="shared" si="48"/>
        <v>5.7714060544358416E-5</v>
      </c>
      <c r="AF93">
        <f t="shared" si="49"/>
        <v>6.9098751939409913E-4</v>
      </c>
      <c r="AG93">
        <f t="shared" si="39"/>
        <v>0.63196896296072469</v>
      </c>
      <c r="AH93">
        <f t="shared" si="40"/>
        <v>7.5663133373653855</v>
      </c>
      <c r="AI93">
        <f t="shared" si="45"/>
        <v>3.2193644299200004E-3</v>
      </c>
      <c r="AJ93">
        <f t="shared" si="41"/>
        <v>35.25204050762401</v>
      </c>
      <c r="AK93" t="e">
        <f t="shared" ca="1" si="42"/>
        <v>#NAME?</v>
      </c>
      <c r="AL93" t="e">
        <f t="shared" ca="1" si="43"/>
        <v>#NAME?</v>
      </c>
      <c r="BW93" t="s">
        <v>120</v>
      </c>
      <c r="BX93">
        <v>172</v>
      </c>
      <c r="BY93">
        <v>685</v>
      </c>
      <c r="BZ93">
        <v>172</v>
      </c>
      <c r="CA93">
        <v>309</v>
      </c>
      <c r="CB93">
        <v>376</v>
      </c>
      <c r="CC93">
        <v>471</v>
      </c>
      <c r="CD93">
        <v>238</v>
      </c>
      <c r="CE93">
        <v>329</v>
      </c>
      <c r="CF93">
        <v>573</v>
      </c>
      <c r="CG93">
        <v>620</v>
      </c>
    </row>
    <row r="94" spans="1:85" x14ac:dyDescent="0.2">
      <c r="L94" t="s">
        <v>121</v>
      </c>
      <c r="M94">
        <v>130</v>
      </c>
      <c r="P94" t="e" cm="1">
        <f t="array" aca="1" ref="P94" ca="1">_xludf.XLOOKUP(K$11,$BX$169:$CG$169,_xludf.XLOOKUP($D$11,$BW$170:$BW$176,$BX$170:$CG$176))</f>
        <v>#NAME?</v>
      </c>
      <c r="Q94" t="e">
        <f t="shared" ca="1" si="34"/>
        <v>#NAME?</v>
      </c>
      <c r="T94">
        <f t="shared" si="46"/>
        <v>0</v>
      </c>
      <c r="V94">
        <v>1</v>
      </c>
      <c r="W94">
        <v>0</v>
      </c>
      <c r="X94">
        <v>0</v>
      </c>
      <c r="Y94">
        <f t="shared" si="35"/>
        <v>0</v>
      </c>
      <c r="Z94">
        <f t="shared" si="44"/>
        <v>-1.0369999999999999</v>
      </c>
      <c r="AA94" t="e">
        <f t="shared" ca="1" si="36"/>
        <v>#NAME?</v>
      </c>
      <c r="AB94">
        <f t="shared" si="37"/>
        <v>1</v>
      </c>
      <c r="AC94">
        <f t="shared" si="38"/>
        <v>1.4042250000000001</v>
      </c>
      <c r="AD94">
        <f t="shared" si="47"/>
        <v>1.22673096</v>
      </c>
      <c r="AE94">
        <f t="shared" si="48"/>
        <v>5.7714060544358416E-5</v>
      </c>
      <c r="AF94">
        <f t="shared" si="49"/>
        <v>6.9098751939409913E-4</v>
      </c>
      <c r="AG94">
        <f t="shared" si="39"/>
        <v>0.68463304320745177</v>
      </c>
      <c r="AH94">
        <f t="shared" si="40"/>
        <v>8.1968394488125007</v>
      </c>
      <c r="AI94">
        <f t="shared" si="45"/>
        <v>3.2193644299200004E-3</v>
      </c>
      <c r="AJ94">
        <f t="shared" si="41"/>
        <v>38.189710549926005</v>
      </c>
      <c r="AK94" t="e">
        <f t="shared" ca="1" si="42"/>
        <v>#NAME?</v>
      </c>
      <c r="AL94" t="e">
        <f t="shared" ca="1" si="43"/>
        <v>#NAME?</v>
      </c>
      <c r="BW94" t="s">
        <v>121</v>
      </c>
      <c r="BX94">
        <v>241</v>
      </c>
      <c r="BY94">
        <v>692</v>
      </c>
      <c r="BZ94">
        <v>208</v>
      </c>
      <c r="CA94">
        <v>344</v>
      </c>
      <c r="CB94">
        <v>364</v>
      </c>
      <c r="CC94">
        <v>484</v>
      </c>
      <c r="CD94">
        <v>260</v>
      </c>
      <c r="CE94">
        <v>350</v>
      </c>
      <c r="CF94">
        <v>567</v>
      </c>
      <c r="CG94">
        <v>620</v>
      </c>
    </row>
    <row r="95" spans="1:85" x14ac:dyDescent="0.2">
      <c r="K95" t="s">
        <v>122</v>
      </c>
      <c r="L95" t="s">
        <v>117</v>
      </c>
      <c r="N95" t="e" cm="1">
        <f t="array" aca="1" ref="N95" ca="1">_xludf.XLOOKUP(K95, $BX$46:$CG$46, $BX$47:$CG$50)</f>
        <v>#NAME?</v>
      </c>
      <c r="O95" t="e" cm="1">
        <f t="array" aca="1" ref="O95" ca="1">_xludf.XLOOKUP(K95, $BX$106:$CG$106, $BX$107:$CG$110)</f>
        <v>#NAME?</v>
      </c>
      <c r="P95" t="e" cm="1">
        <f t="array" aca="1" ref="P95" ca="1">_xludf.XLOOKUP(K$15,$BX$169:$CG$169,_xludf.XLOOKUP($D$11,$BW$170:$BW$176,$BX$170:$CG$176))</f>
        <v>#NAME?</v>
      </c>
      <c r="Q95" t="e">
        <f t="shared" ca="1" si="34"/>
        <v>#NAME?</v>
      </c>
      <c r="T95">
        <f t="shared" si="46"/>
        <v>0</v>
      </c>
      <c r="V95">
        <v>1</v>
      </c>
      <c r="W95">
        <v>0</v>
      </c>
      <c r="X95">
        <v>0</v>
      </c>
      <c r="Y95">
        <f t="shared" si="35"/>
        <v>0</v>
      </c>
      <c r="Z95" t="e">
        <f t="shared" ca="1" si="44"/>
        <v>#NAME?</v>
      </c>
      <c r="AA95" t="e">
        <f t="shared" ca="1" si="36"/>
        <v>#NAME?</v>
      </c>
      <c r="AB95" t="e">
        <f t="shared" ca="1" si="37"/>
        <v>#NAME?</v>
      </c>
      <c r="AC95" t="e">
        <f t="shared" ca="1" si="38"/>
        <v>#NAME?</v>
      </c>
      <c r="AD95" t="e">
        <f t="shared" ca="1" si="47"/>
        <v>#NAME?</v>
      </c>
      <c r="AE95" t="e">
        <f t="shared" ca="1" si="48"/>
        <v>#NAME?</v>
      </c>
      <c r="AF95" t="e">
        <f t="shared" ca="1" si="49"/>
        <v>#NAME?</v>
      </c>
      <c r="AG95" t="e">
        <f t="shared" ca="1" si="39"/>
        <v>#NAME?</v>
      </c>
      <c r="AH95" t="e">
        <f t="shared" ca="1" si="40"/>
        <v>#NAME?</v>
      </c>
      <c r="AI95" t="e">
        <f t="shared" ca="1" si="45"/>
        <v>#NAME?</v>
      </c>
      <c r="AJ95" t="e">
        <f t="shared" ca="1" si="41"/>
        <v>#NAME?</v>
      </c>
      <c r="AK95" t="e">
        <f t="shared" ca="1" si="42"/>
        <v>#NAME?</v>
      </c>
      <c r="AL95" t="e">
        <f t="shared" ca="1" si="43"/>
        <v>#NAME?</v>
      </c>
      <c r="AM95" t="e" cm="1">
        <f t="array" aca="1" ref="AM95" ca="1">_xludf.XLOOKUP(G$91,$BV$17:$CD$17,$BV$18:$CD$21)</f>
        <v>#NAME?</v>
      </c>
      <c r="AN95" t="e" cm="1">
        <f t="array" aca="1" ref="AN95" ca="1">_xludf.XLOOKUP(G$91,$BV$29:$CD$29,$BV$30:$CD$33)</f>
        <v>#NAME?</v>
      </c>
      <c r="BU95" t="s">
        <v>182</v>
      </c>
      <c r="BV95" t="s">
        <v>168</v>
      </c>
      <c r="BW95" t="s">
        <v>117</v>
      </c>
      <c r="BX95">
        <v>236</v>
      </c>
      <c r="BY95">
        <v>674</v>
      </c>
      <c r="BZ95">
        <v>178</v>
      </c>
      <c r="CA95">
        <v>310</v>
      </c>
      <c r="CB95">
        <v>428</v>
      </c>
      <c r="CC95">
        <v>466</v>
      </c>
      <c r="CD95">
        <v>193</v>
      </c>
      <c r="CE95">
        <v>370</v>
      </c>
      <c r="CF95">
        <v>519</v>
      </c>
      <c r="CG95">
        <v>565</v>
      </c>
    </row>
    <row r="96" spans="1:85" x14ac:dyDescent="0.2">
      <c r="L96" t="s">
        <v>119</v>
      </c>
      <c r="P96" t="e" cm="1">
        <f t="array" aca="1" ref="P96" ca="1">_xludf.XLOOKUP(K$15,$BX$169:$CG$169,_xludf.XLOOKUP($D$11,$BW$170:$BW$176,$BX$170:$CG$176))</f>
        <v>#NAME?</v>
      </c>
      <c r="Q96" t="e">
        <f t="shared" ca="1" si="34"/>
        <v>#NAME?</v>
      </c>
      <c r="T96">
        <f t="shared" si="46"/>
        <v>0</v>
      </c>
      <c r="V96">
        <v>1</v>
      </c>
      <c r="W96">
        <v>0</v>
      </c>
      <c r="X96">
        <v>0</v>
      </c>
      <c r="Y96">
        <f t="shared" si="35"/>
        <v>0</v>
      </c>
      <c r="Z96">
        <f t="shared" si="44"/>
        <v>-1.0369999999999999</v>
      </c>
      <c r="AA96" t="e">
        <f t="shared" ca="1" si="36"/>
        <v>#NAME?</v>
      </c>
      <c r="AB96">
        <f t="shared" si="37"/>
        <v>1</v>
      </c>
      <c r="AC96">
        <f t="shared" si="38"/>
        <v>1.4042250000000001</v>
      </c>
      <c r="AD96">
        <f t="shared" si="47"/>
        <v>1.22673096</v>
      </c>
      <c r="AE96">
        <f t="shared" si="48"/>
        <v>5.7714060544358416E-5</v>
      </c>
      <c r="AF96">
        <f t="shared" si="49"/>
        <v>6.9098751939409913E-4</v>
      </c>
      <c r="AG96">
        <f t="shared" si="39"/>
        <v>0</v>
      </c>
      <c r="AH96">
        <f t="shared" si="40"/>
        <v>0</v>
      </c>
      <c r="AI96">
        <f t="shared" si="45"/>
        <v>3.2193644299200004E-3</v>
      </c>
      <c r="AJ96">
        <f t="shared" si="41"/>
        <v>0</v>
      </c>
      <c r="AK96" t="e">
        <f t="shared" ca="1" si="42"/>
        <v>#NAME?</v>
      </c>
      <c r="AL96" t="e">
        <f t="shared" ca="1" si="43"/>
        <v>#NAME?</v>
      </c>
      <c r="BW96" t="s">
        <v>119</v>
      </c>
      <c r="BX96">
        <v>120</v>
      </c>
      <c r="BY96">
        <v>669</v>
      </c>
      <c r="BZ96">
        <v>112</v>
      </c>
      <c r="CA96">
        <v>250</v>
      </c>
      <c r="CB96">
        <v>390</v>
      </c>
      <c r="CC96">
        <v>448</v>
      </c>
      <c r="CD96">
        <v>115</v>
      </c>
      <c r="CE96">
        <v>273</v>
      </c>
      <c r="CF96">
        <v>433</v>
      </c>
      <c r="CG96">
        <v>556</v>
      </c>
    </row>
    <row r="97" spans="11:85" x14ac:dyDescent="0.2">
      <c r="L97" t="s">
        <v>120</v>
      </c>
      <c r="P97" t="e" cm="1">
        <f t="array" aca="1" ref="P97" ca="1">_xludf.XLOOKUP(K$15,$BX$169:$CG$169,_xludf.XLOOKUP($D$11,$BW$170:$BW$176,$BX$170:$CG$176))</f>
        <v>#NAME?</v>
      </c>
      <c r="Q97" t="e">
        <f t="shared" ca="1" si="34"/>
        <v>#NAME?</v>
      </c>
      <c r="T97">
        <f t="shared" si="46"/>
        <v>0</v>
      </c>
      <c r="V97">
        <v>1</v>
      </c>
      <c r="W97">
        <v>0</v>
      </c>
      <c r="X97">
        <v>0</v>
      </c>
      <c r="Y97">
        <f t="shared" si="35"/>
        <v>0</v>
      </c>
      <c r="Z97">
        <f t="shared" si="44"/>
        <v>-1.0369999999999999</v>
      </c>
      <c r="AA97" t="e">
        <f t="shared" ca="1" si="36"/>
        <v>#NAME?</v>
      </c>
      <c r="AB97">
        <f t="shared" si="37"/>
        <v>1</v>
      </c>
      <c r="AC97">
        <f t="shared" si="38"/>
        <v>1.4042250000000001</v>
      </c>
      <c r="AD97">
        <f t="shared" si="47"/>
        <v>1.22673096</v>
      </c>
      <c r="AE97">
        <f t="shared" si="48"/>
        <v>5.7714060544358416E-5</v>
      </c>
      <c r="AF97">
        <f t="shared" si="49"/>
        <v>6.9098751939409913E-4</v>
      </c>
      <c r="AG97">
        <f t="shared" si="39"/>
        <v>0</v>
      </c>
      <c r="AH97">
        <f t="shared" si="40"/>
        <v>0</v>
      </c>
      <c r="AI97">
        <f t="shared" si="45"/>
        <v>3.2193644299200004E-3</v>
      </c>
      <c r="AJ97">
        <f t="shared" si="41"/>
        <v>0</v>
      </c>
      <c r="AK97" t="e">
        <f t="shared" ca="1" si="42"/>
        <v>#NAME?</v>
      </c>
      <c r="AL97" t="e">
        <f t="shared" ca="1" si="43"/>
        <v>#NAME?</v>
      </c>
      <c r="BW97" t="s">
        <v>120</v>
      </c>
      <c r="BX97">
        <v>125</v>
      </c>
      <c r="BY97">
        <v>685</v>
      </c>
      <c r="BZ97">
        <v>140</v>
      </c>
      <c r="CA97">
        <v>277</v>
      </c>
      <c r="CB97">
        <v>407</v>
      </c>
      <c r="CC97">
        <v>455</v>
      </c>
      <c r="CD97">
        <v>141</v>
      </c>
      <c r="CE97">
        <v>296</v>
      </c>
      <c r="CF97">
        <v>445</v>
      </c>
      <c r="CG97">
        <v>593</v>
      </c>
    </row>
    <row r="98" spans="11:85" x14ac:dyDescent="0.2">
      <c r="L98" t="s">
        <v>121</v>
      </c>
      <c r="P98" t="e" cm="1">
        <f t="array" aca="1" ref="P98" ca="1">_xludf.XLOOKUP(K$15,$BX$169:$CG$169,_xludf.XLOOKUP($D$11,$BW$170:$BW$176,$BX$170:$CG$176))</f>
        <v>#NAME?</v>
      </c>
      <c r="Q98" t="e">
        <f t="shared" ca="1" si="34"/>
        <v>#NAME?</v>
      </c>
      <c r="T98">
        <f t="shared" si="46"/>
        <v>0</v>
      </c>
      <c r="V98">
        <v>1</v>
      </c>
      <c r="W98">
        <v>0</v>
      </c>
      <c r="X98">
        <v>0</v>
      </c>
      <c r="Y98">
        <f t="shared" si="35"/>
        <v>0</v>
      </c>
      <c r="Z98">
        <f t="shared" si="44"/>
        <v>-1.0369999999999999</v>
      </c>
      <c r="AA98" t="e">
        <f t="shared" ca="1" si="36"/>
        <v>#NAME?</v>
      </c>
      <c r="AB98">
        <f t="shared" si="37"/>
        <v>1</v>
      </c>
      <c r="AC98">
        <f t="shared" si="38"/>
        <v>1.4042250000000001</v>
      </c>
      <c r="AD98">
        <f t="shared" si="47"/>
        <v>1.22673096</v>
      </c>
      <c r="AE98">
        <f t="shared" si="48"/>
        <v>5.7714060544358416E-5</v>
      </c>
      <c r="AF98">
        <f t="shared" si="49"/>
        <v>6.9098751939409913E-4</v>
      </c>
      <c r="AG98">
        <f t="shared" si="39"/>
        <v>0</v>
      </c>
      <c r="AH98">
        <f t="shared" si="40"/>
        <v>0</v>
      </c>
      <c r="AI98">
        <f t="shared" si="45"/>
        <v>3.2193644299200004E-3</v>
      </c>
      <c r="AJ98">
        <f t="shared" si="41"/>
        <v>0</v>
      </c>
      <c r="AK98" t="e">
        <f t="shared" ca="1" si="42"/>
        <v>#NAME?</v>
      </c>
      <c r="AL98" t="e">
        <f t="shared" ca="1" si="43"/>
        <v>#NAME?</v>
      </c>
      <c r="BW98" t="s">
        <v>121</v>
      </c>
      <c r="BX98">
        <v>180</v>
      </c>
      <c r="BY98">
        <v>692</v>
      </c>
      <c r="BZ98">
        <v>183</v>
      </c>
      <c r="CA98">
        <v>316</v>
      </c>
      <c r="CB98">
        <v>438</v>
      </c>
      <c r="CC98">
        <v>468</v>
      </c>
      <c r="CD98">
        <v>189</v>
      </c>
      <c r="CE98">
        <v>354</v>
      </c>
      <c r="CF98">
        <v>500</v>
      </c>
      <c r="CG98">
        <v>553</v>
      </c>
    </row>
    <row r="99" spans="11:85" x14ac:dyDescent="0.2">
      <c r="K99" t="s">
        <v>141</v>
      </c>
      <c r="L99" t="s">
        <v>117</v>
      </c>
      <c r="N99" t="e" cm="1">
        <f t="array" aca="1" ref="N99" ca="1">_xludf.XLOOKUP(K99, $BX$46:$CG$46, $BX$47:$CG$50)</f>
        <v>#NAME?</v>
      </c>
      <c r="O99" t="e" cm="1">
        <f t="array" aca="1" ref="O99" ca="1">_xludf.XLOOKUP(K99, $BX$106:$CG$106, $BX$107:$CG$110)</f>
        <v>#NAME?</v>
      </c>
      <c r="P99" t="e" cm="1">
        <f t="array" aca="1" ref="P99" ca="1">_xludf.XLOOKUP(K$19,$BX$169:$CG$169,_xludf.XLOOKUP($D$11,$BW$170:$BW$176,$BX$170:$CG$176))</f>
        <v>#NAME?</v>
      </c>
      <c r="Q99" t="e">
        <f t="shared" ca="1" si="34"/>
        <v>#NAME?</v>
      </c>
      <c r="T99">
        <f t="shared" si="46"/>
        <v>0</v>
      </c>
      <c r="V99">
        <v>1</v>
      </c>
      <c r="W99">
        <f>VLOOKUP($G$91, $CL$17:$CN$25, 2, FALSE)</f>
        <v>6</v>
      </c>
      <c r="X99">
        <v>0</v>
      </c>
      <c r="Y99">
        <f t="shared" si="35"/>
        <v>0</v>
      </c>
      <c r="Z99" t="e">
        <f t="shared" ca="1" si="44"/>
        <v>#NAME?</v>
      </c>
      <c r="AA99" t="e">
        <f t="shared" ca="1" si="36"/>
        <v>#NAME?</v>
      </c>
      <c r="AB99" t="e">
        <f t="shared" ca="1" si="37"/>
        <v>#NAME?</v>
      </c>
      <c r="AC99" t="e">
        <f t="shared" ca="1" si="38"/>
        <v>#NAME?</v>
      </c>
      <c r="AD99" t="e">
        <f t="shared" ca="1" si="47"/>
        <v>#NAME?</v>
      </c>
      <c r="AE99" t="e">
        <f t="shared" ca="1" si="48"/>
        <v>#NAME?</v>
      </c>
      <c r="AF99" t="e">
        <f t="shared" ca="1" si="49"/>
        <v>#NAME?</v>
      </c>
      <c r="AG99" t="e">
        <f t="shared" ca="1" si="39"/>
        <v>#NAME?</v>
      </c>
      <c r="AH99" t="e">
        <f t="shared" ca="1" si="40"/>
        <v>#NAME?</v>
      </c>
      <c r="AI99" t="e">
        <f t="shared" ca="1" si="45"/>
        <v>#NAME?</v>
      </c>
      <c r="AJ99" t="e">
        <f t="shared" ca="1" si="41"/>
        <v>#NAME?</v>
      </c>
      <c r="AK99" t="e">
        <f t="shared" ca="1" si="42"/>
        <v>#NAME?</v>
      </c>
      <c r="AL99" t="e">
        <f t="shared" ca="1" si="43"/>
        <v>#NAME?</v>
      </c>
      <c r="AM99" t="e" cm="1">
        <f t="array" aca="1" ref="AM99" ca="1">_xludf.XLOOKUP(G$91,$BV$17:$CD$17,$BV$18:$CD$21)</f>
        <v>#NAME?</v>
      </c>
      <c r="AN99" t="e" cm="1">
        <f t="array" aca="1" ref="AN99" ca="1">_xludf.XLOOKUP(G$91,$BV$29:$CD$29,$BV$30:$CD$33)</f>
        <v>#NAME?</v>
      </c>
      <c r="BU99" t="s">
        <v>182</v>
      </c>
      <c r="BV99" t="s">
        <v>170</v>
      </c>
      <c r="BW99" t="s">
        <v>117</v>
      </c>
      <c r="BX99">
        <v>190</v>
      </c>
      <c r="BY99">
        <v>617</v>
      </c>
      <c r="BZ99">
        <v>174</v>
      </c>
      <c r="CA99">
        <v>265</v>
      </c>
      <c r="CB99">
        <v>371</v>
      </c>
      <c r="CC99">
        <v>415</v>
      </c>
      <c r="CD99">
        <v>170</v>
      </c>
      <c r="CE99">
        <v>272</v>
      </c>
      <c r="CF99">
        <v>392</v>
      </c>
      <c r="CG99">
        <v>531</v>
      </c>
    </row>
    <row r="100" spans="11:85" x14ac:dyDescent="0.2">
      <c r="L100" t="s">
        <v>119</v>
      </c>
      <c r="P100" t="e" cm="1">
        <f t="array" aca="1" ref="P100" ca="1">_xludf.XLOOKUP(K$19,$BX$169:$CG$169,_xludf.XLOOKUP($D$11,$BW$170:$BW$176,$BX$170:$CG$176))</f>
        <v>#NAME?</v>
      </c>
      <c r="Q100" t="e">
        <f t="shared" ca="1" si="34"/>
        <v>#NAME?</v>
      </c>
      <c r="T100">
        <f t="shared" si="46"/>
        <v>0</v>
      </c>
      <c r="V100">
        <v>1</v>
      </c>
      <c r="W100">
        <f>VLOOKUP($G$91, $CL$17:$CN$25, 3, FALSE)</f>
        <v>4</v>
      </c>
      <c r="X100">
        <v>0</v>
      </c>
      <c r="Y100">
        <f t="shared" si="35"/>
        <v>0</v>
      </c>
      <c r="Z100">
        <f t="shared" si="44"/>
        <v>-1.0369999999999999</v>
      </c>
      <c r="AA100" t="e">
        <f t="shared" ca="1" si="36"/>
        <v>#NAME?</v>
      </c>
      <c r="AB100">
        <f t="shared" si="37"/>
        <v>1</v>
      </c>
      <c r="AC100">
        <f t="shared" si="38"/>
        <v>1.4042250000000001</v>
      </c>
      <c r="AD100">
        <f t="shared" si="47"/>
        <v>1.22673096</v>
      </c>
      <c r="AE100">
        <f t="shared" si="48"/>
        <v>5.7714060544358416E-5</v>
      </c>
      <c r="AF100">
        <f t="shared" si="49"/>
        <v>6.9098751939409913E-4</v>
      </c>
      <c r="AG100">
        <f t="shared" si="39"/>
        <v>0</v>
      </c>
      <c r="AH100">
        <f t="shared" si="40"/>
        <v>0</v>
      </c>
      <c r="AI100">
        <f t="shared" si="45"/>
        <v>4.824380103901192E-3</v>
      </c>
      <c r="AJ100">
        <f t="shared" si="41"/>
        <v>0</v>
      </c>
      <c r="AK100" t="e">
        <f t="shared" ca="1" si="42"/>
        <v>#NAME?</v>
      </c>
      <c r="AL100" t="e">
        <f t="shared" ca="1" si="43"/>
        <v>#NAME?</v>
      </c>
      <c r="BW100" t="s">
        <v>119</v>
      </c>
      <c r="BX100">
        <v>119</v>
      </c>
      <c r="BY100">
        <v>591</v>
      </c>
      <c r="BZ100">
        <v>140</v>
      </c>
      <c r="CA100">
        <v>205</v>
      </c>
      <c r="CB100">
        <v>310</v>
      </c>
      <c r="CC100">
        <v>405</v>
      </c>
      <c r="CD100">
        <v>133</v>
      </c>
      <c r="CE100">
        <v>218</v>
      </c>
      <c r="CF100">
        <v>315</v>
      </c>
      <c r="CG100">
        <v>445</v>
      </c>
    </row>
    <row r="101" spans="11:85" x14ac:dyDescent="0.2">
      <c r="L101" t="s">
        <v>120</v>
      </c>
      <c r="P101" t="e" cm="1">
        <f t="array" aca="1" ref="P101" ca="1">_xludf.XLOOKUP(K$19,$BX$169:$CG$169,_xludf.XLOOKUP($D$11,$BW$170:$BW$176,$BX$170:$CG$176))</f>
        <v>#NAME?</v>
      </c>
      <c r="Q101" t="e">
        <f t="shared" ca="1" si="34"/>
        <v>#NAME?</v>
      </c>
      <c r="T101">
        <f t="shared" si="46"/>
        <v>0</v>
      </c>
      <c r="V101">
        <v>1</v>
      </c>
      <c r="W101">
        <v>0</v>
      </c>
      <c r="X101">
        <v>0</v>
      </c>
      <c r="Y101">
        <f t="shared" si="35"/>
        <v>0</v>
      </c>
      <c r="Z101">
        <f t="shared" si="44"/>
        <v>-1.0369999999999999</v>
      </c>
      <c r="AA101" t="e">
        <f t="shared" ca="1" si="36"/>
        <v>#NAME?</v>
      </c>
      <c r="AB101">
        <f t="shared" si="37"/>
        <v>1</v>
      </c>
      <c r="AC101">
        <f t="shared" si="38"/>
        <v>1.4042250000000001</v>
      </c>
      <c r="AD101">
        <f t="shared" si="47"/>
        <v>1.22673096</v>
      </c>
      <c r="AE101">
        <f t="shared" si="48"/>
        <v>5.7714060544358416E-5</v>
      </c>
      <c r="AF101">
        <f t="shared" si="49"/>
        <v>6.9098751939409913E-4</v>
      </c>
      <c r="AG101">
        <f t="shared" si="39"/>
        <v>0</v>
      </c>
      <c r="AH101">
        <f t="shared" si="40"/>
        <v>0</v>
      </c>
      <c r="AI101">
        <f t="shared" si="45"/>
        <v>3.2193644299200004E-3</v>
      </c>
      <c r="AJ101">
        <f t="shared" si="41"/>
        <v>0</v>
      </c>
      <c r="AK101" t="e">
        <f t="shared" ca="1" si="42"/>
        <v>#NAME?</v>
      </c>
      <c r="AL101" t="e">
        <f t="shared" ca="1" si="43"/>
        <v>#NAME?</v>
      </c>
      <c r="BW101" t="s">
        <v>120</v>
      </c>
      <c r="BX101">
        <v>175</v>
      </c>
      <c r="BY101">
        <v>610</v>
      </c>
      <c r="BZ101">
        <v>163</v>
      </c>
      <c r="CA101">
        <v>232</v>
      </c>
      <c r="CB101">
        <v>351</v>
      </c>
      <c r="CC101">
        <v>427</v>
      </c>
      <c r="CD101">
        <v>146</v>
      </c>
      <c r="CE101">
        <v>242</v>
      </c>
      <c r="CF101">
        <v>320</v>
      </c>
      <c r="CG101">
        <v>471</v>
      </c>
    </row>
    <row r="102" spans="11:85" x14ac:dyDescent="0.2">
      <c r="L102" t="s">
        <v>121</v>
      </c>
      <c r="P102" t="e" cm="1">
        <f t="array" aca="1" ref="P102" ca="1">_xludf.XLOOKUP(K$19,$BX$169:$CG$169,_xludf.XLOOKUP($D$11,$BW$170:$BW$176,$BX$170:$CG$176))</f>
        <v>#NAME?</v>
      </c>
      <c r="Q102" t="e">
        <f t="shared" ca="1" si="34"/>
        <v>#NAME?</v>
      </c>
      <c r="T102">
        <f t="shared" si="46"/>
        <v>0</v>
      </c>
      <c r="V102">
        <v>1</v>
      </c>
      <c r="W102">
        <v>0</v>
      </c>
      <c r="X102">
        <v>0</v>
      </c>
      <c r="Y102">
        <f t="shared" si="35"/>
        <v>0</v>
      </c>
      <c r="Z102">
        <f t="shared" si="44"/>
        <v>-1.0369999999999999</v>
      </c>
      <c r="AA102" t="e">
        <f t="shared" ca="1" si="36"/>
        <v>#NAME?</v>
      </c>
      <c r="AB102">
        <f t="shared" si="37"/>
        <v>1</v>
      </c>
      <c r="AC102">
        <f t="shared" si="38"/>
        <v>1.4042250000000001</v>
      </c>
      <c r="AD102">
        <f t="shared" si="47"/>
        <v>1.22673096</v>
      </c>
      <c r="AE102">
        <f t="shared" si="48"/>
        <v>5.7714060544358416E-5</v>
      </c>
      <c r="AF102">
        <f t="shared" si="49"/>
        <v>6.9098751939409913E-4</v>
      </c>
      <c r="AG102">
        <f t="shared" si="39"/>
        <v>0</v>
      </c>
      <c r="AH102">
        <f t="shared" si="40"/>
        <v>0</v>
      </c>
      <c r="AI102">
        <f t="shared" si="45"/>
        <v>3.2193644299200004E-3</v>
      </c>
      <c r="AJ102">
        <f t="shared" si="41"/>
        <v>0</v>
      </c>
      <c r="AK102" t="e">
        <f t="shared" ca="1" si="42"/>
        <v>#NAME?</v>
      </c>
      <c r="AL102" t="e">
        <f t="shared" ca="1" si="43"/>
        <v>#NAME?</v>
      </c>
      <c r="BW102" t="s">
        <v>121</v>
      </c>
      <c r="BX102">
        <v>192</v>
      </c>
      <c r="BY102">
        <v>615</v>
      </c>
      <c r="BZ102">
        <v>162</v>
      </c>
      <c r="CA102">
        <v>255</v>
      </c>
      <c r="CB102">
        <v>364</v>
      </c>
      <c r="CC102">
        <v>420</v>
      </c>
      <c r="CD102">
        <v>157</v>
      </c>
      <c r="CE102">
        <v>261</v>
      </c>
      <c r="CF102">
        <v>342</v>
      </c>
      <c r="CG102">
        <v>484</v>
      </c>
    </row>
    <row r="103" spans="11:85" x14ac:dyDescent="0.2">
      <c r="K103" t="s">
        <v>146</v>
      </c>
      <c r="L103" t="s">
        <v>117</v>
      </c>
      <c r="N103" t="e" cm="1">
        <f t="array" aca="1" ref="N103" ca="1">_xludf.XLOOKUP(K103, $BX$46:$CG$46, $BX$47:$CG$50)</f>
        <v>#NAME?</v>
      </c>
      <c r="O103" t="e" cm="1">
        <f t="array" aca="1" ref="O103" ca="1">_xludf.XLOOKUP(K103, $BX$106:$CG$106, $BX$107:$CG$110)</f>
        <v>#NAME?</v>
      </c>
      <c r="P103" t="e" cm="1">
        <f t="array" aca="1" ref="P103" ca="1">_xludf.XLOOKUP(K$23,$BX$169:$CG$169,_xludf.XLOOKUP($D$11,$BW$170:$BW$176,$BX$170:$CG$176))</f>
        <v>#NAME?</v>
      </c>
      <c r="Q103" t="e">
        <f t="shared" ca="1" si="34"/>
        <v>#NAME?</v>
      </c>
      <c r="T103">
        <f t="shared" si="46"/>
        <v>0</v>
      </c>
      <c r="V103">
        <v>1</v>
      </c>
      <c r="W103">
        <v>0</v>
      </c>
      <c r="X103">
        <v>0</v>
      </c>
      <c r="Y103">
        <f t="shared" si="35"/>
        <v>0</v>
      </c>
      <c r="Z103" t="e">
        <f t="shared" ca="1" si="44"/>
        <v>#NAME?</v>
      </c>
      <c r="AA103" t="e">
        <f t="shared" ca="1" si="36"/>
        <v>#NAME?</v>
      </c>
      <c r="AB103" t="e">
        <f t="shared" ca="1" si="37"/>
        <v>#NAME?</v>
      </c>
      <c r="AC103" t="e">
        <f t="shared" ca="1" si="38"/>
        <v>#NAME?</v>
      </c>
      <c r="AD103" t="e">
        <f t="shared" ca="1" si="47"/>
        <v>#NAME?</v>
      </c>
      <c r="AE103" t="e">
        <f t="shared" ca="1" si="48"/>
        <v>#NAME?</v>
      </c>
      <c r="AF103" t="e">
        <f t="shared" ca="1" si="49"/>
        <v>#NAME?</v>
      </c>
      <c r="AG103" t="e">
        <f t="shared" ca="1" si="39"/>
        <v>#NAME?</v>
      </c>
      <c r="AH103" t="e">
        <f t="shared" ca="1" si="40"/>
        <v>#NAME?</v>
      </c>
      <c r="AI103" t="e">
        <f t="shared" ca="1" si="45"/>
        <v>#NAME?</v>
      </c>
      <c r="AJ103" t="e">
        <f t="shared" ca="1" si="41"/>
        <v>#NAME?</v>
      </c>
      <c r="AK103" t="e">
        <f t="shared" ca="1" si="42"/>
        <v>#NAME?</v>
      </c>
      <c r="AL103" t="e">
        <f t="shared" ca="1" si="43"/>
        <v>#NAME?</v>
      </c>
      <c r="AM103" t="e" cm="1">
        <f t="array" aca="1" ref="AM103" ca="1">_xludf.XLOOKUP(G$91,$BV$17:$CD$17,$BV$18:$CD$21)</f>
        <v>#NAME?</v>
      </c>
      <c r="AN103" t="e" cm="1">
        <f t="array" aca="1" ref="AN103" ca="1">_xludf.XLOOKUP(G$91,$BV$29:$CD$29,$BV$30:$CD$33)</f>
        <v>#NAME?</v>
      </c>
    </row>
    <row r="104" spans="11:85" x14ac:dyDescent="0.2">
      <c r="L104" t="s">
        <v>119</v>
      </c>
      <c r="P104" t="e" cm="1">
        <f t="array" aca="1" ref="P104" ca="1">_xludf.XLOOKUP(K$23,$BX$169:$CG$169,_xludf.XLOOKUP($D$11,$BW$170:$BW$176,$BX$170:$CG$176))</f>
        <v>#NAME?</v>
      </c>
      <c r="Q104" t="e">
        <f t="shared" ca="1" si="34"/>
        <v>#NAME?</v>
      </c>
      <c r="T104">
        <f t="shared" si="46"/>
        <v>0</v>
      </c>
      <c r="V104">
        <v>1</v>
      </c>
      <c r="W104">
        <v>0</v>
      </c>
      <c r="X104">
        <v>0</v>
      </c>
      <c r="Y104">
        <f t="shared" si="35"/>
        <v>0</v>
      </c>
      <c r="Z104">
        <f t="shared" si="44"/>
        <v>-1.0369999999999999</v>
      </c>
      <c r="AA104" t="e">
        <f t="shared" ca="1" si="36"/>
        <v>#NAME?</v>
      </c>
      <c r="AB104">
        <f t="shared" si="37"/>
        <v>1</v>
      </c>
      <c r="AC104">
        <f t="shared" si="38"/>
        <v>1.4042250000000001</v>
      </c>
      <c r="AD104">
        <f t="shared" si="47"/>
        <v>1.22673096</v>
      </c>
      <c r="AE104">
        <f t="shared" si="48"/>
        <v>5.7714060544358416E-5</v>
      </c>
      <c r="AF104">
        <f t="shared" si="49"/>
        <v>6.9098751939409913E-4</v>
      </c>
      <c r="AG104">
        <f t="shared" si="39"/>
        <v>0</v>
      </c>
      <c r="AH104">
        <f t="shared" si="40"/>
        <v>0</v>
      </c>
      <c r="AI104">
        <f t="shared" si="45"/>
        <v>3.2193644299200004E-3</v>
      </c>
      <c r="AJ104">
        <f t="shared" si="41"/>
        <v>0</v>
      </c>
      <c r="AK104" t="e">
        <f t="shared" ca="1" si="42"/>
        <v>#NAME?</v>
      </c>
      <c r="AL104" t="e">
        <f t="shared" ca="1" si="43"/>
        <v>#NAME?</v>
      </c>
    </row>
    <row r="105" spans="11:85" x14ac:dyDescent="0.2">
      <c r="L105" t="s">
        <v>120</v>
      </c>
      <c r="P105" t="e" cm="1">
        <f t="array" aca="1" ref="P105" ca="1">_xludf.XLOOKUP(K$23,$BX$169:$CG$169,_xludf.XLOOKUP($D$11,$BW$170:$BW$176,$BX$170:$CG$176))</f>
        <v>#NAME?</v>
      </c>
      <c r="Q105" t="e">
        <f t="shared" ca="1" si="34"/>
        <v>#NAME?</v>
      </c>
      <c r="T105">
        <f t="shared" si="46"/>
        <v>0</v>
      </c>
      <c r="V105">
        <v>1</v>
      </c>
      <c r="W105">
        <v>0</v>
      </c>
      <c r="X105">
        <v>0</v>
      </c>
      <c r="Y105">
        <f t="shared" si="35"/>
        <v>0</v>
      </c>
      <c r="Z105">
        <f t="shared" si="44"/>
        <v>-1.0369999999999999</v>
      </c>
      <c r="AA105" t="e">
        <f t="shared" ca="1" si="36"/>
        <v>#NAME?</v>
      </c>
      <c r="AB105">
        <f t="shared" si="37"/>
        <v>1</v>
      </c>
      <c r="AC105">
        <f t="shared" si="38"/>
        <v>1.4042250000000001</v>
      </c>
      <c r="AD105">
        <f t="shared" si="47"/>
        <v>1.22673096</v>
      </c>
      <c r="AE105">
        <f t="shared" si="48"/>
        <v>5.7714060544358416E-5</v>
      </c>
      <c r="AF105">
        <f t="shared" si="49"/>
        <v>6.9098751939409913E-4</v>
      </c>
      <c r="AG105">
        <f t="shared" si="39"/>
        <v>0</v>
      </c>
      <c r="AH105">
        <f t="shared" si="40"/>
        <v>0</v>
      </c>
      <c r="AI105">
        <f t="shared" si="45"/>
        <v>3.2193644299200004E-3</v>
      </c>
      <c r="AJ105">
        <f t="shared" si="41"/>
        <v>0</v>
      </c>
      <c r="AK105" t="e">
        <f t="shared" ca="1" si="42"/>
        <v>#NAME?</v>
      </c>
      <c r="AL105" t="e">
        <f t="shared" ca="1" si="43"/>
        <v>#NAME?</v>
      </c>
    </row>
    <row r="106" spans="11:85" x14ac:dyDescent="0.2">
      <c r="L106" t="s">
        <v>121</v>
      </c>
      <c r="P106" t="e" cm="1">
        <f t="array" aca="1" ref="P106" ca="1">_xludf.XLOOKUP(K$23,$BX$169:$CG$169,_xludf.XLOOKUP($D$11,$BW$170:$BW$176,$BX$170:$CG$176))</f>
        <v>#NAME?</v>
      </c>
      <c r="Q106" t="e">
        <f t="shared" ca="1" si="34"/>
        <v>#NAME?</v>
      </c>
      <c r="T106">
        <f t="shared" si="46"/>
        <v>0</v>
      </c>
      <c r="V106">
        <v>1</v>
      </c>
      <c r="W106">
        <v>0</v>
      </c>
      <c r="X106">
        <v>0</v>
      </c>
      <c r="Y106">
        <f t="shared" si="35"/>
        <v>0</v>
      </c>
      <c r="Z106">
        <f t="shared" si="44"/>
        <v>-1.0369999999999999</v>
      </c>
      <c r="AA106" t="e">
        <f t="shared" ca="1" si="36"/>
        <v>#NAME?</v>
      </c>
      <c r="AB106">
        <f t="shared" si="37"/>
        <v>1</v>
      </c>
      <c r="AC106">
        <f t="shared" si="38"/>
        <v>1.4042250000000001</v>
      </c>
      <c r="AD106">
        <f t="shared" si="47"/>
        <v>1.22673096</v>
      </c>
      <c r="AE106">
        <f t="shared" si="48"/>
        <v>5.7714060544358416E-5</v>
      </c>
      <c r="AF106">
        <f t="shared" si="49"/>
        <v>6.9098751939409913E-4</v>
      </c>
      <c r="AG106">
        <f t="shared" si="39"/>
        <v>0</v>
      </c>
      <c r="AH106">
        <f t="shared" si="40"/>
        <v>0</v>
      </c>
      <c r="AI106">
        <f t="shared" si="45"/>
        <v>3.2193644299200004E-3</v>
      </c>
      <c r="AJ106">
        <f t="shared" si="41"/>
        <v>0</v>
      </c>
      <c r="AK106" t="e">
        <f t="shared" ca="1" si="42"/>
        <v>#NAME?</v>
      </c>
      <c r="AL106" t="e">
        <f t="shared" ca="1" si="43"/>
        <v>#NAME?</v>
      </c>
      <c r="BU106" t="s">
        <v>184</v>
      </c>
      <c r="BX106" t="s">
        <v>116</v>
      </c>
      <c r="BY106" t="s">
        <v>122</v>
      </c>
      <c r="BZ106" t="s">
        <v>141</v>
      </c>
      <c r="CA106" t="s">
        <v>146</v>
      </c>
      <c r="CB106" t="s">
        <v>152</v>
      </c>
      <c r="CC106" t="s">
        <v>156</v>
      </c>
      <c r="CD106" t="s">
        <v>164</v>
      </c>
      <c r="CE106" t="s">
        <v>169</v>
      </c>
      <c r="CF106" t="s">
        <v>171</v>
      </c>
      <c r="CG106" t="s">
        <v>176</v>
      </c>
    </row>
    <row r="107" spans="11:85" x14ac:dyDescent="0.2">
      <c r="K107" t="s">
        <v>152</v>
      </c>
      <c r="L107" t="s">
        <v>117</v>
      </c>
      <c r="M107">
        <v>100</v>
      </c>
      <c r="N107" t="e" cm="1">
        <f t="array" aca="1" ref="N107" ca="1">_xludf.XLOOKUP(K107, $BX$46:$CG$46, $BX$47:$CG$50)</f>
        <v>#NAME?</v>
      </c>
      <c r="O107" t="e" cm="1">
        <f t="array" aca="1" ref="O107" ca="1">_xludf.XLOOKUP(K107, $BX$106:$CG$106, $BX$107:$CG$110)</f>
        <v>#NAME?</v>
      </c>
      <c r="P107" t="e" cm="1">
        <f t="array" aca="1" ref="P107" ca="1">_xludf.XLOOKUP(K$27,$BX$169:$CG$169,_xludf.XLOOKUP($D$11,$BW$170:$BW$176,$BX$170:$CG$176))</f>
        <v>#NAME?</v>
      </c>
      <c r="Q107" t="e">
        <f t="shared" ref="Q107:Q130" ca="1" si="50">N107/P107</f>
        <v>#NAME?</v>
      </c>
      <c r="R107">
        <v>0.7</v>
      </c>
      <c r="T107">
        <f t="shared" si="46"/>
        <v>0.7</v>
      </c>
      <c r="U107">
        <f t="shared" ref="U107:U114" si="51">1+(0.3*R107)+(0.1*S107)</f>
        <v>1.21</v>
      </c>
      <c r="V107">
        <f t="shared" ref="V107:V114" si="52">(T107*U107)+(1 - T107)</f>
        <v>1.147</v>
      </c>
      <c r="W107">
        <v>0</v>
      </c>
      <c r="X107">
        <f>VLOOKUP($G$11, $CL$17:$CN$25, 2, FALSE)</f>
        <v>6</v>
      </c>
      <c r="Y107">
        <f t="shared" ref="Y107:Y130" si="53">T107*X107</f>
        <v>4.1999999999999993</v>
      </c>
      <c r="Z107" t="e">
        <f t="shared" ca="1" si="44"/>
        <v>#NAME?</v>
      </c>
      <c r="AA107" t="e">
        <f t="shared" ref="AA107:AA130" ca="1" si="54">(0.032 * Y107 /6.38) + ((0.212 - 0.008 * (AB107 - 2) - ((0.14 - 0.008 * (AB107 - 2)) / (1 + EXP(-6 * (Q107 - 0.4))))) * (O107 * 0.92)) / 6.25</f>
        <v>#NAME?</v>
      </c>
      <c r="AB107" t="e">
        <f t="shared" ref="AB107:AB130" ca="1" si="55">AC107 / ((1.185 + 0.00454 * N107 - 0.0000026 * N107 ^ 2 ) ^ 2 * V107)</f>
        <v>#NAME?</v>
      </c>
      <c r="AC107" t="e">
        <f t="shared" ref="AC107:AC130" ca="1" si="56">(1.185 + 0.00454 * N107 - 0.0000026 * N107^2 + 0.315 * O107)^2 * V107</f>
        <v>#NAME?</v>
      </c>
      <c r="AD107" t="e">
        <f t="shared" ca="1" si="47"/>
        <v>#NAME?</v>
      </c>
      <c r="AE107" t="e">
        <f t="shared" ca="1" si="48"/>
        <v>#NAME?</v>
      </c>
      <c r="AF107" t="e">
        <f t="shared" ca="1" si="49"/>
        <v>#NAME?</v>
      </c>
      <c r="AG107" t="e">
        <f t="shared" ref="AG107:AG130" ca="1" si="57">M107*AE107*91.25</f>
        <v>#NAME?</v>
      </c>
      <c r="AH107" t="e">
        <f t="shared" ref="AH107:AH130" ca="1" si="58">M107*AF107*91.25</f>
        <v>#NAME?</v>
      </c>
      <c r="AI107" t="e">
        <f t="shared" ca="1" si="45"/>
        <v>#NAME?</v>
      </c>
      <c r="AJ107" t="e">
        <f t="shared" ref="AJ107:AJ130" ca="1" si="59">M107*AI107*91.25</f>
        <v>#NAME?</v>
      </c>
      <c r="AK107" t="e">
        <f t="shared" ref="AK107:AK130" ca="1" si="60">(AC107 * $AN107 / 6.25) + (0.032 * W107 / 6.38) - AA107 - AI107 - ((1.1 * (10 ^ -4) * (N107 ^ 0.75)) / 6.25)</f>
        <v>#NAME?</v>
      </c>
      <c r="AL107" t="e">
        <f t="shared" ref="AL107:AL130" ca="1" si="61">M107*AK107*91.25</f>
        <v>#NAME?</v>
      </c>
      <c r="AM107" t="e" cm="1">
        <f t="array" aca="1" ref="AM107" ca="1">_xludf.XLOOKUP(G$91,$BV$17:$CD$17,$BV$18:$CD$21)</f>
        <v>#NAME?</v>
      </c>
      <c r="AN107" t="e" cm="1">
        <f t="array" aca="1" ref="AN107" ca="1">_xludf.XLOOKUP(G$91,$BV$29:$CD$29,$BV$30:$CD$33)</f>
        <v>#NAME?</v>
      </c>
      <c r="BU107" t="s">
        <v>113</v>
      </c>
      <c r="BW107" t="s">
        <v>117</v>
      </c>
      <c r="BX107">
        <v>0.5</v>
      </c>
      <c r="BY107">
        <v>0.2</v>
      </c>
      <c r="BZ107">
        <v>0.5</v>
      </c>
      <c r="CA107">
        <v>0.4</v>
      </c>
      <c r="CB107">
        <v>0.3</v>
      </c>
      <c r="CC107">
        <v>0.3</v>
      </c>
      <c r="CD107">
        <v>0.5</v>
      </c>
      <c r="CE107">
        <v>0.4</v>
      </c>
      <c r="CF107">
        <v>0.4</v>
      </c>
      <c r="CG107">
        <v>0.4</v>
      </c>
    </row>
    <row r="108" spans="11:85" x14ac:dyDescent="0.2">
      <c r="L108" t="s">
        <v>119</v>
      </c>
      <c r="M108">
        <v>110</v>
      </c>
      <c r="P108" t="e" cm="1">
        <f t="array" aca="1" ref="P108" ca="1">_xludf.XLOOKUP(K$27,$BX$169:$CG$169,_xludf.XLOOKUP($D$11,$BW$170:$BW$176,$BX$170:$CG$176))</f>
        <v>#NAME?</v>
      </c>
      <c r="Q108" t="e">
        <f t="shared" ca="1" si="50"/>
        <v>#NAME?</v>
      </c>
      <c r="R108">
        <v>0.3</v>
      </c>
      <c r="S108">
        <v>0.7</v>
      </c>
      <c r="T108">
        <f t="shared" si="46"/>
        <v>1</v>
      </c>
      <c r="U108">
        <f t="shared" si="51"/>
        <v>1.1600000000000001</v>
      </c>
      <c r="V108">
        <f t="shared" si="52"/>
        <v>1.1600000000000001</v>
      </c>
      <c r="W108">
        <v>0</v>
      </c>
      <c r="X108">
        <f>VLOOKUP($G$11, $CL$17:$CN$25, 3, FALSE)</f>
        <v>4</v>
      </c>
      <c r="Y108">
        <f t="shared" si="53"/>
        <v>4</v>
      </c>
      <c r="Z108">
        <f t="shared" si="44"/>
        <v>-1.0369999999999999</v>
      </c>
      <c r="AA108" t="e">
        <f t="shared" ca="1" si="54"/>
        <v>#NAME?</v>
      </c>
      <c r="AB108">
        <f t="shared" si="55"/>
        <v>1</v>
      </c>
      <c r="AC108">
        <f t="shared" si="56"/>
        <v>1.6289010000000002</v>
      </c>
      <c r="AD108">
        <f t="shared" si="47"/>
        <v>1.4230079136</v>
      </c>
      <c r="AE108">
        <f t="shared" si="48"/>
        <v>6.6948310231455756E-5</v>
      </c>
      <c r="AF108">
        <f t="shared" si="49"/>
        <v>8.01545522497155E-4</v>
      </c>
      <c r="AG108">
        <f t="shared" si="57"/>
        <v>0.67199366394823712</v>
      </c>
      <c r="AH108">
        <f t="shared" si="58"/>
        <v>8.0455131820651928</v>
      </c>
      <c r="AI108">
        <f t="shared" si="45"/>
        <v>3.7344627387072005E-3</v>
      </c>
      <c r="AJ108">
        <f t="shared" si="59"/>
        <v>37.484669739773523</v>
      </c>
      <c r="AK108" t="e">
        <f t="shared" ca="1" si="60"/>
        <v>#NAME?</v>
      </c>
      <c r="AL108" t="e">
        <f t="shared" ca="1" si="61"/>
        <v>#NAME?</v>
      </c>
      <c r="BW108" t="s">
        <v>119</v>
      </c>
      <c r="BX108">
        <v>1</v>
      </c>
      <c r="BY108">
        <v>0.4</v>
      </c>
      <c r="BZ108">
        <v>0.9</v>
      </c>
      <c r="CA108">
        <v>0.7</v>
      </c>
      <c r="CB108">
        <v>0.3</v>
      </c>
      <c r="CC108">
        <v>0.3</v>
      </c>
      <c r="CD108">
        <v>0.9</v>
      </c>
      <c r="CE108">
        <v>0.4</v>
      </c>
      <c r="CF108">
        <v>0.4</v>
      </c>
      <c r="CG108">
        <v>0.4</v>
      </c>
    </row>
    <row r="109" spans="11:85" x14ac:dyDescent="0.2">
      <c r="L109" t="s">
        <v>120</v>
      </c>
      <c r="M109">
        <v>120</v>
      </c>
      <c r="P109" t="e" cm="1">
        <f t="array" aca="1" ref="P109" ca="1">_xludf.XLOOKUP(K$27,$BX$169:$CG$169,_xludf.XLOOKUP($D$11,$BW$170:$BW$176,$BX$170:$CG$176))</f>
        <v>#NAME?</v>
      </c>
      <c r="Q109" t="e">
        <f t="shared" ca="1" si="50"/>
        <v>#NAME?</v>
      </c>
      <c r="R109">
        <v>0</v>
      </c>
      <c r="S109">
        <v>0.3</v>
      </c>
      <c r="T109">
        <f t="shared" si="46"/>
        <v>0.3</v>
      </c>
      <c r="U109">
        <f t="shared" si="51"/>
        <v>1.03</v>
      </c>
      <c r="V109">
        <f t="shared" si="52"/>
        <v>1.0089999999999999</v>
      </c>
      <c r="W109">
        <v>0</v>
      </c>
      <c r="X109">
        <v>0</v>
      </c>
      <c r="Y109">
        <f t="shared" si="53"/>
        <v>0</v>
      </c>
      <c r="Z109">
        <f t="shared" si="44"/>
        <v>-1.0369999999999999</v>
      </c>
      <c r="AA109" t="e">
        <f t="shared" ca="1" si="54"/>
        <v>#NAME?</v>
      </c>
      <c r="AB109">
        <f t="shared" si="55"/>
        <v>1</v>
      </c>
      <c r="AC109">
        <f t="shared" si="56"/>
        <v>1.4168630249999998</v>
      </c>
      <c r="AD109">
        <f t="shared" si="47"/>
        <v>1.2377715386399997</v>
      </c>
      <c r="AE109">
        <f t="shared" si="48"/>
        <v>5.823348708925761E-5</v>
      </c>
      <c r="AF109">
        <f t="shared" si="49"/>
        <v>6.9720640706864595E-4</v>
      </c>
      <c r="AG109">
        <f t="shared" si="57"/>
        <v>0.63765668362737082</v>
      </c>
      <c r="AH109">
        <f t="shared" si="58"/>
        <v>7.6344101574016729</v>
      </c>
      <c r="AI109">
        <f t="shared" si="45"/>
        <v>3.2483387097892798E-3</v>
      </c>
      <c r="AJ109">
        <f t="shared" si="59"/>
        <v>35.569308872192615</v>
      </c>
      <c r="AK109" t="e">
        <f t="shared" ca="1" si="60"/>
        <v>#NAME?</v>
      </c>
      <c r="AL109" t="e">
        <f t="shared" ca="1" si="61"/>
        <v>#NAME?</v>
      </c>
      <c r="BW109" t="s">
        <v>120</v>
      </c>
      <c r="BX109">
        <v>0.8</v>
      </c>
      <c r="BY109">
        <v>0.3</v>
      </c>
      <c r="BZ109">
        <v>0.7</v>
      </c>
      <c r="CA109">
        <v>0.3</v>
      </c>
      <c r="CB109">
        <v>0.2</v>
      </c>
      <c r="CC109">
        <v>0.2</v>
      </c>
      <c r="CD109">
        <v>0.7</v>
      </c>
      <c r="CE109">
        <v>0.3</v>
      </c>
      <c r="CF109">
        <v>0.3</v>
      </c>
      <c r="CG109">
        <v>0.3</v>
      </c>
    </row>
    <row r="110" spans="11:85" x14ac:dyDescent="0.2">
      <c r="L110" t="s">
        <v>121</v>
      </c>
      <c r="M110">
        <v>130</v>
      </c>
      <c r="P110" t="e" cm="1">
        <f t="array" aca="1" ref="P110" ca="1">_xludf.XLOOKUP(K$27,$BX$169:$CG$169,_xludf.XLOOKUP($D$11,$BW$170:$BW$176,$BX$170:$CG$176))</f>
        <v>#NAME?</v>
      </c>
      <c r="Q110" t="e">
        <f t="shared" ca="1" si="50"/>
        <v>#NAME?</v>
      </c>
      <c r="R110">
        <v>0</v>
      </c>
      <c r="S110">
        <v>0</v>
      </c>
      <c r="T110">
        <f t="shared" si="46"/>
        <v>0</v>
      </c>
      <c r="U110">
        <f t="shared" si="51"/>
        <v>1</v>
      </c>
      <c r="V110">
        <f t="shared" si="52"/>
        <v>1</v>
      </c>
      <c r="W110">
        <v>0</v>
      </c>
      <c r="X110">
        <v>0</v>
      </c>
      <c r="Y110">
        <f t="shared" si="53"/>
        <v>0</v>
      </c>
      <c r="Z110">
        <f t="shared" si="44"/>
        <v>-1.0369999999999999</v>
      </c>
      <c r="AA110" t="e">
        <f t="shared" ca="1" si="54"/>
        <v>#NAME?</v>
      </c>
      <c r="AB110">
        <f t="shared" si="55"/>
        <v>1</v>
      </c>
      <c r="AC110">
        <f t="shared" si="56"/>
        <v>1.4042250000000001</v>
      </c>
      <c r="AD110">
        <f t="shared" si="47"/>
        <v>1.22673096</v>
      </c>
      <c r="AE110">
        <f t="shared" si="48"/>
        <v>5.7714060544358416E-5</v>
      </c>
      <c r="AF110">
        <f t="shared" si="49"/>
        <v>6.9098751939409913E-4</v>
      </c>
      <c r="AG110">
        <f t="shared" si="57"/>
        <v>0.68463304320745177</v>
      </c>
      <c r="AH110">
        <f t="shared" si="58"/>
        <v>8.1968394488125007</v>
      </c>
      <c r="AI110">
        <f t="shared" si="45"/>
        <v>3.2193644299200004E-3</v>
      </c>
      <c r="AJ110">
        <f t="shared" si="59"/>
        <v>38.189710549926005</v>
      </c>
      <c r="AK110" t="e">
        <f t="shared" ca="1" si="60"/>
        <v>#NAME?</v>
      </c>
      <c r="AL110" t="e">
        <f t="shared" ca="1" si="61"/>
        <v>#NAME?</v>
      </c>
      <c r="BW110" t="s">
        <v>121</v>
      </c>
      <c r="BX110">
        <v>0.4</v>
      </c>
      <c r="BY110">
        <v>0.1</v>
      </c>
      <c r="BZ110">
        <v>0.4</v>
      </c>
      <c r="CA110">
        <v>0.2</v>
      </c>
      <c r="CB110">
        <v>0.1</v>
      </c>
      <c r="CC110">
        <v>0.1</v>
      </c>
      <c r="CD110">
        <v>0.4</v>
      </c>
      <c r="CE110">
        <v>0.1</v>
      </c>
      <c r="CF110">
        <v>0.1</v>
      </c>
      <c r="CG110">
        <v>0.1</v>
      </c>
    </row>
    <row r="111" spans="11:85" x14ac:dyDescent="0.2">
      <c r="K111" t="s">
        <v>156</v>
      </c>
      <c r="L111" t="s">
        <v>117</v>
      </c>
      <c r="M111">
        <v>50</v>
      </c>
      <c r="N111" t="e" cm="1">
        <f t="array" aca="1" ref="N111" ca="1">_xludf.XLOOKUP(K111, $BX$46:$CG$46, $BX$47:$CG$50)</f>
        <v>#NAME?</v>
      </c>
      <c r="O111" t="e" cm="1">
        <f t="array" aca="1" ref="O111" ca="1">_xludf.XLOOKUP(K111, $BX$106:$CG$106, $BX$107:$CG$110)</f>
        <v>#NAME?</v>
      </c>
      <c r="P111" t="e" cm="1">
        <f t="array" aca="1" ref="P111" ca="1">_xludf.XLOOKUP(K$31,$BX$169:$CG$169,_xludf.XLOOKUP($D$11,$BW$170:$BW$176,$BX$170:$CG$176))</f>
        <v>#NAME?</v>
      </c>
      <c r="Q111" t="e">
        <f t="shared" ca="1" si="50"/>
        <v>#NAME?</v>
      </c>
      <c r="R111">
        <v>0.6</v>
      </c>
      <c r="S111">
        <v>0.4</v>
      </c>
      <c r="T111">
        <f t="shared" si="46"/>
        <v>1</v>
      </c>
      <c r="U111">
        <f t="shared" si="51"/>
        <v>1.22</v>
      </c>
      <c r="V111">
        <f t="shared" si="52"/>
        <v>1.22</v>
      </c>
      <c r="W111">
        <v>0</v>
      </c>
      <c r="X111">
        <f>VLOOKUP($G$11, $CL$17:$CN$25, 2, FALSE)</f>
        <v>6</v>
      </c>
      <c r="Y111">
        <f t="shared" si="53"/>
        <v>6</v>
      </c>
      <c r="Z111" t="e">
        <f t="shared" ca="1" si="44"/>
        <v>#NAME?</v>
      </c>
      <c r="AA111" t="e">
        <f t="shared" ca="1" si="54"/>
        <v>#NAME?</v>
      </c>
      <c r="AB111" t="e">
        <f t="shared" ca="1" si="55"/>
        <v>#NAME?</v>
      </c>
      <c r="AC111" t="e">
        <f t="shared" ca="1" si="56"/>
        <v>#NAME?</v>
      </c>
      <c r="AD111" t="e">
        <f t="shared" ca="1" si="47"/>
        <v>#NAME?</v>
      </c>
      <c r="AE111" t="e">
        <f t="shared" ca="1" si="48"/>
        <v>#NAME?</v>
      </c>
      <c r="AF111" t="e">
        <f t="shared" ca="1" si="49"/>
        <v>#NAME?</v>
      </c>
      <c r="AG111" t="e">
        <f t="shared" ca="1" si="57"/>
        <v>#NAME?</v>
      </c>
      <c r="AH111" t="e">
        <f t="shared" ca="1" si="58"/>
        <v>#NAME?</v>
      </c>
      <c r="AI111" t="e">
        <f t="shared" ca="1" si="45"/>
        <v>#NAME?</v>
      </c>
      <c r="AJ111" t="e">
        <f t="shared" ca="1" si="59"/>
        <v>#NAME?</v>
      </c>
      <c r="AK111" t="e">
        <f t="shared" ca="1" si="60"/>
        <v>#NAME?</v>
      </c>
      <c r="AL111" t="e">
        <f t="shared" ca="1" si="61"/>
        <v>#NAME?</v>
      </c>
      <c r="AM111" t="e" cm="1">
        <f t="array" aca="1" ref="AM111" ca="1">_xludf.XLOOKUP(G$91,$BV$17:$CD$17,$BV$18:$CD$21)</f>
        <v>#NAME?</v>
      </c>
      <c r="AN111" t="e" cm="1">
        <f t="array" aca="1" ref="AN111" ca="1">_xludf.XLOOKUP(G$91,$BV$29:$CD$29,$BV$30:$CD$33)</f>
        <v>#NAME?</v>
      </c>
      <c r="BU111" t="s">
        <v>178</v>
      </c>
      <c r="BW111" t="s">
        <v>117</v>
      </c>
      <c r="BX111">
        <v>0.99</v>
      </c>
      <c r="BY111">
        <v>1.1000000000000001</v>
      </c>
      <c r="BZ111">
        <v>0.88</v>
      </c>
      <c r="CA111">
        <v>0.55000000000000004</v>
      </c>
      <c r="CB111">
        <v>0.55000000000000004</v>
      </c>
      <c r="CC111">
        <v>0.55000000000000004</v>
      </c>
      <c r="CD111">
        <v>0.88</v>
      </c>
      <c r="CE111">
        <v>0.22</v>
      </c>
      <c r="CF111">
        <v>0.22</v>
      </c>
      <c r="CG111">
        <v>0.22</v>
      </c>
    </row>
    <row r="112" spans="11:85" x14ac:dyDescent="0.2">
      <c r="L112" t="s">
        <v>119</v>
      </c>
      <c r="M112">
        <v>60</v>
      </c>
      <c r="P112" t="e" cm="1">
        <f t="array" aca="1" ref="P112" ca="1">_xludf.XLOOKUP(K$31,$BX$169:$CG$169,_xludf.XLOOKUP($D$11,$BW$170:$BW$176,$BX$170:$CG$176))</f>
        <v>#NAME?</v>
      </c>
      <c r="Q112" t="e">
        <f t="shared" ca="1" si="50"/>
        <v>#NAME?</v>
      </c>
      <c r="R112">
        <v>0</v>
      </c>
      <c r="S112">
        <v>0.6</v>
      </c>
      <c r="T112">
        <f t="shared" si="46"/>
        <v>0.6</v>
      </c>
      <c r="U112">
        <f t="shared" si="51"/>
        <v>1.06</v>
      </c>
      <c r="V112">
        <f t="shared" si="52"/>
        <v>1.036</v>
      </c>
      <c r="W112">
        <v>0</v>
      </c>
      <c r="X112">
        <f>VLOOKUP($G$11, $CL$17:$CN$25, 3, FALSE)</f>
        <v>4</v>
      </c>
      <c r="Y112">
        <f t="shared" si="53"/>
        <v>2.4</v>
      </c>
      <c r="Z112">
        <f t="shared" si="44"/>
        <v>-1.0369999999999999</v>
      </c>
      <c r="AA112" t="e">
        <f t="shared" ca="1" si="54"/>
        <v>#NAME?</v>
      </c>
      <c r="AB112">
        <f t="shared" si="55"/>
        <v>1</v>
      </c>
      <c r="AC112">
        <f t="shared" si="56"/>
        <v>1.4547771</v>
      </c>
      <c r="AD112">
        <f t="shared" si="47"/>
        <v>1.2708932745599999</v>
      </c>
      <c r="AE112">
        <f t="shared" si="48"/>
        <v>5.9791766723955305E-5</v>
      </c>
      <c r="AF112">
        <f t="shared" si="49"/>
        <v>7.1586307009228653E-4</v>
      </c>
      <c r="AG112">
        <f t="shared" si="57"/>
        <v>0.32735992281365528</v>
      </c>
      <c r="AH112">
        <f t="shared" si="58"/>
        <v>3.9193503087552686</v>
      </c>
      <c r="AI112">
        <f t="shared" si="45"/>
        <v>3.3352615493971198E-3</v>
      </c>
      <c r="AJ112">
        <f t="shared" si="59"/>
        <v>18.260556982949232</v>
      </c>
      <c r="AK112" t="e">
        <f t="shared" ca="1" si="60"/>
        <v>#NAME?</v>
      </c>
      <c r="AL112" t="e">
        <f t="shared" ca="1" si="61"/>
        <v>#NAME?</v>
      </c>
      <c r="BW112" t="s">
        <v>119</v>
      </c>
      <c r="BX112">
        <v>0.77</v>
      </c>
      <c r="BY112">
        <v>0</v>
      </c>
      <c r="BZ112">
        <v>0.66</v>
      </c>
      <c r="CA112">
        <v>0.22</v>
      </c>
      <c r="CB112">
        <v>0</v>
      </c>
      <c r="CC112">
        <v>0</v>
      </c>
      <c r="CD112">
        <v>0.66</v>
      </c>
      <c r="CE112">
        <v>0</v>
      </c>
      <c r="CF112">
        <v>0</v>
      </c>
      <c r="CG112">
        <v>0</v>
      </c>
    </row>
    <row r="113" spans="11:85" x14ac:dyDescent="0.2">
      <c r="L113" t="s">
        <v>120</v>
      </c>
      <c r="M113">
        <v>70</v>
      </c>
      <c r="P113" t="e" cm="1">
        <f t="array" aca="1" ref="P113" ca="1">_xludf.XLOOKUP(K$31,$BX$169:$CG$169,_xludf.XLOOKUP($D$11,$BW$170:$BW$176,$BX$170:$CG$176))</f>
        <v>#NAME?</v>
      </c>
      <c r="Q113" t="e">
        <f t="shared" ca="1" si="50"/>
        <v>#NAME?</v>
      </c>
      <c r="R113">
        <v>0</v>
      </c>
      <c r="S113">
        <v>0</v>
      </c>
      <c r="T113">
        <f t="shared" si="46"/>
        <v>0</v>
      </c>
      <c r="U113">
        <f t="shared" si="51"/>
        <v>1</v>
      </c>
      <c r="V113">
        <f t="shared" si="52"/>
        <v>1</v>
      </c>
      <c r="W113">
        <v>0</v>
      </c>
      <c r="X113">
        <v>0</v>
      </c>
      <c r="Y113">
        <f t="shared" si="53"/>
        <v>0</v>
      </c>
      <c r="Z113">
        <f t="shared" si="44"/>
        <v>-1.0369999999999999</v>
      </c>
      <c r="AA113" t="e">
        <f t="shared" ca="1" si="54"/>
        <v>#NAME?</v>
      </c>
      <c r="AB113">
        <f t="shared" si="55"/>
        <v>1</v>
      </c>
      <c r="AC113">
        <f t="shared" si="56"/>
        <v>1.4042250000000001</v>
      </c>
      <c r="AD113">
        <f t="shared" si="47"/>
        <v>1.22673096</v>
      </c>
      <c r="AE113">
        <f t="shared" si="48"/>
        <v>5.7714060544358416E-5</v>
      </c>
      <c r="AF113">
        <f t="shared" si="49"/>
        <v>6.9098751939409913E-4</v>
      </c>
      <c r="AG113">
        <f t="shared" si="57"/>
        <v>0.36864856172708943</v>
      </c>
      <c r="AH113">
        <f t="shared" si="58"/>
        <v>4.4136827801298084</v>
      </c>
      <c r="AI113">
        <f t="shared" si="45"/>
        <v>3.2193644299200004E-3</v>
      </c>
      <c r="AJ113">
        <f t="shared" si="59"/>
        <v>20.563690296114004</v>
      </c>
      <c r="AK113" t="e">
        <f t="shared" ca="1" si="60"/>
        <v>#NAME?</v>
      </c>
      <c r="AL113" t="e">
        <f t="shared" ca="1" si="61"/>
        <v>#NAME?</v>
      </c>
      <c r="BW113" t="s">
        <v>120</v>
      </c>
      <c r="BX113">
        <v>0.9</v>
      </c>
      <c r="BY113">
        <v>-1.1000000000000001</v>
      </c>
      <c r="BZ113">
        <v>0.7</v>
      </c>
      <c r="CA113">
        <v>0.22</v>
      </c>
      <c r="CB113">
        <v>-0.55000000000000004</v>
      </c>
      <c r="CC113">
        <v>-0.55000000000000004</v>
      </c>
      <c r="CD113">
        <v>0.8</v>
      </c>
      <c r="CE113">
        <v>-0.22</v>
      </c>
      <c r="CF113">
        <v>-0.22</v>
      </c>
      <c r="CG113">
        <v>-0.22</v>
      </c>
    </row>
    <row r="114" spans="11:85" x14ac:dyDescent="0.2">
      <c r="L114" t="s">
        <v>121</v>
      </c>
      <c r="M114">
        <v>80</v>
      </c>
      <c r="P114" t="e" cm="1">
        <f t="array" aca="1" ref="P114" ca="1">_xludf.XLOOKUP(K$31,$BX$169:$CG$169,_xludf.XLOOKUP($D$11,$BW$170:$BW$176,$BX$170:$CG$176))</f>
        <v>#NAME?</v>
      </c>
      <c r="Q114" t="e">
        <f t="shared" ca="1" si="50"/>
        <v>#NAME?</v>
      </c>
      <c r="R114">
        <v>0.4</v>
      </c>
      <c r="S114">
        <v>0</v>
      </c>
      <c r="T114">
        <f t="shared" si="46"/>
        <v>0.4</v>
      </c>
      <c r="U114">
        <f t="shared" si="51"/>
        <v>1.1200000000000001</v>
      </c>
      <c r="V114">
        <f t="shared" si="52"/>
        <v>1.048</v>
      </c>
      <c r="W114">
        <v>0</v>
      </c>
      <c r="X114">
        <v>0</v>
      </c>
      <c r="Y114">
        <f t="shared" si="53"/>
        <v>0</v>
      </c>
      <c r="Z114">
        <f t="shared" si="44"/>
        <v>-1.0369999999999999</v>
      </c>
      <c r="AA114" t="e">
        <f t="shared" ca="1" si="54"/>
        <v>#NAME?</v>
      </c>
      <c r="AB114">
        <f t="shared" si="55"/>
        <v>1</v>
      </c>
      <c r="AC114">
        <f t="shared" si="56"/>
        <v>1.4716278</v>
      </c>
      <c r="AD114">
        <f t="shared" si="47"/>
        <v>1.2856140460800001</v>
      </c>
      <c r="AE114">
        <f t="shared" si="48"/>
        <v>6.0484335450487611E-5</v>
      </c>
      <c r="AF114">
        <f t="shared" si="49"/>
        <v>7.2415492032501592E-4</v>
      </c>
      <c r="AG114">
        <f t="shared" si="57"/>
        <v>0.44153564878855955</v>
      </c>
      <c r="AH114">
        <f t="shared" si="58"/>
        <v>5.2863309183726166</v>
      </c>
      <c r="AI114">
        <f t="shared" si="45"/>
        <v>3.3738939225561606E-3</v>
      </c>
      <c r="AJ114">
        <f t="shared" si="59"/>
        <v>24.629425634659974</v>
      </c>
      <c r="AK114" t="e">
        <f t="shared" ca="1" si="60"/>
        <v>#NAME?</v>
      </c>
      <c r="AL114" t="e">
        <f t="shared" ca="1" si="61"/>
        <v>#NAME?</v>
      </c>
      <c r="BW114" t="s">
        <v>121</v>
      </c>
      <c r="BX114">
        <v>0.88</v>
      </c>
      <c r="BY114">
        <v>0</v>
      </c>
      <c r="BZ114">
        <v>0.77</v>
      </c>
      <c r="CA114">
        <v>0.55000000000000004</v>
      </c>
      <c r="CB114">
        <v>0</v>
      </c>
      <c r="CC114">
        <v>0</v>
      </c>
      <c r="CD114">
        <v>0.82</v>
      </c>
      <c r="CE114">
        <v>0</v>
      </c>
      <c r="CF114">
        <v>0</v>
      </c>
      <c r="CG114">
        <v>0</v>
      </c>
    </row>
    <row r="115" spans="11:85" x14ac:dyDescent="0.2">
      <c r="K115" t="s">
        <v>164</v>
      </c>
      <c r="L115" t="s">
        <v>117</v>
      </c>
      <c r="M115">
        <v>200</v>
      </c>
      <c r="N115" t="e" cm="1">
        <f t="array" aca="1" ref="N115" ca="1">_xludf.XLOOKUP(K115, $BX$46:$CG$46, $BX$47:$CG$50)</f>
        <v>#NAME?</v>
      </c>
      <c r="O115" t="e" cm="1">
        <f t="array" aca="1" ref="O115" ca="1">_xludf.XLOOKUP(K115, $BX$106:$CG$106, $BX$107:$CG$110)</f>
        <v>#NAME?</v>
      </c>
      <c r="P115" t="e" cm="1">
        <f t="array" aca="1" ref="P115" ca="1">_xludf.XLOOKUP(K$35,$BX$169:$CG$169,_xludf.XLOOKUP($D$11,$BW$170:$BW$176,$BX$170:$CG$176))</f>
        <v>#NAME?</v>
      </c>
      <c r="Q115" t="e">
        <f t="shared" ca="1" si="50"/>
        <v>#NAME?</v>
      </c>
      <c r="T115">
        <f t="shared" si="46"/>
        <v>0</v>
      </c>
      <c r="V115">
        <v>1</v>
      </c>
      <c r="W115">
        <f>VLOOKUP($G$91, $CL$17:$CN$25, 2, FALSE)</f>
        <v>6</v>
      </c>
      <c r="X115">
        <v>0</v>
      </c>
      <c r="Y115">
        <f t="shared" si="53"/>
        <v>0</v>
      </c>
      <c r="Z115" t="e">
        <f t="shared" ref="Z115:Z130" ca="1" si="62">0.1604 * ($AM115*100) - 1.037</f>
        <v>#NAME?</v>
      </c>
      <c r="AA115" t="e">
        <f t="shared" ca="1" si="54"/>
        <v>#NAME?</v>
      </c>
      <c r="AB115" t="e">
        <f t="shared" ca="1" si="55"/>
        <v>#NAME?</v>
      </c>
      <c r="AC115" t="e">
        <f t="shared" ca="1" si="56"/>
        <v>#NAME?</v>
      </c>
      <c r="AD115" t="e">
        <f t="shared" ca="1" si="47"/>
        <v>#NAME?</v>
      </c>
      <c r="AE115" t="e">
        <f t="shared" ca="1" si="48"/>
        <v>#NAME?</v>
      </c>
      <c r="AF115" t="e">
        <f t="shared" ca="1" si="49"/>
        <v>#NAME?</v>
      </c>
      <c r="AG115" t="e">
        <f t="shared" ca="1" si="57"/>
        <v>#NAME?</v>
      </c>
      <c r="AH115" t="e">
        <f t="shared" ca="1" si="58"/>
        <v>#NAME?</v>
      </c>
      <c r="AI115" t="e">
        <f t="shared" ref="AI115:AI130" ca="1" si="63">((0.3 * AC115 * $AN115 * (1 - ($AM115 + 0.1)) + (0.105 * $Z115 * $AC115 * 0.008) + (0.0152 * $AC115)) / 6.25) + (0.08 * 0.032 * $W115 / 6.38)</f>
        <v>#NAME?</v>
      </c>
      <c r="AJ115" t="e">
        <f t="shared" ca="1" si="59"/>
        <v>#NAME?</v>
      </c>
      <c r="AK115" t="e">
        <f t="shared" ca="1" si="60"/>
        <v>#NAME?</v>
      </c>
      <c r="AL115" t="e">
        <f t="shared" ca="1" si="61"/>
        <v>#NAME?</v>
      </c>
      <c r="AM115" t="e" cm="1">
        <f t="array" aca="1" ref="AM115" ca="1">_xludf.XLOOKUP(G$91,$BV$17:$CD$17,$BV$18:$CD$21)</f>
        <v>#NAME?</v>
      </c>
      <c r="AN115" t="e" cm="1">
        <f t="array" aca="1" ref="AN115" ca="1">_xludf.XLOOKUP(G$91,$BV$29:$CD$29,$BV$30:$CD$33)</f>
        <v>#NAME?</v>
      </c>
      <c r="BU115" t="s">
        <v>179</v>
      </c>
      <c r="BW115" t="s">
        <v>117</v>
      </c>
      <c r="BX115">
        <v>1</v>
      </c>
      <c r="BY115">
        <v>0.5</v>
      </c>
      <c r="BZ115">
        <v>1</v>
      </c>
      <c r="CA115">
        <v>1</v>
      </c>
      <c r="CB115">
        <v>-0.44</v>
      </c>
      <c r="CC115">
        <v>-0.44</v>
      </c>
      <c r="CD115">
        <v>1</v>
      </c>
      <c r="CE115">
        <v>0.5</v>
      </c>
      <c r="CF115">
        <v>0.5</v>
      </c>
      <c r="CG115">
        <v>0.5</v>
      </c>
    </row>
    <row r="116" spans="11:85" x14ac:dyDescent="0.2">
      <c r="L116" t="s">
        <v>119</v>
      </c>
      <c r="M116">
        <v>130</v>
      </c>
      <c r="P116" t="e" cm="1">
        <f t="array" aca="1" ref="P116" ca="1">_xludf.XLOOKUP(K$35,$BX$169:$CG$169,_xludf.XLOOKUP($D$11,$BW$170:$BW$176,$BX$170:$CG$176))</f>
        <v>#NAME?</v>
      </c>
      <c r="Q116" t="e">
        <f t="shared" ca="1" si="50"/>
        <v>#NAME?</v>
      </c>
      <c r="T116">
        <f t="shared" si="46"/>
        <v>0</v>
      </c>
      <c r="V116">
        <v>1</v>
      </c>
      <c r="W116">
        <f>VLOOKUP($G$91, $CL$17:$CN$25, 3, FALSE)</f>
        <v>4</v>
      </c>
      <c r="X116">
        <v>0</v>
      </c>
      <c r="Y116">
        <f t="shared" si="53"/>
        <v>0</v>
      </c>
      <c r="Z116">
        <f t="shared" si="62"/>
        <v>-1.0369999999999999</v>
      </c>
      <c r="AA116" t="e">
        <f t="shared" ca="1" si="54"/>
        <v>#NAME?</v>
      </c>
      <c r="AB116">
        <f t="shared" si="55"/>
        <v>1</v>
      </c>
      <c r="AC116">
        <f t="shared" si="56"/>
        <v>1.4042250000000001</v>
      </c>
      <c r="AD116">
        <f t="shared" si="47"/>
        <v>1.22673096</v>
      </c>
      <c r="AE116">
        <f t="shared" si="48"/>
        <v>5.7714060544358416E-5</v>
      </c>
      <c r="AF116">
        <f t="shared" si="49"/>
        <v>6.9098751939409913E-4</v>
      </c>
      <c r="AG116">
        <f t="shared" si="57"/>
        <v>0.68463304320745177</v>
      </c>
      <c r="AH116">
        <f t="shared" si="58"/>
        <v>8.1968394488125007</v>
      </c>
      <c r="AI116">
        <f t="shared" si="63"/>
        <v>4.824380103901192E-3</v>
      </c>
      <c r="AJ116">
        <f t="shared" si="59"/>
        <v>57.229208982527886</v>
      </c>
      <c r="AK116" t="e">
        <f t="shared" ca="1" si="60"/>
        <v>#NAME?</v>
      </c>
      <c r="AL116" t="e">
        <f t="shared" ca="1" si="61"/>
        <v>#NAME?</v>
      </c>
      <c r="BW116" t="s">
        <v>119</v>
      </c>
      <c r="BX116">
        <v>0.82</v>
      </c>
      <c r="BY116">
        <v>0.55000000000000004</v>
      </c>
      <c r="BZ116">
        <v>0.71</v>
      </c>
      <c r="CA116">
        <v>0.55000000000000004</v>
      </c>
      <c r="CB116">
        <v>0.99</v>
      </c>
      <c r="CC116">
        <v>0.99</v>
      </c>
      <c r="CD116">
        <v>0.77</v>
      </c>
      <c r="CE116">
        <v>0.5</v>
      </c>
      <c r="CF116">
        <v>0.5</v>
      </c>
      <c r="CG116">
        <v>0.5</v>
      </c>
    </row>
    <row r="117" spans="11:85" x14ac:dyDescent="0.2">
      <c r="L117" t="s">
        <v>120</v>
      </c>
      <c r="M117">
        <v>250</v>
      </c>
      <c r="P117" t="e" cm="1">
        <f t="array" aca="1" ref="P117" ca="1">_xludf.XLOOKUP(K$35,$BX$169:$CG$169,_xludf.XLOOKUP($D$11,$BW$170:$BW$176,$BX$170:$CG$176))</f>
        <v>#NAME?</v>
      </c>
      <c r="Q117" t="e">
        <f t="shared" ca="1" si="50"/>
        <v>#NAME?</v>
      </c>
      <c r="T117">
        <f t="shared" si="46"/>
        <v>0</v>
      </c>
      <c r="V117">
        <v>1</v>
      </c>
      <c r="W117">
        <v>0</v>
      </c>
      <c r="X117">
        <v>0</v>
      </c>
      <c r="Y117">
        <f t="shared" si="53"/>
        <v>0</v>
      </c>
      <c r="Z117">
        <f t="shared" si="62"/>
        <v>-1.0369999999999999</v>
      </c>
      <c r="AA117" t="e">
        <f t="shared" ca="1" si="54"/>
        <v>#NAME?</v>
      </c>
      <c r="AB117">
        <f t="shared" si="55"/>
        <v>1</v>
      </c>
      <c r="AC117">
        <f t="shared" si="56"/>
        <v>1.4042250000000001</v>
      </c>
      <c r="AD117">
        <f t="shared" si="47"/>
        <v>1.22673096</v>
      </c>
      <c r="AE117">
        <f t="shared" si="48"/>
        <v>5.7714060544358416E-5</v>
      </c>
      <c r="AF117">
        <f t="shared" si="49"/>
        <v>6.9098751939409913E-4</v>
      </c>
      <c r="AG117">
        <f t="shared" si="57"/>
        <v>1.3166020061681765</v>
      </c>
      <c r="AH117">
        <f t="shared" si="58"/>
        <v>15.763152786177885</v>
      </c>
      <c r="AI117">
        <f t="shared" si="63"/>
        <v>3.2193644299200004E-3</v>
      </c>
      <c r="AJ117">
        <f t="shared" si="59"/>
        <v>73.441751057550007</v>
      </c>
      <c r="AK117" t="e">
        <f t="shared" ca="1" si="60"/>
        <v>#NAME?</v>
      </c>
      <c r="AL117" t="e">
        <f t="shared" ca="1" si="61"/>
        <v>#NAME?</v>
      </c>
      <c r="BW117" t="s">
        <v>120</v>
      </c>
      <c r="BX117">
        <v>0.77</v>
      </c>
      <c r="BY117">
        <v>0.5</v>
      </c>
      <c r="BZ117">
        <v>0.55000000000000004</v>
      </c>
      <c r="CA117">
        <v>0.11</v>
      </c>
      <c r="CB117">
        <v>-0.33</v>
      </c>
      <c r="CC117">
        <v>-0.33</v>
      </c>
      <c r="CD117">
        <v>0.6</v>
      </c>
      <c r="CE117">
        <v>0.33</v>
      </c>
      <c r="CF117">
        <v>0.33</v>
      </c>
      <c r="CG117">
        <v>0.33</v>
      </c>
    </row>
    <row r="118" spans="11:85" x14ac:dyDescent="0.2">
      <c r="L118" t="s">
        <v>121</v>
      </c>
      <c r="M118">
        <v>150</v>
      </c>
      <c r="P118" t="e" cm="1">
        <f t="array" aca="1" ref="P118" ca="1">_xludf.XLOOKUP(K$35,$BX$169:$CG$169,_xludf.XLOOKUP($D$11,$BW$170:$BW$176,$BX$170:$CG$176))</f>
        <v>#NAME?</v>
      </c>
      <c r="Q118" t="e">
        <f t="shared" ca="1" si="50"/>
        <v>#NAME?</v>
      </c>
      <c r="V118">
        <v>1</v>
      </c>
      <c r="W118">
        <v>0</v>
      </c>
      <c r="X118">
        <v>0</v>
      </c>
      <c r="Y118">
        <f t="shared" si="53"/>
        <v>0</v>
      </c>
      <c r="Z118">
        <f t="shared" si="62"/>
        <v>-1.0369999999999999</v>
      </c>
      <c r="AA118" t="e">
        <f t="shared" ca="1" si="54"/>
        <v>#NAME?</v>
      </c>
      <c r="AB118">
        <f t="shared" si="55"/>
        <v>1</v>
      </c>
      <c r="AC118">
        <f t="shared" si="56"/>
        <v>1.4042250000000001</v>
      </c>
      <c r="AD118">
        <f t="shared" si="47"/>
        <v>1.22673096</v>
      </c>
      <c r="AE118">
        <f t="shared" si="48"/>
        <v>5.7714060544358416E-5</v>
      </c>
      <c r="AF118">
        <f t="shared" si="49"/>
        <v>6.9098751939409913E-4</v>
      </c>
      <c r="AG118">
        <f t="shared" si="57"/>
        <v>0.78996120370090595</v>
      </c>
      <c r="AH118">
        <f t="shared" si="58"/>
        <v>9.457891671706733</v>
      </c>
      <c r="AI118">
        <f t="shared" si="63"/>
        <v>3.2193644299200004E-3</v>
      </c>
      <c r="AJ118">
        <f t="shared" si="59"/>
        <v>44.065050634530003</v>
      </c>
      <c r="AK118" t="e">
        <f t="shared" ca="1" si="60"/>
        <v>#NAME?</v>
      </c>
      <c r="AL118" t="e">
        <f t="shared" ca="1" si="61"/>
        <v>#NAME?</v>
      </c>
      <c r="BW118" t="s">
        <v>121</v>
      </c>
      <c r="BX118">
        <v>0.11</v>
      </c>
      <c r="BY118">
        <v>-0.27</v>
      </c>
      <c r="BZ118">
        <v>0.11</v>
      </c>
      <c r="CA118">
        <v>0.22</v>
      </c>
      <c r="CB118">
        <v>-0.44</v>
      </c>
      <c r="CC118">
        <v>-0.44</v>
      </c>
      <c r="CD118">
        <v>0.16</v>
      </c>
      <c r="CE118">
        <v>-0.22</v>
      </c>
      <c r="CF118">
        <v>-0.22</v>
      </c>
      <c r="CG118">
        <v>-0.22</v>
      </c>
    </row>
    <row r="119" spans="11:85" x14ac:dyDescent="0.2">
      <c r="K119" t="s">
        <v>169</v>
      </c>
      <c r="L119" t="s">
        <v>117</v>
      </c>
      <c r="N119" t="e" cm="1">
        <f t="array" aca="1" ref="N119" ca="1">_xludf.XLOOKUP(K119, $BX$46:$CG$46, $BX$47:$CG$50)</f>
        <v>#NAME?</v>
      </c>
      <c r="O119" t="e" cm="1">
        <f t="array" aca="1" ref="O119" ca="1">_xludf.XLOOKUP(K119, $BX$106:$CG$106, $BX$107:$CG$110)</f>
        <v>#NAME?</v>
      </c>
      <c r="P119" t="e" cm="1">
        <f t="array" aca="1" ref="P119" ca="1">_xludf.XLOOKUP(K$39,$BX$169:$CG$169,_xludf.XLOOKUP($D$11,$BW$170:$BW$176,$BX$170:$CG$176))</f>
        <v>#NAME?</v>
      </c>
      <c r="Q119" t="e">
        <f t="shared" ca="1" si="50"/>
        <v>#NAME?</v>
      </c>
      <c r="V119">
        <v>1</v>
      </c>
      <c r="W119">
        <v>0</v>
      </c>
      <c r="X119">
        <v>0</v>
      </c>
      <c r="Y119">
        <f t="shared" si="53"/>
        <v>0</v>
      </c>
      <c r="Z119" t="e">
        <f t="shared" ca="1" si="62"/>
        <v>#NAME?</v>
      </c>
      <c r="AA119" t="e">
        <f t="shared" ca="1" si="54"/>
        <v>#NAME?</v>
      </c>
      <c r="AB119" t="e">
        <f t="shared" ca="1" si="55"/>
        <v>#NAME?</v>
      </c>
      <c r="AC119" t="e">
        <f t="shared" ca="1" si="56"/>
        <v>#NAME?</v>
      </c>
      <c r="AD119" t="e">
        <f t="shared" ca="1" si="47"/>
        <v>#NAME?</v>
      </c>
      <c r="AE119" t="e">
        <f t="shared" ca="1" si="48"/>
        <v>#NAME?</v>
      </c>
      <c r="AF119" t="e">
        <f t="shared" ca="1" si="49"/>
        <v>#NAME?</v>
      </c>
      <c r="AG119" t="e">
        <f t="shared" ca="1" si="57"/>
        <v>#NAME?</v>
      </c>
      <c r="AH119" t="e">
        <f t="shared" ca="1" si="58"/>
        <v>#NAME?</v>
      </c>
      <c r="AI119" t="e">
        <f t="shared" ca="1" si="63"/>
        <v>#NAME?</v>
      </c>
      <c r="AJ119" t="e">
        <f t="shared" ca="1" si="59"/>
        <v>#NAME?</v>
      </c>
      <c r="AK119" t="e">
        <f t="shared" ca="1" si="60"/>
        <v>#NAME?</v>
      </c>
      <c r="AL119" t="e">
        <f t="shared" ca="1" si="61"/>
        <v>#NAME?</v>
      </c>
      <c r="AM119" t="e" cm="1">
        <f t="array" aca="1" ref="AM119" ca="1">_xludf.XLOOKUP(G$91,$BV$17:$CD$17,$BV$18:$CD$21)</f>
        <v>#NAME?</v>
      </c>
      <c r="AN119" t="e" cm="1">
        <f t="array" aca="1" ref="AN119" ca="1">_xludf.XLOOKUP(G$91,$BV$29:$CD$29,$BV$30:$CD$33)</f>
        <v>#NAME?</v>
      </c>
      <c r="BU119" t="s">
        <v>180</v>
      </c>
      <c r="BW119" t="s">
        <v>117</v>
      </c>
      <c r="BX119">
        <v>1.1000000000000001</v>
      </c>
      <c r="BY119">
        <v>1.1000000000000001</v>
      </c>
      <c r="BZ119">
        <v>1.1000000000000001</v>
      </c>
      <c r="CA119">
        <v>0.99</v>
      </c>
      <c r="CB119">
        <v>0.99</v>
      </c>
      <c r="CC119">
        <v>0.99</v>
      </c>
      <c r="CD119">
        <v>1.1000000000000001</v>
      </c>
      <c r="CE119">
        <v>0.77</v>
      </c>
      <c r="CF119">
        <v>0.77</v>
      </c>
      <c r="CG119">
        <v>0.77</v>
      </c>
    </row>
    <row r="120" spans="11:85" x14ac:dyDescent="0.2">
      <c r="L120" t="s">
        <v>119</v>
      </c>
      <c r="P120" t="e" cm="1">
        <f t="array" aca="1" ref="P120" ca="1">_xludf.XLOOKUP(K$39,$BX$169:$CG$169,_xludf.XLOOKUP($D$11,$BW$170:$BW$176,$BX$170:$CG$176))</f>
        <v>#NAME?</v>
      </c>
      <c r="Q120" t="e">
        <f t="shared" ca="1" si="50"/>
        <v>#NAME?</v>
      </c>
      <c r="V120">
        <v>1</v>
      </c>
      <c r="W120">
        <v>0</v>
      </c>
      <c r="X120">
        <v>0</v>
      </c>
      <c r="Y120">
        <f t="shared" si="53"/>
        <v>0</v>
      </c>
      <c r="Z120">
        <f t="shared" si="62"/>
        <v>-1.0369999999999999</v>
      </c>
      <c r="AA120" t="e">
        <f t="shared" ca="1" si="54"/>
        <v>#NAME?</v>
      </c>
      <c r="AB120">
        <f t="shared" si="55"/>
        <v>1</v>
      </c>
      <c r="AC120">
        <f t="shared" si="56"/>
        <v>1.4042250000000001</v>
      </c>
      <c r="AD120">
        <f t="shared" si="47"/>
        <v>1.22673096</v>
      </c>
      <c r="AE120">
        <f t="shared" si="48"/>
        <v>5.7714060544358416E-5</v>
      </c>
      <c r="AF120">
        <f t="shared" si="49"/>
        <v>6.9098751939409913E-4</v>
      </c>
      <c r="AG120">
        <f t="shared" si="57"/>
        <v>0</v>
      </c>
      <c r="AH120">
        <f t="shared" si="58"/>
        <v>0</v>
      </c>
      <c r="AI120">
        <f t="shared" si="63"/>
        <v>3.2193644299200004E-3</v>
      </c>
      <c r="AJ120">
        <f t="shared" si="59"/>
        <v>0</v>
      </c>
      <c r="AK120" t="e">
        <f t="shared" ca="1" si="60"/>
        <v>#NAME?</v>
      </c>
      <c r="AL120" t="e">
        <f t="shared" ca="1" si="61"/>
        <v>#NAME?</v>
      </c>
      <c r="BW120" t="s">
        <v>119</v>
      </c>
      <c r="BX120">
        <v>0.33</v>
      </c>
      <c r="BY120">
        <v>0.33</v>
      </c>
      <c r="BZ120">
        <v>0.22</v>
      </c>
      <c r="CA120">
        <v>0.33</v>
      </c>
      <c r="CB120">
        <v>-0.1</v>
      </c>
      <c r="CC120">
        <v>-0.1</v>
      </c>
      <c r="CD120">
        <v>0.33</v>
      </c>
      <c r="CE120">
        <v>0.11</v>
      </c>
      <c r="CF120">
        <v>0.11</v>
      </c>
      <c r="CG120">
        <v>0.11</v>
      </c>
    </row>
    <row r="121" spans="11:85" x14ac:dyDescent="0.2">
      <c r="L121" t="s">
        <v>120</v>
      </c>
      <c r="P121" t="e" cm="1">
        <f t="array" aca="1" ref="P121" ca="1">_xludf.XLOOKUP(K$39,$BX$169:$CG$169,_xludf.XLOOKUP($D$11,$BW$170:$BW$176,$BX$170:$CG$176))</f>
        <v>#NAME?</v>
      </c>
      <c r="Q121" t="e">
        <f t="shared" ca="1" si="50"/>
        <v>#NAME?</v>
      </c>
      <c r="V121">
        <v>1</v>
      </c>
      <c r="W121">
        <v>0</v>
      </c>
      <c r="X121">
        <v>0</v>
      </c>
      <c r="Y121">
        <f t="shared" si="53"/>
        <v>0</v>
      </c>
      <c r="Z121">
        <f t="shared" si="62"/>
        <v>-1.0369999999999999</v>
      </c>
      <c r="AA121" t="e">
        <f t="shared" ca="1" si="54"/>
        <v>#NAME?</v>
      </c>
      <c r="AB121">
        <f t="shared" si="55"/>
        <v>1</v>
      </c>
      <c r="AC121">
        <f t="shared" si="56"/>
        <v>1.4042250000000001</v>
      </c>
      <c r="AD121">
        <f t="shared" si="47"/>
        <v>1.22673096</v>
      </c>
      <c r="AE121">
        <f t="shared" si="48"/>
        <v>5.7714060544358416E-5</v>
      </c>
      <c r="AF121">
        <f t="shared" si="49"/>
        <v>6.9098751939409913E-4</v>
      </c>
      <c r="AG121">
        <f t="shared" si="57"/>
        <v>0</v>
      </c>
      <c r="AH121">
        <f t="shared" si="58"/>
        <v>0</v>
      </c>
      <c r="AI121">
        <f t="shared" si="63"/>
        <v>3.2193644299200004E-3</v>
      </c>
      <c r="AJ121">
        <f t="shared" si="59"/>
        <v>0</v>
      </c>
      <c r="AK121" t="e">
        <f t="shared" ca="1" si="60"/>
        <v>#NAME?</v>
      </c>
      <c r="AL121" t="e">
        <f t="shared" ca="1" si="61"/>
        <v>#NAME?</v>
      </c>
      <c r="BW121" t="s">
        <v>120</v>
      </c>
      <c r="BX121">
        <v>0.5</v>
      </c>
      <c r="BY121">
        <v>0.2</v>
      </c>
      <c r="BZ121">
        <v>0.55000000000000004</v>
      </c>
      <c r="CA121">
        <v>0.44</v>
      </c>
      <c r="CB121">
        <v>0.2</v>
      </c>
      <c r="CC121">
        <v>0.2</v>
      </c>
      <c r="CD121">
        <v>0.55000000000000004</v>
      </c>
      <c r="CE121">
        <v>0.2</v>
      </c>
      <c r="CF121">
        <v>0.2</v>
      </c>
      <c r="CG121">
        <v>0.2</v>
      </c>
    </row>
    <row r="122" spans="11:85" x14ac:dyDescent="0.2">
      <c r="L122" t="s">
        <v>121</v>
      </c>
      <c r="P122" t="e" cm="1">
        <f t="array" aca="1" ref="P122" ca="1">_xludf.XLOOKUP(K$39,$BX$169:$CG$169,_xludf.XLOOKUP($D$11,$BW$170:$BW$176,$BX$170:$CG$176))</f>
        <v>#NAME?</v>
      </c>
      <c r="Q122" t="e">
        <f t="shared" ca="1" si="50"/>
        <v>#NAME?</v>
      </c>
      <c r="V122">
        <v>1</v>
      </c>
      <c r="W122">
        <v>0</v>
      </c>
      <c r="X122">
        <v>0</v>
      </c>
      <c r="Y122">
        <f t="shared" si="53"/>
        <v>0</v>
      </c>
      <c r="Z122">
        <f t="shared" si="62"/>
        <v>-1.0369999999999999</v>
      </c>
      <c r="AA122" t="e">
        <f t="shared" ca="1" si="54"/>
        <v>#NAME?</v>
      </c>
      <c r="AB122">
        <f t="shared" si="55"/>
        <v>1</v>
      </c>
      <c r="AC122">
        <f t="shared" si="56"/>
        <v>1.4042250000000001</v>
      </c>
      <c r="AD122">
        <f t="shared" si="47"/>
        <v>1.22673096</v>
      </c>
      <c r="AE122">
        <f t="shared" si="48"/>
        <v>5.7714060544358416E-5</v>
      </c>
      <c r="AF122">
        <f t="shared" si="49"/>
        <v>6.9098751939409913E-4</v>
      </c>
      <c r="AG122">
        <f t="shared" si="57"/>
        <v>0</v>
      </c>
      <c r="AH122">
        <f t="shared" si="58"/>
        <v>0</v>
      </c>
      <c r="AI122">
        <f t="shared" si="63"/>
        <v>3.2193644299200004E-3</v>
      </c>
      <c r="AJ122">
        <f t="shared" si="59"/>
        <v>0</v>
      </c>
      <c r="AK122" t="e">
        <f t="shared" ca="1" si="60"/>
        <v>#NAME?</v>
      </c>
      <c r="AL122" t="e">
        <f t="shared" ca="1" si="61"/>
        <v>#NAME?</v>
      </c>
      <c r="BW122" t="s">
        <v>121</v>
      </c>
      <c r="BX122">
        <v>0.55000000000000004</v>
      </c>
      <c r="BY122">
        <v>0.22</v>
      </c>
      <c r="BZ122">
        <v>0.49</v>
      </c>
      <c r="CA122">
        <v>0.22</v>
      </c>
      <c r="CB122">
        <v>0.22</v>
      </c>
      <c r="CC122">
        <v>0.22</v>
      </c>
      <c r="CD122">
        <v>0.49</v>
      </c>
      <c r="CE122">
        <v>0.33</v>
      </c>
      <c r="CF122">
        <v>0.33</v>
      </c>
      <c r="CG122">
        <v>0.33</v>
      </c>
    </row>
    <row r="123" spans="11:85" x14ac:dyDescent="0.2">
      <c r="K123" t="s">
        <v>171</v>
      </c>
      <c r="L123" t="s">
        <v>117</v>
      </c>
      <c r="N123" t="e" cm="1">
        <f t="array" aca="1" ref="N123" ca="1">_xludf.XLOOKUP(K123, $BX$46:$CG$46, $BX$47:$CG$50)</f>
        <v>#NAME?</v>
      </c>
      <c r="O123" t="e" cm="1">
        <f t="array" aca="1" ref="O123" ca="1">_xludf.XLOOKUP(K123, $BX$106:$CG$106, $BX$107:$CG$110)</f>
        <v>#NAME?</v>
      </c>
      <c r="P123" t="e" cm="1">
        <f t="array" aca="1" ref="P123" ca="1">_xludf.XLOOKUP(K$43,$BX$169:$CG$169,_xludf.XLOOKUP($D$11,$BW$170:$BW$176,$BX$170:$CG$176))</f>
        <v>#NAME?</v>
      </c>
      <c r="Q123" t="e">
        <f t="shared" ca="1" si="50"/>
        <v>#NAME?</v>
      </c>
      <c r="V123">
        <v>1</v>
      </c>
      <c r="W123">
        <v>0</v>
      </c>
      <c r="X123">
        <v>0</v>
      </c>
      <c r="Y123">
        <f t="shared" si="53"/>
        <v>0</v>
      </c>
      <c r="Z123" t="e">
        <f t="shared" ca="1" si="62"/>
        <v>#NAME?</v>
      </c>
      <c r="AA123" t="e">
        <f t="shared" ca="1" si="54"/>
        <v>#NAME?</v>
      </c>
      <c r="AB123" t="e">
        <f t="shared" ca="1" si="55"/>
        <v>#NAME?</v>
      </c>
      <c r="AC123" t="e">
        <f t="shared" ca="1" si="56"/>
        <v>#NAME?</v>
      </c>
      <c r="AD123" t="e">
        <f t="shared" ca="1" si="47"/>
        <v>#NAME?</v>
      </c>
      <c r="AE123" t="e">
        <f t="shared" ca="1" si="48"/>
        <v>#NAME?</v>
      </c>
      <c r="AF123" t="e">
        <f t="shared" ca="1" si="49"/>
        <v>#NAME?</v>
      </c>
      <c r="AG123" t="e">
        <f t="shared" ca="1" si="57"/>
        <v>#NAME?</v>
      </c>
      <c r="AH123" t="e">
        <f t="shared" ca="1" si="58"/>
        <v>#NAME?</v>
      </c>
      <c r="AI123" t="e">
        <f t="shared" ca="1" si="63"/>
        <v>#NAME?</v>
      </c>
      <c r="AJ123" t="e">
        <f t="shared" ca="1" si="59"/>
        <v>#NAME?</v>
      </c>
      <c r="AK123" t="e">
        <f t="shared" ca="1" si="60"/>
        <v>#NAME?</v>
      </c>
      <c r="AL123" t="e">
        <f t="shared" ca="1" si="61"/>
        <v>#NAME?</v>
      </c>
      <c r="AM123" t="e" cm="1">
        <f t="array" aca="1" ref="AM123" ca="1">_xludf.XLOOKUP(G$91,$BV$17:$CD$17,$BV$18:$CD$21)</f>
        <v>#NAME?</v>
      </c>
      <c r="AN123" t="e" cm="1">
        <f t="array" aca="1" ref="AN123" ca="1">_xludf.XLOOKUP(G$91,$BV$29:$CD$29,$BV$30:$CD$33)</f>
        <v>#NAME?</v>
      </c>
      <c r="BU123" t="s">
        <v>148</v>
      </c>
      <c r="BV123" t="s">
        <v>136</v>
      </c>
      <c r="BW123" t="s">
        <v>117</v>
      </c>
      <c r="BX123">
        <v>1.64</v>
      </c>
      <c r="BY123">
        <v>1.1000000000000001</v>
      </c>
      <c r="BZ123">
        <v>1.21</v>
      </c>
      <c r="CA123">
        <v>0.99</v>
      </c>
      <c r="CB123">
        <v>0.66</v>
      </c>
      <c r="CC123">
        <v>0.66</v>
      </c>
      <c r="CD123">
        <v>1.42</v>
      </c>
      <c r="CE123">
        <v>1.1000000000000001</v>
      </c>
      <c r="CF123">
        <v>1.1000000000000001</v>
      </c>
      <c r="CG123">
        <v>1.1000000000000001</v>
      </c>
    </row>
    <row r="124" spans="11:85" x14ac:dyDescent="0.2">
      <c r="L124" t="s">
        <v>119</v>
      </c>
      <c r="P124" t="e" cm="1">
        <f t="array" aca="1" ref="P124" ca="1">_xludf.XLOOKUP(K$43,$BX$169:$CG$169,_xludf.XLOOKUP($D$11,$BW$170:$BW$176,$BX$170:$CG$176))</f>
        <v>#NAME?</v>
      </c>
      <c r="Q124" t="e">
        <f t="shared" ca="1" si="50"/>
        <v>#NAME?</v>
      </c>
      <c r="V124">
        <v>1</v>
      </c>
      <c r="W124">
        <v>0</v>
      </c>
      <c r="X124">
        <v>0</v>
      </c>
      <c r="Y124">
        <f t="shared" si="53"/>
        <v>0</v>
      </c>
      <c r="Z124">
        <f t="shared" si="62"/>
        <v>-1.0369999999999999</v>
      </c>
      <c r="AA124" t="e">
        <f t="shared" ca="1" si="54"/>
        <v>#NAME?</v>
      </c>
      <c r="AB124">
        <f t="shared" si="55"/>
        <v>1</v>
      </c>
      <c r="AC124">
        <f t="shared" si="56"/>
        <v>1.4042250000000001</v>
      </c>
      <c r="AD124">
        <f t="shared" si="47"/>
        <v>1.22673096</v>
      </c>
      <c r="AE124">
        <f t="shared" si="48"/>
        <v>5.7714060544358416E-5</v>
      </c>
      <c r="AF124">
        <f t="shared" si="49"/>
        <v>6.9098751939409913E-4</v>
      </c>
      <c r="AG124">
        <f t="shared" si="57"/>
        <v>0</v>
      </c>
      <c r="AH124">
        <f t="shared" si="58"/>
        <v>0</v>
      </c>
      <c r="AI124">
        <f t="shared" si="63"/>
        <v>3.2193644299200004E-3</v>
      </c>
      <c r="AJ124">
        <f t="shared" si="59"/>
        <v>0</v>
      </c>
      <c r="AK124" t="e">
        <f t="shared" ca="1" si="60"/>
        <v>#NAME?</v>
      </c>
      <c r="AL124" t="e">
        <f t="shared" ca="1" si="61"/>
        <v>#NAME?</v>
      </c>
      <c r="BW124" t="s">
        <v>119</v>
      </c>
      <c r="BX124">
        <v>0.44</v>
      </c>
      <c r="BY124">
        <v>-0.22</v>
      </c>
      <c r="BZ124">
        <v>0.44</v>
      </c>
      <c r="CA124">
        <v>0.33</v>
      </c>
      <c r="CB124">
        <v>-0.22</v>
      </c>
      <c r="CC124">
        <v>-0.22</v>
      </c>
      <c r="CD124">
        <v>0.44</v>
      </c>
      <c r="CE124">
        <v>-0.11</v>
      </c>
      <c r="CF124">
        <v>-0.11</v>
      </c>
      <c r="CG124">
        <v>-0.11</v>
      </c>
    </row>
    <row r="125" spans="11:85" x14ac:dyDescent="0.2">
      <c r="L125" t="s">
        <v>120</v>
      </c>
      <c r="P125" t="e" cm="1">
        <f t="array" aca="1" ref="P125" ca="1">_xludf.XLOOKUP(K$43,$BX$169:$CG$169,_xludf.XLOOKUP($D$11,$BW$170:$BW$176,$BX$170:$CG$176))</f>
        <v>#NAME?</v>
      </c>
      <c r="Q125" t="e">
        <f t="shared" ca="1" si="50"/>
        <v>#NAME?</v>
      </c>
      <c r="V125">
        <v>1</v>
      </c>
      <c r="W125">
        <v>0</v>
      </c>
      <c r="X125">
        <v>0</v>
      </c>
      <c r="Y125">
        <f t="shared" si="53"/>
        <v>0</v>
      </c>
      <c r="Z125">
        <f t="shared" si="62"/>
        <v>-1.0369999999999999</v>
      </c>
      <c r="AA125" t="e">
        <f t="shared" ca="1" si="54"/>
        <v>#NAME?</v>
      </c>
      <c r="AB125">
        <f t="shared" si="55"/>
        <v>1</v>
      </c>
      <c r="AC125">
        <f t="shared" si="56"/>
        <v>1.4042250000000001</v>
      </c>
      <c r="AD125">
        <f t="shared" si="47"/>
        <v>1.22673096</v>
      </c>
      <c r="AE125">
        <f t="shared" si="48"/>
        <v>5.7714060544358416E-5</v>
      </c>
      <c r="AF125">
        <f t="shared" si="49"/>
        <v>6.9098751939409913E-4</v>
      </c>
      <c r="AG125">
        <f t="shared" si="57"/>
        <v>0</v>
      </c>
      <c r="AH125">
        <f t="shared" si="58"/>
        <v>0</v>
      </c>
      <c r="AI125">
        <f t="shared" si="63"/>
        <v>3.2193644299200004E-3</v>
      </c>
      <c r="AJ125">
        <f t="shared" si="59"/>
        <v>0</v>
      </c>
      <c r="AK125" t="e">
        <f t="shared" ca="1" si="60"/>
        <v>#NAME?</v>
      </c>
      <c r="AL125" t="e">
        <f t="shared" ca="1" si="61"/>
        <v>#NAME?</v>
      </c>
      <c r="BW125" t="s">
        <v>120</v>
      </c>
      <c r="BX125">
        <v>0.6</v>
      </c>
      <c r="BY125">
        <v>0</v>
      </c>
      <c r="BZ125">
        <v>0.6</v>
      </c>
      <c r="CA125">
        <v>0.22</v>
      </c>
      <c r="CB125">
        <v>-0.55000000000000004</v>
      </c>
      <c r="CC125">
        <v>-0.55000000000000004</v>
      </c>
      <c r="CD125">
        <v>0.6</v>
      </c>
      <c r="CE125">
        <v>0</v>
      </c>
      <c r="CF125">
        <v>0</v>
      </c>
      <c r="CG125">
        <v>0</v>
      </c>
    </row>
    <row r="126" spans="11:85" x14ac:dyDescent="0.2">
      <c r="L126" t="s">
        <v>121</v>
      </c>
      <c r="P126" t="e" cm="1">
        <f t="array" aca="1" ref="P126" ca="1">_xludf.XLOOKUP(K$43,$BX$169:$CG$169,_xludf.XLOOKUP($D$11,$BW$170:$BW$176,$BX$170:$CG$176))</f>
        <v>#NAME?</v>
      </c>
      <c r="Q126" t="e">
        <f t="shared" ca="1" si="50"/>
        <v>#NAME?</v>
      </c>
      <c r="V126">
        <v>1</v>
      </c>
      <c r="W126">
        <v>0</v>
      </c>
      <c r="X126">
        <v>0</v>
      </c>
      <c r="Y126">
        <f t="shared" si="53"/>
        <v>0</v>
      </c>
      <c r="Z126">
        <f t="shared" si="62"/>
        <v>-1.0369999999999999</v>
      </c>
      <c r="AA126" t="e">
        <f t="shared" ca="1" si="54"/>
        <v>#NAME?</v>
      </c>
      <c r="AB126">
        <f t="shared" si="55"/>
        <v>1</v>
      </c>
      <c r="AC126">
        <f t="shared" si="56"/>
        <v>1.4042250000000001</v>
      </c>
      <c r="AD126">
        <f t="shared" si="47"/>
        <v>1.22673096</v>
      </c>
      <c r="AE126">
        <f t="shared" si="48"/>
        <v>5.7714060544358416E-5</v>
      </c>
      <c r="AF126">
        <f t="shared" si="49"/>
        <v>6.9098751939409913E-4</v>
      </c>
      <c r="AG126">
        <f t="shared" si="57"/>
        <v>0</v>
      </c>
      <c r="AH126">
        <f t="shared" si="58"/>
        <v>0</v>
      </c>
      <c r="AI126">
        <f t="shared" si="63"/>
        <v>3.2193644299200004E-3</v>
      </c>
      <c r="AJ126">
        <f t="shared" si="59"/>
        <v>0</v>
      </c>
      <c r="AK126" t="e">
        <f t="shared" ca="1" si="60"/>
        <v>#NAME?</v>
      </c>
      <c r="AL126" t="e">
        <f t="shared" ca="1" si="61"/>
        <v>#NAME?</v>
      </c>
      <c r="BW126" t="s">
        <v>121</v>
      </c>
      <c r="BX126">
        <v>0.99</v>
      </c>
      <c r="BY126">
        <v>0.22</v>
      </c>
      <c r="BZ126">
        <v>0.77</v>
      </c>
      <c r="CA126">
        <v>0.11</v>
      </c>
      <c r="CB126">
        <v>0.11</v>
      </c>
      <c r="CC126">
        <v>0.11</v>
      </c>
      <c r="CD126">
        <v>0.77</v>
      </c>
      <c r="CE126">
        <v>0.44</v>
      </c>
      <c r="CF126">
        <v>0.44</v>
      </c>
      <c r="CG126">
        <v>0.44</v>
      </c>
    </row>
    <row r="127" spans="11:85" x14ac:dyDescent="0.2">
      <c r="K127" t="s">
        <v>176</v>
      </c>
      <c r="L127" t="s">
        <v>117</v>
      </c>
      <c r="N127" t="e" cm="1">
        <f t="array" aca="1" ref="N127" ca="1">_xludf.XLOOKUP(K127, $BX$46:$CG$46, $BX$47:$CG$50)</f>
        <v>#NAME?</v>
      </c>
      <c r="O127" t="e" cm="1">
        <f t="array" aca="1" ref="O127" ca="1">_xludf.XLOOKUP(K127, $BX$106:$CG$106, $BX$107:$CG$110)</f>
        <v>#NAME?</v>
      </c>
      <c r="P127" t="e" cm="1">
        <f t="array" aca="1" ref="P127" ca="1">_xludf.XLOOKUP(K$47,$BX$169:$CG$169,_xludf.XLOOKUP($D$11,$BW$170:$BW$176,$BX$170:$CG$176))</f>
        <v>#NAME?</v>
      </c>
      <c r="Q127" t="e">
        <f t="shared" ca="1" si="50"/>
        <v>#NAME?</v>
      </c>
      <c r="V127">
        <v>1</v>
      </c>
      <c r="W127">
        <v>0</v>
      </c>
      <c r="X127">
        <v>0</v>
      </c>
      <c r="Y127">
        <f t="shared" si="53"/>
        <v>0</v>
      </c>
      <c r="Z127" t="e">
        <f t="shared" ca="1" si="62"/>
        <v>#NAME?</v>
      </c>
      <c r="AA127" t="e">
        <f t="shared" ca="1" si="54"/>
        <v>#NAME?</v>
      </c>
      <c r="AB127" t="e">
        <f t="shared" ca="1" si="55"/>
        <v>#NAME?</v>
      </c>
      <c r="AC127" t="e">
        <f t="shared" ca="1" si="56"/>
        <v>#NAME?</v>
      </c>
      <c r="AD127" t="e">
        <f t="shared" ca="1" si="47"/>
        <v>#NAME?</v>
      </c>
      <c r="AE127" t="e">
        <f t="shared" ca="1" si="48"/>
        <v>#NAME?</v>
      </c>
      <c r="AF127" t="e">
        <f t="shared" ca="1" si="49"/>
        <v>#NAME?</v>
      </c>
      <c r="AG127" t="e">
        <f t="shared" ca="1" si="57"/>
        <v>#NAME?</v>
      </c>
      <c r="AH127" t="e">
        <f t="shared" ca="1" si="58"/>
        <v>#NAME?</v>
      </c>
      <c r="AI127" t="e">
        <f t="shared" ca="1" si="63"/>
        <v>#NAME?</v>
      </c>
      <c r="AJ127" t="e">
        <f t="shared" ca="1" si="59"/>
        <v>#NAME?</v>
      </c>
      <c r="AK127" t="e">
        <f t="shared" ca="1" si="60"/>
        <v>#NAME?</v>
      </c>
      <c r="AL127" t="e">
        <f t="shared" ca="1" si="61"/>
        <v>#NAME?</v>
      </c>
      <c r="AM127" t="e" cm="1">
        <f t="array" aca="1" ref="AM127" ca="1">_xludf.XLOOKUP(G$91,$BV$17:$CD$17,$BV$18:$CD$21)</f>
        <v>#NAME?</v>
      </c>
      <c r="AN127" t="e" cm="1">
        <f t="array" aca="1" ref="AN127" ca="1">_xludf.XLOOKUP(G$91,$BV$29:$CD$29,$BV$30:$CD$33)</f>
        <v>#NAME?</v>
      </c>
      <c r="BU127" t="s">
        <v>148</v>
      </c>
      <c r="BV127" t="s">
        <v>137</v>
      </c>
      <c r="BW127" t="s">
        <v>117</v>
      </c>
      <c r="BX127">
        <v>0.7</v>
      </c>
      <c r="BY127">
        <v>-0.55000000000000004</v>
      </c>
      <c r="BZ127">
        <v>0.7</v>
      </c>
      <c r="CA127">
        <v>0.22</v>
      </c>
      <c r="CB127">
        <v>-0.22</v>
      </c>
      <c r="CC127">
        <v>-0.22</v>
      </c>
      <c r="CD127">
        <v>0.7</v>
      </c>
      <c r="CE127">
        <v>-0.22</v>
      </c>
      <c r="CF127">
        <v>-0.22</v>
      </c>
      <c r="CG127">
        <v>-0.22</v>
      </c>
    </row>
    <row r="128" spans="11:85" x14ac:dyDescent="0.2">
      <c r="L128" t="s">
        <v>119</v>
      </c>
      <c r="P128" t="e" cm="1">
        <f t="array" aca="1" ref="P128" ca="1">_xludf.XLOOKUP(K$47,$BX$169:$CG$169,_xludf.XLOOKUP($D$11,$BW$170:$BW$176,$BX$170:$CG$176))</f>
        <v>#NAME?</v>
      </c>
      <c r="Q128" t="e">
        <f t="shared" ca="1" si="50"/>
        <v>#NAME?</v>
      </c>
      <c r="V128">
        <v>1</v>
      </c>
      <c r="W128">
        <v>0</v>
      </c>
      <c r="X128">
        <v>0</v>
      </c>
      <c r="Y128">
        <f t="shared" si="53"/>
        <v>0</v>
      </c>
      <c r="Z128">
        <f t="shared" si="62"/>
        <v>-1.0369999999999999</v>
      </c>
      <c r="AA128" t="e">
        <f t="shared" ca="1" si="54"/>
        <v>#NAME?</v>
      </c>
      <c r="AB128">
        <f t="shared" si="55"/>
        <v>1</v>
      </c>
      <c r="AC128">
        <f t="shared" si="56"/>
        <v>1.4042250000000001</v>
      </c>
      <c r="AD128">
        <f t="shared" si="47"/>
        <v>1.22673096</v>
      </c>
      <c r="AE128">
        <f t="shared" si="48"/>
        <v>5.7714060544358416E-5</v>
      </c>
      <c r="AF128">
        <f t="shared" si="49"/>
        <v>6.9098751939409913E-4</v>
      </c>
      <c r="AG128">
        <f t="shared" si="57"/>
        <v>0</v>
      </c>
      <c r="AH128">
        <f t="shared" si="58"/>
        <v>0</v>
      </c>
      <c r="AI128">
        <f t="shared" si="63"/>
        <v>3.2193644299200004E-3</v>
      </c>
      <c r="AJ128">
        <f t="shared" si="59"/>
        <v>0</v>
      </c>
      <c r="AK128" t="e">
        <f t="shared" ca="1" si="60"/>
        <v>#NAME?</v>
      </c>
      <c r="AL128" t="e">
        <f t="shared" ca="1" si="61"/>
        <v>#NAME?</v>
      </c>
      <c r="BW128" t="s">
        <v>119</v>
      </c>
      <c r="BX128">
        <v>0.77</v>
      </c>
      <c r="BY128">
        <v>0.55000000000000004</v>
      </c>
      <c r="BZ128">
        <v>0.77</v>
      </c>
      <c r="CA128">
        <v>0.66</v>
      </c>
      <c r="CB128">
        <v>0.55000000000000004</v>
      </c>
      <c r="CC128">
        <v>0.55000000000000004</v>
      </c>
      <c r="CD128">
        <v>0.77</v>
      </c>
      <c r="CE128">
        <v>0.33</v>
      </c>
      <c r="CF128">
        <v>0.33</v>
      </c>
      <c r="CG128">
        <v>0.33</v>
      </c>
    </row>
    <row r="129" spans="1:85" x14ac:dyDescent="0.2">
      <c r="L129" t="s">
        <v>120</v>
      </c>
      <c r="P129" t="e" cm="1">
        <f t="array" aca="1" ref="P129" ca="1">_xludf.XLOOKUP(K$47,$BX$169:$CG$169,_xludf.XLOOKUP($D$11,$BW$170:$BW$176,$BX$170:$CG$176))</f>
        <v>#NAME?</v>
      </c>
      <c r="Q129" t="e">
        <f t="shared" ca="1" si="50"/>
        <v>#NAME?</v>
      </c>
      <c r="V129">
        <v>1</v>
      </c>
      <c r="W129">
        <v>0</v>
      </c>
      <c r="X129">
        <v>0</v>
      </c>
      <c r="Y129">
        <f t="shared" si="53"/>
        <v>0</v>
      </c>
      <c r="Z129">
        <f t="shared" si="62"/>
        <v>-1.0369999999999999</v>
      </c>
      <c r="AA129" t="e">
        <f t="shared" ca="1" si="54"/>
        <v>#NAME?</v>
      </c>
      <c r="AB129">
        <f t="shared" si="55"/>
        <v>1</v>
      </c>
      <c r="AC129">
        <f t="shared" si="56"/>
        <v>1.4042250000000001</v>
      </c>
      <c r="AD129">
        <f t="shared" si="47"/>
        <v>1.22673096</v>
      </c>
      <c r="AE129">
        <f t="shared" si="48"/>
        <v>5.7714060544358416E-5</v>
      </c>
      <c r="AF129">
        <f t="shared" si="49"/>
        <v>6.9098751939409913E-4</v>
      </c>
      <c r="AG129">
        <f t="shared" si="57"/>
        <v>0</v>
      </c>
      <c r="AH129">
        <f t="shared" si="58"/>
        <v>0</v>
      </c>
      <c r="AI129">
        <f t="shared" si="63"/>
        <v>3.2193644299200004E-3</v>
      </c>
      <c r="AJ129">
        <f t="shared" si="59"/>
        <v>0</v>
      </c>
      <c r="AK129" t="e">
        <f t="shared" ca="1" si="60"/>
        <v>#NAME?</v>
      </c>
      <c r="AL129" t="e">
        <f t="shared" ca="1" si="61"/>
        <v>#NAME?</v>
      </c>
      <c r="BW129" t="s">
        <v>120</v>
      </c>
      <c r="BX129">
        <v>0.88</v>
      </c>
      <c r="BY129">
        <v>0.55000000000000004</v>
      </c>
      <c r="BZ129">
        <v>0.88</v>
      </c>
      <c r="CA129">
        <v>0.22</v>
      </c>
      <c r="CB129">
        <v>0.22</v>
      </c>
      <c r="CC129">
        <v>0.22</v>
      </c>
      <c r="CD129">
        <v>0.88</v>
      </c>
      <c r="CE129">
        <v>0.22</v>
      </c>
      <c r="CF129">
        <v>0.22</v>
      </c>
      <c r="CG129">
        <v>0.22</v>
      </c>
    </row>
    <row r="130" spans="1:85" x14ac:dyDescent="0.2">
      <c r="L130" t="s">
        <v>121</v>
      </c>
      <c r="P130" t="e" cm="1">
        <f t="array" aca="1" ref="P130" ca="1">_xludf.XLOOKUP(K$47,$BX$169:$CG$169,_xludf.XLOOKUP($D$11,$BW$170:$BW$176,$BX$170:$CG$176))</f>
        <v>#NAME?</v>
      </c>
      <c r="Q130" t="e">
        <f t="shared" ca="1" si="50"/>
        <v>#NAME?</v>
      </c>
      <c r="V130">
        <v>1</v>
      </c>
      <c r="W130">
        <v>0</v>
      </c>
      <c r="X130">
        <v>0</v>
      </c>
      <c r="Y130">
        <f t="shared" si="53"/>
        <v>0</v>
      </c>
      <c r="Z130">
        <f t="shared" si="62"/>
        <v>-1.0369999999999999</v>
      </c>
      <c r="AA130" t="e">
        <f t="shared" ca="1" si="54"/>
        <v>#NAME?</v>
      </c>
      <c r="AB130">
        <f t="shared" si="55"/>
        <v>1</v>
      </c>
      <c r="AC130">
        <f t="shared" si="56"/>
        <v>1.4042250000000001</v>
      </c>
      <c r="AD130">
        <f t="shared" si="47"/>
        <v>1.22673096</v>
      </c>
      <c r="AE130">
        <f t="shared" si="48"/>
        <v>5.7714060544358416E-5</v>
      </c>
      <c r="AF130">
        <f t="shared" si="49"/>
        <v>6.9098751939409913E-4</v>
      </c>
      <c r="AG130">
        <f t="shared" si="57"/>
        <v>0</v>
      </c>
      <c r="AH130">
        <f t="shared" si="58"/>
        <v>0</v>
      </c>
      <c r="AI130">
        <f t="shared" si="63"/>
        <v>3.2193644299200004E-3</v>
      </c>
      <c r="AJ130">
        <f t="shared" si="59"/>
        <v>0</v>
      </c>
      <c r="AK130" t="e">
        <f t="shared" ca="1" si="60"/>
        <v>#NAME?</v>
      </c>
      <c r="AL130" t="e">
        <f t="shared" ca="1" si="61"/>
        <v>#NAME?</v>
      </c>
      <c r="BW130" t="s">
        <v>121</v>
      </c>
      <c r="BX130">
        <v>0.22</v>
      </c>
      <c r="BY130">
        <v>-0.55000000000000004</v>
      </c>
      <c r="BZ130">
        <v>0.22</v>
      </c>
      <c r="CA130">
        <v>0.11</v>
      </c>
      <c r="CB130">
        <v>-0.22</v>
      </c>
      <c r="CC130">
        <v>-0.22</v>
      </c>
      <c r="CD130">
        <v>0.22</v>
      </c>
      <c r="CE130">
        <v>-0.33</v>
      </c>
      <c r="CF130">
        <v>-0.33</v>
      </c>
      <c r="CG130">
        <v>-0.33</v>
      </c>
    </row>
    <row r="131" spans="1:85" x14ac:dyDescent="0.2">
      <c r="BU131" t="s">
        <v>148</v>
      </c>
      <c r="BV131" t="s">
        <v>138</v>
      </c>
      <c r="BW131" t="s">
        <v>117</v>
      </c>
      <c r="BX131">
        <v>0.22</v>
      </c>
      <c r="BY131">
        <v>-0.55000000000000004</v>
      </c>
      <c r="BZ131">
        <v>0.33</v>
      </c>
      <c r="CA131">
        <v>0.22</v>
      </c>
      <c r="CB131">
        <v>-0.33</v>
      </c>
      <c r="CC131">
        <v>-0.33</v>
      </c>
      <c r="CD131">
        <v>0.22</v>
      </c>
      <c r="CE131">
        <v>-0.55000000000000004</v>
      </c>
      <c r="CF131">
        <v>-0.55000000000000004</v>
      </c>
      <c r="CG131">
        <v>-0.55000000000000004</v>
      </c>
    </row>
    <row r="132" spans="1:85" x14ac:dyDescent="0.2">
      <c r="BW132" t="s">
        <v>119</v>
      </c>
      <c r="BX132">
        <v>0.8</v>
      </c>
      <c r="BY132">
        <v>0.55000000000000004</v>
      </c>
      <c r="BZ132">
        <v>0.7</v>
      </c>
      <c r="CA132">
        <v>0.44</v>
      </c>
      <c r="CB132">
        <v>0.66</v>
      </c>
      <c r="CC132">
        <v>0.66</v>
      </c>
      <c r="CD132">
        <v>0.8</v>
      </c>
      <c r="CE132">
        <v>0.55000000000000004</v>
      </c>
      <c r="CF132">
        <v>0.55000000000000004</v>
      </c>
      <c r="CG132">
        <v>0.55000000000000004</v>
      </c>
    </row>
    <row r="133" spans="1:85" x14ac:dyDescent="0.2">
      <c r="D133" t="s">
        <v>185</v>
      </c>
      <c r="BW133" t="s">
        <v>120</v>
      </c>
      <c r="BX133">
        <v>0.66</v>
      </c>
      <c r="BY133">
        <v>0.55000000000000004</v>
      </c>
      <c r="BZ133">
        <v>0.55000000000000004</v>
      </c>
      <c r="CA133">
        <v>0.55000000000000004</v>
      </c>
      <c r="CB133">
        <v>0.11</v>
      </c>
      <c r="CC133">
        <v>0.11</v>
      </c>
      <c r="CD133">
        <v>0.66</v>
      </c>
      <c r="CE133">
        <v>0.55000000000000004</v>
      </c>
      <c r="CF133">
        <v>0.55000000000000004</v>
      </c>
      <c r="CG133">
        <v>0.55000000000000004</v>
      </c>
    </row>
    <row r="134" spans="1:85" x14ac:dyDescent="0.2">
      <c r="BW134" t="s">
        <v>121</v>
      </c>
      <c r="BX134">
        <v>0.33</v>
      </c>
      <c r="BY134">
        <v>-0.55000000000000004</v>
      </c>
      <c r="BZ134">
        <v>0.11</v>
      </c>
      <c r="CA134">
        <v>0.11</v>
      </c>
      <c r="CB134">
        <v>-0.44</v>
      </c>
      <c r="CC134">
        <v>-0.44</v>
      </c>
      <c r="CD134">
        <v>0.33</v>
      </c>
      <c r="CE134">
        <v>-0.55000000000000004</v>
      </c>
      <c r="CF134">
        <v>-0.55000000000000004</v>
      </c>
      <c r="CG134">
        <v>-0.55000000000000004</v>
      </c>
    </row>
    <row r="135" spans="1:85" x14ac:dyDescent="0.2">
      <c r="BU135" t="s">
        <v>131</v>
      </c>
      <c r="BV135" t="s">
        <v>160</v>
      </c>
      <c r="BW135" t="s">
        <v>117</v>
      </c>
      <c r="BX135">
        <v>0.22</v>
      </c>
      <c r="BY135">
        <v>-0.23</v>
      </c>
      <c r="BZ135">
        <v>0.25</v>
      </c>
      <c r="CA135">
        <v>0.17</v>
      </c>
      <c r="CB135">
        <v>0.18</v>
      </c>
      <c r="CC135">
        <v>-0.28000000000000003</v>
      </c>
      <c r="CD135">
        <v>0.32</v>
      </c>
      <c r="CE135">
        <v>0.24</v>
      </c>
      <c r="CF135">
        <v>0.25</v>
      </c>
      <c r="CG135">
        <v>-0.05</v>
      </c>
    </row>
    <row r="136" spans="1:85" x14ac:dyDescent="0.2">
      <c r="BW136" t="s">
        <v>119</v>
      </c>
      <c r="BX136">
        <v>0.66</v>
      </c>
      <c r="BY136">
        <v>0.2</v>
      </c>
      <c r="BZ136">
        <v>0.62</v>
      </c>
      <c r="CA136">
        <v>0.54</v>
      </c>
      <c r="CB136">
        <v>0.38</v>
      </c>
      <c r="CC136">
        <v>0.27</v>
      </c>
      <c r="CD136">
        <v>0.75</v>
      </c>
      <c r="CE136">
        <v>0.64</v>
      </c>
      <c r="CF136">
        <v>0.55000000000000004</v>
      </c>
      <c r="CG136">
        <v>0.48</v>
      </c>
    </row>
    <row r="137" spans="1:85" x14ac:dyDescent="0.2">
      <c r="BW137" t="s">
        <v>120</v>
      </c>
      <c r="BX137">
        <v>0.49</v>
      </c>
      <c r="BY137">
        <v>0.13</v>
      </c>
      <c r="BZ137">
        <v>0.54</v>
      </c>
      <c r="CA137">
        <v>0.45</v>
      </c>
      <c r="CB137">
        <v>0.35</v>
      </c>
      <c r="CC137">
        <v>0.15</v>
      </c>
      <c r="CD137">
        <v>0.63</v>
      </c>
      <c r="CE137">
        <v>0.54</v>
      </c>
      <c r="CF137">
        <v>0.42</v>
      </c>
      <c r="CG137">
        <v>0.26</v>
      </c>
    </row>
    <row r="138" spans="1:85" x14ac:dyDescent="0.2">
      <c r="BW138" t="s">
        <v>121</v>
      </c>
      <c r="BX138">
        <v>0.27</v>
      </c>
      <c r="BY138">
        <v>-0.8</v>
      </c>
      <c r="BZ138">
        <v>0.22</v>
      </c>
      <c r="CA138">
        <v>0.09</v>
      </c>
      <c r="CB138">
        <v>0.12</v>
      </c>
      <c r="CC138">
        <v>0.02</v>
      </c>
      <c r="CD138">
        <v>0.25</v>
      </c>
      <c r="CE138">
        <v>0.18</v>
      </c>
      <c r="CF138">
        <v>0.12</v>
      </c>
      <c r="CG138">
        <v>0.03</v>
      </c>
    </row>
    <row r="139" spans="1:85" x14ac:dyDescent="0.2">
      <c r="BU139" t="s">
        <v>131</v>
      </c>
      <c r="BV139" t="s">
        <v>162</v>
      </c>
      <c r="BW139" t="s">
        <v>117</v>
      </c>
      <c r="BX139">
        <v>0.22</v>
      </c>
      <c r="BY139">
        <v>-0.44</v>
      </c>
      <c r="BZ139">
        <v>0.2</v>
      </c>
      <c r="CA139">
        <v>0.21</v>
      </c>
      <c r="CB139">
        <v>0.18</v>
      </c>
      <c r="CC139">
        <v>0.01</v>
      </c>
      <c r="CD139">
        <v>0.12</v>
      </c>
      <c r="CE139">
        <v>0.09</v>
      </c>
      <c r="CF139" t="s">
        <v>181</v>
      </c>
      <c r="CG139" t="s">
        <v>181</v>
      </c>
    </row>
    <row r="140" spans="1:85" x14ac:dyDescent="0.2">
      <c r="BW140" t="s">
        <v>119</v>
      </c>
      <c r="BX140">
        <v>0.66</v>
      </c>
      <c r="BY140">
        <v>0.22</v>
      </c>
      <c r="BZ140">
        <v>0.68</v>
      </c>
      <c r="CA140">
        <v>0.22</v>
      </c>
      <c r="CB140">
        <v>0.24</v>
      </c>
      <c r="CC140">
        <v>0.25</v>
      </c>
      <c r="CD140">
        <v>0.64</v>
      </c>
      <c r="CE140">
        <v>0.37</v>
      </c>
      <c r="CF140" t="s">
        <v>181</v>
      </c>
      <c r="CG140" t="s">
        <v>181</v>
      </c>
    </row>
    <row r="141" spans="1:85" x14ac:dyDescent="0.2">
      <c r="A141" t="s">
        <v>186</v>
      </c>
      <c r="B141" t="s">
        <v>111</v>
      </c>
      <c r="C141" t="s">
        <v>24</v>
      </c>
      <c r="D141" t="s">
        <v>112</v>
      </c>
      <c r="G141" t="s">
        <v>113</v>
      </c>
      <c r="H141" t="s">
        <v>114</v>
      </c>
      <c r="I141" t="s">
        <v>115</v>
      </c>
      <c r="J141" t="str">
        <f>IF(H141="Non-irrigated crop", IF(I141="high", "Non-irrigated crop (high rainfall)", "Non-irrigated crop (low rainfall)"), H141)</f>
        <v>Irrigated crop</v>
      </c>
      <c r="K141" t="s">
        <v>116</v>
      </c>
      <c r="L141" t="s">
        <v>117</v>
      </c>
      <c r="M141">
        <v>100</v>
      </c>
      <c r="N141">
        <v>80</v>
      </c>
      <c r="O141">
        <v>0.4</v>
      </c>
      <c r="P141" t="e" cm="1">
        <f t="array" aca="1" ref="P141" ca="1">_xludf.XLOOKUP(K$11,$BX$169:$CG$169,_xludf.XLOOKUP($D$11,$BW$170:$BW$176,$BX$170:$CG$176))</f>
        <v>#NAME?</v>
      </c>
      <c r="Q141" t="e">
        <f t="shared" ref="Q141:Q180" ca="1" si="64">N141/P141</f>
        <v>#NAME?</v>
      </c>
      <c r="T141">
        <v>0</v>
      </c>
      <c r="V141">
        <v>1</v>
      </c>
      <c r="W141">
        <f>VLOOKUP($G$141, $CL$17:$CN$25, 2, FALSE)</f>
        <v>6</v>
      </c>
      <c r="X141">
        <v>0</v>
      </c>
      <c r="Y141">
        <f t="shared" ref="Y141:Y180" si="65">T141*X141</f>
        <v>0</v>
      </c>
      <c r="Z141">
        <f t="shared" ref="Z141:Z180" si="66">0.1604 * ($AM141*100) - 1.037</f>
        <v>8.5869999999999997</v>
      </c>
      <c r="AA141" t="e">
        <f t="shared" ref="AA141:AA180" ca="1" si="67">(0.032 * Y141 /6.38) + ((0.212 - 0.008 * (AB141 - 2) - ((0.14 - 0.008 * (AB141 - 2)) / (1 + EXP(-6 * (Q141 - 0.4))))) * (O141 * 0.92)) / 6.25</f>
        <v>#NAME?</v>
      </c>
      <c r="AB141">
        <f t="shared" ref="AB141:AB180" si="68">AC141 / ((1.185 + 0.00454 * N141 - 0.0000026 * N141 ^ 2 ) ^ 2 * V141)</f>
        <v>1.1713063160658626</v>
      </c>
      <c r="AC141">
        <f t="shared" ref="AC141:AC180" si="69">(1.185 + 0.00454 * N141 - 0.0000026 * N141^2 + 0.315 * O141)^2 * V141</f>
        <v>2.7475051536000006</v>
      </c>
      <c r="AD141">
        <f t="shared" ref="AD141:AD180" si="70">(AC141 * (1 -AM141) + (0.04 * AC141)) * ( 1 - AV$11 )</f>
        <v>1.0154779047705602</v>
      </c>
      <c r="AE141">
        <f t="shared" ref="AE141:AE180" si="71">AD141 * AT$141 * AP$141 * AR$141 * AU$141</f>
        <v>0</v>
      </c>
      <c r="AF141">
        <f t="shared" ref="AF141:AF180" si="72">AD141 * AT$141 * AQ$141 * AS$141 * AU$141</f>
        <v>6.0209878406120823E-4</v>
      </c>
      <c r="AG141">
        <f t="shared" ref="AG141:AG180" si="73">M141*AE141*91.25</f>
        <v>0</v>
      </c>
      <c r="AH141">
        <f t="shared" ref="AH141:AH180" si="74">M141*AF141*91.25</f>
        <v>5.4941514045585258</v>
      </c>
      <c r="AI141">
        <f t="shared" ref="AI141:AI180" si="75">((0.3 * AC141 * $AN141 * (1 - ($AM141 + 0.1)) + (0.105 * $Z141 * $AC141 * 0.008) + (0.0152 * $AC141)) / 6.25) + (0.08 * 0.032 * $W141 / 6.38)</f>
        <v>1.4238535670851643E-2</v>
      </c>
      <c r="AJ141">
        <f t="shared" ref="AJ141:AJ180" si="76">M141*AI141*91.25</f>
        <v>129.92663799652126</v>
      </c>
      <c r="AK141" t="e">
        <f t="shared" ref="AK141:AK180" ca="1" si="77">(AC141 * $AN141 / 6.25) + (0.032 * W141 / 6.38) - AA141 - AI141 - ((1.1 * (10 ^ -4) * (N141 ^ 0.75)) / 6.25)</f>
        <v>#NAME?</v>
      </c>
      <c r="AL141" t="e">
        <f t="shared" ref="AL141:AL180" ca="1" si="78">M141*AK141*91.25</f>
        <v>#NAME?</v>
      </c>
      <c r="AM141">
        <v>0.6</v>
      </c>
      <c r="AN141">
        <v>0.05</v>
      </c>
      <c r="AO141" t="s">
        <v>187</v>
      </c>
      <c r="AP141">
        <f>IF(AO141="yes", $BV$6, $BW$6)</f>
        <v>0</v>
      </c>
      <c r="AQ141">
        <f>IF(AO141="yes", $BV$7, $BW$7)</f>
        <v>1</v>
      </c>
      <c r="AR141">
        <f>VLOOKUP(B141, $CH$17:$CI$26, 2, FALSE)</f>
        <v>7.3000000000000001E-3</v>
      </c>
      <c r="AS141">
        <f>$CI$14</f>
        <v>4.5999999999999999E-3</v>
      </c>
      <c r="AT141">
        <f>$CA$5</f>
        <v>0.19</v>
      </c>
      <c r="AU141">
        <f>$CA$6</f>
        <v>0.6784</v>
      </c>
      <c r="AV141">
        <f>$CA$7</f>
        <v>0.16</v>
      </c>
      <c r="AW141" t="e">
        <f ca="1">SUM(AG141:AH180)</f>
        <v>#NAME?</v>
      </c>
      <c r="AX141" t="e">
        <f ca="1">SUM(AJ141:AJ180)</f>
        <v>#NAME?</v>
      </c>
      <c r="AY141">
        <f>IF(C141="wet",$CD$5,$CD$6)</f>
        <v>6.0000000000000001E-3</v>
      </c>
      <c r="AZ141">
        <f>$CD$7</f>
        <v>1.5714285714285714</v>
      </c>
      <c r="BA141">
        <f>$CD$8</f>
        <v>265</v>
      </c>
      <c r="BB141" t="e">
        <f ca="1">SUM(AL141:AL180)</f>
        <v>#NAME?</v>
      </c>
      <c r="BC141" t="e">
        <f ca="1">((AX141 * AY141 * AZ141) + (BB141 * AY141 * AZ141))  * (10^-3)</f>
        <v>#NAME?</v>
      </c>
      <c r="BD141">
        <f>$CA$8</f>
        <v>28</v>
      </c>
      <c r="BE141">
        <f>$CD$9</f>
        <v>0.21</v>
      </c>
      <c r="BF141" t="e">
        <f ca="1">(AX141+BB141)*BE141</f>
        <v>#NAME?</v>
      </c>
      <c r="BG141">
        <f>VLOOKUP(J141, $CH$29:$CI$33,2,FALSE)</f>
        <v>7.0000000000000001E-3</v>
      </c>
      <c r="BH141" t="e">
        <f ca="1">BF141*BG141*AZ141*(10^-3)</f>
        <v>#NAME?</v>
      </c>
      <c r="BI141">
        <f>$CA$9</f>
        <v>1.0999999999999999E-2</v>
      </c>
      <c r="BJ141">
        <f>VLOOKUP(D141, $CL$29:$CM$46, 2, FALSE)</f>
        <v>0.87</v>
      </c>
      <c r="BK141">
        <f>$CG$4</f>
        <v>0.24</v>
      </c>
      <c r="BL141" t="e">
        <f ca="1">(BB141+AX141)*BJ141*BK141</f>
        <v>#NAME?</v>
      </c>
      <c r="BM141" t="e">
        <f ca="1">BL141*BI141*AZ141*(10^-3)</f>
        <v>#NAME?</v>
      </c>
      <c r="BN141" t="e">
        <f ca="1">BC141+BH141+BM141</f>
        <v>#NAME?</v>
      </c>
      <c r="BO141" t="e">
        <f ca="1">AW141 * BD141 * 10^-3</f>
        <v>#NAME?</v>
      </c>
      <c r="BW141" t="s">
        <v>120</v>
      </c>
      <c r="BX141">
        <v>0.49</v>
      </c>
      <c r="BY141">
        <v>0.05</v>
      </c>
      <c r="BZ141">
        <v>0.64</v>
      </c>
      <c r="CA141">
        <v>0.25</v>
      </c>
      <c r="CB141">
        <v>0.28999999999999998</v>
      </c>
      <c r="CC141">
        <v>0.12</v>
      </c>
      <c r="CD141">
        <v>0.56999999999999995</v>
      </c>
      <c r="CE141">
        <v>0.49</v>
      </c>
      <c r="CF141" t="s">
        <v>181</v>
      </c>
      <c r="CG141" t="s">
        <v>181</v>
      </c>
    </row>
    <row r="142" spans="1:85" x14ac:dyDescent="0.2">
      <c r="L142" t="s">
        <v>119</v>
      </c>
      <c r="M142">
        <v>110</v>
      </c>
      <c r="N142">
        <v>90</v>
      </c>
      <c r="O142">
        <v>0.4</v>
      </c>
      <c r="P142" t="e" cm="1">
        <f t="array" aca="1" ref="P142" ca="1">_xludf.XLOOKUP(K$11,$BX$169:$CG$169,_xludf.XLOOKUP($D$11,$BW$170:$BW$176,$BX$170:$CG$176))</f>
        <v>#NAME?</v>
      </c>
      <c r="Q142" t="e">
        <f t="shared" ca="1" si="64"/>
        <v>#NAME?</v>
      </c>
      <c r="V142">
        <v>1</v>
      </c>
      <c r="W142">
        <f>VLOOKUP($G$141, $CL$17:$CN$25, 3, FALSE)</f>
        <v>4</v>
      </c>
      <c r="X142">
        <v>0</v>
      </c>
      <c r="Y142">
        <f t="shared" si="65"/>
        <v>0</v>
      </c>
      <c r="Z142">
        <f t="shared" si="66"/>
        <v>6.9829999999999997</v>
      </c>
      <c r="AA142" t="e">
        <f t="shared" ca="1" si="67"/>
        <v>#NAME?</v>
      </c>
      <c r="AB142">
        <f t="shared" si="68"/>
        <v>1.166670335017931</v>
      </c>
      <c r="AC142">
        <f t="shared" si="69"/>
        <v>2.8850381316</v>
      </c>
      <c r="AD142">
        <f t="shared" si="70"/>
        <v>1.3086532964937598</v>
      </c>
      <c r="AE142">
        <f t="shared" si="71"/>
        <v>0</v>
      </c>
      <c r="AF142">
        <f t="shared" si="72"/>
        <v>7.7592880640235445E-4</v>
      </c>
      <c r="AG142">
        <f t="shared" si="73"/>
        <v>0</v>
      </c>
      <c r="AH142">
        <f t="shared" si="74"/>
        <v>7.7883853942636332</v>
      </c>
      <c r="AI142">
        <f t="shared" si="75"/>
        <v>1.5206571797988993E-2</v>
      </c>
      <c r="AJ142">
        <f t="shared" si="76"/>
        <v>152.63596442231452</v>
      </c>
      <c r="AK142" t="e">
        <f t="shared" ca="1" si="77"/>
        <v>#NAME?</v>
      </c>
      <c r="AL142" t="e">
        <f t="shared" ca="1" si="78"/>
        <v>#NAME?</v>
      </c>
      <c r="AM142">
        <v>0.5</v>
      </c>
      <c r="AN142">
        <v>7.0000000000000007E-2</v>
      </c>
      <c r="BW142" t="s">
        <v>121</v>
      </c>
      <c r="BX142">
        <v>0.27</v>
      </c>
      <c r="BY142">
        <v>-0.27</v>
      </c>
      <c r="BZ142">
        <v>0.31</v>
      </c>
      <c r="CA142">
        <v>0.28999999999999998</v>
      </c>
      <c r="CB142">
        <v>0.19</v>
      </c>
      <c r="CC142">
        <v>0.04</v>
      </c>
      <c r="CD142">
        <v>0.26</v>
      </c>
      <c r="CE142">
        <v>0.28000000000000003</v>
      </c>
      <c r="CF142" t="s">
        <v>181</v>
      </c>
      <c r="CG142" t="s">
        <v>181</v>
      </c>
    </row>
    <row r="143" spans="1:85" x14ac:dyDescent="0.2">
      <c r="L143" t="s">
        <v>120</v>
      </c>
      <c r="M143">
        <v>120</v>
      </c>
      <c r="N143">
        <v>100</v>
      </c>
      <c r="O143">
        <v>0.5</v>
      </c>
      <c r="P143" t="e" cm="1">
        <f t="array" aca="1" ref="P143" ca="1">_xludf.XLOOKUP(K$11,$BX$169:$CG$169,_xludf.XLOOKUP($D$11,$BW$170:$BW$176,$BX$170:$CG$176))</f>
        <v>#NAME?</v>
      </c>
      <c r="Q143" t="e">
        <f t="shared" ca="1" si="64"/>
        <v>#NAME?</v>
      </c>
      <c r="V143">
        <v>1</v>
      </c>
      <c r="W143">
        <v>0</v>
      </c>
      <c r="X143">
        <v>0</v>
      </c>
      <c r="Y143">
        <f t="shared" si="65"/>
        <v>0</v>
      </c>
      <c r="Z143">
        <f t="shared" si="66"/>
        <v>5.3789999999999996</v>
      </c>
      <c r="AA143" t="e">
        <f t="shared" ca="1" si="67"/>
        <v>#NAME?</v>
      </c>
      <c r="AB143">
        <f t="shared" si="68"/>
        <v>1.204822661043313</v>
      </c>
      <c r="AC143">
        <f t="shared" si="69"/>
        <v>3.1346702499999997</v>
      </c>
      <c r="AD143">
        <f t="shared" si="70"/>
        <v>1.6851987263999997</v>
      </c>
      <c r="AE143">
        <f t="shared" si="71"/>
        <v>0</v>
      </c>
      <c r="AF143">
        <f t="shared" si="72"/>
        <v>9.9919072517505028E-4</v>
      </c>
      <c r="AG143">
        <f t="shared" si="73"/>
        <v>0</v>
      </c>
      <c r="AH143">
        <f t="shared" si="74"/>
        <v>10.9411384406668</v>
      </c>
      <c r="AI143">
        <f t="shared" si="75"/>
        <v>1.7412897635326399E-2</v>
      </c>
      <c r="AJ143">
        <f t="shared" si="76"/>
        <v>190.67122910682409</v>
      </c>
      <c r="AK143" t="e">
        <f t="shared" ca="1" si="77"/>
        <v>#NAME?</v>
      </c>
      <c r="AL143" t="e">
        <f t="shared" ca="1" si="78"/>
        <v>#NAME?</v>
      </c>
      <c r="AM143">
        <v>0.4</v>
      </c>
      <c r="AN143">
        <v>0.1</v>
      </c>
      <c r="BU143" t="s">
        <v>131</v>
      </c>
      <c r="BV143" t="s">
        <v>163</v>
      </c>
      <c r="BW143" t="s">
        <v>117</v>
      </c>
      <c r="BX143">
        <v>0.22</v>
      </c>
      <c r="BY143">
        <v>-0.44</v>
      </c>
      <c r="BZ143">
        <v>0</v>
      </c>
      <c r="CA143">
        <v>0.15</v>
      </c>
      <c r="CB143">
        <v>0.08</v>
      </c>
      <c r="CC143">
        <v>0.17</v>
      </c>
      <c r="CD143">
        <v>0.06</v>
      </c>
      <c r="CE143">
        <v>0.02</v>
      </c>
      <c r="CF143">
        <v>-0.14000000000000001</v>
      </c>
      <c r="CG143" t="s">
        <v>181</v>
      </c>
    </row>
    <row r="144" spans="1:85" x14ac:dyDescent="0.2">
      <c r="L144" t="s">
        <v>121</v>
      </c>
      <c r="M144">
        <v>130</v>
      </c>
      <c r="N144">
        <v>110</v>
      </c>
      <c r="O144">
        <v>0.8</v>
      </c>
      <c r="P144" t="e" cm="1">
        <f t="array" aca="1" ref="P144" ca="1">_xludf.XLOOKUP(K$11,$BX$169:$CG$169,_xludf.XLOOKUP($D$11,$BW$170:$BW$176,$BX$170:$CG$176))</f>
        <v>#NAME?</v>
      </c>
      <c r="Q144" t="e">
        <f t="shared" ca="1" si="64"/>
        <v>#NAME?</v>
      </c>
      <c r="V144">
        <v>1</v>
      </c>
      <c r="W144">
        <v>0</v>
      </c>
      <c r="X144">
        <v>0</v>
      </c>
      <c r="Y144">
        <f t="shared" si="65"/>
        <v>0</v>
      </c>
      <c r="Z144">
        <f t="shared" si="66"/>
        <v>3.7749999999999995</v>
      </c>
      <c r="AA144" t="e">
        <f t="shared" ca="1" si="67"/>
        <v>#NAME?</v>
      </c>
      <c r="AB144">
        <f t="shared" si="68"/>
        <v>1.328153966496026</v>
      </c>
      <c r="AC144">
        <f t="shared" si="69"/>
        <v>3.6287964036000004</v>
      </c>
      <c r="AD144">
        <f t="shared" si="70"/>
        <v>2.2556598444777598</v>
      </c>
      <c r="AE144">
        <f t="shared" si="71"/>
        <v>0</v>
      </c>
      <c r="AF144">
        <f t="shared" si="72"/>
        <v>1.3374294440435044E-3</v>
      </c>
      <c r="AG144">
        <f t="shared" si="73"/>
        <v>0</v>
      </c>
      <c r="AH144">
        <f t="shared" si="74"/>
        <v>15.865256779966071</v>
      </c>
      <c r="AI144">
        <f t="shared" si="75"/>
        <v>2.4252552731964094E-2</v>
      </c>
      <c r="AJ144">
        <f t="shared" si="76"/>
        <v>287.69590678292406</v>
      </c>
      <c r="AK144" t="e">
        <f t="shared" ca="1" si="77"/>
        <v>#NAME?</v>
      </c>
      <c r="AL144" t="e">
        <f t="shared" ca="1" si="78"/>
        <v>#NAME?</v>
      </c>
      <c r="AM144">
        <v>0.3</v>
      </c>
      <c r="AN144">
        <v>0.13</v>
      </c>
      <c r="BW144" t="s">
        <v>119</v>
      </c>
      <c r="BX144">
        <v>0.66</v>
      </c>
      <c r="BY144">
        <v>0.22</v>
      </c>
      <c r="BZ144">
        <v>0.79</v>
      </c>
      <c r="CA144">
        <v>0.4</v>
      </c>
      <c r="CB144">
        <v>0.38</v>
      </c>
      <c r="CC144">
        <v>0.27</v>
      </c>
      <c r="CD144">
        <v>0.8</v>
      </c>
      <c r="CE144">
        <v>0.16</v>
      </c>
      <c r="CF144">
        <v>0.3</v>
      </c>
      <c r="CG144" t="s">
        <v>181</v>
      </c>
    </row>
    <row r="145" spans="11:94" x14ac:dyDescent="0.2">
      <c r="K145" t="s">
        <v>122</v>
      </c>
      <c r="L145" t="s">
        <v>117</v>
      </c>
      <c r="M145">
        <v>50</v>
      </c>
      <c r="N145">
        <v>470</v>
      </c>
      <c r="O145">
        <v>0.1</v>
      </c>
      <c r="P145" t="e" cm="1">
        <f t="array" aca="1" ref="P145" ca="1">_xludf.XLOOKUP(K$15,$BX$169:$CG$169,_xludf.XLOOKUP($D$11,$BW$170:$BW$176,$BX$170:$CG$176))</f>
        <v>#NAME?</v>
      </c>
      <c r="Q145" t="e">
        <f t="shared" ca="1" si="64"/>
        <v>#NAME?</v>
      </c>
      <c r="V145">
        <v>1</v>
      </c>
      <c r="W145">
        <v>0</v>
      </c>
      <c r="X145">
        <v>0</v>
      </c>
      <c r="Y145">
        <f t="shared" si="65"/>
        <v>0</v>
      </c>
      <c r="Z145">
        <f t="shared" si="66"/>
        <v>8.5869999999999997</v>
      </c>
      <c r="AA145" t="e">
        <f t="shared" ca="1" si="67"/>
        <v>#NAME?</v>
      </c>
      <c r="AB145">
        <f t="shared" si="68"/>
        <v>1.0230870723325332</v>
      </c>
      <c r="AC145">
        <f t="shared" si="69"/>
        <v>7.7059539215999999</v>
      </c>
      <c r="AD145">
        <f t="shared" si="70"/>
        <v>2.8481205694233598</v>
      </c>
      <c r="AE145">
        <f t="shared" si="71"/>
        <v>0</v>
      </c>
      <c r="AF145">
        <f t="shared" si="72"/>
        <v>1.6887122050154094E-3</v>
      </c>
      <c r="AG145">
        <f t="shared" si="73"/>
        <v>0</v>
      </c>
      <c r="AH145">
        <f t="shared" si="74"/>
        <v>7.704749435382805</v>
      </c>
      <c r="AI145">
        <f t="shared" si="75"/>
        <v>3.3182552698933526E-2</v>
      </c>
      <c r="AJ145">
        <f t="shared" si="76"/>
        <v>151.3953966888842</v>
      </c>
      <c r="AK145" t="e">
        <f t="shared" ca="1" si="77"/>
        <v>#NAME?</v>
      </c>
      <c r="AL145" t="e">
        <f t="shared" ca="1" si="78"/>
        <v>#NAME?</v>
      </c>
      <c r="AM145">
        <v>0.6</v>
      </c>
      <c r="AN145">
        <v>0.05</v>
      </c>
      <c r="BW145" t="s">
        <v>120</v>
      </c>
      <c r="BX145">
        <v>0.49</v>
      </c>
      <c r="BY145">
        <v>0.05</v>
      </c>
      <c r="BZ145">
        <v>0.55000000000000004</v>
      </c>
      <c r="CA145">
        <v>0.38</v>
      </c>
      <c r="CB145">
        <v>0.36</v>
      </c>
      <c r="CC145">
        <v>0.06</v>
      </c>
      <c r="CD145">
        <v>0.57999999999999996</v>
      </c>
      <c r="CE145">
        <v>0.23</v>
      </c>
      <c r="CF145">
        <v>0.4</v>
      </c>
      <c r="CG145" t="s">
        <v>181</v>
      </c>
    </row>
    <row r="146" spans="11:94" x14ac:dyDescent="0.2">
      <c r="L146" t="s">
        <v>119</v>
      </c>
      <c r="M146">
        <v>55</v>
      </c>
      <c r="N146">
        <v>480</v>
      </c>
      <c r="O146">
        <v>0.2</v>
      </c>
      <c r="P146" t="e" cm="1">
        <f t="array" aca="1" ref="P146" ca="1">_xludf.XLOOKUP(K$15,$BX$169:$CG$169,_xludf.XLOOKUP($D$11,$BW$170:$BW$176,$BX$170:$CG$176))</f>
        <v>#NAME?</v>
      </c>
      <c r="Q146" t="e">
        <f t="shared" ca="1" si="64"/>
        <v>#NAME?</v>
      </c>
      <c r="V146">
        <v>1</v>
      </c>
      <c r="W146">
        <v>0</v>
      </c>
      <c r="X146">
        <v>0</v>
      </c>
      <c r="Y146">
        <f t="shared" si="65"/>
        <v>0</v>
      </c>
      <c r="Z146">
        <f t="shared" si="66"/>
        <v>6.9829999999999997</v>
      </c>
      <c r="AA146" t="e">
        <f t="shared" ca="1" si="67"/>
        <v>#NAME?</v>
      </c>
      <c r="AB146">
        <f t="shared" si="68"/>
        <v>1.0460860709612354</v>
      </c>
      <c r="AC146">
        <f t="shared" si="69"/>
        <v>7.9984889855999999</v>
      </c>
      <c r="AD146">
        <f t="shared" si="70"/>
        <v>3.62811460386816</v>
      </c>
      <c r="AE146">
        <f t="shared" si="71"/>
        <v>0</v>
      </c>
      <c r="AF146">
        <f t="shared" si="72"/>
        <v>2.1511875159088757E-3</v>
      </c>
      <c r="AG146">
        <f t="shared" si="73"/>
        <v>0</v>
      </c>
      <c r="AH146">
        <f t="shared" si="74"/>
        <v>10.796272345467669</v>
      </c>
      <c r="AI146">
        <f t="shared" si="75"/>
        <v>3.7708997899643784E-2</v>
      </c>
      <c r="AJ146">
        <f t="shared" si="76"/>
        <v>189.25203320883722</v>
      </c>
      <c r="AK146" t="e">
        <f t="shared" ca="1" si="77"/>
        <v>#NAME?</v>
      </c>
      <c r="AL146" t="e">
        <f t="shared" ca="1" si="78"/>
        <v>#NAME?</v>
      </c>
      <c r="AM146">
        <v>0.5</v>
      </c>
      <c r="AN146">
        <v>7.0000000000000007E-2</v>
      </c>
      <c r="BW146" t="s">
        <v>121</v>
      </c>
      <c r="BX146">
        <v>0.27</v>
      </c>
      <c r="BY146">
        <v>-0.27</v>
      </c>
      <c r="BZ146">
        <v>0.02</v>
      </c>
      <c r="CA146">
        <v>0.09</v>
      </c>
      <c r="CB146">
        <v>0.16</v>
      </c>
      <c r="CC146">
        <v>-0.04</v>
      </c>
      <c r="CD146">
        <v>0.21</v>
      </c>
      <c r="CE146">
        <v>0.03</v>
      </c>
      <c r="CF146">
        <v>0.11</v>
      </c>
      <c r="CG146" t="s">
        <v>181</v>
      </c>
      <c r="CJ146">
        <v>700</v>
      </c>
      <c r="CK146">
        <v>700</v>
      </c>
      <c r="CL146">
        <v>600</v>
      </c>
      <c r="CM146">
        <v>500</v>
      </c>
      <c r="CN146">
        <v>500</v>
      </c>
      <c r="CO146">
        <v>500</v>
      </c>
      <c r="CP146">
        <v>500</v>
      </c>
    </row>
    <row r="147" spans="11:94" x14ac:dyDescent="0.2">
      <c r="L147" t="s">
        <v>120</v>
      </c>
      <c r="M147">
        <v>60</v>
      </c>
      <c r="N147">
        <v>490</v>
      </c>
      <c r="O147">
        <v>1.5</v>
      </c>
      <c r="P147" t="e" cm="1">
        <f t="array" aca="1" ref="P147" ca="1">_xludf.XLOOKUP(K$15,$BX$169:$CG$169,_xludf.XLOOKUP($D$11,$BW$170:$BW$176,$BX$170:$CG$176))</f>
        <v>#NAME?</v>
      </c>
      <c r="Q147" t="e">
        <f t="shared" ca="1" si="64"/>
        <v>#NAME?</v>
      </c>
      <c r="V147">
        <v>1</v>
      </c>
      <c r="W147">
        <v>0</v>
      </c>
      <c r="X147">
        <v>0</v>
      </c>
      <c r="Y147">
        <f t="shared" si="65"/>
        <v>0</v>
      </c>
      <c r="Z147">
        <f t="shared" si="66"/>
        <v>5.3789999999999996</v>
      </c>
      <c r="AA147" t="e">
        <f t="shared" ca="1" si="67"/>
        <v>#NAME?</v>
      </c>
      <c r="AB147">
        <f t="shared" si="68"/>
        <v>1.3680534651587215</v>
      </c>
      <c r="AC147">
        <f t="shared" si="69"/>
        <v>10.6135214656</v>
      </c>
      <c r="AD147">
        <f t="shared" si="70"/>
        <v>5.7058291399065597</v>
      </c>
      <c r="AE147">
        <f t="shared" si="71"/>
        <v>0</v>
      </c>
      <c r="AF147">
        <f t="shared" si="72"/>
        <v>3.3831093429600211E-3</v>
      </c>
      <c r="AG147">
        <f t="shared" si="73"/>
        <v>0</v>
      </c>
      <c r="AH147">
        <f t="shared" si="74"/>
        <v>18.522523652706113</v>
      </c>
      <c r="AI147">
        <f t="shared" si="75"/>
        <v>5.8957449457668544E-2</v>
      </c>
      <c r="AJ147">
        <f t="shared" si="76"/>
        <v>322.79203578073526</v>
      </c>
      <c r="AK147" t="e">
        <f t="shared" ca="1" si="77"/>
        <v>#NAME?</v>
      </c>
      <c r="AL147" t="e">
        <f t="shared" ca="1" si="78"/>
        <v>#NAME?</v>
      </c>
      <c r="AM147">
        <v>0.4</v>
      </c>
      <c r="AN147">
        <v>0.1</v>
      </c>
      <c r="BU147" t="s">
        <v>182</v>
      </c>
      <c r="BV147" t="s">
        <v>166</v>
      </c>
      <c r="BW147" t="s">
        <v>117</v>
      </c>
      <c r="BX147">
        <v>0.27</v>
      </c>
      <c r="BY147">
        <v>-0.19</v>
      </c>
      <c r="BZ147">
        <v>0.38</v>
      </c>
      <c r="CA147">
        <v>0.25</v>
      </c>
      <c r="CB147">
        <v>7.0000000000000007E-2</v>
      </c>
      <c r="CC147">
        <v>0.05</v>
      </c>
      <c r="CD147">
        <v>0.52</v>
      </c>
      <c r="CE147">
        <v>0.55000000000000004</v>
      </c>
      <c r="CF147">
        <v>0.19</v>
      </c>
      <c r="CG147">
        <v>0.6</v>
      </c>
      <c r="CJ147">
        <v>770</v>
      </c>
      <c r="CK147">
        <v>770</v>
      </c>
      <c r="CL147">
        <v>660</v>
      </c>
      <c r="CM147">
        <v>550</v>
      </c>
      <c r="CN147">
        <v>550</v>
      </c>
      <c r="CO147">
        <v>550</v>
      </c>
      <c r="CP147">
        <v>550</v>
      </c>
    </row>
    <row r="148" spans="11:94" x14ac:dyDescent="0.2">
      <c r="L148" t="s">
        <v>121</v>
      </c>
      <c r="M148">
        <v>65</v>
      </c>
      <c r="N148">
        <v>500</v>
      </c>
      <c r="O148">
        <v>1.3</v>
      </c>
      <c r="P148" t="e" cm="1">
        <f t="array" aca="1" ref="P148" ca="1">_xludf.XLOOKUP(K$15,$BX$169:$CG$169,_xludf.XLOOKUP($D$11,$BW$170:$BW$176,$BX$170:$CG$176))</f>
        <v>#NAME?</v>
      </c>
      <c r="Q148" t="e">
        <f t="shared" ca="1" si="64"/>
        <v>#NAME?</v>
      </c>
      <c r="V148">
        <v>1</v>
      </c>
      <c r="W148">
        <v>0</v>
      </c>
      <c r="X148">
        <v>0</v>
      </c>
      <c r="Y148">
        <f t="shared" si="65"/>
        <v>0</v>
      </c>
      <c r="Z148">
        <f t="shared" si="66"/>
        <v>3.7749999999999995</v>
      </c>
      <c r="AA148" t="e">
        <f t="shared" ca="1" si="67"/>
        <v>#NAME?</v>
      </c>
      <c r="AB148">
        <f t="shared" si="68"/>
        <v>1.3132914867454031</v>
      </c>
      <c r="AC148">
        <f t="shared" si="69"/>
        <v>10.333010250000001</v>
      </c>
      <c r="AD148">
        <f t="shared" si="70"/>
        <v>6.4229991713999999</v>
      </c>
      <c r="AE148">
        <f t="shared" si="71"/>
        <v>0</v>
      </c>
      <c r="AF148">
        <f t="shared" si="72"/>
        <v>3.8083349455051616E-3</v>
      </c>
      <c r="AG148">
        <f t="shared" si="73"/>
        <v>0</v>
      </c>
      <c r="AH148">
        <f t="shared" si="74"/>
        <v>22.58818664552749</v>
      </c>
      <c r="AI148">
        <f t="shared" si="75"/>
        <v>6.9059227384439995E-2</v>
      </c>
      <c r="AJ148">
        <f t="shared" si="76"/>
        <v>409.60754242395973</v>
      </c>
      <c r="AK148" t="e">
        <f t="shared" ca="1" si="77"/>
        <v>#NAME?</v>
      </c>
      <c r="AL148" t="e">
        <f t="shared" ca="1" si="78"/>
        <v>#NAME?</v>
      </c>
      <c r="AM148">
        <v>0.3</v>
      </c>
      <c r="AN148">
        <v>0.13</v>
      </c>
      <c r="BW148" t="s">
        <v>119</v>
      </c>
      <c r="BX148">
        <v>0.16</v>
      </c>
      <c r="BY148">
        <v>0.16</v>
      </c>
      <c r="BZ148">
        <v>0.8</v>
      </c>
      <c r="CA148">
        <v>0.56999999999999995</v>
      </c>
      <c r="CB148">
        <v>0.76</v>
      </c>
      <c r="CC148">
        <v>0.49</v>
      </c>
      <c r="CD148">
        <v>0.84</v>
      </c>
      <c r="CE148">
        <v>0.51</v>
      </c>
      <c r="CF148">
        <v>0.36</v>
      </c>
      <c r="CG148">
        <v>0.17</v>
      </c>
      <c r="CJ148">
        <v>770</v>
      </c>
      <c r="CK148">
        <v>770</v>
      </c>
      <c r="CL148">
        <v>660</v>
      </c>
      <c r="CM148">
        <v>550</v>
      </c>
      <c r="CN148">
        <v>550</v>
      </c>
      <c r="CO148">
        <v>550</v>
      </c>
      <c r="CP148">
        <v>550</v>
      </c>
    </row>
    <row r="149" spans="11:94" x14ac:dyDescent="0.2">
      <c r="K149" t="s">
        <v>141</v>
      </c>
      <c r="L149" t="s">
        <v>117</v>
      </c>
      <c r="M149">
        <v>200</v>
      </c>
      <c r="N149">
        <v>70</v>
      </c>
      <c r="O149">
        <v>0.4</v>
      </c>
      <c r="P149" t="e" cm="1">
        <f t="array" aca="1" ref="P149" ca="1">_xludf.XLOOKUP(K$19,$BX$169:$CG$169,_xludf.XLOOKUP($D$11,$BW$170:$BW$176,$BX$170:$CG$176))</f>
        <v>#NAME?</v>
      </c>
      <c r="Q149" t="e">
        <f t="shared" ca="1" si="64"/>
        <v>#NAME?</v>
      </c>
      <c r="V149">
        <v>1</v>
      </c>
      <c r="W149">
        <f>VLOOKUP($G$141, $CL$17:$CN$25, 2, FALSE)</f>
        <v>6</v>
      </c>
      <c r="X149">
        <v>0</v>
      </c>
      <c r="Y149">
        <f t="shared" si="65"/>
        <v>0</v>
      </c>
      <c r="Z149">
        <f t="shared" si="66"/>
        <v>8.5869999999999997</v>
      </c>
      <c r="AA149" t="e">
        <f t="shared" ca="1" si="67"/>
        <v>#NAME?</v>
      </c>
      <c r="AB149">
        <f t="shared" si="68"/>
        <v>1.1762711598946149</v>
      </c>
      <c r="AC149">
        <f t="shared" si="69"/>
        <v>2.6116499236000004</v>
      </c>
      <c r="AD149">
        <f t="shared" si="70"/>
        <v>0.96526581176256021</v>
      </c>
      <c r="AE149">
        <f t="shared" si="71"/>
        <v>0</v>
      </c>
      <c r="AF149">
        <f t="shared" si="72"/>
        <v>5.7232694953555604E-4</v>
      </c>
      <c r="AG149">
        <f t="shared" si="73"/>
        <v>0</v>
      </c>
      <c r="AH149">
        <f t="shared" si="74"/>
        <v>10.444966829023898</v>
      </c>
      <c r="AI149">
        <f t="shared" si="75"/>
        <v>1.3653530443106299E-2</v>
      </c>
      <c r="AJ149">
        <f t="shared" si="76"/>
        <v>249.17693058668996</v>
      </c>
      <c r="AK149" t="e">
        <f t="shared" ca="1" si="77"/>
        <v>#NAME?</v>
      </c>
      <c r="AL149" t="e">
        <f t="shared" ca="1" si="78"/>
        <v>#NAME?</v>
      </c>
      <c r="AM149">
        <v>0.6</v>
      </c>
      <c r="AN149">
        <v>0.05</v>
      </c>
      <c r="BW149" t="s">
        <v>120</v>
      </c>
      <c r="BX149">
        <v>0.45</v>
      </c>
      <c r="BY149">
        <v>0.1</v>
      </c>
      <c r="BZ149">
        <v>0.49</v>
      </c>
      <c r="CA149">
        <v>0.41</v>
      </c>
      <c r="CB149">
        <v>0.4</v>
      </c>
      <c r="CC149">
        <v>0.17</v>
      </c>
      <c r="CD149">
        <v>0.54</v>
      </c>
      <c r="CE149">
        <v>0.64</v>
      </c>
      <c r="CF149">
        <v>-0.05</v>
      </c>
      <c r="CG149">
        <v>0.32</v>
      </c>
      <c r="CJ149">
        <v>770</v>
      </c>
      <c r="CK149">
        <v>770</v>
      </c>
      <c r="CL149">
        <v>660</v>
      </c>
      <c r="CM149">
        <v>550</v>
      </c>
      <c r="CN149">
        <v>550</v>
      </c>
      <c r="CO149">
        <v>550</v>
      </c>
      <c r="CP149">
        <v>550</v>
      </c>
    </row>
    <row r="150" spans="11:94" x14ac:dyDescent="0.2">
      <c r="L150" t="s">
        <v>119</v>
      </c>
      <c r="M150">
        <v>130</v>
      </c>
      <c r="N150">
        <v>75</v>
      </c>
      <c r="O150">
        <v>0.5</v>
      </c>
      <c r="P150" t="e" cm="1">
        <f t="array" aca="1" ref="P150" ca="1">_xludf.XLOOKUP(K$19,$BX$169:$CG$169,_xludf.XLOOKUP($D$11,$BW$170:$BW$176,$BX$170:$CG$176))</f>
        <v>#NAME?</v>
      </c>
      <c r="Q150" t="e">
        <f t="shared" ca="1" si="64"/>
        <v>#NAME?</v>
      </c>
      <c r="V150">
        <v>1</v>
      </c>
      <c r="W150">
        <f>VLOOKUP($G$141, $CL$17:$CN$25, 3, FALSE)</f>
        <v>4</v>
      </c>
      <c r="X150">
        <v>0</v>
      </c>
      <c r="Y150">
        <f t="shared" si="65"/>
        <v>0</v>
      </c>
      <c r="Z150">
        <f t="shared" si="66"/>
        <v>6.9829999999999997</v>
      </c>
      <c r="AA150" t="e">
        <f t="shared" ca="1" si="67"/>
        <v>#NAME?</v>
      </c>
      <c r="AB150">
        <f t="shared" si="68"/>
        <v>1.2193553180247376</v>
      </c>
      <c r="AC150">
        <f t="shared" si="69"/>
        <v>2.7834751406249998</v>
      </c>
      <c r="AD150">
        <f t="shared" si="70"/>
        <v>1.2625843237874999</v>
      </c>
      <c r="AE150">
        <f t="shared" si="71"/>
        <v>0</v>
      </c>
      <c r="AF150">
        <f t="shared" si="72"/>
        <v>7.4861351739500246E-4</v>
      </c>
      <c r="AG150">
        <f t="shared" si="73"/>
        <v>0</v>
      </c>
      <c r="AH150">
        <f t="shared" si="74"/>
        <v>8.8804278500982168</v>
      </c>
      <c r="AI150">
        <f t="shared" si="75"/>
        <v>1.4727751533279891E-2</v>
      </c>
      <c r="AJ150">
        <f t="shared" si="76"/>
        <v>174.7079525635327</v>
      </c>
      <c r="AK150" t="e">
        <f t="shared" ca="1" si="77"/>
        <v>#NAME?</v>
      </c>
      <c r="AL150" t="e">
        <f t="shared" ca="1" si="78"/>
        <v>#NAME?</v>
      </c>
      <c r="AM150">
        <v>0.5</v>
      </c>
      <c r="AN150">
        <v>7.0000000000000007E-2</v>
      </c>
      <c r="BW150" t="s">
        <v>121</v>
      </c>
      <c r="BX150">
        <v>0.51</v>
      </c>
      <c r="BY150">
        <v>-7.0000000000000007E-2</v>
      </c>
      <c r="BZ150">
        <v>0.13</v>
      </c>
      <c r="CA150">
        <v>-0.09</v>
      </c>
      <c r="CB150">
        <v>-0.13</v>
      </c>
      <c r="CC150">
        <v>7.0000000000000007E-2</v>
      </c>
      <c r="CD150">
        <v>0.25</v>
      </c>
      <c r="CE150">
        <v>0.71</v>
      </c>
      <c r="CF150">
        <v>0.17</v>
      </c>
      <c r="CG150">
        <v>0.43</v>
      </c>
      <c r="CJ150">
        <v>770</v>
      </c>
      <c r="CK150">
        <v>770</v>
      </c>
      <c r="CL150">
        <v>660</v>
      </c>
      <c r="CM150">
        <v>550</v>
      </c>
      <c r="CN150">
        <v>550</v>
      </c>
      <c r="CO150">
        <v>550</v>
      </c>
      <c r="CP150">
        <v>550</v>
      </c>
    </row>
    <row r="151" spans="11:94" x14ac:dyDescent="0.2">
      <c r="L151" t="s">
        <v>120</v>
      </c>
      <c r="M151">
        <v>250</v>
      </c>
      <c r="N151">
        <v>80</v>
      </c>
      <c r="O151">
        <v>0.6</v>
      </c>
      <c r="P151" t="e" cm="1">
        <f t="array" aca="1" ref="P151" ca="1">_xludf.XLOOKUP(K$19,$BX$169:$CG$169,_xludf.XLOOKUP($D$11,$BW$170:$BW$176,$BX$170:$CG$176))</f>
        <v>#NAME?</v>
      </c>
      <c r="Q151" t="e">
        <f t="shared" ca="1" si="64"/>
        <v>#NAME?</v>
      </c>
      <c r="V151">
        <v>1</v>
      </c>
      <c r="W151">
        <v>0</v>
      </c>
      <c r="X151">
        <v>0</v>
      </c>
      <c r="Y151">
        <f t="shared" si="65"/>
        <v>0</v>
      </c>
      <c r="Z151">
        <f t="shared" si="66"/>
        <v>5.3789999999999996</v>
      </c>
      <c r="AA151" t="e">
        <f t="shared" ca="1" si="67"/>
        <v>#NAME?</v>
      </c>
      <c r="AB151">
        <f t="shared" si="68"/>
        <v>1.2620356226501883</v>
      </c>
      <c r="AC151">
        <f t="shared" si="69"/>
        <v>2.9603267136000002</v>
      </c>
      <c r="AD151">
        <f t="shared" si="70"/>
        <v>1.5914716412313599</v>
      </c>
      <c r="AE151">
        <f t="shared" si="71"/>
        <v>0</v>
      </c>
      <c r="AF151">
        <f t="shared" si="72"/>
        <v>9.4361791187352396E-4</v>
      </c>
      <c r="AG151">
        <f t="shared" si="73"/>
        <v>0</v>
      </c>
      <c r="AH151">
        <f t="shared" si="74"/>
        <v>21.526283614614766</v>
      </c>
      <c r="AI151">
        <f t="shared" si="75"/>
        <v>1.6444430169661069E-2</v>
      </c>
      <c r="AJ151">
        <f t="shared" si="76"/>
        <v>375.13856324539313</v>
      </c>
      <c r="AK151" t="e">
        <f t="shared" ca="1" si="77"/>
        <v>#NAME?</v>
      </c>
      <c r="AL151" t="e">
        <f t="shared" ca="1" si="78"/>
        <v>#NAME?</v>
      </c>
      <c r="AM151">
        <v>0.4</v>
      </c>
      <c r="AN151">
        <v>0.1</v>
      </c>
      <c r="BU151" t="s">
        <v>182</v>
      </c>
      <c r="BV151" t="s">
        <v>167</v>
      </c>
      <c r="BW151" t="s">
        <v>117</v>
      </c>
      <c r="BX151">
        <v>-0.12</v>
      </c>
      <c r="BY151">
        <v>-0.19</v>
      </c>
      <c r="BZ151">
        <v>0.41</v>
      </c>
      <c r="CA151">
        <v>0.09</v>
      </c>
      <c r="CB151">
        <v>0.41</v>
      </c>
      <c r="CC151">
        <v>-0.19</v>
      </c>
      <c r="CD151">
        <v>7.0000000000000007E-2</v>
      </c>
      <c r="CE151">
        <v>1.07</v>
      </c>
      <c r="CF151">
        <v>-0.08</v>
      </c>
      <c r="CG151">
        <v>0</v>
      </c>
      <c r="CJ151">
        <v>770</v>
      </c>
      <c r="CK151">
        <v>770</v>
      </c>
      <c r="CL151">
        <v>660</v>
      </c>
      <c r="CM151">
        <v>550</v>
      </c>
      <c r="CN151">
        <v>550</v>
      </c>
      <c r="CO151">
        <v>550</v>
      </c>
      <c r="CP151">
        <v>550</v>
      </c>
    </row>
    <row r="152" spans="11:94" x14ac:dyDescent="0.2">
      <c r="L152" t="s">
        <v>121</v>
      </c>
      <c r="M152">
        <v>150</v>
      </c>
      <c r="N152">
        <v>85</v>
      </c>
      <c r="O152">
        <v>0.7</v>
      </c>
      <c r="P152" t="e" cm="1">
        <f t="array" aca="1" ref="P152" ca="1">_xludf.XLOOKUP(K$19,$BX$169:$CG$169,_xludf.XLOOKUP($D$11,$BW$170:$BW$176,$BX$170:$CG$176))</f>
        <v>#NAME?</v>
      </c>
      <c r="Q152" t="e">
        <f t="shared" ca="1" si="64"/>
        <v>#NAME?</v>
      </c>
      <c r="V152">
        <v>1</v>
      </c>
      <c r="W152">
        <v>0</v>
      </c>
      <c r="X152">
        <v>0</v>
      </c>
      <c r="Y152">
        <f t="shared" si="65"/>
        <v>0</v>
      </c>
      <c r="Z152">
        <f t="shared" si="66"/>
        <v>3.7749999999999995</v>
      </c>
      <c r="AA152" t="e">
        <f t="shared" ca="1" si="67"/>
        <v>#NAME?</v>
      </c>
      <c r="AB152">
        <f t="shared" si="68"/>
        <v>1.3043106725599385</v>
      </c>
      <c r="AC152">
        <f t="shared" si="69"/>
        <v>3.1421639382249995</v>
      </c>
      <c r="AD152">
        <f t="shared" si="70"/>
        <v>1.9531691040006594</v>
      </c>
      <c r="AE152">
        <f t="shared" si="71"/>
        <v>0</v>
      </c>
      <c r="AF152">
        <f t="shared" si="72"/>
        <v>1.1580761502146375E-3</v>
      </c>
      <c r="AG152">
        <f t="shared" si="73"/>
        <v>0</v>
      </c>
      <c r="AH152">
        <f t="shared" si="74"/>
        <v>15.85116730606285</v>
      </c>
      <c r="AI152">
        <f t="shared" si="75"/>
        <v>2.1000212778175431E-2</v>
      </c>
      <c r="AJ152">
        <f t="shared" si="76"/>
        <v>287.44041240127621</v>
      </c>
      <c r="AK152" t="e">
        <f t="shared" ca="1" si="77"/>
        <v>#NAME?</v>
      </c>
      <c r="AL152" t="e">
        <f t="shared" ca="1" si="78"/>
        <v>#NAME?</v>
      </c>
      <c r="AM152">
        <v>0.3</v>
      </c>
      <c r="AN152">
        <v>0.13</v>
      </c>
      <c r="BW152" t="s">
        <v>119</v>
      </c>
      <c r="BX152">
        <v>0.65</v>
      </c>
      <c r="BY152">
        <v>0.19</v>
      </c>
      <c r="BZ152">
        <v>0.65</v>
      </c>
      <c r="CA152">
        <v>0.51</v>
      </c>
      <c r="CB152">
        <v>0.18</v>
      </c>
      <c r="CC152">
        <v>0.63</v>
      </c>
      <c r="CD152">
        <v>1.3</v>
      </c>
      <c r="CE152">
        <v>0.48</v>
      </c>
      <c r="CF152">
        <v>1.1200000000000001</v>
      </c>
      <c r="CG152">
        <v>0.38</v>
      </c>
      <c r="CJ152">
        <v>770</v>
      </c>
      <c r="CK152">
        <v>770</v>
      </c>
      <c r="CL152">
        <v>660</v>
      </c>
      <c r="CM152">
        <v>550</v>
      </c>
      <c r="CN152">
        <v>550</v>
      </c>
      <c r="CO152">
        <v>550</v>
      </c>
      <c r="CP152">
        <v>550</v>
      </c>
    </row>
    <row r="153" spans="11:94" x14ac:dyDescent="0.2">
      <c r="K153" t="s">
        <v>146</v>
      </c>
      <c r="L153" t="s">
        <v>117</v>
      </c>
      <c r="M153">
        <v>20</v>
      </c>
      <c r="N153">
        <v>310</v>
      </c>
      <c r="O153">
        <v>0.5</v>
      </c>
      <c r="P153" t="e" cm="1">
        <f t="array" aca="1" ref="P153" ca="1">_xludf.XLOOKUP(K$23,$BX$169:$CG$169,_xludf.XLOOKUP($D$11,$BW$170:$BW$176,$BX$170:$CG$176))</f>
        <v>#NAME?</v>
      </c>
      <c r="Q153" t="e">
        <f t="shared" ca="1" si="64"/>
        <v>#NAME?</v>
      </c>
      <c r="V153">
        <v>1</v>
      </c>
      <c r="W153">
        <v>0</v>
      </c>
      <c r="X153">
        <v>0</v>
      </c>
      <c r="Y153">
        <f t="shared" si="65"/>
        <v>0</v>
      </c>
      <c r="Z153">
        <f t="shared" si="66"/>
        <v>8.5869999999999997</v>
      </c>
      <c r="AA153" t="e">
        <f t="shared" ca="1" si="67"/>
        <v>#NAME?</v>
      </c>
      <c r="AB153">
        <f t="shared" si="68"/>
        <v>1.1389899284489591</v>
      </c>
      <c r="AC153">
        <f t="shared" si="69"/>
        <v>6.2502000016000014</v>
      </c>
      <c r="AD153">
        <f t="shared" si="70"/>
        <v>2.3100739205913605</v>
      </c>
      <c r="AE153">
        <f t="shared" si="71"/>
        <v>0</v>
      </c>
      <c r="AF153">
        <f t="shared" si="72"/>
        <v>1.3696927251153025E-3</v>
      </c>
      <c r="AG153">
        <f t="shared" si="73"/>
        <v>0</v>
      </c>
      <c r="AH153">
        <f t="shared" si="74"/>
        <v>2.4996892233354271</v>
      </c>
      <c r="AI153">
        <f t="shared" si="75"/>
        <v>2.6913941225449756E-2</v>
      </c>
      <c r="AJ153">
        <f t="shared" si="76"/>
        <v>49.117942736445805</v>
      </c>
      <c r="AK153" t="e">
        <f t="shared" ca="1" si="77"/>
        <v>#NAME?</v>
      </c>
      <c r="AL153" t="e">
        <f t="shared" ca="1" si="78"/>
        <v>#NAME?</v>
      </c>
      <c r="AM153">
        <v>0.6</v>
      </c>
      <c r="AN153">
        <v>0.05</v>
      </c>
      <c r="BW153" t="s">
        <v>120</v>
      </c>
      <c r="BX153">
        <v>0.7</v>
      </c>
      <c r="BY153">
        <v>0.13</v>
      </c>
      <c r="BZ153">
        <v>0.52</v>
      </c>
      <c r="CA153">
        <v>0.34</v>
      </c>
      <c r="CB153">
        <v>0.02</v>
      </c>
      <c r="CC153">
        <v>0.04</v>
      </c>
      <c r="CD153">
        <v>0.77</v>
      </c>
      <c r="CE153">
        <v>0.42</v>
      </c>
      <c r="CF153">
        <v>0.12</v>
      </c>
      <c r="CG153">
        <v>0.74</v>
      </c>
    </row>
    <row r="154" spans="11:94" x14ac:dyDescent="0.2">
      <c r="L154" t="s">
        <v>119</v>
      </c>
      <c r="M154">
        <v>30</v>
      </c>
      <c r="N154">
        <v>320</v>
      </c>
      <c r="O154">
        <v>0.4</v>
      </c>
      <c r="P154" t="e" cm="1">
        <f t="array" aca="1" ref="P154" ca="1">_xludf.XLOOKUP(K$23,$BX$169:$CG$169,_xludf.XLOOKUP($D$11,$BW$170:$BW$176,$BX$170:$CG$176))</f>
        <v>#NAME?</v>
      </c>
      <c r="Q154" t="e">
        <f t="shared" ca="1" si="64"/>
        <v>#NAME?</v>
      </c>
      <c r="V154">
        <v>1</v>
      </c>
      <c r="W154">
        <v>0</v>
      </c>
      <c r="X154">
        <v>0</v>
      </c>
      <c r="Y154">
        <f t="shared" si="65"/>
        <v>0</v>
      </c>
      <c r="Z154">
        <f t="shared" si="66"/>
        <v>6.9829999999999997</v>
      </c>
      <c r="AA154" t="e">
        <f t="shared" ca="1" si="67"/>
        <v>#NAME?</v>
      </c>
      <c r="AB154">
        <f t="shared" si="68"/>
        <v>1.1090819240433485</v>
      </c>
      <c r="AC154">
        <f t="shared" si="69"/>
        <v>6.2378059535999979</v>
      </c>
      <c r="AD154">
        <f t="shared" si="70"/>
        <v>2.829468780552959</v>
      </c>
      <c r="AE154">
        <f t="shared" si="71"/>
        <v>0</v>
      </c>
      <c r="AF154">
        <f t="shared" si="72"/>
        <v>1.6776531565155094E-3</v>
      </c>
      <c r="AG154">
        <f t="shared" si="73"/>
        <v>0</v>
      </c>
      <c r="AH154">
        <f t="shared" si="74"/>
        <v>4.5925755159612072</v>
      </c>
      <c r="AI154">
        <f t="shared" si="75"/>
        <v>2.9408230982897684E-2</v>
      </c>
      <c r="AJ154">
        <f t="shared" si="76"/>
        <v>80.505032315682413</v>
      </c>
      <c r="AK154" t="e">
        <f t="shared" ca="1" si="77"/>
        <v>#NAME?</v>
      </c>
      <c r="AL154" t="e">
        <f t="shared" ca="1" si="78"/>
        <v>#NAME?</v>
      </c>
      <c r="AM154">
        <v>0.5</v>
      </c>
      <c r="AN154">
        <v>7.0000000000000007E-2</v>
      </c>
      <c r="BW154" t="s">
        <v>121</v>
      </c>
      <c r="BX154">
        <v>0.32</v>
      </c>
      <c r="BY154">
        <v>-0.06</v>
      </c>
      <c r="BZ154">
        <v>0.25</v>
      </c>
      <c r="CA154">
        <v>0.19</v>
      </c>
      <c r="CB154">
        <v>-0.1</v>
      </c>
      <c r="CC154">
        <v>-0.02</v>
      </c>
      <c r="CD154">
        <v>0.02</v>
      </c>
      <c r="CE154">
        <v>0.23</v>
      </c>
      <c r="CF154">
        <v>-0.13</v>
      </c>
      <c r="CG154">
        <v>0</v>
      </c>
    </row>
    <row r="155" spans="11:94" x14ac:dyDescent="0.2">
      <c r="L155" t="s">
        <v>120</v>
      </c>
      <c r="M155">
        <v>60</v>
      </c>
      <c r="N155">
        <v>330</v>
      </c>
      <c r="O155">
        <v>0.3</v>
      </c>
      <c r="P155" t="e" cm="1">
        <f t="array" aca="1" ref="P155" ca="1">_xludf.XLOOKUP(K$23,$BX$169:$CG$169,_xludf.XLOOKUP($D$11,$BW$170:$BW$176,$BX$170:$CG$176))</f>
        <v>#NAME?</v>
      </c>
      <c r="Q155" t="e">
        <f t="shared" ca="1" si="64"/>
        <v>#NAME?</v>
      </c>
      <c r="V155">
        <v>1</v>
      </c>
      <c r="W155">
        <v>0</v>
      </c>
      <c r="X155">
        <v>0</v>
      </c>
      <c r="Y155">
        <f t="shared" si="65"/>
        <v>0</v>
      </c>
      <c r="Z155">
        <f t="shared" si="66"/>
        <v>5.3789999999999996</v>
      </c>
      <c r="AA155" t="e">
        <f t="shared" ca="1" si="67"/>
        <v>#NAME?</v>
      </c>
      <c r="AB155">
        <f t="shared" si="68"/>
        <v>1.0802983444075933</v>
      </c>
      <c r="AC155">
        <f t="shared" si="69"/>
        <v>6.222829593600002</v>
      </c>
      <c r="AD155">
        <f t="shared" si="70"/>
        <v>3.3453931895193607</v>
      </c>
      <c r="AE155">
        <f t="shared" si="71"/>
        <v>0</v>
      </c>
      <c r="AF155">
        <f t="shared" si="72"/>
        <v>1.9835558825589228E-3</v>
      </c>
      <c r="AG155">
        <f t="shared" si="73"/>
        <v>0</v>
      </c>
      <c r="AH155">
        <f t="shared" si="74"/>
        <v>10.859968457010101</v>
      </c>
      <c r="AI155">
        <f t="shared" si="75"/>
        <v>3.4567430087881372E-2</v>
      </c>
      <c r="AJ155">
        <f t="shared" si="76"/>
        <v>189.25667973115054</v>
      </c>
      <c r="AK155" t="e">
        <f t="shared" ca="1" si="77"/>
        <v>#NAME?</v>
      </c>
      <c r="AL155" t="e">
        <f t="shared" ca="1" si="78"/>
        <v>#NAME?</v>
      </c>
      <c r="AM155">
        <v>0.4</v>
      </c>
      <c r="AN155">
        <v>0.1</v>
      </c>
      <c r="BU155" t="s">
        <v>182</v>
      </c>
      <c r="BV155" t="s">
        <v>168</v>
      </c>
      <c r="BW155" t="s">
        <v>117</v>
      </c>
      <c r="BX155">
        <v>0.62</v>
      </c>
      <c r="BY155">
        <v>-0.19</v>
      </c>
      <c r="BZ155">
        <v>0.37</v>
      </c>
      <c r="CA155">
        <v>0.41</v>
      </c>
      <c r="CB155">
        <v>0.06</v>
      </c>
      <c r="CC155">
        <v>-0.02</v>
      </c>
      <c r="CD155">
        <v>0.47</v>
      </c>
      <c r="CE155">
        <v>0.44</v>
      </c>
      <c r="CF155">
        <v>0.3</v>
      </c>
      <c r="CG155">
        <v>0.13</v>
      </c>
    </row>
    <row r="156" spans="11:94" x14ac:dyDescent="0.2">
      <c r="L156" t="s">
        <v>121</v>
      </c>
      <c r="M156">
        <v>30</v>
      </c>
      <c r="N156">
        <v>340</v>
      </c>
      <c r="O156">
        <v>0.2</v>
      </c>
      <c r="P156" t="e" cm="1">
        <f t="array" aca="1" ref="P156" ca="1">_xludf.XLOOKUP(K$23,$BX$169:$CG$169,_xludf.XLOOKUP($D$11,$BW$170:$BW$176,$BX$170:$CG$176))</f>
        <v>#NAME?</v>
      </c>
      <c r="Q156" t="e">
        <f t="shared" ca="1" si="64"/>
        <v>#NAME?</v>
      </c>
      <c r="V156">
        <v>1</v>
      </c>
      <c r="W156">
        <v>0</v>
      </c>
      <c r="X156">
        <v>0</v>
      </c>
      <c r="Y156">
        <f t="shared" si="65"/>
        <v>0</v>
      </c>
      <c r="Z156">
        <f t="shared" si="66"/>
        <v>3.7749999999999995</v>
      </c>
      <c r="AA156" t="e">
        <f t="shared" ca="1" si="67"/>
        <v>#NAME?</v>
      </c>
      <c r="AB156">
        <f t="shared" si="68"/>
        <v>1.0525669477512427</v>
      </c>
      <c r="AC156">
        <f t="shared" si="69"/>
        <v>6.2052802816000021</v>
      </c>
      <c r="AD156">
        <f t="shared" si="70"/>
        <v>3.8572022230425609</v>
      </c>
      <c r="AE156">
        <f t="shared" si="71"/>
        <v>0</v>
      </c>
      <c r="AF156">
        <f t="shared" si="72"/>
        <v>2.2870185136099519E-3</v>
      </c>
      <c r="AG156">
        <f t="shared" si="73"/>
        <v>0</v>
      </c>
      <c r="AH156">
        <f t="shared" si="74"/>
        <v>6.2607131810072429</v>
      </c>
      <c r="AI156">
        <f t="shared" si="75"/>
        <v>4.1472122022834179E-2</v>
      </c>
      <c r="AJ156">
        <f t="shared" si="76"/>
        <v>113.52993403750855</v>
      </c>
      <c r="AK156" t="e">
        <f t="shared" ca="1" si="77"/>
        <v>#NAME?</v>
      </c>
      <c r="AL156" t="e">
        <f t="shared" ca="1" si="78"/>
        <v>#NAME?</v>
      </c>
      <c r="AM156">
        <v>0.3</v>
      </c>
      <c r="AN156">
        <v>0.13</v>
      </c>
      <c r="BW156" t="s">
        <v>119</v>
      </c>
      <c r="BX156">
        <v>0.05</v>
      </c>
      <c r="BY156">
        <v>0.19</v>
      </c>
      <c r="BZ156">
        <v>0.31</v>
      </c>
      <c r="CA156">
        <v>0.54</v>
      </c>
      <c r="CB156">
        <v>0.53</v>
      </c>
      <c r="CC156">
        <v>0.15</v>
      </c>
      <c r="CD156">
        <v>0.28000000000000003</v>
      </c>
      <c r="CE156">
        <v>0.56999999999999995</v>
      </c>
      <c r="CF156">
        <v>0.42</v>
      </c>
      <c r="CG156">
        <v>0.4</v>
      </c>
    </row>
    <row r="157" spans="11:94" x14ac:dyDescent="0.2">
      <c r="K157" t="s">
        <v>152</v>
      </c>
      <c r="L157" t="s">
        <v>117</v>
      </c>
      <c r="M157">
        <v>100</v>
      </c>
      <c r="N157">
        <v>450</v>
      </c>
      <c r="O157" t="e" cm="1">
        <f t="array" aca="1" ref="O157" ca="1">_xludf.XLOOKUP(K157, $BX$106:$CG$106, $BX$107:$CG$110)</f>
        <v>#NAME?</v>
      </c>
      <c r="P157" t="e" cm="1">
        <f t="array" aca="1" ref="P157" ca="1">_xludf.XLOOKUP(K$27,$BX$169:$CG$169,_xludf.XLOOKUP($D$11,$BW$170:$BW$176,$BX$170:$CG$176))</f>
        <v>#NAME?</v>
      </c>
      <c r="Q157" t="e">
        <f t="shared" ca="1" si="64"/>
        <v>#NAME?</v>
      </c>
      <c r="R157">
        <v>1</v>
      </c>
      <c r="T157">
        <f t="shared" ref="T157:T164" si="79">R157+S157</f>
        <v>1</v>
      </c>
      <c r="U157">
        <v>1.3</v>
      </c>
      <c r="V157">
        <f t="shared" ref="V157:V164" si="80">(T157*U157)+(1 - T157)</f>
        <v>1.3</v>
      </c>
      <c r="W157">
        <v>0</v>
      </c>
      <c r="X157">
        <f>VLOOKUP($G$141, $CL$17:$CN$25, 2, FALSE)</f>
        <v>6</v>
      </c>
      <c r="Y157">
        <f t="shared" si="65"/>
        <v>6</v>
      </c>
      <c r="Z157">
        <f t="shared" si="66"/>
        <v>8.5869999999999997</v>
      </c>
      <c r="AA157" t="e">
        <f t="shared" ca="1" si="67"/>
        <v>#NAME?</v>
      </c>
      <c r="AB157" t="e">
        <f t="shared" ca="1" si="68"/>
        <v>#NAME?</v>
      </c>
      <c r="AC157" t="e">
        <f t="shared" ca="1" si="69"/>
        <v>#NAME?</v>
      </c>
      <c r="AD157" t="e">
        <f t="shared" ca="1" si="70"/>
        <v>#NAME?</v>
      </c>
      <c r="AE157" t="e">
        <f t="shared" ca="1" si="71"/>
        <v>#NAME?</v>
      </c>
      <c r="AF157" t="e">
        <f t="shared" ca="1" si="72"/>
        <v>#NAME?</v>
      </c>
      <c r="AG157" t="e">
        <f t="shared" ca="1" si="73"/>
        <v>#NAME?</v>
      </c>
      <c r="AH157" t="e">
        <f t="shared" ca="1" si="74"/>
        <v>#NAME?</v>
      </c>
      <c r="AI157" t="e">
        <f t="shared" ca="1" si="75"/>
        <v>#NAME?</v>
      </c>
      <c r="AJ157" t="e">
        <f t="shared" ca="1" si="76"/>
        <v>#NAME?</v>
      </c>
      <c r="AK157" t="e">
        <f t="shared" ca="1" si="77"/>
        <v>#NAME?</v>
      </c>
      <c r="AL157" t="e">
        <f t="shared" ca="1" si="78"/>
        <v>#NAME?</v>
      </c>
      <c r="AM157">
        <v>0.6</v>
      </c>
      <c r="AN157">
        <v>0.05</v>
      </c>
      <c r="BW157" t="s">
        <v>120</v>
      </c>
      <c r="BX157">
        <v>0.33</v>
      </c>
      <c r="BY157">
        <v>0.13</v>
      </c>
      <c r="BZ157">
        <v>0.39</v>
      </c>
      <c r="CA157">
        <v>0.36</v>
      </c>
      <c r="CB157">
        <v>0.26</v>
      </c>
      <c r="CC157">
        <v>0.11</v>
      </c>
      <c r="CD157">
        <v>0.4</v>
      </c>
      <c r="CE157">
        <v>0.44</v>
      </c>
      <c r="CF157">
        <v>0.37</v>
      </c>
      <c r="CG157">
        <v>-0.01</v>
      </c>
    </row>
    <row r="158" spans="11:94" x14ac:dyDescent="0.2">
      <c r="L158" t="s">
        <v>119</v>
      </c>
      <c r="M158">
        <v>110</v>
      </c>
      <c r="N158">
        <v>460</v>
      </c>
      <c r="P158" t="e" cm="1">
        <f t="array" aca="1" ref="P158" ca="1">_xludf.XLOOKUP(K$27,$BX$169:$CG$169,_xludf.XLOOKUP($D$11,$BW$170:$BW$176,$BX$170:$CG$176))</f>
        <v>#NAME?</v>
      </c>
      <c r="Q158" t="e">
        <f t="shared" ca="1" si="64"/>
        <v>#NAME?</v>
      </c>
      <c r="R158">
        <v>0</v>
      </c>
      <c r="S158">
        <v>1</v>
      </c>
      <c r="T158">
        <f t="shared" si="79"/>
        <v>1</v>
      </c>
      <c r="U158">
        <v>1.1000000000000001</v>
      </c>
      <c r="V158">
        <f t="shared" si="80"/>
        <v>1.1000000000000001</v>
      </c>
      <c r="W158">
        <v>0</v>
      </c>
      <c r="X158">
        <f>VLOOKUP($G$141, $CL$17:$CN$25, 3, FALSE)</f>
        <v>4</v>
      </c>
      <c r="Y158">
        <f t="shared" si="65"/>
        <v>4</v>
      </c>
      <c r="Z158">
        <f t="shared" si="66"/>
        <v>6.9829999999999997</v>
      </c>
      <c r="AA158" t="e">
        <f t="shared" ca="1" si="67"/>
        <v>#NAME?</v>
      </c>
      <c r="AB158">
        <f t="shared" si="68"/>
        <v>1</v>
      </c>
      <c r="AC158">
        <f t="shared" si="69"/>
        <v>8.1576397073600013</v>
      </c>
      <c r="AD158">
        <f t="shared" si="70"/>
        <v>3.7003053712584966</v>
      </c>
      <c r="AE158">
        <f t="shared" si="71"/>
        <v>0</v>
      </c>
      <c r="AF158">
        <f t="shared" si="72"/>
        <v>2.1939909812151819E-3</v>
      </c>
      <c r="AG158">
        <f t="shared" si="73"/>
        <v>0</v>
      </c>
      <c r="AH158">
        <f t="shared" si="74"/>
        <v>22.022184473947387</v>
      </c>
      <c r="AI158">
        <f t="shared" si="75"/>
        <v>3.8459316396472279E-2</v>
      </c>
      <c r="AJ158">
        <f t="shared" si="76"/>
        <v>386.03538832959049</v>
      </c>
      <c r="AK158" t="e">
        <f t="shared" ca="1" si="77"/>
        <v>#NAME?</v>
      </c>
      <c r="AL158" t="e">
        <f t="shared" ca="1" si="78"/>
        <v>#NAME?</v>
      </c>
      <c r="AM158">
        <v>0.5</v>
      </c>
      <c r="AN158">
        <v>7.0000000000000007E-2</v>
      </c>
      <c r="BW158" t="s">
        <v>121</v>
      </c>
      <c r="BX158">
        <v>0.61</v>
      </c>
      <c r="BY158">
        <v>-0.06</v>
      </c>
      <c r="BZ158">
        <v>0.21</v>
      </c>
      <c r="CA158">
        <v>0.18</v>
      </c>
      <c r="CB158">
        <v>0.12</v>
      </c>
      <c r="CC158">
        <v>0.06</v>
      </c>
      <c r="CD158">
        <v>0.28999999999999998</v>
      </c>
      <c r="CE158">
        <v>0.41</v>
      </c>
      <c r="CF158">
        <v>0.41</v>
      </c>
      <c r="CG158">
        <v>-0.15</v>
      </c>
    </row>
    <row r="159" spans="11:94" x14ac:dyDescent="0.2">
      <c r="L159" t="s">
        <v>120</v>
      </c>
      <c r="M159">
        <v>120</v>
      </c>
      <c r="N159">
        <v>470</v>
      </c>
      <c r="P159" t="e" cm="1">
        <f t="array" aca="1" ref="P159" ca="1">_xludf.XLOOKUP(K$27,$BX$169:$CG$169,_xludf.XLOOKUP($D$11,$BW$170:$BW$176,$BX$170:$CG$176))</f>
        <v>#NAME?</v>
      </c>
      <c r="Q159" t="e">
        <f t="shared" ca="1" si="64"/>
        <v>#NAME?</v>
      </c>
      <c r="R159">
        <v>0</v>
      </c>
      <c r="S159">
        <v>0</v>
      </c>
      <c r="T159">
        <f t="shared" si="79"/>
        <v>0</v>
      </c>
      <c r="U159">
        <v>1</v>
      </c>
      <c r="V159">
        <f t="shared" si="80"/>
        <v>1</v>
      </c>
      <c r="W159">
        <v>0</v>
      </c>
      <c r="X159">
        <v>0</v>
      </c>
      <c r="Y159">
        <f t="shared" si="65"/>
        <v>0</v>
      </c>
      <c r="Z159">
        <f t="shared" si="66"/>
        <v>5.3789999999999996</v>
      </c>
      <c r="AA159" t="e">
        <f t="shared" ca="1" si="67"/>
        <v>#NAME?</v>
      </c>
      <c r="AB159">
        <f t="shared" si="68"/>
        <v>1</v>
      </c>
      <c r="AC159">
        <f t="shared" si="69"/>
        <v>7.5320606916000008</v>
      </c>
      <c r="AD159">
        <f t="shared" si="70"/>
        <v>4.0492358278041598</v>
      </c>
      <c r="AE159">
        <f t="shared" si="71"/>
        <v>0</v>
      </c>
      <c r="AF159">
        <f t="shared" si="72"/>
        <v>2.4008793857989669E-3</v>
      </c>
      <c r="AG159">
        <f t="shared" si="73"/>
        <v>0</v>
      </c>
      <c r="AH159">
        <f t="shared" si="74"/>
        <v>26.28962927449869</v>
      </c>
      <c r="AI159">
        <f t="shared" si="75"/>
        <v>4.1840127141250842E-2</v>
      </c>
      <c r="AJ159">
        <f t="shared" si="76"/>
        <v>458.14939219669674</v>
      </c>
      <c r="AK159" t="e">
        <f t="shared" ca="1" si="77"/>
        <v>#NAME?</v>
      </c>
      <c r="AL159" t="e">
        <f t="shared" ca="1" si="78"/>
        <v>#NAME?</v>
      </c>
      <c r="AM159">
        <v>0.4</v>
      </c>
      <c r="AN159">
        <v>0.1</v>
      </c>
      <c r="BU159" t="s">
        <v>182</v>
      </c>
      <c r="BV159" t="s">
        <v>170</v>
      </c>
      <c r="BW159" t="s">
        <v>117</v>
      </c>
      <c r="BX159">
        <v>-0.2</v>
      </c>
      <c r="BY159">
        <v>0.02</v>
      </c>
      <c r="BZ159">
        <v>0.24</v>
      </c>
      <c r="CA159">
        <v>0.3</v>
      </c>
      <c r="CB159">
        <v>0.23</v>
      </c>
      <c r="CC159">
        <v>-0.05</v>
      </c>
      <c r="CD159">
        <v>0.34</v>
      </c>
      <c r="CE159">
        <v>0.3</v>
      </c>
      <c r="CF159">
        <v>0.56999999999999995</v>
      </c>
      <c r="CG159">
        <v>0.52</v>
      </c>
    </row>
    <row r="160" spans="11:94" x14ac:dyDescent="0.2">
      <c r="L160" t="s">
        <v>121</v>
      </c>
      <c r="M160">
        <v>130</v>
      </c>
      <c r="N160">
        <v>480</v>
      </c>
      <c r="P160" t="e" cm="1">
        <f t="array" aca="1" ref="P160" ca="1">_xludf.XLOOKUP(K$27,$BX$169:$CG$169,_xludf.XLOOKUP($D$11,$BW$170:$BW$176,$BX$170:$CG$176))</f>
        <v>#NAME?</v>
      </c>
      <c r="Q160" t="e">
        <f t="shared" ca="1" si="64"/>
        <v>#NAME?</v>
      </c>
      <c r="R160">
        <v>0</v>
      </c>
      <c r="S160">
        <v>0</v>
      </c>
      <c r="T160">
        <f t="shared" si="79"/>
        <v>0</v>
      </c>
      <c r="U160">
        <v>1</v>
      </c>
      <c r="V160">
        <f t="shared" si="80"/>
        <v>1</v>
      </c>
      <c r="W160">
        <v>0</v>
      </c>
      <c r="X160">
        <v>0</v>
      </c>
      <c r="Y160">
        <f t="shared" si="65"/>
        <v>0</v>
      </c>
      <c r="Z160">
        <f t="shared" si="66"/>
        <v>3.7749999999999995</v>
      </c>
      <c r="AA160" t="e">
        <f t="shared" ca="1" si="67"/>
        <v>#NAME?</v>
      </c>
      <c r="AB160">
        <f t="shared" si="68"/>
        <v>1</v>
      </c>
      <c r="AC160">
        <f t="shared" si="69"/>
        <v>7.6461098255999991</v>
      </c>
      <c r="AD160">
        <f t="shared" si="70"/>
        <v>4.7528218675929583</v>
      </c>
      <c r="AE160">
        <f t="shared" si="71"/>
        <v>0</v>
      </c>
      <c r="AF160">
        <f t="shared" si="72"/>
        <v>2.8180507462482051E-3</v>
      </c>
      <c r="AG160">
        <f t="shared" si="73"/>
        <v>0</v>
      </c>
      <c r="AH160">
        <f t="shared" si="74"/>
        <v>33.429126977369336</v>
      </c>
      <c r="AI160">
        <f t="shared" si="75"/>
        <v>5.1101704564021994E-2</v>
      </c>
      <c r="AJ160">
        <f t="shared" si="76"/>
        <v>606.19397039071089</v>
      </c>
      <c r="AK160" t="e">
        <f t="shared" ca="1" si="77"/>
        <v>#NAME?</v>
      </c>
      <c r="AL160" t="e">
        <f t="shared" ca="1" si="78"/>
        <v>#NAME?</v>
      </c>
      <c r="AM160">
        <v>0.3</v>
      </c>
      <c r="AN160">
        <v>0.13</v>
      </c>
      <c r="BW160" t="s">
        <v>119</v>
      </c>
      <c r="BX160">
        <v>0.62</v>
      </c>
      <c r="BY160">
        <v>0.21</v>
      </c>
      <c r="BZ160">
        <v>0.25</v>
      </c>
      <c r="CA160">
        <v>0.32</v>
      </c>
      <c r="CB160">
        <v>0.47</v>
      </c>
      <c r="CC160">
        <v>0.31</v>
      </c>
      <c r="CD160">
        <v>0.14000000000000001</v>
      </c>
      <c r="CE160">
        <v>0.4</v>
      </c>
      <c r="CF160">
        <v>0.26</v>
      </c>
      <c r="CG160">
        <v>0.43</v>
      </c>
    </row>
    <row r="161" spans="11:88" x14ac:dyDescent="0.2">
      <c r="K161" t="s">
        <v>156</v>
      </c>
      <c r="L161" t="s">
        <v>117</v>
      </c>
      <c r="M161">
        <v>50</v>
      </c>
      <c r="N161">
        <v>470</v>
      </c>
      <c r="O161">
        <v>0.3</v>
      </c>
      <c r="P161" t="e" cm="1">
        <f t="array" aca="1" ref="P161" ca="1">_xludf.XLOOKUP(K$31,$BX$169:$CG$169,_xludf.XLOOKUP($D$11,$BW$170:$BW$176,$BX$170:$CG$176))</f>
        <v>#NAME?</v>
      </c>
      <c r="Q161" t="e">
        <f t="shared" ca="1" si="64"/>
        <v>#NAME?</v>
      </c>
      <c r="R161">
        <v>1</v>
      </c>
      <c r="S161">
        <v>0</v>
      </c>
      <c r="T161">
        <f t="shared" si="79"/>
        <v>1</v>
      </c>
      <c r="U161">
        <v>1.3</v>
      </c>
      <c r="V161">
        <f t="shared" si="80"/>
        <v>1.3</v>
      </c>
      <c r="W161">
        <v>0</v>
      </c>
      <c r="X161">
        <f>VLOOKUP($G$141, $CL$17:$CN$25, 2, FALSE)</f>
        <v>6</v>
      </c>
      <c r="Y161">
        <f t="shared" si="65"/>
        <v>6</v>
      </c>
      <c r="Z161">
        <f t="shared" si="66"/>
        <v>8.5869999999999997</v>
      </c>
      <c r="AA161" t="e">
        <f t="shared" ca="1" si="67"/>
        <v>#NAME?</v>
      </c>
      <c r="AB161">
        <f t="shared" si="68"/>
        <v>1.0700516381378118</v>
      </c>
      <c r="AC161">
        <f t="shared" si="69"/>
        <v>10.477602046080001</v>
      </c>
      <c r="AD161">
        <f t="shared" si="70"/>
        <v>3.872521716231168</v>
      </c>
      <c r="AE161">
        <f t="shared" si="71"/>
        <v>0</v>
      </c>
      <c r="AF161">
        <f t="shared" si="72"/>
        <v>2.2961017720225302E-3</v>
      </c>
      <c r="AG161">
        <f t="shared" si="73"/>
        <v>0</v>
      </c>
      <c r="AH161">
        <f t="shared" si="74"/>
        <v>10.475964334852794</v>
      </c>
      <c r="AI161">
        <f t="shared" si="75"/>
        <v>4.5117526731890366E-2</v>
      </c>
      <c r="AJ161">
        <f t="shared" si="76"/>
        <v>205.84871571424978</v>
      </c>
      <c r="AK161" t="e">
        <f t="shared" ca="1" si="77"/>
        <v>#NAME?</v>
      </c>
      <c r="AL161" t="e">
        <f t="shared" ca="1" si="78"/>
        <v>#NAME?</v>
      </c>
      <c r="AM161">
        <v>0.6</v>
      </c>
      <c r="AN161">
        <v>0.05</v>
      </c>
      <c r="BW161" t="s">
        <v>120</v>
      </c>
      <c r="BX161">
        <v>0.4</v>
      </c>
      <c r="BY161">
        <v>0.13</v>
      </c>
      <c r="BZ161">
        <v>0.12</v>
      </c>
      <c r="CA161">
        <v>0.27</v>
      </c>
      <c r="CB161">
        <v>0.3</v>
      </c>
      <c r="CC161">
        <v>0.08</v>
      </c>
      <c r="CD161">
        <v>0.13</v>
      </c>
      <c r="CE161">
        <v>0.24</v>
      </c>
      <c r="CF161">
        <v>0.15</v>
      </c>
      <c r="CG161">
        <v>0.21</v>
      </c>
    </row>
    <row r="162" spans="11:88" x14ac:dyDescent="0.2">
      <c r="L162" t="s">
        <v>119</v>
      </c>
      <c r="M162">
        <v>55</v>
      </c>
      <c r="N162">
        <v>480</v>
      </c>
      <c r="O162">
        <v>0.4</v>
      </c>
      <c r="P162" t="e" cm="1">
        <f t="array" aca="1" ref="P162" ca="1">_xludf.XLOOKUP(K$31,$BX$169:$CG$169,_xludf.XLOOKUP($D$11,$BW$170:$BW$176,$BX$170:$CG$176))</f>
        <v>#NAME?</v>
      </c>
      <c r="Q162" t="e">
        <f t="shared" ca="1" si="64"/>
        <v>#NAME?</v>
      </c>
      <c r="R162">
        <v>0</v>
      </c>
      <c r="S162">
        <v>1</v>
      </c>
      <c r="T162">
        <f t="shared" si="79"/>
        <v>1</v>
      </c>
      <c r="U162">
        <v>1.1000000000000001</v>
      </c>
      <c r="V162">
        <f t="shared" si="80"/>
        <v>1.1000000000000001</v>
      </c>
      <c r="W162">
        <v>0</v>
      </c>
      <c r="X162">
        <f>VLOOKUP($G$141, $CL$17:$CN$25, 3, FALSE)</f>
        <v>4</v>
      </c>
      <c r="Y162">
        <f t="shared" si="65"/>
        <v>4</v>
      </c>
      <c r="Z162">
        <f t="shared" si="66"/>
        <v>6.9829999999999997</v>
      </c>
      <c r="AA162" t="e">
        <f t="shared" ca="1" si="67"/>
        <v>#NAME?</v>
      </c>
      <c r="AB162">
        <f t="shared" si="68"/>
        <v>1.0932103169135521</v>
      </c>
      <c r="AC162">
        <f t="shared" si="69"/>
        <v>9.1946867601599997</v>
      </c>
      <c r="AD162">
        <f t="shared" si="70"/>
        <v>4.170709914408576</v>
      </c>
      <c r="AE162">
        <f t="shared" si="71"/>
        <v>0</v>
      </c>
      <c r="AF162">
        <f t="shared" si="72"/>
        <v>2.4729039955869963E-3</v>
      </c>
      <c r="AG162">
        <f t="shared" si="73"/>
        <v>0</v>
      </c>
      <c r="AH162">
        <f t="shared" si="74"/>
        <v>12.410886927852237</v>
      </c>
      <c r="AI162">
        <f t="shared" si="75"/>
        <v>4.3348490490013082E-2</v>
      </c>
      <c r="AJ162">
        <f t="shared" si="76"/>
        <v>217.55523664675314</v>
      </c>
      <c r="AK162" t="e">
        <f t="shared" ca="1" si="77"/>
        <v>#NAME?</v>
      </c>
      <c r="AL162" t="e">
        <f t="shared" ca="1" si="78"/>
        <v>#NAME?</v>
      </c>
      <c r="AM162">
        <v>0.5</v>
      </c>
      <c r="AN162">
        <v>7.0000000000000007E-2</v>
      </c>
      <c r="BW162" t="s">
        <v>121</v>
      </c>
      <c r="BX162">
        <v>0.08</v>
      </c>
      <c r="BY162">
        <v>0.04</v>
      </c>
      <c r="BZ162">
        <v>0.06</v>
      </c>
      <c r="CA162">
        <v>0.18</v>
      </c>
      <c r="CB162">
        <v>0.11</v>
      </c>
      <c r="CC162">
        <v>-7.0000000000000007E-2</v>
      </c>
      <c r="CD162">
        <v>0.13</v>
      </c>
      <c r="CE162">
        <v>0.16</v>
      </c>
      <c r="CF162">
        <v>0.4</v>
      </c>
      <c r="CG162">
        <v>0.33</v>
      </c>
    </row>
    <row r="163" spans="11:88" x14ac:dyDescent="0.2">
      <c r="L163" t="s">
        <v>120</v>
      </c>
      <c r="M163">
        <v>60</v>
      </c>
      <c r="N163">
        <v>490</v>
      </c>
      <c r="O163">
        <v>0.5</v>
      </c>
      <c r="P163" t="e" cm="1">
        <f t="array" aca="1" ref="P163" ca="1">_xludf.XLOOKUP(K$31,$BX$169:$CG$169,_xludf.XLOOKUP($D$11,$BW$170:$BW$176,$BX$170:$CG$176))</f>
        <v>#NAME?</v>
      </c>
      <c r="Q163" t="e">
        <f t="shared" ca="1" si="64"/>
        <v>#NAME?</v>
      </c>
      <c r="R163">
        <v>0</v>
      </c>
      <c r="S163">
        <v>0</v>
      </c>
      <c r="T163">
        <f t="shared" si="79"/>
        <v>0</v>
      </c>
      <c r="U163">
        <v>1</v>
      </c>
      <c r="V163">
        <f t="shared" si="80"/>
        <v>1</v>
      </c>
      <c r="W163">
        <v>0</v>
      </c>
      <c r="X163">
        <v>0</v>
      </c>
      <c r="Y163">
        <f t="shared" si="65"/>
        <v>0</v>
      </c>
      <c r="Z163">
        <f t="shared" si="66"/>
        <v>5.3789999999999996</v>
      </c>
      <c r="AA163" t="e">
        <f t="shared" ca="1" si="67"/>
        <v>#NAME?</v>
      </c>
      <c r="AB163">
        <f t="shared" si="68"/>
        <v>1.1162895748073525</v>
      </c>
      <c r="AC163">
        <f t="shared" si="69"/>
        <v>8.6603072656000002</v>
      </c>
      <c r="AD163">
        <f t="shared" si="70"/>
        <v>4.6557811859865605</v>
      </c>
      <c r="AE163">
        <f t="shared" si="71"/>
        <v>0</v>
      </c>
      <c r="AF163">
        <f t="shared" si="72"/>
        <v>2.7605132300450486E-3</v>
      </c>
      <c r="AG163">
        <f t="shared" si="73"/>
        <v>0</v>
      </c>
      <c r="AH163">
        <f t="shared" si="74"/>
        <v>15.11380993449664</v>
      </c>
      <c r="AI163">
        <f t="shared" si="75"/>
        <v>4.810746645723462E-2</v>
      </c>
      <c r="AJ163">
        <f t="shared" si="76"/>
        <v>263.38837885335954</v>
      </c>
      <c r="AK163" t="e">
        <f t="shared" ca="1" si="77"/>
        <v>#NAME?</v>
      </c>
      <c r="AL163" t="e">
        <f t="shared" ca="1" si="78"/>
        <v>#NAME?</v>
      </c>
      <c r="AM163">
        <v>0.4</v>
      </c>
      <c r="AN163">
        <v>0.1</v>
      </c>
    </row>
    <row r="164" spans="11:88" x14ac:dyDescent="0.2">
      <c r="L164" t="s">
        <v>121</v>
      </c>
      <c r="M164">
        <v>65</v>
      </c>
      <c r="N164">
        <v>500</v>
      </c>
      <c r="O164">
        <v>0.6</v>
      </c>
      <c r="P164" t="e" cm="1">
        <f t="array" aca="1" ref="P164" ca="1">_xludf.XLOOKUP(K$31,$BX$169:$CG$169,_xludf.XLOOKUP($D$11,$BW$170:$BW$176,$BX$170:$CG$176))</f>
        <v>#NAME?</v>
      </c>
      <c r="Q164" t="e">
        <f t="shared" ca="1" si="64"/>
        <v>#NAME?</v>
      </c>
      <c r="R164">
        <v>0</v>
      </c>
      <c r="S164">
        <v>0</v>
      </c>
      <c r="T164">
        <f t="shared" si="79"/>
        <v>0</v>
      </c>
      <c r="U164">
        <v>1</v>
      </c>
      <c r="V164">
        <f t="shared" si="80"/>
        <v>1</v>
      </c>
      <c r="W164">
        <v>0</v>
      </c>
      <c r="X164">
        <v>0</v>
      </c>
      <c r="Y164">
        <f t="shared" si="65"/>
        <v>0</v>
      </c>
      <c r="Z164">
        <f t="shared" si="66"/>
        <v>3.7749999999999995</v>
      </c>
      <c r="AA164" t="e">
        <f t="shared" ca="1" si="67"/>
        <v>#NAME?</v>
      </c>
      <c r="AB164">
        <f t="shared" si="68"/>
        <v>1.1392993794503703</v>
      </c>
      <c r="AC164">
        <f t="shared" si="69"/>
        <v>8.9640360000000019</v>
      </c>
      <c r="AD164">
        <f t="shared" si="70"/>
        <v>5.5720447776000004</v>
      </c>
      <c r="AE164">
        <f t="shared" si="71"/>
        <v>0</v>
      </c>
      <c r="AF164">
        <f t="shared" si="72"/>
        <v>3.303785704806236E-3</v>
      </c>
      <c r="AG164">
        <f t="shared" si="73"/>
        <v>0</v>
      </c>
      <c r="AH164">
        <f t="shared" si="74"/>
        <v>19.59557896163199</v>
      </c>
      <c r="AI164">
        <f t="shared" si="75"/>
        <v>5.990987964096002E-2</v>
      </c>
      <c r="AJ164">
        <f t="shared" si="76"/>
        <v>355.34047362044413</v>
      </c>
      <c r="AK164" t="e">
        <f t="shared" ca="1" si="77"/>
        <v>#NAME?</v>
      </c>
      <c r="AL164" t="e">
        <f t="shared" ca="1" si="78"/>
        <v>#NAME?</v>
      </c>
      <c r="AM164">
        <v>0.3</v>
      </c>
      <c r="AN164">
        <v>0.13</v>
      </c>
    </row>
    <row r="165" spans="11:88" x14ac:dyDescent="0.2">
      <c r="K165" t="s">
        <v>164</v>
      </c>
      <c r="L165" t="s">
        <v>117</v>
      </c>
      <c r="M165">
        <v>200</v>
      </c>
      <c r="N165">
        <v>70</v>
      </c>
      <c r="O165">
        <v>0.7</v>
      </c>
      <c r="P165" t="e" cm="1">
        <f t="array" aca="1" ref="P165" ca="1">_xludf.XLOOKUP(K$35,$BX$169:$CG$169,_xludf.XLOOKUP($D$11,$BW$170:$BW$176,$BX$170:$CG$176))</f>
        <v>#NAME?</v>
      </c>
      <c r="Q165" t="e">
        <f t="shared" ca="1" si="64"/>
        <v>#NAME?</v>
      </c>
      <c r="S165">
        <v>0</v>
      </c>
      <c r="V165">
        <v>1</v>
      </c>
      <c r="W165">
        <f>VLOOKUP($G$141, $CL$17:$CN$25, 2, FALSE)</f>
        <v>6</v>
      </c>
      <c r="X165">
        <v>0</v>
      </c>
      <c r="Y165">
        <f t="shared" si="65"/>
        <v>0</v>
      </c>
      <c r="Z165">
        <f t="shared" si="66"/>
        <v>8.5869999999999997</v>
      </c>
      <c r="AA165" t="e">
        <f t="shared" ca="1" si="67"/>
        <v>#NAME?</v>
      </c>
      <c r="AB165">
        <f t="shared" si="68"/>
        <v>1.3178594998320508</v>
      </c>
      <c r="AC165">
        <f t="shared" si="69"/>
        <v>2.9260155136000003</v>
      </c>
      <c r="AD165">
        <f t="shared" si="70"/>
        <v>1.08145533382656</v>
      </c>
      <c r="AE165">
        <f t="shared" si="71"/>
        <v>0</v>
      </c>
      <c r="AF165">
        <f t="shared" si="72"/>
        <v>6.4121822686097807E-4</v>
      </c>
      <c r="AG165">
        <f t="shared" si="73"/>
        <v>0</v>
      </c>
      <c r="AH165">
        <f t="shared" si="74"/>
        <v>11.70223264021285</v>
      </c>
      <c r="AI165">
        <f t="shared" si="75"/>
        <v>1.5007217846773051E-2</v>
      </c>
      <c r="AJ165">
        <f t="shared" si="76"/>
        <v>273.8817257036082</v>
      </c>
      <c r="AK165" t="e">
        <f t="shared" ca="1" si="77"/>
        <v>#NAME?</v>
      </c>
      <c r="AL165" t="e">
        <f t="shared" ca="1" si="78"/>
        <v>#NAME?</v>
      </c>
      <c r="AM165">
        <v>0.6</v>
      </c>
      <c r="AN165">
        <v>0.05</v>
      </c>
    </row>
    <row r="166" spans="11:88" x14ac:dyDescent="0.2">
      <c r="L166" t="s">
        <v>119</v>
      </c>
      <c r="M166">
        <v>130</v>
      </c>
      <c r="N166">
        <v>75</v>
      </c>
      <c r="O166">
        <v>0.8</v>
      </c>
      <c r="P166" t="e" cm="1">
        <f t="array" aca="1" ref="P166" ca="1">_xludf.XLOOKUP(K$35,$BX$169:$CG$169,_xludf.XLOOKUP($D$11,$BW$170:$BW$176,$BX$170:$CG$176))</f>
        <v>#NAME?</v>
      </c>
      <c r="Q166" t="e">
        <f t="shared" ca="1" si="64"/>
        <v>#NAME?</v>
      </c>
      <c r="V166">
        <v>1</v>
      </c>
      <c r="W166">
        <f>VLOOKUP($G$141, $CL$17:$CN$25, 3, FALSE)</f>
        <v>4</v>
      </c>
      <c r="X166">
        <v>0</v>
      </c>
      <c r="Y166">
        <f t="shared" si="65"/>
        <v>0</v>
      </c>
      <c r="Z166">
        <f t="shared" si="66"/>
        <v>6.9829999999999997</v>
      </c>
      <c r="AA166" t="e">
        <f t="shared" ca="1" si="67"/>
        <v>#NAME?</v>
      </c>
      <c r="AB166">
        <f t="shared" si="68"/>
        <v>1.3614006938157037</v>
      </c>
      <c r="AC166">
        <f t="shared" si="69"/>
        <v>3.107728265625</v>
      </c>
      <c r="AD166">
        <f t="shared" si="70"/>
        <v>1.4096655412874999</v>
      </c>
      <c r="AE166">
        <f t="shared" si="71"/>
        <v>0</v>
      </c>
      <c r="AF166">
        <f t="shared" si="72"/>
        <v>8.358211482050506E-4</v>
      </c>
      <c r="AG166">
        <f t="shared" si="73"/>
        <v>0</v>
      </c>
      <c r="AH166">
        <f t="shared" si="74"/>
        <v>9.9149283705824125</v>
      </c>
      <c r="AI166">
        <f t="shared" si="75"/>
        <v>1.6256447819739891E-2</v>
      </c>
      <c r="AJ166">
        <f t="shared" si="76"/>
        <v>192.84211226166443</v>
      </c>
      <c r="AK166" t="e">
        <f t="shared" ca="1" si="77"/>
        <v>#NAME?</v>
      </c>
      <c r="AL166" t="e">
        <f t="shared" ca="1" si="78"/>
        <v>#NAME?</v>
      </c>
      <c r="AM166">
        <v>0.5</v>
      </c>
      <c r="AN166">
        <v>7.0000000000000007E-2</v>
      </c>
      <c r="BU166" t="s">
        <v>188</v>
      </c>
    </row>
    <row r="167" spans="11:88" x14ac:dyDescent="0.2">
      <c r="L167" t="s">
        <v>120</v>
      </c>
      <c r="M167">
        <v>250</v>
      </c>
      <c r="N167">
        <v>100</v>
      </c>
      <c r="O167">
        <v>0.9</v>
      </c>
      <c r="P167" t="e" cm="1">
        <f t="array" aca="1" ref="P167" ca="1">_xludf.XLOOKUP(K$35,$BX$169:$CG$169,_xludf.XLOOKUP($D$11,$BW$170:$BW$176,$BX$170:$CG$176))</f>
        <v>#NAME?</v>
      </c>
      <c r="Q167" t="e">
        <f t="shared" ca="1" si="64"/>
        <v>#NAME?</v>
      </c>
      <c r="V167">
        <v>1</v>
      </c>
      <c r="W167">
        <v>0</v>
      </c>
      <c r="X167">
        <v>0</v>
      </c>
      <c r="Y167">
        <f t="shared" si="65"/>
        <v>0</v>
      </c>
      <c r="Z167">
        <f t="shared" si="66"/>
        <v>5.3789999999999996</v>
      </c>
      <c r="AA167" t="e">
        <f t="shared" ca="1" si="67"/>
        <v>#NAME?</v>
      </c>
      <c r="AB167">
        <f t="shared" si="68"/>
        <v>1.3824102946879606</v>
      </c>
      <c r="AC167">
        <f t="shared" si="69"/>
        <v>3.5967122500000004</v>
      </c>
      <c r="AD167">
        <f t="shared" si="70"/>
        <v>1.9335925056000001</v>
      </c>
      <c r="AE167">
        <f t="shared" si="71"/>
        <v>0</v>
      </c>
      <c r="AF167">
        <f t="shared" si="72"/>
        <v>1.1464687621683611E-3</v>
      </c>
      <c r="AG167">
        <f t="shared" si="73"/>
        <v>0</v>
      </c>
      <c r="AH167">
        <f t="shared" si="74"/>
        <v>26.153818636965738</v>
      </c>
      <c r="AI167">
        <f t="shared" si="75"/>
        <v>1.9979512113905602E-2</v>
      </c>
      <c r="AJ167">
        <f t="shared" si="76"/>
        <v>455.78262009847157</v>
      </c>
      <c r="AK167" t="e">
        <f t="shared" ca="1" si="77"/>
        <v>#NAME?</v>
      </c>
      <c r="AL167" t="e">
        <f t="shared" ca="1" si="78"/>
        <v>#NAME?</v>
      </c>
      <c r="AM167">
        <v>0.4</v>
      </c>
      <c r="AN167">
        <v>0.1</v>
      </c>
      <c r="BU167" t="s">
        <v>71</v>
      </c>
    </row>
    <row r="168" spans="11:88" x14ac:dyDescent="0.2">
      <c r="L168" t="s">
        <v>121</v>
      </c>
      <c r="M168">
        <v>150</v>
      </c>
      <c r="N168">
        <v>105</v>
      </c>
      <c r="O168">
        <v>1</v>
      </c>
      <c r="P168" t="e" cm="1">
        <f t="array" aca="1" ref="P168" ca="1">_xludf.XLOOKUP(K$35,$BX$169:$CG$169,_xludf.XLOOKUP($D$11,$BW$170:$BW$176,$BX$170:$CG$176))</f>
        <v>#NAME?</v>
      </c>
      <c r="Q168" t="e">
        <f t="shared" ca="1" si="64"/>
        <v>#NAME?</v>
      </c>
      <c r="V168">
        <v>1</v>
      </c>
      <c r="W168">
        <v>0</v>
      </c>
      <c r="X168">
        <v>0</v>
      </c>
      <c r="Y168">
        <f t="shared" si="65"/>
        <v>0</v>
      </c>
      <c r="Z168">
        <f t="shared" si="66"/>
        <v>3.7749999999999995</v>
      </c>
      <c r="AA168" t="e">
        <f t="shared" ca="1" si="67"/>
        <v>#NAME?</v>
      </c>
      <c r="AB168">
        <f t="shared" si="68"/>
        <v>1.4229922189056508</v>
      </c>
      <c r="AC168">
        <f t="shared" si="69"/>
        <v>3.7948403612249999</v>
      </c>
      <c r="AD168">
        <f t="shared" si="70"/>
        <v>2.3588727685374598</v>
      </c>
      <c r="AE168">
        <f t="shared" si="71"/>
        <v>0</v>
      </c>
      <c r="AF168">
        <f t="shared" si="72"/>
        <v>1.3986266161176602E-3</v>
      </c>
      <c r="AG168">
        <f t="shared" si="73"/>
        <v>0</v>
      </c>
      <c r="AH168">
        <f t="shared" si="74"/>
        <v>19.143701808110475</v>
      </c>
      <c r="AI168">
        <f t="shared" si="75"/>
        <v>2.5362284276596713E-2</v>
      </c>
      <c r="AJ168">
        <f t="shared" si="76"/>
        <v>347.14626603591751</v>
      </c>
      <c r="AK168" t="e">
        <f t="shared" ca="1" si="77"/>
        <v>#NAME?</v>
      </c>
      <c r="AL168" t="e">
        <f t="shared" ca="1" si="78"/>
        <v>#NAME?</v>
      </c>
      <c r="AM168">
        <v>0.3</v>
      </c>
      <c r="AN168">
        <v>0.13</v>
      </c>
    </row>
    <row r="169" spans="11:88" x14ac:dyDescent="0.2">
      <c r="K169" t="s">
        <v>169</v>
      </c>
      <c r="L169" t="s">
        <v>117</v>
      </c>
      <c r="M169">
        <v>20</v>
      </c>
      <c r="N169">
        <v>350</v>
      </c>
      <c r="O169">
        <v>1.1000000000000001</v>
      </c>
      <c r="P169" t="e" cm="1">
        <f t="array" aca="1" ref="P169" ca="1">_xludf.XLOOKUP(K$39,$BX$169:$CG$169,_xludf.XLOOKUP($D$11,$BW$170:$BW$176,$BX$170:$CG$176))</f>
        <v>#NAME?</v>
      </c>
      <c r="Q169" t="e">
        <f t="shared" ca="1" si="64"/>
        <v>#NAME?</v>
      </c>
      <c r="V169">
        <v>1</v>
      </c>
      <c r="W169">
        <v>0</v>
      </c>
      <c r="X169">
        <v>0</v>
      </c>
      <c r="Y169">
        <f t="shared" si="65"/>
        <v>0</v>
      </c>
      <c r="Z169">
        <f t="shared" si="66"/>
        <v>8.5869999999999997</v>
      </c>
      <c r="AA169" t="e">
        <f t="shared" ca="1" si="67"/>
        <v>#NAME?</v>
      </c>
      <c r="AB169">
        <f t="shared" si="68"/>
        <v>1.3021361169563495</v>
      </c>
      <c r="AC169">
        <f t="shared" si="69"/>
        <v>7.8512039999999974</v>
      </c>
      <c r="AD169">
        <f t="shared" si="70"/>
        <v>2.9018049983999994</v>
      </c>
      <c r="AE169">
        <f t="shared" si="71"/>
        <v>0</v>
      </c>
      <c r="AF169">
        <f t="shared" si="72"/>
        <v>1.7205428625393249E-3</v>
      </c>
      <c r="AG169">
        <f t="shared" si="73"/>
        <v>0</v>
      </c>
      <c r="AH169">
        <f t="shared" si="74"/>
        <v>3.1399907241342682</v>
      </c>
      <c r="AI169">
        <f t="shared" si="75"/>
        <v>3.3808013015731192E-2</v>
      </c>
      <c r="AJ169">
        <f t="shared" si="76"/>
        <v>61.699623753709425</v>
      </c>
      <c r="AK169" t="e">
        <f t="shared" ca="1" si="77"/>
        <v>#NAME?</v>
      </c>
      <c r="AL169" t="e">
        <f t="shared" ca="1" si="78"/>
        <v>#NAME?</v>
      </c>
      <c r="AM169">
        <v>0.6</v>
      </c>
      <c r="AN169">
        <v>0.05</v>
      </c>
      <c r="BX169" t="s">
        <v>116</v>
      </c>
      <c r="BY169" t="s">
        <v>122</v>
      </c>
      <c r="BZ169" t="s">
        <v>141</v>
      </c>
      <c r="CA169" t="s">
        <v>146</v>
      </c>
      <c r="CB169" t="s">
        <v>152</v>
      </c>
      <c r="CC169" t="s">
        <v>156</v>
      </c>
      <c r="CD169" t="s">
        <v>164</v>
      </c>
      <c r="CE169" t="s">
        <v>169</v>
      </c>
      <c r="CF169" t="s">
        <v>171</v>
      </c>
      <c r="CG169" t="s">
        <v>176</v>
      </c>
    </row>
    <row r="170" spans="11:88" x14ac:dyDescent="0.2">
      <c r="L170" t="s">
        <v>119</v>
      </c>
      <c r="M170">
        <v>30</v>
      </c>
      <c r="N170">
        <v>360</v>
      </c>
      <c r="O170">
        <v>1.2</v>
      </c>
      <c r="P170" t="e" cm="1">
        <f t="array" aca="1" ref="P170" ca="1">_xludf.XLOOKUP(K$39,$BX$169:$CG$169,_xludf.XLOOKUP($D$11,$BW$170:$BW$176,$BX$170:$CG$176))</f>
        <v>#NAME?</v>
      </c>
      <c r="Q170" t="e">
        <f t="shared" ca="1" si="64"/>
        <v>#NAME?</v>
      </c>
      <c r="V170">
        <v>1</v>
      </c>
      <c r="W170">
        <v>0</v>
      </c>
      <c r="X170">
        <v>0</v>
      </c>
      <c r="Y170">
        <f t="shared" si="65"/>
        <v>0</v>
      </c>
      <c r="Z170">
        <f t="shared" si="66"/>
        <v>6.9829999999999997</v>
      </c>
      <c r="AA170" t="e">
        <f t="shared" ca="1" si="67"/>
        <v>#NAME?</v>
      </c>
      <c r="AB170">
        <f t="shared" si="68"/>
        <v>1.3277250957104489</v>
      </c>
      <c r="AC170">
        <f t="shared" si="69"/>
        <v>8.1821169936000011</v>
      </c>
      <c r="AD170">
        <f t="shared" si="70"/>
        <v>3.7114082682969607</v>
      </c>
      <c r="AE170">
        <f t="shared" si="71"/>
        <v>0</v>
      </c>
      <c r="AF170">
        <f t="shared" si="72"/>
        <v>2.200574128691863E-3</v>
      </c>
      <c r="AG170">
        <f t="shared" si="73"/>
        <v>0</v>
      </c>
      <c r="AH170">
        <f t="shared" si="74"/>
        <v>6.0240716772939757</v>
      </c>
      <c r="AI170">
        <f t="shared" si="75"/>
        <v>3.8574714934505511E-2</v>
      </c>
      <c r="AJ170">
        <f t="shared" si="76"/>
        <v>105.59828213320884</v>
      </c>
      <c r="AK170" t="e">
        <f t="shared" ca="1" si="77"/>
        <v>#NAME?</v>
      </c>
      <c r="AL170" t="e">
        <f t="shared" ca="1" si="78"/>
        <v>#NAME?</v>
      </c>
      <c r="AM170">
        <v>0.5</v>
      </c>
      <c r="AN170">
        <v>7.0000000000000007E-2</v>
      </c>
      <c r="BW170" t="s">
        <v>112</v>
      </c>
      <c r="BX170">
        <v>700</v>
      </c>
      <c r="BY170">
        <v>700</v>
      </c>
      <c r="BZ170">
        <v>600</v>
      </c>
      <c r="CA170">
        <v>500</v>
      </c>
      <c r="CB170">
        <v>500</v>
      </c>
      <c r="CC170">
        <v>500</v>
      </c>
      <c r="CD170">
        <v>500</v>
      </c>
      <c r="CE170">
        <v>600</v>
      </c>
      <c r="CF170">
        <v>600</v>
      </c>
      <c r="CG170">
        <v>600</v>
      </c>
    </row>
    <row r="171" spans="11:88" x14ac:dyDescent="0.2">
      <c r="L171" t="s">
        <v>120</v>
      </c>
      <c r="M171">
        <v>60</v>
      </c>
      <c r="N171">
        <v>350</v>
      </c>
      <c r="O171">
        <v>1.3</v>
      </c>
      <c r="P171" t="e" cm="1">
        <f t="array" aca="1" ref="P171" ca="1">_xludf.XLOOKUP(K$39,$BX$169:$CG$169,_xludf.XLOOKUP($D$11,$BW$170:$BW$176,$BX$170:$CG$176))</f>
        <v>#NAME?</v>
      </c>
      <c r="Q171" t="e">
        <f t="shared" ca="1" si="64"/>
        <v>#NAME?</v>
      </c>
      <c r="V171">
        <v>1</v>
      </c>
      <c r="W171">
        <v>0</v>
      </c>
      <c r="X171">
        <v>0</v>
      </c>
      <c r="Y171">
        <f t="shared" si="65"/>
        <v>0</v>
      </c>
      <c r="Z171">
        <f t="shared" si="66"/>
        <v>5.3789999999999996</v>
      </c>
      <c r="AA171" t="e">
        <f t="shared" ca="1" si="67"/>
        <v>#NAME?</v>
      </c>
      <c r="AB171">
        <f t="shared" si="68"/>
        <v>1.3613486834126374</v>
      </c>
      <c r="AC171">
        <f t="shared" si="69"/>
        <v>8.2082249999999988</v>
      </c>
      <c r="AD171">
        <f t="shared" si="70"/>
        <v>4.4127417599999985</v>
      </c>
      <c r="AE171">
        <f t="shared" si="71"/>
        <v>0</v>
      </c>
      <c r="AF171">
        <f t="shared" si="72"/>
        <v>2.6164099047260156E-3</v>
      </c>
      <c r="AG171">
        <f t="shared" si="73"/>
        <v>0</v>
      </c>
      <c r="AH171">
        <f t="shared" si="74"/>
        <v>14.324844228374936</v>
      </c>
      <c r="AI171">
        <f t="shared" si="75"/>
        <v>4.5596177681759983E-2</v>
      </c>
      <c r="AJ171">
        <f t="shared" si="76"/>
        <v>249.63907280763593</v>
      </c>
      <c r="AK171" t="e">
        <f t="shared" ca="1" si="77"/>
        <v>#NAME?</v>
      </c>
      <c r="AL171" t="e">
        <f t="shared" ca="1" si="78"/>
        <v>#NAME?</v>
      </c>
      <c r="AM171">
        <v>0.4</v>
      </c>
      <c r="AN171">
        <v>0.1</v>
      </c>
      <c r="BW171" t="s">
        <v>155</v>
      </c>
      <c r="BX171">
        <v>700</v>
      </c>
      <c r="BY171">
        <v>700</v>
      </c>
      <c r="BZ171">
        <v>600</v>
      </c>
      <c r="CA171">
        <v>500</v>
      </c>
      <c r="CB171">
        <v>500</v>
      </c>
      <c r="CC171">
        <v>500</v>
      </c>
      <c r="CD171">
        <v>500</v>
      </c>
      <c r="CE171">
        <v>600</v>
      </c>
      <c r="CF171">
        <v>600</v>
      </c>
      <c r="CG171">
        <v>600</v>
      </c>
    </row>
    <row r="172" spans="11:88" x14ac:dyDescent="0.2">
      <c r="L172" t="s">
        <v>121</v>
      </c>
      <c r="M172">
        <v>30</v>
      </c>
      <c r="N172">
        <v>340</v>
      </c>
      <c r="O172">
        <v>1.4</v>
      </c>
      <c r="P172" t="e" cm="1">
        <f t="array" aca="1" ref="P172" ca="1">_xludf.XLOOKUP(K$39,$BX$169:$CG$169,_xludf.XLOOKUP($D$11,$BW$170:$BW$176,$BX$170:$CG$176))</f>
        <v>#NAME?</v>
      </c>
      <c r="Q172" t="e">
        <f t="shared" ca="1" si="64"/>
        <v>#NAME?</v>
      </c>
      <c r="V172">
        <v>1</v>
      </c>
      <c r="W172">
        <v>0</v>
      </c>
      <c r="X172">
        <v>0</v>
      </c>
      <c r="Y172">
        <f t="shared" si="65"/>
        <v>0</v>
      </c>
      <c r="Z172">
        <f t="shared" si="66"/>
        <v>3.7749999999999995</v>
      </c>
      <c r="AA172" t="e">
        <f t="shared" ca="1" si="67"/>
        <v>#NAME?</v>
      </c>
      <c r="AB172">
        <f t="shared" si="68"/>
        <v>1.3962446825746004</v>
      </c>
      <c r="AC172">
        <f t="shared" si="69"/>
        <v>8.2313905215999998</v>
      </c>
      <c r="AD172">
        <f t="shared" si="70"/>
        <v>5.1166323482265597</v>
      </c>
      <c r="AE172">
        <f t="shared" si="71"/>
        <v>0</v>
      </c>
      <c r="AF172">
        <f t="shared" si="72"/>
        <v>3.0337618385222493E-3</v>
      </c>
      <c r="AG172">
        <f t="shared" si="73"/>
        <v>0</v>
      </c>
      <c r="AH172">
        <f t="shared" si="74"/>
        <v>8.3049230329546582</v>
      </c>
      <c r="AI172">
        <f t="shared" si="75"/>
        <v>5.5013346156440573E-2</v>
      </c>
      <c r="AJ172">
        <f t="shared" si="76"/>
        <v>150.59903510325606</v>
      </c>
      <c r="AK172" t="e">
        <f t="shared" ca="1" si="77"/>
        <v>#NAME?</v>
      </c>
      <c r="AL172" t="e">
        <f t="shared" ca="1" si="78"/>
        <v>#NAME?</v>
      </c>
      <c r="AM172">
        <v>0.3</v>
      </c>
      <c r="AN172">
        <v>0.13</v>
      </c>
      <c r="BW172" t="s">
        <v>131</v>
      </c>
      <c r="BX172">
        <v>770</v>
      </c>
      <c r="BY172">
        <v>770</v>
      </c>
      <c r="BZ172">
        <v>660</v>
      </c>
      <c r="CA172">
        <v>550</v>
      </c>
      <c r="CB172">
        <v>550</v>
      </c>
      <c r="CC172">
        <v>550</v>
      </c>
      <c r="CD172">
        <v>550</v>
      </c>
      <c r="CE172">
        <v>660</v>
      </c>
      <c r="CF172">
        <v>660</v>
      </c>
      <c r="CG172">
        <v>660</v>
      </c>
      <c r="CJ172">
        <v>7.0070060050050004E+20</v>
      </c>
    </row>
    <row r="173" spans="11:88" x14ac:dyDescent="0.2">
      <c r="K173" t="s">
        <v>171</v>
      </c>
      <c r="L173" t="s">
        <v>117</v>
      </c>
      <c r="M173">
        <v>100</v>
      </c>
      <c r="N173">
        <v>400</v>
      </c>
      <c r="O173">
        <v>0.4</v>
      </c>
      <c r="P173" t="e" cm="1">
        <f t="array" aca="1" ref="P173" ca="1">_xludf.XLOOKUP(K$43,$BX$169:$CG$169,_xludf.XLOOKUP($D$11,$BW$170:$BW$176,$BX$170:$CG$176))</f>
        <v>#NAME?</v>
      </c>
      <c r="Q173" t="e">
        <f t="shared" ca="1" si="64"/>
        <v>#NAME?</v>
      </c>
      <c r="V173">
        <v>1</v>
      </c>
      <c r="W173">
        <v>0</v>
      </c>
      <c r="X173">
        <v>0</v>
      </c>
      <c r="Y173">
        <f t="shared" si="65"/>
        <v>0</v>
      </c>
      <c r="Z173">
        <f t="shared" si="66"/>
        <v>8.5869999999999997</v>
      </c>
      <c r="AA173" t="e">
        <f t="shared" ca="1" si="67"/>
        <v>#NAME?</v>
      </c>
      <c r="AB173">
        <f t="shared" si="68"/>
        <v>1.0998613485777566</v>
      </c>
      <c r="AC173">
        <f t="shared" si="69"/>
        <v>7.3495209999999993</v>
      </c>
      <c r="AD173">
        <f t="shared" si="70"/>
        <v>2.7163829615999999</v>
      </c>
      <c r="AE173">
        <f t="shared" si="71"/>
        <v>0</v>
      </c>
      <c r="AF173">
        <f t="shared" si="72"/>
        <v>1.6106021318046105E-3</v>
      </c>
      <c r="AG173">
        <f t="shared" si="73"/>
        <v>0</v>
      </c>
      <c r="AH173">
        <f t="shared" si="74"/>
        <v>14.69674445271707</v>
      </c>
      <c r="AI173">
        <f t="shared" si="75"/>
        <v>3.1647719461548797E-2</v>
      </c>
      <c r="AJ173">
        <f t="shared" si="76"/>
        <v>288.78544008663278</v>
      </c>
      <c r="AK173" t="e">
        <f t="shared" ca="1" si="77"/>
        <v>#NAME?</v>
      </c>
      <c r="AL173" t="e">
        <f t="shared" ca="1" si="78"/>
        <v>#NAME?</v>
      </c>
      <c r="AM173">
        <v>0.6</v>
      </c>
      <c r="AN173">
        <v>0.05</v>
      </c>
      <c r="BW173" t="s">
        <v>132</v>
      </c>
      <c r="BX173">
        <v>770</v>
      </c>
      <c r="BY173">
        <v>770</v>
      </c>
      <c r="BZ173">
        <v>660</v>
      </c>
      <c r="CA173">
        <v>550</v>
      </c>
      <c r="CB173">
        <v>550</v>
      </c>
      <c r="CC173">
        <v>550</v>
      </c>
      <c r="CD173">
        <v>550</v>
      </c>
      <c r="CE173">
        <v>660</v>
      </c>
      <c r="CF173">
        <v>660</v>
      </c>
      <c r="CG173">
        <v>660</v>
      </c>
      <c r="CJ173">
        <v>7.7077066055054996E+20</v>
      </c>
    </row>
    <row r="174" spans="11:88" x14ac:dyDescent="0.2">
      <c r="L174" t="s">
        <v>119</v>
      </c>
      <c r="M174">
        <v>110</v>
      </c>
      <c r="N174">
        <v>410</v>
      </c>
      <c r="O174">
        <v>0.3</v>
      </c>
      <c r="P174" t="e" cm="1">
        <f t="array" aca="1" ref="P174" ca="1">_xludf.XLOOKUP(K$43,$BX$169:$CG$169,_xludf.XLOOKUP($D$11,$BW$170:$BW$176,$BX$170:$CG$176))</f>
        <v>#NAME?</v>
      </c>
      <c r="Q174" t="e">
        <f t="shared" ca="1" si="64"/>
        <v>#NAME?</v>
      </c>
      <c r="V174">
        <v>1</v>
      </c>
      <c r="W174">
        <v>0</v>
      </c>
      <c r="X174">
        <v>0</v>
      </c>
      <c r="Y174">
        <f t="shared" si="65"/>
        <v>0</v>
      </c>
      <c r="Z174">
        <f t="shared" si="66"/>
        <v>6.9829999999999997</v>
      </c>
      <c r="AA174" t="e">
        <f t="shared" ca="1" si="67"/>
        <v>#NAME?</v>
      </c>
      <c r="AB174">
        <f t="shared" si="68"/>
        <v>1.0737437118823001</v>
      </c>
      <c r="AC174">
        <f t="shared" si="69"/>
        <v>7.3107507456000027</v>
      </c>
      <c r="AD174">
        <f t="shared" si="70"/>
        <v>3.3161565382041611</v>
      </c>
      <c r="AE174">
        <f t="shared" si="71"/>
        <v>0</v>
      </c>
      <c r="AF174">
        <f t="shared" si="72"/>
        <v>1.9662208404824725E-3</v>
      </c>
      <c r="AG174">
        <f t="shared" si="73"/>
        <v>0</v>
      </c>
      <c r="AH174">
        <f t="shared" si="74"/>
        <v>19.735941686342819</v>
      </c>
      <c r="AI174">
        <f t="shared" si="75"/>
        <v>3.4466645513542546E-2</v>
      </c>
      <c r="AJ174">
        <f t="shared" si="76"/>
        <v>345.95895434218329</v>
      </c>
      <c r="AK174" t="e">
        <f t="shared" ca="1" si="77"/>
        <v>#NAME?</v>
      </c>
      <c r="AL174" t="e">
        <f t="shared" ca="1" si="78"/>
        <v>#NAME?</v>
      </c>
      <c r="AM174">
        <v>0.5</v>
      </c>
      <c r="AN174">
        <v>7.0000000000000007E-2</v>
      </c>
      <c r="BW174" t="s">
        <v>133</v>
      </c>
      <c r="BX174">
        <v>770</v>
      </c>
      <c r="BY174">
        <v>770</v>
      </c>
      <c r="BZ174">
        <v>660</v>
      </c>
      <c r="CA174">
        <v>550</v>
      </c>
      <c r="CB174">
        <v>550</v>
      </c>
      <c r="CC174">
        <v>550</v>
      </c>
      <c r="CD174">
        <v>550</v>
      </c>
      <c r="CE174">
        <v>660</v>
      </c>
      <c r="CF174">
        <v>660</v>
      </c>
      <c r="CG174">
        <v>660</v>
      </c>
      <c r="CJ174">
        <v>7.7077066055054996E+20</v>
      </c>
    </row>
    <row r="175" spans="11:88" x14ac:dyDescent="0.2">
      <c r="L175" t="s">
        <v>120</v>
      </c>
      <c r="M175">
        <v>120</v>
      </c>
      <c r="N175">
        <v>420</v>
      </c>
      <c r="O175">
        <v>0.2</v>
      </c>
      <c r="P175" t="e" cm="1">
        <f t="array" aca="1" ref="P175" ca="1">_xludf.XLOOKUP(K$43,$BX$169:$CG$169,_xludf.XLOOKUP($D$11,$BW$170:$BW$176,$BX$170:$CG$176))</f>
        <v>#NAME?</v>
      </c>
      <c r="Q175" t="e">
        <f t="shared" ca="1" si="64"/>
        <v>#NAME?</v>
      </c>
      <c r="V175">
        <v>1</v>
      </c>
      <c r="W175">
        <v>0</v>
      </c>
      <c r="X175">
        <v>0</v>
      </c>
      <c r="Y175">
        <f t="shared" si="65"/>
        <v>0</v>
      </c>
      <c r="Z175">
        <f t="shared" si="66"/>
        <v>5.3789999999999996</v>
      </c>
      <c r="AA175" t="e">
        <f t="shared" ca="1" si="67"/>
        <v>#NAME?</v>
      </c>
      <c r="AB175">
        <f t="shared" si="68"/>
        <v>1.048423686523229</v>
      </c>
      <c r="AC175">
        <f t="shared" si="69"/>
        <v>7.2692787456000021</v>
      </c>
      <c r="AD175">
        <f t="shared" si="70"/>
        <v>3.9079642536345602</v>
      </c>
      <c r="AE175">
        <f t="shared" si="71"/>
        <v>0</v>
      </c>
      <c r="AF175">
        <f t="shared" si="72"/>
        <v>2.3171164180078095E-3</v>
      </c>
      <c r="AG175">
        <f t="shared" si="73"/>
        <v>0</v>
      </c>
      <c r="AH175">
        <f t="shared" si="74"/>
        <v>25.372424777185515</v>
      </c>
      <c r="AI175">
        <f t="shared" si="75"/>
        <v>4.0380389828814284E-2</v>
      </c>
      <c r="AJ175">
        <f t="shared" si="76"/>
        <v>442.16526862551638</v>
      </c>
      <c r="AK175" t="e">
        <f t="shared" ca="1" si="77"/>
        <v>#NAME?</v>
      </c>
      <c r="AL175" t="e">
        <f t="shared" ca="1" si="78"/>
        <v>#NAME?</v>
      </c>
      <c r="AM175">
        <v>0.4</v>
      </c>
      <c r="AN175">
        <v>0.1</v>
      </c>
      <c r="BW175" t="s">
        <v>134</v>
      </c>
      <c r="BX175">
        <v>770</v>
      </c>
      <c r="BY175">
        <v>770</v>
      </c>
      <c r="BZ175">
        <v>660</v>
      </c>
      <c r="CA175">
        <v>550</v>
      </c>
      <c r="CB175">
        <v>550</v>
      </c>
      <c r="CC175">
        <v>550</v>
      </c>
      <c r="CD175">
        <v>550</v>
      </c>
      <c r="CE175">
        <v>660</v>
      </c>
      <c r="CF175">
        <v>660</v>
      </c>
      <c r="CG175">
        <v>660</v>
      </c>
      <c r="CJ175">
        <v>7.7077066055054996E+20</v>
      </c>
    </row>
    <row r="176" spans="11:88" x14ac:dyDescent="0.2">
      <c r="L176" t="s">
        <v>121</v>
      </c>
      <c r="M176">
        <v>130</v>
      </c>
      <c r="N176">
        <v>430</v>
      </c>
      <c r="O176">
        <v>0.6</v>
      </c>
      <c r="P176" t="e" cm="1">
        <f t="array" aca="1" ref="P176" ca="1">_xludf.XLOOKUP(K$43,$BX$169:$CG$169,_xludf.XLOOKUP($D$11,$BW$170:$BW$176,$BX$170:$CG$176))</f>
        <v>#NAME?</v>
      </c>
      <c r="Q176" t="e">
        <f t="shared" ca="1" si="64"/>
        <v>#NAME?</v>
      </c>
      <c r="V176">
        <v>1</v>
      </c>
      <c r="W176">
        <v>0</v>
      </c>
      <c r="X176">
        <v>0</v>
      </c>
      <c r="Y176">
        <f t="shared" si="65"/>
        <v>0</v>
      </c>
      <c r="Z176">
        <f t="shared" si="66"/>
        <v>3.7749999999999995</v>
      </c>
      <c r="AA176" t="e">
        <f t="shared" ca="1" si="67"/>
        <v>#NAME?</v>
      </c>
      <c r="AB176">
        <f t="shared" si="68"/>
        <v>1.1473565733309674</v>
      </c>
      <c r="AC176">
        <f t="shared" si="69"/>
        <v>8.0966426116000001</v>
      </c>
      <c r="AD176">
        <f t="shared" si="70"/>
        <v>5.0328730473705594</v>
      </c>
      <c r="AE176">
        <f t="shared" si="71"/>
        <v>0</v>
      </c>
      <c r="AF176">
        <f t="shared" si="72"/>
        <v>2.9840991398438275E-3</v>
      </c>
      <c r="AG176">
        <f t="shared" si="73"/>
        <v>0</v>
      </c>
      <c r="AH176">
        <f t="shared" si="74"/>
        <v>35.398876046397405</v>
      </c>
      <c r="AI176">
        <f t="shared" si="75"/>
        <v>5.4112777364662981E-2</v>
      </c>
      <c r="AJ176">
        <f t="shared" si="76"/>
        <v>641.91282148831453</v>
      </c>
      <c r="AK176" t="e">
        <f t="shared" ca="1" si="77"/>
        <v>#NAME?</v>
      </c>
      <c r="AL176" t="e">
        <f t="shared" ca="1" si="78"/>
        <v>#NAME?</v>
      </c>
      <c r="AM176">
        <v>0.3</v>
      </c>
      <c r="AN176">
        <v>0.13</v>
      </c>
      <c r="BW176" t="s">
        <v>135</v>
      </c>
      <c r="BX176">
        <v>770</v>
      </c>
      <c r="BY176">
        <v>770</v>
      </c>
      <c r="BZ176">
        <v>660</v>
      </c>
      <c r="CA176">
        <v>550</v>
      </c>
      <c r="CB176">
        <v>550</v>
      </c>
      <c r="CC176">
        <v>550</v>
      </c>
      <c r="CD176">
        <v>550</v>
      </c>
      <c r="CE176">
        <v>660</v>
      </c>
      <c r="CF176">
        <v>660</v>
      </c>
      <c r="CG176">
        <v>660</v>
      </c>
      <c r="CJ176">
        <v>7.7077066055054996E+20</v>
      </c>
    </row>
    <row r="177" spans="11:88" x14ac:dyDescent="0.2">
      <c r="K177" t="s">
        <v>176</v>
      </c>
      <c r="L177" t="s">
        <v>117</v>
      </c>
      <c r="M177">
        <v>50</v>
      </c>
      <c r="N177">
        <v>400</v>
      </c>
      <c r="O177">
        <v>0.5</v>
      </c>
      <c r="P177" t="e" cm="1">
        <f t="array" aca="1" ref="P177" ca="1">_xludf.XLOOKUP(K$47,$BX$169:$CG$169,_xludf.XLOOKUP($D$11,$BW$170:$BW$176,$BX$170:$CG$176))</f>
        <v>#NAME?</v>
      </c>
      <c r="Q177" t="e">
        <f t="shared" ca="1" si="64"/>
        <v>#NAME?</v>
      </c>
      <c r="V177">
        <v>1</v>
      </c>
      <c r="W177">
        <v>0</v>
      </c>
      <c r="X177">
        <v>0</v>
      </c>
      <c r="Y177">
        <f t="shared" si="65"/>
        <v>0</v>
      </c>
      <c r="Z177">
        <f t="shared" si="66"/>
        <v>8.5869999999999997</v>
      </c>
      <c r="AA177" t="e">
        <f t="shared" ca="1" si="67"/>
        <v>#NAME?</v>
      </c>
      <c r="AB177">
        <f t="shared" si="68"/>
        <v>1.1255691405183157</v>
      </c>
      <c r="AC177">
        <f t="shared" si="69"/>
        <v>7.5213062500000012</v>
      </c>
      <c r="AD177">
        <f t="shared" si="70"/>
        <v>2.7798747900000005</v>
      </c>
      <c r="AE177">
        <f t="shared" si="71"/>
        <v>0</v>
      </c>
      <c r="AF177">
        <f t="shared" si="72"/>
        <v>1.6482478082864641E-3</v>
      </c>
      <c r="AG177">
        <f t="shared" si="73"/>
        <v>0</v>
      </c>
      <c r="AH177">
        <f t="shared" si="74"/>
        <v>7.5201306253069919</v>
      </c>
      <c r="AI177">
        <f t="shared" si="75"/>
        <v>3.2387442689720006E-2</v>
      </c>
      <c r="AJ177">
        <f t="shared" si="76"/>
        <v>147.76770727184754</v>
      </c>
      <c r="AK177" t="e">
        <f t="shared" ca="1" si="77"/>
        <v>#NAME?</v>
      </c>
      <c r="AL177" t="e">
        <f t="shared" ca="1" si="78"/>
        <v>#NAME?</v>
      </c>
      <c r="AM177">
        <v>0.6</v>
      </c>
      <c r="AN177">
        <v>0.05</v>
      </c>
      <c r="BW177" t="s">
        <v>148</v>
      </c>
      <c r="BX177">
        <v>770</v>
      </c>
      <c r="BY177">
        <v>770</v>
      </c>
      <c r="BZ177">
        <v>660</v>
      </c>
      <c r="CA177">
        <v>550</v>
      </c>
      <c r="CB177">
        <v>550</v>
      </c>
      <c r="CC177">
        <v>550</v>
      </c>
      <c r="CD177">
        <v>550</v>
      </c>
      <c r="CE177">
        <v>660</v>
      </c>
      <c r="CF177">
        <v>660</v>
      </c>
      <c r="CG177">
        <v>660</v>
      </c>
      <c r="CJ177">
        <v>7.7077066055054996E+20</v>
      </c>
    </row>
    <row r="178" spans="11:88" x14ac:dyDescent="0.2">
      <c r="L178" t="s">
        <v>119</v>
      </c>
      <c r="M178">
        <v>55</v>
      </c>
      <c r="N178">
        <v>420</v>
      </c>
      <c r="O178">
        <v>0.5</v>
      </c>
      <c r="P178" t="e" cm="1">
        <f t="array" aca="1" ref="P178" ca="1">_xludf.XLOOKUP(K$47,$BX$169:$CG$169,_xludf.XLOOKUP($D$11,$BW$170:$BW$176,$BX$170:$CG$176))</f>
        <v>#NAME?</v>
      </c>
      <c r="Q178" t="e">
        <f t="shared" ca="1" si="64"/>
        <v>#NAME?</v>
      </c>
      <c r="V178">
        <v>1</v>
      </c>
      <c r="W178">
        <v>0</v>
      </c>
      <c r="X178">
        <v>0</v>
      </c>
      <c r="Y178">
        <f t="shared" si="65"/>
        <v>0</v>
      </c>
      <c r="Z178">
        <f t="shared" si="66"/>
        <v>6.9829999999999997</v>
      </c>
      <c r="AA178" t="e">
        <f t="shared" ca="1" si="67"/>
        <v>#NAME?</v>
      </c>
      <c r="AB178">
        <f t="shared" si="68"/>
        <v>1.1232058496386121</v>
      </c>
      <c r="AC178">
        <f t="shared" si="69"/>
        <v>7.7877832356000019</v>
      </c>
      <c r="AD178">
        <f t="shared" si="70"/>
        <v>3.5325384756681606</v>
      </c>
      <c r="AE178">
        <f t="shared" si="71"/>
        <v>0</v>
      </c>
      <c r="AF178">
        <f t="shared" si="72"/>
        <v>2.094518365054727E-3</v>
      </c>
      <c r="AG178">
        <f t="shared" si="73"/>
        <v>0</v>
      </c>
      <c r="AH178">
        <f t="shared" si="74"/>
        <v>10.511864044618411</v>
      </c>
      <c r="AI178">
        <f t="shared" si="75"/>
        <v>3.6715622438541394E-2</v>
      </c>
      <c r="AJ178">
        <f t="shared" si="76"/>
        <v>184.26653011342961</v>
      </c>
      <c r="AK178" t="e">
        <f t="shared" ca="1" si="77"/>
        <v>#NAME?</v>
      </c>
      <c r="AL178" t="e">
        <f t="shared" ca="1" si="78"/>
        <v>#NAME?</v>
      </c>
      <c r="AM178">
        <v>0.5</v>
      </c>
      <c r="AN178">
        <v>7.0000000000000007E-2</v>
      </c>
      <c r="CJ178">
        <v>7.7077066055054996E+20</v>
      </c>
    </row>
    <row r="179" spans="11:88" x14ac:dyDescent="0.2">
      <c r="L179" t="s">
        <v>120</v>
      </c>
      <c r="M179">
        <v>60</v>
      </c>
      <c r="N179">
        <v>430</v>
      </c>
      <c r="O179">
        <v>0.5</v>
      </c>
      <c r="P179" t="e" cm="1">
        <f t="array" aca="1" ref="P179" ca="1">_xludf.XLOOKUP(K$47,$BX$169:$CG$169,_xludf.XLOOKUP($D$11,$BW$170:$BW$176,$BX$170:$CG$176))</f>
        <v>#NAME?</v>
      </c>
      <c r="Q179" t="e">
        <f t="shared" ca="1" si="64"/>
        <v>#NAME?</v>
      </c>
      <c r="V179">
        <v>1</v>
      </c>
      <c r="W179">
        <v>0</v>
      </c>
      <c r="X179">
        <v>0</v>
      </c>
      <c r="Y179">
        <f t="shared" si="65"/>
        <v>0</v>
      </c>
      <c r="Z179">
        <f t="shared" si="66"/>
        <v>5.3789999999999996</v>
      </c>
      <c r="AA179" t="e">
        <f t="shared" ca="1" si="67"/>
        <v>#NAME?</v>
      </c>
      <c r="AB179">
        <f t="shared" si="68"/>
        <v>1.1220940971335449</v>
      </c>
      <c r="AC179">
        <f t="shared" si="69"/>
        <v>7.9183708816000014</v>
      </c>
      <c r="AD179">
        <f t="shared" si="70"/>
        <v>4.2569161859481603</v>
      </c>
      <c r="AE179">
        <f t="shared" si="71"/>
        <v>0</v>
      </c>
      <c r="AF179">
        <f t="shared" si="72"/>
        <v>2.5240175560382809E-3</v>
      </c>
      <c r="AG179">
        <f t="shared" si="73"/>
        <v>0</v>
      </c>
      <c r="AH179">
        <f t="shared" si="74"/>
        <v>13.818996119309588</v>
      </c>
      <c r="AI179">
        <f t="shared" si="75"/>
        <v>4.3986056140944994E-2</v>
      </c>
      <c r="AJ179">
        <f t="shared" si="76"/>
        <v>240.82365737167385</v>
      </c>
      <c r="AK179" t="e">
        <f t="shared" ca="1" si="77"/>
        <v>#NAME?</v>
      </c>
      <c r="AL179" t="e">
        <f t="shared" ca="1" si="78"/>
        <v>#NAME?</v>
      </c>
      <c r="AM179">
        <v>0.4</v>
      </c>
      <c r="AN179">
        <v>0.1</v>
      </c>
    </row>
    <row r="180" spans="11:88" x14ac:dyDescent="0.2">
      <c r="L180" t="s">
        <v>121</v>
      </c>
      <c r="M180">
        <v>65</v>
      </c>
      <c r="N180">
        <v>440</v>
      </c>
      <c r="O180">
        <v>0.5</v>
      </c>
      <c r="P180" t="e" cm="1">
        <f t="array" aca="1" ref="P180" ca="1">_xludf.XLOOKUP(K$47,$BX$169:$CG$169,_xludf.XLOOKUP($D$11,$BW$170:$BW$176,$BX$170:$CG$176))</f>
        <v>#NAME?</v>
      </c>
      <c r="Q180" t="e">
        <f t="shared" ca="1" si="64"/>
        <v>#NAME?</v>
      </c>
      <c r="V180">
        <v>1</v>
      </c>
      <c r="W180">
        <v>0</v>
      </c>
      <c r="X180">
        <v>0</v>
      </c>
      <c r="Y180">
        <f t="shared" si="65"/>
        <v>0</v>
      </c>
      <c r="Z180">
        <f t="shared" si="66"/>
        <v>3.7749999999999995</v>
      </c>
      <c r="AA180" t="e">
        <f t="shared" ca="1" si="67"/>
        <v>#NAME?</v>
      </c>
      <c r="AB180">
        <f t="shared" si="68"/>
        <v>1.1210263690566049</v>
      </c>
      <c r="AC180">
        <f t="shared" si="69"/>
        <v>8.0470938276000012</v>
      </c>
      <c r="AD180">
        <f t="shared" si="70"/>
        <v>5.0020735232361604</v>
      </c>
      <c r="AE180">
        <f t="shared" si="71"/>
        <v>0</v>
      </c>
      <c r="AF180">
        <f t="shared" si="72"/>
        <v>2.9658374367148217E-3</v>
      </c>
      <c r="AG180">
        <f t="shared" si="73"/>
        <v>0</v>
      </c>
      <c r="AH180">
        <f t="shared" si="74"/>
        <v>17.591123296514787</v>
      </c>
      <c r="AI180">
        <f t="shared" si="75"/>
        <v>5.3781625003628743E-2</v>
      </c>
      <c r="AJ180">
        <f t="shared" si="76"/>
        <v>318.99226330277298</v>
      </c>
      <c r="AK180" t="e">
        <f t="shared" ca="1" si="77"/>
        <v>#NAME?</v>
      </c>
      <c r="AL180" t="e">
        <f t="shared" ca="1" si="78"/>
        <v>#NAME?</v>
      </c>
      <c r="AM180">
        <v>0.3</v>
      </c>
      <c r="AN180">
        <v>0.13</v>
      </c>
    </row>
  </sheetData>
  <pageMargins left="0.7" right="0.7" top="0.75" bottom="0.75" header="0.3" footer="0.3"/>
  <ignoredErrors>
    <ignoredError sqref="A4:CP11 A123:CP123 A120:M122 P120:AL122 A115:CP115 A112:M114 AO112:CP114 A131:CP157 A128:M130 P128:AL130 A119:CP119 A116:M118 P116:AL118 A111:CP111 A108:M110 P108:AL110 A103:CP103 A100:M102 AO100:CP102 A127:CP127 A124:M126 P124:AL126 AO108:CP110 A107:CP107 A104:M106 P104:AL106 AO116:CP118 AO128:CP130 AO104:CP106 P112:AL114 AO124:CP126 A161:CP180 A158:N160 P158:CP160 AO120:CP122 A99:CP99 A96:M98 AO96:CP98 P100:AL102 A79:CP79 A76:M78 P76:AL78 A71:CP71 A68:M70 P68:AL70 A67:CP67 A64:M66 AO64:CP66 A83:CP83 A80:M82 AO80:CP82 AO68:CP70 A51:CP51 A48:M50 AO48:CP50 P48:AL50 A95:CP95 A92:M94 P92:AL94 AO76:CP78 A59:CP59 A56:M58 P56:AL58 A55:CP55 A52:M54 P52:AL54 AO92:CP94 A91:CP91 A88:M90 P88:AL90 A75:CP75 A72:M74 AO72:CP74 A87:CP87 A84:M86 P84:AL86 AO84:CP86 A39:CP39 A36:M38 AO36:CP38 P80:AL82 AO52:CP54 A43:CP43 A40:M42 AO40:CP42 P40:AL42 A27:CP27 A24:M26 P24:AL26 AO88:CP90 A63:CP63 A60:M62 AO60:CP62 A35:CP35 A32:M34 AO32:CP34 A47:CP47 A44:M46 P44:AL46 P64:AL66 P96:AL98 AO44:CP46 A19:CP19 A16:M18 P16:AL18 AO56:CP58 P36:AL38 A31:CP31 A28:M30 P28:AL30 P72:AL74 AO28:CP30 A23:CP23 A20:M22 P20:AL22 A15:CP15 A12:M14 P12:AL14 P60:AL62 P32:AL34 AO24:CP26 AO16:CP18 AO12:CP14 AO20:CP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7CF3-767E-7148-94B6-C5D6A422E417}">
  <dimension ref="A1:M58"/>
  <sheetViews>
    <sheetView workbookViewId="0">
      <selection activeCell="A2" sqref="A2:M58"/>
    </sheetView>
  </sheetViews>
  <sheetFormatPr baseColWidth="10" defaultRowHeight="16" x14ac:dyDescent="0.2"/>
  <cols>
    <col min="1" max="2" width="13.33203125" bestFit="1" customWidth="1"/>
    <col min="3" max="3" width="11.1640625" bestFit="1" customWidth="1"/>
    <col min="4" max="5" width="11.6640625" bestFit="1" customWidth="1"/>
    <col min="6" max="6" width="12.1640625" bestFit="1" customWidth="1"/>
    <col min="7" max="8" width="13.33203125" bestFit="1" customWidth="1"/>
    <col min="9" max="9" width="13" bestFit="1" customWidth="1"/>
    <col min="10" max="10" width="12.83203125" bestFit="1" customWidth="1"/>
    <col min="11" max="12" width="14" bestFit="1" customWidth="1"/>
    <col min="13" max="13" width="13.33203125" bestFit="1" customWidth="1"/>
  </cols>
  <sheetData>
    <row r="1" spans="1:13" x14ac:dyDescent="0.2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</row>
    <row r="2" spans="1:13" x14ac:dyDescent="0.2">
      <c r="A2" t="s">
        <v>240</v>
      </c>
      <c r="B2" t="s">
        <v>241</v>
      </c>
      <c r="D2" t="s">
        <v>116</v>
      </c>
      <c r="E2" t="s">
        <v>122</v>
      </c>
      <c r="F2" t="s">
        <v>141</v>
      </c>
      <c r="G2" t="s">
        <v>146</v>
      </c>
      <c r="H2" t="s">
        <v>152</v>
      </c>
      <c r="I2" t="s">
        <v>156</v>
      </c>
      <c r="J2" t="s">
        <v>164</v>
      </c>
      <c r="K2" t="s">
        <v>169</v>
      </c>
      <c r="L2" t="s">
        <v>171</v>
      </c>
      <c r="M2" t="s">
        <v>176</v>
      </c>
    </row>
    <row r="3" spans="1:13" x14ac:dyDescent="0.2">
      <c r="A3" t="s">
        <v>113</v>
      </c>
      <c r="C3" t="s">
        <v>117</v>
      </c>
      <c r="D3">
        <v>0.5</v>
      </c>
      <c r="E3">
        <v>0.2</v>
      </c>
      <c r="F3">
        <v>0.5</v>
      </c>
      <c r="G3">
        <v>0.4</v>
      </c>
      <c r="H3">
        <v>0.3</v>
      </c>
      <c r="I3">
        <v>0.3</v>
      </c>
      <c r="J3">
        <v>0.5</v>
      </c>
      <c r="K3">
        <v>0.4</v>
      </c>
      <c r="L3">
        <v>0.4</v>
      </c>
      <c r="M3">
        <v>0.4</v>
      </c>
    </row>
    <row r="4" spans="1:13" x14ac:dyDescent="0.2">
      <c r="C4" t="s">
        <v>119</v>
      </c>
      <c r="D4">
        <v>1</v>
      </c>
      <c r="E4">
        <v>0.4</v>
      </c>
      <c r="F4">
        <v>0.9</v>
      </c>
      <c r="G4">
        <v>0.7</v>
      </c>
      <c r="H4">
        <v>0.3</v>
      </c>
      <c r="I4">
        <v>0.3</v>
      </c>
      <c r="J4">
        <v>0.9</v>
      </c>
      <c r="K4">
        <v>0.4</v>
      </c>
      <c r="L4">
        <v>0.4</v>
      </c>
      <c r="M4">
        <v>0.4</v>
      </c>
    </row>
    <row r="5" spans="1:13" x14ac:dyDescent="0.2">
      <c r="C5" t="s">
        <v>120</v>
      </c>
      <c r="D5">
        <v>0.8</v>
      </c>
      <c r="E5">
        <v>0.3</v>
      </c>
      <c r="F5">
        <v>0.7</v>
      </c>
      <c r="G5">
        <v>0.3</v>
      </c>
      <c r="H5">
        <v>0.2</v>
      </c>
      <c r="I5">
        <v>0.2</v>
      </c>
      <c r="J5">
        <v>0.7</v>
      </c>
      <c r="K5">
        <v>0.3</v>
      </c>
      <c r="L5">
        <v>0.3</v>
      </c>
      <c r="M5">
        <v>0.3</v>
      </c>
    </row>
    <row r="6" spans="1:13" x14ac:dyDescent="0.2">
      <c r="C6" t="s">
        <v>121</v>
      </c>
      <c r="D6">
        <v>0.4</v>
      </c>
      <c r="E6">
        <v>0.1</v>
      </c>
      <c r="F6">
        <v>0.4</v>
      </c>
      <c r="G6">
        <v>0.2</v>
      </c>
      <c r="H6">
        <v>0.1</v>
      </c>
      <c r="I6">
        <v>0.1</v>
      </c>
      <c r="J6">
        <v>0.4</v>
      </c>
      <c r="K6">
        <v>0.1</v>
      </c>
      <c r="L6">
        <v>0.1</v>
      </c>
      <c r="M6">
        <v>0.1</v>
      </c>
    </row>
    <row r="7" spans="1:13" x14ac:dyDescent="0.2">
      <c r="A7" t="s">
        <v>178</v>
      </c>
      <c r="C7" t="s">
        <v>117</v>
      </c>
      <c r="D7">
        <v>0.99</v>
      </c>
      <c r="E7">
        <v>1.1000000000000001</v>
      </c>
      <c r="F7">
        <v>0.88</v>
      </c>
      <c r="G7">
        <v>0.55000000000000004</v>
      </c>
      <c r="H7">
        <v>0.55000000000000004</v>
      </c>
      <c r="I7">
        <v>0.55000000000000004</v>
      </c>
      <c r="J7">
        <v>0.88</v>
      </c>
      <c r="K7">
        <v>0.22</v>
      </c>
      <c r="L7">
        <v>0.22</v>
      </c>
      <c r="M7">
        <v>0.22</v>
      </c>
    </row>
    <row r="8" spans="1:13" x14ac:dyDescent="0.2">
      <c r="C8" t="s">
        <v>119</v>
      </c>
      <c r="D8">
        <v>0.77</v>
      </c>
      <c r="E8">
        <v>0</v>
      </c>
      <c r="F8">
        <v>0.66</v>
      </c>
      <c r="G8">
        <v>0.22</v>
      </c>
      <c r="H8">
        <v>0</v>
      </c>
      <c r="I8">
        <v>0</v>
      </c>
      <c r="J8">
        <v>0.66</v>
      </c>
      <c r="K8">
        <v>0</v>
      </c>
      <c r="L8">
        <v>0</v>
      </c>
      <c r="M8">
        <v>0</v>
      </c>
    </row>
    <row r="9" spans="1:13" x14ac:dyDescent="0.2">
      <c r="C9" t="s">
        <v>120</v>
      </c>
      <c r="D9">
        <v>0.9</v>
      </c>
      <c r="E9">
        <v>-1.1000000000000001</v>
      </c>
      <c r="F9">
        <v>0.7</v>
      </c>
      <c r="G9">
        <v>0.22</v>
      </c>
      <c r="H9">
        <v>-0.55000000000000004</v>
      </c>
      <c r="I9">
        <v>-0.55000000000000004</v>
      </c>
      <c r="J9">
        <v>0.8</v>
      </c>
      <c r="K9">
        <v>-0.22</v>
      </c>
      <c r="L9">
        <v>-0.22</v>
      </c>
      <c r="M9">
        <v>-0.22</v>
      </c>
    </row>
    <row r="10" spans="1:13" x14ac:dyDescent="0.2">
      <c r="C10" t="s">
        <v>121</v>
      </c>
      <c r="D10">
        <v>0.88</v>
      </c>
      <c r="E10">
        <v>0</v>
      </c>
      <c r="F10">
        <v>0.77</v>
      </c>
      <c r="G10">
        <v>0.55000000000000004</v>
      </c>
      <c r="H10">
        <v>0</v>
      </c>
      <c r="I10">
        <v>0</v>
      </c>
      <c r="J10">
        <v>0.82</v>
      </c>
      <c r="K10">
        <v>0</v>
      </c>
      <c r="L10">
        <v>0</v>
      </c>
      <c r="M10">
        <v>0</v>
      </c>
    </row>
    <row r="11" spans="1:13" x14ac:dyDescent="0.2">
      <c r="A11" t="s">
        <v>179</v>
      </c>
      <c r="C11" t="s">
        <v>117</v>
      </c>
      <c r="D11">
        <v>1</v>
      </c>
      <c r="E11">
        <v>0.5</v>
      </c>
      <c r="F11">
        <v>1</v>
      </c>
      <c r="G11">
        <v>1</v>
      </c>
      <c r="H11">
        <v>-0.44</v>
      </c>
      <c r="I11">
        <v>-0.44</v>
      </c>
      <c r="J11">
        <v>1</v>
      </c>
      <c r="K11">
        <v>0.5</v>
      </c>
      <c r="L11">
        <v>0.5</v>
      </c>
      <c r="M11">
        <v>0.5</v>
      </c>
    </row>
    <row r="12" spans="1:13" x14ac:dyDescent="0.2">
      <c r="C12" t="s">
        <v>119</v>
      </c>
      <c r="D12">
        <v>0.82</v>
      </c>
      <c r="E12">
        <v>0.55000000000000004</v>
      </c>
      <c r="F12">
        <v>0.71</v>
      </c>
      <c r="G12">
        <v>0.55000000000000004</v>
      </c>
      <c r="H12">
        <v>0.99</v>
      </c>
      <c r="I12">
        <v>0.99</v>
      </c>
      <c r="J12">
        <v>0.77</v>
      </c>
      <c r="K12">
        <v>0.5</v>
      </c>
      <c r="L12">
        <v>0.5</v>
      </c>
      <c r="M12">
        <v>0.5</v>
      </c>
    </row>
    <row r="13" spans="1:13" x14ac:dyDescent="0.2">
      <c r="C13" t="s">
        <v>120</v>
      </c>
      <c r="D13">
        <v>0.77</v>
      </c>
      <c r="E13">
        <v>0.5</v>
      </c>
      <c r="F13">
        <v>0.55000000000000004</v>
      </c>
      <c r="G13">
        <v>0.11</v>
      </c>
      <c r="H13">
        <v>-0.33</v>
      </c>
      <c r="I13">
        <v>-0.33</v>
      </c>
      <c r="J13">
        <v>0.6</v>
      </c>
      <c r="K13">
        <v>0.33</v>
      </c>
      <c r="L13">
        <v>0.33</v>
      </c>
      <c r="M13">
        <v>0.33</v>
      </c>
    </row>
    <row r="14" spans="1:13" x14ac:dyDescent="0.2">
      <c r="C14" t="s">
        <v>121</v>
      </c>
      <c r="D14">
        <v>0.11</v>
      </c>
      <c r="E14">
        <v>-0.27</v>
      </c>
      <c r="F14">
        <v>0.11</v>
      </c>
      <c r="G14">
        <v>0.22</v>
      </c>
      <c r="H14">
        <v>-0.44</v>
      </c>
      <c r="I14">
        <v>-0.44</v>
      </c>
      <c r="J14">
        <v>0.16</v>
      </c>
      <c r="K14">
        <v>-0.22</v>
      </c>
      <c r="L14">
        <v>-0.22</v>
      </c>
      <c r="M14">
        <v>-0.22</v>
      </c>
    </row>
    <row r="15" spans="1:13" x14ac:dyDescent="0.2">
      <c r="A15" t="s">
        <v>180</v>
      </c>
      <c r="C15" t="s">
        <v>117</v>
      </c>
      <c r="D15">
        <v>1.1000000000000001</v>
      </c>
      <c r="E15">
        <v>1.1000000000000001</v>
      </c>
      <c r="F15">
        <v>1.1000000000000001</v>
      </c>
      <c r="G15">
        <v>0.99</v>
      </c>
      <c r="H15">
        <v>0.99</v>
      </c>
      <c r="I15">
        <v>0.99</v>
      </c>
      <c r="J15">
        <v>1.1000000000000001</v>
      </c>
      <c r="K15">
        <v>0.77</v>
      </c>
      <c r="L15">
        <v>0.77</v>
      </c>
      <c r="M15">
        <v>0.77</v>
      </c>
    </row>
    <row r="16" spans="1:13" x14ac:dyDescent="0.2">
      <c r="C16" t="s">
        <v>119</v>
      </c>
      <c r="D16">
        <v>0.33</v>
      </c>
      <c r="E16">
        <v>0.33</v>
      </c>
      <c r="F16">
        <v>0.22</v>
      </c>
      <c r="G16">
        <v>0.33</v>
      </c>
      <c r="H16">
        <v>-0.1</v>
      </c>
      <c r="I16">
        <v>-0.1</v>
      </c>
      <c r="J16">
        <v>0.33</v>
      </c>
      <c r="K16">
        <v>0.11</v>
      </c>
      <c r="L16">
        <v>0.11</v>
      </c>
      <c r="M16">
        <v>0.11</v>
      </c>
    </row>
    <row r="17" spans="1:13" x14ac:dyDescent="0.2">
      <c r="C17" t="s">
        <v>120</v>
      </c>
      <c r="D17">
        <v>0.5</v>
      </c>
      <c r="E17">
        <v>0.2</v>
      </c>
      <c r="F17">
        <v>0.55000000000000004</v>
      </c>
      <c r="G17">
        <v>0.44</v>
      </c>
      <c r="H17">
        <v>0.2</v>
      </c>
      <c r="I17">
        <v>0.2</v>
      </c>
      <c r="J17">
        <v>0.55000000000000004</v>
      </c>
      <c r="K17">
        <v>0.2</v>
      </c>
      <c r="L17">
        <v>0.2</v>
      </c>
      <c r="M17">
        <v>0.2</v>
      </c>
    </row>
    <row r="18" spans="1:13" x14ac:dyDescent="0.2">
      <c r="C18" t="s">
        <v>121</v>
      </c>
      <c r="D18">
        <v>0.55000000000000004</v>
      </c>
      <c r="E18">
        <v>0.22</v>
      </c>
      <c r="F18">
        <v>0.49</v>
      </c>
      <c r="G18">
        <v>0.22</v>
      </c>
      <c r="H18">
        <v>0.22</v>
      </c>
      <c r="I18">
        <v>0.22</v>
      </c>
      <c r="J18">
        <v>0.49</v>
      </c>
      <c r="K18">
        <v>0.33</v>
      </c>
      <c r="L18">
        <v>0.33</v>
      </c>
      <c r="M18">
        <v>0.33</v>
      </c>
    </row>
    <row r="19" spans="1:13" x14ac:dyDescent="0.2">
      <c r="A19" t="s">
        <v>148</v>
      </c>
      <c r="B19" t="s">
        <v>136</v>
      </c>
      <c r="C19" t="s">
        <v>117</v>
      </c>
      <c r="D19">
        <v>1.64</v>
      </c>
      <c r="E19">
        <v>1.1000000000000001</v>
      </c>
      <c r="F19">
        <v>1.21</v>
      </c>
      <c r="G19">
        <v>0.99</v>
      </c>
      <c r="H19">
        <v>0.66</v>
      </c>
      <c r="I19">
        <v>0.66</v>
      </c>
      <c r="J19">
        <v>1.42</v>
      </c>
      <c r="K19">
        <v>1.1000000000000001</v>
      </c>
      <c r="L19">
        <v>1.1000000000000001</v>
      </c>
      <c r="M19">
        <v>1.1000000000000001</v>
      </c>
    </row>
    <row r="20" spans="1:13" x14ac:dyDescent="0.2">
      <c r="C20" t="s">
        <v>119</v>
      </c>
      <c r="D20">
        <v>0.44</v>
      </c>
      <c r="E20">
        <v>-0.22</v>
      </c>
      <c r="F20">
        <v>0.44</v>
      </c>
      <c r="G20">
        <v>0.33</v>
      </c>
      <c r="H20">
        <v>-0.22</v>
      </c>
      <c r="I20">
        <v>-0.22</v>
      </c>
      <c r="J20">
        <v>0.44</v>
      </c>
      <c r="K20">
        <v>-0.11</v>
      </c>
      <c r="L20">
        <v>-0.11</v>
      </c>
      <c r="M20">
        <v>-0.11</v>
      </c>
    </row>
    <row r="21" spans="1:13" x14ac:dyDescent="0.2">
      <c r="C21" t="s">
        <v>120</v>
      </c>
      <c r="D21">
        <v>0.6</v>
      </c>
      <c r="E21">
        <v>0</v>
      </c>
      <c r="F21">
        <v>0.6</v>
      </c>
      <c r="G21">
        <v>0.22</v>
      </c>
      <c r="H21">
        <v>-0.55000000000000004</v>
      </c>
      <c r="I21">
        <v>-0.55000000000000004</v>
      </c>
      <c r="J21">
        <v>0.6</v>
      </c>
      <c r="K21">
        <v>0</v>
      </c>
      <c r="L21">
        <v>0</v>
      </c>
      <c r="M21">
        <v>0</v>
      </c>
    </row>
    <row r="22" spans="1:13" x14ac:dyDescent="0.2">
      <c r="C22" t="s">
        <v>121</v>
      </c>
      <c r="D22">
        <v>0.99</v>
      </c>
      <c r="E22">
        <v>0.22</v>
      </c>
      <c r="F22">
        <v>0.77</v>
      </c>
      <c r="G22">
        <v>0.11</v>
      </c>
      <c r="H22">
        <v>0.11</v>
      </c>
      <c r="I22">
        <v>0.11</v>
      </c>
      <c r="J22">
        <v>0.77</v>
      </c>
      <c r="K22">
        <v>0.44</v>
      </c>
      <c r="L22">
        <v>0.44</v>
      </c>
      <c r="M22">
        <v>0.44</v>
      </c>
    </row>
    <row r="23" spans="1:13" x14ac:dyDescent="0.2">
      <c r="A23" t="s">
        <v>148</v>
      </c>
      <c r="B23" t="s">
        <v>137</v>
      </c>
      <c r="C23" t="s">
        <v>117</v>
      </c>
      <c r="D23">
        <v>0.7</v>
      </c>
      <c r="E23">
        <v>-0.55000000000000004</v>
      </c>
      <c r="F23">
        <v>0.7</v>
      </c>
      <c r="G23">
        <v>0.22</v>
      </c>
      <c r="H23">
        <v>-0.22</v>
      </c>
      <c r="I23">
        <v>-0.22</v>
      </c>
      <c r="J23">
        <v>0.7</v>
      </c>
      <c r="K23">
        <v>-0.22</v>
      </c>
      <c r="L23">
        <v>-0.22</v>
      </c>
      <c r="M23">
        <v>-0.22</v>
      </c>
    </row>
    <row r="24" spans="1:13" x14ac:dyDescent="0.2">
      <c r="C24" t="s">
        <v>119</v>
      </c>
      <c r="D24">
        <v>0.77</v>
      </c>
      <c r="E24">
        <v>0.55000000000000004</v>
      </c>
      <c r="F24">
        <v>0.77</v>
      </c>
      <c r="G24">
        <v>0.66</v>
      </c>
      <c r="H24">
        <v>0.55000000000000004</v>
      </c>
      <c r="I24">
        <v>0.55000000000000004</v>
      </c>
      <c r="J24">
        <v>0.77</v>
      </c>
      <c r="K24">
        <v>0.33</v>
      </c>
      <c r="L24">
        <v>0.33</v>
      </c>
      <c r="M24">
        <v>0.33</v>
      </c>
    </row>
    <row r="25" spans="1:13" x14ac:dyDescent="0.2">
      <c r="C25" t="s">
        <v>120</v>
      </c>
      <c r="D25">
        <v>0.88</v>
      </c>
      <c r="E25">
        <v>0.55000000000000004</v>
      </c>
      <c r="F25">
        <v>0.88</v>
      </c>
      <c r="G25">
        <v>0.22</v>
      </c>
      <c r="H25">
        <v>0.22</v>
      </c>
      <c r="I25">
        <v>0.22</v>
      </c>
      <c r="J25">
        <v>0.88</v>
      </c>
      <c r="K25">
        <v>0.22</v>
      </c>
      <c r="L25">
        <v>0.22</v>
      </c>
      <c r="M25">
        <v>0.22</v>
      </c>
    </row>
    <row r="26" spans="1:13" x14ac:dyDescent="0.2">
      <c r="C26" t="s">
        <v>121</v>
      </c>
      <c r="D26">
        <v>0.22</v>
      </c>
      <c r="E26">
        <v>-0.55000000000000004</v>
      </c>
      <c r="F26">
        <v>0.22</v>
      </c>
      <c r="G26">
        <v>0.11</v>
      </c>
      <c r="H26">
        <v>-0.22</v>
      </c>
      <c r="I26">
        <v>-0.22</v>
      </c>
      <c r="J26">
        <v>0.22</v>
      </c>
      <c r="K26">
        <v>-0.33</v>
      </c>
      <c r="L26">
        <v>-0.33</v>
      </c>
      <c r="M26">
        <v>-0.33</v>
      </c>
    </row>
    <row r="27" spans="1:13" x14ac:dyDescent="0.2">
      <c r="A27" t="s">
        <v>148</v>
      </c>
      <c r="B27" t="s">
        <v>138</v>
      </c>
      <c r="C27" t="s">
        <v>117</v>
      </c>
      <c r="D27">
        <v>0.22</v>
      </c>
      <c r="E27">
        <v>-0.55000000000000004</v>
      </c>
      <c r="F27">
        <v>0.33</v>
      </c>
      <c r="G27">
        <v>0.22</v>
      </c>
      <c r="H27">
        <v>-0.33</v>
      </c>
      <c r="I27">
        <v>-0.33</v>
      </c>
      <c r="J27">
        <v>0.22</v>
      </c>
      <c r="K27">
        <v>-0.55000000000000004</v>
      </c>
      <c r="L27">
        <v>-0.55000000000000004</v>
      </c>
      <c r="M27">
        <v>-0.55000000000000004</v>
      </c>
    </row>
    <row r="28" spans="1:13" x14ac:dyDescent="0.2">
      <c r="C28" t="s">
        <v>119</v>
      </c>
      <c r="D28">
        <v>0.8</v>
      </c>
      <c r="E28">
        <v>0.55000000000000004</v>
      </c>
      <c r="F28">
        <v>0.7</v>
      </c>
      <c r="G28">
        <v>0.44</v>
      </c>
      <c r="H28">
        <v>0.66</v>
      </c>
      <c r="I28">
        <v>0.66</v>
      </c>
      <c r="J28">
        <v>0.8</v>
      </c>
      <c r="K28">
        <v>0.55000000000000004</v>
      </c>
      <c r="L28">
        <v>0.55000000000000004</v>
      </c>
      <c r="M28">
        <v>0.55000000000000004</v>
      </c>
    </row>
    <row r="29" spans="1:13" x14ac:dyDescent="0.2">
      <c r="C29" t="s">
        <v>120</v>
      </c>
      <c r="D29">
        <v>0.66</v>
      </c>
      <c r="E29">
        <v>0.55000000000000004</v>
      </c>
      <c r="F29">
        <v>0.55000000000000004</v>
      </c>
      <c r="G29">
        <v>0.55000000000000004</v>
      </c>
      <c r="H29">
        <v>0.11</v>
      </c>
      <c r="I29">
        <v>0.11</v>
      </c>
      <c r="J29">
        <v>0.66</v>
      </c>
      <c r="K29">
        <v>0.55000000000000004</v>
      </c>
      <c r="L29">
        <v>0.55000000000000004</v>
      </c>
      <c r="M29">
        <v>0.55000000000000004</v>
      </c>
    </row>
    <row r="30" spans="1:13" x14ac:dyDescent="0.2">
      <c r="C30" t="s">
        <v>121</v>
      </c>
      <c r="D30">
        <v>0.33</v>
      </c>
      <c r="E30">
        <v>-0.55000000000000004</v>
      </c>
      <c r="F30">
        <v>0.11</v>
      </c>
      <c r="G30">
        <v>0.11</v>
      </c>
      <c r="H30">
        <v>-0.44</v>
      </c>
      <c r="I30">
        <v>-0.44</v>
      </c>
      <c r="J30">
        <v>0.33</v>
      </c>
      <c r="K30">
        <v>-0.55000000000000004</v>
      </c>
      <c r="L30">
        <v>-0.55000000000000004</v>
      </c>
      <c r="M30">
        <v>-0.55000000000000004</v>
      </c>
    </row>
    <row r="31" spans="1:13" x14ac:dyDescent="0.2">
      <c r="A31" t="s">
        <v>131</v>
      </c>
      <c r="B31" t="s">
        <v>160</v>
      </c>
      <c r="C31" t="s">
        <v>117</v>
      </c>
      <c r="D31">
        <v>0.22</v>
      </c>
      <c r="E31">
        <v>-0.23</v>
      </c>
      <c r="F31">
        <v>0.25</v>
      </c>
      <c r="G31">
        <v>0.17</v>
      </c>
      <c r="H31">
        <v>0.18</v>
      </c>
      <c r="I31">
        <v>-0.28000000000000003</v>
      </c>
      <c r="J31">
        <v>0.32</v>
      </c>
      <c r="K31">
        <v>0.24</v>
      </c>
      <c r="L31">
        <v>0.25</v>
      </c>
      <c r="M31">
        <v>-0.05</v>
      </c>
    </row>
    <row r="32" spans="1:13" x14ac:dyDescent="0.2">
      <c r="C32" t="s">
        <v>119</v>
      </c>
      <c r="D32">
        <v>0.66</v>
      </c>
      <c r="E32">
        <v>0.2</v>
      </c>
      <c r="F32">
        <v>0.62</v>
      </c>
      <c r="G32">
        <v>0.54</v>
      </c>
      <c r="H32">
        <v>0.38</v>
      </c>
      <c r="I32">
        <v>0.27</v>
      </c>
      <c r="J32">
        <v>0.75</v>
      </c>
      <c r="K32">
        <v>0.64</v>
      </c>
      <c r="L32">
        <v>0.55000000000000004</v>
      </c>
      <c r="M32">
        <v>0.48</v>
      </c>
    </row>
    <row r="33" spans="1:13" x14ac:dyDescent="0.2">
      <c r="C33" t="s">
        <v>120</v>
      </c>
      <c r="D33">
        <v>0.49</v>
      </c>
      <c r="E33">
        <v>0.13</v>
      </c>
      <c r="F33">
        <v>0.54</v>
      </c>
      <c r="G33">
        <v>0.45</v>
      </c>
      <c r="H33">
        <v>0.35</v>
      </c>
      <c r="I33">
        <v>0.15</v>
      </c>
      <c r="J33">
        <v>0.63</v>
      </c>
      <c r="K33">
        <v>0.54</v>
      </c>
      <c r="L33">
        <v>0.42</v>
      </c>
      <c r="M33">
        <v>0.26</v>
      </c>
    </row>
    <row r="34" spans="1:13" x14ac:dyDescent="0.2">
      <c r="C34" t="s">
        <v>121</v>
      </c>
      <c r="D34">
        <v>0.27</v>
      </c>
      <c r="E34">
        <v>-0.8</v>
      </c>
      <c r="F34">
        <v>0.22</v>
      </c>
      <c r="G34">
        <v>0.09</v>
      </c>
      <c r="H34">
        <v>0.12</v>
      </c>
      <c r="I34">
        <v>0.02</v>
      </c>
      <c r="J34">
        <v>0.25</v>
      </c>
      <c r="K34">
        <v>0.18</v>
      </c>
      <c r="L34">
        <v>0.12</v>
      </c>
      <c r="M34">
        <v>0.03</v>
      </c>
    </row>
    <row r="35" spans="1:13" x14ac:dyDescent="0.2">
      <c r="A35" t="s">
        <v>131</v>
      </c>
      <c r="B35" t="s">
        <v>162</v>
      </c>
      <c r="C35" t="s">
        <v>117</v>
      </c>
      <c r="D35">
        <v>0.22</v>
      </c>
      <c r="E35">
        <v>-0.44</v>
      </c>
      <c r="F35">
        <v>0.2</v>
      </c>
      <c r="G35">
        <v>0.21</v>
      </c>
      <c r="H35">
        <v>0.18</v>
      </c>
      <c r="I35">
        <v>0.01</v>
      </c>
      <c r="J35">
        <v>0.12</v>
      </c>
      <c r="K35">
        <v>0.09</v>
      </c>
      <c r="L35" t="s">
        <v>181</v>
      </c>
      <c r="M35" t="s">
        <v>181</v>
      </c>
    </row>
    <row r="36" spans="1:13" x14ac:dyDescent="0.2">
      <c r="C36" t="s">
        <v>119</v>
      </c>
      <c r="D36">
        <v>0.66</v>
      </c>
      <c r="E36">
        <v>0.22</v>
      </c>
      <c r="F36">
        <v>0.68</v>
      </c>
      <c r="G36">
        <v>0.22</v>
      </c>
      <c r="H36">
        <v>0.24</v>
      </c>
      <c r="I36">
        <v>0.25</v>
      </c>
      <c r="J36">
        <v>0.64</v>
      </c>
      <c r="K36">
        <v>0.37</v>
      </c>
      <c r="L36" t="s">
        <v>181</v>
      </c>
      <c r="M36" t="s">
        <v>181</v>
      </c>
    </row>
    <row r="37" spans="1:13" x14ac:dyDescent="0.2">
      <c r="C37" t="s">
        <v>120</v>
      </c>
      <c r="D37">
        <v>0.49</v>
      </c>
      <c r="E37">
        <v>0.05</v>
      </c>
      <c r="F37">
        <v>0.64</v>
      </c>
      <c r="G37">
        <v>0.25</v>
      </c>
      <c r="H37">
        <v>0.28999999999999998</v>
      </c>
      <c r="I37">
        <v>0.12</v>
      </c>
      <c r="J37">
        <v>0.56999999999999995</v>
      </c>
      <c r="K37">
        <v>0.49</v>
      </c>
      <c r="L37" t="s">
        <v>181</v>
      </c>
      <c r="M37" t="s">
        <v>181</v>
      </c>
    </row>
    <row r="38" spans="1:13" x14ac:dyDescent="0.2">
      <c r="C38" t="s">
        <v>121</v>
      </c>
      <c r="D38">
        <v>0.27</v>
      </c>
      <c r="E38">
        <v>-0.27</v>
      </c>
      <c r="F38">
        <v>0.31</v>
      </c>
      <c r="G38">
        <v>0.28999999999999998</v>
      </c>
      <c r="H38">
        <v>0.19</v>
      </c>
      <c r="I38">
        <v>0.04</v>
      </c>
      <c r="J38">
        <v>0.26</v>
      </c>
      <c r="K38">
        <v>0.28000000000000003</v>
      </c>
      <c r="L38" t="s">
        <v>181</v>
      </c>
      <c r="M38" t="s">
        <v>181</v>
      </c>
    </row>
    <row r="39" spans="1:13" x14ac:dyDescent="0.2">
      <c r="A39" t="s">
        <v>131</v>
      </c>
      <c r="B39" t="s">
        <v>163</v>
      </c>
      <c r="C39" t="s">
        <v>117</v>
      </c>
      <c r="D39">
        <v>0.22</v>
      </c>
      <c r="E39">
        <v>-0.44</v>
      </c>
      <c r="F39">
        <v>0</v>
      </c>
      <c r="G39">
        <v>0.15</v>
      </c>
      <c r="H39">
        <v>0.08</v>
      </c>
      <c r="I39">
        <v>0.17</v>
      </c>
      <c r="J39">
        <v>0.06</v>
      </c>
      <c r="K39">
        <v>0.02</v>
      </c>
      <c r="L39">
        <v>-0.14000000000000001</v>
      </c>
      <c r="M39" t="s">
        <v>181</v>
      </c>
    </row>
    <row r="40" spans="1:13" x14ac:dyDescent="0.2">
      <c r="C40" t="s">
        <v>119</v>
      </c>
      <c r="D40">
        <v>0.66</v>
      </c>
      <c r="E40">
        <v>0.22</v>
      </c>
      <c r="F40">
        <v>0.79</v>
      </c>
      <c r="G40">
        <v>0.4</v>
      </c>
      <c r="H40">
        <v>0.38</v>
      </c>
      <c r="I40">
        <v>0.27</v>
      </c>
      <c r="J40">
        <v>0.8</v>
      </c>
      <c r="K40">
        <v>0.16</v>
      </c>
      <c r="L40">
        <v>0.3</v>
      </c>
      <c r="M40" t="s">
        <v>181</v>
      </c>
    </row>
    <row r="41" spans="1:13" x14ac:dyDescent="0.2">
      <c r="C41" t="s">
        <v>120</v>
      </c>
      <c r="D41">
        <v>0.49</v>
      </c>
      <c r="E41">
        <v>0.05</v>
      </c>
      <c r="F41">
        <v>0.55000000000000004</v>
      </c>
      <c r="G41">
        <v>0.38</v>
      </c>
      <c r="H41">
        <v>0.36</v>
      </c>
      <c r="I41">
        <v>0.06</v>
      </c>
      <c r="J41">
        <v>0.57999999999999996</v>
      </c>
      <c r="K41">
        <v>0.23</v>
      </c>
      <c r="L41">
        <v>0.4</v>
      </c>
      <c r="M41" t="s">
        <v>181</v>
      </c>
    </row>
    <row r="42" spans="1:13" x14ac:dyDescent="0.2">
      <c r="C42" t="s">
        <v>121</v>
      </c>
      <c r="D42">
        <v>0.27</v>
      </c>
      <c r="E42">
        <v>-0.27</v>
      </c>
      <c r="F42">
        <v>0.02</v>
      </c>
      <c r="G42">
        <v>0.09</v>
      </c>
      <c r="H42">
        <v>0.16</v>
      </c>
      <c r="I42">
        <v>-0.04</v>
      </c>
      <c r="J42">
        <v>0.21</v>
      </c>
      <c r="K42">
        <v>0.03</v>
      </c>
      <c r="L42">
        <v>0.11</v>
      </c>
      <c r="M42" t="s">
        <v>181</v>
      </c>
    </row>
    <row r="43" spans="1:13" x14ac:dyDescent="0.2">
      <c r="A43" t="s">
        <v>182</v>
      </c>
      <c r="B43" t="s">
        <v>166</v>
      </c>
      <c r="C43" t="s">
        <v>117</v>
      </c>
      <c r="D43">
        <v>0.27</v>
      </c>
      <c r="E43">
        <v>-0.19</v>
      </c>
      <c r="F43">
        <v>0.38</v>
      </c>
      <c r="G43">
        <v>0.25</v>
      </c>
      <c r="H43">
        <v>7.0000000000000007E-2</v>
      </c>
      <c r="I43">
        <v>0.05</v>
      </c>
      <c r="J43">
        <v>0.52</v>
      </c>
      <c r="K43">
        <v>0.55000000000000004</v>
      </c>
      <c r="L43">
        <v>0.19</v>
      </c>
      <c r="M43">
        <v>0.6</v>
      </c>
    </row>
    <row r="44" spans="1:13" x14ac:dyDescent="0.2">
      <c r="C44" t="s">
        <v>119</v>
      </c>
      <c r="D44">
        <v>0.16</v>
      </c>
      <c r="E44">
        <v>0.16</v>
      </c>
      <c r="F44">
        <v>0.8</v>
      </c>
      <c r="G44">
        <v>0.56999999999999995</v>
      </c>
      <c r="H44">
        <v>0.76</v>
      </c>
      <c r="I44">
        <v>0.49</v>
      </c>
      <c r="J44">
        <v>0.84</v>
      </c>
      <c r="K44">
        <v>0.51</v>
      </c>
      <c r="L44">
        <v>0.36</v>
      </c>
      <c r="M44">
        <v>0.17</v>
      </c>
    </row>
    <row r="45" spans="1:13" x14ac:dyDescent="0.2">
      <c r="C45" t="s">
        <v>120</v>
      </c>
      <c r="D45">
        <v>0.45</v>
      </c>
      <c r="E45">
        <v>0.1</v>
      </c>
      <c r="F45">
        <v>0.49</v>
      </c>
      <c r="G45">
        <v>0.41</v>
      </c>
      <c r="H45">
        <v>0.4</v>
      </c>
      <c r="I45">
        <v>0.17</v>
      </c>
      <c r="J45">
        <v>0.54</v>
      </c>
      <c r="K45">
        <v>0.64</v>
      </c>
      <c r="L45">
        <v>-0.05</v>
      </c>
      <c r="M45">
        <v>0.32</v>
      </c>
    </row>
    <row r="46" spans="1:13" x14ac:dyDescent="0.2">
      <c r="C46" t="s">
        <v>121</v>
      </c>
      <c r="D46">
        <v>0.51</v>
      </c>
      <c r="E46">
        <v>-7.0000000000000007E-2</v>
      </c>
      <c r="F46">
        <v>0.13</v>
      </c>
      <c r="G46">
        <v>-0.09</v>
      </c>
      <c r="H46">
        <v>-0.13</v>
      </c>
      <c r="I46">
        <v>7.0000000000000007E-2</v>
      </c>
      <c r="J46">
        <v>0.25</v>
      </c>
      <c r="K46">
        <v>0.71</v>
      </c>
      <c r="L46">
        <v>0.17</v>
      </c>
      <c r="M46">
        <v>0.43</v>
      </c>
    </row>
    <row r="47" spans="1:13" x14ac:dyDescent="0.2">
      <c r="A47" t="s">
        <v>182</v>
      </c>
      <c r="B47" t="s">
        <v>167</v>
      </c>
      <c r="C47" t="s">
        <v>117</v>
      </c>
      <c r="D47">
        <v>-0.12</v>
      </c>
      <c r="E47">
        <v>-0.19</v>
      </c>
      <c r="F47">
        <v>0.41</v>
      </c>
      <c r="G47">
        <v>0.09</v>
      </c>
      <c r="H47">
        <v>0.41</v>
      </c>
      <c r="I47">
        <v>-0.19</v>
      </c>
      <c r="J47">
        <v>7.0000000000000007E-2</v>
      </c>
      <c r="K47">
        <v>1.07</v>
      </c>
      <c r="L47">
        <v>-0.08</v>
      </c>
      <c r="M47">
        <v>0</v>
      </c>
    </row>
    <row r="48" spans="1:13" x14ac:dyDescent="0.2">
      <c r="C48" t="s">
        <v>119</v>
      </c>
      <c r="D48">
        <v>0.65</v>
      </c>
      <c r="E48">
        <v>0.19</v>
      </c>
      <c r="F48">
        <v>0.65</v>
      </c>
      <c r="G48">
        <v>0.51</v>
      </c>
      <c r="H48">
        <v>0.18</v>
      </c>
      <c r="I48">
        <v>0.63</v>
      </c>
      <c r="J48">
        <v>1.3</v>
      </c>
      <c r="K48">
        <v>0.48</v>
      </c>
      <c r="L48">
        <v>1.1200000000000001</v>
      </c>
      <c r="M48">
        <v>0.38</v>
      </c>
    </row>
    <row r="49" spans="1:13" x14ac:dyDescent="0.2">
      <c r="C49" t="s">
        <v>120</v>
      </c>
      <c r="D49">
        <v>0.7</v>
      </c>
      <c r="E49">
        <v>0.13</v>
      </c>
      <c r="F49">
        <v>0.52</v>
      </c>
      <c r="G49">
        <v>0.34</v>
      </c>
      <c r="H49">
        <v>0.02</v>
      </c>
      <c r="I49">
        <v>0.04</v>
      </c>
      <c r="J49">
        <v>0.77</v>
      </c>
      <c r="K49">
        <v>0.42</v>
      </c>
      <c r="L49">
        <v>0.12</v>
      </c>
      <c r="M49">
        <v>0.74</v>
      </c>
    </row>
    <row r="50" spans="1:13" x14ac:dyDescent="0.2">
      <c r="C50" t="s">
        <v>121</v>
      </c>
      <c r="D50">
        <v>0.32</v>
      </c>
      <c r="E50">
        <v>-0.06</v>
      </c>
      <c r="F50">
        <v>0.25</v>
      </c>
      <c r="G50">
        <v>0.19</v>
      </c>
      <c r="H50">
        <v>-0.1</v>
      </c>
      <c r="I50">
        <v>-0.02</v>
      </c>
      <c r="J50">
        <v>0.02</v>
      </c>
      <c r="K50">
        <v>0.23</v>
      </c>
      <c r="L50">
        <v>-0.13</v>
      </c>
      <c r="M50">
        <v>0</v>
      </c>
    </row>
    <row r="51" spans="1:13" x14ac:dyDescent="0.2">
      <c r="A51" t="s">
        <v>182</v>
      </c>
      <c r="B51" t="s">
        <v>168</v>
      </c>
      <c r="C51" t="s">
        <v>117</v>
      </c>
      <c r="D51">
        <v>0.62</v>
      </c>
      <c r="E51">
        <v>-0.19</v>
      </c>
      <c r="F51">
        <v>0.37</v>
      </c>
      <c r="G51">
        <v>0.41</v>
      </c>
      <c r="H51">
        <v>0.06</v>
      </c>
      <c r="I51">
        <v>-0.02</v>
      </c>
      <c r="J51">
        <v>0.47</v>
      </c>
      <c r="K51">
        <v>0.44</v>
      </c>
      <c r="L51">
        <v>0.3</v>
      </c>
      <c r="M51">
        <v>0.13</v>
      </c>
    </row>
    <row r="52" spans="1:13" x14ac:dyDescent="0.2">
      <c r="C52" t="s">
        <v>119</v>
      </c>
      <c r="D52">
        <v>0.05</v>
      </c>
      <c r="E52">
        <v>0.19</v>
      </c>
      <c r="F52">
        <v>0.31</v>
      </c>
      <c r="G52">
        <v>0.54</v>
      </c>
      <c r="H52">
        <v>0.53</v>
      </c>
      <c r="I52">
        <v>0.15</v>
      </c>
      <c r="J52">
        <v>0.28000000000000003</v>
      </c>
      <c r="K52">
        <v>0.56999999999999995</v>
      </c>
      <c r="L52">
        <v>0.42</v>
      </c>
      <c r="M52">
        <v>0.4</v>
      </c>
    </row>
    <row r="53" spans="1:13" x14ac:dyDescent="0.2">
      <c r="C53" t="s">
        <v>120</v>
      </c>
      <c r="D53">
        <v>0.33</v>
      </c>
      <c r="E53">
        <v>0.13</v>
      </c>
      <c r="F53">
        <v>0.39</v>
      </c>
      <c r="G53">
        <v>0.36</v>
      </c>
      <c r="H53">
        <v>0.26</v>
      </c>
      <c r="I53">
        <v>0.11</v>
      </c>
      <c r="J53">
        <v>0.4</v>
      </c>
      <c r="K53">
        <v>0.44</v>
      </c>
      <c r="L53">
        <v>0.37</v>
      </c>
      <c r="M53">
        <v>-0.01</v>
      </c>
    </row>
    <row r="54" spans="1:13" x14ac:dyDescent="0.2">
      <c r="C54" t="s">
        <v>121</v>
      </c>
      <c r="D54">
        <v>0.61</v>
      </c>
      <c r="E54">
        <v>-0.06</v>
      </c>
      <c r="F54">
        <v>0.21</v>
      </c>
      <c r="G54">
        <v>0.18</v>
      </c>
      <c r="H54">
        <v>0.12</v>
      </c>
      <c r="I54">
        <v>0.06</v>
      </c>
      <c r="J54">
        <v>0.28999999999999998</v>
      </c>
      <c r="K54">
        <v>0.41</v>
      </c>
      <c r="L54">
        <v>0.41</v>
      </c>
      <c r="M54">
        <v>-0.15</v>
      </c>
    </row>
    <row r="55" spans="1:13" x14ac:dyDescent="0.2">
      <c r="A55" t="s">
        <v>182</v>
      </c>
      <c r="B55" t="s">
        <v>170</v>
      </c>
      <c r="C55" t="s">
        <v>117</v>
      </c>
      <c r="D55">
        <v>-0.2</v>
      </c>
      <c r="E55">
        <v>0.02</v>
      </c>
      <c r="F55">
        <v>0.24</v>
      </c>
      <c r="G55">
        <v>0.3</v>
      </c>
      <c r="H55">
        <v>0.23</v>
      </c>
      <c r="I55">
        <v>-0.05</v>
      </c>
      <c r="J55">
        <v>0.34</v>
      </c>
      <c r="K55">
        <v>0.3</v>
      </c>
      <c r="L55">
        <v>0.56999999999999995</v>
      </c>
      <c r="M55">
        <v>0.52</v>
      </c>
    </row>
    <row r="56" spans="1:13" x14ac:dyDescent="0.2">
      <c r="C56" t="s">
        <v>119</v>
      </c>
      <c r="D56">
        <v>0.62</v>
      </c>
      <c r="E56">
        <v>0.21</v>
      </c>
      <c r="F56">
        <v>0.25</v>
      </c>
      <c r="G56">
        <v>0.32</v>
      </c>
      <c r="H56">
        <v>0.47</v>
      </c>
      <c r="I56">
        <v>0.31</v>
      </c>
      <c r="J56">
        <v>0.14000000000000001</v>
      </c>
      <c r="K56">
        <v>0.4</v>
      </c>
      <c r="L56">
        <v>0.26</v>
      </c>
      <c r="M56">
        <v>0.43</v>
      </c>
    </row>
    <row r="57" spans="1:13" x14ac:dyDescent="0.2">
      <c r="C57" t="s">
        <v>120</v>
      </c>
      <c r="D57">
        <v>0.4</v>
      </c>
      <c r="E57">
        <v>0.13</v>
      </c>
      <c r="F57">
        <v>0.12</v>
      </c>
      <c r="G57">
        <v>0.27</v>
      </c>
      <c r="H57">
        <v>0.3</v>
      </c>
      <c r="I57">
        <v>0.08</v>
      </c>
      <c r="J57">
        <v>0.13</v>
      </c>
      <c r="K57">
        <v>0.24</v>
      </c>
      <c r="L57">
        <v>0.15</v>
      </c>
      <c r="M57">
        <v>0.21</v>
      </c>
    </row>
    <row r="58" spans="1:13" x14ac:dyDescent="0.2">
      <c r="C58" t="s">
        <v>121</v>
      </c>
      <c r="D58">
        <v>0.08</v>
      </c>
      <c r="E58">
        <v>0.04</v>
      </c>
      <c r="F58">
        <v>0.06</v>
      </c>
      <c r="G58">
        <v>0.18</v>
      </c>
      <c r="H58">
        <v>0.11</v>
      </c>
      <c r="I58">
        <v>-7.0000000000000007E-2</v>
      </c>
      <c r="J58">
        <v>0.13</v>
      </c>
      <c r="K58">
        <v>0.16</v>
      </c>
      <c r="L58">
        <v>0.4</v>
      </c>
      <c r="M58">
        <v>0.33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EC9C-1551-6A49-9F72-D1F1F3391F3B}">
  <dimension ref="A1"/>
  <sheetViews>
    <sheetView workbookViewId="0">
      <selection sqref="A1:Q41"/>
    </sheetView>
  </sheetViews>
  <sheetFormatPr baseColWidth="10" defaultRowHeight="16" x14ac:dyDescent="0.2"/>
  <cols>
    <col min="1" max="1" width="9.6640625" bestFit="1" customWidth="1"/>
    <col min="2" max="2" width="14" bestFit="1" customWidth="1"/>
    <col min="3" max="3" width="11.6640625" bestFit="1" customWidth="1"/>
    <col min="4" max="4" width="5.83203125" bestFit="1" customWidth="1"/>
    <col min="5" max="6" width="6.6640625" bestFit="1" customWidth="1"/>
    <col min="7" max="7" width="17.1640625" bestFit="1" customWidth="1"/>
    <col min="8" max="8" width="13.6640625" bestFit="1" customWidth="1"/>
    <col min="9" max="9" width="16.1640625" bestFit="1" customWidth="1"/>
    <col min="10" max="10" width="17.83203125" bestFit="1" customWidth="1"/>
    <col min="11" max="11" width="12.33203125" bestFit="1" customWidth="1"/>
    <col min="12" max="12" width="14.5" bestFit="1" customWidth="1"/>
    <col min="13" max="13" width="12.5" bestFit="1" customWidth="1"/>
    <col min="14" max="14" width="21.1640625" bestFit="1" customWidth="1"/>
    <col min="15" max="15" width="20.6640625" bestFit="1" customWidth="1"/>
    <col min="16" max="16" width="12" bestFit="1" customWidth="1"/>
    <col min="17" max="18" width="14.33203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890"/>
  <sheetViews>
    <sheetView tabSelected="1" workbookViewId="0">
      <pane xSplit="6" ySplit="10" topLeftCell="AA48" activePane="bottomRight" state="frozenSplit"/>
      <selection pane="topRight" activeCell="K1" sqref="K1"/>
      <selection pane="bottomLeft" activeCell="A23" sqref="A23"/>
      <selection pane="bottomRight" activeCell="AF24" sqref="AF24:AF63"/>
    </sheetView>
  </sheetViews>
  <sheetFormatPr baseColWidth="10" defaultRowHeight="16" x14ac:dyDescent="0.2"/>
  <cols>
    <col min="1" max="1" width="13.5" customWidth="1"/>
    <col min="2" max="3" width="19.1640625" customWidth="1"/>
    <col min="27" max="27" width="17" customWidth="1"/>
    <col min="29" max="29" width="15.33203125" customWidth="1"/>
    <col min="42" max="44" width="11" customWidth="1"/>
    <col min="51" max="54" width="11.6640625" customWidth="1"/>
  </cols>
  <sheetData>
    <row r="2" spans="1:30" x14ac:dyDescent="0.2">
      <c r="Q2" t="s">
        <v>189</v>
      </c>
      <c r="S2" t="s">
        <v>190</v>
      </c>
      <c r="T2" t="s">
        <v>191</v>
      </c>
      <c r="V2" t="s">
        <v>192</v>
      </c>
    </row>
    <row r="3" spans="1:30" x14ac:dyDescent="0.2">
      <c r="H3" t="s">
        <v>193</v>
      </c>
      <c r="I3" t="s">
        <v>194</v>
      </c>
      <c r="J3" t="s">
        <v>195</v>
      </c>
      <c r="L3" t="s">
        <v>196</v>
      </c>
      <c r="N3" t="s">
        <v>197</v>
      </c>
      <c r="P3" t="s">
        <v>198</v>
      </c>
      <c r="Q3" t="s">
        <v>199</v>
      </c>
      <c r="S3" t="s">
        <v>200</v>
      </c>
      <c r="T3" t="s">
        <v>201</v>
      </c>
      <c r="V3" t="s">
        <v>202</v>
      </c>
    </row>
    <row r="4" spans="1:30" x14ac:dyDescent="0.2">
      <c r="H4" t="s">
        <v>46</v>
      </c>
      <c r="I4" t="s">
        <v>43</v>
      </c>
      <c r="J4" t="s">
        <v>43</v>
      </c>
      <c r="L4" t="s">
        <v>46</v>
      </c>
      <c r="N4" t="s">
        <v>46</v>
      </c>
      <c r="P4" t="s">
        <v>46</v>
      </c>
      <c r="Q4" t="s">
        <v>47</v>
      </c>
      <c r="S4" t="s">
        <v>47</v>
      </c>
      <c r="T4" t="s">
        <v>47</v>
      </c>
      <c r="V4" t="s">
        <v>47</v>
      </c>
      <c r="AC4" t="s">
        <v>297</v>
      </c>
      <c r="AD4">
        <v>1.3</v>
      </c>
    </row>
    <row r="5" spans="1:30" x14ac:dyDescent="0.2">
      <c r="H5" t="s">
        <v>43</v>
      </c>
      <c r="I5" t="s">
        <v>203</v>
      </c>
      <c r="J5" t="s">
        <v>203</v>
      </c>
      <c r="L5" t="s">
        <v>203</v>
      </c>
      <c r="N5" t="s">
        <v>43</v>
      </c>
      <c r="P5" t="s">
        <v>43</v>
      </c>
      <c r="Q5" t="s">
        <v>203</v>
      </c>
      <c r="S5" t="s">
        <v>43</v>
      </c>
      <c r="T5" t="s">
        <v>203</v>
      </c>
      <c r="V5" t="s">
        <v>203</v>
      </c>
      <c r="AC5" t="s">
        <v>298</v>
      </c>
      <c r="AD5">
        <v>1.1000000000000001</v>
      </c>
    </row>
    <row r="8" spans="1:30" x14ac:dyDescent="0.2">
      <c r="H8" t="s">
        <v>204</v>
      </c>
      <c r="I8" t="s">
        <v>205</v>
      </c>
      <c r="J8" t="s">
        <v>206</v>
      </c>
      <c r="L8" t="s">
        <v>206</v>
      </c>
      <c r="N8" t="s">
        <v>207</v>
      </c>
      <c r="P8" t="s">
        <v>208</v>
      </c>
      <c r="Q8" t="s">
        <v>208</v>
      </c>
      <c r="S8" t="s">
        <v>209</v>
      </c>
      <c r="T8" t="s">
        <v>210</v>
      </c>
      <c r="V8" t="s">
        <v>211</v>
      </c>
    </row>
    <row r="9" spans="1:30" x14ac:dyDescent="0.2">
      <c r="H9" t="s">
        <v>212</v>
      </c>
      <c r="I9" t="s">
        <v>213</v>
      </c>
      <c r="J9" t="s">
        <v>214</v>
      </c>
      <c r="L9" t="s">
        <v>215</v>
      </c>
      <c r="N9" t="s">
        <v>216</v>
      </c>
      <c r="P9" t="s">
        <v>217</v>
      </c>
      <c r="Q9" t="s">
        <v>218</v>
      </c>
      <c r="S9" t="s">
        <v>219</v>
      </c>
      <c r="T9" t="s">
        <v>220</v>
      </c>
      <c r="V9" t="s">
        <v>221</v>
      </c>
    </row>
    <row r="10" spans="1:30" x14ac:dyDescent="0.2">
      <c r="A10" t="s">
        <v>59</v>
      </c>
      <c r="B10" s="1" t="s">
        <v>231</v>
      </c>
      <c r="C10" s="1" t="s">
        <v>272</v>
      </c>
      <c r="D10" s="1" t="s">
        <v>62</v>
      </c>
      <c r="G10" t="s">
        <v>271</v>
      </c>
      <c r="H10" s="1" t="s">
        <v>222</v>
      </c>
      <c r="I10" s="1" t="s">
        <v>223</v>
      </c>
      <c r="J10" s="1" t="s">
        <v>295</v>
      </c>
      <c r="K10" s="1" t="s">
        <v>296</v>
      </c>
      <c r="L10" t="s">
        <v>224</v>
      </c>
      <c r="M10" s="1" t="s">
        <v>269</v>
      </c>
      <c r="N10" t="s">
        <v>225</v>
      </c>
      <c r="O10" s="1" t="s">
        <v>268</v>
      </c>
      <c r="P10" t="s">
        <v>226</v>
      </c>
      <c r="Q10" t="s">
        <v>227</v>
      </c>
      <c r="R10" s="1" t="s">
        <v>270</v>
      </c>
      <c r="S10" t="s">
        <v>228</v>
      </c>
      <c r="T10" t="s">
        <v>229</v>
      </c>
      <c r="U10" t="s">
        <v>230</v>
      </c>
      <c r="V10" s="31" t="s">
        <v>230</v>
      </c>
      <c r="AC10" t="s">
        <v>234</v>
      </c>
      <c r="AD10" t="s">
        <v>126</v>
      </c>
    </row>
    <row r="11" spans="1:30" x14ac:dyDescent="0.2">
      <c r="A11" t="s">
        <v>110</v>
      </c>
      <c r="B11" t="s">
        <v>232</v>
      </c>
      <c r="C11" t="s">
        <v>135</v>
      </c>
      <c r="D11" t="s">
        <v>135</v>
      </c>
      <c r="E11" t="s">
        <v>116</v>
      </c>
      <c r="F11" t="s">
        <v>117</v>
      </c>
      <c r="H11">
        <v>91.25</v>
      </c>
      <c r="I11">
        <v>50</v>
      </c>
      <c r="J11">
        <v>0</v>
      </c>
      <c r="K11">
        <v>0</v>
      </c>
      <c r="L11">
        <v>0</v>
      </c>
      <c r="N11" s="32" cm="1">
        <f t="array" ref="N11:N50">_xlfn.DROP(_xlfn.XLOOKUP($D11,TableW[[#Headers],[ACT/NSW]:[QLD - Low]],TableW[[#All],[ACT/NSW]:[QLD - Low]]),1)</f>
        <v>250</v>
      </c>
      <c r="P11" cm="1">
        <f t="array" ref="P11:P50">_xlfn.DROP(_xlfn.XLOOKUP($D11,TableLWG[[#Headers],[ACT/NSW]:[QLD - Low]],TableLWG[[#All],[ACT/NSW]:[QLD - Low]]),1)</f>
        <v>1.1000000000000001</v>
      </c>
      <c r="Q11">
        <f>(J11 * $AD$4 + K11*$AD$5) + (1 - J11 )</f>
        <v>1</v>
      </c>
      <c r="S11">
        <f>(1.185 + 0.00454 * N11- 0.0000026 * N11^2 + 0.315 * P11 )^2 * Q11</f>
        <v>6.2700160000000018</v>
      </c>
      <c r="T11">
        <f>20.7 * S11 * 10^-3</f>
        <v>0.12978933120000002</v>
      </c>
      <c r="U11">
        <f t="shared" ref="U11:U50" si="0">H11*T11*I11</f>
        <v>592.16382360000011</v>
      </c>
      <c r="V11">
        <f>SUM(U11:U50)/1000</f>
        <v>48.599461468575761</v>
      </c>
      <c r="AC11" t="s">
        <v>127</v>
      </c>
      <c r="AD11" t="s">
        <v>124</v>
      </c>
    </row>
    <row r="12" spans="1:30" x14ac:dyDescent="0.2">
      <c r="E12">
        <v>1</v>
      </c>
      <c r="F12" t="s">
        <v>119</v>
      </c>
      <c r="H12">
        <v>91.25</v>
      </c>
      <c r="I12">
        <v>100</v>
      </c>
      <c r="J12">
        <v>0</v>
      </c>
      <c r="K12">
        <v>0</v>
      </c>
      <c r="L12">
        <v>0</v>
      </c>
      <c r="N12">
        <v>280</v>
      </c>
      <c r="P12">
        <v>0.33</v>
      </c>
      <c r="Q12">
        <f t="shared" ref="Q12:Q50" si="1">(J12 * $AD$4 + K12*$AD$5) + (1 - J12 )</f>
        <v>1</v>
      </c>
      <c r="S12">
        <f t="shared" ref="S12:S50" si="2">(1.185 + 0.00454 * N12- 0.0000026 * N12^2 + 0.315 * P12 )^2 * Q12</f>
        <v>5.5521968161000004</v>
      </c>
      <c r="T12">
        <f t="shared" ref="T12:T50" si="3">20.7 * S12 * 10^-3</f>
        <v>0.11493047409327001</v>
      </c>
      <c r="U12">
        <f t="shared" si="0"/>
        <v>1048.7405761010889</v>
      </c>
      <c r="AA12" t="s">
        <v>232</v>
      </c>
      <c r="AB12" t="s">
        <v>117</v>
      </c>
      <c r="AC12">
        <v>1.3</v>
      </c>
      <c r="AD12">
        <v>6</v>
      </c>
    </row>
    <row r="13" spans="1:30" x14ac:dyDescent="0.2">
      <c r="F13" t="s">
        <v>120</v>
      </c>
      <c r="H13">
        <v>91.25</v>
      </c>
      <c r="I13">
        <v>80</v>
      </c>
      <c r="J13">
        <v>0</v>
      </c>
      <c r="K13">
        <v>0</v>
      </c>
      <c r="L13">
        <v>0</v>
      </c>
      <c r="N13">
        <v>100</v>
      </c>
      <c r="P13">
        <v>0.5</v>
      </c>
      <c r="Q13">
        <f t="shared" si="1"/>
        <v>1</v>
      </c>
      <c r="S13">
        <f t="shared" si="2"/>
        <v>3.1346702499999997</v>
      </c>
      <c r="T13">
        <f t="shared" si="3"/>
        <v>6.4887674174999993E-2</v>
      </c>
      <c r="U13">
        <f t="shared" si="0"/>
        <v>473.68002147749996</v>
      </c>
      <c r="AB13" t="s">
        <v>119</v>
      </c>
      <c r="AC13">
        <v>1.1000000000000001</v>
      </c>
      <c r="AD13">
        <v>4</v>
      </c>
    </row>
    <row r="14" spans="1:30" x14ac:dyDescent="0.2">
      <c r="F14" t="s">
        <v>121</v>
      </c>
      <c r="H14">
        <v>91.25</v>
      </c>
      <c r="I14">
        <v>70</v>
      </c>
      <c r="J14">
        <v>0</v>
      </c>
      <c r="K14">
        <v>0</v>
      </c>
      <c r="L14">
        <v>0</v>
      </c>
      <c r="N14">
        <v>150</v>
      </c>
      <c r="P14">
        <v>0.55000000000000004</v>
      </c>
      <c r="Q14">
        <f t="shared" si="1"/>
        <v>1</v>
      </c>
      <c r="S14">
        <f t="shared" si="2"/>
        <v>3.9233705625000002</v>
      </c>
      <c r="T14">
        <f t="shared" si="3"/>
        <v>8.1213770643750002E-2</v>
      </c>
      <c r="U14">
        <f t="shared" si="0"/>
        <v>518.7529599869531</v>
      </c>
      <c r="AB14" t="s">
        <v>120</v>
      </c>
      <c r="AC14">
        <v>0</v>
      </c>
      <c r="AD14">
        <v>0</v>
      </c>
    </row>
    <row r="15" spans="1:30" x14ac:dyDescent="0.2">
      <c r="E15" t="s">
        <v>122</v>
      </c>
      <c r="F15" t="s">
        <v>117</v>
      </c>
      <c r="H15">
        <v>91.25</v>
      </c>
      <c r="I15">
        <v>20</v>
      </c>
      <c r="J15">
        <v>0</v>
      </c>
      <c r="K15">
        <v>0</v>
      </c>
      <c r="L15">
        <v>0</v>
      </c>
      <c r="N15">
        <v>820</v>
      </c>
      <c r="P15">
        <v>1.1000000000000001</v>
      </c>
      <c r="Q15">
        <f t="shared" si="1"/>
        <v>1</v>
      </c>
      <c r="S15">
        <f t="shared" si="2"/>
        <v>12.292456723599997</v>
      </c>
      <c r="T15">
        <f t="shared" si="3"/>
        <v>0.25445385417851996</v>
      </c>
      <c r="U15">
        <f t="shared" si="0"/>
        <v>464.3782838757989</v>
      </c>
      <c r="AB15" t="s">
        <v>121</v>
      </c>
      <c r="AC15">
        <v>0</v>
      </c>
      <c r="AD15">
        <v>0</v>
      </c>
    </row>
    <row r="16" spans="1:30" x14ac:dyDescent="0.2">
      <c r="E16">
        <v>2</v>
      </c>
      <c r="F16" t="s">
        <v>119</v>
      </c>
      <c r="H16">
        <v>91.25</v>
      </c>
      <c r="I16">
        <v>80</v>
      </c>
      <c r="J16">
        <v>0</v>
      </c>
      <c r="K16">
        <v>0</v>
      </c>
      <c r="L16">
        <v>0</v>
      </c>
      <c r="N16">
        <v>850</v>
      </c>
      <c r="P16">
        <v>0.33</v>
      </c>
      <c r="Q16">
        <f t="shared" si="1"/>
        <v>1</v>
      </c>
      <c r="S16">
        <f t="shared" si="2"/>
        <v>10.689303302500006</v>
      </c>
      <c r="T16">
        <f t="shared" si="3"/>
        <v>0.22126857836175012</v>
      </c>
      <c r="U16">
        <f t="shared" si="0"/>
        <v>1615.2606220407758</v>
      </c>
      <c r="AA16" t="s">
        <v>233</v>
      </c>
      <c r="AB16" t="s">
        <v>117</v>
      </c>
      <c r="AC16">
        <v>0</v>
      </c>
      <c r="AD16">
        <v>0</v>
      </c>
    </row>
    <row r="17" spans="5:54" x14ac:dyDescent="0.2">
      <c r="F17" t="s">
        <v>120</v>
      </c>
      <c r="H17">
        <v>91.25</v>
      </c>
      <c r="I17">
        <v>70</v>
      </c>
      <c r="J17">
        <v>0</v>
      </c>
      <c r="K17">
        <v>0</v>
      </c>
      <c r="L17">
        <v>0</v>
      </c>
      <c r="N17">
        <v>700</v>
      </c>
      <c r="P17">
        <v>0.2</v>
      </c>
      <c r="Q17">
        <f t="shared" si="1"/>
        <v>1</v>
      </c>
      <c r="S17">
        <f t="shared" si="2"/>
        <v>9.9351039999999973</v>
      </c>
      <c r="T17">
        <f t="shared" si="3"/>
        <v>0.20565665279999992</v>
      </c>
      <c r="U17">
        <f t="shared" si="0"/>
        <v>1313.6318697599995</v>
      </c>
      <c r="AB17" t="s">
        <v>119</v>
      </c>
      <c r="AC17">
        <v>1.3</v>
      </c>
      <c r="AD17">
        <v>4</v>
      </c>
    </row>
    <row r="18" spans="5:54" x14ac:dyDescent="0.2">
      <c r="F18" t="s">
        <v>121</v>
      </c>
      <c r="H18">
        <v>91.25</v>
      </c>
      <c r="I18">
        <v>60</v>
      </c>
      <c r="J18">
        <v>0</v>
      </c>
      <c r="K18">
        <v>0</v>
      </c>
      <c r="L18">
        <v>0</v>
      </c>
      <c r="N18">
        <v>720</v>
      </c>
      <c r="P18">
        <v>0.22</v>
      </c>
      <c r="Q18">
        <f t="shared" si="1"/>
        <v>1</v>
      </c>
      <c r="S18">
        <f t="shared" si="2"/>
        <v>10.082276067599995</v>
      </c>
      <c r="T18">
        <f t="shared" si="3"/>
        <v>0.20870311459931989</v>
      </c>
      <c r="U18">
        <f t="shared" si="0"/>
        <v>1142.6495524312766</v>
      </c>
      <c r="AB18" t="s">
        <v>120</v>
      </c>
      <c r="AC18">
        <v>1.1000000000000001</v>
      </c>
      <c r="AD18">
        <v>3</v>
      </c>
    </row>
    <row r="19" spans="5:54" x14ac:dyDescent="0.2">
      <c r="E19" t="s">
        <v>146</v>
      </c>
      <c r="F19" t="s">
        <v>117</v>
      </c>
      <c r="H19">
        <v>91.25</v>
      </c>
      <c r="I19">
        <v>100</v>
      </c>
      <c r="J19">
        <v>0.8</v>
      </c>
      <c r="K19">
        <v>0</v>
      </c>
      <c r="L19">
        <v>1.3</v>
      </c>
      <c r="N19">
        <v>410</v>
      </c>
      <c r="P19">
        <v>0.99</v>
      </c>
      <c r="Q19">
        <f t="shared" ref="Q19:Q22" si="4">(J19 * $AD$4 +K19* $AD$5) + (1 -J19 - K19 )</f>
        <v>1.24</v>
      </c>
      <c r="S19">
        <f t="shared" si="2"/>
        <v>10.581355259964003</v>
      </c>
      <c r="T19">
        <f t="shared" si="3"/>
        <v>0.21903405388125483</v>
      </c>
      <c r="U19">
        <f t="shared" si="0"/>
        <v>1998.6857416664502</v>
      </c>
      <c r="AB19" t="s">
        <v>121</v>
      </c>
      <c r="AC19">
        <v>0</v>
      </c>
      <c r="AD19">
        <v>0</v>
      </c>
    </row>
    <row r="20" spans="5:54" x14ac:dyDescent="0.2">
      <c r="E20">
        <v>4</v>
      </c>
      <c r="F20" t="s">
        <v>119</v>
      </c>
      <c r="H20">
        <v>91.25</v>
      </c>
      <c r="I20">
        <v>180</v>
      </c>
      <c r="J20">
        <v>0</v>
      </c>
      <c r="K20">
        <v>0.8</v>
      </c>
      <c r="L20">
        <v>1.1000000000000001</v>
      </c>
      <c r="N20">
        <v>440</v>
      </c>
      <c r="P20">
        <v>0.33</v>
      </c>
      <c r="Q20">
        <f t="shared" si="4"/>
        <v>1.08</v>
      </c>
      <c r="S20">
        <f t="shared" si="2"/>
        <v>8.3658383021880027</v>
      </c>
      <c r="T20">
        <f t="shared" si="3"/>
        <v>0.17317285285529163</v>
      </c>
      <c r="U20">
        <f t="shared" si="0"/>
        <v>2844.3641081481651</v>
      </c>
    </row>
    <row r="21" spans="5:54" x14ac:dyDescent="0.2">
      <c r="F21" t="s">
        <v>120</v>
      </c>
      <c r="H21">
        <v>91.25</v>
      </c>
      <c r="I21">
        <v>170</v>
      </c>
      <c r="J21">
        <v>0</v>
      </c>
      <c r="K21">
        <v>0</v>
      </c>
      <c r="L21">
        <v>0</v>
      </c>
      <c r="N21">
        <v>300</v>
      </c>
      <c r="P21">
        <v>0.44</v>
      </c>
      <c r="Q21">
        <f t="shared" si="4"/>
        <v>1</v>
      </c>
      <c r="S21">
        <f t="shared" si="2"/>
        <v>6.010342559999998</v>
      </c>
      <c r="T21">
        <f t="shared" si="3"/>
        <v>0.12441409099199996</v>
      </c>
      <c r="U21">
        <f t="shared" si="0"/>
        <v>1929.9735865133994</v>
      </c>
    </row>
    <row r="22" spans="5:54" x14ac:dyDescent="0.2">
      <c r="F22" t="s">
        <v>121</v>
      </c>
      <c r="H22">
        <v>91.25</v>
      </c>
      <c r="I22">
        <v>160</v>
      </c>
      <c r="J22">
        <v>0</v>
      </c>
      <c r="K22">
        <v>0</v>
      </c>
      <c r="L22">
        <v>0</v>
      </c>
      <c r="N22">
        <v>320</v>
      </c>
      <c r="P22">
        <v>0.22</v>
      </c>
      <c r="Q22">
        <f t="shared" si="4"/>
        <v>1</v>
      </c>
      <c r="S22">
        <f t="shared" si="2"/>
        <v>5.9577975395999987</v>
      </c>
      <c r="T22">
        <f t="shared" si="3"/>
        <v>0.12332640906971998</v>
      </c>
      <c r="U22">
        <f t="shared" si="0"/>
        <v>1800.5655724179114</v>
      </c>
      <c r="X22" t="s">
        <v>267</v>
      </c>
      <c r="AP22" t="s">
        <v>184</v>
      </c>
    </row>
    <row r="23" spans="5:54" ht="17" thickBot="1" x14ac:dyDescent="0.25">
      <c r="E23" t="s">
        <v>152</v>
      </c>
      <c r="F23" t="s">
        <v>117</v>
      </c>
      <c r="H23">
        <v>91.25</v>
      </c>
      <c r="I23">
        <v>150</v>
      </c>
      <c r="J23">
        <v>0.8</v>
      </c>
      <c r="K23">
        <v>0.05</v>
      </c>
      <c r="L23">
        <f>$AC$12</f>
        <v>1.3</v>
      </c>
      <c r="N23">
        <v>560</v>
      </c>
      <c r="P23">
        <v>0.99</v>
      </c>
      <c r="Q23">
        <f>(J23 * $AD$4 +K23* $AD$5) + (1 -J23 - K23 )</f>
        <v>1.2449999999999999</v>
      </c>
      <c r="S23">
        <f t="shared" si="2"/>
        <v>12.939866081464499</v>
      </c>
      <c r="T23">
        <f t="shared" si="3"/>
        <v>0.26785522788631511</v>
      </c>
      <c r="U23">
        <f t="shared" si="0"/>
        <v>3666.2684316939381</v>
      </c>
      <c r="X23" t="s">
        <v>130</v>
      </c>
      <c r="Y23" t="s">
        <v>265</v>
      </c>
      <c r="Z23" t="s">
        <v>113</v>
      </c>
      <c r="AA23" t="s">
        <v>133</v>
      </c>
      <c r="AB23" t="s">
        <v>134</v>
      </c>
      <c r="AC23" t="s">
        <v>135</v>
      </c>
      <c r="AD23" t="s">
        <v>255</v>
      </c>
      <c r="AE23" t="s">
        <v>256</v>
      </c>
      <c r="AF23" t="s">
        <v>257</v>
      </c>
      <c r="AG23" t="s">
        <v>258</v>
      </c>
      <c r="AH23" t="s">
        <v>259</v>
      </c>
      <c r="AI23" t="s">
        <v>260</v>
      </c>
      <c r="AJ23" t="s">
        <v>261</v>
      </c>
      <c r="AK23" t="s">
        <v>262</v>
      </c>
      <c r="AL23" t="s">
        <v>263</v>
      </c>
      <c r="AM23" t="s">
        <v>264</v>
      </c>
      <c r="AN23" t="s">
        <v>266</v>
      </c>
      <c r="AP23" s="10"/>
      <c r="AQ23" s="11"/>
      <c r="AR23" s="11"/>
      <c r="AS23" s="12"/>
      <c r="AT23" s="12"/>
      <c r="AU23" s="12"/>
      <c r="AV23" s="13"/>
      <c r="AW23" s="12"/>
      <c r="AX23" s="12"/>
      <c r="AY23" s="12"/>
      <c r="AZ23" s="12"/>
      <c r="BA23" s="12"/>
      <c r="BB23" s="12"/>
    </row>
    <row r="24" spans="5:54" ht="18" thickTop="1" thickBot="1" x14ac:dyDescent="0.25">
      <c r="E24" t="s">
        <v>235</v>
      </c>
      <c r="F24" t="s">
        <v>119</v>
      </c>
      <c r="H24">
        <v>91.25</v>
      </c>
      <c r="I24">
        <v>250</v>
      </c>
      <c r="J24">
        <v>0</v>
      </c>
      <c r="K24">
        <v>0.78</v>
      </c>
      <c r="L24">
        <f>$AC$13</f>
        <v>1.1000000000000001</v>
      </c>
      <c r="N24">
        <v>550</v>
      </c>
      <c r="P24">
        <v>-0.1</v>
      </c>
      <c r="Q24">
        <f t="shared" ref="Q24:Q33" si="5">(J24 * $AD$4 +K24* $AD$5) + (1 -J24 - K24 )</f>
        <v>1.0780000000000001</v>
      </c>
      <c r="S24">
        <f t="shared" si="2"/>
        <v>8.8422906880000021</v>
      </c>
      <c r="T24">
        <f t="shared" si="3"/>
        <v>0.18303541724160005</v>
      </c>
      <c r="U24">
        <f t="shared" si="0"/>
        <v>4175.4954558240015</v>
      </c>
      <c r="X24" t="s">
        <v>117</v>
      </c>
      <c r="Y24" t="s">
        <v>116</v>
      </c>
      <c r="Z24">
        <v>0.5</v>
      </c>
      <c r="AA24">
        <v>0.99</v>
      </c>
      <c r="AB24">
        <v>1</v>
      </c>
      <c r="AC24">
        <v>1.1000000000000001</v>
      </c>
      <c r="AD24">
        <v>1.64</v>
      </c>
      <c r="AE24">
        <v>0.7</v>
      </c>
      <c r="AF24">
        <v>0.22</v>
      </c>
      <c r="AG24">
        <v>0.22</v>
      </c>
      <c r="AH24">
        <v>0.22</v>
      </c>
      <c r="AI24">
        <v>0.22</v>
      </c>
      <c r="AJ24">
        <v>0.27</v>
      </c>
      <c r="AK24">
        <v>-0.12</v>
      </c>
      <c r="AL24">
        <v>0.62</v>
      </c>
      <c r="AM24">
        <v>-0.2</v>
      </c>
      <c r="AN24">
        <v>1</v>
      </c>
      <c r="AP24" s="14"/>
      <c r="AQ24" s="26" t="s">
        <v>242</v>
      </c>
      <c r="AR24" s="27" t="s">
        <v>243</v>
      </c>
      <c r="AS24" s="28" t="s">
        <v>244</v>
      </c>
      <c r="AT24" s="28" t="s">
        <v>245</v>
      </c>
      <c r="AU24" s="28" t="s">
        <v>246</v>
      </c>
      <c r="AV24" s="29" t="s">
        <v>247</v>
      </c>
      <c r="AW24" s="28" t="s">
        <v>248</v>
      </c>
      <c r="AX24" s="28" t="s">
        <v>249</v>
      </c>
      <c r="AY24" s="28" t="s">
        <v>250</v>
      </c>
      <c r="AZ24" s="28" t="s">
        <v>251</v>
      </c>
      <c r="BA24" s="28" t="s">
        <v>252</v>
      </c>
      <c r="BB24" s="28" t="s">
        <v>253</v>
      </c>
    </row>
    <row r="25" spans="5:54" ht="17" thickTop="1" x14ac:dyDescent="0.2">
      <c r="F25" t="s">
        <v>120</v>
      </c>
      <c r="H25">
        <v>91.25</v>
      </c>
      <c r="I25">
        <v>240</v>
      </c>
      <c r="J25">
        <v>0</v>
      </c>
      <c r="K25">
        <v>0</v>
      </c>
      <c r="L25">
        <f>$AC$14</f>
        <v>0</v>
      </c>
      <c r="N25">
        <v>450</v>
      </c>
      <c r="P25">
        <v>0.2</v>
      </c>
      <c r="Q25">
        <f t="shared" si="5"/>
        <v>1</v>
      </c>
      <c r="S25">
        <f t="shared" si="2"/>
        <v>7.6424602500000001</v>
      </c>
      <c r="T25">
        <f t="shared" si="3"/>
        <v>0.158198927175</v>
      </c>
      <c r="U25">
        <f t="shared" si="0"/>
        <v>3464.5565051325002</v>
      </c>
      <c r="X25" t="s">
        <v>119</v>
      </c>
      <c r="Y25" t="s">
        <v>116</v>
      </c>
      <c r="Z25">
        <v>1</v>
      </c>
      <c r="AA25">
        <v>0.77</v>
      </c>
      <c r="AB25">
        <v>0.82</v>
      </c>
      <c r="AC25">
        <v>0.33</v>
      </c>
      <c r="AD25">
        <v>0.44</v>
      </c>
      <c r="AE25">
        <v>0.77</v>
      </c>
      <c r="AF25">
        <v>0.8</v>
      </c>
      <c r="AG25">
        <v>0.66</v>
      </c>
      <c r="AH25">
        <v>0.66</v>
      </c>
      <c r="AI25">
        <v>0.66</v>
      </c>
      <c r="AJ25">
        <v>0.16</v>
      </c>
      <c r="AK25">
        <v>0.65</v>
      </c>
      <c r="AL25">
        <v>0.05</v>
      </c>
      <c r="AM25">
        <v>0.62</v>
      </c>
      <c r="AN25">
        <v>2</v>
      </c>
      <c r="AP25" s="18"/>
      <c r="AQ25" s="14" t="s">
        <v>241</v>
      </c>
      <c r="AR25" s="15" t="s">
        <v>130</v>
      </c>
      <c r="AS25" s="16" t="s">
        <v>116</v>
      </c>
      <c r="AT25" s="16" t="s">
        <v>122</v>
      </c>
      <c r="AU25" s="16" t="s">
        <v>141</v>
      </c>
      <c r="AV25" s="17" t="s">
        <v>146</v>
      </c>
      <c r="AW25" s="16" t="s">
        <v>152</v>
      </c>
      <c r="AX25" s="16" t="s">
        <v>156</v>
      </c>
      <c r="AY25" s="16" t="s">
        <v>164</v>
      </c>
      <c r="AZ25" s="16" t="s">
        <v>169</v>
      </c>
      <c r="BA25" s="16" t="s">
        <v>171</v>
      </c>
      <c r="BB25" s="16" t="s">
        <v>176</v>
      </c>
    </row>
    <row r="26" spans="5:54" x14ac:dyDescent="0.2">
      <c r="F26" t="s">
        <v>121</v>
      </c>
      <c r="H26">
        <v>91.25</v>
      </c>
      <c r="I26">
        <v>200</v>
      </c>
      <c r="J26">
        <v>0.1</v>
      </c>
      <c r="K26">
        <v>0</v>
      </c>
      <c r="L26">
        <f>$AC$14</f>
        <v>0</v>
      </c>
      <c r="N26">
        <v>470</v>
      </c>
      <c r="P26">
        <v>0.22</v>
      </c>
      <c r="Q26">
        <f t="shared" si="5"/>
        <v>1.03</v>
      </c>
      <c r="S26">
        <f t="shared" si="2"/>
        <v>8.1547626977280014</v>
      </c>
      <c r="T26">
        <f t="shared" si="3"/>
        <v>0.16880358784296962</v>
      </c>
      <c r="U26">
        <f t="shared" si="0"/>
        <v>3080.6654781341954</v>
      </c>
      <c r="X26" t="s">
        <v>120</v>
      </c>
      <c r="Y26" t="s">
        <v>116</v>
      </c>
      <c r="Z26">
        <v>0.8</v>
      </c>
      <c r="AA26">
        <v>0.9</v>
      </c>
      <c r="AB26">
        <v>0.77</v>
      </c>
      <c r="AC26">
        <v>0.5</v>
      </c>
      <c r="AD26">
        <v>0.6</v>
      </c>
      <c r="AE26">
        <v>0.88</v>
      </c>
      <c r="AF26">
        <v>0.66</v>
      </c>
      <c r="AG26">
        <v>0.49</v>
      </c>
      <c r="AH26">
        <v>0.49</v>
      </c>
      <c r="AI26">
        <v>0.49</v>
      </c>
      <c r="AJ26">
        <v>0.45</v>
      </c>
      <c r="AK26">
        <v>0.7</v>
      </c>
      <c r="AL26">
        <v>0.33</v>
      </c>
      <c r="AM26">
        <v>0.4</v>
      </c>
      <c r="AN26">
        <v>3</v>
      </c>
      <c r="AP26" s="20"/>
      <c r="AQ26" s="18" t="s">
        <v>113</v>
      </c>
      <c r="AR26" s="19" t="s">
        <v>117</v>
      </c>
      <c r="AS26" s="19">
        <v>0.5</v>
      </c>
      <c r="AT26" s="19">
        <v>0.2</v>
      </c>
      <c r="AU26" s="19">
        <v>0.5</v>
      </c>
      <c r="AV26" s="19">
        <v>0.4</v>
      </c>
      <c r="AW26" s="19">
        <v>0.3</v>
      </c>
      <c r="AX26" s="19">
        <v>0.3</v>
      </c>
      <c r="AY26" s="19">
        <v>0.5</v>
      </c>
      <c r="AZ26" s="19">
        <v>0.4</v>
      </c>
      <c r="BA26" s="19">
        <v>0.4</v>
      </c>
      <c r="BB26" s="19">
        <v>0.4</v>
      </c>
    </row>
    <row r="27" spans="5:54" x14ac:dyDescent="0.2">
      <c r="E27" t="s">
        <v>141</v>
      </c>
      <c r="F27" t="s">
        <v>117</v>
      </c>
      <c r="H27">
        <v>91.25</v>
      </c>
      <c r="I27">
        <v>100</v>
      </c>
      <c r="J27">
        <v>0</v>
      </c>
      <c r="K27">
        <v>0</v>
      </c>
      <c r="L27">
        <v>0</v>
      </c>
      <c r="N27">
        <v>240</v>
      </c>
      <c r="P27">
        <v>1.1000000000000001</v>
      </c>
      <c r="Q27">
        <f t="shared" si="5"/>
        <v>1</v>
      </c>
      <c r="S27">
        <f t="shared" si="2"/>
        <v>6.1075213955999983</v>
      </c>
      <c r="T27">
        <f t="shared" si="3"/>
        <v>0.12642569288891994</v>
      </c>
      <c r="U27">
        <f t="shared" si="0"/>
        <v>1153.6344476113945</v>
      </c>
      <c r="X27" t="s">
        <v>121</v>
      </c>
      <c r="Y27" t="s">
        <v>116</v>
      </c>
      <c r="Z27">
        <v>0.4</v>
      </c>
      <c r="AA27">
        <v>0.88</v>
      </c>
      <c r="AB27">
        <v>0.11</v>
      </c>
      <c r="AC27">
        <v>0.55000000000000004</v>
      </c>
      <c r="AD27">
        <v>0.99</v>
      </c>
      <c r="AE27">
        <v>0.22</v>
      </c>
      <c r="AF27">
        <v>0.33</v>
      </c>
      <c r="AG27">
        <v>0.27</v>
      </c>
      <c r="AH27">
        <v>0.27</v>
      </c>
      <c r="AI27">
        <v>0.27</v>
      </c>
      <c r="AJ27">
        <v>0.51</v>
      </c>
      <c r="AK27">
        <v>0.32</v>
      </c>
      <c r="AL27">
        <v>0.61</v>
      </c>
      <c r="AM27">
        <v>0.08</v>
      </c>
      <c r="AN27">
        <v>4</v>
      </c>
      <c r="AP27" s="18"/>
      <c r="AQ27" s="20"/>
      <c r="AR27" s="8" t="s">
        <v>119</v>
      </c>
      <c r="AS27" s="8">
        <v>1</v>
      </c>
      <c r="AT27" s="8">
        <v>0.4</v>
      </c>
      <c r="AU27" s="8">
        <v>0.9</v>
      </c>
      <c r="AV27" s="8">
        <v>0.7</v>
      </c>
      <c r="AW27" s="8">
        <v>0.3</v>
      </c>
      <c r="AX27" s="8">
        <v>0.3</v>
      </c>
      <c r="AY27" s="8">
        <v>0.9</v>
      </c>
      <c r="AZ27" s="8">
        <v>0.4</v>
      </c>
      <c r="BA27" s="8">
        <v>0.4</v>
      </c>
      <c r="BB27" s="8">
        <v>0.4</v>
      </c>
    </row>
    <row r="28" spans="5:54" x14ac:dyDescent="0.2">
      <c r="E28">
        <v>3</v>
      </c>
      <c r="F28" t="s">
        <v>119</v>
      </c>
      <c r="H28">
        <v>91.25</v>
      </c>
      <c r="I28">
        <v>190</v>
      </c>
      <c r="J28">
        <v>0</v>
      </c>
      <c r="K28">
        <v>0</v>
      </c>
      <c r="L28">
        <v>0</v>
      </c>
      <c r="N28">
        <v>260</v>
      </c>
      <c r="P28">
        <v>0.22</v>
      </c>
      <c r="Q28">
        <f t="shared" si="5"/>
        <v>1</v>
      </c>
      <c r="S28">
        <f t="shared" si="2"/>
        <v>5.1028099236000015</v>
      </c>
      <c r="T28">
        <f t="shared" si="3"/>
        <v>0.10562816541852003</v>
      </c>
      <c r="U28">
        <f t="shared" si="0"/>
        <v>1831.3283179435909</v>
      </c>
      <c r="X28" t="s">
        <v>117</v>
      </c>
      <c r="Y28" t="s">
        <v>122</v>
      </c>
      <c r="Z28">
        <v>0.2</v>
      </c>
      <c r="AA28">
        <v>1.1000000000000001</v>
      </c>
      <c r="AB28">
        <v>0.5</v>
      </c>
      <c r="AC28">
        <v>1.1000000000000001</v>
      </c>
      <c r="AD28">
        <v>1.1000000000000001</v>
      </c>
      <c r="AE28">
        <v>-0.55000000000000004</v>
      </c>
      <c r="AF28">
        <v>-0.55000000000000004</v>
      </c>
      <c r="AG28">
        <v>-0.23</v>
      </c>
      <c r="AH28">
        <v>-0.44</v>
      </c>
      <c r="AI28">
        <v>-0.44</v>
      </c>
      <c r="AJ28">
        <v>-0.19</v>
      </c>
      <c r="AK28">
        <v>-0.19</v>
      </c>
      <c r="AL28">
        <v>-0.19</v>
      </c>
      <c r="AM28">
        <v>0.02</v>
      </c>
      <c r="AN28">
        <v>1</v>
      </c>
      <c r="AP28" s="20"/>
      <c r="AQ28" s="18"/>
      <c r="AR28" s="19" t="s">
        <v>120</v>
      </c>
      <c r="AS28" s="19">
        <v>0.8</v>
      </c>
      <c r="AT28" s="19">
        <v>0.3</v>
      </c>
      <c r="AU28" s="19">
        <v>0.7</v>
      </c>
      <c r="AV28" s="19">
        <v>0.3</v>
      </c>
      <c r="AW28" s="19">
        <v>0.2</v>
      </c>
      <c r="AX28" s="19">
        <v>0.2</v>
      </c>
      <c r="AY28" s="19">
        <v>0.7</v>
      </c>
      <c r="AZ28" s="19">
        <v>0.3</v>
      </c>
      <c r="BA28" s="19">
        <v>0.3</v>
      </c>
      <c r="BB28" s="19">
        <v>0.3</v>
      </c>
    </row>
    <row r="29" spans="5:54" x14ac:dyDescent="0.2">
      <c r="F29" t="s">
        <v>120</v>
      </c>
      <c r="H29">
        <v>91.25</v>
      </c>
      <c r="I29">
        <v>195</v>
      </c>
      <c r="J29">
        <v>0</v>
      </c>
      <c r="K29">
        <v>0</v>
      </c>
      <c r="L29">
        <v>0</v>
      </c>
      <c r="N29">
        <v>95</v>
      </c>
      <c r="P29">
        <v>0.55000000000000004</v>
      </c>
      <c r="Q29">
        <f t="shared" si="5"/>
        <v>1</v>
      </c>
      <c r="S29">
        <f t="shared" si="2"/>
        <v>3.1190562272249998</v>
      </c>
      <c r="T29">
        <f t="shared" si="3"/>
        <v>6.4564463903557495E-2</v>
      </c>
      <c r="U29">
        <f t="shared" si="0"/>
        <v>1148.8439295839262</v>
      </c>
      <c r="X29" t="s">
        <v>119</v>
      </c>
      <c r="Y29" t="s">
        <v>122</v>
      </c>
      <c r="Z29">
        <v>0.4</v>
      </c>
      <c r="AA29">
        <v>0</v>
      </c>
      <c r="AB29">
        <v>0.55000000000000004</v>
      </c>
      <c r="AC29">
        <v>0.33</v>
      </c>
      <c r="AD29">
        <v>-0.22</v>
      </c>
      <c r="AE29">
        <v>0.55000000000000004</v>
      </c>
      <c r="AF29">
        <v>0.55000000000000004</v>
      </c>
      <c r="AG29">
        <v>0.2</v>
      </c>
      <c r="AH29">
        <v>0.22</v>
      </c>
      <c r="AI29">
        <v>0.22</v>
      </c>
      <c r="AJ29">
        <v>0.16</v>
      </c>
      <c r="AK29">
        <v>0.19</v>
      </c>
      <c r="AL29">
        <v>0.19</v>
      </c>
      <c r="AM29">
        <v>0.21</v>
      </c>
      <c r="AN29">
        <v>2</v>
      </c>
      <c r="AP29" s="18"/>
      <c r="AQ29" s="20"/>
      <c r="AR29" s="8" t="s">
        <v>121</v>
      </c>
      <c r="AS29" s="8">
        <v>0.4</v>
      </c>
      <c r="AT29" s="8">
        <v>0.1</v>
      </c>
      <c r="AU29" s="8">
        <v>0.4</v>
      </c>
      <c r="AV29" s="8">
        <v>0.2</v>
      </c>
      <c r="AW29" s="8">
        <v>0.1</v>
      </c>
      <c r="AX29" s="8">
        <v>0.1</v>
      </c>
      <c r="AY29" s="8">
        <v>0.4</v>
      </c>
      <c r="AZ29" s="8">
        <v>0.1</v>
      </c>
      <c r="BA29" s="8">
        <v>0.1</v>
      </c>
      <c r="BB29" s="8">
        <v>0.1</v>
      </c>
    </row>
    <row r="30" spans="5:54" x14ac:dyDescent="0.2">
      <c r="F30" t="s">
        <v>121</v>
      </c>
      <c r="H30">
        <v>91.25</v>
      </c>
      <c r="I30">
        <v>200</v>
      </c>
      <c r="J30">
        <v>0</v>
      </c>
      <c r="K30">
        <v>0</v>
      </c>
      <c r="L30">
        <v>0</v>
      </c>
      <c r="N30">
        <v>140</v>
      </c>
      <c r="P30">
        <v>0.49</v>
      </c>
      <c r="Q30">
        <f t="shared" si="5"/>
        <v>1</v>
      </c>
      <c r="S30">
        <f t="shared" si="2"/>
        <v>3.7017375200999996</v>
      </c>
      <c r="T30">
        <f t="shared" si="3"/>
        <v>7.6625966666069981E-2</v>
      </c>
      <c r="U30">
        <f t="shared" si="0"/>
        <v>1398.4238916557772</v>
      </c>
      <c r="X30" t="s">
        <v>120</v>
      </c>
      <c r="Y30" t="s">
        <v>122</v>
      </c>
      <c r="Z30">
        <v>0.3</v>
      </c>
      <c r="AA30">
        <v>-1.1000000000000001</v>
      </c>
      <c r="AB30">
        <v>0.5</v>
      </c>
      <c r="AC30">
        <v>0.2</v>
      </c>
      <c r="AD30">
        <v>0</v>
      </c>
      <c r="AE30">
        <v>0.55000000000000004</v>
      </c>
      <c r="AF30">
        <v>0.55000000000000004</v>
      </c>
      <c r="AG30">
        <v>0.13</v>
      </c>
      <c r="AH30">
        <v>0.05</v>
      </c>
      <c r="AI30">
        <v>0.05</v>
      </c>
      <c r="AJ30">
        <v>0.1</v>
      </c>
      <c r="AK30">
        <v>0.13</v>
      </c>
      <c r="AL30">
        <v>0.13</v>
      </c>
      <c r="AM30">
        <v>0.13</v>
      </c>
      <c r="AN30">
        <v>3</v>
      </c>
      <c r="AP30" s="20"/>
      <c r="AQ30" s="18" t="s">
        <v>133</v>
      </c>
      <c r="AR30" s="19" t="s">
        <v>117</v>
      </c>
      <c r="AS30" s="19">
        <v>0.99</v>
      </c>
      <c r="AT30" s="19">
        <v>1.1000000000000001</v>
      </c>
      <c r="AU30" s="19">
        <v>0.88</v>
      </c>
      <c r="AV30" s="19">
        <v>0.55000000000000004</v>
      </c>
      <c r="AW30" s="19">
        <v>0.55000000000000004</v>
      </c>
      <c r="AX30" s="19">
        <v>0.55000000000000004</v>
      </c>
      <c r="AY30" s="19">
        <v>0.88</v>
      </c>
      <c r="AZ30" s="19">
        <v>0.22</v>
      </c>
      <c r="BA30" s="19">
        <v>0.22</v>
      </c>
      <c r="BB30" s="19">
        <v>0.22</v>
      </c>
    </row>
    <row r="31" spans="5:54" x14ac:dyDescent="0.2">
      <c r="E31" t="s">
        <v>156</v>
      </c>
      <c r="F31" t="s">
        <v>117</v>
      </c>
      <c r="H31">
        <v>91.25</v>
      </c>
      <c r="I31">
        <v>50</v>
      </c>
      <c r="J31">
        <v>0.9</v>
      </c>
      <c r="K31">
        <v>0.05</v>
      </c>
      <c r="L31">
        <f>$AC$12</f>
        <v>1.3</v>
      </c>
      <c r="N31">
        <v>560</v>
      </c>
      <c r="P31">
        <v>0.99</v>
      </c>
      <c r="Q31">
        <f t="shared" si="5"/>
        <v>1.2750000000000001</v>
      </c>
      <c r="S31">
        <f t="shared" si="2"/>
        <v>13.251670083427502</v>
      </c>
      <c r="T31">
        <f t="shared" si="3"/>
        <v>0.27430957072694928</v>
      </c>
      <c r="U31">
        <f t="shared" si="0"/>
        <v>1251.537416441706</v>
      </c>
      <c r="X31" t="s">
        <v>121</v>
      </c>
      <c r="Y31" t="s">
        <v>122</v>
      </c>
      <c r="Z31">
        <v>0.1</v>
      </c>
      <c r="AA31">
        <v>0</v>
      </c>
      <c r="AB31">
        <v>-0.27</v>
      </c>
      <c r="AC31">
        <v>0.22</v>
      </c>
      <c r="AD31">
        <v>0.22</v>
      </c>
      <c r="AE31">
        <v>-0.55000000000000004</v>
      </c>
      <c r="AF31">
        <v>-0.55000000000000004</v>
      </c>
      <c r="AG31">
        <v>-0.8</v>
      </c>
      <c r="AH31">
        <v>-0.27</v>
      </c>
      <c r="AI31">
        <v>-0.27</v>
      </c>
      <c r="AJ31">
        <v>-7.0000000000000007E-2</v>
      </c>
      <c r="AK31">
        <v>-0.06</v>
      </c>
      <c r="AL31">
        <v>-0.06</v>
      </c>
      <c r="AM31">
        <v>0.04</v>
      </c>
      <c r="AN31">
        <v>4</v>
      </c>
      <c r="AP31" s="18"/>
      <c r="AQ31" s="20"/>
      <c r="AR31" s="8" t="s">
        <v>119</v>
      </c>
      <c r="AS31" s="8">
        <v>0.77</v>
      </c>
      <c r="AT31" s="8">
        <v>0</v>
      </c>
      <c r="AU31" s="8">
        <v>0.66</v>
      </c>
      <c r="AV31" s="8">
        <v>0.22</v>
      </c>
      <c r="AW31" s="8">
        <v>0</v>
      </c>
      <c r="AX31" s="8">
        <v>0</v>
      </c>
      <c r="AY31" s="8">
        <v>0.66</v>
      </c>
      <c r="AZ31" s="8">
        <v>0</v>
      </c>
      <c r="BA31" s="8">
        <v>0</v>
      </c>
      <c r="BB31" s="8">
        <v>0</v>
      </c>
    </row>
    <row r="32" spans="5:54" x14ac:dyDescent="0.2">
      <c r="E32" t="s">
        <v>236</v>
      </c>
      <c r="F32" t="s">
        <v>119</v>
      </c>
      <c r="H32">
        <v>91.25</v>
      </c>
      <c r="I32">
        <v>100</v>
      </c>
      <c r="J32">
        <v>0</v>
      </c>
      <c r="K32">
        <v>0.9</v>
      </c>
      <c r="L32">
        <f>$AC$13</f>
        <v>1.1000000000000001</v>
      </c>
      <c r="N32">
        <v>550</v>
      </c>
      <c r="P32">
        <v>-0.1</v>
      </c>
      <c r="Q32">
        <f t="shared" si="5"/>
        <v>1.0900000000000001</v>
      </c>
      <c r="S32">
        <f t="shared" si="2"/>
        <v>8.9407206400000021</v>
      </c>
      <c r="T32">
        <f t="shared" si="3"/>
        <v>0.18507291724800004</v>
      </c>
      <c r="U32">
        <f t="shared" si="0"/>
        <v>1688.7903698880002</v>
      </c>
      <c r="X32" t="s">
        <v>117</v>
      </c>
      <c r="Y32" t="s">
        <v>146</v>
      </c>
      <c r="Z32">
        <v>0.4</v>
      </c>
      <c r="AA32">
        <v>0.55000000000000004</v>
      </c>
      <c r="AB32">
        <v>1</v>
      </c>
      <c r="AC32">
        <v>0.99</v>
      </c>
      <c r="AD32">
        <v>0.99</v>
      </c>
      <c r="AE32">
        <v>0.22</v>
      </c>
      <c r="AF32">
        <v>0.22</v>
      </c>
      <c r="AG32">
        <v>0.17</v>
      </c>
      <c r="AH32">
        <v>0.21</v>
      </c>
      <c r="AI32">
        <v>0.15</v>
      </c>
      <c r="AJ32">
        <v>0.25</v>
      </c>
      <c r="AK32">
        <v>0.09</v>
      </c>
      <c r="AL32">
        <v>0.41</v>
      </c>
      <c r="AM32">
        <v>0.3</v>
      </c>
      <c r="AN32">
        <v>1</v>
      </c>
      <c r="AP32" s="20"/>
      <c r="AQ32" s="18"/>
      <c r="AR32" s="19" t="s">
        <v>120</v>
      </c>
      <c r="AS32" s="19">
        <v>0.9</v>
      </c>
      <c r="AT32" s="19">
        <v>-1.1000000000000001</v>
      </c>
      <c r="AU32" s="19">
        <v>0.7</v>
      </c>
      <c r="AV32" s="19">
        <v>0.22</v>
      </c>
      <c r="AW32" s="19">
        <v>-0.55000000000000004</v>
      </c>
      <c r="AX32" s="19">
        <v>-0.55000000000000004</v>
      </c>
      <c r="AY32" s="19">
        <v>0.8</v>
      </c>
      <c r="AZ32" s="19">
        <v>-0.22</v>
      </c>
      <c r="BA32" s="19">
        <v>-0.22</v>
      </c>
      <c r="BB32" s="19">
        <v>-0.22</v>
      </c>
    </row>
    <row r="33" spans="5:54" x14ac:dyDescent="0.2">
      <c r="F33" t="s">
        <v>120</v>
      </c>
      <c r="H33">
        <v>91.25</v>
      </c>
      <c r="I33">
        <v>90</v>
      </c>
      <c r="J33">
        <v>0</v>
      </c>
      <c r="K33">
        <v>0</v>
      </c>
      <c r="L33">
        <f>$AC$14</f>
        <v>0</v>
      </c>
      <c r="N33">
        <v>450</v>
      </c>
      <c r="P33">
        <v>0.2</v>
      </c>
      <c r="Q33">
        <f t="shared" si="5"/>
        <v>1</v>
      </c>
      <c r="S33">
        <f t="shared" si="2"/>
        <v>7.6424602500000001</v>
      </c>
      <c r="T33">
        <f t="shared" si="3"/>
        <v>0.158198927175</v>
      </c>
      <c r="U33">
        <f t="shared" si="0"/>
        <v>1299.2086894246875</v>
      </c>
      <c r="X33" t="s">
        <v>119</v>
      </c>
      <c r="Y33" t="s">
        <v>146</v>
      </c>
      <c r="Z33">
        <v>0.7</v>
      </c>
      <c r="AA33">
        <v>0.22</v>
      </c>
      <c r="AB33">
        <v>0.55000000000000004</v>
      </c>
      <c r="AC33">
        <v>0.33</v>
      </c>
      <c r="AD33">
        <v>0.33</v>
      </c>
      <c r="AE33">
        <v>0.66</v>
      </c>
      <c r="AF33">
        <v>0.44</v>
      </c>
      <c r="AG33">
        <v>0.54</v>
      </c>
      <c r="AH33">
        <v>0.22</v>
      </c>
      <c r="AI33">
        <v>0.4</v>
      </c>
      <c r="AJ33">
        <v>0.56999999999999995</v>
      </c>
      <c r="AK33">
        <v>0.51</v>
      </c>
      <c r="AL33">
        <v>0.54</v>
      </c>
      <c r="AM33">
        <v>0.32</v>
      </c>
      <c r="AN33">
        <v>2</v>
      </c>
      <c r="AP33" s="18"/>
      <c r="AQ33" s="20"/>
      <c r="AR33" s="8" t="s">
        <v>121</v>
      </c>
      <c r="AS33" s="8">
        <v>0.88</v>
      </c>
      <c r="AT33" s="8">
        <v>0</v>
      </c>
      <c r="AU33" s="8">
        <v>0.77</v>
      </c>
      <c r="AV33" s="21">
        <v>0.55000000000000004</v>
      </c>
      <c r="AW33" s="21">
        <v>0</v>
      </c>
      <c r="AX33" s="21">
        <v>0</v>
      </c>
      <c r="AY33" s="21">
        <v>0.82</v>
      </c>
      <c r="AZ33" s="21">
        <v>0</v>
      </c>
      <c r="BA33" s="21">
        <v>0</v>
      </c>
      <c r="BB33" s="21">
        <v>0</v>
      </c>
    </row>
    <row r="34" spans="5:54" x14ac:dyDescent="0.2">
      <c r="F34" t="s">
        <v>121</v>
      </c>
      <c r="H34">
        <v>91.25</v>
      </c>
      <c r="I34">
        <v>80</v>
      </c>
      <c r="J34">
        <v>0</v>
      </c>
      <c r="K34">
        <v>0</v>
      </c>
      <c r="L34">
        <f>$AC$14</f>
        <v>0</v>
      </c>
      <c r="N34">
        <v>470</v>
      </c>
      <c r="P34">
        <v>0.22</v>
      </c>
      <c r="Q34">
        <f t="shared" si="1"/>
        <v>1</v>
      </c>
      <c r="S34">
        <f t="shared" si="2"/>
        <v>7.9172453376000016</v>
      </c>
      <c r="T34">
        <f t="shared" si="3"/>
        <v>0.16388697848832004</v>
      </c>
      <c r="U34">
        <f t="shared" si="0"/>
        <v>1196.3749429647364</v>
      </c>
      <c r="X34" t="s">
        <v>120</v>
      </c>
      <c r="Y34" t="s">
        <v>146</v>
      </c>
      <c r="Z34">
        <v>0.3</v>
      </c>
      <c r="AA34">
        <v>0.22</v>
      </c>
      <c r="AB34">
        <v>0.11</v>
      </c>
      <c r="AC34">
        <v>0.44</v>
      </c>
      <c r="AD34">
        <v>0.22</v>
      </c>
      <c r="AE34">
        <v>0.22</v>
      </c>
      <c r="AF34">
        <v>0.55000000000000004</v>
      </c>
      <c r="AG34">
        <v>0.45</v>
      </c>
      <c r="AH34">
        <v>0.25</v>
      </c>
      <c r="AI34">
        <v>0.38</v>
      </c>
      <c r="AJ34">
        <v>0.41</v>
      </c>
      <c r="AK34">
        <v>0.34</v>
      </c>
      <c r="AL34">
        <v>0.36</v>
      </c>
      <c r="AM34">
        <v>0.27</v>
      </c>
      <c r="AN34">
        <v>3</v>
      </c>
      <c r="AP34" s="20"/>
      <c r="AQ34" s="18" t="s">
        <v>134</v>
      </c>
      <c r="AR34" s="19" t="s">
        <v>117</v>
      </c>
      <c r="AS34" s="19">
        <v>1</v>
      </c>
      <c r="AT34" s="19">
        <v>0.5</v>
      </c>
      <c r="AU34" s="19">
        <v>1</v>
      </c>
      <c r="AV34" s="22">
        <v>1</v>
      </c>
      <c r="AW34" s="22">
        <v>-0.44</v>
      </c>
      <c r="AX34" s="22">
        <v>-0.44</v>
      </c>
      <c r="AY34" s="22">
        <v>1</v>
      </c>
      <c r="AZ34" s="22">
        <v>0.5</v>
      </c>
      <c r="BA34" s="22">
        <v>0.5</v>
      </c>
      <c r="BB34" s="22">
        <v>0.5</v>
      </c>
    </row>
    <row r="35" spans="5:54" x14ac:dyDescent="0.2">
      <c r="E35" t="s">
        <v>169</v>
      </c>
      <c r="F35" t="s">
        <v>117</v>
      </c>
      <c r="H35">
        <v>91.25</v>
      </c>
      <c r="I35">
        <v>30</v>
      </c>
      <c r="J35">
        <v>0</v>
      </c>
      <c r="K35">
        <v>0</v>
      </c>
      <c r="L35">
        <v>0</v>
      </c>
      <c r="N35">
        <v>510</v>
      </c>
      <c r="P35">
        <v>0.77</v>
      </c>
      <c r="Q35">
        <f t="shared" si="1"/>
        <v>1</v>
      </c>
      <c r="S35">
        <f t="shared" si="2"/>
        <v>9.4045875560999992</v>
      </c>
      <c r="T35">
        <f t="shared" si="3"/>
        <v>0.19467496241126997</v>
      </c>
      <c r="U35">
        <f t="shared" si="0"/>
        <v>532.92270960085148</v>
      </c>
      <c r="X35" t="s">
        <v>121</v>
      </c>
      <c r="Y35" t="s">
        <v>146</v>
      </c>
      <c r="Z35">
        <v>0.2</v>
      </c>
      <c r="AA35">
        <v>0.55000000000000004</v>
      </c>
      <c r="AB35">
        <v>0.22</v>
      </c>
      <c r="AC35">
        <v>0.22</v>
      </c>
      <c r="AD35">
        <v>0.11</v>
      </c>
      <c r="AE35">
        <v>0.11</v>
      </c>
      <c r="AF35">
        <v>0.11</v>
      </c>
      <c r="AG35">
        <v>0.09</v>
      </c>
      <c r="AH35">
        <v>0.28999999999999998</v>
      </c>
      <c r="AI35">
        <v>0.09</v>
      </c>
      <c r="AJ35">
        <v>-0.09</v>
      </c>
      <c r="AK35">
        <v>0.19</v>
      </c>
      <c r="AL35">
        <v>0.18</v>
      </c>
      <c r="AM35">
        <v>0.18</v>
      </c>
      <c r="AN35">
        <v>4</v>
      </c>
      <c r="AP35" s="18"/>
      <c r="AQ35" s="20"/>
      <c r="AR35" s="8" t="s">
        <v>119</v>
      </c>
      <c r="AS35" s="8">
        <v>0.82</v>
      </c>
      <c r="AT35" s="8">
        <v>0.55000000000000004</v>
      </c>
      <c r="AU35" s="8">
        <v>0.71</v>
      </c>
      <c r="AV35" s="21">
        <v>0.55000000000000004</v>
      </c>
      <c r="AW35" s="21">
        <v>0.99</v>
      </c>
      <c r="AX35" s="21">
        <v>0.99</v>
      </c>
      <c r="AY35" s="21">
        <v>0.77</v>
      </c>
      <c r="AZ35" s="21">
        <v>0.5</v>
      </c>
      <c r="BA35" s="21">
        <v>0.5</v>
      </c>
      <c r="BB35" s="21">
        <v>0.5</v>
      </c>
    </row>
    <row r="36" spans="5:54" x14ac:dyDescent="0.2">
      <c r="E36" t="s">
        <v>237</v>
      </c>
      <c r="F36" t="s">
        <v>119</v>
      </c>
      <c r="H36">
        <v>91.25</v>
      </c>
      <c r="I36">
        <v>70</v>
      </c>
      <c r="J36">
        <v>0</v>
      </c>
      <c r="K36">
        <v>0</v>
      </c>
      <c r="L36">
        <v>0</v>
      </c>
      <c r="N36">
        <v>520</v>
      </c>
      <c r="P36">
        <v>0.11</v>
      </c>
      <c r="Q36">
        <f t="shared" si="1"/>
        <v>1</v>
      </c>
      <c r="S36">
        <f t="shared" si="2"/>
        <v>8.2794883080999995</v>
      </c>
      <c r="T36">
        <f t="shared" si="3"/>
        <v>0.17138540797766999</v>
      </c>
      <c r="U36">
        <f t="shared" si="0"/>
        <v>1094.7242934573671</v>
      </c>
      <c r="X36" t="s">
        <v>117</v>
      </c>
      <c r="Y36" t="s">
        <v>152</v>
      </c>
      <c r="Z36">
        <v>0.3</v>
      </c>
      <c r="AA36">
        <v>0.55000000000000004</v>
      </c>
      <c r="AB36">
        <v>0.55000000000000004</v>
      </c>
      <c r="AC36">
        <v>0.99</v>
      </c>
      <c r="AD36">
        <v>0.66</v>
      </c>
      <c r="AE36">
        <v>-0.22</v>
      </c>
      <c r="AF36">
        <v>-0.33</v>
      </c>
      <c r="AG36">
        <v>0.18</v>
      </c>
      <c r="AH36">
        <v>0.18</v>
      </c>
      <c r="AI36">
        <v>0.08</v>
      </c>
      <c r="AJ36">
        <v>7.0000000000000007E-2</v>
      </c>
      <c r="AK36">
        <v>0.41</v>
      </c>
      <c r="AL36">
        <v>0.06</v>
      </c>
      <c r="AM36">
        <v>0.23</v>
      </c>
      <c r="AN36">
        <v>1</v>
      </c>
      <c r="AP36" s="20"/>
      <c r="AQ36" s="18"/>
      <c r="AR36" s="19" t="s">
        <v>120</v>
      </c>
      <c r="AS36" s="19">
        <v>0.77</v>
      </c>
      <c r="AT36" s="19">
        <v>0.5</v>
      </c>
      <c r="AU36" s="19">
        <v>0.55000000000000004</v>
      </c>
      <c r="AV36" s="22">
        <v>0.11</v>
      </c>
      <c r="AW36" s="22">
        <v>-0.33</v>
      </c>
      <c r="AX36" s="22">
        <v>-0.33</v>
      </c>
      <c r="AY36" s="22">
        <v>0.6</v>
      </c>
      <c r="AZ36" s="22">
        <v>0.33</v>
      </c>
      <c r="BA36" s="22">
        <v>0.33</v>
      </c>
      <c r="BB36" s="22">
        <v>0.33</v>
      </c>
    </row>
    <row r="37" spans="5:54" x14ac:dyDescent="0.2">
      <c r="F37" t="s">
        <v>120</v>
      </c>
      <c r="H37">
        <v>91.25</v>
      </c>
      <c r="I37">
        <v>40</v>
      </c>
      <c r="J37">
        <v>0</v>
      </c>
      <c r="K37">
        <v>0</v>
      </c>
      <c r="L37">
        <v>0</v>
      </c>
      <c r="N37">
        <v>410</v>
      </c>
      <c r="P37">
        <v>0.2</v>
      </c>
      <c r="Q37">
        <f t="shared" si="1"/>
        <v>1</v>
      </c>
      <c r="S37">
        <f t="shared" si="2"/>
        <v>7.1414010756000028</v>
      </c>
      <c r="T37">
        <f t="shared" si="3"/>
        <v>0.14782700226492007</v>
      </c>
      <c r="U37">
        <f t="shared" si="0"/>
        <v>539.56855826695823</v>
      </c>
      <c r="X37" t="s">
        <v>119</v>
      </c>
      <c r="Y37" t="s">
        <v>152</v>
      </c>
      <c r="Z37">
        <v>0.3</v>
      </c>
      <c r="AA37">
        <v>0</v>
      </c>
      <c r="AB37">
        <v>0.44</v>
      </c>
      <c r="AC37">
        <v>-0.1</v>
      </c>
      <c r="AD37">
        <v>-0.22</v>
      </c>
      <c r="AE37">
        <v>0.55000000000000004</v>
      </c>
      <c r="AF37">
        <v>0.66</v>
      </c>
      <c r="AG37">
        <v>0.38</v>
      </c>
      <c r="AH37">
        <v>0.24</v>
      </c>
      <c r="AI37">
        <v>0.38</v>
      </c>
      <c r="AJ37">
        <v>0.76</v>
      </c>
      <c r="AK37">
        <v>0.18</v>
      </c>
      <c r="AL37">
        <v>0.53</v>
      </c>
      <c r="AM37">
        <v>0.47</v>
      </c>
      <c r="AN37">
        <v>2</v>
      </c>
      <c r="AP37" s="18"/>
      <c r="AQ37" s="20"/>
      <c r="AR37" s="8" t="s">
        <v>121</v>
      </c>
      <c r="AS37" s="8">
        <v>0.11</v>
      </c>
      <c r="AT37" s="8">
        <v>-0.27</v>
      </c>
      <c r="AU37" s="8">
        <v>0.11</v>
      </c>
      <c r="AV37" s="21">
        <v>0.22</v>
      </c>
      <c r="AW37" s="21">
        <v>-0.44</v>
      </c>
      <c r="AX37" s="21">
        <v>-0.44</v>
      </c>
      <c r="AY37" s="21">
        <v>0.16</v>
      </c>
      <c r="AZ37" s="21">
        <v>-0.22</v>
      </c>
      <c r="BA37" s="21">
        <v>-0.22</v>
      </c>
      <c r="BB37" s="21">
        <v>-0.22</v>
      </c>
    </row>
    <row r="38" spans="5:54" x14ac:dyDescent="0.2">
      <c r="F38" t="s">
        <v>121</v>
      </c>
      <c r="H38">
        <v>91.25</v>
      </c>
      <c r="I38">
        <v>20</v>
      </c>
      <c r="J38">
        <v>0</v>
      </c>
      <c r="K38">
        <v>0</v>
      </c>
      <c r="L38">
        <v>0</v>
      </c>
      <c r="N38">
        <v>440</v>
      </c>
      <c r="P38">
        <v>0.33</v>
      </c>
      <c r="Q38">
        <f t="shared" si="1"/>
        <v>1</v>
      </c>
      <c r="S38">
        <f t="shared" si="2"/>
        <v>7.7461465761000019</v>
      </c>
      <c r="T38">
        <f t="shared" si="3"/>
        <v>0.16034523412527002</v>
      </c>
      <c r="U38">
        <f t="shared" si="0"/>
        <v>292.63005227861777</v>
      </c>
      <c r="X38" t="s">
        <v>120</v>
      </c>
      <c r="Y38" t="s">
        <v>152</v>
      </c>
      <c r="Z38">
        <v>0.2</v>
      </c>
      <c r="AA38">
        <v>-0.55000000000000004</v>
      </c>
      <c r="AB38">
        <v>-0.33</v>
      </c>
      <c r="AC38">
        <v>0.2</v>
      </c>
      <c r="AD38">
        <v>-0.55000000000000004</v>
      </c>
      <c r="AE38">
        <v>0.22</v>
      </c>
      <c r="AF38">
        <v>0.11</v>
      </c>
      <c r="AG38">
        <v>0.35</v>
      </c>
      <c r="AH38">
        <v>0.28999999999999998</v>
      </c>
      <c r="AI38">
        <v>0.36</v>
      </c>
      <c r="AJ38">
        <v>0.4</v>
      </c>
      <c r="AK38">
        <v>0.02</v>
      </c>
      <c r="AL38">
        <v>0.26</v>
      </c>
      <c r="AM38">
        <v>0.3</v>
      </c>
      <c r="AN38">
        <v>3</v>
      </c>
      <c r="AP38" s="20"/>
      <c r="AQ38" s="18" t="s">
        <v>135</v>
      </c>
      <c r="AR38" s="19" t="s">
        <v>117</v>
      </c>
      <c r="AS38" s="19">
        <v>1.1000000000000001</v>
      </c>
      <c r="AT38" s="19">
        <v>1.1000000000000001</v>
      </c>
      <c r="AU38" s="19">
        <v>1.1000000000000001</v>
      </c>
      <c r="AV38" s="22">
        <v>0.99</v>
      </c>
      <c r="AW38" s="22">
        <v>0.99</v>
      </c>
      <c r="AX38" s="22">
        <v>0.99</v>
      </c>
      <c r="AY38" s="22">
        <v>1.1000000000000001</v>
      </c>
      <c r="AZ38" s="22">
        <v>0.77</v>
      </c>
      <c r="BA38" s="22">
        <v>0.77</v>
      </c>
      <c r="BB38" s="22">
        <v>0.77</v>
      </c>
    </row>
    <row r="39" spans="5:54" x14ac:dyDescent="0.2">
      <c r="E39" t="s">
        <v>171</v>
      </c>
      <c r="F39" t="s">
        <v>117</v>
      </c>
      <c r="H39">
        <v>91.25</v>
      </c>
      <c r="I39">
        <v>30</v>
      </c>
      <c r="J39">
        <v>0</v>
      </c>
      <c r="K39">
        <v>0</v>
      </c>
      <c r="L39">
        <v>0</v>
      </c>
      <c r="N39">
        <v>510</v>
      </c>
      <c r="P39">
        <v>0.77</v>
      </c>
      <c r="Q39">
        <f t="shared" si="1"/>
        <v>1</v>
      </c>
      <c r="S39">
        <f t="shared" si="2"/>
        <v>9.4045875560999992</v>
      </c>
      <c r="T39">
        <f t="shared" si="3"/>
        <v>0.19467496241126997</v>
      </c>
      <c r="U39">
        <f t="shared" si="0"/>
        <v>532.92270960085148</v>
      </c>
      <c r="X39" t="s">
        <v>121</v>
      </c>
      <c r="Y39" t="s">
        <v>152</v>
      </c>
      <c r="Z39">
        <v>0.1</v>
      </c>
      <c r="AA39">
        <v>0</v>
      </c>
      <c r="AB39">
        <v>-0.44</v>
      </c>
      <c r="AC39">
        <v>0.22</v>
      </c>
      <c r="AD39">
        <v>0.11</v>
      </c>
      <c r="AE39">
        <v>-0.22</v>
      </c>
      <c r="AF39">
        <v>-0.44</v>
      </c>
      <c r="AG39">
        <v>0.12</v>
      </c>
      <c r="AH39">
        <v>0.19</v>
      </c>
      <c r="AI39">
        <v>0.16</v>
      </c>
      <c r="AJ39">
        <v>-0.13</v>
      </c>
      <c r="AK39">
        <v>-0.1</v>
      </c>
      <c r="AL39">
        <v>0.12</v>
      </c>
      <c r="AM39">
        <v>0.11</v>
      </c>
      <c r="AN39">
        <v>4</v>
      </c>
      <c r="AP39" s="18"/>
      <c r="AQ39" s="20"/>
      <c r="AR39" s="8" t="s">
        <v>119</v>
      </c>
      <c r="AS39" s="8">
        <v>0.33</v>
      </c>
      <c r="AT39" s="8">
        <v>0.33</v>
      </c>
      <c r="AU39" s="8">
        <v>0.22</v>
      </c>
      <c r="AV39" s="21">
        <v>0.33</v>
      </c>
      <c r="AW39" s="21">
        <v>-0.1</v>
      </c>
      <c r="AX39" s="21">
        <v>-0.1</v>
      </c>
      <c r="AY39" s="21">
        <v>0.33</v>
      </c>
      <c r="AZ39" s="21">
        <v>0.11</v>
      </c>
      <c r="BA39" s="21">
        <v>0.11</v>
      </c>
      <c r="BB39" s="21">
        <v>0.11</v>
      </c>
    </row>
    <row r="40" spans="5:54" x14ac:dyDescent="0.2">
      <c r="E40" t="s">
        <v>238</v>
      </c>
      <c r="F40" t="s">
        <v>119</v>
      </c>
      <c r="H40">
        <v>91.25</v>
      </c>
      <c r="I40">
        <v>100</v>
      </c>
      <c r="J40">
        <v>0</v>
      </c>
      <c r="K40">
        <v>0</v>
      </c>
      <c r="L40">
        <v>0</v>
      </c>
      <c r="N40">
        <v>520</v>
      </c>
      <c r="P40">
        <v>0.11</v>
      </c>
      <c r="Q40">
        <f t="shared" si="1"/>
        <v>1</v>
      </c>
      <c r="S40">
        <f t="shared" si="2"/>
        <v>8.2794883080999995</v>
      </c>
      <c r="T40">
        <f t="shared" si="3"/>
        <v>0.17138540797766999</v>
      </c>
      <c r="U40">
        <f t="shared" si="0"/>
        <v>1563.8918477962386</v>
      </c>
      <c r="X40" t="s">
        <v>117</v>
      </c>
      <c r="Y40" t="s">
        <v>141</v>
      </c>
      <c r="Z40">
        <v>0.5</v>
      </c>
      <c r="AA40">
        <v>0.88</v>
      </c>
      <c r="AB40">
        <v>1</v>
      </c>
      <c r="AC40">
        <v>1.1000000000000001</v>
      </c>
      <c r="AD40">
        <v>1.21</v>
      </c>
      <c r="AE40">
        <v>0.7</v>
      </c>
      <c r="AF40">
        <v>0.33</v>
      </c>
      <c r="AG40">
        <v>0.25</v>
      </c>
      <c r="AH40">
        <v>0.2</v>
      </c>
      <c r="AI40">
        <v>0</v>
      </c>
      <c r="AJ40">
        <v>0.38</v>
      </c>
      <c r="AK40">
        <v>0.41</v>
      </c>
      <c r="AL40">
        <v>0.37</v>
      </c>
      <c r="AM40">
        <v>0.24</v>
      </c>
      <c r="AN40">
        <v>1</v>
      </c>
      <c r="AP40" s="20"/>
      <c r="AQ40" s="18"/>
      <c r="AR40" s="19" t="s">
        <v>120</v>
      </c>
      <c r="AS40" s="19">
        <v>0.5</v>
      </c>
      <c r="AT40" s="19">
        <v>0.2</v>
      </c>
      <c r="AU40" s="19">
        <v>0.55000000000000004</v>
      </c>
      <c r="AV40" s="22">
        <v>0.44</v>
      </c>
      <c r="AW40" s="22">
        <v>0.2</v>
      </c>
      <c r="AX40" s="22">
        <v>0.2</v>
      </c>
      <c r="AY40" s="22">
        <v>0.55000000000000004</v>
      </c>
      <c r="AZ40" s="22">
        <v>0.2</v>
      </c>
      <c r="BA40" s="22">
        <v>0.2</v>
      </c>
      <c r="BB40" s="22">
        <v>0.2</v>
      </c>
    </row>
    <row r="41" spans="5:54" x14ac:dyDescent="0.2">
      <c r="F41" t="s">
        <v>120</v>
      </c>
      <c r="H41">
        <v>91.25</v>
      </c>
      <c r="I41">
        <v>40</v>
      </c>
      <c r="J41">
        <v>0</v>
      </c>
      <c r="K41">
        <v>0</v>
      </c>
      <c r="L41">
        <v>0</v>
      </c>
      <c r="N41">
        <v>410</v>
      </c>
      <c r="P41">
        <v>0.2</v>
      </c>
      <c r="Q41">
        <f t="shared" si="1"/>
        <v>1</v>
      </c>
      <c r="S41">
        <f t="shared" si="2"/>
        <v>7.1414010756000028</v>
      </c>
      <c r="T41">
        <f t="shared" si="3"/>
        <v>0.14782700226492007</v>
      </c>
      <c r="U41">
        <f t="shared" si="0"/>
        <v>539.56855826695823</v>
      </c>
      <c r="X41" t="s">
        <v>119</v>
      </c>
      <c r="Y41" t="s">
        <v>141</v>
      </c>
      <c r="Z41">
        <v>0.9</v>
      </c>
      <c r="AA41">
        <v>0.66</v>
      </c>
      <c r="AB41">
        <v>0.71</v>
      </c>
      <c r="AC41">
        <v>0.22</v>
      </c>
      <c r="AD41">
        <v>0.44</v>
      </c>
      <c r="AE41">
        <v>0.77</v>
      </c>
      <c r="AF41">
        <v>0.7</v>
      </c>
      <c r="AG41">
        <v>0.62</v>
      </c>
      <c r="AH41">
        <v>0.68</v>
      </c>
      <c r="AI41">
        <v>0.79</v>
      </c>
      <c r="AJ41">
        <v>0.8</v>
      </c>
      <c r="AK41">
        <v>0.65</v>
      </c>
      <c r="AL41">
        <v>0.31</v>
      </c>
      <c r="AM41">
        <v>0.25</v>
      </c>
      <c r="AN41">
        <v>2</v>
      </c>
      <c r="AP41" s="18"/>
      <c r="AQ41" s="20"/>
      <c r="AR41" s="8" t="s">
        <v>121</v>
      </c>
      <c r="AS41" s="8">
        <v>0.55000000000000004</v>
      </c>
      <c r="AT41" s="8">
        <v>0.22</v>
      </c>
      <c r="AU41" s="8">
        <v>0.49</v>
      </c>
      <c r="AV41" s="21">
        <v>0.22</v>
      </c>
      <c r="AW41" s="21">
        <v>0.22</v>
      </c>
      <c r="AX41" s="21">
        <v>0.22</v>
      </c>
      <c r="AY41" s="21">
        <v>0.49</v>
      </c>
      <c r="AZ41" s="21">
        <v>0.33</v>
      </c>
      <c r="BA41" s="21">
        <v>0.33</v>
      </c>
      <c r="BB41" s="21">
        <v>0.33</v>
      </c>
    </row>
    <row r="42" spans="5:54" x14ac:dyDescent="0.2">
      <c r="F42" t="s">
        <v>121</v>
      </c>
      <c r="H42">
        <v>91.25</v>
      </c>
      <c r="I42">
        <v>0</v>
      </c>
      <c r="J42">
        <v>0</v>
      </c>
      <c r="K42">
        <v>0</v>
      </c>
      <c r="L42">
        <v>0</v>
      </c>
      <c r="N42">
        <v>440</v>
      </c>
      <c r="P42">
        <v>0.33</v>
      </c>
      <c r="Q42">
        <f t="shared" si="1"/>
        <v>1</v>
      </c>
      <c r="S42">
        <f t="shared" si="2"/>
        <v>7.7461465761000019</v>
      </c>
      <c r="T42">
        <f t="shared" si="3"/>
        <v>0.16034523412527002</v>
      </c>
      <c r="U42">
        <f t="shared" si="0"/>
        <v>0</v>
      </c>
      <c r="X42" t="s">
        <v>120</v>
      </c>
      <c r="Y42" t="s">
        <v>141</v>
      </c>
      <c r="Z42">
        <v>0.7</v>
      </c>
      <c r="AA42">
        <v>0.7</v>
      </c>
      <c r="AB42">
        <v>0.55000000000000004</v>
      </c>
      <c r="AC42">
        <v>0.55000000000000004</v>
      </c>
      <c r="AD42">
        <v>0.6</v>
      </c>
      <c r="AE42">
        <v>0.88</v>
      </c>
      <c r="AF42">
        <v>0.55000000000000004</v>
      </c>
      <c r="AG42">
        <v>0.54</v>
      </c>
      <c r="AH42">
        <v>0.64</v>
      </c>
      <c r="AI42">
        <v>0.55000000000000004</v>
      </c>
      <c r="AJ42">
        <v>0.49</v>
      </c>
      <c r="AK42">
        <v>0.52</v>
      </c>
      <c r="AL42">
        <v>0.39</v>
      </c>
      <c r="AM42">
        <v>0.12</v>
      </c>
      <c r="AN42">
        <v>3</v>
      </c>
      <c r="AP42" s="20"/>
      <c r="AQ42" s="18" t="s">
        <v>255</v>
      </c>
      <c r="AR42" s="19" t="s">
        <v>117</v>
      </c>
      <c r="AS42" s="19">
        <v>1.64</v>
      </c>
      <c r="AT42" s="19">
        <v>1.1000000000000001</v>
      </c>
      <c r="AU42" s="19">
        <v>1.21</v>
      </c>
      <c r="AV42" s="22">
        <v>0.99</v>
      </c>
      <c r="AW42" s="22">
        <v>0.66</v>
      </c>
      <c r="AX42" s="22">
        <v>0.66</v>
      </c>
      <c r="AY42" s="22">
        <v>1.42</v>
      </c>
      <c r="AZ42" s="22">
        <v>1.1000000000000001</v>
      </c>
      <c r="BA42" s="22">
        <v>1.1000000000000001</v>
      </c>
      <c r="BB42" s="22">
        <v>1.1000000000000001</v>
      </c>
    </row>
    <row r="43" spans="5:54" x14ac:dyDescent="0.2">
      <c r="E43" t="s">
        <v>164</v>
      </c>
      <c r="F43" t="s">
        <v>117</v>
      </c>
      <c r="H43">
        <v>91.25</v>
      </c>
      <c r="I43">
        <v>20</v>
      </c>
      <c r="J43">
        <v>0</v>
      </c>
      <c r="K43">
        <v>0</v>
      </c>
      <c r="L43">
        <v>0</v>
      </c>
      <c r="N43">
        <v>240</v>
      </c>
      <c r="P43">
        <v>1.1000000000000001</v>
      </c>
      <c r="Q43">
        <f t="shared" si="1"/>
        <v>1</v>
      </c>
      <c r="S43">
        <f t="shared" si="2"/>
        <v>6.1075213955999983</v>
      </c>
      <c r="T43">
        <f t="shared" si="3"/>
        <v>0.12642569288891994</v>
      </c>
      <c r="U43">
        <f t="shared" si="0"/>
        <v>230.7268895222789</v>
      </c>
      <c r="X43" t="s">
        <v>121</v>
      </c>
      <c r="Y43" t="s">
        <v>141</v>
      </c>
      <c r="Z43">
        <v>0.4</v>
      </c>
      <c r="AA43">
        <v>0.77</v>
      </c>
      <c r="AB43">
        <v>0.11</v>
      </c>
      <c r="AC43">
        <v>0.49</v>
      </c>
      <c r="AD43">
        <v>0.77</v>
      </c>
      <c r="AE43">
        <v>0.22</v>
      </c>
      <c r="AF43">
        <v>0.11</v>
      </c>
      <c r="AG43">
        <v>0.22</v>
      </c>
      <c r="AH43">
        <v>0.31</v>
      </c>
      <c r="AI43">
        <v>0.02</v>
      </c>
      <c r="AJ43">
        <v>0.13</v>
      </c>
      <c r="AK43">
        <v>0.25</v>
      </c>
      <c r="AL43">
        <v>0.21</v>
      </c>
      <c r="AM43">
        <v>0.06</v>
      </c>
      <c r="AN43">
        <v>4</v>
      </c>
      <c r="AP43" s="18"/>
      <c r="AQ43" s="20"/>
      <c r="AR43" s="8" t="s">
        <v>119</v>
      </c>
      <c r="AS43" s="8">
        <v>0.44</v>
      </c>
      <c r="AT43" s="8">
        <v>-0.22</v>
      </c>
      <c r="AU43" s="8">
        <v>0.44</v>
      </c>
      <c r="AV43" s="21">
        <v>0.33</v>
      </c>
      <c r="AW43" s="21">
        <v>-0.22</v>
      </c>
      <c r="AX43" s="21">
        <v>-0.22</v>
      </c>
      <c r="AY43" s="21">
        <v>0.44</v>
      </c>
      <c r="AZ43" s="21">
        <v>-0.11</v>
      </c>
      <c r="BA43" s="21">
        <v>-0.11</v>
      </c>
      <c r="BB43" s="21">
        <v>-0.11</v>
      </c>
    </row>
    <row r="44" spans="5:54" x14ac:dyDescent="0.2">
      <c r="E44">
        <v>6</v>
      </c>
      <c r="F44" t="s">
        <v>119</v>
      </c>
      <c r="H44">
        <v>91.25</v>
      </c>
      <c r="I44">
        <v>40</v>
      </c>
      <c r="J44">
        <v>0</v>
      </c>
      <c r="K44">
        <v>0</v>
      </c>
      <c r="L44">
        <v>0</v>
      </c>
      <c r="N44">
        <v>270</v>
      </c>
      <c r="P44">
        <v>0.33</v>
      </c>
      <c r="Q44">
        <f t="shared" si="1"/>
        <v>1</v>
      </c>
      <c r="S44">
        <f t="shared" si="2"/>
        <v>5.4066015441000008</v>
      </c>
      <c r="T44">
        <f t="shared" si="3"/>
        <v>0.11191665196287003</v>
      </c>
      <c r="U44">
        <f t="shared" si="0"/>
        <v>408.49577966447561</v>
      </c>
      <c r="X44" t="s">
        <v>117</v>
      </c>
      <c r="Y44" t="s">
        <v>156</v>
      </c>
      <c r="Z44">
        <v>0.3</v>
      </c>
      <c r="AA44">
        <v>0.55000000000000004</v>
      </c>
      <c r="AB44">
        <v>0.55000000000000004</v>
      </c>
      <c r="AC44">
        <v>0.99</v>
      </c>
      <c r="AD44">
        <v>0.66</v>
      </c>
      <c r="AE44">
        <v>-0.22</v>
      </c>
      <c r="AF44">
        <v>-0.33</v>
      </c>
      <c r="AG44">
        <v>-0.28000000000000003</v>
      </c>
      <c r="AH44">
        <v>0.01</v>
      </c>
      <c r="AI44">
        <v>0.17</v>
      </c>
      <c r="AJ44">
        <v>0.05</v>
      </c>
      <c r="AK44">
        <v>-0.19</v>
      </c>
      <c r="AL44">
        <v>-0.02</v>
      </c>
      <c r="AM44">
        <v>-0.05</v>
      </c>
      <c r="AN44">
        <v>1</v>
      </c>
      <c r="AP44" s="20"/>
      <c r="AQ44" s="18"/>
      <c r="AR44" s="19" t="s">
        <v>120</v>
      </c>
      <c r="AS44" s="19">
        <v>0.6</v>
      </c>
      <c r="AT44" s="19">
        <v>0</v>
      </c>
      <c r="AU44" s="19">
        <v>0.6</v>
      </c>
      <c r="AV44" s="22">
        <v>0.22</v>
      </c>
      <c r="AW44" s="22">
        <v>-0.55000000000000004</v>
      </c>
      <c r="AX44" s="22">
        <v>-0.55000000000000004</v>
      </c>
      <c r="AY44" s="22">
        <v>0.6</v>
      </c>
      <c r="AZ44" s="22">
        <v>0</v>
      </c>
      <c r="BA44" s="22">
        <v>0</v>
      </c>
      <c r="BB44" s="22">
        <v>0</v>
      </c>
    </row>
    <row r="45" spans="5:54" x14ac:dyDescent="0.2">
      <c r="F45" t="s">
        <v>120</v>
      </c>
      <c r="H45">
        <v>91.25</v>
      </c>
      <c r="I45">
        <v>35</v>
      </c>
      <c r="J45">
        <v>0</v>
      </c>
      <c r="K45">
        <v>0</v>
      </c>
      <c r="L45">
        <v>0</v>
      </c>
      <c r="N45">
        <v>95</v>
      </c>
      <c r="P45">
        <v>0.55000000000000004</v>
      </c>
      <c r="Q45">
        <f t="shared" si="1"/>
        <v>1</v>
      </c>
      <c r="S45">
        <f t="shared" si="2"/>
        <v>3.1190562272249998</v>
      </c>
      <c r="T45">
        <f t="shared" si="3"/>
        <v>6.4564463903557495E-2</v>
      </c>
      <c r="U45">
        <f t="shared" si="0"/>
        <v>206.20275659198674</v>
      </c>
      <c r="X45" t="s">
        <v>119</v>
      </c>
      <c r="Y45" t="s">
        <v>156</v>
      </c>
      <c r="Z45">
        <v>0.3</v>
      </c>
      <c r="AA45">
        <v>0</v>
      </c>
      <c r="AB45">
        <v>0.44</v>
      </c>
      <c r="AC45">
        <v>-0.1</v>
      </c>
      <c r="AD45">
        <v>-0.22</v>
      </c>
      <c r="AE45">
        <v>0.55000000000000004</v>
      </c>
      <c r="AF45">
        <v>0.66</v>
      </c>
      <c r="AG45">
        <v>0.27</v>
      </c>
      <c r="AH45">
        <v>0.25</v>
      </c>
      <c r="AI45">
        <v>0.27</v>
      </c>
      <c r="AJ45">
        <v>0.49</v>
      </c>
      <c r="AK45">
        <v>0.63</v>
      </c>
      <c r="AL45">
        <v>0.15</v>
      </c>
      <c r="AM45">
        <v>0.31</v>
      </c>
      <c r="AN45">
        <v>2</v>
      </c>
      <c r="AP45" s="18"/>
      <c r="AQ45" s="20"/>
      <c r="AR45" s="8" t="s">
        <v>121</v>
      </c>
      <c r="AS45" s="8">
        <v>0.99</v>
      </c>
      <c r="AT45" s="8">
        <v>0.22</v>
      </c>
      <c r="AU45" s="8">
        <v>0.77</v>
      </c>
      <c r="AV45" s="21">
        <v>0.11</v>
      </c>
      <c r="AW45" s="21">
        <v>0.11</v>
      </c>
      <c r="AX45" s="21">
        <v>0.11</v>
      </c>
      <c r="AY45" s="21">
        <v>0.77</v>
      </c>
      <c r="AZ45" s="21">
        <v>0.44</v>
      </c>
      <c r="BA45" s="21">
        <v>0.44</v>
      </c>
      <c r="BB45" s="21">
        <v>0.44</v>
      </c>
    </row>
    <row r="46" spans="5:54" x14ac:dyDescent="0.2">
      <c r="F46" t="s">
        <v>121</v>
      </c>
      <c r="H46">
        <v>91.25</v>
      </c>
      <c r="I46">
        <v>30</v>
      </c>
      <c r="J46">
        <v>0</v>
      </c>
      <c r="K46">
        <v>0</v>
      </c>
      <c r="L46">
        <v>0</v>
      </c>
      <c r="N46">
        <v>140</v>
      </c>
      <c r="P46">
        <v>0.49</v>
      </c>
      <c r="Q46">
        <f t="shared" si="1"/>
        <v>1</v>
      </c>
      <c r="S46">
        <f t="shared" si="2"/>
        <v>3.7017375200999996</v>
      </c>
      <c r="T46">
        <f t="shared" si="3"/>
        <v>7.6625966666069981E-2</v>
      </c>
      <c r="U46">
        <f t="shared" si="0"/>
        <v>209.76358374836656</v>
      </c>
      <c r="X46" t="s">
        <v>120</v>
      </c>
      <c r="Y46" t="s">
        <v>156</v>
      </c>
      <c r="Z46">
        <v>0.2</v>
      </c>
      <c r="AA46">
        <v>-0.55000000000000004</v>
      </c>
      <c r="AB46">
        <v>-0.33</v>
      </c>
      <c r="AC46">
        <v>0.2</v>
      </c>
      <c r="AD46">
        <v>-0.55000000000000004</v>
      </c>
      <c r="AE46">
        <v>0.22</v>
      </c>
      <c r="AF46">
        <v>0.11</v>
      </c>
      <c r="AG46">
        <v>0.15</v>
      </c>
      <c r="AH46">
        <v>0.12</v>
      </c>
      <c r="AI46">
        <v>0.06</v>
      </c>
      <c r="AJ46">
        <v>0.17</v>
      </c>
      <c r="AK46">
        <v>0.04</v>
      </c>
      <c r="AL46">
        <v>0.11</v>
      </c>
      <c r="AM46">
        <v>0.08</v>
      </c>
      <c r="AN46">
        <v>3</v>
      </c>
      <c r="AP46" s="20"/>
      <c r="AQ46" s="18" t="s">
        <v>256</v>
      </c>
      <c r="AR46" s="19" t="s">
        <v>117</v>
      </c>
      <c r="AS46" s="19">
        <v>0.7</v>
      </c>
      <c r="AT46" s="19">
        <v>-0.55000000000000004</v>
      </c>
      <c r="AU46" s="19">
        <v>0.7</v>
      </c>
      <c r="AV46" s="22">
        <v>0.22</v>
      </c>
      <c r="AW46" s="22">
        <v>-0.22</v>
      </c>
      <c r="AX46" s="22">
        <v>-0.22</v>
      </c>
      <c r="AY46" s="22">
        <v>0.7</v>
      </c>
      <c r="AZ46" s="22">
        <v>-0.22</v>
      </c>
      <c r="BA46" s="22">
        <v>-0.22</v>
      </c>
      <c r="BB46" s="22">
        <v>-0.22</v>
      </c>
    </row>
    <row r="47" spans="5:54" x14ac:dyDescent="0.2">
      <c r="E47" t="s">
        <v>176</v>
      </c>
      <c r="F47" t="s">
        <v>117</v>
      </c>
      <c r="H47">
        <v>91.25</v>
      </c>
      <c r="I47">
        <v>30</v>
      </c>
      <c r="J47">
        <v>0</v>
      </c>
      <c r="K47">
        <v>0</v>
      </c>
      <c r="L47">
        <v>0</v>
      </c>
      <c r="N47">
        <v>510</v>
      </c>
      <c r="P47">
        <v>0.77</v>
      </c>
      <c r="Q47">
        <f t="shared" si="1"/>
        <v>1</v>
      </c>
      <c r="S47">
        <f t="shared" si="2"/>
        <v>9.4045875560999992</v>
      </c>
      <c r="T47">
        <f t="shared" si="3"/>
        <v>0.19467496241126997</v>
      </c>
      <c r="U47">
        <f t="shared" si="0"/>
        <v>532.92270960085148</v>
      </c>
      <c r="X47" t="s">
        <v>121</v>
      </c>
      <c r="Y47" t="s">
        <v>156</v>
      </c>
      <c r="Z47">
        <v>0.1</v>
      </c>
      <c r="AA47">
        <v>0</v>
      </c>
      <c r="AB47">
        <v>-0.44</v>
      </c>
      <c r="AC47">
        <v>0.22</v>
      </c>
      <c r="AD47">
        <v>0.11</v>
      </c>
      <c r="AE47">
        <v>-0.22</v>
      </c>
      <c r="AF47">
        <v>-0.44</v>
      </c>
      <c r="AG47">
        <v>0.02</v>
      </c>
      <c r="AH47">
        <v>0.04</v>
      </c>
      <c r="AI47">
        <v>-0.04</v>
      </c>
      <c r="AJ47">
        <v>7.0000000000000007E-2</v>
      </c>
      <c r="AK47">
        <v>-0.02</v>
      </c>
      <c r="AL47">
        <v>0.06</v>
      </c>
      <c r="AM47">
        <v>-7.0000000000000007E-2</v>
      </c>
      <c r="AN47">
        <v>4</v>
      </c>
      <c r="AP47" s="18"/>
      <c r="AQ47" s="20"/>
      <c r="AR47" s="8" t="s">
        <v>119</v>
      </c>
      <c r="AS47" s="8">
        <v>0.77</v>
      </c>
      <c r="AT47" s="8">
        <v>0.55000000000000004</v>
      </c>
      <c r="AU47" s="8">
        <v>0.77</v>
      </c>
      <c r="AV47" s="21">
        <v>0.66</v>
      </c>
      <c r="AW47" s="21">
        <v>0.55000000000000004</v>
      </c>
      <c r="AX47" s="21">
        <v>0.55000000000000004</v>
      </c>
      <c r="AY47" s="21">
        <v>0.77</v>
      </c>
      <c r="AZ47" s="21">
        <v>0.33</v>
      </c>
      <c r="BA47" s="21">
        <v>0.33</v>
      </c>
      <c r="BB47" s="21">
        <v>0.33</v>
      </c>
    </row>
    <row r="48" spans="5:54" x14ac:dyDescent="0.2">
      <c r="E48" t="s">
        <v>239</v>
      </c>
      <c r="F48" t="s">
        <v>119</v>
      </c>
      <c r="H48">
        <v>91.25</v>
      </c>
      <c r="I48">
        <v>35</v>
      </c>
      <c r="J48">
        <v>0</v>
      </c>
      <c r="K48">
        <v>0</v>
      </c>
      <c r="L48">
        <v>0</v>
      </c>
      <c r="N48">
        <v>520</v>
      </c>
      <c r="P48">
        <v>0.11</v>
      </c>
      <c r="Q48">
        <f t="shared" si="1"/>
        <v>1</v>
      </c>
      <c r="S48">
        <f t="shared" si="2"/>
        <v>8.2794883080999995</v>
      </c>
      <c r="T48">
        <f t="shared" si="3"/>
        <v>0.17138540797766999</v>
      </c>
      <c r="U48">
        <f t="shared" si="0"/>
        <v>547.36214672868357</v>
      </c>
      <c r="X48" t="s">
        <v>117</v>
      </c>
      <c r="Y48" t="s">
        <v>169</v>
      </c>
      <c r="Z48">
        <v>0.4</v>
      </c>
      <c r="AA48">
        <v>0.22</v>
      </c>
      <c r="AB48">
        <v>0.5</v>
      </c>
      <c r="AC48">
        <v>0.77</v>
      </c>
      <c r="AD48">
        <v>1.1000000000000001</v>
      </c>
      <c r="AE48">
        <v>-0.22</v>
      </c>
      <c r="AF48">
        <v>-0.66</v>
      </c>
      <c r="AG48">
        <v>0.24</v>
      </c>
      <c r="AH48">
        <v>0.09</v>
      </c>
      <c r="AI48">
        <v>0.02</v>
      </c>
      <c r="AJ48">
        <v>0.55000000000000004</v>
      </c>
      <c r="AK48">
        <v>1.07</v>
      </c>
      <c r="AL48">
        <v>0.44</v>
      </c>
      <c r="AM48">
        <v>0.3</v>
      </c>
      <c r="AN48">
        <v>1</v>
      </c>
      <c r="AP48" s="20"/>
      <c r="AQ48" s="18"/>
      <c r="AR48" s="19" t="s">
        <v>120</v>
      </c>
      <c r="AS48" s="19">
        <v>0.88</v>
      </c>
      <c r="AT48" s="19">
        <v>0.55000000000000004</v>
      </c>
      <c r="AU48" s="19">
        <v>0.88</v>
      </c>
      <c r="AV48" s="22">
        <v>0.22</v>
      </c>
      <c r="AW48" s="22">
        <v>0.22</v>
      </c>
      <c r="AX48" s="22">
        <v>0.22</v>
      </c>
      <c r="AY48" s="22">
        <v>0.88</v>
      </c>
      <c r="AZ48" s="22">
        <v>0.22</v>
      </c>
      <c r="BA48" s="22">
        <v>0.22</v>
      </c>
      <c r="BB48" s="22">
        <v>0.22</v>
      </c>
    </row>
    <row r="49" spans="1:54" x14ac:dyDescent="0.2">
      <c r="F49" t="s">
        <v>120</v>
      </c>
      <c r="H49">
        <v>91.25</v>
      </c>
      <c r="I49">
        <v>20</v>
      </c>
      <c r="J49">
        <v>0</v>
      </c>
      <c r="K49">
        <v>0</v>
      </c>
      <c r="L49">
        <v>0</v>
      </c>
      <c r="N49">
        <v>410</v>
      </c>
      <c r="P49">
        <v>0.2</v>
      </c>
      <c r="Q49">
        <f t="shared" si="1"/>
        <v>1</v>
      </c>
      <c r="S49">
        <f t="shared" si="2"/>
        <v>7.1414010756000028</v>
      </c>
      <c r="T49">
        <f t="shared" si="3"/>
        <v>0.14782700226492007</v>
      </c>
      <c r="U49">
        <f t="shared" si="0"/>
        <v>269.78427913347912</v>
      </c>
      <c r="X49" t="s">
        <v>119</v>
      </c>
      <c r="Y49" t="s">
        <v>169</v>
      </c>
      <c r="Z49">
        <v>0.4</v>
      </c>
      <c r="AA49">
        <v>0</v>
      </c>
      <c r="AB49">
        <v>0.5</v>
      </c>
      <c r="AC49">
        <v>0.11</v>
      </c>
      <c r="AD49">
        <v>-0.11</v>
      </c>
      <c r="AE49">
        <v>0.33</v>
      </c>
      <c r="AF49">
        <v>0.55000000000000004</v>
      </c>
      <c r="AG49">
        <v>0.64</v>
      </c>
      <c r="AH49">
        <v>0.37</v>
      </c>
      <c r="AI49">
        <v>0.16</v>
      </c>
      <c r="AJ49">
        <v>0.51</v>
      </c>
      <c r="AK49">
        <v>0.48</v>
      </c>
      <c r="AL49">
        <v>0.56999999999999995</v>
      </c>
      <c r="AM49">
        <v>0.4</v>
      </c>
      <c r="AN49">
        <v>2</v>
      </c>
      <c r="AP49" s="18"/>
      <c r="AQ49" s="20"/>
      <c r="AR49" s="8" t="s">
        <v>121</v>
      </c>
      <c r="AS49" s="8">
        <v>0.22</v>
      </c>
      <c r="AT49" s="8">
        <v>-0.55000000000000004</v>
      </c>
      <c r="AU49" s="8">
        <v>0.22</v>
      </c>
      <c r="AV49" s="23">
        <v>0.11</v>
      </c>
      <c r="AW49" s="23">
        <v>-0.22</v>
      </c>
      <c r="AX49" s="23">
        <v>-0.22</v>
      </c>
      <c r="AY49" s="23">
        <v>0.22</v>
      </c>
      <c r="AZ49" s="23">
        <v>-0.33</v>
      </c>
      <c r="BA49" s="23">
        <v>-0.33</v>
      </c>
      <c r="BB49" s="23">
        <v>-0.33</v>
      </c>
    </row>
    <row r="50" spans="1:54" x14ac:dyDescent="0.2">
      <c r="F50" t="s">
        <v>121</v>
      </c>
      <c r="H50">
        <v>91.25</v>
      </c>
      <c r="I50">
        <v>0</v>
      </c>
      <c r="J50">
        <v>0</v>
      </c>
      <c r="K50">
        <v>0</v>
      </c>
      <c r="L50">
        <v>0</v>
      </c>
      <c r="N50">
        <v>440</v>
      </c>
      <c r="P50">
        <v>0.33</v>
      </c>
      <c r="Q50">
        <f t="shared" si="1"/>
        <v>1</v>
      </c>
      <c r="S50">
        <f t="shared" si="2"/>
        <v>7.7461465761000019</v>
      </c>
      <c r="T50">
        <f t="shared" si="3"/>
        <v>0.16034523412527002</v>
      </c>
      <c r="U50">
        <f t="shared" si="0"/>
        <v>0</v>
      </c>
      <c r="X50" t="s">
        <v>120</v>
      </c>
      <c r="Y50" t="s">
        <v>169</v>
      </c>
      <c r="Z50">
        <v>0.3</v>
      </c>
      <c r="AA50">
        <v>-0.22</v>
      </c>
      <c r="AB50">
        <v>0.33</v>
      </c>
      <c r="AC50">
        <v>0.2</v>
      </c>
      <c r="AD50">
        <v>0</v>
      </c>
      <c r="AE50">
        <v>0.22</v>
      </c>
      <c r="AF50">
        <v>0.44</v>
      </c>
      <c r="AG50">
        <v>0.54</v>
      </c>
      <c r="AH50">
        <v>0.49</v>
      </c>
      <c r="AI50">
        <v>0.23</v>
      </c>
      <c r="AJ50">
        <v>0.64</v>
      </c>
      <c r="AK50">
        <v>0.42</v>
      </c>
      <c r="AL50">
        <v>0.44</v>
      </c>
      <c r="AM50">
        <v>0.24</v>
      </c>
      <c r="AN50">
        <v>3</v>
      </c>
      <c r="AP50" s="20"/>
      <c r="AQ50" s="18" t="s">
        <v>257</v>
      </c>
      <c r="AR50" s="19" t="s">
        <v>117</v>
      </c>
      <c r="AS50" s="19">
        <v>0.22</v>
      </c>
      <c r="AT50" s="19">
        <v>-0.55000000000000004</v>
      </c>
      <c r="AU50" s="19">
        <v>0.33</v>
      </c>
      <c r="AV50" s="24">
        <v>0.22</v>
      </c>
      <c r="AW50" s="24">
        <v>-0.33</v>
      </c>
      <c r="AX50" s="24">
        <v>-0.33</v>
      </c>
      <c r="AY50" s="24">
        <v>0.22</v>
      </c>
      <c r="AZ50" s="24">
        <v>-0.55000000000000004</v>
      </c>
      <c r="BA50" s="24">
        <v>-0.55000000000000004</v>
      </c>
      <c r="BB50" s="24">
        <v>-0.55000000000000004</v>
      </c>
    </row>
    <row r="51" spans="1:54" x14ac:dyDescent="0.2">
      <c r="X51" t="s">
        <v>121</v>
      </c>
      <c r="Y51" t="s">
        <v>169</v>
      </c>
      <c r="Z51">
        <v>0.1</v>
      </c>
      <c r="AA51">
        <v>0</v>
      </c>
      <c r="AB51">
        <v>-0.22</v>
      </c>
      <c r="AC51">
        <v>0.33</v>
      </c>
      <c r="AD51">
        <v>0.44</v>
      </c>
      <c r="AE51">
        <v>-0.33</v>
      </c>
      <c r="AF51">
        <v>-0.33</v>
      </c>
      <c r="AG51">
        <v>0.18</v>
      </c>
      <c r="AH51">
        <v>0.28000000000000003</v>
      </c>
      <c r="AI51">
        <v>0.03</v>
      </c>
      <c r="AJ51">
        <v>0.71</v>
      </c>
      <c r="AK51">
        <v>0.23</v>
      </c>
      <c r="AL51">
        <v>0.41</v>
      </c>
      <c r="AM51">
        <v>0.16</v>
      </c>
      <c r="AN51">
        <v>4</v>
      </c>
      <c r="AP51" s="18"/>
      <c r="AQ51" s="20"/>
      <c r="AR51" s="8" t="s">
        <v>119</v>
      </c>
      <c r="AS51" s="8">
        <v>0.8</v>
      </c>
      <c r="AT51" s="8">
        <v>0.55000000000000004</v>
      </c>
      <c r="AU51" s="8">
        <v>0.7</v>
      </c>
      <c r="AV51" s="23">
        <v>0.44</v>
      </c>
      <c r="AW51" s="23">
        <v>0.66</v>
      </c>
      <c r="AX51" s="23">
        <v>0.66</v>
      </c>
      <c r="AY51" s="23">
        <v>0.8</v>
      </c>
      <c r="AZ51" s="23">
        <v>0.55000000000000004</v>
      </c>
      <c r="BA51" s="23">
        <v>0.55000000000000004</v>
      </c>
      <c r="BB51" s="23">
        <v>0.55000000000000004</v>
      </c>
    </row>
    <row r="52" spans="1:54" x14ac:dyDescent="0.2">
      <c r="X52" t="s">
        <v>117</v>
      </c>
      <c r="Y52" t="s">
        <v>171</v>
      </c>
      <c r="Z52">
        <v>0.4</v>
      </c>
      <c r="AA52">
        <v>0.22</v>
      </c>
      <c r="AB52">
        <v>0.5</v>
      </c>
      <c r="AC52">
        <v>0.77</v>
      </c>
      <c r="AD52">
        <v>1.1000000000000001</v>
      </c>
      <c r="AE52">
        <v>-0.22</v>
      </c>
      <c r="AF52">
        <v>-0.66</v>
      </c>
      <c r="AG52">
        <v>0.25</v>
      </c>
      <c r="AI52">
        <v>-0.14000000000000001</v>
      </c>
      <c r="AJ52">
        <v>0.19</v>
      </c>
      <c r="AK52">
        <v>-0.08</v>
      </c>
      <c r="AL52">
        <v>0.3</v>
      </c>
      <c r="AM52">
        <v>0.56999999999999995</v>
      </c>
      <c r="AN52">
        <v>1</v>
      </c>
      <c r="AP52" s="20"/>
      <c r="AQ52" s="18"/>
      <c r="AR52" s="19" t="s">
        <v>120</v>
      </c>
      <c r="AS52" s="19">
        <v>0.66</v>
      </c>
      <c r="AT52" s="19">
        <v>0.55000000000000004</v>
      </c>
      <c r="AU52" s="19">
        <v>0.55000000000000004</v>
      </c>
      <c r="AV52" s="24">
        <v>0.55000000000000004</v>
      </c>
      <c r="AW52" s="24">
        <v>0.11</v>
      </c>
      <c r="AX52" s="24">
        <v>0.11</v>
      </c>
      <c r="AY52" s="24">
        <v>0.66</v>
      </c>
      <c r="AZ52" s="24">
        <v>0.55000000000000004</v>
      </c>
      <c r="BA52" s="24">
        <v>0.55000000000000004</v>
      </c>
      <c r="BB52" s="24">
        <v>0.55000000000000004</v>
      </c>
    </row>
    <row r="53" spans="1:54" x14ac:dyDescent="0.2">
      <c r="X53" t="s">
        <v>119</v>
      </c>
      <c r="Y53" t="s">
        <v>171</v>
      </c>
      <c r="Z53">
        <v>0.4</v>
      </c>
      <c r="AA53">
        <v>0</v>
      </c>
      <c r="AB53">
        <v>0.5</v>
      </c>
      <c r="AC53">
        <v>0.11</v>
      </c>
      <c r="AD53">
        <v>-0.11</v>
      </c>
      <c r="AE53">
        <v>0.33</v>
      </c>
      <c r="AF53">
        <v>0.55000000000000004</v>
      </c>
      <c r="AG53">
        <v>0.55000000000000004</v>
      </c>
      <c r="AI53">
        <v>0.3</v>
      </c>
      <c r="AJ53">
        <v>0.36</v>
      </c>
      <c r="AK53">
        <v>1.1200000000000001</v>
      </c>
      <c r="AL53">
        <v>0.42</v>
      </c>
      <c r="AM53">
        <v>0.26</v>
      </c>
      <c r="AN53">
        <v>2</v>
      </c>
      <c r="AP53" s="18"/>
      <c r="AQ53" s="20"/>
      <c r="AR53" s="8" t="s">
        <v>121</v>
      </c>
      <c r="AS53" s="8">
        <v>0.33</v>
      </c>
      <c r="AT53" s="8">
        <v>-0.55000000000000004</v>
      </c>
      <c r="AU53" s="8">
        <v>0.11</v>
      </c>
      <c r="AV53" s="23">
        <v>0.11</v>
      </c>
      <c r="AW53" s="23">
        <v>-0.44</v>
      </c>
      <c r="AX53" s="23">
        <v>-0.44</v>
      </c>
      <c r="AY53" s="23">
        <v>0.33</v>
      </c>
      <c r="AZ53" s="23">
        <v>-0.55000000000000004</v>
      </c>
      <c r="BA53" s="23">
        <v>-0.55000000000000004</v>
      </c>
      <c r="BB53" s="23">
        <v>-0.55000000000000004</v>
      </c>
    </row>
    <row r="54" spans="1:54" x14ac:dyDescent="0.2">
      <c r="X54" t="s">
        <v>120</v>
      </c>
      <c r="Y54" t="s">
        <v>171</v>
      </c>
      <c r="Z54">
        <v>0.3</v>
      </c>
      <c r="AA54">
        <v>-0.22</v>
      </c>
      <c r="AB54">
        <v>0.33</v>
      </c>
      <c r="AC54">
        <v>0.2</v>
      </c>
      <c r="AD54">
        <v>0</v>
      </c>
      <c r="AE54">
        <v>0.22</v>
      </c>
      <c r="AF54">
        <v>0.44</v>
      </c>
      <c r="AG54">
        <v>0.42</v>
      </c>
      <c r="AI54">
        <v>0.4</v>
      </c>
      <c r="AJ54">
        <v>-0.05</v>
      </c>
      <c r="AK54">
        <v>0.12</v>
      </c>
      <c r="AL54">
        <v>0.37</v>
      </c>
      <c r="AM54">
        <v>0.15</v>
      </c>
      <c r="AN54">
        <v>3</v>
      </c>
      <c r="AP54" s="20"/>
      <c r="AQ54" s="18" t="s">
        <v>258</v>
      </c>
      <c r="AR54" s="19" t="s">
        <v>117</v>
      </c>
      <c r="AS54" s="19">
        <v>0.22</v>
      </c>
      <c r="AT54" s="19">
        <v>-0.23</v>
      </c>
      <c r="AU54" s="19">
        <v>0.25</v>
      </c>
      <c r="AV54" s="24">
        <v>0.17</v>
      </c>
      <c r="AW54" s="24">
        <v>0.18</v>
      </c>
      <c r="AX54" s="24">
        <v>-0.28000000000000003</v>
      </c>
      <c r="AY54" s="24">
        <v>0.32</v>
      </c>
      <c r="AZ54" s="24">
        <v>0.24</v>
      </c>
      <c r="BA54" s="24">
        <v>0.25</v>
      </c>
      <c r="BB54" s="19">
        <v>-0.05</v>
      </c>
    </row>
    <row r="55" spans="1:54" x14ac:dyDescent="0.2">
      <c r="X55" t="s">
        <v>121</v>
      </c>
      <c r="Y55" t="s">
        <v>171</v>
      </c>
      <c r="Z55">
        <v>0.1</v>
      </c>
      <c r="AA55">
        <v>0</v>
      </c>
      <c r="AB55">
        <v>-0.22</v>
      </c>
      <c r="AC55">
        <v>0.33</v>
      </c>
      <c r="AD55">
        <v>0.44</v>
      </c>
      <c r="AE55">
        <v>-0.33</v>
      </c>
      <c r="AF55">
        <v>-0.33</v>
      </c>
      <c r="AG55">
        <v>0.12</v>
      </c>
      <c r="AI55">
        <v>0.11</v>
      </c>
      <c r="AJ55">
        <v>0.17</v>
      </c>
      <c r="AK55">
        <v>-0.13</v>
      </c>
      <c r="AL55">
        <v>0.41</v>
      </c>
      <c r="AM55">
        <v>0.4</v>
      </c>
      <c r="AN55">
        <v>4</v>
      </c>
      <c r="AP55" s="18"/>
      <c r="AQ55" s="20"/>
      <c r="AR55" s="8" t="s">
        <v>119</v>
      </c>
      <c r="AS55" s="8">
        <v>0.66</v>
      </c>
      <c r="AT55" s="8">
        <v>0.2</v>
      </c>
      <c r="AU55" s="8">
        <v>0.62</v>
      </c>
      <c r="AV55" s="23">
        <v>0.54</v>
      </c>
      <c r="AW55" s="23">
        <v>0.38</v>
      </c>
      <c r="AX55" s="23">
        <v>0.27</v>
      </c>
      <c r="AY55" s="23">
        <v>0.75</v>
      </c>
      <c r="AZ55" s="23">
        <v>0.64</v>
      </c>
      <c r="BA55" s="23">
        <v>0.55000000000000004</v>
      </c>
      <c r="BB55" s="8">
        <v>0.48</v>
      </c>
    </row>
    <row r="56" spans="1:54" x14ac:dyDescent="0.2">
      <c r="X56" t="s">
        <v>117</v>
      </c>
      <c r="Y56" t="s">
        <v>164</v>
      </c>
      <c r="Z56">
        <v>0.5</v>
      </c>
      <c r="AA56">
        <v>0.88</v>
      </c>
      <c r="AB56">
        <v>1</v>
      </c>
      <c r="AC56">
        <v>1.1000000000000001</v>
      </c>
      <c r="AD56">
        <v>1.42</v>
      </c>
      <c r="AE56">
        <v>0.7</v>
      </c>
      <c r="AF56">
        <v>0.22</v>
      </c>
      <c r="AG56">
        <v>0.32</v>
      </c>
      <c r="AH56">
        <v>0.12</v>
      </c>
      <c r="AI56">
        <v>0.06</v>
      </c>
      <c r="AJ56">
        <v>0.52</v>
      </c>
      <c r="AK56">
        <v>7.0000000000000007E-2</v>
      </c>
      <c r="AL56">
        <v>0.47</v>
      </c>
      <c r="AM56">
        <v>0.34</v>
      </c>
      <c r="AN56">
        <v>1</v>
      </c>
      <c r="AP56" s="20"/>
      <c r="AQ56" s="18"/>
      <c r="AR56" s="19" t="s">
        <v>120</v>
      </c>
      <c r="AS56" s="19">
        <v>0.49</v>
      </c>
      <c r="AT56" s="19">
        <v>0.13</v>
      </c>
      <c r="AU56" s="19">
        <v>0.54</v>
      </c>
      <c r="AV56" s="24">
        <v>0.45</v>
      </c>
      <c r="AW56" s="24">
        <v>0.35</v>
      </c>
      <c r="AX56" s="24">
        <v>0.15</v>
      </c>
      <c r="AY56" s="24">
        <v>0.63</v>
      </c>
      <c r="AZ56" s="24">
        <v>0.54</v>
      </c>
      <c r="BA56" s="24">
        <v>0.42</v>
      </c>
      <c r="BB56" s="19">
        <v>0.26</v>
      </c>
    </row>
    <row r="57" spans="1:54" x14ac:dyDescent="0.2">
      <c r="X57" t="s">
        <v>119</v>
      </c>
      <c r="Y57" t="s">
        <v>164</v>
      </c>
      <c r="Z57">
        <v>0.9</v>
      </c>
      <c r="AA57">
        <v>0.66</v>
      </c>
      <c r="AB57">
        <v>0.77</v>
      </c>
      <c r="AC57">
        <v>0.33</v>
      </c>
      <c r="AD57">
        <v>0.44</v>
      </c>
      <c r="AE57">
        <v>0.77</v>
      </c>
      <c r="AF57">
        <v>0.8</v>
      </c>
      <c r="AG57">
        <v>0.75</v>
      </c>
      <c r="AH57">
        <v>0.64</v>
      </c>
      <c r="AI57">
        <v>0.8</v>
      </c>
      <c r="AJ57">
        <v>0.84</v>
      </c>
      <c r="AK57">
        <v>1.3</v>
      </c>
      <c r="AL57">
        <v>0.28000000000000003</v>
      </c>
      <c r="AM57">
        <v>0.14000000000000001</v>
      </c>
      <c r="AN57">
        <v>2</v>
      </c>
      <c r="AP57" s="18"/>
      <c r="AQ57" s="20"/>
      <c r="AR57" s="8" t="s">
        <v>121</v>
      </c>
      <c r="AS57" s="8">
        <v>0.27</v>
      </c>
      <c r="AT57" s="8">
        <v>-0.8</v>
      </c>
      <c r="AU57" s="8">
        <v>0.22</v>
      </c>
      <c r="AV57" s="23">
        <v>0.09</v>
      </c>
      <c r="AW57" s="23">
        <v>0.12</v>
      </c>
      <c r="AX57" s="23">
        <v>0.02</v>
      </c>
      <c r="AY57" s="23">
        <v>0.25</v>
      </c>
      <c r="AZ57" s="23">
        <v>0.18</v>
      </c>
      <c r="BA57" s="23">
        <v>0.12</v>
      </c>
      <c r="BB57" s="8">
        <v>0.03</v>
      </c>
    </row>
    <row r="58" spans="1:54" x14ac:dyDescent="0.2">
      <c r="X58" t="s">
        <v>120</v>
      </c>
      <c r="Y58" t="s">
        <v>164</v>
      </c>
      <c r="Z58">
        <v>0.7</v>
      </c>
      <c r="AA58">
        <v>0.8</v>
      </c>
      <c r="AB58">
        <v>0.6</v>
      </c>
      <c r="AC58">
        <v>0.55000000000000004</v>
      </c>
      <c r="AD58">
        <v>0.6</v>
      </c>
      <c r="AE58">
        <v>0.88</v>
      </c>
      <c r="AF58">
        <v>0.66</v>
      </c>
      <c r="AG58">
        <v>0.63</v>
      </c>
      <c r="AH58">
        <v>0.56999999999999995</v>
      </c>
      <c r="AI58">
        <v>0.57999999999999996</v>
      </c>
      <c r="AJ58">
        <v>0.54</v>
      </c>
      <c r="AK58">
        <v>0.77</v>
      </c>
      <c r="AL58">
        <v>0.4</v>
      </c>
      <c r="AM58">
        <v>0.13</v>
      </c>
      <c r="AN58">
        <v>3</v>
      </c>
      <c r="AP58" s="20"/>
      <c r="AQ58" s="18" t="s">
        <v>259</v>
      </c>
      <c r="AR58" s="19" t="s">
        <v>117</v>
      </c>
      <c r="AS58" s="19">
        <v>0.22</v>
      </c>
      <c r="AT58" s="19">
        <v>-0.44</v>
      </c>
      <c r="AU58" s="19">
        <v>0.2</v>
      </c>
      <c r="AV58" s="24">
        <v>0.21</v>
      </c>
      <c r="AW58" s="24">
        <v>0.18</v>
      </c>
      <c r="AX58" s="24">
        <v>0.01</v>
      </c>
      <c r="AY58" s="24">
        <v>0.12</v>
      </c>
      <c r="AZ58" s="24">
        <v>0.09</v>
      </c>
      <c r="BA58" s="24" t="s">
        <v>181</v>
      </c>
      <c r="BB58" s="19" t="s">
        <v>181</v>
      </c>
    </row>
    <row r="59" spans="1:54" x14ac:dyDescent="0.2">
      <c r="X59" t="s">
        <v>121</v>
      </c>
      <c r="Y59" t="s">
        <v>164</v>
      </c>
      <c r="Z59">
        <v>0.4</v>
      </c>
      <c r="AA59">
        <v>0.82</v>
      </c>
      <c r="AB59">
        <v>0.16</v>
      </c>
      <c r="AC59">
        <v>0.49</v>
      </c>
      <c r="AD59">
        <v>0.77</v>
      </c>
      <c r="AE59">
        <v>0.22</v>
      </c>
      <c r="AF59">
        <v>0.33</v>
      </c>
      <c r="AG59">
        <v>0.25</v>
      </c>
      <c r="AH59">
        <v>0.26</v>
      </c>
      <c r="AI59">
        <v>0.21</v>
      </c>
      <c r="AJ59">
        <v>0.25</v>
      </c>
      <c r="AK59">
        <v>0.02</v>
      </c>
      <c r="AL59">
        <v>0.28999999999999998</v>
      </c>
      <c r="AM59">
        <v>0.13</v>
      </c>
      <c r="AN59">
        <v>4</v>
      </c>
      <c r="AP59" s="18"/>
      <c r="AQ59" s="20"/>
      <c r="AR59" s="8" t="s">
        <v>119</v>
      </c>
      <c r="AS59" s="8">
        <v>0.66</v>
      </c>
      <c r="AT59" s="8">
        <v>0.22</v>
      </c>
      <c r="AU59" s="8">
        <v>0.68</v>
      </c>
      <c r="AV59" s="23">
        <v>0.22</v>
      </c>
      <c r="AW59" s="23">
        <v>0.24</v>
      </c>
      <c r="AX59" s="23">
        <v>0.25</v>
      </c>
      <c r="AY59" s="23">
        <v>0.64</v>
      </c>
      <c r="AZ59" s="23">
        <v>0.37</v>
      </c>
      <c r="BA59" s="23" t="s">
        <v>181</v>
      </c>
      <c r="BB59" s="8" t="s">
        <v>181</v>
      </c>
    </row>
    <row r="60" spans="1:54" x14ac:dyDescent="0.2">
      <c r="X60" t="s">
        <v>117</v>
      </c>
      <c r="Y60" t="s">
        <v>176</v>
      </c>
      <c r="Z60">
        <v>0.4</v>
      </c>
      <c r="AA60">
        <v>0.22</v>
      </c>
      <c r="AB60">
        <v>0.5</v>
      </c>
      <c r="AC60">
        <v>0.77</v>
      </c>
      <c r="AD60">
        <v>1.1000000000000001</v>
      </c>
      <c r="AE60">
        <v>-0.22</v>
      </c>
      <c r="AF60">
        <v>-0.66</v>
      </c>
      <c r="AG60">
        <v>-0.05</v>
      </c>
      <c r="AJ60">
        <v>0.6</v>
      </c>
      <c r="AK60">
        <v>0</v>
      </c>
      <c r="AL60">
        <v>0.13</v>
      </c>
      <c r="AM60">
        <v>0.52</v>
      </c>
      <c r="AN60">
        <v>1</v>
      </c>
      <c r="AP60" s="20"/>
      <c r="AQ60" s="18"/>
      <c r="AR60" s="19" t="s">
        <v>120</v>
      </c>
      <c r="AS60" s="19">
        <v>0.49</v>
      </c>
      <c r="AT60" s="19">
        <v>0.05</v>
      </c>
      <c r="AU60" s="19">
        <v>0.64</v>
      </c>
      <c r="AV60" s="24">
        <v>0.25</v>
      </c>
      <c r="AW60" s="24">
        <v>0.28999999999999998</v>
      </c>
      <c r="AX60" s="24">
        <v>0.12</v>
      </c>
      <c r="AY60" s="24">
        <v>0.56999999999999995</v>
      </c>
      <c r="AZ60" s="24">
        <v>0.49</v>
      </c>
      <c r="BA60" s="24" t="s">
        <v>181</v>
      </c>
      <c r="BB60" s="19" t="s">
        <v>181</v>
      </c>
    </row>
    <row r="61" spans="1:54" x14ac:dyDescent="0.2">
      <c r="A61" t="s">
        <v>112</v>
      </c>
      <c r="B61" t="s">
        <v>232</v>
      </c>
      <c r="C61" t="s">
        <v>113</v>
      </c>
      <c r="D61" t="s">
        <v>112</v>
      </c>
      <c r="E61" t="s">
        <v>116</v>
      </c>
      <c r="F61" t="s">
        <v>117</v>
      </c>
      <c r="H61">
        <v>91.25</v>
      </c>
      <c r="I61">
        <v>50</v>
      </c>
      <c r="J61">
        <v>0</v>
      </c>
      <c r="K61">
        <v>0</v>
      </c>
      <c r="L61">
        <v>0</v>
      </c>
      <c r="N61" s="32" cm="1">
        <f t="array" ref="N61:N100">_xlfn.DROP(_xlfn.XLOOKUP($C61,TableW[[#Headers],[ACT/NSW]:[QLD - Low]],TableW[[#All],[ACT/NSW]:[QLD - Low]]),1)</f>
        <v>80</v>
      </c>
      <c r="P61" cm="1">
        <f t="array" ref="P61:P100">_xlfn.DROP(_xlfn.XLOOKUP($C61,TableLWG[[#Headers],[ACT/NSW]:[QLD - Low]],TableLWG[[#All],[ACT/NSW]:[QLD - Low]]),1)</f>
        <v>0.5</v>
      </c>
      <c r="Q61">
        <f>(J61 * $AD$4 + K61*$AD$5) + (1 - J61 )</f>
        <v>1</v>
      </c>
      <c r="S61">
        <f>(1.185 + 0.00454 * N61- 0.0000026 * N61^2 + 0.315 * P61 )^2 * Q61</f>
        <v>2.8529236835999998</v>
      </c>
      <c r="T61">
        <f>20.7 * S61 * 10^-3</f>
        <v>5.9055520250520001E-2</v>
      </c>
      <c r="U61">
        <f t="shared" ref="U61:U100" si="6">H61*T61*I61</f>
        <v>269.44081114299752</v>
      </c>
      <c r="V61">
        <f>SUM(U61:U100)/1000</f>
        <v>46.216817336068232</v>
      </c>
      <c r="X61" t="s">
        <v>119</v>
      </c>
      <c r="Y61" t="s">
        <v>176</v>
      </c>
      <c r="Z61">
        <v>0.4</v>
      </c>
      <c r="AA61">
        <v>0</v>
      </c>
      <c r="AB61">
        <v>0.5</v>
      </c>
      <c r="AC61">
        <v>0.11</v>
      </c>
      <c r="AD61">
        <v>-0.11</v>
      </c>
      <c r="AE61">
        <v>0.33</v>
      </c>
      <c r="AF61">
        <v>0.55000000000000004</v>
      </c>
      <c r="AG61">
        <v>0.48</v>
      </c>
      <c r="AJ61">
        <v>0.17</v>
      </c>
      <c r="AK61">
        <v>0.38</v>
      </c>
      <c r="AL61">
        <v>0.4</v>
      </c>
      <c r="AM61">
        <v>0.43</v>
      </c>
      <c r="AN61">
        <v>2</v>
      </c>
      <c r="AP61" s="18"/>
      <c r="AQ61" s="20"/>
      <c r="AR61" s="8" t="s">
        <v>121</v>
      </c>
      <c r="AS61" s="8">
        <v>0.27</v>
      </c>
      <c r="AT61" s="8">
        <v>-0.27</v>
      </c>
      <c r="AU61" s="8">
        <v>0.31</v>
      </c>
      <c r="AV61" s="23">
        <v>0.28999999999999998</v>
      </c>
      <c r="AW61" s="23">
        <v>0.19</v>
      </c>
      <c r="AX61" s="23">
        <v>0.04</v>
      </c>
      <c r="AY61" s="23">
        <v>0.26</v>
      </c>
      <c r="AZ61" s="23">
        <v>0.28000000000000003</v>
      </c>
      <c r="BA61" s="23" t="s">
        <v>181</v>
      </c>
      <c r="BB61" s="8" t="s">
        <v>181</v>
      </c>
    </row>
    <row r="62" spans="1:54" x14ac:dyDescent="0.2">
      <c r="E62">
        <v>1</v>
      </c>
      <c r="F62" t="s">
        <v>119</v>
      </c>
      <c r="H62">
        <v>91.25</v>
      </c>
      <c r="I62">
        <v>100</v>
      </c>
      <c r="J62">
        <v>0</v>
      </c>
      <c r="K62">
        <v>0</v>
      </c>
      <c r="L62">
        <v>0</v>
      </c>
      <c r="N62">
        <v>170</v>
      </c>
      <c r="P62">
        <v>1</v>
      </c>
      <c r="Q62">
        <f t="shared" ref="Q62:Q100" si="7">(J62 * $AD$4 + K62*$AD$5) + (1 - J62 )</f>
        <v>1</v>
      </c>
      <c r="S62">
        <f t="shared" ref="S62:S100" si="8">(1.185 + 0.00454 * N62- 0.0000026 * N62^2 + 0.315 * P62 )^2 * Q62</f>
        <v>4.8253151556000002</v>
      </c>
      <c r="T62">
        <f t="shared" ref="T62:T100" si="9">20.7 * S62 * 10^-3</f>
        <v>9.9884023720920007E-2</v>
      </c>
      <c r="U62">
        <f t="shared" si="6"/>
        <v>911.44171645339509</v>
      </c>
      <c r="X62" t="s">
        <v>120</v>
      </c>
      <c r="Y62" t="s">
        <v>176</v>
      </c>
      <c r="Z62">
        <v>0.3</v>
      </c>
      <c r="AA62">
        <v>-0.22</v>
      </c>
      <c r="AB62">
        <v>0.33</v>
      </c>
      <c r="AC62">
        <v>0.2</v>
      </c>
      <c r="AD62">
        <v>0</v>
      </c>
      <c r="AE62">
        <v>0.22</v>
      </c>
      <c r="AF62">
        <v>0.44</v>
      </c>
      <c r="AG62">
        <v>0.26</v>
      </c>
      <c r="AJ62">
        <v>0.32</v>
      </c>
      <c r="AK62">
        <v>0.74</v>
      </c>
      <c r="AL62">
        <v>-0.01</v>
      </c>
      <c r="AM62">
        <v>0.21</v>
      </c>
      <c r="AN62">
        <v>3</v>
      </c>
      <c r="AP62" s="20"/>
      <c r="AQ62" s="18" t="s">
        <v>260</v>
      </c>
      <c r="AR62" s="19" t="s">
        <v>117</v>
      </c>
      <c r="AS62" s="19">
        <v>0.22</v>
      </c>
      <c r="AT62" s="19">
        <v>-0.44</v>
      </c>
      <c r="AU62" s="19">
        <v>0</v>
      </c>
      <c r="AV62" s="24">
        <v>0.15</v>
      </c>
      <c r="AW62" s="24">
        <v>0.08</v>
      </c>
      <c r="AX62" s="24">
        <v>0.17</v>
      </c>
      <c r="AY62" s="24">
        <v>0.06</v>
      </c>
      <c r="AZ62" s="24">
        <v>0.02</v>
      </c>
      <c r="BA62" s="24">
        <v>-0.14000000000000001</v>
      </c>
      <c r="BB62" s="19" t="s">
        <v>181</v>
      </c>
    </row>
    <row r="63" spans="1:54" x14ac:dyDescent="0.2">
      <c r="F63" t="s">
        <v>120</v>
      </c>
      <c r="H63">
        <v>91.25</v>
      </c>
      <c r="I63">
        <v>80</v>
      </c>
      <c r="J63">
        <v>0</v>
      </c>
      <c r="K63">
        <v>0</v>
      </c>
      <c r="L63">
        <v>0</v>
      </c>
      <c r="N63">
        <v>240</v>
      </c>
      <c r="P63">
        <v>0.8</v>
      </c>
      <c r="Q63">
        <f t="shared" si="7"/>
        <v>1</v>
      </c>
      <c r="S63">
        <f t="shared" si="8"/>
        <v>5.6493683855999981</v>
      </c>
      <c r="T63">
        <f t="shared" si="9"/>
        <v>0.11694192558191996</v>
      </c>
      <c r="U63">
        <f t="shared" si="6"/>
        <v>853.67605674801564</v>
      </c>
      <c r="X63" t="s">
        <v>121</v>
      </c>
      <c r="Y63" t="s">
        <v>176</v>
      </c>
      <c r="Z63">
        <v>0.1</v>
      </c>
      <c r="AA63">
        <v>0</v>
      </c>
      <c r="AB63">
        <v>-0.22</v>
      </c>
      <c r="AC63">
        <v>0.33</v>
      </c>
      <c r="AD63">
        <v>0.44</v>
      </c>
      <c r="AE63">
        <v>-0.33</v>
      </c>
      <c r="AF63">
        <v>-0.33</v>
      </c>
      <c r="AG63">
        <v>0.03</v>
      </c>
      <c r="AJ63">
        <v>0.43</v>
      </c>
      <c r="AK63">
        <v>0</v>
      </c>
      <c r="AL63">
        <v>-0.15</v>
      </c>
      <c r="AM63">
        <v>0.33</v>
      </c>
      <c r="AN63">
        <v>4</v>
      </c>
      <c r="AP63" s="18"/>
      <c r="AQ63" s="20"/>
      <c r="AR63" s="8" t="s">
        <v>119</v>
      </c>
      <c r="AS63" s="8">
        <v>0.66</v>
      </c>
      <c r="AT63" s="8">
        <v>0.22</v>
      </c>
      <c r="AU63" s="8">
        <v>0.79</v>
      </c>
      <c r="AV63" s="23">
        <v>0.4</v>
      </c>
      <c r="AW63" s="23">
        <v>0.38</v>
      </c>
      <c r="AX63" s="23">
        <v>0.27</v>
      </c>
      <c r="AY63" s="23">
        <v>0.8</v>
      </c>
      <c r="AZ63" s="23">
        <v>0.16</v>
      </c>
      <c r="BA63" s="23">
        <v>0.3</v>
      </c>
      <c r="BB63" s="8" t="s">
        <v>181</v>
      </c>
    </row>
    <row r="64" spans="1:54" x14ac:dyDescent="0.2">
      <c r="F64" t="s">
        <v>121</v>
      </c>
      <c r="H64">
        <v>91.25</v>
      </c>
      <c r="I64">
        <v>70</v>
      </c>
      <c r="J64">
        <v>0</v>
      </c>
      <c r="K64">
        <v>0</v>
      </c>
      <c r="L64">
        <v>0</v>
      </c>
      <c r="N64">
        <v>280</v>
      </c>
      <c r="P64">
        <v>0.4</v>
      </c>
      <c r="Q64">
        <f t="shared" si="7"/>
        <v>1</v>
      </c>
      <c r="S64">
        <f t="shared" si="8"/>
        <v>5.6565962895999995</v>
      </c>
      <c r="T64">
        <f t="shared" si="9"/>
        <v>0.11709154319472</v>
      </c>
      <c r="U64">
        <f t="shared" si="6"/>
        <v>747.92223215627394</v>
      </c>
      <c r="AP64" s="20"/>
      <c r="AQ64" s="18"/>
      <c r="AR64" s="19" t="s">
        <v>120</v>
      </c>
      <c r="AS64" s="19">
        <v>0.49</v>
      </c>
      <c r="AT64" s="19">
        <v>0.05</v>
      </c>
      <c r="AU64" s="19">
        <v>0.55000000000000004</v>
      </c>
      <c r="AV64" s="24">
        <v>0.38</v>
      </c>
      <c r="AW64" s="24">
        <v>0.36</v>
      </c>
      <c r="AX64" s="24">
        <v>0.06</v>
      </c>
      <c r="AY64" s="24">
        <v>0.57999999999999996</v>
      </c>
      <c r="AZ64" s="24">
        <v>0.23</v>
      </c>
      <c r="BA64" s="24">
        <v>0.4</v>
      </c>
      <c r="BB64" s="19" t="s">
        <v>181</v>
      </c>
    </row>
    <row r="65" spans="5:54" x14ac:dyDescent="0.2">
      <c r="E65" t="s">
        <v>122</v>
      </c>
      <c r="F65" t="s">
        <v>117</v>
      </c>
      <c r="H65">
        <v>91.25</v>
      </c>
      <c r="I65">
        <v>20</v>
      </c>
      <c r="J65">
        <v>0</v>
      </c>
      <c r="K65">
        <v>0</v>
      </c>
      <c r="L65">
        <v>0</v>
      </c>
      <c r="N65">
        <v>480</v>
      </c>
      <c r="P65">
        <v>0.2</v>
      </c>
      <c r="Q65">
        <f t="shared" si="7"/>
        <v>1</v>
      </c>
      <c r="S65">
        <f t="shared" si="8"/>
        <v>7.9984889855999999</v>
      </c>
      <c r="T65">
        <f t="shared" si="9"/>
        <v>0.16556872200191999</v>
      </c>
      <c r="U65">
        <f t="shared" si="6"/>
        <v>302.162917653504</v>
      </c>
      <c r="AP65" s="18"/>
      <c r="AQ65" s="20"/>
      <c r="AR65" s="8" t="s">
        <v>121</v>
      </c>
      <c r="AS65" s="8">
        <v>0.27</v>
      </c>
      <c r="AT65" s="8">
        <v>-0.27</v>
      </c>
      <c r="AU65" s="8">
        <v>0.02</v>
      </c>
      <c r="AV65" s="8">
        <v>0.09</v>
      </c>
      <c r="AW65" s="8">
        <v>0.16</v>
      </c>
      <c r="AX65" s="8">
        <v>-0.04</v>
      </c>
      <c r="AY65" s="8">
        <v>0.21</v>
      </c>
      <c r="AZ65" s="8">
        <v>0.03</v>
      </c>
      <c r="BA65" s="8">
        <v>0.11</v>
      </c>
      <c r="BB65" s="8" t="s">
        <v>181</v>
      </c>
    </row>
    <row r="66" spans="5:54" x14ac:dyDescent="0.2">
      <c r="E66">
        <v>2</v>
      </c>
      <c r="F66" t="s">
        <v>119</v>
      </c>
      <c r="H66">
        <v>91.25</v>
      </c>
      <c r="I66">
        <v>80</v>
      </c>
      <c r="J66">
        <v>0</v>
      </c>
      <c r="K66">
        <v>0</v>
      </c>
      <c r="L66">
        <v>0</v>
      </c>
      <c r="N66">
        <v>520</v>
      </c>
      <c r="P66">
        <v>0.4</v>
      </c>
      <c r="Q66">
        <f t="shared" si="7"/>
        <v>1</v>
      </c>
      <c r="S66">
        <f t="shared" si="8"/>
        <v>8.8135359375999975</v>
      </c>
      <c r="T66">
        <f t="shared" si="9"/>
        <v>0.18244019390831995</v>
      </c>
      <c r="U66">
        <f t="shared" si="6"/>
        <v>1331.8134155307357</v>
      </c>
      <c r="AP66" s="20"/>
      <c r="AQ66" s="18" t="s">
        <v>261</v>
      </c>
      <c r="AR66" s="19" t="s">
        <v>117</v>
      </c>
      <c r="AS66" s="19">
        <v>0.27</v>
      </c>
      <c r="AT66" s="19">
        <v>-0.19</v>
      </c>
      <c r="AU66" s="19">
        <v>0.38</v>
      </c>
      <c r="AV66" s="25">
        <v>0.25</v>
      </c>
      <c r="AW66" s="19">
        <v>7.0000000000000007E-2</v>
      </c>
      <c r="AX66" s="19">
        <v>0.05</v>
      </c>
      <c r="AY66" s="19">
        <v>0.52</v>
      </c>
      <c r="AZ66" s="19">
        <v>0.55000000000000004</v>
      </c>
      <c r="BA66" s="19">
        <v>0.19</v>
      </c>
      <c r="BB66" s="19">
        <v>0.6</v>
      </c>
    </row>
    <row r="67" spans="5:54" x14ac:dyDescent="0.2">
      <c r="F67" t="s">
        <v>120</v>
      </c>
      <c r="H67">
        <v>91.25</v>
      </c>
      <c r="I67">
        <v>70</v>
      </c>
      <c r="J67">
        <v>0</v>
      </c>
      <c r="K67">
        <v>0</v>
      </c>
      <c r="L67">
        <v>0</v>
      </c>
      <c r="N67">
        <v>550</v>
      </c>
      <c r="P67">
        <v>0.3</v>
      </c>
      <c r="Q67">
        <f t="shared" si="7"/>
        <v>1</v>
      </c>
      <c r="S67">
        <f t="shared" si="8"/>
        <v>8.940100000000001</v>
      </c>
      <c r="T67">
        <f t="shared" si="9"/>
        <v>0.18506007000000002</v>
      </c>
      <c r="U67">
        <f t="shared" si="6"/>
        <v>1182.0711971250003</v>
      </c>
      <c r="AP67" s="18"/>
      <c r="AQ67" s="20"/>
      <c r="AR67" s="8" t="s">
        <v>119</v>
      </c>
      <c r="AS67" s="8">
        <v>0.16</v>
      </c>
      <c r="AT67" s="8">
        <v>0.16</v>
      </c>
      <c r="AU67" s="8">
        <v>0.8</v>
      </c>
      <c r="AV67" s="8">
        <v>0.56999999999999995</v>
      </c>
      <c r="AW67" s="8">
        <v>0.76</v>
      </c>
      <c r="AX67" s="8">
        <v>0.49</v>
      </c>
      <c r="AY67" s="8">
        <v>0.84</v>
      </c>
      <c r="AZ67" s="8">
        <v>0.51</v>
      </c>
      <c r="BA67" s="8">
        <v>0.36</v>
      </c>
      <c r="BB67" s="8">
        <v>0.17</v>
      </c>
    </row>
    <row r="68" spans="5:54" x14ac:dyDescent="0.2">
      <c r="F68" t="s">
        <v>121</v>
      </c>
      <c r="H68">
        <v>91.25</v>
      </c>
      <c r="I68">
        <v>50</v>
      </c>
      <c r="J68">
        <v>0</v>
      </c>
      <c r="K68">
        <v>0</v>
      </c>
      <c r="L68">
        <v>0</v>
      </c>
      <c r="N68">
        <v>560</v>
      </c>
      <c r="P68">
        <v>0.1</v>
      </c>
      <c r="Q68">
        <f t="shared" si="7"/>
        <v>1</v>
      </c>
      <c r="S68">
        <f t="shared" si="8"/>
        <v>8.6644277315999982</v>
      </c>
      <c r="T68">
        <f t="shared" si="9"/>
        <v>0.17935365404411996</v>
      </c>
      <c r="U68">
        <f t="shared" si="6"/>
        <v>818.30104657629727</v>
      </c>
      <c r="AP68" s="20"/>
      <c r="AQ68" s="18"/>
      <c r="AR68" s="19" t="s">
        <v>120</v>
      </c>
      <c r="AS68" s="19">
        <v>0.45</v>
      </c>
      <c r="AT68" s="19">
        <v>0.1</v>
      </c>
      <c r="AU68" s="19">
        <v>0.49</v>
      </c>
      <c r="AV68" s="24">
        <v>0.41</v>
      </c>
      <c r="AW68" s="19">
        <v>0.4</v>
      </c>
      <c r="AX68" s="19">
        <v>0.17</v>
      </c>
      <c r="AY68" s="19">
        <v>0.54</v>
      </c>
      <c r="AZ68" s="19">
        <v>0.64</v>
      </c>
      <c r="BA68" s="19">
        <v>-0.05</v>
      </c>
      <c r="BB68" s="19">
        <v>0.32</v>
      </c>
    </row>
    <row r="69" spans="5:54" x14ac:dyDescent="0.2">
      <c r="E69" t="s">
        <v>146</v>
      </c>
      <c r="F69" t="s">
        <v>117</v>
      </c>
      <c r="H69">
        <v>91.25</v>
      </c>
      <c r="I69">
        <v>100</v>
      </c>
      <c r="J69">
        <v>0</v>
      </c>
      <c r="K69">
        <v>0</v>
      </c>
      <c r="L69">
        <v>0</v>
      </c>
      <c r="N69">
        <v>300</v>
      </c>
      <c r="P69">
        <v>0.4</v>
      </c>
      <c r="Q69">
        <f t="shared" si="7"/>
        <v>1</v>
      </c>
      <c r="S69">
        <f t="shared" si="8"/>
        <v>5.9487209999999981</v>
      </c>
      <c r="T69">
        <f t="shared" si="9"/>
        <v>0.12313852469999996</v>
      </c>
      <c r="U69">
        <f t="shared" si="6"/>
        <v>1123.6390378874996</v>
      </c>
      <c r="AP69" s="18"/>
      <c r="AQ69" s="20"/>
      <c r="AR69" s="8" t="s">
        <v>121</v>
      </c>
      <c r="AS69" s="8">
        <v>0.51</v>
      </c>
      <c r="AT69" s="8">
        <v>-7.0000000000000007E-2</v>
      </c>
      <c r="AU69" s="8">
        <v>0.13</v>
      </c>
      <c r="AV69" s="23">
        <v>-0.09</v>
      </c>
      <c r="AW69" s="8">
        <v>-0.13</v>
      </c>
      <c r="AX69" s="8">
        <v>7.0000000000000007E-2</v>
      </c>
      <c r="AY69" s="8">
        <v>0.25</v>
      </c>
      <c r="AZ69" s="8">
        <v>0.71</v>
      </c>
      <c r="BA69" s="8">
        <v>0.17</v>
      </c>
      <c r="BB69" s="8">
        <v>0.43</v>
      </c>
    </row>
    <row r="70" spans="5:54" x14ac:dyDescent="0.2">
      <c r="E70">
        <v>4</v>
      </c>
      <c r="F70" t="s">
        <v>119</v>
      </c>
      <c r="H70">
        <v>91.25</v>
      </c>
      <c r="I70">
        <v>180</v>
      </c>
      <c r="J70">
        <v>0</v>
      </c>
      <c r="K70">
        <v>0</v>
      </c>
      <c r="L70">
        <v>0</v>
      </c>
      <c r="N70">
        <v>360</v>
      </c>
      <c r="P70">
        <v>0.7</v>
      </c>
      <c r="Q70">
        <f t="shared" si="7"/>
        <v>1</v>
      </c>
      <c r="S70">
        <f t="shared" si="8"/>
        <v>7.3058846435999998</v>
      </c>
      <c r="T70">
        <f t="shared" si="9"/>
        <v>0.15123181212251999</v>
      </c>
      <c r="U70">
        <f t="shared" si="6"/>
        <v>2483.9825141123911</v>
      </c>
      <c r="AP70" s="20"/>
      <c r="AQ70" s="18" t="s">
        <v>262</v>
      </c>
      <c r="AR70" s="19" t="s">
        <v>117</v>
      </c>
      <c r="AS70" s="19">
        <v>-0.12</v>
      </c>
      <c r="AT70" s="19">
        <v>-0.19</v>
      </c>
      <c r="AU70" s="19">
        <v>0.41</v>
      </c>
      <c r="AV70" s="19">
        <v>0.09</v>
      </c>
      <c r="AW70" s="19">
        <v>0.41</v>
      </c>
      <c r="AX70" s="19">
        <v>-0.19</v>
      </c>
      <c r="AY70" s="19">
        <v>7.0000000000000007E-2</v>
      </c>
      <c r="AZ70" s="19">
        <v>1.07</v>
      </c>
      <c r="BA70" s="19">
        <v>-0.08</v>
      </c>
      <c r="BB70" s="19">
        <v>0</v>
      </c>
    </row>
    <row r="71" spans="5:54" x14ac:dyDescent="0.2">
      <c r="F71" t="s">
        <v>120</v>
      </c>
      <c r="H71">
        <v>91.25</v>
      </c>
      <c r="I71">
        <v>170</v>
      </c>
      <c r="J71">
        <v>0</v>
      </c>
      <c r="K71">
        <v>0</v>
      </c>
      <c r="L71">
        <v>0</v>
      </c>
      <c r="N71">
        <v>390</v>
      </c>
      <c r="P71">
        <v>0.3</v>
      </c>
      <c r="Q71">
        <f t="shared" si="7"/>
        <v>1</v>
      </c>
      <c r="S71">
        <f t="shared" si="8"/>
        <v>7.0471135296000007</v>
      </c>
      <c r="T71">
        <f t="shared" si="9"/>
        <v>0.14587525006272001</v>
      </c>
      <c r="U71">
        <f t="shared" si="6"/>
        <v>2262.889816597944</v>
      </c>
      <c r="AP71" s="18"/>
      <c r="AQ71" s="20"/>
      <c r="AR71" s="8" t="s">
        <v>119</v>
      </c>
      <c r="AS71" s="8">
        <v>0.65</v>
      </c>
      <c r="AT71" s="8">
        <v>0.19</v>
      </c>
      <c r="AU71" s="8">
        <v>0.65</v>
      </c>
      <c r="AV71" s="8">
        <v>0.51</v>
      </c>
      <c r="AW71" s="8">
        <v>0.18</v>
      </c>
      <c r="AX71" s="8">
        <v>0.63</v>
      </c>
      <c r="AY71" s="8">
        <v>1.3</v>
      </c>
      <c r="AZ71" s="8">
        <v>0.48</v>
      </c>
      <c r="BA71" s="8">
        <v>1.1200000000000001</v>
      </c>
      <c r="BB71" s="8">
        <v>0.38</v>
      </c>
    </row>
    <row r="72" spans="5:54" x14ac:dyDescent="0.2">
      <c r="F72" t="s">
        <v>121</v>
      </c>
      <c r="H72">
        <v>91.25</v>
      </c>
      <c r="I72">
        <v>160</v>
      </c>
      <c r="J72">
        <v>0</v>
      </c>
      <c r="K72">
        <v>0</v>
      </c>
      <c r="L72">
        <v>0</v>
      </c>
      <c r="N72">
        <v>410</v>
      </c>
      <c r="P72">
        <v>0.2</v>
      </c>
      <c r="Q72">
        <f t="shared" si="7"/>
        <v>1</v>
      </c>
      <c r="S72">
        <f t="shared" si="8"/>
        <v>7.1414010756000028</v>
      </c>
      <c r="T72">
        <f t="shared" si="9"/>
        <v>0.14782700226492007</v>
      </c>
      <c r="U72">
        <f t="shared" si="6"/>
        <v>2158.2742330678329</v>
      </c>
      <c r="AP72" s="20"/>
      <c r="AQ72" s="18"/>
      <c r="AR72" s="19" t="s">
        <v>120</v>
      </c>
      <c r="AS72" s="19">
        <v>0.7</v>
      </c>
      <c r="AT72" s="19">
        <v>0.13</v>
      </c>
      <c r="AU72" s="19">
        <v>0.52</v>
      </c>
      <c r="AV72" s="19">
        <v>0.34</v>
      </c>
      <c r="AW72" s="19">
        <v>0.02</v>
      </c>
      <c r="AX72" s="19">
        <v>0.04</v>
      </c>
      <c r="AY72" s="19">
        <v>0.77</v>
      </c>
      <c r="AZ72" s="19">
        <v>0.42</v>
      </c>
      <c r="BA72" s="19">
        <v>0.12</v>
      </c>
      <c r="BB72" s="19">
        <v>0.74</v>
      </c>
    </row>
    <row r="73" spans="5:54" x14ac:dyDescent="0.2">
      <c r="E73" t="s">
        <v>152</v>
      </c>
      <c r="F73" t="s">
        <v>117</v>
      </c>
      <c r="H73">
        <v>91.25</v>
      </c>
      <c r="I73">
        <v>150</v>
      </c>
      <c r="J73">
        <v>0.7</v>
      </c>
      <c r="K73">
        <v>0.05</v>
      </c>
      <c r="L73">
        <f>$AC$12</f>
        <v>1.3</v>
      </c>
      <c r="N73">
        <v>440</v>
      </c>
      <c r="P73">
        <v>0.3</v>
      </c>
      <c r="Q73">
        <f>(J73 * $AD$4 +K73* $AD$5) + (1 -J73 - K73 )</f>
        <v>1.2150000000000001</v>
      </c>
      <c r="S73">
        <f t="shared" si="8"/>
        <v>9.3477648089340022</v>
      </c>
      <c r="T73">
        <f t="shared" si="9"/>
        <v>0.19349873154493383</v>
      </c>
      <c r="U73">
        <f t="shared" si="6"/>
        <v>2648.5138880212817</v>
      </c>
      <c r="AP73" s="18"/>
      <c r="AQ73" s="20"/>
      <c r="AR73" s="8" t="s">
        <v>121</v>
      </c>
      <c r="AS73" s="8">
        <v>0.32</v>
      </c>
      <c r="AT73" s="8">
        <v>-0.06</v>
      </c>
      <c r="AU73" s="8">
        <v>0.25</v>
      </c>
      <c r="AV73" s="8">
        <v>0.19</v>
      </c>
      <c r="AW73" s="8">
        <v>-0.1</v>
      </c>
      <c r="AX73" s="8">
        <v>-0.02</v>
      </c>
      <c r="AY73" s="8">
        <v>0.02</v>
      </c>
      <c r="AZ73" s="8">
        <v>0.23</v>
      </c>
      <c r="BA73" s="8">
        <v>-0.13</v>
      </c>
      <c r="BB73" s="8">
        <v>0</v>
      </c>
    </row>
    <row r="74" spans="5:54" x14ac:dyDescent="0.2">
      <c r="E74" t="s">
        <v>235</v>
      </c>
      <c r="F74" t="s">
        <v>119</v>
      </c>
      <c r="H74">
        <v>91.25</v>
      </c>
      <c r="I74">
        <v>250</v>
      </c>
      <c r="J74">
        <v>0</v>
      </c>
      <c r="K74">
        <v>0.71</v>
      </c>
      <c r="L74">
        <f>$AC$13</f>
        <v>1.1000000000000001</v>
      </c>
      <c r="N74">
        <v>470</v>
      </c>
      <c r="P74">
        <v>0.3</v>
      </c>
      <c r="Q74">
        <f t="shared" ref="Q74:Q86" si="10">(J74 * $AD$4 +K74* $AD$5) + (1 -J74 - K74 )</f>
        <v>1.0710000000000002</v>
      </c>
      <c r="S74">
        <f t="shared" si="8"/>
        <v>8.6319321471936021</v>
      </c>
      <c r="T74">
        <f t="shared" si="9"/>
        <v>0.17868099544690758</v>
      </c>
      <c r="U74">
        <f t="shared" si="6"/>
        <v>4076.1602086325793</v>
      </c>
      <c r="AP74" s="20"/>
      <c r="AQ74" s="18" t="s">
        <v>263</v>
      </c>
      <c r="AR74" s="19" t="s">
        <v>117</v>
      </c>
      <c r="AS74" s="19">
        <v>0.62</v>
      </c>
      <c r="AT74" s="19">
        <v>-0.19</v>
      </c>
      <c r="AU74" s="19">
        <v>0.37</v>
      </c>
      <c r="AV74" s="19">
        <v>0.41</v>
      </c>
      <c r="AW74" s="19">
        <v>0.06</v>
      </c>
      <c r="AX74" s="19">
        <v>-0.02</v>
      </c>
      <c r="AY74" s="19">
        <v>0.47</v>
      </c>
      <c r="AZ74" s="19">
        <v>0.44</v>
      </c>
      <c r="BA74" s="19">
        <v>0.3</v>
      </c>
      <c r="BB74" s="19">
        <v>0.13</v>
      </c>
    </row>
    <row r="75" spans="5:54" x14ac:dyDescent="0.2">
      <c r="F75" t="s">
        <v>120</v>
      </c>
      <c r="H75">
        <v>91.25</v>
      </c>
      <c r="I75">
        <v>240</v>
      </c>
      <c r="J75">
        <v>0</v>
      </c>
      <c r="K75">
        <v>0</v>
      </c>
      <c r="L75">
        <f>$AC$14</f>
        <v>0</v>
      </c>
      <c r="N75">
        <v>490</v>
      </c>
      <c r="P75">
        <v>0.2</v>
      </c>
      <c r="Q75">
        <f t="shared" si="10"/>
        <v>1</v>
      </c>
      <c r="S75">
        <f t="shared" si="8"/>
        <v>8.1130407556000002</v>
      </c>
      <c r="T75">
        <f t="shared" si="9"/>
        <v>0.16793994364092002</v>
      </c>
      <c r="U75">
        <f t="shared" si="6"/>
        <v>3677.8847657361484</v>
      </c>
      <c r="AP75" s="18"/>
      <c r="AQ75" s="20"/>
      <c r="AR75" s="8" t="s">
        <v>119</v>
      </c>
      <c r="AS75" s="8">
        <v>0.05</v>
      </c>
      <c r="AT75" s="8">
        <v>0.19</v>
      </c>
      <c r="AU75" s="8">
        <v>0.31</v>
      </c>
      <c r="AV75" s="8">
        <v>0.54</v>
      </c>
      <c r="AW75" s="8">
        <v>0.53</v>
      </c>
      <c r="AX75" s="8">
        <v>0.15</v>
      </c>
      <c r="AY75" s="8">
        <v>0.28000000000000003</v>
      </c>
      <c r="AZ75" s="8">
        <v>0.56999999999999995</v>
      </c>
      <c r="BA75" s="8">
        <v>0.42</v>
      </c>
      <c r="BB75" s="8">
        <v>0.4</v>
      </c>
    </row>
    <row r="76" spans="5:54" x14ac:dyDescent="0.2">
      <c r="F76" t="s">
        <v>121</v>
      </c>
      <c r="H76">
        <v>91.25</v>
      </c>
      <c r="I76">
        <v>200</v>
      </c>
      <c r="J76">
        <v>0.1</v>
      </c>
      <c r="K76">
        <v>0</v>
      </c>
      <c r="L76">
        <f>$AC$14</f>
        <v>0</v>
      </c>
      <c r="N76">
        <v>500</v>
      </c>
      <c r="P76">
        <v>0.1</v>
      </c>
      <c r="Q76">
        <f t="shared" si="10"/>
        <v>1.03</v>
      </c>
      <c r="S76">
        <f t="shared" si="8"/>
        <v>8.2871042175000014</v>
      </c>
      <c r="T76">
        <f t="shared" si="9"/>
        <v>0.17154305730225003</v>
      </c>
      <c r="U76">
        <f t="shared" si="6"/>
        <v>3130.6607957660631</v>
      </c>
      <c r="AP76" s="20"/>
      <c r="AQ76" s="18"/>
      <c r="AR76" s="19" t="s">
        <v>120</v>
      </c>
      <c r="AS76" s="19">
        <v>0.33</v>
      </c>
      <c r="AT76" s="19">
        <v>0.13</v>
      </c>
      <c r="AU76" s="19">
        <v>0.39</v>
      </c>
      <c r="AV76" s="19">
        <v>0.36</v>
      </c>
      <c r="AW76" s="19">
        <v>0.26</v>
      </c>
      <c r="AX76" s="19">
        <v>0.11</v>
      </c>
      <c r="AY76" s="19">
        <v>0.4</v>
      </c>
      <c r="AZ76" s="19">
        <v>0.44</v>
      </c>
      <c r="BA76" s="19">
        <v>0.37</v>
      </c>
      <c r="BB76" s="19">
        <v>-0.01</v>
      </c>
    </row>
    <row r="77" spans="5:54" x14ac:dyDescent="0.2">
      <c r="E77" t="s">
        <v>141</v>
      </c>
      <c r="F77" t="s">
        <v>117</v>
      </c>
      <c r="H77">
        <v>91.25</v>
      </c>
      <c r="I77">
        <v>110</v>
      </c>
      <c r="J77">
        <v>0</v>
      </c>
      <c r="K77">
        <v>0</v>
      </c>
      <c r="L77">
        <v>0</v>
      </c>
      <c r="N77">
        <v>75</v>
      </c>
      <c r="P77">
        <v>0.5</v>
      </c>
      <c r="Q77">
        <f t="shared" si="10"/>
        <v>1</v>
      </c>
      <c r="S77">
        <f t="shared" si="8"/>
        <v>2.7834751406249998</v>
      </c>
      <c r="T77">
        <f t="shared" si="9"/>
        <v>5.7617935410937494E-2</v>
      </c>
      <c r="U77">
        <f t="shared" si="6"/>
        <v>578.3400266872851</v>
      </c>
      <c r="AP77" s="18"/>
      <c r="AQ77" s="20"/>
      <c r="AR77" s="8" t="s">
        <v>121</v>
      </c>
      <c r="AS77" s="8">
        <v>0.61</v>
      </c>
      <c r="AT77" s="8">
        <v>-0.06</v>
      </c>
      <c r="AU77" s="8">
        <v>0.21</v>
      </c>
      <c r="AV77" s="8">
        <v>0.18</v>
      </c>
      <c r="AW77" s="8">
        <v>0.12</v>
      </c>
      <c r="AX77" s="8">
        <v>0.06</v>
      </c>
      <c r="AY77" s="8">
        <v>0.28999999999999998</v>
      </c>
      <c r="AZ77" s="8">
        <v>0.41</v>
      </c>
      <c r="BA77" s="8">
        <v>0.41</v>
      </c>
      <c r="BB77" s="8">
        <v>-0.15</v>
      </c>
    </row>
    <row r="78" spans="5:54" x14ac:dyDescent="0.2">
      <c r="E78">
        <v>3</v>
      </c>
      <c r="F78" t="s">
        <v>119</v>
      </c>
      <c r="H78">
        <v>91.25</v>
      </c>
      <c r="I78">
        <v>190</v>
      </c>
      <c r="J78">
        <v>0</v>
      </c>
      <c r="K78">
        <v>0</v>
      </c>
      <c r="L78">
        <v>0</v>
      </c>
      <c r="N78">
        <v>160</v>
      </c>
      <c r="P78">
        <v>0.9</v>
      </c>
      <c r="Q78">
        <f t="shared" si="10"/>
        <v>1</v>
      </c>
      <c r="S78">
        <f t="shared" si="8"/>
        <v>4.5298311556000002</v>
      </c>
      <c r="T78">
        <f t="shared" si="9"/>
        <v>9.3767504920920008E-2</v>
      </c>
      <c r="U78">
        <f t="shared" si="6"/>
        <v>1625.6941165664505</v>
      </c>
      <c r="AP78" s="20"/>
      <c r="AQ78" s="18" t="s">
        <v>264</v>
      </c>
      <c r="AR78" s="19" t="s">
        <v>117</v>
      </c>
      <c r="AS78" s="19">
        <v>-0.2</v>
      </c>
      <c r="AT78" s="19">
        <v>0.02</v>
      </c>
      <c r="AU78" s="19">
        <v>0.24</v>
      </c>
      <c r="AV78" s="19">
        <v>0.3</v>
      </c>
      <c r="AW78" s="19">
        <v>0.23</v>
      </c>
      <c r="AX78" s="19">
        <v>-0.05</v>
      </c>
      <c r="AY78" s="19">
        <v>0.34</v>
      </c>
      <c r="AZ78" s="19">
        <v>0.3</v>
      </c>
      <c r="BA78" s="19">
        <v>0.56999999999999995</v>
      </c>
      <c r="BB78" s="19">
        <v>0.52</v>
      </c>
    </row>
    <row r="79" spans="5:54" x14ac:dyDescent="0.2">
      <c r="F79" t="s">
        <v>120</v>
      </c>
      <c r="H79">
        <v>91.25</v>
      </c>
      <c r="I79">
        <v>195</v>
      </c>
      <c r="J79">
        <v>0</v>
      </c>
      <c r="K79">
        <v>0</v>
      </c>
      <c r="L79">
        <v>0</v>
      </c>
      <c r="N79">
        <v>220</v>
      </c>
      <c r="P79">
        <v>0.7</v>
      </c>
      <c r="Q79">
        <f t="shared" si="10"/>
        <v>1</v>
      </c>
      <c r="S79">
        <f t="shared" si="8"/>
        <v>5.1913799715999973</v>
      </c>
      <c r="T79">
        <f t="shared" si="9"/>
        <v>0.10746156541211994</v>
      </c>
      <c r="U79">
        <f t="shared" si="6"/>
        <v>1912.1442295519091</v>
      </c>
      <c r="AP79" s="18"/>
      <c r="AQ79" s="20"/>
      <c r="AR79" s="8" t="s">
        <v>119</v>
      </c>
      <c r="AS79" s="8">
        <v>0.62</v>
      </c>
      <c r="AT79" s="8">
        <v>0.21</v>
      </c>
      <c r="AU79" s="8">
        <v>0.25</v>
      </c>
      <c r="AV79" s="8">
        <v>0.32</v>
      </c>
      <c r="AW79" s="8">
        <v>0.47</v>
      </c>
      <c r="AX79" s="8">
        <v>0.31</v>
      </c>
      <c r="AY79" s="8">
        <v>0.14000000000000001</v>
      </c>
      <c r="AZ79" s="8">
        <v>0.4</v>
      </c>
      <c r="BA79" s="8">
        <v>0.26</v>
      </c>
      <c r="BB79" s="8">
        <v>0.43</v>
      </c>
    </row>
    <row r="80" spans="5:54" x14ac:dyDescent="0.2">
      <c r="F80" t="s">
        <v>121</v>
      </c>
      <c r="H80">
        <v>91.25</v>
      </c>
      <c r="I80">
        <v>200</v>
      </c>
      <c r="J80">
        <v>0</v>
      </c>
      <c r="K80">
        <v>0</v>
      </c>
      <c r="L80">
        <v>0</v>
      </c>
      <c r="N80">
        <v>260</v>
      </c>
      <c r="P80">
        <v>0.4</v>
      </c>
      <c r="Q80">
        <f t="shared" si="10"/>
        <v>1</v>
      </c>
      <c r="S80">
        <f t="shared" si="8"/>
        <v>5.3621886096000004</v>
      </c>
      <c r="T80">
        <f t="shared" si="9"/>
        <v>0.11099730421872001</v>
      </c>
      <c r="U80">
        <f t="shared" si="6"/>
        <v>2025.7008019916402</v>
      </c>
      <c r="AP80" s="20"/>
      <c r="AQ80" s="18"/>
      <c r="AR80" s="19" t="s">
        <v>120</v>
      </c>
      <c r="AS80" s="19">
        <v>0.4</v>
      </c>
      <c r="AT80" s="19">
        <v>0.13</v>
      </c>
      <c r="AU80" s="19">
        <v>0.12</v>
      </c>
      <c r="AV80" s="19">
        <v>0.27</v>
      </c>
      <c r="AW80" s="19">
        <v>0.3</v>
      </c>
      <c r="AX80" s="19">
        <v>0.08</v>
      </c>
      <c r="AY80" s="19">
        <v>0.13</v>
      </c>
      <c r="AZ80" s="19">
        <v>0.24</v>
      </c>
      <c r="BA80" s="19">
        <v>0.15</v>
      </c>
      <c r="BB80" s="19">
        <v>0.21</v>
      </c>
    </row>
    <row r="81" spans="5:54" x14ac:dyDescent="0.2">
      <c r="E81" t="s">
        <v>156</v>
      </c>
      <c r="F81" t="s">
        <v>117</v>
      </c>
      <c r="H81">
        <v>91.25</v>
      </c>
      <c r="I81">
        <v>50</v>
      </c>
      <c r="J81">
        <v>0.8</v>
      </c>
      <c r="K81">
        <v>0.05</v>
      </c>
      <c r="L81">
        <f>$AC$12</f>
        <v>1.3</v>
      </c>
      <c r="N81">
        <v>440</v>
      </c>
      <c r="P81">
        <v>0.3</v>
      </c>
      <c r="Q81">
        <f t="shared" si="10"/>
        <v>1.2449999999999999</v>
      </c>
      <c r="S81">
        <f t="shared" si="8"/>
        <v>9.5785738165620007</v>
      </c>
      <c r="T81">
        <f t="shared" si="9"/>
        <v>0.19827647800283341</v>
      </c>
      <c r="U81">
        <f t="shared" si="6"/>
        <v>904.63643088792742</v>
      </c>
      <c r="AQ81" s="20"/>
      <c r="AR81" s="8" t="s">
        <v>121</v>
      </c>
      <c r="AS81" s="8">
        <v>0.08</v>
      </c>
      <c r="AT81" s="8">
        <v>0.04</v>
      </c>
      <c r="AU81" s="8">
        <v>0.06</v>
      </c>
      <c r="AV81" s="8">
        <v>0.18</v>
      </c>
      <c r="AW81" s="8">
        <v>0.11</v>
      </c>
      <c r="AX81" s="8">
        <v>-7.0000000000000007E-2</v>
      </c>
      <c r="AY81" s="8">
        <v>0.13</v>
      </c>
      <c r="AZ81" s="8">
        <v>0.16</v>
      </c>
      <c r="BA81" s="8">
        <v>0.4</v>
      </c>
      <c r="BB81" s="8">
        <v>0.33</v>
      </c>
    </row>
    <row r="82" spans="5:54" x14ac:dyDescent="0.2">
      <c r="E82" t="s">
        <v>236</v>
      </c>
      <c r="F82" t="s">
        <v>119</v>
      </c>
      <c r="H82">
        <v>91.25</v>
      </c>
      <c r="I82">
        <v>100</v>
      </c>
      <c r="J82">
        <v>0</v>
      </c>
      <c r="K82">
        <v>0.9</v>
      </c>
      <c r="L82">
        <f>$AC$13</f>
        <v>1.1000000000000001</v>
      </c>
      <c r="N82">
        <v>470</v>
      </c>
      <c r="P82">
        <v>0.3</v>
      </c>
      <c r="Q82">
        <f t="shared" si="10"/>
        <v>1.0900000000000001</v>
      </c>
      <c r="S82">
        <f t="shared" si="8"/>
        <v>8.7850663309440016</v>
      </c>
      <c r="T82">
        <f t="shared" si="9"/>
        <v>0.18185087305054082</v>
      </c>
      <c r="U82">
        <f t="shared" si="6"/>
        <v>1659.3892165861848</v>
      </c>
    </row>
    <row r="83" spans="5:54" x14ac:dyDescent="0.2">
      <c r="F83" t="s">
        <v>120</v>
      </c>
      <c r="H83">
        <v>91.25</v>
      </c>
      <c r="I83">
        <v>90</v>
      </c>
      <c r="J83">
        <v>0</v>
      </c>
      <c r="K83">
        <v>0</v>
      </c>
      <c r="L83">
        <f>$AC$14</f>
        <v>0</v>
      </c>
      <c r="N83">
        <v>490</v>
      </c>
      <c r="P83">
        <v>0.2</v>
      </c>
      <c r="Q83">
        <f t="shared" si="10"/>
        <v>1</v>
      </c>
      <c r="S83">
        <f t="shared" si="8"/>
        <v>8.1130407556000002</v>
      </c>
      <c r="T83">
        <f t="shared" si="9"/>
        <v>0.16793994364092002</v>
      </c>
      <c r="U83">
        <f t="shared" si="6"/>
        <v>1379.2067871510558</v>
      </c>
    </row>
    <row r="84" spans="5:54" x14ac:dyDescent="0.2">
      <c r="F84" t="s">
        <v>121</v>
      </c>
      <c r="H84">
        <v>91.25</v>
      </c>
      <c r="I84">
        <v>80</v>
      </c>
      <c r="J84">
        <v>0</v>
      </c>
      <c r="K84">
        <v>0</v>
      </c>
      <c r="L84">
        <f>$AC$14</f>
        <v>0</v>
      </c>
      <c r="N84">
        <v>500</v>
      </c>
      <c r="P84">
        <v>0.1</v>
      </c>
      <c r="Q84">
        <f t="shared" si="10"/>
        <v>1</v>
      </c>
      <c r="S84">
        <f t="shared" si="8"/>
        <v>8.0457322500000004</v>
      </c>
      <c r="T84">
        <f t="shared" si="9"/>
        <v>0.16654665757500001</v>
      </c>
      <c r="U84">
        <f t="shared" si="6"/>
        <v>1215.7906002975001</v>
      </c>
    </row>
    <row r="85" spans="5:54" x14ac:dyDescent="0.2">
      <c r="E85" t="s">
        <v>169</v>
      </c>
      <c r="F85" t="s">
        <v>117</v>
      </c>
      <c r="H85">
        <v>91.25</v>
      </c>
      <c r="I85">
        <v>30</v>
      </c>
      <c r="J85">
        <v>0</v>
      </c>
      <c r="K85">
        <v>0</v>
      </c>
      <c r="L85">
        <v>0</v>
      </c>
      <c r="N85">
        <v>380</v>
      </c>
      <c r="P85">
        <v>0.4</v>
      </c>
      <c r="Q85">
        <f t="shared" si="10"/>
        <v>1</v>
      </c>
      <c r="S85">
        <f t="shared" si="8"/>
        <v>7.0796437775999967</v>
      </c>
      <c r="T85">
        <f t="shared" si="9"/>
        <v>0.14654862619631992</v>
      </c>
      <c r="U85">
        <f t="shared" si="6"/>
        <v>401.17686421242576</v>
      </c>
    </row>
    <row r="86" spans="5:54" x14ac:dyDescent="0.2">
      <c r="E86" t="s">
        <v>237</v>
      </c>
      <c r="F86" t="s">
        <v>119</v>
      </c>
      <c r="H86">
        <v>91.25</v>
      </c>
      <c r="I86">
        <v>60</v>
      </c>
      <c r="J86">
        <v>0</v>
      </c>
      <c r="K86">
        <v>0</v>
      </c>
      <c r="L86">
        <v>0</v>
      </c>
      <c r="N86">
        <v>420</v>
      </c>
      <c r="P86">
        <v>0.4</v>
      </c>
      <c r="Q86">
        <f t="shared" si="10"/>
        <v>1</v>
      </c>
      <c r="S86">
        <f t="shared" si="8"/>
        <v>7.6129639056</v>
      </c>
      <c r="T86">
        <f t="shared" si="9"/>
        <v>0.15758835284591999</v>
      </c>
      <c r="U86">
        <f t="shared" si="6"/>
        <v>862.79623183141189</v>
      </c>
    </row>
    <row r="87" spans="5:54" ht="17" thickBot="1" x14ac:dyDescent="0.25">
      <c r="F87" t="s">
        <v>120</v>
      </c>
      <c r="H87">
        <v>91.25</v>
      </c>
      <c r="I87">
        <v>40</v>
      </c>
      <c r="J87">
        <v>0</v>
      </c>
      <c r="K87">
        <v>0</v>
      </c>
      <c r="L87">
        <v>0</v>
      </c>
      <c r="N87">
        <v>450</v>
      </c>
      <c r="P87">
        <v>0.3</v>
      </c>
      <c r="Q87">
        <f t="shared" si="7"/>
        <v>1</v>
      </c>
      <c r="S87">
        <f t="shared" si="8"/>
        <v>7.8176159999999992</v>
      </c>
      <c r="T87">
        <f t="shared" si="9"/>
        <v>0.16182465119999997</v>
      </c>
      <c r="U87">
        <f t="shared" si="6"/>
        <v>590.65997687999993</v>
      </c>
      <c r="AS87" s="2" t="s">
        <v>173</v>
      </c>
      <c r="AT87" s="2" t="s">
        <v>173</v>
      </c>
      <c r="AU87" s="2" t="s">
        <v>174</v>
      </c>
      <c r="AV87" s="2" t="s">
        <v>174</v>
      </c>
      <c r="AW87" s="2" t="s">
        <v>174</v>
      </c>
      <c r="AX87" s="2" t="s">
        <v>174</v>
      </c>
      <c r="AY87" s="2" t="s">
        <v>175</v>
      </c>
      <c r="AZ87" s="2" t="s">
        <v>175</v>
      </c>
      <c r="BA87" s="2" t="s">
        <v>175</v>
      </c>
      <c r="BB87" s="2" t="s">
        <v>175</v>
      </c>
    </row>
    <row r="88" spans="5:54" ht="18" thickTop="1" thickBot="1" x14ac:dyDescent="0.25">
      <c r="F88" t="s">
        <v>121</v>
      </c>
      <c r="H88">
        <v>91.25</v>
      </c>
      <c r="I88">
        <v>20</v>
      </c>
      <c r="J88">
        <v>0</v>
      </c>
      <c r="K88">
        <v>0</v>
      </c>
      <c r="L88">
        <v>0</v>
      </c>
      <c r="N88">
        <v>460</v>
      </c>
      <c r="P88">
        <v>0.1</v>
      </c>
      <c r="Q88">
        <f t="shared" si="7"/>
        <v>1</v>
      </c>
      <c r="S88">
        <f t="shared" si="8"/>
        <v>7.5885924675999998</v>
      </c>
      <c r="T88">
        <f t="shared" si="9"/>
        <v>0.15708386407931998</v>
      </c>
      <c r="U88">
        <f t="shared" si="6"/>
        <v>286.67805194475898</v>
      </c>
      <c r="AQ88" s="30" t="s">
        <v>242</v>
      </c>
      <c r="AR88" t="s">
        <v>243</v>
      </c>
      <c r="AS88" s="2" t="s">
        <v>244</v>
      </c>
      <c r="AT88" s="2" t="s">
        <v>245</v>
      </c>
      <c r="AU88" s="2" t="s">
        <v>246</v>
      </c>
      <c r="AV88" s="3" t="s">
        <v>247</v>
      </c>
      <c r="AW88" s="2" t="s">
        <v>248</v>
      </c>
      <c r="AX88" s="2" t="s">
        <v>249</v>
      </c>
      <c r="AY88" s="2" t="s">
        <v>250</v>
      </c>
      <c r="AZ88" s="2" t="s">
        <v>251</v>
      </c>
      <c r="BA88" s="2" t="s">
        <v>252</v>
      </c>
      <c r="BB88" s="2" t="s">
        <v>253</v>
      </c>
    </row>
    <row r="89" spans="5:54" ht="17" thickTop="1" x14ac:dyDescent="0.2">
      <c r="E89" t="s">
        <v>171</v>
      </c>
      <c r="F89" t="s">
        <v>117</v>
      </c>
      <c r="H89">
        <v>91.25</v>
      </c>
      <c r="I89">
        <v>30</v>
      </c>
      <c r="J89">
        <v>0</v>
      </c>
      <c r="K89">
        <v>0</v>
      </c>
      <c r="L89">
        <v>0</v>
      </c>
      <c r="N89">
        <v>380</v>
      </c>
      <c r="P89">
        <v>0.4</v>
      </c>
      <c r="Q89">
        <f t="shared" si="7"/>
        <v>1</v>
      </c>
      <c r="S89">
        <f t="shared" si="8"/>
        <v>7.0796437775999967</v>
      </c>
      <c r="T89">
        <f t="shared" si="9"/>
        <v>0.14654862619631992</v>
      </c>
      <c r="U89">
        <f t="shared" si="6"/>
        <v>401.17686421242576</v>
      </c>
      <c r="X89" t="s">
        <v>130</v>
      </c>
      <c r="Y89" t="s">
        <v>265</v>
      </c>
      <c r="Z89" t="s">
        <v>113</v>
      </c>
      <c r="AA89" t="s">
        <v>133</v>
      </c>
      <c r="AB89" t="s">
        <v>134</v>
      </c>
      <c r="AC89" t="s">
        <v>135</v>
      </c>
      <c r="AD89" t="s">
        <v>255</v>
      </c>
      <c r="AE89" t="s">
        <v>256</v>
      </c>
      <c r="AF89" t="s">
        <v>257</v>
      </c>
      <c r="AG89" t="s">
        <v>258</v>
      </c>
      <c r="AH89" t="s">
        <v>259</v>
      </c>
      <c r="AI89" t="s">
        <v>260</v>
      </c>
      <c r="AJ89" t="s">
        <v>261</v>
      </c>
      <c r="AK89" t="s">
        <v>262</v>
      </c>
      <c r="AL89" t="s">
        <v>263</v>
      </c>
      <c r="AM89" t="s">
        <v>264</v>
      </c>
      <c r="AN89" t="s">
        <v>266</v>
      </c>
      <c r="AP89" t="s">
        <v>113</v>
      </c>
      <c r="AQ89" s="30" t="s">
        <v>241</v>
      </c>
      <c r="AR89" t="s">
        <v>130</v>
      </c>
      <c r="AS89" s="2" t="s">
        <v>116</v>
      </c>
      <c r="AT89" s="2" t="s">
        <v>122</v>
      </c>
      <c r="AU89" s="2" t="s">
        <v>141</v>
      </c>
      <c r="AV89" s="3" t="s">
        <v>146</v>
      </c>
      <c r="AW89" s="2" t="s">
        <v>152</v>
      </c>
      <c r="AX89" s="2" t="s">
        <v>156</v>
      </c>
      <c r="AY89" s="2" t="s">
        <v>164</v>
      </c>
      <c r="AZ89" s="2" t="s">
        <v>169</v>
      </c>
      <c r="BA89" s="2" t="s">
        <v>171</v>
      </c>
      <c r="BB89" s="2" t="s">
        <v>176</v>
      </c>
    </row>
    <row r="90" spans="5:54" x14ac:dyDescent="0.2">
      <c r="E90" t="s">
        <v>238</v>
      </c>
      <c r="F90" t="s">
        <v>119</v>
      </c>
      <c r="H90">
        <v>91.25</v>
      </c>
      <c r="I90">
        <v>100</v>
      </c>
      <c r="J90">
        <v>0</v>
      </c>
      <c r="K90">
        <v>0</v>
      </c>
      <c r="L90">
        <v>0</v>
      </c>
      <c r="N90">
        <v>420</v>
      </c>
      <c r="P90">
        <v>0.4</v>
      </c>
      <c r="Q90">
        <f t="shared" si="7"/>
        <v>1</v>
      </c>
      <c r="S90">
        <f t="shared" si="8"/>
        <v>7.6129639056</v>
      </c>
      <c r="T90">
        <f t="shared" si="9"/>
        <v>0.15758835284591999</v>
      </c>
      <c r="U90">
        <f t="shared" si="6"/>
        <v>1437.9937197190197</v>
      </c>
      <c r="X90" t="s">
        <v>117</v>
      </c>
      <c r="Y90" t="s">
        <v>116</v>
      </c>
      <c r="Z90">
        <v>80</v>
      </c>
      <c r="AA90">
        <v>250</v>
      </c>
      <c r="AB90">
        <v>105</v>
      </c>
      <c r="AC90">
        <v>250</v>
      </c>
      <c r="AD90">
        <v>340</v>
      </c>
      <c r="AE90">
        <v>80</v>
      </c>
      <c r="AF90">
        <v>220</v>
      </c>
      <c r="AG90">
        <v>220</v>
      </c>
      <c r="AH90">
        <v>220</v>
      </c>
      <c r="AI90">
        <v>220</v>
      </c>
      <c r="AJ90">
        <v>260</v>
      </c>
      <c r="AK90">
        <v>230</v>
      </c>
      <c r="AL90">
        <v>236</v>
      </c>
      <c r="AM90">
        <v>190</v>
      </c>
      <c r="AN90">
        <v>1</v>
      </c>
      <c r="AQ90" s="6" t="s">
        <v>113</v>
      </c>
      <c r="AR90" s="4" t="s">
        <v>117</v>
      </c>
      <c r="AS90" s="4">
        <v>80</v>
      </c>
      <c r="AT90" s="4">
        <v>480</v>
      </c>
      <c r="AU90" s="4">
        <v>75</v>
      </c>
      <c r="AV90" s="4">
        <v>300</v>
      </c>
      <c r="AW90" s="4">
        <v>440</v>
      </c>
      <c r="AX90" s="4">
        <v>440</v>
      </c>
      <c r="AY90" s="4">
        <v>75</v>
      </c>
      <c r="AZ90">
        <v>380</v>
      </c>
      <c r="BA90">
        <v>380</v>
      </c>
      <c r="BB90">
        <v>380</v>
      </c>
    </row>
    <row r="91" spans="5:54" x14ac:dyDescent="0.2">
      <c r="F91" t="s">
        <v>120</v>
      </c>
      <c r="H91">
        <v>91.25</v>
      </c>
      <c r="I91">
        <v>40</v>
      </c>
      <c r="J91">
        <v>0</v>
      </c>
      <c r="K91">
        <v>0</v>
      </c>
      <c r="L91">
        <v>0</v>
      </c>
      <c r="N91">
        <v>450</v>
      </c>
      <c r="P91">
        <v>0.3</v>
      </c>
      <c r="Q91">
        <f t="shared" si="7"/>
        <v>1</v>
      </c>
      <c r="S91">
        <f t="shared" si="8"/>
        <v>7.8176159999999992</v>
      </c>
      <c r="T91">
        <f t="shared" si="9"/>
        <v>0.16182465119999997</v>
      </c>
      <c r="U91">
        <f t="shared" si="6"/>
        <v>590.65997687999993</v>
      </c>
      <c r="X91" t="s">
        <v>119</v>
      </c>
      <c r="Y91" t="s">
        <v>116</v>
      </c>
      <c r="Z91">
        <v>170</v>
      </c>
      <c r="AA91">
        <v>320</v>
      </c>
      <c r="AB91">
        <v>480</v>
      </c>
      <c r="AC91">
        <v>280</v>
      </c>
      <c r="AD91">
        <v>380</v>
      </c>
      <c r="AE91">
        <v>150</v>
      </c>
      <c r="AF91">
        <v>110</v>
      </c>
      <c r="AG91">
        <v>110</v>
      </c>
      <c r="AH91">
        <v>110</v>
      </c>
      <c r="AI91">
        <v>110</v>
      </c>
      <c r="AJ91">
        <v>153</v>
      </c>
      <c r="AK91">
        <v>113</v>
      </c>
      <c r="AL91">
        <v>120</v>
      </c>
      <c r="AM91">
        <v>119</v>
      </c>
      <c r="AN91">
        <v>2</v>
      </c>
      <c r="AQ91" s="5"/>
      <c r="AR91" s="4" t="s">
        <v>119</v>
      </c>
      <c r="AS91" s="4">
        <v>170</v>
      </c>
      <c r="AT91" s="4">
        <v>520</v>
      </c>
      <c r="AU91" s="4">
        <v>160</v>
      </c>
      <c r="AV91" s="4">
        <v>360</v>
      </c>
      <c r="AW91">
        <v>470</v>
      </c>
      <c r="AX91">
        <v>470</v>
      </c>
      <c r="AY91">
        <v>160</v>
      </c>
      <c r="AZ91">
        <v>420</v>
      </c>
      <c r="BA91">
        <v>420</v>
      </c>
      <c r="BB91">
        <v>420</v>
      </c>
    </row>
    <row r="92" spans="5:54" x14ac:dyDescent="0.2">
      <c r="F92" t="s">
        <v>121</v>
      </c>
      <c r="H92">
        <v>91.25</v>
      </c>
      <c r="I92">
        <v>5</v>
      </c>
      <c r="J92">
        <v>0</v>
      </c>
      <c r="K92">
        <v>0</v>
      </c>
      <c r="L92">
        <v>0</v>
      </c>
      <c r="N92">
        <v>460</v>
      </c>
      <c r="P92">
        <v>0.1</v>
      </c>
      <c r="Q92">
        <f t="shared" si="7"/>
        <v>1</v>
      </c>
      <c r="S92">
        <f t="shared" si="8"/>
        <v>7.5885924675999998</v>
      </c>
      <c r="T92">
        <f t="shared" si="9"/>
        <v>0.15708386407931998</v>
      </c>
      <c r="U92">
        <f t="shared" si="6"/>
        <v>71.669512986189744</v>
      </c>
      <c r="X92" t="s">
        <v>120</v>
      </c>
      <c r="Y92" t="s">
        <v>116</v>
      </c>
      <c r="Z92">
        <v>240</v>
      </c>
      <c r="AA92">
        <v>80</v>
      </c>
      <c r="AB92">
        <v>250</v>
      </c>
      <c r="AC92">
        <v>100</v>
      </c>
      <c r="AD92">
        <v>100</v>
      </c>
      <c r="AE92">
        <v>230</v>
      </c>
      <c r="AF92">
        <v>170</v>
      </c>
      <c r="AG92">
        <v>170</v>
      </c>
      <c r="AH92">
        <v>170</v>
      </c>
      <c r="AI92">
        <v>170</v>
      </c>
      <c r="AJ92">
        <v>168</v>
      </c>
      <c r="AK92">
        <v>172</v>
      </c>
      <c r="AL92">
        <v>125</v>
      </c>
      <c r="AM92">
        <v>175</v>
      </c>
      <c r="AN92">
        <v>3</v>
      </c>
      <c r="AQ92" s="6"/>
      <c r="AR92" s="4" t="s">
        <v>120</v>
      </c>
      <c r="AS92" s="4">
        <v>240</v>
      </c>
      <c r="AT92" s="4">
        <v>550</v>
      </c>
      <c r="AU92" s="4">
        <v>220</v>
      </c>
      <c r="AV92" s="4">
        <v>390</v>
      </c>
      <c r="AW92">
        <v>490</v>
      </c>
      <c r="AX92">
        <v>490</v>
      </c>
      <c r="AY92">
        <v>220</v>
      </c>
      <c r="AZ92">
        <v>450</v>
      </c>
      <c r="BA92">
        <v>450</v>
      </c>
      <c r="BB92">
        <v>450</v>
      </c>
    </row>
    <row r="93" spans="5:54" x14ac:dyDescent="0.2">
      <c r="E93" t="s">
        <v>164</v>
      </c>
      <c r="F93" t="s">
        <v>117</v>
      </c>
      <c r="H93">
        <v>91.25</v>
      </c>
      <c r="I93">
        <v>20</v>
      </c>
      <c r="J93">
        <v>0</v>
      </c>
      <c r="K93">
        <v>0</v>
      </c>
      <c r="L93">
        <v>0</v>
      </c>
      <c r="N93">
        <v>75</v>
      </c>
      <c r="P93">
        <v>0.5</v>
      </c>
      <c r="Q93">
        <f t="shared" si="7"/>
        <v>1</v>
      </c>
      <c r="S93">
        <f t="shared" si="8"/>
        <v>2.7834751406249998</v>
      </c>
      <c r="T93">
        <f t="shared" si="9"/>
        <v>5.7617935410937494E-2</v>
      </c>
      <c r="U93">
        <f t="shared" si="6"/>
        <v>105.15273212496092</v>
      </c>
      <c r="X93" t="s">
        <v>121</v>
      </c>
      <c r="Y93" t="s">
        <v>116</v>
      </c>
      <c r="Z93">
        <v>280</v>
      </c>
      <c r="AA93">
        <v>160</v>
      </c>
      <c r="AB93">
        <v>260</v>
      </c>
      <c r="AC93">
        <v>150</v>
      </c>
      <c r="AD93">
        <v>190</v>
      </c>
      <c r="AE93">
        <v>250</v>
      </c>
      <c r="AF93">
        <v>200</v>
      </c>
      <c r="AG93">
        <v>200</v>
      </c>
      <c r="AH93">
        <v>200</v>
      </c>
      <c r="AI93">
        <v>200</v>
      </c>
      <c r="AJ93">
        <v>235</v>
      </c>
      <c r="AK93">
        <v>241</v>
      </c>
      <c r="AL93">
        <v>180</v>
      </c>
      <c r="AM93">
        <v>192</v>
      </c>
      <c r="AN93">
        <v>4</v>
      </c>
      <c r="AP93" t="s">
        <v>178</v>
      </c>
      <c r="AQ93" s="5"/>
      <c r="AR93" s="4" t="s">
        <v>121</v>
      </c>
      <c r="AS93" s="4">
        <v>280</v>
      </c>
      <c r="AT93" s="4">
        <v>560</v>
      </c>
      <c r="AU93" s="4">
        <v>260</v>
      </c>
      <c r="AV93" s="4">
        <v>410</v>
      </c>
      <c r="AW93">
        <v>500</v>
      </c>
      <c r="AX93">
        <v>500</v>
      </c>
      <c r="AY93">
        <v>260</v>
      </c>
      <c r="AZ93">
        <v>460</v>
      </c>
      <c r="BA93">
        <v>460</v>
      </c>
      <c r="BB93">
        <v>460</v>
      </c>
    </row>
    <row r="94" spans="5:54" x14ac:dyDescent="0.2">
      <c r="E94">
        <v>6</v>
      </c>
      <c r="F94" t="s">
        <v>119</v>
      </c>
      <c r="H94">
        <v>91.25</v>
      </c>
      <c r="I94">
        <v>40</v>
      </c>
      <c r="J94">
        <v>0</v>
      </c>
      <c r="K94">
        <v>0</v>
      </c>
      <c r="L94">
        <v>0</v>
      </c>
      <c r="N94">
        <v>160</v>
      </c>
      <c r="P94">
        <v>0.9</v>
      </c>
      <c r="Q94">
        <f t="shared" si="7"/>
        <v>1</v>
      </c>
      <c r="S94">
        <f t="shared" si="8"/>
        <v>4.5298311556000002</v>
      </c>
      <c r="T94">
        <f t="shared" si="9"/>
        <v>9.3767504920920008E-2</v>
      </c>
      <c r="U94">
        <f t="shared" si="6"/>
        <v>342.25139296135802</v>
      </c>
      <c r="X94" t="s">
        <v>117</v>
      </c>
      <c r="Y94" t="s">
        <v>122</v>
      </c>
      <c r="Z94">
        <v>480</v>
      </c>
      <c r="AA94">
        <v>800</v>
      </c>
      <c r="AB94">
        <v>700</v>
      </c>
      <c r="AC94">
        <v>820</v>
      </c>
      <c r="AD94">
        <v>800</v>
      </c>
      <c r="AE94">
        <v>450</v>
      </c>
      <c r="AF94">
        <v>500</v>
      </c>
      <c r="AG94">
        <v>706</v>
      </c>
      <c r="AH94">
        <v>620</v>
      </c>
      <c r="AI94">
        <v>620</v>
      </c>
      <c r="AJ94">
        <v>705</v>
      </c>
      <c r="AK94">
        <v>674</v>
      </c>
      <c r="AL94">
        <v>674</v>
      </c>
      <c r="AM94">
        <v>617</v>
      </c>
      <c r="AN94">
        <v>1</v>
      </c>
      <c r="AQ94" s="6" t="s">
        <v>133</v>
      </c>
      <c r="AR94" s="4" t="s">
        <v>117</v>
      </c>
      <c r="AS94" s="4">
        <v>250</v>
      </c>
      <c r="AT94" s="4">
        <v>800</v>
      </c>
      <c r="AU94" s="4">
        <v>220</v>
      </c>
      <c r="AV94" s="4">
        <v>400</v>
      </c>
      <c r="AW94">
        <v>500</v>
      </c>
      <c r="AX94">
        <v>500</v>
      </c>
      <c r="AY94">
        <v>230</v>
      </c>
      <c r="AZ94">
        <v>420</v>
      </c>
      <c r="BA94">
        <v>420</v>
      </c>
      <c r="BB94">
        <v>420</v>
      </c>
    </row>
    <row r="95" spans="5:54" x14ac:dyDescent="0.2">
      <c r="F95" t="s">
        <v>120</v>
      </c>
      <c r="H95">
        <v>91.25</v>
      </c>
      <c r="I95">
        <v>35</v>
      </c>
      <c r="J95">
        <v>0</v>
      </c>
      <c r="K95">
        <v>0</v>
      </c>
      <c r="L95">
        <v>0</v>
      </c>
      <c r="N95">
        <v>220</v>
      </c>
      <c r="P95">
        <v>0.7</v>
      </c>
      <c r="Q95">
        <f t="shared" si="7"/>
        <v>1</v>
      </c>
      <c r="S95">
        <f t="shared" si="8"/>
        <v>5.1913799715999973</v>
      </c>
      <c r="T95">
        <f t="shared" si="9"/>
        <v>0.10746156541211994</v>
      </c>
      <c r="U95">
        <f t="shared" si="6"/>
        <v>343.20537453495803</v>
      </c>
      <c r="X95" t="s">
        <v>119</v>
      </c>
      <c r="Y95" t="s">
        <v>122</v>
      </c>
      <c r="Z95">
        <v>520</v>
      </c>
      <c r="AA95">
        <v>800</v>
      </c>
      <c r="AB95">
        <v>750</v>
      </c>
      <c r="AC95">
        <v>850</v>
      </c>
      <c r="AD95">
        <v>780</v>
      </c>
      <c r="AE95">
        <v>500</v>
      </c>
      <c r="AF95">
        <v>550</v>
      </c>
      <c r="AG95">
        <v>703</v>
      </c>
      <c r="AH95">
        <v>650</v>
      </c>
      <c r="AI95">
        <v>650</v>
      </c>
      <c r="AJ95">
        <v>703</v>
      </c>
      <c r="AK95">
        <v>669</v>
      </c>
      <c r="AL95">
        <v>669</v>
      </c>
      <c r="AM95">
        <v>591</v>
      </c>
      <c r="AN95">
        <v>2</v>
      </c>
      <c r="AQ95" s="5"/>
      <c r="AR95" s="4" t="s">
        <v>119</v>
      </c>
      <c r="AS95" s="4">
        <v>320</v>
      </c>
      <c r="AT95" s="4">
        <v>800</v>
      </c>
      <c r="AU95" s="4">
        <v>280</v>
      </c>
      <c r="AV95" s="4">
        <v>420</v>
      </c>
      <c r="AW95">
        <v>500</v>
      </c>
      <c r="AX95">
        <v>500</v>
      </c>
      <c r="AY95">
        <v>290</v>
      </c>
      <c r="AZ95">
        <v>420</v>
      </c>
      <c r="BA95">
        <v>420</v>
      </c>
      <c r="BB95">
        <v>420</v>
      </c>
    </row>
    <row r="96" spans="5:54" x14ac:dyDescent="0.2">
      <c r="F96" t="s">
        <v>121</v>
      </c>
      <c r="H96">
        <v>91.25</v>
      </c>
      <c r="I96">
        <v>30</v>
      </c>
      <c r="J96">
        <v>0</v>
      </c>
      <c r="K96">
        <v>0</v>
      </c>
      <c r="L96">
        <v>0</v>
      </c>
      <c r="N96">
        <v>260</v>
      </c>
      <c r="P96">
        <v>0.4</v>
      </c>
      <c r="Q96">
        <f t="shared" si="7"/>
        <v>1</v>
      </c>
      <c r="S96">
        <f t="shared" si="8"/>
        <v>5.3621886096000004</v>
      </c>
      <c r="T96">
        <f t="shared" si="9"/>
        <v>0.11099730421872001</v>
      </c>
      <c r="U96">
        <f t="shared" si="6"/>
        <v>303.85512029874604</v>
      </c>
      <c r="X96" t="s">
        <v>120</v>
      </c>
      <c r="Y96" t="s">
        <v>122</v>
      </c>
      <c r="Z96">
        <v>550</v>
      </c>
      <c r="AA96">
        <v>700</v>
      </c>
      <c r="AB96">
        <v>725</v>
      </c>
      <c r="AC96">
        <v>700</v>
      </c>
      <c r="AD96">
        <v>680</v>
      </c>
      <c r="AE96">
        <v>550</v>
      </c>
      <c r="AF96">
        <v>600</v>
      </c>
      <c r="AG96">
        <v>721</v>
      </c>
      <c r="AH96">
        <v>670</v>
      </c>
      <c r="AI96">
        <v>670</v>
      </c>
      <c r="AJ96">
        <v>718</v>
      </c>
      <c r="AK96">
        <v>685</v>
      </c>
      <c r="AL96">
        <v>685</v>
      </c>
      <c r="AM96">
        <v>610</v>
      </c>
      <c r="AN96">
        <v>3</v>
      </c>
      <c r="AQ96" s="6"/>
      <c r="AR96" s="4" t="s">
        <v>120</v>
      </c>
      <c r="AS96" s="4">
        <v>80</v>
      </c>
      <c r="AT96" s="4">
        <v>700</v>
      </c>
      <c r="AU96" s="4">
        <v>70</v>
      </c>
      <c r="AV96" s="4">
        <v>300</v>
      </c>
      <c r="AW96">
        <v>450</v>
      </c>
      <c r="AX96">
        <v>450</v>
      </c>
      <c r="AY96">
        <v>75</v>
      </c>
      <c r="AZ96">
        <v>400</v>
      </c>
      <c r="BA96">
        <v>400</v>
      </c>
      <c r="BB96">
        <v>400</v>
      </c>
    </row>
    <row r="97" spans="1:54" x14ac:dyDescent="0.2">
      <c r="E97" t="s">
        <v>176</v>
      </c>
      <c r="F97" t="s">
        <v>117</v>
      </c>
      <c r="H97">
        <v>91.25</v>
      </c>
      <c r="I97">
        <v>30</v>
      </c>
      <c r="J97">
        <v>0</v>
      </c>
      <c r="K97">
        <v>0</v>
      </c>
      <c r="L97">
        <v>0</v>
      </c>
      <c r="N97">
        <v>380</v>
      </c>
      <c r="P97">
        <v>0.4</v>
      </c>
      <c r="Q97">
        <f t="shared" si="7"/>
        <v>1</v>
      </c>
      <c r="S97">
        <f t="shared" si="8"/>
        <v>7.0796437775999967</v>
      </c>
      <c r="T97">
        <f t="shared" si="9"/>
        <v>0.14654862619631992</v>
      </c>
      <c r="U97">
        <f t="shared" si="6"/>
        <v>401.17686421242576</v>
      </c>
      <c r="X97" t="s">
        <v>121</v>
      </c>
      <c r="Y97" t="s">
        <v>122</v>
      </c>
      <c r="Z97">
        <v>560</v>
      </c>
      <c r="AA97">
        <v>700</v>
      </c>
      <c r="AB97">
        <v>700</v>
      </c>
      <c r="AC97">
        <v>720</v>
      </c>
      <c r="AD97">
        <v>700</v>
      </c>
      <c r="AE97">
        <v>500</v>
      </c>
      <c r="AF97">
        <v>550</v>
      </c>
      <c r="AG97">
        <v>727</v>
      </c>
      <c r="AH97">
        <v>660</v>
      </c>
      <c r="AI97">
        <v>660</v>
      </c>
      <c r="AJ97">
        <v>722</v>
      </c>
      <c r="AK97">
        <v>692</v>
      </c>
      <c r="AL97">
        <v>692</v>
      </c>
      <c r="AM97">
        <v>615</v>
      </c>
      <c r="AN97">
        <v>4</v>
      </c>
      <c r="AP97" t="s">
        <v>179</v>
      </c>
      <c r="AQ97" s="5"/>
      <c r="AR97" s="4" t="s">
        <v>121</v>
      </c>
      <c r="AS97" s="4">
        <v>160</v>
      </c>
      <c r="AT97" s="4">
        <v>700</v>
      </c>
      <c r="AU97" s="4">
        <v>140</v>
      </c>
      <c r="AV97" s="4">
        <v>350</v>
      </c>
      <c r="AW97" s="4">
        <v>450</v>
      </c>
      <c r="AX97" s="4">
        <v>450</v>
      </c>
      <c r="AY97" s="4">
        <v>150</v>
      </c>
      <c r="AZ97">
        <v>400</v>
      </c>
      <c r="BA97">
        <v>400</v>
      </c>
      <c r="BB97">
        <v>400</v>
      </c>
    </row>
    <row r="98" spans="1:54" x14ac:dyDescent="0.2">
      <c r="E98" t="s">
        <v>239</v>
      </c>
      <c r="F98" t="s">
        <v>119</v>
      </c>
      <c r="H98">
        <v>91.25</v>
      </c>
      <c r="I98">
        <v>35</v>
      </c>
      <c r="J98">
        <v>0</v>
      </c>
      <c r="K98">
        <v>0</v>
      </c>
      <c r="L98">
        <v>0</v>
      </c>
      <c r="N98">
        <v>420</v>
      </c>
      <c r="P98">
        <v>0.4</v>
      </c>
      <c r="Q98">
        <f t="shared" si="7"/>
        <v>1</v>
      </c>
      <c r="S98">
        <f t="shared" si="8"/>
        <v>7.6129639056</v>
      </c>
      <c r="T98">
        <f t="shared" si="9"/>
        <v>0.15758835284591999</v>
      </c>
      <c r="U98">
        <f t="shared" si="6"/>
        <v>503.29780190165695</v>
      </c>
      <c r="X98" t="s">
        <v>117</v>
      </c>
      <c r="Y98" t="s">
        <v>146</v>
      </c>
      <c r="Z98">
        <v>300</v>
      </c>
      <c r="AA98">
        <v>400</v>
      </c>
      <c r="AB98">
        <v>300</v>
      </c>
      <c r="AC98">
        <v>410</v>
      </c>
      <c r="AD98">
        <v>420</v>
      </c>
      <c r="AE98">
        <v>260</v>
      </c>
      <c r="AF98">
        <v>300</v>
      </c>
      <c r="AG98">
        <v>323</v>
      </c>
      <c r="AH98">
        <v>319</v>
      </c>
      <c r="AI98">
        <v>267</v>
      </c>
      <c r="AJ98">
        <v>302</v>
      </c>
      <c r="AK98">
        <v>344</v>
      </c>
      <c r="AL98">
        <v>310</v>
      </c>
      <c r="AM98">
        <v>265</v>
      </c>
      <c r="AN98">
        <v>1</v>
      </c>
      <c r="AQ98" s="6" t="s">
        <v>134</v>
      </c>
      <c r="AR98" s="4" t="s">
        <v>117</v>
      </c>
      <c r="AS98" s="4">
        <v>105</v>
      </c>
      <c r="AT98" s="4">
        <v>700</v>
      </c>
      <c r="AU98" s="4">
        <v>85</v>
      </c>
      <c r="AV98" s="4">
        <v>300</v>
      </c>
      <c r="AW98">
        <v>490</v>
      </c>
      <c r="AX98">
        <v>490</v>
      </c>
      <c r="AY98">
        <v>90</v>
      </c>
      <c r="AZ98">
        <v>480</v>
      </c>
      <c r="BA98">
        <v>480</v>
      </c>
      <c r="BB98">
        <v>480</v>
      </c>
    </row>
    <row r="99" spans="1:54" x14ac:dyDescent="0.2">
      <c r="F99" t="s">
        <v>120</v>
      </c>
      <c r="H99">
        <v>91.25</v>
      </c>
      <c r="I99">
        <v>20</v>
      </c>
      <c r="J99">
        <v>0</v>
      </c>
      <c r="K99">
        <v>0</v>
      </c>
      <c r="L99">
        <v>0</v>
      </c>
      <c r="N99">
        <v>450</v>
      </c>
      <c r="P99">
        <v>0.3</v>
      </c>
      <c r="Q99">
        <f t="shared" si="7"/>
        <v>1</v>
      </c>
      <c r="S99">
        <f t="shared" si="8"/>
        <v>7.8176159999999992</v>
      </c>
      <c r="T99">
        <f t="shared" si="9"/>
        <v>0.16182465119999997</v>
      </c>
      <c r="U99">
        <f t="shared" si="6"/>
        <v>295.32998843999997</v>
      </c>
      <c r="X99" t="s">
        <v>119</v>
      </c>
      <c r="Y99" t="s">
        <v>146</v>
      </c>
      <c r="Z99">
        <v>360</v>
      </c>
      <c r="AA99">
        <v>420</v>
      </c>
      <c r="AB99">
        <v>350</v>
      </c>
      <c r="AC99">
        <v>440</v>
      </c>
      <c r="AD99">
        <v>450</v>
      </c>
      <c r="AE99">
        <v>310</v>
      </c>
      <c r="AF99">
        <v>220</v>
      </c>
      <c r="AG99">
        <v>256</v>
      </c>
      <c r="AH99">
        <v>262</v>
      </c>
      <c r="AI99">
        <v>203</v>
      </c>
      <c r="AJ99">
        <v>277</v>
      </c>
      <c r="AK99">
        <v>283</v>
      </c>
      <c r="AL99">
        <v>250</v>
      </c>
      <c r="AM99">
        <v>205</v>
      </c>
      <c r="AN99">
        <v>2</v>
      </c>
      <c r="AQ99" s="5"/>
      <c r="AR99" s="4" t="s">
        <v>119</v>
      </c>
      <c r="AS99" s="4">
        <v>480</v>
      </c>
      <c r="AT99" s="4">
        <v>750</v>
      </c>
      <c r="AU99" s="4">
        <v>150</v>
      </c>
      <c r="AV99" s="4">
        <v>350</v>
      </c>
      <c r="AW99">
        <v>530</v>
      </c>
      <c r="AX99">
        <v>530</v>
      </c>
      <c r="AY99">
        <v>160</v>
      </c>
      <c r="AZ99">
        <v>460</v>
      </c>
      <c r="BA99">
        <v>460</v>
      </c>
      <c r="BB99">
        <v>460</v>
      </c>
    </row>
    <row r="100" spans="1:54" x14ac:dyDescent="0.2">
      <c r="F100" t="s">
        <v>121</v>
      </c>
      <c r="H100">
        <v>91.25</v>
      </c>
      <c r="I100">
        <v>0</v>
      </c>
      <c r="J100">
        <v>0</v>
      </c>
      <c r="K100">
        <v>0</v>
      </c>
      <c r="L100">
        <v>0</v>
      </c>
      <c r="N100">
        <v>460</v>
      </c>
      <c r="P100">
        <v>0.1</v>
      </c>
      <c r="Q100">
        <f t="shared" si="7"/>
        <v>1</v>
      </c>
      <c r="S100">
        <f t="shared" si="8"/>
        <v>7.5885924675999998</v>
      </c>
      <c r="T100">
        <f t="shared" si="9"/>
        <v>0.15708386407931998</v>
      </c>
      <c r="U100">
        <f t="shared" si="6"/>
        <v>0</v>
      </c>
      <c r="X100" t="s">
        <v>120</v>
      </c>
      <c r="Y100" t="s">
        <v>146</v>
      </c>
      <c r="Z100">
        <v>390</v>
      </c>
      <c r="AA100">
        <v>300</v>
      </c>
      <c r="AB100">
        <v>360</v>
      </c>
      <c r="AC100">
        <v>300</v>
      </c>
      <c r="AD100">
        <v>320</v>
      </c>
      <c r="AE100">
        <v>330</v>
      </c>
      <c r="AF100">
        <v>270</v>
      </c>
      <c r="AG100">
        <v>306</v>
      </c>
      <c r="AH100">
        <v>266</v>
      </c>
      <c r="AI100">
        <v>250</v>
      </c>
      <c r="AJ100">
        <v>319</v>
      </c>
      <c r="AK100">
        <v>309</v>
      </c>
      <c r="AL100">
        <v>277</v>
      </c>
      <c r="AM100">
        <v>232</v>
      </c>
      <c r="AN100">
        <v>3</v>
      </c>
      <c r="AQ100" s="6"/>
      <c r="AR100" s="4" t="s">
        <v>120</v>
      </c>
      <c r="AS100" s="4">
        <v>250</v>
      </c>
      <c r="AT100" s="4">
        <v>725</v>
      </c>
      <c r="AU100" s="4">
        <v>200</v>
      </c>
      <c r="AV100" s="4">
        <v>360</v>
      </c>
      <c r="AW100" s="4">
        <v>500</v>
      </c>
      <c r="AX100" s="4">
        <v>500</v>
      </c>
      <c r="AY100">
        <v>215</v>
      </c>
      <c r="AZ100">
        <v>490</v>
      </c>
      <c r="BA100">
        <v>490</v>
      </c>
      <c r="BB100">
        <v>490</v>
      </c>
    </row>
    <row r="101" spans="1:54" x14ac:dyDescent="0.2">
      <c r="X101" t="s">
        <v>121</v>
      </c>
      <c r="Y101" t="s">
        <v>146</v>
      </c>
      <c r="Z101">
        <v>410</v>
      </c>
      <c r="AA101">
        <v>350</v>
      </c>
      <c r="AB101">
        <v>380</v>
      </c>
      <c r="AC101">
        <v>320</v>
      </c>
      <c r="AD101">
        <v>330</v>
      </c>
      <c r="AE101">
        <v>340</v>
      </c>
      <c r="AF101">
        <v>280</v>
      </c>
      <c r="AG101">
        <v>338</v>
      </c>
      <c r="AH101">
        <v>307</v>
      </c>
      <c r="AI101">
        <v>272</v>
      </c>
      <c r="AJ101">
        <v>352</v>
      </c>
      <c r="AK101">
        <v>344</v>
      </c>
      <c r="AL101">
        <v>316</v>
      </c>
      <c r="AM101">
        <v>255</v>
      </c>
      <c r="AN101">
        <v>4</v>
      </c>
      <c r="AP101" t="s">
        <v>180</v>
      </c>
      <c r="AQ101" s="5"/>
      <c r="AR101" s="4" t="s">
        <v>121</v>
      </c>
      <c r="AS101" s="4">
        <v>260</v>
      </c>
      <c r="AT101" s="4">
        <v>700</v>
      </c>
      <c r="AU101" s="4">
        <v>210</v>
      </c>
      <c r="AV101" s="4">
        <v>380</v>
      </c>
      <c r="AW101" s="4">
        <v>460</v>
      </c>
      <c r="AX101" s="4">
        <v>460</v>
      </c>
      <c r="AY101" s="4">
        <v>230</v>
      </c>
      <c r="AZ101">
        <v>470</v>
      </c>
      <c r="BA101">
        <v>470</v>
      </c>
      <c r="BB101">
        <v>470</v>
      </c>
    </row>
    <row r="102" spans="1:54" x14ac:dyDescent="0.2">
      <c r="X102" t="s">
        <v>117</v>
      </c>
      <c r="Y102" t="s">
        <v>152</v>
      </c>
      <c r="Z102">
        <v>440</v>
      </c>
      <c r="AA102">
        <v>500</v>
      </c>
      <c r="AB102">
        <v>490</v>
      </c>
      <c r="AC102">
        <v>560</v>
      </c>
      <c r="AD102">
        <v>550</v>
      </c>
      <c r="AE102">
        <v>340</v>
      </c>
      <c r="AF102">
        <v>320</v>
      </c>
      <c r="AG102">
        <v>415</v>
      </c>
      <c r="AH102">
        <v>398</v>
      </c>
      <c r="AI102">
        <v>365</v>
      </c>
      <c r="AJ102">
        <v>416</v>
      </c>
      <c r="AK102">
        <v>357</v>
      </c>
      <c r="AL102">
        <v>428</v>
      </c>
      <c r="AM102">
        <v>371</v>
      </c>
      <c r="AN102">
        <v>1</v>
      </c>
      <c r="AQ102" s="6" t="s">
        <v>135</v>
      </c>
      <c r="AR102" s="4" t="s">
        <v>117</v>
      </c>
      <c r="AS102" s="4">
        <v>250</v>
      </c>
      <c r="AT102" s="4">
        <v>820</v>
      </c>
      <c r="AU102" s="4">
        <v>240</v>
      </c>
      <c r="AV102" s="4">
        <v>410</v>
      </c>
      <c r="AW102">
        <v>560</v>
      </c>
      <c r="AX102">
        <v>560</v>
      </c>
      <c r="AY102">
        <v>240</v>
      </c>
      <c r="AZ102">
        <v>510</v>
      </c>
      <c r="BA102">
        <v>510</v>
      </c>
      <c r="BB102">
        <v>510</v>
      </c>
    </row>
    <row r="103" spans="1:54" x14ac:dyDescent="0.2">
      <c r="X103" t="s">
        <v>119</v>
      </c>
      <c r="Y103" t="s">
        <v>152</v>
      </c>
      <c r="Z103">
        <v>470</v>
      </c>
      <c r="AA103">
        <v>500</v>
      </c>
      <c r="AB103">
        <v>530</v>
      </c>
      <c r="AC103">
        <v>550</v>
      </c>
      <c r="AD103">
        <v>530</v>
      </c>
      <c r="AE103">
        <v>360</v>
      </c>
      <c r="AF103">
        <v>380</v>
      </c>
      <c r="AG103">
        <v>368</v>
      </c>
      <c r="AH103">
        <v>346</v>
      </c>
      <c r="AI103">
        <v>299</v>
      </c>
      <c r="AJ103">
        <v>397</v>
      </c>
      <c r="AK103">
        <v>361</v>
      </c>
      <c r="AL103">
        <v>390</v>
      </c>
      <c r="AM103">
        <v>310</v>
      </c>
      <c r="AN103">
        <v>2</v>
      </c>
      <c r="AQ103" s="5"/>
      <c r="AR103" s="4" t="s">
        <v>119</v>
      </c>
      <c r="AS103" s="4">
        <v>280</v>
      </c>
      <c r="AT103" s="4">
        <v>850</v>
      </c>
      <c r="AU103" s="4">
        <v>260</v>
      </c>
      <c r="AV103" s="4">
        <v>440</v>
      </c>
      <c r="AW103">
        <v>550</v>
      </c>
      <c r="AX103">
        <v>550</v>
      </c>
      <c r="AY103">
        <v>270</v>
      </c>
      <c r="AZ103">
        <v>520</v>
      </c>
      <c r="BA103">
        <v>520</v>
      </c>
      <c r="BB103">
        <v>520</v>
      </c>
    </row>
    <row r="104" spans="1:54" x14ac:dyDescent="0.2">
      <c r="X104" t="s">
        <v>120</v>
      </c>
      <c r="Y104" t="s">
        <v>152</v>
      </c>
      <c r="Z104">
        <v>490</v>
      </c>
      <c r="AA104">
        <v>450</v>
      </c>
      <c r="AB104">
        <v>500</v>
      </c>
      <c r="AC104">
        <v>450</v>
      </c>
      <c r="AD104">
        <v>480</v>
      </c>
      <c r="AE104">
        <v>380</v>
      </c>
      <c r="AF104">
        <v>390</v>
      </c>
      <c r="AG104">
        <v>392</v>
      </c>
      <c r="AH104">
        <v>363</v>
      </c>
      <c r="AI104">
        <v>336</v>
      </c>
      <c r="AJ104">
        <v>440</v>
      </c>
      <c r="AK104">
        <v>376</v>
      </c>
      <c r="AL104">
        <v>407</v>
      </c>
      <c r="AM104">
        <v>351</v>
      </c>
      <c r="AN104">
        <v>3</v>
      </c>
      <c r="AQ104" s="6"/>
      <c r="AR104" s="4" t="s">
        <v>120</v>
      </c>
      <c r="AS104" s="4">
        <v>100</v>
      </c>
      <c r="AT104" s="4">
        <v>700</v>
      </c>
      <c r="AU104" s="4">
        <v>95</v>
      </c>
      <c r="AV104" s="4">
        <v>300</v>
      </c>
      <c r="AW104">
        <v>450</v>
      </c>
      <c r="AX104">
        <v>450</v>
      </c>
      <c r="AY104">
        <v>95</v>
      </c>
      <c r="AZ104">
        <v>410</v>
      </c>
      <c r="BA104">
        <v>410</v>
      </c>
      <c r="BB104">
        <v>410</v>
      </c>
    </row>
    <row r="105" spans="1:54" x14ac:dyDescent="0.2">
      <c r="X105" t="s">
        <v>121</v>
      </c>
      <c r="Y105" t="s">
        <v>152</v>
      </c>
      <c r="Z105">
        <v>500</v>
      </c>
      <c r="AA105">
        <v>450</v>
      </c>
      <c r="AB105">
        <v>460</v>
      </c>
      <c r="AC105">
        <v>470</v>
      </c>
      <c r="AD105">
        <v>490</v>
      </c>
      <c r="AE105">
        <v>360</v>
      </c>
      <c r="AF105">
        <v>350</v>
      </c>
      <c r="AG105">
        <v>432</v>
      </c>
      <c r="AH105">
        <v>398</v>
      </c>
      <c r="AI105">
        <v>365</v>
      </c>
      <c r="AJ105">
        <v>470</v>
      </c>
      <c r="AK105">
        <v>364</v>
      </c>
      <c r="AL105">
        <v>438</v>
      </c>
      <c r="AM105">
        <v>364</v>
      </c>
      <c r="AN105">
        <v>4</v>
      </c>
      <c r="AP105" t="s">
        <v>148</v>
      </c>
      <c r="AQ105" s="5"/>
      <c r="AR105" s="4" t="s">
        <v>121</v>
      </c>
      <c r="AS105" s="4">
        <v>150</v>
      </c>
      <c r="AT105" s="4">
        <v>720</v>
      </c>
      <c r="AU105" s="4">
        <v>140</v>
      </c>
      <c r="AV105" s="4">
        <v>320</v>
      </c>
      <c r="AW105" s="4">
        <v>470</v>
      </c>
      <c r="AX105" s="4">
        <v>470</v>
      </c>
      <c r="AY105">
        <v>140</v>
      </c>
      <c r="AZ105">
        <v>440</v>
      </c>
      <c r="BA105">
        <v>440</v>
      </c>
      <c r="BB105">
        <v>440</v>
      </c>
    </row>
    <row r="106" spans="1:54" x14ac:dyDescent="0.2">
      <c r="X106" t="s">
        <v>117</v>
      </c>
      <c r="Y106" t="s">
        <v>141</v>
      </c>
      <c r="Z106">
        <v>75</v>
      </c>
      <c r="AA106">
        <v>220</v>
      </c>
      <c r="AB106">
        <v>85</v>
      </c>
      <c r="AC106">
        <v>240</v>
      </c>
      <c r="AD106">
        <v>260</v>
      </c>
      <c r="AE106">
        <v>70</v>
      </c>
      <c r="AF106">
        <v>180</v>
      </c>
      <c r="AG106">
        <v>208</v>
      </c>
      <c r="AH106">
        <v>227</v>
      </c>
      <c r="AI106">
        <v>177</v>
      </c>
      <c r="AJ106">
        <v>215</v>
      </c>
      <c r="AK106">
        <v>217</v>
      </c>
      <c r="AL106">
        <v>178</v>
      </c>
      <c r="AM106">
        <v>174</v>
      </c>
      <c r="AN106">
        <v>1</v>
      </c>
      <c r="AQ106" s="6" t="s">
        <v>255</v>
      </c>
      <c r="AR106" s="4" t="s">
        <v>117</v>
      </c>
      <c r="AS106" s="4">
        <v>340</v>
      </c>
      <c r="AT106" s="4">
        <v>800</v>
      </c>
      <c r="AU106" s="4">
        <v>260</v>
      </c>
      <c r="AV106" s="4">
        <v>420</v>
      </c>
      <c r="AW106" s="4">
        <v>550</v>
      </c>
      <c r="AX106" s="4">
        <v>550</v>
      </c>
      <c r="AY106">
        <v>300</v>
      </c>
      <c r="AZ106">
        <v>480</v>
      </c>
      <c r="BA106">
        <v>480</v>
      </c>
      <c r="BB106">
        <v>480</v>
      </c>
    </row>
    <row r="107" spans="1:54" x14ac:dyDescent="0.2">
      <c r="X107" t="s">
        <v>119</v>
      </c>
      <c r="Y107" t="s">
        <v>141</v>
      </c>
      <c r="Z107">
        <v>160</v>
      </c>
      <c r="AA107">
        <v>280</v>
      </c>
      <c r="AB107">
        <v>150</v>
      </c>
      <c r="AC107">
        <v>260</v>
      </c>
      <c r="AD107">
        <v>300</v>
      </c>
      <c r="AE107">
        <v>140</v>
      </c>
      <c r="AF107">
        <v>90</v>
      </c>
      <c r="AG107">
        <v>112</v>
      </c>
      <c r="AH107">
        <v>108</v>
      </c>
      <c r="AI107">
        <v>102</v>
      </c>
      <c r="AJ107">
        <v>118</v>
      </c>
      <c r="AK107">
        <v>113</v>
      </c>
      <c r="AL107">
        <v>112</v>
      </c>
      <c r="AM107">
        <v>140</v>
      </c>
      <c r="AN107">
        <v>2</v>
      </c>
      <c r="AQ107" s="5"/>
      <c r="AR107" s="4" t="s">
        <v>119</v>
      </c>
      <c r="AS107" s="4">
        <v>380</v>
      </c>
      <c r="AT107" s="4">
        <v>780</v>
      </c>
      <c r="AU107" s="4">
        <v>300</v>
      </c>
      <c r="AV107" s="4">
        <v>450</v>
      </c>
      <c r="AW107" s="4">
        <v>530</v>
      </c>
      <c r="AX107" s="4">
        <v>530</v>
      </c>
      <c r="AY107" s="4">
        <v>340</v>
      </c>
      <c r="AZ107">
        <v>470</v>
      </c>
      <c r="BA107">
        <v>470</v>
      </c>
      <c r="BB107">
        <v>470</v>
      </c>
    </row>
    <row r="108" spans="1:54" x14ac:dyDescent="0.2">
      <c r="X108" t="s">
        <v>120</v>
      </c>
      <c r="Y108" t="s">
        <v>141</v>
      </c>
      <c r="Z108">
        <v>220</v>
      </c>
      <c r="AA108">
        <v>70</v>
      </c>
      <c r="AB108">
        <v>200</v>
      </c>
      <c r="AC108">
        <v>95</v>
      </c>
      <c r="AD108">
        <v>80</v>
      </c>
      <c r="AE108">
        <v>220</v>
      </c>
      <c r="AF108">
        <v>140</v>
      </c>
      <c r="AG108">
        <v>169</v>
      </c>
      <c r="AH108">
        <v>170</v>
      </c>
      <c r="AI108">
        <v>173</v>
      </c>
      <c r="AJ108">
        <v>191</v>
      </c>
      <c r="AK108">
        <v>172</v>
      </c>
      <c r="AL108">
        <v>140</v>
      </c>
      <c r="AM108">
        <v>163</v>
      </c>
      <c r="AN108">
        <v>3</v>
      </c>
      <c r="AQ108" s="6"/>
      <c r="AR108" s="4" t="s">
        <v>120</v>
      </c>
      <c r="AS108" s="4">
        <v>100</v>
      </c>
      <c r="AT108" s="4">
        <v>680</v>
      </c>
      <c r="AU108" s="4">
        <v>80</v>
      </c>
      <c r="AV108" s="4">
        <v>320</v>
      </c>
      <c r="AW108" s="4">
        <v>480</v>
      </c>
      <c r="AX108" s="4">
        <v>480</v>
      </c>
      <c r="AY108">
        <v>100</v>
      </c>
      <c r="AZ108">
        <v>340</v>
      </c>
      <c r="BA108">
        <v>340</v>
      </c>
      <c r="BB108">
        <v>340</v>
      </c>
    </row>
    <row r="109" spans="1:54" x14ac:dyDescent="0.2">
      <c r="X109" t="s">
        <v>121</v>
      </c>
      <c r="Y109" t="s">
        <v>141</v>
      </c>
      <c r="Z109">
        <v>260</v>
      </c>
      <c r="AA109">
        <v>140</v>
      </c>
      <c r="AB109">
        <v>210</v>
      </c>
      <c r="AC109">
        <v>140</v>
      </c>
      <c r="AD109">
        <v>150</v>
      </c>
      <c r="AE109">
        <v>240</v>
      </c>
      <c r="AF109">
        <v>150</v>
      </c>
      <c r="AG109">
        <v>211</v>
      </c>
      <c r="AH109">
        <v>225</v>
      </c>
      <c r="AI109">
        <v>202</v>
      </c>
      <c r="AJ109">
        <v>207</v>
      </c>
      <c r="AK109">
        <v>208</v>
      </c>
      <c r="AL109">
        <v>183</v>
      </c>
      <c r="AM109">
        <v>162</v>
      </c>
      <c r="AN109">
        <v>4</v>
      </c>
      <c r="AP109" t="s">
        <v>148</v>
      </c>
      <c r="AQ109" s="5"/>
      <c r="AR109" s="4" t="s">
        <v>121</v>
      </c>
      <c r="AS109" s="4">
        <v>190</v>
      </c>
      <c r="AT109" s="4">
        <v>700</v>
      </c>
      <c r="AU109" s="4">
        <v>150</v>
      </c>
      <c r="AV109" s="4">
        <v>330</v>
      </c>
      <c r="AW109" s="4">
        <v>490</v>
      </c>
      <c r="AX109" s="4">
        <v>490</v>
      </c>
      <c r="AY109">
        <v>170</v>
      </c>
      <c r="AZ109">
        <v>360</v>
      </c>
      <c r="BA109">
        <v>360</v>
      </c>
      <c r="BB109">
        <v>360</v>
      </c>
    </row>
    <row r="110" spans="1:54" x14ac:dyDescent="0.2">
      <c r="X110" t="s">
        <v>117</v>
      </c>
      <c r="Y110" t="s">
        <v>156</v>
      </c>
      <c r="Z110">
        <v>440</v>
      </c>
      <c r="AA110">
        <v>500</v>
      </c>
      <c r="AB110">
        <v>490</v>
      </c>
      <c r="AC110">
        <v>560</v>
      </c>
      <c r="AD110">
        <v>550</v>
      </c>
      <c r="AE110">
        <v>340</v>
      </c>
      <c r="AF110">
        <v>320</v>
      </c>
      <c r="AG110">
        <v>467</v>
      </c>
      <c r="AH110">
        <v>452</v>
      </c>
      <c r="AI110">
        <v>406</v>
      </c>
      <c r="AJ110">
        <v>519</v>
      </c>
      <c r="AK110">
        <v>467</v>
      </c>
      <c r="AL110">
        <v>466</v>
      </c>
      <c r="AM110">
        <v>415</v>
      </c>
      <c r="AN110">
        <v>1</v>
      </c>
      <c r="AQ110" s="6" t="s">
        <v>256</v>
      </c>
      <c r="AR110" s="4" t="s">
        <v>117</v>
      </c>
      <c r="AS110" s="4">
        <v>80</v>
      </c>
      <c r="AT110" s="4">
        <v>450</v>
      </c>
      <c r="AU110" s="4">
        <v>70</v>
      </c>
      <c r="AV110" s="4">
        <v>260</v>
      </c>
      <c r="AW110" s="4">
        <v>340</v>
      </c>
      <c r="AX110" s="4">
        <v>340</v>
      </c>
      <c r="AY110" s="4">
        <v>80</v>
      </c>
      <c r="AZ110">
        <v>370</v>
      </c>
      <c r="BA110">
        <v>370</v>
      </c>
      <c r="BB110">
        <v>370</v>
      </c>
    </row>
    <row r="111" spans="1:54" x14ac:dyDescent="0.2">
      <c r="A111" t="s">
        <v>155</v>
      </c>
      <c r="B111" t="s">
        <v>232</v>
      </c>
      <c r="C111" t="s">
        <v>113</v>
      </c>
      <c r="D111" t="s">
        <v>155</v>
      </c>
      <c r="E111" t="s">
        <v>116</v>
      </c>
      <c r="F111" t="s">
        <v>117</v>
      </c>
      <c r="H111">
        <v>91.25</v>
      </c>
      <c r="I111">
        <v>50</v>
      </c>
      <c r="J111">
        <v>0</v>
      </c>
      <c r="K111">
        <v>0</v>
      </c>
      <c r="L111">
        <v>0</v>
      </c>
      <c r="N111" s="32" cm="1">
        <f t="array" ref="N111:N150">_xlfn.DROP(_xlfn.XLOOKUP($C111,TableW[[#Headers],[ACT/NSW]:[QLD - Low]],TableW[[#All],[ACT/NSW]:[QLD - Low]]),1)</f>
        <v>80</v>
      </c>
      <c r="P111" cm="1">
        <f t="array" ref="P111:P150">_xlfn.DROP(_xlfn.XLOOKUP($C111,TableLWG[[#Headers],[ACT/NSW]:[QLD - Low]],TableLWG[[#All],[ACT/NSW]:[QLD - Low]]),1)</f>
        <v>0.5</v>
      </c>
      <c r="Q111">
        <f>(J111 * $AD$4 + K111*$AD$5) + (1 - J111 )</f>
        <v>1</v>
      </c>
      <c r="S111">
        <f>(1.185 + 0.00454 * N111- 0.0000026 * N111^2 + 0.315 * P111 )^2 * Q111</f>
        <v>2.8529236835999998</v>
      </c>
      <c r="T111">
        <f>20.7 * S111 * 10^-3</f>
        <v>5.9055520250520001E-2</v>
      </c>
      <c r="U111">
        <f t="shared" ref="U111:U150" si="11">H111*T111*I111</f>
        <v>269.44081114299752</v>
      </c>
      <c r="V111">
        <f>SUM(U111:U150)/1000</f>
        <v>46.549475629774207</v>
      </c>
      <c r="X111" t="s">
        <v>119</v>
      </c>
      <c r="Y111" t="s">
        <v>156</v>
      </c>
      <c r="Z111">
        <v>470</v>
      </c>
      <c r="AA111">
        <v>500</v>
      </c>
      <c r="AB111">
        <v>530</v>
      </c>
      <c r="AC111">
        <v>550</v>
      </c>
      <c r="AD111">
        <v>530</v>
      </c>
      <c r="AE111">
        <v>360</v>
      </c>
      <c r="AF111">
        <v>380</v>
      </c>
      <c r="AG111">
        <v>465</v>
      </c>
      <c r="AH111">
        <v>430</v>
      </c>
      <c r="AI111">
        <v>380</v>
      </c>
      <c r="AJ111">
        <v>483</v>
      </c>
      <c r="AK111">
        <v>477</v>
      </c>
      <c r="AL111">
        <v>448</v>
      </c>
      <c r="AM111">
        <v>405</v>
      </c>
      <c r="AN111">
        <v>2</v>
      </c>
      <c r="AQ111" s="5"/>
      <c r="AR111" s="4" t="s">
        <v>119</v>
      </c>
      <c r="AS111" s="4">
        <v>150</v>
      </c>
      <c r="AT111" s="4">
        <v>500</v>
      </c>
      <c r="AU111" s="4">
        <v>140</v>
      </c>
      <c r="AV111" s="4">
        <v>310</v>
      </c>
      <c r="AW111" s="4">
        <v>360</v>
      </c>
      <c r="AX111" s="4">
        <v>360</v>
      </c>
      <c r="AY111" s="4">
        <v>150</v>
      </c>
      <c r="AZ111">
        <v>400</v>
      </c>
      <c r="BA111">
        <v>400</v>
      </c>
      <c r="BB111">
        <v>400</v>
      </c>
    </row>
    <row r="112" spans="1:54" x14ac:dyDescent="0.2">
      <c r="E112">
        <v>1</v>
      </c>
      <c r="F112" t="s">
        <v>119</v>
      </c>
      <c r="H112">
        <v>91.25</v>
      </c>
      <c r="I112">
        <v>100</v>
      </c>
      <c r="J112">
        <v>0</v>
      </c>
      <c r="K112">
        <v>0</v>
      </c>
      <c r="L112">
        <v>0</v>
      </c>
      <c r="N112">
        <v>170</v>
      </c>
      <c r="P112">
        <v>1</v>
      </c>
      <c r="Q112">
        <f t="shared" ref="Q112:Q122" si="12">(J112 * $AD$4 + K112*$AD$5) + (1 - J112 )</f>
        <v>1</v>
      </c>
      <c r="S112">
        <f t="shared" ref="S112:S150" si="13">(1.185 + 0.00454 * N112- 0.0000026 * N112^2 + 0.315 * P112 )^2 * Q112</f>
        <v>4.8253151556000002</v>
      </c>
      <c r="T112">
        <f t="shared" ref="T112:T150" si="14">20.7 * S112 * 10^-3</f>
        <v>9.9884023720920007E-2</v>
      </c>
      <c r="U112">
        <f t="shared" si="11"/>
        <v>911.44171645339509</v>
      </c>
      <c r="X112" t="s">
        <v>120</v>
      </c>
      <c r="Y112" t="s">
        <v>156</v>
      </c>
      <c r="Z112">
        <v>490</v>
      </c>
      <c r="AA112">
        <v>450</v>
      </c>
      <c r="AB112">
        <v>500</v>
      </c>
      <c r="AC112">
        <v>450</v>
      </c>
      <c r="AD112">
        <v>480</v>
      </c>
      <c r="AE112">
        <v>380</v>
      </c>
      <c r="AF112">
        <v>390</v>
      </c>
      <c r="AG112">
        <v>464</v>
      </c>
      <c r="AH112">
        <v>444</v>
      </c>
      <c r="AI112">
        <v>414</v>
      </c>
      <c r="AJ112">
        <v>506</v>
      </c>
      <c r="AK112">
        <v>471</v>
      </c>
      <c r="AL112">
        <v>455</v>
      </c>
      <c r="AM112">
        <v>427</v>
      </c>
      <c r="AN112">
        <v>3</v>
      </c>
      <c r="AQ112" s="6"/>
      <c r="AR112" s="4" t="s">
        <v>120</v>
      </c>
      <c r="AS112" s="4">
        <v>230</v>
      </c>
      <c r="AT112" s="4">
        <v>550</v>
      </c>
      <c r="AU112" s="4">
        <v>220</v>
      </c>
      <c r="AV112" s="4">
        <v>330</v>
      </c>
      <c r="AW112" s="4">
        <v>380</v>
      </c>
      <c r="AX112" s="4">
        <v>380</v>
      </c>
      <c r="AY112" s="4">
        <v>230</v>
      </c>
      <c r="AZ112">
        <v>420</v>
      </c>
      <c r="BA112">
        <v>420</v>
      </c>
      <c r="BB112">
        <v>420</v>
      </c>
    </row>
    <row r="113" spans="5:54" x14ac:dyDescent="0.2">
      <c r="F113" t="s">
        <v>120</v>
      </c>
      <c r="H113">
        <v>91.25</v>
      </c>
      <c r="I113">
        <v>80</v>
      </c>
      <c r="J113">
        <v>0</v>
      </c>
      <c r="K113">
        <v>0</v>
      </c>
      <c r="L113">
        <v>0</v>
      </c>
      <c r="N113">
        <v>240</v>
      </c>
      <c r="P113">
        <v>0.8</v>
      </c>
      <c r="Q113">
        <f t="shared" si="12"/>
        <v>1</v>
      </c>
      <c r="S113">
        <f t="shared" si="13"/>
        <v>5.6493683855999981</v>
      </c>
      <c r="T113">
        <f t="shared" si="14"/>
        <v>0.11694192558191996</v>
      </c>
      <c r="U113">
        <f t="shared" si="11"/>
        <v>853.67605674801564</v>
      </c>
      <c r="X113" t="s">
        <v>121</v>
      </c>
      <c r="Y113" t="s">
        <v>156</v>
      </c>
      <c r="Z113">
        <v>500</v>
      </c>
      <c r="AA113">
        <v>450</v>
      </c>
      <c r="AB113">
        <v>460</v>
      </c>
      <c r="AC113">
        <v>470</v>
      </c>
      <c r="AD113">
        <v>490</v>
      </c>
      <c r="AE113">
        <v>360</v>
      </c>
      <c r="AF113">
        <v>350</v>
      </c>
      <c r="AG113">
        <v>492</v>
      </c>
      <c r="AH113">
        <v>452</v>
      </c>
      <c r="AI113">
        <v>390</v>
      </c>
      <c r="AJ113">
        <v>514</v>
      </c>
      <c r="AK113">
        <v>484</v>
      </c>
      <c r="AL113">
        <v>468</v>
      </c>
      <c r="AM113">
        <v>420</v>
      </c>
      <c r="AN113">
        <v>4</v>
      </c>
      <c r="AP113" t="s">
        <v>148</v>
      </c>
      <c r="AQ113" s="5"/>
      <c r="AR113" s="4" t="s">
        <v>121</v>
      </c>
      <c r="AS113" s="4">
        <v>250</v>
      </c>
      <c r="AT113" s="4">
        <v>500</v>
      </c>
      <c r="AU113" s="4">
        <v>240</v>
      </c>
      <c r="AV113" s="4">
        <v>340</v>
      </c>
      <c r="AW113" s="4">
        <v>360</v>
      </c>
      <c r="AX113" s="4">
        <v>360</v>
      </c>
      <c r="AY113" s="4">
        <v>250</v>
      </c>
      <c r="AZ113">
        <v>390</v>
      </c>
      <c r="BA113">
        <v>390</v>
      </c>
      <c r="BB113">
        <v>390</v>
      </c>
    </row>
    <row r="114" spans="5:54" x14ac:dyDescent="0.2">
      <c r="F114" t="s">
        <v>121</v>
      </c>
      <c r="H114">
        <v>91.25</v>
      </c>
      <c r="I114">
        <v>70</v>
      </c>
      <c r="J114">
        <v>0</v>
      </c>
      <c r="K114">
        <v>0</v>
      </c>
      <c r="L114">
        <v>0</v>
      </c>
      <c r="N114">
        <v>280</v>
      </c>
      <c r="P114">
        <v>0.4</v>
      </c>
      <c r="Q114">
        <f t="shared" si="12"/>
        <v>1</v>
      </c>
      <c r="S114">
        <f t="shared" si="13"/>
        <v>5.6565962895999995</v>
      </c>
      <c r="T114">
        <f t="shared" si="14"/>
        <v>0.11709154319472</v>
      </c>
      <c r="U114">
        <f t="shared" si="11"/>
        <v>747.92223215627394</v>
      </c>
      <c r="X114" t="s">
        <v>117</v>
      </c>
      <c r="Y114" t="s">
        <v>169</v>
      </c>
      <c r="Z114">
        <v>380</v>
      </c>
      <c r="AA114">
        <v>420</v>
      </c>
      <c r="AB114">
        <v>480</v>
      </c>
      <c r="AC114">
        <v>510</v>
      </c>
      <c r="AD114">
        <v>480</v>
      </c>
      <c r="AE114">
        <v>370</v>
      </c>
      <c r="AF114">
        <v>340</v>
      </c>
      <c r="AG114">
        <v>371</v>
      </c>
      <c r="AH114">
        <v>334</v>
      </c>
      <c r="AI114">
        <v>249</v>
      </c>
      <c r="AJ114">
        <v>455</v>
      </c>
      <c r="AK114">
        <v>370</v>
      </c>
      <c r="AL114">
        <v>370</v>
      </c>
      <c r="AM114">
        <v>272</v>
      </c>
      <c r="AN114">
        <v>1</v>
      </c>
      <c r="AQ114" s="6" t="s">
        <v>257</v>
      </c>
      <c r="AR114" s="4" t="s">
        <v>117</v>
      </c>
      <c r="AS114" s="4">
        <v>220</v>
      </c>
      <c r="AT114" s="4">
        <v>500</v>
      </c>
      <c r="AU114" s="4">
        <v>180</v>
      </c>
      <c r="AV114" s="4">
        <v>300</v>
      </c>
      <c r="AW114" s="4">
        <v>320</v>
      </c>
      <c r="AX114" s="4">
        <v>320</v>
      </c>
      <c r="AY114" s="4">
        <v>210</v>
      </c>
      <c r="AZ114" s="4">
        <v>340</v>
      </c>
      <c r="BA114" s="4">
        <v>340</v>
      </c>
      <c r="BB114" s="4">
        <v>340</v>
      </c>
    </row>
    <row r="115" spans="5:54" x14ac:dyDescent="0.2">
      <c r="E115" t="s">
        <v>122</v>
      </c>
      <c r="F115" t="s">
        <v>117</v>
      </c>
      <c r="H115">
        <v>91.25</v>
      </c>
      <c r="I115">
        <v>20</v>
      </c>
      <c r="J115">
        <v>0</v>
      </c>
      <c r="K115">
        <v>0</v>
      </c>
      <c r="L115">
        <v>0</v>
      </c>
      <c r="N115">
        <v>480</v>
      </c>
      <c r="P115">
        <v>0.2</v>
      </c>
      <c r="Q115">
        <f t="shared" si="12"/>
        <v>1</v>
      </c>
      <c r="S115">
        <f t="shared" si="13"/>
        <v>7.9984889855999999</v>
      </c>
      <c r="T115">
        <f t="shared" si="14"/>
        <v>0.16556872200191999</v>
      </c>
      <c r="U115">
        <f t="shared" si="11"/>
        <v>302.162917653504</v>
      </c>
      <c r="X115" t="s">
        <v>119</v>
      </c>
      <c r="Y115" t="s">
        <v>169</v>
      </c>
      <c r="Z115">
        <v>420</v>
      </c>
      <c r="AA115">
        <v>420</v>
      </c>
      <c r="AB115">
        <v>460</v>
      </c>
      <c r="AC115">
        <v>520</v>
      </c>
      <c r="AD115">
        <v>470</v>
      </c>
      <c r="AE115">
        <v>400</v>
      </c>
      <c r="AF115">
        <v>390</v>
      </c>
      <c r="AG115">
        <v>280</v>
      </c>
      <c r="AH115">
        <v>236</v>
      </c>
      <c r="AI115">
        <v>218</v>
      </c>
      <c r="AJ115">
        <v>304</v>
      </c>
      <c r="AK115">
        <v>273</v>
      </c>
      <c r="AL115">
        <v>273</v>
      </c>
      <c r="AM115">
        <v>218</v>
      </c>
      <c r="AN115">
        <v>2</v>
      </c>
      <c r="AQ115" s="5"/>
      <c r="AR115" s="4" t="s">
        <v>119</v>
      </c>
      <c r="AS115" s="4">
        <v>110</v>
      </c>
      <c r="AT115" s="4">
        <v>550</v>
      </c>
      <c r="AU115" s="4">
        <v>90</v>
      </c>
      <c r="AV115" s="4">
        <v>220</v>
      </c>
      <c r="AW115" s="4">
        <v>380</v>
      </c>
      <c r="AX115" s="4">
        <v>380</v>
      </c>
      <c r="AY115" s="4">
        <v>100</v>
      </c>
      <c r="AZ115" s="4">
        <v>390</v>
      </c>
      <c r="BA115" s="4">
        <v>390</v>
      </c>
      <c r="BB115" s="4">
        <v>390</v>
      </c>
    </row>
    <row r="116" spans="5:54" x14ac:dyDescent="0.2">
      <c r="E116">
        <v>2</v>
      </c>
      <c r="F116" t="s">
        <v>119</v>
      </c>
      <c r="H116">
        <v>91.25</v>
      </c>
      <c r="I116">
        <v>80</v>
      </c>
      <c r="J116">
        <v>0</v>
      </c>
      <c r="K116">
        <v>0</v>
      </c>
      <c r="L116">
        <v>0</v>
      </c>
      <c r="N116">
        <v>520</v>
      </c>
      <c r="P116">
        <v>0.4</v>
      </c>
      <c r="Q116">
        <f t="shared" si="12"/>
        <v>1</v>
      </c>
      <c r="S116">
        <f t="shared" si="13"/>
        <v>8.8135359375999975</v>
      </c>
      <c r="T116">
        <f t="shared" si="14"/>
        <v>0.18244019390831995</v>
      </c>
      <c r="U116">
        <f t="shared" si="11"/>
        <v>1331.8134155307357</v>
      </c>
      <c r="X116" t="s">
        <v>120</v>
      </c>
      <c r="Y116" t="s">
        <v>169</v>
      </c>
      <c r="Z116">
        <v>450</v>
      </c>
      <c r="AA116">
        <v>400</v>
      </c>
      <c r="AB116">
        <v>490</v>
      </c>
      <c r="AC116">
        <v>410</v>
      </c>
      <c r="AD116">
        <v>340</v>
      </c>
      <c r="AE116">
        <v>420</v>
      </c>
      <c r="AF116">
        <v>430</v>
      </c>
      <c r="AG116">
        <v>339</v>
      </c>
      <c r="AH116">
        <v>282</v>
      </c>
      <c r="AI116">
        <v>243</v>
      </c>
      <c r="AJ116">
        <v>326</v>
      </c>
      <c r="AK116">
        <v>329</v>
      </c>
      <c r="AL116">
        <v>296</v>
      </c>
      <c r="AM116">
        <v>242</v>
      </c>
      <c r="AN116">
        <v>3</v>
      </c>
      <c r="AQ116" s="6"/>
      <c r="AR116" s="4" t="s">
        <v>120</v>
      </c>
      <c r="AS116" s="4">
        <v>170</v>
      </c>
      <c r="AT116" s="4">
        <v>600</v>
      </c>
      <c r="AU116" s="4">
        <v>140</v>
      </c>
      <c r="AV116" s="4">
        <v>270</v>
      </c>
      <c r="AW116" s="4">
        <v>390</v>
      </c>
      <c r="AX116" s="4">
        <v>390</v>
      </c>
      <c r="AY116" s="4">
        <v>160</v>
      </c>
      <c r="AZ116" s="4">
        <v>430</v>
      </c>
      <c r="BA116" s="4">
        <v>430</v>
      </c>
      <c r="BB116" s="4">
        <v>430</v>
      </c>
    </row>
    <row r="117" spans="5:54" x14ac:dyDescent="0.2">
      <c r="F117" t="s">
        <v>120</v>
      </c>
      <c r="H117">
        <v>91.25</v>
      </c>
      <c r="I117">
        <v>70</v>
      </c>
      <c r="J117">
        <v>0</v>
      </c>
      <c r="K117">
        <v>0</v>
      </c>
      <c r="L117">
        <v>0</v>
      </c>
      <c r="N117">
        <v>550</v>
      </c>
      <c r="P117">
        <v>0.3</v>
      </c>
      <c r="Q117">
        <f t="shared" si="12"/>
        <v>1</v>
      </c>
      <c r="S117">
        <f t="shared" si="13"/>
        <v>8.940100000000001</v>
      </c>
      <c r="T117">
        <f t="shared" si="14"/>
        <v>0.18506007000000002</v>
      </c>
      <c r="U117">
        <f t="shared" si="11"/>
        <v>1182.0711971250003</v>
      </c>
      <c r="X117" t="s">
        <v>121</v>
      </c>
      <c r="Y117" t="s">
        <v>169</v>
      </c>
      <c r="Z117">
        <v>460</v>
      </c>
      <c r="AA117">
        <v>400</v>
      </c>
      <c r="AB117">
        <v>470</v>
      </c>
      <c r="AC117">
        <v>440</v>
      </c>
      <c r="AD117">
        <v>360</v>
      </c>
      <c r="AE117">
        <v>390</v>
      </c>
      <c r="AF117">
        <v>400</v>
      </c>
      <c r="AG117">
        <v>377</v>
      </c>
      <c r="AH117">
        <v>326</v>
      </c>
      <c r="AI117">
        <v>260</v>
      </c>
      <c r="AJ117">
        <v>421</v>
      </c>
      <c r="AK117">
        <v>350</v>
      </c>
      <c r="AL117">
        <v>354</v>
      </c>
      <c r="AM117">
        <v>261</v>
      </c>
      <c r="AN117">
        <v>4</v>
      </c>
      <c r="AP117" t="s">
        <v>131</v>
      </c>
      <c r="AQ117" s="5"/>
      <c r="AR117" s="4" t="s">
        <v>121</v>
      </c>
      <c r="AS117" s="4">
        <v>200</v>
      </c>
      <c r="AT117" s="4">
        <v>550</v>
      </c>
      <c r="AU117" s="4">
        <v>150</v>
      </c>
      <c r="AV117" s="4">
        <v>280</v>
      </c>
      <c r="AW117" s="4">
        <v>350</v>
      </c>
      <c r="AX117" s="4">
        <v>350</v>
      </c>
      <c r="AY117" s="4">
        <v>190</v>
      </c>
      <c r="AZ117" s="4">
        <v>400</v>
      </c>
      <c r="BA117" s="4">
        <v>400</v>
      </c>
      <c r="BB117" s="4">
        <v>400</v>
      </c>
    </row>
    <row r="118" spans="5:54" x14ac:dyDescent="0.2">
      <c r="F118" t="s">
        <v>121</v>
      </c>
      <c r="H118">
        <v>91.25</v>
      </c>
      <c r="I118">
        <v>60</v>
      </c>
      <c r="J118">
        <v>0</v>
      </c>
      <c r="K118">
        <v>0</v>
      </c>
      <c r="L118">
        <v>0</v>
      </c>
      <c r="N118">
        <v>560</v>
      </c>
      <c r="P118">
        <v>0.1</v>
      </c>
      <c r="Q118">
        <f t="shared" si="12"/>
        <v>1</v>
      </c>
      <c r="S118">
        <f t="shared" si="13"/>
        <v>8.6644277315999982</v>
      </c>
      <c r="T118">
        <f t="shared" si="14"/>
        <v>0.17935365404411996</v>
      </c>
      <c r="U118">
        <f t="shared" si="11"/>
        <v>981.96125589155668</v>
      </c>
      <c r="X118" t="s">
        <v>117</v>
      </c>
      <c r="Y118" t="s">
        <v>171</v>
      </c>
      <c r="Z118">
        <v>380</v>
      </c>
      <c r="AA118">
        <v>420</v>
      </c>
      <c r="AB118">
        <v>480</v>
      </c>
      <c r="AC118">
        <v>510</v>
      </c>
      <c r="AD118">
        <v>480</v>
      </c>
      <c r="AE118">
        <v>370</v>
      </c>
      <c r="AF118">
        <v>340</v>
      </c>
      <c r="AG118">
        <v>493</v>
      </c>
      <c r="AI118">
        <v>324</v>
      </c>
      <c r="AJ118">
        <v>551</v>
      </c>
      <c r="AK118">
        <v>550</v>
      </c>
      <c r="AL118">
        <v>519</v>
      </c>
      <c r="AM118">
        <v>392</v>
      </c>
      <c r="AN118">
        <v>1</v>
      </c>
      <c r="AQ118" s="6" t="s">
        <v>258</v>
      </c>
      <c r="AR118" s="4" t="s">
        <v>117</v>
      </c>
      <c r="AS118">
        <v>220</v>
      </c>
      <c r="AT118">
        <v>706</v>
      </c>
      <c r="AU118">
        <v>208</v>
      </c>
      <c r="AV118">
        <v>323</v>
      </c>
      <c r="AW118">
        <v>415</v>
      </c>
      <c r="AX118">
        <v>467</v>
      </c>
      <c r="AY118">
        <v>223</v>
      </c>
      <c r="AZ118">
        <v>371</v>
      </c>
      <c r="BA118">
        <v>493</v>
      </c>
      <c r="BB118">
        <v>585</v>
      </c>
    </row>
    <row r="119" spans="5:54" x14ac:dyDescent="0.2">
      <c r="E119" t="s">
        <v>146</v>
      </c>
      <c r="F119" t="s">
        <v>117</v>
      </c>
      <c r="H119">
        <v>91.25</v>
      </c>
      <c r="I119">
        <v>100</v>
      </c>
      <c r="J119">
        <v>0</v>
      </c>
      <c r="K119">
        <v>0</v>
      </c>
      <c r="L119">
        <v>0</v>
      </c>
      <c r="N119">
        <v>300</v>
      </c>
      <c r="P119">
        <v>0.4</v>
      </c>
      <c r="Q119">
        <f t="shared" si="12"/>
        <v>1</v>
      </c>
      <c r="S119">
        <f t="shared" si="13"/>
        <v>5.9487209999999981</v>
      </c>
      <c r="T119">
        <f t="shared" si="14"/>
        <v>0.12313852469999996</v>
      </c>
      <c r="U119">
        <f t="shared" si="11"/>
        <v>1123.6390378874996</v>
      </c>
      <c r="X119" t="s">
        <v>119</v>
      </c>
      <c r="Y119" t="s">
        <v>171</v>
      </c>
      <c r="Z119">
        <v>420</v>
      </c>
      <c r="AA119">
        <v>420</v>
      </c>
      <c r="AB119">
        <v>460</v>
      </c>
      <c r="AC119">
        <v>520</v>
      </c>
      <c r="AD119">
        <v>470</v>
      </c>
      <c r="AE119">
        <v>400</v>
      </c>
      <c r="AF119">
        <v>390</v>
      </c>
      <c r="AG119">
        <v>421</v>
      </c>
      <c r="AI119">
        <v>263</v>
      </c>
      <c r="AJ119">
        <v>521</v>
      </c>
      <c r="AK119">
        <v>545</v>
      </c>
      <c r="AL119">
        <v>433</v>
      </c>
      <c r="AM119">
        <v>315</v>
      </c>
      <c r="AN119">
        <v>2</v>
      </c>
      <c r="AQ119" s="5"/>
      <c r="AR119" s="4" t="s">
        <v>119</v>
      </c>
      <c r="AS119">
        <v>110</v>
      </c>
      <c r="AT119">
        <v>703</v>
      </c>
      <c r="AU119">
        <v>112</v>
      </c>
      <c r="AV119">
        <v>256</v>
      </c>
      <c r="AW119">
        <v>368</v>
      </c>
      <c r="AX119">
        <v>465</v>
      </c>
      <c r="AY119">
        <v>108</v>
      </c>
      <c r="AZ119">
        <v>280</v>
      </c>
      <c r="BA119">
        <v>421</v>
      </c>
      <c r="BB119">
        <v>543</v>
      </c>
    </row>
    <row r="120" spans="5:54" x14ac:dyDescent="0.2">
      <c r="E120">
        <v>4</v>
      </c>
      <c r="F120" t="s">
        <v>119</v>
      </c>
      <c r="H120">
        <v>91.25</v>
      </c>
      <c r="I120">
        <v>180</v>
      </c>
      <c r="J120">
        <v>0</v>
      </c>
      <c r="K120">
        <v>0</v>
      </c>
      <c r="L120">
        <v>0</v>
      </c>
      <c r="N120">
        <v>360</v>
      </c>
      <c r="P120">
        <v>0.7</v>
      </c>
      <c r="Q120">
        <f t="shared" si="12"/>
        <v>1</v>
      </c>
      <c r="S120">
        <f t="shared" si="13"/>
        <v>7.3058846435999998</v>
      </c>
      <c r="T120">
        <f t="shared" si="14"/>
        <v>0.15123181212251999</v>
      </c>
      <c r="U120">
        <f t="shared" si="11"/>
        <v>2483.9825141123911</v>
      </c>
      <c r="X120" t="s">
        <v>120</v>
      </c>
      <c r="Y120" t="s">
        <v>171</v>
      </c>
      <c r="Z120">
        <v>450</v>
      </c>
      <c r="AA120">
        <v>400</v>
      </c>
      <c r="AB120">
        <v>490</v>
      </c>
      <c r="AC120">
        <v>410</v>
      </c>
      <c r="AD120">
        <v>340</v>
      </c>
      <c r="AE120">
        <v>420</v>
      </c>
      <c r="AF120">
        <v>430</v>
      </c>
      <c r="AG120">
        <v>470</v>
      </c>
      <c r="AI120">
        <v>304</v>
      </c>
      <c r="AJ120">
        <v>520</v>
      </c>
      <c r="AK120">
        <v>573</v>
      </c>
      <c r="AL120">
        <v>445</v>
      </c>
      <c r="AM120">
        <v>320</v>
      </c>
      <c r="AN120">
        <v>3</v>
      </c>
      <c r="AQ120" s="6"/>
      <c r="AR120" s="4" t="s">
        <v>120</v>
      </c>
      <c r="AS120">
        <v>170</v>
      </c>
      <c r="AT120">
        <v>721</v>
      </c>
      <c r="AU120">
        <v>169</v>
      </c>
      <c r="AV120">
        <v>306</v>
      </c>
      <c r="AW120">
        <v>392</v>
      </c>
      <c r="AX120">
        <v>464</v>
      </c>
      <c r="AY120">
        <v>176</v>
      </c>
      <c r="AZ120">
        <v>339</v>
      </c>
      <c r="BA120">
        <v>470</v>
      </c>
      <c r="BB120">
        <v>580</v>
      </c>
    </row>
    <row r="121" spans="5:54" x14ac:dyDescent="0.2">
      <c r="F121" t="s">
        <v>120</v>
      </c>
      <c r="H121">
        <v>91.25</v>
      </c>
      <c r="I121">
        <v>170</v>
      </c>
      <c r="J121">
        <v>0</v>
      </c>
      <c r="K121">
        <v>0</v>
      </c>
      <c r="L121">
        <v>0</v>
      </c>
      <c r="N121">
        <v>390</v>
      </c>
      <c r="P121">
        <v>0.3</v>
      </c>
      <c r="Q121">
        <f t="shared" si="12"/>
        <v>1</v>
      </c>
      <c r="S121">
        <f t="shared" si="13"/>
        <v>7.0471135296000007</v>
      </c>
      <c r="T121">
        <f t="shared" si="14"/>
        <v>0.14587525006272001</v>
      </c>
      <c r="U121">
        <f t="shared" si="11"/>
        <v>2262.889816597944</v>
      </c>
      <c r="X121" t="s">
        <v>121</v>
      </c>
      <c r="Y121" t="s">
        <v>171</v>
      </c>
      <c r="Z121">
        <v>460</v>
      </c>
      <c r="AA121">
        <v>400</v>
      </c>
      <c r="AB121">
        <v>470</v>
      </c>
      <c r="AC121">
        <v>440</v>
      </c>
      <c r="AD121">
        <v>360</v>
      </c>
      <c r="AE121">
        <v>390</v>
      </c>
      <c r="AF121">
        <v>400</v>
      </c>
      <c r="AG121">
        <v>498</v>
      </c>
      <c r="AI121">
        <v>337</v>
      </c>
      <c r="AJ121">
        <v>512</v>
      </c>
      <c r="AK121">
        <v>567</v>
      </c>
      <c r="AL121">
        <v>500</v>
      </c>
      <c r="AM121">
        <v>342</v>
      </c>
      <c r="AN121">
        <v>4</v>
      </c>
      <c r="AP121" t="s">
        <v>131</v>
      </c>
      <c r="AQ121" s="5"/>
      <c r="AR121" s="4" t="s">
        <v>121</v>
      </c>
      <c r="AS121">
        <v>200</v>
      </c>
      <c r="AT121">
        <v>727</v>
      </c>
      <c r="AU121">
        <v>211</v>
      </c>
      <c r="AV121">
        <v>338</v>
      </c>
      <c r="AW121">
        <v>432</v>
      </c>
      <c r="AX121">
        <v>492</v>
      </c>
      <c r="AY121">
        <v>222</v>
      </c>
      <c r="AZ121">
        <v>377</v>
      </c>
      <c r="BA121">
        <v>498</v>
      </c>
      <c r="BB121">
        <v>590</v>
      </c>
    </row>
    <row r="122" spans="5:54" x14ac:dyDescent="0.2">
      <c r="F122" t="s">
        <v>121</v>
      </c>
      <c r="H122">
        <v>91.25</v>
      </c>
      <c r="I122">
        <v>160</v>
      </c>
      <c r="J122">
        <v>0</v>
      </c>
      <c r="K122">
        <v>0</v>
      </c>
      <c r="L122">
        <v>0</v>
      </c>
      <c r="N122">
        <v>410</v>
      </c>
      <c r="P122">
        <v>0.2</v>
      </c>
      <c r="Q122">
        <f t="shared" si="12"/>
        <v>1</v>
      </c>
      <c r="S122">
        <f t="shared" si="13"/>
        <v>7.1414010756000028</v>
      </c>
      <c r="T122">
        <f t="shared" si="14"/>
        <v>0.14782700226492007</v>
      </c>
      <c r="U122">
        <f t="shared" si="11"/>
        <v>2158.2742330678329</v>
      </c>
      <c r="X122" t="s">
        <v>117</v>
      </c>
      <c r="Y122" t="s">
        <v>164</v>
      </c>
      <c r="Z122">
        <v>75</v>
      </c>
      <c r="AA122">
        <v>230</v>
      </c>
      <c r="AB122">
        <v>90</v>
      </c>
      <c r="AC122">
        <v>240</v>
      </c>
      <c r="AD122">
        <v>300</v>
      </c>
      <c r="AE122">
        <v>80</v>
      </c>
      <c r="AF122">
        <v>210</v>
      </c>
      <c r="AG122">
        <v>223</v>
      </c>
      <c r="AH122">
        <v>216</v>
      </c>
      <c r="AI122">
        <v>231</v>
      </c>
      <c r="AJ122">
        <v>234</v>
      </c>
      <c r="AK122">
        <v>242</v>
      </c>
      <c r="AL122">
        <v>193</v>
      </c>
      <c r="AM122">
        <v>170</v>
      </c>
      <c r="AN122">
        <v>1</v>
      </c>
      <c r="AQ122" s="6" t="s">
        <v>259</v>
      </c>
      <c r="AR122" s="4" t="s">
        <v>117</v>
      </c>
      <c r="AS122">
        <v>220</v>
      </c>
      <c r="AT122">
        <v>620</v>
      </c>
      <c r="AU122">
        <v>227</v>
      </c>
      <c r="AV122">
        <v>319</v>
      </c>
      <c r="AW122">
        <v>398</v>
      </c>
      <c r="AX122">
        <v>452</v>
      </c>
      <c r="AY122">
        <v>216</v>
      </c>
      <c r="AZ122">
        <v>334</v>
      </c>
      <c r="BA122" t="s">
        <v>181</v>
      </c>
      <c r="BB122" t="s">
        <v>181</v>
      </c>
    </row>
    <row r="123" spans="5:54" x14ac:dyDescent="0.2">
      <c r="E123" t="s">
        <v>152</v>
      </c>
      <c r="F123" t="s">
        <v>117</v>
      </c>
      <c r="H123">
        <v>91.25</v>
      </c>
      <c r="I123">
        <v>150</v>
      </c>
      <c r="J123">
        <v>0.7</v>
      </c>
      <c r="K123">
        <v>0.05</v>
      </c>
      <c r="L123">
        <f>$AC$12</f>
        <v>1.3</v>
      </c>
      <c r="N123">
        <v>440</v>
      </c>
      <c r="P123">
        <v>0.3</v>
      </c>
      <c r="Q123">
        <f>(J123 * $AD$4 +K123* $AD$5) + (1 -J123 - K123 )</f>
        <v>1.2150000000000001</v>
      </c>
      <c r="S123">
        <f t="shared" si="13"/>
        <v>9.3477648089340022</v>
      </c>
      <c r="T123">
        <f t="shared" si="14"/>
        <v>0.19349873154493383</v>
      </c>
      <c r="U123">
        <f t="shared" si="11"/>
        <v>2648.5138880212817</v>
      </c>
      <c r="X123" t="s">
        <v>119</v>
      </c>
      <c r="Y123" t="s">
        <v>164</v>
      </c>
      <c r="Z123">
        <v>160</v>
      </c>
      <c r="AA123">
        <v>290</v>
      </c>
      <c r="AB123">
        <v>160</v>
      </c>
      <c r="AC123">
        <v>270</v>
      </c>
      <c r="AD123">
        <v>340</v>
      </c>
      <c r="AE123">
        <v>150</v>
      </c>
      <c r="AF123">
        <v>100</v>
      </c>
      <c r="AG123">
        <v>108</v>
      </c>
      <c r="AH123">
        <v>111</v>
      </c>
      <c r="AI123">
        <v>102</v>
      </c>
      <c r="AJ123">
        <v>111</v>
      </c>
      <c r="AK123">
        <v>120</v>
      </c>
      <c r="AL123">
        <v>115</v>
      </c>
      <c r="AM123">
        <v>133</v>
      </c>
      <c r="AN123">
        <v>2</v>
      </c>
      <c r="AQ123" s="5"/>
      <c r="AR123" s="4" t="s">
        <v>119</v>
      </c>
      <c r="AS123">
        <v>110</v>
      </c>
      <c r="AT123">
        <v>650</v>
      </c>
      <c r="AU123">
        <v>108</v>
      </c>
      <c r="AV123">
        <v>262</v>
      </c>
      <c r="AW123">
        <v>346</v>
      </c>
      <c r="AX123">
        <v>430</v>
      </c>
      <c r="AY123">
        <v>111</v>
      </c>
      <c r="AZ123">
        <v>236</v>
      </c>
      <c r="BA123" t="s">
        <v>181</v>
      </c>
      <c r="BB123" t="s">
        <v>181</v>
      </c>
    </row>
    <row r="124" spans="5:54" x14ac:dyDescent="0.2">
      <c r="E124" t="s">
        <v>235</v>
      </c>
      <c r="F124" t="s">
        <v>119</v>
      </c>
      <c r="H124">
        <v>91.25</v>
      </c>
      <c r="I124">
        <v>250</v>
      </c>
      <c r="J124">
        <v>0</v>
      </c>
      <c r="K124">
        <v>0.71</v>
      </c>
      <c r="L124">
        <f>$AC$13</f>
        <v>1.1000000000000001</v>
      </c>
      <c r="N124">
        <v>470</v>
      </c>
      <c r="P124">
        <v>0.3</v>
      </c>
      <c r="Q124">
        <f t="shared" ref="Q124:Q136" si="15">(J124 * $AD$4 +K124* $AD$5) + (1 -J124 - K124 )</f>
        <v>1.0710000000000002</v>
      </c>
      <c r="S124">
        <f t="shared" si="13"/>
        <v>8.6319321471936021</v>
      </c>
      <c r="T124">
        <f t="shared" si="14"/>
        <v>0.17868099544690758</v>
      </c>
      <c r="U124">
        <f t="shared" si="11"/>
        <v>4076.1602086325793</v>
      </c>
      <c r="X124" t="s">
        <v>120</v>
      </c>
      <c r="Y124" t="s">
        <v>164</v>
      </c>
      <c r="Z124">
        <v>220</v>
      </c>
      <c r="AA124">
        <v>75</v>
      </c>
      <c r="AB124">
        <v>215</v>
      </c>
      <c r="AC124">
        <v>95</v>
      </c>
      <c r="AD124">
        <v>100</v>
      </c>
      <c r="AE124">
        <v>230</v>
      </c>
      <c r="AF124">
        <v>160</v>
      </c>
      <c r="AG124">
        <v>176</v>
      </c>
      <c r="AH124">
        <v>169</v>
      </c>
      <c r="AI124">
        <v>175</v>
      </c>
      <c r="AJ124">
        <v>188</v>
      </c>
      <c r="AK124">
        <v>238</v>
      </c>
      <c r="AL124">
        <v>141</v>
      </c>
      <c r="AM124">
        <v>146</v>
      </c>
      <c r="AN124">
        <v>3</v>
      </c>
      <c r="AQ124" s="6"/>
      <c r="AR124" s="4" t="s">
        <v>120</v>
      </c>
      <c r="AS124">
        <v>170</v>
      </c>
      <c r="AT124">
        <v>670</v>
      </c>
      <c r="AU124">
        <v>170</v>
      </c>
      <c r="AV124">
        <v>266</v>
      </c>
      <c r="AW124">
        <v>363</v>
      </c>
      <c r="AX124">
        <v>444</v>
      </c>
      <c r="AY124">
        <v>169</v>
      </c>
      <c r="AZ124">
        <v>282</v>
      </c>
      <c r="BA124" t="s">
        <v>181</v>
      </c>
      <c r="BB124" t="s">
        <v>181</v>
      </c>
    </row>
    <row r="125" spans="5:54" x14ac:dyDescent="0.2">
      <c r="F125" t="s">
        <v>120</v>
      </c>
      <c r="H125">
        <v>91.25</v>
      </c>
      <c r="I125">
        <v>240</v>
      </c>
      <c r="J125">
        <v>0</v>
      </c>
      <c r="K125">
        <v>0</v>
      </c>
      <c r="L125">
        <f>$AC$14</f>
        <v>0</v>
      </c>
      <c r="N125">
        <v>490</v>
      </c>
      <c r="P125">
        <v>0.2</v>
      </c>
      <c r="Q125">
        <f t="shared" si="15"/>
        <v>1</v>
      </c>
      <c r="S125">
        <f t="shared" si="13"/>
        <v>8.1130407556000002</v>
      </c>
      <c r="T125">
        <f t="shared" si="14"/>
        <v>0.16793994364092002</v>
      </c>
      <c r="U125">
        <f t="shared" si="11"/>
        <v>3677.8847657361484</v>
      </c>
      <c r="X125" t="s">
        <v>121</v>
      </c>
      <c r="Y125" t="s">
        <v>164</v>
      </c>
      <c r="Z125">
        <v>260</v>
      </c>
      <c r="AA125">
        <v>150</v>
      </c>
      <c r="AB125">
        <v>230</v>
      </c>
      <c r="AC125">
        <v>140</v>
      </c>
      <c r="AD125">
        <v>170</v>
      </c>
      <c r="AE125">
        <v>250</v>
      </c>
      <c r="AF125">
        <v>190</v>
      </c>
      <c r="AG125">
        <v>222</v>
      </c>
      <c r="AH125">
        <v>214</v>
      </c>
      <c r="AI125">
        <v>208</v>
      </c>
      <c r="AJ125">
        <v>209</v>
      </c>
      <c r="AK125">
        <v>260</v>
      </c>
      <c r="AL125">
        <v>189</v>
      </c>
      <c r="AM125">
        <v>157</v>
      </c>
      <c r="AN125">
        <v>4</v>
      </c>
      <c r="AP125" t="s">
        <v>131</v>
      </c>
      <c r="AQ125" s="5"/>
      <c r="AR125" s="4" t="s">
        <v>121</v>
      </c>
      <c r="AS125">
        <v>200</v>
      </c>
      <c r="AT125">
        <v>660</v>
      </c>
      <c r="AU125">
        <v>225</v>
      </c>
      <c r="AV125">
        <v>307</v>
      </c>
      <c r="AW125">
        <v>398</v>
      </c>
      <c r="AX125">
        <v>452</v>
      </c>
      <c r="AY125">
        <v>214</v>
      </c>
      <c r="AZ125">
        <v>326</v>
      </c>
      <c r="BA125" t="s">
        <v>181</v>
      </c>
      <c r="BB125" t="s">
        <v>181</v>
      </c>
    </row>
    <row r="126" spans="5:54" x14ac:dyDescent="0.2">
      <c r="F126" t="s">
        <v>121</v>
      </c>
      <c r="H126">
        <v>91.25</v>
      </c>
      <c r="I126">
        <v>210</v>
      </c>
      <c r="J126">
        <v>0.1</v>
      </c>
      <c r="K126">
        <v>0</v>
      </c>
      <c r="L126">
        <f>$AC$14</f>
        <v>0</v>
      </c>
      <c r="N126">
        <v>500</v>
      </c>
      <c r="P126">
        <v>0.1</v>
      </c>
      <c r="Q126">
        <f t="shared" si="15"/>
        <v>1.03</v>
      </c>
      <c r="S126">
        <f t="shared" si="13"/>
        <v>8.2871042175000014</v>
      </c>
      <c r="T126">
        <f t="shared" si="14"/>
        <v>0.17154305730225003</v>
      </c>
      <c r="U126">
        <f t="shared" si="11"/>
        <v>3287.1938355543662</v>
      </c>
      <c r="X126" t="s">
        <v>117</v>
      </c>
      <c r="Y126" t="s">
        <v>176</v>
      </c>
      <c r="Z126">
        <v>380</v>
      </c>
      <c r="AA126">
        <v>420</v>
      </c>
      <c r="AB126">
        <v>480</v>
      </c>
      <c r="AC126">
        <v>510</v>
      </c>
      <c r="AD126">
        <v>480</v>
      </c>
      <c r="AE126">
        <v>370</v>
      </c>
      <c r="AF126">
        <v>340</v>
      </c>
      <c r="AG126">
        <v>585</v>
      </c>
      <c r="AJ126">
        <v>660</v>
      </c>
      <c r="AK126">
        <v>620</v>
      </c>
      <c r="AL126">
        <v>565</v>
      </c>
      <c r="AM126">
        <v>531</v>
      </c>
      <c r="AN126">
        <v>1</v>
      </c>
      <c r="AQ126" s="6" t="s">
        <v>260</v>
      </c>
      <c r="AR126" s="4" t="s">
        <v>117</v>
      </c>
      <c r="AS126">
        <v>220</v>
      </c>
      <c r="AT126">
        <v>620</v>
      </c>
      <c r="AU126">
        <v>177</v>
      </c>
      <c r="AV126">
        <v>267</v>
      </c>
      <c r="AW126">
        <v>365</v>
      </c>
      <c r="AX126">
        <v>406</v>
      </c>
      <c r="AY126">
        <v>231</v>
      </c>
      <c r="AZ126">
        <v>249</v>
      </c>
      <c r="BA126">
        <v>324</v>
      </c>
      <c r="BB126" t="s">
        <v>181</v>
      </c>
    </row>
    <row r="127" spans="5:54" x14ac:dyDescent="0.2">
      <c r="E127" t="s">
        <v>141</v>
      </c>
      <c r="F127" t="s">
        <v>117</v>
      </c>
      <c r="H127">
        <v>91.25</v>
      </c>
      <c r="I127">
        <v>100</v>
      </c>
      <c r="J127">
        <v>0</v>
      </c>
      <c r="K127">
        <v>0</v>
      </c>
      <c r="L127">
        <v>0</v>
      </c>
      <c r="N127">
        <v>75</v>
      </c>
      <c r="P127">
        <v>0.5</v>
      </c>
      <c r="Q127">
        <f t="shared" si="15"/>
        <v>1</v>
      </c>
      <c r="S127">
        <f t="shared" si="13"/>
        <v>2.7834751406249998</v>
      </c>
      <c r="T127">
        <f t="shared" si="14"/>
        <v>5.7617935410937494E-2</v>
      </c>
      <c r="U127">
        <f t="shared" si="11"/>
        <v>525.76366062480463</v>
      </c>
      <c r="X127" t="s">
        <v>119</v>
      </c>
      <c r="Y127" t="s">
        <v>176</v>
      </c>
      <c r="Z127">
        <v>420</v>
      </c>
      <c r="AA127">
        <v>420</v>
      </c>
      <c r="AB127">
        <v>460</v>
      </c>
      <c r="AC127">
        <v>520</v>
      </c>
      <c r="AD127">
        <v>470</v>
      </c>
      <c r="AE127">
        <v>400</v>
      </c>
      <c r="AF127">
        <v>390</v>
      </c>
      <c r="AG127">
        <v>543</v>
      </c>
      <c r="AJ127">
        <v>547</v>
      </c>
      <c r="AK127">
        <v>553</v>
      </c>
      <c r="AL127">
        <v>556</v>
      </c>
      <c r="AM127">
        <v>445</v>
      </c>
      <c r="AN127">
        <v>2</v>
      </c>
      <c r="AQ127" s="5"/>
      <c r="AR127" s="4" t="s">
        <v>119</v>
      </c>
      <c r="AS127">
        <v>110</v>
      </c>
      <c r="AT127">
        <v>650</v>
      </c>
      <c r="AU127">
        <v>102</v>
      </c>
      <c r="AV127">
        <v>203</v>
      </c>
      <c r="AW127">
        <v>299</v>
      </c>
      <c r="AX127">
        <v>380</v>
      </c>
      <c r="AY127">
        <v>102</v>
      </c>
      <c r="AZ127">
        <v>218</v>
      </c>
      <c r="BA127">
        <v>263</v>
      </c>
      <c r="BB127" t="s">
        <v>181</v>
      </c>
    </row>
    <row r="128" spans="5:54" x14ac:dyDescent="0.2">
      <c r="E128">
        <v>3</v>
      </c>
      <c r="F128" t="s">
        <v>119</v>
      </c>
      <c r="H128">
        <v>91.25</v>
      </c>
      <c r="I128">
        <v>180</v>
      </c>
      <c r="J128">
        <v>0</v>
      </c>
      <c r="K128">
        <v>0</v>
      </c>
      <c r="L128">
        <v>0</v>
      </c>
      <c r="N128">
        <v>160</v>
      </c>
      <c r="P128">
        <v>0.9</v>
      </c>
      <c r="Q128">
        <f t="shared" si="15"/>
        <v>1</v>
      </c>
      <c r="S128">
        <f t="shared" si="13"/>
        <v>4.5298311556000002</v>
      </c>
      <c r="T128">
        <f t="shared" si="14"/>
        <v>9.3767504920920008E-2</v>
      </c>
      <c r="U128">
        <f t="shared" si="11"/>
        <v>1540.131268326111</v>
      </c>
      <c r="X128" t="s">
        <v>120</v>
      </c>
      <c r="Y128" t="s">
        <v>176</v>
      </c>
      <c r="Z128">
        <v>450</v>
      </c>
      <c r="AA128">
        <v>400</v>
      </c>
      <c r="AB128">
        <v>490</v>
      </c>
      <c r="AC128">
        <v>410</v>
      </c>
      <c r="AD128">
        <v>340</v>
      </c>
      <c r="AE128">
        <v>420</v>
      </c>
      <c r="AF128">
        <v>430</v>
      </c>
      <c r="AG128">
        <v>580</v>
      </c>
      <c r="AJ128">
        <v>582</v>
      </c>
      <c r="AK128">
        <v>620</v>
      </c>
      <c r="AL128">
        <v>593</v>
      </c>
      <c r="AM128">
        <v>471</v>
      </c>
      <c r="AN128">
        <v>3</v>
      </c>
      <c r="AQ128" s="6"/>
      <c r="AR128" s="4" t="s">
        <v>120</v>
      </c>
      <c r="AS128">
        <v>170</v>
      </c>
      <c r="AT128">
        <v>670</v>
      </c>
      <c r="AU128">
        <v>173</v>
      </c>
      <c r="AV128">
        <v>250</v>
      </c>
      <c r="AW128">
        <v>336</v>
      </c>
      <c r="AX128">
        <v>414</v>
      </c>
      <c r="AY128">
        <v>175</v>
      </c>
      <c r="AZ128">
        <v>243</v>
      </c>
      <c r="BA128">
        <v>304</v>
      </c>
      <c r="BB128" t="s">
        <v>181</v>
      </c>
    </row>
    <row r="129" spans="5:54" x14ac:dyDescent="0.2">
      <c r="F129" t="s">
        <v>120</v>
      </c>
      <c r="H129">
        <v>91.25</v>
      </c>
      <c r="I129">
        <v>195</v>
      </c>
      <c r="J129">
        <v>0</v>
      </c>
      <c r="K129">
        <v>0</v>
      </c>
      <c r="L129">
        <v>0</v>
      </c>
      <c r="N129">
        <v>220</v>
      </c>
      <c r="P129">
        <v>0.7</v>
      </c>
      <c r="Q129">
        <f t="shared" si="15"/>
        <v>1</v>
      </c>
      <c r="S129">
        <f t="shared" si="13"/>
        <v>5.1913799715999973</v>
      </c>
      <c r="T129">
        <f t="shared" si="14"/>
        <v>0.10746156541211994</v>
      </c>
      <c r="U129">
        <f t="shared" si="11"/>
        <v>1912.1442295519091</v>
      </c>
      <c r="X129" t="s">
        <v>121</v>
      </c>
      <c r="Y129" t="s">
        <v>176</v>
      </c>
      <c r="Z129">
        <v>460</v>
      </c>
      <c r="AA129">
        <v>400</v>
      </c>
      <c r="AB129">
        <v>470</v>
      </c>
      <c r="AC129">
        <v>440</v>
      </c>
      <c r="AD129">
        <v>360</v>
      </c>
      <c r="AE129">
        <v>390</v>
      </c>
      <c r="AF129">
        <v>400</v>
      </c>
      <c r="AG129">
        <v>590</v>
      </c>
      <c r="AJ129">
        <v>605</v>
      </c>
      <c r="AK129">
        <v>620</v>
      </c>
      <c r="AL129">
        <v>553</v>
      </c>
      <c r="AM129">
        <v>484</v>
      </c>
      <c r="AN129">
        <v>4</v>
      </c>
      <c r="AP129" t="s">
        <v>182</v>
      </c>
      <c r="AQ129" s="5"/>
      <c r="AR129" s="4" t="s">
        <v>121</v>
      </c>
      <c r="AS129">
        <v>200</v>
      </c>
      <c r="AT129">
        <v>660</v>
      </c>
      <c r="AU129">
        <v>202</v>
      </c>
      <c r="AV129">
        <v>272</v>
      </c>
      <c r="AW129">
        <v>365</v>
      </c>
      <c r="AX129">
        <v>390</v>
      </c>
      <c r="AY129">
        <v>208</v>
      </c>
      <c r="AZ129">
        <v>260</v>
      </c>
      <c r="BA129">
        <v>337</v>
      </c>
      <c r="BB129" t="s">
        <v>181</v>
      </c>
    </row>
    <row r="130" spans="5:54" x14ac:dyDescent="0.2">
      <c r="F130" t="s">
        <v>121</v>
      </c>
      <c r="H130">
        <v>91.25</v>
      </c>
      <c r="I130">
        <v>200</v>
      </c>
      <c r="J130">
        <v>0</v>
      </c>
      <c r="K130">
        <v>0</v>
      </c>
      <c r="L130">
        <v>0</v>
      </c>
      <c r="N130">
        <v>260</v>
      </c>
      <c r="P130">
        <v>0.4</v>
      </c>
      <c r="Q130">
        <f t="shared" si="15"/>
        <v>1</v>
      </c>
      <c r="S130">
        <f t="shared" si="13"/>
        <v>5.3621886096000004</v>
      </c>
      <c r="T130">
        <f t="shared" si="14"/>
        <v>0.11099730421872001</v>
      </c>
      <c r="U130">
        <f t="shared" si="11"/>
        <v>2025.7008019916402</v>
      </c>
      <c r="AQ130" s="6" t="s">
        <v>261</v>
      </c>
      <c r="AR130" s="4" t="s">
        <v>117</v>
      </c>
      <c r="AS130">
        <v>260</v>
      </c>
      <c r="AT130" s="4">
        <v>705</v>
      </c>
      <c r="AU130" s="4">
        <v>215</v>
      </c>
      <c r="AV130">
        <v>302</v>
      </c>
      <c r="AW130">
        <v>416</v>
      </c>
      <c r="AX130">
        <v>519</v>
      </c>
      <c r="AY130">
        <v>234</v>
      </c>
      <c r="AZ130">
        <v>455</v>
      </c>
      <c r="BA130">
        <v>551</v>
      </c>
      <c r="BB130" s="4">
        <v>660</v>
      </c>
    </row>
    <row r="131" spans="5:54" x14ac:dyDescent="0.2">
      <c r="E131" t="s">
        <v>156</v>
      </c>
      <c r="F131" t="s">
        <v>117</v>
      </c>
      <c r="H131">
        <v>91.25</v>
      </c>
      <c r="I131">
        <v>50</v>
      </c>
      <c r="J131">
        <v>0.9</v>
      </c>
      <c r="K131">
        <v>0.05</v>
      </c>
      <c r="L131">
        <f>$AC$12</f>
        <v>1.3</v>
      </c>
      <c r="N131">
        <v>440</v>
      </c>
      <c r="P131">
        <v>0.3</v>
      </c>
      <c r="Q131">
        <f t="shared" si="15"/>
        <v>1.2750000000000001</v>
      </c>
      <c r="S131">
        <f t="shared" si="13"/>
        <v>9.8093828241900027</v>
      </c>
      <c r="T131">
        <f t="shared" si="14"/>
        <v>0.20305422446073307</v>
      </c>
      <c r="U131">
        <f t="shared" si="11"/>
        <v>926.43489910209473</v>
      </c>
      <c r="AQ131" s="5"/>
      <c r="AR131" s="4" t="s">
        <v>119</v>
      </c>
      <c r="AS131">
        <v>153</v>
      </c>
      <c r="AT131">
        <v>703</v>
      </c>
      <c r="AU131" s="4">
        <v>118</v>
      </c>
      <c r="AV131">
        <v>277</v>
      </c>
      <c r="AW131">
        <v>397</v>
      </c>
      <c r="AX131">
        <v>483</v>
      </c>
      <c r="AY131">
        <v>111</v>
      </c>
      <c r="AZ131">
        <v>304</v>
      </c>
      <c r="BA131">
        <v>521</v>
      </c>
      <c r="BB131" s="4">
        <v>547</v>
      </c>
    </row>
    <row r="132" spans="5:54" x14ac:dyDescent="0.2">
      <c r="E132" t="s">
        <v>236</v>
      </c>
      <c r="F132" t="s">
        <v>119</v>
      </c>
      <c r="H132">
        <v>91.25</v>
      </c>
      <c r="I132">
        <v>100</v>
      </c>
      <c r="J132">
        <v>0</v>
      </c>
      <c r="K132">
        <v>0.8</v>
      </c>
      <c r="L132">
        <f>$AC$13</f>
        <v>1.1000000000000001</v>
      </c>
      <c r="N132">
        <v>470</v>
      </c>
      <c r="P132">
        <v>0.3</v>
      </c>
      <c r="Q132">
        <f t="shared" si="15"/>
        <v>1.08</v>
      </c>
      <c r="S132">
        <f t="shared" si="13"/>
        <v>8.7044693921280025</v>
      </c>
      <c r="T132">
        <f t="shared" si="14"/>
        <v>0.18018251641704963</v>
      </c>
      <c r="U132">
        <f t="shared" si="11"/>
        <v>1644.1654623055779</v>
      </c>
      <c r="AQ132" s="6"/>
      <c r="AR132" s="4" t="s">
        <v>120</v>
      </c>
      <c r="AS132">
        <v>168</v>
      </c>
      <c r="AT132">
        <v>718</v>
      </c>
      <c r="AU132" s="4">
        <v>191</v>
      </c>
      <c r="AV132">
        <v>319</v>
      </c>
      <c r="AW132">
        <v>440</v>
      </c>
      <c r="AX132">
        <v>506</v>
      </c>
      <c r="AY132">
        <v>188</v>
      </c>
      <c r="AZ132">
        <v>326</v>
      </c>
      <c r="BA132">
        <v>520</v>
      </c>
      <c r="BB132" s="4">
        <v>582</v>
      </c>
    </row>
    <row r="133" spans="5:54" x14ac:dyDescent="0.2">
      <c r="F133" t="s">
        <v>120</v>
      </c>
      <c r="H133">
        <v>91.25</v>
      </c>
      <c r="I133">
        <v>90</v>
      </c>
      <c r="J133">
        <v>0</v>
      </c>
      <c r="K133">
        <v>0</v>
      </c>
      <c r="L133">
        <f>$AC$14</f>
        <v>0</v>
      </c>
      <c r="N133">
        <v>490</v>
      </c>
      <c r="P133">
        <v>0.2</v>
      </c>
      <c r="Q133">
        <f t="shared" si="15"/>
        <v>1</v>
      </c>
      <c r="S133">
        <f t="shared" si="13"/>
        <v>8.1130407556000002</v>
      </c>
      <c r="T133">
        <f t="shared" si="14"/>
        <v>0.16793994364092002</v>
      </c>
      <c r="U133">
        <f t="shared" si="11"/>
        <v>1379.2067871510558</v>
      </c>
      <c r="AP133" t="s">
        <v>182</v>
      </c>
      <c r="AQ133" s="5"/>
      <c r="AR133" s="4" t="s">
        <v>121</v>
      </c>
      <c r="AS133">
        <v>235</v>
      </c>
      <c r="AT133">
        <v>722</v>
      </c>
      <c r="AU133" s="4">
        <v>207</v>
      </c>
      <c r="AV133">
        <v>352</v>
      </c>
      <c r="AW133">
        <v>470</v>
      </c>
      <c r="AX133">
        <v>514</v>
      </c>
      <c r="AY133">
        <v>209</v>
      </c>
      <c r="AZ133">
        <v>421</v>
      </c>
      <c r="BA133">
        <v>512</v>
      </c>
      <c r="BB133" s="4">
        <v>605</v>
      </c>
    </row>
    <row r="134" spans="5:54" x14ac:dyDescent="0.2">
      <c r="F134" t="s">
        <v>121</v>
      </c>
      <c r="H134">
        <v>91.25</v>
      </c>
      <c r="I134">
        <v>80</v>
      </c>
      <c r="J134">
        <v>0</v>
      </c>
      <c r="K134">
        <v>0</v>
      </c>
      <c r="L134">
        <f>$AC$14</f>
        <v>0</v>
      </c>
      <c r="N134">
        <v>500</v>
      </c>
      <c r="P134">
        <v>0.1</v>
      </c>
      <c r="Q134">
        <f t="shared" si="15"/>
        <v>1</v>
      </c>
      <c r="S134">
        <f t="shared" si="13"/>
        <v>8.0457322500000004</v>
      </c>
      <c r="T134">
        <f t="shared" si="14"/>
        <v>0.16654665757500001</v>
      </c>
      <c r="U134">
        <f t="shared" si="11"/>
        <v>1215.7906002975001</v>
      </c>
      <c r="AQ134" s="6" t="s">
        <v>262</v>
      </c>
      <c r="AR134" s="4" t="s">
        <v>117</v>
      </c>
      <c r="AS134">
        <v>230</v>
      </c>
      <c r="AT134" s="4">
        <v>674</v>
      </c>
      <c r="AU134" s="4">
        <v>217</v>
      </c>
      <c r="AV134">
        <v>344</v>
      </c>
      <c r="AW134">
        <v>357</v>
      </c>
      <c r="AX134">
        <v>467</v>
      </c>
      <c r="AY134">
        <v>242</v>
      </c>
      <c r="AZ134">
        <v>370</v>
      </c>
      <c r="BA134">
        <v>550</v>
      </c>
      <c r="BB134" s="4">
        <v>620</v>
      </c>
    </row>
    <row r="135" spans="5:54" x14ac:dyDescent="0.2">
      <c r="E135" t="s">
        <v>169</v>
      </c>
      <c r="F135" t="s">
        <v>117</v>
      </c>
      <c r="H135">
        <v>91.25</v>
      </c>
      <c r="I135">
        <v>30</v>
      </c>
      <c r="J135">
        <v>0</v>
      </c>
      <c r="K135">
        <v>0</v>
      </c>
      <c r="L135">
        <v>0</v>
      </c>
      <c r="N135">
        <v>380</v>
      </c>
      <c r="P135">
        <v>0.4</v>
      </c>
      <c r="Q135">
        <f t="shared" si="15"/>
        <v>1</v>
      </c>
      <c r="S135">
        <f t="shared" si="13"/>
        <v>7.0796437775999967</v>
      </c>
      <c r="T135">
        <f t="shared" si="14"/>
        <v>0.14654862619631992</v>
      </c>
      <c r="U135">
        <f t="shared" si="11"/>
        <v>401.17686421242576</v>
      </c>
      <c r="AQ135" s="5"/>
      <c r="AR135" s="4" t="s">
        <v>119</v>
      </c>
      <c r="AS135">
        <v>113</v>
      </c>
      <c r="AT135" s="4">
        <v>669</v>
      </c>
      <c r="AU135" s="4">
        <v>113</v>
      </c>
      <c r="AV135">
        <v>283</v>
      </c>
      <c r="AW135">
        <v>361</v>
      </c>
      <c r="AX135">
        <v>477</v>
      </c>
      <c r="AY135">
        <v>120</v>
      </c>
      <c r="AZ135">
        <v>273</v>
      </c>
      <c r="BA135">
        <v>545</v>
      </c>
      <c r="BB135" s="4">
        <v>553</v>
      </c>
    </row>
    <row r="136" spans="5:54" x14ac:dyDescent="0.2">
      <c r="E136" t="s">
        <v>237</v>
      </c>
      <c r="F136" t="s">
        <v>119</v>
      </c>
      <c r="H136">
        <v>91.25</v>
      </c>
      <c r="I136">
        <v>65</v>
      </c>
      <c r="J136">
        <v>0</v>
      </c>
      <c r="K136">
        <v>0</v>
      </c>
      <c r="L136">
        <v>0</v>
      </c>
      <c r="N136">
        <v>420</v>
      </c>
      <c r="P136">
        <v>0.4</v>
      </c>
      <c r="Q136">
        <f t="shared" si="15"/>
        <v>1</v>
      </c>
      <c r="S136">
        <f t="shared" si="13"/>
        <v>7.6129639056</v>
      </c>
      <c r="T136">
        <f t="shared" si="14"/>
        <v>0.15758835284591999</v>
      </c>
      <c r="U136">
        <f t="shared" si="11"/>
        <v>934.6959178173629</v>
      </c>
      <c r="AQ136" s="6"/>
      <c r="AR136" s="4" t="s">
        <v>120</v>
      </c>
      <c r="AS136">
        <v>172</v>
      </c>
      <c r="AT136" s="4">
        <v>685</v>
      </c>
      <c r="AU136" s="4">
        <v>172</v>
      </c>
      <c r="AV136">
        <v>309</v>
      </c>
      <c r="AW136">
        <v>376</v>
      </c>
      <c r="AX136">
        <v>471</v>
      </c>
      <c r="AY136">
        <v>238</v>
      </c>
      <c r="AZ136">
        <v>329</v>
      </c>
      <c r="BA136">
        <v>573</v>
      </c>
      <c r="BB136" s="4">
        <v>620</v>
      </c>
    </row>
    <row r="137" spans="5:54" x14ac:dyDescent="0.2">
      <c r="F137" t="s">
        <v>120</v>
      </c>
      <c r="H137">
        <v>91.25</v>
      </c>
      <c r="I137">
        <v>40</v>
      </c>
      <c r="J137">
        <v>0</v>
      </c>
      <c r="K137">
        <v>0</v>
      </c>
      <c r="L137">
        <v>0</v>
      </c>
      <c r="N137">
        <v>450</v>
      </c>
      <c r="P137">
        <v>0.3</v>
      </c>
      <c r="Q137">
        <f t="shared" ref="Q137:Q150" si="16">(J137 * $AD$4 + K137*$AD$5) + (1 - J137 )</f>
        <v>1</v>
      </c>
      <c r="S137">
        <f t="shared" si="13"/>
        <v>7.8176159999999992</v>
      </c>
      <c r="T137">
        <f t="shared" si="14"/>
        <v>0.16182465119999997</v>
      </c>
      <c r="U137">
        <f t="shared" si="11"/>
        <v>590.65997687999993</v>
      </c>
      <c r="AP137" t="s">
        <v>182</v>
      </c>
      <c r="AQ137" s="5"/>
      <c r="AR137" s="4" t="s">
        <v>121</v>
      </c>
      <c r="AS137">
        <v>241</v>
      </c>
      <c r="AT137" s="4">
        <v>692</v>
      </c>
      <c r="AU137" s="4">
        <v>208</v>
      </c>
      <c r="AV137">
        <v>344</v>
      </c>
      <c r="AW137">
        <v>364</v>
      </c>
      <c r="AX137">
        <v>484</v>
      </c>
      <c r="AY137">
        <v>260</v>
      </c>
      <c r="AZ137">
        <v>350</v>
      </c>
      <c r="BA137">
        <v>567</v>
      </c>
      <c r="BB137" s="4">
        <v>620</v>
      </c>
    </row>
    <row r="138" spans="5:54" x14ac:dyDescent="0.2">
      <c r="F138" t="s">
        <v>121</v>
      </c>
      <c r="H138">
        <v>91.25</v>
      </c>
      <c r="I138">
        <v>20</v>
      </c>
      <c r="J138">
        <v>0</v>
      </c>
      <c r="K138">
        <v>0</v>
      </c>
      <c r="L138">
        <v>0</v>
      </c>
      <c r="N138">
        <v>460</v>
      </c>
      <c r="P138">
        <v>0.1</v>
      </c>
      <c r="Q138">
        <f t="shared" si="16"/>
        <v>1</v>
      </c>
      <c r="S138">
        <f t="shared" si="13"/>
        <v>7.5885924675999998</v>
      </c>
      <c r="T138">
        <f t="shared" si="14"/>
        <v>0.15708386407931998</v>
      </c>
      <c r="U138">
        <f t="shared" si="11"/>
        <v>286.67805194475898</v>
      </c>
      <c r="AQ138" s="6" t="s">
        <v>263</v>
      </c>
      <c r="AR138" s="4" t="s">
        <v>117</v>
      </c>
      <c r="AS138">
        <v>236</v>
      </c>
      <c r="AT138" s="4">
        <v>674</v>
      </c>
      <c r="AU138" s="4">
        <v>178</v>
      </c>
      <c r="AV138">
        <v>310</v>
      </c>
      <c r="AW138">
        <v>428</v>
      </c>
      <c r="AX138">
        <v>466</v>
      </c>
      <c r="AY138">
        <v>193</v>
      </c>
      <c r="AZ138">
        <v>370</v>
      </c>
      <c r="BA138">
        <v>519</v>
      </c>
      <c r="BB138" s="4">
        <v>565</v>
      </c>
    </row>
    <row r="139" spans="5:54" x14ac:dyDescent="0.2">
      <c r="E139" t="s">
        <v>171</v>
      </c>
      <c r="F139" t="s">
        <v>117</v>
      </c>
      <c r="H139">
        <v>91.25</v>
      </c>
      <c r="I139">
        <v>30</v>
      </c>
      <c r="J139">
        <v>0</v>
      </c>
      <c r="K139">
        <v>0</v>
      </c>
      <c r="L139">
        <v>0</v>
      </c>
      <c r="N139">
        <v>380</v>
      </c>
      <c r="P139">
        <v>0.4</v>
      </c>
      <c r="Q139">
        <f t="shared" si="16"/>
        <v>1</v>
      </c>
      <c r="S139">
        <f t="shared" si="13"/>
        <v>7.0796437775999967</v>
      </c>
      <c r="T139">
        <f t="shared" si="14"/>
        <v>0.14654862619631992</v>
      </c>
      <c r="U139">
        <f t="shared" si="11"/>
        <v>401.17686421242576</v>
      </c>
      <c r="AQ139" s="5"/>
      <c r="AR139" s="4" t="s">
        <v>119</v>
      </c>
      <c r="AS139">
        <v>120</v>
      </c>
      <c r="AT139" s="4">
        <v>669</v>
      </c>
      <c r="AU139" s="4">
        <v>112</v>
      </c>
      <c r="AV139">
        <v>250</v>
      </c>
      <c r="AW139">
        <v>390</v>
      </c>
      <c r="AX139">
        <v>448</v>
      </c>
      <c r="AY139">
        <v>115</v>
      </c>
      <c r="AZ139">
        <v>273</v>
      </c>
      <c r="BA139">
        <v>433</v>
      </c>
      <c r="BB139" s="4">
        <v>556</v>
      </c>
    </row>
    <row r="140" spans="5:54" x14ac:dyDescent="0.2">
      <c r="E140" t="s">
        <v>238</v>
      </c>
      <c r="F140" t="s">
        <v>119</v>
      </c>
      <c r="H140">
        <v>91.25</v>
      </c>
      <c r="I140">
        <v>110</v>
      </c>
      <c r="J140">
        <v>0</v>
      </c>
      <c r="K140">
        <v>0</v>
      </c>
      <c r="L140">
        <v>0</v>
      </c>
      <c r="N140">
        <v>420</v>
      </c>
      <c r="P140">
        <v>0.4</v>
      </c>
      <c r="Q140">
        <f t="shared" si="16"/>
        <v>1</v>
      </c>
      <c r="S140">
        <f t="shared" si="13"/>
        <v>7.6129639056</v>
      </c>
      <c r="T140">
        <f t="shared" si="14"/>
        <v>0.15758835284591999</v>
      </c>
      <c r="U140">
        <f t="shared" si="11"/>
        <v>1581.7930916909218</v>
      </c>
      <c r="AQ140" s="6"/>
      <c r="AR140" s="4" t="s">
        <v>120</v>
      </c>
      <c r="AS140">
        <v>125</v>
      </c>
      <c r="AT140" s="4">
        <v>685</v>
      </c>
      <c r="AU140" s="4">
        <v>140</v>
      </c>
      <c r="AV140">
        <v>277</v>
      </c>
      <c r="AW140">
        <v>407</v>
      </c>
      <c r="AX140">
        <v>455</v>
      </c>
      <c r="AY140">
        <v>141</v>
      </c>
      <c r="AZ140">
        <v>296</v>
      </c>
      <c r="BA140">
        <v>445</v>
      </c>
      <c r="BB140" s="4">
        <v>593</v>
      </c>
    </row>
    <row r="141" spans="5:54" x14ac:dyDescent="0.2">
      <c r="F141" t="s">
        <v>120</v>
      </c>
      <c r="H141">
        <v>91.25</v>
      </c>
      <c r="I141">
        <v>40</v>
      </c>
      <c r="J141">
        <v>0</v>
      </c>
      <c r="K141">
        <v>0</v>
      </c>
      <c r="L141">
        <v>0</v>
      </c>
      <c r="N141">
        <v>450</v>
      </c>
      <c r="P141">
        <v>0.3</v>
      </c>
      <c r="Q141">
        <f t="shared" si="16"/>
        <v>1</v>
      </c>
      <c r="S141">
        <f t="shared" si="13"/>
        <v>7.8176159999999992</v>
      </c>
      <c r="T141">
        <f t="shared" si="14"/>
        <v>0.16182465119999997</v>
      </c>
      <c r="U141">
        <f t="shared" si="11"/>
        <v>590.65997687999993</v>
      </c>
      <c r="AP141" t="s">
        <v>182</v>
      </c>
      <c r="AQ141" s="5"/>
      <c r="AR141" s="4" t="s">
        <v>121</v>
      </c>
      <c r="AS141" s="4">
        <v>180</v>
      </c>
      <c r="AT141" s="4">
        <v>692</v>
      </c>
      <c r="AU141" s="4">
        <v>183</v>
      </c>
      <c r="AV141">
        <v>316</v>
      </c>
      <c r="AW141">
        <v>438</v>
      </c>
      <c r="AX141">
        <v>468</v>
      </c>
      <c r="AY141">
        <v>189</v>
      </c>
      <c r="AZ141">
        <v>354</v>
      </c>
      <c r="BA141">
        <v>500</v>
      </c>
      <c r="BB141" s="4">
        <v>553</v>
      </c>
    </row>
    <row r="142" spans="5:54" x14ac:dyDescent="0.2">
      <c r="F142" t="s">
        <v>121</v>
      </c>
      <c r="H142">
        <v>91.25</v>
      </c>
      <c r="I142">
        <v>0</v>
      </c>
      <c r="J142">
        <v>0</v>
      </c>
      <c r="K142">
        <v>0</v>
      </c>
      <c r="L142">
        <v>0</v>
      </c>
      <c r="N142">
        <v>460</v>
      </c>
      <c r="P142">
        <v>0.1</v>
      </c>
      <c r="Q142">
        <f t="shared" si="16"/>
        <v>1</v>
      </c>
      <c r="S142">
        <f t="shared" si="13"/>
        <v>7.5885924675999998</v>
      </c>
      <c r="T142">
        <f t="shared" si="14"/>
        <v>0.15708386407931998</v>
      </c>
      <c r="U142">
        <f t="shared" si="11"/>
        <v>0</v>
      </c>
      <c r="AQ142" s="6" t="s">
        <v>264</v>
      </c>
      <c r="AR142" s="4" t="s">
        <v>117</v>
      </c>
      <c r="AS142" s="4">
        <v>190</v>
      </c>
      <c r="AT142" s="4">
        <v>617</v>
      </c>
      <c r="AU142" s="4">
        <v>174</v>
      </c>
      <c r="AV142">
        <v>265</v>
      </c>
      <c r="AW142">
        <v>371</v>
      </c>
      <c r="AX142">
        <v>415</v>
      </c>
      <c r="AY142">
        <v>170</v>
      </c>
      <c r="AZ142">
        <v>272</v>
      </c>
      <c r="BA142">
        <v>392</v>
      </c>
      <c r="BB142" s="4">
        <v>531</v>
      </c>
    </row>
    <row r="143" spans="5:54" x14ac:dyDescent="0.2">
      <c r="E143" t="s">
        <v>164</v>
      </c>
      <c r="F143" t="s">
        <v>117</v>
      </c>
      <c r="H143">
        <v>91.25</v>
      </c>
      <c r="I143">
        <v>20</v>
      </c>
      <c r="J143">
        <v>0</v>
      </c>
      <c r="K143">
        <v>0</v>
      </c>
      <c r="L143">
        <v>0</v>
      </c>
      <c r="N143">
        <v>75</v>
      </c>
      <c r="P143">
        <v>0.5</v>
      </c>
      <c r="Q143">
        <f t="shared" si="16"/>
        <v>1</v>
      </c>
      <c r="S143">
        <f t="shared" si="13"/>
        <v>2.7834751406249998</v>
      </c>
      <c r="T143">
        <f t="shared" si="14"/>
        <v>5.7617935410937494E-2</v>
      </c>
      <c r="U143">
        <f t="shared" si="11"/>
        <v>105.15273212496092</v>
      </c>
      <c r="AQ143" s="5"/>
      <c r="AR143" s="4" t="s">
        <v>119</v>
      </c>
      <c r="AS143">
        <v>119</v>
      </c>
      <c r="AT143" s="4">
        <v>591</v>
      </c>
      <c r="AU143" s="4">
        <v>140</v>
      </c>
      <c r="AV143">
        <v>205</v>
      </c>
      <c r="AW143">
        <v>310</v>
      </c>
      <c r="AX143">
        <v>405</v>
      </c>
      <c r="AY143">
        <v>133</v>
      </c>
      <c r="AZ143">
        <v>218</v>
      </c>
      <c r="BA143">
        <v>315</v>
      </c>
      <c r="BB143" s="4">
        <v>445</v>
      </c>
    </row>
    <row r="144" spans="5:54" x14ac:dyDescent="0.2">
      <c r="E144">
        <v>6</v>
      </c>
      <c r="F144" t="s">
        <v>119</v>
      </c>
      <c r="H144">
        <v>91.25</v>
      </c>
      <c r="I144">
        <v>40</v>
      </c>
      <c r="J144">
        <v>0</v>
      </c>
      <c r="K144">
        <v>0</v>
      </c>
      <c r="L144">
        <v>0</v>
      </c>
      <c r="N144">
        <v>160</v>
      </c>
      <c r="P144">
        <v>0.9</v>
      </c>
      <c r="Q144">
        <f t="shared" si="16"/>
        <v>1</v>
      </c>
      <c r="S144">
        <f t="shared" si="13"/>
        <v>4.5298311556000002</v>
      </c>
      <c r="T144">
        <f t="shared" si="14"/>
        <v>9.3767504920920008E-2</v>
      </c>
      <c r="U144">
        <f t="shared" si="11"/>
        <v>342.25139296135802</v>
      </c>
      <c r="AQ144" s="6"/>
      <c r="AR144" s="4" t="s">
        <v>120</v>
      </c>
      <c r="AS144">
        <v>175</v>
      </c>
      <c r="AT144" s="4">
        <v>610</v>
      </c>
      <c r="AU144" s="4">
        <v>163</v>
      </c>
      <c r="AV144">
        <v>232</v>
      </c>
      <c r="AW144">
        <v>351</v>
      </c>
      <c r="AX144">
        <v>427</v>
      </c>
      <c r="AY144">
        <v>146</v>
      </c>
      <c r="AZ144">
        <v>242</v>
      </c>
      <c r="BA144">
        <v>320</v>
      </c>
      <c r="BB144" s="4">
        <v>471</v>
      </c>
    </row>
    <row r="145" spans="5:54" x14ac:dyDescent="0.2">
      <c r="F145" t="s">
        <v>120</v>
      </c>
      <c r="H145">
        <v>91.25</v>
      </c>
      <c r="I145">
        <v>35</v>
      </c>
      <c r="J145">
        <v>0</v>
      </c>
      <c r="K145">
        <v>0</v>
      </c>
      <c r="L145">
        <v>0</v>
      </c>
      <c r="N145">
        <v>220</v>
      </c>
      <c r="P145">
        <v>0.7</v>
      </c>
      <c r="Q145">
        <f t="shared" si="16"/>
        <v>1</v>
      </c>
      <c r="S145">
        <f t="shared" si="13"/>
        <v>5.1913799715999973</v>
      </c>
      <c r="T145">
        <f t="shared" si="14"/>
        <v>0.10746156541211994</v>
      </c>
      <c r="U145">
        <f t="shared" si="11"/>
        <v>343.20537453495803</v>
      </c>
      <c r="AQ145" s="7"/>
      <c r="AR145" s="4" t="s">
        <v>121</v>
      </c>
      <c r="AS145">
        <v>192</v>
      </c>
      <c r="AT145" s="4">
        <v>615</v>
      </c>
      <c r="AU145" s="4">
        <v>162</v>
      </c>
      <c r="AV145">
        <v>255</v>
      </c>
      <c r="AW145">
        <v>364</v>
      </c>
      <c r="AX145">
        <v>420</v>
      </c>
      <c r="AY145">
        <v>157</v>
      </c>
      <c r="AZ145">
        <v>261</v>
      </c>
      <c r="BA145">
        <v>342</v>
      </c>
      <c r="BB145" s="4">
        <v>484</v>
      </c>
    </row>
    <row r="146" spans="5:54" x14ac:dyDescent="0.2">
      <c r="F146" t="s">
        <v>121</v>
      </c>
      <c r="H146">
        <v>91.25</v>
      </c>
      <c r="I146">
        <v>30</v>
      </c>
      <c r="J146">
        <v>0</v>
      </c>
      <c r="K146">
        <v>0</v>
      </c>
      <c r="L146">
        <v>0</v>
      </c>
      <c r="N146">
        <v>260</v>
      </c>
      <c r="P146">
        <v>0.4</v>
      </c>
      <c r="Q146">
        <f t="shared" si="16"/>
        <v>1</v>
      </c>
      <c r="S146">
        <f t="shared" si="13"/>
        <v>5.3621886096000004</v>
      </c>
      <c r="T146">
        <f t="shared" si="14"/>
        <v>0.11099730421872001</v>
      </c>
      <c r="U146">
        <f t="shared" si="11"/>
        <v>303.85512029874604</v>
      </c>
    </row>
    <row r="147" spans="5:54" x14ac:dyDescent="0.2">
      <c r="E147" t="s">
        <v>176</v>
      </c>
      <c r="F147" t="s">
        <v>117</v>
      </c>
      <c r="H147">
        <v>91.25</v>
      </c>
      <c r="I147">
        <v>30</v>
      </c>
      <c r="J147">
        <v>0</v>
      </c>
      <c r="K147">
        <v>0</v>
      </c>
      <c r="L147">
        <v>0</v>
      </c>
      <c r="N147">
        <v>380</v>
      </c>
      <c r="P147">
        <v>0.4</v>
      </c>
      <c r="Q147">
        <f t="shared" si="16"/>
        <v>1</v>
      </c>
      <c r="S147">
        <f t="shared" si="13"/>
        <v>7.0796437775999967</v>
      </c>
      <c r="T147">
        <f t="shared" si="14"/>
        <v>0.14654862619631992</v>
      </c>
      <c r="U147">
        <f t="shared" si="11"/>
        <v>401.17686421242576</v>
      </c>
    </row>
    <row r="148" spans="5:54" x14ac:dyDescent="0.2">
      <c r="E148" t="s">
        <v>239</v>
      </c>
      <c r="F148" t="s">
        <v>119</v>
      </c>
      <c r="H148">
        <v>91.25</v>
      </c>
      <c r="I148">
        <v>35</v>
      </c>
      <c r="J148">
        <v>0</v>
      </c>
      <c r="K148">
        <v>0</v>
      </c>
      <c r="L148">
        <v>0</v>
      </c>
      <c r="N148">
        <v>420</v>
      </c>
      <c r="P148">
        <v>0.4</v>
      </c>
      <c r="Q148">
        <f t="shared" si="16"/>
        <v>1</v>
      </c>
      <c r="S148">
        <f t="shared" si="13"/>
        <v>7.6129639056</v>
      </c>
      <c r="T148">
        <f t="shared" si="14"/>
        <v>0.15758835284591999</v>
      </c>
      <c r="U148">
        <f t="shared" si="11"/>
        <v>503.29780190165695</v>
      </c>
    </row>
    <row r="149" spans="5:54" x14ac:dyDescent="0.2">
      <c r="F149" t="s">
        <v>120</v>
      </c>
      <c r="H149">
        <v>91.25</v>
      </c>
      <c r="I149">
        <v>20</v>
      </c>
      <c r="J149">
        <v>0</v>
      </c>
      <c r="K149">
        <v>0</v>
      </c>
      <c r="L149">
        <v>0</v>
      </c>
      <c r="N149">
        <v>450</v>
      </c>
      <c r="P149">
        <v>0.3</v>
      </c>
      <c r="Q149">
        <f t="shared" si="16"/>
        <v>1</v>
      </c>
      <c r="S149">
        <f t="shared" si="13"/>
        <v>7.8176159999999992</v>
      </c>
      <c r="T149">
        <f t="shared" si="14"/>
        <v>0.16182465119999997</v>
      </c>
      <c r="U149">
        <f t="shared" si="11"/>
        <v>295.32998843999997</v>
      </c>
    </row>
    <row r="150" spans="5:54" x14ac:dyDescent="0.2">
      <c r="F150" t="s">
        <v>121</v>
      </c>
      <c r="H150">
        <v>91.25</v>
      </c>
      <c r="I150">
        <v>0</v>
      </c>
      <c r="J150">
        <v>0</v>
      </c>
      <c r="K150">
        <v>0</v>
      </c>
      <c r="L150">
        <v>0</v>
      </c>
      <c r="N150">
        <v>460</v>
      </c>
      <c r="P150">
        <v>0.1</v>
      </c>
      <c r="Q150">
        <f t="shared" si="16"/>
        <v>1</v>
      </c>
      <c r="S150">
        <f t="shared" si="13"/>
        <v>7.5885924675999998</v>
      </c>
      <c r="T150">
        <f t="shared" si="14"/>
        <v>0.15708386407931998</v>
      </c>
      <c r="U150">
        <f t="shared" si="11"/>
        <v>0</v>
      </c>
    </row>
    <row r="161" spans="1:22" x14ac:dyDescent="0.2">
      <c r="A161" t="s">
        <v>133</v>
      </c>
      <c r="B161" t="s">
        <v>232</v>
      </c>
      <c r="C161" t="s">
        <v>133</v>
      </c>
      <c r="D161" t="s">
        <v>133</v>
      </c>
      <c r="E161" t="s">
        <v>116</v>
      </c>
      <c r="F161" t="s">
        <v>117</v>
      </c>
      <c r="H161">
        <v>91.25</v>
      </c>
      <c r="I161">
        <v>50</v>
      </c>
      <c r="J161">
        <v>0</v>
      </c>
      <c r="K161">
        <v>0</v>
      </c>
      <c r="L161">
        <v>0</v>
      </c>
      <c r="N161" s="32" cm="1">
        <f t="array" ref="N161:N200">_xlfn.DROP(_xlfn.XLOOKUP($C161,TableW[[#Headers],[ACT/NSW]:[QLD - Low]],TableW[[#All],[ACT/NSW]:[QLD - Low]]),1)</f>
        <v>250</v>
      </c>
      <c r="P161" cm="1">
        <f t="array" ref="P161:P200">_xlfn.DROP(_xlfn.XLOOKUP($C161,TableLWG[[#Headers],[ACT/NSW]:[QLD - Low]],TableLWG[[#All],[ACT/NSW]:[QLD - Low]]),1)</f>
        <v>0.99</v>
      </c>
      <c r="Q161">
        <f>(J161 * $AD$4 + K161*$AD$5) + (1 - J161 )</f>
        <v>1</v>
      </c>
      <c r="S161">
        <f>(1.185 + 0.00454 * N161- 0.0000026 * N161^2 + 0.315 * P161 )^2 * Q161</f>
        <v>6.097689422500002</v>
      </c>
      <c r="T161">
        <f>20.7 * S161 * 10^-3</f>
        <v>0.12622217104575004</v>
      </c>
      <c r="U161">
        <f t="shared" ref="U161:U200" si="17">H161*T161*I161</f>
        <v>575.88865539623453</v>
      </c>
      <c r="V161">
        <f>SUM(U161:U200)/1000</f>
        <v>44.850616431779741</v>
      </c>
    </row>
    <row r="162" spans="1:22" x14ac:dyDescent="0.2">
      <c r="E162">
        <v>1</v>
      </c>
      <c r="F162" t="s">
        <v>119</v>
      </c>
      <c r="H162">
        <v>91.25</v>
      </c>
      <c r="I162">
        <v>100</v>
      </c>
      <c r="J162">
        <v>0</v>
      </c>
      <c r="K162">
        <v>0</v>
      </c>
      <c r="L162">
        <v>0</v>
      </c>
      <c r="N162">
        <v>320</v>
      </c>
      <c r="P162">
        <v>0.77</v>
      </c>
      <c r="Q162">
        <f t="shared" ref="Q162:Q172" si="18">(J162 * $AD$4 + K162*$AD$5) + (1 - J162 )</f>
        <v>1</v>
      </c>
      <c r="S162">
        <f t="shared" ref="S162:S200" si="19">(1.185 + 0.00454 * N162- 0.0000026 * N162^2 + 0.315 * P162 )^2 * Q162</f>
        <v>6.8335710920999988</v>
      </c>
      <c r="T162">
        <f t="shared" ref="T162:T200" si="20">20.7 * S162 * 10^-3</f>
        <v>0.14145492160647</v>
      </c>
      <c r="U162">
        <f t="shared" si="17"/>
        <v>1290.7761596590387</v>
      </c>
    </row>
    <row r="163" spans="1:22" x14ac:dyDescent="0.2">
      <c r="F163" t="s">
        <v>120</v>
      </c>
      <c r="H163">
        <v>91.25</v>
      </c>
      <c r="I163">
        <v>80</v>
      </c>
      <c r="J163">
        <v>0</v>
      </c>
      <c r="K163">
        <v>0</v>
      </c>
      <c r="L163">
        <v>0</v>
      </c>
      <c r="N163">
        <v>80</v>
      </c>
      <c r="P163">
        <v>0.9</v>
      </c>
      <c r="Q163">
        <f t="shared" si="18"/>
        <v>1</v>
      </c>
      <c r="S163">
        <f t="shared" si="19"/>
        <v>3.2944428036000004</v>
      </c>
      <c r="T163">
        <f t="shared" si="20"/>
        <v>6.8194966034520008E-2</v>
      </c>
      <c r="U163">
        <f t="shared" si="17"/>
        <v>497.82325205199606</v>
      </c>
    </row>
    <row r="164" spans="1:22" x14ac:dyDescent="0.2">
      <c r="F164" t="s">
        <v>121</v>
      </c>
      <c r="H164">
        <v>91.25</v>
      </c>
      <c r="I164">
        <v>70</v>
      </c>
      <c r="J164">
        <v>0</v>
      </c>
      <c r="K164">
        <v>0</v>
      </c>
      <c r="L164">
        <v>0</v>
      </c>
      <c r="N164">
        <v>160</v>
      </c>
      <c r="P164">
        <v>0.88</v>
      </c>
      <c r="Q164">
        <f t="shared" si="18"/>
        <v>1</v>
      </c>
      <c r="S164">
        <f t="shared" si="19"/>
        <v>4.5030537616000004</v>
      </c>
      <c r="T164">
        <f t="shared" si="20"/>
        <v>9.3213212865120007E-2</v>
      </c>
      <c r="U164">
        <f t="shared" si="17"/>
        <v>595.39939717595405</v>
      </c>
    </row>
    <row r="165" spans="1:22" x14ac:dyDescent="0.2">
      <c r="E165" t="s">
        <v>122</v>
      </c>
      <c r="F165" t="s">
        <v>117</v>
      </c>
      <c r="H165">
        <v>91.25</v>
      </c>
      <c r="I165">
        <v>20</v>
      </c>
      <c r="J165">
        <v>0</v>
      </c>
      <c r="K165">
        <v>0</v>
      </c>
      <c r="L165">
        <v>0</v>
      </c>
      <c r="N165">
        <v>800</v>
      </c>
      <c r="P165">
        <v>1.1000000000000001</v>
      </c>
      <c r="Q165">
        <f t="shared" si="18"/>
        <v>1</v>
      </c>
      <c r="S165">
        <f t="shared" si="19"/>
        <v>12.246500250000002</v>
      </c>
      <c r="T165">
        <f t="shared" si="20"/>
        <v>0.25350255517500003</v>
      </c>
      <c r="U165">
        <f t="shared" si="17"/>
        <v>462.64216319437509</v>
      </c>
    </row>
    <row r="166" spans="1:22" x14ac:dyDescent="0.2">
      <c r="E166">
        <v>2</v>
      </c>
      <c r="F166" t="s">
        <v>119</v>
      </c>
      <c r="H166">
        <v>91.25</v>
      </c>
      <c r="I166">
        <v>80</v>
      </c>
      <c r="J166">
        <v>0</v>
      </c>
      <c r="K166">
        <v>0</v>
      </c>
      <c r="L166">
        <v>0</v>
      </c>
      <c r="N166">
        <v>800</v>
      </c>
      <c r="P166">
        <v>0</v>
      </c>
      <c r="Q166">
        <f t="shared" si="18"/>
        <v>1</v>
      </c>
      <c r="S166">
        <f t="shared" si="19"/>
        <v>9.9414090000000002</v>
      </c>
      <c r="T166">
        <f t="shared" si="20"/>
        <v>0.20578716629999999</v>
      </c>
      <c r="U166">
        <f t="shared" si="17"/>
        <v>1502.2463139900001</v>
      </c>
    </row>
    <row r="167" spans="1:22" x14ac:dyDescent="0.2">
      <c r="F167" t="s">
        <v>120</v>
      </c>
      <c r="H167">
        <v>91.25</v>
      </c>
      <c r="I167">
        <v>70</v>
      </c>
      <c r="J167">
        <v>0</v>
      </c>
      <c r="K167">
        <v>0</v>
      </c>
      <c r="L167">
        <v>0</v>
      </c>
      <c r="N167">
        <v>700</v>
      </c>
      <c r="P167">
        <v>-1.1000000000000001</v>
      </c>
      <c r="Q167">
        <f t="shared" si="18"/>
        <v>1</v>
      </c>
      <c r="S167">
        <f t="shared" si="19"/>
        <v>7.5213062499999985</v>
      </c>
      <c r="T167">
        <f t="shared" si="20"/>
        <v>0.15569103937499998</v>
      </c>
      <c r="U167">
        <f t="shared" si="17"/>
        <v>994.4765140078124</v>
      </c>
    </row>
    <row r="168" spans="1:22" x14ac:dyDescent="0.2">
      <c r="F168" t="s">
        <v>121</v>
      </c>
      <c r="H168">
        <v>91.25</v>
      </c>
      <c r="I168">
        <v>70</v>
      </c>
      <c r="J168">
        <v>0</v>
      </c>
      <c r="K168">
        <v>0</v>
      </c>
      <c r="L168">
        <v>0</v>
      </c>
      <c r="N168">
        <v>700</v>
      </c>
      <c r="P168">
        <v>0</v>
      </c>
      <c r="Q168">
        <f t="shared" si="18"/>
        <v>1</v>
      </c>
      <c r="S168">
        <f t="shared" si="19"/>
        <v>9.5419209999999968</v>
      </c>
      <c r="T168">
        <f t="shared" si="20"/>
        <v>0.19751776469999993</v>
      </c>
      <c r="U168">
        <f t="shared" si="17"/>
        <v>1261.6447220212497</v>
      </c>
    </row>
    <row r="169" spans="1:22" x14ac:dyDescent="0.2">
      <c r="E169" t="s">
        <v>146</v>
      </c>
      <c r="F169" t="s">
        <v>117</v>
      </c>
      <c r="H169">
        <v>91.25</v>
      </c>
      <c r="I169">
        <v>100</v>
      </c>
      <c r="J169">
        <v>0</v>
      </c>
      <c r="K169">
        <v>0</v>
      </c>
      <c r="L169">
        <v>0</v>
      </c>
      <c r="N169">
        <v>400</v>
      </c>
      <c r="P169">
        <v>0.55000000000000004</v>
      </c>
      <c r="Q169">
        <f t="shared" si="18"/>
        <v>1</v>
      </c>
      <c r="S169">
        <f t="shared" si="19"/>
        <v>7.6079430624999995</v>
      </c>
      <c r="T169">
        <f t="shared" si="20"/>
        <v>0.15748442139374999</v>
      </c>
      <c r="U169">
        <f t="shared" si="17"/>
        <v>1437.0453452179686</v>
      </c>
    </row>
    <row r="170" spans="1:22" x14ac:dyDescent="0.2">
      <c r="E170">
        <v>4</v>
      </c>
      <c r="F170" t="s">
        <v>119</v>
      </c>
      <c r="H170">
        <v>91.25</v>
      </c>
      <c r="I170">
        <v>180</v>
      </c>
      <c r="J170">
        <v>0</v>
      </c>
      <c r="K170">
        <v>0</v>
      </c>
      <c r="L170">
        <v>0</v>
      </c>
      <c r="N170">
        <v>420</v>
      </c>
      <c r="P170">
        <v>0.22</v>
      </c>
      <c r="Q170">
        <f t="shared" si="18"/>
        <v>1</v>
      </c>
      <c r="S170">
        <f t="shared" si="19"/>
        <v>7.3032900516000012</v>
      </c>
      <c r="T170">
        <f t="shared" si="20"/>
        <v>0.15117810406812002</v>
      </c>
      <c r="U170">
        <f t="shared" si="17"/>
        <v>2483.1003593188711</v>
      </c>
    </row>
    <row r="171" spans="1:22" x14ac:dyDescent="0.2">
      <c r="F171" t="s">
        <v>120</v>
      </c>
      <c r="H171">
        <v>91.25</v>
      </c>
      <c r="I171">
        <v>170</v>
      </c>
      <c r="J171">
        <v>0</v>
      </c>
      <c r="K171">
        <v>0</v>
      </c>
      <c r="L171">
        <v>0</v>
      </c>
      <c r="N171">
        <v>300</v>
      </c>
      <c r="P171">
        <v>0.22</v>
      </c>
      <c r="Q171">
        <f t="shared" si="18"/>
        <v>1</v>
      </c>
      <c r="S171">
        <f t="shared" si="19"/>
        <v>5.6753532899999994</v>
      </c>
      <c r="T171">
        <f t="shared" si="20"/>
        <v>0.11747981310299999</v>
      </c>
      <c r="U171">
        <f t="shared" si="17"/>
        <v>1822.4056007602871</v>
      </c>
    </row>
    <row r="172" spans="1:22" x14ac:dyDescent="0.2">
      <c r="F172" t="s">
        <v>121</v>
      </c>
      <c r="H172">
        <v>91.25</v>
      </c>
      <c r="I172">
        <v>160</v>
      </c>
      <c r="J172">
        <v>0</v>
      </c>
      <c r="K172">
        <v>0</v>
      </c>
      <c r="L172">
        <v>0</v>
      </c>
      <c r="N172">
        <v>350</v>
      </c>
      <c r="P172">
        <v>0.55000000000000004</v>
      </c>
      <c r="Q172">
        <f t="shared" si="18"/>
        <v>1</v>
      </c>
      <c r="S172">
        <f t="shared" si="19"/>
        <v>6.9103265624999981</v>
      </c>
      <c r="T172">
        <f t="shared" si="20"/>
        <v>0.14304375984374998</v>
      </c>
      <c r="U172">
        <f t="shared" si="17"/>
        <v>2088.4388937187496</v>
      </c>
    </row>
    <row r="173" spans="1:22" x14ac:dyDescent="0.2">
      <c r="E173" t="s">
        <v>152</v>
      </c>
      <c r="F173" t="s">
        <v>117</v>
      </c>
      <c r="H173">
        <v>91.25</v>
      </c>
      <c r="I173">
        <v>150</v>
      </c>
      <c r="J173">
        <v>0.7</v>
      </c>
      <c r="K173">
        <v>0.05</v>
      </c>
      <c r="L173">
        <f>$AC$12</f>
        <v>1.3</v>
      </c>
      <c r="N173">
        <v>500</v>
      </c>
      <c r="P173">
        <v>0.55000000000000004</v>
      </c>
      <c r="Q173">
        <f>(J173 * $AD$4 +K173* $AD$5) + (1 -J173 - K173 )</f>
        <v>1.2150000000000001</v>
      </c>
      <c r="S173">
        <f t="shared" si="19"/>
        <v>10.777017270937501</v>
      </c>
      <c r="T173">
        <f t="shared" si="20"/>
        <v>0.22308425750840627</v>
      </c>
      <c r="U173">
        <f t="shared" si="17"/>
        <v>3053.4657746463104</v>
      </c>
    </row>
    <row r="174" spans="1:22" x14ac:dyDescent="0.2">
      <c r="E174" t="s">
        <v>235</v>
      </c>
      <c r="F174" t="s">
        <v>119</v>
      </c>
      <c r="H174">
        <v>91.25</v>
      </c>
      <c r="I174">
        <v>250</v>
      </c>
      <c r="J174">
        <v>0</v>
      </c>
      <c r="K174">
        <v>0.71</v>
      </c>
      <c r="L174">
        <f>$AC$13</f>
        <v>1.1000000000000001</v>
      </c>
      <c r="N174">
        <v>500</v>
      </c>
      <c r="P174">
        <v>0</v>
      </c>
      <c r="Q174">
        <f t="shared" ref="Q174:Q186" si="21">(J174 * $AD$4 +K174* $AD$5) + (1 -J174 - K174 )</f>
        <v>1.0710000000000002</v>
      </c>
      <c r="S174">
        <f t="shared" si="19"/>
        <v>8.4266547750000029</v>
      </c>
      <c r="T174">
        <f t="shared" si="20"/>
        <v>0.17443175384250006</v>
      </c>
      <c r="U174">
        <f t="shared" si="17"/>
        <v>3979.2243845320327</v>
      </c>
    </row>
    <row r="175" spans="1:22" x14ac:dyDescent="0.2">
      <c r="F175" t="s">
        <v>120</v>
      </c>
      <c r="H175">
        <v>91.25</v>
      </c>
      <c r="I175">
        <v>230</v>
      </c>
      <c r="J175">
        <v>0</v>
      </c>
      <c r="K175">
        <v>0</v>
      </c>
      <c r="L175">
        <f>$AC$14</f>
        <v>0</v>
      </c>
      <c r="N175">
        <v>450</v>
      </c>
      <c r="P175">
        <v>-0.55000000000000004</v>
      </c>
      <c r="Q175">
        <f t="shared" si="21"/>
        <v>1</v>
      </c>
      <c r="S175">
        <f t="shared" si="19"/>
        <v>6.3920480624999998</v>
      </c>
      <c r="T175">
        <f t="shared" si="20"/>
        <v>0.13231539489374999</v>
      </c>
      <c r="U175">
        <f t="shared" si="17"/>
        <v>2776.969350332578</v>
      </c>
    </row>
    <row r="176" spans="1:22" x14ac:dyDescent="0.2">
      <c r="F176" t="s">
        <v>121</v>
      </c>
      <c r="H176">
        <v>91.25</v>
      </c>
      <c r="I176">
        <v>200</v>
      </c>
      <c r="J176">
        <v>0.1</v>
      </c>
      <c r="K176">
        <v>0</v>
      </c>
      <c r="L176">
        <f>$AC$14</f>
        <v>0</v>
      </c>
      <c r="N176">
        <v>450</v>
      </c>
      <c r="P176">
        <v>0</v>
      </c>
      <c r="Q176">
        <f t="shared" si="21"/>
        <v>1.03</v>
      </c>
      <c r="S176">
        <f t="shared" si="19"/>
        <v>7.5170453174999992</v>
      </c>
      <c r="T176">
        <f t="shared" si="20"/>
        <v>0.15560283807224998</v>
      </c>
      <c r="U176">
        <f t="shared" si="17"/>
        <v>2839.7517948185618</v>
      </c>
    </row>
    <row r="177" spans="5:21" x14ac:dyDescent="0.2">
      <c r="E177" t="s">
        <v>141</v>
      </c>
      <c r="F177" t="s">
        <v>117</v>
      </c>
      <c r="H177">
        <v>91.25</v>
      </c>
      <c r="I177">
        <v>100</v>
      </c>
      <c r="J177">
        <v>0</v>
      </c>
      <c r="K177">
        <v>0</v>
      </c>
      <c r="L177">
        <v>0</v>
      </c>
      <c r="N177">
        <v>220</v>
      </c>
      <c r="P177">
        <v>0.88</v>
      </c>
      <c r="Q177">
        <f t="shared" si="21"/>
        <v>1</v>
      </c>
      <c r="S177">
        <f t="shared" si="19"/>
        <v>5.4529722255999982</v>
      </c>
      <c r="T177">
        <f t="shared" si="20"/>
        <v>0.11287652506991996</v>
      </c>
      <c r="U177">
        <f t="shared" si="17"/>
        <v>1029.9982912630196</v>
      </c>
    </row>
    <row r="178" spans="5:21" x14ac:dyDescent="0.2">
      <c r="E178">
        <v>3</v>
      </c>
      <c r="F178" t="s">
        <v>119</v>
      </c>
      <c r="H178">
        <v>91.25</v>
      </c>
      <c r="I178">
        <v>190</v>
      </c>
      <c r="J178">
        <v>0</v>
      </c>
      <c r="K178">
        <v>0</v>
      </c>
      <c r="L178">
        <v>0</v>
      </c>
      <c r="N178">
        <v>280</v>
      </c>
      <c r="P178">
        <v>0.66</v>
      </c>
      <c r="Q178">
        <f t="shared" si="21"/>
        <v>1</v>
      </c>
      <c r="S178">
        <f t="shared" si="19"/>
        <v>6.0528792675999998</v>
      </c>
      <c r="T178">
        <f t="shared" si="20"/>
        <v>0.12529460083932001</v>
      </c>
      <c r="U178">
        <f t="shared" si="17"/>
        <v>2172.2951420517106</v>
      </c>
    </row>
    <row r="179" spans="5:21" x14ac:dyDescent="0.2">
      <c r="F179" t="s">
        <v>120</v>
      </c>
      <c r="H179">
        <v>91.25</v>
      </c>
      <c r="I179">
        <v>195</v>
      </c>
      <c r="J179">
        <v>0</v>
      </c>
      <c r="K179">
        <v>0</v>
      </c>
      <c r="L179">
        <v>0</v>
      </c>
      <c r="N179">
        <v>70</v>
      </c>
      <c r="P179">
        <v>0.7</v>
      </c>
      <c r="Q179">
        <f t="shared" si="21"/>
        <v>1</v>
      </c>
      <c r="S179">
        <f t="shared" si="19"/>
        <v>2.9260155136000003</v>
      </c>
      <c r="T179">
        <f t="shared" si="20"/>
        <v>6.056852113152001E-2</v>
      </c>
      <c r="U179">
        <f t="shared" si="17"/>
        <v>1077.7411228839842</v>
      </c>
    </row>
    <row r="180" spans="5:21" x14ac:dyDescent="0.2">
      <c r="F180" t="s">
        <v>121</v>
      </c>
      <c r="H180">
        <v>91.25</v>
      </c>
      <c r="I180">
        <v>200</v>
      </c>
      <c r="J180">
        <v>0</v>
      </c>
      <c r="K180">
        <v>0</v>
      </c>
      <c r="L180">
        <v>0</v>
      </c>
      <c r="N180">
        <v>140</v>
      </c>
      <c r="P180">
        <v>0.77</v>
      </c>
      <c r="Q180">
        <f t="shared" si="21"/>
        <v>1</v>
      </c>
      <c r="S180">
        <f t="shared" si="19"/>
        <v>4.0489085960999995</v>
      </c>
      <c r="T180">
        <f t="shared" si="20"/>
        <v>8.3812407939269987E-2</v>
      </c>
      <c r="U180">
        <f t="shared" si="17"/>
        <v>1529.5764448916773</v>
      </c>
    </row>
    <row r="181" spans="5:21" x14ac:dyDescent="0.2">
      <c r="E181" t="s">
        <v>156</v>
      </c>
      <c r="F181" t="s">
        <v>117</v>
      </c>
      <c r="H181">
        <v>91.25</v>
      </c>
      <c r="I181">
        <v>50</v>
      </c>
      <c r="J181">
        <v>0.9</v>
      </c>
      <c r="K181">
        <v>0.05</v>
      </c>
      <c r="L181">
        <f>$AC$12</f>
        <v>1.3</v>
      </c>
      <c r="N181">
        <v>500</v>
      </c>
      <c r="P181">
        <v>0.55000000000000004</v>
      </c>
      <c r="Q181">
        <f t="shared" si="21"/>
        <v>1.2750000000000001</v>
      </c>
      <c r="S181">
        <f t="shared" si="19"/>
        <v>11.309215654687501</v>
      </c>
      <c r="T181">
        <f t="shared" si="20"/>
        <v>0.23410076405203126</v>
      </c>
      <c r="U181">
        <f t="shared" si="17"/>
        <v>1068.0847359873926</v>
      </c>
    </row>
    <row r="182" spans="5:21" x14ac:dyDescent="0.2">
      <c r="E182" t="s">
        <v>236</v>
      </c>
      <c r="F182" t="s">
        <v>119</v>
      </c>
      <c r="H182">
        <v>91.25</v>
      </c>
      <c r="I182">
        <v>100</v>
      </c>
      <c r="J182">
        <v>0</v>
      </c>
      <c r="K182">
        <v>0.9</v>
      </c>
      <c r="L182">
        <f>$AC$13</f>
        <v>1.1000000000000001</v>
      </c>
      <c r="N182">
        <v>500</v>
      </c>
      <c r="P182">
        <v>0</v>
      </c>
      <c r="Q182">
        <f t="shared" si="21"/>
        <v>1.0900000000000001</v>
      </c>
      <c r="S182">
        <f t="shared" si="19"/>
        <v>8.5761472500000018</v>
      </c>
      <c r="T182">
        <f t="shared" si="20"/>
        <v>0.17752624807500003</v>
      </c>
      <c r="U182">
        <f t="shared" si="17"/>
        <v>1619.9270136843754</v>
      </c>
    </row>
    <row r="183" spans="5:21" x14ac:dyDescent="0.2">
      <c r="F183" t="s">
        <v>120</v>
      </c>
      <c r="H183">
        <v>91.25</v>
      </c>
      <c r="I183">
        <v>90</v>
      </c>
      <c r="J183">
        <v>0</v>
      </c>
      <c r="K183">
        <v>0</v>
      </c>
      <c r="L183">
        <f>$AC$14</f>
        <v>0</v>
      </c>
      <c r="N183">
        <v>450</v>
      </c>
      <c r="P183">
        <v>-0.55000000000000004</v>
      </c>
      <c r="Q183">
        <f t="shared" si="21"/>
        <v>1</v>
      </c>
      <c r="S183">
        <f t="shared" si="19"/>
        <v>6.3920480624999998</v>
      </c>
      <c r="T183">
        <f t="shared" si="20"/>
        <v>0.13231539489374999</v>
      </c>
      <c r="U183">
        <f t="shared" si="17"/>
        <v>1086.6401805649218</v>
      </c>
    </row>
    <row r="184" spans="5:21" x14ac:dyDescent="0.2">
      <c r="F184" t="s">
        <v>121</v>
      </c>
      <c r="H184">
        <v>91.25</v>
      </c>
      <c r="I184">
        <v>80</v>
      </c>
      <c r="J184">
        <v>0</v>
      </c>
      <c r="K184">
        <v>0</v>
      </c>
      <c r="L184">
        <f>$AC$14</f>
        <v>0</v>
      </c>
      <c r="N184">
        <v>450</v>
      </c>
      <c r="P184">
        <v>0</v>
      </c>
      <c r="Q184">
        <f t="shared" si="21"/>
        <v>1</v>
      </c>
      <c r="S184">
        <f t="shared" si="19"/>
        <v>7.2981022499999986</v>
      </c>
      <c r="T184">
        <f t="shared" si="20"/>
        <v>0.15107071657499999</v>
      </c>
      <c r="U184">
        <f t="shared" si="17"/>
        <v>1102.8162309975</v>
      </c>
    </row>
    <row r="185" spans="5:21" x14ac:dyDescent="0.2">
      <c r="E185" t="s">
        <v>169</v>
      </c>
      <c r="F185" t="s">
        <v>117</v>
      </c>
      <c r="H185">
        <v>91.25</v>
      </c>
      <c r="I185">
        <v>30</v>
      </c>
      <c r="J185">
        <v>0</v>
      </c>
      <c r="K185">
        <v>0</v>
      </c>
      <c r="L185">
        <v>0</v>
      </c>
      <c r="N185">
        <v>420</v>
      </c>
      <c r="P185">
        <v>0.22</v>
      </c>
      <c r="Q185">
        <f t="shared" si="21"/>
        <v>1</v>
      </c>
      <c r="S185">
        <f t="shared" si="19"/>
        <v>7.3032900516000012</v>
      </c>
      <c r="T185">
        <f t="shared" si="20"/>
        <v>0.15117810406812002</v>
      </c>
      <c r="U185">
        <f t="shared" si="17"/>
        <v>413.85005988647856</v>
      </c>
    </row>
    <row r="186" spans="5:21" x14ac:dyDescent="0.2">
      <c r="E186" t="s">
        <v>237</v>
      </c>
      <c r="F186" t="s">
        <v>119</v>
      </c>
      <c r="H186">
        <v>91.25</v>
      </c>
      <c r="I186">
        <v>70</v>
      </c>
      <c r="J186">
        <v>0</v>
      </c>
      <c r="K186">
        <v>0</v>
      </c>
      <c r="L186">
        <v>0</v>
      </c>
      <c r="N186">
        <v>420</v>
      </c>
      <c r="P186">
        <v>0</v>
      </c>
      <c r="Q186">
        <f t="shared" si="21"/>
        <v>1</v>
      </c>
      <c r="S186">
        <f t="shared" si="19"/>
        <v>6.9335315856000008</v>
      </c>
      <c r="T186">
        <f t="shared" si="20"/>
        <v>0.14352410382192002</v>
      </c>
      <c r="U186">
        <f t="shared" si="17"/>
        <v>916.76021316251411</v>
      </c>
    </row>
    <row r="187" spans="5:21" x14ac:dyDescent="0.2">
      <c r="F187" t="s">
        <v>120</v>
      </c>
      <c r="H187">
        <v>91.25</v>
      </c>
      <c r="I187">
        <v>40</v>
      </c>
      <c r="J187">
        <v>0</v>
      </c>
      <c r="K187">
        <v>0</v>
      </c>
      <c r="L187">
        <v>0</v>
      </c>
      <c r="N187">
        <v>400</v>
      </c>
      <c r="P187">
        <v>-0.22</v>
      </c>
      <c r="Q187">
        <f t="shared" ref="Q187:Q200" si="22">(J187 * $AD$4 + K187*$AD$5) + (1 - J187 )</f>
        <v>1</v>
      </c>
      <c r="S187">
        <f t="shared" si="19"/>
        <v>6.3287464899999994</v>
      </c>
      <c r="T187">
        <f t="shared" si="20"/>
        <v>0.131005052343</v>
      </c>
      <c r="U187">
        <f t="shared" si="17"/>
        <v>478.16844105195003</v>
      </c>
    </row>
    <row r="188" spans="5:21" x14ac:dyDescent="0.2">
      <c r="F188" t="s">
        <v>121</v>
      </c>
      <c r="H188">
        <v>91.25</v>
      </c>
      <c r="I188">
        <v>20</v>
      </c>
      <c r="J188">
        <v>0</v>
      </c>
      <c r="K188">
        <v>0</v>
      </c>
      <c r="L188">
        <v>0</v>
      </c>
      <c r="N188">
        <v>400</v>
      </c>
      <c r="P188">
        <v>0</v>
      </c>
      <c r="Q188">
        <f t="shared" si="22"/>
        <v>1</v>
      </c>
      <c r="S188">
        <f t="shared" si="19"/>
        <v>6.6822249999999999</v>
      </c>
      <c r="T188">
        <f t="shared" si="20"/>
        <v>0.13832205750000001</v>
      </c>
      <c r="U188">
        <f t="shared" si="17"/>
        <v>252.43775493750005</v>
      </c>
    </row>
    <row r="189" spans="5:21" x14ac:dyDescent="0.2">
      <c r="E189" t="s">
        <v>171</v>
      </c>
      <c r="F189" t="s">
        <v>117</v>
      </c>
      <c r="H189">
        <v>91.25</v>
      </c>
      <c r="I189">
        <v>30</v>
      </c>
      <c r="J189">
        <v>0</v>
      </c>
      <c r="K189">
        <v>0</v>
      </c>
      <c r="L189">
        <v>0</v>
      </c>
      <c r="N189">
        <v>420</v>
      </c>
      <c r="P189">
        <v>0.22</v>
      </c>
      <c r="Q189">
        <f t="shared" si="22"/>
        <v>1</v>
      </c>
      <c r="S189">
        <f t="shared" si="19"/>
        <v>7.3032900516000012</v>
      </c>
      <c r="T189">
        <f t="shared" si="20"/>
        <v>0.15117810406812002</v>
      </c>
      <c r="U189">
        <f t="shared" si="17"/>
        <v>413.85005988647856</v>
      </c>
    </row>
    <row r="190" spans="5:21" x14ac:dyDescent="0.2">
      <c r="E190" t="s">
        <v>238</v>
      </c>
      <c r="F190" t="s">
        <v>119</v>
      </c>
      <c r="H190">
        <v>91.25</v>
      </c>
      <c r="I190">
        <v>100</v>
      </c>
      <c r="J190">
        <v>0</v>
      </c>
      <c r="K190">
        <v>0</v>
      </c>
      <c r="L190">
        <v>0</v>
      </c>
      <c r="N190">
        <v>420</v>
      </c>
      <c r="P190">
        <v>0</v>
      </c>
      <c r="Q190">
        <f t="shared" si="22"/>
        <v>1</v>
      </c>
      <c r="S190">
        <f t="shared" si="19"/>
        <v>6.9335315856000008</v>
      </c>
      <c r="T190">
        <f t="shared" si="20"/>
        <v>0.14352410382192002</v>
      </c>
      <c r="U190">
        <f t="shared" si="17"/>
        <v>1309.6574473750202</v>
      </c>
    </row>
    <row r="191" spans="5:21" x14ac:dyDescent="0.2">
      <c r="F191" t="s">
        <v>120</v>
      </c>
      <c r="H191">
        <v>91.25</v>
      </c>
      <c r="I191">
        <v>40</v>
      </c>
      <c r="J191">
        <v>0</v>
      </c>
      <c r="K191">
        <v>0</v>
      </c>
      <c r="L191">
        <v>0</v>
      </c>
      <c r="N191">
        <v>400</v>
      </c>
      <c r="P191">
        <v>-0.22</v>
      </c>
      <c r="Q191">
        <f t="shared" si="22"/>
        <v>1</v>
      </c>
      <c r="S191">
        <f t="shared" si="19"/>
        <v>6.3287464899999994</v>
      </c>
      <c r="T191">
        <f t="shared" si="20"/>
        <v>0.131005052343</v>
      </c>
      <c r="U191">
        <f t="shared" si="17"/>
        <v>478.16844105195003</v>
      </c>
    </row>
    <row r="192" spans="5:21" x14ac:dyDescent="0.2">
      <c r="F192" t="s">
        <v>121</v>
      </c>
      <c r="H192">
        <v>91.25</v>
      </c>
      <c r="I192">
        <v>0</v>
      </c>
      <c r="J192">
        <v>0</v>
      </c>
      <c r="K192">
        <v>0</v>
      </c>
      <c r="L192">
        <v>0</v>
      </c>
      <c r="N192">
        <v>400</v>
      </c>
      <c r="P192">
        <v>0</v>
      </c>
      <c r="Q192">
        <f t="shared" si="22"/>
        <v>1</v>
      </c>
      <c r="S192">
        <f t="shared" si="19"/>
        <v>6.6822249999999999</v>
      </c>
      <c r="T192">
        <f t="shared" si="20"/>
        <v>0.13832205750000001</v>
      </c>
      <c r="U192">
        <f t="shared" si="17"/>
        <v>0</v>
      </c>
    </row>
    <row r="193" spans="5:21" x14ac:dyDescent="0.2">
      <c r="E193" t="s">
        <v>164</v>
      </c>
      <c r="F193" t="s">
        <v>117</v>
      </c>
      <c r="H193">
        <v>91.25</v>
      </c>
      <c r="I193">
        <v>20</v>
      </c>
      <c r="J193">
        <v>0</v>
      </c>
      <c r="K193">
        <v>0</v>
      </c>
      <c r="L193">
        <v>0</v>
      </c>
      <c r="N193">
        <v>230</v>
      </c>
      <c r="P193">
        <v>0.88</v>
      </c>
      <c r="Q193">
        <f t="shared" si="22"/>
        <v>1</v>
      </c>
      <c r="S193">
        <f t="shared" si="19"/>
        <v>5.611497699600001</v>
      </c>
      <c r="T193">
        <f t="shared" si="20"/>
        <v>0.11615800238172001</v>
      </c>
      <c r="U193">
        <f t="shared" si="17"/>
        <v>211.98835434663903</v>
      </c>
    </row>
    <row r="194" spans="5:21" x14ac:dyDescent="0.2">
      <c r="E194">
        <v>6</v>
      </c>
      <c r="F194" t="s">
        <v>119</v>
      </c>
      <c r="H194">
        <v>91.25</v>
      </c>
      <c r="I194">
        <v>40</v>
      </c>
      <c r="J194">
        <v>0</v>
      </c>
      <c r="K194">
        <v>0</v>
      </c>
      <c r="L194">
        <v>0</v>
      </c>
      <c r="N194">
        <v>290</v>
      </c>
      <c r="P194">
        <v>0.66</v>
      </c>
      <c r="Q194">
        <f t="shared" si="22"/>
        <v>1</v>
      </c>
      <c r="S194">
        <f t="shared" si="19"/>
        <v>6.2042839055999996</v>
      </c>
      <c r="T194">
        <f t="shared" si="20"/>
        <v>0.12842867684591999</v>
      </c>
      <c r="U194">
        <f t="shared" si="17"/>
        <v>468.76467048760793</v>
      </c>
    </row>
    <row r="195" spans="5:21" x14ac:dyDescent="0.2">
      <c r="F195" t="s">
        <v>120</v>
      </c>
      <c r="H195">
        <v>91.25</v>
      </c>
      <c r="I195">
        <v>35</v>
      </c>
      <c r="J195">
        <v>0</v>
      </c>
      <c r="K195">
        <v>0</v>
      </c>
      <c r="L195">
        <v>0</v>
      </c>
      <c r="N195">
        <v>75</v>
      </c>
      <c r="P195">
        <v>0.8</v>
      </c>
      <c r="Q195">
        <f t="shared" si="22"/>
        <v>1</v>
      </c>
      <c r="S195">
        <f t="shared" si="19"/>
        <v>3.107728265625</v>
      </c>
      <c r="T195">
        <f t="shared" si="20"/>
        <v>6.4329975098437506E-2</v>
      </c>
      <c r="U195">
        <f t="shared" si="17"/>
        <v>205.4538579706348</v>
      </c>
    </row>
    <row r="196" spans="5:21" x14ac:dyDescent="0.2">
      <c r="F196" t="s">
        <v>121</v>
      </c>
      <c r="H196">
        <v>91.25</v>
      </c>
      <c r="I196">
        <v>30</v>
      </c>
      <c r="J196">
        <v>0</v>
      </c>
      <c r="K196">
        <v>0</v>
      </c>
      <c r="L196">
        <v>0</v>
      </c>
      <c r="N196">
        <v>150</v>
      </c>
      <c r="P196">
        <v>0.82</v>
      </c>
      <c r="Q196">
        <f t="shared" si="22"/>
        <v>1</v>
      </c>
      <c r="S196">
        <f t="shared" si="19"/>
        <v>4.2675296400000011</v>
      </c>
      <c r="T196">
        <f t="shared" si="20"/>
        <v>8.8337863548000023E-2</v>
      </c>
      <c r="U196">
        <f t="shared" si="17"/>
        <v>241.82490146265008</v>
      </c>
    </row>
    <row r="197" spans="5:21" x14ac:dyDescent="0.2">
      <c r="E197" t="s">
        <v>176</v>
      </c>
      <c r="F197" t="s">
        <v>117</v>
      </c>
      <c r="H197">
        <v>91.25</v>
      </c>
      <c r="I197">
        <v>30</v>
      </c>
      <c r="J197">
        <v>0</v>
      </c>
      <c r="K197">
        <v>0</v>
      </c>
      <c r="L197">
        <v>0</v>
      </c>
      <c r="N197">
        <v>420</v>
      </c>
      <c r="P197">
        <v>0.22</v>
      </c>
      <c r="Q197">
        <f t="shared" si="22"/>
        <v>1</v>
      </c>
      <c r="S197">
        <f t="shared" si="19"/>
        <v>7.3032900516000012</v>
      </c>
      <c r="T197">
        <f t="shared" si="20"/>
        <v>0.15117810406812002</v>
      </c>
      <c r="U197">
        <f t="shared" si="17"/>
        <v>413.85005988647856</v>
      </c>
    </row>
    <row r="198" spans="5:21" x14ac:dyDescent="0.2">
      <c r="E198" t="s">
        <v>239</v>
      </c>
      <c r="F198" t="s">
        <v>119</v>
      </c>
      <c r="H198">
        <v>91.25</v>
      </c>
      <c r="I198">
        <v>35</v>
      </c>
      <c r="J198">
        <v>0</v>
      </c>
      <c r="K198">
        <v>0</v>
      </c>
      <c r="L198">
        <v>0</v>
      </c>
      <c r="N198">
        <v>420</v>
      </c>
      <c r="P198">
        <v>0</v>
      </c>
      <c r="Q198">
        <f t="shared" si="22"/>
        <v>1</v>
      </c>
      <c r="S198">
        <f t="shared" si="19"/>
        <v>6.9335315856000008</v>
      </c>
      <c r="T198">
        <f t="shared" si="20"/>
        <v>0.14352410382192002</v>
      </c>
      <c r="U198">
        <f t="shared" si="17"/>
        <v>458.38010658125705</v>
      </c>
    </row>
    <row r="199" spans="5:21" x14ac:dyDescent="0.2">
      <c r="F199" t="s">
        <v>120</v>
      </c>
      <c r="H199">
        <v>91.25</v>
      </c>
      <c r="I199">
        <v>20</v>
      </c>
      <c r="J199">
        <v>0</v>
      </c>
      <c r="K199">
        <v>0</v>
      </c>
      <c r="L199">
        <v>0</v>
      </c>
      <c r="N199">
        <v>400</v>
      </c>
      <c r="P199">
        <v>-0.22</v>
      </c>
      <c r="Q199">
        <f t="shared" si="22"/>
        <v>1</v>
      </c>
      <c r="S199">
        <f t="shared" si="19"/>
        <v>6.3287464899999994</v>
      </c>
      <c r="T199">
        <f t="shared" si="20"/>
        <v>0.131005052343</v>
      </c>
      <c r="U199">
        <f t="shared" si="17"/>
        <v>239.08422052597501</v>
      </c>
    </row>
    <row r="200" spans="5:21" x14ac:dyDescent="0.2">
      <c r="F200" t="s">
        <v>121</v>
      </c>
      <c r="H200">
        <v>91.25</v>
      </c>
      <c r="I200">
        <v>0</v>
      </c>
      <c r="J200">
        <v>0</v>
      </c>
      <c r="K200">
        <v>0</v>
      </c>
      <c r="L200">
        <v>0</v>
      </c>
      <c r="N200">
        <v>400</v>
      </c>
      <c r="P200">
        <v>0</v>
      </c>
      <c r="Q200">
        <f t="shared" si="22"/>
        <v>1</v>
      </c>
      <c r="S200">
        <f t="shared" si="19"/>
        <v>6.6822249999999999</v>
      </c>
      <c r="T200">
        <f t="shared" si="20"/>
        <v>0.13832205750000001</v>
      </c>
      <c r="U200">
        <f t="shared" si="17"/>
        <v>0</v>
      </c>
    </row>
    <row r="211" spans="1:22" x14ac:dyDescent="0.2">
      <c r="A211" t="s">
        <v>134</v>
      </c>
      <c r="B211" t="s">
        <v>232</v>
      </c>
      <c r="C211" t="s">
        <v>134</v>
      </c>
      <c r="D211" t="s">
        <v>134</v>
      </c>
      <c r="E211" t="s">
        <v>116</v>
      </c>
      <c r="F211" t="s">
        <v>117</v>
      </c>
      <c r="H211">
        <v>91.25</v>
      </c>
      <c r="I211">
        <v>50</v>
      </c>
      <c r="J211">
        <v>0</v>
      </c>
      <c r="K211">
        <v>0</v>
      </c>
      <c r="L211">
        <v>0</v>
      </c>
      <c r="N211" s="32" cm="1">
        <f t="array" ref="N211:N250">_xlfn.DROP(_xlfn.XLOOKUP($C211,TableW[[#Headers],[ACT/NSW]:[QLD - Low]],TableW[[#All],[ACT/NSW]:[QLD - Low]]),1)</f>
        <v>105</v>
      </c>
      <c r="P211" cm="1">
        <f t="array" ref="P211:P250">_xlfn.DROP(_xlfn.XLOOKUP($C211,TableLWG[[#Headers],[ACT/NSW]:[QLD - Low]],TableLWG[[#All],[ACT/NSW]:[QLD - Low]]),1)</f>
        <v>1</v>
      </c>
      <c r="Q211">
        <f>(J211 * $AD$4 + K211*$AD$5) + (1 - J211 )</f>
        <v>1</v>
      </c>
      <c r="S211">
        <f>(1.185 + 0.00454 * N211- 0.0000026 * N211^2 + 0.315 * P211 )^2 * Q211</f>
        <v>3.7948403612249999</v>
      </c>
      <c r="T211">
        <f>20.7 * S211 * 10^-3</f>
        <v>7.8553195477357493E-2</v>
      </c>
      <c r="U211">
        <f t="shared" ref="U211:U250" si="23">H211*T211*I211</f>
        <v>358.39895436544356</v>
      </c>
      <c r="V211">
        <f>SUM(U211:U250)/1000</f>
        <v>47.484968198852449</v>
      </c>
    </row>
    <row r="212" spans="1:22" x14ac:dyDescent="0.2">
      <c r="E212">
        <v>1</v>
      </c>
      <c r="F212" t="s">
        <v>119</v>
      </c>
      <c r="H212">
        <v>91.25</v>
      </c>
      <c r="I212">
        <v>100</v>
      </c>
      <c r="J212">
        <v>0</v>
      </c>
      <c r="K212">
        <v>0</v>
      </c>
      <c r="L212">
        <v>0</v>
      </c>
      <c r="N212">
        <v>480</v>
      </c>
      <c r="P212">
        <v>0.82</v>
      </c>
      <c r="Q212">
        <f t="shared" ref="Q212:Q222" si="24">(J212 * $AD$4 + K212*$AD$5) + (1 - J212 )</f>
        <v>1</v>
      </c>
      <c r="S212">
        <f t="shared" ref="S212:S250" si="25">(1.185 + 0.00454 * N212- 0.0000026 * N212^2 + 0.315 * P212 )^2 * Q212</f>
        <v>9.1413103715999995</v>
      </c>
      <c r="T212">
        <f t="shared" ref="T212:T250" si="26">20.7 * S212 * 10^-3</f>
        <v>0.18922512469211997</v>
      </c>
      <c r="U212">
        <f t="shared" si="23"/>
        <v>1726.6792628155947</v>
      </c>
    </row>
    <row r="213" spans="1:22" x14ac:dyDescent="0.2">
      <c r="F213" t="s">
        <v>120</v>
      </c>
      <c r="H213">
        <v>91.25</v>
      </c>
      <c r="I213">
        <v>80</v>
      </c>
      <c r="J213">
        <v>0</v>
      </c>
      <c r="K213">
        <v>0</v>
      </c>
      <c r="L213">
        <v>0</v>
      </c>
      <c r="N213">
        <v>250</v>
      </c>
      <c r="P213">
        <v>0.77</v>
      </c>
      <c r="Q213">
        <f t="shared" si="24"/>
        <v>1</v>
      </c>
      <c r="S213">
        <f t="shared" si="25"/>
        <v>5.7602400025000016</v>
      </c>
      <c r="T213">
        <f t="shared" si="26"/>
        <v>0.11923696805175003</v>
      </c>
      <c r="U213">
        <f t="shared" si="23"/>
        <v>870.42986677777526</v>
      </c>
    </row>
    <row r="214" spans="1:22" x14ac:dyDescent="0.2">
      <c r="F214" t="s">
        <v>121</v>
      </c>
      <c r="H214">
        <v>91.25</v>
      </c>
      <c r="I214">
        <v>70</v>
      </c>
      <c r="J214">
        <v>0</v>
      </c>
      <c r="K214">
        <v>0</v>
      </c>
      <c r="L214">
        <v>0</v>
      </c>
      <c r="N214">
        <v>260</v>
      </c>
      <c r="P214">
        <v>0.11</v>
      </c>
      <c r="Q214">
        <f t="shared" si="24"/>
        <v>1</v>
      </c>
      <c r="S214">
        <f t="shared" si="25"/>
        <v>4.9474660041000016</v>
      </c>
      <c r="T214">
        <f t="shared" si="26"/>
        <v>0.10241254628487004</v>
      </c>
      <c r="U214">
        <f t="shared" si="23"/>
        <v>654.16013939460731</v>
      </c>
    </row>
    <row r="215" spans="1:22" x14ac:dyDescent="0.2">
      <c r="E215" t="s">
        <v>122</v>
      </c>
      <c r="F215" t="s">
        <v>117</v>
      </c>
      <c r="H215">
        <v>91.25</v>
      </c>
      <c r="I215">
        <v>20</v>
      </c>
      <c r="J215">
        <v>0</v>
      </c>
      <c r="K215">
        <v>0</v>
      </c>
      <c r="L215">
        <v>0</v>
      </c>
      <c r="N215">
        <v>700</v>
      </c>
      <c r="P215">
        <v>0.5</v>
      </c>
      <c r="Q215">
        <f t="shared" si="24"/>
        <v>1</v>
      </c>
      <c r="S215">
        <f t="shared" si="25"/>
        <v>10.539762249999999</v>
      </c>
      <c r="T215">
        <f t="shared" si="26"/>
        <v>0.21817307857499998</v>
      </c>
      <c r="U215">
        <f t="shared" si="23"/>
        <v>398.16586839937497</v>
      </c>
    </row>
    <row r="216" spans="1:22" x14ac:dyDescent="0.2">
      <c r="E216">
        <v>2</v>
      </c>
      <c r="F216" t="s">
        <v>119</v>
      </c>
      <c r="H216">
        <v>91.25</v>
      </c>
      <c r="I216">
        <v>80</v>
      </c>
      <c r="J216">
        <v>0</v>
      </c>
      <c r="K216">
        <v>0</v>
      </c>
      <c r="L216">
        <v>0</v>
      </c>
      <c r="N216">
        <v>750</v>
      </c>
      <c r="P216">
        <v>0.55000000000000004</v>
      </c>
      <c r="Q216">
        <f t="shared" si="24"/>
        <v>1</v>
      </c>
      <c r="S216">
        <f t="shared" si="25"/>
        <v>10.894950562499996</v>
      </c>
      <c r="T216">
        <f t="shared" si="26"/>
        <v>0.22552547664374992</v>
      </c>
      <c r="U216">
        <f t="shared" si="23"/>
        <v>1646.3359794993744</v>
      </c>
    </row>
    <row r="217" spans="1:22" x14ac:dyDescent="0.2">
      <c r="F217" t="s">
        <v>120</v>
      </c>
      <c r="H217">
        <v>91.25</v>
      </c>
      <c r="I217">
        <v>70</v>
      </c>
      <c r="J217">
        <v>0</v>
      </c>
      <c r="K217">
        <v>0</v>
      </c>
      <c r="L217">
        <v>0</v>
      </c>
      <c r="N217">
        <v>725</v>
      </c>
      <c r="P217">
        <v>0.5</v>
      </c>
      <c r="Q217">
        <f t="shared" si="24"/>
        <v>1</v>
      </c>
      <c r="S217">
        <f t="shared" si="25"/>
        <v>10.675739390624999</v>
      </c>
      <c r="T217">
        <f t="shared" si="26"/>
        <v>0.22098780538593746</v>
      </c>
      <c r="U217">
        <f t="shared" si="23"/>
        <v>1411.5596069026756</v>
      </c>
    </row>
    <row r="218" spans="1:22" x14ac:dyDescent="0.2">
      <c r="F218" t="s">
        <v>121</v>
      </c>
      <c r="H218">
        <v>91.25</v>
      </c>
      <c r="I218">
        <v>60</v>
      </c>
      <c r="J218">
        <v>0</v>
      </c>
      <c r="K218">
        <v>0</v>
      </c>
      <c r="L218">
        <v>0</v>
      </c>
      <c r="N218">
        <v>700</v>
      </c>
      <c r="P218">
        <v>-0.27</v>
      </c>
      <c r="Q218">
        <f t="shared" si="24"/>
        <v>1</v>
      </c>
      <c r="S218">
        <f t="shared" si="25"/>
        <v>9.0237156024999976</v>
      </c>
      <c r="T218">
        <f t="shared" si="26"/>
        <v>0.18679091297174996</v>
      </c>
      <c r="U218">
        <f t="shared" si="23"/>
        <v>1022.680248520331</v>
      </c>
    </row>
    <row r="219" spans="1:22" x14ac:dyDescent="0.2">
      <c r="E219" t="s">
        <v>146</v>
      </c>
      <c r="F219" t="s">
        <v>117</v>
      </c>
      <c r="H219">
        <v>91.25</v>
      </c>
      <c r="I219">
        <v>100</v>
      </c>
      <c r="J219">
        <v>0</v>
      </c>
      <c r="K219">
        <v>0</v>
      </c>
      <c r="L219">
        <v>0</v>
      </c>
      <c r="N219">
        <v>300</v>
      </c>
      <c r="P219">
        <v>1</v>
      </c>
      <c r="Q219">
        <f t="shared" si="24"/>
        <v>1</v>
      </c>
      <c r="S219">
        <f t="shared" si="25"/>
        <v>6.9063839999999983</v>
      </c>
      <c r="T219">
        <f t="shared" si="26"/>
        <v>0.14296214879999997</v>
      </c>
      <c r="U219">
        <f t="shared" si="23"/>
        <v>1304.5296077999997</v>
      </c>
    </row>
    <row r="220" spans="1:22" x14ac:dyDescent="0.2">
      <c r="E220">
        <v>4</v>
      </c>
      <c r="F220" t="s">
        <v>119</v>
      </c>
      <c r="H220">
        <v>91.25</v>
      </c>
      <c r="I220">
        <v>180</v>
      </c>
      <c r="J220">
        <v>0</v>
      </c>
      <c r="K220">
        <v>0</v>
      </c>
      <c r="L220">
        <v>0</v>
      </c>
      <c r="N220">
        <v>350</v>
      </c>
      <c r="P220">
        <v>0.55000000000000004</v>
      </c>
      <c r="Q220">
        <f t="shared" si="24"/>
        <v>1</v>
      </c>
      <c r="S220">
        <f t="shared" si="25"/>
        <v>6.9103265624999981</v>
      </c>
      <c r="T220">
        <f t="shared" si="26"/>
        <v>0.14304375984374998</v>
      </c>
      <c r="U220">
        <f t="shared" si="23"/>
        <v>2349.4937554335934</v>
      </c>
    </row>
    <row r="221" spans="1:22" x14ac:dyDescent="0.2">
      <c r="F221" t="s">
        <v>120</v>
      </c>
      <c r="H221">
        <v>91.25</v>
      </c>
      <c r="I221">
        <v>170</v>
      </c>
      <c r="J221">
        <v>0</v>
      </c>
      <c r="K221">
        <v>0</v>
      </c>
      <c r="L221">
        <v>0</v>
      </c>
      <c r="N221">
        <v>360</v>
      </c>
      <c r="P221">
        <v>0.11</v>
      </c>
      <c r="Q221">
        <f t="shared" si="24"/>
        <v>1</v>
      </c>
      <c r="S221">
        <f t="shared" si="25"/>
        <v>6.3357420681000001</v>
      </c>
      <c r="T221">
        <f t="shared" si="26"/>
        <v>0.13114986080967</v>
      </c>
      <c r="U221">
        <f t="shared" si="23"/>
        <v>2034.4622158100058</v>
      </c>
    </row>
    <row r="222" spans="1:22" x14ac:dyDescent="0.2">
      <c r="F222" t="s">
        <v>121</v>
      </c>
      <c r="H222">
        <v>91.25</v>
      </c>
      <c r="I222">
        <v>160</v>
      </c>
      <c r="J222">
        <v>0</v>
      </c>
      <c r="K222">
        <v>0</v>
      </c>
      <c r="L222">
        <v>0</v>
      </c>
      <c r="N222">
        <v>380</v>
      </c>
      <c r="P222">
        <v>0.22</v>
      </c>
      <c r="Q222">
        <f t="shared" si="24"/>
        <v>1</v>
      </c>
      <c r="S222">
        <f t="shared" si="25"/>
        <v>6.7811284835999981</v>
      </c>
      <c r="T222">
        <f t="shared" si="26"/>
        <v>0.14036935961051997</v>
      </c>
      <c r="U222">
        <f t="shared" si="23"/>
        <v>2049.3926503135917</v>
      </c>
    </row>
    <row r="223" spans="1:22" x14ac:dyDescent="0.2">
      <c r="E223" t="s">
        <v>152</v>
      </c>
      <c r="F223" t="s">
        <v>117</v>
      </c>
      <c r="H223">
        <v>91.25</v>
      </c>
      <c r="I223">
        <v>150</v>
      </c>
      <c r="J223">
        <v>0.7</v>
      </c>
      <c r="K223">
        <v>0.05</v>
      </c>
      <c r="L223">
        <f>$AC$12</f>
        <v>1.3</v>
      </c>
      <c r="N223">
        <v>490</v>
      </c>
      <c r="P223">
        <v>0.55000000000000004</v>
      </c>
      <c r="Q223">
        <f>(J223 * $AD$4 +K223* $AD$5) + (1 -J223 - K223 )</f>
        <v>1.2150000000000001</v>
      </c>
      <c r="S223">
        <f t="shared" si="25"/>
        <v>10.635204567541498</v>
      </c>
      <c r="T223">
        <f t="shared" si="26"/>
        <v>0.22014873454810899</v>
      </c>
      <c r="U223">
        <f t="shared" si="23"/>
        <v>3013.285804127242</v>
      </c>
    </row>
    <row r="224" spans="1:22" x14ac:dyDescent="0.2">
      <c r="E224" t="s">
        <v>235</v>
      </c>
      <c r="F224" t="s">
        <v>119</v>
      </c>
      <c r="H224">
        <v>91.25</v>
      </c>
      <c r="I224">
        <v>250</v>
      </c>
      <c r="J224">
        <v>0</v>
      </c>
      <c r="K224">
        <v>0.65</v>
      </c>
      <c r="L224">
        <f>$AC$13</f>
        <v>1.1000000000000001</v>
      </c>
      <c r="N224">
        <v>530</v>
      </c>
      <c r="P224">
        <v>0.44</v>
      </c>
      <c r="Q224">
        <f t="shared" ref="Q224:Q236" si="27">(J224 * $AD$4 +K224* $AD$5) + (1 -J224 - K224 )</f>
        <v>1.0649999999999999</v>
      </c>
      <c r="S224">
        <f t="shared" si="25"/>
        <v>9.5815497105539968</v>
      </c>
      <c r="T224">
        <f t="shared" si="26"/>
        <v>0.19833807900846773</v>
      </c>
      <c r="U224">
        <f t="shared" si="23"/>
        <v>4524.5874273806703</v>
      </c>
    </row>
    <row r="225" spans="5:21" x14ac:dyDescent="0.2">
      <c r="F225" t="s">
        <v>120</v>
      </c>
      <c r="H225">
        <v>91.25</v>
      </c>
      <c r="I225">
        <v>240</v>
      </c>
      <c r="J225">
        <v>0</v>
      </c>
      <c r="K225">
        <v>0</v>
      </c>
      <c r="L225">
        <f>$AC$14</f>
        <v>0</v>
      </c>
      <c r="N225">
        <v>500</v>
      </c>
      <c r="P225">
        <v>-0.33</v>
      </c>
      <c r="Q225">
        <f t="shared" si="27"/>
        <v>1</v>
      </c>
      <c r="S225">
        <f t="shared" si="25"/>
        <v>7.2956711025000001</v>
      </c>
      <c r="T225">
        <f t="shared" si="26"/>
        <v>0.15102039182175001</v>
      </c>
      <c r="U225">
        <f t="shared" si="23"/>
        <v>3307.3465808963251</v>
      </c>
    </row>
    <row r="226" spans="5:21" x14ac:dyDescent="0.2">
      <c r="F226" t="s">
        <v>121</v>
      </c>
      <c r="H226">
        <v>91.25</v>
      </c>
      <c r="I226">
        <v>200</v>
      </c>
      <c r="J226">
        <v>0.1</v>
      </c>
      <c r="K226">
        <v>0</v>
      </c>
      <c r="L226">
        <f>$AC$14</f>
        <v>0</v>
      </c>
      <c r="N226">
        <v>460</v>
      </c>
      <c r="P226">
        <v>-0.44</v>
      </c>
      <c r="Q226">
        <f t="shared" si="27"/>
        <v>1.03</v>
      </c>
      <c r="S226">
        <f t="shared" si="25"/>
        <v>6.8807748474880013</v>
      </c>
      <c r="T226">
        <f t="shared" si="26"/>
        <v>0.14243203934300164</v>
      </c>
      <c r="U226">
        <f t="shared" si="23"/>
        <v>2599.38471800978</v>
      </c>
    </row>
    <row r="227" spans="5:21" x14ac:dyDescent="0.2">
      <c r="E227" t="s">
        <v>141</v>
      </c>
      <c r="F227" t="s">
        <v>117</v>
      </c>
      <c r="H227">
        <v>91.25</v>
      </c>
      <c r="I227">
        <v>100</v>
      </c>
      <c r="J227">
        <v>0</v>
      </c>
      <c r="K227">
        <v>0</v>
      </c>
      <c r="L227">
        <v>0</v>
      </c>
      <c r="N227">
        <v>85</v>
      </c>
      <c r="P227">
        <v>1</v>
      </c>
      <c r="Q227">
        <f t="shared" si="27"/>
        <v>1</v>
      </c>
      <c r="S227">
        <f t="shared" si="25"/>
        <v>3.4861184232249993</v>
      </c>
      <c r="T227">
        <f t="shared" si="26"/>
        <v>7.2162651360757488E-2</v>
      </c>
      <c r="U227">
        <f t="shared" si="23"/>
        <v>658.48419366691212</v>
      </c>
    </row>
    <row r="228" spans="5:21" x14ac:dyDescent="0.2">
      <c r="E228">
        <v>3</v>
      </c>
      <c r="F228" t="s">
        <v>119</v>
      </c>
      <c r="H228">
        <v>91.25</v>
      </c>
      <c r="I228">
        <v>200</v>
      </c>
      <c r="J228">
        <v>0</v>
      </c>
      <c r="K228">
        <v>0</v>
      </c>
      <c r="L228">
        <v>0</v>
      </c>
      <c r="N228">
        <v>150</v>
      </c>
      <c r="P228">
        <v>0.71</v>
      </c>
      <c r="Q228">
        <f t="shared" si="27"/>
        <v>1</v>
      </c>
      <c r="S228">
        <f t="shared" si="25"/>
        <v>4.1255703225000007</v>
      </c>
      <c r="T228">
        <f t="shared" si="26"/>
        <v>8.539930567575002E-2</v>
      </c>
      <c r="U228">
        <f t="shared" si="23"/>
        <v>1558.5373285824378</v>
      </c>
    </row>
    <row r="229" spans="5:21" x14ac:dyDescent="0.2">
      <c r="F229" t="s">
        <v>120</v>
      </c>
      <c r="H229">
        <v>91.25</v>
      </c>
      <c r="I229">
        <v>195</v>
      </c>
      <c r="J229">
        <v>0</v>
      </c>
      <c r="K229">
        <v>0</v>
      </c>
      <c r="L229">
        <v>0</v>
      </c>
      <c r="N229">
        <v>200</v>
      </c>
      <c r="P229">
        <v>0.55000000000000004</v>
      </c>
      <c r="Q229">
        <f t="shared" si="27"/>
        <v>1</v>
      </c>
      <c r="S229">
        <f t="shared" si="25"/>
        <v>4.6753250624999989</v>
      </c>
      <c r="T229">
        <f t="shared" si="26"/>
        <v>9.6779228793749977E-2</v>
      </c>
      <c r="U229">
        <f t="shared" si="23"/>
        <v>1722.0654023487887</v>
      </c>
    </row>
    <row r="230" spans="5:21" x14ac:dyDescent="0.2">
      <c r="F230" t="s">
        <v>121</v>
      </c>
      <c r="H230">
        <v>91.25</v>
      </c>
      <c r="I230">
        <v>200</v>
      </c>
      <c r="J230">
        <v>0</v>
      </c>
      <c r="K230">
        <v>0</v>
      </c>
      <c r="L230">
        <v>0</v>
      </c>
      <c r="N230">
        <v>210</v>
      </c>
      <c r="P230">
        <v>0.11</v>
      </c>
      <c r="Q230">
        <f t="shared" si="27"/>
        <v>1</v>
      </c>
      <c r="S230">
        <f t="shared" si="25"/>
        <v>4.2369693920999989</v>
      </c>
      <c r="T230">
        <f t="shared" si="26"/>
        <v>8.7705266416469974E-2</v>
      </c>
      <c r="U230">
        <f t="shared" si="23"/>
        <v>1600.621112100577</v>
      </c>
    </row>
    <row r="231" spans="5:21" x14ac:dyDescent="0.2">
      <c r="E231" t="s">
        <v>156</v>
      </c>
      <c r="F231" t="s">
        <v>117</v>
      </c>
      <c r="H231">
        <v>91.25</v>
      </c>
      <c r="I231">
        <v>50</v>
      </c>
      <c r="J231">
        <v>0.9</v>
      </c>
      <c r="K231">
        <v>0.05</v>
      </c>
      <c r="L231">
        <f>$AC$12</f>
        <v>1.3</v>
      </c>
      <c r="N231">
        <v>490</v>
      </c>
      <c r="P231">
        <v>0.55000000000000004</v>
      </c>
      <c r="Q231">
        <f t="shared" si="27"/>
        <v>1.2750000000000001</v>
      </c>
      <c r="S231">
        <f t="shared" si="25"/>
        <v>11.160399854827498</v>
      </c>
      <c r="T231">
        <f t="shared" si="26"/>
        <v>0.23102027699492919</v>
      </c>
      <c r="U231">
        <f t="shared" si="23"/>
        <v>1054.0300137893646</v>
      </c>
    </row>
    <row r="232" spans="5:21" x14ac:dyDescent="0.2">
      <c r="E232" t="s">
        <v>236</v>
      </c>
      <c r="F232" t="s">
        <v>119</v>
      </c>
      <c r="H232">
        <v>91.25</v>
      </c>
      <c r="I232">
        <v>100</v>
      </c>
      <c r="J232">
        <v>0</v>
      </c>
      <c r="K232">
        <v>0.9</v>
      </c>
      <c r="L232">
        <f>$AC$13</f>
        <v>1.1000000000000001</v>
      </c>
      <c r="N232">
        <v>530</v>
      </c>
      <c r="P232">
        <v>0.44</v>
      </c>
      <c r="Q232">
        <f t="shared" si="27"/>
        <v>1.0900000000000001</v>
      </c>
      <c r="S232">
        <f t="shared" si="25"/>
        <v>9.8064687178439982</v>
      </c>
      <c r="T232">
        <f t="shared" si="26"/>
        <v>0.20299390245937077</v>
      </c>
      <c r="U232">
        <f t="shared" si="23"/>
        <v>1852.3193599417582</v>
      </c>
    </row>
    <row r="233" spans="5:21" x14ac:dyDescent="0.2">
      <c r="F233" t="s">
        <v>120</v>
      </c>
      <c r="H233">
        <v>91.25</v>
      </c>
      <c r="I233">
        <v>90</v>
      </c>
      <c r="J233">
        <v>0</v>
      </c>
      <c r="K233">
        <v>0</v>
      </c>
      <c r="L233">
        <f>$AC$14</f>
        <v>0</v>
      </c>
      <c r="N233">
        <v>500</v>
      </c>
      <c r="P233">
        <v>-0.33</v>
      </c>
      <c r="Q233">
        <f t="shared" si="27"/>
        <v>1</v>
      </c>
      <c r="S233">
        <f t="shared" si="25"/>
        <v>7.2956711025000001</v>
      </c>
      <c r="T233">
        <f t="shared" si="26"/>
        <v>0.15102039182175001</v>
      </c>
      <c r="U233">
        <f t="shared" si="23"/>
        <v>1240.254967836122</v>
      </c>
    </row>
    <row r="234" spans="5:21" x14ac:dyDescent="0.2">
      <c r="F234" t="s">
        <v>121</v>
      </c>
      <c r="H234">
        <v>91.25</v>
      </c>
      <c r="I234">
        <v>80</v>
      </c>
      <c r="J234">
        <v>0</v>
      </c>
      <c r="K234">
        <v>0</v>
      </c>
      <c r="L234">
        <f>$AC$14</f>
        <v>0</v>
      </c>
      <c r="N234">
        <v>460</v>
      </c>
      <c r="P234">
        <v>-0.44</v>
      </c>
      <c r="Q234">
        <f t="shared" si="27"/>
        <v>1</v>
      </c>
      <c r="S234">
        <f t="shared" si="25"/>
        <v>6.6803639296000012</v>
      </c>
      <c r="T234">
        <f t="shared" si="26"/>
        <v>0.13828353334272003</v>
      </c>
      <c r="U234">
        <f t="shared" si="23"/>
        <v>1009.4697934018562</v>
      </c>
    </row>
    <row r="235" spans="5:21" x14ac:dyDescent="0.2">
      <c r="E235" t="s">
        <v>169</v>
      </c>
      <c r="F235" t="s">
        <v>117</v>
      </c>
      <c r="H235">
        <v>91.25</v>
      </c>
      <c r="I235">
        <v>30</v>
      </c>
      <c r="J235">
        <v>0</v>
      </c>
      <c r="K235">
        <v>0</v>
      </c>
      <c r="L235">
        <v>0</v>
      </c>
      <c r="N235">
        <v>480</v>
      </c>
      <c r="P235">
        <v>0.5</v>
      </c>
      <c r="Q235">
        <f t="shared" si="27"/>
        <v>1</v>
      </c>
      <c r="S235">
        <f t="shared" si="25"/>
        <v>8.5419414755999998</v>
      </c>
      <c r="T235">
        <f t="shared" si="26"/>
        <v>0.17681818854491999</v>
      </c>
      <c r="U235">
        <f t="shared" si="23"/>
        <v>484.03979114171841</v>
      </c>
    </row>
    <row r="236" spans="5:21" x14ac:dyDescent="0.2">
      <c r="E236" t="s">
        <v>237</v>
      </c>
      <c r="F236" t="s">
        <v>119</v>
      </c>
      <c r="H236">
        <v>91.25</v>
      </c>
      <c r="I236">
        <v>70</v>
      </c>
      <c r="J236">
        <v>0</v>
      </c>
      <c r="K236">
        <v>0</v>
      </c>
      <c r="L236">
        <v>0</v>
      </c>
      <c r="N236">
        <v>460</v>
      </c>
      <c r="P236">
        <v>0.5</v>
      </c>
      <c r="Q236">
        <f t="shared" si="27"/>
        <v>1</v>
      </c>
      <c r="S236">
        <f t="shared" si="25"/>
        <v>8.2986629476000022</v>
      </c>
      <c r="T236">
        <f t="shared" si="26"/>
        <v>0.17178232301532004</v>
      </c>
      <c r="U236">
        <f t="shared" si="23"/>
        <v>1097.2595882603568</v>
      </c>
    </row>
    <row r="237" spans="5:21" x14ac:dyDescent="0.2">
      <c r="F237" t="s">
        <v>120</v>
      </c>
      <c r="H237">
        <v>91.25</v>
      </c>
      <c r="I237">
        <v>40</v>
      </c>
      <c r="J237">
        <v>0</v>
      </c>
      <c r="K237">
        <v>0</v>
      </c>
      <c r="L237">
        <v>0</v>
      </c>
      <c r="N237">
        <v>490</v>
      </c>
      <c r="P237">
        <v>0.33</v>
      </c>
      <c r="Q237">
        <f t="shared" ref="Q237:Q250" si="28">(J237 * $AD$4 + K237*$AD$5) + (1 - J237 )</f>
        <v>1</v>
      </c>
      <c r="S237">
        <f t="shared" si="25"/>
        <v>8.3479967040999998</v>
      </c>
      <c r="T237">
        <f t="shared" si="26"/>
        <v>0.17280353177486998</v>
      </c>
      <c r="U237">
        <f t="shared" si="23"/>
        <v>630.73289097827546</v>
      </c>
    </row>
    <row r="238" spans="5:21" x14ac:dyDescent="0.2">
      <c r="F238" t="s">
        <v>121</v>
      </c>
      <c r="H238">
        <v>91.25</v>
      </c>
      <c r="I238">
        <v>20</v>
      </c>
      <c r="J238">
        <v>0</v>
      </c>
      <c r="K238">
        <v>0</v>
      </c>
      <c r="L238">
        <v>0</v>
      </c>
      <c r="N238">
        <v>470</v>
      </c>
      <c r="P238">
        <v>-0.22</v>
      </c>
      <c r="Q238">
        <f t="shared" si="28"/>
        <v>1</v>
      </c>
      <c r="S238">
        <f t="shared" si="25"/>
        <v>7.1564810255999998</v>
      </c>
      <c r="T238">
        <f t="shared" si="26"/>
        <v>0.14813915722991999</v>
      </c>
      <c r="U238">
        <f t="shared" si="23"/>
        <v>270.35396194460401</v>
      </c>
    </row>
    <row r="239" spans="5:21" x14ac:dyDescent="0.2">
      <c r="E239" t="s">
        <v>171</v>
      </c>
      <c r="F239" t="s">
        <v>117</v>
      </c>
      <c r="H239">
        <v>91.25</v>
      </c>
      <c r="I239">
        <v>30</v>
      </c>
      <c r="J239">
        <v>0</v>
      </c>
      <c r="K239">
        <v>0</v>
      </c>
      <c r="L239">
        <v>0</v>
      </c>
      <c r="N239">
        <v>480</v>
      </c>
      <c r="P239">
        <v>0.5</v>
      </c>
      <c r="Q239">
        <f t="shared" si="28"/>
        <v>1</v>
      </c>
      <c r="S239">
        <f t="shared" si="25"/>
        <v>8.5419414755999998</v>
      </c>
      <c r="T239">
        <f t="shared" si="26"/>
        <v>0.17681818854491999</v>
      </c>
      <c r="U239">
        <f t="shared" si="23"/>
        <v>484.03979114171841</v>
      </c>
    </row>
    <row r="240" spans="5:21" x14ac:dyDescent="0.2">
      <c r="E240" t="s">
        <v>238</v>
      </c>
      <c r="F240" t="s">
        <v>119</v>
      </c>
      <c r="H240">
        <v>91.25</v>
      </c>
      <c r="I240">
        <v>100</v>
      </c>
      <c r="J240">
        <v>0</v>
      </c>
      <c r="K240">
        <v>0</v>
      </c>
      <c r="L240">
        <v>0</v>
      </c>
      <c r="N240">
        <v>460</v>
      </c>
      <c r="P240">
        <v>0.5</v>
      </c>
      <c r="Q240">
        <f t="shared" si="28"/>
        <v>1</v>
      </c>
      <c r="S240">
        <f t="shared" si="25"/>
        <v>8.2986629476000022</v>
      </c>
      <c r="T240">
        <f t="shared" si="26"/>
        <v>0.17178232301532004</v>
      </c>
      <c r="U240">
        <f t="shared" si="23"/>
        <v>1567.5136975147955</v>
      </c>
    </row>
    <row r="241" spans="5:21" x14ac:dyDescent="0.2">
      <c r="F241" t="s">
        <v>120</v>
      </c>
      <c r="H241">
        <v>91.25</v>
      </c>
      <c r="I241">
        <v>40</v>
      </c>
      <c r="J241">
        <v>0</v>
      </c>
      <c r="K241">
        <v>0</v>
      </c>
      <c r="L241">
        <v>0</v>
      </c>
      <c r="N241">
        <v>490</v>
      </c>
      <c r="P241">
        <v>0.33</v>
      </c>
      <c r="Q241">
        <f t="shared" si="28"/>
        <v>1</v>
      </c>
      <c r="S241">
        <f t="shared" si="25"/>
        <v>8.3479967040999998</v>
      </c>
      <c r="T241">
        <f t="shared" si="26"/>
        <v>0.17280353177486998</v>
      </c>
      <c r="U241">
        <f t="shared" si="23"/>
        <v>630.73289097827546</v>
      </c>
    </row>
    <row r="242" spans="5:21" x14ac:dyDescent="0.2">
      <c r="F242" t="s">
        <v>121</v>
      </c>
      <c r="H242">
        <v>91.25</v>
      </c>
      <c r="I242">
        <v>0</v>
      </c>
      <c r="J242">
        <v>0</v>
      </c>
      <c r="K242">
        <v>0</v>
      </c>
      <c r="L242">
        <v>0</v>
      </c>
      <c r="N242">
        <v>470</v>
      </c>
      <c r="P242">
        <v>-0.22</v>
      </c>
      <c r="Q242">
        <f t="shared" si="28"/>
        <v>1</v>
      </c>
      <c r="S242">
        <f t="shared" si="25"/>
        <v>7.1564810255999998</v>
      </c>
      <c r="T242">
        <f t="shared" si="26"/>
        <v>0.14813915722991999</v>
      </c>
      <c r="U242">
        <f t="shared" si="23"/>
        <v>0</v>
      </c>
    </row>
    <row r="243" spans="5:21" x14ac:dyDescent="0.2">
      <c r="E243" t="s">
        <v>164</v>
      </c>
      <c r="F243" t="s">
        <v>117</v>
      </c>
      <c r="H243">
        <v>91.25</v>
      </c>
      <c r="I243">
        <v>20</v>
      </c>
      <c r="J243">
        <v>0</v>
      </c>
      <c r="K243">
        <v>0</v>
      </c>
      <c r="L243">
        <v>0</v>
      </c>
      <c r="N243">
        <v>90</v>
      </c>
      <c r="P243">
        <v>1</v>
      </c>
      <c r="Q243">
        <f t="shared" si="28"/>
        <v>1</v>
      </c>
      <c r="S243">
        <f t="shared" si="25"/>
        <v>3.5628072515999993</v>
      </c>
      <c r="T243">
        <f t="shared" si="26"/>
        <v>7.3750110108119979E-2</v>
      </c>
      <c r="U243">
        <f t="shared" si="23"/>
        <v>134.59395094731894</v>
      </c>
    </row>
    <row r="244" spans="5:21" x14ac:dyDescent="0.2">
      <c r="E244">
        <v>6</v>
      </c>
      <c r="F244" t="s">
        <v>119</v>
      </c>
      <c r="H244">
        <v>91.25</v>
      </c>
      <c r="I244">
        <v>40</v>
      </c>
      <c r="J244">
        <v>0</v>
      </c>
      <c r="K244">
        <v>0</v>
      </c>
      <c r="L244">
        <v>0</v>
      </c>
      <c r="N244">
        <v>160</v>
      </c>
      <c r="P244">
        <v>0.77</v>
      </c>
      <c r="Q244">
        <f t="shared" si="28"/>
        <v>1</v>
      </c>
      <c r="S244">
        <f t="shared" si="25"/>
        <v>4.3571970121000003</v>
      </c>
      <c r="T244">
        <f t="shared" si="26"/>
        <v>9.0193978150470006E-2</v>
      </c>
      <c r="U244">
        <f t="shared" si="23"/>
        <v>329.20802024921551</v>
      </c>
    </row>
    <row r="245" spans="5:21" x14ac:dyDescent="0.2">
      <c r="F245" t="s">
        <v>120</v>
      </c>
      <c r="H245">
        <v>91.25</v>
      </c>
      <c r="I245">
        <v>30</v>
      </c>
      <c r="J245">
        <v>0</v>
      </c>
      <c r="K245">
        <v>0</v>
      </c>
      <c r="L245">
        <v>0</v>
      </c>
      <c r="N245">
        <v>215</v>
      </c>
      <c r="P245">
        <v>0.6</v>
      </c>
      <c r="Q245">
        <f t="shared" si="28"/>
        <v>1</v>
      </c>
      <c r="S245">
        <f t="shared" si="25"/>
        <v>4.9725209072250003</v>
      </c>
      <c r="T245">
        <f t="shared" si="26"/>
        <v>0.1029311827795575</v>
      </c>
      <c r="U245">
        <f t="shared" si="23"/>
        <v>281.77411285903867</v>
      </c>
    </row>
    <row r="246" spans="5:21" x14ac:dyDescent="0.2">
      <c r="F246" t="s">
        <v>121</v>
      </c>
      <c r="H246">
        <v>91.25</v>
      </c>
      <c r="I246">
        <v>30</v>
      </c>
      <c r="J246">
        <v>0</v>
      </c>
      <c r="K246">
        <v>0</v>
      </c>
      <c r="L246">
        <v>0</v>
      </c>
      <c r="N246">
        <v>230</v>
      </c>
      <c r="P246">
        <v>0.16</v>
      </c>
      <c r="Q246">
        <f t="shared" si="28"/>
        <v>1</v>
      </c>
      <c r="S246">
        <f t="shared" si="25"/>
        <v>4.5884210435999995</v>
      </c>
      <c r="T246">
        <f t="shared" si="26"/>
        <v>9.4980315602519988E-2</v>
      </c>
      <c r="U246">
        <f t="shared" si="23"/>
        <v>260.0086139618985</v>
      </c>
    </row>
    <row r="247" spans="5:21" x14ac:dyDescent="0.2">
      <c r="E247" t="s">
        <v>176</v>
      </c>
      <c r="F247" t="s">
        <v>117</v>
      </c>
      <c r="H247">
        <v>91.25</v>
      </c>
      <c r="I247">
        <v>30</v>
      </c>
      <c r="J247">
        <v>0</v>
      </c>
      <c r="K247">
        <v>0</v>
      </c>
      <c r="L247">
        <v>0</v>
      </c>
      <c r="N247">
        <v>480</v>
      </c>
      <c r="P247">
        <v>0.5</v>
      </c>
      <c r="Q247">
        <f t="shared" si="28"/>
        <v>1</v>
      </c>
      <c r="S247">
        <f t="shared" si="25"/>
        <v>8.5419414755999998</v>
      </c>
      <c r="T247">
        <f t="shared" si="26"/>
        <v>0.17681818854491999</v>
      </c>
      <c r="U247">
        <f t="shared" si="23"/>
        <v>484.03979114171841</v>
      </c>
    </row>
    <row r="248" spans="5:21" x14ac:dyDescent="0.2">
      <c r="E248" t="s">
        <v>239</v>
      </c>
      <c r="F248" t="s">
        <v>119</v>
      </c>
      <c r="H248">
        <v>91.25</v>
      </c>
      <c r="I248">
        <v>35</v>
      </c>
      <c r="J248">
        <v>0</v>
      </c>
      <c r="K248">
        <v>0</v>
      </c>
      <c r="L248">
        <v>0</v>
      </c>
      <c r="N248">
        <v>460</v>
      </c>
      <c r="P248">
        <v>0.5</v>
      </c>
      <c r="Q248">
        <f t="shared" si="28"/>
        <v>1</v>
      </c>
      <c r="S248">
        <f t="shared" si="25"/>
        <v>8.2986629476000022</v>
      </c>
      <c r="T248">
        <f t="shared" si="26"/>
        <v>0.17178232301532004</v>
      </c>
      <c r="U248">
        <f t="shared" si="23"/>
        <v>548.62979413017842</v>
      </c>
    </row>
    <row r="249" spans="5:21" x14ac:dyDescent="0.2">
      <c r="F249" t="s">
        <v>120</v>
      </c>
      <c r="H249">
        <v>91.25</v>
      </c>
      <c r="I249">
        <v>20</v>
      </c>
      <c r="J249">
        <v>0</v>
      </c>
      <c r="K249">
        <v>0</v>
      </c>
      <c r="L249">
        <v>0</v>
      </c>
      <c r="N249">
        <v>490</v>
      </c>
      <c r="P249">
        <v>0.33</v>
      </c>
      <c r="Q249">
        <f t="shared" si="28"/>
        <v>1</v>
      </c>
      <c r="S249">
        <f t="shared" si="25"/>
        <v>8.3479967040999998</v>
      </c>
      <c r="T249">
        <f t="shared" si="26"/>
        <v>0.17280353177486998</v>
      </c>
      <c r="U249">
        <f t="shared" si="23"/>
        <v>315.36644548913773</v>
      </c>
    </row>
    <row r="250" spans="5:21" x14ac:dyDescent="0.2">
      <c r="F250" t="s">
        <v>121</v>
      </c>
      <c r="H250">
        <v>91.25</v>
      </c>
      <c r="I250">
        <v>0</v>
      </c>
      <c r="J250">
        <v>0</v>
      </c>
      <c r="K250">
        <v>0</v>
      </c>
      <c r="L250">
        <v>0</v>
      </c>
      <c r="N250">
        <v>470</v>
      </c>
      <c r="P250">
        <v>-0.22</v>
      </c>
      <c r="Q250">
        <f t="shared" si="28"/>
        <v>1</v>
      </c>
      <c r="S250">
        <f t="shared" si="25"/>
        <v>7.1564810255999998</v>
      </c>
      <c r="T250">
        <f t="shared" si="26"/>
        <v>0.14813915722991999</v>
      </c>
      <c r="U250">
        <f t="shared" si="23"/>
        <v>0</v>
      </c>
    </row>
    <row r="257" spans="1:22" x14ac:dyDescent="0.2">
      <c r="A257" s="9" t="s">
        <v>255</v>
      </c>
    </row>
    <row r="261" spans="1:22" x14ac:dyDescent="0.2">
      <c r="A261" t="s">
        <v>255</v>
      </c>
      <c r="B261" t="s">
        <v>232</v>
      </c>
      <c r="C261" t="s">
        <v>255</v>
      </c>
      <c r="D261" t="s">
        <v>255</v>
      </c>
      <c r="E261" t="s">
        <v>116</v>
      </c>
      <c r="F261" t="s">
        <v>117</v>
      </c>
      <c r="H261">
        <v>91.25</v>
      </c>
      <c r="I261">
        <v>50</v>
      </c>
      <c r="J261">
        <v>0</v>
      </c>
      <c r="K261">
        <v>0</v>
      </c>
      <c r="L261">
        <v>0</v>
      </c>
      <c r="N261" s="32" cm="1">
        <f t="array" ref="N261:N300">_xlfn.DROP(_xlfn.XLOOKUP($C261,TableW[[#Headers],[ACT/NSW]:[QLD - Low]],TableW[[#All],[ACT/NSW]:[QLD - Low]]),1)</f>
        <v>340</v>
      </c>
      <c r="P261" cm="1">
        <f t="array" ref="P261:P300">_xlfn.DROP(_xlfn.XLOOKUP($C261,TableLWG[[#Headers],[ACT/NSW]:[QLD - Low]],TableLWG[[#All],[ACT/NSW]:[QLD - Low]]),1)</f>
        <v>1.64</v>
      </c>
      <c r="Q261">
        <f>(J261 * $AD$4 + K261*$AD$5) + (1 - J261 )</f>
        <v>1</v>
      </c>
      <c r="S261">
        <f>(1.185 + 0.00454 * N261- 0.0000026 * N261^2 + 0.315 * P261 )^2 * Q261</f>
        <v>8.6709047296000001</v>
      </c>
      <c r="T261">
        <f>20.7 * S261 * 10^-3</f>
        <v>0.17948772790272</v>
      </c>
      <c r="U261">
        <f t="shared" ref="U261:U300" si="29">H261*T261*I261</f>
        <v>818.91275855616004</v>
      </c>
      <c r="V261">
        <f>SUM(U261:U300)/1000</f>
        <v>47.31539830102588</v>
      </c>
    </row>
    <row r="262" spans="1:22" x14ac:dyDescent="0.2">
      <c r="E262">
        <v>1</v>
      </c>
      <c r="F262" t="s">
        <v>119</v>
      </c>
      <c r="H262">
        <v>91.25</v>
      </c>
      <c r="I262">
        <v>100</v>
      </c>
      <c r="J262">
        <v>0</v>
      </c>
      <c r="K262">
        <v>0</v>
      </c>
      <c r="L262">
        <v>0</v>
      </c>
      <c r="N262">
        <v>380</v>
      </c>
      <c r="P262">
        <v>0.44</v>
      </c>
      <c r="Q262">
        <f t="shared" ref="Q262:Q272" si="30">(J262 * $AD$4 + K262*$AD$5) + (1 - J262 )</f>
        <v>1</v>
      </c>
      <c r="S262">
        <f t="shared" ref="S262:S300" si="31">(1.185 + 0.00454 * N262- 0.0000026 * N262^2 + 0.315 * P262 )^2 * Q262</f>
        <v>7.1468536895999959</v>
      </c>
      <c r="T262">
        <f t="shared" ref="T262:T300" si="32">20.7 * S262 * 10^-3</f>
        <v>0.14793987137471989</v>
      </c>
      <c r="U262">
        <f t="shared" si="29"/>
        <v>1349.9513262943192</v>
      </c>
    </row>
    <row r="263" spans="1:22" x14ac:dyDescent="0.2">
      <c r="F263" t="s">
        <v>120</v>
      </c>
      <c r="H263">
        <v>91.25</v>
      </c>
      <c r="I263">
        <v>80</v>
      </c>
      <c r="J263">
        <v>0</v>
      </c>
      <c r="K263">
        <v>0</v>
      </c>
      <c r="L263">
        <v>0</v>
      </c>
      <c r="N263">
        <v>100</v>
      </c>
      <c r="P263">
        <v>0.6</v>
      </c>
      <c r="Q263">
        <f t="shared" si="30"/>
        <v>1</v>
      </c>
      <c r="S263">
        <f t="shared" si="31"/>
        <v>3.247204</v>
      </c>
      <c r="T263">
        <f t="shared" si="32"/>
        <v>6.7217122800000001E-2</v>
      </c>
      <c r="U263">
        <f t="shared" si="29"/>
        <v>490.68499643999996</v>
      </c>
    </row>
    <row r="264" spans="1:22" x14ac:dyDescent="0.2">
      <c r="F264" t="s">
        <v>121</v>
      </c>
      <c r="H264">
        <v>91.25</v>
      </c>
      <c r="I264">
        <v>70</v>
      </c>
      <c r="J264">
        <v>0</v>
      </c>
      <c r="K264">
        <v>0</v>
      </c>
      <c r="L264">
        <v>0</v>
      </c>
      <c r="N264">
        <v>190</v>
      </c>
      <c r="P264">
        <v>0.99</v>
      </c>
      <c r="Q264">
        <f t="shared" si="30"/>
        <v>1</v>
      </c>
      <c r="S264">
        <f t="shared" si="31"/>
        <v>5.1328980481000004</v>
      </c>
      <c r="T264">
        <f t="shared" si="32"/>
        <v>0.10625098959567</v>
      </c>
      <c r="U264">
        <f t="shared" si="29"/>
        <v>678.67819604234217</v>
      </c>
    </row>
    <row r="265" spans="1:22" x14ac:dyDescent="0.2">
      <c r="E265" t="s">
        <v>122</v>
      </c>
      <c r="F265" t="s">
        <v>117</v>
      </c>
      <c r="H265">
        <v>91.25</v>
      </c>
      <c r="I265">
        <v>20</v>
      </c>
      <c r="J265">
        <v>0</v>
      </c>
      <c r="K265">
        <v>0</v>
      </c>
      <c r="L265">
        <v>0</v>
      </c>
      <c r="N265">
        <v>800</v>
      </c>
      <c r="P265">
        <v>1.1000000000000001</v>
      </c>
      <c r="Q265">
        <f t="shared" si="30"/>
        <v>1</v>
      </c>
      <c r="S265">
        <f t="shared" si="31"/>
        <v>12.246500250000002</v>
      </c>
      <c r="T265">
        <f t="shared" si="32"/>
        <v>0.25350255517500003</v>
      </c>
      <c r="U265">
        <f t="shared" si="29"/>
        <v>462.64216319437509</v>
      </c>
    </row>
    <row r="266" spans="1:22" x14ac:dyDescent="0.2">
      <c r="E266">
        <v>2</v>
      </c>
      <c r="F266" t="s">
        <v>119</v>
      </c>
      <c r="H266">
        <v>91.25</v>
      </c>
      <c r="I266">
        <v>80</v>
      </c>
      <c r="J266">
        <v>0</v>
      </c>
      <c r="K266">
        <v>0</v>
      </c>
      <c r="L266">
        <v>0</v>
      </c>
      <c r="N266">
        <v>780</v>
      </c>
      <c r="P266">
        <v>-0.22</v>
      </c>
      <c r="Q266">
        <f t="shared" si="30"/>
        <v>1</v>
      </c>
      <c r="S266">
        <f t="shared" si="31"/>
        <v>9.4559940036000008</v>
      </c>
      <c r="T266">
        <f t="shared" si="32"/>
        <v>0.19573907587452002</v>
      </c>
      <c r="U266">
        <f t="shared" si="29"/>
        <v>1428.8952538839962</v>
      </c>
    </row>
    <row r="267" spans="1:22" x14ac:dyDescent="0.2">
      <c r="F267" t="s">
        <v>120</v>
      </c>
      <c r="H267">
        <v>91.25</v>
      </c>
      <c r="I267">
        <v>65</v>
      </c>
      <c r="J267">
        <v>0</v>
      </c>
      <c r="K267">
        <v>0</v>
      </c>
      <c r="L267">
        <v>0</v>
      </c>
      <c r="N267">
        <v>680</v>
      </c>
      <c r="P267">
        <v>0</v>
      </c>
      <c r="Q267">
        <f t="shared" si="30"/>
        <v>1</v>
      </c>
      <c r="S267">
        <f t="shared" si="31"/>
        <v>9.4246544015999998</v>
      </c>
      <c r="T267">
        <f t="shared" si="32"/>
        <v>0.19509034611311998</v>
      </c>
      <c r="U267">
        <f t="shared" si="29"/>
        <v>1157.1296153834428</v>
      </c>
    </row>
    <row r="268" spans="1:22" x14ac:dyDescent="0.2">
      <c r="F268" t="s">
        <v>121</v>
      </c>
      <c r="H268">
        <v>91.25</v>
      </c>
      <c r="I268">
        <v>60</v>
      </c>
      <c r="J268">
        <v>0</v>
      </c>
      <c r="K268">
        <v>0</v>
      </c>
      <c r="L268">
        <v>0</v>
      </c>
      <c r="N268">
        <v>700</v>
      </c>
      <c r="P268">
        <v>0.22</v>
      </c>
      <c r="Q268">
        <f t="shared" si="30"/>
        <v>1</v>
      </c>
      <c r="S268">
        <f t="shared" si="31"/>
        <v>9.9748588899999984</v>
      </c>
      <c r="T268">
        <f t="shared" si="32"/>
        <v>0.20647957902299996</v>
      </c>
      <c r="U268">
        <f t="shared" si="29"/>
        <v>1130.4756951509246</v>
      </c>
    </row>
    <row r="269" spans="1:22" x14ac:dyDescent="0.2">
      <c r="E269" t="s">
        <v>146</v>
      </c>
      <c r="F269" t="s">
        <v>117</v>
      </c>
      <c r="H269">
        <v>91.25</v>
      </c>
      <c r="I269">
        <v>100</v>
      </c>
      <c r="J269">
        <v>0</v>
      </c>
      <c r="K269">
        <v>0</v>
      </c>
      <c r="L269">
        <v>0</v>
      </c>
      <c r="N269">
        <v>420</v>
      </c>
      <c r="P269">
        <v>0.99</v>
      </c>
      <c r="Q269">
        <f t="shared" si="30"/>
        <v>1</v>
      </c>
      <c r="S269">
        <f t="shared" si="31"/>
        <v>8.6730839001000017</v>
      </c>
      <c r="T269">
        <f t="shared" si="32"/>
        <v>0.17953283673207002</v>
      </c>
      <c r="U269">
        <f t="shared" si="29"/>
        <v>1638.2371351801389</v>
      </c>
    </row>
    <row r="270" spans="1:22" x14ac:dyDescent="0.2">
      <c r="E270">
        <v>4</v>
      </c>
      <c r="F270" t="s">
        <v>119</v>
      </c>
      <c r="H270">
        <v>91.25</v>
      </c>
      <c r="I270">
        <v>180</v>
      </c>
      <c r="J270">
        <v>0</v>
      </c>
      <c r="K270">
        <v>0</v>
      </c>
      <c r="L270">
        <v>0</v>
      </c>
      <c r="N270">
        <v>450</v>
      </c>
      <c r="P270">
        <v>0.33</v>
      </c>
      <c r="Q270">
        <f t="shared" si="30"/>
        <v>1</v>
      </c>
      <c r="S270">
        <f t="shared" si="31"/>
        <v>7.8705497025</v>
      </c>
      <c r="T270">
        <f t="shared" si="32"/>
        <v>0.16292037884175001</v>
      </c>
      <c r="U270">
        <f t="shared" si="29"/>
        <v>2675.9672224757442</v>
      </c>
    </row>
    <row r="271" spans="1:22" x14ac:dyDescent="0.2">
      <c r="F271" t="s">
        <v>120</v>
      </c>
      <c r="H271">
        <v>91.25</v>
      </c>
      <c r="I271">
        <v>170</v>
      </c>
      <c r="J271">
        <v>0</v>
      </c>
      <c r="K271">
        <v>0</v>
      </c>
      <c r="L271">
        <v>0</v>
      </c>
      <c r="N271">
        <v>320</v>
      </c>
      <c r="P271">
        <v>0.22</v>
      </c>
      <c r="Q271">
        <f t="shared" si="30"/>
        <v>1</v>
      </c>
      <c r="S271">
        <f t="shared" si="31"/>
        <v>5.9577975395999987</v>
      </c>
      <c r="T271">
        <f t="shared" si="32"/>
        <v>0.12332640906971998</v>
      </c>
      <c r="U271">
        <f t="shared" si="29"/>
        <v>1913.1009206940309</v>
      </c>
    </row>
    <row r="272" spans="1:22" x14ac:dyDescent="0.2">
      <c r="F272" t="s">
        <v>121</v>
      </c>
      <c r="H272">
        <v>91.25</v>
      </c>
      <c r="I272">
        <v>160</v>
      </c>
      <c r="J272">
        <v>0</v>
      </c>
      <c r="K272">
        <v>0</v>
      </c>
      <c r="L272">
        <v>0</v>
      </c>
      <c r="N272">
        <v>330</v>
      </c>
      <c r="P272">
        <v>0.11</v>
      </c>
      <c r="Q272">
        <f t="shared" si="30"/>
        <v>1</v>
      </c>
      <c r="S272">
        <f t="shared" si="31"/>
        <v>5.9278127841000021</v>
      </c>
      <c r="T272">
        <f t="shared" si="32"/>
        <v>0.12270572463087004</v>
      </c>
      <c r="U272">
        <f t="shared" si="29"/>
        <v>1791.5035796107027</v>
      </c>
    </row>
    <row r="273" spans="5:21" x14ac:dyDescent="0.2">
      <c r="E273" t="s">
        <v>152</v>
      </c>
      <c r="F273" t="s">
        <v>117</v>
      </c>
      <c r="H273">
        <v>91.25</v>
      </c>
      <c r="I273">
        <v>150</v>
      </c>
      <c r="J273">
        <v>0.7</v>
      </c>
      <c r="K273">
        <v>0.05</v>
      </c>
      <c r="L273">
        <f>$AC$12</f>
        <v>1.3</v>
      </c>
      <c r="N273">
        <v>550</v>
      </c>
      <c r="P273">
        <v>0.66</v>
      </c>
      <c r="Q273">
        <f>(J273 * $AD$4 +K273* $AD$5) + (1 -J273 - K273 )</f>
        <v>1.2150000000000001</v>
      </c>
      <c r="S273">
        <f t="shared" si="31"/>
        <v>11.701776245400003</v>
      </c>
      <c r="T273">
        <f t="shared" si="32"/>
        <v>0.24222676827978007</v>
      </c>
      <c r="U273">
        <f t="shared" si="29"/>
        <v>3315.4788908294895</v>
      </c>
    </row>
    <row r="274" spans="5:21" x14ac:dyDescent="0.2">
      <c r="E274" t="s">
        <v>235</v>
      </c>
      <c r="F274" t="s">
        <v>119</v>
      </c>
      <c r="H274">
        <v>91.25</v>
      </c>
      <c r="I274">
        <v>250</v>
      </c>
      <c r="J274">
        <v>0</v>
      </c>
      <c r="K274">
        <v>0.71</v>
      </c>
      <c r="L274">
        <f>$AC$13</f>
        <v>1.1000000000000001</v>
      </c>
      <c r="N274">
        <v>530</v>
      </c>
      <c r="P274">
        <v>-0.22</v>
      </c>
      <c r="Q274">
        <f t="shared" ref="Q274:Q286" si="33">(J274 * $AD$4 +K274* $AD$5) + (1 -J274 - K274 )</f>
        <v>1.0710000000000002</v>
      </c>
      <c r="S274">
        <f t="shared" si="31"/>
        <v>8.3460965471855992</v>
      </c>
      <c r="T274">
        <f t="shared" si="32"/>
        <v>0.17276419852674191</v>
      </c>
      <c r="U274">
        <f t="shared" si="29"/>
        <v>3941.1832788912998</v>
      </c>
    </row>
    <row r="275" spans="5:21" x14ac:dyDescent="0.2">
      <c r="F275" t="s">
        <v>120</v>
      </c>
      <c r="H275">
        <v>91.25</v>
      </c>
      <c r="I275">
        <v>240</v>
      </c>
      <c r="J275">
        <v>0</v>
      </c>
      <c r="K275">
        <v>0</v>
      </c>
      <c r="L275">
        <f>$AC$14</f>
        <v>0</v>
      </c>
      <c r="N275">
        <v>480</v>
      </c>
      <c r="P275">
        <v>-0.55000000000000004</v>
      </c>
      <c r="Q275">
        <f t="shared" si="33"/>
        <v>1</v>
      </c>
      <c r="S275">
        <f t="shared" si="31"/>
        <v>6.7179974480999993</v>
      </c>
      <c r="T275">
        <f t="shared" si="32"/>
        <v>0.13906254717566999</v>
      </c>
      <c r="U275">
        <f t="shared" si="29"/>
        <v>3045.4697831471726</v>
      </c>
    </row>
    <row r="276" spans="5:21" x14ac:dyDescent="0.2">
      <c r="F276" t="s">
        <v>121</v>
      </c>
      <c r="H276">
        <v>91.25</v>
      </c>
      <c r="I276">
        <v>200</v>
      </c>
      <c r="J276">
        <v>0.15</v>
      </c>
      <c r="K276">
        <v>0</v>
      </c>
      <c r="L276">
        <f>$AC$14</f>
        <v>0</v>
      </c>
      <c r="N276">
        <v>490</v>
      </c>
      <c r="P276">
        <v>0.11</v>
      </c>
      <c r="Q276">
        <f t="shared" si="33"/>
        <v>1.0449999999999999</v>
      </c>
      <c r="S276">
        <f t="shared" si="31"/>
        <v>8.3101990621044983</v>
      </c>
      <c r="T276">
        <f t="shared" si="32"/>
        <v>0.1720211205855631</v>
      </c>
      <c r="U276">
        <f t="shared" si="29"/>
        <v>3139.3854506865264</v>
      </c>
    </row>
    <row r="277" spans="5:21" x14ac:dyDescent="0.2">
      <c r="E277" t="s">
        <v>141</v>
      </c>
      <c r="F277" t="s">
        <v>117</v>
      </c>
      <c r="H277">
        <v>91.25</v>
      </c>
      <c r="I277">
        <v>100</v>
      </c>
      <c r="J277">
        <v>0</v>
      </c>
      <c r="K277">
        <v>0</v>
      </c>
      <c r="L277">
        <v>0</v>
      </c>
      <c r="N277">
        <v>260</v>
      </c>
      <c r="P277">
        <v>1.21</v>
      </c>
      <c r="Q277">
        <f t="shared" si="33"/>
        <v>1</v>
      </c>
      <c r="S277">
        <f t="shared" si="31"/>
        <v>6.6089612241000006</v>
      </c>
      <c r="T277">
        <f t="shared" si="32"/>
        <v>0.13680549733887001</v>
      </c>
      <c r="U277">
        <f t="shared" si="29"/>
        <v>1248.3501632171888</v>
      </c>
    </row>
    <row r="278" spans="5:21" x14ac:dyDescent="0.2">
      <c r="E278">
        <v>3</v>
      </c>
      <c r="F278" t="s">
        <v>119</v>
      </c>
      <c r="H278">
        <v>91.25</v>
      </c>
      <c r="I278">
        <v>190</v>
      </c>
      <c r="J278">
        <v>0</v>
      </c>
      <c r="K278">
        <v>0</v>
      </c>
      <c r="L278">
        <v>0</v>
      </c>
      <c r="N278">
        <v>300</v>
      </c>
      <c r="P278">
        <v>0.44</v>
      </c>
      <c r="Q278">
        <f t="shared" si="33"/>
        <v>1</v>
      </c>
      <c r="S278">
        <f t="shared" si="31"/>
        <v>6.010342559999998</v>
      </c>
      <c r="T278">
        <f t="shared" si="32"/>
        <v>0.12441409099199996</v>
      </c>
      <c r="U278">
        <f t="shared" si="29"/>
        <v>2157.0293025737992</v>
      </c>
    </row>
    <row r="279" spans="5:21" x14ac:dyDescent="0.2">
      <c r="F279" t="s">
        <v>120</v>
      </c>
      <c r="H279">
        <v>91.25</v>
      </c>
      <c r="I279">
        <v>200</v>
      </c>
      <c r="J279">
        <v>0</v>
      </c>
      <c r="K279">
        <v>0</v>
      </c>
      <c r="L279">
        <v>0</v>
      </c>
      <c r="N279">
        <v>80</v>
      </c>
      <c r="P279">
        <v>0.6</v>
      </c>
      <c r="Q279">
        <f t="shared" si="33"/>
        <v>1</v>
      </c>
      <c r="S279">
        <f t="shared" si="31"/>
        <v>2.9603267136000002</v>
      </c>
      <c r="T279">
        <f t="shared" si="32"/>
        <v>6.1278762971520004E-2</v>
      </c>
      <c r="U279">
        <f t="shared" si="29"/>
        <v>1118.33742423024</v>
      </c>
    </row>
    <row r="280" spans="5:21" x14ac:dyDescent="0.2">
      <c r="F280" t="s">
        <v>121</v>
      </c>
      <c r="H280">
        <v>91.25</v>
      </c>
      <c r="I280">
        <v>200</v>
      </c>
      <c r="J280">
        <v>0</v>
      </c>
      <c r="K280">
        <v>0</v>
      </c>
      <c r="L280">
        <v>0</v>
      </c>
      <c r="N280">
        <v>150</v>
      </c>
      <c r="P280">
        <v>0.77</v>
      </c>
      <c r="Q280">
        <f t="shared" si="33"/>
        <v>1</v>
      </c>
      <c r="S280">
        <f t="shared" si="31"/>
        <v>4.202705002500001</v>
      </c>
      <c r="T280">
        <f t="shared" si="32"/>
        <v>8.6995993551750014E-2</v>
      </c>
      <c r="U280">
        <f t="shared" si="29"/>
        <v>1587.6768823194377</v>
      </c>
    </row>
    <row r="281" spans="5:21" x14ac:dyDescent="0.2">
      <c r="E281" t="s">
        <v>156</v>
      </c>
      <c r="F281" t="s">
        <v>117</v>
      </c>
      <c r="H281">
        <v>91.25</v>
      </c>
      <c r="I281">
        <v>50</v>
      </c>
      <c r="J281">
        <v>0.9</v>
      </c>
      <c r="K281">
        <v>0.05</v>
      </c>
      <c r="L281">
        <f>$AC$12</f>
        <v>1.3</v>
      </c>
      <c r="N281">
        <v>550</v>
      </c>
      <c r="P281">
        <v>0.66</v>
      </c>
      <c r="Q281">
        <f t="shared" si="33"/>
        <v>1.2750000000000001</v>
      </c>
      <c r="S281">
        <f t="shared" si="31"/>
        <v>12.279641739000004</v>
      </c>
      <c r="T281">
        <f t="shared" si="32"/>
        <v>0.2541885839973001</v>
      </c>
      <c r="U281">
        <f t="shared" si="29"/>
        <v>1159.7354144876817</v>
      </c>
    </row>
    <row r="282" spans="5:21" x14ac:dyDescent="0.2">
      <c r="E282" t="s">
        <v>236</v>
      </c>
      <c r="F282" t="s">
        <v>119</v>
      </c>
      <c r="H282">
        <v>91.25</v>
      </c>
      <c r="I282">
        <v>100</v>
      </c>
      <c r="J282">
        <v>0</v>
      </c>
      <c r="K282">
        <v>0.9</v>
      </c>
      <c r="L282">
        <f>$AC$13</f>
        <v>1.1000000000000001</v>
      </c>
      <c r="N282">
        <v>530</v>
      </c>
      <c r="P282">
        <v>-0.22</v>
      </c>
      <c r="Q282">
        <f t="shared" si="33"/>
        <v>1.0900000000000001</v>
      </c>
      <c r="S282">
        <f t="shared" si="31"/>
        <v>8.4941598846239987</v>
      </c>
      <c r="T282">
        <f t="shared" si="32"/>
        <v>0.17582910961171677</v>
      </c>
      <c r="U282">
        <f t="shared" si="29"/>
        <v>1604.4406252069155</v>
      </c>
    </row>
    <row r="283" spans="5:21" x14ac:dyDescent="0.2">
      <c r="F283" t="s">
        <v>120</v>
      </c>
      <c r="H283">
        <v>91.25</v>
      </c>
      <c r="I283">
        <v>90</v>
      </c>
      <c r="J283">
        <v>0</v>
      </c>
      <c r="K283">
        <v>0</v>
      </c>
      <c r="L283">
        <f>$AC$14</f>
        <v>0</v>
      </c>
      <c r="N283">
        <v>480</v>
      </c>
      <c r="P283">
        <v>-0.55000000000000004</v>
      </c>
      <c r="Q283">
        <f t="shared" si="33"/>
        <v>1</v>
      </c>
      <c r="S283">
        <f t="shared" si="31"/>
        <v>6.7179974480999993</v>
      </c>
      <c r="T283">
        <f t="shared" si="32"/>
        <v>0.13906254717566999</v>
      </c>
      <c r="U283">
        <f t="shared" si="29"/>
        <v>1142.0511686801897</v>
      </c>
    </row>
    <row r="284" spans="5:21" x14ac:dyDescent="0.2">
      <c r="F284" t="s">
        <v>121</v>
      </c>
      <c r="H284">
        <v>91.25</v>
      </c>
      <c r="I284">
        <v>80</v>
      </c>
      <c r="J284">
        <v>0</v>
      </c>
      <c r="K284">
        <v>0</v>
      </c>
      <c r="L284">
        <f>$AC$14</f>
        <v>0</v>
      </c>
      <c r="N284">
        <v>490</v>
      </c>
      <c r="P284">
        <v>0.11</v>
      </c>
      <c r="Q284">
        <f t="shared" si="33"/>
        <v>1</v>
      </c>
      <c r="S284">
        <f t="shared" si="31"/>
        <v>7.952343600099999</v>
      </c>
      <c r="T284">
        <f t="shared" si="32"/>
        <v>0.16461351252206999</v>
      </c>
      <c r="U284">
        <f t="shared" si="29"/>
        <v>1201.6786414111109</v>
      </c>
    </row>
    <row r="285" spans="5:21" x14ac:dyDescent="0.2">
      <c r="E285" t="s">
        <v>169</v>
      </c>
      <c r="F285" t="s">
        <v>117</v>
      </c>
      <c r="H285">
        <v>91.25</v>
      </c>
      <c r="I285">
        <v>30</v>
      </c>
      <c r="J285">
        <v>0</v>
      </c>
      <c r="K285">
        <v>0</v>
      </c>
      <c r="L285">
        <v>0</v>
      </c>
      <c r="N285">
        <v>480</v>
      </c>
      <c r="P285">
        <v>1.1000000000000001</v>
      </c>
      <c r="Q285">
        <f t="shared" si="33"/>
        <v>1</v>
      </c>
      <c r="S285">
        <f t="shared" si="31"/>
        <v>9.6824279555999979</v>
      </c>
      <c r="T285">
        <f t="shared" si="32"/>
        <v>0.20042625868091996</v>
      </c>
      <c r="U285">
        <f t="shared" si="29"/>
        <v>548.66688313901841</v>
      </c>
    </row>
    <row r="286" spans="5:21" x14ac:dyDescent="0.2">
      <c r="E286" t="s">
        <v>237</v>
      </c>
      <c r="F286" t="s">
        <v>119</v>
      </c>
      <c r="H286">
        <v>91.25</v>
      </c>
      <c r="I286">
        <v>70</v>
      </c>
      <c r="J286">
        <v>0</v>
      </c>
      <c r="K286">
        <v>0</v>
      </c>
      <c r="L286">
        <v>0</v>
      </c>
      <c r="N286">
        <v>470</v>
      </c>
      <c r="P286">
        <v>-0.11</v>
      </c>
      <c r="Q286">
        <f t="shared" si="33"/>
        <v>1</v>
      </c>
      <c r="S286">
        <f t="shared" si="31"/>
        <v>7.3430702361</v>
      </c>
      <c r="T286">
        <f t="shared" si="32"/>
        <v>0.15200155388727002</v>
      </c>
      <c r="U286">
        <f t="shared" si="29"/>
        <v>970.90992545493714</v>
      </c>
    </row>
    <row r="287" spans="5:21" x14ac:dyDescent="0.2">
      <c r="F287" t="s">
        <v>120</v>
      </c>
      <c r="H287">
        <v>91.25</v>
      </c>
      <c r="I287">
        <v>40</v>
      </c>
      <c r="J287">
        <v>0</v>
      </c>
      <c r="K287">
        <v>0</v>
      </c>
      <c r="L287">
        <v>0</v>
      </c>
      <c r="N287">
        <v>340</v>
      </c>
      <c r="P287">
        <v>0</v>
      </c>
      <c r="Q287">
        <f t="shared" ref="Q287:Q300" si="34">(J287 * $AD$4 + K287*$AD$5) + (1 - J287 )</f>
        <v>1</v>
      </c>
      <c r="S287">
        <f t="shared" si="31"/>
        <v>5.8953782416000013</v>
      </c>
      <c r="T287">
        <f t="shared" si="32"/>
        <v>0.12203432960112003</v>
      </c>
      <c r="U287">
        <f t="shared" si="29"/>
        <v>445.42530304408808</v>
      </c>
    </row>
    <row r="288" spans="5:21" x14ac:dyDescent="0.2">
      <c r="F288" t="s">
        <v>121</v>
      </c>
      <c r="H288">
        <v>91.25</v>
      </c>
      <c r="I288">
        <v>20</v>
      </c>
      <c r="J288">
        <v>0</v>
      </c>
      <c r="K288">
        <v>0</v>
      </c>
      <c r="L288">
        <v>0</v>
      </c>
      <c r="N288">
        <v>360</v>
      </c>
      <c r="P288">
        <v>0.44</v>
      </c>
      <c r="Q288">
        <f t="shared" si="34"/>
        <v>1</v>
      </c>
      <c r="S288">
        <f t="shared" si="31"/>
        <v>6.8698506815999991</v>
      </c>
      <c r="T288">
        <f t="shared" si="32"/>
        <v>0.14220590910911998</v>
      </c>
      <c r="U288">
        <f t="shared" si="29"/>
        <v>259.52578412414397</v>
      </c>
    </row>
    <row r="289" spans="5:21" x14ac:dyDescent="0.2">
      <c r="E289" t="s">
        <v>171</v>
      </c>
      <c r="F289" t="s">
        <v>117</v>
      </c>
      <c r="H289">
        <v>91.25</v>
      </c>
      <c r="I289">
        <v>30</v>
      </c>
      <c r="J289">
        <v>0</v>
      </c>
      <c r="K289">
        <v>0</v>
      </c>
      <c r="L289">
        <v>0</v>
      </c>
      <c r="N289">
        <v>480</v>
      </c>
      <c r="P289">
        <v>1.1000000000000001</v>
      </c>
      <c r="Q289">
        <f t="shared" si="34"/>
        <v>1</v>
      </c>
      <c r="S289">
        <f t="shared" si="31"/>
        <v>9.6824279555999979</v>
      </c>
      <c r="T289">
        <f t="shared" si="32"/>
        <v>0.20042625868091996</v>
      </c>
      <c r="U289">
        <f t="shared" si="29"/>
        <v>548.66688313901841</v>
      </c>
    </row>
    <row r="290" spans="5:21" x14ac:dyDescent="0.2">
      <c r="E290" t="s">
        <v>238</v>
      </c>
      <c r="F290" t="s">
        <v>119</v>
      </c>
      <c r="H290">
        <v>91.25</v>
      </c>
      <c r="I290">
        <v>100</v>
      </c>
      <c r="J290">
        <v>0</v>
      </c>
      <c r="K290">
        <v>0</v>
      </c>
      <c r="L290">
        <v>0</v>
      </c>
      <c r="N290">
        <v>470</v>
      </c>
      <c r="P290">
        <v>-0.11</v>
      </c>
      <c r="Q290">
        <f t="shared" si="34"/>
        <v>1</v>
      </c>
      <c r="S290">
        <f t="shared" si="31"/>
        <v>7.3430702361</v>
      </c>
      <c r="T290">
        <f t="shared" si="32"/>
        <v>0.15200155388727002</v>
      </c>
      <c r="U290">
        <f t="shared" si="29"/>
        <v>1387.014179221339</v>
      </c>
    </row>
    <row r="291" spans="5:21" x14ac:dyDescent="0.2">
      <c r="F291" t="s">
        <v>120</v>
      </c>
      <c r="H291">
        <v>91.25</v>
      </c>
      <c r="I291">
        <v>40</v>
      </c>
      <c r="J291">
        <v>0</v>
      </c>
      <c r="K291">
        <v>0</v>
      </c>
      <c r="L291">
        <v>0</v>
      </c>
      <c r="N291">
        <v>340</v>
      </c>
      <c r="P291">
        <v>0</v>
      </c>
      <c r="Q291">
        <f t="shared" si="34"/>
        <v>1</v>
      </c>
      <c r="S291">
        <f t="shared" si="31"/>
        <v>5.8953782416000013</v>
      </c>
      <c r="T291">
        <f t="shared" si="32"/>
        <v>0.12203432960112003</v>
      </c>
      <c r="U291">
        <f t="shared" si="29"/>
        <v>445.42530304408808</v>
      </c>
    </row>
    <row r="292" spans="5:21" x14ac:dyDescent="0.2">
      <c r="F292" t="s">
        <v>121</v>
      </c>
      <c r="H292">
        <v>91.25</v>
      </c>
      <c r="I292">
        <v>0</v>
      </c>
      <c r="J292">
        <v>0</v>
      </c>
      <c r="K292">
        <v>0</v>
      </c>
      <c r="L292">
        <v>0</v>
      </c>
      <c r="N292">
        <v>360</v>
      </c>
      <c r="P292">
        <v>0.44</v>
      </c>
      <c r="Q292">
        <f t="shared" si="34"/>
        <v>1</v>
      </c>
      <c r="S292">
        <f t="shared" si="31"/>
        <v>6.8698506815999991</v>
      </c>
      <c r="T292">
        <f t="shared" si="32"/>
        <v>0.14220590910911998</v>
      </c>
      <c r="U292">
        <f t="shared" si="29"/>
        <v>0</v>
      </c>
    </row>
    <row r="293" spans="5:21" x14ac:dyDescent="0.2">
      <c r="E293" t="s">
        <v>164</v>
      </c>
      <c r="F293" t="s">
        <v>117</v>
      </c>
      <c r="H293">
        <v>91.25</v>
      </c>
      <c r="I293">
        <v>20</v>
      </c>
      <c r="J293">
        <v>0</v>
      </c>
      <c r="K293">
        <v>0</v>
      </c>
      <c r="L293">
        <v>0</v>
      </c>
      <c r="N293">
        <v>300</v>
      </c>
      <c r="P293">
        <v>1.42</v>
      </c>
      <c r="Q293">
        <f t="shared" si="34"/>
        <v>1</v>
      </c>
      <c r="S293">
        <f t="shared" si="31"/>
        <v>7.6192560899999977</v>
      </c>
      <c r="T293">
        <f t="shared" si="32"/>
        <v>0.15771860106299995</v>
      </c>
      <c r="U293">
        <f t="shared" si="29"/>
        <v>287.83644693997491</v>
      </c>
    </row>
    <row r="294" spans="5:21" x14ac:dyDescent="0.2">
      <c r="E294">
        <v>6</v>
      </c>
      <c r="F294" t="s">
        <v>119</v>
      </c>
      <c r="H294">
        <v>91.25</v>
      </c>
      <c r="I294">
        <v>40</v>
      </c>
      <c r="J294">
        <v>0</v>
      </c>
      <c r="K294">
        <v>0</v>
      </c>
      <c r="L294">
        <v>0</v>
      </c>
      <c r="N294">
        <v>340</v>
      </c>
      <c r="P294">
        <v>0.44</v>
      </c>
      <c r="Q294">
        <f t="shared" si="34"/>
        <v>1</v>
      </c>
      <c r="S294">
        <f t="shared" si="31"/>
        <v>6.5876408896000003</v>
      </c>
      <c r="T294">
        <f t="shared" si="32"/>
        <v>0.13636416641471999</v>
      </c>
      <c r="U294">
        <f t="shared" si="29"/>
        <v>497.72920741372792</v>
      </c>
    </row>
    <row r="295" spans="5:21" x14ac:dyDescent="0.2">
      <c r="F295" t="s">
        <v>120</v>
      </c>
      <c r="H295">
        <v>91.25</v>
      </c>
      <c r="I295">
        <v>35</v>
      </c>
      <c r="J295">
        <v>0</v>
      </c>
      <c r="K295">
        <v>0</v>
      </c>
      <c r="L295">
        <v>0</v>
      </c>
      <c r="N295">
        <v>100</v>
      </c>
      <c r="P295">
        <v>0.6</v>
      </c>
      <c r="Q295">
        <f t="shared" si="34"/>
        <v>1</v>
      </c>
      <c r="S295">
        <f t="shared" si="31"/>
        <v>3.247204</v>
      </c>
      <c r="T295">
        <f t="shared" si="32"/>
        <v>6.7217122800000001E-2</v>
      </c>
      <c r="U295">
        <f t="shared" si="29"/>
        <v>214.67468594249999</v>
      </c>
    </row>
    <row r="296" spans="5:21" x14ac:dyDescent="0.2">
      <c r="F296" t="s">
        <v>121</v>
      </c>
      <c r="H296">
        <v>91.25</v>
      </c>
      <c r="I296">
        <v>30</v>
      </c>
      <c r="J296">
        <v>0</v>
      </c>
      <c r="K296">
        <v>0</v>
      </c>
      <c r="L296">
        <v>0</v>
      </c>
      <c r="N296">
        <v>170</v>
      </c>
      <c r="P296">
        <v>0.77</v>
      </c>
      <c r="Q296">
        <f t="shared" si="34"/>
        <v>1</v>
      </c>
      <c r="S296">
        <f t="shared" si="31"/>
        <v>4.5122681240999984</v>
      </c>
      <c r="T296">
        <f t="shared" si="32"/>
        <v>9.3403950168869973E-2</v>
      </c>
      <c r="U296">
        <f t="shared" si="29"/>
        <v>255.69331358728158</v>
      </c>
    </row>
    <row r="297" spans="5:21" x14ac:dyDescent="0.2">
      <c r="E297" t="s">
        <v>176</v>
      </c>
      <c r="F297" t="s">
        <v>117</v>
      </c>
      <c r="H297">
        <v>91.25</v>
      </c>
      <c r="I297">
        <v>30</v>
      </c>
      <c r="J297">
        <v>0</v>
      </c>
      <c r="K297">
        <v>0</v>
      </c>
      <c r="L297">
        <v>0</v>
      </c>
      <c r="N297">
        <v>480</v>
      </c>
      <c r="P297">
        <v>1.1000000000000001</v>
      </c>
      <c r="Q297">
        <f t="shared" si="34"/>
        <v>1</v>
      </c>
      <c r="S297">
        <f t="shared" si="31"/>
        <v>9.6824279555999979</v>
      </c>
      <c r="T297">
        <f t="shared" si="32"/>
        <v>0.20042625868091996</v>
      </c>
      <c r="U297">
        <f t="shared" si="29"/>
        <v>548.66688313901841</v>
      </c>
    </row>
    <row r="298" spans="5:21" x14ac:dyDescent="0.2">
      <c r="E298" t="s">
        <v>239</v>
      </c>
      <c r="F298" t="s">
        <v>119</v>
      </c>
      <c r="H298">
        <v>91.25</v>
      </c>
      <c r="I298">
        <v>35</v>
      </c>
      <c r="J298">
        <v>0</v>
      </c>
      <c r="K298">
        <v>0</v>
      </c>
      <c r="L298">
        <v>0</v>
      </c>
      <c r="N298">
        <v>470</v>
      </c>
      <c r="P298">
        <v>-0.11</v>
      </c>
      <c r="Q298">
        <f t="shared" si="34"/>
        <v>1</v>
      </c>
      <c r="S298">
        <f t="shared" si="31"/>
        <v>7.3430702361</v>
      </c>
      <c r="T298">
        <f t="shared" si="32"/>
        <v>0.15200155388727002</v>
      </c>
      <c r="U298">
        <f t="shared" si="29"/>
        <v>485.45496272746857</v>
      </c>
    </row>
    <row r="299" spans="5:21" x14ac:dyDescent="0.2">
      <c r="F299" t="s">
        <v>120</v>
      </c>
      <c r="H299">
        <v>91.25</v>
      </c>
      <c r="I299">
        <v>20</v>
      </c>
      <c r="J299">
        <v>0</v>
      </c>
      <c r="K299">
        <v>0</v>
      </c>
      <c r="L299">
        <v>0</v>
      </c>
      <c r="N299">
        <v>340</v>
      </c>
      <c r="P299">
        <v>0</v>
      </c>
      <c r="Q299">
        <f t="shared" si="34"/>
        <v>1</v>
      </c>
      <c r="S299">
        <f t="shared" si="31"/>
        <v>5.8953782416000013</v>
      </c>
      <c r="T299">
        <f t="shared" si="32"/>
        <v>0.12203432960112003</v>
      </c>
      <c r="U299">
        <f t="shared" si="29"/>
        <v>222.71265152204404</v>
      </c>
    </row>
    <row r="300" spans="5:21" x14ac:dyDescent="0.2">
      <c r="F300" t="s">
        <v>121</v>
      </c>
      <c r="H300">
        <v>91.25</v>
      </c>
      <c r="I300">
        <v>0</v>
      </c>
      <c r="J300">
        <v>0</v>
      </c>
      <c r="K300">
        <v>0</v>
      </c>
      <c r="L300">
        <v>0</v>
      </c>
      <c r="N300">
        <v>360</v>
      </c>
      <c r="P300">
        <v>0.44</v>
      </c>
      <c r="Q300">
        <f t="shared" si="34"/>
        <v>1</v>
      </c>
      <c r="S300">
        <f t="shared" si="31"/>
        <v>6.8698506815999991</v>
      </c>
      <c r="T300">
        <f t="shared" si="32"/>
        <v>0.14220590910911998</v>
      </c>
      <c r="U300">
        <f t="shared" si="29"/>
        <v>0</v>
      </c>
    </row>
    <row r="307" spans="1:22" x14ac:dyDescent="0.2">
      <c r="A307" s="9" t="s">
        <v>256</v>
      </c>
    </row>
    <row r="311" spans="1:22" x14ac:dyDescent="0.2">
      <c r="A311" t="s">
        <v>256</v>
      </c>
      <c r="B311" t="s">
        <v>232</v>
      </c>
      <c r="C311" t="s">
        <v>256</v>
      </c>
      <c r="D311" t="s">
        <v>256</v>
      </c>
      <c r="E311" t="s">
        <v>116</v>
      </c>
      <c r="F311" t="s">
        <v>117</v>
      </c>
      <c r="H311">
        <v>91.25</v>
      </c>
      <c r="I311">
        <v>50</v>
      </c>
      <c r="J311">
        <v>0</v>
      </c>
      <c r="K311">
        <v>0</v>
      </c>
      <c r="L311">
        <v>0</v>
      </c>
      <c r="N311" s="32" cm="1">
        <f t="array" ref="N311:N350">_xlfn.DROP(_xlfn.XLOOKUP($C311,TableW[[#Headers],[ACT/NSW]:[QLD - Low]],TableW[[#All],[ACT/NSW]:[QLD - Low]]),1)</f>
        <v>80</v>
      </c>
      <c r="P311" cm="1">
        <f t="array" ref="P311:P350">_xlfn.DROP(_xlfn.XLOOKUP($C311,TableLWG[[#Headers],[ACT/NSW]:[QLD - Low]],TableLWG[[#All],[ACT/NSW]:[QLD - Low]]),1)</f>
        <v>0.7</v>
      </c>
      <c r="Q311">
        <f>(J311 * $AD$4 + K311*$AD$5) + (1 - J311 )</f>
        <v>1</v>
      </c>
      <c r="S311">
        <f>(1.185 + 0.00454 * N311- 0.0000026 * N311^2 + 0.315 * P311 )^2 * Q311</f>
        <v>3.0697142436</v>
      </c>
      <c r="T311">
        <f>20.7 * S311 * 10^-3</f>
        <v>6.3543084842519998E-2</v>
      </c>
      <c r="U311">
        <f t="shared" ref="U311:U350" si="35">H311*T311*I311</f>
        <v>289.91532459399747</v>
      </c>
      <c r="V311">
        <f>SUM(U311:U350)/1000</f>
        <v>40.259432875035088</v>
      </c>
    </row>
    <row r="312" spans="1:22" x14ac:dyDescent="0.2">
      <c r="E312">
        <v>1</v>
      </c>
      <c r="F312" t="s">
        <v>119</v>
      </c>
      <c r="H312">
        <v>91.25</v>
      </c>
      <c r="I312">
        <v>100</v>
      </c>
      <c r="J312">
        <v>0</v>
      </c>
      <c r="K312">
        <v>0</v>
      </c>
      <c r="L312">
        <v>0</v>
      </c>
      <c r="N312">
        <v>150</v>
      </c>
      <c r="P312">
        <v>0.77</v>
      </c>
      <c r="Q312">
        <f t="shared" ref="Q312:Q322" si="36">(J312 * $AD$4 + K312*$AD$5) + (1 - J312 )</f>
        <v>1</v>
      </c>
      <c r="S312">
        <f t="shared" ref="S312:S350" si="37">(1.185 + 0.00454 * N312- 0.0000026 * N312^2 + 0.315 * P312 )^2 * Q312</f>
        <v>4.202705002500001</v>
      </c>
      <c r="T312">
        <f t="shared" ref="T312:T350" si="38">20.7 * S312 * 10^-3</f>
        <v>8.6995993551750014E-2</v>
      </c>
      <c r="U312">
        <f t="shared" si="35"/>
        <v>793.83844115971885</v>
      </c>
    </row>
    <row r="313" spans="1:22" x14ac:dyDescent="0.2">
      <c r="F313" t="s">
        <v>120</v>
      </c>
      <c r="H313">
        <v>91.25</v>
      </c>
      <c r="I313">
        <v>80</v>
      </c>
      <c r="J313">
        <v>0</v>
      </c>
      <c r="K313">
        <v>0</v>
      </c>
      <c r="L313">
        <v>0</v>
      </c>
      <c r="N313">
        <v>230</v>
      </c>
      <c r="P313">
        <v>0.88</v>
      </c>
      <c r="Q313">
        <f t="shared" si="36"/>
        <v>1</v>
      </c>
      <c r="S313">
        <f t="shared" si="37"/>
        <v>5.611497699600001</v>
      </c>
      <c r="T313">
        <f t="shared" si="38"/>
        <v>0.11615800238172001</v>
      </c>
      <c r="U313">
        <f t="shared" si="35"/>
        <v>847.95341738655611</v>
      </c>
    </row>
    <row r="314" spans="1:22" x14ac:dyDescent="0.2">
      <c r="F314" t="s">
        <v>121</v>
      </c>
      <c r="H314">
        <v>91.25</v>
      </c>
      <c r="I314">
        <v>75</v>
      </c>
      <c r="J314">
        <v>0</v>
      </c>
      <c r="K314">
        <v>0</v>
      </c>
      <c r="L314">
        <v>0</v>
      </c>
      <c r="N314">
        <v>250</v>
      </c>
      <c r="P314">
        <v>0.22</v>
      </c>
      <c r="Q314">
        <f t="shared" si="36"/>
        <v>1</v>
      </c>
      <c r="S314">
        <f t="shared" si="37"/>
        <v>4.9586382400000018</v>
      </c>
      <c r="T314">
        <f t="shared" si="38"/>
        <v>0.10264381156800004</v>
      </c>
      <c r="U314">
        <f t="shared" si="35"/>
        <v>702.46858541850031</v>
      </c>
    </row>
    <row r="315" spans="1:22" x14ac:dyDescent="0.2">
      <c r="E315" t="s">
        <v>122</v>
      </c>
      <c r="F315" t="s">
        <v>117</v>
      </c>
      <c r="H315">
        <v>91.25</v>
      </c>
      <c r="I315">
        <v>20</v>
      </c>
      <c r="J315">
        <v>0</v>
      </c>
      <c r="K315">
        <v>0</v>
      </c>
      <c r="L315">
        <v>0</v>
      </c>
      <c r="N315">
        <v>450</v>
      </c>
      <c r="P315">
        <v>-0.55000000000000004</v>
      </c>
      <c r="Q315">
        <f t="shared" si="36"/>
        <v>1</v>
      </c>
      <c r="S315">
        <f t="shared" si="37"/>
        <v>6.3920480624999998</v>
      </c>
      <c r="T315">
        <f t="shared" si="38"/>
        <v>0.13231539489374999</v>
      </c>
      <c r="U315">
        <f t="shared" si="35"/>
        <v>241.47559568109372</v>
      </c>
    </row>
    <row r="316" spans="1:22" x14ac:dyDescent="0.2">
      <c r="E316">
        <v>2</v>
      </c>
      <c r="F316" t="s">
        <v>119</v>
      </c>
      <c r="H316">
        <v>91.25</v>
      </c>
      <c r="I316">
        <v>80</v>
      </c>
      <c r="J316">
        <v>0</v>
      </c>
      <c r="K316">
        <v>0</v>
      </c>
      <c r="L316">
        <v>0</v>
      </c>
      <c r="N316">
        <v>500</v>
      </c>
      <c r="P316">
        <v>0.55000000000000004</v>
      </c>
      <c r="Q316">
        <f t="shared" si="36"/>
        <v>1</v>
      </c>
      <c r="S316">
        <f t="shared" si="37"/>
        <v>8.8699730624999997</v>
      </c>
      <c r="T316">
        <f t="shared" si="38"/>
        <v>0.18360844239374999</v>
      </c>
      <c r="U316">
        <f t="shared" si="35"/>
        <v>1340.3416294743749</v>
      </c>
    </row>
    <row r="317" spans="1:22" x14ac:dyDescent="0.2">
      <c r="F317" t="s">
        <v>120</v>
      </c>
      <c r="H317">
        <v>91.25</v>
      </c>
      <c r="I317">
        <v>70</v>
      </c>
      <c r="J317">
        <v>0</v>
      </c>
      <c r="K317">
        <v>0</v>
      </c>
      <c r="L317">
        <v>0</v>
      </c>
      <c r="N317">
        <v>550</v>
      </c>
      <c r="P317">
        <v>0.55000000000000004</v>
      </c>
      <c r="Q317">
        <f t="shared" si="36"/>
        <v>1</v>
      </c>
      <c r="S317">
        <f t="shared" si="37"/>
        <v>9.4172265624999998</v>
      </c>
      <c r="T317">
        <f t="shared" si="38"/>
        <v>0.19493658984375001</v>
      </c>
      <c r="U317">
        <f t="shared" si="35"/>
        <v>1245.1574676269531</v>
      </c>
    </row>
    <row r="318" spans="1:22" x14ac:dyDescent="0.2">
      <c r="F318" t="s">
        <v>121</v>
      </c>
      <c r="H318">
        <v>91.25</v>
      </c>
      <c r="I318">
        <v>55</v>
      </c>
      <c r="J318">
        <v>0</v>
      </c>
      <c r="K318">
        <v>0</v>
      </c>
      <c r="L318">
        <v>0</v>
      </c>
      <c r="N318">
        <v>500</v>
      </c>
      <c r="P318">
        <v>-0.55000000000000004</v>
      </c>
      <c r="Q318">
        <f t="shared" si="36"/>
        <v>1</v>
      </c>
      <c r="S318">
        <f t="shared" si="37"/>
        <v>6.9261080625000018</v>
      </c>
      <c r="T318">
        <f t="shared" si="38"/>
        <v>0.14337043689375004</v>
      </c>
      <c r="U318">
        <f t="shared" si="35"/>
        <v>719.54038016050799</v>
      </c>
    </row>
    <row r="319" spans="1:22" x14ac:dyDescent="0.2">
      <c r="E319" t="s">
        <v>146</v>
      </c>
      <c r="F319" t="s">
        <v>117</v>
      </c>
      <c r="H319">
        <v>91.25</v>
      </c>
      <c r="I319">
        <v>100</v>
      </c>
      <c r="J319">
        <v>0</v>
      </c>
      <c r="K319">
        <v>0</v>
      </c>
      <c r="L319">
        <v>0</v>
      </c>
      <c r="N319">
        <v>260</v>
      </c>
      <c r="P319">
        <v>0.22</v>
      </c>
      <c r="Q319">
        <f t="shared" si="36"/>
        <v>1</v>
      </c>
      <c r="S319">
        <f t="shared" si="37"/>
        <v>5.1028099236000015</v>
      </c>
      <c r="T319">
        <f t="shared" si="38"/>
        <v>0.10562816541852003</v>
      </c>
      <c r="U319">
        <f t="shared" si="35"/>
        <v>963.85700944399525</v>
      </c>
    </row>
    <row r="320" spans="1:22" x14ac:dyDescent="0.2">
      <c r="E320">
        <v>4</v>
      </c>
      <c r="F320" t="s">
        <v>119</v>
      </c>
      <c r="H320">
        <v>91.25</v>
      </c>
      <c r="I320">
        <v>180</v>
      </c>
      <c r="J320">
        <v>0</v>
      </c>
      <c r="K320">
        <v>0</v>
      </c>
      <c r="L320">
        <v>0</v>
      </c>
      <c r="N320">
        <v>310</v>
      </c>
      <c r="P320">
        <v>0.66</v>
      </c>
      <c r="Q320">
        <f t="shared" si="36"/>
        <v>1</v>
      </c>
      <c r="S320">
        <f t="shared" si="37"/>
        <v>6.5047441936000006</v>
      </c>
      <c r="T320">
        <f t="shared" si="38"/>
        <v>0.13464820480752002</v>
      </c>
      <c r="U320">
        <f t="shared" si="35"/>
        <v>2211.596763963516</v>
      </c>
    </row>
    <row r="321" spans="5:21" x14ac:dyDescent="0.2">
      <c r="F321" t="s">
        <v>120</v>
      </c>
      <c r="H321">
        <v>91.25</v>
      </c>
      <c r="I321">
        <v>170</v>
      </c>
      <c r="J321">
        <v>0</v>
      </c>
      <c r="K321">
        <v>0</v>
      </c>
      <c r="L321">
        <v>0</v>
      </c>
      <c r="N321">
        <v>330</v>
      </c>
      <c r="P321">
        <v>0.22</v>
      </c>
      <c r="Q321">
        <f t="shared" si="36"/>
        <v>1</v>
      </c>
      <c r="S321">
        <f t="shared" si="37"/>
        <v>6.0977388096000018</v>
      </c>
      <c r="T321">
        <f t="shared" si="38"/>
        <v>0.12622319335872004</v>
      </c>
      <c r="U321">
        <f t="shared" si="35"/>
        <v>1958.0372869771445</v>
      </c>
    </row>
    <row r="322" spans="5:21" x14ac:dyDescent="0.2">
      <c r="F322" t="s">
        <v>121</v>
      </c>
      <c r="H322">
        <v>91.25</v>
      </c>
      <c r="I322">
        <v>155</v>
      </c>
      <c r="J322">
        <v>0</v>
      </c>
      <c r="K322">
        <v>0</v>
      </c>
      <c r="L322">
        <v>0</v>
      </c>
      <c r="N322">
        <v>340</v>
      </c>
      <c r="P322">
        <v>0.11</v>
      </c>
      <c r="Q322">
        <f t="shared" si="36"/>
        <v>1</v>
      </c>
      <c r="S322">
        <f t="shared" si="37"/>
        <v>6.0648420361000017</v>
      </c>
      <c r="T322">
        <f t="shared" si="38"/>
        <v>0.12554223014727003</v>
      </c>
      <c r="U322">
        <f t="shared" si="35"/>
        <v>1775.6379176454504</v>
      </c>
    </row>
    <row r="323" spans="5:21" x14ac:dyDescent="0.2">
      <c r="E323" t="s">
        <v>152</v>
      </c>
      <c r="F323" t="s">
        <v>117</v>
      </c>
      <c r="H323">
        <v>91.25</v>
      </c>
      <c r="I323">
        <v>150</v>
      </c>
      <c r="J323">
        <v>0.7</v>
      </c>
      <c r="K323">
        <v>0.05</v>
      </c>
      <c r="L323">
        <f>$AC$12</f>
        <v>1.3</v>
      </c>
      <c r="N323">
        <v>340</v>
      </c>
      <c r="P323">
        <v>-0.22</v>
      </c>
      <c r="Q323">
        <f>(J323 * $AD$4 +K323* $AD$5) + (1 -J323 - K323 )</f>
        <v>1.2150000000000001</v>
      </c>
      <c r="S323">
        <f t="shared" si="37"/>
        <v>6.7598400809340013</v>
      </c>
      <c r="T323">
        <f t="shared" si="38"/>
        <v>0.13992868967533384</v>
      </c>
      <c r="U323">
        <f t="shared" si="35"/>
        <v>1915.273939931132</v>
      </c>
    </row>
    <row r="324" spans="5:21" x14ac:dyDescent="0.2">
      <c r="E324" t="s">
        <v>235</v>
      </c>
      <c r="F324" t="s">
        <v>119</v>
      </c>
      <c r="H324">
        <v>91.25</v>
      </c>
      <c r="I324">
        <v>250</v>
      </c>
      <c r="J324">
        <v>0</v>
      </c>
      <c r="K324">
        <v>0.71</v>
      </c>
      <c r="L324">
        <f>$AC$13</f>
        <v>1.1000000000000001</v>
      </c>
      <c r="N324">
        <v>360</v>
      </c>
      <c r="P324">
        <v>0.55000000000000004</v>
      </c>
      <c r="Q324">
        <f t="shared" ref="Q324:Q336" si="39">(J324 * $AD$4 +K324* $AD$5) + (1 -J324 - K324 )</f>
        <v>1.0710000000000002</v>
      </c>
      <c r="S324">
        <f t="shared" si="37"/>
        <v>7.5534303218031003</v>
      </c>
      <c r="T324">
        <f t="shared" si="38"/>
        <v>0.15635600766132415</v>
      </c>
      <c r="U324">
        <f t="shared" si="35"/>
        <v>3566.8714247739572</v>
      </c>
    </row>
    <row r="325" spans="5:21" x14ac:dyDescent="0.2">
      <c r="F325" t="s">
        <v>120</v>
      </c>
      <c r="H325">
        <v>91.25</v>
      </c>
      <c r="I325">
        <v>240</v>
      </c>
      <c r="J325">
        <v>0</v>
      </c>
      <c r="K325">
        <v>0</v>
      </c>
      <c r="L325">
        <f>$AC$14</f>
        <v>0</v>
      </c>
      <c r="N325">
        <v>380</v>
      </c>
      <c r="P325">
        <v>0.22</v>
      </c>
      <c r="Q325">
        <f t="shared" si="39"/>
        <v>1</v>
      </c>
      <c r="S325">
        <f t="shared" si="37"/>
        <v>6.7811284835999981</v>
      </c>
      <c r="T325">
        <f t="shared" si="38"/>
        <v>0.14036935961051997</v>
      </c>
      <c r="U325">
        <f t="shared" si="35"/>
        <v>3074.0889754703871</v>
      </c>
    </row>
    <row r="326" spans="5:21" x14ac:dyDescent="0.2">
      <c r="F326" t="s">
        <v>121</v>
      </c>
      <c r="H326">
        <v>91.25</v>
      </c>
      <c r="I326">
        <v>200</v>
      </c>
      <c r="J326">
        <v>0.1</v>
      </c>
      <c r="K326">
        <v>0</v>
      </c>
      <c r="L326">
        <f>$AC$14</f>
        <v>0</v>
      </c>
      <c r="N326">
        <v>360</v>
      </c>
      <c r="P326">
        <v>-0.22</v>
      </c>
      <c r="Q326">
        <f t="shared" si="39"/>
        <v>1.03</v>
      </c>
      <c r="S326">
        <f t="shared" si="37"/>
        <v>5.9979419993879999</v>
      </c>
      <c r="T326">
        <f t="shared" si="38"/>
        <v>0.1241573993873316</v>
      </c>
      <c r="U326">
        <f t="shared" si="35"/>
        <v>2265.8725388188018</v>
      </c>
    </row>
    <row r="327" spans="5:21" x14ac:dyDescent="0.2">
      <c r="E327" t="s">
        <v>141</v>
      </c>
      <c r="F327" t="s">
        <v>117</v>
      </c>
      <c r="H327">
        <v>91.25</v>
      </c>
      <c r="I327">
        <v>100</v>
      </c>
      <c r="J327">
        <v>0</v>
      </c>
      <c r="K327">
        <v>0</v>
      </c>
      <c r="L327">
        <v>0</v>
      </c>
      <c r="N327">
        <v>70</v>
      </c>
      <c r="P327">
        <v>0.7</v>
      </c>
      <c r="Q327">
        <f t="shared" si="39"/>
        <v>1</v>
      </c>
      <c r="S327">
        <f t="shared" si="37"/>
        <v>2.9260155136000003</v>
      </c>
      <c r="T327">
        <f t="shared" si="38"/>
        <v>6.056852113152001E-2</v>
      </c>
      <c r="U327">
        <f t="shared" si="35"/>
        <v>552.68775532512007</v>
      </c>
    </row>
    <row r="328" spans="5:21" x14ac:dyDescent="0.2">
      <c r="E328">
        <v>3</v>
      </c>
      <c r="F328" t="s">
        <v>119</v>
      </c>
      <c r="H328">
        <v>91.25</v>
      </c>
      <c r="I328">
        <v>190</v>
      </c>
      <c r="J328">
        <v>0</v>
      </c>
      <c r="K328">
        <v>0</v>
      </c>
      <c r="L328">
        <v>0</v>
      </c>
      <c r="N328">
        <v>140</v>
      </c>
      <c r="P328">
        <v>0.77</v>
      </c>
      <c r="Q328">
        <f t="shared" si="39"/>
        <v>1</v>
      </c>
      <c r="S328">
        <f t="shared" si="37"/>
        <v>4.0489085960999995</v>
      </c>
      <c r="T328">
        <f t="shared" si="38"/>
        <v>8.3812407939269987E-2</v>
      </c>
      <c r="U328">
        <f t="shared" si="35"/>
        <v>1453.0976226470934</v>
      </c>
    </row>
    <row r="329" spans="5:21" x14ac:dyDescent="0.2">
      <c r="F329" t="s">
        <v>120</v>
      </c>
      <c r="H329">
        <v>91.25</v>
      </c>
      <c r="I329">
        <v>195</v>
      </c>
      <c r="J329">
        <v>0</v>
      </c>
      <c r="K329">
        <v>0</v>
      </c>
      <c r="L329">
        <v>0</v>
      </c>
      <c r="N329">
        <v>220</v>
      </c>
      <c r="P329">
        <v>0.88</v>
      </c>
      <c r="Q329">
        <f t="shared" si="39"/>
        <v>1</v>
      </c>
      <c r="S329">
        <f t="shared" si="37"/>
        <v>5.4529722255999982</v>
      </c>
      <c r="T329">
        <f t="shared" si="38"/>
        <v>0.11287652506991996</v>
      </c>
      <c r="U329">
        <f t="shared" si="35"/>
        <v>2008.4966679628885</v>
      </c>
    </row>
    <row r="330" spans="5:21" x14ac:dyDescent="0.2">
      <c r="F330" t="s">
        <v>121</v>
      </c>
      <c r="H330">
        <v>91.25</v>
      </c>
      <c r="I330">
        <v>200</v>
      </c>
      <c r="J330">
        <v>0</v>
      </c>
      <c r="K330">
        <v>0</v>
      </c>
      <c r="L330">
        <v>0</v>
      </c>
      <c r="N330">
        <v>240</v>
      </c>
      <c r="P330">
        <v>0.22</v>
      </c>
      <c r="Q330">
        <f t="shared" si="39"/>
        <v>1</v>
      </c>
      <c r="S330">
        <f t="shared" si="37"/>
        <v>4.8142503396</v>
      </c>
      <c r="T330">
        <f t="shared" si="38"/>
        <v>9.9654982029720007E-2</v>
      </c>
      <c r="U330">
        <f t="shared" si="35"/>
        <v>1818.70342204239</v>
      </c>
    </row>
    <row r="331" spans="5:21" x14ac:dyDescent="0.2">
      <c r="E331" t="s">
        <v>156</v>
      </c>
      <c r="F331" t="s">
        <v>117</v>
      </c>
      <c r="H331">
        <v>91.25</v>
      </c>
      <c r="I331">
        <v>50</v>
      </c>
      <c r="J331">
        <v>0.9</v>
      </c>
      <c r="K331">
        <v>0.05</v>
      </c>
      <c r="L331">
        <f>$AC$12</f>
        <v>1.3</v>
      </c>
      <c r="N331">
        <v>340</v>
      </c>
      <c r="P331">
        <v>-0.22</v>
      </c>
      <c r="Q331">
        <f t="shared" si="39"/>
        <v>1.2750000000000001</v>
      </c>
      <c r="S331">
        <f t="shared" si="37"/>
        <v>7.0936593441900015</v>
      </c>
      <c r="T331">
        <f t="shared" si="38"/>
        <v>0.14683874842473305</v>
      </c>
      <c r="U331">
        <f t="shared" si="35"/>
        <v>669.95178968784455</v>
      </c>
    </row>
    <row r="332" spans="5:21" x14ac:dyDescent="0.2">
      <c r="E332" t="s">
        <v>236</v>
      </c>
      <c r="F332" t="s">
        <v>119</v>
      </c>
      <c r="H332">
        <v>91.25</v>
      </c>
      <c r="I332">
        <v>100</v>
      </c>
      <c r="J332">
        <v>0</v>
      </c>
      <c r="K332">
        <v>0.85</v>
      </c>
      <c r="L332">
        <f>$AC$13</f>
        <v>1.1000000000000001</v>
      </c>
      <c r="N332">
        <v>360</v>
      </c>
      <c r="P332">
        <v>0.55000000000000004</v>
      </c>
      <c r="Q332">
        <f t="shared" si="39"/>
        <v>1.085</v>
      </c>
      <c r="S332">
        <f t="shared" si="37"/>
        <v>7.6521679730684991</v>
      </c>
      <c r="T332">
        <f t="shared" si="38"/>
        <v>0.15839987704251793</v>
      </c>
      <c r="U332">
        <f t="shared" si="35"/>
        <v>1445.398878012976</v>
      </c>
    </row>
    <row r="333" spans="5:21" x14ac:dyDescent="0.2">
      <c r="F333" t="s">
        <v>120</v>
      </c>
      <c r="H333">
        <v>91.25</v>
      </c>
      <c r="I333">
        <v>90</v>
      </c>
      <c r="J333">
        <v>0</v>
      </c>
      <c r="K333">
        <v>0</v>
      </c>
      <c r="L333">
        <f>$AC$14</f>
        <v>0</v>
      </c>
      <c r="N333">
        <v>380</v>
      </c>
      <c r="P333">
        <v>0.22</v>
      </c>
      <c r="Q333">
        <f t="shared" si="39"/>
        <v>1</v>
      </c>
      <c r="S333">
        <f t="shared" si="37"/>
        <v>6.7811284835999981</v>
      </c>
      <c r="T333">
        <f t="shared" si="38"/>
        <v>0.14036935961051997</v>
      </c>
      <c r="U333">
        <f t="shared" si="35"/>
        <v>1152.7833658013953</v>
      </c>
    </row>
    <row r="334" spans="5:21" x14ac:dyDescent="0.2">
      <c r="F334" t="s">
        <v>121</v>
      </c>
      <c r="H334">
        <v>91.25</v>
      </c>
      <c r="I334">
        <v>80</v>
      </c>
      <c r="J334">
        <v>0</v>
      </c>
      <c r="K334">
        <v>0</v>
      </c>
      <c r="L334">
        <f>$AC$14</f>
        <v>0</v>
      </c>
      <c r="N334">
        <v>360</v>
      </c>
      <c r="P334">
        <v>-0.22</v>
      </c>
      <c r="Q334">
        <f t="shared" si="39"/>
        <v>1</v>
      </c>
      <c r="S334">
        <f t="shared" si="37"/>
        <v>5.8232446595999994</v>
      </c>
      <c r="T334">
        <f t="shared" si="38"/>
        <v>0.12054116445371998</v>
      </c>
      <c r="U334">
        <f t="shared" si="35"/>
        <v>879.95050051215583</v>
      </c>
    </row>
    <row r="335" spans="5:21" x14ac:dyDescent="0.2">
      <c r="E335" t="s">
        <v>169</v>
      </c>
      <c r="F335" t="s">
        <v>117</v>
      </c>
      <c r="H335">
        <v>91.25</v>
      </c>
      <c r="I335">
        <v>30</v>
      </c>
      <c r="J335">
        <v>0</v>
      </c>
      <c r="K335">
        <v>0</v>
      </c>
      <c r="L335">
        <v>0</v>
      </c>
      <c r="N335">
        <v>370</v>
      </c>
      <c r="P335">
        <v>-0.22</v>
      </c>
      <c r="Q335">
        <f t="shared" si="39"/>
        <v>1</v>
      </c>
      <c r="S335">
        <f t="shared" si="37"/>
        <v>5.9514529935999985</v>
      </c>
      <c r="T335">
        <f t="shared" si="38"/>
        <v>0.12319507696751997</v>
      </c>
      <c r="U335">
        <f t="shared" si="35"/>
        <v>337.24652319858592</v>
      </c>
    </row>
    <row r="336" spans="5:21" x14ac:dyDescent="0.2">
      <c r="E336" t="s">
        <v>237</v>
      </c>
      <c r="F336" t="s">
        <v>119</v>
      </c>
      <c r="H336">
        <v>91.25</v>
      </c>
      <c r="I336">
        <v>70</v>
      </c>
      <c r="J336">
        <v>0</v>
      </c>
      <c r="K336">
        <v>0</v>
      </c>
      <c r="L336">
        <v>0</v>
      </c>
      <c r="N336">
        <v>400</v>
      </c>
      <c r="P336">
        <v>0.33</v>
      </c>
      <c r="Q336">
        <f t="shared" si="39"/>
        <v>1</v>
      </c>
      <c r="S336">
        <f t="shared" si="37"/>
        <v>7.230452102500001</v>
      </c>
      <c r="T336">
        <f t="shared" si="38"/>
        <v>0.14967035852175001</v>
      </c>
      <c r="U336">
        <f t="shared" si="35"/>
        <v>956.0194150576782</v>
      </c>
    </row>
    <row r="337" spans="5:21" x14ac:dyDescent="0.2">
      <c r="F337" t="s">
        <v>120</v>
      </c>
      <c r="H337">
        <v>91.25</v>
      </c>
      <c r="I337">
        <v>30</v>
      </c>
      <c r="J337">
        <v>0</v>
      </c>
      <c r="K337">
        <v>0</v>
      </c>
      <c r="L337">
        <v>0</v>
      </c>
      <c r="N337">
        <v>420</v>
      </c>
      <c r="P337">
        <v>0.22</v>
      </c>
      <c r="Q337">
        <f t="shared" ref="Q337:Q350" si="40">(J337 * $AD$4 + K337*$AD$5) + (1 - J337 )</f>
        <v>1</v>
      </c>
      <c r="S337">
        <f t="shared" si="37"/>
        <v>7.3032900516000012</v>
      </c>
      <c r="T337">
        <f t="shared" si="38"/>
        <v>0.15117810406812002</v>
      </c>
      <c r="U337">
        <f t="shared" si="35"/>
        <v>413.85005988647856</v>
      </c>
    </row>
    <row r="338" spans="5:21" x14ac:dyDescent="0.2">
      <c r="F338" t="s">
        <v>121</v>
      </c>
      <c r="H338">
        <v>91.25</v>
      </c>
      <c r="I338">
        <v>20</v>
      </c>
      <c r="J338">
        <v>0</v>
      </c>
      <c r="K338">
        <v>0</v>
      </c>
      <c r="L338">
        <v>0</v>
      </c>
      <c r="N338">
        <v>390</v>
      </c>
      <c r="P338">
        <v>-0.33</v>
      </c>
      <c r="Q338">
        <f t="shared" si="40"/>
        <v>1</v>
      </c>
      <c r="S338">
        <f t="shared" si="37"/>
        <v>6.0328693160999993</v>
      </c>
      <c r="T338">
        <f t="shared" si="38"/>
        <v>0.12488039484326999</v>
      </c>
      <c r="U338">
        <f t="shared" si="35"/>
        <v>227.90672058896774</v>
      </c>
    </row>
    <row r="339" spans="5:21" x14ac:dyDescent="0.2">
      <c r="E339" t="s">
        <v>171</v>
      </c>
      <c r="F339" t="s">
        <v>117</v>
      </c>
      <c r="H339">
        <v>91.25</v>
      </c>
      <c r="I339">
        <v>30</v>
      </c>
      <c r="J339">
        <v>0</v>
      </c>
      <c r="K339">
        <v>0</v>
      </c>
      <c r="L339">
        <v>0</v>
      </c>
      <c r="N339">
        <v>370</v>
      </c>
      <c r="P339">
        <v>-0.22</v>
      </c>
      <c r="Q339">
        <f t="shared" si="40"/>
        <v>1</v>
      </c>
      <c r="S339">
        <f t="shared" si="37"/>
        <v>5.9514529935999985</v>
      </c>
      <c r="T339">
        <f t="shared" si="38"/>
        <v>0.12319507696751997</v>
      </c>
      <c r="U339">
        <f t="shared" si="35"/>
        <v>337.24652319858592</v>
      </c>
    </row>
    <row r="340" spans="5:21" x14ac:dyDescent="0.2">
      <c r="E340" t="s">
        <v>238</v>
      </c>
      <c r="F340" t="s">
        <v>119</v>
      </c>
      <c r="H340">
        <v>91.25</v>
      </c>
      <c r="I340">
        <v>100</v>
      </c>
      <c r="J340">
        <v>0</v>
      </c>
      <c r="K340">
        <v>0</v>
      </c>
      <c r="L340">
        <v>0</v>
      </c>
      <c r="N340">
        <v>400</v>
      </c>
      <c r="P340">
        <v>0.33</v>
      </c>
      <c r="Q340">
        <f t="shared" si="40"/>
        <v>1</v>
      </c>
      <c r="S340">
        <f t="shared" si="37"/>
        <v>7.230452102500001</v>
      </c>
      <c r="T340">
        <f t="shared" si="38"/>
        <v>0.14967035852175001</v>
      </c>
      <c r="U340">
        <f t="shared" si="35"/>
        <v>1365.7420215109689</v>
      </c>
    </row>
    <row r="341" spans="5:21" x14ac:dyDescent="0.2">
      <c r="F341" t="s">
        <v>120</v>
      </c>
      <c r="H341">
        <v>91.25</v>
      </c>
      <c r="I341">
        <v>40</v>
      </c>
      <c r="J341">
        <v>0</v>
      </c>
      <c r="K341">
        <v>0</v>
      </c>
      <c r="L341">
        <v>0</v>
      </c>
      <c r="N341">
        <v>420</v>
      </c>
      <c r="P341">
        <v>0.22</v>
      </c>
      <c r="Q341">
        <f t="shared" si="40"/>
        <v>1</v>
      </c>
      <c r="S341">
        <f t="shared" si="37"/>
        <v>7.3032900516000012</v>
      </c>
      <c r="T341">
        <f t="shared" si="38"/>
        <v>0.15117810406812002</v>
      </c>
      <c r="U341">
        <f t="shared" si="35"/>
        <v>551.80007984863801</v>
      </c>
    </row>
    <row r="342" spans="5:21" x14ac:dyDescent="0.2">
      <c r="F342" t="s">
        <v>121</v>
      </c>
      <c r="H342">
        <v>91.25</v>
      </c>
      <c r="I342">
        <v>0</v>
      </c>
      <c r="J342">
        <v>0</v>
      </c>
      <c r="K342">
        <v>0</v>
      </c>
      <c r="L342">
        <v>0</v>
      </c>
      <c r="N342">
        <v>390</v>
      </c>
      <c r="P342">
        <v>-0.33</v>
      </c>
      <c r="Q342">
        <f t="shared" si="40"/>
        <v>1</v>
      </c>
      <c r="S342">
        <f t="shared" si="37"/>
        <v>6.0328693160999993</v>
      </c>
      <c r="T342">
        <f t="shared" si="38"/>
        <v>0.12488039484326999</v>
      </c>
      <c r="U342">
        <f t="shared" si="35"/>
        <v>0</v>
      </c>
    </row>
    <row r="343" spans="5:21" x14ac:dyDescent="0.2">
      <c r="E343" t="s">
        <v>164</v>
      </c>
      <c r="F343" t="s">
        <v>117</v>
      </c>
      <c r="H343">
        <v>91.25</v>
      </c>
      <c r="I343">
        <v>20</v>
      </c>
      <c r="J343">
        <v>0</v>
      </c>
      <c r="K343">
        <v>0</v>
      </c>
      <c r="L343">
        <v>0</v>
      </c>
      <c r="N343">
        <v>80</v>
      </c>
      <c r="P343">
        <v>0.7</v>
      </c>
      <c r="Q343">
        <f t="shared" si="40"/>
        <v>1</v>
      </c>
      <c r="S343">
        <f t="shared" si="37"/>
        <v>3.0697142436</v>
      </c>
      <c r="T343">
        <f t="shared" si="38"/>
        <v>6.3543084842519998E-2</v>
      </c>
      <c r="U343">
        <f t="shared" si="35"/>
        <v>115.96612983759898</v>
      </c>
    </row>
    <row r="344" spans="5:21" x14ac:dyDescent="0.2">
      <c r="E344">
        <v>6</v>
      </c>
      <c r="F344" t="s">
        <v>119</v>
      </c>
      <c r="H344">
        <v>91.25</v>
      </c>
      <c r="I344">
        <v>40</v>
      </c>
      <c r="J344">
        <v>0</v>
      </c>
      <c r="K344">
        <v>0</v>
      </c>
      <c r="L344">
        <v>0</v>
      </c>
      <c r="N344">
        <v>150</v>
      </c>
      <c r="P344">
        <v>0.77</v>
      </c>
      <c r="Q344">
        <f t="shared" si="40"/>
        <v>1</v>
      </c>
      <c r="S344">
        <f t="shared" si="37"/>
        <v>4.202705002500001</v>
      </c>
      <c r="T344">
        <f t="shared" si="38"/>
        <v>8.6995993551750014E-2</v>
      </c>
      <c r="U344">
        <f t="shared" si="35"/>
        <v>317.53537646388753</v>
      </c>
    </row>
    <row r="345" spans="5:21" x14ac:dyDescent="0.2">
      <c r="F345" t="s">
        <v>120</v>
      </c>
      <c r="H345">
        <v>91.25</v>
      </c>
      <c r="I345">
        <v>35</v>
      </c>
      <c r="J345">
        <v>0</v>
      </c>
      <c r="K345">
        <v>0</v>
      </c>
      <c r="L345">
        <v>0</v>
      </c>
      <c r="N345">
        <v>230</v>
      </c>
      <c r="P345">
        <v>0.88</v>
      </c>
      <c r="Q345">
        <f t="shared" si="40"/>
        <v>1</v>
      </c>
      <c r="S345">
        <f t="shared" si="37"/>
        <v>5.611497699600001</v>
      </c>
      <c r="T345">
        <f t="shared" si="38"/>
        <v>0.11615800238172001</v>
      </c>
      <c r="U345">
        <f t="shared" si="35"/>
        <v>370.97962010661831</v>
      </c>
    </row>
    <row r="346" spans="5:21" x14ac:dyDescent="0.2">
      <c r="F346" t="s">
        <v>121</v>
      </c>
      <c r="H346">
        <v>91.25</v>
      </c>
      <c r="I346">
        <v>30</v>
      </c>
      <c r="J346">
        <v>0</v>
      </c>
      <c r="K346">
        <v>0</v>
      </c>
      <c r="L346">
        <v>0</v>
      </c>
      <c r="N346">
        <v>250</v>
      </c>
      <c r="P346">
        <v>0.22</v>
      </c>
      <c r="Q346">
        <f t="shared" si="40"/>
        <v>1</v>
      </c>
      <c r="S346">
        <f t="shared" si="37"/>
        <v>4.9586382400000018</v>
      </c>
      <c r="T346">
        <f t="shared" si="38"/>
        <v>0.10264381156800004</v>
      </c>
      <c r="U346">
        <f t="shared" si="35"/>
        <v>280.98743416740012</v>
      </c>
    </row>
    <row r="347" spans="5:21" x14ac:dyDescent="0.2">
      <c r="E347" t="s">
        <v>176</v>
      </c>
      <c r="F347" t="s">
        <v>117</v>
      </c>
      <c r="H347">
        <v>91.25</v>
      </c>
      <c r="I347">
        <v>30</v>
      </c>
      <c r="J347">
        <v>0</v>
      </c>
      <c r="K347">
        <v>0</v>
      </c>
      <c r="L347">
        <v>0</v>
      </c>
      <c r="N347">
        <v>370</v>
      </c>
      <c r="P347">
        <v>-0.22</v>
      </c>
      <c r="Q347">
        <f t="shared" si="40"/>
        <v>1</v>
      </c>
      <c r="S347">
        <f t="shared" si="37"/>
        <v>5.9514529935999985</v>
      </c>
      <c r="T347">
        <f t="shared" si="38"/>
        <v>0.12319507696751997</v>
      </c>
      <c r="U347">
        <f t="shared" si="35"/>
        <v>337.24652319858592</v>
      </c>
    </row>
    <row r="348" spans="5:21" x14ac:dyDescent="0.2">
      <c r="E348" t="s">
        <v>239</v>
      </c>
      <c r="F348" t="s">
        <v>119</v>
      </c>
      <c r="H348">
        <v>91.25</v>
      </c>
      <c r="I348">
        <v>35</v>
      </c>
      <c r="J348">
        <v>0</v>
      </c>
      <c r="K348">
        <v>0</v>
      </c>
      <c r="L348">
        <v>0</v>
      </c>
      <c r="N348">
        <v>400</v>
      </c>
      <c r="P348">
        <v>0.33</v>
      </c>
      <c r="Q348">
        <f t="shared" si="40"/>
        <v>1</v>
      </c>
      <c r="S348">
        <f t="shared" si="37"/>
        <v>7.230452102500001</v>
      </c>
      <c r="T348">
        <f t="shared" si="38"/>
        <v>0.14967035852175001</v>
      </c>
      <c r="U348">
        <f t="shared" si="35"/>
        <v>478.0097075288391</v>
      </c>
    </row>
    <row r="349" spans="5:21" x14ac:dyDescent="0.2">
      <c r="F349" t="s">
        <v>120</v>
      </c>
      <c r="H349">
        <v>91.25</v>
      </c>
      <c r="I349">
        <v>20</v>
      </c>
      <c r="J349">
        <v>0</v>
      </c>
      <c r="K349">
        <v>0</v>
      </c>
      <c r="L349">
        <v>0</v>
      </c>
      <c r="N349">
        <v>420</v>
      </c>
      <c r="P349">
        <v>0.22</v>
      </c>
      <c r="Q349">
        <f t="shared" si="40"/>
        <v>1</v>
      </c>
      <c r="S349">
        <f t="shared" si="37"/>
        <v>7.3032900516000012</v>
      </c>
      <c r="T349">
        <f t="shared" si="38"/>
        <v>0.15117810406812002</v>
      </c>
      <c r="U349">
        <f t="shared" si="35"/>
        <v>275.900039924319</v>
      </c>
    </row>
    <row r="350" spans="5:21" x14ac:dyDescent="0.2">
      <c r="F350" t="s">
        <v>121</v>
      </c>
      <c r="H350">
        <v>91.25</v>
      </c>
      <c r="I350">
        <v>0</v>
      </c>
      <c r="J350">
        <v>0</v>
      </c>
      <c r="K350">
        <v>0</v>
      </c>
      <c r="L350">
        <v>0</v>
      </c>
      <c r="N350">
        <v>390</v>
      </c>
      <c r="P350">
        <v>-0.33</v>
      </c>
      <c r="Q350">
        <f t="shared" si="40"/>
        <v>1</v>
      </c>
      <c r="S350">
        <f t="shared" si="37"/>
        <v>6.0328693160999993</v>
      </c>
      <c r="T350">
        <f t="shared" si="38"/>
        <v>0.12488039484326999</v>
      </c>
      <c r="U350">
        <f t="shared" si="35"/>
        <v>0</v>
      </c>
    </row>
    <row r="355" spans="1:22" x14ac:dyDescent="0.2">
      <c r="A355" s="9" t="s">
        <v>257</v>
      </c>
    </row>
    <row r="361" spans="1:22" x14ac:dyDescent="0.2">
      <c r="A361" t="s">
        <v>257</v>
      </c>
      <c r="B361" t="s">
        <v>232</v>
      </c>
      <c r="C361" t="s">
        <v>257</v>
      </c>
      <c r="D361" t="s">
        <v>257</v>
      </c>
      <c r="E361" t="s">
        <v>116</v>
      </c>
      <c r="F361" t="s">
        <v>117</v>
      </c>
      <c r="H361">
        <v>91.25</v>
      </c>
      <c r="I361">
        <v>50</v>
      </c>
      <c r="J361">
        <v>0</v>
      </c>
      <c r="K361">
        <v>0</v>
      </c>
      <c r="L361">
        <v>0</v>
      </c>
      <c r="N361" s="32" cm="1">
        <f t="array" ref="N361:N400">_xlfn.DROP(_xlfn.XLOOKUP($C361,TableW[[#Headers],[ACT/NSW]:[QLD - Low]],TableW[[#All],[ACT/NSW]:[QLD - Low]]),1)</f>
        <v>220</v>
      </c>
      <c r="P361" cm="1">
        <f t="array" ref="P361:P400">_xlfn.DROP(_xlfn.XLOOKUP($C361,TableLWG[[#Headers],[ACT/NSW]:[QLD - Low]],TableLWG[[#All],[ACT/NSW]:[QLD - Low]]),1)</f>
        <v>0.22</v>
      </c>
      <c r="Q361">
        <f>(J361 * $AD$4 + K361*$AD$5) + (1 - J361 )</f>
        <v>1</v>
      </c>
      <c r="S361">
        <f>(1.185 + 0.00454 * N361- 0.0000026 * N361^2 + 0.315 * P361 )^2 * Q361</f>
        <v>4.5252351075999986</v>
      </c>
      <c r="T361">
        <f>20.7 * S361 * 10^-3</f>
        <v>9.3672366727319975E-2</v>
      </c>
      <c r="U361">
        <f t="shared" ref="U361:U400" si="41">H361*T361*I361</f>
        <v>427.38017319339735</v>
      </c>
      <c r="V361">
        <f>SUM(U361:U400)/1000</f>
        <v>38.562665195995294</v>
      </c>
    </row>
    <row r="362" spans="1:22" x14ac:dyDescent="0.2">
      <c r="E362">
        <v>1</v>
      </c>
      <c r="F362" t="s">
        <v>119</v>
      </c>
      <c r="H362">
        <v>91.25</v>
      </c>
      <c r="I362">
        <v>100</v>
      </c>
      <c r="J362">
        <v>0</v>
      </c>
      <c r="K362">
        <v>0</v>
      </c>
      <c r="L362">
        <v>0</v>
      </c>
      <c r="N362">
        <v>110</v>
      </c>
      <c r="P362">
        <v>0.8</v>
      </c>
      <c r="Q362">
        <f t="shared" ref="Q362:Q372" si="42">(J362 * $AD$4 + K362*$AD$5) + (1 - J362 )</f>
        <v>1</v>
      </c>
      <c r="S362">
        <f t="shared" ref="S362:S400" si="43">(1.185 + 0.00454 * N362- 0.0000026 * N362^2 + 0.315 * P362 )^2 * Q362</f>
        <v>3.6287964036000004</v>
      </c>
      <c r="T362">
        <f t="shared" ref="T362:T400" si="44">20.7 * S362 * 10^-3</f>
        <v>7.5116085554520012E-2</v>
      </c>
      <c r="U362">
        <f t="shared" si="41"/>
        <v>685.43428068499509</v>
      </c>
    </row>
    <row r="363" spans="1:22" x14ac:dyDescent="0.2">
      <c r="F363" t="s">
        <v>120</v>
      </c>
      <c r="H363">
        <v>91.25</v>
      </c>
      <c r="I363">
        <v>80</v>
      </c>
      <c r="J363">
        <v>0</v>
      </c>
      <c r="K363">
        <v>0</v>
      </c>
      <c r="L363">
        <v>0</v>
      </c>
      <c r="N363">
        <v>170</v>
      </c>
      <c r="P363">
        <v>0.66</v>
      </c>
      <c r="Q363">
        <f t="shared" si="42"/>
        <v>1</v>
      </c>
      <c r="S363">
        <f t="shared" si="43"/>
        <v>4.3662609936000001</v>
      </c>
      <c r="T363">
        <f t="shared" si="44"/>
        <v>9.0381602567520009E-2</v>
      </c>
      <c r="U363">
        <f t="shared" si="41"/>
        <v>659.7856987428961</v>
      </c>
    </row>
    <row r="364" spans="1:22" x14ac:dyDescent="0.2">
      <c r="F364" t="s">
        <v>121</v>
      </c>
      <c r="H364">
        <v>91.25</v>
      </c>
      <c r="I364">
        <v>70</v>
      </c>
      <c r="J364">
        <v>0</v>
      </c>
      <c r="K364">
        <v>0</v>
      </c>
      <c r="L364">
        <v>0</v>
      </c>
      <c r="N364">
        <v>200</v>
      </c>
      <c r="P364">
        <v>0.33</v>
      </c>
      <c r="Q364">
        <f t="shared" si="42"/>
        <v>1</v>
      </c>
      <c r="S364">
        <f t="shared" si="43"/>
        <v>4.3804397025000004</v>
      </c>
      <c r="T364">
        <f t="shared" si="44"/>
        <v>9.0675101841750011E-2</v>
      </c>
      <c r="U364">
        <f t="shared" si="41"/>
        <v>579.18721301417827</v>
      </c>
    </row>
    <row r="365" spans="1:22" x14ac:dyDescent="0.2">
      <c r="E365" t="s">
        <v>122</v>
      </c>
      <c r="F365" t="s">
        <v>117</v>
      </c>
      <c r="H365">
        <v>91.25</v>
      </c>
      <c r="I365">
        <v>30</v>
      </c>
      <c r="J365">
        <v>0</v>
      </c>
      <c r="K365">
        <v>0</v>
      </c>
      <c r="L365">
        <v>0</v>
      </c>
      <c r="N365">
        <v>500</v>
      </c>
      <c r="P365">
        <v>-0.55000000000000004</v>
      </c>
      <c r="Q365">
        <f t="shared" si="42"/>
        <v>1</v>
      </c>
      <c r="S365">
        <f t="shared" si="43"/>
        <v>6.9261080625000018</v>
      </c>
      <c r="T365">
        <f t="shared" si="44"/>
        <v>0.14337043689375004</v>
      </c>
      <c r="U365">
        <f t="shared" si="41"/>
        <v>392.4765709966407</v>
      </c>
    </row>
    <row r="366" spans="1:22" x14ac:dyDescent="0.2">
      <c r="E366">
        <v>2</v>
      </c>
      <c r="F366" t="s">
        <v>119</v>
      </c>
      <c r="H366">
        <v>91.25</v>
      </c>
      <c r="I366">
        <v>80</v>
      </c>
      <c r="J366">
        <v>0</v>
      </c>
      <c r="K366">
        <v>0</v>
      </c>
      <c r="L366">
        <v>0</v>
      </c>
      <c r="N366">
        <v>550</v>
      </c>
      <c r="P366">
        <v>0.55000000000000004</v>
      </c>
      <c r="Q366">
        <f t="shared" si="42"/>
        <v>1</v>
      </c>
      <c r="S366">
        <f t="shared" si="43"/>
        <v>9.4172265624999998</v>
      </c>
      <c r="T366">
        <f t="shared" si="44"/>
        <v>0.19493658984375001</v>
      </c>
      <c r="U366">
        <f t="shared" si="41"/>
        <v>1423.0371058593751</v>
      </c>
    </row>
    <row r="367" spans="1:22" x14ac:dyDescent="0.2">
      <c r="F367" t="s">
        <v>120</v>
      </c>
      <c r="H367">
        <v>91.25</v>
      </c>
      <c r="I367">
        <v>70</v>
      </c>
      <c r="J367">
        <v>0</v>
      </c>
      <c r="K367">
        <v>0</v>
      </c>
      <c r="L367">
        <v>0</v>
      </c>
      <c r="N367">
        <v>600</v>
      </c>
      <c r="P367">
        <v>0.55000000000000004</v>
      </c>
      <c r="Q367">
        <f t="shared" si="42"/>
        <v>1</v>
      </c>
      <c r="S367">
        <f t="shared" si="43"/>
        <v>9.8988890624999986</v>
      </c>
      <c r="T367">
        <f t="shared" si="44"/>
        <v>0.20490700359374997</v>
      </c>
      <c r="U367">
        <f t="shared" si="41"/>
        <v>1308.8434854550778</v>
      </c>
    </row>
    <row r="368" spans="1:22" x14ac:dyDescent="0.2">
      <c r="F368" t="s">
        <v>121</v>
      </c>
      <c r="H368">
        <v>91.25</v>
      </c>
      <c r="I368">
        <v>60</v>
      </c>
      <c r="J368">
        <v>0</v>
      </c>
      <c r="K368">
        <v>0</v>
      </c>
      <c r="L368">
        <v>0</v>
      </c>
      <c r="N368">
        <v>550</v>
      </c>
      <c r="P368">
        <v>-0.55000000000000004</v>
      </c>
      <c r="Q368">
        <f t="shared" si="42"/>
        <v>1</v>
      </c>
      <c r="S368">
        <f t="shared" si="43"/>
        <v>7.4106450625000013</v>
      </c>
      <c r="T368">
        <f t="shared" si="44"/>
        <v>0.15340035279375003</v>
      </c>
      <c r="U368">
        <f t="shared" si="41"/>
        <v>839.86693154578143</v>
      </c>
    </row>
    <row r="369" spans="5:21" x14ac:dyDescent="0.2">
      <c r="E369" t="s">
        <v>146</v>
      </c>
      <c r="F369" t="s">
        <v>117</v>
      </c>
      <c r="H369">
        <v>91.25</v>
      </c>
      <c r="I369">
        <v>100</v>
      </c>
      <c r="J369">
        <v>0</v>
      </c>
      <c r="K369">
        <v>0</v>
      </c>
      <c r="L369">
        <v>0</v>
      </c>
      <c r="N369">
        <v>300</v>
      </c>
      <c r="P369">
        <v>0.22</v>
      </c>
      <c r="Q369">
        <f t="shared" si="42"/>
        <v>1</v>
      </c>
      <c r="S369">
        <f t="shared" si="43"/>
        <v>5.6753532899999994</v>
      </c>
      <c r="T369">
        <f t="shared" si="44"/>
        <v>0.11747981310299999</v>
      </c>
      <c r="U369">
        <f t="shared" si="41"/>
        <v>1072.0032945648747</v>
      </c>
    </row>
    <row r="370" spans="5:21" x14ac:dyDescent="0.2">
      <c r="E370">
        <v>4</v>
      </c>
      <c r="F370" t="s">
        <v>119</v>
      </c>
      <c r="H370">
        <v>91.25</v>
      </c>
      <c r="I370">
        <v>180</v>
      </c>
      <c r="J370">
        <v>0</v>
      </c>
      <c r="K370">
        <v>0</v>
      </c>
      <c r="L370">
        <v>0</v>
      </c>
      <c r="N370">
        <v>220</v>
      </c>
      <c r="P370">
        <v>0.44</v>
      </c>
      <c r="Q370">
        <f t="shared" si="42"/>
        <v>1</v>
      </c>
      <c r="S370">
        <f t="shared" si="43"/>
        <v>4.8248758335999975</v>
      </c>
      <c r="T370">
        <f t="shared" si="44"/>
        <v>9.9874929755519939E-2</v>
      </c>
      <c r="U370">
        <f t="shared" si="41"/>
        <v>1640.445721234415</v>
      </c>
    </row>
    <row r="371" spans="5:21" x14ac:dyDescent="0.2">
      <c r="F371" t="s">
        <v>120</v>
      </c>
      <c r="H371">
        <v>91.25</v>
      </c>
      <c r="I371">
        <v>170</v>
      </c>
      <c r="J371">
        <v>0</v>
      </c>
      <c r="K371">
        <v>0</v>
      </c>
      <c r="L371">
        <v>0</v>
      </c>
      <c r="N371">
        <v>270</v>
      </c>
      <c r="P371">
        <v>0.55000000000000004</v>
      </c>
      <c r="Q371">
        <f t="shared" si="42"/>
        <v>1</v>
      </c>
      <c r="S371">
        <f t="shared" si="43"/>
        <v>5.7336781400999994</v>
      </c>
      <c r="T371">
        <f t="shared" si="44"/>
        <v>0.11868713750006998</v>
      </c>
      <c r="U371">
        <f t="shared" si="41"/>
        <v>1841.1342204698356</v>
      </c>
    </row>
    <row r="372" spans="5:21" x14ac:dyDescent="0.2">
      <c r="F372" t="s">
        <v>121</v>
      </c>
      <c r="H372">
        <v>91.25</v>
      </c>
      <c r="I372">
        <v>170</v>
      </c>
      <c r="J372">
        <v>0</v>
      </c>
      <c r="K372">
        <v>0</v>
      </c>
      <c r="L372">
        <v>0</v>
      </c>
      <c r="N372">
        <v>280</v>
      </c>
      <c r="P372">
        <v>0.11</v>
      </c>
      <c r="Q372">
        <f t="shared" si="42"/>
        <v>1</v>
      </c>
      <c r="S372">
        <f t="shared" si="43"/>
        <v>5.2304147400999996</v>
      </c>
      <c r="T372">
        <f t="shared" si="44"/>
        <v>0.10826958512007</v>
      </c>
      <c r="U372">
        <f t="shared" si="41"/>
        <v>1679.5319391750857</v>
      </c>
    </row>
    <row r="373" spans="5:21" x14ac:dyDescent="0.2">
      <c r="E373" t="s">
        <v>152</v>
      </c>
      <c r="F373" t="s">
        <v>117</v>
      </c>
      <c r="H373">
        <v>91.25</v>
      </c>
      <c r="I373">
        <v>150</v>
      </c>
      <c r="J373">
        <v>0.7</v>
      </c>
      <c r="K373">
        <v>0.05</v>
      </c>
      <c r="L373">
        <f>$AC$12</f>
        <v>1.3</v>
      </c>
      <c r="N373">
        <v>320</v>
      </c>
      <c r="P373">
        <v>-0.33</v>
      </c>
      <c r="Q373">
        <f>(J373 * $AD$4 +K373* $AD$5) + (1 -J373 - K373 )</f>
        <v>1.2150000000000001</v>
      </c>
      <c r="S373">
        <f t="shared" si="43"/>
        <v>6.2475969612014977</v>
      </c>
      <c r="T373">
        <f t="shared" si="44"/>
        <v>0.12932525709687098</v>
      </c>
      <c r="U373">
        <f t="shared" si="41"/>
        <v>1770.1394565134215</v>
      </c>
    </row>
    <row r="374" spans="5:21" x14ac:dyDescent="0.2">
      <c r="E374" t="s">
        <v>235</v>
      </c>
      <c r="F374" t="s">
        <v>119</v>
      </c>
      <c r="H374">
        <v>91.25</v>
      </c>
      <c r="I374">
        <v>250</v>
      </c>
      <c r="J374">
        <v>0</v>
      </c>
      <c r="K374">
        <v>0.71</v>
      </c>
      <c r="L374">
        <f>$AC$13</f>
        <v>1.1000000000000001</v>
      </c>
      <c r="N374">
        <v>380</v>
      </c>
      <c r="P374">
        <v>0.66</v>
      </c>
      <c r="Q374">
        <f t="shared" ref="Q374:Q386" si="45">(J374 * $AD$4 +K374* $AD$5) + (1 -J374 - K374 )</f>
        <v>1.0710000000000002</v>
      </c>
      <c r="S374">
        <f t="shared" si="43"/>
        <v>8.0562589307675978</v>
      </c>
      <c r="T374">
        <f t="shared" si="44"/>
        <v>0.16676455986688926</v>
      </c>
      <c r="U374">
        <f t="shared" si="41"/>
        <v>3804.3165219634111</v>
      </c>
    </row>
    <row r="375" spans="5:21" x14ac:dyDescent="0.2">
      <c r="F375" t="s">
        <v>120</v>
      </c>
      <c r="H375">
        <v>91.25</v>
      </c>
      <c r="I375">
        <v>240</v>
      </c>
      <c r="J375">
        <v>0</v>
      </c>
      <c r="K375">
        <v>0</v>
      </c>
      <c r="L375">
        <f>$AC$14</f>
        <v>0</v>
      </c>
      <c r="N375">
        <v>390</v>
      </c>
      <c r="P375">
        <v>0.11</v>
      </c>
      <c r="Q375">
        <f t="shared" si="45"/>
        <v>1</v>
      </c>
      <c r="S375">
        <f t="shared" si="43"/>
        <v>6.7329351441000007</v>
      </c>
      <c r="T375">
        <f t="shared" si="44"/>
        <v>0.13937175748287001</v>
      </c>
      <c r="U375">
        <f t="shared" si="41"/>
        <v>3052.2414888748531</v>
      </c>
    </row>
    <row r="376" spans="5:21" x14ac:dyDescent="0.2">
      <c r="F376" t="s">
        <v>121</v>
      </c>
      <c r="H376">
        <v>91.25</v>
      </c>
      <c r="I376">
        <v>200</v>
      </c>
      <c r="J376">
        <v>0.1</v>
      </c>
      <c r="K376">
        <v>0</v>
      </c>
      <c r="L376">
        <f>$AC$14</f>
        <v>0</v>
      </c>
      <c r="N376">
        <v>350</v>
      </c>
      <c r="P376">
        <v>-0.44</v>
      </c>
      <c r="Q376">
        <f t="shared" si="45"/>
        <v>1.03</v>
      </c>
      <c r="S376">
        <f t="shared" si="43"/>
        <v>5.5290663783000005</v>
      </c>
      <c r="T376">
        <f t="shared" si="44"/>
        <v>0.11445167403081001</v>
      </c>
      <c r="U376">
        <f t="shared" si="41"/>
        <v>2088.7430510622826</v>
      </c>
    </row>
    <row r="377" spans="5:21" x14ac:dyDescent="0.2">
      <c r="E377" t="s">
        <v>141</v>
      </c>
      <c r="F377" t="s">
        <v>117</v>
      </c>
      <c r="H377">
        <v>91.25</v>
      </c>
      <c r="I377">
        <v>100</v>
      </c>
      <c r="J377">
        <v>0</v>
      </c>
      <c r="K377">
        <v>0</v>
      </c>
      <c r="L377">
        <v>0</v>
      </c>
      <c r="N377">
        <v>180</v>
      </c>
      <c r="P377">
        <v>0.33</v>
      </c>
      <c r="Q377">
        <f t="shared" si="45"/>
        <v>1</v>
      </c>
      <c r="S377">
        <f t="shared" si="43"/>
        <v>4.0881200481000004</v>
      </c>
      <c r="T377">
        <f t="shared" si="44"/>
        <v>8.4624084995670007E-2</v>
      </c>
      <c r="U377">
        <f t="shared" si="41"/>
        <v>772.19477558548886</v>
      </c>
    </row>
    <row r="378" spans="5:21" x14ac:dyDescent="0.2">
      <c r="E378">
        <v>3</v>
      </c>
      <c r="F378" t="s">
        <v>119</v>
      </c>
      <c r="H378">
        <v>91.25</v>
      </c>
      <c r="I378">
        <v>190</v>
      </c>
      <c r="J378">
        <v>0</v>
      </c>
      <c r="K378">
        <v>0</v>
      </c>
      <c r="L378">
        <v>0</v>
      </c>
      <c r="N378">
        <v>90</v>
      </c>
      <c r="P378">
        <v>0.7</v>
      </c>
      <c r="Q378">
        <f t="shared" si="45"/>
        <v>1</v>
      </c>
      <c r="S378">
        <f t="shared" si="43"/>
        <v>3.2149924415999993</v>
      </c>
      <c r="T378">
        <f t="shared" si="44"/>
        <v>6.6550343541119994E-2</v>
      </c>
      <c r="U378">
        <f t="shared" si="41"/>
        <v>1153.8165811441679</v>
      </c>
    </row>
    <row r="379" spans="5:21" x14ac:dyDescent="0.2">
      <c r="F379" t="s">
        <v>120</v>
      </c>
      <c r="H379">
        <v>91.25</v>
      </c>
      <c r="I379">
        <v>195</v>
      </c>
      <c r="J379">
        <v>0</v>
      </c>
      <c r="K379">
        <v>0</v>
      </c>
      <c r="L379">
        <v>0</v>
      </c>
      <c r="N379">
        <v>140</v>
      </c>
      <c r="P379">
        <v>0.55000000000000004</v>
      </c>
      <c r="Q379">
        <f t="shared" si="45"/>
        <v>1</v>
      </c>
      <c r="S379">
        <f t="shared" si="43"/>
        <v>3.7748215520999993</v>
      </c>
      <c r="T379">
        <f t="shared" si="44"/>
        <v>7.8138806128469976E-2</v>
      </c>
      <c r="U379">
        <f t="shared" si="41"/>
        <v>1390.3823815484627</v>
      </c>
    </row>
    <row r="380" spans="5:21" x14ac:dyDescent="0.2">
      <c r="F380" t="s">
        <v>121</v>
      </c>
      <c r="H380">
        <v>91.25</v>
      </c>
      <c r="I380">
        <v>200</v>
      </c>
      <c r="J380">
        <v>0</v>
      </c>
      <c r="K380">
        <v>0</v>
      </c>
      <c r="L380">
        <v>0</v>
      </c>
      <c r="N380">
        <v>150</v>
      </c>
      <c r="P380">
        <v>0.11</v>
      </c>
      <c r="Q380">
        <f t="shared" si="45"/>
        <v>1</v>
      </c>
      <c r="S380">
        <f t="shared" si="43"/>
        <v>3.3935166225000009</v>
      </c>
      <c r="T380">
        <f t="shared" si="44"/>
        <v>7.0245794085750018E-2</v>
      </c>
      <c r="U380">
        <f t="shared" si="41"/>
        <v>1281.985742064938</v>
      </c>
    </row>
    <row r="381" spans="5:21" x14ac:dyDescent="0.2">
      <c r="E381" t="s">
        <v>156</v>
      </c>
      <c r="F381" t="s">
        <v>117</v>
      </c>
      <c r="H381">
        <v>91.25</v>
      </c>
      <c r="I381">
        <v>50</v>
      </c>
      <c r="J381">
        <v>0.9</v>
      </c>
      <c r="K381">
        <v>0.05</v>
      </c>
      <c r="L381">
        <f>$AC$12</f>
        <v>1.3</v>
      </c>
      <c r="N381">
        <v>320</v>
      </c>
      <c r="P381">
        <v>-0.33</v>
      </c>
      <c r="Q381">
        <f t="shared" si="45"/>
        <v>1.2750000000000001</v>
      </c>
      <c r="S381">
        <f t="shared" si="43"/>
        <v>6.5561202679274979</v>
      </c>
      <c r="T381">
        <f t="shared" si="44"/>
        <v>0.13571168954609919</v>
      </c>
      <c r="U381">
        <f t="shared" si="41"/>
        <v>619.18458355407756</v>
      </c>
    </row>
    <row r="382" spans="5:21" x14ac:dyDescent="0.2">
      <c r="E382" t="s">
        <v>236</v>
      </c>
      <c r="F382" t="s">
        <v>119</v>
      </c>
      <c r="H382">
        <v>91.25</v>
      </c>
      <c r="I382">
        <v>100</v>
      </c>
      <c r="J382">
        <v>0</v>
      </c>
      <c r="K382">
        <v>0.9</v>
      </c>
      <c r="L382">
        <f>$AC$13</f>
        <v>1.1000000000000001</v>
      </c>
      <c r="N382">
        <v>380</v>
      </c>
      <c r="P382">
        <v>0.66</v>
      </c>
      <c r="Q382">
        <f t="shared" si="45"/>
        <v>1.0900000000000001</v>
      </c>
      <c r="S382">
        <f t="shared" si="43"/>
        <v>8.1991804244039965</v>
      </c>
      <c r="T382">
        <f t="shared" si="44"/>
        <v>0.16972303478516274</v>
      </c>
      <c r="U382">
        <f t="shared" si="41"/>
        <v>1548.72269241461</v>
      </c>
    </row>
    <row r="383" spans="5:21" x14ac:dyDescent="0.2">
      <c r="F383" t="s">
        <v>120</v>
      </c>
      <c r="H383">
        <v>91.25</v>
      </c>
      <c r="I383">
        <v>90</v>
      </c>
      <c r="J383">
        <v>0</v>
      </c>
      <c r="K383">
        <v>0</v>
      </c>
      <c r="L383">
        <f>$AC$14</f>
        <v>0</v>
      </c>
      <c r="N383">
        <v>390</v>
      </c>
      <c r="P383">
        <v>0.11</v>
      </c>
      <c r="Q383">
        <f t="shared" si="45"/>
        <v>1</v>
      </c>
      <c r="S383">
        <f t="shared" si="43"/>
        <v>6.7329351441000007</v>
      </c>
      <c r="T383">
        <f t="shared" si="44"/>
        <v>0.13937175748287001</v>
      </c>
      <c r="U383">
        <f t="shared" si="41"/>
        <v>1144.5905583280701</v>
      </c>
    </row>
    <row r="384" spans="5:21" x14ac:dyDescent="0.2">
      <c r="F384" t="s">
        <v>121</v>
      </c>
      <c r="H384">
        <v>91.25</v>
      </c>
      <c r="I384">
        <v>80</v>
      </c>
      <c r="J384">
        <v>0</v>
      </c>
      <c r="K384">
        <v>0</v>
      </c>
      <c r="L384">
        <f>$AC$14</f>
        <v>0</v>
      </c>
      <c r="N384">
        <v>350</v>
      </c>
      <c r="P384">
        <v>-0.44</v>
      </c>
      <c r="Q384">
        <f t="shared" si="45"/>
        <v>1</v>
      </c>
      <c r="S384">
        <f t="shared" si="43"/>
        <v>5.3680256100000001</v>
      </c>
      <c r="T384">
        <f t="shared" si="44"/>
        <v>0.111118130127</v>
      </c>
      <c r="U384">
        <f t="shared" si="41"/>
        <v>811.16234992710008</v>
      </c>
    </row>
    <row r="385" spans="5:21" x14ac:dyDescent="0.2">
      <c r="E385" t="s">
        <v>169</v>
      </c>
      <c r="F385" t="s">
        <v>117</v>
      </c>
      <c r="H385">
        <v>91.25</v>
      </c>
      <c r="I385">
        <v>30</v>
      </c>
      <c r="J385">
        <v>0</v>
      </c>
      <c r="K385">
        <v>0</v>
      </c>
      <c r="L385">
        <v>0</v>
      </c>
      <c r="N385">
        <v>340</v>
      </c>
      <c r="P385">
        <v>-0.66</v>
      </c>
      <c r="Q385">
        <f t="shared" si="45"/>
        <v>1</v>
      </c>
      <c r="S385">
        <f t="shared" si="43"/>
        <v>4.9290216196000012</v>
      </c>
      <c r="T385">
        <f t="shared" si="44"/>
        <v>0.10203074752572001</v>
      </c>
      <c r="U385">
        <f t="shared" si="41"/>
        <v>279.30917135165856</v>
      </c>
    </row>
    <row r="386" spans="5:21" x14ac:dyDescent="0.2">
      <c r="E386" t="s">
        <v>237</v>
      </c>
      <c r="F386" t="s">
        <v>119</v>
      </c>
      <c r="H386">
        <v>91.25</v>
      </c>
      <c r="I386">
        <v>70</v>
      </c>
      <c r="J386">
        <v>0</v>
      </c>
      <c r="K386">
        <v>0</v>
      </c>
      <c r="L386">
        <v>0</v>
      </c>
      <c r="N386">
        <v>390</v>
      </c>
      <c r="P386">
        <v>0.55000000000000004</v>
      </c>
      <c r="Q386">
        <f t="shared" si="45"/>
        <v>1</v>
      </c>
      <c r="S386">
        <f t="shared" si="43"/>
        <v>7.4714208921000003</v>
      </c>
      <c r="T386">
        <f t="shared" si="44"/>
        <v>0.15465841246647</v>
      </c>
      <c r="U386">
        <f t="shared" si="41"/>
        <v>987.88060962957718</v>
      </c>
    </row>
    <row r="387" spans="5:21" x14ac:dyDescent="0.2">
      <c r="F387" t="s">
        <v>120</v>
      </c>
      <c r="H387">
        <v>91.25</v>
      </c>
      <c r="I387">
        <v>45</v>
      </c>
      <c r="J387">
        <v>0</v>
      </c>
      <c r="K387">
        <v>0</v>
      </c>
      <c r="L387">
        <v>0</v>
      </c>
      <c r="N387">
        <v>430</v>
      </c>
      <c r="P387">
        <v>0.44</v>
      </c>
      <c r="Q387">
        <f t="shared" ref="Q387:Q400" si="46">(J387 * $AD$4 + K387*$AD$5) + (1 - J387 )</f>
        <v>1</v>
      </c>
      <c r="S387">
        <f t="shared" si="43"/>
        <v>7.8123604035999996</v>
      </c>
      <c r="T387">
        <f t="shared" si="44"/>
        <v>0.16171586035451999</v>
      </c>
      <c r="U387">
        <f t="shared" si="41"/>
        <v>664.04575158074761</v>
      </c>
    </row>
    <row r="388" spans="5:21" x14ac:dyDescent="0.2">
      <c r="F388" t="s">
        <v>121</v>
      </c>
      <c r="H388">
        <v>91.25</v>
      </c>
      <c r="I388">
        <v>20</v>
      </c>
      <c r="J388">
        <v>0</v>
      </c>
      <c r="K388">
        <v>0</v>
      </c>
      <c r="L388">
        <v>0</v>
      </c>
      <c r="N388">
        <v>400</v>
      </c>
      <c r="P388">
        <v>-0.33</v>
      </c>
      <c r="Q388">
        <f t="shared" si="46"/>
        <v>1</v>
      </c>
      <c r="S388">
        <f t="shared" si="43"/>
        <v>6.1556091024999988</v>
      </c>
      <c r="T388">
        <f t="shared" si="44"/>
        <v>0.12742110842174997</v>
      </c>
      <c r="U388">
        <f t="shared" si="41"/>
        <v>232.54352286969373</v>
      </c>
    </row>
    <row r="389" spans="5:21" x14ac:dyDescent="0.2">
      <c r="E389" t="s">
        <v>171</v>
      </c>
      <c r="F389" t="s">
        <v>117</v>
      </c>
      <c r="H389">
        <v>91.25</v>
      </c>
      <c r="I389">
        <v>30</v>
      </c>
      <c r="J389">
        <v>0</v>
      </c>
      <c r="K389">
        <v>0</v>
      </c>
      <c r="L389">
        <v>0</v>
      </c>
      <c r="N389">
        <v>340</v>
      </c>
      <c r="P389">
        <v>-0.66</v>
      </c>
      <c r="Q389">
        <f t="shared" si="46"/>
        <v>1</v>
      </c>
      <c r="S389">
        <f t="shared" si="43"/>
        <v>4.9290216196000012</v>
      </c>
      <c r="T389">
        <f t="shared" si="44"/>
        <v>0.10203074752572001</v>
      </c>
      <c r="U389">
        <f t="shared" si="41"/>
        <v>279.30917135165856</v>
      </c>
    </row>
    <row r="390" spans="5:21" x14ac:dyDescent="0.2">
      <c r="E390" t="s">
        <v>238</v>
      </c>
      <c r="F390" t="s">
        <v>119</v>
      </c>
      <c r="H390">
        <v>91.25</v>
      </c>
      <c r="I390">
        <v>100</v>
      </c>
      <c r="J390">
        <v>0</v>
      </c>
      <c r="K390">
        <v>0</v>
      </c>
      <c r="L390">
        <v>0</v>
      </c>
      <c r="N390">
        <v>390</v>
      </c>
      <c r="P390">
        <v>0.55000000000000004</v>
      </c>
      <c r="Q390">
        <f t="shared" si="46"/>
        <v>1</v>
      </c>
      <c r="S390">
        <f t="shared" si="43"/>
        <v>7.4714208921000003</v>
      </c>
      <c r="T390">
        <f t="shared" si="44"/>
        <v>0.15465841246647</v>
      </c>
      <c r="U390">
        <f t="shared" si="41"/>
        <v>1411.2580137565387</v>
      </c>
    </row>
    <row r="391" spans="5:21" x14ac:dyDescent="0.2">
      <c r="F391" t="s">
        <v>120</v>
      </c>
      <c r="H391">
        <v>91.25</v>
      </c>
      <c r="I391">
        <v>40</v>
      </c>
      <c r="J391">
        <v>0</v>
      </c>
      <c r="K391">
        <v>0</v>
      </c>
      <c r="L391">
        <v>0</v>
      </c>
      <c r="N391">
        <v>430</v>
      </c>
      <c r="P391">
        <v>0.44</v>
      </c>
      <c r="Q391">
        <f t="shared" si="46"/>
        <v>1</v>
      </c>
      <c r="S391">
        <f t="shared" si="43"/>
        <v>7.8123604035999996</v>
      </c>
      <c r="T391">
        <f t="shared" si="44"/>
        <v>0.16171586035451999</v>
      </c>
      <c r="U391">
        <f t="shared" si="41"/>
        <v>590.26289029399788</v>
      </c>
    </row>
    <row r="392" spans="5:21" x14ac:dyDescent="0.2">
      <c r="F392" t="s">
        <v>121</v>
      </c>
      <c r="H392">
        <v>91.25</v>
      </c>
      <c r="I392">
        <v>0</v>
      </c>
      <c r="J392">
        <v>0</v>
      </c>
      <c r="K392">
        <v>0</v>
      </c>
      <c r="L392">
        <v>0</v>
      </c>
      <c r="N392">
        <v>400</v>
      </c>
      <c r="P392">
        <v>-0.33</v>
      </c>
      <c r="Q392">
        <f t="shared" si="46"/>
        <v>1</v>
      </c>
      <c r="S392">
        <f t="shared" si="43"/>
        <v>6.1556091024999988</v>
      </c>
      <c r="T392">
        <f t="shared" si="44"/>
        <v>0.12742110842174997</v>
      </c>
      <c r="U392">
        <f t="shared" si="41"/>
        <v>0</v>
      </c>
    </row>
    <row r="393" spans="5:21" x14ac:dyDescent="0.2">
      <c r="E393" t="s">
        <v>164</v>
      </c>
      <c r="F393" t="s">
        <v>117</v>
      </c>
      <c r="H393">
        <v>91.25</v>
      </c>
      <c r="I393">
        <v>20</v>
      </c>
      <c r="J393">
        <v>0</v>
      </c>
      <c r="K393">
        <v>0</v>
      </c>
      <c r="L393">
        <v>0</v>
      </c>
      <c r="N393">
        <v>210</v>
      </c>
      <c r="P393">
        <v>0.22</v>
      </c>
      <c r="Q393">
        <f t="shared" si="46"/>
        <v>1</v>
      </c>
      <c r="S393">
        <f t="shared" si="43"/>
        <v>4.3808164415999995</v>
      </c>
      <c r="T393">
        <f t="shared" si="44"/>
        <v>9.068290034111999E-2</v>
      </c>
      <c r="U393">
        <f t="shared" si="41"/>
        <v>165.49629312254399</v>
      </c>
    </row>
    <row r="394" spans="5:21" x14ac:dyDescent="0.2">
      <c r="E394">
        <v>6</v>
      </c>
      <c r="F394" t="s">
        <v>119</v>
      </c>
      <c r="H394">
        <v>91.25</v>
      </c>
      <c r="I394">
        <v>40</v>
      </c>
      <c r="J394">
        <v>0</v>
      </c>
      <c r="K394">
        <v>0</v>
      </c>
      <c r="L394">
        <v>0</v>
      </c>
      <c r="N394">
        <v>100</v>
      </c>
      <c r="P394">
        <v>0.8</v>
      </c>
      <c r="Q394">
        <f t="shared" si="46"/>
        <v>1</v>
      </c>
      <c r="S394">
        <f t="shared" si="43"/>
        <v>3.4782250000000001</v>
      </c>
      <c r="T394">
        <f t="shared" si="44"/>
        <v>7.1999257499999997E-2</v>
      </c>
      <c r="U394">
        <f t="shared" si="41"/>
        <v>262.79728987499999</v>
      </c>
    </row>
    <row r="395" spans="5:21" x14ac:dyDescent="0.2">
      <c r="F395" t="s">
        <v>120</v>
      </c>
      <c r="H395">
        <v>91.25</v>
      </c>
      <c r="I395">
        <v>35</v>
      </c>
      <c r="J395">
        <v>0</v>
      </c>
      <c r="K395">
        <v>0</v>
      </c>
      <c r="L395">
        <v>0</v>
      </c>
      <c r="N395">
        <v>160</v>
      </c>
      <c r="P395">
        <v>0.66</v>
      </c>
      <c r="Q395">
        <f t="shared" si="46"/>
        <v>1</v>
      </c>
      <c r="S395">
        <f t="shared" si="43"/>
        <v>4.2137415076</v>
      </c>
      <c r="T395">
        <f t="shared" si="44"/>
        <v>8.722444920731999E-2</v>
      </c>
      <c r="U395">
        <f t="shared" si="41"/>
        <v>278.57308465587823</v>
      </c>
    </row>
    <row r="396" spans="5:21" x14ac:dyDescent="0.2">
      <c r="F396" t="s">
        <v>121</v>
      </c>
      <c r="H396">
        <v>91.25</v>
      </c>
      <c r="I396">
        <v>30</v>
      </c>
      <c r="J396">
        <v>0</v>
      </c>
      <c r="K396">
        <v>0</v>
      </c>
      <c r="L396">
        <v>0</v>
      </c>
      <c r="N396">
        <v>190</v>
      </c>
      <c r="P396">
        <v>0.33</v>
      </c>
      <c r="Q396">
        <f t="shared" si="46"/>
        <v>1</v>
      </c>
      <c r="S396">
        <f t="shared" si="43"/>
        <v>4.2340881361000005</v>
      </c>
      <c r="T396">
        <f t="shared" si="44"/>
        <v>8.7645624417270002E-2</v>
      </c>
      <c r="U396">
        <f t="shared" si="41"/>
        <v>239.92989684227661</v>
      </c>
    </row>
    <row r="397" spans="5:21" x14ac:dyDescent="0.2">
      <c r="E397" t="s">
        <v>176</v>
      </c>
      <c r="F397" t="s">
        <v>117</v>
      </c>
      <c r="H397">
        <v>91.25</v>
      </c>
      <c r="I397">
        <v>30</v>
      </c>
      <c r="J397">
        <v>0</v>
      </c>
      <c r="K397">
        <v>0</v>
      </c>
      <c r="L397">
        <v>0</v>
      </c>
      <c r="N397">
        <v>340</v>
      </c>
      <c r="P397">
        <v>-0.66</v>
      </c>
      <c r="Q397">
        <f t="shared" si="46"/>
        <v>1</v>
      </c>
      <c r="S397">
        <f t="shared" si="43"/>
        <v>4.9290216196000012</v>
      </c>
      <c r="T397">
        <f t="shared" si="44"/>
        <v>0.10203074752572001</v>
      </c>
      <c r="U397">
        <f t="shared" si="41"/>
        <v>279.30917135165856</v>
      </c>
    </row>
    <row r="398" spans="5:21" x14ac:dyDescent="0.2">
      <c r="E398" t="s">
        <v>239</v>
      </c>
      <c r="F398" t="s">
        <v>119</v>
      </c>
      <c r="H398">
        <v>91.25</v>
      </c>
      <c r="I398">
        <v>35</v>
      </c>
      <c r="J398">
        <v>0</v>
      </c>
      <c r="K398">
        <v>0</v>
      </c>
      <c r="L398">
        <v>0</v>
      </c>
      <c r="N398">
        <v>390</v>
      </c>
      <c r="P398">
        <v>0.55000000000000004</v>
      </c>
      <c r="Q398">
        <f t="shared" si="46"/>
        <v>1</v>
      </c>
      <c r="S398">
        <f t="shared" si="43"/>
        <v>7.4714208921000003</v>
      </c>
      <c r="T398">
        <f t="shared" si="44"/>
        <v>0.15465841246647</v>
      </c>
      <c r="U398">
        <f t="shared" si="41"/>
        <v>493.94030481478859</v>
      </c>
    </row>
    <row r="399" spans="5:21" x14ac:dyDescent="0.2">
      <c r="F399" t="s">
        <v>120</v>
      </c>
      <c r="H399">
        <v>91.25</v>
      </c>
      <c r="I399">
        <v>20</v>
      </c>
      <c r="J399">
        <v>0</v>
      </c>
      <c r="K399">
        <v>0</v>
      </c>
      <c r="L399">
        <v>0</v>
      </c>
      <c r="N399">
        <v>430</v>
      </c>
      <c r="P399">
        <v>0.44</v>
      </c>
      <c r="Q399">
        <f t="shared" si="46"/>
        <v>1</v>
      </c>
      <c r="S399">
        <f t="shared" si="43"/>
        <v>7.8123604035999996</v>
      </c>
      <c r="T399">
        <f t="shared" si="44"/>
        <v>0.16171586035451999</v>
      </c>
      <c r="U399">
        <f t="shared" si="41"/>
        <v>295.13144514699894</v>
      </c>
    </row>
    <row r="400" spans="5:21" x14ac:dyDescent="0.2">
      <c r="F400" t="s">
        <v>121</v>
      </c>
      <c r="H400">
        <v>91.25</v>
      </c>
      <c r="I400">
        <v>10</v>
      </c>
      <c r="J400">
        <v>0</v>
      </c>
      <c r="K400">
        <v>0</v>
      </c>
      <c r="L400">
        <v>0</v>
      </c>
      <c r="N400">
        <v>400</v>
      </c>
      <c r="P400">
        <v>-0.33</v>
      </c>
      <c r="Q400">
        <f t="shared" si="46"/>
        <v>1</v>
      </c>
      <c r="S400">
        <f t="shared" si="43"/>
        <v>6.1556091024999988</v>
      </c>
      <c r="T400">
        <f t="shared" si="44"/>
        <v>0.12742110842174997</v>
      </c>
      <c r="U400">
        <f t="shared" si="41"/>
        <v>116.27176143484687</v>
      </c>
    </row>
    <row r="403" spans="1:22" x14ac:dyDescent="0.2">
      <c r="A403" s="9" t="s">
        <v>258</v>
      </c>
    </row>
    <row r="411" spans="1:22" x14ac:dyDescent="0.2">
      <c r="A411" t="s">
        <v>258</v>
      </c>
      <c r="B411" t="s">
        <v>232</v>
      </c>
      <c r="C411" t="s">
        <v>258</v>
      </c>
      <c r="D411" t="s">
        <v>258</v>
      </c>
      <c r="E411" t="s">
        <v>116</v>
      </c>
      <c r="F411" t="s">
        <v>117</v>
      </c>
      <c r="H411">
        <v>91.25</v>
      </c>
      <c r="I411">
        <v>50</v>
      </c>
      <c r="J411">
        <v>0</v>
      </c>
      <c r="K411">
        <v>0</v>
      </c>
      <c r="L411">
        <v>0</v>
      </c>
      <c r="N411" s="32" cm="1">
        <f t="array" ref="N411:N450">_xlfn.DROP(_xlfn.XLOOKUP($C411,TableW[[#Headers],[ACT/NSW]:[QLD - Low]],TableW[[#All],[ACT/NSW]:[QLD - Low]]),1)</f>
        <v>220</v>
      </c>
      <c r="P411" cm="1">
        <f t="array" ref="P411:P450">_xlfn.DROP(_xlfn.XLOOKUP($C411,TableLWG[[#Headers],[ACT/NSW]:[QLD - Low]],TableLWG[[#All],[ACT/NSW]:[QLD - Low]]),1)</f>
        <v>0.22</v>
      </c>
      <c r="Q411">
        <f>(J411 * $AD$4 + K411*$AD$5) + (1 - J411 )</f>
        <v>1</v>
      </c>
      <c r="S411">
        <f>(1.185 + 0.00454 * N411- 0.0000026 * N411^2 + 0.315 * P411 )^2 * Q411</f>
        <v>4.5252351075999986</v>
      </c>
      <c r="T411">
        <f>20.7 * S411 * 10^-3</f>
        <v>9.3672366727319975E-2</v>
      </c>
      <c r="U411">
        <f t="shared" ref="U411:U450" si="47">H411*T411*I411</f>
        <v>427.38017319339735</v>
      </c>
      <c r="V411">
        <f>SUM(U411:U450)/1000</f>
        <v>42.36672569567348</v>
      </c>
    </row>
    <row r="412" spans="1:22" x14ac:dyDescent="0.2">
      <c r="E412">
        <v>1</v>
      </c>
      <c r="F412" t="s">
        <v>119</v>
      </c>
      <c r="H412">
        <v>91.25</v>
      </c>
      <c r="I412">
        <v>100</v>
      </c>
      <c r="J412">
        <v>0</v>
      </c>
      <c r="K412">
        <v>0</v>
      </c>
      <c r="L412">
        <v>0</v>
      </c>
      <c r="N412">
        <v>110</v>
      </c>
      <c r="P412">
        <v>0.66</v>
      </c>
      <c r="Q412">
        <f t="shared" ref="Q412:Q422" si="48">(J412 * $AD$4 + K412*$AD$5) + (1 - J412 )</f>
        <v>1</v>
      </c>
      <c r="S412">
        <f t="shared" ref="S412:S450" si="49">(1.185 + 0.00454 * N412- 0.0000026 * N412^2 + 0.315 * P412 )^2 * Q412</f>
        <v>3.4627255056000004</v>
      </c>
      <c r="T412">
        <f t="shared" ref="T412:T450" si="50">20.7 * S412 * 10^-3</f>
        <v>7.1678417965920005E-2</v>
      </c>
      <c r="U412">
        <f t="shared" si="47"/>
        <v>654.06556393902008</v>
      </c>
    </row>
    <row r="413" spans="1:22" x14ac:dyDescent="0.2">
      <c r="F413" t="s">
        <v>120</v>
      </c>
      <c r="H413">
        <v>91.25</v>
      </c>
      <c r="I413">
        <v>80</v>
      </c>
      <c r="J413">
        <v>0</v>
      </c>
      <c r="K413">
        <v>0</v>
      </c>
      <c r="L413">
        <v>0</v>
      </c>
      <c r="N413">
        <v>170</v>
      </c>
      <c r="P413">
        <v>0.49</v>
      </c>
      <c r="Q413">
        <f t="shared" si="48"/>
        <v>1</v>
      </c>
      <c r="S413">
        <f t="shared" si="49"/>
        <v>4.1453367201000004</v>
      </c>
      <c r="T413">
        <f t="shared" si="50"/>
        <v>8.5808470106070012E-2</v>
      </c>
      <c r="U413">
        <f t="shared" si="47"/>
        <v>626.40183177431118</v>
      </c>
    </row>
    <row r="414" spans="1:22" x14ac:dyDescent="0.2">
      <c r="F414" t="s">
        <v>121</v>
      </c>
      <c r="H414">
        <v>91.25</v>
      </c>
      <c r="I414">
        <v>70</v>
      </c>
      <c r="J414">
        <v>0</v>
      </c>
      <c r="K414">
        <v>0</v>
      </c>
      <c r="L414">
        <v>0</v>
      </c>
      <c r="N414">
        <v>200</v>
      </c>
      <c r="P414">
        <v>0.27</v>
      </c>
      <c r="Q414">
        <f t="shared" si="48"/>
        <v>1</v>
      </c>
      <c r="S414">
        <f t="shared" si="49"/>
        <v>4.3016834024999993</v>
      </c>
      <c r="T414">
        <f t="shared" si="50"/>
        <v>8.9044846431749994E-2</v>
      </c>
      <c r="U414">
        <f t="shared" si="47"/>
        <v>568.77395658280307</v>
      </c>
    </row>
    <row r="415" spans="1:22" x14ac:dyDescent="0.2">
      <c r="E415" t="s">
        <v>122</v>
      </c>
      <c r="F415" t="s">
        <v>117</v>
      </c>
      <c r="H415">
        <v>91.25</v>
      </c>
      <c r="I415">
        <v>20</v>
      </c>
      <c r="J415">
        <v>0</v>
      </c>
      <c r="K415">
        <v>0</v>
      </c>
      <c r="L415">
        <v>0</v>
      </c>
      <c r="N415">
        <v>706</v>
      </c>
      <c r="P415">
        <v>-0.23</v>
      </c>
      <c r="Q415">
        <f t="shared" si="48"/>
        <v>1</v>
      </c>
      <c r="S415">
        <f t="shared" si="49"/>
        <v>9.1316161022209617</v>
      </c>
      <c r="T415">
        <f t="shared" si="50"/>
        <v>0.18902445331597389</v>
      </c>
      <c r="U415">
        <f t="shared" si="47"/>
        <v>344.96962730165239</v>
      </c>
    </row>
    <row r="416" spans="1:22" x14ac:dyDescent="0.2">
      <c r="E416">
        <v>2</v>
      </c>
      <c r="F416" t="s">
        <v>119</v>
      </c>
      <c r="H416">
        <v>91.25</v>
      </c>
      <c r="I416">
        <v>80</v>
      </c>
      <c r="J416">
        <v>0</v>
      </c>
      <c r="K416">
        <v>0</v>
      </c>
      <c r="L416">
        <v>0</v>
      </c>
      <c r="N416">
        <v>703</v>
      </c>
      <c r="P416">
        <v>0.2</v>
      </c>
      <c r="Q416">
        <f t="shared" si="48"/>
        <v>1</v>
      </c>
      <c r="S416">
        <f t="shared" si="49"/>
        <v>9.9519844505875614</v>
      </c>
      <c r="T416">
        <f t="shared" si="50"/>
        <v>0.20600607812716251</v>
      </c>
      <c r="U416">
        <f t="shared" si="47"/>
        <v>1503.8443703282862</v>
      </c>
    </row>
    <row r="417" spans="5:21" x14ac:dyDescent="0.2">
      <c r="F417" t="s">
        <v>120</v>
      </c>
      <c r="H417">
        <v>91.25</v>
      </c>
      <c r="I417">
        <v>70</v>
      </c>
      <c r="J417">
        <v>0</v>
      </c>
      <c r="K417">
        <v>0</v>
      </c>
      <c r="L417">
        <v>0</v>
      </c>
      <c r="N417">
        <v>721</v>
      </c>
      <c r="P417">
        <v>0.13</v>
      </c>
      <c r="Q417">
        <f t="shared" si="48"/>
        <v>1</v>
      </c>
      <c r="S417">
        <f t="shared" si="49"/>
        <v>9.9080366943715585</v>
      </c>
      <c r="T417">
        <f t="shared" si="50"/>
        <v>0.20509635957349123</v>
      </c>
      <c r="U417">
        <f t="shared" si="47"/>
        <v>1310.0529967756754</v>
      </c>
    </row>
    <row r="418" spans="5:21" x14ac:dyDescent="0.2">
      <c r="F418" t="s">
        <v>121</v>
      </c>
      <c r="H418">
        <v>91.25</v>
      </c>
      <c r="I418">
        <v>60</v>
      </c>
      <c r="J418">
        <v>0</v>
      </c>
      <c r="K418">
        <v>0</v>
      </c>
      <c r="L418">
        <v>0</v>
      </c>
      <c r="N418">
        <v>727</v>
      </c>
      <c r="P418">
        <v>-0.8</v>
      </c>
      <c r="Q418">
        <f t="shared" si="48"/>
        <v>1</v>
      </c>
      <c r="S418">
        <f t="shared" si="49"/>
        <v>8.1761946665011571</v>
      </c>
      <c r="T418">
        <f t="shared" si="50"/>
        <v>0.16924722959657396</v>
      </c>
      <c r="U418">
        <f t="shared" si="47"/>
        <v>926.62858204124234</v>
      </c>
    </row>
    <row r="419" spans="5:21" x14ac:dyDescent="0.2">
      <c r="E419" t="s">
        <v>146</v>
      </c>
      <c r="F419" t="s">
        <v>117</v>
      </c>
      <c r="H419">
        <v>91.25</v>
      </c>
      <c r="I419">
        <v>100</v>
      </c>
      <c r="J419">
        <v>0</v>
      </c>
      <c r="K419">
        <v>0</v>
      </c>
      <c r="L419">
        <v>0</v>
      </c>
      <c r="N419">
        <v>323</v>
      </c>
      <c r="P419">
        <v>0.17</v>
      </c>
      <c r="Q419">
        <f t="shared" si="48"/>
        <v>1</v>
      </c>
      <c r="S419">
        <f t="shared" si="49"/>
        <v>5.9229667542531583</v>
      </c>
      <c r="T419">
        <f t="shared" si="50"/>
        <v>0.12260541181304038</v>
      </c>
      <c r="U419">
        <f t="shared" si="47"/>
        <v>1118.7743827939935</v>
      </c>
    </row>
    <row r="420" spans="5:21" x14ac:dyDescent="0.2">
      <c r="E420">
        <v>4</v>
      </c>
      <c r="F420" t="s">
        <v>119</v>
      </c>
      <c r="H420">
        <v>91.25</v>
      </c>
      <c r="I420">
        <v>180</v>
      </c>
      <c r="J420">
        <v>0</v>
      </c>
      <c r="K420">
        <v>0</v>
      </c>
      <c r="L420">
        <v>0</v>
      </c>
      <c r="N420">
        <v>256</v>
      </c>
      <c r="P420">
        <v>0.54</v>
      </c>
      <c r="Q420">
        <f t="shared" si="48"/>
        <v>1</v>
      </c>
      <c r="S420">
        <f t="shared" si="49"/>
        <v>5.5081574044729606</v>
      </c>
      <c r="T420">
        <f t="shared" si="50"/>
        <v>0.11401885827259028</v>
      </c>
      <c r="U420">
        <f t="shared" si="47"/>
        <v>1872.7597471272954</v>
      </c>
    </row>
    <row r="421" spans="5:21" x14ac:dyDescent="0.2">
      <c r="F421" t="s">
        <v>120</v>
      </c>
      <c r="H421">
        <v>91.25</v>
      </c>
      <c r="I421">
        <v>170</v>
      </c>
      <c r="J421">
        <v>0</v>
      </c>
      <c r="K421">
        <v>0</v>
      </c>
      <c r="L421">
        <v>0</v>
      </c>
      <c r="N421">
        <v>306</v>
      </c>
      <c r="P421">
        <v>0.45</v>
      </c>
      <c r="Q421">
        <f t="shared" si="48"/>
        <v>1</v>
      </c>
      <c r="S421">
        <f t="shared" si="49"/>
        <v>6.1134362493249608</v>
      </c>
      <c r="T421">
        <f t="shared" si="50"/>
        <v>0.12654813036102669</v>
      </c>
      <c r="U421">
        <f t="shared" si="47"/>
        <v>1963.0778722254265</v>
      </c>
    </row>
    <row r="422" spans="5:21" x14ac:dyDescent="0.2">
      <c r="F422" t="s">
        <v>121</v>
      </c>
      <c r="H422">
        <v>91.25</v>
      </c>
      <c r="I422">
        <v>160</v>
      </c>
      <c r="J422">
        <v>0</v>
      </c>
      <c r="K422">
        <v>0</v>
      </c>
      <c r="L422">
        <v>0</v>
      </c>
      <c r="N422">
        <v>338</v>
      </c>
      <c r="P422">
        <v>0.09</v>
      </c>
      <c r="Q422">
        <f t="shared" si="48"/>
        <v>1</v>
      </c>
      <c r="S422">
        <f t="shared" si="49"/>
        <v>6.0065951382273601</v>
      </c>
      <c r="T422">
        <f t="shared" si="50"/>
        <v>0.12433651936130635</v>
      </c>
      <c r="U422">
        <f t="shared" si="47"/>
        <v>1815.3131826750728</v>
      </c>
    </row>
    <row r="423" spans="5:21" x14ac:dyDescent="0.2">
      <c r="E423" t="s">
        <v>152</v>
      </c>
      <c r="F423" t="s">
        <v>117</v>
      </c>
      <c r="H423">
        <v>91.25</v>
      </c>
      <c r="I423">
        <v>150</v>
      </c>
      <c r="J423">
        <v>0.7</v>
      </c>
      <c r="K423">
        <v>0.05</v>
      </c>
      <c r="L423">
        <f>$AC$12</f>
        <v>1.3</v>
      </c>
      <c r="N423">
        <v>415</v>
      </c>
      <c r="P423">
        <v>0.18</v>
      </c>
      <c r="Q423">
        <f>(J423 * $AD$4 +K423* $AD$5) + (1 -J423 - K423 )</f>
        <v>1.2150000000000001</v>
      </c>
      <c r="S423">
        <f t="shared" si="49"/>
        <v>8.7136936733733741</v>
      </c>
      <c r="T423">
        <f t="shared" si="50"/>
        <v>0.18037345903882884</v>
      </c>
      <c r="U423">
        <f t="shared" si="47"/>
        <v>2468.8617205939699</v>
      </c>
    </row>
    <row r="424" spans="5:21" x14ac:dyDescent="0.2">
      <c r="E424" t="s">
        <v>235</v>
      </c>
      <c r="F424" t="s">
        <v>119</v>
      </c>
      <c r="H424">
        <v>91.25</v>
      </c>
      <c r="I424">
        <v>250</v>
      </c>
      <c r="J424">
        <v>0</v>
      </c>
      <c r="K424">
        <v>0.71</v>
      </c>
      <c r="L424">
        <f>$AC$13</f>
        <v>1.1000000000000001</v>
      </c>
      <c r="N424">
        <v>368</v>
      </c>
      <c r="P424">
        <v>0.38</v>
      </c>
      <c r="Q424">
        <f t="shared" ref="Q424:Q436" si="51">(J424 * $AD$4 +K424* $AD$5) + (1 -J424 - K424 )</f>
        <v>1.0710000000000002</v>
      </c>
      <c r="S424">
        <f t="shared" si="49"/>
        <v>7.3704026918331111</v>
      </c>
      <c r="T424">
        <f t="shared" si="50"/>
        <v>0.15256733572094541</v>
      </c>
      <c r="U424">
        <f t="shared" si="47"/>
        <v>3480.4423461340671</v>
      </c>
    </row>
    <row r="425" spans="5:21" x14ac:dyDescent="0.2">
      <c r="F425" t="s">
        <v>120</v>
      </c>
      <c r="H425">
        <v>91.25</v>
      </c>
      <c r="I425">
        <v>240</v>
      </c>
      <c r="J425">
        <v>0</v>
      </c>
      <c r="K425">
        <v>0</v>
      </c>
      <c r="L425">
        <f>$AC$14</f>
        <v>0</v>
      </c>
      <c r="N425">
        <v>392</v>
      </c>
      <c r="P425">
        <v>0.35</v>
      </c>
      <c r="Q425">
        <f t="shared" si="51"/>
        <v>1</v>
      </c>
      <c r="S425">
        <f t="shared" si="49"/>
        <v>7.1577844228929601</v>
      </c>
      <c r="T425">
        <f t="shared" si="50"/>
        <v>0.14816613755388428</v>
      </c>
      <c r="U425">
        <f t="shared" si="47"/>
        <v>3244.8384124300655</v>
      </c>
    </row>
    <row r="426" spans="5:21" x14ac:dyDescent="0.2">
      <c r="F426" t="s">
        <v>121</v>
      </c>
      <c r="H426">
        <v>91.25</v>
      </c>
      <c r="I426">
        <v>200</v>
      </c>
      <c r="J426">
        <v>0.1</v>
      </c>
      <c r="K426">
        <v>0</v>
      </c>
      <c r="L426">
        <f>$AC$14</f>
        <v>0</v>
      </c>
      <c r="N426">
        <v>432</v>
      </c>
      <c r="P426">
        <v>0.12</v>
      </c>
      <c r="Q426">
        <f t="shared" si="51"/>
        <v>1.03</v>
      </c>
      <c r="S426">
        <f t="shared" si="49"/>
        <v>7.5023473154300913</v>
      </c>
      <c r="T426">
        <f t="shared" si="50"/>
        <v>0.15529858942940289</v>
      </c>
      <c r="U426">
        <f t="shared" si="47"/>
        <v>2834.1992570866028</v>
      </c>
    </row>
    <row r="427" spans="5:21" x14ac:dyDescent="0.2">
      <c r="E427" t="s">
        <v>141</v>
      </c>
      <c r="F427" t="s">
        <v>117</v>
      </c>
      <c r="H427">
        <v>91.25</v>
      </c>
      <c r="I427">
        <v>100</v>
      </c>
      <c r="J427">
        <v>0</v>
      </c>
      <c r="K427">
        <v>0</v>
      </c>
      <c r="L427">
        <v>0</v>
      </c>
      <c r="N427">
        <v>208</v>
      </c>
      <c r="P427">
        <v>0.25</v>
      </c>
      <c r="Q427">
        <f t="shared" si="51"/>
        <v>1</v>
      </c>
      <c r="S427">
        <f t="shared" si="49"/>
        <v>4.3914706245889592</v>
      </c>
      <c r="T427">
        <f t="shared" si="50"/>
        <v>9.0903441928991455E-2</v>
      </c>
      <c r="U427">
        <f t="shared" si="47"/>
        <v>829.4939076020471</v>
      </c>
    </row>
    <row r="428" spans="5:21" x14ac:dyDescent="0.2">
      <c r="E428">
        <v>3</v>
      </c>
      <c r="F428" t="s">
        <v>119</v>
      </c>
      <c r="H428">
        <v>91.25</v>
      </c>
      <c r="I428">
        <v>190</v>
      </c>
      <c r="J428">
        <v>0</v>
      </c>
      <c r="K428">
        <v>0</v>
      </c>
      <c r="L428">
        <v>0</v>
      </c>
      <c r="N428">
        <v>112</v>
      </c>
      <c r="P428">
        <v>0.62</v>
      </c>
      <c r="Q428">
        <f t="shared" si="51"/>
        <v>1</v>
      </c>
      <c r="S428">
        <f t="shared" si="49"/>
        <v>3.4453507346233607</v>
      </c>
      <c r="T428">
        <f t="shared" si="50"/>
        <v>7.1318760206703566E-2</v>
      </c>
      <c r="U428">
        <f t="shared" si="47"/>
        <v>1236.489005083723</v>
      </c>
    </row>
    <row r="429" spans="5:21" x14ac:dyDescent="0.2">
      <c r="F429" t="s">
        <v>120</v>
      </c>
      <c r="H429">
        <v>91.25</v>
      </c>
      <c r="I429">
        <v>195</v>
      </c>
      <c r="J429">
        <v>0</v>
      </c>
      <c r="K429">
        <v>0</v>
      </c>
      <c r="L429">
        <v>0</v>
      </c>
      <c r="N429">
        <v>169</v>
      </c>
      <c r="P429">
        <v>0.54</v>
      </c>
      <c r="Q429">
        <f t="shared" si="51"/>
        <v>1</v>
      </c>
      <c r="S429">
        <f t="shared" si="49"/>
        <v>4.1947193446819586</v>
      </c>
      <c r="T429">
        <f t="shared" si="50"/>
        <v>8.6830690434916535E-2</v>
      </c>
      <c r="U429">
        <f t="shared" si="47"/>
        <v>1545.0435979262961</v>
      </c>
    </row>
    <row r="430" spans="5:21" x14ac:dyDescent="0.2">
      <c r="F430" t="s">
        <v>121</v>
      </c>
      <c r="H430">
        <v>91.25</v>
      </c>
      <c r="I430">
        <v>200</v>
      </c>
      <c r="J430">
        <v>0</v>
      </c>
      <c r="K430">
        <v>0</v>
      </c>
      <c r="L430">
        <v>0</v>
      </c>
      <c r="N430">
        <v>211</v>
      </c>
      <c r="P430">
        <v>0.22</v>
      </c>
      <c r="Q430">
        <f t="shared" si="51"/>
        <v>1</v>
      </c>
      <c r="S430">
        <f t="shared" si="49"/>
        <v>4.3952510324131611</v>
      </c>
      <c r="T430">
        <f t="shared" si="50"/>
        <v>9.0981696370952436E-2</v>
      </c>
      <c r="U430">
        <f t="shared" si="47"/>
        <v>1660.4159587698821</v>
      </c>
    </row>
    <row r="431" spans="5:21" x14ac:dyDescent="0.2">
      <c r="E431" t="s">
        <v>156</v>
      </c>
      <c r="F431" t="s">
        <v>117</v>
      </c>
      <c r="H431">
        <v>91.25</v>
      </c>
      <c r="I431">
        <v>50</v>
      </c>
      <c r="J431">
        <v>0.9</v>
      </c>
      <c r="K431">
        <v>0.05</v>
      </c>
      <c r="L431">
        <f>$AC$12</f>
        <v>1.3</v>
      </c>
      <c r="N431">
        <v>467</v>
      </c>
      <c r="P431">
        <v>-0.28000000000000003</v>
      </c>
      <c r="Q431">
        <f t="shared" si="51"/>
        <v>1.2750000000000001</v>
      </c>
      <c r="S431">
        <f t="shared" si="49"/>
        <v>8.9533401678684967</v>
      </c>
      <c r="T431">
        <f t="shared" si="50"/>
        <v>0.18533414147487787</v>
      </c>
      <c r="U431">
        <f t="shared" si="47"/>
        <v>845.58702047913027</v>
      </c>
    </row>
    <row r="432" spans="5:21" x14ac:dyDescent="0.2">
      <c r="E432" t="s">
        <v>236</v>
      </c>
      <c r="F432" t="s">
        <v>119</v>
      </c>
      <c r="H432">
        <v>91.25</v>
      </c>
      <c r="I432">
        <v>100</v>
      </c>
      <c r="J432">
        <v>0</v>
      </c>
      <c r="K432">
        <v>0.9</v>
      </c>
      <c r="L432">
        <f>$AC$13</f>
        <v>1.1000000000000001</v>
      </c>
      <c r="N432">
        <v>465</v>
      </c>
      <c r="P432">
        <v>0.27</v>
      </c>
      <c r="Q432">
        <f t="shared" si="51"/>
        <v>1.0900000000000001</v>
      </c>
      <c r="S432">
        <f t="shared" si="49"/>
        <v>8.6617544016352497</v>
      </c>
      <c r="T432">
        <f t="shared" si="50"/>
        <v>0.17929831611384967</v>
      </c>
      <c r="U432">
        <f t="shared" si="47"/>
        <v>1636.0971345388784</v>
      </c>
    </row>
    <row r="433" spans="5:21" x14ac:dyDescent="0.2">
      <c r="F433" t="s">
        <v>120</v>
      </c>
      <c r="H433">
        <v>91.25</v>
      </c>
      <c r="I433">
        <v>90</v>
      </c>
      <c r="J433">
        <v>0</v>
      </c>
      <c r="K433">
        <v>0</v>
      </c>
      <c r="L433">
        <f>$AC$14</f>
        <v>0</v>
      </c>
      <c r="N433">
        <v>464</v>
      </c>
      <c r="P433">
        <v>0.15</v>
      </c>
      <c r="Q433">
        <f t="shared" si="51"/>
        <v>1</v>
      </c>
      <c r="S433">
        <f t="shared" si="49"/>
        <v>7.7230655448321599</v>
      </c>
      <c r="T433">
        <f t="shared" si="50"/>
        <v>0.15986745677802572</v>
      </c>
      <c r="U433">
        <f t="shared" si="47"/>
        <v>1312.9114887895362</v>
      </c>
    </row>
    <row r="434" spans="5:21" x14ac:dyDescent="0.2">
      <c r="F434" t="s">
        <v>121</v>
      </c>
      <c r="H434">
        <v>91.25</v>
      </c>
      <c r="I434">
        <v>80</v>
      </c>
      <c r="J434">
        <v>0</v>
      </c>
      <c r="K434">
        <v>0</v>
      </c>
      <c r="L434">
        <f>$AC$14</f>
        <v>0</v>
      </c>
      <c r="N434">
        <v>492</v>
      </c>
      <c r="P434">
        <v>0.02</v>
      </c>
      <c r="Q434">
        <f t="shared" si="51"/>
        <v>1</v>
      </c>
      <c r="S434">
        <f t="shared" si="49"/>
        <v>7.815455400504959</v>
      </c>
      <c r="T434">
        <f t="shared" si="50"/>
        <v>0.16177992679045264</v>
      </c>
      <c r="U434">
        <f t="shared" si="47"/>
        <v>1180.9934655703044</v>
      </c>
    </row>
    <row r="435" spans="5:21" x14ac:dyDescent="0.2">
      <c r="E435" t="s">
        <v>169</v>
      </c>
      <c r="F435" t="s">
        <v>117</v>
      </c>
      <c r="H435">
        <v>91.25</v>
      </c>
      <c r="I435">
        <v>30</v>
      </c>
      <c r="J435">
        <v>0</v>
      </c>
      <c r="K435">
        <v>0</v>
      </c>
      <c r="L435">
        <v>0</v>
      </c>
      <c r="N435">
        <v>371</v>
      </c>
      <c r="P435">
        <v>0.24</v>
      </c>
      <c r="Q435">
        <f t="shared" si="51"/>
        <v>1</v>
      </c>
      <c r="S435">
        <f t="shared" si="49"/>
        <v>6.6929487769875617</v>
      </c>
      <c r="T435">
        <f t="shared" si="50"/>
        <v>0.13854403968364254</v>
      </c>
      <c r="U435">
        <f t="shared" si="47"/>
        <v>379.26430863397144</v>
      </c>
    </row>
    <row r="436" spans="5:21" x14ac:dyDescent="0.2">
      <c r="E436" t="s">
        <v>237</v>
      </c>
      <c r="F436" t="s">
        <v>119</v>
      </c>
      <c r="H436">
        <v>91.25</v>
      </c>
      <c r="I436">
        <v>70</v>
      </c>
      <c r="J436">
        <v>0</v>
      </c>
      <c r="K436">
        <v>0</v>
      </c>
      <c r="L436">
        <v>0</v>
      </c>
      <c r="N436">
        <v>280</v>
      </c>
      <c r="P436">
        <v>0.64</v>
      </c>
      <c r="Q436">
        <f t="shared" si="51"/>
        <v>1</v>
      </c>
      <c r="S436">
        <f t="shared" si="49"/>
        <v>6.0219196816</v>
      </c>
      <c r="T436">
        <f t="shared" si="50"/>
        <v>0.12465373740912</v>
      </c>
      <c r="U436">
        <f t="shared" si="47"/>
        <v>796.22574770075403</v>
      </c>
    </row>
    <row r="437" spans="5:21" x14ac:dyDescent="0.2">
      <c r="F437" t="s">
        <v>120</v>
      </c>
      <c r="H437">
        <v>91.25</v>
      </c>
      <c r="I437">
        <v>40</v>
      </c>
      <c r="J437">
        <v>0</v>
      </c>
      <c r="K437">
        <v>0</v>
      </c>
      <c r="L437">
        <v>0</v>
      </c>
      <c r="N437">
        <v>339</v>
      </c>
      <c r="P437">
        <v>0.54</v>
      </c>
      <c r="Q437">
        <f t="shared" ref="Q437:Q450" si="52">(J437 * $AD$4 + K437*$AD$5) + (1 - J437 )</f>
        <v>1</v>
      </c>
      <c r="S437">
        <f t="shared" si="49"/>
        <v>6.73592155951716</v>
      </c>
      <c r="T437">
        <f t="shared" si="50"/>
        <v>0.13943357628200523</v>
      </c>
      <c r="U437">
        <f t="shared" si="47"/>
        <v>508.93255342931911</v>
      </c>
    </row>
    <row r="438" spans="5:21" x14ac:dyDescent="0.2">
      <c r="F438" t="s">
        <v>121</v>
      </c>
      <c r="H438">
        <v>91.25</v>
      </c>
      <c r="I438">
        <v>20</v>
      </c>
      <c r="J438">
        <v>0</v>
      </c>
      <c r="K438">
        <v>0</v>
      </c>
      <c r="L438">
        <v>0</v>
      </c>
      <c r="N438">
        <v>377</v>
      </c>
      <c r="P438">
        <v>0.18</v>
      </c>
      <c r="Q438">
        <f t="shared" si="52"/>
        <v>1</v>
      </c>
      <c r="S438">
        <f t="shared" si="49"/>
        <v>6.675736158029161</v>
      </c>
      <c r="T438">
        <f t="shared" si="50"/>
        <v>0.13818773847120364</v>
      </c>
      <c r="U438">
        <f t="shared" si="47"/>
        <v>252.19262270994662</v>
      </c>
    </row>
    <row r="439" spans="5:21" x14ac:dyDescent="0.2">
      <c r="E439" t="s">
        <v>171</v>
      </c>
      <c r="F439" t="s">
        <v>117</v>
      </c>
      <c r="H439">
        <v>91.25</v>
      </c>
      <c r="I439">
        <v>30</v>
      </c>
      <c r="J439">
        <v>0</v>
      </c>
      <c r="K439">
        <v>0</v>
      </c>
      <c r="L439">
        <v>0</v>
      </c>
      <c r="N439">
        <v>493</v>
      </c>
      <c r="P439">
        <v>0.25</v>
      </c>
      <c r="Q439">
        <f t="shared" si="52"/>
        <v>1</v>
      </c>
      <c r="S439">
        <f t="shared" si="49"/>
        <v>8.2371445258147613</v>
      </c>
      <c r="T439">
        <f t="shared" si="50"/>
        <v>0.17050889168436556</v>
      </c>
      <c r="U439">
        <f t="shared" si="47"/>
        <v>466.76809098595072</v>
      </c>
    </row>
    <row r="440" spans="5:21" x14ac:dyDescent="0.2">
      <c r="E440" t="s">
        <v>238</v>
      </c>
      <c r="F440" t="s">
        <v>119</v>
      </c>
      <c r="H440">
        <v>91.25</v>
      </c>
      <c r="I440">
        <v>100</v>
      </c>
      <c r="J440">
        <v>0</v>
      </c>
      <c r="K440">
        <v>0</v>
      </c>
      <c r="L440">
        <v>0</v>
      </c>
      <c r="N440">
        <v>421</v>
      </c>
      <c r="P440">
        <v>0.55000000000000004</v>
      </c>
      <c r="Q440">
        <f t="shared" si="52"/>
        <v>1</v>
      </c>
      <c r="S440">
        <f t="shared" si="49"/>
        <v>7.8891518371795586</v>
      </c>
      <c r="T440">
        <f t="shared" si="50"/>
        <v>0.16330544302961686</v>
      </c>
      <c r="U440">
        <f t="shared" si="47"/>
        <v>1490.1621676452539</v>
      </c>
    </row>
    <row r="441" spans="5:21" x14ac:dyDescent="0.2">
      <c r="F441" t="s">
        <v>120</v>
      </c>
      <c r="H441">
        <v>91.25</v>
      </c>
      <c r="I441">
        <v>40</v>
      </c>
      <c r="J441">
        <v>0</v>
      </c>
      <c r="K441">
        <v>0</v>
      </c>
      <c r="L441">
        <v>0</v>
      </c>
      <c r="N441">
        <v>470</v>
      </c>
      <c r="P441">
        <v>0.42</v>
      </c>
      <c r="Q441">
        <f t="shared" si="52"/>
        <v>1</v>
      </c>
      <c r="S441">
        <f t="shared" si="49"/>
        <v>8.2757480975999993</v>
      </c>
      <c r="T441">
        <f t="shared" si="50"/>
        <v>0.17130798562031999</v>
      </c>
      <c r="U441">
        <f t="shared" si="47"/>
        <v>625.27414751416791</v>
      </c>
    </row>
    <row r="442" spans="5:21" x14ac:dyDescent="0.2">
      <c r="F442" t="s">
        <v>121</v>
      </c>
      <c r="H442">
        <v>91.25</v>
      </c>
      <c r="I442">
        <v>0</v>
      </c>
      <c r="J442">
        <v>0</v>
      </c>
      <c r="K442">
        <v>0</v>
      </c>
      <c r="L442">
        <v>0</v>
      </c>
      <c r="N442">
        <v>498</v>
      </c>
      <c r="P442">
        <v>0.12</v>
      </c>
      <c r="Q442">
        <f t="shared" si="52"/>
        <v>1</v>
      </c>
      <c r="S442">
        <f t="shared" si="49"/>
        <v>8.0594077169721601</v>
      </c>
      <c r="T442">
        <f t="shared" si="50"/>
        <v>0.16682973974132373</v>
      </c>
      <c r="U442">
        <f t="shared" si="47"/>
        <v>0</v>
      </c>
    </row>
    <row r="443" spans="5:21" x14ac:dyDescent="0.2">
      <c r="E443" t="s">
        <v>164</v>
      </c>
      <c r="F443" t="s">
        <v>117</v>
      </c>
      <c r="H443">
        <v>91.25</v>
      </c>
      <c r="I443">
        <v>20</v>
      </c>
      <c r="J443">
        <v>0</v>
      </c>
      <c r="K443">
        <v>0</v>
      </c>
      <c r="L443">
        <v>0</v>
      </c>
      <c r="N443">
        <v>223</v>
      </c>
      <c r="P443">
        <v>0.32</v>
      </c>
      <c r="Q443">
        <f t="shared" si="52"/>
        <v>1</v>
      </c>
      <c r="S443">
        <f t="shared" si="49"/>
        <v>4.7042339204851595</v>
      </c>
      <c r="T443">
        <f t="shared" si="50"/>
        <v>9.7377642154042807E-2</v>
      </c>
      <c r="U443">
        <f t="shared" si="47"/>
        <v>177.71419693112813</v>
      </c>
    </row>
    <row r="444" spans="5:21" x14ac:dyDescent="0.2">
      <c r="E444">
        <v>6</v>
      </c>
      <c r="F444" t="s">
        <v>119</v>
      </c>
      <c r="H444">
        <v>91.25</v>
      </c>
      <c r="I444">
        <v>40</v>
      </c>
      <c r="J444">
        <v>0</v>
      </c>
      <c r="K444">
        <v>0</v>
      </c>
      <c r="L444">
        <v>0</v>
      </c>
      <c r="N444">
        <v>108</v>
      </c>
      <c r="P444">
        <v>0.75</v>
      </c>
      <c r="Q444">
        <f t="shared" si="52"/>
        <v>1</v>
      </c>
      <c r="S444">
        <f t="shared" si="49"/>
        <v>3.5390774825409603</v>
      </c>
      <c r="T444">
        <f t="shared" si="50"/>
        <v>7.3258903888597876E-2</v>
      </c>
      <c r="U444">
        <f t="shared" si="47"/>
        <v>267.39499919338226</v>
      </c>
    </row>
    <row r="445" spans="5:21" x14ac:dyDescent="0.2">
      <c r="F445" t="s">
        <v>120</v>
      </c>
      <c r="H445">
        <v>91.25</v>
      </c>
      <c r="I445">
        <v>35</v>
      </c>
      <c r="J445">
        <v>0</v>
      </c>
      <c r="K445">
        <v>0</v>
      </c>
      <c r="L445">
        <v>0</v>
      </c>
      <c r="N445">
        <v>176</v>
      </c>
      <c r="P445">
        <v>0.63</v>
      </c>
      <c r="Q445">
        <f t="shared" si="52"/>
        <v>1</v>
      </c>
      <c r="S445">
        <f t="shared" si="49"/>
        <v>4.41820389186576</v>
      </c>
      <c r="T445">
        <f t="shared" si="50"/>
        <v>9.145682056162123E-2</v>
      </c>
      <c r="U445">
        <f t="shared" si="47"/>
        <v>292.09022066867783</v>
      </c>
    </row>
    <row r="446" spans="5:21" x14ac:dyDescent="0.2">
      <c r="F446" t="s">
        <v>121</v>
      </c>
      <c r="H446">
        <v>91.25</v>
      </c>
      <c r="I446">
        <v>30</v>
      </c>
      <c r="J446">
        <v>0</v>
      </c>
      <c r="K446">
        <v>0</v>
      </c>
      <c r="L446">
        <v>0</v>
      </c>
      <c r="N446">
        <v>222</v>
      </c>
      <c r="P446">
        <v>0.25</v>
      </c>
      <c r="Q446">
        <f t="shared" si="52"/>
        <v>1</v>
      </c>
      <c r="S446">
        <f t="shared" si="49"/>
        <v>4.5945562392705579</v>
      </c>
      <c r="T446">
        <f t="shared" si="50"/>
        <v>9.5107314152900538E-2</v>
      </c>
      <c r="U446">
        <f t="shared" si="47"/>
        <v>260.35627249356526</v>
      </c>
    </row>
    <row r="447" spans="5:21" x14ac:dyDescent="0.2">
      <c r="E447" t="s">
        <v>176</v>
      </c>
      <c r="F447" t="s">
        <v>117</v>
      </c>
      <c r="H447">
        <v>91.25</v>
      </c>
      <c r="I447">
        <v>30</v>
      </c>
      <c r="J447">
        <v>0</v>
      </c>
      <c r="K447">
        <v>0</v>
      </c>
      <c r="L447">
        <v>0</v>
      </c>
      <c r="N447">
        <v>585</v>
      </c>
      <c r="P447">
        <v>-0.05</v>
      </c>
      <c r="Q447">
        <f t="shared" si="52"/>
        <v>1</v>
      </c>
      <c r="S447">
        <f t="shared" si="49"/>
        <v>8.6163676832249969</v>
      </c>
      <c r="T447">
        <f t="shared" si="50"/>
        <v>0.17835881104275741</v>
      </c>
      <c r="U447">
        <f t="shared" si="47"/>
        <v>488.2572452295484</v>
      </c>
    </row>
    <row r="448" spans="5:21" x14ac:dyDescent="0.2">
      <c r="E448" t="s">
        <v>239</v>
      </c>
      <c r="F448" t="s">
        <v>119</v>
      </c>
      <c r="H448">
        <v>91.25</v>
      </c>
      <c r="I448">
        <v>35</v>
      </c>
      <c r="J448">
        <v>0</v>
      </c>
      <c r="K448">
        <v>0</v>
      </c>
      <c r="L448">
        <v>0</v>
      </c>
      <c r="N448">
        <v>543</v>
      </c>
      <c r="P448">
        <v>0.48</v>
      </c>
      <c r="Q448">
        <f t="shared" si="52"/>
        <v>1</v>
      </c>
      <c r="S448">
        <f t="shared" si="49"/>
        <v>9.2100875171187617</v>
      </c>
      <c r="T448">
        <f t="shared" si="50"/>
        <v>0.19064881160435837</v>
      </c>
      <c r="U448">
        <f t="shared" si="47"/>
        <v>608.88464206141953</v>
      </c>
    </row>
    <row r="449" spans="1:22" x14ac:dyDescent="0.2">
      <c r="F449" t="s">
        <v>120</v>
      </c>
      <c r="H449">
        <v>91.25</v>
      </c>
      <c r="I449">
        <v>20</v>
      </c>
      <c r="J449">
        <v>0</v>
      </c>
      <c r="K449">
        <v>0</v>
      </c>
      <c r="L449">
        <v>0</v>
      </c>
      <c r="N449">
        <v>580</v>
      </c>
      <c r="P449">
        <v>0.26</v>
      </c>
      <c r="Q449">
        <f t="shared" si="52"/>
        <v>1</v>
      </c>
      <c r="S449">
        <f t="shared" si="49"/>
        <v>9.1534082115999986</v>
      </c>
      <c r="T449">
        <f t="shared" si="50"/>
        <v>0.18947554998011998</v>
      </c>
      <c r="U449">
        <f t="shared" si="47"/>
        <v>345.79287871371895</v>
      </c>
    </row>
    <row r="450" spans="1:22" x14ac:dyDescent="0.2">
      <c r="F450" t="s">
        <v>121</v>
      </c>
      <c r="H450">
        <v>91.25</v>
      </c>
      <c r="I450">
        <v>0</v>
      </c>
      <c r="J450">
        <v>0</v>
      </c>
      <c r="K450">
        <v>0</v>
      </c>
      <c r="L450">
        <v>0</v>
      </c>
      <c r="N450">
        <v>590</v>
      </c>
      <c r="P450">
        <v>0.03</v>
      </c>
      <c r="Q450">
        <f t="shared" si="52"/>
        <v>1</v>
      </c>
      <c r="S450">
        <f t="shared" si="49"/>
        <v>8.8089646400999992</v>
      </c>
      <c r="T450">
        <f t="shared" si="50"/>
        <v>0.18234556805006996</v>
      </c>
      <c r="U450">
        <f t="shared" si="47"/>
        <v>0</v>
      </c>
    </row>
    <row r="456" spans="1:22" x14ac:dyDescent="0.2">
      <c r="A456" s="9" t="s">
        <v>259</v>
      </c>
    </row>
    <row r="461" spans="1:22" x14ac:dyDescent="0.2">
      <c r="A461" t="s">
        <v>259</v>
      </c>
      <c r="B461" t="s">
        <v>232</v>
      </c>
      <c r="C461" t="s">
        <v>259</v>
      </c>
      <c r="D461" t="s">
        <v>259</v>
      </c>
      <c r="E461" t="s">
        <v>116</v>
      </c>
      <c r="F461" t="s">
        <v>117</v>
      </c>
      <c r="H461">
        <v>91.25</v>
      </c>
      <c r="I461">
        <v>50</v>
      </c>
      <c r="J461">
        <v>0</v>
      </c>
      <c r="K461">
        <v>0</v>
      </c>
      <c r="L461">
        <v>0</v>
      </c>
      <c r="N461" s="32" cm="1">
        <f t="array" ref="N461:N500">_xlfn.DROP(_xlfn.XLOOKUP($C461,TableW[[#Headers],[ACT/NSW]:[QLD - Low]],TableW[[#All],[ACT/NSW]:[QLD - Low]]),1)</f>
        <v>220</v>
      </c>
      <c r="P461" cm="1">
        <f t="array" ref="P461:P500">_xlfn.DROP(_xlfn.XLOOKUP($C461,TableLWG[[#Headers],[ACT/NSW]:[QLD - Low]],TableLWG[[#All],[ACT/NSW]:[QLD - Low]]),1)</f>
        <v>0.22</v>
      </c>
      <c r="Q461">
        <f>(J461 * $AD$4 + K461*$AD$5) + (1 - J461 )</f>
        <v>1</v>
      </c>
      <c r="S461">
        <f>(1.185 + 0.00454 * N461- 0.0000026 * N461^2 + 0.315 * P461 )^2 * Q461</f>
        <v>4.5252351075999986</v>
      </c>
      <c r="T461">
        <f>20.7 * S461 * 10^-3</f>
        <v>9.3672366727319975E-2</v>
      </c>
      <c r="U461">
        <f t="shared" ref="U461:U500" si="53">H461*T461*I461</f>
        <v>427.38017319339735</v>
      </c>
      <c r="V461">
        <f>SUM(U461:U500)/1000</f>
        <v>37.547496283611004</v>
      </c>
    </row>
    <row r="462" spans="1:22" x14ac:dyDescent="0.2">
      <c r="E462">
        <v>1</v>
      </c>
      <c r="F462" t="s">
        <v>119</v>
      </c>
      <c r="H462">
        <v>91.25</v>
      </c>
      <c r="I462">
        <v>100</v>
      </c>
      <c r="J462">
        <v>0</v>
      </c>
      <c r="K462">
        <v>0</v>
      </c>
      <c r="L462">
        <v>0</v>
      </c>
      <c r="N462">
        <v>110</v>
      </c>
      <c r="P462">
        <v>0.66</v>
      </c>
      <c r="Q462">
        <f t="shared" ref="Q462:Q472" si="54">(J462 * $AD$4 + K462*$AD$5) + (1 - J462 )</f>
        <v>1</v>
      </c>
      <c r="S462">
        <f t="shared" ref="S462:S500" si="55">(1.185 + 0.00454 * N462- 0.0000026 * N462^2 + 0.315 * P462 )^2 * Q462</f>
        <v>3.4627255056000004</v>
      </c>
      <c r="T462">
        <f t="shared" ref="T462:T500" si="56">20.7 * S462 * 10^-3</f>
        <v>7.1678417965920005E-2</v>
      </c>
      <c r="U462">
        <f t="shared" si="53"/>
        <v>654.06556393902008</v>
      </c>
    </row>
    <row r="463" spans="1:22" x14ac:dyDescent="0.2">
      <c r="F463" t="s">
        <v>120</v>
      </c>
      <c r="H463">
        <v>91.25</v>
      </c>
      <c r="I463">
        <v>80</v>
      </c>
      <c r="J463">
        <v>0</v>
      </c>
      <c r="K463">
        <v>0</v>
      </c>
      <c r="L463">
        <v>0</v>
      </c>
      <c r="N463">
        <v>170</v>
      </c>
      <c r="P463">
        <v>0.49</v>
      </c>
      <c r="Q463">
        <f t="shared" si="54"/>
        <v>1</v>
      </c>
      <c r="S463">
        <f t="shared" si="55"/>
        <v>4.1453367201000004</v>
      </c>
      <c r="T463">
        <f t="shared" si="56"/>
        <v>8.5808470106070012E-2</v>
      </c>
      <c r="U463">
        <f t="shared" si="53"/>
        <v>626.40183177431118</v>
      </c>
    </row>
    <row r="464" spans="1:22" x14ac:dyDescent="0.2">
      <c r="F464" t="s">
        <v>121</v>
      </c>
      <c r="H464">
        <v>91.25</v>
      </c>
      <c r="I464">
        <v>70</v>
      </c>
      <c r="J464">
        <v>0</v>
      </c>
      <c r="K464">
        <v>0</v>
      </c>
      <c r="L464">
        <v>0</v>
      </c>
      <c r="N464">
        <v>200</v>
      </c>
      <c r="P464">
        <v>0.27</v>
      </c>
      <c r="Q464">
        <f t="shared" si="54"/>
        <v>1</v>
      </c>
      <c r="S464">
        <f t="shared" si="55"/>
        <v>4.3016834024999993</v>
      </c>
      <c r="T464">
        <f t="shared" si="56"/>
        <v>8.9044846431749994E-2</v>
      </c>
      <c r="U464">
        <f t="shared" si="53"/>
        <v>568.77395658280307</v>
      </c>
    </row>
    <row r="465" spans="5:21" x14ac:dyDescent="0.2">
      <c r="E465" t="s">
        <v>122</v>
      </c>
      <c r="F465" t="s">
        <v>117</v>
      </c>
      <c r="H465">
        <v>91.25</v>
      </c>
      <c r="I465">
        <v>20</v>
      </c>
      <c r="J465">
        <v>0</v>
      </c>
      <c r="K465">
        <v>0</v>
      </c>
      <c r="L465">
        <v>0</v>
      </c>
      <c r="N465">
        <v>620</v>
      </c>
      <c r="P465">
        <v>-0.44</v>
      </c>
      <c r="Q465">
        <f t="shared" si="54"/>
        <v>1</v>
      </c>
      <c r="S465">
        <f t="shared" si="55"/>
        <v>8.1896702976000011</v>
      </c>
      <c r="T465">
        <f t="shared" si="56"/>
        <v>0.16952617516032001</v>
      </c>
      <c r="U465">
        <f t="shared" si="53"/>
        <v>309.385269667584</v>
      </c>
    </row>
    <row r="466" spans="5:21" x14ac:dyDescent="0.2">
      <c r="E466">
        <v>2</v>
      </c>
      <c r="F466" t="s">
        <v>119</v>
      </c>
      <c r="H466">
        <v>91.25</v>
      </c>
      <c r="I466">
        <v>80</v>
      </c>
      <c r="J466">
        <v>0</v>
      </c>
      <c r="K466">
        <v>0</v>
      </c>
      <c r="L466">
        <v>0</v>
      </c>
      <c r="N466">
        <v>650</v>
      </c>
      <c r="P466">
        <v>0.22</v>
      </c>
      <c r="Q466">
        <f t="shared" si="54"/>
        <v>1</v>
      </c>
      <c r="S466">
        <f t="shared" si="55"/>
        <v>9.6522062400000017</v>
      </c>
      <c r="T466">
        <f t="shared" si="56"/>
        <v>0.19980066916800004</v>
      </c>
      <c r="U466">
        <f t="shared" si="53"/>
        <v>1458.5448849264003</v>
      </c>
    </row>
    <row r="467" spans="5:21" x14ac:dyDescent="0.2">
      <c r="F467" t="s">
        <v>120</v>
      </c>
      <c r="H467">
        <v>91.25</v>
      </c>
      <c r="I467">
        <v>70</v>
      </c>
      <c r="J467">
        <v>0</v>
      </c>
      <c r="K467">
        <v>0</v>
      </c>
      <c r="L467">
        <v>0</v>
      </c>
      <c r="N467">
        <v>670</v>
      </c>
      <c r="P467">
        <v>0.05</v>
      </c>
      <c r="Q467">
        <f t="shared" si="54"/>
        <v>1</v>
      </c>
      <c r="S467">
        <f t="shared" si="55"/>
        <v>9.4581466681000013</v>
      </c>
      <c r="T467">
        <f t="shared" si="56"/>
        <v>0.19578363602967003</v>
      </c>
      <c r="U467">
        <f t="shared" si="53"/>
        <v>1250.5679751395173</v>
      </c>
    </row>
    <row r="468" spans="5:21" x14ac:dyDescent="0.2">
      <c r="F468" t="s">
        <v>121</v>
      </c>
      <c r="H468">
        <v>91.25</v>
      </c>
      <c r="I468">
        <v>60</v>
      </c>
      <c r="J468">
        <v>0</v>
      </c>
      <c r="K468">
        <v>0</v>
      </c>
      <c r="L468">
        <v>0</v>
      </c>
      <c r="N468">
        <v>660</v>
      </c>
      <c r="P468">
        <v>-0.27</v>
      </c>
      <c r="Q468">
        <f t="shared" si="54"/>
        <v>1</v>
      </c>
      <c r="S468">
        <f t="shared" si="55"/>
        <v>8.7840511641000028</v>
      </c>
      <c r="T468">
        <f t="shared" si="56"/>
        <v>0.18182985909687005</v>
      </c>
      <c r="U468">
        <f t="shared" si="53"/>
        <v>995.51847855536357</v>
      </c>
    </row>
    <row r="469" spans="5:21" x14ac:dyDescent="0.2">
      <c r="E469" t="s">
        <v>146</v>
      </c>
      <c r="F469" t="s">
        <v>117</v>
      </c>
      <c r="H469">
        <v>91.25</v>
      </c>
      <c r="I469">
        <v>100</v>
      </c>
      <c r="J469">
        <v>0</v>
      </c>
      <c r="K469">
        <v>0</v>
      </c>
      <c r="L469">
        <v>0</v>
      </c>
      <c r="N469">
        <v>319</v>
      </c>
      <c r="P469">
        <v>0.21</v>
      </c>
      <c r="Q469">
        <f t="shared" si="54"/>
        <v>1</v>
      </c>
      <c r="S469">
        <f t="shared" si="55"/>
        <v>5.9284039464259592</v>
      </c>
      <c r="T469">
        <f t="shared" si="56"/>
        <v>0.12271796169101735</v>
      </c>
      <c r="U469">
        <f t="shared" si="53"/>
        <v>1119.8014004305332</v>
      </c>
    </row>
    <row r="470" spans="5:21" x14ac:dyDescent="0.2">
      <c r="E470">
        <v>4</v>
      </c>
      <c r="F470" t="s">
        <v>119</v>
      </c>
      <c r="H470">
        <v>91.25</v>
      </c>
      <c r="I470">
        <v>180</v>
      </c>
      <c r="J470">
        <v>0</v>
      </c>
      <c r="K470">
        <v>0</v>
      </c>
      <c r="L470">
        <v>0</v>
      </c>
      <c r="N470">
        <v>262</v>
      </c>
      <c r="P470">
        <v>0.22</v>
      </c>
      <c r="Q470">
        <f t="shared" si="54"/>
        <v>1</v>
      </c>
      <c r="S470">
        <f t="shared" si="55"/>
        <v>5.1316094613913625</v>
      </c>
      <c r="T470">
        <f t="shared" si="56"/>
        <v>0.10622431585080121</v>
      </c>
      <c r="U470">
        <f t="shared" si="53"/>
        <v>1744.7343878494098</v>
      </c>
    </row>
    <row r="471" spans="5:21" x14ac:dyDescent="0.2">
      <c r="F471" t="s">
        <v>120</v>
      </c>
      <c r="H471">
        <v>91.25</v>
      </c>
      <c r="I471">
        <v>170</v>
      </c>
      <c r="J471">
        <v>0</v>
      </c>
      <c r="K471">
        <v>0</v>
      </c>
      <c r="L471">
        <v>0</v>
      </c>
      <c r="N471">
        <v>266</v>
      </c>
      <c r="P471">
        <v>0.25</v>
      </c>
      <c r="Q471">
        <f t="shared" si="54"/>
        <v>1</v>
      </c>
      <c r="S471">
        <f t="shared" si="55"/>
        <v>5.2323103857153592</v>
      </c>
      <c r="T471">
        <f t="shared" si="56"/>
        <v>0.10830882498430794</v>
      </c>
      <c r="U471">
        <f t="shared" si="53"/>
        <v>1680.1406475690767</v>
      </c>
    </row>
    <row r="472" spans="5:21" x14ac:dyDescent="0.2">
      <c r="F472" t="s">
        <v>121</v>
      </c>
      <c r="H472">
        <v>91.25</v>
      </c>
      <c r="I472">
        <v>160</v>
      </c>
      <c r="J472">
        <v>0</v>
      </c>
      <c r="K472">
        <v>0</v>
      </c>
      <c r="L472">
        <v>0</v>
      </c>
      <c r="N472">
        <v>307</v>
      </c>
      <c r="P472">
        <v>0.28999999999999998</v>
      </c>
      <c r="Q472">
        <f t="shared" si="54"/>
        <v>1</v>
      </c>
      <c r="S472">
        <f t="shared" si="55"/>
        <v>5.8810256168227601</v>
      </c>
      <c r="T472">
        <f t="shared" si="56"/>
        <v>0.12173723026823113</v>
      </c>
      <c r="U472">
        <f t="shared" si="53"/>
        <v>1777.3635619161746</v>
      </c>
    </row>
    <row r="473" spans="5:21" x14ac:dyDescent="0.2">
      <c r="E473" t="s">
        <v>152</v>
      </c>
      <c r="F473" t="s">
        <v>117</v>
      </c>
      <c r="H473">
        <v>91.25</v>
      </c>
      <c r="I473">
        <v>150</v>
      </c>
      <c r="J473">
        <v>0.7</v>
      </c>
      <c r="K473">
        <v>0.05</v>
      </c>
      <c r="L473">
        <f>$AC$12</f>
        <v>1.3</v>
      </c>
      <c r="N473">
        <v>398</v>
      </c>
      <c r="P473">
        <v>0.18</v>
      </c>
      <c r="Q473">
        <f>(J473 * $AD$4 +K473* $AD$5) + (1 -J473 - K473 )</f>
        <v>1.2150000000000001</v>
      </c>
      <c r="S473">
        <f t="shared" si="55"/>
        <v>8.4473530170332545</v>
      </c>
      <c r="T473">
        <f t="shared" si="56"/>
        <v>0.17486020745258835</v>
      </c>
      <c r="U473">
        <f t="shared" si="53"/>
        <v>2393.399089507303</v>
      </c>
    </row>
    <row r="474" spans="5:21" x14ac:dyDescent="0.2">
      <c r="E474" t="s">
        <v>235</v>
      </c>
      <c r="F474" t="s">
        <v>119</v>
      </c>
      <c r="H474">
        <v>91.25</v>
      </c>
      <c r="I474">
        <v>250</v>
      </c>
      <c r="J474">
        <v>0</v>
      </c>
      <c r="K474">
        <v>0.71</v>
      </c>
      <c r="L474">
        <f>$AC$13</f>
        <v>1.1000000000000001</v>
      </c>
      <c r="N474">
        <v>346</v>
      </c>
      <c r="P474">
        <v>0.24</v>
      </c>
      <c r="Q474">
        <f t="shared" ref="Q474:Q486" si="57">(J474 * $AD$4 +K474* $AD$5) + (1 -J474 - K474 )</f>
        <v>1.0710000000000002</v>
      </c>
      <c r="S474">
        <f t="shared" si="55"/>
        <v>6.8022414087422485</v>
      </c>
      <c r="T474">
        <f t="shared" si="56"/>
        <v>0.14080639716096455</v>
      </c>
      <c r="U474">
        <f t="shared" si="53"/>
        <v>3212.1459352345037</v>
      </c>
    </row>
    <row r="475" spans="5:21" x14ac:dyDescent="0.2">
      <c r="F475" t="s">
        <v>120</v>
      </c>
      <c r="H475">
        <v>91.25</v>
      </c>
      <c r="I475">
        <v>240</v>
      </c>
      <c r="J475">
        <v>0</v>
      </c>
      <c r="K475">
        <v>0</v>
      </c>
      <c r="L475">
        <f>$AC$14</f>
        <v>0</v>
      </c>
      <c r="N475">
        <v>363</v>
      </c>
      <c r="P475">
        <v>0.28999999999999998</v>
      </c>
      <c r="Q475">
        <f t="shared" si="57"/>
        <v>1</v>
      </c>
      <c r="S475">
        <f t="shared" si="55"/>
        <v>6.6655394310243574</v>
      </c>
      <c r="T475">
        <f t="shared" si="56"/>
        <v>0.1379766662222042</v>
      </c>
      <c r="U475">
        <f t="shared" si="53"/>
        <v>3021.688990266272</v>
      </c>
    </row>
    <row r="476" spans="5:21" x14ac:dyDescent="0.2">
      <c r="F476" t="s">
        <v>121</v>
      </c>
      <c r="H476">
        <v>91.25</v>
      </c>
      <c r="I476">
        <v>200</v>
      </c>
      <c r="J476">
        <v>0.1</v>
      </c>
      <c r="K476">
        <v>0</v>
      </c>
      <c r="L476">
        <f>$AC$14</f>
        <v>0</v>
      </c>
      <c r="N476">
        <v>398</v>
      </c>
      <c r="P476">
        <v>0.19</v>
      </c>
      <c r="Q476">
        <f t="shared" si="57"/>
        <v>1.03</v>
      </c>
      <c r="S476">
        <f t="shared" si="55"/>
        <v>7.1782507592980842</v>
      </c>
      <c r="T476">
        <f t="shared" si="56"/>
        <v>0.14858979071747036</v>
      </c>
      <c r="U476">
        <f t="shared" si="53"/>
        <v>2711.7636805938341</v>
      </c>
    </row>
    <row r="477" spans="5:21" x14ac:dyDescent="0.2">
      <c r="E477" t="s">
        <v>141</v>
      </c>
      <c r="F477" t="s">
        <v>117</v>
      </c>
      <c r="H477">
        <v>91.25</v>
      </c>
      <c r="I477">
        <v>100</v>
      </c>
      <c r="J477">
        <v>0</v>
      </c>
      <c r="K477">
        <v>0</v>
      </c>
      <c r="L477">
        <v>0</v>
      </c>
      <c r="N477">
        <v>227</v>
      </c>
      <c r="P477">
        <v>0.2</v>
      </c>
      <c r="Q477">
        <f t="shared" si="57"/>
        <v>1</v>
      </c>
      <c r="S477">
        <f t="shared" si="55"/>
        <v>4.5993288903411607</v>
      </c>
      <c r="T477">
        <f t="shared" si="56"/>
        <v>9.5206108030062034E-2</v>
      </c>
      <c r="U477">
        <f t="shared" si="53"/>
        <v>868.75573577431612</v>
      </c>
    </row>
    <row r="478" spans="5:21" x14ac:dyDescent="0.2">
      <c r="E478">
        <v>3</v>
      </c>
      <c r="F478" t="s">
        <v>119</v>
      </c>
      <c r="H478">
        <v>91.25</v>
      </c>
      <c r="I478">
        <v>190</v>
      </c>
      <c r="J478">
        <v>0</v>
      </c>
      <c r="K478">
        <v>0</v>
      </c>
      <c r="L478">
        <v>0</v>
      </c>
      <c r="N478">
        <v>108</v>
      </c>
      <c r="P478">
        <v>0.68</v>
      </c>
      <c r="Q478">
        <f t="shared" si="57"/>
        <v>1</v>
      </c>
      <c r="S478">
        <f t="shared" si="55"/>
        <v>3.45660084228096</v>
      </c>
      <c r="T478">
        <f t="shared" si="56"/>
        <v>7.1551637435215865E-2</v>
      </c>
      <c r="U478">
        <f t="shared" si="53"/>
        <v>1240.526514033055</v>
      </c>
    </row>
    <row r="479" spans="5:21" x14ac:dyDescent="0.2">
      <c r="F479" t="s">
        <v>120</v>
      </c>
      <c r="H479">
        <v>91.25</v>
      </c>
      <c r="I479">
        <v>195</v>
      </c>
      <c r="J479">
        <v>0</v>
      </c>
      <c r="K479">
        <v>0</v>
      </c>
      <c r="L479">
        <v>0</v>
      </c>
      <c r="N479">
        <v>170</v>
      </c>
      <c r="P479">
        <v>0.64</v>
      </c>
      <c r="Q479">
        <f t="shared" si="57"/>
        <v>1</v>
      </c>
      <c r="S479">
        <f t="shared" si="55"/>
        <v>4.3399722276000006</v>
      </c>
      <c r="T479">
        <f t="shared" si="56"/>
        <v>8.9837425111320007E-2</v>
      </c>
      <c r="U479">
        <f t="shared" si="53"/>
        <v>1598.5446830745504</v>
      </c>
    </row>
    <row r="480" spans="5:21" x14ac:dyDescent="0.2">
      <c r="F480" t="s">
        <v>121</v>
      </c>
      <c r="H480">
        <v>91.25</v>
      </c>
      <c r="I480">
        <v>200</v>
      </c>
      <c r="J480">
        <v>0</v>
      </c>
      <c r="K480">
        <v>0</v>
      </c>
      <c r="L480">
        <v>0</v>
      </c>
      <c r="N480">
        <v>225</v>
      </c>
      <c r="P480">
        <v>0.31</v>
      </c>
      <c r="Q480">
        <f t="shared" si="57"/>
        <v>1</v>
      </c>
      <c r="S480">
        <f t="shared" si="55"/>
        <v>4.7198648756249995</v>
      </c>
      <c r="T480">
        <f t="shared" si="56"/>
        <v>9.7701202925437491E-2</v>
      </c>
      <c r="U480">
        <f t="shared" si="53"/>
        <v>1783.0469533892342</v>
      </c>
    </row>
    <row r="481" spans="5:21" x14ac:dyDescent="0.2">
      <c r="E481" t="s">
        <v>156</v>
      </c>
      <c r="F481" t="s">
        <v>117</v>
      </c>
      <c r="H481">
        <v>91.25</v>
      </c>
      <c r="I481">
        <v>50</v>
      </c>
      <c r="J481">
        <v>0.9</v>
      </c>
      <c r="K481">
        <v>0.05</v>
      </c>
      <c r="L481">
        <f>$AC$12</f>
        <v>1.3</v>
      </c>
      <c r="N481">
        <v>452</v>
      </c>
      <c r="P481">
        <v>0.01</v>
      </c>
      <c r="Q481">
        <f t="shared" si="57"/>
        <v>1.2750000000000001</v>
      </c>
      <c r="S481">
        <f t="shared" si="55"/>
        <v>9.357091831819405</v>
      </c>
      <c r="T481">
        <f t="shared" si="56"/>
        <v>0.19369180091866167</v>
      </c>
      <c r="U481">
        <f t="shared" si="53"/>
        <v>883.71884169139389</v>
      </c>
    </row>
    <row r="482" spans="5:21" x14ac:dyDescent="0.2">
      <c r="E482" t="s">
        <v>236</v>
      </c>
      <c r="F482" t="s">
        <v>119</v>
      </c>
      <c r="H482">
        <v>91.25</v>
      </c>
      <c r="I482">
        <v>100</v>
      </c>
      <c r="J482">
        <v>0</v>
      </c>
      <c r="K482">
        <v>0.9</v>
      </c>
      <c r="L482">
        <f>$AC$13</f>
        <v>1.1000000000000001</v>
      </c>
      <c r="N482">
        <v>430</v>
      </c>
      <c r="P482">
        <v>0.25</v>
      </c>
      <c r="Q482">
        <f t="shared" si="57"/>
        <v>1.0900000000000001</v>
      </c>
      <c r="S482">
        <f t="shared" si="55"/>
        <v>8.1546973810690009</v>
      </c>
      <c r="T482">
        <f t="shared" si="56"/>
        <v>0.16880223578812831</v>
      </c>
      <c r="U482">
        <f t="shared" si="53"/>
        <v>1540.3204015666709</v>
      </c>
    </row>
    <row r="483" spans="5:21" x14ac:dyDescent="0.2">
      <c r="F483" t="s">
        <v>120</v>
      </c>
      <c r="H483">
        <v>91.25</v>
      </c>
      <c r="I483">
        <v>90</v>
      </c>
      <c r="J483">
        <v>0</v>
      </c>
      <c r="K483">
        <v>0</v>
      </c>
      <c r="L483">
        <f>$AC$14</f>
        <v>0</v>
      </c>
      <c r="N483">
        <v>444</v>
      </c>
      <c r="P483">
        <v>0.12</v>
      </c>
      <c r="Q483">
        <f t="shared" si="57"/>
        <v>1</v>
      </c>
      <c r="S483">
        <f t="shared" si="55"/>
        <v>7.4311108928409588</v>
      </c>
      <c r="T483">
        <f t="shared" si="56"/>
        <v>0.15382399548180786</v>
      </c>
      <c r="U483">
        <f t="shared" si="53"/>
        <v>1263.279562894347</v>
      </c>
    </row>
    <row r="484" spans="5:21" x14ac:dyDescent="0.2">
      <c r="F484" t="s">
        <v>121</v>
      </c>
      <c r="H484">
        <v>91.25</v>
      </c>
      <c r="I484">
        <v>80</v>
      </c>
      <c r="J484">
        <v>0</v>
      </c>
      <c r="K484">
        <v>0</v>
      </c>
      <c r="L484">
        <f>$AC$14</f>
        <v>0</v>
      </c>
      <c r="N484">
        <v>452</v>
      </c>
      <c r="P484">
        <v>0.04</v>
      </c>
      <c r="Q484">
        <f t="shared" si="57"/>
        <v>1</v>
      </c>
      <c r="S484">
        <f t="shared" si="55"/>
        <v>7.3901857053081592</v>
      </c>
      <c r="T484">
        <f t="shared" si="56"/>
        <v>0.15297684409987888</v>
      </c>
      <c r="U484">
        <f t="shared" si="53"/>
        <v>1116.7309619291159</v>
      </c>
    </row>
    <row r="485" spans="5:21" x14ac:dyDescent="0.2">
      <c r="E485" t="s">
        <v>169</v>
      </c>
      <c r="F485" t="s">
        <v>117</v>
      </c>
      <c r="H485">
        <v>91.25</v>
      </c>
      <c r="I485">
        <v>30</v>
      </c>
      <c r="J485">
        <v>0</v>
      </c>
      <c r="K485">
        <v>0</v>
      </c>
      <c r="L485">
        <v>0</v>
      </c>
      <c r="N485">
        <v>334</v>
      </c>
      <c r="P485">
        <v>0.09</v>
      </c>
      <c r="Q485">
        <f t="shared" si="57"/>
        <v>1</v>
      </c>
      <c r="S485">
        <f t="shared" si="55"/>
        <v>5.951962384627361</v>
      </c>
      <c r="T485">
        <f t="shared" si="56"/>
        <v>0.12320562136178638</v>
      </c>
      <c r="U485">
        <f t="shared" si="53"/>
        <v>337.2753884778902</v>
      </c>
    </row>
    <row r="486" spans="5:21" x14ac:dyDescent="0.2">
      <c r="E486" t="s">
        <v>237</v>
      </c>
      <c r="F486" t="s">
        <v>119</v>
      </c>
      <c r="H486">
        <v>91.25</v>
      </c>
      <c r="I486">
        <v>70</v>
      </c>
      <c r="J486">
        <v>0</v>
      </c>
      <c r="K486">
        <v>0</v>
      </c>
      <c r="L486">
        <v>0</v>
      </c>
      <c r="N486">
        <v>236</v>
      </c>
      <c r="P486">
        <v>0.37</v>
      </c>
      <c r="Q486">
        <f t="shared" si="57"/>
        <v>1</v>
      </c>
      <c r="S486">
        <f t="shared" si="55"/>
        <v>4.9647878949441608</v>
      </c>
      <c r="T486">
        <f t="shared" si="56"/>
        <v>0.10277110942534412</v>
      </c>
      <c r="U486">
        <f t="shared" si="53"/>
        <v>656.4504614543855</v>
      </c>
    </row>
    <row r="487" spans="5:21" x14ac:dyDescent="0.2">
      <c r="F487" t="s">
        <v>120</v>
      </c>
      <c r="H487">
        <v>91.25</v>
      </c>
      <c r="I487">
        <v>40</v>
      </c>
      <c r="J487">
        <v>0</v>
      </c>
      <c r="K487">
        <v>0</v>
      </c>
      <c r="L487">
        <v>0</v>
      </c>
      <c r="N487">
        <v>282</v>
      </c>
      <c r="P487">
        <v>0.49</v>
      </c>
      <c r="Q487">
        <f t="shared" ref="Q487:Q500" si="58">(J487 * $AD$4 + K487*$AD$5) + (1 - J487 )</f>
        <v>1</v>
      </c>
      <c r="S487">
        <f t="shared" si="55"/>
        <v>5.8219300551297586</v>
      </c>
      <c r="T487">
        <f t="shared" si="56"/>
        <v>0.120513952141186</v>
      </c>
      <c r="U487">
        <f t="shared" si="53"/>
        <v>439.87592531532891</v>
      </c>
    </row>
    <row r="488" spans="5:21" x14ac:dyDescent="0.2">
      <c r="F488" t="s">
        <v>121</v>
      </c>
      <c r="H488">
        <v>91.25</v>
      </c>
      <c r="I488">
        <v>20</v>
      </c>
      <c r="J488">
        <v>0</v>
      </c>
      <c r="K488">
        <v>0</v>
      </c>
      <c r="L488">
        <v>0</v>
      </c>
      <c r="N488">
        <v>326</v>
      </c>
      <c r="P488">
        <v>0.28000000000000003</v>
      </c>
      <c r="Q488">
        <f t="shared" si="58"/>
        <v>1</v>
      </c>
      <c r="S488">
        <f t="shared" si="55"/>
        <v>6.1351445756217613</v>
      </c>
      <c r="T488">
        <f t="shared" si="56"/>
        <v>0.12699749271537045</v>
      </c>
      <c r="U488">
        <f t="shared" si="53"/>
        <v>231.77042420555108</v>
      </c>
    </row>
    <row r="489" spans="5:21" x14ac:dyDescent="0.2">
      <c r="E489" t="s">
        <v>171</v>
      </c>
      <c r="F489" t="s">
        <v>117</v>
      </c>
      <c r="H489">
        <v>91.25</v>
      </c>
      <c r="I489">
        <v>30</v>
      </c>
      <c r="J489">
        <v>0</v>
      </c>
      <c r="K489">
        <v>0</v>
      </c>
      <c r="L489">
        <v>0</v>
      </c>
      <c r="N489">
        <v>0</v>
      </c>
      <c r="P489">
        <v>0</v>
      </c>
      <c r="Q489">
        <f t="shared" si="58"/>
        <v>1</v>
      </c>
      <c r="S489">
        <f t="shared" si="55"/>
        <v>1.4042250000000001</v>
      </c>
      <c r="T489">
        <f t="shared" si="56"/>
        <v>2.9067457500000001E-2</v>
      </c>
      <c r="U489">
        <f t="shared" si="53"/>
        <v>79.572164906250009</v>
      </c>
    </row>
    <row r="490" spans="5:21" x14ac:dyDescent="0.2">
      <c r="E490" t="s">
        <v>238</v>
      </c>
      <c r="F490" t="s">
        <v>119</v>
      </c>
      <c r="H490">
        <v>91.25</v>
      </c>
      <c r="I490">
        <v>100</v>
      </c>
      <c r="J490">
        <v>0</v>
      </c>
      <c r="K490">
        <v>0</v>
      </c>
      <c r="L490">
        <v>0</v>
      </c>
      <c r="N490">
        <v>0</v>
      </c>
      <c r="P490">
        <v>0</v>
      </c>
      <c r="Q490">
        <f t="shared" si="58"/>
        <v>1</v>
      </c>
      <c r="S490">
        <f t="shared" si="55"/>
        <v>1.4042250000000001</v>
      </c>
      <c r="T490">
        <f t="shared" si="56"/>
        <v>2.9067457500000001E-2</v>
      </c>
      <c r="U490">
        <f t="shared" si="53"/>
        <v>265.24054968749999</v>
      </c>
    </row>
    <row r="491" spans="5:21" x14ac:dyDescent="0.2">
      <c r="F491" t="s">
        <v>120</v>
      </c>
      <c r="H491">
        <v>91.25</v>
      </c>
      <c r="I491">
        <v>40</v>
      </c>
      <c r="J491">
        <v>0</v>
      </c>
      <c r="K491">
        <v>0</v>
      </c>
      <c r="L491">
        <v>0</v>
      </c>
      <c r="N491">
        <v>0</v>
      </c>
      <c r="P491">
        <v>0</v>
      </c>
      <c r="Q491">
        <f t="shared" si="58"/>
        <v>1</v>
      </c>
      <c r="S491">
        <f t="shared" si="55"/>
        <v>1.4042250000000001</v>
      </c>
      <c r="T491">
        <f t="shared" si="56"/>
        <v>2.9067457500000001E-2</v>
      </c>
      <c r="U491">
        <f t="shared" si="53"/>
        <v>106.096219875</v>
      </c>
    </row>
    <row r="492" spans="5:21" x14ac:dyDescent="0.2">
      <c r="F492" t="s">
        <v>121</v>
      </c>
      <c r="H492">
        <v>91.25</v>
      </c>
      <c r="I492">
        <v>0</v>
      </c>
      <c r="J492">
        <v>0</v>
      </c>
      <c r="K492">
        <v>0</v>
      </c>
      <c r="L492">
        <v>0</v>
      </c>
      <c r="N492">
        <v>0</v>
      </c>
      <c r="P492">
        <v>0</v>
      </c>
      <c r="Q492">
        <f t="shared" si="58"/>
        <v>1</v>
      </c>
      <c r="S492">
        <f t="shared" si="55"/>
        <v>1.4042250000000001</v>
      </c>
      <c r="T492">
        <f t="shared" si="56"/>
        <v>2.9067457500000001E-2</v>
      </c>
      <c r="U492">
        <f t="shared" si="53"/>
        <v>0</v>
      </c>
    </row>
    <row r="493" spans="5:21" x14ac:dyDescent="0.2">
      <c r="E493" t="s">
        <v>164</v>
      </c>
      <c r="F493" t="s">
        <v>117</v>
      </c>
      <c r="H493">
        <v>91.25</v>
      </c>
      <c r="I493">
        <v>20</v>
      </c>
      <c r="J493">
        <v>0</v>
      </c>
      <c r="K493">
        <v>0</v>
      </c>
      <c r="L493">
        <v>0</v>
      </c>
      <c r="N493">
        <v>216</v>
      </c>
      <c r="P493">
        <v>0.12</v>
      </c>
      <c r="Q493">
        <f t="shared" si="58"/>
        <v>1</v>
      </c>
      <c r="S493">
        <f t="shared" si="55"/>
        <v>4.335283659663359</v>
      </c>
      <c r="T493">
        <f t="shared" si="56"/>
        <v>8.9740371755031537E-2</v>
      </c>
      <c r="U493">
        <f t="shared" si="53"/>
        <v>163.77617845293256</v>
      </c>
    </row>
    <row r="494" spans="5:21" x14ac:dyDescent="0.2">
      <c r="E494">
        <v>6</v>
      </c>
      <c r="F494" t="s">
        <v>119</v>
      </c>
      <c r="H494">
        <v>91.25</v>
      </c>
      <c r="I494">
        <v>40</v>
      </c>
      <c r="J494">
        <v>0</v>
      </c>
      <c r="K494">
        <v>0</v>
      </c>
      <c r="L494">
        <v>0</v>
      </c>
      <c r="N494">
        <v>111</v>
      </c>
      <c r="P494">
        <v>0.64</v>
      </c>
      <c r="Q494">
        <f t="shared" si="58"/>
        <v>1</v>
      </c>
      <c r="S494">
        <f t="shared" si="55"/>
        <v>3.4540423218291605</v>
      </c>
      <c r="T494">
        <f t="shared" si="56"/>
        <v>7.1498676061863622E-2</v>
      </c>
      <c r="U494">
        <f t="shared" si="53"/>
        <v>260.97016762580222</v>
      </c>
    </row>
    <row r="495" spans="5:21" x14ac:dyDescent="0.2">
      <c r="F495" t="s">
        <v>120</v>
      </c>
      <c r="H495">
        <v>91.25</v>
      </c>
      <c r="I495">
        <v>35</v>
      </c>
      <c r="J495">
        <v>0</v>
      </c>
      <c r="K495">
        <v>0</v>
      </c>
      <c r="L495">
        <v>0</v>
      </c>
      <c r="N495">
        <v>169</v>
      </c>
      <c r="P495">
        <v>0.56999999999999995</v>
      </c>
      <c r="Q495">
        <f t="shared" si="58"/>
        <v>1</v>
      </c>
      <c r="S495">
        <f t="shared" si="55"/>
        <v>4.2335177636419594</v>
      </c>
      <c r="T495">
        <f t="shared" si="56"/>
        <v>8.7633817707388567E-2</v>
      </c>
      <c r="U495">
        <f t="shared" si="53"/>
        <v>279.88050530297227</v>
      </c>
    </row>
    <row r="496" spans="5:21" x14ac:dyDescent="0.2">
      <c r="F496" t="s">
        <v>121</v>
      </c>
      <c r="H496">
        <v>91.25</v>
      </c>
      <c r="I496">
        <v>30</v>
      </c>
      <c r="J496">
        <v>0</v>
      </c>
      <c r="K496">
        <v>0</v>
      </c>
      <c r="L496">
        <v>0</v>
      </c>
      <c r="N496">
        <v>214</v>
      </c>
      <c r="P496">
        <v>0.26</v>
      </c>
      <c r="Q496">
        <f t="shared" si="58"/>
        <v>1</v>
      </c>
      <c r="S496">
        <f t="shared" si="55"/>
        <v>4.4918156676121592</v>
      </c>
      <c r="T496">
        <f t="shared" si="56"/>
        <v>9.2980584319571694E-2</v>
      </c>
      <c r="U496">
        <f t="shared" si="53"/>
        <v>254.53434957482753</v>
      </c>
    </row>
    <row r="497" spans="1:22" x14ac:dyDescent="0.2">
      <c r="E497" t="s">
        <v>176</v>
      </c>
      <c r="F497" t="s">
        <v>117</v>
      </c>
      <c r="H497">
        <v>91.25</v>
      </c>
      <c r="I497">
        <v>30</v>
      </c>
      <c r="J497">
        <v>0</v>
      </c>
      <c r="K497">
        <v>0</v>
      </c>
      <c r="L497">
        <v>0</v>
      </c>
      <c r="N497">
        <v>0</v>
      </c>
      <c r="P497">
        <v>0</v>
      </c>
      <c r="Q497">
        <f t="shared" si="58"/>
        <v>1</v>
      </c>
      <c r="S497">
        <f t="shared" si="55"/>
        <v>1.4042250000000001</v>
      </c>
      <c r="T497">
        <f t="shared" si="56"/>
        <v>2.9067457500000001E-2</v>
      </c>
      <c r="U497">
        <f t="shared" si="53"/>
        <v>79.572164906250009</v>
      </c>
    </row>
    <row r="498" spans="1:22" x14ac:dyDescent="0.2">
      <c r="E498" t="s">
        <v>239</v>
      </c>
      <c r="F498" t="s">
        <v>119</v>
      </c>
      <c r="H498">
        <v>91.25</v>
      </c>
      <c r="I498">
        <v>35</v>
      </c>
      <c r="J498">
        <v>0</v>
      </c>
      <c r="K498">
        <v>0</v>
      </c>
      <c r="L498">
        <v>0</v>
      </c>
      <c r="N498">
        <v>0</v>
      </c>
      <c r="P498">
        <v>0</v>
      </c>
      <c r="Q498">
        <f t="shared" si="58"/>
        <v>1</v>
      </c>
      <c r="S498">
        <f t="shared" si="55"/>
        <v>1.4042250000000001</v>
      </c>
      <c r="T498">
        <f t="shared" si="56"/>
        <v>2.9067457500000001E-2</v>
      </c>
      <c r="U498">
        <f t="shared" si="53"/>
        <v>92.834192390625006</v>
      </c>
    </row>
    <row r="499" spans="1:22" x14ac:dyDescent="0.2">
      <c r="F499" t="s">
        <v>120</v>
      </c>
      <c r="H499">
        <v>91.25</v>
      </c>
      <c r="I499">
        <v>20</v>
      </c>
      <c r="J499">
        <v>0</v>
      </c>
      <c r="K499">
        <v>0</v>
      </c>
      <c r="L499">
        <v>0</v>
      </c>
      <c r="N499">
        <v>0</v>
      </c>
      <c r="P499">
        <v>0</v>
      </c>
      <c r="Q499">
        <f t="shared" si="58"/>
        <v>1</v>
      </c>
      <c r="S499">
        <f t="shared" si="55"/>
        <v>1.4042250000000001</v>
      </c>
      <c r="T499">
        <f t="shared" si="56"/>
        <v>2.9067457500000001E-2</v>
      </c>
      <c r="U499">
        <f t="shared" si="53"/>
        <v>53.048109937500001</v>
      </c>
    </row>
    <row r="500" spans="1:22" x14ac:dyDescent="0.2">
      <c r="F500" t="s">
        <v>121</v>
      </c>
      <c r="H500">
        <v>91.25</v>
      </c>
      <c r="I500">
        <v>0</v>
      </c>
      <c r="J500">
        <v>0</v>
      </c>
      <c r="K500">
        <v>0</v>
      </c>
      <c r="L500">
        <v>0</v>
      </c>
      <c r="N500">
        <v>0</v>
      </c>
      <c r="P500">
        <v>0</v>
      </c>
      <c r="Q500">
        <f t="shared" si="58"/>
        <v>1</v>
      </c>
      <c r="S500">
        <f t="shared" si="55"/>
        <v>1.4042250000000001</v>
      </c>
      <c r="T500">
        <f t="shared" si="56"/>
        <v>2.9067457500000001E-2</v>
      </c>
      <c r="U500">
        <f t="shared" si="53"/>
        <v>0</v>
      </c>
    </row>
    <row r="506" spans="1:22" x14ac:dyDescent="0.2">
      <c r="A506" s="9" t="s">
        <v>260</v>
      </c>
    </row>
    <row r="511" spans="1:22" x14ac:dyDescent="0.2">
      <c r="A511" t="s">
        <v>260</v>
      </c>
      <c r="B511" t="s">
        <v>232</v>
      </c>
      <c r="C511" t="s">
        <v>260</v>
      </c>
      <c r="D511" t="s">
        <v>260</v>
      </c>
      <c r="E511" t="s">
        <v>116</v>
      </c>
      <c r="F511" t="s">
        <v>117</v>
      </c>
      <c r="H511">
        <v>91.25</v>
      </c>
      <c r="I511">
        <v>50</v>
      </c>
      <c r="J511">
        <v>0</v>
      </c>
      <c r="K511">
        <v>0</v>
      </c>
      <c r="L511">
        <v>0</v>
      </c>
      <c r="N511" s="32" cm="1">
        <f t="array" ref="N511:N550">_xlfn.DROP(_xlfn.XLOOKUP($C511,TableW[[#Headers],[ACT/NSW]:[QLD - Low]],TableW[[#All],[ACT/NSW]:[QLD - Low]]),1)</f>
        <v>220</v>
      </c>
      <c r="P511" cm="1">
        <f t="array" ref="P511:P550">_xlfn.DROP(_xlfn.XLOOKUP($C511,TableLWG[[#Headers],[ACT/NSW]:[QLD - Low]],TableLWG[[#All],[ACT/NSW]:[QLD - Low]]),1)</f>
        <v>0.22</v>
      </c>
      <c r="Q511">
        <f>(J511 * $AD$4 + K511*$AD$5) + (1 - J511 )</f>
        <v>1</v>
      </c>
      <c r="S511">
        <f>(1.185 + 0.00454 * N511- 0.0000026 * N511^2 + 0.315 * P511 )^2 * Q511</f>
        <v>4.5252351075999986</v>
      </c>
      <c r="T511">
        <f>20.7 * S511 * 10^-3</f>
        <v>9.3672366727319975E-2</v>
      </c>
      <c r="U511">
        <f t="shared" ref="U511:U550" si="59">H511*T511*I511</f>
        <v>427.38017319339735</v>
      </c>
      <c r="V511">
        <f>SUM(U511:U550)/1000</f>
        <v>36.210795981942951</v>
      </c>
    </row>
    <row r="512" spans="1:22" x14ac:dyDescent="0.2">
      <c r="E512">
        <v>1</v>
      </c>
      <c r="F512" t="s">
        <v>119</v>
      </c>
      <c r="H512">
        <v>91.25</v>
      </c>
      <c r="I512">
        <v>100</v>
      </c>
      <c r="J512">
        <v>0</v>
      </c>
      <c r="K512">
        <v>0</v>
      </c>
      <c r="L512">
        <v>0</v>
      </c>
      <c r="N512">
        <v>110</v>
      </c>
      <c r="P512">
        <v>0.66</v>
      </c>
      <c r="Q512">
        <f t="shared" ref="Q512:Q522" si="60">(J512 * $AD$4 + K512*$AD$5) + (1 - J512 )</f>
        <v>1</v>
      </c>
      <c r="S512">
        <f t="shared" ref="S512:S550" si="61">(1.185 + 0.00454 * N512- 0.0000026 * N512^2 + 0.315 * P512 )^2 * Q512</f>
        <v>3.4627255056000004</v>
      </c>
      <c r="T512">
        <f t="shared" ref="T512:T550" si="62">20.7 * S512 * 10^-3</f>
        <v>7.1678417965920005E-2</v>
      </c>
      <c r="U512">
        <f t="shared" si="59"/>
        <v>654.06556393902008</v>
      </c>
    </row>
    <row r="513" spans="5:21" x14ac:dyDescent="0.2">
      <c r="F513" t="s">
        <v>120</v>
      </c>
      <c r="H513">
        <v>91.25</v>
      </c>
      <c r="I513">
        <v>80</v>
      </c>
      <c r="J513">
        <v>0</v>
      </c>
      <c r="K513">
        <v>0</v>
      </c>
      <c r="L513">
        <v>0</v>
      </c>
      <c r="N513">
        <v>170</v>
      </c>
      <c r="P513">
        <v>0.49</v>
      </c>
      <c r="Q513">
        <f t="shared" si="60"/>
        <v>1</v>
      </c>
      <c r="S513">
        <f t="shared" si="61"/>
        <v>4.1453367201000004</v>
      </c>
      <c r="T513">
        <f t="shared" si="62"/>
        <v>8.5808470106070012E-2</v>
      </c>
      <c r="U513">
        <f t="shared" si="59"/>
        <v>626.40183177431118</v>
      </c>
    </row>
    <row r="514" spans="5:21" x14ac:dyDescent="0.2">
      <c r="F514" t="s">
        <v>121</v>
      </c>
      <c r="H514">
        <v>91.25</v>
      </c>
      <c r="I514">
        <v>70</v>
      </c>
      <c r="J514">
        <v>0</v>
      </c>
      <c r="K514">
        <v>0</v>
      </c>
      <c r="L514">
        <v>0</v>
      </c>
      <c r="N514">
        <v>200</v>
      </c>
      <c r="P514">
        <v>0.27</v>
      </c>
      <c r="Q514">
        <f t="shared" si="60"/>
        <v>1</v>
      </c>
      <c r="S514">
        <f t="shared" si="61"/>
        <v>4.3016834024999993</v>
      </c>
      <c r="T514">
        <f t="shared" si="62"/>
        <v>8.9044846431749994E-2</v>
      </c>
      <c r="U514">
        <f t="shared" si="59"/>
        <v>568.77395658280307</v>
      </c>
    </row>
    <row r="515" spans="5:21" x14ac:dyDescent="0.2">
      <c r="E515" t="s">
        <v>122</v>
      </c>
      <c r="F515" t="s">
        <v>117</v>
      </c>
      <c r="H515">
        <v>91.25</v>
      </c>
      <c r="I515">
        <v>20</v>
      </c>
      <c r="J515">
        <v>0</v>
      </c>
      <c r="K515">
        <v>0</v>
      </c>
      <c r="L515">
        <v>0</v>
      </c>
      <c r="N515">
        <v>620</v>
      </c>
      <c r="P515">
        <v>-0.44</v>
      </c>
      <c r="Q515">
        <f t="shared" si="60"/>
        <v>1</v>
      </c>
      <c r="S515">
        <f t="shared" si="61"/>
        <v>8.1896702976000011</v>
      </c>
      <c r="T515">
        <f t="shared" si="62"/>
        <v>0.16952617516032001</v>
      </c>
      <c r="U515">
        <f t="shared" si="59"/>
        <v>309.385269667584</v>
      </c>
    </row>
    <row r="516" spans="5:21" x14ac:dyDescent="0.2">
      <c r="E516">
        <v>2</v>
      </c>
      <c r="F516" t="s">
        <v>119</v>
      </c>
      <c r="H516">
        <v>91.25</v>
      </c>
      <c r="I516">
        <v>80</v>
      </c>
      <c r="J516">
        <v>0</v>
      </c>
      <c r="K516">
        <v>0</v>
      </c>
      <c r="L516">
        <v>0</v>
      </c>
      <c r="N516">
        <v>650</v>
      </c>
      <c r="P516">
        <v>0.22</v>
      </c>
      <c r="Q516">
        <f t="shared" si="60"/>
        <v>1</v>
      </c>
      <c r="S516">
        <f t="shared" si="61"/>
        <v>9.6522062400000017</v>
      </c>
      <c r="T516">
        <f t="shared" si="62"/>
        <v>0.19980066916800004</v>
      </c>
      <c r="U516">
        <f t="shared" si="59"/>
        <v>1458.5448849264003</v>
      </c>
    </row>
    <row r="517" spans="5:21" x14ac:dyDescent="0.2">
      <c r="F517" t="s">
        <v>120</v>
      </c>
      <c r="H517">
        <v>91.25</v>
      </c>
      <c r="I517">
        <v>70</v>
      </c>
      <c r="J517">
        <v>0</v>
      </c>
      <c r="K517">
        <v>0</v>
      </c>
      <c r="L517">
        <v>0</v>
      </c>
      <c r="N517">
        <v>670</v>
      </c>
      <c r="P517">
        <v>0.05</v>
      </c>
      <c r="Q517">
        <f t="shared" si="60"/>
        <v>1</v>
      </c>
      <c r="S517">
        <f t="shared" si="61"/>
        <v>9.4581466681000013</v>
      </c>
      <c r="T517">
        <f t="shared" si="62"/>
        <v>0.19578363602967003</v>
      </c>
      <c r="U517">
        <f t="shared" si="59"/>
        <v>1250.5679751395173</v>
      </c>
    </row>
    <row r="518" spans="5:21" x14ac:dyDescent="0.2">
      <c r="F518" t="s">
        <v>121</v>
      </c>
      <c r="H518">
        <v>91.25</v>
      </c>
      <c r="I518">
        <v>50</v>
      </c>
      <c r="J518">
        <v>0</v>
      </c>
      <c r="K518">
        <v>0</v>
      </c>
      <c r="L518">
        <v>0</v>
      </c>
      <c r="N518">
        <v>660</v>
      </c>
      <c r="P518">
        <v>-0.27</v>
      </c>
      <c r="Q518">
        <f t="shared" si="60"/>
        <v>1</v>
      </c>
      <c r="S518">
        <f t="shared" si="61"/>
        <v>8.7840511641000028</v>
      </c>
      <c r="T518">
        <f t="shared" si="62"/>
        <v>0.18182985909687005</v>
      </c>
      <c r="U518">
        <f t="shared" si="59"/>
        <v>829.59873212946957</v>
      </c>
    </row>
    <row r="519" spans="5:21" x14ac:dyDescent="0.2">
      <c r="E519" t="s">
        <v>146</v>
      </c>
      <c r="F519" t="s">
        <v>117</v>
      </c>
      <c r="H519">
        <v>91.25</v>
      </c>
      <c r="I519">
        <v>100</v>
      </c>
      <c r="J519">
        <v>0</v>
      </c>
      <c r="K519">
        <v>0</v>
      </c>
      <c r="L519">
        <v>0</v>
      </c>
      <c r="N519">
        <v>267</v>
      </c>
      <c r="P519">
        <v>0.15</v>
      </c>
      <c r="Q519">
        <f t="shared" si="60"/>
        <v>1</v>
      </c>
      <c r="S519">
        <f t="shared" si="61"/>
        <v>5.1034361209779604</v>
      </c>
      <c r="T519">
        <f t="shared" si="62"/>
        <v>0.10564112770424378</v>
      </c>
      <c r="U519">
        <f t="shared" si="59"/>
        <v>963.97529030122439</v>
      </c>
    </row>
    <row r="520" spans="5:21" x14ac:dyDescent="0.2">
      <c r="E520">
        <v>4</v>
      </c>
      <c r="F520" t="s">
        <v>119</v>
      </c>
      <c r="H520">
        <v>91.25</v>
      </c>
      <c r="I520">
        <v>180</v>
      </c>
      <c r="J520">
        <v>0</v>
      </c>
      <c r="K520">
        <v>0</v>
      </c>
      <c r="L520">
        <v>0</v>
      </c>
      <c r="N520">
        <v>203</v>
      </c>
      <c r="P520">
        <v>0.4</v>
      </c>
      <c r="Q520">
        <f t="shared" si="60"/>
        <v>1</v>
      </c>
      <c r="S520">
        <f t="shared" si="61"/>
        <v>4.5176507771475594</v>
      </c>
      <c r="T520">
        <f t="shared" si="62"/>
        <v>9.3515371086954471E-2</v>
      </c>
      <c r="U520">
        <f t="shared" si="59"/>
        <v>1535.9899701032273</v>
      </c>
    </row>
    <row r="521" spans="5:21" x14ac:dyDescent="0.2">
      <c r="F521" t="s">
        <v>120</v>
      </c>
      <c r="H521">
        <v>91.25</v>
      </c>
      <c r="I521">
        <v>170</v>
      </c>
      <c r="J521">
        <v>0</v>
      </c>
      <c r="K521">
        <v>0</v>
      </c>
      <c r="L521">
        <v>0</v>
      </c>
      <c r="N521">
        <v>250</v>
      </c>
      <c r="P521">
        <v>0.38</v>
      </c>
      <c r="Q521">
        <f t="shared" si="60"/>
        <v>1</v>
      </c>
      <c r="S521">
        <f t="shared" si="61"/>
        <v>5.1856398400000003</v>
      </c>
      <c r="T521">
        <f t="shared" si="62"/>
        <v>0.10734274468799999</v>
      </c>
      <c r="U521">
        <f t="shared" si="59"/>
        <v>1665.1543269725998</v>
      </c>
    </row>
    <row r="522" spans="5:21" x14ac:dyDescent="0.2">
      <c r="F522" t="s">
        <v>121</v>
      </c>
      <c r="H522">
        <v>91.25</v>
      </c>
      <c r="I522">
        <v>160</v>
      </c>
      <c r="J522">
        <v>0</v>
      </c>
      <c r="K522">
        <v>0</v>
      </c>
      <c r="L522">
        <v>0</v>
      </c>
      <c r="N522">
        <v>272</v>
      </c>
      <c r="P522">
        <v>0.09</v>
      </c>
      <c r="Q522">
        <f t="shared" si="60"/>
        <v>1</v>
      </c>
      <c r="S522">
        <f t="shared" si="61"/>
        <v>5.0889566756865614</v>
      </c>
      <c r="T522">
        <f t="shared" si="62"/>
        <v>0.10534140318671181</v>
      </c>
      <c r="U522">
        <f t="shared" si="59"/>
        <v>1537.9844865259925</v>
      </c>
    </row>
    <row r="523" spans="5:21" x14ac:dyDescent="0.2">
      <c r="E523" t="s">
        <v>152</v>
      </c>
      <c r="F523" t="s">
        <v>117</v>
      </c>
      <c r="H523">
        <v>91.25</v>
      </c>
      <c r="I523">
        <v>150</v>
      </c>
      <c r="J523">
        <v>0.7</v>
      </c>
      <c r="K523">
        <v>0.05</v>
      </c>
      <c r="L523">
        <f>$AC$12</f>
        <v>1.3</v>
      </c>
      <c r="N523">
        <v>365</v>
      </c>
      <c r="P523">
        <v>0.08</v>
      </c>
      <c r="Q523">
        <f>(J523 * $AD$4 +K523* $AD$5) + (1 -J523 - K523 )</f>
        <v>1.2150000000000001</v>
      </c>
      <c r="S523">
        <f t="shared" si="61"/>
        <v>7.7213401112283755</v>
      </c>
      <c r="T523">
        <f t="shared" si="62"/>
        <v>0.15983174030242736</v>
      </c>
      <c r="U523">
        <f t="shared" si="59"/>
        <v>2187.6969453894744</v>
      </c>
    </row>
    <row r="524" spans="5:21" x14ac:dyDescent="0.2">
      <c r="E524" t="s">
        <v>235</v>
      </c>
      <c r="F524" t="s">
        <v>119</v>
      </c>
      <c r="H524">
        <v>91.25</v>
      </c>
      <c r="I524">
        <v>250</v>
      </c>
      <c r="J524">
        <v>0</v>
      </c>
      <c r="K524">
        <v>0.65</v>
      </c>
      <c r="L524">
        <f>$AC$13</f>
        <v>1.1000000000000001</v>
      </c>
      <c r="N524">
        <v>299</v>
      </c>
      <c r="P524">
        <v>0.38</v>
      </c>
      <c r="Q524">
        <f t="shared" ref="Q524:Q536" si="63">(J524 * $AD$4 +K524* $AD$5) + (1 -J524 - K524 )</f>
        <v>1.0649999999999999</v>
      </c>
      <c r="S524">
        <f t="shared" si="61"/>
        <v>6.2872558757138393</v>
      </c>
      <c r="T524">
        <f t="shared" si="62"/>
        <v>0.13014619662727647</v>
      </c>
      <c r="U524">
        <f t="shared" si="59"/>
        <v>2968.9601105597444</v>
      </c>
    </row>
    <row r="525" spans="5:21" x14ac:dyDescent="0.2">
      <c r="F525" t="s">
        <v>120</v>
      </c>
      <c r="H525">
        <v>91.25</v>
      </c>
      <c r="I525">
        <v>240</v>
      </c>
      <c r="J525">
        <v>0</v>
      </c>
      <c r="K525">
        <v>0</v>
      </c>
      <c r="L525">
        <f>$AC$14</f>
        <v>0</v>
      </c>
      <c r="N525">
        <v>336</v>
      </c>
      <c r="P525">
        <v>0.36</v>
      </c>
      <c r="Q525">
        <f t="shared" si="63"/>
        <v>1</v>
      </c>
      <c r="S525">
        <f t="shared" si="61"/>
        <v>6.4024707203481617</v>
      </c>
      <c r="T525">
        <f t="shared" si="62"/>
        <v>0.13253114391120696</v>
      </c>
      <c r="U525">
        <f t="shared" si="59"/>
        <v>2902.4320516554326</v>
      </c>
    </row>
    <row r="526" spans="5:21" x14ac:dyDescent="0.2">
      <c r="F526" t="s">
        <v>121</v>
      </c>
      <c r="H526">
        <v>91.25</v>
      </c>
      <c r="I526">
        <v>200</v>
      </c>
      <c r="J526">
        <v>0.1</v>
      </c>
      <c r="K526">
        <v>0</v>
      </c>
      <c r="L526">
        <f>$AC$14</f>
        <v>0</v>
      </c>
      <c r="N526">
        <v>365</v>
      </c>
      <c r="P526">
        <v>0.16</v>
      </c>
      <c r="Q526">
        <f t="shared" si="63"/>
        <v>1.03</v>
      </c>
      <c r="S526">
        <f t="shared" si="61"/>
        <v>6.6771826410217523</v>
      </c>
      <c r="T526">
        <f t="shared" si="62"/>
        <v>0.13821768066915027</v>
      </c>
      <c r="U526">
        <f t="shared" si="59"/>
        <v>2522.4726722119926</v>
      </c>
    </row>
    <row r="527" spans="5:21" x14ac:dyDescent="0.2">
      <c r="E527" t="s">
        <v>141</v>
      </c>
      <c r="F527" t="s">
        <v>117</v>
      </c>
      <c r="H527">
        <v>91.25</v>
      </c>
      <c r="I527">
        <v>100</v>
      </c>
      <c r="J527">
        <v>0</v>
      </c>
      <c r="K527">
        <v>0</v>
      </c>
      <c r="L527">
        <v>0</v>
      </c>
      <c r="N527">
        <v>177</v>
      </c>
      <c r="P527">
        <v>0</v>
      </c>
      <c r="Q527">
        <f t="shared" si="63"/>
        <v>1</v>
      </c>
      <c r="S527">
        <f t="shared" si="61"/>
        <v>3.6371242399251598</v>
      </c>
      <c r="T527">
        <f t="shared" si="62"/>
        <v>7.5288471766450801E-2</v>
      </c>
      <c r="U527">
        <f t="shared" si="59"/>
        <v>687.00730486886357</v>
      </c>
    </row>
    <row r="528" spans="5:21" x14ac:dyDescent="0.2">
      <c r="E528">
        <v>3</v>
      </c>
      <c r="F528" t="s">
        <v>119</v>
      </c>
      <c r="H528">
        <v>91.25</v>
      </c>
      <c r="I528">
        <v>190</v>
      </c>
      <c r="J528">
        <v>0</v>
      </c>
      <c r="K528">
        <v>0</v>
      </c>
      <c r="L528">
        <v>0</v>
      </c>
      <c r="N528">
        <v>102</v>
      </c>
      <c r="P528">
        <v>0.79</v>
      </c>
      <c r="Q528">
        <f t="shared" si="63"/>
        <v>1</v>
      </c>
      <c r="S528">
        <f t="shared" si="61"/>
        <v>3.49644971849616</v>
      </c>
      <c r="T528">
        <f t="shared" si="62"/>
        <v>7.2376509172870515E-2</v>
      </c>
      <c r="U528">
        <f t="shared" si="59"/>
        <v>1254.8277277846425</v>
      </c>
    </row>
    <row r="529" spans="5:21" x14ac:dyDescent="0.2">
      <c r="F529" t="s">
        <v>120</v>
      </c>
      <c r="H529">
        <v>91.25</v>
      </c>
      <c r="I529">
        <v>195</v>
      </c>
      <c r="J529">
        <v>0</v>
      </c>
      <c r="K529">
        <v>0</v>
      </c>
      <c r="L529">
        <v>0</v>
      </c>
      <c r="N529">
        <v>173</v>
      </c>
      <c r="P529">
        <v>0.55000000000000004</v>
      </c>
      <c r="Q529">
        <f t="shared" si="63"/>
        <v>1</v>
      </c>
      <c r="S529">
        <f t="shared" si="61"/>
        <v>4.2677552283411613</v>
      </c>
      <c r="T529">
        <f t="shared" si="62"/>
        <v>8.8342533226662037E-2</v>
      </c>
      <c r="U529">
        <f t="shared" si="59"/>
        <v>1571.9449506019178</v>
      </c>
    </row>
    <row r="530" spans="5:21" x14ac:dyDescent="0.2">
      <c r="F530" t="s">
        <v>121</v>
      </c>
      <c r="H530">
        <v>91.25</v>
      </c>
      <c r="I530">
        <v>200</v>
      </c>
      <c r="J530">
        <v>0</v>
      </c>
      <c r="K530">
        <v>0</v>
      </c>
      <c r="L530">
        <v>0</v>
      </c>
      <c r="N530">
        <v>202</v>
      </c>
      <c r="P530">
        <v>0.02</v>
      </c>
      <c r="Q530">
        <f t="shared" si="63"/>
        <v>1</v>
      </c>
      <c r="S530">
        <f t="shared" si="61"/>
        <v>4.0091636422681605</v>
      </c>
      <c r="T530">
        <f t="shared" si="62"/>
        <v>8.2989687394950926E-2</v>
      </c>
      <c r="U530">
        <f t="shared" si="59"/>
        <v>1514.5617949578543</v>
      </c>
    </row>
    <row r="531" spans="5:21" x14ac:dyDescent="0.2">
      <c r="E531" t="s">
        <v>156</v>
      </c>
      <c r="F531" t="s">
        <v>117</v>
      </c>
      <c r="H531">
        <v>91.25</v>
      </c>
      <c r="I531">
        <v>50</v>
      </c>
      <c r="J531">
        <v>0.9</v>
      </c>
      <c r="K531">
        <v>0.05</v>
      </c>
      <c r="L531">
        <f>$AC$12</f>
        <v>1.3</v>
      </c>
      <c r="N531">
        <v>406</v>
      </c>
      <c r="P531">
        <v>0.17</v>
      </c>
      <c r="Q531">
        <f t="shared" si="63"/>
        <v>1.2750000000000001</v>
      </c>
      <c r="S531">
        <f t="shared" si="61"/>
        <v>8.9754355131669268</v>
      </c>
      <c r="T531">
        <f t="shared" si="62"/>
        <v>0.18579151512255537</v>
      </c>
      <c r="U531">
        <f t="shared" si="59"/>
        <v>847.67378774665883</v>
      </c>
    </row>
    <row r="532" spans="5:21" x14ac:dyDescent="0.2">
      <c r="E532" t="s">
        <v>236</v>
      </c>
      <c r="F532" t="s">
        <v>119</v>
      </c>
      <c r="H532">
        <v>91.25</v>
      </c>
      <c r="I532">
        <v>100</v>
      </c>
      <c r="J532">
        <v>0</v>
      </c>
      <c r="K532">
        <v>0.9</v>
      </c>
      <c r="L532">
        <f>$AC$13</f>
        <v>1.1000000000000001</v>
      </c>
      <c r="N532">
        <v>380</v>
      </c>
      <c r="P532">
        <v>0.27</v>
      </c>
      <c r="Q532">
        <f t="shared" si="63"/>
        <v>1.0900000000000001</v>
      </c>
      <c r="S532">
        <f t="shared" si="61"/>
        <v>7.4811108353489963</v>
      </c>
      <c r="T532">
        <f t="shared" si="62"/>
        <v>0.15485899429172423</v>
      </c>
      <c r="U532">
        <f t="shared" si="59"/>
        <v>1413.0883229119836</v>
      </c>
    </row>
    <row r="533" spans="5:21" x14ac:dyDescent="0.2">
      <c r="F533" t="s">
        <v>120</v>
      </c>
      <c r="H533">
        <v>91.25</v>
      </c>
      <c r="I533">
        <v>90</v>
      </c>
      <c r="J533">
        <v>0</v>
      </c>
      <c r="K533">
        <v>0</v>
      </c>
      <c r="L533">
        <f>$AC$14</f>
        <v>0</v>
      </c>
      <c r="N533">
        <v>414</v>
      </c>
      <c r="P533">
        <v>0.06</v>
      </c>
      <c r="Q533">
        <f t="shared" si="63"/>
        <v>1</v>
      </c>
      <c r="S533">
        <f t="shared" si="61"/>
        <v>6.9581492191641594</v>
      </c>
      <c r="T533">
        <f t="shared" si="62"/>
        <v>0.14403368883669812</v>
      </c>
      <c r="U533">
        <f t="shared" si="59"/>
        <v>1182.8766695713832</v>
      </c>
    </row>
    <row r="534" spans="5:21" x14ac:dyDescent="0.2">
      <c r="F534" t="s">
        <v>121</v>
      </c>
      <c r="H534">
        <v>91.25</v>
      </c>
      <c r="I534">
        <v>80</v>
      </c>
      <c r="J534">
        <v>0</v>
      </c>
      <c r="K534">
        <v>0</v>
      </c>
      <c r="L534">
        <f>$AC$14</f>
        <v>0</v>
      </c>
      <c r="N534">
        <v>390</v>
      </c>
      <c r="P534">
        <v>-0.04</v>
      </c>
      <c r="Q534">
        <f t="shared" si="63"/>
        <v>1</v>
      </c>
      <c r="S534">
        <f t="shared" si="61"/>
        <v>6.4899600516000007</v>
      </c>
      <c r="T534">
        <f t="shared" si="62"/>
        <v>0.13434217306812002</v>
      </c>
      <c r="U534">
        <f t="shared" si="59"/>
        <v>980.69786339727614</v>
      </c>
    </row>
    <row r="535" spans="5:21" x14ac:dyDescent="0.2">
      <c r="E535" t="s">
        <v>169</v>
      </c>
      <c r="F535" t="s">
        <v>117</v>
      </c>
      <c r="H535">
        <v>91.25</v>
      </c>
      <c r="I535">
        <v>30</v>
      </c>
      <c r="J535">
        <v>0</v>
      </c>
      <c r="K535">
        <v>0</v>
      </c>
      <c r="L535">
        <v>0</v>
      </c>
      <c r="N535">
        <v>249</v>
      </c>
      <c r="P535">
        <v>0.02</v>
      </c>
      <c r="Q535">
        <f t="shared" si="63"/>
        <v>1</v>
      </c>
      <c r="S535">
        <f t="shared" si="61"/>
        <v>4.6680082786947583</v>
      </c>
      <c r="T535">
        <f t="shared" si="62"/>
        <v>9.6627771368981499E-2</v>
      </c>
      <c r="U535">
        <f t="shared" si="59"/>
        <v>264.51852412258683</v>
      </c>
    </row>
    <row r="536" spans="5:21" x14ac:dyDescent="0.2">
      <c r="E536" t="s">
        <v>237</v>
      </c>
      <c r="F536" t="s">
        <v>119</v>
      </c>
      <c r="H536">
        <v>91.25</v>
      </c>
      <c r="I536">
        <v>70</v>
      </c>
      <c r="J536">
        <v>0</v>
      </c>
      <c r="K536">
        <v>0</v>
      </c>
      <c r="L536">
        <v>0</v>
      </c>
      <c r="N536">
        <v>218</v>
      </c>
      <c r="P536">
        <v>0.16</v>
      </c>
      <c r="Q536">
        <f t="shared" si="63"/>
        <v>1</v>
      </c>
      <c r="S536">
        <f t="shared" si="61"/>
        <v>4.4165443461177585</v>
      </c>
      <c r="T536">
        <f t="shared" si="62"/>
        <v>9.1422467964637585E-2</v>
      </c>
      <c r="U536">
        <f t="shared" si="59"/>
        <v>583.96101412412258</v>
      </c>
    </row>
    <row r="537" spans="5:21" x14ac:dyDescent="0.2">
      <c r="F537" t="s">
        <v>120</v>
      </c>
      <c r="H537">
        <v>91.25</v>
      </c>
      <c r="I537">
        <v>40</v>
      </c>
      <c r="J537">
        <v>0</v>
      </c>
      <c r="K537">
        <v>0</v>
      </c>
      <c r="L537">
        <v>0</v>
      </c>
      <c r="N537">
        <v>243</v>
      </c>
      <c r="P537">
        <v>0.23</v>
      </c>
      <c r="Q537">
        <f t="shared" ref="Q537:Q550" si="64">(J537 * $AD$4 + K537*$AD$5) + (1 - J537 )</f>
        <v>1</v>
      </c>
      <c r="S537">
        <f t="shared" si="61"/>
        <v>4.8714784567347582</v>
      </c>
      <c r="T537">
        <f t="shared" si="62"/>
        <v>0.10083960405440949</v>
      </c>
      <c r="U537">
        <f t="shared" si="59"/>
        <v>368.06455479859466</v>
      </c>
    </row>
    <row r="538" spans="5:21" x14ac:dyDescent="0.2">
      <c r="F538" t="s">
        <v>121</v>
      </c>
      <c r="H538">
        <v>91.25</v>
      </c>
      <c r="I538">
        <v>20</v>
      </c>
      <c r="J538">
        <v>0</v>
      </c>
      <c r="K538">
        <v>0</v>
      </c>
      <c r="L538">
        <v>0</v>
      </c>
      <c r="N538">
        <v>260</v>
      </c>
      <c r="P538">
        <v>0.03</v>
      </c>
      <c r="Q538">
        <f t="shared" si="64"/>
        <v>1</v>
      </c>
      <c r="S538">
        <f t="shared" si="61"/>
        <v>4.8359968281000016</v>
      </c>
      <c r="T538">
        <f t="shared" si="62"/>
        <v>0.10010513434167004</v>
      </c>
      <c r="U538">
        <f t="shared" si="59"/>
        <v>182.69187017354781</v>
      </c>
    </row>
    <row r="539" spans="5:21" x14ac:dyDescent="0.2">
      <c r="E539" t="s">
        <v>171</v>
      </c>
      <c r="F539" t="s">
        <v>117</v>
      </c>
      <c r="H539">
        <v>91.25</v>
      </c>
      <c r="I539">
        <v>30</v>
      </c>
      <c r="J539">
        <v>0</v>
      </c>
      <c r="K539">
        <v>0</v>
      </c>
      <c r="L539">
        <v>0</v>
      </c>
      <c r="N539">
        <v>324</v>
      </c>
      <c r="P539">
        <v>-0.14000000000000001</v>
      </c>
      <c r="Q539">
        <f t="shared" si="64"/>
        <v>1</v>
      </c>
      <c r="S539">
        <f t="shared" si="61"/>
        <v>5.4705579932217594</v>
      </c>
      <c r="T539">
        <f t="shared" si="62"/>
        <v>0.11324055045969042</v>
      </c>
      <c r="U539">
        <f t="shared" si="59"/>
        <v>309.99600688340252</v>
      </c>
    </row>
    <row r="540" spans="5:21" x14ac:dyDescent="0.2">
      <c r="E540" t="s">
        <v>238</v>
      </c>
      <c r="F540" t="s">
        <v>119</v>
      </c>
      <c r="H540">
        <v>91.25</v>
      </c>
      <c r="I540">
        <v>100</v>
      </c>
      <c r="J540">
        <v>0</v>
      </c>
      <c r="K540">
        <v>0</v>
      </c>
      <c r="L540">
        <v>0</v>
      </c>
      <c r="N540">
        <v>263</v>
      </c>
      <c r="P540">
        <v>0.3</v>
      </c>
      <c r="Q540">
        <f t="shared" si="64"/>
        <v>1</v>
      </c>
      <c r="S540">
        <f t="shared" si="61"/>
        <v>5.2609706948163586</v>
      </c>
      <c r="T540">
        <f t="shared" si="62"/>
        <v>0.10890209338269863</v>
      </c>
      <c r="U540">
        <f t="shared" si="59"/>
        <v>993.73160211712502</v>
      </c>
    </row>
    <row r="541" spans="5:21" x14ac:dyDescent="0.2">
      <c r="F541" t="s">
        <v>120</v>
      </c>
      <c r="H541">
        <v>91.25</v>
      </c>
      <c r="I541">
        <v>40</v>
      </c>
      <c r="J541">
        <v>0</v>
      </c>
      <c r="K541">
        <v>0</v>
      </c>
      <c r="L541">
        <v>0</v>
      </c>
      <c r="N541">
        <v>304</v>
      </c>
      <c r="P541">
        <v>0.4</v>
      </c>
      <c r="Q541">
        <f t="shared" si="64"/>
        <v>1</v>
      </c>
      <c r="S541">
        <f t="shared" si="61"/>
        <v>6.0068049315865588</v>
      </c>
      <c r="T541">
        <f t="shared" si="62"/>
        <v>0.12434086208384176</v>
      </c>
      <c r="U541">
        <f t="shared" si="59"/>
        <v>453.84414660602249</v>
      </c>
    </row>
    <row r="542" spans="5:21" x14ac:dyDescent="0.2">
      <c r="F542" t="s">
        <v>121</v>
      </c>
      <c r="H542">
        <v>91.25</v>
      </c>
      <c r="I542">
        <v>0</v>
      </c>
      <c r="J542">
        <v>0</v>
      </c>
      <c r="K542">
        <v>0</v>
      </c>
      <c r="L542">
        <v>0</v>
      </c>
      <c r="N542">
        <v>337</v>
      </c>
      <c r="P542">
        <v>0.11</v>
      </c>
      <c r="Q542">
        <f t="shared" si="64"/>
        <v>1</v>
      </c>
      <c r="S542">
        <f t="shared" si="61"/>
        <v>6.0238368677203589</v>
      </c>
      <c r="T542">
        <f t="shared" si="62"/>
        <v>0.12469342316181142</v>
      </c>
      <c r="U542">
        <f t="shared" si="59"/>
        <v>0</v>
      </c>
    </row>
    <row r="543" spans="5:21" x14ac:dyDescent="0.2">
      <c r="E543" t="s">
        <v>164</v>
      </c>
      <c r="F543" t="s">
        <v>117</v>
      </c>
      <c r="H543">
        <v>91.25</v>
      </c>
      <c r="I543">
        <v>20</v>
      </c>
      <c r="J543">
        <v>0</v>
      </c>
      <c r="K543">
        <v>0</v>
      </c>
      <c r="L543">
        <v>0</v>
      </c>
      <c r="N543">
        <v>231</v>
      </c>
      <c r="P543">
        <v>0.06</v>
      </c>
      <c r="Q543">
        <f t="shared" si="64"/>
        <v>1</v>
      </c>
      <c r="S543">
        <f t="shared" si="61"/>
        <v>4.4685791289219603</v>
      </c>
      <c r="T543">
        <f t="shared" si="62"/>
        <v>9.2499587968684585E-2</v>
      </c>
      <c r="U543">
        <f t="shared" si="59"/>
        <v>168.81174804284936</v>
      </c>
    </row>
    <row r="544" spans="5:21" x14ac:dyDescent="0.2">
      <c r="E544">
        <v>6</v>
      </c>
      <c r="F544" t="s">
        <v>119</v>
      </c>
      <c r="H544">
        <v>91.25</v>
      </c>
      <c r="I544">
        <v>40</v>
      </c>
      <c r="J544">
        <v>0</v>
      </c>
      <c r="K544">
        <v>0</v>
      </c>
      <c r="L544">
        <v>0</v>
      </c>
      <c r="N544">
        <v>102</v>
      </c>
      <c r="P544">
        <v>0.8</v>
      </c>
      <c r="Q544">
        <f t="shared" si="64"/>
        <v>1</v>
      </c>
      <c r="S544">
        <f t="shared" si="61"/>
        <v>3.5082398824761598</v>
      </c>
      <c r="T544">
        <f t="shared" si="62"/>
        <v>7.2620565567256504E-2</v>
      </c>
      <c r="U544">
        <f t="shared" si="59"/>
        <v>265.06506432048627</v>
      </c>
    </row>
    <row r="545" spans="1:21" x14ac:dyDescent="0.2">
      <c r="F545" t="s">
        <v>120</v>
      </c>
      <c r="H545">
        <v>91.25</v>
      </c>
      <c r="I545">
        <v>35</v>
      </c>
      <c r="J545">
        <v>0</v>
      </c>
      <c r="K545">
        <v>0</v>
      </c>
      <c r="L545">
        <v>0</v>
      </c>
      <c r="N545">
        <v>175</v>
      </c>
      <c r="P545">
        <v>0.57999999999999996</v>
      </c>
      <c r="Q545">
        <f t="shared" si="64"/>
        <v>1</v>
      </c>
      <c r="S545">
        <f t="shared" si="61"/>
        <v>4.3371186306249996</v>
      </c>
      <c r="T545">
        <f t="shared" si="62"/>
        <v>8.9778355653937478E-2</v>
      </c>
      <c r="U545">
        <f t="shared" si="59"/>
        <v>286.72962336976281</v>
      </c>
    </row>
    <row r="546" spans="1:21" x14ac:dyDescent="0.2">
      <c r="F546" t="s">
        <v>121</v>
      </c>
      <c r="H546">
        <v>91.25</v>
      </c>
      <c r="I546">
        <v>30</v>
      </c>
      <c r="J546">
        <v>0</v>
      </c>
      <c r="K546">
        <v>0</v>
      </c>
      <c r="L546">
        <v>0</v>
      </c>
      <c r="N546">
        <v>208</v>
      </c>
      <c r="P546">
        <v>0.21</v>
      </c>
      <c r="Q546">
        <f t="shared" si="64"/>
        <v>1</v>
      </c>
      <c r="S546">
        <f t="shared" si="61"/>
        <v>4.3388206778689593</v>
      </c>
      <c r="T546">
        <f t="shared" si="62"/>
        <v>8.9813588031887451E-2</v>
      </c>
      <c r="U546">
        <f t="shared" si="59"/>
        <v>245.86469723729189</v>
      </c>
    </row>
    <row r="547" spans="1:21" x14ac:dyDescent="0.2">
      <c r="E547" t="s">
        <v>176</v>
      </c>
      <c r="F547" t="s">
        <v>117</v>
      </c>
      <c r="H547">
        <v>91.25</v>
      </c>
      <c r="I547">
        <v>30</v>
      </c>
      <c r="J547">
        <v>0</v>
      </c>
      <c r="K547">
        <v>0</v>
      </c>
      <c r="L547">
        <v>0</v>
      </c>
      <c r="N547">
        <v>0</v>
      </c>
      <c r="P547">
        <v>0</v>
      </c>
      <c r="Q547">
        <f t="shared" si="64"/>
        <v>1</v>
      </c>
      <c r="S547">
        <f t="shared" si="61"/>
        <v>1.4042250000000001</v>
      </c>
      <c r="T547">
        <f t="shared" si="62"/>
        <v>2.9067457500000001E-2</v>
      </c>
      <c r="U547">
        <f t="shared" si="59"/>
        <v>79.572164906250009</v>
      </c>
    </row>
    <row r="548" spans="1:21" x14ac:dyDescent="0.2">
      <c r="E548" t="s">
        <v>239</v>
      </c>
      <c r="F548" t="s">
        <v>119</v>
      </c>
      <c r="H548">
        <v>91.25</v>
      </c>
      <c r="I548">
        <v>35</v>
      </c>
      <c r="J548">
        <v>0</v>
      </c>
      <c r="K548">
        <v>0</v>
      </c>
      <c r="L548">
        <v>0</v>
      </c>
      <c r="N548">
        <v>0</v>
      </c>
      <c r="P548">
        <v>0</v>
      </c>
      <c r="Q548">
        <f t="shared" si="64"/>
        <v>1</v>
      </c>
      <c r="S548">
        <f t="shared" si="61"/>
        <v>1.4042250000000001</v>
      </c>
      <c r="T548">
        <f t="shared" si="62"/>
        <v>2.9067457500000001E-2</v>
      </c>
      <c r="U548">
        <f t="shared" si="59"/>
        <v>92.834192390625006</v>
      </c>
    </row>
    <row r="549" spans="1:21" x14ac:dyDescent="0.2">
      <c r="F549" t="s">
        <v>120</v>
      </c>
      <c r="H549">
        <v>91.25</v>
      </c>
      <c r="I549">
        <v>20</v>
      </c>
      <c r="J549">
        <v>0</v>
      </c>
      <c r="K549">
        <v>0</v>
      </c>
      <c r="L549">
        <v>0</v>
      </c>
      <c r="N549">
        <v>0</v>
      </c>
      <c r="P549">
        <v>0</v>
      </c>
      <c r="Q549">
        <f t="shared" si="64"/>
        <v>1</v>
      </c>
      <c r="S549">
        <f t="shared" si="61"/>
        <v>1.4042250000000001</v>
      </c>
      <c r="T549">
        <f t="shared" si="62"/>
        <v>2.9067457500000001E-2</v>
      </c>
      <c r="U549">
        <f t="shared" si="59"/>
        <v>53.048109937500001</v>
      </c>
    </row>
    <row r="550" spans="1:21" x14ac:dyDescent="0.2">
      <c r="F550" t="s">
        <v>121</v>
      </c>
      <c r="H550">
        <v>91.25</v>
      </c>
      <c r="I550">
        <v>0</v>
      </c>
      <c r="J550">
        <v>0</v>
      </c>
      <c r="K550">
        <v>0</v>
      </c>
      <c r="L550">
        <v>0</v>
      </c>
      <c r="N550">
        <v>0</v>
      </c>
      <c r="P550">
        <v>0</v>
      </c>
      <c r="Q550">
        <f t="shared" si="64"/>
        <v>1</v>
      </c>
      <c r="S550">
        <f t="shared" si="61"/>
        <v>1.4042250000000001</v>
      </c>
      <c r="T550">
        <f t="shared" si="62"/>
        <v>2.9067457500000001E-2</v>
      </c>
      <c r="U550">
        <f t="shared" si="59"/>
        <v>0</v>
      </c>
    </row>
    <row r="555" spans="1:21" x14ac:dyDescent="0.2">
      <c r="A555" s="9" t="s">
        <v>261</v>
      </c>
    </row>
    <row r="561" spans="1:22" x14ac:dyDescent="0.2">
      <c r="A561" t="s">
        <v>261</v>
      </c>
      <c r="B561" t="s">
        <v>232</v>
      </c>
      <c r="C561" t="s">
        <v>261</v>
      </c>
      <c r="D561" t="s">
        <v>261</v>
      </c>
      <c r="E561" t="s">
        <v>116</v>
      </c>
      <c r="F561" t="s">
        <v>117</v>
      </c>
      <c r="H561">
        <v>91.25</v>
      </c>
      <c r="I561">
        <v>50</v>
      </c>
      <c r="J561">
        <v>0</v>
      </c>
      <c r="K561">
        <v>0</v>
      </c>
      <c r="L561">
        <v>0</v>
      </c>
      <c r="N561" s="32" cm="1">
        <f t="array" ref="N561:N600">_xlfn.DROP(_xlfn.XLOOKUP($C561,TableW[[#Headers],[ACT/NSW]:[QLD - Low]],TableW[[#All],[ACT/NSW]:[QLD - Low]]),1)</f>
        <v>260</v>
      </c>
      <c r="P561" cm="1">
        <f t="array" ref="P561:P600">_xlfn.DROP(_xlfn.XLOOKUP($C561,TableLWG[[#Headers],[ACT/NSW]:[QLD - Low]],TableLWG[[#All],[ACT/NSW]:[QLD - Low]]),1)</f>
        <v>0.27</v>
      </c>
      <c r="Q561">
        <f>(J561 * $AD$4 + K561*$AD$5) + (1 - J561 )</f>
        <v>1</v>
      </c>
      <c r="S561">
        <f>(1.185 + 0.00454 * N561- 0.0000026 * N561^2 + 0.315 * P561 )^2 * Q561</f>
        <v>5.1742145961000006</v>
      </c>
      <c r="T561">
        <f>20.7 * S561 * 10^-3</f>
        <v>0.10710624213927002</v>
      </c>
      <c r="U561">
        <f t="shared" ref="U561:U600" si="65">H561*T561*I561</f>
        <v>488.67222976041944</v>
      </c>
      <c r="V561">
        <f>SUM(U561:U600)/1000</f>
        <v>44.603736027856854</v>
      </c>
    </row>
    <row r="562" spans="1:22" x14ac:dyDescent="0.2">
      <c r="E562">
        <v>1</v>
      </c>
      <c r="F562" t="s">
        <v>119</v>
      </c>
      <c r="H562">
        <v>91.25</v>
      </c>
      <c r="I562">
        <v>100</v>
      </c>
      <c r="J562">
        <v>0</v>
      </c>
      <c r="K562">
        <v>0</v>
      </c>
      <c r="L562">
        <v>0</v>
      </c>
      <c r="N562">
        <v>153</v>
      </c>
      <c r="P562">
        <v>0.16</v>
      </c>
      <c r="Q562">
        <f t="shared" ref="Q562:Q572" si="66">(J562 * $AD$4 + K562*$AD$5) + (1 - J562 )</f>
        <v>1</v>
      </c>
      <c r="S562">
        <f t="shared" ref="S562:S600" si="67">(1.185 + 0.00454 * N562- 0.0000026 * N562^2 + 0.315 * P562 )^2 * Q562</f>
        <v>3.4937463953235608</v>
      </c>
      <c r="T562">
        <f t="shared" ref="T562:T600" si="68">20.7 * S562 * 10^-3</f>
        <v>7.2320550383197721E-2</v>
      </c>
      <c r="U562">
        <f t="shared" si="65"/>
        <v>659.92502224667919</v>
      </c>
    </row>
    <row r="563" spans="1:22" x14ac:dyDescent="0.2">
      <c r="F563" t="s">
        <v>120</v>
      </c>
      <c r="H563">
        <v>91.25</v>
      </c>
      <c r="I563">
        <v>80</v>
      </c>
      <c r="J563">
        <v>0</v>
      </c>
      <c r="K563">
        <v>0</v>
      </c>
      <c r="L563">
        <v>0</v>
      </c>
      <c r="N563">
        <v>168</v>
      </c>
      <c r="P563">
        <v>0.45</v>
      </c>
      <c r="Q563">
        <f t="shared" si="66"/>
        <v>1</v>
      </c>
      <c r="S563">
        <f t="shared" si="67"/>
        <v>4.0646092108737584</v>
      </c>
      <c r="T563">
        <f t="shared" si="68"/>
        <v>8.4137410665086787E-2</v>
      </c>
      <c r="U563">
        <f t="shared" si="65"/>
        <v>614.20309785513359</v>
      </c>
    </row>
    <row r="564" spans="1:22" x14ac:dyDescent="0.2">
      <c r="F564" t="s">
        <v>121</v>
      </c>
      <c r="H564">
        <v>91.25</v>
      </c>
      <c r="I564">
        <v>70</v>
      </c>
      <c r="J564">
        <v>0</v>
      </c>
      <c r="K564">
        <v>0</v>
      </c>
      <c r="L564">
        <v>0</v>
      </c>
      <c r="N564">
        <v>235</v>
      </c>
      <c r="P564">
        <v>0.51</v>
      </c>
      <c r="Q564">
        <f t="shared" si="66"/>
        <v>1</v>
      </c>
      <c r="S564">
        <f t="shared" si="67"/>
        <v>5.1482021712250008</v>
      </c>
      <c r="T564">
        <f t="shared" si="68"/>
        <v>0.10656778494435752</v>
      </c>
      <c r="U564">
        <f t="shared" si="65"/>
        <v>680.70172633208369</v>
      </c>
    </row>
    <row r="565" spans="1:22" x14ac:dyDescent="0.2">
      <c r="E565" t="s">
        <v>122</v>
      </c>
      <c r="F565" t="s">
        <v>117</v>
      </c>
      <c r="H565">
        <v>91.25</v>
      </c>
      <c r="I565">
        <v>20</v>
      </c>
      <c r="J565">
        <v>0</v>
      </c>
      <c r="K565">
        <v>0</v>
      </c>
      <c r="L565">
        <v>0</v>
      </c>
      <c r="N565">
        <v>705</v>
      </c>
      <c r="P565">
        <v>-0.19</v>
      </c>
      <c r="Q565">
        <f t="shared" si="66"/>
        <v>1</v>
      </c>
      <c r="S565">
        <f t="shared" si="67"/>
        <v>9.2026379522250004</v>
      </c>
      <c r="T565">
        <f t="shared" si="68"/>
        <v>0.19049460561105749</v>
      </c>
      <c r="U565">
        <f t="shared" si="65"/>
        <v>347.65265524017991</v>
      </c>
    </row>
    <row r="566" spans="1:22" x14ac:dyDescent="0.2">
      <c r="E566">
        <v>2</v>
      </c>
      <c r="F566" t="s">
        <v>119</v>
      </c>
      <c r="H566">
        <v>91.25</v>
      </c>
      <c r="I566">
        <v>80</v>
      </c>
      <c r="J566">
        <v>0</v>
      </c>
      <c r="K566">
        <v>0</v>
      </c>
      <c r="L566">
        <v>0</v>
      </c>
      <c r="N566">
        <v>703</v>
      </c>
      <c r="P566">
        <v>0.16</v>
      </c>
      <c r="Q566">
        <f t="shared" si="66"/>
        <v>1</v>
      </c>
      <c r="S566">
        <f t="shared" si="67"/>
        <v>9.8726453602675619</v>
      </c>
      <c r="T566">
        <f t="shared" si="68"/>
        <v>0.20436375895753853</v>
      </c>
      <c r="U566">
        <f t="shared" si="65"/>
        <v>1491.8554403900314</v>
      </c>
    </row>
    <row r="567" spans="1:22" x14ac:dyDescent="0.2">
      <c r="F567" t="s">
        <v>120</v>
      </c>
      <c r="H567">
        <v>91.25</v>
      </c>
      <c r="I567">
        <v>70</v>
      </c>
      <c r="J567">
        <v>0</v>
      </c>
      <c r="K567">
        <v>0</v>
      </c>
      <c r="L567">
        <v>0</v>
      </c>
      <c r="N567">
        <v>718</v>
      </c>
      <c r="P567">
        <v>0.1</v>
      </c>
      <c r="Q567">
        <f t="shared" si="66"/>
        <v>1</v>
      </c>
      <c r="S567">
        <f t="shared" si="67"/>
        <v>9.8336028874777597</v>
      </c>
      <c r="T567">
        <f t="shared" si="68"/>
        <v>0.20355557977078961</v>
      </c>
      <c r="U567">
        <f t="shared" si="65"/>
        <v>1300.2112657859188</v>
      </c>
    </row>
    <row r="568" spans="1:22" x14ac:dyDescent="0.2">
      <c r="F568" t="s">
        <v>121</v>
      </c>
      <c r="H568">
        <v>91.25</v>
      </c>
      <c r="I568">
        <v>60</v>
      </c>
      <c r="J568">
        <v>0</v>
      </c>
      <c r="K568">
        <v>0</v>
      </c>
      <c r="L568">
        <v>0</v>
      </c>
      <c r="N568">
        <v>722</v>
      </c>
      <c r="P568">
        <v>-7.0000000000000007E-2</v>
      </c>
      <c r="Q568">
        <f t="shared" si="66"/>
        <v>1</v>
      </c>
      <c r="S568">
        <f t="shared" si="67"/>
        <v>9.520258413670561</v>
      </c>
      <c r="T568">
        <f t="shared" si="68"/>
        <v>0.19706934916298061</v>
      </c>
      <c r="U568">
        <f t="shared" si="65"/>
        <v>1078.9546866673188</v>
      </c>
    </row>
    <row r="569" spans="1:22" x14ac:dyDescent="0.2">
      <c r="E569" t="s">
        <v>146</v>
      </c>
      <c r="F569" t="s">
        <v>117</v>
      </c>
      <c r="H569">
        <v>91.25</v>
      </c>
      <c r="I569">
        <v>100</v>
      </c>
      <c r="J569">
        <v>0</v>
      </c>
      <c r="K569">
        <v>0</v>
      </c>
      <c r="L569">
        <v>0</v>
      </c>
      <c r="N569">
        <v>302</v>
      </c>
      <c r="P569">
        <v>0.25</v>
      </c>
      <c r="Q569">
        <f t="shared" si="66"/>
        <v>1</v>
      </c>
      <c r="S569">
        <f t="shared" si="67"/>
        <v>5.7489633718401585</v>
      </c>
      <c r="T569">
        <f t="shared" si="68"/>
        <v>0.11900354179709127</v>
      </c>
      <c r="U569">
        <f t="shared" si="65"/>
        <v>1085.9073188984578</v>
      </c>
    </row>
    <row r="570" spans="1:22" x14ac:dyDescent="0.2">
      <c r="E570">
        <v>4</v>
      </c>
      <c r="F570" t="s">
        <v>119</v>
      </c>
      <c r="H570">
        <v>91.25</v>
      </c>
      <c r="I570">
        <v>180</v>
      </c>
      <c r="J570">
        <v>0</v>
      </c>
      <c r="K570">
        <v>0</v>
      </c>
      <c r="L570">
        <v>0</v>
      </c>
      <c r="N570">
        <v>277</v>
      </c>
      <c r="P570">
        <v>0.56999999999999995</v>
      </c>
      <c r="Q570">
        <f t="shared" si="66"/>
        <v>1</v>
      </c>
      <c r="S570">
        <f t="shared" si="67"/>
        <v>5.869158405117159</v>
      </c>
      <c r="T570">
        <f t="shared" si="68"/>
        <v>0.12149157898592519</v>
      </c>
      <c r="U570">
        <f t="shared" si="65"/>
        <v>1995.4991848438212</v>
      </c>
    </row>
    <row r="571" spans="1:22" x14ac:dyDescent="0.2">
      <c r="F571" t="s">
        <v>120</v>
      </c>
      <c r="H571">
        <v>91.25</v>
      </c>
      <c r="I571">
        <v>170</v>
      </c>
      <c r="J571">
        <v>0</v>
      </c>
      <c r="K571">
        <v>0</v>
      </c>
      <c r="L571">
        <v>0</v>
      </c>
      <c r="N571">
        <v>319</v>
      </c>
      <c r="P571">
        <v>0.41</v>
      </c>
      <c r="Q571">
        <f t="shared" si="66"/>
        <v>1</v>
      </c>
      <c r="S571">
        <f t="shared" si="67"/>
        <v>6.2391617028259594</v>
      </c>
      <c r="T571">
        <f t="shared" si="68"/>
        <v>0.12915064724849737</v>
      </c>
      <c r="U571">
        <f t="shared" si="65"/>
        <v>2003.4494154423155</v>
      </c>
    </row>
    <row r="572" spans="1:22" x14ac:dyDescent="0.2">
      <c r="F572" t="s">
        <v>121</v>
      </c>
      <c r="H572">
        <v>91.25</v>
      </c>
      <c r="I572">
        <v>160</v>
      </c>
      <c r="J572">
        <v>0</v>
      </c>
      <c r="K572">
        <v>0</v>
      </c>
      <c r="L572">
        <v>0</v>
      </c>
      <c r="N572">
        <v>352</v>
      </c>
      <c r="P572">
        <v>-0.09</v>
      </c>
      <c r="Q572">
        <f t="shared" si="66"/>
        <v>1</v>
      </c>
      <c r="S572">
        <f t="shared" si="67"/>
        <v>5.9174435103361596</v>
      </c>
      <c r="T572">
        <f t="shared" si="68"/>
        <v>0.1224910806639585</v>
      </c>
      <c r="U572">
        <f t="shared" si="65"/>
        <v>1788.3697776937943</v>
      </c>
    </row>
    <row r="573" spans="1:22" x14ac:dyDescent="0.2">
      <c r="E573" t="s">
        <v>152</v>
      </c>
      <c r="F573" t="s">
        <v>117</v>
      </c>
      <c r="H573">
        <v>91.25</v>
      </c>
      <c r="I573">
        <v>150</v>
      </c>
      <c r="J573">
        <v>0.7</v>
      </c>
      <c r="K573">
        <v>0.05</v>
      </c>
      <c r="L573">
        <f>$AC$12</f>
        <v>1.3</v>
      </c>
      <c r="N573">
        <v>416</v>
      </c>
      <c r="P573">
        <v>7.0000000000000007E-2</v>
      </c>
      <c r="Q573">
        <f>(J573 * $AD$4 +K573* $AD$5) + (1 -J573 - K573 )</f>
        <v>1.2150000000000001</v>
      </c>
      <c r="S573">
        <f t="shared" si="67"/>
        <v>8.5049555676096045</v>
      </c>
      <c r="T573">
        <f t="shared" si="68"/>
        <v>0.17605258024951881</v>
      </c>
      <c r="U573">
        <f t="shared" si="65"/>
        <v>2409.719692165289</v>
      </c>
    </row>
    <row r="574" spans="1:22" x14ac:dyDescent="0.2">
      <c r="E574" t="s">
        <v>235</v>
      </c>
      <c r="F574" t="s">
        <v>119</v>
      </c>
      <c r="H574">
        <v>91.25</v>
      </c>
      <c r="I574">
        <v>250</v>
      </c>
      <c r="J574">
        <v>0</v>
      </c>
      <c r="K574">
        <v>0.71</v>
      </c>
      <c r="L574">
        <f>$AC$13</f>
        <v>1.1000000000000001</v>
      </c>
      <c r="N574">
        <v>397</v>
      </c>
      <c r="P574">
        <v>0.76</v>
      </c>
      <c r="Q574">
        <f t="shared" ref="Q574:Q586" si="69">(J574 * $AD$4 +K574* $AD$5) + (1 -J574 - K574 )</f>
        <v>1.0710000000000002</v>
      </c>
      <c r="S574">
        <f t="shared" si="67"/>
        <v>8.4988882033647783</v>
      </c>
      <c r="T574">
        <f t="shared" si="68"/>
        <v>0.17592698580965091</v>
      </c>
      <c r="U574">
        <f t="shared" si="65"/>
        <v>4013.3343637826611</v>
      </c>
    </row>
    <row r="575" spans="1:22" x14ac:dyDescent="0.2">
      <c r="F575" t="s">
        <v>120</v>
      </c>
      <c r="H575">
        <v>91.25</v>
      </c>
      <c r="I575">
        <v>240</v>
      </c>
      <c r="J575">
        <v>0</v>
      </c>
      <c r="K575">
        <v>0</v>
      </c>
      <c r="L575">
        <f>$AC$14</f>
        <v>0</v>
      </c>
      <c r="N575">
        <v>440</v>
      </c>
      <c r="P575">
        <v>0.4</v>
      </c>
      <c r="Q575">
        <f t="shared" si="69"/>
        <v>1</v>
      </c>
      <c r="S575">
        <f t="shared" si="67"/>
        <v>7.8693714575999998</v>
      </c>
      <c r="T575">
        <f t="shared" si="68"/>
        <v>0.16289598917231998</v>
      </c>
      <c r="U575">
        <f t="shared" si="65"/>
        <v>3567.4221628738078</v>
      </c>
    </row>
    <row r="576" spans="1:22" x14ac:dyDescent="0.2">
      <c r="F576" t="s">
        <v>121</v>
      </c>
      <c r="H576">
        <v>91.25</v>
      </c>
      <c r="I576">
        <v>200</v>
      </c>
      <c r="J576">
        <v>0.1</v>
      </c>
      <c r="K576">
        <v>0</v>
      </c>
      <c r="L576">
        <f>$AC$14</f>
        <v>0</v>
      </c>
      <c r="N576">
        <v>470</v>
      </c>
      <c r="P576">
        <v>-0.13</v>
      </c>
      <c r="Q576">
        <f t="shared" si="69"/>
        <v>1.03</v>
      </c>
      <c r="S576">
        <f t="shared" si="67"/>
        <v>7.5282353097030006</v>
      </c>
      <c r="T576">
        <f t="shared" si="68"/>
        <v>0.15583447091085212</v>
      </c>
      <c r="U576">
        <f t="shared" si="65"/>
        <v>2843.9790941230513</v>
      </c>
    </row>
    <row r="577" spans="5:21" x14ac:dyDescent="0.2">
      <c r="E577" t="s">
        <v>141</v>
      </c>
      <c r="F577" t="s">
        <v>117</v>
      </c>
      <c r="H577">
        <v>91.25</v>
      </c>
      <c r="I577">
        <v>100</v>
      </c>
      <c r="J577">
        <v>0</v>
      </c>
      <c r="K577">
        <v>0</v>
      </c>
      <c r="L577">
        <v>0</v>
      </c>
      <c r="N577">
        <v>215</v>
      </c>
      <c r="P577">
        <v>0.38</v>
      </c>
      <c r="Q577">
        <f t="shared" si="69"/>
        <v>1</v>
      </c>
      <c r="S577">
        <f t="shared" si="67"/>
        <v>4.6682571782249997</v>
      </c>
      <c r="T577">
        <f t="shared" si="68"/>
        <v>9.6632923589257486E-2</v>
      </c>
      <c r="U577">
        <f t="shared" si="65"/>
        <v>881.77542775197446</v>
      </c>
    </row>
    <row r="578" spans="5:21" x14ac:dyDescent="0.2">
      <c r="E578">
        <v>3</v>
      </c>
      <c r="F578" t="s">
        <v>119</v>
      </c>
      <c r="H578">
        <v>91.25</v>
      </c>
      <c r="I578">
        <v>190</v>
      </c>
      <c r="J578">
        <v>0</v>
      </c>
      <c r="K578">
        <v>0</v>
      </c>
      <c r="L578">
        <v>0</v>
      </c>
      <c r="N578">
        <v>118</v>
      </c>
      <c r="P578">
        <v>0.8</v>
      </c>
      <c r="Q578">
        <f t="shared" si="69"/>
        <v>1</v>
      </c>
      <c r="S578">
        <f t="shared" si="67"/>
        <v>3.7501004151097597</v>
      </c>
      <c r="T578">
        <f t="shared" si="68"/>
        <v>7.7627078592772028E-2</v>
      </c>
      <c r="U578">
        <f t="shared" si="65"/>
        <v>1345.8594751021851</v>
      </c>
    </row>
    <row r="579" spans="5:21" x14ac:dyDescent="0.2">
      <c r="F579" t="s">
        <v>120</v>
      </c>
      <c r="H579">
        <v>91.25</v>
      </c>
      <c r="I579">
        <v>195</v>
      </c>
      <c r="J579">
        <v>0</v>
      </c>
      <c r="K579">
        <v>0</v>
      </c>
      <c r="L579">
        <v>0</v>
      </c>
      <c r="N579">
        <v>191</v>
      </c>
      <c r="P579">
        <v>0.49</v>
      </c>
      <c r="Q579">
        <f t="shared" si="69"/>
        <v>1</v>
      </c>
      <c r="S579">
        <f t="shared" si="67"/>
        <v>4.4590209556323606</v>
      </c>
      <c r="T579">
        <f t="shared" si="68"/>
        <v>9.2301733781589859E-2</v>
      </c>
      <c r="U579">
        <f t="shared" si="65"/>
        <v>1642.3939754761645</v>
      </c>
    </row>
    <row r="580" spans="5:21" x14ac:dyDescent="0.2">
      <c r="F580" t="s">
        <v>121</v>
      </c>
      <c r="H580">
        <v>91.25</v>
      </c>
      <c r="I580">
        <v>200</v>
      </c>
      <c r="J580">
        <v>0</v>
      </c>
      <c r="K580">
        <v>0</v>
      </c>
      <c r="L580">
        <v>0</v>
      </c>
      <c r="N580">
        <v>207</v>
      </c>
      <c r="P580">
        <v>0.13</v>
      </c>
      <c r="Q580">
        <f t="shared" si="69"/>
        <v>1</v>
      </c>
      <c r="S580">
        <f t="shared" si="67"/>
        <v>4.2202413448707592</v>
      </c>
      <c r="T580">
        <f t="shared" si="68"/>
        <v>8.7358995838824713E-2</v>
      </c>
      <c r="U580">
        <f t="shared" si="65"/>
        <v>1594.301674058551</v>
      </c>
    </row>
    <row r="581" spans="5:21" x14ac:dyDescent="0.2">
      <c r="E581" t="s">
        <v>156</v>
      </c>
      <c r="F581" t="s">
        <v>117</v>
      </c>
      <c r="H581">
        <v>91.25</v>
      </c>
      <c r="I581">
        <v>50</v>
      </c>
      <c r="J581">
        <v>0.9</v>
      </c>
      <c r="K581">
        <v>0.05</v>
      </c>
      <c r="L581">
        <f>$AC$12</f>
        <v>1.3</v>
      </c>
      <c r="N581">
        <v>519</v>
      </c>
      <c r="P581">
        <v>0.05</v>
      </c>
      <c r="Q581">
        <f t="shared" si="69"/>
        <v>1.2750000000000001</v>
      </c>
      <c r="S581">
        <f t="shared" si="67"/>
        <v>10.404728646661901</v>
      </c>
      <c r="T581">
        <f t="shared" si="68"/>
        <v>0.21537788298590135</v>
      </c>
      <c r="U581">
        <f t="shared" si="65"/>
        <v>982.66159112317496</v>
      </c>
    </row>
    <row r="582" spans="5:21" x14ac:dyDescent="0.2">
      <c r="E582" t="s">
        <v>236</v>
      </c>
      <c r="F582" t="s">
        <v>119</v>
      </c>
      <c r="H582">
        <v>91.25</v>
      </c>
      <c r="I582">
        <v>100</v>
      </c>
      <c r="J582">
        <v>0</v>
      </c>
      <c r="K582">
        <v>0.9</v>
      </c>
      <c r="L582">
        <f>$AC$13</f>
        <v>1.1000000000000001</v>
      </c>
      <c r="N582">
        <v>483</v>
      </c>
      <c r="P582">
        <v>0.49</v>
      </c>
      <c r="Q582">
        <f t="shared" si="69"/>
        <v>1.0900000000000001</v>
      </c>
      <c r="S582">
        <f t="shared" si="67"/>
        <v>9.3295761700058968</v>
      </c>
      <c r="T582">
        <f t="shared" si="68"/>
        <v>0.19312222671912208</v>
      </c>
      <c r="U582">
        <f t="shared" si="65"/>
        <v>1762.240318811989</v>
      </c>
    </row>
    <row r="583" spans="5:21" x14ac:dyDescent="0.2">
      <c r="F583" t="s">
        <v>120</v>
      </c>
      <c r="H583">
        <v>91.25</v>
      </c>
      <c r="I583">
        <v>90</v>
      </c>
      <c r="J583">
        <v>0</v>
      </c>
      <c r="K583">
        <v>0</v>
      </c>
      <c r="L583">
        <f>$AC$14</f>
        <v>0</v>
      </c>
      <c r="N583">
        <v>506</v>
      </c>
      <c r="P583">
        <v>0.17</v>
      </c>
      <c r="Q583">
        <f t="shared" si="69"/>
        <v>1</v>
      </c>
      <c r="S583">
        <f t="shared" si="67"/>
        <v>8.2374533452929608</v>
      </c>
      <c r="T583">
        <f t="shared" si="68"/>
        <v>0.17051528424756429</v>
      </c>
      <c r="U583">
        <f t="shared" si="65"/>
        <v>1400.3567718831218</v>
      </c>
    </row>
    <row r="584" spans="5:21" x14ac:dyDescent="0.2">
      <c r="F584" t="s">
        <v>121</v>
      </c>
      <c r="H584">
        <v>91.25</v>
      </c>
      <c r="I584">
        <v>80</v>
      </c>
      <c r="J584">
        <v>0</v>
      </c>
      <c r="K584">
        <v>0</v>
      </c>
      <c r="L584">
        <f>$AC$14</f>
        <v>0</v>
      </c>
      <c r="N584">
        <v>514</v>
      </c>
      <c r="P584">
        <v>7.0000000000000007E-2</v>
      </c>
      <c r="Q584">
        <f t="shared" si="69"/>
        <v>1</v>
      </c>
      <c r="S584">
        <f t="shared" si="67"/>
        <v>8.1436059729601613</v>
      </c>
      <c r="T584">
        <f t="shared" si="68"/>
        <v>0.16857264364027535</v>
      </c>
      <c r="U584">
        <f t="shared" si="65"/>
        <v>1230.5802985740102</v>
      </c>
    </row>
    <row r="585" spans="5:21" x14ac:dyDescent="0.2">
      <c r="E585" t="s">
        <v>169</v>
      </c>
      <c r="F585" t="s">
        <v>117</v>
      </c>
      <c r="H585">
        <v>91.25</v>
      </c>
      <c r="I585">
        <v>30</v>
      </c>
      <c r="J585">
        <v>0</v>
      </c>
      <c r="K585">
        <v>0</v>
      </c>
      <c r="L585">
        <v>0</v>
      </c>
      <c r="N585">
        <v>455</v>
      </c>
      <c r="P585">
        <v>0.55000000000000004</v>
      </c>
      <c r="Q585">
        <f t="shared" si="69"/>
        <v>1</v>
      </c>
      <c r="S585">
        <f t="shared" si="67"/>
        <v>8.3271779192250008</v>
      </c>
      <c r="T585">
        <f t="shared" si="68"/>
        <v>0.17237258292795754</v>
      </c>
      <c r="U585">
        <f t="shared" si="65"/>
        <v>471.86994576528377</v>
      </c>
    </row>
    <row r="586" spans="5:21" x14ac:dyDescent="0.2">
      <c r="E586" t="s">
        <v>237</v>
      </c>
      <c r="F586" t="s">
        <v>119</v>
      </c>
      <c r="H586">
        <v>91.25</v>
      </c>
      <c r="I586">
        <v>70</v>
      </c>
      <c r="J586">
        <v>0</v>
      </c>
      <c r="K586">
        <v>0</v>
      </c>
      <c r="L586">
        <v>0</v>
      </c>
      <c r="N586">
        <v>304</v>
      </c>
      <c r="P586">
        <v>0.51</v>
      </c>
      <c r="Q586">
        <f t="shared" si="69"/>
        <v>1</v>
      </c>
      <c r="S586">
        <f t="shared" si="67"/>
        <v>6.1778514272065586</v>
      </c>
      <c r="T586">
        <f t="shared" si="68"/>
        <v>0.12788152454317575</v>
      </c>
      <c r="U586">
        <f t="shared" si="65"/>
        <v>816.84323801953508</v>
      </c>
    </row>
    <row r="587" spans="5:21" x14ac:dyDescent="0.2">
      <c r="F587" t="s">
        <v>120</v>
      </c>
      <c r="H587">
        <v>91.25</v>
      </c>
      <c r="I587">
        <v>40</v>
      </c>
      <c r="J587">
        <v>0</v>
      </c>
      <c r="K587">
        <v>0</v>
      </c>
      <c r="L587">
        <v>0</v>
      </c>
      <c r="N587">
        <v>326</v>
      </c>
      <c r="P587">
        <v>0.64</v>
      </c>
      <c r="Q587">
        <f t="shared" ref="Q587:Q600" si="70">(J587 * $AD$4 + K587*$AD$5) + (1 - J587 )</f>
        <v>1</v>
      </c>
      <c r="S587">
        <f t="shared" si="67"/>
        <v>6.7097701359417616</v>
      </c>
      <c r="T587">
        <f t="shared" si="68"/>
        <v>0.13889224181399448</v>
      </c>
      <c r="U587">
        <f t="shared" si="65"/>
        <v>506.95668262107984</v>
      </c>
    </row>
    <row r="588" spans="5:21" x14ac:dyDescent="0.2">
      <c r="F588" t="s">
        <v>121</v>
      </c>
      <c r="H588">
        <v>91.25</v>
      </c>
      <c r="I588">
        <v>20</v>
      </c>
      <c r="J588">
        <v>0</v>
      </c>
      <c r="K588">
        <v>0</v>
      </c>
      <c r="L588">
        <v>0</v>
      </c>
      <c r="N588">
        <v>421</v>
      </c>
      <c r="P588">
        <v>0.71</v>
      </c>
      <c r="Q588">
        <f t="shared" si="70"/>
        <v>1</v>
      </c>
      <c r="S588">
        <f t="shared" si="67"/>
        <v>8.1748153478995587</v>
      </c>
      <c r="T588">
        <f t="shared" si="68"/>
        <v>0.16921867770152085</v>
      </c>
      <c r="U588">
        <f t="shared" si="65"/>
        <v>308.82408680527556</v>
      </c>
    </row>
    <row r="589" spans="5:21" x14ac:dyDescent="0.2">
      <c r="E589" t="s">
        <v>171</v>
      </c>
      <c r="F589" t="s">
        <v>117</v>
      </c>
      <c r="H589">
        <v>91.25</v>
      </c>
      <c r="I589">
        <v>30</v>
      </c>
      <c r="J589">
        <v>0</v>
      </c>
      <c r="K589">
        <v>0</v>
      </c>
      <c r="L589">
        <v>0</v>
      </c>
      <c r="N589">
        <v>551</v>
      </c>
      <c r="P589">
        <v>0.19</v>
      </c>
      <c r="Q589">
        <f t="shared" si="70"/>
        <v>1</v>
      </c>
      <c r="S589">
        <f t="shared" si="67"/>
        <v>8.7440110443507599</v>
      </c>
      <c r="T589">
        <f t="shared" si="68"/>
        <v>0.18100102861806072</v>
      </c>
      <c r="U589">
        <f t="shared" si="65"/>
        <v>495.49031584194125</v>
      </c>
    </row>
    <row r="590" spans="5:21" x14ac:dyDescent="0.2">
      <c r="E590" t="s">
        <v>238</v>
      </c>
      <c r="F590" t="s">
        <v>119</v>
      </c>
      <c r="H590">
        <v>91.25</v>
      </c>
      <c r="I590">
        <v>100</v>
      </c>
      <c r="J590">
        <v>0</v>
      </c>
      <c r="K590">
        <v>0</v>
      </c>
      <c r="L590">
        <v>0</v>
      </c>
      <c r="N590">
        <v>521</v>
      </c>
      <c r="P590">
        <v>0.36</v>
      </c>
      <c r="Q590">
        <f t="shared" si="70"/>
        <v>1</v>
      </c>
      <c r="S590">
        <f t="shared" si="67"/>
        <v>8.7497249544435594</v>
      </c>
      <c r="T590">
        <f t="shared" si="68"/>
        <v>0.18111930655698169</v>
      </c>
      <c r="U590">
        <f t="shared" si="65"/>
        <v>1652.7136723324577</v>
      </c>
    </row>
    <row r="591" spans="5:21" x14ac:dyDescent="0.2">
      <c r="F591" t="s">
        <v>120</v>
      </c>
      <c r="H591">
        <v>91.25</v>
      </c>
      <c r="I591">
        <v>40</v>
      </c>
      <c r="J591">
        <v>0</v>
      </c>
      <c r="K591">
        <v>0</v>
      </c>
      <c r="L591">
        <v>0</v>
      </c>
      <c r="N591">
        <v>520</v>
      </c>
      <c r="P591">
        <v>-0.05</v>
      </c>
      <c r="Q591">
        <f t="shared" si="70"/>
        <v>1</v>
      </c>
      <c r="S591">
        <f t="shared" si="67"/>
        <v>7.9919855400999973</v>
      </c>
      <c r="T591">
        <f t="shared" si="68"/>
        <v>0.16543410068006995</v>
      </c>
      <c r="U591">
        <f t="shared" si="65"/>
        <v>603.83446748225526</v>
      </c>
    </row>
    <row r="592" spans="5:21" x14ac:dyDescent="0.2">
      <c r="F592" t="s">
        <v>121</v>
      </c>
      <c r="H592">
        <v>91.25</v>
      </c>
      <c r="I592">
        <v>0</v>
      </c>
      <c r="J592">
        <v>0</v>
      </c>
      <c r="K592">
        <v>0</v>
      </c>
      <c r="L592">
        <v>0</v>
      </c>
      <c r="N592">
        <v>512</v>
      </c>
      <c r="P592">
        <v>0.17</v>
      </c>
      <c r="Q592">
        <f t="shared" si="70"/>
        <v>1</v>
      </c>
      <c r="S592">
        <f t="shared" si="67"/>
        <v>8.3027863747713582</v>
      </c>
      <c r="T592">
        <f t="shared" si="68"/>
        <v>0.17186767795776711</v>
      </c>
      <c r="U592">
        <f t="shared" si="65"/>
        <v>0</v>
      </c>
    </row>
    <row r="593" spans="1:21" x14ac:dyDescent="0.2">
      <c r="E593" t="s">
        <v>164</v>
      </c>
      <c r="F593" t="s">
        <v>117</v>
      </c>
      <c r="H593">
        <v>91.25</v>
      </c>
      <c r="I593">
        <v>20</v>
      </c>
      <c r="J593">
        <v>0</v>
      </c>
      <c r="K593">
        <v>0</v>
      </c>
      <c r="L593">
        <v>0</v>
      </c>
      <c r="N593">
        <v>234</v>
      </c>
      <c r="P593">
        <v>0.52</v>
      </c>
      <c r="Q593">
        <f t="shared" si="70"/>
        <v>1</v>
      </c>
      <c r="S593">
        <f t="shared" si="67"/>
        <v>5.1474280294713601</v>
      </c>
      <c r="T593">
        <f t="shared" si="68"/>
        <v>0.10655176021005716</v>
      </c>
      <c r="U593">
        <f t="shared" si="65"/>
        <v>194.45696238335432</v>
      </c>
    </row>
    <row r="594" spans="1:21" x14ac:dyDescent="0.2">
      <c r="E594">
        <v>6</v>
      </c>
      <c r="F594" t="s">
        <v>119</v>
      </c>
      <c r="H594">
        <v>91.25</v>
      </c>
      <c r="I594">
        <v>40</v>
      </c>
      <c r="J594">
        <v>0</v>
      </c>
      <c r="K594">
        <v>0</v>
      </c>
      <c r="L594">
        <v>0</v>
      </c>
      <c r="N594">
        <v>111</v>
      </c>
      <c r="P594">
        <v>0.84</v>
      </c>
      <c r="Q594">
        <f t="shared" si="70"/>
        <v>1</v>
      </c>
      <c r="S594">
        <f t="shared" si="67"/>
        <v>3.69218300222916</v>
      </c>
      <c r="T594">
        <f t="shared" si="68"/>
        <v>7.6428188146143619E-2</v>
      </c>
      <c r="U594">
        <f t="shared" si="65"/>
        <v>278.96288673342423</v>
      </c>
    </row>
    <row r="595" spans="1:21" x14ac:dyDescent="0.2">
      <c r="F595" t="s">
        <v>120</v>
      </c>
      <c r="H595">
        <v>91.25</v>
      </c>
      <c r="I595">
        <v>35</v>
      </c>
      <c r="J595">
        <v>0</v>
      </c>
      <c r="K595">
        <v>0</v>
      </c>
      <c r="L595">
        <v>0</v>
      </c>
      <c r="N595">
        <v>188</v>
      </c>
      <c r="P595">
        <v>0.54</v>
      </c>
      <c r="Q595">
        <f t="shared" si="70"/>
        <v>1</v>
      </c>
      <c r="S595">
        <f t="shared" si="67"/>
        <v>4.4805272656953603</v>
      </c>
      <c r="T595">
        <f t="shared" si="68"/>
        <v>9.2746914399893951E-2</v>
      </c>
      <c r="U595">
        <f t="shared" si="65"/>
        <v>296.21045786466129</v>
      </c>
    </row>
    <row r="596" spans="1:21" x14ac:dyDescent="0.2">
      <c r="F596" t="s">
        <v>121</v>
      </c>
      <c r="H596">
        <v>91.25</v>
      </c>
      <c r="I596">
        <v>30</v>
      </c>
      <c r="J596">
        <v>0</v>
      </c>
      <c r="K596">
        <v>0</v>
      </c>
      <c r="L596">
        <v>0</v>
      </c>
      <c r="N596">
        <v>209</v>
      </c>
      <c r="P596">
        <v>0.25</v>
      </c>
      <c r="Q596">
        <f t="shared" si="70"/>
        <v>1</v>
      </c>
      <c r="S596">
        <f t="shared" si="67"/>
        <v>4.4059664027523588</v>
      </c>
      <c r="T596">
        <f t="shared" si="68"/>
        <v>9.1203504536973831E-2</v>
      </c>
      <c r="U596">
        <f t="shared" si="65"/>
        <v>249.66959366996588</v>
      </c>
    </row>
    <row r="597" spans="1:21" x14ac:dyDescent="0.2">
      <c r="E597" t="s">
        <v>176</v>
      </c>
      <c r="F597" t="s">
        <v>117</v>
      </c>
      <c r="H597">
        <v>91.25</v>
      </c>
      <c r="I597">
        <v>30</v>
      </c>
      <c r="J597">
        <v>0</v>
      </c>
      <c r="K597">
        <v>0</v>
      </c>
      <c r="L597">
        <v>0</v>
      </c>
      <c r="N597">
        <v>660</v>
      </c>
      <c r="P597">
        <v>0.6</v>
      </c>
      <c r="Q597">
        <f t="shared" si="70"/>
        <v>1</v>
      </c>
      <c r="S597">
        <f t="shared" si="67"/>
        <v>10.483607865600002</v>
      </c>
      <c r="T597">
        <f t="shared" si="68"/>
        <v>0.21701068281792002</v>
      </c>
      <c r="U597">
        <f t="shared" si="65"/>
        <v>594.06674421405603</v>
      </c>
    </row>
    <row r="598" spans="1:21" x14ac:dyDescent="0.2">
      <c r="E598" t="s">
        <v>239</v>
      </c>
      <c r="F598" t="s">
        <v>119</v>
      </c>
      <c r="H598">
        <v>91.25</v>
      </c>
      <c r="I598">
        <v>35</v>
      </c>
      <c r="J598">
        <v>0</v>
      </c>
      <c r="K598">
        <v>0</v>
      </c>
      <c r="L598">
        <v>0</v>
      </c>
      <c r="N598">
        <v>547</v>
      </c>
      <c r="P598">
        <v>0.17</v>
      </c>
      <c r="Q598">
        <f t="shared" si="70"/>
        <v>1</v>
      </c>
      <c r="S598">
        <f t="shared" si="67"/>
        <v>8.6670571009795605</v>
      </c>
      <c r="T598">
        <f t="shared" si="68"/>
        <v>0.17940808199027689</v>
      </c>
      <c r="U598">
        <f t="shared" si="65"/>
        <v>572.98456185644682</v>
      </c>
    </row>
    <row r="599" spans="1:21" x14ac:dyDescent="0.2">
      <c r="F599" t="s">
        <v>120</v>
      </c>
      <c r="H599">
        <v>91.25</v>
      </c>
      <c r="I599">
        <v>20</v>
      </c>
      <c r="J599">
        <v>0</v>
      </c>
      <c r="K599">
        <v>0</v>
      </c>
      <c r="L599">
        <v>0</v>
      </c>
      <c r="N599">
        <v>582</v>
      </c>
      <c r="P599">
        <v>0.32</v>
      </c>
      <c r="Q599">
        <f t="shared" si="70"/>
        <v>1</v>
      </c>
      <c r="S599">
        <f t="shared" si="67"/>
        <v>9.2866321324857601</v>
      </c>
      <c r="T599">
        <f t="shared" si="68"/>
        <v>0.19223328514245525</v>
      </c>
      <c r="U599">
        <f t="shared" si="65"/>
        <v>350.82574538498079</v>
      </c>
    </row>
    <row r="600" spans="1:21" x14ac:dyDescent="0.2">
      <c r="F600" t="s">
        <v>121</v>
      </c>
      <c r="H600">
        <v>91.25</v>
      </c>
      <c r="I600">
        <v>0</v>
      </c>
      <c r="J600">
        <v>0</v>
      </c>
      <c r="K600">
        <v>0</v>
      </c>
      <c r="L600">
        <v>0</v>
      </c>
      <c r="N600">
        <v>605</v>
      </c>
      <c r="P600">
        <v>0.43</v>
      </c>
      <c r="Q600">
        <f t="shared" si="70"/>
        <v>1</v>
      </c>
      <c r="S600">
        <f t="shared" si="67"/>
        <v>9.7062467852249998</v>
      </c>
      <c r="T600">
        <f t="shared" si="68"/>
        <v>0.20091930845415748</v>
      </c>
      <c r="U600">
        <f t="shared" si="65"/>
        <v>0</v>
      </c>
    </row>
    <row r="605" spans="1:21" x14ac:dyDescent="0.2">
      <c r="A605" s="9" t="s">
        <v>262</v>
      </c>
    </row>
    <row r="610" spans="1:22" x14ac:dyDescent="0.2">
      <c r="A610" t="s">
        <v>312</v>
      </c>
    </row>
    <row r="611" spans="1:22" x14ac:dyDescent="0.2">
      <c r="A611" t="s">
        <v>311</v>
      </c>
      <c r="B611" t="s">
        <v>232</v>
      </c>
      <c r="C611" t="s">
        <v>262</v>
      </c>
      <c r="D611" t="s">
        <v>262</v>
      </c>
      <c r="E611" t="s">
        <v>116</v>
      </c>
      <c r="F611" t="s">
        <v>117</v>
      </c>
      <c r="H611">
        <v>91.25</v>
      </c>
      <c r="I611">
        <v>50</v>
      </c>
      <c r="J611">
        <v>0</v>
      </c>
      <c r="K611">
        <v>0</v>
      </c>
      <c r="L611">
        <v>0</v>
      </c>
      <c r="N611" s="32" cm="1">
        <f t="array" ref="N611:N650">_xlfn.DROP(_xlfn.XLOOKUP($C611,TableW[[#Headers],[ACT/NSW]:[QLD - Low]],TableW[[#All],[ACT/NSW]:[QLD - Low]]),1)</f>
        <v>230</v>
      </c>
      <c r="P611" cm="1">
        <f t="array" ref="P611:P650">_xlfn.DROP(_xlfn.XLOOKUP($C611,TableLWG[[#Headers],[ACT/NSW]:[QLD - Low]],TableLWG[[#All],[ACT/NSW]:[QLD - Low]]),1)</f>
        <v>-0.12</v>
      </c>
      <c r="Q611">
        <f>(J611 * $AD$4 + K611*$AD$5) + (1 - J611 )</f>
        <v>1</v>
      </c>
      <c r="S611">
        <f>(1.185 + 0.00454 * N611- 0.0000026 * N611^2 + 0.315 * P611 )^2 * Q611</f>
        <v>4.2183408996000011</v>
      </c>
      <c r="T611">
        <f>20.7 * S611 * 10^-3</f>
        <v>8.7319656621720018E-2</v>
      </c>
      <c r="U611">
        <f t="shared" ref="U611:U650" si="71">H611*T611*I611</f>
        <v>398.39593333659758</v>
      </c>
      <c r="V611">
        <f>SUM(U611:U650)/1000</f>
        <v>41.513791886009763</v>
      </c>
    </row>
    <row r="612" spans="1:22" x14ac:dyDescent="0.2">
      <c r="E612">
        <v>1</v>
      </c>
      <c r="F612" t="s">
        <v>119</v>
      </c>
      <c r="H612">
        <v>91.25</v>
      </c>
      <c r="I612">
        <v>100</v>
      </c>
      <c r="J612">
        <v>0</v>
      </c>
      <c r="K612">
        <v>0</v>
      </c>
      <c r="L612">
        <v>0</v>
      </c>
      <c r="N612">
        <v>113</v>
      </c>
      <c r="P612">
        <v>0.65</v>
      </c>
      <c r="Q612">
        <f t="shared" ref="Q612:Q622" si="72">(J612 * $AD$4 + K612*$AD$5) + (1 - J612 )</f>
        <v>1</v>
      </c>
      <c r="S612">
        <f t="shared" ref="S612:S650" si="73">(1.185 + 0.00454 * N612- 0.0000026 * N612^2 + 0.315 * P612 )^2 * Q612</f>
        <v>3.4952942283843602</v>
      </c>
      <c r="T612">
        <f t="shared" ref="T612:T650" si="74">20.7 * S612 * 10^-3</f>
        <v>7.2352590527556257E-2</v>
      </c>
      <c r="U612">
        <f t="shared" si="71"/>
        <v>660.21738856395075</v>
      </c>
    </row>
    <row r="613" spans="1:22" x14ac:dyDescent="0.2">
      <c r="F613" t="s">
        <v>120</v>
      </c>
      <c r="H613">
        <v>91.25</v>
      </c>
      <c r="I613">
        <v>80</v>
      </c>
      <c r="J613">
        <v>0</v>
      </c>
      <c r="K613">
        <v>0</v>
      </c>
      <c r="L613">
        <v>0</v>
      </c>
      <c r="N613">
        <v>172</v>
      </c>
      <c r="P613">
        <v>0.7</v>
      </c>
      <c r="Q613">
        <f t="shared" si="72"/>
        <v>1</v>
      </c>
      <c r="S613">
        <f t="shared" si="73"/>
        <v>4.4498282418745596</v>
      </c>
      <c r="T613">
        <f t="shared" si="74"/>
        <v>9.2111444606803372E-2</v>
      </c>
      <c r="U613">
        <f t="shared" si="71"/>
        <v>672.41354562966467</v>
      </c>
    </row>
    <row r="614" spans="1:22" x14ac:dyDescent="0.2">
      <c r="F614" t="s">
        <v>121</v>
      </c>
      <c r="H614">
        <v>91.25</v>
      </c>
      <c r="I614">
        <v>70</v>
      </c>
      <c r="J614">
        <v>0</v>
      </c>
      <c r="K614">
        <v>0</v>
      </c>
      <c r="L614">
        <v>0</v>
      </c>
      <c r="N614">
        <v>241</v>
      </c>
      <c r="P614">
        <v>0.32</v>
      </c>
      <c r="Q614">
        <f t="shared" si="72"/>
        <v>1</v>
      </c>
      <c r="S614">
        <f t="shared" si="73"/>
        <v>4.9681262701843592</v>
      </c>
      <c r="T614">
        <f t="shared" si="74"/>
        <v>0.10284021379281623</v>
      </c>
      <c r="U614">
        <f t="shared" si="71"/>
        <v>656.89186560161363</v>
      </c>
    </row>
    <row r="615" spans="1:22" x14ac:dyDescent="0.2">
      <c r="E615" t="s">
        <v>122</v>
      </c>
      <c r="F615" t="s">
        <v>117</v>
      </c>
      <c r="H615">
        <v>91.25</v>
      </c>
      <c r="I615">
        <v>20</v>
      </c>
      <c r="J615">
        <v>0</v>
      </c>
      <c r="K615">
        <v>0</v>
      </c>
      <c r="L615">
        <v>0</v>
      </c>
      <c r="N615">
        <v>674</v>
      </c>
      <c r="P615">
        <v>-0.19</v>
      </c>
      <c r="Q615">
        <f t="shared" si="72"/>
        <v>1</v>
      </c>
      <c r="S615">
        <f t="shared" si="73"/>
        <v>9.0239703392577582</v>
      </c>
      <c r="T615">
        <f t="shared" si="74"/>
        <v>0.18679618602263559</v>
      </c>
      <c r="U615">
        <f t="shared" si="71"/>
        <v>340.90303949130998</v>
      </c>
    </row>
    <row r="616" spans="1:22" x14ac:dyDescent="0.2">
      <c r="E616">
        <v>2</v>
      </c>
      <c r="F616" t="s">
        <v>119</v>
      </c>
      <c r="H616">
        <v>91.25</v>
      </c>
      <c r="I616">
        <v>80</v>
      </c>
      <c r="J616">
        <v>0</v>
      </c>
      <c r="K616">
        <v>0</v>
      </c>
      <c r="L616">
        <v>0</v>
      </c>
      <c r="N616">
        <v>669</v>
      </c>
      <c r="P616">
        <v>0.19</v>
      </c>
      <c r="Q616">
        <f t="shared" si="72"/>
        <v>1</v>
      </c>
      <c r="S616">
        <f t="shared" si="73"/>
        <v>9.7247391341619629</v>
      </c>
      <c r="T616">
        <f t="shared" si="74"/>
        <v>0.20130210007715263</v>
      </c>
      <c r="U616">
        <f t="shared" si="71"/>
        <v>1469.5053305632143</v>
      </c>
    </row>
    <row r="617" spans="1:22" x14ac:dyDescent="0.2">
      <c r="F617" t="s">
        <v>120</v>
      </c>
      <c r="H617">
        <v>91.25</v>
      </c>
      <c r="I617">
        <v>70</v>
      </c>
      <c r="J617">
        <v>0</v>
      </c>
      <c r="K617">
        <v>0</v>
      </c>
      <c r="L617">
        <v>0</v>
      </c>
      <c r="N617">
        <v>685</v>
      </c>
      <c r="P617">
        <v>0.13</v>
      </c>
      <c r="Q617">
        <f t="shared" si="72"/>
        <v>1</v>
      </c>
      <c r="S617">
        <f t="shared" si="73"/>
        <v>9.7086146982249986</v>
      </c>
      <c r="T617">
        <f t="shared" si="74"/>
        <v>0.20096832425325747</v>
      </c>
      <c r="U617">
        <f t="shared" si="71"/>
        <v>1283.685171167682</v>
      </c>
    </row>
    <row r="618" spans="1:22" x14ac:dyDescent="0.2">
      <c r="F618" t="s">
        <v>121</v>
      </c>
      <c r="H618">
        <v>91.25</v>
      </c>
      <c r="I618">
        <v>60</v>
      </c>
      <c r="J618">
        <v>0</v>
      </c>
      <c r="K618">
        <v>0</v>
      </c>
      <c r="L618">
        <v>0</v>
      </c>
      <c r="N618">
        <v>692</v>
      </c>
      <c r="P618">
        <v>-0.06</v>
      </c>
      <c r="Q618">
        <f t="shared" si="72"/>
        <v>1</v>
      </c>
      <c r="S618">
        <f t="shared" si="73"/>
        <v>9.380337104568957</v>
      </c>
      <c r="T618">
        <f t="shared" si="74"/>
        <v>0.1941729780645774</v>
      </c>
      <c r="U618">
        <f t="shared" si="71"/>
        <v>1063.0970549035612</v>
      </c>
    </row>
    <row r="619" spans="1:22" x14ac:dyDescent="0.2">
      <c r="E619" t="s">
        <v>146</v>
      </c>
      <c r="F619" t="s">
        <v>117</v>
      </c>
      <c r="H619">
        <v>91.25</v>
      </c>
      <c r="I619">
        <v>100</v>
      </c>
      <c r="J619">
        <v>0</v>
      </c>
      <c r="K619">
        <v>0</v>
      </c>
      <c r="L619">
        <v>0</v>
      </c>
      <c r="N619">
        <v>344</v>
      </c>
      <c r="P619">
        <v>0.09</v>
      </c>
      <c r="Q619">
        <f t="shared" si="72"/>
        <v>1</v>
      </c>
      <c r="S619">
        <f t="shared" si="73"/>
        <v>6.0882423880449599</v>
      </c>
      <c r="T619">
        <f t="shared" si="74"/>
        <v>0.12602661743253069</v>
      </c>
      <c r="U619">
        <f t="shared" si="71"/>
        <v>1149.9928840718426</v>
      </c>
    </row>
    <row r="620" spans="1:22" x14ac:dyDescent="0.2">
      <c r="E620">
        <v>4</v>
      </c>
      <c r="F620" t="s">
        <v>119</v>
      </c>
      <c r="H620">
        <v>91.25</v>
      </c>
      <c r="I620">
        <v>180</v>
      </c>
      <c r="J620">
        <v>0</v>
      </c>
      <c r="K620">
        <v>0</v>
      </c>
      <c r="L620">
        <v>0</v>
      </c>
      <c r="N620">
        <v>283</v>
      </c>
      <c r="P620">
        <v>0.51</v>
      </c>
      <c r="Q620">
        <f t="shared" si="72"/>
        <v>1</v>
      </c>
      <c r="S620">
        <f t="shared" si="73"/>
        <v>5.8672398353299604</v>
      </c>
      <c r="T620">
        <f t="shared" si="74"/>
        <v>0.12145186459133019</v>
      </c>
      <c r="U620">
        <f t="shared" si="71"/>
        <v>1994.8468759125983</v>
      </c>
    </row>
    <row r="621" spans="1:22" x14ac:dyDescent="0.2">
      <c r="F621" t="s">
        <v>120</v>
      </c>
      <c r="H621">
        <v>91.25</v>
      </c>
      <c r="I621">
        <v>170</v>
      </c>
      <c r="J621">
        <v>0</v>
      </c>
      <c r="K621">
        <v>0</v>
      </c>
      <c r="L621">
        <v>0</v>
      </c>
      <c r="N621">
        <v>309</v>
      </c>
      <c r="P621">
        <v>0.34</v>
      </c>
      <c r="Q621">
        <f t="shared" si="72"/>
        <v>1</v>
      </c>
      <c r="S621">
        <f t="shared" si="73"/>
        <v>5.9863868880483606</v>
      </c>
      <c r="T621">
        <f t="shared" si="74"/>
        <v>0.12391820858260105</v>
      </c>
      <c r="U621">
        <f t="shared" si="71"/>
        <v>1922.2812106375986</v>
      </c>
    </row>
    <row r="622" spans="1:22" x14ac:dyDescent="0.2">
      <c r="F622" t="s">
        <v>121</v>
      </c>
      <c r="H622">
        <v>91.25</v>
      </c>
      <c r="I622">
        <v>160</v>
      </c>
      <c r="J622">
        <v>0</v>
      </c>
      <c r="K622">
        <v>0</v>
      </c>
      <c r="L622">
        <v>0</v>
      </c>
      <c r="N622">
        <v>344</v>
      </c>
      <c r="P622">
        <v>0.19</v>
      </c>
      <c r="Q622">
        <f t="shared" si="72"/>
        <v>1</v>
      </c>
      <c r="S622">
        <f t="shared" si="73"/>
        <v>6.2446831312449591</v>
      </c>
      <c r="T622">
        <f t="shared" si="74"/>
        <v>0.12926494081677067</v>
      </c>
      <c r="U622">
        <f t="shared" si="71"/>
        <v>1887.2681359248518</v>
      </c>
    </row>
    <row r="623" spans="1:22" x14ac:dyDescent="0.2">
      <c r="E623" t="s">
        <v>152</v>
      </c>
      <c r="F623" t="s">
        <v>117</v>
      </c>
      <c r="H623">
        <v>91.25</v>
      </c>
      <c r="I623">
        <v>150</v>
      </c>
      <c r="J623">
        <v>0</v>
      </c>
      <c r="K623">
        <v>0</v>
      </c>
      <c r="L623">
        <f>$AC$12</f>
        <v>1.3</v>
      </c>
      <c r="N623">
        <v>357</v>
      </c>
      <c r="P623">
        <v>0.41</v>
      </c>
      <c r="Q623">
        <f>(J623 * $AD$4 +K623* $AD$5) + (1 -J623 - K623 )</f>
        <v>1</v>
      </c>
      <c r="S623">
        <f t="shared" si="73"/>
        <v>6.7785382121187601</v>
      </c>
      <c r="T623">
        <f t="shared" si="74"/>
        <v>0.14031574099085833</v>
      </c>
      <c r="U623">
        <f t="shared" si="71"/>
        <v>1920.5717048123736</v>
      </c>
    </row>
    <row r="624" spans="1:22" x14ac:dyDescent="0.2">
      <c r="E624" t="s">
        <v>235</v>
      </c>
      <c r="F624" t="s">
        <v>119</v>
      </c>
      <c r="H624">
        <v>91.25</v>
      </c>
      <c r="I624">
        <v>250</v>
      </c>
      <c r="J624">
        <v>0</v>
      </c>
      <c r="K624">
        <v>0</v>
      </c>
      <c r="L624">
        <f>$AC$13</f>
        <v>1.1000000000000001</v>
      </c>
      <c r="N624">
        <v>361</v>
      </c>
      <c r="P624">
        <v>0.18</v>
      </c>
      <c r="Q624">
        <f t="shared" ref="Q624:Q636" si="75">(J624 * $AD$4 +K624* $AD$5) + (1 -J624 - K624 )</f>
        <v>1</v>
      </c>
      <c r="S624">
        <f t="shared" si="73"/>
        <v>6.4607746914691617</v>
      </c>
      <c r="T624">
        <f t="shared" si="74"/>
        <v>0.13373803611341165</v>
      </c>
      <c r="U624">
        <f t="shared" si="71"/>
        <v>3050.8989488372031</v>
      </c>
    </row>
    <row r="625" spans="5:21" x14ac:dyDescent="0.2">
      <c r="F625" t="s">
        <v>120</v>
      </c>
      <c r="H625">
        <v>91.25</v>
      </c>
      <c r="I625">
        <v>240</v>
      </c>
      <c r="J625">
        <v>0</v>
      </c>
      <c r="K625">
        <v>0</v>
      </c>
      <c r="L625">
        <f>$AC$14</f>
        <v>0</v>
      </c>
      <c r="N625">
        <v>376</v>
      </c>
      <c r="P625">
        <v>0.02</v>
      </c>
      <c r="Q625">
        <f t="shared" si="75"/>
        <v>1</v>
      </c>
      <c r="S625">
        <f t="shared" si="73"/>
        <v>6.4047583252537574</v>
      </c>
      <c r="T625">
        <f t="shared" si="74"/>
        <v>0.13257849733275276</v>
      </c>
      <c r="U625">
        <f t="shared" si="71"/>
        <v>2903.4690915872852</v>
      </c>
    </row>
    <row r="626" spans="5:21" x14ac:dyDescent="0.2">
      <c r="F626" t="s">
        <v>121</v>
      </c>
      <c r="H626">
        <v>91.25</v>
      </c>
      <c r="I626">
        <v>200</v>
      </c>
      <c r="J626">
        <v>0</v>
      </c>
      <c r="K626">
        <v>0</v>
      </c>
      <c r="L626">
        <f>$AC$14</f>
        <v>0</v>
      </c>
      <c r="N626">
        <v>364</v>
      </c>
      <c r="P626">
        <v>-0.1</v>
      </c>
      <c r="Q626">
        <f t="shared" si="75"/>
        <v>1</v>
      </c>
      <c r="S626">
        <f t="shared" si="73"/>
        <v>6.0593288341561591</v>
      </c>
      <c r="T626">
        <f t="shared" si="74"/>
        <v>0.12542810686703249</v>
      </c>
      <c r="U626">
        <f t="shared" si="71"/>
        <v>2289.0629503233426</v>
      </c>
    </row>
    <row r="627" spans="5:21" x14ac:dyDescent="0.2">
      <c r="E627" t="s">
        <v>141</v>
      </c>
      <c r="F627" t="s">
        <v>117</v>
      </c>
      <c r="H627">
        <v>91.25</v>
      </c>
      <c r="I627">
        <v>100</v>
      </c>
      <c r="J627">
        <v>0</v>
      </c>
      <c r="K627">
        <v>0</v>
      </c>
      <c r="L627">
        <v>0</v>
      </c>
      <c r="N627">
        <v>217</v>
      </c>
      <c r="P627">
        <v>0.41</v>
      </c>
      <c r="Q627">
        <f t="shared" si="75"/>
        <v>1</v>
      </c>
      <c r="S627">
        <f t="shared" si="73"/>
        <v>4.7388875146819611</v>
      </c>
      <c r="T627">
        <f t="shared" si="74"/>
        <v>9.8094971553916596E-2</v>
      </c>
      <c r="U627">
        <f t="shared" si="71"/>
        <v>895.11661542948889</v>
      </c>
    </row>
    <row r="628" spans="5:21" x14ac:dyDescent="0.2">
      <c r="E628">
        <v>3</v>
      </c>
      <c r="F628" t="s">
        <v>119</v>
      </c>
      <c r="H628">
        <v>91.25</v>
      </c>
      <c r="I628">
        <v>190</v>
      </c>
      <c r="J628">
        <v>0</v>
      </c>
      <c r="K628">
        <v>0</v>
      </c>
      <c r="L628">
        <v>0</v>
      </c>
      <c r="N628">
        <v>113</v>
      </c>
      <c r="P628">
        <v>0.65</v>
      </c>
      <c r="Q628">
        <f t="shared" si="75"/>
        <v>1</v>
      </c>
      <c r="S628">
        <f t="shared" si="73"/>
        <v>3.4952942283843602</v>
      </c>
      <c r="T628">
        <f t="shared" si="74"/>
        <v>7.2352590527556257E-2</v>
      </c>
      <c r="U628">
        <f t="shared" si="71"/>
        <v>1254.4130382715066</v>
      </c>
    </row>
    <row r="629" spans="5:21" x14ac:dyDescent="0.2">
      <c r="F629" t="s">
        <v>120</v>
      </c>
      <c r="H629">
        <v>91.25</v>
      </c>
      <c r="I629">
        <v>195</v>
      </c>
      <c r="J629">
        <v>0</v>
      </c>
      <c r="K629">
        <v>0</v>
      </c>
      <c r="L629">
        <v>0</v>
      </c>
      <c r="N629">
        <v>172</v>
      </c>
      <c r="P629">
        <v>0.52</v>
      </c>
      <c r="Q629">
        <f t="shared" si="75"/>
        <v>1</v>
      </c>
      <c r="S629">
        <f t="shared" si="73"/>
        <v>4.2138301864345591</v>
      </c>
      <c r="T629">
        <f t="shared" si="74"/>
        <v>8.7226284859195383E-2</v>
      </c>
      <c r="U629">
        <f t="shared" si="71"/>
        <v>1552.0827062133078</v>
      </c>
    </row>
    <row r="630" spans="5:21" x14ac:dyDescent="0.2">
      <c r="F630" t="s">
        <v>121</v>
      </c>
      <c r="H630">
        <v>91.25</v>
      </c>
      <c r="I630">
        <v>200</v>
      </c>
      <c r="J630">
        <v>0</v>
      </c>
      <c r="K630">
        <v>0</v>
      </c>
      <c r="L630">
        <v>0</v>
      </c>
      <c r="N630">
        <v>208</v>
      </c>
      <c r="P630">
        <v>0.25</v>
      </c>
      <c r="Q630">
        <f t="shared" si="75"/>
        <v>1</v>
      </c>
      <c r="S630">
        <f t="shared" si="73"/>
        <v>4.3914706245889592</v>
      </c>
      <c r="T630">
        <f t="shared" si="74"/>
        <v>9.0903441928991455E-2</v>
      </c>
      <c r="U630">
        <f t="shared" si="71"/>
        <v>1658.9878152040942</v>
      </c>
    </row>
    <row r="631" spans="5:21" x14ac:dyDescent="0.2">
      <c r="E631" t="s">
        <v>156</v>
      </c>
      <c r="F631" t="s">
        <v>117</v>
      </c>
      <c r="H631">
        <v>91.25</v>
      </c>
      <c r="I631">
        <v>50</v>
      </c>
      <c r="J631">
        <v>0</v>
      </c>
      <c r="K631">
        <v>0</v>
      </c>
      <c r="L631">
        <f>$AC$12</f>
        <v>1.3</v>
      </c>
      <c r="N631">
        <v>467</v>
      </c>
      <c r="P631">
        <v>-0.19</v>
      </c>
      <c r="Q631">
        <f t="shared" si="75"/>
        <v>1</v>
      </c>
      <c r="S631">
        <f t="shared" si="73"/>
        <v>7.1732833907619584</v>
      </c>
      <c r="T631">
        <f t="shared" si="74"/>
        <v>0.14848696618877252</v>
      </c>
      <c r="U631">
        <f t="shared" si="71"/>
        <v>677.47178323627463</v>
      </c>
    </row>
    <row r="632" spans="5:21" x14ac:dyDescent="0.2">
      <c r="E632" t="s">
        <v>236</v>
      </c>
      <c r="F632" t="s">
        <v>119</v>
      </c>
      <c r="H632">
        <v>91.25</v>
      </c>
      <c r="I632">
        <v>100</v>
      </c>
      <c r="J632">
        <v>0</v>
      </c>
      <c r="K632">
        <v>0</v>
      </c>
      <c r="L632">
        <f>$AC$13</f>
        <v>1.1000000000000001</v>
      </c>
      <c r="N632">
        <v>477</v>
      </c>
      <c r="P632">
        <v>0.63</v>
      </c>
      <c r="Q632">
        <f t="shared" si="75"/>
        <v>1</v>
      </c>
      <c r="S632">
        <f t="shared" si="73"/>
        <v>8.7465377110611602</v>
      </c>
      <c r="T632">
        <f t="shared" si="74"/>
        <v>0.18105333061896603</v>
      </c>
      <c r="U632">
        <f t="shared" si="71"/>
        <v>1652.111641898065</v>
      </c>
    </row>
    <row r="633" spans="5:21" x14ac:dyDescent="0.2">
      <c r="F633" t="s">
        <v>120</v>
      </c>
      <c r="H633">
        <v>91.25</v>
      </c>
      <c r="I633">
        <v>90</v>
      </c>
      <c r="J633">
        <v>0</v>
      </c>
      <c r="K633">
        <v>0</v>
      </c>
      <c r="L633">
        <f>$AC$14</f>
        <v>0</v>
      </c>
      <c r="N633">
        <v>471</v>
      </c>
      <c r="P633">
        <v>0.04</v>
      </c>
      <c r="Q633">
        <f t="shared" si="75"/>
        <v>1</v>
      </c>
      <c r="S633">
        <f t="shared" si="73"/>
        <v>7.6129274847315589</v>
      </c>
      <c r="T633">
        <f t="shared" si="74"/>
        <v>0.15758759893394328</v>
      </c>
      <c r="U633">
        <f t="shared" si="71"/>
        <v>1294.1881562450092</v>
      </c>
    </row>
    <row r="634" spans="5:21" x14ac:dyDescent="0.2">
      <c r="F634" t="s">
        <v>121</v>
      </c>
      <c r="H634">
        <v>91.25</v>
      </c>
      <c r="I634">
        <v>80</v>
      </c>
      <c r="J634">
        <v>0</v>
      </c>
      <c r="K634">
        <v>0</v>
      </c>
      <c r="L634">
        <f>$AC$14</f>
        <v>0</v>
      </c>
      <c r="N634">
        <v>484</v>
      </c>
      <c r="P634">
        <v>-0.02</v>
      </c>
      <c r="Q634">
        <f t="shared" si="75"/>
        <v>1</v>
      </c>
      <c r="S634">
        <f t="shared" si="73"/>
        <v>7.6562580096313582</v>
      </c>
      <c r="T634">
        <f t="shared" si="74"/>
        <v>0.15848454079936911</v>
      </c>
      <c r="U634">
        <f t="shared" si="71"/>
        <v>1156.9371478353944</v>
      </c>
    </row>
    <row r="635" spans="5:21" x14ac:dyDescent="0.2">
      <c r="E635" t="s">
        <v>169</v>
      </c>
      <c r="F635" t="s">
        <v>117</v>
      </c>
      <c r="H635">
        <v>91.25</v>
      </c>
      <c r="I635">
        <v>30</v>
      </c>
      <c r="J635">
        <v>0</v>
      </c>
      <c r="K635">
        <v>0</v>
      </c>
      <c r="L635">
        <v>0</v>
      </c>
      <c r="N635">
        <v>370</v>
      </c>
      <c r="P635">
        <v>1.07</v>
      </c>
      <c r="Q635">
        <f t="shared" si="75"/>
        <v>1</v>
      </c>
      <c r="S635">
        <f t="shared" si="73"/>
        <v>8.0992037280999991</v>
      </c>
      <c r="T635">
        <f t="shared" si="74"/>
        <v>0.16765351717166999</v>
      </c>
      <c r="U635">
        <f t="shared" si="71"/>
        <v>458.95150325744657</v>
      </c>
    </row>
    <row r="636" spans="5:21" x14ac:dyDescent="0.2">
      <c r="E636" t="s">
        <v>237</v>
      </c>
      <c r="F636" t="s">
        <v>119</v>
      </c>
      <c r="H636">
        <v>91.25</v>
      </c>
      <c r="I636">
        <v>70</v>
      </c>
      <c r="J636">
        <v>0</v>
      </c>
      <c r="K636">
        <v>0</v>
      </c>
      <c r="L636">
        <v>0</v>
      </c>
      <c r="N636">
        <v>273</v>
      </c>
      <c r="P636">
        <v>0.48</v>
      </c>
      <c r="Q636">
        <f t="shared" si="75"/>
        <v>1</v>
      </c>
      <c r="S636">
        <f t="shared" si="73"/>
        <v>5.6731836985491597</v>
      </c>
      <c r="T636">
        <f t="shared" si="74"/>
        <v>0.11743490255996759</v>
      </c>
      <c r="U636">
        <f t="shared" si="71"/>
        <v>750.11544010179307</v>
      </c>
    </row>
    <row r="637" spans="5:21" x14ac:dyDescent="0.2">
      <c r="F637" t="s">
        <v>120</v>
      </c>
      <c r="H637">
        <v>91.25</v>
      </c>
      <c r="I637">
        <v>40</v>
      </c>
      <c r="J637">
        <v>0</v>
      </c>
      <c r="K637">
        <v>0</v>
      </c>
      <c r="L637">
        <v>0</v>
      </c>
      <c r="N637">
        <v>329</v>
      </c>
      <c r="P637">
        <v>0.42</v>
      </c>
      <c r="Q637">
        <f t="shared" ref="Q637:Q650" si="76">(J637 * $AD$4 + K637*$AD$5) + (1 - J637 )</f>
        <v>1</v>
      </c>
      <c r="S637">
        <f t="shared" si="73"/>
        <v>6.3985392217155583</v>
      </c>
      <c r="T637">
        <f t="shared" si="74"/>
        <v>0.13244976188951205</v>
      </c>
      <c r="U637">
        <f t="shared" si="71"/>
        <v>483.44163089671895</v>
      </c>
    </row>
    <row r="638" spans="5:21" x14ac:dyDescent="0.2">
      <c r="F638" t="s">
        <v>121</v>
      </c>
      <c r="H638">
        <v>91.25</v>
      </c>
      <c r="I638">
        <v>20</v>
      </c>
      <c r="J638">
        <v>0</v>
      </c>
      <c r="K638">
        <v>0</v>
      </c>
      <c r="L638">
        <v>0</v>
      </c>
      <c r="N638">
        <v>350</v>
      </c>
      <c r="P638">
        <v>0.23</v>
      </c>
      <c r="Q638">
        <f t="shared" si="76"/>
        <v>1</v>
      </c>
      <c r="S638">
        <f t="shared" si="73"/>
        <v>6.3905312024999983</v>
      </c>
      <c r="T638">
        <f t="shared" si="74"/>
        <v>0.13228399589174997</v>
      </c>
      <c r="U638">
        <f t="shared" si="71"/>
        <v>241.41829250244371</v>
      </c>
    </row>
    <row r="639" spans="5:21" x14ac:dyDescent="0.2">
      <c r="E639" t="s">
        <v>171</v>
      </c>
      <c r="F639" t="s">
        <v>117</v>
      </c>
      <c r="H639">
        <v>91.25</v>
      </c>
      <c r="I639">
        <v>30</v>
      </c>
      <c r="J639">
        <v>0</v>
      </c>
      <c r="K639">
        <v>0</v>
      </c>
      <c r="L639">
        <v>0</v>
      </c>
      <c r="N639">
        <v>550</v>
      </c>
      <c r="P639">
        <v>-0.08</v>
      </c>
      <c r="Q639">
        <f t="shared" si="76"/>
        <v>1</v>
      </c>
      <c r="S639">
        <f t="shared" si="73"/>
        <v>8.2386220900000016</v>
      </c>
      <c r="T639">
        <f t="shared" si="74"/>
        <v>0.17053947726300003</v>
      </c>
      <c r="U639">
        <f t="shared" si="71"/>
        <v>466.85181900746261</v>
      </c>
    </row>
    <row r="640" spans="5:21" x14ac:dyDescent="0.2">
      <c r="E640" t="s">
        <v>238</v>
      </c>
      <c r="F640" t="s">
        <v>119</v>
      </c>
      <c r="H640">
        <v>91.25</v>
      </c>
      <c r="I640">
        <v>100</v>
      </c>
      <c r="J640">
        <v>0</v>
      </c>
      <c r="K640">
        <v>0</v>
      </c>
      <c r="L640">
        <v>0</v>
      </c>
      <c r="N640">
        <v>545</v>
      </c>
      <c r="P640">
        <v>1.1200000000000001</v>
      </c>
      <c r="Q640">
        <f t="shared" si="76"/>
        <v>1</v>
      </c>
      <c r="S640">
        <f t="shared" si="73"/>
        <v>10.496530827225001</v>
      </c>
      <c r="T640">
        <f t="shared" si="74"/>
        <v>0.21727818812355754</v>
      </c>
      <c r="U640">
        <f t="shared" si="71"/>
        <v>1982.6634666274624</v>
      </c>
    </row>
    <row r="641" spans="1:21" x14ac:dyDescent="0.2">
      <c r="F641" t="s">
        <v>120</v>
      </c>
      <c r="H641">
        <v>91.25</v>
      </c>
      <c r="I641">
        <v>40</v>
      </c>
      <c r="J641">
        <v>0</v>
      </c>
      <c r="K641">
        <v>0</v>
      </c>
      <c r="L641">
        <v>0</v>
      </c>
      <c r="N641">
        <v>573</v>
      </c>
      <c r="P641">
        <v>0.12</v>
      </c>
      <c r="Q641">
        <f t="shared" si="76"/>
        <v>1</v>
      </c>
      <c r="S641">
        <f t="shared" si="73"/>
        <v>8.8242540427731591</v>
      </c>
      <c r="T641">
        <f t="shared" si="74"/>
        <v>0.18266205868540439</v>
      </c>
      <c r="U641">
        <f t="shared" si="71"/>
        <v>666.71651420172611</v>
      </c>
    </row>
    <row r="642" spans="1:21" x14ac:dyDescent="0.2">
      <c r="F642" t="s">
        <v>121</v>
      </c>
      <c r="H642">
        <v>91.25</v>
      </c>
      <c r="I642">
        <v>0</v>
      </c>
      <c r="J642">
        <v>0</v>
      </c>
      <c r="K642">
        <v>0</v>
      </c>
      <c r="L642">
        <v>0</v>
      </c>
      <c r="N642">
        <v>567</v>
      </c>
      <c r="P642">
        <v>-0.13</v>
      </c>
      <c r="Q642">
        <f t="shared" si="76"/>
        <v>1</v>
      </c>
      <c r="S642">
        <f t="shared" si="73"/>
        <v>8.3079910989939574</v>
      </c>
      <c r="T642">
        <f t="shared" si="74"/>
        <v>0.17197541574917491</v>
      </c>
      <c r="U642">
        <f t="shared" si="71"/>
        <v>0</v>
      </c>
    </row>
    <row r="643" spans="1:21" x14ac:dyDescent="0.2">
      <c r="E643" t="s">
        <v>164</v>
      </c>
      <c r="F643" t="s">
        <v>117</v>
      </c>
      <c r="H643">
        <v>91.25</v>
      </c>
      <c r="I643">
        <v>20</v>
      </c>
      <c r="J643">
        <v>0</v>
      </c>
      <c r="K643">
        <v>0</v>
      </c>
      <c r="L643">
        <v>0</v>
      </c>
      <c r="N643">
        <v>242</v>
      </c>
      <c r="P643">
        <v>7.0000000000000007E-2</v>
      </c>
      <c r="Q643">
        <f t="shared" si="76"/>
        <v>1</v>
      </c>
      <c r="S643">
        <f t="shared" si="73"/>
        <v>4.637405476524961</v>
      </c>
      <c r="T643">
        <f t="shared" si="74"/>
        <v>9.5994293364066688E-2</v>
      </c>
      <c r="U643">
        <f t="shared" si="71"/>
        <v>175.18958538942172</v>
      </c>
    </row>
    <row r="644" spans="1:21" x14ac:dyDescent="0.2">
      <c r="E644">
        <v>6</v>
      </c>
      <c r="F644" t="s">
        <v>119</v>
      </c>
      <c r="H644">
        <v>91.25</v>
      </c>
      <c r="I644">
        <v>40</v>
      </c>
      <c r="J644">
        <v>0</v>
      </c>
      <c r="K644">
        <v>0</v>
      </c>
      <c r="L644">
        <v>0</v>
      </c>
      <c r="N644">
        <v>120</v>
      </c>
      <c r="P644">
        <v>1.3</v>
      </c>
      <c r="Q644">
        <f t="shared" si="76"/>
        <v>1</v>
      </c>
      <c r="S644">
        <f t="shared" si="73"/>
        <v>4.4178154596000008</v>
      </c>
      <c r="T644">
        <f t="shared" si="74"/>
        <v>9.1448780013720019E-2</v>
      </c>
      <c r="U644">
        <f t="shared" si="71"/>
        <v>333.78804705007809</v>
      </c>
    </row>
    <row r="645" spans="1:21" x14ac:dyDescent="0.2">
      <c r="F645" t="s">
        <v>120</v>
      </c>
      <c r="H645">
        <v>91.25</v>
      </c>
      <c r="I645">
        <v>35</v>
      </c>
      <c r="J645">
        <v>0</v>
      </c>
      <c r="K645">
        <v>0</v>
      </c>
      <c r="L645">
        <v>0</v>
      </c>
      <c r="N645">
        <v>238</v>
      </c>
      <c r="P645">
        <v>0.77</v>
      </c>
      <c r="Q645">
        <f t="shared" si="76"/>
        <v>1</v>
      </c>
      <c r="S645">
        <f t="shared" si="73"/>
        <v>5.5733558649793595</v>
      </c>
      <c r="T645">
        <f t="shared" si="74"/>
        <v>0.11536846640507274</v>
      </c>
      <c r="U645">
        <f t="shared" si="71"/>
        <v>368.45803958120109</v>
      </c>
    </row>
    <row r="646" spans="1:21" x14ac:dyDescent="0.2">
      <c r="F646" t="s">
        <v>121</v>
      </c>
      <c r="H646">
        <v>91.25</v>
      </c>
      <c r="I646">
        <v>30</v>
      </c>
      <c r="J646">
        <v>0</v>
      </c>
      <c r="K646">
        <v>0</v>
      </c>
      <c r="L646">
        <v>0</v>
      </c>
      <c r="N646">
        <v>260</v>
      </c>
      <c r="P646">
        <v>0.02</v>
      </c>
      <c r="Q646">
        <f t="shared" si="76"/>
        <v>1</v>
      </c>
      <c r="S646">
        <f t="shared" si="73"/>
        <v>4.8221524836000009</v>
      </c>
      <c r="T646">
        <f t="shared" si="74"/>
        <v>9.9818556410520023E-2</v>
      </c>
      <c r="U646">
        <f t="shared" si="71"/>
        <v>273.25329817379856</v>
      </c>
    </row>
    <row r="647" spans="1:21" x14ac:dyDescent="0.2">
      <c r="E647" t="s">
        <v>176</v>
      </c>
      <c r="F647" t="s">
        <v>117</v>
      </c>
      <c r="H647">
        <v>91.25</v>
      </c>
      <c r="I647">
        <v>30</v>
      </c>
      <c r="J647">
        <v>0</v>
      </c>
      <c r="K647">
        <v>0</v>
      </c>
      <c r="L647">
        <v>0</v>
      </c>
      <c r="N647">
        <v>620</v>
      </c>
      <c r="P647">
        <v>0</v>
      </c>
      <c r="Q647">
        <f t="shared" si="76"/>
        <v>1</v>
      </c>
      <c r="S647">
        <f t="shared" si="73"/>
        <v>9.0021601296</v>
      </c>
      <c r="T647">
        <f t="shared" si="74"/>
        <v>0.18634471468271999</v>
      </c>
      <c r="U647">
        <f t="shared" si="71"/>
        <v>510.11865644394601</v>
      </c>
    </row>
    <row r="648" spans="1:21" x14ac:dyDescent="0.2">
      <c r="E648" t="s">
        <v>239</v>
      </c>
      <c r="F648" t="s">
        <v>119</v>
      </c>
      <c r="H648">
        <v>91.25</v>
      </c>
      <c r="I648">
        <v>35</v>
      </c>
      <c r="J648">
        <v>0</v>
      </c>
      <c r="K648">
        <v>0</v>
      </c>
      <c r="L648">
        <v>0</v>
      </c>
      <c r="N648">
        <v>553</v>
      </c>
      <c r="P648">
        <v>0.38</v>
      </c>
      <c r="Q648">
        <f t="shared" si="76"/>
        <v>1</v>
      </c>
      <c r="S648">
        <f t="shared" si="73"/>
        <v>9.1217083109155599</v>
      </c>
      <c r="T648">
        <f t="shared" si="74"/>
        <v>0.18881936203595209</v>
      </c>
      <c r="U648">
        <f t="shared" si="71"/>
        <v>603.04183750232198</v>
      </c>
    </row>
    <row r="649" spans="1:21" x14ac:dyDescent="0.2">
      <c r="F649" t="s">
        <v>120</v>
      </c>
      <c r="H649">
        <v>91.25</v>
      </c>
      <c r="I649">
        <v>20</v>
      </c>
      <c r="J649">
        <v>0</v>
      </c>
      <c r="K649">
        <v>0</v>
      </c>
      <c r="L649">
        <v>0</v>
      </c>
      <c r="N649">
        <v>620</v>
      </c>
      <c r="P649">
        <v>0.74</v>
      </c>
      <c r="Q649">
        <f t="shared" si="76"/>
        <v>1</v>
      </c>
      <c r="S649">
        <f t="shared" si="73"/>
        <v>10.4552635716</v>
      </c>
      <c r="T649">
        <f t="shared" si="74"/>
        <v>0.21642395593211999</v>
      </c>
      <c r="U649">
        <f t="shared" si="71"/>
        <v>394.97371957611898</v>
      </c>
    </row>
    <row r="650" spans="1:21" x14ac:dyDescent="0.2">
      <c r="F650" t="s">
        <v>121</v>
      </c>
      <c r="H650">
        <v>91.25</v>
      </c>
      <c r="I650">
        <v>0</v>
      </c>
      <c r="J650">
        <v>0</v>
      </c>
      <c r="K650">
        <v>0</v>
      </c>
      <c r="L650">
        <v>0</v>
      </c>
      <c r="N650">
        <v>620</v>
      </c>
      <c r="P650">
        <v>0</v>
      </c>
      <c r="Q650">
        <f t="shared" si="76"/>
        <v>1</v>
      </c>
      <c r="S650">
        <f t="shared" si="73"/>
        <v>9.0021601296</v>
      </c>
      <c r="T650">
        <f t="shared" si="74"/>
        <v>0.18634471468271999</v>
      </c>
      <c r="U650">
        <f t="shared" si="71"/>
        <v>0</v>
      </c>
    </row>
    <row r="655" spans="1:21" x14ac:dyDescent="0.2">
      <c r="A655" s="9" t="s">
        <v>263</v>
      </c>
      <c r="B655" s="9" t="s">
        <v>264</v>
      </c>
    </row>
    <row r="661" spans="1:22" x14ac:dyDescent="0.2">
      <c r="A661" t="s">
        <v>263</v>
      </c>
      <c r="B661" t="s">
        <v>232</v>
      </c>
      <c r="C661" t="s">
        <v>263</v>
      </c>
      <c r="D661" t="s">
        <v>263</v>
      </c>
      <c r="E661" t="s">
        <v>116</v>
      </c>
      <c r="F661" t="s">
        <v>117</v>
      </c>
      <c r="H661">
        <v>91.25</v>
      </c>
      <c r="I661">
        <v>50</v>
      </c>
      <c r="J661">
        <v>0</v>
      </c>
      <c r="K661">
        <v>0</v>
      </c>
      <c r="L661">
        <v>0</v>
      </c>
      <c r="N661" s="32" cm="1">
        <f t="array" ref="N661:N700">_xlfn.DROP(_xlfn.XLOOKUP($C661,TableW[[#Headers],[ACT/NSW]:[QLD - Low]],TableW[[#All],[ACT/NSW]:[QLD - Low]]),1)</f>
        <v>236</v>
      </c>
      <c r="P661" cm="1">
        <f t="array" ref="P661:P700">_xlfn.DROP(_xlfn.XLOOKUP($C661,TableLWG[[#Headers],[ACT/NSW]:[QLD - Low]],TableLWG[[#All],[ACT/NSW]:[QLD - Low]]),1)</f>
        <v>0.62</v>
      </c>
      <c r="Q661">
        <f>(J661 * $AD$4 + K661*$AD$5) + (1 - J661 )</f>
        <v>1</v>
      </c>
      <c r="S661">
        <f>(1.185 + 0.00454 * N661- 0.0000026 * N661^2 + 0.315 * P661 )^2 * Q661</f>
        <v>5.3219278704441608</v>
      </c>
      <c r="T661">
        <f>20.7 * S661 * 10^-3</f>
        <v>0.11016390691819414</v>
      </c>
      <c r="U661">
        <f t="shared" ref="U661:U700" si="77">H661*T661*I661</f>
        <v>502.62282531426081</v>
      </c>
      <c r="V661">
        <f>SUM(U661:U700)/1000</f>
        <v>41.519578299588574</v>
      </c>
    </row>
    <row r="662" spans="1:22" x14ac:dyDescent="0.2">
      <c r="E662">
        <v>1</v>
      </c>
      <c r="F662" t="s">
        <v>119</v>
      </c>
      <c r="H662">
        <v>91.25</v>
      </c>
      <c r="I662">
        <v>100</v>
      </c>
      <c r="J662">
        <v>0</v>
      </c>
      <c r="K662">
        <v>0</v>
      </c>
      <c r="L662">
        <v>0</v>
      </c>
      <c r="N662">
        <v>120</v>
      </c>
      <c r="P662">
        <v>0.05</v>
      </c>
      <c r="Q662">
        <f t="shared" ref="Q662:Q672" si="78">(J662 * $AD$4 + K662*$AD$5) + (1 - J662 )</f>
        <v>1</v>
      </c>
      <c r="S662">
        <f t="shared" ref="S662:S700" si="79">(1.185 + 0.00454 * N662- 0.0000026 * N662^2 + 0.315 * P662 )^2 * Q662</f>
        <v>2.9176397721000003</v>
      </c>
      <c r="T662">
        <f t="shared" ref="T662:T700" si="80">20.7 * S662 * 10^-3</f>
        <v>6.0395143282470004E-2</v>
      </c>
      <c r="U662">
        <f t="shared" si="77"/>
        <v>551.10568245253876</v>
      </c>
    </row>
    <row r="663" spans="1:22" x14ac:dyDescent="0.2">
      <c r="F663" t="s">
        <v>120</v>
      </c>
      <c r="H663">
        <v>91.25</v>
      </c>
      <c r="I663">
        <v>80</v>
      </c>
      <c r="J663">
        <v>0</v>
      </c>
      <c r="K663">
        <v>0</v>
      </c>
      <c r="L663">
        <v>0</v>
      </c>
      <c r="N663">
        <v>125</v>
      </c>
      <c r="P663">
        <v>0.33</v>
      </c>
      <c r="Q663">
        <f t="shared" si="78"/>
        <v>1</v>
      </c>
      <c r="S663">
        <f t="shared" si="79"/>
        <v>3.2972204306249999</v>
      </c>
      <c r="T663">
        <f t="shared" si="80"/>
        <v>6.8252462913937495E-2</v>
      </c>
      <c r="U663">
        <f t="shared" si="77"/>
        <v>498.24297927174371</v>
      </c>
    </row>
    <row r="664" spans="1:22" x14ac:dyDescent="0.2">
      <c r="F664" t="s">
        <v>121</v>
      </c>
      <c r="H664">
        <v>91.25</v>
      </c>
      <c r="I664">
        <v>70</v>
      </c>
      <c r="J664">
        <v>0</v>
      </c>
      <c r="K664">
        <v>0</v>
      </c>
      <c r="L664">
        <v>0</v>
      </c>
      <c r="N664">
        <v>180</v>
      </c>
      <c r="P664">
        <v>0.61</v>
      </c>
      <c r="Q664">
        <f t="shared" si="78"/>
        <v>1</v>
      </c>
      <c r="S664">
        <f t="shared" si="79"/>
        <v>4.4525642121000004</v>
      </c>
      <c r="T664">
        <f t="shared" si="80"/>
        <v>9.2168079190470015E-2</v>
      </c>
      <c r="U664">
        <f t="shared" si="77"/>
        <v>588.72360582912722</v>
      </c>
    </row>
    <row r="665" spans="1:22" x14ac:dyDescent="0.2">
      <c r="E665" t="s">
        <v>122</v>
      </c>
      <c r="F665" t="s">
        <v>117</v>
      </c>
      <c r="H665">
        <v>91.25</v>
      </c>
      <c r="I665">
        <v>20</v>
      </c>
      <c r="J665">
        <v>0</v>
      </c>
      <c r="K665">
        <v>0</v>
      </c>
      <c r="L665">
        <v>0</v>
      </c>
      <c r="N665">
        <v>674</v>
      </c>
      <c r="P665">
        <v>-0.19</v>
      </c>
      <c r="Q665">
        <f t="shared" si="78"/>
        <v>1</v>
      </c>
      <c r="S665">
        <f t="shared" si="79"/>
        <v>9.0239703392577582</v>
      </c>
      <c r="T665">
        <f t="shared" si="80"/>
        <v>0.18679618602263559</v>
      </c>
      <c r="U665">
        <f t="shared" si="77"/>
        <v>340.90303949130998</v>
      </c>
    </row>
    <row r="666" spans="1:22" x14ac:dyDescent="0.2">
      <c r="E666">
        <v>2</v>
      </c>
      <c r="F666" t="s">
        <v>119</v>
      </c>
      <c r="H666">
        <v>91.25</v>
      </c>
      <c r="I666">
        <v>80</v>
      </c>
      <c r="J666">
        <v>0</v>
      </c>
      <c r="K666">
        <v>0</v>
      </c>
      <c r="L666">
        <v>0</v>
      </c>
      <c r="N666">
        <v>669</v>
      </c>
      <c r="P666">
        <v>0.19</v>
      </c>
      <c r="Q666">
        <f t="shared" si="78"/>
        <v>1</v>
      </c>
      <c r="S666">
        <f t="shared" si="79"/>
        <v>9.7247391341619629</v>
      </c>
      <c r="T666">
        <f t="shared" si="80"/>
        <v>0.20130210007715263</v>
      </c>
      <c r="U666">
        <f t="shared" si="77"/>
        <v>1469.5053305632143</v>
      </c>
    </row>
    <row r="667" spans="1:22" x14ac:dyDescent="0.2">
      <c r="F667" t="s">
        <v>120</v>
      </c>
      <c r="H667">
        <v>91.25</v>
      </c>
      <c r="I667">
        <v>70</v>
      </c>
      <c r="J667">
        <v>0</v>
      </c>
      <c r="K667">
        <v>0</v>
      </c>
      <c r="L667">
        <v>0</v>
      </c>
      <c r="N667">
        <v>685</v>
      </c>
      <c r="P667">
        <v>0.13</v>
      </c>
      <c r="Q667">
        <f t="shared" si="78"/>
        <v>1</v>
      </c>
      <c r="S667">
        <f t="shared" si="79"/>
        <v>9.7086146982249986</v>
      </c>
      <c r="T667">
        <f t="shared" si="80"/>
        <v>0.20096832425325747</v>
      </c>
      <c r="U667">
        <f t="shared" si="77"/>
        <v>1283.685171167682</v>
      </c>
    </row>
    <row r="668" spans="1:22" x14ac:dyDescent="0.2">
      <c r="F668" t="s">
        <v>121</v>
      </c>
      <c r="H668">
        <v>91.25</v>
      </c>
      <c r="I668">
        <v>60</v>
      </c>
      <c r="J668">
        <v>0</v>
      </c>
      <c r="K668">
        <v>0</v>
      </c>
      <c r="L668">
        <v>0</v>
      </c>
      <c r="N668">
        <v>692</v>
      </c>
      <c r="P668">
        <v>-0.06</v>
      </c>
      <c r="Q668">
        <f t="shared" si="78"/>
        <v>1</v>
      </c>
      <c r="S668">
        <f t="shared" si="79"/>
        <v>9.380337104568957</v>
      </c>
      <c r="T668">
        <f t="shared" si="80"/>
        <v>0.1941729780645774</v>
      </c>
      <c r="U668">
        <f t="shared" si="77"/>
        <v>1063.0970549035612</v>
      </c>
    </row>
    <row r="669" spans="1:22" x14ac:dyDescent="0.2">
      <c r="E669" t="s">
        <v>146</v>
      </c>
      <c r="F669" t="s">
        <v>117</v>
      </c>
      <c r="H669">
        <v>91.25</v>
      </c>
      <c r="I669">
        <v>100</v>
      </c>
      <c r="J669">
        <v>0</v>
      </c>
      <c r="K669">
        <v>0</v>
      </c>
      <c r="L669">
        <v>0</v>
      </c>
      <c r="N669">
        <v>310</v>
      </c>
      <c r="P669">
        <v>0.41</v>
      </c>
      <c r="Q669">
        <f t="shared" si="78"/>
        <v>1</v>
      </c>
      <c r="S669">
        <f t="shared" si="79"/>
        <v>6.1092514561000009</v>
      </c>
      <c r="T669">
        <f t="shared" si="80"/>
        <v>0.12646150514127003</v>
      </c>
      <c r="U669">
        <f t="shared" si="77"/>
        <v>1153.9612344140889</v>
      </c>
    </row>
    <row r="670" spans="1:22" x14ac:dyDescent="0.2">
      <c r="E670">
        <v>4</v>
      </c>
      <c r="F670" t="s">
        <v>119</v>
      </c>
      <c r="H670">
        <v>91.25</v>
      </c>
      <c r="I670">
        <v>180</v>
      </c>
      <c r="J670">
        <v>0</v>
      </c>
      <c r="K670">
        <v>0</v>
      </c>
      <c r="L670">
        <v>0</v>
      </c>
      <c r="N670">
        <v>250</v>
      </c>
      <c r="P670">
        <v>0.54</v>
      </c>
      <c r="Q670">
        <f t="shared" si="78"/>
        <v>1</v>
      </c>
      <c r="S670">
        <f t="shared" si="79"/>
        <v>5.4177217600000018</v>
      </c>
      <c r="T670">
        <f t="shared" si="80"/>
        <v>0.11214684043200003</v>
      </c>
      <c r="U670">
        <f t="shared" si="77"/>
        <v>1842.0118540956007</v>
      </c>
    </row>
    <row r="671" spans="1:22" x14ac:dyDescent="0.2">
      <c r="F671" t="s">
        <v>120</v>
      </c>
      <c r="H671">
        <v>91.25</v>
      </c>
      <c r="I671">
        <v>170</v>
      </c>
      <c r="J671">
        <v>0</v>
      </c>
      <c r="K671">
        <v>0</v>
      </c>
      <c r="L671">
        <v>0</v>
      </c>
      <c r="N671">
        <v>277</v>
      </c>
      <c r="P671">
        <v>0.36</v>
      </c>
      <c r="Q671">
        <f t="shared" si="78"/>
        <v>1</v>
      </c>
      <c r="S671">
        <f t="shared" si="79"/>
        <v>5.5530196700371599</v>
      </c>
      <c r="T671">
        <f t="shared" si="80"/>
        <v>0.11494750716976922</v>
      </c>
      <c r="U671">
        <f t="shared" si="77"/>
        <v>1783.1232049710452</v>
      </c>
    </row>
    <row r="672" spans="1:22" x14ac:dyDescent="0.2">
      <c r="F672" t="s">
        <v>121</v>
      </c>
      <c r="H672">
        <v>91.25</v>
      </c>
      <c r="I672">
        <v>160</v>
      </c>
      <c r="J672">
        <v>0</v>
      </c>
      <c r="K672">
        <v>0</v>
      </c>
      <c r="L672">
        <v>0</v>
      </c>
      <c r="N672">
        <v>316</v>
      </c>
      <c r="P672">
        <v>0.18</v>
      </c>
      <c r="Q672">
        <f t="shared" si="78"/>
        <v>1</v>
      </c>
      <c r="S672">
        <f t="shared" si="79"/>
        <v>5.8405084911673599</v>
      </c>
      <c r="T672">
        <f t="shared" si="80"/>
        <v>0.12089852576716435</v>
      </c>
      <c r="U672">
        <f t="shared" si="77"/>
        <v>1765.1184762005996</v>
      </c>
    </row>
    <row r="673" spans="5:21" x14ac:dyDescent="0.2">
      <c r="E673" t="s">
        <v>152</v>
      </c>
      <c r="F673" t="s">
        <v>117</v>
      </c>
      <c r="H673">
        <v>91.25</v>
      </c>
      <c r="I673">
        <v>150</v>
      </c>
      <c r="J673">
        <v>0.7</v>
      </c>
      <c r="K673">
        <v>0.05</v>
      </c>
      <c r="L673">
        <f>$AC$12</f>
        <v>1.3</v>
      </c>
      <c r="N673">
        <v>428</v>
      </c>
      <c r="P673">
        <v>0.06</v>
      </c>
      <c r="Q673">
        <f>(J673 * $AD$4 +K673* $AD$5) + (1 -J673 - K673 )</f>
        <v>1.2150000000000001</v>
      </c>
      <c r="S673">
        <f t="shared" si="79"/>
        <v>8.6664257431742318</v>
      </c>
      <c r="T673">
        <f t="shared" si="80"/>
        <v>0.1793950128837066</v>
      </c>
      <c r="U673">
        <f t="shared" si="77"/>
        <v>2455.4692388457343</v>
      </c>
    </row>
    <row r="674" spans="5:21" x14ac:dyDescent="0.2">
      <c r="E674" t="s">
        <v>235</v>
      </c>
      <c r="F674" t="s">
        <v>119</v>
      </c>
      <c r="H674">
        <v>91.25</v>
      </c>
      <c r="I674">
        <v>250</v>
      </c>
      <c r="J674">
        <v>0</v>
      </c>
      <c r="K674">
        <v>0.71</v>
      </c>
      <c r="L674">
        <f>$AC$13</f>
        <v>1.1000000000000001</v>
      </c>
      <c r="N674">
        <v>390</v>
      </c>
      <c r="P674">
        <v>0.53</v>
      </c>
      <c r="Q674">
        <f t="shared" ref="Q674:Q686" si="81">(J674 * $AD$4 +K674* $AD$5) + (1 -J674 - K674 )</f>
        <v>1.0710000000000002</v>
      </c>
      <c r="S674">
        <f t="shared" si="79"/>
        <v>7.9650482787351011</v>
      </c>
      <c r="T674">
        <f t="shared" si="80"/>
        <v>0.1648764993698166</v>
      </c>
      <c r="U674">
        <f t="shared" si="77"/>
        <v>3761.2451418739411</v>
      </c>
    </row>
    <row r="675" spans="5:21" x14ac:dyDescent="0.2">
      <c r="F675" t="s">
        <v>120</v>
      </c>
      <c r="H675">
        <v>91.25</v>
      </c>
      <c r="I675">
        <v>240</v>
      </c>
      <c r="J675">
        <v>0</v>
      </c>
      <c r="K675">
        <v>0</v>
      </c>
      <c r="L675">
        <f>$AC$14</f>
        <v>0</v>
      </c>
      <c r="N675">
        <v>407</v>
      </c>
      <c r="P675">
        <v>0.26</v>
      </c>
      <c r="Q675">
        <f t="shared" si="81"/>
        <v>1</v>
      </c>
      <c r="S675">
        <f t="shared" si="79"/>
        <v>7.2038162768547593</v>
      </c>
      <c r="T675">
        <f t="shared" si="80"/>
        <v>0.1491189969308935</v>
      </c>
      <c r="U675">
        <f t="shared" si="77"/>
        <v>3265.7060327865679</v>
      </c>
    </row>
    <row r="676" spans="5:21" x14ac:dyDescent="0.2">
      <c r="F676" t="s">
        <v>121</v>
      </c>
      <c r="H676">
        <v>91.25</v>
      </c>
      <c r="I676">
        <v>200</v>
      </c>
      <c r="J676">
        <v>0.1</v>
      </c>
      <c r="K676">
        <v>0</v>
      </c>
      <c r="L676">
        <f>$AC$14</f>
        <v>0</v>
      </c>
      <c r="N676">
        <v>438</v>
      </c>
      <c r="P676">
        <v>0.12</v>
      </c>
      <c r="Q676">
        <f t="shared" si="81"/>
        <v>1.03</v>
      </c>
      <c r="S676">
        <f t="shared" si="79"/>
        <v>7.5785289845750201</v>
      </c>
      <c r="T676">
        <f t="shared" si="80"/>
        <v>0.15687554998070291</v>
      </c>
      <c r="U676">
        <f t="shared" si="77"/>
        <v>2862.9787871478284</v>
      </c>
    </row>
    <row r="677" spans="5:21" x14ac:dyDescent="0.2">
      <c r="E677" t="s">
        <v>141</v>
      </c>
      <c r="F677" t="s">
        <v>117</v>
      </c>
      <c r="H677">
        <v>91.25</v>
      </c>
      <c r="I677">
        <v>100</v>
      </c>
      <c r="J677">
        <v>0</v>
      </c>
      <c r="K677">
        <v>0</v>
      </c>
      <c r="L677">
        <v>0</v>
      </c>
      <c r="N677">
        <v>178</v>
      </c>
      <c r="P677">
        <v>0.37</v>
      </c>
      <c r="Q677">
        <f t="shared" si="81"/>
        <v>1</v>
      </c>
      <c r="S677">
        <f t="shared" si="79"/>
        <v>4.1099112314305595</v>
      </c>
      <c r="T677">
        <f t="shared" si="80"/>
        <v>8.5075162490612588E-2</v>
      </c>
      <c r="U677">
        <f t="shared" si="77"/>
        <v>776.3108577268398</v>
      </c>
    </row>
    <row r="678" spans="5:21" x14ac:dyDescent="0.2">
      <c r="E678">
        <v>3</v>
      </c>
      <c r="F678" t="s">
        <v>119</v>
      </c>
      <c r="H678">
        <v>91.25</v>
      </c>
      <c r="I678">
        <v>190</v>
      </c>
      <c r="J678">
        <v>0</v>
      </c>
      <c r="K678">
        <v>0</v>
      </c>
      <c r="L678">
        <v>0</v>
      </c>
      <c r="N678">
        <v>112</v>
      </c>
      <c r="P678">
        <v>0.31</v>
      </c>
      <c r="Q678">
        <f t="shared" si="81"/>
        <v>1</v>
      </c>
      <c r="S678">
        <f t="shared" si="79"/>
        <v>3.0923771154433606</v>
      </c>
      <c r="T678">
        <f t="shared" si="80"/>
        <v>6.4012206289677562E-2</v>
      </c>
      <c r="U678">
        <f t="shared" si="77"/>
        <v>1109.8116265472847</v>
      </c>
    </row>
    <row r="679" spans="5:21" x14ac:dyDescent="0.2">
      <c r="F679" t="s">
        <v>120</v>
      </c>
      <c r="H679">
        <v>91.25</v>
      </c>
      <c r="I679">
        <v>195</v>
      </c>
      <c r="J679">
        <v>0</v>
      </c>
      <c r="K679">
        <v>0</v>
      </c>
      <c r="L679">
        <v>0</v>
      </c>
      <c r="N679">
        <v>140</v>
      </c>
      <c r="P679">
        <v>0.39</v>
      </c>
      <c r="Q679">
        <f t="shared" si="81"/>
        <v>1</v>
      </c>
      <c r="S679">
        <f t="shared" si="79"/>
        <v>3.5815184000999993</v>
      </c>
      <c r="T679">
        <f t="shared" si="80"/>
        <v>7.4137430882069977E-2</v>
      </c>
      <c r="U679">
        <f t="shared" si="77"/>
        <v>1319.1829107578326</v>
      </c>
    </row>
    <row r="680" spans="5:21" x14ac:dyDescent="0.2">
      <c r="F680" t="s">
        <v>121</v>
      </c>
      <c r="H680">
        <v>91.25</v>
      </c>
      <c r="I680">
        <v>200</v>
      </c>
      <c r="J680">
        <v>0</v>
      </c>
      <c r="K680">
        <v>0</v>
      </c>
      <c r="L680">
        <v>0</v>
      </c>
      <c r="N680">
        <v>183</v>
      </c>
      <c r="P680">
        <v>0.21</v>
      </c>
      <c r="Q680">
        <f t="shared" si="81"/>
        <v>1</v>
      </c>
      <c r="S680">
        <f t="shared" si="79"/>
        <v>3.9796204242819608</v>
      </c>
      <c r="T680">
        <f t="shared" si="80"/>
        <v>8.2378142782636582E-2</v>
      </c>
      <c r="U680">
        <f t="shared" si="77"/>
        <v>1503.4011057831176</v>
      </c>
    </row>
    <row r="681" spans="5:21" x14ac:dyDescent="0.2">
      <c r="E681" t="s">
        <v>156</v>
      </c>
      <c r="F681" t="s">
        <v>117</v>
      </c>
      <c r="H681">
        <v>91.25</v>
      </c>
      <c r="I681">
        <v>50</v>
      </c>
      <c r="J681">
        <v>0.9</v>
      </c>
      <c r="K681">
        <v>0.05</v>
      </c>
      <c r="L681">
        <f>$AC$12</f>
        <v>1.3</v>
      </c>
      <c r="N681">
        <v>466</v>
      </c>
      <c r="P681">
        <v>-0.02</v>
      </c>
      <c r="Q681">
        <f t="shared" si="81"/>
        <v>1.2750000000000001</v>
      </c>
      <c r="S681">
        <f t="shared" si="79"/>
        <v>9.5005986155427848</v>
      </c>
      <c r="T681">
        <f t="shared" si="80"/>
        <v>0.19666239134173563</v>
      </c>
      <c r="U681">
        <f t="shared" si="77"/>
        <v>897.27216049666879</v>
      </c>
    </row>
    <row r="682" spans="5:21" x14ac:dyDescent="0.2">
      <c r="E682" t="s">
        <v>236</v>
      </c>
      <c r="F682" t="s">
        <v>119</v>
      </c>
      <c r="H682">
        <v>91.25</v>
      </c>
      <c r="I682">
        <v>100</v>
      </c>
      <c r="J682">
        <v>0</v>
      </c>
      <c r="K682">
        <v>0.9</v>
      </c>
      <c r="L682">
        <f>$AC$13</f>
        <v>1.1000000000000001</v>
      </c>
      <c r="N682">
        <v>448</v>
      </c>
      <c r="P682">
        <v>0.15</v>
      </c>
      <c r="Q682">
        <f t="shared" si="81"/>
        <v>1.0900000000000001</v>
      </c>
      <c r="S682">
        <f t="shared" si="79"/>
        <v>8.2092258257396953</v>
      </c>
      <c r="T682">
        <f t="shared" si="80"/>
        <v>0.16993097459281167</v>
      </c>
      <c r="U682">
        <f t="shared" si="77"/>
        <v>1550.6201431594063</v>
      </c>
    </row>
    <row r="683" spans="5:21" x14ac:dyDescent="0.2">
      <c r="F683" t="s">
        <v>120</v>
      </c>
      <c r="H683">
        <v>91.25</v>
      </c>
      <c r="I683">
        <v>90</v>
      </c>
      <c r="J683">
        <v>0</v>
      </c>
      <c r="K683">
        <v>0</v>
      </c>
      <c r="L683">
        <f>$AC$14</f>
        <v>0</v>
      </c>
      <c r="N683">
        <v>455</v>
      </c>
      <c r="P683">
        <v>0.11</v>
      </c>
      <c r="Q683">
        <f t="shared" si="81"/>
        <v>1</v>
      </c>
      <c r="S683">
        <f t="shared" si="79"/>
        <v>7.5464759972250013</v>
      </c>
      <c r="T683">
        <f t="shared" si="80"/>
        <v>0.15621205314255754</v>
      </c>
      <c r="U683">
        <f t="shared" si="77"/>
        <v>1282.8914864332537</v>
      </c>
    </row>
    <row r="684" spans="5:21" x14ac:dyDescent="0.2">
      <c r="F684" t="s">
        <v>121</v>
      </c>
      <c r="H684">
        <v>91.25</v>
      </c>
      <c r="I684">
        <v>80</v>
      </c>
      <c r="J684">
        <v>0</v>
      </c>
      <c r="K684">
        <v>0</v>
      </c>
      <c r="L684">
        <f>$AC$14</f>
        <v>0</v>
      </c>
      <c r="N684">
        <v>468</v>
      </c>
      <c r="P684">
        <v>0.06</v>
      </c>
      <c r="Q684">
        <f t="shared" si="81"/>
        <v>1</v>
      </c>
      <c r="S684">
        <f t="shared" si="79"/>
        <v>7.6129506616377602</v>
      </c>
      <c r="T684">
        <f t="shared" si="80"/>
        <v>0.15758807869590163</v>
      </c>
      <c r="U684">
        <f t="shared" si="77"/>
        <v>1150.3929744800821</v>
      </c>
    </row>
    <row r="685" spans="5:21" x14ac:dyDescent="0.2">
      <c r="E685" t="s">
        <v>169</v>
      </c>
      <c r="F685" t="s">
        <v>117</v>
      </c>
      <c r="H685">
        <v>91.25</v>
      </c>
      <c r="I685">
        <v>30</v>
      </c>
      <c r="J685">
        <v>0</v>
      </c>
      <c r="K685">
        <v>0</v>
      </c>
      <c r="L685">
        <v>0</v>
      </c>
      <c r="N685">
        <v>370</v>
      </c>
      <c r="P685">
        <v>0.44</v>
      </c>
      <c r="Q685">
        <f t="shared" si="81"/>
        <v>1</v>
      </c>
      <c r="S685">
        <f t="shared" si="79"/>
        <v>7.0090444515999986</v>
      </c>
      <c r="T685">
        <f t="shared" si="80"/>
        <v>0.14508722014811998</v>
      </c>
      <c r="U685">
        <f t="shared" si="77"/>
        <v>397.17626515547846</v>
      </c>
    </row>
    <row r="686" spans="5:21" x14ac:dyDescent="0.2">
      <c r="E686" t="s">
        <v>237</v>
      </c>
      <c r="F686" t="s">
        <v>119</v>
      </c>
      <c r="H686">
        <v>91.25</v>
      </c>
      <c r="I686">
        <v>70</v>
      </c>
      <c r="J686">
        <v>0</v>
      </c>
      <c r="K686">
        <v>0</v>
      </c>
      <c r="L686">
        <v>0</v>
      </c>
      <c r="N686">
        <v>273</v>
      </c>
      <c r="P686">
        <v>0.56999999999999995</v>
      </c>
      <c r="Q686">
        <f t="shared" si="81"/>
        <v>1</v>
      </c>
      <c r="S686">
        <f t="shared" si="79"/>
        <v>5.8090380098691607</v>
      </c>
      <c r="T686">
        <f t="shared" si="80"/>
        <v>0.12024708680429162</v>
      </c>
      <c r="U686">
        <f t="shared" si="77"/>
        <v>768.07826696241273</v>
      </c>
    </row>
    <row r="687" spans="5:21" x14ac:dyDescent="0.2">
      <c r="F687" t="s">
        <v>120</v>
      </c>
      <c r="H687">
        <v>91.25</v>
      </c>
      <c r="I687">
        <v>40</v>
      </c>
      <c r="J687">
        <v>0</v>
      </c>
      <c r="K687">
        <v>0</v>
      </c>
      <c r="L687">
        <v>0</v>
      </c>
      <c r="N687">
        <v>296</v>
      </c>
      <c r="P687">
        <v>0.44</v>
      </c>
      <c r="Q687">
        <f t="shared" ref="Q687:Q700" si="82">(J687 * $AD$4 + K687*$AD$5) + (1 - J687 )</f>
        <v>1</v>
      </c>
      <c r="S687">
        <f t="shared" si="79"/>
        <v>5.9518355227545587</v>
      </c>
      <c r="T687">
        <f t="shared" si="80"/>
        <v>0.12320299532101936</v>
      </c>
      <c r="U687">
        <f t="shared" si="77"/>
        <v>449.69093292172067</v>
      </c>
    </row>
    <row r="688" spans="5:21" x14ac:dyDescent="0.2">
      <c r="F688" t="s">
        <v>121</v>
      </c>
      <c r="H688">
        <v>91.25</v>
      </c>
      <c r="I688">
        <v>20</v>
      </c>
      <c r="J688">
        <v>0</v>
      </c>
      <c r="K688">
        <v>0</v>
      </c>
      <c r="L688">
        <v>0</v>
      </c>
      <c r="N688">
        <v>354</v>
      </c>
      <c r="P688">
        <v>0.41</v>
      </c>
      <c r="Q688">
        <f t="shared" si="82"/>
        <v>1</v>
      </c>
      <c r="S688">
        <f t="shared" si="79"/>
        <v>6.7365600345345609</v>
      </c>
      <c r="T688">
        <f t="shared" si="80"/>
        <v>0.1394467927148654</v>
      </c>
      <c r="U688">
        <f t="shared" si="77"/>
        <v>254.49039670462938</v>
      </c>
    </row>
    <row r="689" spans="5:21" x14ac:dyDescent="0.2">
      <c r="E689" t="s">
        <v>171</v>
      </c>
      <c r="F689" t="s">
        <v>117</v>
      </c>
      <c r="H689">
        <v>91.25</v>
      </c>
      <c r="I689">
        <v>30</v>
      </c>
      <c r="J689">
        <v>0</v>
      </c>
      <c r="K689">
        <v>0</v>
      </c>
      <c r="L689">
        <v>0</v>
      </c>
      <c r="N689">
        <v>519</v>
      </c>
      <c r="P689">
        <v>0.3</v>
      </c>
      <c r="Q689">
        <f t="shared" si="82"/>
        <v>1</v>
      </c>
      <c r="S689">
        <f t="shared" si="79"/>
        <v>8.6166987955779604</v>
      </c>
      <c r="T689">
        <f t="shared" si="80"/>
        <v>0.1783656650684638</v>
      </c>
      <c r="U689">
        <f t="shared" si="77"/>
        <v>488.27600812491971</v>
      </c>
    </row>
    <row r="690" spans="5:21" x14ac:dyDescent="0.2">
      <c r="E690" t="s">
        <v>238</v>
      </c>
      <c r="F690" t="s">
        <v>119</v>
      </c>
      <c r="H690">
        <v>91.25</v>
      </c>
      <c r="I690">
        <v>100</v>
      </c>
      <c r="J690">
        <v>0</v>
      </c>
      <c r="K690">
        <v>0</v>
      </c>
      <c r="L690">
        <v>0</v>
      </c>
      <c r="N690">
        <v>433</v>
      </c>
      <c r="P690">
        <v>0.42</v>
      </c>
      <c r="Q690">
        <f t="shared" si="82"/>
        <v>1</v>
      </c>
      <c r="S690">
        <f t="shared" si="79"/>
        <v>7.8156510946819591</v>
      </c>
      <c r="T690">
        <f t="shared" si="80"/>
        <v>0.16178397765991656</v>
      </c>
      <c r="U690">
        <f t="shared" si="77"/>
        <v>1476.2787961467386</v>
      </c>
    </row>
    <row r="691" spans="5:21" x14ac:dyDescent="0.2">
      <c r="F691" t="s">
        <v>120</v>
      </c>
      <c r="H691">
        <v>91.25</v>
      </c>
      <c r="I691">
        <v>40</v>
      </c>
      <c r="J691">
        <v>0</v>
      </c>
      <c r="K691">
        <v>0</v>
      </c>
      <c r="L691">
        <v>0</v>
      </c>
      <c r="N691">
        <v>445</v>
      </c>
      <c r="P691">
        <v>0.37</v>
      </c>
      <c r="Q691">
        <f t="shared" si="82"/>
        <v>1</v>
      </c>
      <c r="S691">
        <f t="shared" si="79"/>
        <v>7.8791647902250004</v>
      </c>
      <c r="T691">
        <f t="shared" si="80"/>
        <v>0.16309871115765751</v>
      </c>
      <c r="U691">
        <f t="shared" si="77"/>
        <v>595.31029572544992</v>
      </c>
    </row>
    <row r="692" spans="5:21" x14ac:dyDescent="0.2">
      <c r="F692" t="s">
        <v>121</v>
      </c>
      <c r="H692">
        <v>91.25</v>
      </c>
      <c r="I692">
        <v>0</v>
      </c>
      <c r="J692">
        <v>0</v>
      </c>
      <c r="K692">
        <v>0</v>
      </c>
      <c r="L692">
        <v>0</v>
      </c>
      <c r="N692">
        <v>500</v>
      </c>
      <c r="P692">
        <v>0.41</v>
      </c>
      <c r="Q692">
        <f t="shared" si="82"/>
        <v>1</v>
      </c>
      <c r="S692">
        <f t="shared" si="79"/>
        <v>8.6092362225000016</v>
      </c>
      <c r="T692">
        <f t="shared" si="80"/>
        <v>0.17821118980575001</v>
      </c>
      <c r="U692">
        <f t="shared" si="77"/>
        <v>0</v>
      </c>
    </row>
    <row r="693" spans="5:21" x14ac:dyDescent="0.2">
      <c r="E693" t="s">
        <v>164</v>
      </c>
      <c r="F693" t="s">
        <v>117</v>
      </c>
      <c r="H693">
        <v>91.25</v>
      </c>
      <c r="I693">
        <v>20</v>
      </c>
      <c r="J693">
        <v>0</v>
      </c>
      <c r="K693">
        <v>0</v>
      </c>
      <c r="L693">
        <v>0</v>
      </c>
      <c r="N693">
        <v>193</v>
      </c>
      <c r="P693">
        <v>0.47</v>
      </c>
      <c r="Q693">
        <f t="shared" si="82"/>
        <v>1</v>
      </c>
      <c r="S693">
        <f t="shared" si="79"/>
        <v>4.4623292409907593</v>
      </c>
      <c r="T693">
        <f t="shared" si="80"/>
        <v>9.2370215288508722E-2</v>
      </c>
      <c r="U693">
        <f t="shared" si="77"/>
        <v>168.5756429015284</v>
      </c>
    </row>
    <row r="694" spans="5:21" x14ac:dyDescent="0.2">
      <c r="E694">
        <v>6</v>
      </c>
      <c r="F694" t="s">
        <v>119</v>
      </c>
      <c r="H694">
        <v>91.25</v>
      </c>
      <c r="I694">
        <v>40</v>
      </c>
      <c r="J694">
        <v>0</v>
      </c>
      <c r="K694">
        <v>0</v>
      </c>
      <c r="L694">
        <v>0</v>
      </c>
      <c r="N694">
        <v>115</v>
      </c>
      <c r="P694">
        <v>0.28000000000000003</v>
      </c>
      <c r="Q694">
        <f t="shared" si="82"/>
        <v>1</v>
      </c>
      <c r="S694">
        <f t="shared" si="79"/>
        <v>3.1008216372250006</v>
      </c>
      <c r="T694">
        <f t="shared" si="80"/>
        <v>6.4187007890557507E-2</v>
      </c>
      <c r="U694">
        <f t="shared" si="77"/>
        <v>234.28257880053491</v>
      </c>
    </row>
    <row r="695" spans="5:21" x14ac:dyDescent="0.2">
      <c r="F695" t="s">
        <v>120</v>
      </c>
      <c r="H695">
        <v>91.25</v>
      </c>
      <c r="I695">
        <v>35</v>
      </c>
      <c r="J695">
        <v>0</v>
      </c>
      <c r="K695">
        <v>0</v>
      </c>
      <c r="L695">
        <v>0</v>
      </c>
      <c r="N695">
        <v>141</v>
      </c>
      <c r="P695">
        <v>0.4</v>
      </c>
      <c r="Q695">
        <f t="shared" si="82"/>
        <v>1</v>
      </c>
      <c r="S695">
        <f t="shared" si="79"/>
        <v>3.60790802316036</v>
      </c>
      <c r="T695">
        <f t="shared" si="80"/>
        <v>7.4683696079419451E-2</v>
      </c>
      <c r="U695">
        <f t="shared" si="77"/>
        <v>238.52105435364587</v>
      </c>
    </row>
    <row r="696" spans="5:21" x14ac:dyDescent="0.2">
      <c r="F696" t="s">
        <v>121</v>
      </c>
      <c r="H696">
        <v>91.25</v>
      </c>
      <c r="I696">
        <v>30</v>
      </c>
      <c r="J696">
        <v>0</v>
      </c>
      <c r="K696">
        <v>0</v>
      </c>
      <c r="L696">
        <v>0</v>
      </c>
      <c r="N696">
        <v>189</v>
      </c>
      <c r="P696">
        <v>0.28999999999999998</v>
      </c>
      <c r="Q696">
        <f t="shared" si="82"/>
        <v>1</v>
      </c>
      <c r="S696">
        <f t="shared" si="79"/>
        <v>4.1678667894531598</v>
      </c>
      <c r="T696">
        <f t="shared" si="80"/>
        <v>8.6274842541680399E-2</v>
      </c>
      <c r="U696">
        <f t="shared" si="77"/>
        <v>236.17738145785009</v>
      </c>
    </row>
    <row r="697" spans="5:21" x14ac:dyDescent="0.2">
      <c r="E697" t="s">
        <v>176</v>
      </c>
      <c r="F697" t="s">
        <v>117</v>
      </c>
      <c r="H697">
        <v>91.25</v>
      </c>
      <c r="I697">
        <v>30</v>
      </c>
      <c r="J697">
        <v>0</v>
      </c>
      <c r="K697">
        <v>0</v>
      </c>
      <c r="L697">
        <v>0</v>
      </c>
      <c r="N697">
        <v>565</v>
      </c>
      <c r="P697">
        <v>0.13</v>
      </c>
      <c r="Q697">
        <f t="shared" si="82"/>
        <v>1</v>
      </c>
      <c r="S697">
        <f t="shared" si="79"/>
        <v>8.7679059342249985</v>
      </c>
      <c r="T697">
        <f t="shared" si="80"/>
        <v>0.18149565283845745</v>
      </c>
      <c r="U697">
        <f t="shared" si="77"/>
        <v>496.84434964527725</v>
      </c>
    </row>
    <row r="698" spans="5:21" x14ac:dyDescent="0.2">
      <c r="E698" t="s">
        <v>239</v>
      </c>
      <c r="F698" t="s">
        <v>119</v>
      </c>
      <c r="H698">
        <v>91.25</v>
      </c>
      <c r="I698">
        <v>35</v>
      </c>
      <c r="J698">
        <v>0</v>
      </c>
      <c r="K698">
        <v>0</v>
      </c>
      <c r="L698">
        <v>0</v>
      </c>
      <c r="N698">
        <v>556</v>
      </c>
      <c r="P698">
        <v>0.4</v>
      </c>
      <c r="Q698">
        <f t="shared" si="82"/>
        <v>1</v>
      </c>
      <c r="S698">
        <f t="shared" si="79"/>
        <v>9.1899097933849596</v>
      </c>
      <c r="T698">
        <f t="shared" si="80"/>
        <v>0.19023113272306869</v>
      </c>
      <c r="U698">
        <f t="shared" si="77"/>
        <v>607.55068013430071</v>
      </c>
    </row>
    <row r="699" spans="5:21" x14ac:dyDescent="0.2">
      <c r="F699" t="s">
        <v>120</v>
      </c>
      <c r="H699">
        <v>91.25</v>
      </c>
      <c r="I699">
        <v>20</v>
      </c>
      <c r="J699">
        <v>0</v>
      </c>
      <c r="K699">
        <v>0</v>
      </c>
      <c r="L699">
        <v>0</v>
      </c>
      <c r="N699">
        <v>593</v>
      </c>
      <c r="P699">
        <v>-0.01</v>
      </c>
      <c r="Q699">
        <f t="shared" si="82"/>
        <v>1</v>
      </c>
      <c r="S699">
        <f t="shared" si="79"/>
        <v>8.7603130392627584</v>
      </c>
      <c r="T699">
        <f t="shared" si="80"/>
        <v>0.1813384799127391</v>
      </c>
      <c r="U699">
        <f t="shared" si="77"/>
        <v>330.94272584074884</v>
      </c>
    </row>
    <row r="700" spans="5:21" x14ac:dyDescent="0.2">
      <c r="F700" t="s">
        <v>121</v>
      </c>
      <c r="H700">
        <v>91.25</v>
      </c>
      <c r="I700">
        <v>0</v>
      </c>
      <c r="J700">
        <v>0</v>
      </c>
      <c r="K700">
        <v>0</v>
      </c>
      <c r="L700">
        <v>0</v>
      </c>
      <c r="N700">
        <v>553</v>
      </c>
      <c r="P700">
        <v>-0.15</v>
      </c>
      <c r="Q700">
        <f t="shared" si="82"/>
        <v>1</v>
      </c>
      <c r="S700">
        <f t="shared" si="79"/>
        <v>8.1411302906755605</v>
      </c>
      <c r="T700">
        <f t="shared" si="80"/>
        <v>0.16852139701698413</v>
      </c>
      <c r="U700">
        <f t="shared" si="77"/>
        <v>0</v>
      </c>
    </row>
    <row r="711" spans="1:22" x14ac:dyDescent="0.2">
      <c r="A711" t="s">
        <v>264</v>
      </c>
      <c r="B711" t="s">
        <v>232</v>
      </c>
      <c r="C711" t="s">
        <v>264</v>
      </c>
      <c r="D711" t="s">
        <v>264</v>
      </c>
      <c r="E711" t="s">
        <v>116</v>
      </c>
      <c r="F711" t="s">
        <v>117</v>
      </c>
      <c r="H711">
        <v>91.25</v>
      </c>
      <c r="I711">
        <v>50</v>
      </c>
      <c r="J711">
        <v>0</v>
      </c>
      <c r="K711">
        <v>0</v>
      </c>
      <c r="L711">
        <v>0</v>
      </c>
      <c r="N711" s="32" cm="1">
        <f t="array" ref="N711:N750">_xlfn.DROP(_xlfn.XLOOKUP($C711,TableW[[#Headers],[ACT/NSW]:[QLD - Low]],TableW[[#All],[ACT/NSW]:[QLD - Low]]),1)</f>
        <v>190</v>
      </c>
      <c r="P711" cm="1">
        <f t="array" ref="P711:P750">_xlfn.DROP(_xlfn.XLOOKUP($C711,TableLWG[[#Headers],[ACT/NSW]:[QLD - Low]],TableLWG[[#All],[ACT/NSW]:[QLD - Low]]),1)</f>
        <v>-0.2</v>
      </c>
      <c r="Q711">
        <f>(J711 * $AD$4 + K711*$AD$5) + (1 - J711 )</f>
        <v>1</v>
      </c>
      <c r="S711">
        <f>(1.185 + 0.00454 * N711- 0.0000026 * N711^2 + 0.315 * P711 )^2 * Q711</f>
        <v>3.5748977476000001</v>
      </c>
      <c r="T711">
        <f>20.7 * S711 * 10^-3</f>
        <v>7.400038337532E-2</v>
      </c>
      <c r="U711">
        <f t="shared" ref="U711:U750" si="83">H711*T711*I711</f>
        <v>337.62674914989753</v>
      </c>
      <c r="V711">
        <f>SUM(U711:U750)/1000</f>
        <v>37.333621509600185</v>
      </c>
    </row>
    <row r="712" spans="1:22" x14ac:dyDescent="0.2">
      <c r="E712">
        <v>1</v>
      </c>
      <c r="F712" t="s">
        <v>119</v>
      </c>
      <c r="H712">
        <v>91.25</v>
      </c>
      <c r="I712">
        <v>100</v>
      </c>
      <c r="J712">
        <v>0</v>
      </c>
      <c r="K712">
        <v>0</v>
      </c>
      <c r="L712">
        <v>0</v>
      </c>
      <c r="N712">
        <v>119</v>
      </c>
      <c r="P712">
        <v>0.62</v>
      </c>
      <c r="Q712">
        <f t="shared" ref="Q712:Q722" si="84">(J712 * $AD$4 + K712*$AD$5) + (1 - J712 )</f>
        <v>1</v>
      </c>
      <c r="S712">
        <f t="shared" ref="S712:S750" si="85">(1.185 + 0.00454 * N712- 0.0000026 * N712^2 + 0.315 * P712 )^2 * Q712</f>
        <v>3.5484816620739603</v>
      </c>
      <c r="T712">
        <f t="shared" ref="T712:T750" si="86">20.7 * S712 * 10^-3</f>
        <v>7.3453570404930973E-2</v>
      </c>
      <c r="U712">
        <f t="shared" si="83"/>
        <v>670.26382994499511</v>
      </c>
    </row>
    <row r="713" spans="1:22" x14ac:dyDescent="0.2">
      <c r="F713" t="s">
        <v>120</v>
      </c>
      <c r="H713">
        <v>91.25</v>
      </c>
      <c r="I713">
        <v>80</v>
      </c>
      <c r="J713">
        <v>0</v>
      </c>
      <c r="K713">
        <v>0</v>
      </c>
      <c r="L713">
        <v>0</v>
      </c>
      <c r="N713">
        <v>175</v>
      </c>
      <c r="P713">
        <v>0.4</v>
      </c>
      <c r="Q713">
        <f t="shared" si="84"/>
        <v>1</v>
      </c>
      <c r="S713">
        <f t="shared" si="85"/>
        <v>4.1041695156250002</v>
      </c>
      <c r="T713">
        <f t="shared" si="86"/>
        <v>8.4956308973437505E-2</v>
      </c>
      <c r="U713">
        <f t="shared" si="83"/>
        <v>620.1810555060938</v>
      </c>
    </row>
    <row r="714" spans="1:22" x14ac:dyDescent="0.2">
      <c r="F714" t="s">
        <v>121</v>
      </c>
      <c r="H714">
        <v>91.25</v>
      </c>
      <c r="I714">
        <v>70</v>
      </c>
      <c r="J714">
        <v>0</v>
      </c>
      <c r="K714">
        <v>0</v>
      </c>
      <c r="L714">
        <v>0</v>
      </c>
      <c r="N714">
        <v>192</v>
      </c>
      <c r="P714">
        <v>0.08</v>
      </c>
      <c r="Q714">
        <f t="shared" si="84"/>
        <v>1</v>
      </c>
      <c r="S714">
        <f t="shared" si="85"/>
        <v>3.9443294603289596</v>
      </c>
      <c r="T714">
        <f t="shared" si="86"/>
        <v>8.1647619828809456E-2</v>
      </c>
      <c r="U714">
        <f t="shared" si="83"/>
        <v>521.52417165652037</v>
      </c>
    </row>
    <row r="715" spans="1:22" x14ac:dyDescent="0.2">
      <c r="E715" t="s">
        <v>122</v>
      </c>
      <c r="F715" t="s">
        <v>117</v>
      </c>
      <c r="H715">
        <v>91.25</v>
      </c>
      <c r="I715">
        <v>20</v>
      </c>
      <c r="J715">
        <v>0</v>
      </c>
      <c r="K715">
        <v>0</v>
      </c>
      <c r="L715">
        <v>0</v>
      </c>
      <c r="N715">
        <v>617</v>
      </c>
      <c r="P715">
        <v>0.02</v>
      </c>
      <c r="Q715">
        <f t="shared" si="84"/>
        <v>1</v>
      </c>
      <c r="S715">
        <f t="shared" si="85"/>
        <v>9.0161388285699591</v>
      </c>
      <c r="T715">
        <f t="shared" si="86"/>
        <v>0.18663407375139815</v>
      </c>
      <c r="U715">
        <f t="shared" si="83"/>
        <v>340.60718459630158</v>
      </c>
    </row>
    <row r="716" spans="1:22" x14ac:dyDescent="0.2">
      <c r="E716">
        <v>2</v>
      </c>
      <c r="F716" t="s">
        <v>119</v>
      </c>
      <c r="H716">
        <v>91.25</v>
      </c>
      <c r="I716">
        <v>80</v>
      </c>
      <c r="J716">
        <v>0</v>
      </c>
      <c r="K716">
        <v>0</v>
      </c>
      <c r="L716">
        <v>0</v>
      </c>
      <c r="N716">
        <v>591</v>
      </c>
      <c r="P716">
        <v>0.21</v>
      </c>
      <c r="Q716">
        <f t="shared" si="84"/>
        <v>1</v>
      </c>
      <c r="S716">
        <f t="shared" si="85"/>
        <v>9.1576407142083571</v>
      </c>
      <c r="T716">
        <f t="shared" si="86"/>
        <v>0.189563162784113</v>
      </c>
      <c r="U716">
        <f t="shared" si="83"/>
        <v>1383.8110883240251</v>
      </c>
    </row>
    <row r="717" spans="1:22" x14ac:dyDescent="0.2">
      <c r="F717" t="s">
        <v>120</v>
      </c>
      <c r="H717">
        <v>91.25</v>
      </c>
      <c r="I717">
        <v>70</v>
      </c>
      <c r="J717">
        <v>0</v>
      </c>
      <c r="K717">
        <v>0</v>
      </c>
      <c r="L717">
        <v>0</v>
      </c>
      <c r="N717">
        <v>610</v>
      </c>
      <c r="P717">
        <v>0.13</v>
      </c>
      <c r="Q717">
        <f t="shared" si="84"/>
        <v>1</v>
      </c>
      <c r="S717">
        <f t="shared" si="85"/>
        <v>9.1681178520999982</v>
      </c>
      <c r="T717">
        <f t="shared" si="86"/>
        <v>0.18978003953846997</v>
      </c>
      <c r="U717">
        <f t="shared" si="83"/>
        <v>1212.2200025519771</v>
      </c>
    </row>
    <row r="718" spans="1:22" x14ac:dyDescent="0.2">
      <c r="F718" t="s">
        <v>121</v>
      </c>
      <c r="H718">
        <v>91.25</v>
      </c>
      <c r="I718">
        <v>60</v>
      </c>
      <c r="J718">
        <v>0</v>
      </c>
      <c r="K718">
        <v>0</v>
      </c>
      <c r="L718">
        <v>0</v>
      </c>
      <c r="N718">
        <v>615</v>
      </c>
      <c r="P718">
        <v>0.04</v>
      </c>
      <c r="Q718">
        <f t="shared" si="84"/>
        <v>1</v>
      </c>
      <c r="S718">
        <f t="shared" si="85"/>
        <v>9.0379298792249987</v>
      </c>
      <c r="T718">
        <f t="shared" si="86"/>
        <v>0.18708514849995747</v>
      </c>
      <c r="U718">
        <f t="shared" si="83"/>
        <v>1024.2911880372671</v>
      </c>
    </row>
    <row r="719" spans="1:22" x14ac:dyDescent="0.2">
      <c r="E719" t="s">
        <v>146</v>
      </c>
      <c r="F719" t="s">
        <v>117</v>
      </c>
      <c r="H719">
        <v>91.25</v>
      </c>
      <c r="I719">
        <v>100</v>
      </c>
      <c r="J719">
        <v>0</v>
      </c>
      <c r="K719">
        <v>0</v>
      </c>
      <c r="L719">
        <v>0</v>
      </c>
      <c r="N719">
        <v>265</v>
      </c>
      <c r="P719">
        <v>0.3</v>
      </c>
      <c r="Q719">
        <f t="shared" si="84"/>
        <v>1</v>
      </c>
      <c r="S719">
        <f t="shared" si="85"/>
        <v>5.2900690002249986</v>
      </c>
      <c r="T719">
        <f t="shared" si="86"/>
        <v>0.10950442830465747</v>
      </c>
      <c r="U719">
        <f t="shared" si="83"/>
        <v>999.22790827999938</v>
      </c>
    </row>
    <row r="720" spans="1:22" x14ac:dyDescent="0.2">
      <c r="E720">
        <v>4</v>
      </c>
      <c r="F720" t="s">
        <v>119</v>
      </c>
      <c r="H720">
        <v>91.25</v>
      </c>
      <c r="I720">
        <v>180</v>
      </c>
      <c r="J720">
        <v>0</v>
      </c>
      <c r="K720">
        <v>0</v>
      </c>
      <c r="L720">
        <v>0</v>
      </c>
      <c r="N720">
        <v>205</v>
      </c>
      <c r="P720">
        <v>0.32</v>
      </c>
      <c r="Q720">
        <f t="shared" si="84"/>
        <v>1</v>
      </c>
      <c r="S720">
        <f t="shared" si="85"/>
        <v>4.4404393452249993</v>
      </c>
      <c r="T720">
        <f t="shared" si="86"/>
        <v>9.1917094446157477E-2</v>
      </c>
      <c r="U720">
        <f t="shared" si="83"/>
        <v>1509.7382762781365</v>
      </c>
    </row>
    <row r="721" spans="5:21" x14ac:dyDescent="0.2">
      <c r="F721" t="s">
        <v>120</v>
      </c>
      <c r="H721">
        <v>91.25</v>
      </c>
      <c r="I721">
        <v>170</v>
      </c>
      <c r="J721">
        <v>0</v>
      </c>
      <c r="K721">
        <v>0</v>
      </c>
      <c r="L721">
        <v>0</v>
      </c>
      <c r="N721">
        <v>232</v>
      </c>
      <c r="P721">
        <v>0.27</v>
      </c>
      <c r="Q721">
        <f t="shared" si="84"/>
        <v>1</v>
      </c>
      <c r="S721">
        <f t="shared" si="85"/>
        <v>4.7671814118337608</v>
      </c>
      <c r="T721">
        <f t="shared" si="86"/>
        <v>9.8680655224958849E-2</v>
      </c>
      <c r="U721">
        <f t="shared" si="83"/>
        <v>1530.7836641771742</v>
      </c>
    </row>
    <row r="722" spans="5:21" x14ac:dyDescent="0.2">
      <c r="F722" t="s">
        <v>121</v>
      </c>
      <c r="H722">
        <v>91.25</v>
      </c>
      <c r="I722">
        <v>160</v>
      </c>
      <c r="J722">
        <v>0</v>
      </c>
      <c r="K722">
        <v>0</v>
      </c>
      <c r="L722">
        <v>0</v>
      </c>
      <c r="N722">
        <v>255</v>
      </c>
      <c r="P722">
        <v>0.18</v>
      </c>
      <c r="Q722">
        <f t="shared" si="84"/>
        <v>1</v>
      </c>
      <c r="S722">
        <f t="shared" si="85"/>
        <v>4.9743942122250004</v>
      </c>
      <c r="T722">
        <f t="shared" si="86"/>
        <v>0.1029699601930575</v>
      </c>
      <c r="U722">
        <f t="shared" si="83"/>
        <v>1503.3614188186393</v>
      </c>
    </row>
    <row r="723" spans="5:21" x14ac:dyDescent="0.2">
      <c r="E723" t="s">
        <v>152</v>
      </c>
      <c r="F723" t="s">
        <v>117</v>
      </c>
      <c r="H723">
        <v>91.25</v>
      </c>
      <c r="I723">
        <v>150</v>
      </c>
      <c r="J723">
        <v>0.7</v>
      </c>
      <c r="K723">
        <v>0.05</v>
      </c>
      <c r="L723">
        <f>$AC$12</f>
        <v>1.3</v>
      </c>
      <c r="N723">
        <v>371</v>
      </c>
      <c r="P723">
        <v>0.23</v>
      </c>
      <c r="Q723">
        <f>(J723 * $AD$4 +K723* $AD$5) + (1 -J723 - K723 )</f>
        <v>1.2150000000000001</v>
      </c>
      <c r="S723">
        <f t="shared" si="85"/>
        <v>8.1121420665370874</v>
      </c>
      <c r="T723">
        <f t="shared" si="86"/>
        <v>0.16792134077731771</v>
      </c>
      <c r="U723">
        <f t="shared" si="83"/>
        <v>2298.4233518895362</v>
      </c>
    </row>
    <row r="724" spans="5:21" x14ac:dyDescent="0.2">
      <c r="E724" t="s">
        <v>235</v>
      </c>
      <c r="F724" t="s">
        <v>119</v>
      </c>
      <c r="H724">
        <v>91.25</v>
      </c>
      <c r="I724">
        <v>250</v>
      </c>
      <c r="J724">
        <v>0</v>
      </c>
      <c r="K724">
        <v>0.71</v>
      </c>
      <c r="L724">
        <f>$AC$13</f>
        <v>1.1000000000000001</v>
      </c>
      <c r="N724">
        <v>310</v>
      </c>
      <c r="P724">
        <v>0.47</v>
      </c>
      <c r="Q724">
        <f t="shared" ref="Q724:Q787" si="87">(J724 * $AD$4 +K724* $AD$5) + (1 -J724 - K724 )</f>
        <v>1.0710000000000002</v>
      </c>
      <c r="S724">
        <f t="shared" si="85"/>
        <v>6.6434542850151015</v>
      </c>
      <c r="T724">
        <f t="shared" si="86"/>
        <v>0.13751950369981258</v>
      </c>
      <c r="U724">
        <f t="shared" si="83"/>
        <v>3137.1636781519746</v>
      </c>
    </row>
    <row r="725" spans="5:21" x14ac:dyDescent="0.2">
      <c r="F725" t="s">
        <v>120</v>
      </c>
      <c r="H725">
        <v>91.25</v>
      </c>
      <c r="I725">
        <v>240</v>
      </c>
      <c r="J725">
        <v>0</v>
      </c>
      <c r="K725">
        <v>0</v>
      </c>
      <c r="L725">
        <f>$AC$14</f>
        <v>0</v>
      </c>
      <c r="N725">
        <v>351</v>
      </c>
      <c r="P725">
        <v>0.3</v>
      </c>
      <c r="Q725">
        <f t="shared" si="87"/>
        <v>1</v>
      </c>
      <c r="S725">
        <f t="shared" si="85"/>
        <v>6.5163661242627606</v>
      </c>
      <c r="T725">
        <f t="shared" si="86"/>
        <v>0.13488877877223915</v>
      </c>
      <c r="U725">
        <f t="shared" si="83"/>
        <v>2954.0642551120372</v>
      </c>
    </row>
    <row r="726" spans="5:21" x14ac:dyDescent="0.2">
      <c r="F726" t="s">
        <v>121</v>
      </c>
      <c r="H726">
        <v>91.25</v>
      </c>
      <c r="I726">
        <v>200</v>
      </c>
      <c r="J726">
        <v>0.1</v>
      </c>
      <c r="K726">
        <v>0</v>
      </c>
      <c r="L726">
        <f>$AC$14</f>
        <v>0</v>
      </c>
      <c r="N726">
        <v>364</v>
      </c>
      <c r="P726">
        <v>0.11</v>
      </c>
      <c r="Q726">
        <f t="shared" si="87"/>
        <v>1.03</v>
      </c>
      <c r="S726">
        <f t="shared" si="85"/>
        <v>6.5810515331934436</v>
      </c>
      <c r="T726">
        <f t="shared" si="86"/>
        <v>0.13622776673710427</v>
      </c>
      <c r="U726">
        <f t="shared" si="83"/>
        <v>2486.1567429521529</v>
      </c>
    </row>
    <row r="727" spans="5:21" x14ac:dyDescent="0.2">
      <c r="E727" t="s">
        <v>141</v>
      </c>
      <c r="F727" t="s">
        <v>117</v>
      </c>
      <c r="H727">
        <v>91.25</v>
      </c>
      <c r="I727">
        <v>100</v>
      </c>
      <c r="J727">
        <v>0</v>
      </c>
      <c r="K727">
        <v>0</v>
      </c>
      <c r="L727">
        <v>0</v>
      </c>
      <c r="N727">
        <v>174</v>
      </c>
      <c r="P727">
        <v>0.24</v>
      </c>
      <c r="Q727">
        <f t="shared" si="87"/>
        <v>1</v>
      </c>
      <c r="S727">
        <f t="shared" si="85"/>
        <v>3.8881624504377594</v>
      </c>
      <c r="T727">
        <f t="shared" si="86"/>
        <v>8.0484962724061623E-2</v>
      </c>
      <c r="U727">
        <f t="shared" si="83"/>
        <v>734.42528485706237</v>
      </c>
    </row>
    <row r="728" spans="5:21" x14ac:dyDescent="0.2">
      <c r="E728">
        <v>3</v>
      </c>
      <c r="F728" t="s">
        <v>119</v>
      </c>
      <c r="H728">
        <v>91.25</v>
      </c>
      <c r="I728">
        <v>190</v>
      </c>
      <c r="J728">
        <v>0</v>
      </c>
      <c r="K728">
        <v>0</v>
      </c>
      <c r="L728">
        <v>0</v>
      </c>
      <c r="N728">
        <v>140</v>
      </c>
      <c r="P728">
        <v>0.25</v>
      </c>
      <c r="Q728">
        <f t="shared" si="87"/>
        <v>1</v>
      </c>
      <c r="S728">
        <f t="shared" si="85"/>
        <v>3.4165455920999999</v>
      </c>
      <c r="T728">
        <f t="shared" si="86"/>
        <v>7.0722493756470009E-2</v>
      </c>
      <c r="U728">
        <f t="shared" si="83"/>
        <v>1226.1512355027987</v>
      </c>
    </row>
    <row r="729" spans="5:21" x14ac:dyDescent="0.2">
      <c r="F729" t="s">
        <v>120</v>
      </c>
      <c r="H729">
        <v>91.25</v>
      </c>
      <c r="I729">
        <v>195</v>
      </c>
      <c r="J729">
        <v>0</v>
      </c>
      <c r="K729">
        <v>0</v>
      </c>
      <c r="L729">
        <v>0</v>
      </c>
      <c r="N729">
        <v>163</v>
      </c>
      <c r="P729">
        <v>0.12</v>
      </c>
      <c r="Q729">
        <f t="shared" si="87"/>
        <v>1</v>
      </c>
      <c r="S729">
        <f t="shared" si="85"/>
        <v>3.5862534600883604</v>
      </c>
      <c r="T729">
        <f t="shared" si="86"/>
        <v>7.4235446623829068E-2</v>
      </c>
      <c r="U729">
        <f t="shared" si="83"/>
        <v>1320.9269783627585</v>
      </c>
    </row>
    <row r="730" spans="5:21" x14ac:dyDescent="0.2">
      <c r="F730" t="s">
        <v>121</v>
      </c>
      <c r="H730">
        <v>91.25</v>
      </c>
      <c r="I730">
        <v>200</v>
      </c>
      <c r="J730">
        <v>0</v>
      </c>
      <c r="K730">
        <v>0</v>
      </c>
      <c r="L730">
        <v>0</v>
      </c>
      <c r="N730">
        <v>162</v>
      </c>
      <c r="P730">
        <v>0.06</v>
      </c>
      <c r="Q730">
        <f t="shared" si="87"/>
        <v>1</v>
      </c>
      <c r="S730">
        <f t="shared" si="85"/>
        <v>3.5011858563993599</v>
      </c>
      <c r="T730">
        <f t="shared" si="86"/>
        <v>7.247454722746674E-2</v>
      </c>
      <c r="U730">
        <f t="shared" si="83"/>
        <v>1322.6604869012681</v>
      </c>
    </row>
    <row r="731" spans="5:21" x14ac:dyDescent="0.2">
      <c r="E731" t="s">
        <v>156</v>
      </c>
      <c r="F731" t="s">
        <v>117</v>
      </c>
      <c r="H731">
        <v>91.25</v>
      </c>
      <c r="I731">
        <v>50</v>
      </c>
      <c r="J731">
        <v>0.9</v>
      </c>
      <c r="K731">
        <v>0.05</v>
      </c>
      <c r="L731">
        <f>$AC$12</f>
        <v>1.3</v>
      </c>
      <c r="N731">
        <v>415</v>
      </c>
      <c r="P731">
        <v>-0.05</v>
      </c>
      <c r="Q731">
        <f t="shared" si="87"/>
        <v>1.2750000000000001</v>
      </c>
      <c r="S731">
        <f t="shared" si="85"/>
        <v>8.6559354357618723</v>
      </c>
      <c r="T731">
        <f t="shared" si="86"/>
        <v>0.17917786352027076</v>
      </c>
      <c r="U731">
        <f t="shared" si="83"/>
        <v>817.49900231123536</v>
      </c>
    </row>
    <row r="732" spans="5:21" x14ac:dyDescent="0.2">
      <c r="E732" t="s">
        <v>236</v>
      </c>
      <c r="F732" t="s">
        <v>119</v>
      </c>
      <c r="H732">
        <v>91.25</v>
      </c>
      <c r="I732">
        <v>100</v>
      </c>
      <c r="J732">
        <v>0</v>
      </c>
      <c r="K732">
        <v>0.9</v>
      </c>
      <c r="L732">
        <f>$AC$13</f>
        <v>1.1000000000000001</v>
      </c>
      <c r="N732">
        <v>405</v>
      </c>
      <c r="P732">
        <v>0.31</v>
      </c>
      <c r="Q732">
        <f t="shared" si="87"/>
        <v>1.0900000000000001</v>
      </c>
      <c r="S732">
        <f t="shared" si="85"/>
        <v>7.9160216279152493</v>
      </c>
      <c r="T732">
        <f t="shared" si="86"/>
        <v>0.16386164769784567</v>
      </c>
      <c r="U732">
        <f t="shared" si="83"/>
        <v>1495.2375352428417</v>
      </c>
    </row>
    <row r="733" spans="5:21" x14ac:dyDescent="0.2">
      <c r="F733" t="s">
        <v>120</v>
      </c>
      <c r="H733">
        <v>91.25</v>
      </c>
      <c r="I733">
        <v>90</v>
      </c>
      <c r="J733">
        <v>0</v>
      </c>
      <c r="K733">
        <v>0</v>
      </c>
      <c r="L733">
        <f>$AC$14</f>
        <v>0</v>
      </c>
      <c r="N733">
        <v>427</v>
      </c>
      <c r="P733">
        <v>0.08</v>
      </c>
      <c r="Q733">
        <f t="shared" si="87"/>
        <v>1</v>
      </c>
      <c r="S733">
        <f t="shared" si="85"/>
        <v>7.154151685845159</v>
      </c>
      <c r="T733">
        <f t="shared" si="86"/>
        <v>0.14809093989699479</v>
      </c>
      <c r="U733">
        <f t="shared" si="83"/>
        <v>1216.1968439040697</v>
      </c>
    </row>
    <row r="734" spans="5:21" x14ac:dyDescent="0.2">
      <c r="F734" t="s">
        <v>121</v>
      </c>
      <c r="H734">
        <v>91.25</v>
      </c>
      <c r="I734">
        <v>80</v>
      </c>
      <c r="J734">
        <v>0</v>
      </c>
      <c r="K734">
        <v>0</v>
      </c>
      <c r="L734">
        <f>$AC$14</f>
        <v>0</v>
      </c>
      <c r="N734">
        <v>420</v>
      </c>
      <c r="P734">
        <v>-7.0000000000000007E-2</v>
      </c>
      <c r="Q734">
        <f t="shared" si="87"/>
        <v>1</v>
      </c>
      <c r="S734">
        <f t="shared" si="85"/>
        <v>6.8178954321000003</v>
      </c>
      <c r="T734">
        <f t="shared" si="86"/>
        <v>0.14113043544447001</v>
      </c>
      <c r="U734">
        <f t="shared" si="83"/>
        <v>1030.252178744631</v>
      </c>
    </row>
    <row r="735" spans="5:21" x14ac:dyDescent="0.2">
      <c r="E735" t="s">
        <v>169</v>
      </c>
      <c r="F735" t="s">
        <v>117</v>
      </c>
      <c r="H735">
        <v>91.25</v>
      </c>
      <c r="I735">
        <v>30</v>
      </c>
      <c r="J735">
        <v>0</v>
      </c>
      <c r="K735">
        <v>0</v>
      </c>
      <c r="L735">
        <v>0</v>
      </c>
      <c r="N735">
        <v>272</v>
      </c>
      <c r="P735">
        <v>0.3</v>
      </c>
      <c r="Q735">
        <f t="shared" si="87"/>
        <v>1</v>
      </c>
      <c r="S735">
        <f t="shared" si="85"/>
        <v>5.3917843108665613</v>
      </c>
      <c r="T735">
        <f t="shared" si="86"/>
        <v>0.11160993523493781</v>
      </c>
      <c r="U735">
        <f t="shared" si="83"/>
        <v>305.53219770564226</v>
      </c>
    </row>
    <row r="736" spans="5:21" x14ac:dyDescent="0.2">
      <c r="E736" t="s">
        <v>237</v>
      </c>
      <c r="F736" t="s">
        <v>119</v>
      </c>
      <c r="H736">
        <v>91.25</v>
      </c>
      <c r="I736">
        <v>70</v>
      </c>
      <c r="J736">
        <v>0</v>
      </c>
      <c r="K736">
        <v>0</v>
      </c>
      <c r="L736">
        <v>0</v>
      </c>
      <c r="N736">
        <v>218</v>
      </c>
      <c r="P736">
        <v>0.4</v>
      </c>
      <c r="Q736">
        <f t="shared" si="87"/>
        <v>1</v>
      </c>
      <c r="S736">
        <f t="shared" si="85"/>
        <v>4.7400152152377588</v>
      </c>
      <c r="T736">
        <f t="shared" si="86"/>
        <v>9.8118314955421615E-2</v>
      </c>
      <c r="U736">
        <f t="shared" si="83"/>
        <v>626.73073677775562</v>
      </c>
    </row>
    <row r="737" spans="5:21" x14ac:dyDescent="0.2">
      <c r="F737" t="s">
        <v>120</v>
      </c>
      <c r="H737">
        <v>91.25</v>
      </c>
      <c r="I737">
        <v>40</v>
      </c>
      <c r="J737">
        <v>0</v>
      </c>
      <c r="K737">
        <v>0</v>
      </c>
      <c r="L737">
        <v>0</v>
      </c>
      <c r="N737">
        <v>242</v>
      </c>
      <c r="P737">
        <v>0.24</v>
      </c>
      <c r="Q737">
        <f t="shared" si="87"/>
        <v>1</v>
      </c>
      <c r="S737">
        <f t="shared" si="85"/>
        <v>4.8709090305849614</v>
      </c>
      <c r="T737">
        <f t="shared" si="86"/>
        <v>0.10082781693310869</v>
      </c>
      <c r="U737">
        <f t="shared" si="83"/>
        <v>368.02153180584668</v>
      </c>
    </row>
    <row r="738" spans="5:21" x14ac:dyDescent="0.2">
      <c r="F738" t="s">
        <v>121</v>
      </c>
      <c r="H738">
        <v>91.25</v>
      </c>
      <c r="I738">
        <v>20</v>
      </c>
      <c r="J738">
        <v>0</v>
      </c>
      <c r="K738">
        <v>0</v>
      </c>
      <c r="L738">
        <v>0</v>
      </c>
      <c r="N738">
        <v>261</v>
      </c>
      <c r="P738">
        <v>0.16</v>
      </c>
      <c r="Q738">
        <f t="shared" si="87"/>
        <v>1</v>
      </c>
      <c r="S738">
        <f t="shared" si="85"/>
        <v>5.03206019520516</v>
      </c>
      <c r="T738">
        <f t="shared" si="86"/>
        <v>0.10416364604074682</v>
      </c>
      <c r="U738">
        <f t="shared" si="83"/>
        <v>190.09865402436293</v>
      </c>
    </row>
    <row r="739" spans="5:21" x14ac:dyDescent="0.2">
      <c r="E739" t="s">
        <v>171</v>
      </c>
      <c r="F739" t="s">
        <v>117</v>
      </c>
      <c r="H739">
        <v>91.25</v>
      </c>
      <c r="I739">
        <v>30</v>
      </c>
      <c r="J739">
        <v>0</v>
      </c>
      <c r="K739">
        <v>0</v>
      </c>
      <c r="L739">
        <v>0</v>
      </c>
      <c r="N739">
        <v>392</v>
      </c>
      <c r="P739">
        <v>0.56999999999999995</v>
      </c>
      <c r="Q739">
        <f t="shared" si="87"/>
        <v>1</v>
      </c>
      <c r="S739">
        <f t="shared" si="85"/>
        <v>7.5333978518529587</v>
      </c>
      <c r="T739">
        <f t="shared" si="86"/>
        <v>0.15594133553335623</v>
      </c>
      <c r="U739">
        <f t="shared" si="83"/>
        <v>426.8894060225627</v>
      </c>
    </row>
    <row r="740" spans="5:21" x14ac:dyDescent="0.2">
      <c r="E740" t="s">
        <v>238</v>
      </c>
      <c r="F740" t="s">
        <v>119</v>
      </c>
      <c r="H740">
        <v>91.25</v>
      </c>
      <c r="I740">
        <v>100</v>
      </c>
      <c r="J740">
        <v>0</v>
      </c>
      <c r="K740">
        <v>0</v>
      </c>
      <c r="L740">
        <v>0</v>
      </c>
      <c r="N740">
        <v>315</v>
      </c>
      <c r="P740">
        <v>0.26</v>
      </c>
      <c r="Q740">
        <f t="shared" si="87"/>
        <v>1</v>
      </c>
      <c r="S740">
        <f t="shared" si="85"/>
        <v>5.9487941702249998</v>
      </c>
      <c r="T740">
        <f t="shared" si="86"/>
        <v>0.1231400393236575</v>
      </c>
      <c r="U740">
        <f t="shared" si="83"/>
        <v>1123.6528588283747</v>
      </c>
    </row>
    <row r="741" spans="5:21" x14ac:dyDescent="0.2">
      <c r="F741" t="s">
        <v>120</v>
      </c>
      <c r="H741">
        <v>91.25</v>
      </c>
      <c r="I741">
        <v>40</v>
      </c>
      <c r="J741">
        <v>0</v>
      </c>
      <c r="K741">
        <v>0</v>
      </c>
      <c r="L741">
        <v>0</v>
      </c>
      <c r="N741">
        <v>320</v>
      </c>
      <c r="P741">
        <v>0.15</v>
      </c>
      <c r="Q741">
        <f t="shared" si="87"/>
        <v>1</v>
      </c>
      <c r="S741">
        <f t="shared" si="85"/>
        <v>5.8506418160999987</v>
      </c>
      <c r="T741">
        <f t="shared" si="86"/>
        <v>0.12110828559326997</v>
      </c>
      <c r="U741">
        <f t="shared" si="83"/>
        <v>442.04524241543538</v>
      </c>
    </row>
    <row r="742" spans="5:21" x14ac:dyDescent="0.2">
      <c r="F742" t="s">
        <v>121</v>
      </c>
      <c r="H742">
        <v>91.25</v>
      </c>
      <c r="I742">
        <v>0</v>
      </c>
      <c r="J742">
        <v>0</v>
      </c>
      <c r="K742">
        <v>0</v>
      </c>
      <c r="L742">
        <v>0</v>
      </c>
      <c r="N742">
        <v>342</v>
      </c>
      <c r="P742">
        <v>0.4</v>
      </c>
      <c r="Q742">
        <f t="shared" si="87"/>
        <v>1</v>
      </c>
      <c r="S742">
        <f t="shared" si="85"/>
        <v>6.551417013816959</v>
      </c>
      <c r="T742">
        <f t="shared" si="86"/>
        <v>0.13561433218601104</v>
      </c>
      <c r="U742">
        <f t="shared" si="83"/>
        <v>0</v>
      </c>
    </row>
    <row r="743" spans="5:21" x14ac:dyDescent="0.2">
      <c r="E743" t="s">
        <v>164</v>
      </c>
      <c r="F743" t="s">
        <v>117</v>
      </c>
      <c r="H743">
        <v>91.25</v>
      </c>
      <c r="I743">
        <v>20</v>
      </c>
      <c r="J743">
        <v>0</v>
      </c>
      <c r="K743">
        <v>0</v>
      </c>
      <c r="L743">
        <v>0</v>
      </c>
      <c r="N743">
        <v>170</v>
      </c>
      <c r="P743">
        <v>0.34</v>
      </c>
      <c r="Q743">
        <f t="shared" si="87"/>
        <v>1</v>
      </c>
      <c r="S743">
        <f t="shared" si="85"/>
        <v>3.9551663375999992</v>
      </c>
      <c r="T743">
        <f t="shared" si="86"/>
        <v>8.1871943188319973E-2</v>
      </c>
      <c r="U743">
        <f t="shared" si="83"/>
        <v>149.41629631868395</v>
      </c>
    </row>
    <row r="744" spans="5:21" x14ac:dyDescent="0.2">
      <c r="E744">
        <v>6</v>
      </c>
      <c r="F744" t="s">
        <v>119</v>
      </c>
      <c r="H744">
        <v>91.25</v>
      </c>
      <c r="I744">
        <v>40</v>
      </c>
      <c r="J744">
        <v>0</v>
      </c>
      <c r="K744">
        <v>0</v>
      </c>
      <c r="L744">
        <v>0</v>
      </c>
      <c r="N744">
        <v>133</v>
      </c>
      <c r="P744">
        <v>0.14000000000000001</v>
      </c>
      <c r="Q744">
        <f t="shared" si="87"/>
        <v>1</v>
      </c>
      <c r="S744">
        <f t="shared" si="85"/>
        <v>3.1931138214979606</v>
      </c>
      <c r="T744">
        <f t="shared" si="86"/>
        <v>6.6097456105007779E-2</v>
      </c>
      <c r="U744">
        <f t="shared" si="83"/>
        <v>241.25571478327839</v>
      </c>
    </row>
    <row r="745" spans="5:21" x14ac:dyDescent="0.2">
      <c r="F745" t="s">
        <v>120</v>
      </c>
      <c r="H745">
        <v>91.25</v>
      </c>
      <c r="I745">
        <v>35</v>
      </c>
      <c r="J745">
        <v>0</v>
      </c>
      <c r="K745">
        <v>0</v>
      </c>
      <c r="L745">
        <v>0</v>
      </c>
      <c r="N745">
        <v>146</v>
      </c>
      <c r="P745">
        <v>0.13</v>
      </c>
      <c r="Q745">
        <f t="shared" si="87"/>
        <v>1</v>
      </c>
      <c r="S745">
        <f t="shared" si="85"/>
        <v>3.3612396901185604</v>
      </c>
      <c r="T745">
        <f t="shared" si="86"/>
        <v>6.9577661585454198E-2</v>
      </c>
      <c r="U745">
        <f t="shared" si="83"/>
        <v>222.21365668854435</v>
      </c>
    </row>
    <row r="746" spans="5:21" x14ac:dyDescent="0.2">
      <c r="F746" t="s">
        <v>121</v>
      </c>
      <c r="H746">
        <v>91.25</v>
      </c>
      <c r="I746">
        <v>30</v>
      </c>
      <c r="J746">
        <v>0</v>
      </c>
      <c r="K746">
        <v>0</v>
      </c>
      <c r="L746">
        <v>0</v>
      </c>
      <c r="N746">
        <v>157</v>
      </c>
      <c r="P746">
        <v>0.13</v>
      </c>
      <c r="Q746">
        <f t="shared" si="87"/>
        <v>1</v>
      </c>
      <c r="S746">
        <f t="shared" si="85"/>
        <v>3.5142848777347604</v>
      </c>
      <c r="T746">
        <f t="shared" si="86"/>
        <v>7.2745696969109527E-2</v>
      </c>
      <c r="U746">
        <f t="shared" si="83"/>
        <v>199.14134545293732</v>
      </c>
    </row>
    <row r="747" spans="5:21" x14ac:dyDescent="0.2">
      <c r="E747" t="s">
        <v>176</v>
      </c>
      <c r="F747" t="s">
        <v>117</v>
      </c>
      <c r="H747">
        <v>91.25</v>
      </c>
      <c r="I747">
        <v>30</v>
      </c>
      <c r="J747">
        <v>0</v>
      </c>
      <c r="K747">
        <v>0</v>
      </c>
      <c r="L747">
        <v>0</v>
      </c>
      <c r="N747">
        <v>531</v>
      </c>
      <c r="P747">
        <v>0.52</v>
      </c>
      <c r="Q747">
        <f t="shared" si="87"/>
        <v>1</v>
      </c>
      <c r="S747">
        <f t="shared" si="85"/>
        <v>9.1593475476339599</v>
      </c>
      <c r="T747">
        <f t="shared" si="86"/>
        <v>0.18959849423602296</v>
      </c>
      <c r="U747">
        <f t="shared" si="83"/>
        <v>519.02587797111289</v>
      </c>
    </row>
    <row r="748" spans="5:21" x14ac:dyDescent="0.2">
      <c r="E748" t="s">
        <v>239</v>
      </c>
      <c r="F748" t="s">
        <v>119</v>
      </c>
      <c r="H748">
        <v>91.25</v>
      </c>
      <c r="I748">
        <v>35</v>
      </c>
      <c r="J748">
        <v>0</v>
      </c>
      <c r="K748">
        <v>0</v>
      </c>
      <c r="L748">
        <v>0</v>
      </c>
      <c r="N748">
        <v>445</v>
      </c>
      <c r="P748">
        <v>0.43</v>
      </c>
      <c r="Q748">
        <f t="shared" si="87"/>
        <v>1</v>
      </c>
      <c r="S748">
        <f t="shared" si="85"/>
        <v>7.9856260332249995</v>
      </c>
      <c r="T748">
        <f t="shared" si="86"/>
        <v>0.16530245888775749</v>
      </c>
      <c r="U748">
        <f t="shared" si="83"/>
        <v>527.93472807277544</v>
      </c>
    </row>
    <row r="749" spans="5:21" x14ac:dyDescent="0.2">
      <c r="F749" t="s">
        <v>120</v>
      </c>
      <c r="H749">
        <v>91.25</v>
      </c>
      <c r="I749">
        <v>20</v>
      </c>
      <c r="J749">
        <v>0</v>
      </c>
      <c r="K749">
        <v>0</v>
      </c>
      <c r="L749">
        <v>0</v>
      </c>
      <c r="N749">
        <v>471</v>
      </c>
      <c r="P749">
        <v>0.21</v>
      </c>
      <c r="Q749">
        <f t="shared" si="87"/>
        <v>1</v>
      </c>
      <c r="S749">
        <f t="shared" si="85"/>
        <v>7.9113004163715583</v>
      </c>
      <c r="T749">
        <f t="shared" si="86"/>
        <v>0.16376391861889125</v>
      </c>
      <c r="U749">
        <f t="shared" si="83"/>
        <v>298.86915147947656</v>
      </c>
    </row>
    <row r="750" spans="5:21" x14ac:dyDescent="0.2">
      <c r="F750" t="s">
        <v>121</v>
      </c>
      <c r="H750">
        <v>91.25</v>
      </c>
      <c r="I750">
        <v>0</v>
      </c>
      <c r="J750">
        <v>0</v>
      </c>
      <c r="K750">
        <v>0</v>
      </c>
      <c r="L750">
        <v>0</v>
      </c>
      <c r="N750">
        <v>484</v>
      </c>
      <c r="P750">
        <v>0.33</v>
      </c>
      <c r="Q750">
        <f t="shared" si="87"/>
        <v>1</v>
      </c>
      <c r="S750">
        <f t="shared" si="85"/>
        <v>8.278535337331359</v>
      </c>
      <c r="T750">
        <f t="shared" si="86"/>
        <v>0.17136568148275913</v>
      </c>
      <c r="U750">
        <f t="shared" si="83"/>
        <v>0</v>
      </c>
    </row>
    <row r="771" spans="1:22" x14ac:dyDescent="0.2">
      <c r="A771" t="s">
        <v>264</v>
      </c>
      <c r="B771" t="s">
        <v>232</v>
      </c>
      <c r="C771" t="s">
        <v>264</v>
      </c>
      <c r="D771" t="s">
        <v>264</v>
      </c>
      <c r="E771" t="s">
        <v>116</v>
      </c>
      <c r="F771" t="s">
        <v>299</v>
      </c>
      <c r="H771">
        <v>31</v>
      </c>
      <c r="I771">
        <v>100</v>
      </c>
      <c r="J771">
        <v>0</v>
      </c>
      <c r="K771">
        <v>0</v>
      </c>
      <c r="L771">
        <v>0</v>
      </c>
      <c r="N771">
        <f>$AM$91</f>
        <v>119</v>
      </c>
      <c r="P771">
        <f>$AM$25</f>
        <v>0.62</v>
      </c>
      <c r="Q771">
        <f t="shared" si="87"/>
        <v>1</v>
      </c>
      <c r="S771">
        <f>(1.185 + 0.00454 * N771- 0.0000026 * N771^2 + 0.315 * P771 )^2 * Q771</f>
        <v>3.5484816620739603</v>
      </c>
      <c r="T771">
        <f>20.7 * S771 * 10^-3</f>
        <v>7.3453570404930973E-2</v>
      </c>
      <c r="U771">
        <f>H771*T771*I771</f>
        <v>227.706068255286</v>
      </c>
      <c r="V771">
        <f>SUM(U771:U890)/1000</f>
        <v>36.844921610680601</v>
      </c>
    </row>
    <row r="772" spans="1:22" x14ac:dyDescent="0.2">
      <c r="E772">
        <v>1</v>
      </c>
      <c r="F772" t="s">
        <v>300</v>
      </c>
      <c r="H772">
        <v>28</v>
      </c>
      <c r="I772">
        <v>90</v>
      </c>
      <c r="J772">
        <v>0</v>
      </c>
      <c r="K772">
        <v>0</v>
      </c>
      <c r="L772">
        <v>0</v>
      </c>
      <c r="N772">
        <f>$AM$91</f>
        <v>119</v>
      </c>
      <c r="P772">
        <f>$AM$25</f>
        <v>0.62</v>
      </c>
      <c r="Q772">
        <f t="shared" si="87"/>
        <v>1</v>
      </c>
      <c r="S772">
        <f t="shared" ref="S772:S810" si="88">(1.185 + 0.00454 * N772- 0.0000026 * N772^2 + 0.315 * P772 )^2 * Q772</f>
        <v>3.5484816620739603</v>
      </c>
      <c r="T772">
        <f t="shared" ref="T772:T835" si="89">20.7 * S772 * 10^-3</f>
        <v>7.3453570404930973E-2</v>
      </c>
      <c r="U772">
        <f t="shared" ref="U772:U835" si="90">H772*T772*I772</f>
        <v>185.10299742042605</v>
      </c>
    </row>
    <row r="773" spans="1:22" x14ac:dyDescent="0.2">
      <c r="F773" t="s">
        <v>301</v>
      </c>
      <c r="G773" s="1">
        <v>25</v>
      </c>
      <c r="H773" s="1">
        <v>25</v>
      </c>
      <c r="I773">
        <v>80</v>
      </c>
      <c r="J773">
        <v>0</v>
      </c>
      <c r="K773">
        <v>0</v>
      </c>
      <c r="L773">
        <v>0</v>
      </c>
      <c r="N773">
        <f>$AM$92</f>
        <v>175</v>
      </c>
      <c r="P773">
        <f>$AM$26</f>
        <v>0.4</v>
      </c>
      <c r="Q773">
        <f t="shared" si="87"/>
        <v>1</v>
      </c>
      <c r="S773">
        <f t="shared" si="88"/>
        <v>4.1041695156250002</v>
      </c>
      <c r="T773">
        <f t="shared" si="89"/>
        <v>8.4956308973437505E-2</v>
      </c>
      <c r="U773">
        <f t="shared" si="90"/>
        <v>169.912617946875</v>
      </c>
    </row>
    <row r="774" spans="1:22" x14ac:dyDescent="0.2">
      <c r="F774" t="s">
        <v>302</v>
      </c>
      <c r="H774">
        <v>30</v>
      </c>
      <c r="I774">
        <v>80</v>
      </c>
      <c r="J774">
        <v>0</v>
      </c>
      <c r="K774">
        <v>0</v>
      </c>
      <c r="L774">
        <v>0</v>
      </c>
      <c r="N774">
        <f t="shared" ref="N774:N775" si="91">$AM$92</f>
        <v>175</v>
      </c>
      <c r="P774">
        <f t="shared" ref="P774:P775" si="92">$AM$26</f>
        <v>0.4</v>
      </c>
      <c r="Q774">
        <f t="shared" si="87"/>
        <v>1</v>
      </c>
      <c r="S774">
        <f t="shared" si="88"/>
        <v>4.1041695156250002</v>
      </c>
      <c r="T774">
        <f t="shared" si="89"/>
        <v>8.4956308973437505E-2</v>
      </c>
      <c r="U774">
        <f t="shared" si="90"/>
        <v>203.89514153625001</v>
      </c>
    </row>
    <row r="775" spans="1:22" x14ac:dyDescent="0.2">
      <c r="F775" t="s">
        <v>303</v>
      </c>
      <c r="H775">
        <v>31</v>
      </c>
      <c r="I775">
        <v>75</v>
      </c>
      <c r="J775">
        <v>0</v>
      </c>
      <c r="K775">
        <v>0</v>
      </c>
      <c r="L775">
        <v>0</v>
      </c>
      <c r="N775">
        <f t="shared" si="91"/>
        <v>175</v>
      </c>
      <c r="P775">
        <f t="shared" si="92"/>
        <v>0.4</v>
      </c>
      <c r="Q775">
        <f t="shared" si="87"/>
        <v>1</v>
      </c>
      <c r="S775">
        <f t="shared" si="88"/>
        <v>4.1041695156250002</v>
      </c>
      <c r="T775">
        <f t="shared" si="89"/>
        <v>8.4956308973437505E-2</v>
      </c>
      <c r="U775">
        <f t="shared" si="90"/>
        <v>197.5234183632422</v>
      </c>
    </row>
    <row r="776" spans="1:22" x14ac:dyDescent="0.2">
      <c r="F776" t="s">
        <v>304</v>
      </c>
      <c r="H776">
        <v>30</v>
      </c>
      <c r="I776">
        <v>70</v>
      </c>
      <c r="J776">
        <v>0</v>
      </c>
      <c r="K776">
        <v>0</v>
      </c>
      <c r="L776">
        <v>0</v>
      </c>
      <c r="N776">
        <f>$AM$93</f>
        <v>192</v>
      </c>
      <c r="P776">
        <f>$AM$27</f>
        <v>0.08</v>
      </c>
      <c r="Q776">
        <f t="shared" si="87"/>
        <v>1</v>
      </c>
      <c r="S776">
        <f t="shared" si="88"/>
        <v>3.9443294603289596</v>
      </c>
      <c r="T776">
        <f t="shared" si="89"/>
        <v>8.1647619828809456E-2</v>
      </c>
      <c r="U776">
        <f t="shared" si="90"/>
        <v>171.46000164049985</v>
      </c>
    </row>
    <row r="777" spans="1:22" x14ac:dyDescent="0.2">
      <c r="F777" t="s">
        <v>305</v>
      </c>
      <c r="H777">
        <v>31</v>
      </c>
      <c r="I777">
        <v>60</v>
      </c>
      <c r="J777">
        <v>0</v>
      </c>
      <c r="K777">
        <v>0</v>
      </c>
      <c r="L777">
        <v>0</v>
      </c>
      <c r="N777">
        <f t="shared" ref="N777:N778" si="93">$AM$93</f>
        <v>192</v>
      </c>
      <c r="P777">
        <f t="shared" ref="P777:P778" si="94">$AM$27</f>
        <v>0.08</v>
      </c>
      <c r="Q777">
        <f t="shared" si="87"/>
        <v>1</v>
      </c>
      <c r="S777">
        <f t="shared" si="88"/>
        <v>3.9443294603289596</v>
      </c>
      <c r="T777">
        <f t="shared" si="89"/>
        <v>8.1647619828809456E-2</v>
      </c>
      <c r="U777">
        <f t="shared" si="90"/>
        <v>151.86457288158559</v>
      </c>
    </row>
    <row r="778" spans="1:22" x14ac:dyDescent="0.2">
      <c r="F778" t="s">
        <v>306</v>
      </c>
      <c r="H778">
        <v>31</v>
      </c>
      <c r="I778">
        <v>50</v>
      </c>
      <c r="J778">
        <v>0</v>
      </c>
      <c r="K778">
        <v>0</v>
      </c>
      <c r="L778">
        <v>0</v>
      </c>
      <c r="N778">
        <f t="shared" si="93"/>
        <v>192</v>
      </c>
      <c r="P778">
        <f t="shared" si="94"/>
        <v>0.08</v>
      </c>
      <c r="Q778">
        <f t="shared" si="87"/>
        <v>1</v>
      </c>
      <c r="S778">
        <f t="shared" si="88"/>
        <v>3.9443294603289596</v>
      </c>
      <c r="T778">
        <f t="shared" si="89"/>
        <v>8.1647619828809456E-2</v>
      </c>
      <c r="U778">
        <f t="shared" si="90"/>
        <v>126.55381073465466</v>
      </c>
    </row>
    <row r="779" spans="1:22" x14ac:dyDescent="0.2">
      <c r="F779" t="s">
        <v>307</v>
      </c>
      <c r="H779">
        <v>30</v>
      </c>
      <c r="I779">
        <v>50</v>
      </c>
      <c r="J779">
        <v>0</v>
      </c>
      <c r="K779">
        <v>0</v>
      </c>
      <c r="L779">
        <v>0</v>
      </c>
      <c r="N779">
        <f>$AM$90</f>
        <v>190</v>
      </c>
      <c r="P779">
        <f>$AM$24</f>
        <v>-0.2</v>
      </c>
      <c r="Q779">
        <f t="shared" si="87"/>
        <v>1</v>
      </c>
      <c r="S779">
        <f t="shared" si="88"/>
        <v>3.5748977476000001</v>
      </c>
      <c r="T779">
        <f t="shared" si="89"/>
        <v>7.400038337532E-2</v>
      </c>
      <c r="U779">
        <f t="shared" si="90"/>
        <v>111.00057506298</v>
      </c>
    </row>
    <row r="780" spans="1:22" x14ac:dyDescent="0.2">
      <c r="F780" t="s">
        <v>308</v>
      </c>
      <c r="H780">
        <v>31</v>
      </c>
      <c r="I780">
        <v>70</v>
      </c>
      <c r="J780">
        <v>0</v>
      </c>
      <c r="K780">
        <v>0</v>
      </c>
      <c r="L780">
        <v>0</v>
      </c>
      <c r="N780">
        <f t="shared" ref="N780:N781" si="95">$AM$90</f>
        <v>190</v>
      </c>
      <c r="P780">
        <f t="shared" ref="P780:P781" si="96">$AM$24</f>
        <v>-0.2</v>
      </c>
      <c r="Q780">
        <f t="shared" si="87"/>
        <v>1</v>
      </c>
      <c r="S780">
        <f t="shared" si="88"/>
        <v>3.5748977476000001</v>
      </c>
      <c r="T780">
        <f t="shared" si="89"/>
        <v>7.400038337532E-2</v>
      </c>
      <c r="U780">
        <f t="shared" si="90"/>
        <v>160.58083192444442</v>
      </c>
    </row>
    <row r="781" spans="1:22" x14ac:dyDescent="0.2">
      <c r="F781" t="s">
        <v>309</v>
      </c>
      <c r="H781">
        <v>30</v>
      </c>
      <c r="I781">
        <v>90</v>
      </c>
      <c r="J781">
        <v>0</v>
      </c>
      <c r="K781">
        <v>0</v>
      </c>
      <c r="L781">
        <v>0</v>
      </c>
      <c r="N781">
        <f t="shared" si="95"/>
        <v>190</v>
      </c>
      <c r="P781">
        <f t="shared" si="96"/>
        <v>-0.2</v>
      </c>
      <c r="Q781">
        <f t="shared" si="87"/>
        <v>1</v>
      </c>
      <c r="S781">
        <f t="shared" si="88"/>
        <v>3.5748977476000001</v>
      </c>
      <c r="T781">
        <f t="shared" si="89"/>
        <v>7.400038337532E-2</v>
      </c>
      <c r="U781">
        <f t="shared" si="90"/>
        <v>199.80103511336401</v>
      </c>
    </row>
    <row r="782" spans="1:22" x14ac:dyDescent="0.2">
      <c r="F782" t="s">
        <v>310</v>
      </c>
      <c r="H782">
        <v>31</v>
      </c>
      <c r="I782">
        <v>95</v>
      </c>
      <c r="J782">
        <v>0</v>
      </c>
      <c r="K782">
        <v>0</v>
      </c>
      <c r="L782">
        <v>0</v>
      </c>
      <c r="N782">
        <f>$AM$91</f>
        <v>119</v>
      </c>
      <c r="P782">
        <f>$AM$25</f>
        <v>0.62</v>
      </c>
      <c r="Q782">
        <f t="shared" si="87"/>
        <v>1</v>
      </c>
      <c r="S782">
        <f t="shared" si="88"/>
        <v>3.5484816620739603</v>
      </c>
      <c r="T782">
        <f t="shared" si="89"/>
        <v>7.3453570404930973E-2</v>
      </c>
      <c r="U782">
        <f t="shared" si="90"/>
        <v>216.3207648425217</v>
      </c>
    </row>
    <row r="783" spans="1:22" x14ac:dyDescent="0.2">
      <c r="E783" t="s">
        <v>122</v>
      </c>
      <c r="F783" t="s">
        <v>299</v>
      </c>
      <c r="H783">
        <v>31</v>
      </c>
      <c r="I783">
        <v>80</v>
      </c>
      <c r="J783">
        <v>0</v>
      </c>
      <c r="K783">
        <v>0</v>
      </c>
      <c r="L783">
        <v>0</v>
      </c>
      <c r="N783">
        <f>$AM$95</f>
        <v>591</v>
      </c>
      <c r="P783">
        <f>$AM$29</f>
        <v>0.21</v>
      </c>
      <c r="Q783">
        <f t="shared" si="87"/>
        <v>1</v>
      </c>
      <c r="S783">
        <f t="shared" si="88"/>
        <v>9.1576407142083571</v>
      </c>
      <c r="T783">
        <f t="shared" si="89"/>
        <v>0.189563162784113</v>
      </c>
      <c r="U783">
        <f t="shared" si="90"/>
        <v>470.11664370460028</v>
      </c>
    </row>
    <row r="784" spans="1:22" x14ac:dyDescent="0.2">
      <c r="E784">
        <v>2</v>
      </c>
      <c r="F784" t="s">
        <v>300</v>
      </c>
      <c r="H784">
        <v>28</v>
      </c>
      <c r="I784">
        <v>75</v>
      </c>
      <c r="J784">
        <v>0</v>
      </c>
      <c r="K784">
        <v>0</v>
      </c>
      <c r="L784">
        <v>0</v>
      </c>
      <c r="N784">
        <f>$AM$95</f>
        <v>591</v>
      </c>
      <c r="P784">
        <f>$AM$29</f>
        <v>0.21</v>
      </c>
      <c r="Q784">
        <f t="shared" si="87"/>
        <v>1</v>
      </c>
      <c r="S784">
        <f t="shared" si="88"/>
        <v>9.1576407142083571</v>
      </c>
      <c r="T784">
        <f t="shared" si="89"/>
        <v>0.189563162784113</v>
      </c>
      <c r="U784">
        <f t="shared" si="90"/>
        <v>398.08264184663733</v>
      </c>
    </row>
    <row r="785" spans="5:21" x14ac:dyDescent="0.2">
      <c r="F785" t="s">
        <v>301</v>
      </c>
      <c r="H785">
        <v>31</v>
      </c>
      <c r="I785">
        <v>70</v>
      </c>
      <c r="J785">
        <v>0</v>
      </c>
      <c r="K785">
        <v>0</v>
      </c>
      <c r="L785">
        <v>0</v>
      </c>
      <c r="N785">
        <f>$AM$96</f>
        <v>610</v>
      </c>
      <c r="P785">
        <f>$AM$30</f>
        <v>0.13</v>
      </c>
      <c r="Q785">
        <f t="shared" si="87"/>
        <v>1</v>
      </c>
      <c r="S785">
        <f t="shared" si="88"/>
        <v>9.1681178520999982</v>
      </c>
      <c r="T785">
        <f t="shared" si="89"/>
        <v>0.18978003953846997</v>
      </c>
      <c r="U785">
        <f t="shared" si="90"/>
        <v>411.82268579847982</v>
      </c>
    </row>
    <row r="786" spans="5:21" x14ac:dyDescent="0.2">
      <c r="F786" t="s">
        <v>302</v>
      </c>
      <c r="H786">
        <v>30</v>
      </c>
      <c r="I786">
        <v>70</v>
      </c>
      <c r="J786">
        <v>0</v>
      </c>
      <c r="K786">
        <v>0</v>
      </c>
      <c r="L786">
        <v>0</v>
      </c>
      <c r="N786">
        <f t="shared" ref="N786:N787" si="97">$AM$96</f>
        <v>610</v>
      </c>
      <c r="P786">
        <f t="shared" ref="P786:P787" si="98">$AM$30</f>
        <v>0.13</v>
      </c>
      <c r="Q786">
        <f t="shared" si="87"/>
        <v>1</v>
      </c>
      <c r="S786">
        <f t="shared" si="88"/>
        <v>9.1681178520999982</v>
      </c>
      <c r="T786">
        <f t="shared" si="89"/>
        <v>0.18978003953846997</v>
      </c>
      <c r="U786">
        <f t="shared" si="90"/>
        <v>398.53808303078694</v>
      </c>
    </row>
    <row r="787" spans="5:21" x14ac:dyDescent="0.2">
      <c r="F787" t="s">
        <v>303</v>
      </c>
      <c r="G787" s="1">
        <v>30</v>
      </c>
      <c r="H787" s="1">
        <v>30</v>
      </c>
      <c r="I787">
        <v>65</v>
      </c>
      <c r="J787">
        <v>0</v>
      </c>
      <c r="K787">
        <v>0</v>
      </c>
      <c r="L787">
        <v>0</v>
      </c>
      <c r="N787">
        <f t="shared" si="97"/>
        <v>610</v>
      </c>
      <c r="P787">
        <f t="shared" si="98"/>
        <v>0.13</v>
      </c>
      <c r="Q787">
        <f t="shared" si="87"/>
        <v>1</v>
      </c>
      <c r="S787">
        <f t="shared" si="88"/>
        <v>9.1681178520999982</v>
      </c>
      <c r="T787">
        <f t="shared" si="89"/>
        <v>0.18978003953846997</v>
      </c>
      <c r="U787">
        <f t="shared" si="90"/>
        <v>370.07107710001645</v>
      </c>
    </row>
    <row r="788" spans="5:21" x14ac:dyDescent="0.2">
      <c r="F788" t="s">
        <v>304</v>
      </c>
      <c r="H788">
        <v>30</v>
      </c>
      <c r="I788">
        <v>65</v>
      </c>
      <c r="J788">
        <v>0</v>
      </c>
      <c r="K788">
        <v>0</v>
      </c>
      <c r="L788">
        <v>0</v>
      </c>
      <c r="N788">
        <f>$AM$97</f>
        <v>615</v>
      </c>
      <c r="P788">
        <f>$AM$31</f>
        <v>0.04</v>
      </c>
      <c r="Q788">
        <f t="shared" ref="Q788:Q851" si="99">(J788 * $AD$4 +K788* $AD$5) + (1 -J788 - K788 )</f>
        <v>1</v>
      </c>
      <c r="S788">
        <f t="shared" si="88"/>
        <v>9.0379298792249987</v>
      </c>
      <c r="T788">
        <f t="shared" si="89"/>
        <v>0.18708514849995747</v>
      </c>
      <c r="U788">
        <f t="shared" si="90"/>
        <v>364.81603957491706</v>
      </c>
    </row>
    <row r="789" spans="5:21" x14ac:dyDescent="0.2">
      <c r="F789" t="s">
        <v>305</v>
      </c>
      <c r="H789">
        <v>31</v>
      </c>
      <c r="I789">
        <v>40</v>
      </c>
      <c r="J789">
        <v>0</v>
      </c>
      <c r="K789">
        <v>0</v>
      </c>
      <c r="L789">
        <v>0</v>
      </c>
      <c r="N789">
        <f t="shared" ref="N789:N790" si="100">$AM$97</f>
        <v>615</v>
      </c>
      <c r="P789">
        <f t="shared" ref="P789:P790" si="101">$AM$31</f>
        <v>0.04</v>
      </c>
      <c r="Q789">
        <f t="shared" si="99"/>
        <v>1</v>
      </c>
      <c r="S789">
        <f t="shared" si="88"/>
        <v>9.0379298792249987</v>
      </c>
      <c r="T789">
        <f t="shared" si="89"/>
        <v>0.18708514849995747</v>
      </c>
      <c r="U789">
        <f t="shared" si="90"/>
        <v>231.98558413994726</v>
      </c>
    </row>
    <row r="790" spans="5:21" x14ac:dyDescent="0.2">
      <c r="F790" t="s">
        <v>306</v>
      </c>
      <c r="H790">
        <v>31</v>
      </c>
      <c r="I790">
        <v>30</v>
      </c>
      <c r="J790">
        <v>0</v>
      </c>
      <c r="K790">
        <v>0</v>
      </c>
      <c r="L790">
        <v>0</v>
      </c>
      <c r="N790">
        <f t="shared" si="100"/>
        <v>615</v>
      </c>
      <c r="P790">
        <f t="shared" si="101"/>
        <v>0.04</v>
      </c>
      <c r="Q790">
        <f t="shared" si="99"/>
        <v>1</v>
      </c>
      <c r="S790">
        <f t="shared" si="88"/>
        <v>9.0379298792249987</v>
      </c>
      <c r="T790">
        <f t="shared" si="89"/>
        <v>0.18708514849995747</v>
      </c>
      <c r="U790">
        <f t="shared" si="90"/>
        <v>173.98918810496045</v>
      </c>
    </row>
    <row r="791" spans="5:21" x14ac:dyDescent="0.2">
      <c r="F791" t="s">
        <v>307</v>
      </c>
      <c r="H791">
        <v>30</v>
      </c>
      <c r="I791">
        <v>20</v>
      </c>
      <c r="J791">
        <v>0</v>
      </c>
      <c r="K791">
        <v>0</v>
      </c>
      <c r="L791">
        <v>0</v>
      </c>
      <c r="N791">
        <f>$AM$94</f>
        <v>617</v>
      </c>
      <c r="P791">
        <f>$AM$28</f>
        <v>0.02</v>
      </c>
      <c r="Q791">
        <f t="shared" si="99"/>
        <v>1</v>
      </c>
      <c r="S791">
        <f t="shared" si="88"/>
        <v>9.0161388285699591</v>
      </c>
      <c r="T791">
        <f t="shared" si="89"/>
        <v>0.18663407375139815</v>
      </c>
      <c r="U791">
        <f t="shared" si="90"/>
        <v>111.9804442508389</v>
      </c>
    </row>
    <row r="792" spans="5:21" x14ac:dyDescent="0.2">
      <c r="F792" t="s">
        <v>308</v>
      </c>
      <c r="H792">
        <v>31</v>
      </c>
      <c r="I792">
        <v>40</v>
      </c>
      <c r="J792">
        <v>0</v>
      </c>
      <c r="K792">
        <v>0</v>
      </c>
      <c r="L792">
        <v>0</v>
      </c>
      <c r="N792">
        <f t="shared" ref="N792:N793" si="102">$AM$94</f>
        <v>617</v>
      </c>
      <c r="P792">
        <f t="shared" ref="P792:P793" si="103">$AM$28</f>
        <v>0.02</v>
      </c>
      <c r="Q792">
        <f t="shared" si="99"/>
        <v>1</v>
      </c>
      <c r="S792">
        <f t="shared" si="88"/>
        <v>9.0161388285699591</v>
      </c>
      <c r="T792">
        <f t="shared" si="89"/>
        <v>0.18663407375139815</v>
      </c>
      <c r="U792">
        <f t="shared" si="90"/>
        <v>231.42625145173369</v>
      </c>
    </row>
    <row r="793" spans="5:21" x14ac:dyDescent="0.2">
      <c r="F793" t="s">
        <v>309</v>
      </c>
      <c r="H793">
        <v>30</v>
      </c>
      <c r="I793">
        <v>60</v>
      </c>
      <c r="J793">
        <v>0</v>
      </c>
      <c r="K793">
        <v>0</v>
      </c>
      <c r="L793">
        <v>0</v>
      </c>
      <c r="N793">
        <f t="shared" si="102"/>
        <v>617</v>
      </c>
      <c r="P793">
        <f t="shared" si="103"/>
        <v>0.02</v>
      </c>
      <c r="Q793">
        <f t="shared" si="99"/>
        <v>1</v>
      </c>
      <c r="S793">
        <f t="shared" si="88"/>
        <v>9.0161388285699591</v>
      </c>
      <c r="T793">
        <f t="shared" si="89"/>
        <v>0.18663407375139815</v>
      </c>
      <c r="U793">
        <f t="shared" si="90"/>
        <v>335.9413327525167</v>
      </c>
    </row>
    <row r="794" spans="5:21" x14ac:dyDescent="0.2">
      <c r="F794" t="s">
        <v>310</v>
      </c>
      <c r="H794">
        <v>31</v>
      </c>
      <c r="I794">
        <v>75</v>
      </c>
      <c r="J794">
        <v>0</v>
      </c>
      <c r="K794">
        <v>0</v>
      </c>
      <c r="L794">
        <v>0</v>
      </c>
      <c r="N794">
        <f>$AM$95</f>
        <v>591</v>
      </c>
      <c r="P794">
        <f>$AM$29</f>
        <v>0.21</v>
      </c>
      <c r="Q794">
        <f t="shared" si="99"/>
        <v>1</v>
      </c>
      <c r="S794">
        <f t="shared" si="88"/>
        <v>9.1576407142083571</v>
      </c>
      <c r="T794">
        <f t="shared" si="89"/>
        <v>0.189563162784113</v>
      </c>
      <c r="U794">
        <f t="shared" si="90"/>
        <v>440.73435347306275</v>
      </c>
    </row>
    <row r="795" spans="5:21" x14ac:dyDescent="0.2">
      <c r="E795" t="s">
        <v>146</v>
      </c>
      <c r="F795" t="s">
        <v>299</v>
      </c>
      <c r="H795">
        <v>31</v>
      </c>
      <c r="I795">
        <v>180</v>
      </c>
      <c r="J795">
        <v>0</v>
      </c>
      <c r="K795">
        <v>0</v>
      </c>
      <c r="L795">
        <v>0</v>
      </c>
      <c r="M795" s="1">
        <v>210</v>
      </c>
      <c r="N795" s="1">
        <v>210</v>
      </c>
      <c r="O795" s="1">
        <v>0</v>
      </c>
      <c r="P795" s="1">
        <v>0</v>
      </c>
      <c r="Q795">
        <f t="shared" si="99"/>
        <v>1</v>
      </c>
      <c r="S795">
        <f t="shared" si="88"/>
        <v>4.0955235875999989</v>
      </c>
      <c r="T795">
        <f t="shared" si="89"/>
        <v>8.4777338263319985E-2</v>
      </c>
      <c r="U795">
        <f t="shared" si="90"/>
        <v>473.0575475093255</v>
      </c>
    </row>
    <row r="796" spans="5:21" x14ac:dyDescent="0.2">
      <c r="E796">
        <v>4</v>
      </c>
      <c r="F796" t="s">
        <v>300</v>
      </c>
      <c r="H796">
        <v>28</v>
      </c>
      <c r="I796">
        <v>180</v>
      </c>
      <c r="J796">
        <v>0</v>
      </c>
      <c r="K796">
        <v>0</v>
      </c>
      <c r="L796">
        <v>0</v>
      </c>
      <c r="M796" s="1">
        <v>210</v>
      </c>
      <c r="N796" s="1">
        <v>210</v>
      </c>
      <c r="O796" s="1">
        <v>0</v>
      </c>
      <c r="P796" s="1">
        <v>0</v>
      </c>
      <c r="Q796">
        <f t="shared" si="99"/>
        <v>1</v>
      </c>
      <c r="S796">
        <f t="shared" si="88"/>
        <v>4.0955235875999989</v>
      </c>
      <c r="T796">
        <f t="shared" si="89"/>
        <v>8.4777338263319985E-2</v>
      </c>
      <c r="U796">
        <f t="shared" si="90"/>
        <v>427.27778484713269</v>
      </c>
    </row>
    <row r="797" spans="5:21" x14ac:dyDescent="0.2">
      <c r="F797" t="s">
        <v>301</v>
      </c>
      <c r="H797">
        <v>31</v>
      </c>
      <c r="I797">
        <v>170</v>
      </c>
      <c r="J797">
        <v>0</v>
      </c>
      <c r="K797">
        <v>0</v>
      </c>
      <c r="L797">
        <v>0</v>
      </c>
      <c r="M797" s="1">
        <v>225</v>
      </c>
      <c r="N797" s="1">
        <v>225</v>
      </c>
      <c r="O797" s="1">
        <v>0.5</v>
      </c>
      <c r="P797" s="1">
        <v>0.5</v>
      </c>
      <c r="Q797">
        <f t="shared" si="99"/>
        <v>1</v>
      </c>
      <c r="S797">
        <f t="shared" si="88"/>
        <v>4.9834981406250014</v>
      </c>
      <c r="T797">
        <f t="shared" si="89"/>
        <v>0.10315841151093753</v>
      </c>
      <c r="U797">
        <f t="shared" si="90"/>
        <v>543.64482866264086</v>
      </c>
    </row>
    <row r="798" spans="5:21" x14ac:dyDescent="0.2">
      <c r="F798" t="s">
        <v>302</v>
      </c>
      <c r="H798">
        <v>30</v>
      </c>
      <c r="I798">
        <v>170</v>
      </c>
      <c r="J798">
        <v>0</v>
      </c>
      <c r="K798">
        <v>0</v>
      </c>
      <c r="L798">
        <v>0</v>
      </c>
      <c r="M798" s="1">
        <v>230</v>
      </c>
      <c r="N798" s="1">
        <v>230</v>
      </c>
      <c r="O798" s="1">
        <v>0.05</v>
      </c>
      <c r="P798" s="1">
        <v>0.05</v>
      </c>
      <c r="Q798">
        <f t="shared" si="99"/>
        <v>1</v>
      </c>
      <c r="S798">
        <f t="shared" si="88"/>
        <v>4.441176908100001</v>
      </c>
      <c r="T798">
        <f t="shared" si="89"/>
        <v>9.193236199767002E-2</v>
      </c>
      <c r="U798">
        <f t="shared" si="90"/>
        <v>468.85504618811711</v>
      </c>
    </row>
    <row r="799" spans="5:21" x14ac:dyDescent="0.2">
      <c r="F799" t="s">
        <v>303</v>
      </c>
      <c r="H799">
        <v>31</v>
      </c>
      <c r="I799">
        <v>168</v>
      </c>
      <c r="J799">
        <v>0</v>
      </c>
      <c r="K799">
        <v>0</v>
      </c>
      <c r="L799">
        <v>0</v>
      </c>
      <c r="M799" s="1">
        <v>235</v>
      </c>
      <c r="N799" s="1">
        <v>235</v>
      </c>
      <c r="O799" s="1">
        <v>0.03</v>
      </c>
      <c r="P799" s="1">
        <v>0.03</v>
      </c>
      <c r="Q799">
        <f t="shared" si="99"/>
        <v>1</v>
      </c>
      <c r="S799">
        <f t="shared" si="88"/>
        <v>4.4849285952250018</v>
      </c>
      <c r="T799">
        <f t="shared" si="89"/>
        <v>9.2838021921157532E-2</v>
      </c>
      <c r="U799">
        <f t="shared" si="90"/>
        <v>483.5004181653884</v>
      </c>
    </row>
    <row r="800" spans="5:21" x14ac:dyDescent="0.2">
      <c r="F800" t="s">
        <v>304</v>
      </c>
      <c r="H800">
        <v>30</v>
      </c>
      <c r="I800">
        <v>165</v>
      </c>
      <c r="J800">
        <v>0</v>
      </c>
      <c r="K800">
        <v>0</v>
      </c>
      <c r="L800">
        <v>0</v>
      </c>
      <c r="M800" s="1">
        <v>240</v>
      </c>
      <c r="N800" s="1">
        <v>240</v>
      </c>
      <c r="O800" s="1">
        <v>0.03</v>
      </c>
      <c r="P800" s="1">
        <v>0.03</v>
      </c>
      <c r="Q800">
        <f t="shared" si="99"/>
        <v>1</v>
      </c>
      <c r="S800">
        <f t="shared" si="88"/>
        <v>4.5551938041</v>
      </c>
      <c r="T800">
        <f t="shared" si="89"/>
        <v>9.4292511744869995E-2</v>
      </c>
      <c r="U800">
        <f t="shared" si="90"/>
        <v>466.74793313710643</v>
      </c>
    </row>
    <row r="801" spans="5:21" x14ac:dyDescent="0.2">
      <c r="F801" t="s">
        <v>305</v>
      </c>
      <c r="H801">
        <v>31</v>
      </c>
      <c r="I801">
        <v>130</v>
      </c>
      <c r="J801">
        <v>0</v>
      </c>
      <c r="K801">
        <v>0</v>
      </c>
      <c r="L801">
        <v>0</v>
      </c>
      <c r="M801" s="1">
        <v>245</v>
      </c>
      <c r="N801" s="1">
        <v>245</v>
      </c>
      <c r="O801" s="1">
        <v>2.5000000000000001E-2</v>
      </c>
      <c r="P801" s="1">
        <v>2.5000000000000001E-2</v>
      </c>
      <c r="Q801">
        <f t="shared" si="99"/>
        <v>1</v>
      </c>
      <c r="S801">
        <f t="shared" si="88"/>
        <v>4.6186737920999992</v>
      </c>
      <c r="T801">
        <f t="shared" si="89"/>
        <v>9.560654749646999E-2</v>
      </c>
      <c r="U801">
        <f t="shared" si="90"/>
        <v>385.29438641077405</v>
      </c>
    </row>
    <row r="802" spans="5:21" x14ac:dyDescent="0.2">
      <c r="F802" t="s">
        <v>306</v>
      </c>
      <c r="H802">
        <v>31</v>
      </c>
      <c r="I802">
        <v>120</v>
      </c>
      <c r="J802">
        <v>0</v>
      </c>
      <c r="K802">
        <v>0</v>
      </c>
      <c r="L802">
        <v>0</v>
      </c>
      <c r="M802" s="1">
        <v>260</v>
      </c>
      <c r="N802" s="1">
        <v>260</v>
      </c>
      <c r="O802" s="1">
        <v>0.4</v>
      </c>
      <c r="P802" s="1">
        <v>0.4</v>
      </c>
      <c r="Q802">
        <f t="shared" si="99"/>
        <v>1</v>
      </c>
      <c r="S802">
        <f t="shared" si="88"/>
        <v>5.3621886096000004</v>
      </c>
      <c r="T802">
        <f t="shared" si="89"/>
        <v>0.11099730421872001</v>
      </c>
      <c r="U802">
        <f t="shared" si="90"/>
        <v>412.90997169363845</v>
      </c>
    </row>
    <row r="803" spans="5:21" x14ac:dyDescent="0.2">
      <c r="F803" t="s">
        <v>307</v>
      </c>
      <c r="H803">
        <v>30</v>
      </c>
      <c r="I803">
        <v>90</v>
      </c>
      <c r="J803">
        <v>0.2</v>
      </c>
      <c r="K803">
        <v>0</v>
      </c>
      <c r="L803">
        <v>0</v>
      </c>
      <c r="M803" s="1">
        <v>260</v>
      </c>
      <c r="N803" s="1">
        <v>260</v>
      </c>
      <c r="O803" s="1">
        <v>0</v>
      </c>
      <c r="P803" s="1">
        <v>0</v>
      </c>
      <c r="Q803">
        <f t="shared" si="99"/>
        <v>1.06</v>
      </c>
      <c r="S803">
        <f t="shared" si="88"/>
        <v>5.0821947293760017</v>
      </c>
      <c r="T803">
        <f t="shared" si="89"/>
        <v>0.10520143089808323</v>
      </c>
      <c r="U803">
        <f t="shared" si="90"/>
        <v>284.04386342482474</v>
      </c>
    </row>
    <row r="804" spans="5:21" x14ac:dyDescent="0.2">
      <c r="F804" t="s">
        <v>308</v>
      </c>
      <c r="H804">
        <v>31</v>
      </c>
      <c r="I804">
        <v>120</v>
      </c>
      <c r="J804">
        <v>0.2</v>
      </c>
      <c r="K804">
        <v>0.19</v>
      </c>
      <c r="L804">
        <v>0</v>
      </c>
      <c r="M804" s="1">
        <v>265</v>
      </c>
      <c r="N804" s="1">
        <v>265</v>
      </c>
      <c r="O804" s="1">
        <v>0.02</v>
      </c>
      <c r="P804" s="1">
        <v>0.02</v>
      </c>
      <c r="Q804">
        <f t="shared" si="99"/>
        <v>1.0790000000000002</v>
      </c>
      <c r="S804">
        <f t="shared" si="88"/>
        <v>5.2786035161687739</v>
      </c>
      <c r="T804">
        <f t="shared" si="89"/>
        <v>0.10926709278469363</v>
      </c>
      <c r="U804">
        <f t="shared" si="90"/>
        <v>406.47358515906029</v>
      </c>
    </row>
    <row r="805" spans="5:21" x14ac:dyDescent="0.2">
      <c r="F805" t="s">
        <v>309</v>
      </c>
      <c r="H805">
        <v>30</v>
      </c>
      <c r="I805">
        <v>150</v>
      </c>
      <c r="J805">
        <v>0.3</v>
      </c>
      <c r="K805">
        <v>0.2</v>
      </c>
      <c r="L805">
        <v>0</v>
      </c>
      <c r="M805" s="1">
        <v>250</v>
      </c>
      <c r="N805" s="1">
        <v>250</v>
      </c>
      <c r="O805" s="1">
        <v>-0.3</v>
      </c>
      <c r="P805" s="1">
        <v>-0.3</v>
      </c>
      <c r="Q805">
        <f t="shared" si="99"/>
        <v>1.1100000000000001</v>
      </c>
      <c r="S805">
        <f t="shared" si="88"/>
        <v>4.7241255900000008</v>
      </c>
      <c r="T805">
        <f t="shared" si="89"/>
        <v>9.7789399713000005E-2</v>
      </c>
      <c r="U805">
        <f t="shared" si="90"/>
        <v>440.05229870850002</v>
      </c>
    </row>
    <row r="806" spans="5:21" x14ac:dyDescent="0.2">
      <c r="F806" t="s">
        <v>310</v>
      </c>
      <c r="H806">
        <v>31</v>
      </c>
      <c r="I806">
        <v>170</v>
      </c>
      <c r="J806">
        <v>0</v>
      </c>
      <c r="K806">
        <v>0.3</v>
      </c>
      <c r="L806">
        <v>0</v>
      </c>
      <c r="M806" s="1">
        <v>240</v>
      </c>
      <c r="N806" s="1">
        <v>240</v>
      </c>
      <c r="O806" s="1">
        <v>-0.2</v>
      </c>
      <c r="P806" s="1">
        <v>-0.2</v>
      </c>
      <c r="Q806">
        <f t="shared" si="99"/>
        <v>1.03</v>
      </c>
      <c r="S806">
        <f t="shared" si="88"/>
        <v>4.3787197111679985</v>
      </c>
      <c r="T806">
        <f t="shared" si="89"/>
        <v>9.0639498021177572E-2</v>
      </c>
      <c r="U806">
        <f t="shared" si="90"/>
        <v>477.67015457160579</v>
      </c>
    </row>
    <row r="807" spans="5:21" x14ac:dyDescent="0.2">
      <c r="E807" t="s">
        <v>152</v>
      </c>
      <c r="F807" t="s">
        <v>299</v>
      </c>
      <c r="H807">
        <v>31</v>
      </c>
      <c r="I807">
        <v>250</v>
      </c>
      <c r="J807">
        <v>0.05</v>
      </c>
      <c r="K807">
        <v>0.5</v>
      </c>
      <c r="L807">
        <f>$AC$12</f>
        <v>1.3</v>
      </c>
      <c r="N807">
        <f>$AM$103</f>
        <v>310</v>
      </c>
      <c r="P807">
        <f>$AM$37</f>
        <v>0.47</v>
      </c>
      <c r="Q807">
        <f t="shared" si="99"/>
        <v>1.0649999999999999</v>
      </c>
      <c r="S807">
        <f>(1.185 + 0.00454 * N807- 0.0000026 * N807^2 + 0.315 * P807 )^2 * Q807</f>
        <v>6.6062360537264997</v>
      </c>
      <c r="T807">
        <f t="shared" si="89"/>
        <v>0.13674908631213853</v>
      </c>
      <c r="U807">
        <f t="shared" si="90"/>
        <v>1059.8054189190736</v>
      </c>
    </row>
    <row r="808" spans="5:21" x14ac:dyDescent="0.2">
      <c r="E808" t="s">
        <v>235</v>
      </c>
      <c r="F808" t="s">
        <v>300</v>
      </c>
      <c r="H808">
        <v>28</v>
      </c>
      <c r="I808">
        <v>260</v>
      </c>
      <c r="J808">
        <v>0</v>
      </c>
      <c r="K808">
        <v>0.35</v>
      </c>
      <c r="L808">
        <f>$AC$13</f>
        <v>1.1000000000000001</v>
      </c>
      <c r="N808">
        <f t="shared" ref="N808" si="104">$AM$103</f>
        <v>310</v>
      </c>
      <c r="P808">
        <f t="shared" ref="P808" si="105">$AM$37</f>
        <v>0.47</v>
      </c>
      <c r="Q808">
        <f t="shared" si="99"/>
        <v>1.0350000000000001</v>
      </c>
      <c r="S808">
        <f t="shared" si="88"/>
        <v>6.4201448972835014</v>
      </c>
      <c r="T808">
        <f t="shared" si="89"/>
        <v>0.13289699937376848</v>
      </c>
      <c r="U808">
        <f t="shared" si="90"/>
        <v>967.4901554410344</v>
      </c>
    </row>
    <row r="809" spans="5:21" x14ac:dyDescent="0.2">
      <c r="F809" t="s">
        <v>301</v>
      </c>
      <c r="H809">
        <v>31</v>
      </c>
      <c r="I809">
        <v>240</v>
      </c>
      <c r="J809">
        <v>0</v>
      </c>
      <c r="K809">
        <v>0.04</v>
      </c>
      <c r="L809">
        <f>$AC$14</f>
        <v>0</v>
      </c>
      <c r="N809">
        <f>$AM$104</f>
        <v>351</v>
      </c>
      <c r="P809">
        <f>$AM$38</f>
        <v>0.3</v>
      </c>
      <c r="Q809">
        <f t="shared" si="99"/>
        <v>1.004</v>
      </c>
      <c r="S809">
        <f t="shared" si="88"/>
        <v>6.5424315887598121</v>
      </c>
      <c r="T809">
        <f t="shared" si="89"/>
        <v>0.13542833388732811</v>
      </c>
      <c r="U809">
        <f t="shared" si="90"/>
        <v>1007.5868041217212</v>
      </c>
    </row>
    <row r="810" spans="5:21" x14ac:dyDescent="0.2">
      <c r="F810" t="s">
        <v>302</v>
      </c>
      <c r="H810">
        <v>30</v>
      </c>
      <c r="I810">
        <v>220</v>
      </c>
      <c r="J810">
        <v>0</v>
      </c>
      <c r="K810">
        <v>0</v>
      </c>
      <c r="L810">
        <f>$AC$14</f>
        <v>0</v>
      </c>
      <c r="N810">
        <f t="shared" ref="N810:N811" si="106">$AM$104</f>
        <v>351</v>
      </c>
      <c r="P810">
        <f t="shared" ref="P810:P811" si="107">$AM$38</f>
        <v>0.3</v>
      </c>
      <c r="Q810">
        <f t="shared" si="99"/>
        <v>1</v>
      </c>
      <c r="S810">
        <f t="shared" si="88"/>
        <v>6.5163661242627606</v>
      </c>
      <c r="T810">
        <f t="shared" si="89"/>
        <v>0.13488877877223915</v>
      </c>
      <c r="U810">
        <f t="shared" si="90"/>
        <v>890.26593989677838</v>
      </c>
    </row>
    <row r="811" spans="5:21" x14ac:dyDescent="0.2">
      <c r="F811" t="s">
        <v>303</v>
      </c>
      <c r="H811">
        <v>31</v>
      </c>
      <c r="I811">
        <v>200</v>
      </c>
      <c r="J811">
        <v>0</v>
      </c>
      <c r="K811">
        <v>0</v>
      </c>
      <c r="N811">
        <f t="shared" si="106"/>
        <v>351</v>
      </c>
      <c r="P811">
        <f t="shared" si="107"/>
        <v>0.3</v>
      </c>
      <c r="Q811">
        <f t="shared" si="99"/>
        <v>1</v>
      </c>
      <c r="S811">
        <f t="shared" ref="S811:S874" si="108">(1.185 + 0.00454 * N811- 0.0000026 * N811^2 + 0.315 * P811 )^2 * Q811</f>
        <v>6.5163661242627606</v>
      </c>
      <c r="T811">
        <f t="shared" si="89"/>
        <v>0.13488877877223915</v>
      </c>
      <c r="U811">
        <f t="shared" si="90"/>
        <v>836.31042838788278</v>
      </c>
    </row>
    <row r="812" spans="5:21" x14ac:dyDescent="0.2">
      <c r="F812" t="s">
        <v>304</v>
      </c>
      <c r="H812">
        <v>30</v>
      </c>
      <c r="I812">
        <v>195</v>
      </c>
      <c r="J812">
        <v>0</v>
      </c>
      <c r="K812">
        <v>0</v>
      </c>
      <c r="N812">
        <f>$AM$105</f>
        <v>364</v>
      </c>
      <c r="P812">
        <f>$AM$39</f>
        <v>0.11</v>
      </c>
      <c r="Q812">
        <f t="shared" si="99"/>
        <v>1</v>
      </c>
      <c r="S812">
        <f t="shared" si="108"/>
        <v>6.3893704205761583</v>
      </c>
      <c r="T812">
        <f t="shared" si="89"/>
        <v>0.13225996770592646</v>
      </c>
      <c r="U812">
        <f t="shared" si="90"/>
        <v>773.72081107966983</v>
      </c>
    </row>
    <row r="813" spans="5:21" x14ac:dyDescent="0.2">
      <c r="F813" t="s">
        <v>305</v>
      </c>
      <c r="H813">
        <v>31</v>
      </c>
      <c r="I813">
        <v>180</v>
      </c>
      <c r="J813">
        <v>0</v>
      </c>
      <c r="K813">
        <v>0</v>
      </c>
      <c r="N813">
        <f t="shared" ref="N813:N814" si="109">$AM$105</f>
        <v>364</v>
      </c>
      <c r="P813">
        <f t="shared" ref="P813:P814" si="110">$AM$39</f>
        <v>0.11</v>
      </c>
      <c r="Q813">
        <f t="shared" si="99"/>
        <v>1</v>
      </c>
      <c r="S813">
        <f t="shared" si="108"/>
        <v>6.3893704205761583</v>
      </c>
      <c r="T813">
        <f t="shared" si="89"/>
        <v>0.13225996770592646</v>
      </c>
      <c r="U813">
        <f t="shared" si="90"/>
        <v>738.01061979906967</v>
      </c>
    </row>
    <row r="814" spans="5:21" x14ac:dyDescent="0.2">
      <c r="F814" t="s">
        <v>306</v>
      </c>
      <c r="G814" s="1">
        <v>28</v>
      </c>
      <c r="H814" s="1">
        <v>28</v>
      </c>
      <c r="I814">
        <v>160</v>
      </c>
      <c r="J814">
        <v>0</v>
      </c>
      <c r="K814">
        <v>0</v>
      </c>
      <c r="N814">
        <f t="shared" si="109"/>
        <v>364</v>
      </c>
      <c r="P814">
        <f t="shared" si="110"/>
        <v>0.11</v>
      </c>
      <c r="Q814">
        <f t="shared" si="99"/>
        <v>1</v>
      </c>
      <c r="S814">
        <f t="shared" si="108"/>
        <v>6.3893704205761583</v>
      </c>
      <c r="T814">
        <f t="shared" si="89"/>
        <v>0.13225996770592646</v>
      </c>
      <c r="U814">
        <f t="shared" si="90"/>
        <v>592.52465532255064</v>
      </c>
    </row>
    <row r="815" spans="5:21" x14ac:dyDescent="0.2">
      <c r="F815" t="s">
        <v>307</v>
      </c>
      <c r="H815">
        <v>30</v>
      </c>
      <c r="I815">
        <v>140</v>
      </c>
      <c r="J815">
        <v>0.2</v>
      </c>
      <c r="K815">
        <v>0</v>
      </c>
      <c r="N815">
        <f>$AM$102</f>
        <v>371</v>
      </c>
      <c r="P815">
        <f>$AM$36</f>
        <v>0.23</v>
      </c>
      <c r="Q815">
        <f t="shared" si="99"/>
        <v>1.06</v>
      </c>
      <c r="S815">
        <f t="shared" si="108"/>
        <v>7.0772597452916148</v>
      </c>
      <c r="T815">
        <f t="shared" si="89"/>
        <v>0.14649927672753643</v>
      </c>
      <c r="U815">
        <f t="shared" si="90"/>
        <v>615.29696225565306</v>
      </c>
    </row>
    <row r="816" spans="5:21" x14ac:dyDescent="0.2">
      <c r="F816" t="s">
        <v>308</v>
      </c>
      <c r="H816">
        <v>31</v>
      </c>
      <c r="I816">
        <v>160</v>
      </c>
      <c r="J816">
        <v>0.2</v>
      </c>
      <c r="K816">
        <v>0.2</v>
      </c>
      <c r="N816">
        <f t="shared" ref="N816:N817" si="111">$AM$102</f>
        <v>371</v>
      </c>
      <c r="P816">
        <f t="shared" ref="P816:P817" si="112">$AM$36</f>
        <v>0.23</v>
      </c>
      <c r="Q816">
        <f t="shared" si="99"/>
        <v>1.08</v>
      </c>
      <c r="S816">
        <f t="shared" si="108"/>
        <v>7.2107929480329664</v>
      </c>
      <c r="T816">
        <f t="shared" si="89"/>
        <v>0.14926341402428242</v>
      </c>
      <c r="U816">
        <f t="shared" si="90"/>
        <v>740.34653356044078</v>
      </c>
    </row>
    <row r="817" spans="5:21" x14ac:dyDescent="0.2">
      <c r="F817" t="s">
        <v>309</v>
      </c>
      <c r="H817">
        <v>30</v>
      </c>
      <c r="I817">
        <v>180</v>
      </c>
      <c r="J817">
        <v>0.3</v>
      </c>
      <c r="K817">
        <v>0.38</v>
      </c>
      <c r="N817">
        <f t="shared" si="111"/>
        <v>371</v>
      </c>
      <c r="P817">
        <f t="shared" si="112"/>
        <v>0.23</v>
      </c>
      <c r="Q817">
        <f t="shared" si="99"/>
        <v>1.1280000000000001</v>
      </c>
      <c r="S817">
        <f t="shared" si="108"/>
        <v>7.5312726346122094</v>
      </c>
      <c r="T817">
        <f t="shared" si="89"/>
        <v>0.15589734353647275</v>
      </c>
      <c r="U817">
        <f t="shared" si="90"/>
        <v>841.8456550969529</v>
      </c>
    </row>
    <row r="818" spans="5:21" x14ac:dyDescent="0.2">
      <c r="F818" t="s">
        <v>310</v>
      </c>
      <c r="H818">
        <v>31</v>
      </c>
      <c r="I818">
        <v>200</v>
      </c>
      <c r="J818">
        <v>0.05</v>
      </c>
      <c r="K818">
        <v>0.68</v>
      </c>
      <c r="N818">
        <f>$AM$103</f>
        <v>310</v>
      </c>
      <c r="P818">
        <f>$AM$37</f>
        <v>0.47</v>
      </c>
      <c r="Q818">
        <f t="shared" si="99"/>
        <v>1.0830000000000002</v>
      </c>
      <c r="S818">
        <f t="shared" si="108"/>
        <v>6.7178907475923015</v>
      </c>
      <c r="T818">
        <f t="shared" si="89"/>
        <v>0.13906033847516064</v>
      </c>
      <c r="U818">
        <f t="shared" si="90"/>
        <v>862.174098545996</v>
      </c>
    </row>
    <row r="819" spans="5:21" x14ac:dyDescent="0.2">
      <c r="E819" t="s">
        <v>141</v>
      </c>
      <c r="F819" t="s">
        <v>299</v>
      </c>
      <c r="H819">
        <v>31</v>
      </c>
      <c r="I819">
        <v>190</v>
      </c>
      <c r="J819">
        <v>0</v>
      </c>
      <c r="K819">
        <v>0</v>
      </c>
      <c r="L819">
        <v>0</v>
      </c>
      <c r="N819">
        <f>$AM$107</f>
        <v>140</v>
      </c>
      <c r="P819">
        <f>$AM$41</f>
        <v>0.25</v>
      </c>
      <c r="Q819">
        <f t="shared" si="99"/>
        <v>1</v>
      </c>
      <c r="R819" s="1">
        <v>3.1</v>
      </c>
      <c r="S819" s="1">
        <v>3.1</v>
      </c>
      <c r="T819">
        <f t="shared" si="89"/>
        <v>6.4170000000000005E-2</v>
      </c>
      <c r="U819">
        <f t="shared" si="90"/>
        <v>377.96129999999999</v>
      </c>
    </row>
    <row r="820" spans="5:21" x14ac:dyDescent="0.2">
      <c r="E820">
        <v>3</v>
      </c>
      <c r="F820" t="s">
        <v>300</v>
      </c>
      <c r="H820">
        <v>28</v>
      </c>
      <c r="I820">
        <v>195</v>
      </c>
      <c r="J820">
        <v>0</v>
      </c>
      <c r="K820">
        <v>0</v>
      </c>
      <c r="L820">
        <v>0</v>
      </c>
      <c r="N820">
        <f t="shared" ref="N820" si="113">$AM$107</f>
        <v>140</v>
      </c>
      <c r="P820">
        <f t="shared" ref="P820" si="114">$AM$41</f>
        <v>0.25</v>
      </c>
      <c r="Q820">
        <f t="shared" si="99"/>
        <v>1</v>
      </c>
      <c r="R820" s="1">
        <v>3.2</v>
      </c>
      <c r="S820" s="1">
        <v>3.2</v>
      </c>
      <c r="T820">
        <f t="shared" si="89"/>
        <v>6.6239999999999993E-2</v>
      </c>
      <c r="U820">
        <f t="shared" si="90"/>
        <v>361.67039999999997</v>
      </c>
    </row>
    <row r="821" spans="5:21" x14ac:dyDescent="0.2">
      <c r="F821" t="s">
        <v>301</v>
      </c>
      <c r="H821">
        <v>31</v>
      </c>
      <c r="I821">
        <v>190</v>
      </c>
      <c r="J821">
        <v>0</v>
      </c>
      <c r="K821">
        <v>0</v>
      </c>
      <c r="L821">
        <v>0</v>
      </c>
      <c r="N821">
        <f>$AM$108</f>
        <v>163</v>
      </c>
      <c r="P821">
        <f>$AM$42</f>
        <v>0.12</v>
      </c>
      <c r="Q821">
        <f t="shared" si="99"/>
        <v>1</v>
      </c>
      <c r="R821" s="1">
        <v>3.3</v>
      </c>
      <c r="S821" s="1">
        <v>3.3</v>
      </c>
      <c r="T821">
        <f t="shared" si="89"/>
        <v>6.8309999999999996E-2</v>
      </c>
      <c r="U821">
        <f t="shared" si="90"/>
        <v>402.34589999999997</v>
      </c>
    </row>
    <row r="822" spans="5:21" x14ac:dyDescent="0.2">
      <c r="F822" t="s">
        <v>302</v>
      </c>
      <c r="H822">
        <v>30</v>
      </c>
      <c r="I822">
        <v>185</v>
      </c>
      <c r="J822">
        <v>0</v>
      </c>
      <c r="K822">
        <v>0</v>
      </c>
      <c r="L822">
        <v>0</v>
      </c>
      <c r="N822">
        <f t="shared" ref="N822:N823" si="115">$AM$108</f>
        <v>163</v>
      </c>
      <c r="P822">
        <f t="shared" ref="P822:P823" si="116">$AM$42</f>
        <v>0.12</v>
      </c>
      <c r="Q822">
        <f t="shared" si="99"/>
        <v>1</v>
      </c>
      <c r="R822" s="1">
        <v>3.4</v>
      </c>
      <c r="S822" s="1">
        <v>3.4</v>
      </c>
      <c r="T822">
        <f t="shared" si="89"/>
        <v>7.0379999999999998E-2</v>
      </c>
      <c r="U822">
        <f t="shared" si="90"/>
        <v>390.60899999999992</v>
      </c>
    </row>
    <row r="823" spans="5:21" x14ac:dyDescent="0.2">
      <c r="F823" t="s">
        <v>303</v>
      </c>
      <c r="H823">
        <v>31</v>
      </c>
      <c r="I823">
        <v>180</v>
      </c>
      <c r="J823">
        <v>0</v>
      </c>
      <c r="K823">
        <v>0</v>
      </c>
      <c r="L823">
        <v>0</v>
      </c>
      <c r="N823">
        <f t="shared" si="115"/>
        <v>163</v>
      </c>
      <c r="P823">
        <f t="shared" si="116"/>
        <v>0.12</v>
      </c>
      <c r="Q823">
        <f t="shared" si="99"/>
        <v>1</v>
      </c>
      <c r="R823" s="1">
        <v>3.5</v>
      </c>
      <c r="S823" s="1">
        <v>3.5</v>
      </c>
      <c r="T823">
        <f t="shared" si="89"/>
        <v>7.2450000000000001E-2</v>
      </c>
      <c r="U823">
        <f t="shared" si="90"/>
        <v>404.27100000000002</v>
      </c>
    </row>
    <row r="824" spans="5:21" x14ac:dyDescent="0.2">
      <c r="F824" t="s">
        <v>304</v>
      </c>
      <c r="H824">
        <v>30</v>
      </c>
      <c r="I824">
        <v>179</v>
      </c>
      <c r="J824">
        <v>0</v>
      </c>
      <c r="K824">
        <v>0</v>
      </c>
      <c r="L824">
        <v>0</v>
      </c>
      <c r="N824">
        <f>$AM$109</f>
        <v>162</v>
      </c>
      <c r="P824">
        <f>$AM$43</f>
        <v>0.06</v>
      </c>
      <c r="Q824">
        <f t="shared" si="99"/>
        <v>1</v>
      </c>
      <c r="R824" s="1">
        <v>3.5</v>
      </c>
      <c r="S824" s="1">
        <v>3.5</v>
      </c>
      <c r="T824">
        <f t="shared" si="89"/>
        <v>7.2450000000000001E-2</v>
      </c>
      <c r="U824">
        <f t="shared" si="90"/>
        <v>389.05650000000003</v>
      </c>
    </row>
    <row r="825" spans="5:21" x14ac:dyDescent="0.2">
      <c r="F825" t="s">
        <v>305</v>
      </c>
      <c r="H825">
        <v>31</v>
      </c>
      <c r="I825">
        <v>170</v>
      </c>
      <c r="J825">
        <v>0</v>
      </c>
      <c r="K825">
        <v>0</v>
      </c>
      <c r="L825">
        <v>0</v>
      </c>
      <c r="N825">
        <f t="shared" ref="N825:N826" si="117">$AM$109</f>
        <v>162</v>
      </c>
      <c r="P825">
        <f t="shared" ref="P825:P826" si="118">$AM$43</f>
        <v>0.06</v>
      </c>
      <c r="Q825">
        <f t="shared" si="99"/>
        <v>1</v>
      </c>
      <c r="R825" s="1">
        <v>3.5</v>
      </c>
      <c r="S825" s="1">
        <v>3.5</v>
      </c>
      <c r="T825">
        <f t="shared" si="89"/>
        <v>7.2450000000000001E-2</v>
      </c>
      <c r="U825">
        <f t="shared" si="90"/>
        <v>381.81150000000002</v>
      </c>
    </row>
    <row r="826" spans="5:21" x14ac:dyDescent="0.2">
      <c r="F826" t="s">
        <v>306</v>
      </c>
      <c r="H826">
        <v>31</v>
      </c>
      <c r="I826">
        <v>160</v>
      </c>
      <c r="J826">
        <v>0</v>
      </c>
      <c r="K826">
        <v>0</v>
      </c>
      <c r="L826">
        <v>0</v>
      </c>
      <c r="N826">
        <f t="shared" si="117"/>
        <v>162</v>
      </c>
      <c r="P826">
        <f t="shared" si="118"/>
        <v>0.06</v>
      </c>
      <c r="Q826">
        <f t="shared" si="99"/>
        <v>1</v>
      </c>
      <c r="R826" s="1">
        <v>3.6</v>
      </c>
      <c r="S826" s="1">
        <v>3.6</v>
      </c>
      <c r="T826">
        <f t="shared" si="89"/>
        <v>7.4520000000000003E-2</v>
      </c>
      <c r="U826">
        <f t="shared" si="90"/>
        <v>369.61919999999998</v>
      </c>
    </row>
    <row r="827" spans="5:21" x14ac:dyDescent="0.2">
      <c r="F827" t="s">
        <v>307</v>
      </c>
      <c r="H827">
        <v>30</v>
      </c>
      <c r="I827">
        <v>90</v>
      </c>
      <c r="J827">
        <v>0</v>
      </c>
      <c r="K827">
        <v>0</v>
      </c>
      <c r="L827">
        <v>0</v>
      </c>
      <c r="N827">
        <f>$AM$106</f>
        <v>174</v>
      </c>
      <c r="P827">
        <f>$AM$40</f>
        <v>0.24</v>
      </c>
      <c r="Q827">
        <f t="shared" si="99"/>
        <v>1</v>
      </c>
      <c r="R827" s="1">
        <v>3.7</v>
      </c>
      <c r="S827" s="1">
        <v>3.7</v>
      </c>
      <c r="T827">
        <f t="shared" si="89"/>
        <v>7.6590000000000005E-2</v>
      </c>
      <c r="U827">
        <f t="shared" si="90"/>
        <v>206.79300000000003</v>
      </c>
    </row>
    <row r="828" spans="5:21" x14ac:dyDescent="0.2">
      <c r="F828" t="s">
        <v>308</v>
      </c>
      <c r="H828">
        <v>31</v>
      </c>
      <c r="I828">
        <v>110</v>
      </c>
      <c r="J828">
        <v>0</v>
      </c>
      <c r="K828">
        <v>0</v>
      </c>
      <c r="L828">
        <v>0</v>
      </c>
      <c r="N828">
        <f t="shared" ref="N828:N829" si="119">$AM$106</f>
        <v>174</v>
      </c>
      <c r="P828">
        <f t="shared" ref="P828:P829" si="120">$AM$40</f>
        <v>0.24</v>
      </c>
      <c r="Q828">
        <f t="shared" si="99"/>
        <v>1</v>
      </c>
      <c r="R828" s="1">
        <v>3.7</v>
      </c>
      <c r="S828" s="1">
        <v>3.7</v>
      </c>
      <c r="T828">
        <f t="shared" si="89"/>
        <v>7.6590000000000005E-2</v>
      </c>
      <c r="U828">
        <f t="shared" si="90"/>
        <v>261.17190000000005</v>
      </c>
    </row>
    <row r="829" spans="5:21" x14ac:dyDescent="0.2">
      <c r="F829" t="s">
        <v>309</v>
      </c>
      <c r="H829">
        <v>30</v>
      </c>
      <c r="I829">
        <v>140</v>
      </c>
      <c r="J829">
        <v>0</v>
      </c>
      <c r="K829">
        <v>0</v>
      </c>
      <c r="L829">
        <v>0</v>
      </c>
      <c r="N829">
        <f t="shared" si="119"/>
        <v>174</v>
      </c>
      <c r="P829">
        <f t="shared" si="120"/>
        <v>0.24</v>
      </c>
      <c r="Q829">
        <f t="shared" si="99"/>
        <v>1</v>
      </c>
      <c r="R829" s="1">
        <v>3.8</v>
      </c>
      <c r="S829" s="1">
        <v>3.8</v>
      </c>
      <c r="T829">
        <f t="shared" si="89"/>
        <v>7.8659999999999994E-2</v>
      </c>
      <c r="U829">
        <f t="shared" si="90"/>
        <v>330.37199999999996</v>
      </c>
    </row>
    <row r="830" spans="5:21" x14ac:dyDescent="0.2">
      <c r="F830" t="s">
        <v>310</v>
      </c>
      <c r="H830">
        <v>31</v>
      </c>
      <c r="I830">
        <v>180</v>
      </c>
      <c r="J830">
        <v>0</v>
      </c>
      <c r="K830">
        <v>0</v>
      </c>
      <c r="L830">
        <v>0</v>
      </c>
      <c r="N830">
        <f>$AM$107</f>
        <v>140</v>
      </c>
      <c r="P830">
        <f>$AM$41</f>
        <v>0.25</v>
      </c>
      <c r="Q830">
        <f t="shared" si="99"/>
        <v>1</v>
      </c>
      <c r="R830" s="1">
        <v>3.5</v>
      </c>
      <c r="S830" s="1">
        <v>3.5</v>
      </c>
      <c r="T830">
        <f t="shared" si="89"/>
        <v>7.2450000000000001E-2</v>
      </c>
      <c r="U830">
        <f t="shared" si="90"/>
        <v>404.27100000000002</v>
      </c>
    </row>
    <row r="831" spans="5:21" x14ac:dyDescent="0.2">
      <c r="E831" t="s">
        <v>156</v>
      </c>
      <c r="F831" t="s">
        <v>299</v>
      </c>
      <c r="H831">
        <v>31</v>
      </c>
      <c r="I831">
        <v>90</v>
      </c>
      <c r="J831">
        <v>0</v>
      </c>
      <c r="K831">
        <v>0.15</v>
      </c>
      <c r="L831">
        <f>$AC$12</f>
        <v>1.3</v>
      </c>
      <c r="N831">
        <f>$AM$111</f>
        <v>405</v>
      </c>
      <c r="P831">
        <f>$AM$45</f>
        <v>0.31</v>
      </c>
      <c r="Q831">
        <f t="shared" si="99"/>
        <v>1.0149999999999999</v>
      </c>
      <c r="S831">
        <f t="shared" si="108"/>
        <v>7.3713412406733729</v>
      </c>
      <c r="T831">
        <f t="shared" si="89"/>
        <v>0.1525867636819388</v>
      </c>
      <c r="U831">
        <f t="shared" si="90"/>
        <v>425.71707067260928</v>
      </c>
    </row>
    <row r="832" spans="5:21" x14ac:dyDescent="0.2">
      <c r="E832" t="s">
        <v>236</v>
      </c>
      <c r="F832" t="s">
        <v>300</v>
      </c>
      <c r="H832">
        <v>28</v>
      </c>
      <c r="I832">
        <v>92</v>
      </c>
      <c r="J832">
        <v>0</v>
      </c>
      <c r="K832">
        <v>0</v>
      </c>
      <c r="L832">
        <f>$AC$13</f>
        <v>1.1000000000000001</v>
      </c>
      <c r="N832">
        <f>$AM$111</f>
        <v>405</v>
      </c>
      <c r="P832">
        <f>$AM$45</f>
        <v>0.31</v>
      </c>
      <c r="Q832">
        <f t="shared" si="99"/>
        <v>1</v>
      </c>
      <c r="S832">
        <f t="shared" si="108"/>
        <v>7.2624051632249991</v>
      </c>
      <c r="T832">
        <f t="shared" si="89"/>
        <v>0.15033178687875748</v>
      </c>
      <c r="U832">
        <f t="shared" si="90"/>
        <v>387.25468299967929</v>
      </c>
    </row>
    <row r="833" spans="5:21" x14ac:dyDescent="0.2">
      <c r="F833" t="s">
        <v>301</v>
      </c>
      <c r="H833">
        <v>31</v>
      </c>
      <c r="I833">
        <v>92</v>
      </c>
      <c r="J833">
        <v>0</v>
      </c>
      <c r="K833">
        <v>0</v>
      </c>
      <c r="L833">
        <f>$AC$14</f>
        <v>0</v>
      </c>
      <c r="N833">
        <f>$AM$112</f>
        <v>427</v>
      </c>
      <c r="P833">
        <f>$AM$46</f>
        <v>0.08</v>
      </c>
      <c r="Q833">
        <f t="shared" si="99"/>
        <v>1</v>
      </c>
      <c r="S833">
        <f t="shared" si="108"/>
        <v>7.154151685845159</v>
      </c>
      <c r="T833">
        <f t="shared" si="89"/>
        <v>0.14809093989699479</v>
      </c>
      <c r="U833">
        <f t="shared" si="90"/>
        <v>422.35536058622915</v>
      </c>
    </row>
    <row r="834" spans="5:21" x14ac:dyDescent="0.2">
      <c r="F834" t="s">
        <v>302</v>
      </c>
      <c r="H834">
        <v>30</v>
      </c>
      <c r="I834">
        <v>90</v>
      </c>
      <c r="J834">
        <v>0</v>
      </c>
      <c r="K834">
        <v>0</v>
      </c>
      <c r="L834">
        <f>$AC$14</f>
        <v>0</v>
      </c>
      <c r="N834">
        <f t="shared" ref="N834:N835" si="121">$AM$112</f>
        <v>427</v>
      </c>
      <c r="P834">
        <f t="shared" ref="P834:P835" si="122">$AM$46</f>
        <v>0.08</v>
      </c>
      <c r="Q834">
        <f t="shared" si="99"/>
        <v>1</v>
      </c>
      <c r="S834">
        <f t="shared" si="108"/>
        <v>7.154151685845159</v>
      </c>
      <c r="T834">
        <f t="shared" si="89"/>
        <v>0.14809093989699479</v>
      </c>
      <c r="U834">
        <f t="shared" si="90"/>
        <v>399.84553772188593</v>
      </c>
    </row>
    <row r="835" spans="5:21" x14ac:dyDescent="0.2">
      <c r="F835" t="s">
        <v>303</v>
      </c>
      <c r="H835">
        <v>31</v>
      </c>
      <c r="I835">
        <v>88</v>
      </c>
      <c r="J835">
        <v>0</v>
      </c>
      <c r="K835">
        <v>0</v>
      </c>
      <c r="N835">
        <f t="shared" si="121"/>
        <v>427</v>
      </c>
      <c r="P835">
        <f t="shared" si="122"/>
        <v>0.08</v>
      </c>
      <c r="Q835">
        <f t="shared" si="99"/>
        <v>1</v>
      </c>
      <c r="S835">
        <f t="shared" si="108"/>
        <v>7.154151685845159</v>
      </c>
      <c r="T835">
        <f t="shared" si="89"/>
        <v>0.14809093989699479</v>
      </c>
      <c r="U835">
        <f t="shared" si="90"/>
        <v>403.99208403900178</v>
      </c>
    </row>
    <row r="836" spans="5:21" x14ac:dyDescent="0.2">
      <c r="F836" t="s">
        <v>304</v>
      </c>
      <c r="H836">
        <v>30</v>
      </c>
      <c r="I836">
        <v>80</v>
      </c>
      <c r="J836">
        <v>0</v>
      </c>
      <c r="K836">
        <v>0</v>
      </c>
      <c r="N836">
        <f>$AM$113</f>
        <v>420</v>
      </c>
      <c r="P836">
        <f>$AM$47</f>
        <v>-7.0000000000000007E-2</v>
      </c>
      <c r="Q836">
        <f t="shared" si="99"/>
        <v>1</v>
      </c>
      <c r="S836">
        <f t="shared" si="108"/>
        <v>6.8178954321000003</v>
      </c>
      <c r="T836">
        <f t="shared" ref="T836:T890" si="123">20.7 * S836 * 10^-3</f>
        <v>0.14113043544447001</v>
      </c>
      <c r="U836">
        <f t="shared" ref="U836:U890" si="124">H836*T836*I836</f>
        <v>338.713045066728</v>
      </c>
    </row>
    <row r="837" spans="5:21" x14ac:dyDescent="0.2">
      <c r="F837" t="s">
        <v>305</v>
      </c>
      <c r="H837">
        <v>31</v>
      </c>
      <c r="I837">
        <v>75</v>
      </c>
      <c r="J837">
        <v>0</v>
      </c>
      <c r="K837">
        <v>0</v>
      </c>
      <c r="N837">
        <f t="shared" ref="N837:N838" si="125">$AM$113</f>
        <v>420</v>
      </c>
      <c r="P837">
        <f t="shared" ref="P837:P838" si="126">$AM$47</f>
        <v>-7.0000000000000007E-2</v>
      </c>
      <c r="Q837">
        <f t="shared" si="99"/>
        <v>1</v>
      </c>
      <c r="S837">
        <f t="shared" si="108"/>
        <v>6.8178954321000003</v>
      </c>
      <c r="T837">
        <f t="shared" si="123"/>
        <v>0.14113043544447001</v>
      </c>
      <c r="U837">
        <f t="shared" si="124"/>
        <v>328.12826240839274</v>
      </c>
    </row>
    <row r="838" spans="5:21" x14ac:dyDescent="0.2">
      <c r="F838" t="s">
        <v>306</v>
      </c>
      <c r="H838">
        <v>31</v>
      </c>
      <c r="I838">
        <v>30</v>
      </c>
      <c r="J838">
        <v>0.05</v>
      </c>
      <c r="K838">
        <v>0</v>
      </c>
      <c r="N838">
        <f t="shared" si="125"/>
        <v>420</v>
      </c>
      <c r="P838">
        <f t="shared" si="126"/>
        <v>-7.0000000000000007E-2</v>
      </c>
      <c r="Q838">
        <f t="shared" si="99"/>
        <v>1.0149999999999999</v>
      </c>
      <c r="S838">
        <f t="shared" si="108"/>
        <v>6.9201638635814993</v>
      </c>
      <c r="T838">
        <f t="shared" si="123"/>
        <v>0.14324739197613703</v>
      </c>
      <c r="U838">
        <f t="shared" si="124"/>
        <v>133.22007453780742</v>
      </c>
    </row>
    <row r="839" spans="5:21" x14ac:dyDescent="0.2">
      <c r="F839" t="s">
        <v>307</v>
      </c>
      <c r="H839">
        <v>30</v>
      </c>
      <c r="I839">
        <v>40</v>
      </c>
      <c r="J839">
        <v>0.4</v>
      </c>
      <c r="K839">
        <v>0.05</v>
      </c>
      <c r="N839">
        <f>$AM$110</f>
        <v>415</v>
      </c>
      <c r="P839">
        <f>$AM$44</f>
        <v>-0.05</v>
      </c>
      <c r="Q839">
        <f t="shared" si="99"/>
        <v>1.125</v>
      </c>
      <c r="S839">
        <f t="shared" si="108"/>
        <v>7.6375900903781213</v>
      </c>
      <c r="T839">
        <f t="shared" si="123"/>
        <v>0.15809811487082712</v>
      </c>
      <c r="U839">
        <f t="shared" si="124"/>
        <v>189.71773784499254</v>
      </c>
    </row>
    <row r="840" spans="5:21" x14ac:dyDescent="0.2">
      <c r="F840" t="s">
        <v>308</v>
      </c>
      <c r="H840">
        <v>31</v>
      </c>
      <c r="I840">
        <v>55</v>
      </c>
      <c r="J840">
        <v>0.3</v>
      </c>
      <c r="K840">
        <v>0.45</v>
      </c>
      <c r="N840">
        <f t="shared" ref="N840:N841" si="127">$AM$110</f>
        <v>415</v>
      </c>
      <c r="P840">
        <f t="shared" ref="P840:P841" si="128">$AM$44</f>
        <v>-0.05</v>
      </c>
      <c r="Q840">
        <f t="shared" si="99"/>
        <v>1.135</v>
      </c>
      <c r="S840">
        <f t="shared" si="108"/>
        <v>7.7054797800703714</v>
      </c>
      <c r="T840">
        <f t="shared" si="123"/>
        <v>0.15950343144745668</v>
      </c>
      <c r="U840">
        <f t="shared" si="124"/>
        <v>271.95335061791366</v>
      </c>
    </row>
    <row r="841" spans="5:21" x14ac:dyDescent="0.2">
      <c r="F841" t="s">
        <v>309</v>
      </c>
      <c r="H841">
        <v>30</v>
      </c>
      <c r="I841">
        <v>60</v>
      </c>
      <c r="J841">
        <v>0.2</v>
      </c>
      <c r="K841">
        <v>0.75</v>
      </c>
      <c r="N841">
        <f t="shared" si="127"/>
        <v>415</v>
      </c>
      <c r="P841">
        <f t="shared" si="128"/>
        <v>-0.05</v>
      </c>
      <c r="Q841">
        <f t="shared" si="99"/>
        <v>1.135</v>
      </c>
      <c r="S841">
        <f t="shared" si="108"/>
        <v>7.7054797800703714</v>
      </c>
      <c r="T841">
        <f t="shared" si="123"/>
        <v>0.15950343144745668</v>
      </c>
      <c r="U841">
        <f t="shared" si="124"/>
        <v>287.10617660542204</v>
      </c>
    </row>
    <row r="842" spans="5:21" x14ac:dyDescent="0.2">
      <c r="F842" t="s">
        <v>310</v>
      </c>
      <c r="H842">
        <v>31</v>
      </c>
      <c r="I842">
        <v>80</v>
      </c>
      <c r="J842">
        <v>0.05</v>
      </c>
      <c r="K842">
        <v>0.91</v>
      </c>
      <c r="N842">
        <f>$AM$111</f>
        <v>405</v>
      </c>
      <c r="P842">
        <f>$AM$45</f>
        <v>0.31</v>
      </c>
      <c r="Q842">
        <f t="shared" si="99"/>
        <v>1.1059999999999999</v>
      </c>
      <c r="S842">
        <f t="shared" si="108"/>
        <v>8.0322201105268487</v>
      </c>
      <c r="T842">
        <f t="shared" si="123"/>
        <v>0.16626695628790578</v>
      </c>
      <c r="U842">
        <f t="shared" si="124"/>
        <v>412.34205159400631</v>
      </c>
    </row>
    <row r="843" spans="5:21" x14ac:dyDescent="0.2">
      <c r="E843" t="s">
        <v>169</v>
      </c>
      <c r="F843" t="s">
        <v>299</v>
      </c>
      <c r="H843">
        <v>31</v>
      </c>
      <c r="I843">
        <v>70</v>
      </c>
      <c r="J843">
        <v>0</v>
      </c>
      <c r="K843">
        <v>0</v>
      </c>
      <c r="L843">
        <v>0</v>
      </c>
      <c r="N843">
        <f>$AM$115</f>
        <v>218</v>
      </c>
      <c r="P843">
        <f>$AM$49</f>
        <v>0.4</v>
      </c>
      <c r="Q843">
        <f t="shared" si="99"/>
        <v>1</v>
      </c>
      <c r="S843">
        <f t="shared" si="108"/>
        <v>4.7400152152377588</v>
      </c>
      <c r="T843">
        <f t="shared" si="123"/>
        <v>9.8118314955421615E-2</v>
      </c>
      <c r="U843">
        <f t="shared" si="124"/>
        <v>212.9167434532649</v>
      </c>
    </row>
    <row r="844" spans="5:21" x14ac:dyDescent="0.2">
      <c r="E844" t="s">
        <v>237</v>
      </c>
      <c r="F844" t="s">
        <v>300</v>
      </c>
      <c r="H844">
        <v>28</v>
      </c>
      <c r="I844">
        <v>70</v>
      </c>
      <c r="J844">
        <v>0</v>
      </c>
      <c r="K844">
        <v>0</v>
      </c>
      <c r="L844">
        <v>0</v>
      </c>
      <c r="N844">
        <f>$AM$115</f>
        <v>218</v>
      </c>
      <c r="P844">
        <f>$AM$49</f>
        <v>0.4</v>
      </c>
      <c r="Q844">
        <f t="shared" si="99"/>
        <v>1</v>
      </c>
      <c r="S844">
        <f t="shared" si="108"/>
        <v>4.7400152152377588</v>
      </c>
      <c r="T844">
        <f t="shared" si="123"/>
        <v>9.8118314955421615E-2</v>
      </c>
      <c r="U844">
        <f t="shared" si="124"/>
        <v>192.31189731262634</v>
      </c>
    </row>
    <row r="845" spans="5:21" x14ac:dyDescent="0.2">
      <c r="F845" t="s">
        <v>301</v>
      </c>
      <c r="H845">
        <v>31</v>
      </c>
      <c r="I845">
        <v>60</v>
      </c>
      <c r="J845">
        <v>0</v>
      </c>
      <c r="K845">
        <v>0</v>
      </c>
      <c r="L845">
        <v>0</v>
      </c>
      <c r="N845">
        <f>$AM$116</f>
        <v>242</v>
      </c>
      <c r="P845">
        <f>$AM$50</f>
        <v>0.24</v>
      </c>
      <c r="Q845">
        <f t="shared" si="99"/>
        <v>1</v>
      </c>
      <c r="S845">
        <f t="shared" si="108"/>
        <v>4.8709090305849614</v>
      </c>
      <c r="T845">
        <f t="shared" si="123"/>
        <v>0.10082781693310869</v>
      </c>
      <c r="U845">
        <f t="shared" si="124"/>
        <v>187.53973949558218</v>
      </c>
    </row>
    <row r="846" spans="5:21" x14ac:dyDescent="0.2">
      <c r="F846" t="s">
        <v>302</v>
      </c>
      <c r="H846">
        <v>30</v>
      </c>
      <c r="I846">
        <v>50</v>
      </c>
      <c r="J846">
        <v>0</v>
      </c>
      <c r="K846">
        <v>0</v>
      </c>
      <c r="L846">
        <v>0</v>
      </c>
      <c r="N846">
        <f t="shared" ref="N846:N847" si="129">$AM$116</f>
        <v>242</v>
      </c>
      <c r="P846">
        <f t="shared" ref="P846:P847" si="130">$AM$50</f>
        <v>0.24</v>
      </c>
      <c r="Q846">
        <f t="shared" si="99"/>
        <v>1</v>
      </c>
      <c r="S846">
        <f t="shared" si="108"/>
        <v>4.8709090305849614</v>
      </c>
      <c r="T846">
        <f t="shared" si="123"/>
        <v>0.10082781693310869</v>
      </c>
      <c r="U846">
        <f t="shared" si="124"/>
        <v>151.24172539966304</v>
      </c>
    </row>
    <row r="847" spans="5:21" x14ac:dyDescent="0.2">
      <c r="F847" t="s">
        <v>303</v>
      </c>
      <c r="H847">
        <v>31</v>
      </c>
      <c r="I847">
        <v>40</v>
      </c>
      <c r="J847">
        <v>0</v>
      </c>
      <c r="K847">
        <v>0</v>
      </c>
      <c r="L847">
        <v>0</v>
      </c>
      <c r="N847">
        <f t="shared" si="129"/>
        <v>242</v>
      </c>
      <c r="P847">
        <f t="shared" si="130"/>
        <v>0.24</v>
      </c>
      <c r="Q847">
        <f t="shared" si="99"/>
        <v>1</v>
      </c>
      <c r="S847">
        <f t="shared" si="108"/>
        <v>4.8709090305849614</v>
      </c>
      <c r="T847">
        <f t="shared" si="123"/>
        <v>0.10082781693310869</v>
      </c>
      <c r="U847">
        <f t="shared" si="124"/>
        <v>125.02649299705479</v>
      </c>
    </row>
    <row r="848" spans="5:21" x14ac:dyDescent="0.2">
      <c r="F848" t="s">
        <v>304</v>
      </c>
      <c r="H848">
        <v>30</v>
      </c>
      <c r="I848">
        <v>40</v>
      </c>
      <c r="J848">
        <v>0</v>
      </c>
      <c r="K848">
        <v>0</v>
      </c>
      <c r="L848">
        <v>0</v>
      </c>
      <c r="N848">
        <f>$AM$117</f>
        <v>261</v>
      </c>
      <c r="P848">
        <f>$AM$51</f>
        <v>0.16</v>
      </c>
      <c r="Q848">
        <f t="shared" si="99"/>
        <v>1</v>
      </c>
      <c r="S848">
        <f t="shared" si="108"/>
        <v>5.03206019520516</v>
      </c>
      <c r="T848">
        <f t="shared" si="123"/>
        <v>0.10416364604074682</v>
      </c>
      <c r="U848">
        <f t="shared" si="124"/>
        <v>124.99637524889619</v>
      </c>
    </row>
    <row r="849" spans="5:21" x14ac:dyDescent="0.2">
      <c r="F849" t="s">
        <v>305</v>
      </c>
      <c r="H849">
        <v>31</v>
      </c>
      <c r="I849">
        <v>20</v>
      </c>
      <c r="J849">
        <v>0</v>
      </c>
      <c r="K849">
        <v>0</v>
      </c>
      <c r="L849">
        <v>0</v>
      </c>
      <c r="N849">
        <f t="shared" ref="N849:N850" si="131">$AM$117</f>
        <v>261</v>
      </c>
      <c r="P849">
        <f t="shared" ref="P849:P850" si="132">$AM$51</f>
        <v>0.16</v>
      </c>
      <c r="Q849">
        <f t="shared" si="99"/>
        <v>1</v>
      </c>
      <c r="S849">
        <f t="shared" si="108"/>
        <v>5.03206019520516</v>
      </c>
      <c r="T849">
        <f t="shared" si="123"/>
        <v>0.10416364604074682</v>
      </c>
      <c r="U849">
        <f t="shared" si="124"/>
        <v>64.581460545263027</v>
      </c>
    </row>
    <row r="850" spans="5:21" x14ac:dyDescent="0.2">
      <c r="F850" t="s">
        <v>306</v>
      </c>
      <c r="H850">
        <v>31</v>
      </c>
      <c r="I850">
        <v>20</v>
      </c>
      <c r="J850">
        <v>0</v>
      </c>
      <c r="K850">
        <v>0</v>
      </c>
      <c r="L850">
        <v>0</v>
      </c>
      <c r="N850">
        <f t="shared" si="131"/>
        <v>261</v>
      </c>
      <c r="P850">
        <f t="shared" si="132"/>
        <v>0.16</v>
      </c>
      <c r="Q850">
        <f t="shared" si="99"/>
        <v>1</v>
      </c>
      <c r="S850">
        <f t="shared" si="108"/>
        <v>5.03206019520516</v>
      </c>
      <c r="T850">
        <f t="shared" si="123"/>
        <v>0.10416364604074682</v>
      </c>
      <c r="U850">
        <f t="shared" si="124"/>
        <v>64.581460545263027</v>
      </c>
    </row>
    <row r="851" spans="5:21" x14ac:dyDescent="0.2">
      <c r="F851" t="s">
        <v>307</v>
      </c>
      <c r="H851">
        <v>30</v>
      </c>
      <c r="I851">
        <v>20</v>
      </c>
      <c r="J851">
        <v>0</v>
      </c>
      <c r="K851">
        <v>0</v>
      </c>
      <c r="L851">
        <v>0</v>
      </c>
      <c r="N851">
        <f>$AM$114</f>
        <v>272</v>
      </c>
      <c r="P851">
        <f>$AM$48</f>
        <v>0.3</v>
      </c>
      <c r="Q851">
        <f t="shared" si="99"/>
        <v>1</v>
      </c>
      <c r="S851">
        <f t="shared" si="108"/>
        <v>5.3917843108665613</v>
      </c>
      <c r="T851">
        <f t="shared" si="123"/>
        <v>0.11160993523493781</v>
      </c>
      <c r="U851">
        <f t="shared" si="124"/>
        <v>66.96596114096269</v>
      </c>
    </row>
    <row r="852" spans="5:21" x14ac:dyDescent="0.2">
      <c r="F852" t="s">
        <v>308</v>
      </c>
      <c r="H852">
        <v>31</v>
      </c>
      <c r="I852">
        <v>30</v>
      </c>
      <c r="J852">
        <v>0</v>
      </c>
      <c r="K852">
        <v>0</v>
      </c>
      <c r="L852">
        <v>0</v>
      </c>
      <c r="N852">
        <f t="shared" ref="N852:N853" si="133">$AM$114</f>
        <v>272</v>
      </c>
      <c r="P852">
        <f t="shared" ref="P852:P853" si="134">$AM$48</f>
        <v>0.3</v>
      </c>
      <c r="Q852">
        <f t="shared" ref="Q852:Q890" si="135">(J852 * $AD$4 +K852* $AD$5) + (1 -J852 - K852 )</f>
        <v>1</v>
      </c>
      <c r="S852">
        <f t="shared" si="108"/>
        <v>5.3917843108665613</v>
      </c>
      <c r="T852">
        <f t="shared" si="123"/>
        <v>0.11160993523493781</v>
      </c>
      <c r="U852">
        <f t="shared" si="124"/>
        <v>103.79723976849216</v>
      </c>
    </row>
    <row r="853" spans="5:21" x14ac:dyDescent="0.2">
      <c r="F853" t="s">
        <v>309</v>
      </c>
      <c r="H853">
        <v>30</v>
      </c>
      <c r="I853">
        <v>50</v>
      </c>
      <c r="J853">
        <v>0</v>
      </c>
      <c r="K853">
        <v>0</v>
      </c>
      <c r="L853">
        <v>0</v>
      </c>
      <c r="N853">
        <f t="shared" si="133"/>
        <v>272</v>
      </c>
      <c r="P853">
        <f t="shared" si="134"/>
        <v>0.3</v>
      </c>
      <c r="Q853">
        <f t="shared" si="135"/>
        <v>1</v>
      </c>
      <c r="S853">
        <f t="shared" si="108"/>
        <v>5.3917843108665613</v>
      </c>
      <c r="T853">
        <f t="shared" si="123"/>
        <v>0.11160993523493781</v>
      </c>
      <c r="U853">
        <f t="shared" si="124"/>
        <v>167.41490285240673</v>
      </c>
    </row>
    <row r="854" spans="5:21" x14ac:dyDescent="0.2">
      <c r="F854" t="s">
        <v>310</v>
      </c>
      <c r="H854">
        <v>31</v>
      </c>
      <c r="I854">
        <v>60</v>
      </c>
      <c r="J854">
        <v>0</v>
      </c>
      <c r="K854">
        <v>0</v>
      </c>
      <c r="L854">
        <v>0</v>
      </c>
      <c r="N854">
        <f>$AM$115</f>
        <v>218</v>
      </c>
      <c r="P854">
        <f>$AM$49</f>
        <v>0.4</v>
      </c>
      <c r="Q854">
        <f t="shared" si="135"/>
        <v>1</v>
      </c>
      <c r="S854">
        <f t="shared" si="108"/>
        <v>4.7400152152377588</v>
      </c>
      <c r="T854">
        <f t="shared" si="123"/>
        <v>9.8118314955421615E-2</v>
      </c>
      <c r="U854">
        <f t="shared" si="124"/>
        <v>182.50006581708419</v>
      </c>
    </row>
    <row r="855" spans="5:21" x14ac:dyDescent="0.2">
      <c r="E855" t="s">
        <v>171</v>
      </c>
      <c r="F855" t="s">
        <v>299</v>
      </c>
      <c r="H855">
        <v>31</v>
      </c>
      <c r="I855">
        <v>100</v>
      </c>
      <c r="J855">
        <v>0</v>
      </c>
      <c r="K855">
        <v>0</v>
      </c>
      <c r="L855">
        <v>0</v>
      </c>
      <c r="N855">
        <f>$AM$119</f>
        <v>315</v>
      </c>
      <c r="P855">
        <f>$AM$53</f>
        <v>0.26</v>
      </c>
      <c r="Q855">
        <f t="shared" si="135"/>
        <v>1</v>
      </c>
      <c r="S855">
        <f t="shared" si="108"/>
        <v>5.9487941702249998</v>
      </c>
      <c r="T855">
        <f t="shared" si="123"/>
        <v>0.1231400393236575</v>
      </c>
      <c r="U855">
        <f t="shared" si="124"/>
        <v>381.73412190333823</v>
      </c>
    </row>
    <row r="856" spans="5:21" x14ac:dyDescent="0.2">
      <c r="E856" t="s">
        <v>238</v>
      </c>
      <c r="F856" t="s">
        <v>300</v>
      </c>
      <c r="H856">
        <v>28</v>
      </c>
      <c r="I856">
        <v>100</v>
      </c>
      <c r="J856">
        <v>0</v>
      </c>
      <c r="K856">
        <v>0</v>
      </c>
      <c r="L856">
        <v>0</v>
      </c>
      <c r="N856">
        <f>$AM$119</f>
        <v>315</v>
      </c>
      <c r="P856">
        <f>$AM$53</f>
        <v>0.26</v>
      </c>
      <c r="Q856">
        <f t="shared" si="135"/>
        <v>1</v>
      </c>
      <c r="S856">
        <f t="shared" si="108"/>
        <v>5.9487941702249998</v>
      </c>
      <c r="T856">
        <f t="shared" si="123"/>
        <v>0.1231400393236575</v>
      </c>
      <c r="U856">
        <f t="shared" si="124"/>
        <v>344.79211010624101</v>
      </c>
    </row>
    <row r="857" spans="5:21" x14ac:dyDescent="0.2">
      <c r="F857" t="s">
        <v>301</v>
      </c>
      <c r="H857">
        <v>31</v>
      </c>
      <c r="I857">
        <v>70</v>
      </c>
      <c r="J857">
        <v>0</v>
      </c>
      <c r="K857">
        <v>0</v>
      </c>
      <c r="L857">
        <v>0</v>
      </c>
      <c r="N857">
        <f>$AM$120</f>
        <v>320</v>
      </c>
      <c r="P857">
        <f>$AM$54</f>
        <v>0.15</v>
      </c>
      <c r="Q857">
        <f t="shared" si="135"/>
        <v>1</v>
      </c>
      <c r="S857">
        <f t="shared" si="108"/>
        <v>5.8506418160999987</v>
      </c>
      <c r="T857">
        <f t="shared" si="123"/>
        <v>0.12110828559326997</v>
      </c>
      <c r="U857">
        <f t="shared" si="124"/>
        <v>262.80497973739585</v>
      </c>
    </row>
    <row r="858" spans="5:21" x14ac:dyDescent="0.2">
      <c r="F858" t="s">
        <v>302</v>
      </c>
      <c r="H858">
        <v>30</v>
      </c>
      <c r="I858">
        <v>70</v>
      </c>
      <c r="J858">
        <v>0</v>
      </c>
      <c r="K858">
        <v>0</v>
      </c>
      <c r="L858">
        <v>0</v>
      </c>
      <c r="N858">
        <f t="shared" ref="N858:N859" si="136">$AM$120</f>
        <v>320</v>
      </c>
      <c r="P858">
        <f t="shared" ref="P858:P859" si="137">$AM$54</f>
        <v>0.15</v>
      </c>
      <c r="Q858">
        <f t="shared" si="135"/>
        <v>1</v>
      </c>
      <c r="S858">
        <f t="shared" si="108"/>
        <v>5.8506418160999987</v>
      </c>
      <c r="T858">
        <f t="shared" si="123"/>
        <v>0.12110828559326997</v>
      </c>
      <c r="U858">
        <f t="shared" si="124"/>
        <v>254.32739974586696</v>
      </c>
    </row>
    <row r="859" spans="5:21" x14ac:dyDescent="0.2">
      <c r="F859" t="s">
        <v>303</v>
      </c>
      <c r="H859">
        <v>31</v>
      </c>
      <c r="I859">
        <v>68</v>
      </c>
      <c r="J859">
        <v>0</v>
      </c>
      <c r="K859">
        <v>0</v>
      </c>
      <c r="L859">
        <v>0</v>
      </c>
      <c r="N859">
        <f t="shared" si="136"/>
        <v>320</v>
      </c>
      <c r="P859">
        <f t="shared" si="137"/>
        <v>0.15</v>
      </c>
      <c r="Q859">
        <f t="shared" si="135"/>
        <v>1</v>
      </c>
      <c r="S859">
        <f t="shared" si="108"/>
        <v>5.8506418160999987</v>
      </c>
      <c r="T859">
        <f t="shared" si="123"/>
        <v>0.12110828559326997</v>
      </c>
      <c r="U859">
        <f t="shared" si="124"/>
        <v>255.29626603061311</v>
      </c>
    </row>
    <row r="860" spans="5:21" x14ac:dyDescent="0.2">
      <c r="F860" t="s">
        <v>304</v>
      </c>
      <c r="H860">
        <v>30</v>
      </c>
      <c r="I860">
        <v>40</v>
      </c>
      <c r="J860">
        <v>0</v>
      </c>
      <c r="K860">
        <v>0</v>
      </c>
      <c r="L860">
        <v>0</v>
      </c>
      <c r="N860">
        <f>$AM$121</f>
        <v>342</v>
      </c>
      <c r="P860">
        <f>$AM$55</f>
        <v>0.4</v>
      </c>
      <c r="Q860">
        <f t="shared" si="135"/>
        <v>1</v>
      </c>
      <c r="S860">
        <f t="shared" si="108"/>
        <v>6.551417013816959</v>
      </c>
      <c r="T860">
        <f t="shared" si="123"/>
        <v>0.13561433218601104</v>
      </c>
      <c r="U860">
        <f t="shared" si="124"/>
        <v>162.73719862321326</v>
      </c>
    </row>
    <row r="861" spans="5:21" x14ac:dyDescent="0.2">
      <c r="F861" t="s">
        <v>305</v>
      </c>
      <c r="H861">
        <v>31</v>
      </c>
      <c r="I861">
        <v>40</v>
      </c>
      <c r="J861">
        <v>0</v>
      </c>
      <c r="K861">
        <v>0</v>
      </c>
      <c r="L861">
        <v>0</v>
      </c>
      <c r="N861">
        <f t="shared" ref="N861:N862" si="138">$AM$121</f>
        <v>342</v>
      </c>
      <c r="P861">
        <f t="shared" ref="P861:P862" si="139">$AM$55</f>
        <v>0.4</v>
      </c>
      <c r="Q861">
        <f t="shared" si="135"/>
        <v>1</v>
      </c>
      <c r="S861">
        <f t="shared" si="108"/>
        <v>6.551417013816959</v>
      </c>
      <c r="T861">
        <f t="shared" si="123"/>
        <v>0.13561433218601104</v>
      </c>
      <c r="U861">
        <f t="shared" si="124"/>
        <v>168.16177191065373</v>
      </c>
    </row>
    <row r="862" spans="5:21" x14ac:dyDescent="0.2">
      <c r="F862" t="s">
        <v>306</v>
      </c>
      <c r="H862">
        <v>31</v>
      </c>
      <c r="I862">
        <v>40</v>
      </c>
      <c r="J862">
        <v>0</v>
      </c>
      <c r="K862">
        <v>0</v>
      </c>
      <c r="L862">
        <v>0</v>
      </c>
      <c r="N862">
        <f t="shared" si="138"/>
        <v>342</v>
      </c>
      <c r="P862">
        <f t="shared" si="139"/>
        <v>0.4</v>
      </c>
      <c r="Q862">
        <f t="shared" si="135"/>
        <v>1</v>
      </c>
      <c r="S862">
        <f t="shared" si="108"/>
        <v>6.551417013816959</v>
      </c>
      <c r="T862">
        <f t="shared" si="123"/>
        <v>0.13561433218601104</v>
      </c>
      <c r="U862">
        <f t="shared" si="124"/>
        <v>168.16177191065373</v>
      </c>
    </row>
    <row r="863" spans="5:21" x14ac:dyDescent="0.2">
      <c r="F863" t="s">
        <v>307</v>
      </c>
      <c r="H863">
        <v>30</v>
      </c>
      <c r="I863">
        <v>25</v>
      </c>
      <c r="J863">
        <v>0</v>
      </c>
      <c r="K863">
        <v>0</v>
      </c>
      <c r="L863">
        <v>0</v>
      </c>
      <c r="N863">
        <f>$AM$118</f>
        <v>392</v>
      </c>
      <c r="P863">
        <f>$AM$52</f>
        <v>0.56999999999999995</v>
      </c>
      <c r="Q863">
        <f t="shared" si="135"/>
        <v>1</v>
      </c>
      <c r="S863">
        <f t="shared" si="108"/>
        <v>7.5333978518529587</v>
      </c>
      <c r="T863">
        <f t="shared" si="123"/>
        <v>0.15594133553335623</v>
      </c>
      <c r="U863">
        <f t="shared" si="124"/>
        <v>116.95600165001719</v>
      </c>
    </row>
    <row r="864" spans="5:21" x14ac:dyDescent="0.2">
      <c r="F864" t="s">
        <v>308</v>
      </c>
      <c r="H864">
        <v>31</v>
      </c>
      <c r="I864">
        <v>60</v>
      </c>
      <c r="J864">
        <v>0</v>
      </c>
      <c r="K864">
        <v>0</v>
      </c>
      <c r="L864">
        <v>0</v>
      </c>
      <c r="N864">
        <f t="shared" ref="N864:N865" si="140">$AM$118</f>
        <v>392</v>
      </c>
      <c r="P864">
        <f t="shared" ref="P864:P865" si="141">$AM$52</f>
        <v>0.56999999999999995</v>
      </c>
      <c r="Q864">
        <f t="shared" si="135"/>
        <v>1</v>
      </c>
      <c r="S864">
        <f t="shared" si="108"/>
        <v>7.5333978518529587</v>
      </c>
      <c r="T864">
        <f t="shared" si="123"/>
        <v>0.15594133553335623</v>
      </c>
      <c r="U864">
        <f t="shared" si="124"/>
        <v>290.05088409204262</v>
      </c>
    </row>
    <row r="865" spans="5:21" x14ac:dyDescent="0.2">
      <c r="F865" t="s">
        <v>309</v>
      </c>
      <c r="H865">
        <v>30</v>
      </c>
      <c r="I865">
        <v>90</v>
      </c>
      <c r="J865">
        <v>0</v>
      </c>
      <c r="K865">
        <v>0</v>
      </c>
      <c r="L865">
        <v>0</v>
      </c>
      <c r="N865">
        <f t="shared" si="140"/>
        <v>392</v>
      </c>
      <c r="P865">
        <f t="shared" si="141"/>
        <v>0.56999999999999995</v>
      </c>
      <c r="Q865">
        <f t="shared" si="135"/>
        <v>1</v>
      </c>
      <c r="S865">
        <f t="shared" si="108"/>
        <v>7.5333978518529587</v>
      </c>
      <c r="T865">
        <f t="shared" si="123"/>
        <v>0.15594133553335623</v>
      </c>
      <c r="U865">
        <f t="shared" si="124"/>
        <v>421.04160594006186</v>
      </c>
    </row>
    <row r="866" spans="5:21" x14ac:dyDescent="0.2">
      <c r="F866" t="s">
        <v>310</v>
      </c>
      <c r="H866">
        <v>31</v>
      </c>
      <c r="I866">
        <v>95</v>
      </c>
      <c r="J866">
        <v>0</v>
      </c>
      <c r="K866">
        <v>0</v>
      </c>
      <c r="L866">
        <v>0</v>
      </c>
      <c r="N866">
        <f>$AM$119</f>
        <v>315</v>
      </c>
      <c r="P866">
        <f>$AM$53</f>
        <v>0.26</v>
      </c>
      <c r="Q866">
        <f t="shared" si="135"/>
        <v>1</v>
      </c>
      <c r="S866">
        <f t="shared" si="108"/>
        <v>5.9487941702249998</v>
      </c>
      <c r="T866">
        <f t="shared" si="123"/>
        <v>0.1231400393236575</v>
      </c>
      <c r="U866">
        <f t="shared" si="124"/>
        <v>362.64741580817133</v>
      </c>
    </row>
    <row r="867" spans="5:21" x14ac:dyDescent="0.2">
      <c r="E867" t="s">
        <v>164</v>
      </c>
      <c r="F867" t="s">
        <v>299</v>
      </c>
      <c r="H867">
        <v>31</v>
      </c>
      <c r="I867">
        <v>38</v>
      </c>
      <c r="J867">
        <v>0</v>
      </c>
      <c r="K867">
        <v>0</v>
      </c>
      <c r="L867">
        <v>0</v>
      </c>
      <c r="N867">
        <f>$AM$123</f>
        <v>133</v>
      </c>
      <c r="P867">
        <f>$AM$57</f>
        <v>0.14000000000000001</v>
      </c>
      <c r="Q867">
        <f t="shared" si="135"/>
        <v>1</v>
      </c>
      <c r="S867">
        <f t="shared" si="108"/>
        <v>3.1931138214979606</v>
      </c>
      <c r="T867">
        <f t="shared" si="123"/>
        <v>6.6097456105007779E-2</v>
      </c>
      <c r="U867">
        <f t="shared" si="124"/>
        <v>77.862803291699166</v>
      </c>
    </row>
    <row r="868" spans="5:21" x14ac:dyDescent="0.2">
      <c r="E868">
        <v>6</v>
      </c>
      <c r="F868" t="s">
        <v>300</v>
      </c>
      <c r="H868">
        <v>28</v>
      </c>
      <c r="I868">
        <v>38</v>
      </c>
      <c r="J868">
        <v>0</v>
      </c>
      <c r="K868">
        <v>0</v>
      </c>
      <c r="L868">
        <v>0</v>
      </c>
      <c r="N868">
        <f>$AM$123</f>
        <v>133</v>
      </c>
      <c r="P868">
        <f>$AM$57</f>
        <v>0.14000000000000001</v>
      </c>
      <c r="Q868">
        <f t="shared" si="135"/>
        <v>1</v>
      </c>
      <c r="S868">
        <f t="shared" si="108"/>
        <v>3.1931138214979606</v>
      </c>
      <c r="T868">
        <f t="shared" si="123"/>
        <v>6.6097456105007779E-2</v>
      </c>
      <c r="U868">
        <f t="shared" si="124"/>
        <v>70.327693295728281</v>
      </c>
    </row>
    <row r="869" spans="5:21" x14ac:dyDescent="0.2">
      <c r="F869" t="s">
        <v>301</v>
      </c>
      <c r="H869">
        <v>31</v>
      </c>
      <c r="I869">
        <v>35</v>
      </c>
      <c r="J869">
        <v>0</v>
      </c>
      <c r="K869">
        <v>0</v>
      </c>
      <c r="L869">
        <v>0</v>
      </c>
      <c r="N869">
        <f>$AM$124</f>
        <v>146</v>
      </c>
      <c r="P869">
        <f>$AM$58</f>
        <v>0.13</v>
      </c>
      <c r="Q869">
        <f t="shared" si="135"/>
        <v>1</v>
      </c>
      <c r="S869">
        <f t="shared" si="108"/>
        <v>3.3612396901185604</v>
      </c>
      <c r="T869">
        <f t="shared" si="123"/>
        <v>6.9577661585454198E-2</v>
      </c>
      <c r="U869">
        <f t="shared" si="124"/>
        <v>75.491762820217801</v>
      </c>
    </row>
    <row r="870" spans="5:21" x14ac:dyDescent="0.2">
      <c r="F870" t="s">
        <v>302</v>
      </c>
      <c r="H870">
        <v>30</v>
      </c>
      <c r="I870">
        <v>34</v>
      </c>
      <c r="J870">
        <v>0</v>
      </c>
      <c r="K870">
        <v>0</v>
      </c>
      <c r="L870">
        <v>0</v>
      </c>
      <c r="N870">
        <f t="shared" ref="N870:N871" si="142">$AM$124</f>
        <v>146</v>
      </c>
      <c r="P870">
        <f t="shared" ref="P870:P871" si="143">$AM$58</f>
        <v>0.13</v>
      </c>
      <c r="Q870">
        <f t="shared" si="135"/>
        <v>1</v>
      </c>
      <c r="S870">
        <f t="shared" si="108"/>
        <v>3.3612396901185604</v>
      </c>
      <c r="T870">
        <f t="shared" si="123"/>
        <v>6.9577661585454198E-2</v>
      </c>
      <c r="U870">
        <f t="shared" si="124"/>
        <v>70.969214817163277</v>
      </c>
    </row>
    <row r="871" spans="5:21" x14ac:dyDescent="0.2">
      <c r="F871" t="s">
        <v>303</v>
      </c>
      <c r="H871">
        <v>31</v>
      </c>
      <c r="I871">
        <v>33</v>
      </c>
      <c r="J871">
        <v>0</v>
      </c>
      <c r="K871">
        <v>0</v>
      </c>
      <c r="L871">
        <v>0</v>
      </c>
      <c r="N871">
        <f t="shared" si="142"/>
        <v>146</v>
      </c>
      <c r="P871">
        <f t="shared" si="143"/>
        <v>0.13</v>
      </c>
      <c r="Q871">
        <f t="shared" si="135"/>
        <v>1</v>
      </c>
      <c r="S871">
        <f t="shared" si="108"/>
        <v>3.3612396901185604</v>
      </c>
      <c r="T871">
        <f t="shared" si="123"/>
        <v>6.9577661585454198E-2</v>
      </c>
      <c r="U871">
        <f t="shared" si="124"/>
        <v>71.177947801919643</v>
      </c>
    </row>
    <row r="872" spans="5:21" x14ac:dyDescent="0.2">
      <c r="F872" t="s">
        <v>304</v>
      </c>
      <c r="H872">
        <v>30</v>
      </c>
      <c r="I872">
        <v>20</v>
      </c>
      <c r="J872">
        <v>0</v>
      </c>
      <c r="K872">
        <v>0</v>
      </c>
      <c r="L872">
        <v>0</v>
      </c>
      <c r="N872">
        <f>$AM$125</f>
        <v>157</v>
      </c>
      <c r="P872">
        <f>$AM$59</f>
        <v>0.13</v>
      </c>
      <c r="Q872">
        <f t="shared" si="135"/>
        <v>1</v>
      </c>
      <c r="S872">
        <f t="shared" si="108"/>
        <v>3.5142848777347604</v>
      </c>
      <c r="T872">
        <f t="shared" si="123"/>
        <v>7.2745696969109527E-2</v>
      </c>
      <c r="U872">
        <f t="shared" si="124"/>
        <v>43.64741818146571</v>
      </c>
    </row>
    <row r="873" spans="5:21" x14ac:dyDescent="0.2">
      <c r="F873" t="s">
        <v>305</v>
      </c>
      <c r="H873">
        <v>31</v>
      </c>
      <c r="I873">
        <v>18</v>
      </c>
      <c r="J873">
        <v>0</v>
      </c>
      <c r="K873">
        <v>0</v>
      </c>
      <c r="L873">
        <v>0</v>
      </c>
      <c r="N873">
        <f t="shared" ref="N873:N874" si="144">$AM$125</f>
        <v>157</v>
      </c>
      <c r="P873">
        <f t="shared" ref="P873:P874" si="145">$AM$59</f>
        <v>0.13</v>
      </c>
      <c r="Q873">
        <f t="shared" si="135"/>
        <v>1</v>
      </c>
      <c r="S873">
        <f t="shared" si="108"/>
        <v>3.5142848777347604</v>
      </c>
      <c r="T873">
        <f t="shared" si="123"/>
        <v>7.2745696969109527E-2</v>
      </c>
      <c r="U873">
        <f t="shared" si="124"/>
        <v>40.59209890876312</v>
      </c>
    </row>
    <row r="874" spans="5:21" x14ac:dyDescent="0.2">
      <c r="F874" t="s">
        <v>306</v>
      </c>
      <c r="H874">
        <v>31</v>
      </c>
      <c r="I874">
        <v>18</v>
      </c>
      <c r="J874">
        <v>0</v>
      </c>
      <c r="K874">
        <v>0</v>
      </c>
      <c r="L874">
        <v>0</v>
      </c>
      <c r="N874">
        <f t="shared" si="144"/>
        <v>157</v>
      </c>
      <c r="P874">
        <f t="shared" si="145"/>
        <v>0.13</v>
      </c>
      <c r="Q874">
        <f t="shared" si="135"/>
        <v>1</v>
      </c>
      <c r="S874">
        <f t="shared" si="108"/>
        <v>3.5142848777347604</v>
      </c>
      <c r="T874">
        <f t="shared" si="123"/>
        <v>7.2745696969109527E-2</v>
      </c>
      <c r="U874">
        <f t="shared" si="124"/>
        <v>40.59209890876312</v>
      </c>
    </row>
    <row r="875" spans="5:21" x14ac:dyDescent="0.2">
      <c r="F875" t="s">
        <v>307</v>
      </c>
      <c r="H875">
        <v>30</v>
      </c>
      <c r="I875">
        <v>20</v>
      </c>
      <c r="J875">
        <v>0</v>
      </c>
      <c r="K875">
        <v>0</v>
      </c>
      <c r="L875">
        <v>0</v>
      </c>
      <c r="N875">
        <f>$AM$122</f>
        <v>170</v>
      </c>
      <c r="P875">
        <f>$AM$56</f>
        <v>0.34</v>
      </c>
      <c r="Q875">
        <f t="shared" si="135"/>
        <v>1</v>
      </c>
      <c r="S875">
        <f t="shared" ref="S875:S890" si="146">(1.185 + 0.00454 * N875- 0.0000026 * N875^2 + 0.315 * P875 )^2 * Q875</f>
        <v>3.9551663375999992</v>
      </c>
      <c r="T875">
        <f t="shared" si="123"/>
        <v>8.1871943188319973E-2</v>
      </c>
      <c r="U875">
        <f t="shared" si="124"/>
        <v>49.123165912991986</v>
      </c>
    </row>
    <row r="876" spans="5:21" x14ac:dyDescent="0.2">
      <c r="F876" t="s">
        <v>308</v>
      </c>
      <c r="H876">
        <v>31</v>
      </c>
      <c r="I876">
        <v>38</v>
      </c>
      <c r="J876">
        <v>0</v>
      </c>
      <c r="K876">
        <v>0</v>
      </c>
      <c r="L876">
        <v>0</v>
      </c>
      <c r="N876">
        <f t="shared" ref="N876:N877" si="147">$AM$122</f>
        <v>170</v>
      </c>
      <c r="P876">
        <f t="shared" ref="P876:P877" si="148">$AM$56</f>
        <v>0.34</v>
      </c>
      <c r="Q876">
        <f t="shared" si="135"/>
        <v>1</v>
      </c>
      <c r="S876">
        <f t="shared" si="146"/>
        <v>3.9551663375999992</v>
      </c>
      <c r="T876">
        <f t="shared" si="123"/>
        <v>8.1871943188319973E-2</v>
      </c>
      <c r="U876">
        <f t="shared" si="124"/>
        <v>96.445149075840931</v>
      </c>
    </row>
    <row r="877" spans="5:21" x14ac:dyDescent="0.2">
      <c r="F877" t="s">
        <v>309</v>
      </c>
      <c r="H877">
        <v>30</v>
      </c>
      <c r="I877">
        <v>40</v>
      </c>
      <c r="J877">
        <v>0</v>
      </c>
      <c r="K877">
        <v>0</v>
      </c>
      <c r="L877">
        <v>0</v>
      </c>
      <c r="N877">
        <f t="shared" si="147"/>
        <v>170</v>
      </c>
      <c r="P877">
        <f t="shared" si="148"/>
        <v>0.34</v>
      </c>
      <c r="Q877">
        <f t="shared" si="135"/>
        <v>1</v>
      </c>
      <c r="S877">
        <f t="shared" si="146"/>
        <v>3.9551663375999992</v>
      </c>
      <c r="T877">
        <f t="shared" si="123"/>
        <v>8.1871943188319973E-2</v>
      </c>
      <c r="U877">
        <f t="shared" si="124"/>
        <v>98.246331825983972</v>
      </c>
    </row>
    <row r="878" spans="5:21" x14ac:dyDescent="0.2">
      <c r="F878" t="s">
        <v>310</v>
      </c>
      <c r="H878">
        <v>31</v>
      </c>
      <c r="I878">
        <v>40</v>
      </c>
      <c r="J878">
        <v>0</v>
      </c>
      <c r="K878">
        <v>0</v>
      </c>
      <c r="L878">
        <v>0</v>
      </c>
      <c r="N878">
        <f>$AM$123</f>
        <v>133</v>
      </c>
      <c r="P878">
        <f>$AM$57</f>
        <v>0.14000000000000001</v>
      </c>
      <c r="Q878">
        <f t="shared" si="135"/>
        <v>1</v>
      </c>
      <c r="S878">
        <f t="shared" si="146"/>
        <v>3.1931138214979606</v>
      </c>
      <c r="T878">
        <f t="shared" si="123"/>
        <v>6.6097456105007779E-2</v>
      </c>
      <c r="U878">
        <f t="shared" si="124"/>
        <v>81.960845570209656</v>
      </c>
    </row>
    <row r="879" spans="5:21" x14ac:dyDescent="0.2">
      <c r="E879" t="s">
        <v>176</v>
      </c>
      <c r="F879" t="s">
        <v>299</v>
      </c>
      <c r="H879">
        <v>31</v>
      </c>
      <c r="I879">
        <v>40</v>
      </c>
      <c r="J879">
        <v>0</v>
      </c>
      <c r="K879">
        <v>0</v>
      </c>
      <c r="L879">
        <v>0</v>
      </c>
      <c r="N879">
        <f>$AM$127</f>
        <v>445</v>
      </c>
      <c r="P879">
        <f>$AM$61</f>
        <v>0.43</v>
      </c>
      <c r="Q879">
        <f t="shared" si="135"/>
        <v>1</v>
      </c>
      <c r="S879">
        <f t="shared" si="146"/>
        <v>7.9856260332249995</v>
      </c>
      <c r="T879">
        <f t="shared" si="123"/>
        <v>0.16530245888775749</v>
      </c>
      <c r="U879">
        <f t="shared" si="124"/>
        <v>204.97504902081928</v>
      </c>
    </row>
    <row r="880" spans="5:21" x14ac:dyDescent="0.2">
      <c r="E880" t="s">
        <v>239</v>
      </c>
      <c r="F880" t="s">
        <v>300</v>
      </c>
      <c r="H880">
        <v>28</v>
      </c>
      <c r="I880">
        <v>38</v>
      </c>
      <c r="J880">
        <v>0</v>
      </c>
      <c r="K880">
        <v>0</v>
      </c>
      <c r="L880">
        <v>0</v>
      </c>
      <c r="N880">
        <f>$AM$127</f>
        <v>445</v>
      </c>
      <c r="P880">
        <f>$AM$61</f>
        <v>0.43</v>
      </c>
      <c r="Q880">
        <f t="shared" si="135"/>
        <v>1</v>
      </c>
      <c r="S880">
        <f t="shared" si="146"/>
        <v>7.9856260332249995</v>
      </c>
      <c r="T880">
        <f t="shared" si="123"/>
        <v>0.16530245888775749</v>
      </c>
      <c r="U880">
        <f t="shared" si="124"/>
        <v>175.88181625657398</v>
      </c>
    </row>
    <row r="881" spans="6:21" x14ac:dyDescent="0.2">
      <c r="F881" t="s">
        <v>301</v>
      </c>
      <c r="H881">
        <v>31</v>
      </c>
      <c r="I881">
        <v>25</v>
      </c>
      <c r="J881">
        <v>0</v>
      </c>
      <c r="K881">
        <v>0</v>
      </c>
      <c r="L881">
        <v>0</v>
      </c>
      <c r="N881">
        <f>$AM$128</f>
        <v>471</v>
      </c>
      <c r="P881">
        <f>$AM$62</f>
        <v>0.21</v>
      </c>
      <c r="Q881">
        <f t="shared" si="135"/>
        <v>1</v>
      </c>
      <c r="S881">
        <f t="shared" si="146"/>
        <v>7.9113004163715583</v>
      </c>
      <c r="T881">
        <f t="shared" si="123"/>
        <v>0.16376391861889125</v>
      </c>
      <c r="U881">
        <f t="shared" si="124"/>
        <v>126.91703692964072</v>
      </c>
    </row>
    <row r="882" spans="6:21" x14ac:dyDescent="0.2">
      <c r="F882" t="s">
        <v>302</v>
      </c>
      <c r="H882">
        <v>30</v>
      </c>
      <c r="I882">
        <v>20</v>
      </c>
      <c r="J882">
        <v>0</v>
      </c>
      <c r="K882">
        <v>0</v>
      </c>
      <c r="L882">
        <v>0</v>
      </c>
      <c r="N882">
        <f t="shared" ref="N882:N883" si="149">$AM$128</f>
        <v>471</v>
      </c>
      <c r="P882">
        <f t="shared" ref="P882:P883" si="150">$AM$62</f>
        <v>0.21</v>
      </c>
      <c r="Q882">
        <f t="shared" si="135"/>
        <v>1</v>
      </c>
      <c r="S882">
        <f t="shared" si="146"/>
        <v>7.9113004163715583</v>
      </c>
      <c r="T882">
        <f t="shared" si="123"/>
        <v>0.16376391861889125</v>
      </c>
      <c r="U882">
        <f t="shared" si="124"/>
        <v>98.258351171334766</v>
      </c>
    </row>
    <row r="883" spans="6:21" x14ac:dyDescent="0.2">
      <c r="F883" t="s">
        <v>303</v>
      </c>
      <c r="H883">
        <v>31</v>
      </c>
      <c r="I883">
        <v>20</v>
      </c>
      <c r="J883">
        <v>0</v>
      </c>
      <c r="K883">
        <v>0</v>
      </c>
      <c r="L883">
        <v>0</v>
      </c>
      <c r="N883">
        <f t="shared" si="149"/>
        <v>471</v>
      </c>
      <c r="P883">
        <f t="shared" si="150"/>
        <v>0.21</v>
      </c>
      <c r="Q883">
        <f t="shared" si="135"/>
        <v>1</v>
      </c>
      <c r="S883">
        <f t="shared" si="146"/>
        <v>7.9113004163715583</v>
      </c>
      <c r="T883">
        <f t="shared" si="123"/>
        <v>0.16376391861889125</v>
      </c>
      <c r="U883">
        <f t="shared" si="124"/>
        <v>101.53362954371258</v>
      </c>
    </row>
    <row r="884" spans="6:21" x14ac:dyDescent="0.2">
      <c r="F884" t="s">
        <v>304</v>
      </c>
      <c r="H884">
        <v>30</v>
      </c>
      <c r="I884">
        <v>0</v>
      </c>
      <c r="J884">
        <v>0</v>
      </c>
      <c r="K884">
        <v>0</v>
      </c>
      <c r="L884">
        <v>0</v>
      </c>
      <c r="N884">
        <f>$AM$129</f>
        <v>484</v>
      </c>
      <c r="P884">
        <f>$AM$63</f>
        <v>0.33</v>
      </c>
      <c r="Q884">
        <f t="shared" si="135"/>
        <v>1</v>
      </c>
      <c r="S884">
        <f t="shared" si="146"/>
        <v>8.278535337331359</v>
      </c>
      <c r="T884">
        <f t="shared" si="123"/>
        <v>0.17136568148275913</v>
      </c>
      <c r="U884">
        <f t="shared" si="124"/>
        <v>0</v>
      </c>
    </row>
    <row r="885" spans="6:21" x14ac:dyDescent="0.2">
      <c r="F885" t="s">
        <v>305</v>
      </c>
      <c r="H885">
        <v>31</v>
      </c>
      <c r="I885">
        <v>0</v>
      </c>
      <c r="J885">
        <v>0</v>
      </c>
      <c r="K885">
        <v>0</v>
      </c>
      <c r="L885">
        <v>0</v>
      </c>
      <c r="N885">
        <f t="shared" ref="N885:N886" si="151">$AM$129</f>
        <v>484</v>
      </c>
      <c r="P885">
        <f t="shared" ref="P885:P886" si="152">$AM$63</f>
        <v>0.33</v>
      </c>
      <c r="Q885">
        <f t="shared" si="135"/>
        <v>1</v>
      </c>
      <c r="S885">
        <f t="shared" si="146"/>
        <v>8.278535337331359</v>
      </c>
      <c r="T885">
        <f t="shared" si="123"/>
        <v>0.17136568148275913</v>
      </c>
      <c r="U885">
        <f t="shared" si="124"/>
        <v>0</v>
      </c>
    </row>
    <row r="886" spans="6:21" x14ac:dyDescent="0.2">
      <c r="F886" t="s">
        <v>306</v>
      </c>
      <c r="H886">
        <v>31</v>
      </c>
      <c r="I886">
        <v>25</v>
      </c>
      <c r="J886">
        <v>0</v>
      </c>
      <c r="K886">
        <v>0</v>
      </c>
      <c r="L886">
        <v>0</v>
      </c>
      <c r="N886">
        <f t="shared" si="151"/>
        <v>484</v>
      </c>
      <c r="P886">
        <f t="shared" si="152"/>
        <v>0.33</v>
      </c>
      <c r="Q886">
        <f t="shared" si="135"/>
        <v>1</v>
      </c>
      <c r="S886">
        <f t="shared" si="146"/>
        <v>8.278535337331359</v>
      </c>
      <c r="T886">
        <f t="shared" si="123"/>
        <v>0.17136568148275913</v>
      </c>
      <c r="U886">
        <f t="shared" si="124"/>
        <v>132.80840314913834</v>
      </c>
    </row>
    <row r="887" spans="6:21" x14ac:dyDescent="0.2">
      <c r="F887" t="s">
        <v>307</v>
      </c>
      <c r="H887">
        <v>30</v>
      </c>
      <c r="I887">
        <v>30</v>
      </c>
      <c r="J887">
        <v>0</v>
      </c>
      <c r="K887">
        <v>0</v>
      </c>
      <c r="L887">
        <v>0</v>
      </c>
      <c r="N887">
        <f>$AM$126</f>
        <v>531</v>
      </c>
      <c r="P887">
        <f>$AM$60</f>
        <v>0.52</v>
      </c>
      <c r="Q887">
        <f t="shared" si="135"/>
        <v>1</v>
      </c>
      <c r="S887">
        <f t="shared" si="146"/>
        <v>9.1593475476339599</v>
      </c>
      <c r="T887">
        <f t="shared" si="123"/>
        <v>0.18959849423602296</v>
      </c>
      <c r="U887">
        <f t="shared" si="124"/>
        <v>170.63864481242067</v>
      </c>
    </row>
    <row r="888" spans="6:21" x14ac:dyDescent="0.2">
      <c r="F888" t="s">
        <v>308</v>
      </c>
      <c r="H888">
        <v>31</v>
      </c>
      <c r="I888">
        <v>35</v>
      </c>
      <c r="J888">
        <v>0</v>
      </c>
      <c r="K888">
        <v>0</v>
      </c>
      <c r="L888">
        <v>0</v>
      </c>
      <c r="N888">
        <f t="shared" ref="N888:N889" si="153">$AM$126</f>
        <v>531</v>
      </c>
      <c r="P888">
        <f t="shared" ref="P888:P889" si="154">$AM$60</f>
        <v>0.52</v>
      </c>
      <c r="Q888">
        <f t="shared" si="135"/>
        <v>1</v>
      </c>
      <c r="S888">
        <f t="shared" si="146"/>
        <v>9.1593475476339599</v>
      </c>
      <c r="T888">
        <f t="shared" si="123"/>
        <v>0.18959849423602296</v>
      </c>
      <c r="U888">
        <f t="shared" si="124"/>
        <v>205.71436624608492</v>
      </c>
    </row>
    <row r="889" spans="6:21" x14ac:dyDescent="0.2">
      <c r="F889" t="s">
        <v>309</v>
      </c>
      <c r="H889">
        <v>30</v>
      </c>
      <c r="I889">
        <v>40</v>
      </c>
      <c r="J889">
        <v>0</v>
      </c>
      <c r="K889">
        <v>0</v>
      </c>
      <c r="L889">
        <v>0</v>
      </c>
      <c r="N889">
        <f t="shared" si="153"/>
        <v>531</v>
      </c>
      <c r="P889">
        <f t="shared" si="154"/>
        <v>0.52</v>
      </c>
      <c r="Q889">
        <f t="shared" si="135"/>
        <v>1</v>
      </c>
      <c r="S889">
        <f t="shared" si="146"/>
        <v>9.1593475476339599</v>
      </c>
      <c r="T889">
        <f t="shared" si="123"/>
        <v>0.18959849423602296</v>
      </c>
      <c r="U889">
        <f t="shared" si="124"/>
        <v>227.51819308322754</v>
      </c>
    </row>
    <row r="890" spans="6:21" x14ac:dyDescent="0.2">
      <c r="F890" t="s">
        <v>310</v>
      </c>
      <c r="H890">
        <v>31</v>
      </c>
      <c r="I890">
        <v>42</v>
      </c>
      <c r="J890">
        <v>0</v>
      </c>
      <c r="K890">
        <v>0</v>
      </c>
      <c r="L890">
        <v>0</v>
      </c>
      <c r="N890">
        <f>$AM$127</f>
        <v>445</v>
      </c>
      <c r="P890">
        <f>$AM$61</f>
        <v>0.43</v>
      </c>
      <c r="Q890">
        <f t="shared" si="135"/>
        <v>1</v>
      </c>
      <c r="S890">
        <f t="shared" si="146"/>
        <v>7.9856260332249995</v>
      </c>
      <c r="T890">
        <f t="shared" si="123"/>
        <v>0.16530245888775749</v>
      </c>
      <c r="U890">
        <f t="shared" si="124"/>
        <v>215.22380147186024</v>
      </c>
    </row>
  </sheetData>
  <phoneticPr fontId="6" type="noConversion"/>
  <pageMargins left="0.7" right="0.7" top="0.75" bottom="0.75" header="0.3" footer="0.3"/>
  <ignoredErrors>
    <ignoredError sqref="V2:V10 T11 S2:T10 N2:N10 L2:L10 P2:Q10 H2:J9 H10:I10" numberStoredAsText="1"/>
  </ignoredErrors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BD29-E38B-F74C-A841-8956107D0F83}">
  <dimension ref="B1:F29"/>
  <sheetViews>
    <sheetView topLeftCell="A2" zoomScale="125" zoomScaleNormal="125" workbookViewId="0">
      <selection activeCell="F18" sqref="F18"/>
    </sheetView>
  </sheetViews>
  <sheetFormatPr baseColWidth="10" defaultRowHeight="16" x14ac:dyDescent="0.2"/>
  <cols>
    <col min="2" max="2" width="21.1640625" customWidth="1"/>
    <col min="3" max="3" width="14.6640625" customWidth="1"/>
    <col min="4" max="4" width="15" customWidth="1"/>
    <col min="5" max="5" width="16.1640625" customWidth="1"/>
    <col min="6" max="6" width="16.6640625" customWidth="1"/>
  </cols>
  <sheetData>
    <row r="1" spans="2:6" x14ac:dyDescent="0.2">
      <c r="B1" t="s">
        <v>291</v>
      </c>
      <c r="D1" t="s">
        <v>289</v>
      </c>
      <c r="E1" t="s">
        <v>292</v>
      </c>
      <c r="F1" t="s">
        <v>293</v>
      </c>
    </row>
    <row r="2" spans="2:6" ht="106" customHeight="1" x14ac:dyDescent="0.2">
      <c r="F2" s="33" t="s">
        <v>294</v>
      </c>
    </row>
    <row r="3" spans="2:6" x14ac:dyDescent="0.2">
      <c r="B3">
        <v>2025</v>
      </c>
      <c r="C3" t="s">
        <v>276</v>
      </c>
      <c r="D3">
        <v>0.1</v>
      </c>
    </row>
    <row r="4" spans="2:6" x14ac:dyDescent="0.2">
      <c r="B4">
        <v>2025</v>
      </c>
      <c r="C4" t="s">
        <v>273</v>
      </c>
      <c r="D4">
        <v>0.7</v>
      </c>
      <c r="E4">
        <v>0.7</v>
      </c>
      <c r="F4">
        <v>0.1</v>
      </c>
    </row>
    <row r="5" spans="2:6" x14ac:dyDescent="0.2">
      <c r="B5" t="s">
        <v>290</v>
      </c>
      <c r="C5" t="s">
        <v>274</v>
      </c>
      <c r="D5">
        <v>0</v>
      </c>
      <c r="E5">
        <v>0</v>
      </c>
      <c r="F5">
        <v>0.7</v>
      </c>
    </row>
    <row r="6" spans="2:6" x14ac:dyDescent="0.2">
      <c r="B6">
        <v>2026</v>
      </c>
      <c r="C6" t="s">
        <v>275</v>
      </c>
      <c r="D6">
        <v>0</v>
      </c>
      <c r="E6">
        <v>0</v>
      </c>
      <c r="F6">
        <v>0</v>
      </c>
    </row>
    <row r="7" spans="2:6" x14ac:dyDescent="0.2">
      <c r="B7">
        <v>2026</v>
      </c>
      <c r="C7" t="s">
        <v>276</v>
      </c>
      <c r="D7">
        <v>0.2</v>
      </c>
      <c r="E7">
        <v>0.2</v>
      </c>
      <c r="F7">
        <v>0</v>
      </c>
    </row>
    <row r="12" spans="2:6" x14ac:dyDescent="0.2">
      <c r="B12">
        <v>2024</v>
      </c>
      <c r="C12" t="s">
        <v>283</v>
      </c>
      <c r="D12">
        <v>0.05</v>
      </c>
      <c r="E12">
        <f t="shared" ref="E12:E17" si="0">D12+D11+D10</f>
        <v>0.05</v>
      </c>
    </row>
    <row r="13" spans="2:6" x14ac:dyDescent="0.2">
      <c r="B13">
        <v>2024</v>
      </c>
      <c r="C13" t="s">
        <v>284</v>
      </c>
      <c r="D13">
        <v>0.05</v>
      </c>
      <c r="E13">
        <f t="shared" si="0"/>
        <v>0.1</v>
      </c>
    </row>
    <row r="14" spans="2:6" x14ac:dyDescent="0.2">
      <c r="B14">
        <v>2024</v>
      </c>
      <c r="C14" t="s">
        <v>285</v>
      </c>
      <c r="D14">
        <v>0.3</v>
      </c>
      <c r="E14">
        <f t="shared" si="0"/>
        <v>0.39999999999999997</v>
      </c>
    </row>
    <row r="15" spans="2:6" x14ac:dyDescent="0.2">
      <c r="B15">
        <v>2024</v>
      </c>
      <c r="C15" t="s">
        <v>286</v>
      </c>
      <c r="D15">
        <v>0.25</v>
      </c>
      <c r="E15">
        <f t="shared" si="0"/>
        <v>0.60000000000000009</v>
      </c>
    </row>
    <row r="16" spans="2:6" x14ac:dyDescent="0.2">
      <c r="B16">
        <v>2024</v>
      </c>
      <c r="C16" t="s">
        <v>287</v>
      </c>
      <c r="D16">
        <v>0.15</v>
      </c>
      <c r="E16">
        <f t="shared" si="0"/>
        <v>0.7</v>
      </c>
    </row>
    <row r="17" spans="2:6" x14ac:dyDescent="0.2">
      <c r="B17">
        <v>2024</v>
      </c>
      <c r="C17" t="s">
        <v>288</v>
      </c>
      <c r="D17">
        <v>0</v>
      </c>
      <c r="E17">
        <f t="shared" si="0"/>
        <v>0.4</v>
      </c>
    </row>
    <row r="18" spans="2:6" x14ac:dyDescent="0.2">
      <c r="B18">
        <v>2025</v>
      </c>
      <c r="C18" t="s">
        <v>277</v>
      </c>
      <c r="D18">
        <v>0</v>
      </c>
      <c r="E18">
        <f>D18+D17+D16</f>
        <v>0.15</v>
      </c>
      <c r="F18">
        <f>E15</f>
        <v>0.60000000000000009</v>
      </c>
    </row>
    <row r="19" spans="2:6" x14ac:dyDescent="0.2">
      <c r="B19">
        <v>2025</v>
      </c>
      <c r="C19" t="s">
        <v>278</v>
      </c>
      <c r="D19">
        <v>0</v>
      </c>
      <c r="E19">
        <f t="shared" ref="E19:E29" si="1">D19+D18+D17</f>
        <v>0</v>
      </c>
      <c r="F19">
        <f t="shared" ref="F19:F29" si="2">E16</f>
        <v>0.7</v>
      </c>
    </row>
    <row r="20" spans="2:6" x14ac:dyDescent="0.2">
      <c r="B20">
        <v>2025</v>
      </c>
      <c r="C20" t="s">
        <v>279</v>
      </c>
      <c r="D20">
        <v>0</v>
      </c>
      <c r="E20">
        <f t="shared" si="1"/>
        <v>0</v>
      </c>
      <c r="F20">
        <f t="shared" si="2"/>
        <v>0.4</v>
      </c>
    </row>
    <row r="21" spans="2:6" x14ac:dyDescent="0.2">
      <c r="B21">
        <v>2025</v>
      </c>
      <c r="C21" t="s">
        <v>280</v>
      </c>
      <c r="D21">
        <v>0</v>
      </c>
      <c r="E21">
        <f t="shared" si="1"/>
        <v>0</v>
      </c>
      <c r="F21">
        <f t="shared" si="2"/>
        <v>0.15</v>
      </c>
    </row>
    <row r="22" spans="2:6" x14ac:dyDescent="0.2">
      <c r="B22">
        <v>2025</v>
      </c>
      <c r="C22" t="s">
        <v>281</v>
      </c>
      <c r="D22">
        <v>0</v>
      </c>
      <c r="E22">
        <f t="shared" si="1"/>
        <v>0</v>
      </c>
      <c r="F22">
        <f t="shared" si="2"/>
        <v>0</v>
      </c>
    </row>
    <row r="23" spans="2:6" x14ac:dyDescent="0.2">
      <c r="B23">
        <v>2025</v>
      </c>
      <c r="C23" t="s">
        <v>282</v>
      </c>
      <c r="D23">
        <v>0</v>
      </c>
      <c r="E23">
        <f t="shared" si="1"/>
        <v>0</v>
      </c>
      <c r="F23">
        <f t="shared" si="2"/>
        <v>0</v>
      </c>
    </row>
    <row r="24" spans="2:6" x14ac:dyDescent="0.2">
      <c r="B24">
        <v>2025</v>
      </c>
      <c r="C24" t="s">
        <v>283</v>
      </c>
      <c r="D24">
        <v>0</v>
      </c>
      <c r="E24">
        <f t="shared" si="1"/>
        <v>0</v>
      </c>
      <c r="F24">
        <f t="shared" si="2"/>
        <v>0</v>
      </c>
    </row>
    <row r="25" spans="2:6" x14ac:dyDescent="0.2">
      <c r="B25">
        <v>2025</v>
      </c>
      <c r="C25" t="s">
        <v>284</v>
      </c>
      <c r="D25">
        <v>0.1</v>
      </c>
      <c r="E25">
        <f t="shared" si="1"/>
        <v>0.1</v>
      </c>
      <c r="F25">
        <f t="shared" si="2"/>
        <v>0</v>
      </c>
    </row>
    <row r="26" spans="2:6" x14ac:dyDescent="0.2">
      <c r="B26">
        <v>2025</v>
      </c>
      <c r="C26" t="s">
        <v>285</v>
      </c>
      <c r="D26">
        <v>0.2</v>
      </c>
      <c r="E26">
        <f t="shared" si="1"/>
        <v>0.30000000000000004</v>
      </c>
      <c r="F26">
        <f t="shared" si="2"/>
        <v>0</v>
      </c>
    </row>
    <row r="27" spans="2:6" x14ac:dyDescent="0.2">
      <c r="B27">
        <v>2025</v>
      </c>
      <c r="C27" t="s">
        <v>286</v>
      </c>
      <c r="D27">
        <v>0.3</v>
      </c>
      <c r="E27">
        <f t="shared" si="1"/>
        <v>0.6</v>
      </c>
      <c r="F27">
        <f t="shared" si="2"/>
        <v>0</v>
      </c>
    </row>
    <row r="28" spans="2:6" x14ac:dyDescent="0.2">
      <c r="B28">
        <v>2025</v>
      </c>
      <c r="C28" t="s">
        <v>287</v>
      </c>
      <c r="D28">
        <v>0.2</v>
      </c>
      <c r="E28">
        <f t="shared" si="1"/>
        <v>0.7</v>
      </c>
      <c r="F28">
        <f t="shared" si="2"/>
        <v>0.1</v>
      </c>
    </row>
    <row r="29" spans="2:6" x14ac:dyDescent="0.2">
      <c r="B29">
        <v>2025</v>
      </c>
      <c r="C29" t="s">
        <v>288</v>
      </c>
      <c r="D29">
        <v>0</v>
      </c>
      <c r="E29">
        <f t="shared" si="1"/>
        <v>0.5</v>
      </c>
      <c r="F29">
        <f t="shared" si="2"/>
        <v>0.30000000000000004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60439A-82E3-BB4A-BD97-7446965F3B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3.2.1 methane</vt:lpstr>
      <vt:lpstr>Table1</vt:lpstr>
      <vt:lpstr>3 2 1</vt:lpstr>
      <vt:lpstr>3.2.1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Mack Cheesman</cp:lastModifiedBy>
  <dcterms:created xsi:type="dcterms:W3CDTF">2026-02-18T00:55:42Z</dcterms:created>
  <dcterms:modified xsi:type="dcterms:W3CDTF">2026-10-16T04:45:49Z</dcterms:modified>
</cp:coreProperties>
</file>