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3.2-beef-enteric/"/>
    </mc:Choice>
  </mc:AlternateContent>
  <xr:revisionPtr revIDLastSave="0" documentId="13_ncr:20001_{86816E00-529F-2545-9C86-ECEE4131780F}" xr6:coauthVersionLast="47" xr6:coauthVersionMax="47" xr10:uidLastSave="{00000000-0000-0000-0000-000000000000}"/>
  <bookViews>
    <workbookView xWindow="0" yWindow="600" windowWidth="38400" windowHeight="21000" activeTab="3" xr2:uid="{00000000-000D-0000-FFFF-FFFF00000000}"/>
  </bookViews>
  <sheets>
    <sheet name="3.2.1 methane" sheetId="1" r:id="rId1"/>
    <sheet name="Table1" sheetId="3" r:id="rId2"/>
    <sheet name="3 2 1" sheetId="4" r:id="rId3"/>
    <sheet name="3.2.1" sheetId="2" r:id="rId4"/>
    <sheet name="Sheet1" sheetId="6" r:id="rId5"/>
  </sheets>
  <definedNames>
    <definedName name="ExternalData_1" localSheetId="3" hidden="1">'3.2.1'!$X$23:$AN$63</definedName>
    <definedName name="ExternalData_1" localSheetId="1" hidden="1">Table1!$A$1:$M$58</definedName>
    <definedName name="ExternalData_2" localSheetId="3" hidden="1">'3.2.1'!$X$89:$AN$129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2" i="2" l="1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61" i="2"/>
  <c r="N61" i="2" a="1"/>
  <c r="N61" i="2" s="1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11" i="2"/>
  <c r="F19" i="6"/>
  <c r="F20" i="6"/>
  <c r="F21" i="6"/>
  <c r="F22" i="6"/>
  <c r="F23" i="6"/>
  <c r="F24" i="6"/>
  <c r="F25" i="6"/>
  <c r="F26" i="6"/>
  <c r="F27" i="6"/>
  <c r="F28" i="6"/>
  <c r="F29" i="6"/>
  <c r="F18" i="6"/>
  <c r="E12" i="6"/>
  <c r="E13" i="6"/>
  <c r="E14" i="6"/>
  <c r="E15" i="6"/>
  <c r="E16" i="6"/>
  <c r="E17" i="6"/>
  <c r="E19" i="6"/>
  <c r="E20" i="6"/>
  <c r="E21" i="6"/>
  <c r="E22" i="6"/>
  <c r="E23" i="6"/>
  <c r="E24" i="6"/>
  <c r="E25" i="6"/>
  <c r="E26" i="6"/>
  <c r="E27" i="6"/>
  <c r="E28" i="6"/>
  <c r="E29" i="6"/>
  <c r="E18" i="6"/>
  <c r="N11" i="2" a="1"/>
  <c r="N11" i="2" s="1"/>
  <c r="L84" i="2"/>
  <c r="L83" i="2"/>
  <c r="L82" i="2"/>
  <c r="L81" i="2"/>
  <c r="L80" i="2"/>
  <c r="L79" i="2"/>
  <c r="L78" i="2"/>
  <c r="L77" i="2"/>
  <c r="L76" i="2"/>
  <c r="L75" i="2"/>
  <c r="L74" i="2"/>
  <c r="L73" i="2"/>
  <c r="P61" i="2" a="1"/>
  <c r="P61" i="2" s="1"/>
  <c r="P11" i="2" a="1"/>
  <c r="P11" i="2" s="1"/>
  <c r="S78" i="2" l="1"/>
  <c r="T78" i="2" s="1"/>
  <c r="U78" i="2" s="1"/>
  <c r="S83" i="2"/>
  <c r="T83" i="2" s="1"/>
  <c r="U83" i="2" s="1"/>
  <c r="S79" i="2"/>
  <c r="T79" i="2" s="1"/>
  <c r="U79" i="2" s="1"/>
  <c r="S66" i="2"/>
  <c r="T66" i="2" s="1"/>
  <c r="U66" i="2" s="1"/>
  <c r="S84" i="2"/>
  <c r="T84" i="2" s="1"/>
  <c r="U84" i="2" s="1"/>
  <c r="S90" i="2"/>
  <c r="T90" i="2" s="1"/>
  <c r="U90" i="2" s="1"/>
  <c r="S62" i="2"/>
  <c r="T62" i="2" s="1"/>
  <c r="U62" i="2" s="1"/>
  <c r="S65" i="2"/>
  <c r="T65" i="2" s="1"/>
  <c r="U65" i="2" s="1"/>
  <c r="S68" i="2"/>
  <c r="T68" i="2" s="1"/>
  <c r="U68" i="2" s="1"/>
  <c r="S71" i="2"/>
  <c r="T71" i="2" s="1"/>
  <c r="U71" i="2" s="1"/>
  <c r="S76" i="2"/>
  <c r="T76" i="2" s="1"/>
  <c r="U76" i="2" s="1"/>
  <c r="S86" i="2"/>
  <c r="T86" i="2" s="1"/>
  <c r="U86" i="2" s="1"/>
  <c r="S89" i="2"/>
  <c r="T89" i="2" s="1"/>
  <c r="U89" i="2" s="1"/>
  <c r="S92" i="2"/>
  <c r="T92" i="2" s="1"/>
  <c r="U92" i="2" s="1"/>
  <c r="S95" i="2"/>
  <c r="T95" i="2" s="1"/>
  <c r="U95" i="2" s="1"/>
  <c r="S98" i="2"/>
  <c r="T98" i="2" s="1"/>
  <c r="U98" i="2" s="1"/>
  <c r="S81" i="2"/>
  <c r="T81" i="2" s="1"/>
  <c r="U81" i="2" s="1"/>
  <c r="S74" i="2"/>
  <c r="T74" i="2" s="1"/>
  <c r="U74" i="2" s="1"/>
  <c r="S96" i="2"/>
  <c r="T96" i="2" s="1"/>
  <c r="U96" i="2" s="1"/>
  <c r="S99" i="2"/>
  <c r="T99" i="2" s="1"/>
  <c r="U99" i="2" s="1"/>
  <c r="S64" i="2"/>
  <c r="T64" i="2" s="1"/>
  <c r="U64" i="2" s="1"/>
  <c r="S67" i="2"/>
  <c r="T67" i="2" s="1"/>
  <c r="U67" i="2" s="1"/>
  <c r="S70" i="2"/>
  <c r="T70" i="2" s="1"/>
  <c r="U70" i="2" s="1"/>
  <c r="S80" i="2"/>
  <c r="T80" i="2" s="1"/>
  <c r="U80" i="2" s="1"/>
  <c r="S85" i="2"/>
  <c r="T85" i="2" s="1"/>
  <c r="U85" i="2" s="1"/>
  <c r="S88" i="2"/>
  <c r="T88" i="2" s="1"/>
  <c r="U88" i="2" s="1"/>
  <c r="S91" i="2"/>
  <c r="T91" i="2" s="1"/>
  <c r="U91" i="2" s="1"/>
  <c r="S94" i="2"/>
  <c r="T94" i="2" s="1"/>
  <c r="U94" i="2" s="1"/>
  <c r="S97" i="2"/>
  <c r="T97" i="2" s="1"/>
  <c r="U97" i="2" s="1"/>
  <c r="S100" i="2"/>
  <c r="T100" i="2" s="1"/>
  <c r="U100" i="2" s="1"/>
  <c r="S61" i="2"/>
  <c r="T61" i="2" s="1"/>
  <c r="U61" i="2" s="1"/>
  <c r="S63" i="2"/>
  <c r="T63" i="2" s="1"/>
  <c r="U63" i="2" s="1"/>
  <c r="S72" i="2"/>
  <c r="T72" i="2" s="1"/>
  <c r="U72" i="2" s="1"/>
  <c r="S87" i="2"/>
  <c r="T87" i="2" s="1"/>
  <c r="U87" i="2" s="1"/>
  <c r="S82" i="2"/>
  <c r="T82" i="2" s="1"/>
  <c r="U82" i="2" s="1"/>
  <c r="S73" i="2"/>
  <c r="T73" i="2" s="1"/>
  <c r="U73" i="2" s="1"/>
  <c r="S69" i="2"/>
  <c r="T69" i="2" s="1"/>
  <c r="U69" i="2" s="1"/>
  <c r="S93" i="2"/>
  <c r="T93" i="2" s="1"/>
  <c r="U93" i="2" s="1"/>
  <c r="S77" i="2"/>
  <c r="T77" i="2" s="1"/>
  <c r="U77" i="2" s="1"/>
  <c r="S75" i="2"/>
  <c r="T75" i="2" s="1"/>
  <c r="U75" i="2" s="1"/>
  <c r="S20" i="2"/>
  <c r="T20" i="2" s="1"/>
  <c r="U20" i="2" s="1"/>
  <c r="S42" i="2"/>
  <c r="T42" i="2" s="1"/>
  <c r="U42" i="2" s="1"/>
  <c r="S38" i="2"/>
  <c r="T38" i="2" s="1"/>
  <c r="U38" i="2" s="1"/>
  <c r="S37" i="2"/>
  <c r="T37" i="2" s="1"/>
  <c r="U37" i="2" s="1"/>
  <c r="S47" i="2"/>
  <c r="T47" i="2" s="1"/>
  <c r="U47" i="2" s="1"/>
  <c r="S35" i="2"/>
  <c r="T35" i="2" s="1"/>
  <c r="U35" i="2" s="1"/>
  <c r="S44" i="2"/>
  <c r="T44" i="2" s="1"/>
  <c r="U44" i="2" s="1"/>
  <c r="S19" i="2"/>
  <c r="T19" i="2" s="1"/>
  <c r="U19" i="2" s="1"/>
  <c r="S18" i="2"/>
  <c r="T18" i="2" s="1"/>
  <c r="U18" i="2" s="1"/>
  <c r="S17" i="2"/>
  <c r="T17" i="2" s="1"/>
  <c r="U17" i="2" s="1"/>
  <c r="S40" i="2"/>
  <c r="T40" i="2" s="1"/>
  <c r="U40" i="2" s="1"/>
  <c r="S16" i="2"/>
  <c r="T16" i="2" s="1"/>
  <c r="U16" i="2" s="1"/>
  <c r="S15" i="2"/>
  <c r="T15" i="2" s="1"/>
  <c r="U15" i="2" s="1"/>
  <c r="S14" i="2"/>
  <c r="T14" i="2" s="1"/>
  <c r="U14" i="2" s="1"/>
  <c r="S49" i="2"/>
  <c r="T49" i="2" s="1"/>
  <c r="U49" i="2" s="1"/>
  <c r="S46" i="2"/>
  <c r="T46" i="2" s="1"/>
  <c r="U46" i="2" s="1"/>
  <c r="S22" i="2"/>
  <c r="T22" i="2" s="1"/>
  <c r="U22" i="2" s="1"/>
  <c r="S43" i="2"/>
  <c r="T43" i="2" s="1"/>
  <c r="U43" i="2" s="1"/>
  <c r="S41" i="2"/>
  <c r="T41" i="2" s="1"/>
  <c r="U41" i="2" s="1"/>
  <c r="S39" i="2"/>
  <c r="T39" i="2" s="1"/>
  <c r="U39" i="2" s="1"/>
  <c r="S50" i="2"/>
  <c r="T50" i="2" s="1"/>
  <c r="U50" i="2" s="1"/>
  <c r="S13" i="2"/>
  <c r="T13" i="2" s="1"/>
  <c r="U13" i="2" s="1"/>
  <c r="S48" i="2"/>
  <c r="T48" i="2" s="1"/>
  <c r="U48" i="2" s="1"/>
  <c r="S36" i="2"/>
  <c r="T36" i="2" s="1"/>
  <c r="U36" i="2" s="1"/>
  <c r="S12" i="2"/>
  <c r="T12" i="2" s="1"/>
  <c r="U12" i="2" s="1"/>
  <c r="S45" i="2"/>
  <c r="T45" i="2" s="1"/>
  <c r="U45" i="2" s="1"/>
  <c r="S21" i="2"/>
  <c r="T21" i="2" s="1"/>
  <c r="U21" i="2" s="1"/>
  <c r="V61" i="2" l="1"/>
  <c r="L34" i="2" l="1"/>
  <c r="L33" i="2"/>
  <c r="L32" i="2"/>
  <c r="L31" i="2"/>
  <c r="L30" i="2"/>
  <c r="L29" i="2"/>
  <c r="L28" i="2"/>
  <c r="L27" i="2"/>
  <c r="L26" i="2"/>
  <c r="L25" i="2"/>
  <c r="S24" i="2" l="1"/>
  <c r="T24" i="2" s="1"/>
  <c r="U24" i="2" s="1"/>
  <c r="S26" i="2"/>
  <c r="T26" i="2" s="1"/>
  <c r="U26" i="2" s="1"/>
  <c r="S30" i="2"/>
  <c r="T30" i="2" s="1"/>
  <c r="U30" i="2" s="1"/>
  <c r="S25" i="2"/>
  <c r="T25" i="2" s="1"/>
  <c r="U25" i="2" s="1"/>
  <c r="S27" i="2"/>
  <c r="T27" i="2" s="1"/>
  <c r="U27" i="2" s="1"/>
  <c r="S28" i="2"/>
  <c r="T28" i="2" s="1"/>
  <c r="U28" i="2" s="1"/>
  <c r="S29" i="2"/>
  <c r="T29" i="2" s="1"/>
  <c r="U29" i="2" s="1"/>
  <c r="S31" i="2"/>
  <c r="T31" i="2" s="1"/>
  <c r="U31" i="2" s="1"/>
  <c r="S32" i="2"/>
  <c r="T32" i="2" s="1"/>
  <c r="U32" i="2" s="1"/>
  <c r="S33" i="2"/>
  <c r="T33" i="2" s="1"/>
  <c r="U33" i="2" s="1"/>
  <c r="S34" i="2"/>
  <c r="T34" i="2" s="1"/>
  <c r="U34" i="2" s="1"/>
  <c r="S23" i="2"/>
  <c r="T23" i="2" s="1"/>
  <c r="U23" i="2" s="1"/>
  <c r="AC180" i="1"/>
  <c r="AB180" i="1" s="1"/>
  <c r="Z180" i="1"/>
  <c r="Y180" i="1"/>
  <c r="P180" i="1" a="1"/>
  <c r="P180" i="1" s="1"/>
  <c r="Q180" i="1" s="1"/>
  <c r="AC179" i="1"/>
  <c r="AB179" i="1"/>
  <c r="Z179" i="1"/>
  <c r="Y179" i="1"/>
  <c r="P179" i="1" a="1"/>
  <c r="P179" i="1" s="1"/>
  <c r="Q179" i="1" s="1"/>
  <c r="AJ178" i="1"/>
  <c r="AI178" i="1"/>
  <c r="AC178" i="1"/>
  <c r="AB178" i="1"/>
  <c r="Z178" i="1"/>
  <c r="Y178" i="1"/>
  <c r="P178" i="1" a="1"/>
  <c r="P178" i="1" s="1"/>
  <c r="Q178" i="1" s="1"/>
  <c r="AC177" i="1"/>
  <c r="AB177" i="1"/>
  <c r="Z177" i="1"/>
  <c r="Y177" i="1"/>
  <c r="P177" i="1" a="1"/>
  <c r="P177" i="1" s="1"/>
  <c r="Q177" i="1" s="1"/>
  <c r="AI176" i="1"/>
  <c r="AJ176" i="1" s="1"/>
  <c r="AC176" i="1"/>
  <c r="AB176" i="1"/>
  <c r="Z176" i="1"/>
  <c r="Y176" i="1"/>
  <c r="P176" i="1" a="1"/>
  <c r="P176" i="1" s="1"/>
  <c r="Q176" i="1" s="1"/>
  <c r="AC175" i="1"/>
  <c r="AB175" i="1"/>
  <c r="Z175" i="1"/>
  <c r="AI175" i="1" s="1"/>
  <c r="AJ175" i="1" s="1"/>
  <c r="Y175" i="1"/>
  <c r="P175" i="1" a="1"/>
  <c r="P175" i="1" s="1"/>
  <c r="Q175" i="1" s="1"/>
  <c r="AC174" i="1"/>
  <c r="AI174" i="1" s="1"/>
  <c r="AJ174" i="1" s="1"/>
  <c r="Z174" i="1"/>
  <c r="Y174" i="1"/>
  <c r="P174" i="1" a="1"/>
  <c r="P174" i="1" s="1"/>
  <c r="Q174" i="1" s="1"/>
  <c r="AC173" i="1"/>
  <c r="AB173" i="1"/>
  <c r="Z173" i="1"/>
  <c r="Y173" i="1"/>
  <c r="P173" i="1" a="1"/>
  <c r="P173" i="1" s="1"/>
  <c r="Q173" i="1" s="1"/>
  <c r="AC172" i="1"/>
  <c r="Z172" i="1"/>
  <c r="Y172" i="1"/>
  <c r="P172" i="1" a="1"/>
  <c r="P172" i="1" s="1"/>
  <c r="Q172" i="1" s="1"/>
  <c r="AC171" i="1"/>
  <c r="Z171" i="1"/>
  <c r="Y171" i="1"/>
  <c r="P171" i="1" a="1"/>
  <c r="P171" i="1" s="1"/>
  <c r="Q171" i="1" s="1"/>
  <c r="AC170" i="1"/>
  <c r="Z170" i="1"/>
  <c r="Y170" i="1"/>
  <c r="P170" i="1" a="1"/>
  <c r="P170" i="1" s="1"/>
  <c r="Q170" i="1" s="1"/>
  <c r="AJ169" i="1"/>
  <c r="AI169" i="1"/>
  <c r="AC169" i="1"/>
  <c r="AB169" i="1" s="1"/>
  <c r="Z169" i="1"/>
  <c r="Y169" i="1"/>
  <c r="P169" i="1" a="1"/>
  <c r="P169" i="1" s="1"/>
  <c r="Q169" i="1" s="1"/>
  <c r="AC168" i="1"/>
  <c r="AB168" i="1" s="1"/>
  <c r="Z168" i="1"/>
  <c r="Y168" i="1"/>
  <c r="P168" i="1" a="1"/>
  <c r="P168" i="1" s="1"/>
  <c r="Q168" i="1" s="1"/>
  <c r="AI167" i="1"/>
  <c r="AJ167" i="1" s="1"/>
  <c r="AC167" i="1"/>
  <c r="AB167" i="1"/>
  <c r="Z167" i="1"/>
  <c r="Y167" i="1"/>
  <c r="P167" i="1" a="1"/>
  <c r="P167" i="1" s="1"/>
  <c r="Q167" i="1" s="1"/>
  <c r="AC166" i="1"/>
  <c r="AI166" i="1" s="1"/>
  <c r="AJ166" i="1" s="1"/>
  <c r="AB166" i="1"/>
  <c r="Z166" i="1"/>
  <c r="Y166" i="1"/>
  <c r="W166" i="1"/>
  <c r="P166" i="1" a="1"/>
  <c r="P166" i="1" s="1"/>
  <c r="Q166" i="1" s="1"/>
  <c r="AA166" i="1" s="1"/>
  <c r="AC165" i="1"/>
  <c r="AB165" i="1"/>
  <c r="Z165" i="1"/>
  <c r="AI165" i="1" s="1"/>
  <c r="AJ165" i="1" s="1"/>
  <c r="Y165" i="1"/>
  <c r="W165" i="1"/>
  <c r="P165" i="1" a="1"/>
  <c r="P165" i="1" s="1"/>
  <c r="Q165" i="1" s="1"/>
  <c r="AA165" i="1" s="1"/>
  <c r="Z164" i="1"/>
  <c r="Y164" i="1"/>
  <c r="V164" i="1"/>
  <c r="AC164" i="1" s="1"/>
  <c r="T164" i="1"/>
  <c r="P164" i="1" a="1"/>
  <c r="P164" i="1" s="1"/>
  <c r="Q164" i="1" s="1"/>
  <c r="Z163" i="1"/>
  <c r="Y163" i="1"/>
  <c r="T163" i="1"/>
  <c r="V163" i="1" s="1"/>
  <c r="AC163" i="1" s="1"/>
  <c r="P163" i="1" a="1"/>
  <c r="P163" i="1" s="1"/>
  <c r="Q163" i="1" s="1"/>
  <c r="AC162" i="1"/>
  <c r="Z162" i="1"/>
  <c r="X162" i="1"/>
  <c r="V162" i="1"/>
  <c r="T162" i="1"/>
  <c r="Y162" i="1" s="1"/>
  <c r="P162" i="1" a="1"/>
  <c r="P162" i="1" s="1"/>
  <c r="Q162" i="1" s="1"/>
  <c r="AB161" i="1"/>
  <c r="Z161" i="1"/>
  <c r="Y161" i="1"/>
  <c r="X161" i="1"/>
  <c r="T161" i="1"/>
  <c r="V161" i="1" s="1"/>
  <c r="AC161" i="1" s="1"/>
  <c r="P161" i="1" a="1"/>
  <c r="P161" i="1" s="1"/>
  <c r="Q161" i="1" s="1"/>
  <c r="Z160" i="1"/>
  <c r="V160" i="1"/>
  <c r="T160" i="1"/>
  <c r="Y160" i="1" s="1"/>
  <c r="P160" i="1" a="1"/>
  <c r="P160" i="1" s="1"/>
  <c r="Q160" i="1" s="1"/>
  <c r="Z159" i="1"/>
  <c r="T159" i="1"/>
  <c r="V159" i="1" s="1"/>
  <c r="P159" i="1" a="1"/>
  <c r="P159" i="1" s="1"/>
  <c r="Q159" i="1" s="1"/>
  <c r="Z158" i="1"/>
  <c r="X158" i="1"/>
  <c r="V158" i="1"/>
  <c r="T158" i="1"/>
  <c r="Y158" i="1" s="1"/>
  <c r="P158" i="1" a="1"/>
  <c r="P158" i="1" s="1"/>
  <c r="Q158" i="1" s="1"/>
  <c r="Z157" i="1"/>
  <c r="X157" i="1"/>
  <c r="T157" i="1"/>
  <c r="P157" i="1" a="1"/>
  <c r="P157" i="1" s="1"/>
  <c r="Q157" i="1" s="1"/>
  <c r="O157" i="1" a="1"/>
  <c r="AC156" i="1"/>
  <c r="AB156" i="1"/>
  <c r="Z156" i="1"/>
  <c r="Y156" i="1"/>
  <c r="P156" i="1" a="1"/>
  <c r="P156" i="1" s="1"/>
  <c r="Q156" i="1" s="1"/>
  <c r="AI155" i="1"/>
  <c r="AJ155" i="1" s="1"/>
  <c r="AC155" i="1"/>
  <c r="Z155" i="1"/>
  <c r="Y155" i="1"/>
  <c r="P155" i="1" a="1"/>
  <c r="P155" i="1" s="1"/>
  <c r="Q155" i="1" s="1"/>
  <c r="AC154" i="1"/>
  <c r="AB154" i="1"/>
  <c r="Z154" i="1"/>
  <c r="Y154" i="1"/>
  <c r="P154" i="1" a="1"/>
  <c r="P154" i="1" s="1"/>
  <c r="Q154" i="1" s="1"/>
  <c r="AA154" i="1" s="1"/>
  <c r="AI153" i="1"/>
  <c r="AJ153" i="1" s="1"/>
  <c r="AC153" i="1"/>
  <c r="Z153" i="1"/>
  <c r="Y153" i="1"/>
  <c r="P153" i="1" a="1"/>
  <c r="P153" i="1" s="1"/>
  <c r="Q153" i="1" s="1"/>
  <c r="AJ152" i="1"/>
  <c r="AC152" i="1"/>
  <c r="AB152" i="1"/>
  <c r="Z152" i="1"/>
  <c r="AI152" i="1" s="1"/>
  <c r="Y152" i="1"/>
  <c r="P152" i="1" a="1"/>
  <c r="P152" i="1" s="1"/>
  <c r="Q152" i="1" s="1"/>
  <c r="AI151" i="1"/>
  <c r="AJ151" i="1" s="1"/>
  <c r="AC151" i="1"/>
  <c r="AB151" i="1" s="1"/>
  <c r="Z151" i="1"/>
  <c r="Y151" i="1"/>
  <c r="P151" i="1" a="1"/>
  <c r="P151" i="1" s="1"/>
  <c r="Q151" i="1" s="1"/>
  <c r="AI150" i="1"/>
  <c r="AJ150" i="1" s="1"/>
  <c r="AC150" i="1"/>
  <c r="AB150" i="1"/>
  <c r="Z150" i="1"/>
  <c r="Y150" i="1"/>
  <c r="W150" i="1"/>
  <c r="P150" i="1" a="1"/>
  <c r="P150" i="1" s="1"/>
  <c r="Q150" i="1" s="1"/>
  <c r="AC149" i="1"/>
  <c r="Z149" i="1"/>
  <c r="Y149" i="1"/>
  <c r="W149" i="1"/>
  <c r="P149" i="1" a="1"/>
  <c r="P149" i="1" s="1"/>
  <c r="Q149" i="1" s="1"/>
  <c r="AI148" i="1"/>
  <c r="AJ148" i="1" s="1"/>
  <c r="AC148" i="1"/>
  <c r="AB148" i="1"/>
  <c r="Z148" i="1"/>
  <c r="Y148" i="1"/>
  <c r="P148" i="1" a="1"/>
  <c r="P148" i="1" s="1"/>
  <c r="Q148" i="1" s="1"/>
  <c r="AC147" i="1"/>
  <c r="AB147" i="1" s="1"/>
  <c r="Z147" i="1"/>
  <c r="Y147" i="1"/>
  <c r="P147" i="1" a="1"/>
  <c r="P147" i="1" s="1"/>
  <c r="Q147" i="1" s="1"/>
  <c r="AJ146" i="1"/>
  <c r="AC146" i="1"/>
  <c r="AB146" i="1"/>
  <c r="Z146" i="1"/>
  <c r="AI146" i="1" s="1"/>
  <c r="Y146" i="1"/>
  <c r="P146" i="1" a="1"/>
  <c r="P146" i="1" s="1"/>
  <c r="Q146" i="1" s="1"/>
  <c r="AC145" i="1"/>
  <c r="Z145" i="1"/>
  <c r="Y145" i="1"/>
  <c r="P145" i="1" a="1"/>
  <c r="P145" i="1" s="1"/>
  <c r="Q145" i="1" s="1"/>
  <c r="AC144" i="1"/>
  <c r="AB144" i="1"/>
  <c r="Z144" i="1"/>
  <c r="Y144" i="1"/>
  <c r="P144" i="1" a="1"/>
  <c r="P144" i="1" s="1"/>
  <c r="Q144" i="1" s="1"/>
  <c r="AC143" i="1"/>
  <c r="Z143" i="1"/>
  <c r="Y143" i="1"/>
  <c r="P143" i="1" a="1"/>
  <c r="P143" i="1" s="1"/>
  <c r="Q143" i="1" s="1"/>
  <c r="AC142" i="1"/>
  <c r="AB142" i="1" s="1"/>
  <c r="Z142" i="1"/>
  <c r="Y142" i="1"/>
  <c r="W142" i="1"/>
  <c r="P142" i="1" a="1"/>
  <c r="P142" i="1" s="1"/>
  <c r="Q142" i="1" s="1"/>
  <c r="BK141" i="1"/>
  <c r="BJ141" i="1"/>
  <c r="BI141" i="1"/>
  <c r="BG141" i="1"/>
  <c r="BE141" i="1"/>
  <c r="BD141" i="1"/>
  <c r="BA141" i="1"/>
  <c r="AY141" i="1"/>
  <c r="AV141" i="1"/>
  <c r="AU141" i="1"/>
  <c r="AT141" i="1"/>
  <c r="AS141" i="1"/>
  <c r="AR141" i="1"/>
  <c r="AQ141" i="1"/>
  <c r="AP141" i="1"/>
  <c r="AC141" i="1"/>
  <c r="AB141" i="1"/>
  <c r="Z141" i="1"/>
  <c r="Y141" i="1"/>
  <c r="W141" i="1"/>
  <c r="P141" i="1" a="1"/>
  <c r="P141" i="1" s="1"/>
  <c r="Q141" i="1" s="1"/>
  <c r="J141" i="1"/>
  <c r="AC130" i="1"/>
  <c r="Y130" i="1"/>
  <c r="P130" i="1" a="1"/>
  <c r="P130" i="1" s="1"/>
  <c r="Z129" i="1"/>
  <c r="Y129" i="1"/>
  <c r="P129" i="1" a="1"/>
  <c r="P129" i="1" s="1"/>
  <c r="Q129" i="1" s="1"/>
  <c r="AC128" i="1"/>
  <c r="AB128" i="1" s="1"/>
  <c r="Y128" i="1"/>
  <c r="P128" i="1" a="1"/>
  <c r="P128" i="1" s="1"/>
  <c r="AN127" i="1" a="1"/>
  <c r="AN127" i="1" s="1"/>
  <c r="AM127" i="1" a="1"/>
  <c r="Y127" i="1"/>
  <c r="P127" i="1" a="1"/>
  <c r="P127" i="1" s="1"/>
  <c r="O127" i="1" a="1"/>
  <c r="O127" i="1" s="1"/>
  <c r="N127" i="1" a="1"/>
  <c r="N127" i="1" s="1"/>
  <c r="Y126" i="1"/>
  <c r="P126" i="1" a="1"/>
  <c r="P126" i="1" s="1"/>
  <c r="Y125" i="1"/>
  <c r="P125" i="1" a="1"/>
  <c r="P125" i="1" s="1"/>
  <c r="Y124" i="1"/>
  <c r="P124" i="1" a="1"/>
  <c r="P124" i="1" s="1"/>
  <c r="AN123" i="1" a="1"/>
  <c r="AN123" i="1" s="1"/>
  <c r="AM123" i="1" a="1"/>
  <c r="Y123" i="1"/>
  <c r="P123" i="1" a="1"/>
  <c r="P123" i="1" s="1"/>
  <c r="O123" i="1" a="1"/>
  <c r="N123" i="1" a="1"/>
  <c r="AC122" i="1"/>
  <c r="AB122" i="1"/>
  <c r="Y122" i="1"/>
  <c r="P122" i="1" a="1"/>
  <c r="P122" i="1" s="1"/>
  <c r="Y121" i="1"/>
  <c r="P121" i="1" a="1"/>
  <c r="P121" i="1" s="1"/>
  <c r="Q121" i="1" s="1"/>
  <c r="Y120" i="1"/>
  <c r="P120" i="1" a="1"/>
  <c r="P120" i="1" s="1"/>
  <c r="Q120" i="1" s="1"/>
  <c r="AN119" i="1" a="1"/>
  <c r="AN119" i="1" s="1"/>
  <c r="AM119" i="1" a="1"/>
  <c r="Y119" i="1"/>
  <c r="P119" i="1" a="1"/>
  <c r="P119" i="1" s="1"/>
  <c r="O119" i="1" a="1"/>
  <c r="AC120" i="1" s="1"/>
  <c r="N119" i="1" a="1"/>
  <c r="N119" i="1" s="1"/>
  <c r="Y118" i="1"/>
  <c r="P118" i="1" a="1"/>
  <c r="P118" i="1" s="1"/>
  <c r="Y117" i="1"/>
  <c r="T117" i="1"/>
  <c r="P117" i="1" a="1"/>
  <c r="P117" i="1" s="1"/>
  <c r="Q117" i="1" s="1"/>
  <c r="Z116" i="1"/>
  <c r="W116" i="1"/>
  <c r="T116" i="1"/>
  <c r="Y116" i="1" s="1"/>
  <c r="P116" i="1" a="1"/>
  <c r="P116" i="1" s="1"/>
  <c r="Q116" i="1" s="1"/>
  <c r="AN115" i="1" a="1"/>
  <c r="AN115" i="1" s="1"/>
  <c r="AM115" i="1" a="1"/>
  <c r="Z118" i="1" s="1"/>
  <c r="W115" i="1"/>
  <c r="T115" i="1"/>
  <c r="Y115" i="1" s="1"/>
  <c r="P115" i="1" a="1"/>
  <c r="P115" i="1" s="1"/>
  <c r="O115" i="1" a="1"/>
  <c r="O115" i="1" s="1"/>
  <c r="N115" i="1" a="1"/>
  <c r="Z114" i="1"/>
  <c r="U114" i="1"/>
  <c r="T114" i="1"/>
  <c r="Y114" i="1" s="1"/>
  <c r="P114" i="1" a="1"/>
  <c r="P114" i="1" s="1"/>
  <c r="Z113" i="1"/>
  <c r="U113" i="1"/>
  <c r="T113" i="1"/>
  <c r="P113" i="1" a="1"/>
  <c r="P113" i="1" s="1"/>
  <c r="Z112" i="1"/>
  <c r="Y112" i="1"/>
  <c r="X112" i="1"/>
  <c r="U112" i="1"/>
  <c r="T112" i="1"/>
  <c r="V112" i="1" s="1"/>
  <c r="P112" i="1" a="1"/>
  <c r="P112" i="1" s="1"/>
  <c r="AN111" i="1" a="1"/>
  <c r="AN111" i="1" s="1"/>
  <c r="AM111" i="1" a="1"/>
  <c r="AM111" i="1" s="1"/>
  <c r="Z111" i="1" s="1"/>
  <c r="Y111" i="1"/>
  <c r="X111" i="1"/>
  <c r="V111" i="1"/>
  <c r="U111" i="1"/>
  <c r="T111" i="1"/>
  <c r="P111" i="1" a="1"/>
  <c r="P111" i="1" s="1"/>
  <c r="O111" i="1" a="1"/>
  <c r="O111" i="1" s="1"/>
  <c r="N111" i="1" a="1"/>
  <c r="Z110" i="1"/>
  <c r="U110" i="1"/>
  <c r="T110" i="1"/>
  <c r="P110" i="1" a="1"/>
  <c r="P110" i="1" s="1"/>
  <c r="Q110" i="1" s="1"/>
  <c r="AC109" i="1"/>
  <c r="AB109" i="1" s="1"/>
  <c r="Z109" i="1"/>
  <c r="V109" i="1"/>
  <c r="U109" i="1"/>
  <c r="T109" i="1"/>
  <c r="Y109" i="1" s="1"/>
  <c r="P109" i="1" a="1"/>
  <c r="P109" i="1" s="1"/>
  <c r="X108" i="1"/>
  <c r="Y108" i="1" s="1"/>
  <c r="U108" i="1"/>
  <c r="T108" i="1"/>
  <c r="P108" i="1" a="1"/>
  <c r="P108" i="1" s="1"/>
  <c r="Q108" i="1" s="1"/>
  <c r="AN107" i="1" a="1"/>
  <c r="AN107" i="1" s="1"/>
  <c r="AM107" i="1" a="1"/>
  <c r="AM107" i="1" s="1"/>
  <c r="Z107" i="1" s="1"/>
  <c r="X107" i="1"/>
  <c r="U107" i="1"/>
  <c r="T107" i="1"/>
  <c r="Y107" i="1" s="1"/>
  <c r="P107" i="1" a="1"/>
  <c r="P107" i="1" s="1"/>
  <c r="O107" i="1" a="1"/>
  <c r="O107" i="1" s="1"/>
  <c r="N107" i="1" a="1"/>
  <c r="AC106" i="1"/>
  <c r="AB106" i="1" s="1"/>
  <c r="T106" i="1"/>
  <c r="Y106" i="1" s="1"/>
  <c r="P106" i="1" a="1"/>
  <c r="P106" i="1" s="1"/>
  <c r="T105" i="1"/>
  <c r="Y105" i="1" s="1"/>
  <c r="P105" i="1" a="1"/>
  <c r="P105" i="1" s="1"/>
  <c r="Q105" i="1" s="1"/>
  <c r="Y104" i="1"/>
  <c r="T104" i="1"/>
  <c r="P104" i="1" a="1"/>
  <c r="P104" i="1" s="1"/>
  <c r="AN103" i="1" a="1"/>
  <c r="AN103" i="1" s="1"/>
  <c r="AM103" i="1" a="1"/>
  <c r="T103" i="1"/>
  <c r="Y103" i="1" s="1"/>
  <c r="P103" i="1" a="1"/>
  <c r="P103" i="1" s="1"/>
  <c r="O103" i="1" a="1"/>
  <c r="O103" i="1" s="1"/>
  <c r="N103" i="1" a="1"/>
  <c r="T102" i="1"/>
  <c r="Y102" i="1" s="1"/>
  <c r="P102" i="1" a="1"/>
  <c r="P102" i="1" s="1"/>
  <c r="Z101" i="1"/>
  <c r="Y101" i="1"/>
  <c r="T101" i="1"/>
  <c r="P101" i="1" a="1"/>
  <c r="P101" i="1" s="1"/>
  <c r="W100" i="1"/>
  <c r="T100" i="1"/>
  <c r="Y100" i="1" s="1"/>
  <c r="P100" i="1" a="1"/>
  <c r="P100" i="1" s="1"/>
  <c r="AN99" i="1" a="1"/>
  <c r="AN99" i="1" s="1"/>
  <c r="AM99" i="1" a="1"/>
  <c r="AM99" i="1" s="1"/>
  <c r="Z99" i="1" s="1"/>
  <c r="W99" i="1"/>
  <c r="T99" i="1"/>
  <c r="Y99" i="1" s="1"/>
  <c r="P99" i="1" a="1"/>
  <c r="P99" i="1" s="1"/>
  <c r="O99" i="1" a="1"/>
  <c r="O99" i="1" s="1"/>
  <c r="N99" i="1" a="1"/>
  <c r="Y98" i="1"/>
  <c r="T98" i="1"/>
  <c r="P98" i="1" a="1"/>
  <c r="P98" i="1" s="1"/>
  <c r="Y97" i="1"/>
  <c r="T97" i="1"/>
  <c r="P97" i="1" a="1"/>
  <c r="P97" i="1" s="1"/>
  <c r="T96" i="1"/>
  <c r="Y96" i="1" s="1"/>
  <c r="P96" i="1" a="1"/>
  <c r="P96" i="1" s="1"/>
  <c r="AN95" i="1" a="1"/>
  <c r="AN95" i="1" s="1"/>
  <c r="AM95" i="1" a="1"/>
  <c r="Y95" i="1"/>
  <c r="T95" i="1"/>
  <c r="P95" i="1" a="1"/>
  <c r="P95" i="1" s="1"/>
  <c r="O95" i="1" a="1"/>
  <c r="O95" i="1" s="1"/>
  <c r="N95" i="1" a="1"/>
  <c r="N95" i="1" s="1"/>
  <c r="AC94" i="1"/>
  <c r="AB94" i="1" s="1"/>
  <c r="Z94" i="1"/>
  <c r="Y94" i="1"/>
  <c r="T94" i="1"/>
  <c r="P94" i="1" a="1"/>
  <c r="P94" i="1" s="1"/>
  <c r="T93" i="1"/>
  <c r="Y93" i="1" s="1"/>
  <c r="P93" i="1" a="1"/>
  <c r="P93" i="1" s="1"/>
  <c r="Z92" i="1"/>
  <c r="Y92" i="1"/>
  <c r="W92" i="1"/>
  <c r="T92" i="1"/>
  <c r="P92" i="1" a="1"/>
  <c r="P92" i="1" s="1"/>
  <c r="BK91" i="1"/>
  <c r="BJ91" i="1"/>
  <c r="BI91" i="1"/>
  <c r="BG91" i="1"/>
  <c r="BE91" i="1"/>
  <c r="BD91" i="1"/>
  <c r="BA91" i="1"/>
  <c r="AY91" i="1"/>
  <c r="AV91" i="1"/>
  <c r="AU91" i="1"/>
  <c r="AT91" i="1"/>
  <c r="AS91" i="1"/>
  <c r="AR91" i="1"/>
  <c r="AQ91" i="1"/>
  <c r="AP91" i="1"/>
  <c r="AN91" i="1" a="1"/>
  <c r="AN91" i="1" s="1"/>
  <c r="AM91" i="1" a="1"/>
  <c r="Z93" i="1" s="1"/>
  <c r="Y91" i="1"/>
  <c r="W91" i="1"/>
  <c r="T91" i="1"/>
  <c r="P91" i="1" a="1"/>
  <c r="P91" i="1" s="1"/>
  <c r="O91" i="1" a="1"/>
  <c r="O91" i="1" s="1"/>
  <c r="N91" i="1" a="1"/>
  <c r="J91" i="1"/>
  <c r="T90" i="1"/>
  <c r="Y90" i="1" s="1"/>
  <c r="P90" i="1" a="1"/>
  <c r="P90" i="1" s="1"/>
  <c r="Y89" i="1"/>
  <c r="T89" i="1"/>
  <c r="P89" i="1" a="1"/>
  <c r="P89" i="1" s="1"/>
  <c r="T88" i="1"/>
  <c r="Y88" i="1" s="1"/>
  <c r="P88" i="1" a="1"/>
  <c r="P88" i="1" s="1"/>
  <c r="AN87" i="1" a="1"/>
  <c r="AN87" i="1" s="1"/>
  <c r="AM87" i="1" a="1"/>
  <c r="T87" i="1"/>
  <c r="Y87" i="1" s="1"/>
  <c r="P87" i="1" a="1"/>
  <c r="P87" i="1" s="1"/>
  <c r="O87" i="1" a="1"/>
  <c r="O87" i="1" s="1"/>
  <c r="N87" i="1" a="1"/>
  <c r="T86" i="1"/>
  <c r="Y86" i="1" s="1"/>
  <c r="P86" i="1" a="1"/>
  <c r="P86" i="1" s="1"/>
  <c r="T85" i="1"/>
  <c r="Y85" i="1" s="1"/>
  <c r="P85" i="1" a="1"/>
  <c r="P85" i="1" s="1"/>
  <c r="T84" i="1"/>
  <c r="Y84" i="1" s="1"/>
  <c r="P84" i="1" a="1"/>
  <c r="P84" i="1" s="1"/>
  <c r="AN83" i="1" a="1"/>
  <c r="AN83" i="1" s="1"/>
  <c r="AM83" i="1" a="1"/>
  <c r="T83" i="1"/>
  <c r="Y83" i="1" s="1"/>
  <c r="P83" i="1" a="1"/>
  <c r="P83" i="1" s="1"/>
  <c r="O83" i="1" a="1"/>
  <c r="O83" i="1" s="1"/>
  <c r="N83" i="1" a="1"/>
  <c r="Z82" i="1"/>
  <c r="T82" i="1"/>
  <c r="Y82" i="1" s="1"/>
  <c r="P82" i="1" a="1"/>
  <c r="P82" i="1" s="1"/>
  <c r="T81" i="1"/>
  <c r="Y81" i="1" s="1"/>
  <c r="P81" i="1" a="1"/>
  <c r="P81" i="1" s="1"/>
  <c r="T80" i="1"/>
  <c r="Y80" i="1" s="1"/>
  <c r="P80" i="1" a="1"/>
  <c r="P80" i="1" s="1"/>
  <c r="Q80" i="1" s="1"/>
  <c r="AN79" i="1" a="1"/>
  <c r="AN79" i="1" s="1"/>
  <c r="AM79" i="1" a="1"/>
  <c r="Z81" i="1" s="1"/>
  <c r="T79" i="1"/>
  <c r="Y79" i="1" s="1"/>
  <c r="P79" i="1" a="1"/>
  <c r="P79" i="1" s="1"/>
  <c r="O79" i="1" a="1"/>
  <c r="O79" i="1" s="1"/>
  <c r="N79" i="1" a="1"/>
  <c r="AC78" i="1"/>
  <c r="AB78" i="1" s="1"/>
  <c r="Z78" i="1"/>
  <c r="Y78" i="1"/>
  <c r="T78" i="1"/>
  <c r="P78" i="1" a="1"/>
  <c r="P78" i="1" s="1"/>
  <c r="Y77" i="1"/>
  <c r="T77" i="1"/>
  <c r="P77" i="1" a="1"/>
  <c r="P77" i="1" s="1"/>
  <c r="Z76" i="1"/>
  <c r="Y76" i="1"/>
  <c r="W76" i="1"/>
  <c r="T76" i="1"/>
  <c r="P76" i="1" a="1"/>
  <c r="P76" i="1" s="1"/>
  <c r="Q76" i="1" s="1"/>
  <c r="AN75" i="1" a="1"/>
  <c r="AN75" i="1" s="1"/>
  <c r="AM75" i="1" a="1"/>
  <c r="Z77" i="1" s="1"/>
  <c r="W75" i="1"/>
  <c r="T75" i="1"/>
  <c r="Y75" i="1" s="1"/>
  <c r="P75" i="1" a="1"/>
  <c r="P75" i="1" s="1"/>
  <c r="O75" i="1" a="1"/>
  <c r="O75" i="1" s="1"/>
  <c r="N75" i="1" a="1"/>
  <c r="U74" i="1"/>
  <c r="T74" i="1"/>
  <c r="P74" i="1" a="1"/>
  <c r="P74" i="1" s="1"/>
  <c r="U73" i="1"/>
  <c r="T73" i="1"/>
  <c r="Y73" i="1" s="1"/>
  <c r="P73" i="1" a="1"/>
  <c r="P73" i="1" s="1"/>
  <c r="Z72" i="1"/>
  <c r="X72" i="1"/>
  <c r="Y72" i="1" s="1"/>
  <c r="V72" i="1"/>
  <c r="U72" i="1"/>
  <c r="T72" i="1"/>
  <c r="P72" i="1" a="1"/>
  <c r="P72" i="1" s="1"/>
  <c r="AN71" i="1" a="1"/>
  <c r="AN71" i="1" s="1"/>
  <c r="AM71" i="1" a="1"/>
  <c r="X71" i="1"/>
  <c r="Y71" i="1" s="1"/>
  <c r="U71" i="1"/>
  <c r="T71" i="1"/>
  <c r="V71" i="1" s="1"/>
  <c r="P71" i="1" a="1"/>
  <c r="P71" i="1" s="1"/>
  <c r="O71" i="1" a="1"/>
  <c r="O71" i="1" s="1"/>
  <c r="N71" i="1" a="1"/>
  <c r="Z70" i="1"/>
  <c r="Y70" i="1"/>
  <c r="U70" i="1"/>
  <c r="T70" i="1"/>
  <c r="V70" i="1" s="1"/>
  <c r="AC70" i="1" s="1"/>
  <c r="P70" i="1" a="1"/>
  <c r="P70" i="1" s="1"/>
  <c r="Z69" i="1"/>
  <c r="U69" i="1"/>
  <c r="T69" i="1"/>
  <c r="Y69" i="1" s="1"/>
  <c r="P69" i="1" a="1"/>
  <c r="P69" i="1" s="1"/>
  <c r="Q69" i="1" s="1"/>
  <c r="Y68" i="1"/>
  <c r="X68" i="1"/>
  <c r="U68" i="1"/>
  <c r="V68" i="1" s="1"/>
  <c r="AC68" i="1" s="1"/>
  <c r="T68" i="1"/>
  <c r="P68" i="1" a="1"/>
  <c r="P68" i="1" s="1"/>
  <c r="Q68" i="1" s="1"/>
  <c r="AN67" i="1" a="1"/>
  <c r="AN67" i="1" s="1"/>
  <c r="AM67" i="1" a="1"/>
  <c r="Z68" i="1" s="1"/>
  <c r="X67" i="1"/>
  <c r="U67" i="1"/>
  <c r="T67" i="1"/>
  <c r="P67" i="1" a="1"/>
  <c r="P67" i="1" s="1"/>
  <c r="O67" i="1" a="1"/>
  <c r="O67" i="1" s="1"/>
  <c r="N67" i="1" a="1"/>
  <c r="N67" i="1" s="1"/>
  <c r="Z66" i="1"/>
  <c r="T66" i="1"/>
  <c r="Y66" i="1" s="1"/>
  <c r="P66" i="1" a="1"/>
  <c r="P66" i="1" s="1"/>
  <c r="Z65" i="1"/>
  <c r="Y65" i="1"/>
  <c r="T65" i="1"/>
  <c r="P65" i="1" a="1"/>
  <c r="P65" i="1" s="1"/>
  <c r="Z64" i="1"/>
  <c r="T64" i="1"/>
  <c r="Y64" i="1" s="1"/>
  <c r="P64" i="1" a="1"/>
  <c r="P64" i="1" s="1"/>
  <c r="Q64" i="1" s="1"/>
  <c r="AN63" i="1" a="1"/>
  <c r="AN63" i="1" s="1"/>
  <c r="AM63" i="1" a="1"/>
  <c r="AM63" i="1" s="1"/>
  <c r="Z63" i="1" s="1"/>
  <c r="Y63" i="1"/>
  <c r="T63" i="1"/>
  <c r="P63" i="1" a="1"/>
  <c r="P63" i="1" s="1"/>
  <c r="O63" i="1" a="1"/>
  <c r="O63" i="1" s="1"/>
  <c r="N63" i="1" a="1"/>
  <c r="T62" i="1"/>
  <c r="Y62" i="1" s="1"/>
  <c r="P62" i="1" a="1"/>
  <c r="P62" i="1" s="1"/>
  <c r="T61" i="1"/>
  <c r="Y61" i="1" s="1"/>
  <c r="P61" i="1" a="1"/>
  <c r="P61" i="1" s="1"/>
  <c r="W60" i="1"/>
  <c r="T60" i="1"/>
  <c r="Y60" i="1" s="1"/>
  <c r="P60" i="1" a="1"/>
  <c r="P60" i="1" s="1"/>
  <c r="AN59" i="1" a="1"/>
  <c r="AN59" i="1" s="1"/>
  <c r="AM59" i="1" a="1"/>
  <c r="W59" i="1"/>
  <c r="T59" i="1"/>
  <c r="Y59" i="1" s="1"/>
  <c r="P59" i="1" a="1"/>
  <c r="P59" i="1" s="1"/>
  <c r="O59" i="1" a="1"/>
  <c r="O59" i="1" s="1"/>
  <c r="N59" i="1" a="1"/>
  <c r="Y58" i="1"/>
  <c r="T58" i="1"/>
  <c r="P58" i="1" a="1"/>
  <c r="P58" i="1" s="1"/>
  <c r="T57" i="1"/>
  <c r="Y57" i="1" s="1"/>
  <c r="P57" i="1" a="1"/>
  <c r="P57" i="1" s="1"/>
  <c r="Y56" i="1"/>
  <c r="T56" i="1"/>
  <c r="P56" i="1" a="1"/>
  <c r="P56" i="1" s="1"/>
  <c r="AN55" i="1" a="1"/>
  <c r="AN55" i="1" s="1"/>
  <c r="AM55" i="1" a="1"/>
  <c r="Y55" i="1"/>
  <c r="T55" i="1"/>
  <c r="P55" i="1" a="1"/>
  <c r="P55" i="1" s="1"/>
  <c r="O55" i="1" a="1"/>
  <c r="O55" i="1" s="1"/>
  <c r="N55" i="1" a="1"/>
  <c r="Y54" i="1"/>
  <c r="T54" i="1"/>
  <c r="P54" i="1" a="1"/>
  <c r="P54" i="1" s="1"/>
  <c r="T53" i="1"/>
  <c r="Y53" i="1" s="1"/>
  <c r="P53" i="1" a="1"/>
  <c r="P53" i="1" s="1"/>
  <c r="Y52" i="1"/>
  <c r="W52" i="1"/>
  <c r="T52" i="1"/>
  <c r="P52" i="1" a="1"/>
  <c r="P52" i="1" s="1"/>
  <c r="BK51" i="1"/>
  <c r="BJ51" i="1"/>
  <c r="BI51" i="1"/>
  <c r="BE51" i="1"/>
  <c r="BD51" i="1"/>
  <c r="BA51" i="1"/>
  <c r="AY51" i="1"/>
  <c r="AV51" i="1"/>
  <c r="AU51" i="1"/>
  <c r="AT51" i="1"/>
  <c r="AS51" i="1"/>
  <c r="AR51" i="1"/>
  <c r="AQ51" i="1"/>
  <c r="AP51" i="1"/>
  <c r="AN51" i="1" a="1"/>
  <c r="AN51" i="1" s="1"/>
  <c r="AM51" i="1" a="1"/>
  <c r="Z53" i="1" s="1"/>
  <c r="W51" i="1"/>
  <c r="T51" i="1"/>
  <c r="Y51" i="1" s="1"/>
  <c r="P51" i="1" a="1"/>
  <c r="P51" i="1" s="1"/>
  <c r="O51" i="1" a="1"/>
  <c r="O51" i="1" s="1"/>
  <c r="N51" i="1" a="1"/>
  <c r="J51" i="1"/>
  <c r="BG51" i="1" s="1"/>
  <c r="T50" i="1"/>
  <c r="Y50" i="1" s="1"/>
  <c r="P50" i="1" a="1"/>
  <c r="P50" i="1" s="1"/>
  <c r="Q50" i="1" s="1"/>
  <c r="T49" i="1"/>
  <c r="Y49" i="1" s="1"/>
  <c r="P49" i="1" a="1"/>
  <c r="P49" i="1" s="1"/>
  <c r="Q49" i="1" s="1"/>
  <c r="T48" i="1"/>
  <c r="Y48" i="1" s="1"/>
  <c r="P48" i="1" a="1"/>
  <c r="P48" i="1" s="1"/>
  <c r="Q48" i="1" s="1"/>
  <c r="AN47" i="1" a="1"/>
  <c r="AN47" i="1" s="1"/>
  <c r="AM47" i="1" a="1"/>
  <c r="AM47" i="1" s="1"/>
  <c r="T47" i="1"/>
  <c r="Y47" i="1" s="1"/>
  <c r="P47" i="1" a="1"/>
  <c r="P47" i="1" s="1"/>
  <c r="O47" i="1" a="1"/>
  <c r="AC50" i="1" s="1"/>
  <c r="N47" i="1" a="1"/>
  <c r="N47" i="1" s="1"/>
  <c r="AC46" i="1"/>
  <c r="T46" i="1"/>
  <c r="Y46" i="1" s="1"/>
  <c r="P46" i="1" a="1"/>
  <c r="P46" i="1" s="1"/>
  <c r="T45" i="1"/>
  <c r="Y45" i="1" s="1"/>
  <c r="P45" i="1" a="1"/>
  <c r="P45" i="1" s="1"/>
  <c r="Q45" i="1" s="1"/>
  <c r="AC44" i="1"/>
  <c r="AB44" i="1"/>
  <c r="T44" i="1"/>
  <c r="Y44" i="1" s="1"/>
  <c r="P44" i="1" a="1"/>
  <c r="P44" i="1" s="1"/>
  <c r="AN43" i="1" a="1"/>
  <c r="AN43" i="1" s="1"/>
  <c r="AM43" i="1" a="1"/>
  <c r="AM43" i="1" s="1"/>
  <c r="Y43" i="1"/>
  <c r="T43" i="1"/>
  <c r="P43" i="1" a="1"/>
  <c r="P43" i="1" s="1"/>
  <c r="O43" i="1" a="1"/>
  <c r="O43" i="1" s="1"/>
  <c r="N43" i="1" a="1"/>
  <c r="N43" i="1" s="1"/>
  <c r="T42" i="1"/>
  <c r="Y42" i="1" s="1"/>
  <c r="P42" i="1" a="1"/>
  <c r="P42" i="1" s="1"/>
  <c r="Q42" i="1" s="1"/>
  <c r="T41" i="1"/>
  <c r="Y41" i="1" s="1"/>
  <c r="P41" i="1" a="1"/>
  <c r="P41" i="1" s="1"/>
  <c r="Q41" i="1" s="1"/>
  <c r="Y40" i="1"/>
  <c r="T40" i="1"/>
  <c r="P40" i="1" a="1"/>
  <c r="P40" i="1" s="1"/>
  <c r="Q40" i="1" s="1"/>
  <c r="AN39" i="1" a="1"/>
  <c r="AN39" i="1" s="1"/>
  <c r="AM39" i="1" a="1"/>
  <c r="AM39" i="1" s="1"/>
  <c r="T39" i="1"/>
  <c r="Y39" i="1" s="1"/>
  <c r="P39" i="1" a="1"/>
  <c r="P39" i="1" s="1"/>
  <c r="O39" i="1" a="1"/>
  <c r="N39" i="1" a="1"/>
  <c r="N39" i="1" s="1"/>
  <c r="Y38" i="1"/>
  <c r="T38" i="1"/>
  <c r="P38" i="1" a="1"/>
  <c r="P38" i="1" s="1"/>
  <c r="T37" i="1"/>
  <c r="Y37" i="1" s="1"/>
  <c r="P37" i="1" a="1"/>
  <c r="P37" i="1" s="1"/>
  <c r="Y36" i="1"/>
  <c r="W36" i="1"/>
  <c r="T36" i="1"/>
  <c r="P36" i="1" a="1"/>
  <c r="P36" i="1" s="1"/>
  <c r="AN35" i="1" a="1"/>
  <c r="AN35" i="1" s="1"/>
  <c r="AM35" i="1" a="1"/>
  <c r="AM35" i="1" s="1"/>
  <c r="W35" i="1"/>
  <c r="T35" i="1"/>
  <c r="Y35" i="1" s="1"/>
  <c r="P35" i="1" a="1"/>
  <c r="P35" i="1" s="1"/>
  <c r="O35" i="1" a="1"/>
  <c r="O35" i="1" s="1"/>
  <c r="N35" i="1" a="1"/>
  <c r="U34" i="1"/>
  <c r="V34" i="1" s="1"/>
  <c r="T34" i="1"/>
  <c r="Y34" i="1" s="1"/>
  <c r="P34" i="1" a="1"/>
  <c r="P34" i="1" s="1"/>
  <c r="Y33" i="1"/>
  <c r="V33" i="1"/>
  <c r="U33" i="1"/>
  <c r="T33" i="1"/>
  <c r="P33" i="1" a="1"/>
  <c r="P33" i="1" s="1"/>
  <c r="X32" i="1"/>
  <c r="U32" i="1"/>
  <c r="T32" i="1"/>
  <c r="Y32" i="1" s="1"/>
  <c r="P32" i="1" a="1"/>
  <c r="P32" i="1" s="1"/>
  <c r="AN31" i="1" a="1"/>
  <c r="AN31" i="1" s="1"/>
  <c r="AM31" i="1" a="1"/>
  <c r="AM31" i="1" s="1"/>
  <c r="X31" i="1"/>
  <c r="U31" i="1"/>
  <c r="T31" i="1"/>
  <c r="Y31" i="1" s="1"/>
  <c r="P31" i="1" a="1"/>
  <c r="P31" i="1" s="1"/>
  <c r="O31" i="1" a="1"/>
  <c r="O31" i="1" s="1"/>
  <c r="N31" i="1" a="1"/>
  <c r="Y30" i="1"/>
  <c r="U30" i="1"/>
  <c r="V30" i="1" s="1"/>
  <c r="T30" i="1"/>
  <c r="P30" i="1" a="1"/>
  <c r="P30" i="1" s="1"/>
  <c r="Z29" i="1"/>
  <c r="U29" i="1"/>
  <c r="T29" i="1"/>
  <c r="Y29" i="1" s="1"/>
  <c r="P29" i="1" a="1"/>
  <c r="P29" i="1" s="1"/>
  <c r="X28" i="1"/>
  <c r="U28" i="1"/>
  <c r="T28" i="1"/>
  <c r="P28" i="1" a="1"/>
  <c r="P28" i="1" s="1"/>
  <c r="AN27" i="1" a="1"/>
  <c r="AN27" i="1" s="1"/>
  <c r="AM27" i="1" a="1"/>
  <c r="AM27" i="1" s="1"/>
  <c r="X27" i="1"/>
  <c r="U27" i="1"/>
  <c r="T27" i="1"/>
  <c r="Y27" i="1" s="1"/>
  <c r="P27" i="1" a="1"/>
  <c r="P27" i="1" s="1"/>
  <c r="O27" i="1" a="1"/>
  <c r="O27" i="1" s="1"/>
  <c r="N27" i="1" a="1"/>
  <c r="Y26" i="1"/>
  <c r="P26" i="1" a="1"/>
  <c r="P26" i="1" s="1"/>
  <c r="Y25" i="1"/>
  <c r="P25" i="1" a="1"/>
  <c r="P25" i="1" s="1"/>
  <c r="Q25" i="1" s="1"/>
  <c r="Z24" i="1"/>
  <c r="Y24" i="1"/>
  <c r="P24" i="1" a="1"/>
  <c r="P24" i="1" s="1"/>
  <c r="AN23" i="1" a="1"/>
  <c r="AN23" i="1" s="1"/>
  <c r="AM23" i="1" a="1"/>
  <c r="AM23" i="1" s="1"/>
  <c r="Y23" i="1"/>
  <c r="P23" i="1" a="1"/>
  <c r="P23" i="1" s="1"/>
  <c r="O23" i="1" a="1"/>
  <c r="O23" i="1" s="1"/>
  <c r="N23" i="1" a="1"/>
  <c r="Y22" i="1"/>
  <c r="P22" i="1" a="1"/>
  <c r="P22" i="1" s="1"/>
  <c r="Y21" i="1"/>
  <c r="P21" i="1" a="1"/>
  <c r="P21" i="1" s="1"/>
  <c r="Z20" i="1"/>
  <c r="Y20" i="1"/>
  <c r="W20" i="1"/>
  <c r="P20" i="1" a="1"/>
  <c r="P20" i="1" s="1"/>
  <c r="AN19" i="1" a="1"/>
  <c r="AN19" i="1" s="1"/>
  <c r="AM19" i="1" a="1"/>
  <c r="AM19" i="1" s="1"/>
  <c r="Y19" i="1"/>
  <c r="W19" i="1"/>
  <c r="P19" i="1" a="1"/>
  <c r="P19" i="1" s="1"/>
  <c r="O19" i="1" a="1"/>
  <c r="O19" i="1" s="1"/>
  <c r="N19" i="1" a="1"/>
  <c r="Y18" i="1"/>
  <c r="P18" i="1" a="1"/>
  <c r="P18" i="1" s="1"/>
  <c r="Y17" i="1"/>
  <c r="P17" i="1" a="1"/>
  <c r="P17" i="1" s="1"/>
  <c r="Z16" i="1"/>
  <c r="Y16" i="1"/>
  <c r="P16" i="1" a="1"/>
  <c r="P16" i="1" s="1"/>
  <c r="AN15" i="1" a="1"/>
  <c r="AN15" i="1" s="1"/>
  <c r="AM15" i="1" a="1"/>
  <c r="AM15" i="1" s="1"/>
  <c r="Y15" i="1"/>
  <c r="P15" i="1" a="1"/>
  <c r="P15" i="1" s="1"/>
  <c r="O15" i="1" a="1"/>
  <c r="O15" i="1" s="1"/>
  <c r="N15" i="1" a="1"/>
  <c r="Y14" i="1"/>
  <c r="P14" i="1" a="1"/>
  <c r="P14" i="1" s="1"/>
  <c r="Y13" i="1"/>
  <c r="P13" i="1" a="1"/>
  <c r="P13" i="1" s="1"/>
  <c r="Y12" i="1"/>
  <c r="W12" i="1"/>
  <c r="P12" i="1" a="1"/>
  <c r="P12" i="1" s="1"/>
  <c r="Q12" i="1" s="1"/>
  <c r="BK11" i="1"/>
  <c r="BJ11" i="1"/>
  <c r="BI11" i="1"/>
  <c r="BG11" i="1"/>
  <c r="BE11" i="1"/>
  <c r="BD11" i="1"/>
  <c r="BA11" i="1"/>
  <c r="AY11" i="1"/>
  <c r="AV11" i="1"/>
  <c r="AU11" i="1"/>
  <c r="AT11" i="1"/>
  <c r="AS11" i="1"/>
  <c r="AR11" i="1"/>
  <c r="AQ11" i="1"/>
  <c r="AP11" i="1"/>
  <c r="AN11" i="1" a="1"/>
  <c r="AN11" i="1" s="1"/>
  <c r="AM11" i="1" a="1"/>
  <c r="Y11" i="1"/>
  <c r="W11" i="1"/>
  <c r="P11" i="1" a="1"/>
  <c r="P11" i="1" s="1"/>
  <c r="O11" i="1" a="1"/>
  <c r="O11" i="1" s="1"/>
  <c r="N11" i="1" a="1"/>
  <c r="J11" i="1"/>
  <c r="F11" i="1"/>
  <c r="CD7" i="1"/>
  <c r="S11" i="2" l="1"/>
  <c r="T11" i="2" s="1"/>
  <c r="Q47" i="1"/>
  <c r="Q119" i="1"/>
  <c r="AK165" i="1"/>
  <c r="AL165" i="1" s="1"/>
  <c r="Q127" i="1"/>
  <c r="AA167" i="1"/>
  <c r="AK167" i="1" s="1"/>
  <c r="AL167" i="1" s="1"/>
  <c r="Q16" i="1"/>
  <c r="AA151" i="1"/>
  <c r="AK151" i="1" s="1"/>
  <c r="AL151" i="1" s="1"/>
  <c r="Q67" i="1"/>
  <c r="AA142" i="1"/>
  <c r="AA147" i="1"/>
  <c r="AC127" i="1"/>
  <c r="Q43" i="1"/>
  <c r="N83" i="1"/>
  <c r="AC84" i="1"/>
  <c r="Q85" i="1"/>
  <c r="AC86" i="1"/>
  <c r="Q84" i="1"/>
  <c r="Q86" i="1"/>
  <c r="AC85" i="1"/>
  <c r="Z106" i="1"/>
  <c r="AI106" i="1" s="1"/>
  <c r="AJ106" i="1" s="1"/>
  <c r="AM103" i="1"/>
  <c r="Z103" i="1" s="1"/>
  <c r="Z104" i="1"/>
  <c r="Z105" i="1"/>
  <c r="Z49" i="1"/>
  <c r="Z46" i="1"/>
  <c r="AM11" i="1"/>
  <c r="Z41" i="1"/>
  <c r="Z34" i="1"/>
  <c r="Z26" i="1"/>
  <c r="Z45" i="1"/>
  <c r="Z12" i="1"/>
  <c r="Z14" i="1"/>
  <c r="Z30" i="1"/>
  <c r="Z38" i="1"/>
  <c r="Z32" i="1"/>
  <c r="Z18" i="1"/>
  <c r="Z22" i="1"/>
  <c r="Z25" i="1"/>
  <c r="Z48" i="1"/>
  <c r="Z50" i="1"/>
  <c r="AI50" i="1" s="1"/>
  <c r="AJ50" i="1" s="1"/>
  <c r="Z42" i="1"/>
  <c r="Z40" i="1"/>
  <c r="Z28" i="1"/>
  <c r="Z37" i="1"/>
  <c r="Z13" i="1"/>
  <c r="Z88" i="1"/>
  <c r="Z90" i="1"/>
  <c r="Z89" i="1"/>
  <c r="AB68" i="1"/>
  <c r="AI68" i="1"/>
  <c r="AJ68" i="1" s="1"/>
  <c r="AD68" i="1"/>
  <c r="Q30" i="1"/>
  <c r="N27" i="1"/>
  <c r="Q28" i="1"/>
  <c r="Q29" i="1"/>
  <c r="AC30" i="1"/>
  <c r="Q72" i="1"/>
  <c r="Q73" i="1"/>
  <c r="AC72" i="1"/>
  <c r="N71" i="1"/>
  <c r="Q74" i="1"/>
  <c r="Q33" i="1"/>
  <c r="N31" i="1"/>
  <c r="Q32" i="1"/>
  <c r="AC33" i="1"/>
  <c r="AC34" i="1"/>
  <c r="AB46" i="1"/>
  <c r="AI46" i="1"/>
  <c r="AJ46" i="1" s="1"/>
  <c r="AD46" i="1"/>
  <c r="Q21" i="1"/>
  <c r="AC20" i="1"/>
  <c r="AC22" i="1"/>
  <c r="Q20" i="1"/>
  <c r="O39" i="1"/>
  <c r="AC39" i="1" s="1"/>
  <c r="AC42" i="1"/>
  <c r="AC41" i="1"/>
  <c r="AC40" i="1"/>
  <c r="AC14" i="1"/>
  <c r="AC18" i="1"/>
  <c r="Q24" i="1"/>
  <c r="Q26" i="1"/>
  <c r="Z57" i="1"/>
  <c r="Z56" i="1"/>
  <c r="AB50" i="1"/>
  <c r="AA50" i="1" s="1"/>
  <c r="AK50" i="1" s="1"/>
  <c r="AL50" i="1" s="1"/>
  <c r="AD50" i="1"/>
  <c r="AC54" i="1"/>
  <c r="AC53" i="1"/>
  <c r="Q54" i="1"/>
  <c r="Q53" i="1"/>
  <c r="Q52" i="1"/>
  <c r="N51" i="1"/>
  <c r="AC52" i="1"/>
  <c r="AC38" i="1"/>
  <c r="Q37" i="1"/>
  <c r="AC36" i="1"/>
  <c r="N35" i="1"/>
  <c r="Q36" i="1"/>
  <c r="AC37" i="1"/>
  <c r="Q38" i="1"/>
  <c r="N59" i="1"/>
  <c r="AC62" i="1"/>
  <c r="AC61" i="1"/>
  <c r="Q62" i="1"/>
  <c r="AC60" i="1"/>
  <c r="Q98" i="1"/>
  <c r="AC97" i="1"/>
  <c r="Q96" i="1"/>
  <c r="AC98" i="1"/>
  <c r="Q97" i="1"/>
  <c r="AC96" i="1"/>
  <c r="Z33" i="1"/>
  <c r="Q34" i="1"/>
  <c r="AC49" i="1"/>
  <c r="Z58" i="1"/>
  <c r="Q61" i="1"/>
  <c r="AC66" i="1"/>
  <c r="Q65" i="1"/>
  <c r="AC64" i="1"/>
  <c r="AC65" i="1"/>
  <c r="Q66" i="1"/>
  <c r="Z21" i="1"/>
  <c r="Q22" i="1"/>
  <c r="N23" i="1"/>
  <c r="AC43" i="1"/>
  <c r="Z44" i="1"/>
  <c r="AI44" i="1" s="1"/>
  <c r="AJ44" i="1" s="1"/>
  <c r="AM55" i="1"/>
  <c r="Z55" i="1" s="1"/>
  <c r="Z62" i="1"/>
  <c r="Z60" i="1"/>
  <c r="V69" i="1"/>
  <c r="AC69" i="1" s="1"/>
  <c r="Q113" i="1"/>
  <c r="AC112" i="1"/>
  <c r="Q112" i="1"/>
  <c r="Q114" i="1"/>
  <c r="N111" i="1"/>
  <c r="AD175" i="1"/>
  <c r="AD177" i="1"/>
  <c r="AD169" i="1"/>
  <c r="AD178" i="1"/>
  <c r="AD166" i="1"/>
  <c r="AD156" i="1"/>
  <c r="AD141" i="1"/>
  <c r="AD144" i="1"/>
  <c r="AD146" i="1"/>
  <c r="AD152" i="1"/>
  <c r="AD150" i="1"/>
  <c r="AD148" i="1"/>
  <c r="AD154" i="1"/>
  <c r="AD165" i="1"/>
  <c r="AD151" i="1"/>
  <c r="AD130" i="1"/>
  <c r="AC12" i="1"/>
  <c r="Z17" i="1"/>
  <c r="AC21" i="1"/>
  <c r="Z36" i="1"/>
  <c r="AC45" i="1"/>
  <c r="Q44" i="1"/>
  <c r="AA44" i="1" s="1"/>
  <c r="Q46" i="1"/>
  <c r="AC80" i="1"/>
  <c r="Q81" i="1"/>
  <c r="AC82" i="1"/>
  <c r="AC81" i="1"/>
  <c r="Z85" i="1"/>
  <c r="AM83" i="1"/>
  <c r="Z83" i="1" s="1"/>
  <c r="Z84" i="1"/>
  <c r="Z86" i="1"/>
  <c r="AZ141" i="1"/>
  <c r="AZ91" i="1"/>
  <c r="AZ51" i="1"/>
  <c r="AZ11" i="1"/>
  <c r="AC25" i="1"/>
  <c r="AC26" i="1"/>
  <c r="V32" i="1"/>
  <c r="AC32" i="1" s="1"/>
  <c r="AD44" i="1"/>
  <c r="AI70" i="1"/>
  <c r="AJ70" i="1" s="1"/>
  <c r="AD70" i="1"/>
  <c r="AB70" i="1"/>
  <c r="O123" i="1"/>
  <c r="AC125" i="1"/>
  <c r="AC126" i="1"/>
  <c r="Q18" i="1"/>
  <c r="Q58" i="1"/>
  <c r="AC57" i="1"/>
  <c r="Q56" i="1"/>
  <c r="AC56" i="1"/>
  <c r="Q57" i="1"/>
  <c r="Q60" i="1"/>
  <c r="Y67" i="1"/>
  <c r="V67" i="1"/>
  <c r="Z98" i="1"/>
  <c r="Z96" i="1"/>
  <c r="Z97" i="1"/>
  <c r="Q14" i="1"/>
  <c r="AC17" i="1"/>
  <c r="V31" i="1"/>
  <c r="O47" i="1"/>
  <c r="AC47" i="1" s="1"/>
  <c r="Q17" i="1"/>
  <c r="Q13" i="1"/>
  <c r="AC24" i="1"/>
  <c r="Y28" i="1"/>
  <c r="V28" i="1"/>
  <c r="AC28" i="1" s="1"/>
  <c r="AC48" i="1"/>
  <c r="N11" i="1"/>
  <c r="AC13" i="1"/>
  <c r="N19" i="1"/>
  <c r="AD106" i="1"/>
  <c r="N15" i="1"/>
  <c r="V27" i="1"/>
  <c r="V29" i="1"/>
  <c r="AC29" i="1" s="1"/>
  <c r="AA68" i="1"/>
  <c r="AK68" i="1" s="1"/>
  <c r="AL68" i="1" s="1"/>
  <c r="Z73" i="1"/>
  <c r="Z74" i="1"/>
  <c r="AI94" i="1"/>
  <c r="AJ94" i="1" s="1"/>
  <c r="AD94" i="1"/>
  <c r="AC16" i="1"/>
  <c r="Q39" i="1"/>
  <c r="AC95" i="1"/>
  <c r="Q95" i="1"/>
  <c r="Y113" i="1"/>
  <c r="V113" i="1"/>
  <c r="AC113" i="1" s="1"/>
  <c r="Z52" i="1"/>
  <c r="AC58" i="1"/>
  <c r="N63" i="1"/>
  <c r="AM71" i="1"/>
  <c r="Z71" i="1" s="1"/>
  <c r="Q78" i="1"/>
  <c r="AA78" i="1" s="1"/>
  <c r="AK78" i="1" s="1"/>
  <c r="AL78" i="1" s="1"/>
  <c r="AC77" i="1"/>
  <c r="Q82" i="1"/>
  <c r="Z122" i="1"/>
  <c r="Z121" i="1"/>
  <c r="Z120" i="1"/>
  <c r="AD122" i="1"/>
  <c r="Z61" i="1"/>
  <c r="N55" i="1"/>
  <c r="AM59" i="1"/>
  <c r="Z59" i="1" s="1"/>
  <c r="AM87" i="1"/>
  <c r="Z87" i="1" s="1"/>
  <c r="AC102" i="1"/>
  <c r="Q101" i="1"/>
  <c r="AC100" i="1"/>
  <c r="N99" i="1"/>
  <c r="Q102" i="1"/>
  <c r="AC101" i="1"/>
  <c r="Q100" i="1"/>
  <c r="AI78" i="1"/>
  <c r="AJ78" i="1" s="1"/>
  <c r="AD78" i="1"/>
  <c r="Q106" i="1"/>
  <c r="AA106" i="1" s="1"/>
  <c r="AC105" i="1"/>
  <c r="Q104" i="1"/>
  <c r="AI109" i="1"/>
  <c r="AJ109" i="1" s="1"/>
  <c r="AD109" i="1"/>
  <c r="Z54" i="1"/>
  <c r="AM123" i="1"/>
  <c r="Z123" i="1" s="1"/>
  <c r="Z124" i="1"/>
  <c r="Z125" i="1"/>
  <c r="AM51" i="1"/>
  <c r="Z51" i="1" s="1"/>
  <c r="AC67" i="1"/>
  <c r="Y74" i="1"/>
  <c r="V74" i="1"/>
  <c r="AC74" i="1" s="1"/>
  <c r="N79" i="1"/>
  <c r="Q92" i="1"/>
  <c r="Q94" i="1"/>
  <c r="AA94" i="1" s="1"/>
  <c r="AK94" i="1" s="1"/>
  <c r="AL94" i="1" s="1"/>
  <c r="AC93" i="1"/>
  <c r="Q70" i="1"/>
  <c r="Q90" i="1"/>
  <c r="AC89" i="1"/>
  <c r="Q88" i="1"/>
  <c r="AC88" i="1"/>
  <c r="Q89" i="1"/>
  <c r="AC90" i="1"/>
  <c r="AI149" i="1"/>
  <c r="AJ149" i="1" s="1"/>
  <c r="AB149" i="1"/>
  <c r="AA149" i="1" s="1"/>
  <c r="AK149" i="1" s="1"/>
  <c r="AL149" i="1" s="1"/>
  <c r="AM119" i="1"/>
  <c r="Z119" i="1" s="1"/>
  <c r="AD149" i="1"/>
  <c r="Z126" i="1"/>
  <c r="N87" i="1"/>
  <c r="AM91" i="1"/>
  <c r="Z91" i="1" s="1"/>
  <c r="Q93" i="1"/>
  <c r="AA146" i="1"/>
  <c r="AK146" i="1" s="1"/>
  <c r="AL146" i="1" s="1"/>
  <c r="AI164" i="1"/>
  <c r="AJ164" i="1" s="1"/>
  <c r="AB164" i="1"/>
  <c r="AA164" i="1" s="1"/>
  <c r="AK164" i="1" s="1"/>
  <c r="AL164" i="1" s="1"/>
  <c r="AD164" i="1"/>
  <c r="AC92" i="1"/>
  <c r="AM95" i="1"/>
  <c r="Z95" i="1" s="1"/>
  <c r="AC110" i="1"/>
  <c r="Z128" i="1"/>
  <c r="AI128" i="1" s="1"/>
  <c r="AJ128" i="1" s="1"/>
  <c r="Z130" i="1"/>
  <c r="AI130" i="1" s="1"/>
  <c r="AJ130" i="1" s="1"/>
  <c r="AA141" i="1"/>
  <c r="AK141" i="1" s="1"/>
  <c r="AL141" i="1" s="1"/>
  <c r="BB141" i="1" s="1"/>
  <c r="AM75" i="1"/>
  <c r="Z75" i="1" s="1"/>
  <c r="Q77" i="1"/>
  <c r="Z80" i="1"/>
  <c r="N91" i="1"/>
  <c r="Y110" i="1"/>
  <c r="V110" i="1"/>
  <c r="AC118" i="1"/>
  <c r="AB120" i="1"/>
  <c r="AA120" i="1"/>
  <c r="AK120" i="1" s="1"/>
  <c r="AL120" i="1" s="1"/>
  <c r="AI141" i="1"/>
  <c r="AJ141" i="1" s="1"/>
  <c r="AC76" i="1"/>
  <c r="AD120" i="1"/>
  <c r="Q128" i="1"/>
  <c r="AA128" i="1" s="1"/>
  <c r="Q130" i="1"/>
  <c r="AC129" i="1"/>
  <c r="AI142" i="1"/>
  <c r="AJ142" i="1" s="1"/>
  <c r="AD142" i="1"/>
  <c r="N75" i="1"/>
  <c r="AM67" i="1"/>
  <c r="Z67" i="1" s="1"/>
  <c r="V73" i="1"/>
  <c r="AC73" i="1" s="1"/>
  <c r="AM79" i="1"/>
  <c r="Z79" i="1" s="1"/>
  <c r="AI122" i="1"/>
  <c r="AJ122" i="1" s="1"/>
  <c r="AI120" i="1"/>
  <c r="AJ120" i="1" s="1"/>
  <c r="O157" i="1"/>
  <c r="AC160" i="1"/>
  <c r="AC158" i="1"/>
  <c r="AC159" i="1"/>
  <c r="Q126" i="1"/>
  <c r="AC124" i="1"/>
  <c r="AD128" i="1"/>
  <c r="AB130" i="1"/>
  <c r="AD145" i="1"/>
  <c r="AB145" i="1"/>
  <c r="AA145" i="1" s="1"/>
  <c r="AI145" i="1"/>
  <c r="AJ145" i="1" s="1"/>
  <c r="AD147" i="1"/>
  <c r="AI147" i="1"/>
  <c r="AJ147" i="1" s="1"/>
  <c r="AD143" i="1"/>
  <c r="AB143" i="1"/>
  <c r="AA143" i="1" s="1"/>
  <c r="AK143" i="1" s="1"/>
  <c r="AL143" i="1" s="1"/>
  <c r="AI144" i="1"/>
  <c r="AJ144" i="1" s="1"/>
  <c r="AD167" i="1"/>
  <c r="AA179" i="1"/>
  <c r="AK179" i="1" s="1"/>
  <c r="AL179" i="1" s="1"/>
  <c r="AC104" i="1"/>
  <c r="V108" i="1"/>
  <c r="AC108" i="1" s="1"/>
  <c r="Y159" i="1"/>
  <c r="AD163" i="1"/>
  <c r="AB163" i="1"/>
  <c r="AI163" i="1"/>
  <c r="AJ163" i="1" s="1"/>
  <c r="AD172" i="1"/>
  <c r="AA175" i="1"/>
  <c r="AK175" i="1" s="1"/>
  <c r="AL175" i="1" s="1"/>
  <c r="AC116" i="1"/>
  <c r="AM127" i="1"/>
  <c r="Z127" i="1" s="1"/>
  <c r="AI143" i="1"/>
  <c r="AJ143" i="1" s="1"/>
  <c r="AA163" i="1"/>
  <c r="AK163" i="1" s="1"/>
  <c r="AL163" i="1" s="1"/>
  <c r="AK166" i="1"/>
  <c r="AL166" i="1" s="1"/>
  <c r="AA177" i="1"/>
  <c r="AM115" i="1"/>
  <c r="Z115" i="1" s="1"/>
  <c r="Z117" i="1"/>
  <c r="AA162" i="1"/>
  <c r="AK162" i="1" s="1"/>
  <c r="AL162" i="1" s="1"/>
  <c r="AD179" i="1"/>
  <c r="V107" i="1"/>
  <c r="Q118" i="1"/>
  <c r="Y157" i="1"/>
  <c r="V157" i="1"/>
  <c r="AD170" i="1"/>
  <c r="AA173" i="1"/>
  <c r="Z100" i="1"/>
  <c r="Z102" i="1"/>
  <c r="Z108" i="1"/>
  <c r="Q122" i="1"/>
  <c r="AA122" i="1" s="1"/>
  <c r="AK122" i="1" s="1"/>
  <c r="AL122" i="1" s="1"/>
  <c r="AC121" i="1"/>
  <c r="Q124" i="1"/>
  <c r="AA152" i="1"/>
  <c r="AK152" i="1" s="1"/>
  <c r="AL152" i="1" s="1"/>
  <c r="AA168" i="1"/>
  <c r="AK168" i="1" s="1"/>
  <c r="AL168" i="1" s="1"/>
  <c r="AA178" i="1"/>
  <c r="AK178" i="1" s="1"/>
  <c r="AL178" i="1" s="1"/>
  <c r="N103" i="1"/>
  <c r="Q109" i="1"/>
  <c r="AA109" i="1" s="1"/>
  <c r="AK109" i="1" s="1"/>
  <c r="AL109" i="1" s="1"/>
  <c r="AC117" i="1"/>
  <c r="O119" i="1"/>
  <c r="AC119" i="1" s="1"/>
  <c r="N123" i="1"/>
  <c r="Q125" i="1"/>
  <c r="AA148" i="1"/>
  <c r="AK148" i="1" s="1"/>
  <c r="AL148" i="1" s="1"/>
  <c r="AA150" i="1"/>
  <c r="AK150" i="1" s="1"/>
  <c r="AL150" i="1" s="1"/>
  <c r="AA156" i="1"/>
  <c r="AK156" i="1" s="1"/>
  <c r="AL156" i="1" s="1"/>
  <c r="AI161" i="1"/>
  <c r="AJ161" i="1" s="1"/>
  <c r="AD161" i="1"/>
  <c r="AA171" i="1"/>
  <c r="AK171" i="1" s="1"/>
  <c r="AL171" i="1" s="1"/>
  <c r="AA176" i="1"/>
  <c r="AK176" i="1" s="1"/>
  <c r="AL176" i="1" s="1"/>
  <c r="N107" i="1"/>
  <c r="V114" i="1"/>
  <c r="AC114" i="1" s="1"/>
  <c r="N115" i="1"/>
  <c r="AD153" i="1"/>
  <c r="AB153" i="1"/>
  <c r="AA153" i="1" s="1"/>
  <c r="AK153" i="1" s="1"/>
  <c r="AL153" i="1" s="1"/>
  <c r="AD155" i="1"/>
  <c r="AB155" i="1"/>
  <c r="AA155" i="1" s="1"/>
  <c r="AK155" i="1" s="1"/>
  <c r="AL155" i="1" s="1"/>
  <c r="AI156" i="1"/>
  <c r="AJ156" i="1" s="1"/>
  <c r="AB162" i="1"/>
  <c r="AI162" i="1"/>
  <c r="AJ162" i="1" s="1"/>
  <c r="AD162" i="1"/>
  <c r="AA169" i="1"/>
  <c r="AK169" i="1" s="1"/>
  <c r="AL169" i="1" s="1"/>
  <c r="AA180" i="1"/>
  <c r="AK180" i="1" s="1"/>
  <c r="AL180" i="1" s="1"/>
  <c r="AA144" i="1"/>
  <c r="AK144" i="1" s="1"/>
  <c r="AL144" i="1" s="1"/>
  <c r="AI154" i="1"/>
  <c r="AJ154" i="1" s="1"/>
  <c r="AA161" i="1"/>
  <c r="AK161" i="1" s="1"/>
  <c r="AL161" i="1" s="1"/>
  <c r="AD168" i="1"/>
  <c r="AI179" i="1"/>
  <c r="AJ179" i="1" s="1"/>
  <c r="AD180" i="1"/>
  <c r="AB171" i="1"/>
  <c r="AI172" i="1"/>
  <c r="AJ172" i="1" s="1"/>
  <c r="AD173" i="1"/>
  <c r="AI177" i="1"/>
  <c r="AJ177" i="1" s="1"/>
  <c r="AI170" i="1"/>
  <c r="AJ170" i="1" s="1"/>
  <c r="AD171" i="1"/>
  <c r="AB174" i="1"/>
  <c r="AA174" i="1" s="1"/>
  <c r="AK174" i="1" s="1"/>
  <c r="AL174" i="1" s="1"/>
  <c r="AD176" i="1"/>
  <c r="AI168" i="1"/>
  <c r="AJ168" i="1" s="1"/>
  <c r="AI180" i="1"/>
  <c r="AJ180" i="1" s="1"/>
  <c r="AB172" i="1"/>
  <c r="AA172" i="1" s="1"/>
  <c r="AK172" i="1" s="1"/>
  <c r="AL172" i="1" s="1"/>
  <c r="AI173" i="1"/>
  <c r="AJ173" i="1" s="1"/>
  <c r="AD174" i="1"/>
  <c r="AB170" i="1"/>
  <c r="AA170" i="1" s="1"/>
  <c r="AK170" i="1" s="1"/>
  <c r="AL170" i="1" s="1"/>
  <c r="AI171" i="1"/>
  <c r="AJ171" i="1" s="1"/>
  <c r="U11" i="2" l="1"/>
  <c r="V11" i="2" s="1"/>
  <c r="AI127" i="1"/>
  <c r="AJ127" i="1" s="1"/>
  <c r="AB127" i="1"/>
  <c r="AA127" i="1" s="1"/>
  <c r="AD127" i="1"/>
  <c r="AF127" i="1" s="1"/>
  <c r="AH127" i="1" s="1"/>
  <c r="AA70" i="1"/>
  <c r="AK70" i="1" s="1"/>
  <c r="AL70" i="1" s="1"/>
  <c r="AA130" i="1"/>
  <c r="AK130" i="1" s="1"/>
  <c r="AL130" i="1" s="1"/>
  <c r="AD69" i="1"/>
  <c r="AB69" i="1"/>
  <c r="AA69" i="1" s="1"/>
  <c r="AK69" i="1" s="1"/>
  <c r="AL69" i="1" s="1"/>
  <c r="AI69" i="1"/>
  <c r="AJ69" i="1" s="1"/>
  <c r="AK128" i="1"/>
  <c r="AL128" i="1" s="1"/>
  <c r="AI114" i="1"/>
  <c r="AJ114" i="1" s="1"/>
  <c r="AD114" i="1"/>
  <c r="AB114" i="1"/>
  <c r="AA114" i="1" s="1"/>
  <c r="AK114" i="1" s="1"/>
  <c r="AL114" i="1" s="1"/>
  <c r="AD32" i="1"/>
  <c r="AB32" i="1"/>
  <c r="AA32" i="1" s="1"/>
  <c r="AK32" i="1" s="1"/>
  <c r="AL32" i="1" s="1"/>
  <c r="AI32" i="1"/>
  <c r="AJ32" i="1" s="1"/>
  <c r="AI73" i="1"/>
  <c r="AJ73" i="1" s="1"/>
  <c r="AD73" i="1"/>
  <c r="AB73" i="1"/>
  <c r="AA73" i="1" s="1"/>
  <c r="AK73" i="1" s="1"/>
  <c r="AL73" i="1" s="1"/>
  <c r="AB29" i="1"/>
  <c r="AA29" i="1" s="1"/>
  <c r="AK29" i="1" s="1"/>
  <c r="AL29" i="1" s="1"/>
  <c r="AI29" i="1"/>
  <c r="AJ29" i="1" s="1"/>
  <c r="AD29" i="1"/>
  <c r="AK44" i="1"/>
  <c r="AL44" i="1" s="1"/>
  <c r="AD39" i="1"/>
  <c r="AB39" i="1"/>
  <c r="AA39" i="1" s="1"/>
  <c r="AI28" i="1"/>
  <c r="AJ28" i="1" s="1"/>
  <c r="AD28" i="1"/>
  <c r="AB28" i="1"/>
  <c r="AD74" i="1"/>
  <c r="AB74" i="1"/>
  <c r="AI74" i="1"/>
  <c r="AJ74" i="1" s="1"/>
  <c r="AI108" i="1"/>
  <c r="AJ108" i="1" s="1"/>
  <c r="AB108" i="1"/>
  <c r="AA108" i="1" s="1"/>
  <c r="AD108" i="1"/>
  <c r="AD113" i="1"/>
  <c r="AB113" i="1"/>
  <c r="AI113" i="1"/>
  <c r="AJ113" i="1" s="1"/>
  <c r="AK106" i="1"/>
  <c r="AL106" i="1" s="1"/>
  <c r="AE142" i="1"/>
  <c r="AG142" i="1" s="1"/>
  <c r="AF142" i="1"/>
  <c r="AH142" i="1" s="1"/>
  <c r="AF168" i="1"/>
  <c r="AH168" i="1" s="1"/>
  <c r="AE168" i="1"/>
  <c r="AG168" i="1" s="1"/>
  <c r="AC103" i="1"/>
  <c r="Q103" i="1"/>
  <c r="AF147" i="1"/>
  <c r="AH147" i="1" s="1"/>
  <c r="AE147" i="1"/>
  <c r="AG147" i="1" s="1"/>
  <c r="AE127" i="1"/>
  <c r="AG127" i="1" s="1"/>
  <c r="AD105" i="1"/>
  <c r="AB105" i="1"/>
  <c r="AA105" i="1" s="1"/>
  <c r="AI105" i="1"/>
  <c r="AJ105" i="1" s="1"/>
  <c r="AB100" i="1"/>
  <c r="AA100" i="1" s="1"/>
  <c r="AK100" i="1" s="1"/>
  <c r="AL100" i="1" s="1"/>
  <c r="AI100" i="1"/>
  <c r="AJ100" i="1" s="1"/>
  <c r="AD100" i="1"/>
  <c r="AD13" i="1"/>
  <c r="AB13" i="1"/>
  <c r="AA13" i="1" s="1"/>
  <c r="AK13" i="1" s="1"/>
  <c r="AL13" i="1" s="1"/>
  <c r="AI13" i="1"/>
  <c r="AJ13" i="1" s="1"/>
  <c r="AF165" i="1"/>
  <c r="AH165" i="1" s="1"/>
  <c r="AE165" i="1"/>
  <c r="AG165" i="1" s="1"/>
  <c r="AF177" i="1"/>
  <c r="AH177" i="1" s="1"/>
  <c r="AE177" i="1"/>
  <c r="AG177" i="1" s="1"/>
  <c r="Q11" i="1"/>
  <c r="AC11" i="1"/>
  <c r="AI56" i="1"/>
  <c r="AJ56" i="1" s="1"/>
  <c r="AB56" i="1"/>
  <c r="AA56" i="1" s="1"/>
  <c r="AK56" i="1" s="1"/>
  <c r="AL56" i="1" s="1"/>
  <c r="AD56" i="1"/>
  <c r="AF70" i="1"/>
  <c r="AH70" i="1" s="1"/>
  <c r="AE70" i="1"/>
  <c r="AG70" i="1" s="1"/>
  <c r="AE154" i="1"/>
  <c r="AG154" i="1" s="1"/>
  <c r="AF154" i="1"/>
  <c r="AH154" i="1" s="1"/>
  <c r="AF175" i="1"/>
  <c r="AH175" i="1" s="1"/>
  <c r="AE175" i="1"/>
  <c r="AG175" i="1" s="1"/>
  <c r="AD43" i="1"/>
  <c r="AB43" i="1"/>
  <c r="AA43" i="1" s="1"/>
  <c r="AD66" i="1"/>
  <c r="AB66" i="1"/>
  <c r="AA66" i="1" s="1"/>
  <c r="AK66" i="1" s="1"/>
  <c r="AL66" i="1" s="1"/>
  <c r="AI66" i="1"/>
  <c r="AJ66" i="1" s="1"/>
  <c r="AD97" i="1"/>
  <c r="AI97" i="1"/>
  <c r="AJ97" i="1" s="1"/>
  <c r="AB97" i="1"/>
  <c r="AA97" i="1" s="1"/>
  <c r="AK97" i="1" s="1"/>
  <c r="AL97" i="1" s="1"/>
  <c r="AD40" i="1"/>
  <c r="AB40" i="1"/>
  <c r="AA40" i="1" s="1"/>
  <c r="AK40" i="1" s="1"/>
  <c r="AL40" i="1" s="1"/>
  <c r="AI40" i="1"/>
  <c r="AJ40" i="1" s="1"/>
  <c r="AE46" i="1"/>
  <c r="AG46" i="1" s="1"/>
  <c r="AF46" i="1"/>
  <c r="AH46" i="1" s="1"/>
  <c r="AE148" i="1"/>
  <c r="AG148" i="1" s="1"/>
  <c r="AF148" i="1"/>
  <c r="AH148" i="1" s="1"/>
  <c r="AD41" i="1"/>
  <c r="AI41" i="1"/>
  <c r="AJ41" i="1" s="1"/>
  <c r="AB41" i="1"/>
  <c r="AA41" i="1" s="1"/>
  <c r="AK41" i="1" s="1"/>
  <c r="AL41" i="1" s="1"/>
  <c r="Q71" i="1"/>
  <c r="AC71" i="1"/>
  <c r="AF68" i="1"/>
  <c r="AH68" i="1" s="1"/>
  <c r="AE68" i="1"/>
  <c r="AG68" i="1" s="1"/>
  <c r="AK142" i="1"/>
  <c r="AL142" i="1" s="1"/>
  <c r="AD45" i="1"/>
  <c r="AB45" i="1"/>
  <c r="AA45" i="1" s="1"/>
  <c r="AK45" i="1" s="1"/>
  <c r="AL45" i="1" s="1"/>
  <c r="AI45" i="1"/>
  <c r="AJ45" i="1" s="1"/>
  <c r="AC23" i="1"/>
  <c r="Q23" i="1"/>
  <c r="AI60" i="1"/>
  <c r="AJ60" i="1" s="1"/>
  <c r="AD60" i="1"/>
  <c r="AB60" i="1"/>
  <c r="AA60" i="1" s="1"/>
  <c r="AK60" i="1" s="1"/>
  <c r="AL60" i="1" s="1"/>
  <c r="AD53" i="1"/>
  <c r="AB53" i="1"/>
  <c r="AA53" i="1" s="1"/>
  <c r="AK53" i="1" s="1"/>
  <c r="AL53" i="1" s="1"/>
  <c r="AI53" i="1"/>
  <c r="AJ53" i="1" s="1"/>
  <c r="AD42" i="1"/>
  <c r="AB42" i="1"/>
  <c r="AA42" i="1" s="1"/>
  <c r="AK42" i="1" s="1"/>
  <c r="AL42" i="1" s="1"/>
  <c r="AI42" i="1"/>
  <c r="AJ42" i="1" s="1"/>
  <c r="AD72" i="1"/>
  <c r="AI72" i="1"/>
  <c r="AJ72" i="1" s="1"/>
  <c r="AB72" i="1"/>
  <c r="AA72" i="1" s="1"/>
  <c r="AK72" i="1" s="1"/>
  <c r="AL72" i="1" s="1"/>
  <c r="AA46" i="1"/>
  <c r="AK46" i="1" s="1"/>
  <c r="AL46" i="1" s="1"/>
  <c r="AB77" i="1"/>
  <c r="AA77" i="1" s="1"/>
  <c r="AK77" i="1" s="1"/>
  <c r="AL77" i="1" s="1"/>
  <c r="AI77" i="1"/>
  <c r="AJ77" i="1" s="1"/>
  <c r="AD77" i="1"/>
  <c r="AI104" i="1"/>
  <c r="AJ104" i="1" s="1"/>
  <c r="AD104" i="1"/>
  <c r="AB104" i="1"/>
  <c r="AA104" i="1" s="1"/>
  <c r="AK104" i="1" s="1"/>
  <c r="AL104" i="1" s="1"/>
  <c r="AF145" i="1"/>
  <c r="AH145" i="1" s="1"/>
  <c r="AE145" i="1"/>
  <c r="AG145" i="1" s="1"/>
  <c r="AA28" i="1"/>
  <c r="AK28" i="1" s="1"/>
  <c r="AL28" i="1" s="1"/>
  <c r="AE153" i="1"/>
  <c r="AG153" i="1" s="1"/>
  <c r="AF153" i="1"/>
  <c r="AH153" i="1" s="1"/>
  <c r="AI121" i="1"/>
  <c r="AJ121" i="1" s="1"/>
  <c r="AD121" i="1"/>
  <c r="AB121" i="1"/>
  <c r="AA121" i="1" s="1"/>
  <c r="AK121" i="1" s="1"/>
  <c r="AL121" i="1" s="1"/>
  <c r="AF167" i="1"/>
  <c r="AH167" i="1" s="1"/>
  <c r="AE167" i="1"/>
  <c r="AG167" i="1" s="1"/>
  <c r="AC157" i="1"/>
  <c r="AB118" i="1"/>
  <c r="AA118" i="1" s="1"/>
  <c r="AK118" i="1" s="1"/>
  <c r="AL118" i="1" s="1"/>
  <c r="AD118" i="1"/>
  <c r="AI118" i="1"/>
  <c r="AJ118" i="1" s="1"/>
  <c r="Q55" i="1"/>
  <c r="AC55" i="1"/>
  <c r="Q63" i="1"/>
  <c r="AC63" i="1"/>
  <c r="Q15" i="1"/>
  <c r="AC15" i="1"/>
  <c r="AF44" i="1"/>
  <c r="AH44" i="1" s="1"/>
  <c r="AE44" i="1"/>
  <c r="AG44" i="1" s="1"/>
  <c r="AI21" i="1"/>
  <c r="AJ21" i="1" s="1"/>
  <c r="AB21" i="1"/>
  <c r="AA21" i="1" s="1"/>
  <c r="AK21" i="1" s="1"/>
  <c r="AL21" i="1" s="1"/>
  <c r="AD21" i="1"/>
  <c r="AE146" i="1"/>
  <c r="AG146" i="1" s="1"/>
  <c r="AF146" i="1"/>
  <c r="AH146" i="1" s="1"/>
  <c r="AI49" i="1"/>
  <c r="AJ49" i="1" s="1"/>
  <c r="AD49" i="1"/>
  <c r="AB49" i="1"/>
  <c r="AA49" i="1" s="1"/>
  <c r="AK49" i="1" s="1"/>
  <c r="AL49" i="1" s="1"/>
  <c r="AD61" i="1"/>
  <c r="AI61" i="1"/>
  <c r="AJ61" i="1" s="1"/>
  <c r="AB61" i="1"/>
  <c r="AA61" i="1" s="1"/>
  <c r="AK61" i="1" s="1"/>
  <c r="AL61" i="1" s="1"/>
  <c r="AI85" i="1"/>
  <c r="AJ85" i="1" s="1"/>
  <c r="AB85" i="1"/>
  <c r="AA85" i="1" s="1"/>
  <c r="AK85" i="1" s="1"/>
  <c r="AL85" i="1" s="1"/>
  <c r="AD85" i="1"/>
  <c r="AF155" i="1"/>
  <c r="AH155" i="1" s="1"/>
  <c r="AE155" i="1"/>
  <c r="AG155" i="1" s="1"/>
  <c r="AD47" i="1"/>
  <c r="AB47" i="1"/>
  <c r="AA47" i="1" s="1"/>
  <c r="AD54" i="1"/>
  <c r="AB54" i="1"/>
  <c r="AA54" i="1" s="1"/>
  <c r="AI54" i="1"/>
  <c r="AJ54" i="1" s="1"/>
  <c r="AF179" i="1"/>
  <c r="AH179" i="1" s="1"/>
  <c r="AE179" i="1"/>
  <c r="AG179" i="1" s="1"/>
  <c r="AI116" i="1"/>
  <c r="AJ116" i="1" s="1"/>
  <c r="AD116" i="1"/>
  <c r="AB116" i="1"/>
  <c r="AA116" i="1" s="1"/>
  <c r="AK116" i="1" s="1"/>
  <c r="AL116" i="1" s="1"/>
  <c r="AB93" i="1"/>
  <c r="AA93" i="1" s="1"/>
  <c r="AK93" i="1" s="1"/>
  <c r="AL93" i="1" s="1"/>
  <c r="AD93" i="1"/>
  <c r="AI93" i="1"/>
  <c r="AJ93" i="1" s="1"/>
  <c r="AI58" i="1"/>
  <c r="AJ58" i="1" s="1"/>
  <c r="AD58" i="1"/>
  <c r="AB58" i="1"/>
  <c r="AA58" i="1" s="1"/>
  <c r="AK58" i="1" s="1"/>
  <c r="AL58" i="1" s="1"/>
  <c r="AF94" i="1"/>
  <c r="AH94" i="1" s="1"/>
  <c r="AE94" i="1"/>
  <c r="AG94" i="1" s="1"/>
  <c r="AI24" i="1"/>
  <c r="AJ24" i="1" s="1"/>
  <c r="AB24" i="1"/>
  <c r="AA24" i="1" s="1"/>
  <c r="AK24" i="1" s="1"/>
  <c r="AL24" i="1" s="1"/>
  <c r="AD24" i="1"/>
  <c r="AI81" i="1"/>
  <c r="AJ81" i="1" s="1"/>
  <c r="AB81" i="1"/>
  <c r="AA81" i="1" s="1"/>
  <c r="AK81" i="1" s="1"/>
  <c r="AL81" i="1" s="1"/>
  <c r="AD81" i="1"/>
  <c r="AF144" i="1"/>
  <c r="AH144" i="1" s="1"/>
  <c r="AE144" i="1"/>
  <c r="AG144" i="1" s="1"/>
  <c r="Q111" i="1"/>
  <c r="AC111" i="1"/>
  <c r="AD62" i="1"/>
  <c r="AB62" i="1"/>
  <c r="AA62" i="1" s="1"/>
  <c r="AK62" i="1" s="1"/>
  <c r="AL62" i="1" s="1"/>
  <c r="AI62" i="1"/>
  <c r="AJ62" i="1" s="1"/>
  <c r="AC35" i="1"/>
  <c r="Q35" i="1"/>
  <c r="AB18" i="1"/>
  <c r="AA18" i="1" s="1"/>
  <c r="AK18" i="1" s="1"/>
  <c r="AL18" i="1" s="1"/>
  <c r="AI18" i="1"/>
  <c r="AJ18" i="1" s="1"/>
  <c r="AD18" i="1"/>
  <c r="AB67" i="1"/>
  <c r="AA67" i="1" s="1"/>
  <c r="AD67" i="1"/>
  <c r="AI67" i="1"/>
  <c r="AJ67" i="1" s="1"/>
  <c r="AI129" i="1"/>
  <c r="AJ129" i="1" s="1"/>
  <c r="AD129" i="1"/>
  <c r="AB129" i="1"/>
  <c r="AA129" i="1" s="1"/>
  <c r="AK129" i="1" s="1"/>
  <c r="AL129" i="1" s="1"/>
  <c r="AI16" i="1"/>
  <c r="AJ16" i="1" s="1"/>
  <c r="AB16" i="1"/>
  <c r="AA16" i="1" s="1"/>
  <c r="AK16" i="1" s="1"/>
  <c r="AL16" i="1" s="1"/>
  <c r="AD16" i="1"/>
  <c r="AE152" i="1"/>
  <c r="AG152" i="1" s="1"/>
  <c r="AF152" i="1"/>
  <c r="AH152" i="1" s="1"/>
  <c r="AF120" i="1"/>
  <c r="AH120" i="1" s="1"/>
  <c r="AE120" i="1"/>
  <c r="AG120" i="1" s="1"/>
  <c r="AA110" i="1"/>
  <c r="AK110" i="1" s="1"/>
  <c r="AL110" i="1" s="1"/>
  <c r="AD110" i="1"/>
  <c r="AB110" i="1"/>
  <c r="AI110" i="1"/>
  <c r="AJ110" i="1" s="1"/>
  <c r="Q87" i="1"/>
  <c r="AC87" i="1"/>
  <c r="AI90" i="1"/>
  <c r="AJ90" i="1" s="1"/>
  <c r="AD90" i="1"/>
  <c r="AB90" i="1"/>
  <c r="AA90" i="1" s="1"/>
  <c r="AK90" i="1" s="1"/>
  <c r="AL90" i="1" s="1"/>
  <c r="AF106" i="1"/>
  <c r="AH106" i="1" s="1"/>
  <c r="AE106" i="1"/>
  <c r="AG106" i="1" s="1"/>
  <c r="AD26" i="1"/>
  <c r="AB26" i="1"/>
  <c r="AA26" i="1" s="1"/>
  <c r="AK26" i="1" s="1"/>
  <c r="AL26" i="1" s="1"/>
  <c r="AI26" i="1"/>
  <c r="AJ26" i="1" s="1"/>
  <c r="AI82" i="1"/>
  <c r="AJ82" i="1" s="1"/>
  <c r="AD82" i="1"/>
  <c r="AB82" i="1"/>
  <c r="AA82" i="1" s="1"/>
  <c r="AK82" i="1" s="1"/>
  <c r="AL82" i="1" s="1"/>
  <c r="AE141" i="1"/>
  <c r="AG141" i="1" s="1"/>
  <c r="AF141" i="1"/>
  <c r="AH141" i="1" s="1"/>
  <c r="AC59" i="1"/>
  <c r="Q59" i="1"/>
  <c r="AB36" i="1"/>
  <c r="AA36" i="1" s="1"/>
  <c r="AK36" i="1" s="1"/>
  <c r="AL36" i="1" s="1"/>
  <c r="AI36" i="1"/>
  <c r="AJ36" i="1" s="1"/>
  <c r="AD36" i="1"/>
  <c r="AF50" i="1"/>
  <c r="AH50" i="1" s="1"/>
  <c r="AE50" i="1"/>
  <c r="AG50" i="1" s="1"/>
  <c r="AD34" i="1"/>
  <c r="AB34" i="1"/>
  <c r="AA34" i="1" s="1"/>
  <c r="AK34" i="1" s="1"/>
  <c r="AL34" i="1" s="1"/>
  <c r="AI34" i="1"/>
  <c r="AJ34" i="1" s="1"/>
  <c r="AI30" i="1"/>
  <c r="AJ30" i="1" s="1"/>
  <c r="AD30" i="1"/>
  <c r="AB30" i="1"/>
  <c r="AA30" i="1" s="1"/>
  <c r="AK30" i="1" s="1"/>
  <c r="AL30" i="1" s="1"/>
  <c r="Z27" i="1"/>
  <c r="Z35" i="1"/>
  <c r="Z43" i="1"/>
  <c r="AI43" i="1" s="1"/>
  <c r="AJ43" i="1" s="1"/>
  <c r="Z31" i="1"/>
  <c r="Z23" i="1"/>
  <c r="Z11" i="1"/>
  <c r="Z19" i="1"/>
  <c r="Z15" i="1"/>
  <c r="Z47" i="1"/>
  <c r="AI47" i="1" s="1"/>
  <c r="AJ47" i="1" s="1"/>
  <c r="Z39" i="1"/>
  <c r="AI39" i="1" s="1"/>
  <c r="AK145" i="1"/>
  <c r="AL145" i="1" s="1"/>
  <c r="AB102" i="1"/>
  <c r="AA102" i="1" s="1"/>
  <c r="AI102" i="1"/>
  <c r="AJ102" i="1" s="1"/>
  <c r="AD102" i="1"/>
  <c r="AE150" i="1"/>
  <c r="AG150" i="1" s="1"/>
  <c r="AF150" i="1"/>
  <c r="AH150" i="1" s="1"/>
  <c r="AF174" i="1"/>
  <c r="AH174" i="1" s="1"/>
  <c r="AE174" i="1"/>
  <c r="AG174" i="1" s="1"/>
  <c r="AF173" i="1"/>
  <c r="AH173" i="1" s="1"/>
  <c r="AE173" i="1"/>
  <c r="AG173" i="1" s="1"/>
  <c r="AC91" i="1"/>
  <c r="Q91" i="1"/>
  <c r="AE109" i="1"/>
  <c r="AG109" i="1" s="1"/>
  <c r="AF109" i="1"/>
  <c r="AH109" i="1" s="1"/>
  <c r="AF122" i="1"/>
  <c r="AH122" i="1" s="1"/>
  <c r="AE122" i="1"/>
  <c r="AG122" i="1" s="1"/>
  <c r="AD25" i="1"/>
  <c r="AI25" i="1"/>
  <c r="AJ25" i="1" s="1"/>
  <c r="AB25" i="1"/>
  <c r="AA25" i="1" s="1"/>
  <c r="AK25" i="1" s="1"/>
  <c r="AL25" i="1" s="1"/>
  <c r="AI12" i="1"/>
  <c r="AJ12" i="1" s="1"/>
  <c r="AB12" i="1"/>
  <c r="AA12" i="1" s="1"/>
  <c r="AK12" i="1" s="1"/>
  <c r="AL12" i="1" s="1"/>
  <c r="AD12" i="1"/>
  <c r="AE156" i="1"/>
  <c r="AG156" i="1" s="1"/>
  <c r="AF156" i="1"/>
  <c r="AH156" i="1" s="1"/>
  <c r="AI33" i="1"/>
  <c r="AJ33" i="1" s="1"/>
  <c r="AB33" i="1"/>
  <c r="AA33" i="1" s="1"/>
  <c r="AK33" i="1" s="1"/>
  <c r="AL33" i="1" s="1"/>
  <c r="AD33" i="1"/>
  <c r="AD86" i="1"/>
  <c r="AB86" i="1"/>
  <c r="AA86" i="1" s="1"/>
  <c r="AI86" i="1"/>
  <c r="AJ86" i="1" s="1"/>
  <c r="AF78" i="1"/>
  <c r="AH78" i="1" s="1"/>
  <c r="AE78" i="1"/>
  <c r="AG78" i="1" s="1"/>
  <c r="AI119" i="1"/>
  <c r="AJ119" i="1" s="1"/>
  <c r="AD119" i="1"/>
  <c r="AB119" i="1"/>
  <c r="AA119" i="1" s="1"/>
  <c r="AI160" i="1"/>
  <c r="AJ160" i="1" s="1"/>
  <c r="AD160" i="1"/>
  <c r="AB160" i="1"/>
  <c r="AA160" i="1" s="1"/>
  <c r="AK160" i="1" s="1"/>
  <c r="AL160" i="1" s="1"/>
  <c r="AE162" i="1"/>
  <c r="AG162" i="1" s="1"/>
  <c r="AF162" i="1"/>
  <c r="AH162" i="1" s="1"/>
  <c r="AC123" i="1"/>
  <c r="Q123" i="1"/>
  <c r="AF128" i="1"/>
  <c r="AH128" i="1" s="1"/>
  <c r="AE128" i="1"/>
  <c r="AG128" i="1" s="1"/>
  <c r="AK154" i="1"/>
  <c r="AL154" i="1" s="1"/>
  <c r="AD124" i="1"/>
  <c r="AB124" i="1"/>
  <c r="AA124" i="1" s="1"/>
  <c r="AK124" i="1" s="1"/>
  <c r="AL124" i="1" s="1"/>
  <c r="AI124" i="1"/>
  <c r="AJ124" i="1" s="1"/>
  <c r="AC75" i="1"/>
  <c r="Q75" i="1"/>
  <c r="AI76" i="1"/>
  <c r="AJ76" i="1" s="1"/>
  <c r="AD76" i="1"/>
  <c r="AB76" i="1"/>
  <c r="AA76" i="1" s="1"/>
  <c r="AI92" i="1"/>
  <c r="AJ92" i="1" s="1"/>
  <c r="AD92" i="1"/>
  <c r="AB92" i="1"/>
  <c r="AA92" i="1" s="1"/>
  <c r="AK92" i="1" s="1"/>
  <c r="AL92" i="1" s="1"/>
  <c r="AI88" i="1"/>
  <c r="AJ88" i="1" s="1"/>
  <c r="AB88" i="1"/>
  <c r="AA88" i="1" s="1"/>
  <c r="AK88" i="1" s="1"/>
  <c r="AL88" i="1" s="1"/>
  <c r="AD88" i="1"/>
  <c r="AI101" i="1"/>
  <c r="AJ101" i="1" s="1"/>
  <c r="AB101" i="1"/>
  <c r="AA101" i="1" s="1"/>
  <c r="AK101" i="1" s="1"/>
  <c r="AL101" i="1" s="1"/>
  <c r="AD101" i="1"/>
  <c r="AA113" i="1"/>
  <c r="AK113" i="1" s="1"/>
  <c r="AL113" i="1" s="1"/>
  <c r="AD126" i="1"/>
  <c r="AB126" i="1"/>
  <c r="AA126" i="1" s="1"/>
  <c r="AK126" i="1" s="1"/>
  <c r="AL126" i="1" s="1"/>
  <c r="AI126" i="1"/>
  <c r="AJ126" i="1" s="1"/>
  <c r="AD80" i="1"/>
  <c r="AB80" i="1"/>
  <c r="AA80" i="1" s="1"/>
  <c r="AI80" i="1"/>
  <c r="AJ80" i="1" s="1"/>
  <c r="AF166" i="1"/>
  <c r="AH166" i="1" s="1"/>
  <c r="AE166" i="1"/>
  <c r="AG166" i="1" s="1"/>
  <c r="AI96" i="1"/>
  <c r="AJ96" i="1" s="1"/>
  <c r="AB96" i="1"/>
  <c r="AA96" i="1" s="1"/>
  <c r="AK96" i="1" s="1"/>
  <c r="AL96" i="1" s="1"/>
  <c r="AD96" i="1"/>
  <c r="AB38" i="1"/>
  <c r="AA38" i="1" s="1"/>
  <c r="AK38" i="1" s="1"/>
  <c r="AL38" i="1" s="1"/>
  <c r="AD38" i="1"/>
  <c r="AI38" i="1"/>
  <c r="AJ38" i="1" s="1"/>
  <c r="AA74" i="1"/>
  <c r="AK74" i="1" s="1"/>
  <c r="AL74" i="1" s="1"/>
  <c r="AE161" i="1"/>
  <c r="AG161" i="1" s="1"/>
  <c r="AF161" i="1"/>
  <c r="AH161" i="1" s="1"/>
  <c r="AD159" i="1"/>
  <c r="AI159" i="1"/>
  <c r="AJ159" i="1" s="1"/>
  <c r="AB159" i="1"/>
  <c r="AA159" i="1" s="1"/>
  <c r="AK159" i="1" s="1"/>
  <c r="AL159" i="1" s="1"/>
  <c r="AB158" i="1"/>
  <c r="AA158" i="1" s="1"/>
  <c r="AK158" i="1" s="1"/>
  <c r="AL158" i="1" s="1"/>
  <c r="AD158" i="1"/>
  <c r="AI158" i="1"/>
  <c r="AJ158" i="1" s="1"/>
  <c r="AC115" i="1"/>
  <c r="Q115" i="1"/>
  <c r="AK177" i="1"/>
  <c r="AL177" i="1" s="1"/>
  <c r="AF143" i="1"/>
  <c r="AH143" i="1" s="1"/>
  <c r="AE143" i="1"/>
  <c r="AG143" i="1" s="1"/>
  <c r="AF180" i="1"/>
  <c r="AH180" i="1" s="1"/>
  <c r="AE180" i="1"/>
  <c r="AG180" i="1" s="1"/>
  <c r="Q107" i="1"/>
  <c r="AC107" i="1"/>
  <c r="AD117" i="1"/>
  <c r="AB117" i="1"/>
  <c r="AA117" i="1" s="1"/>
  <c r="AI117" i="1"/>
  <c r="AJ117" i="1" s="1"/>
  <c r="AF164" i="1"/>
  <c r="AH164" i="1" s="1"/>
  <c r="AE164" i="1"/>
  <c r="AG164" i="1" s="1"/>
  <c r="AE149" i="1"/>
  <c r="AG149" i="1" s="1"/>
  <c r="AF149" i="1"/>
  <c r="AH149" i="1" s="1"/>
  <c r="Q79" i="1"/>
  <c r="AC79" i="1"/>
  <c r="AI125" i="1"/>
  <c r="AJ125" i="1" s="1"/>
  <c r="AD125" i="1"/>
  <c r="AB125" i="1"/>
  <c r="AA125" i="1" s="1"/>
  <c r="AK125" i="1" s="1"/>
  <c r="AL125" i="1" s="1"/>
  <c r="AF130" i="1"/>
  <c r="AH130" i="1" s="1"/>
  <c r="AE130" i="1"/>
  <c r="AG130" i="1" s="1"/>
  <c r="AF178" i="1"/>
  <c r="AH178" i="1" s="1"/>
  <c r="AE178" i="1"/>
  <c r="AG178" i="1" s="1"/>
  <c r="AI112" i="1"/>
  <c r="AJ112" i="1" s="1"/>
  <c r="AD112" i="1"/>
  <c r="AB112" i="1"/>
  <c r="AA112" i="1" s="1"/>
  <c r="AK112" i="1" s="1"/>
  <c r="AL112" i="1" s="1"/>
  <c r="AI65" i="1"/>
  <c r="AJ65" i="1" s="1"/>
  <c r="AB65" i="1"/>
  <c r="AA65" i="1" s="1"/>
  <c r="AK65" i="1" s="1"/>
  <c r="AL65" i="1" s="1"/>
  <c r="AD65" i="1"/>
  <c r="AD52" i="1"/>
  <c r="AI52" i="1"/>
  <c r="AJ52" i="1" s="1"/>
  <c r="AB52" i="1"/>
  <c r="AA52" i="1" s="1"/>
  <c r="AK52" i="1" s="1"/>
  <c r="AL52" i="1" s="1"/>
  <c r="AD22" i="1"/>
  <c r="AI22" i="1"/>
  <c r="AJ22" i="1" s="1"/>
  <c r="AB22" i="1"/>
  <c r="AA22" i="1" s="1"/>
  <c r="AK22" i="1" s="1"/>
  <c r="AL22" i="1" s="1"/>
  <c r="Q31" i="1"/>
  <c r="AC31" i="1"/>
  <c r="AD84" i="1"/>
  <c r="AB84" i="1"/>
  <c r="AA84" i="1" s="1"/>
  <c r="AI84" i="1"/>
  <c r="AJ84" i="1" s="1"/>
  <c r="AF171" i="1"/>
  <c r="AH171" i="1" s="1"/>
  <c r="AE171" i="1"/>
  <c r="AG171" i="1" s="1"/>
  <c r="AI48" i="1"/>
  <c r="AJ48" i="1" s="1"/>
  <c r="AB48" i="1"/>
  <c r="AA48" i="1" s="1"/>
  <c r="AK48" i="1" s="1"/>
  <c r="AL48" i="1" s="1"/>
  <c r="AD48" i="1"/>
  <c r="AD57" i="1"/>
  <c r="AB57" i="1"/>
  <c r="AA57" i="1" s="1"/>
  <c r="AI57" i="1"/>
  <c r="AJ57" i="1" s="1"/>
  <c r="AD17" i="1"/>
  <c r="AB17" i="1"/>
  <c r="AA17" i="1" s="1"/>
  <c r="AK17" i="1" s="1"/>
  <c r="AL17" i="1" s="1"/>
  <c r="AI17" i="1"/>
  <c r="AJ17" i="1" s="1"/>
  <c r="AI37" i="1"/>
  <c r="AJ37" i="1" s="1"/>
  <c r="AD37" i="1"/>
  <c r="AB37" i="1"/>
  <c r="AA37" i="1" s="1"/>
  <c r="AK37" i="1"/>
  <c r="AL37" i="1" s="1"/>
  <c r="AK173" i="1"/>
  <c r="AL173" i="1" s="1"/>
  <c r="AF172" i="1"/>
  <c r="AH172" i="1" s="1"/>
  <c r="AE172" i="1"/>
  <c r="AG172" i="1" s="1"/>
  <c r="AF176" i="1"/>
  <c r="AH176" i="1" s="1"/>
  <c r="AE176" i="1"/>
  <c r="AG176" i="1" s="1"/>
  <c r="AE170" i="1"/>
  <c r="AG170" i="1" s="1"/>
  <c r="AF170" i="1"/>
  <c r="AH170" i="1" s="1"/>
  <c r="AF163" i="1"/>
  <c r="AH163" i="1" s="1"/>
  <c r="AE163" i="1"/>
  <c r="AG163" i="1" s="1"/>
  <c r="AK147" i="1"/>
  <c r="AL147" i="1" s="1"/>
  <c r="AI89" i="1"/>
  <c r="AJ89" i="1" s="1"/>
  <c r="AD89" i="1"/>
  <c r="AB89" i="1"/>
  <c r="AA89" i="1" s="1"/>
  <c r="AK89" i="1" s="1"/>
  <c r="AL89" i="1" s="1"/>
  <c r="Q99" i="1"/>
  <c r="AC99" i="1"/>
  <c r="AI95" i="1"/>
  <c r="AJ95" i="1" s="1"/>
  <c r="AB95" i="1"/>
  <c r="AA95" i="1" s="1"/>
  <c r="AD95" i="1"/>
  <c r="Q19" i="1"/>
  <c r="AC19" i="1"/>
  <c r="AF151" i="1"/>
  <c r="AH151" i="1" s="1"/>
  <c r="AE151" i="1"/>
  <c r="AG151" i="1" s="1"/>
  <c r="AF169" i="1"/>
  <c r="AH169" i="1" s="1"/>
  <c r="AE169" i="1"/>
  <c r="AG169" i="1" s="1"/>
  <c r="AD64" i="1"/>
  <c r="AB64" i="1"/>
  <c r="AA64" i="1" s="1"/>
  <c r="AI64" i="1"/>
  <c r="AJ64" i="1" s="1"/>
  <c r="AI98" i="1"/>
  <c r="AJ98" i="1" s="1"/>
  <c r="AD98" i="1"/>
  <c r="AB98" i="1"/>
  <c r="AA98" i="1" s="1"/>
  <c r="AK98" i="1" s="1"/>
  <c r="AL98" i="1" s="1"/>
  <c r="AC51" i="1"/>
  <c r="Q51" i="1"/>
  <c r="AI14" i="1"/>
  <c r="AJ14" i="1" s="1"/>
  <c r="AB14" i="1"/>
  <c r="AA14" i="1" s="1"/>
  <c r="AK14" i="1" s="1"/>
  <c r="AL14" i="1" s="1"/>
  <c r="AD14" i="1"/>
  <c r="AD20" i="1"/>
  <c r="AI20" i="1"/>
  <c r="AJ20" i="1" s="1"/>
  <c r="AB20" i="1"/>
  <c r="AA20" i="1" s="1"/>
  <c r="AK20" i="1" s="1"/>
  <c r="AL20" i="1" s="1"/>
  <c r="Q27" i="1"/>
  <c r="AC27" i="1"/>
  <c r="AC83" i="1"/>
  <c r="Q83" i="1"/>
  <c r="AK127" i="1" l="1"/>
  <c r="AL127" i="1" s="1"/>
  <c r="AK43" i="1"/>
  <c r="AL43" i="1" s="1"/>
  <c r="AK119" i="1"/>
  <c r="AL119" i="1" s="1"/>
  <c r="AJ39" i="1"/>
  <c r="AK39" i="1"/>
  <c r="AL39" i="1" s="1"/>
  <c r="AK47" i="1"/>
  <c r="AL47" i="1" s="1"/>
  <c r="AK64" i="1"/>
  <c r="AL64" i="1" s="1"/>
  <c r="AK105" i="1"/>
  <c r="AL105" i="1" s="1"/>
  <c r="AF76" i="1"/>
  <c r="AH76" i="1" s="1"/>
  <c r="AE76" i="1"/>
  <c r="AG76" i="1" s="1"/>
  <c r="AI123" i="1"/>
  <c r="AJ123" i="1" s="1"/>
  <c r="AD123" i="1"/>
  <c r="AB123" i="1"/>
  <c r="AA123" i="1" s="1"/>
  <c r="AF12" i="1"/>
  <c r="AH12" i="1" s="1"/>
  <c r="AE12" i="1"/>
  <c r="AG12" i="1" s="1"/>
  <c r="AI91" i="1"/>
  <c r="AJ91" i="1" s="1"/>
  <c r="AX91" i="1" s="1"/>
  <c r="AD91" i="1"/>
  <c r="AB91" i="1"/>
  <c r="AA91" i="1" s="1"/>
  <c r="AF24" i="1"/>
  <c r="AH24" i="1" s="1"/>
  <c r="AE24" i="1"/>
  <c r="AG24" i="1" s="1"/>
  <c r="AE93" i="1"/>
  <c r="AG93" i="1" s="1"/>
  <c r="AF93" i="1"/>
  <c r="AH93" i="1" s="1"/>
  <c r="AF40" i="1"/>
  <c r="AH40" i="1" s="1"/>
  <c r="AE40" i="1"/>
  <c r="AG40" i="1" s="1"/>
  <c r="AE39" i="1"/>
  <c r="AG39" i="1" s="1"/>
  <c r="AF39" i="1"/>
  <c r="AH39" i="1" s="1"/>
  <c r="AD15" i="1"/>
  <c r="AB15" i="1"/>
  <c r="AA15" i="1" s="1"/>
  <c r="AI15" i="1"/>
  <c r="AJ15" i="1" s="1"/>
  <c r="AB23" i="1"/>
  <c r="AA23" i="1" s="1"/>
  <c r="AI23" i="1"/>
  <c r="AJ23" i="1" s="1"/>
  <c r="AD23" i="1"/>
  <c r="AF41" i="1"/>
  <c r="AH41" i="1" s="1"/>
  <c r="AE41" i="1"/>
  <c r="AG41" i="1" s="1"/>
  <c r="AF29" i="1"/>
  <c r="AH29" i="1" s="1"/>
  <c r="AE29" i="1"/>
  <c r="AG29" i="1" s="1"/>
  <c r="AF97" i="1"/>
  <c r="AH97" i="1" s="1"/>
  <c r="AE97" i="1"/>
  <c r="AG97" i="1" s="1"/>
  <c r="AF105" i="1"/>
  <c r="AH105" i="1" s="1"/>
  <c r="AE105" i="1"/>
  <c r="AG105" i="1" s="1"/>
  <c r="AE74" i="1"/>
  <c r="AG74" i="1" s="1"/>
  <c r="AF74" i="1"/>
  <c r="AH74" i="1" s="1"/>
  <c r="AF114" i="1"/>
  <c r="AH114" i="1" s="1"/>
  <c r="AE114" i="1"/>
  <c r="AG114" i="1" s="1"/>
  <c r="AF14" i="1"/>
  <c r="AH14" i="1" s="1"/>
  <c r="AE14" i="1"/>
  <c r="AG14" i="1" s="1"/>
  <c r="AF65" i="1"/>
  <c r="AH65" i="1" s="1"/>
  <c r="AE65" i="1"/>
  <c r="AG65" i="1" s="1"/>
  <c r="AE47" i="1"/>
  <c r="AG47" i="1" s="1"/>
  <c r="AF47" i="1"/>
  <c r="AH47" i="1" s="1"/>
  <c r="AE34" i="1"/>
  <c r="AG34" i="1" s="1"/>
  <c r="AF34" i="1"/>
  <c r="AH34" i="1" s="1"/>
  <c r="AD31" i="1"/>
  <c r="AI31" i="1"/>
  <c r="AJ31" i="1" s="1"/>
  <c r="AB31" i="1"/>
  <c r="AA31" i="1" s="1"/>
  <c r="AE158" i="1"/>
  <c r="AG158" i="1" s="1"/>
  <c r="AF158" i="1"/>
  <c r="AH158" i="1" s="1"/>
  <c r="AE38" i="1"/>
  <c r="AG38" i="1" s="1"/>
  <c r="AF38" i="1"/>
  <c r="AH38" i="1" s="1"/>
  <c r="AF33" i="1"/>
  <c r="AH33" i="1" s="1"/>
  <c r="AE33" i="1"/>
  <c r="AG33" i="1" s="1"/>
  <c r="AF16" i="1"/>
  <c r="AH16" i="1" s="1"/>
  <c r="AE16" i="1"/>
  <c r="AG16" i="1" s="1"/>
  <c r="AB63" i="1"/>
  <c r="AA63" i="1" s="1"/>
  <c r="AI63" i="1"/>
  <c r="AJ63" i="1" s="1"/>
  <c r="AD63" i="1"/>
  <c r="AF121" i="1"/>
  <c r="AH121" i="1" s="1"/>
  <c r="AE121" i="1"/>
  <c r="AG121" i="1" s="1"/>
  <c r="AF77" i="1"/>
  <c r="AH77" i="1" s="1"/>
  <c r="AE77" i="1"/>
  <c r="AG77" i="1" s="1"/>
  <c r="AF42" i="1"/>
  <c r="AH42" i="1" s="1"/>
  <c r="AE42" i="1"/>
  <c r="AG42" i="1" s="1"/>
  <c r="AF17" i="1"/>
  <c r="AH17" i="1" s="1"/>
  <c r="AE17" i="1"/>
  <c r="AG17" i="1" s="1"/>
  <c r="AF61" i="1"/>
  <c r="AH61" i="1" s="1"/>
  <c r="AE61" i="1"/>
  <c r="AG61" i="1" s="1"/>
  <c r="AE32" i="1"/>
  <c r="AG32" i="1" s="1"/>
  <c r="AF32" i="1"/>
  <c r="AH32" i="1" s="1"/>
  <c r="AF64" i="1"/>
  <c r="AH64" i="1" s="1"/>
  <c r="AE64" i="1"/>
  <c r="AG64" i="1" s="1"/>
  <c r="AF49" i="1"/>
  <c r="AH49" i="1" s="1"/>
  <c r="AE49" i="1"/>
  <c r="AG49" i="1" s="1"/>
  <c r="AF89" i="1"/>
  <c r="AH89" i="1" s="1"/>
  <c r="AE89" i="1"/>
  <c r="AG89" i="1" s="1"/>
  <c r="AF57" i="1"/>
  <c r="AH57" i="1" s="1"/>
  <c r="AE57" i="1"/>
  <c r="AG57" i="1" s="1"/>
  <c r="AE117" i="1"/>
  <c r="AG117" i="1" s="1"/>
  <c r="AF117" i="1"/>
  <c r="AH117" i="1" s="1"/>
  <c r="AF25" i="1"/>
  <c r="AH25" i="1" s="1"/>
  <c r="AE25" i="1"/>
  <c r="AG25" i="1" s="1"/>
  <c r="AF82" i="1"/>
  <c r="AH82" i="1" s="1"/>
  <c r="AE82" i="1"/>
  <c r="AG82" i="1" s="1"/>
  <c r="AI87" i="1"/>
  <c r="AJ87" i="1" s="1"/>
  <c r="AD87" i="1"/>
  <c r="AB87" i="1"/>
  <c r="AA87" i="1" s="1"/>
  <c r="AF18" i="1"/>
  <c r="AH18" i="1" s="1"/>
  <c r="AE18" i="1"/>
  <c r="AG18" i="1" s="1"/>
  <c r="AF28" i="1"/>
  <c r="AH28" i="1" s="1"/>
  <c r="AE28" i="1"/>
  <c r="AG28" i="1" s="1"/>
  <c r="AF52" i="1"/>
  <c r="AH52" i="1" s="1"/>
  <c r="AE52" i="1"/>
  <c r="AG52" i="1" s="1"/>
  <c r="AF88" i="1"/>
  <c r="AH88" i="1" s="1"/>
  <c r="AE88" i="1"/>
  <c r="AG88" i="1" s="1"/>
  <c r="AD115" i="1"/>
  <c r="AB115" i="1"/>
  <c r="AA115" i="1" s="1"/>
  <c r="AI115" i="1"/>
  <c r="AJ115" i="1" s="1"/>
  <c r="AD75" i="1"/>
  <c r="AB75" i="1"/>
  <c r="AA75" i="1" s="1"/>
  <c r="AI75" i="1"/>
  <c r="AJ75" i="1" s="1"/>
  <c r="AK67" i="1"/>
  <c r="AL67" i="1" s="1"/>
  <c r="AK117" i="1"/>
  <c r="AL117" i="1" s="1"/>
  <c r="AF48" i="1"/>
  <c r="AH48" i="1" s="1"/>
  <c r="AE48" i="1"/>
  <c r="AG48" i="1" s="1"/>
  <c r="AI107" i="1"/>
  <c r="AJ107" i="1" s="1"/>
  <c r="AD107" i="1"/>
  <c r="AB107" i="1"/>
  <c r="AA107" i="1" s="1"/>
  <c r="AF96" i="1"/>
  <c r="AH96" i="1" s="1"/>
  <c r="AE96" i="1"/>
  <c r="AG96" i="1" s="1"/>
  <c r="AF124" i="1"/>
  <c r="AH124" i="1" s="1"/>
  <c r="AE124" i="1"/>
  <c r="AG124" i="1" s="1"/>
  <c r="AE102" i="1"/>
  <c r="AG102" i="1" s="1"/>
  <c r="AF102" i="1"/>
  <c r="AH102" i="1" s="1"/>
  <c r="AF58" i="1"/>
  <c r="AH58" i="1" s="1"/>
  <c r="AE58" i="1"/>
  <c r="AG58" i="1" s="1"/>
  <c r="AF85" i="1"/>
  <c r="AH85" i="1" s="1"/>
  <c r="AE85" i="1"/>
  <c r="AG85" i="1" s="1"/>
  <c r="AI55" i="1"/>
  <c r="AJ55" i="1" s="1"/>
  <c r="AD55" i="1"/>
  <c r="AB55" i="1"/>
  <c r="AA55" i="1" s="1"/>
  <c r="AE45" i="1"/>
  <c r="AG45" i="1" s="1"/>
  <c r="AF45" i="1"/>
  <c r="AH45" i="1" s="1"/>
  <c r="AF56" i="1"/>
  <c r="AH56" i="1" s="1"/>
  <c r="AE56" i="1"/>
  <c r="AG56" i="1" s="1"/>
  <c r="AE13" i="1"/>
  <c r="AG13" i="1" s="1"/>
  <c r="AF13" i="1"/>
  <c r="AH13" i="1" s="1"/>
  <c r="AI157" i="1"/>
  <c r="AJ157" i="1" s="1"/>
  <c r="AX141" i="1" s="1"/>
  <c r="AD157" i="1"/>
  <c r="AB157" i="1"/>
  <c r="AA157" i="1" s="1"/>
  <c r="AE20" i="1"/>
  <c r="AG20" i="1" s="1"/>
  <c r="AF20" i="1"/>
  <c r="AH20" i="1" s="1"/>
  <c r="AE62" i="1"/>
  <c r="AG62" i="1" s="1"/>
  <c r="AF62" i="1"/>
  <c r="AH62" i="1" s="1"/>
  <c r="AF104" i="1"/>
  <c r="AH104" i="1" s="1"/>
  <c r="AE104" i="1"/>
  <c r="AG104" i="1" s="1"/>
  <c r="AE84" i="1"/>
  <c r="AG84" i="1" s="1"/>
  <c r="AF84" i="1"/>
  <c r="AH84" i="1" s="1"/>
  <c r="AD111" i="1"/>
  <c r="AB111" i="1"/>
  <c r="AA111" i="1" s="1"/>
  <c r="AI111" i="1"/>
  <c r="AJ111" i="1" s="1"/>
  <c r="AF112" i="1"/>
  <c r="AH112" i="1" s="1"/>
  <c r="AE112" i="1"/>
  <c r="AG112" i="1" s="1"/>
  <c r="AF126" i="1"/>
  <c r="AH126" i="1" s="1"/>
  <c r="AE126" i="1"/>
  <c r="AG126" i="1" s="1"/>
  <c r="AF81" i="1"/>
  <c r="AH81" i="1" s="1"/>
  <c r="AE81" i="1"/>
  <c r="AG81" i="1" s="1"/>
  <c r="AF53" i="1"/>
  <c r="AH53" i="1" s="1"/>
  <c r="AE53" i="1"/>
  <c r="AG53" i="1" s="1"/>
  <c r="AF66" i="1"/>
  <c r="AH66" i="1" s="1"/>
  <c r="AE66" i="1"/>
  <c r="AG66" i="1" s="1"/>
  <c r="AE113" i="1"/>
  <c r="AG113" i="1" s="1"/>
  <c r="AF113" i="1"/>
  <c r="AH113" i="1" s="1"/>
  <c r="AF73" i="1"/>
  <c r="AH73" i="1" s="1"/>
  <c r="AE73" i="1"/>
  <c r="AG73" i="1" s="1"/>
  <c r="AI59" i="1"/>
  <c r="AJ59" i="1" s="1"/>
  <c r="AB59" i="1"/>
  <c r="AA59" i="1" s="1"/>
  <c r="AD59" i="1"/>
  <c r="AF116" i="1"/>
  <c r="AH116" i="1" s="1"/>
  <c r="AE116" i="1"/>
  <c r="AG116" i="1" s="1"/>
  <c r="AE86" i="1"/>
  <c r="AG86" i="1" s="1"/>
  <c r="AF86" i="1"/>
  <c r="AH86" i="1" s="1"/>
  <c r="AF90" i="1"/>
  <c r="AH90" i="1" s="1"/>
  <c r="AE90" i="1"/>
  <c r="AG90" i="1" s="1"/>
  <c r="AE119" i="1"/>
  <c r="AG119" i="1" s="1"/>
  <c r="AF119" i="1"/>
  <c r="AH119" i="1" s="1"/>
  <c r="AK102" i="1"/>
  <c r="AL102" i="1" s="1"/>
  <c r="AF36" i="1"/>
  <c r="AH36" i="1" s="1"/>
  <c r="AE36" i="1"/>
  <c r="AG36" i="1" s="1"/>
  <c r="AK54" i="1"/>
  <c r="AL54" i="1" s="1"/>
  <c r="AF21" i="1"/>
  <c r="AH21" i="1" s="1"/>
  <c r="AE21" i="1"/>
  <c r="AG21" i="1" s="1"/>
  <c r="AF100" i="1"/>
  <c r="AH100" i="1" s="1"/>
  <c r="AE100" i="1"/>
  <c r="AG100" i="1" s="1"/>
  <c r="AF108" i="1"/>
  <c r="AH108" i="1" s="1"/>
  <c r="AE108" i="1"/>
  <c r="AG108" i="1" s="1"/>
  <c r="AK84" i="1"/>
  <c r="AL84" i="1" s="1"/>
  <c r="AK86" i="1"/>
  <c r="AL86" i="1" s="1"/>
  <c r="AB99" i="1"/>
  <c r="AA99" i="1" s="1"/>
  <c r="AI99" i="1"/>
  <c r="AJ99" i="1" s="1"/>
  <c r="AD99" i="1"/>
  <c r="AK57" i="1"/>
  <c r="AL57" i="1" s="1"/>
  <c r="AF125" i="1"/>
  <c r="AH125" i="1" s="1"/>
  <c r="AE125" i="1"/>
  <c r="AG125" i="1" s="1"/>
  <c r="AF80" i="1"/>
  <c r="AH80" i="1" s="1"/>
  <c r="AE80" i="1"/>
  <c r="AG80" i="1" s="1"/>
  <c r="AF160" i="1"/>
  <c r="AH160" i="1" s="1"/>
  <c r="AE160" i="1"/>
  <c r="AG160" i="1" s="1"/>
  <c r="AI83" i="1"/>
  <c r="AJ83" i="1" s="1"/>
  <c r="AD83" i="1"/>
  <c r="AB83" i="1"/>
  <c r="AA83" i="1" s="1"/>
  <c r="AF92" i="1"/>
  <c r="AH92" i="1" s="1"/>
  <c r="AE92" i="1"/>
  <c r="AG92" i="1" s="1"/>
  <c r="AF101" i="1"/>
  <c r="AH101" i="1" s="1"/>
  <c r="AE101" i="1"/>
  <c r="AG101" i="1" s="1"/>
  <c r="AK76" i="1"/>
  <c r="AL76" i="1" s="1"/>
  <c r="AF26" i="1"/>
  <c r="AH26" i="1" s="1"/>
  <c r="AE26" i="1"/>
  <c r="AG26" i="1" s="1"/>
  <c r="AE129" i="1"/>
  <c r="AG129" i="1" s="1"/>
  <c r="AF129" i="1"/>
  <c r="AH129" i="1" s="1"/>
  <c r="AK108" i="1"/>
  <c r="AL108" i="1" s="1"/>
  <c r="AF72" i="1"/>
  <c r="AH72" i="1" s="1"/>
  <c r="AE72" i="1"/>
  <c r="AG72" i="1" s="1"/>
  <c r="AK95" i="1"/>
  <c r="AL95" i="1" s="1"/>
  <c r="AK80" i="1"/>
  <c r="AL80" i="1" s="1"/>
  <c r="AF67" i="1"/>
  <c r="AH67" i="1" s="1"/>
  <c r="AE67" i="1"/>
  <c r="AG67" i="1" s="1"/>
  <c r="AI51" i="1"/>
  <c r="AJ51" i="1" s="1"/>
  <c r="AX51" i="1" s="1"/>
  <c r="AB51" i="1"/>
  <c r="AA51" i="1" s="1"/>
  <c r="AD51" i="1"/>
  <c r="AB79" i="1"/>
  <c r="AA79" i="1" s="1"/>
  <c r="AI79" i="1"/>
  <c r="AJ79" i="1" s="1"/>
  <c r="AD79" i="1"/>
  <c r="AD27" i="1"/>
  <c r="AI27" i="1"/>
  <c r="AJ27" i="1" s="1"/>
  <c r="AB27" i="1"/>
  <c r="AA27" i="1" s="1"/>
  <c r="AD19" i="1"/>
  <c r="AB19" i="1"/>
  <c r="AA19" i="1" s="1"/>
  <c r="AI19" i="1"/>
  <c r="AJ19" i="1" s="1"/>
  <c r="AE37" i="1"/>
  <c r="AG37" i="1" s="1"/>
  <c r="AF37" i="1"/>
  <c r="AH37" i="1" s="1"/>
  <c r="AF98" i="1"/>
  <c r="AH98" i="1" s="1"/>
  <c r="AE98" i="1"/>
  <c r="AG98" i="1" s="1"/>
  <c r="AE22" i="1"/>
  <c r="AG22" i="1" s="1"/>
  <c r="AF22" i="1"/>
  <c r="AH22" i="1" s="1"/>
  <c r="AE95" i="1"/>
  <c r="AG95" i="1" s="1"/>
  <c r="AF95" i="1"/>
  <c r="AH95" i="1" s="1"/>
  <c r="AF159" i="1"/>
  <c r="AH159" i="1" s="1"/>
  <c r="AE159" i="1"/>
  <c r="AG159" i="1" s="1"/>
  <c r="AF30" i="1"/>
  <c r="AH30" i="1" s="1"/>
  <c r="AE30" i="1"/>
  <c r="AG30" i="1" s="1"/>
  <c r="AE110" i="1"/>
  <c r="AG110" i="1" s="1"/>
  <c r="AF110" i="1"/>
  <c r="AH110" i="1" s="1"/>
  <c r="AB35" i="1"/>
  <c r="AA35" i="1" s="1"/>
  <c r="AI35" i="1"/>
  <c r="AJ35" i="1" s="1"/>
  <c r="AD35" i="1"/>
  <c r="AF54" i="1"/>
  <c r="AH54" i="1" s="1"/>
  <c r="AE54" i="1"/>
  <c r="AG54" i="1" s="1"/>
  <c r="AF118" i="1"/>
  <c r="AH118" i="1" s="1"/>
  <c r="AE118" i="1"/>
  <c r="AG118" i="1" s="1"/>
  <c r="AF60" i="1"/>
  <c r="AH60" i="1" s="1"/>
  <c r="AE60" i="1"/>
  <c r="AG60" i="1" s="1"/>
  <c r="AI71" i="1"/>
  <c r="AJ71" i="1" s="1"/>
  <c r="AD71" i="1"/>
  <c r="AB71" i="1"/>
  <c r="AA71" i="1" s="1"/>
  <c r="AF43" i="1"/>
  <c r="AH43" i="1" s="1"/>
  <c r="AE43" i="1"/>
  <c r="AG43" i="1" s="1"/>
  <c r="AD11" i="1"/>
  <c r="AB11" i="1"/>
  <c r="AA11" i="1" s="1"/>
  <c r="AI11" i="1"/>
  <c r="AJ11" i="1" s="1"/>
  <c r="AX11" i="1" s="1"/>
  <c r="AD103" i="1"/>
  <c r="AB103" i="1"/>
  <c r="AA103" i="1" s="1"/>
  <c r="AI103" i="1"/>
  <c r="AJ103" i="1" s="1"/>
  <c r="AF69" i="1"/>
  <c r="AH69" i="1" s="1"/>
  <c r="AE69" i="1"/>
  <c r="AG69" i="1" s="1"/>
  <c r="AK157" i="1" l="1"/>
  <c r="AL157" i="1" s="1"/>
  <c r="AK91" i="1"/>
  <c r="AL91" i="1" s="1"/>
  <c r="BB91" i="1" s="1"/>
  <c r="BL91" i="1" s="1"/>
  <c r="BM91" i="1" s="1"/>
  <c r="AK111" i="1"/>
  <c r="AL111" i="1" s="1"/>
  <c r="AK59" i="1"/>
  <c r="AL59" i="1" s="1"/>
  <c r="AK27" i="1"/>
  <c r="AL27" i="1" s="1"/>
  <c r="AK83" i="1"/>
  <c r="AL83" i="1" s="1"/>
  <c r="AK123" i="1"/>
  <c r="AL123" i="1" s="1"/>
  <c r="AK55" i="1"/>
  <c r="AL55" i="1" s="1"/>
  <c r="AK87" i="1"/>
  <c r="AL87" i="1" s="1"/>
  <c r="AK11" i="1"/>
  <c r="AL11" i="1" s="1"/>
  <c r="BB11" i="1" s="1"/>
  <c r="BL11" i="1" s="1"/>
  <c r="BM11" i="1" s="1"/>
  <c r="AK63" i="1"/>
  <c r="AL63" i="1" s="1"/>
  <c r="AK23" i="1"/>
  <c r="AL23" i="1" s="1"/>
  <c r="AK79" i="1"/>
  <c r="AL79" i="1" s="1"/>
  <c r="AK71" i="1"/>
  <c r="AL71" i="1" s="1"/>
  <c r="AK107" i="1"/>
  <c r="AL107" i="1" s="1"/>
  <c r="AK75" i="1"/>
  <c r="AL75" i="1" s="1"/>
  <c r="AK31" i="1"/>
  <c r="AL31" i="1" s="1"/>
  <c r="AK99" i="1"/>
  <c r="AL99" i="1" s="1"/>
  <c r="AK51" i="1"/>
  <c r="AL51" i="1" s="1"/>
  <c r="BB51" i="1" s="1"/>
  <c r="BL51" i="1" s="1"/>
  <c r="BM51" i="1" s="1"/>
  <c r="AK15" i="1"/>
  <c r="AL15" i="1" s="1"/>
  <c r="AK103" i="1"/>
  <c r="AL103" i="1" s="1"/>
  <c r="AK19" i="1"/>
  <c r="AL19" i="1" s="1"/>
  <c r="AF111" i="1"/>
  <c r="AH111" i="1" s="1"/>
  <c r="AE111" i="1"/>
  <c r="AG111" i="1" s="1"/>
  <c r="AE115" i="1"/>
  <c r="AG115" i="1" s="1"/>
  <c r="AF115" i="1"/>
  <c r="AH115" i="1" s="1"/>
  <c r="AF123" i="1"/>
  <c r="AH123" i="1" s="1"/>
  <c r="AE123" i="1"/>
  <c r="AG123" i="1" s="1"/>
  <c r="AF63" i="1"/>
  <c r="AH63" i="1" s="1"/>
  <c r="AE63" i="1"/>
  <c r="AG63" i="1" s="1"/>
  <c r="AF23" i="1"/>
  <c r="AH23" i="1" s="1"/>
  <c r="AE23" i="1"/>
  <c r="AG23" i="1" s="1"/>
  <c r="AK35" i="1"/>
  <c r="AL35" i="1" s="1"/>
  <c r="AF59" i="1"/>
  <c r="AH59" i="1" s="1"/>
  <c r="AE59" i="1"/>
  <c r="AG59" i="1" s="1"/>
  <c r="AF71" i="1"/>
  <c r="AH71" i="1" s="1"/>
  <c r="AE71" i="1"/>
  <c r="AG71" i="1" s="1"/>
  <c r="AE27" i="1"/>
  <c r="AG27" i="1" s="1"/>
  <c r="AF27" i="1"/>
  <c r="AH27" i="1" s="1"/>
  <c r="AF31" i="1"/>
  <c r="AH31" i="1" s="1"/>
  <c r="AE31" i="1"/>
  <c r="AG31" i="1" s="1"/>
  <c r="AF79" i="1"/>
  <c r="AH79" i="1" s="1"/>
  <c r="AE79" i="1"/>
  <c r="AG79" i="1" s="1"/>
  <c r="AF51" i="1"/>
  <c r="AH51" i="1" s="1"/>
  <c r="AE51" i="1"/>
  <c r="AG51" i="1" s="1"/>
  <c r="AW51" i="1" s="1"/>
  <c r="BO51" i="1" s="1"/>
  <c r="AF55" i="1"/>
  <c r="AH55" i="1" s="1"/>
  <c r="AE55" i="1"/>
  <c r="AG55" i="1" s="1"/>
  <c r="AE75" i="1"/>
  <c r="AG75" i="1" s="1"/>
  <c r="AF75" i="1"/>
  <c r="AH75" i="1" s="1"/>
  <c r="AF35" i="1"/>
  <c r="AH35" i="1" s="1"/>
  <c r="AE35" i="1"/>
  <c r="AG35" i="1" s="1"/>
  <c r="AF99" i="1"/>
  <c r="AH99" i="1" s="1"/>
  <c r="AE99" i="1"/>
  <c r="AG99" i="1" s="1"/>
  <c r="AF15" i="1"/>
  <c r="AH15" i="1" s="1"/>
  <c r="AE15" i="1"/>
  <c r="AG15" i="1" s="1"/>
  <c r="AF91" i="1"/>
  <c r="AH91" i="1" s="1"/>
  <c r="AE91" i="1"/>
  <c r="AG91" i="1" s="1"/>
  <c r="AW91" i="1" s="1"/>
  <c r="BO91" i="1" s="1"/>
  <c r="AF83" i="1"/>
  <c r="AH83" i="1" s="1"/>
  <c r="AE83" i="1"/>
  <c r="AG83" i="1" s="1"/>
  <c r="AF103" i="1"/>
  <c r="AH103" i="1" s="1"/>
  <c r="AE103" i="1"/>
  <c r="AG103" i="1" s="1"/>
  <c r="AF157" i="1"/>
  <c r="AH157" i="1" s="1"/>
  <c r="AE157" i="1"/>
  <c r="AG157" i="1" s="1"/>
  <c r="AW141" i="1" s="1"/>
  <c r="BO141" i="1" s="1"/>
  <c r="AF107" i="1"/>
  <c r="AH107" i="1" s="1"/>
  <c r="AE107" i="1"/>
  <c r="AG107" i="1" s="1"/>
  <c r="AK115" i="1"/>
  <c r="AL115" i="1" s="1"/>
  <c r="AF87" i="1"/>
  <c r="AH87" i="1" s="1"/>
  <c r="AE87" i="1"/>
  <c r="AG87" i="1" s="1"/>
  <c r="BF91" i="1"/>
  <c r="BH91" i="1" s="1"/>
  <c r="BC91" i="1"/>
  <c r="AF19" i="1"/>
  <c r="AH19" i="1" s="1"/>
  <c r="AE19" i="1"/>
  <c r="AG19" i="1" s="1"/>
  <c r="AF11" i="1"/>
  <c r="AH11" i="1" s="1"/>
  <c r="AE11" i="1"/>
  <c r="AG11" i="1" s="1"/>
  <c r="AW11" i="1" s="1"/>
  <c r="BO11" i="1" s="1"/>
  <c r="BF141" i="1"/>
  <c r="BH141" i="1" s="1"/>
  <c r="BC141" i="1"/>
  <c r="BL141" i="1"/>
  <c r="BM141" i="1" s="1"/>
  <c r="BF11" i="1" l="1"/>
  <c r="BH11" i="1" s="1"/>
  <c r="BC11" i="1"/>
  <c r="BN91" i="1"/>
  <c r="BF51" i="1"/>
  <c r="BH51" i="1" s="1"/>
  <c r="BC51" i="1"/>
  <c r="BN141" i="1"/>
  <c r="BN11" i="1" l="1"/>
  <c r="BN5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2AA15C5-AA8C-984F-887A-0D770D3143C4}" keepAlive="1" name="Query - beefFunction" description="Connection to the 'beefFunction' query in the workbook." type="5" refreshedVersion="0" background="1">
    <dbPr connection="Provider=Microsoft.Mashup.OleDb.1;Data Source=$Workbook$;Location=beefFunction;Extended Properties=&quot;&quot;" command="SELECT * FROM [beefFunction]"/>
  </connection>
  <connection id="2" xr16:uid="{EA2BCEFA-61B4-0B42-8D52-922C05B11632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3" xr16:uid="{4BFAAB8E-BD06-2C41-9F15-81304C912B4B}" keepAlive="1" name="Query - TableLWG" description="Connection to the 'TableLWG' query in the workbook." type="5" refreshedVersion="8" background="1" saveData="1">
    <dbPr connection="Provider=Microsoft.Mashup.OleDb.1;Data Source=$Workbook$;Location=TableLWG;Extended Properties=&quot;&quot;" command="SELECT * FROM [TableLWG]"/>
  </connection>
  <connection id="4" xr16:uid="{44173876-E068-934B-B77D-478CD804E0C1}" keepAlive="1" name="Query - TableW" description="Connection to the 'TableW' query in the workbook." type="5" refreshedVersion="8" background="1" saveData="1">
    <dbPr connection="Provider=Microsoft.Mashup.OleDb.1;Data Source=$Workbook$;Location=TableW;Extended Properties=&quot;&quot;" command="SELECT * FROM [TableW]"/>
  </connection>
  <connection id="5" xr16:uid="{81641F5C-1680-624E-9D1D-F5F9044610CA}" keepAlive="1" name="Query - TableW (2)" description="Connection to the 'TableW (2)' query in the workbook." type="5" refreshedVersion="8" background="1" saveData="1">
    <dbPr connection="Provider=Microsoft.Mashup.OleDb.1;Data Source=$Workbook$;Location=&quot;TableW (2)&quot;;Extended Properties=&quot;&quot;" command="SELECT * FROM [TableW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<sst xmlns="http://schemas.openxmlformats.org/spreadsheetml/2006/main" count="1517" uniqueCount="299">
  <si>
    <t>EFPRP</t>
  </si>
  <si>
    <t>FracLEACH</t>
  </si>
  <si>
    <t>Wijkln / WRil</t>
  </si>
  <si>
    <t>(LCijkl=5 * FAijkl=5) + (1 - LCijkl=5 )</t>
  </si>
  <si>
    <t>LCijkl=5 * DMPijkl=5</t>
  </si>
  <si>
    <t>0.1604 * DMDijk- 1.037</t>
  </si>
  <si>
    <t>(0.032 * MPijkl=5 /6.38) + {{0.212 - 0.008 * (Lijkln - 2) - [0.140 - 0.008 * (Lijkln - 2) / 1 + e  ^ (-6 * Zijkln - 0.4)]} * (LWGijkln * 0.92)} / 6.25</t>
  </si>
  <si>
    <t>Iijkln / (1.185 + 0.00454 * Wijkln - 0.0000026 * Wijkln ^ 2 ) ^ 2 * MAijkl=5</t>
  </si>
  <si>
    <t>(1.185 + 0.00454 * Wijkln - 0.0000026 * Wijkln^2 + 0.315 * LWGijkln)^2 * MAijkl=5</t>
  </si>
  <si>
    <t>(Iijkln * (1 - DMDijk) + (0.04 * Iijkln)) * ( 1 - A )</t>
  </si>
  <si>
    <t>VSijkln * BO * MMSm * MCFm * 𝜌</t>
  </si>
  <si>
    <t>SUM SUM SUM SUM SUM ( Nkln * Mmijklnm * 91.25)</t>
  </si>
  <si>
    <t>[{0.3 * Iijkln * CPijkln * (1 - (DMDijk + 0.1)) + (0.105 * MEijkl * Iijkln * 0.008) + (0.0152 * Iijkln)} / 6.25] + (0.08 * 0.032 * MCijkl=236 / 6.38)</t>
  </si>
  <si>
    <t>(Iijkln * CPijkln / 6.25) + (0.032 * MCijkl=236 / 6.38) - NRijkln - Fijkln - [(1.1 * 10 ^ -4 * Wijkln ^ 0.75) / 6.25]</t>
  </si>
  <si>
    <t>{(AFi * EFPRP * Cg,N2O) + (AUi * EFPRP * Cg,N2O)} * GWPN2O * 10^-3</t>
  </si>
  <si>
    <t>Mvol * EFad * Cg</t>
  </si>
  <si>
    <t>N2O * 10^-3</t>
  </si>
  <si>
    <t>(AUi + AFi) * FracWET,soil,i,j * FracLEACH</t>
  </si>
  <si>
    <t>Mleach * EFleach * Cg,N2O * 10^-3</t>
  </si>
  <si>
    <t>EN2O,dir + EN2O,ad + EN2O,leach</t>
  </si>
  <si>
    <t>Mmm * GWPCH4 * 10^-3</t>
  </si>
  <si>
    <t>unfenced</t>
  </si>
  <si>
    <t>fenced</t>
  </si>
  <si>
    <t>Bo</t>
  </si>
  <si>
    <t>wet</t>
  </si>
  <si>
    <t>547</t>
  </si>
  <si>
    <t>3.2 152</t>
  </si>
  <si>
    <t>3.2 166</t>
  </si>
  <si>
    <t>3.2 143</t>
  </si>
  <si>
    <t>3.2 136</t>
  </si>
  <si>
    <t>425</t>
  </si>
  <si>
    <t>405</t>
  </si>
  <si>
    <t>396</t>
  </si>
  <si>
    <t>551</t>
  </si>
  <si>
    <t>569</t>
  </si>
  <si>
    <t>581</t>
  </si>
  <si>
    <t>578</t>
  </si>
  <si>
    <t>582</t>
  </si>
  <si>
    <t>584</t>
  </si>
  <si>
    <t>390</t>
  </si>
  <si>
    <t>MMSm=1</t>
  </si>
  <si>
    <t>p</t>
  </si>
  <si>
    <t>dry</t>
  </si>
  <si>
    <t>input</t>
  </si>
  <si>
    <t>3.2 162</t>
  </si>
  <si>
    <t>3.2 163</t>
  </si>
  <si>
    <t>constant</t>
  </si>
  <si>
    <t>expression</t>
  </si>
  <si>
    <t>MMSm=14</t>
  </si>
  <si>
    <t>A</t>
  </si>
  <si>
    <t>CgN2O</t>
  </si>
  <si>
    <t>GWPch4</t>
  </si>
  <si>
    <t>GWPN2O</t>
  </si>
  <si>
    <t>DMDijk</t>
  </si>
  <si>
    <t>CPijk</t>
  </si>
  <si>
    <t>anaerobic lagoon</t>
  </si>
  <si>
    <t>pasture</t>
  </si>
  <si>
    <t>EFleach</t>
  </si>
  <si>
    <t>FracGASMSoil</t>
  </si>
  <si>
    <t>Scenario</t>
  </si>
  <si>
    <t>Climate zone</t>
  </si>
  <si>
    <t>wet / dry</t>
  </si>
  <si>
    <t>State or region</t>
  </si>
  <si>
    <t>Pure state</t>
  </si>
  <si>
    <t>Limited region</t>
  </si>
  <si>
    <t>Extended Region</t>
  </si>
  <si>
    <t>Grazing system</t>
  </si>
  <si>
    <t>rainfall</t>
  </si>
  <si>
    <t>Nkln</t>
  </si>
  <si>
    <t>Wijkln</t>
  </si>
  <si>
    <t>LWGijkln</t>
  </si>
  <si>
    <t>WRil</t>
  </si>
  <si>
    <t>Zijkln</t>
  </si>
  <si>
    <t>LC calving</t>
  </si>
  <si>
    <t>LC post calving</t>
  </si>
  <si>
    <t>LCijkl=5</t>
  </si>
  <si>
    <t>FAijkl=5</t>
  </si>
  <si>
    <t>MAijkl=5</t>
  </si>
  <si>
    <t>MCijkl=236</t>
  </si>
  <si>
    <t>DMPijkl=5</t>
  </si>
  <si>
    <t>MPijkl</t>
  </si>
  <si>
    <t>MEijkl</t>
  </si>
  <si>
    <t>NRijkl</t>
  </si>
  <si>
    <t>Lijkln</t>
  </si>
  <si>
    <t>Iijkln</t>
  </si>
  <si>
    <t>VSijkln</t>
  </si>
  <si>
    <t>Mmijklnm=1</t>
  </si>
  <si>
    <t>Mmijklnm=14</t>
  </si>
  <si>
    <t>Mmm=1</t>
  </si>
  <si>
    <t>Mmm=14</t>
  </si>
  <si>
    <t>Fijkln</t>
  </si>
  <si>
    <t>AFi</t>
  </si>
  <si>
    <t>Uijkln</t>
  </si>
  <si>
    <t>AUi</t>
  </si>
  <si>
    <t>Unfenced water?</t>
  </si>
  <si>
    <t>MCFm=1</t>
  </si>
  <si>
    <t>MCFm=14</t>
  </si>
  <si>
    <t>BO</t>
  </si>
  <si>
    <t>𝜌</t>
  </si>
  <si>
    <t>Mmm</t>
  </si>
  <si>
    <t>EN2O,dir</t>
  </si>
  <si>
    <t>GWPCH4</t>
  </si>
  <si>
    <t>Mvol</t>
  </si>
  <si>
    <t>EFad</t>
  </si>
  <si>
    <t>EN2O,ad</t>
  </si>
  <si>
    <t>FracWETsoilij</t>
  </si>
  <si>
    <t>Mleach</t>
  </si>
  <si>
    <t>EN2Oleach</t>
  </si>
  <si>
    <t>EN2O</t>
  </si>
  <si>
    <t>EMCH4</t>
  </si>
  <si>
    <t>Baseline</t>
  </si>
  <si>
    <t>Warm temperate moist</t>
  </si>
  <si>
    <t>ACT</t>
  </si>
  <si>
    <t>ACT/NSW</t>
  </si>
  <si>
    <t>Irrigated crop</t>
  </si>
  <si>
    <t>high</t>
  </si>
  <si>
    <t>Bulls &lt; 1 year</t>
  </si>
  <si>
    <t>Spring</t>
  </si>
  <si>
    <t>yes</t>
  </si>
  <si>
    <t>Summer</t>
  </si>
  <si>
    <t>Autumn</t>
  </si>
  <si>
    <t>Winter</t>
  </si>
  <si>
    <t>Bulls &gt; 1 year</t>
  </si>
  <si>
    <t>Milk production</t>
  </si>
  <si>
    <t>DMP</t>
  </si>
  <si>
    <t>DMD</t>
  </si>
  <si>
    <t>Milk intake</t>
  </si>
  <si>
    <t>MC</t>
  </si>
  <si>
    <t>Calving</t>
  </si>
  <si>
    <t>After calving</t>
  </si>
  <si>
    <t>Season</t>
  </si>
  <si>
    <t>NT</t>
  </si>
  <si>
    <t>QLD</t>
  </si>
  <si>
    <t>SA</t>
  </si>
  <si>
    <t>TAS</t>
  </si>
  <si>
    <t>VIC</t>
  </si>
  <si>
    <t>South West</t>
  </si>
  <si>
    <t>Pilbara</t>
  </si>
  <si>
    <t>Kimberley</t>
  </si>
  <si>
    <t>Cool Temperate Moist</t>
  </si>
  <si>
    <t>Cool Temperate Dry</t>
  </si>
  <si>
    <t>Cows &lt; 1 year</t>
  </si>
  <si>
    <t>Boreal Moist</t>
  </si>
  <si>
    <t>Boreal Dry</t>
  </si>
  <si>
    <t>Warm Temperate Moist</t>
  </si>
  <si>
    <t>Warm Temperate Dry</t>
  </si>
  <si>
    <t>Cows 1-2 years</t>
  </si>
  <si>
    <t>Tropical Montane</t>
  </si>
  <si>
    <t>WA</t>
  </si>
  <si>
    <t>Tropical Wet</t>
  </si>
  <si>
    <t>Tropical Moist</t>
  </si>
  <si>
    <t>Tropical Dry</t>
  </si>
  <si>
    <t>Cows 2-3 years</t>
  </si>
  <si>
    <t>CP</t>
  </si>
  <si>
    <t>Irrigated pasture</t>
  </si>
  <si>
    <t>NSW</t>
  </si>
  <si>
    <t>Cows &gt; 3 years</t>
  </si>
  <si>
    <t>Non-irrigated pasture</t>
  </si>
  <si>
    <t>NT average</t>
  </si>
  <si>
    <t>Non-irrigated crop (low rainfall)</t>
  </si>
  <si>
    <t>Alice Springs</t>
  </si>
  <si>
    <t>Non-irrigated crop (high rainfall)</t>
  </si>
  <si>
    <t>Barkly</t>
  </si>
  <si>
    <t>Northern</t>
  </si>
  <si>
    <t>Steers &lt; 1 year</t>
  </si>
  <si>
    <t>QLD average</t>
  </si>
  <si>
    <t>High</t>
  </si>
  <si>
    <t>Moderate/High</t>
  </si>
  <si>
    <t>Moderate/Low</t>
  </si>
  <si>
    <t>Steers 1-2 years</t>
  </si>
  <si>
    <t>Low</t>
  </si>
  <si>
    <t>Steers 2-3 years</t>
  </si>
  <si>
    <t>average</t>
  </si>
  <si>
    <t>Bull</t>
  </si>
  <si>
    <t>Cow</t>
  </si>
  <si>
    <t>Steer</t>
  </si>
  <si>
    <t>Steers &gt;3 years</t>
  </si>
  <si>
    <t>Missing classes</t>
  </si>
  <si>
    <t>South Australia</t>
  </si>
  <si>
    <t>Tasmania</t>
  </si>
  <si>
    <t>Victoria</t>
  </si>
  <si>
    <t>NO</t>
  </si>
  <si>
    <t>Queensland</t>
  </si>
  <si>
    <t>Partial calving</t>
  </si>
  <si>
    <t>Liveweight gain</t>
  </si>
  <si>
    <t>TODO: Need to switch the state and region</t>
  </si>
  <si>
    <t>Method 2 inputs</t>
  </si>
  <si>
    <t>no</t>
  </si>
  <si>
    <t>Reference weight</t>
  </si>
  <si>
    <t>(LCjk=4,5 * FAjk=4,5) + (1 - LCjk=4,5 )</t>
  </si>
  <si>
    <t>(1.185 + 0.00454 * Wjkl- 0.0000026 * Wjkl^2 + 0.315 * LWGjkl )^2 * MAjk=4,5</t>
  </si>
  <si>
    <t>20.7 * Ijkl * 10^-3</t>
  </si>
  <si>
    <t>SUM SUM SUM (Dj * Mjkl * Njkl) * 10^-3</t>
  </si>
  <si>
    <t>161</t>
  </si>
  <si>
    <t>157</t>
  </si>
  <si>
    <t>159</t>
  </si>
  <si>
    <t>166</t>
  </si>
  <si>
    <t>163</t>
  </si>
  <si>
    <t>164</t>
  </si>
  <si>
    <t>138</t>
  </si>
  <si>
    <t>128,162</t>
  </si>
  <si>
    <t>124</t>
  </si>
  <si>
    <t>116</t>
  </si>
  <si>
    <t/>
  </si>
  <si>
    <t>days</t>
  </si>
  <si>
    <t>head</t>
  </si>
  <si>
    <t>d</t>
  </si>
  <si>
    <t>kg</t>
  </si>
  <si>
    <t>kg/head/day</t>
  </si>
  <si>
    <t>kg DM/head/day</t>
  </si>
  <si>
    <t>kg CH4/head/day</t>
  </si>
  <si>
    <t>t CH4</t>
  </si>
  <si>
    <t>number of days the animal is on the farm in each time-period</t>
  </si>
  <si>
    <t>number of beef cattle in each time-period, class and sub class</t>
  </si>
  <si>
    <t>proportion of cows &gt; 1 years (k=4,5) in calf in the season of calving</t>
  </si>
  <si>
    <t>feed adjustment value for cows &gt; 1 years lactating for the season of calving and the season immediately after calving</t>
  </si>
  <si>
    <t>liveweight</t>
  </si>
  <si>
    <t>live weight gain</t>
  </si>
  <si>
    <t>additional intake for milk production in cows &gt;2 years</t>
  </si>
  <si>
    <t>dry matter intake</t>
  </si>
  <si>
    <t>daily production of enteric methane in each time-period, class and sub class</t>
  </si>
  <si>
    <t>Total annual methane production from enteric fermentation</t>
  </si>
  <si>
    <t>Dj</t>
  </si>
  <si>
    <t>Njkl</t>
  </si>
  <si>
    <t>FAjk=4,5</t>
  </si>
  <si>
    <t>Wjkl</t>
  </si>
  <si>
    <t>LWGjkl</t>
  </si>
  <si>
    <t>MAjk=4,5</t>
  </si>
  <si>
    <t>Ijkl</t>
  </si>
  <si>
    <t>Mjkl</t>
  </si>
  <si>
    <t>Eenteric</t>
  </si>
  <si>
    <t>Breed</t>
  </si>
  <si>
    <t>Hereford or Shorthorn breeds</t>
  </si>
  <si>
    <t>Northern Brahman cross bredd</t>
  </si>
  <si>
    <t>Feed adjustment</t>
  </si>
  <si>
    <t>5a</t>
  </si>
  <si>
    <t>5b</t>
  </si>
  <si>
    <t>7a</t>
  </si>
  <si>
    <t>7b</t>
  </si>
  <si>
    <t>7c</t>
  </si>
  <si>
    <t>State</t>
  </si>
  <si>
    <t>Region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</si>
  <si>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</si>
  <si>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</si>
  <si>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</si>
  <si>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</si>
  <si>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</si>
  <si>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</si>
  <si>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</si>
  <si>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</si>
  <si>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</si>
  <si>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</si>
  <si>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</si>
  <si>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</si>
  <si>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</si>
  <si>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WA - South West</t>
  </si>
  <si>
    <t>WA - Pilbara</t>
  </si>
  <si>
    <t>WA - Kimberley</t>
  </si>
  <si>
    <t>NT - Alice Springs</t>
  </si>
  <si>
    <t>NT - Barkly</t>
  </si>
  <si>
    <t>NT - Northern</t>
  </si>
  <si>
    <t>QLD - High</t>
  </si>
  <si>
    <t>QLD - Moderate/High</t>
  </si>
  <si>
    <t>QLD - Moderate/Low</t>
  </si>
  <si>
    <t>QLD - Low</t>
  </si>
  <si>
    <t>Class</t>
  </si>
  <si>
    <t>SeasonOrder</t>
  </si>
  <si>
    <t>LWG</t>
  </si>
  <si>
    <t>Custom LWG</t>
  </si>
  <si>
    <t>Custom W</t>
  </si>
  <si>
    <t>Custom I</t>
  </si>
  <si>
    <t>Custom D</t>
  </si>
  <si>
    <t>Extended region</t>
  </si>
  <si>
    <t>spring</t>
  </si>
  <si>
    <t>summer</t>
  </si>
  <si>
    <t>autumn</t>
  </si>
  <si>
    <t>winter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</si>
  <si>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</si>
  <si>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</si>
  <si>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</si>
  <si>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</si>
  <si>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</si>
  <si>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</si>
  <si>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</si>
  <si>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</si>
  <si>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</si>
  <si>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</si>
  <si>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</si>
  <si>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</si>
  <si>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Calving event</t>
  </si>
  <si>
    <t>2025/2026</t>
  </si>
  <si>
    <t>year</t>
  </si>
  <si>
    <t>In season</t>
  </si>
  <si>
    <t>Season post calving</t>
  </si>
  <si>
    <t>Remember this needs to calculated allowing for herd movements</t>
  </si>
  <si>
    <t>LCk=5 (this)</t>
  </si>
  <si>
    <t>LCk=5 (prev)</t>
  </si>
  <si>
    <t>FA (this season)</t>
  </si>
  <si>
    <t>FA (previous season)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</si>
</sst>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7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0"/>
      <color theme="1"/>
      <name val="Helvetica"/>
      <family val="2"/>
    </font>
    <font>
      <sz val="12"/>
      <color theme="1"/>
      <name val="Helvetica"/>
      <family val="2"/>
    </font>
    <font>
      <b/>
      <sz val="10"/>
      <color theme="0"/>
      <name val="Helvetica"/>
      <family val="2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ck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0" xfId="0" applyFill="1"/>
    <xf numFmtId="0" fontId="2" fillId="0" borderId="0" xfId="0" applyFont="1"/>
    <xf numFmtId="16" fontId="2" fillId="0" borderId="0" xfId="0" applyNumberFormat="1" applyFont="1"/>
    <xf numFmtId="0" fontId="3" fillId="0" borderId="0" xfId="0" applyFont="1"/>
    <xf numFmtId="0" fontId="0" fillId="4" borderId="1" xfId="0" applyFont="1" applyFill="1" applyBorder="1"/>
    <xf numFmtId="0" fontId="0" fillId="5" borderId="1" xfId="0" applyFont="1" applyFill="1" applyBorder="1"/>
    <xf numFmtId="0" fontId="0" fillId="4" borderId="2" xfId="0" applyFont="1" applyFill="1" applyBorder="1"/>
    <xf numFmtId="0" fontId="0" fillId="4" borderId="3" xfId="0" applyFont="1" applyFill="1" applyBorder="1"/>
    <xf numFmtId="0" fontId="0" fillId="0" borderId="0" xfId="0" applyNumberFormat="1"/>
    <xf numFmtId="0" fontId="1" fillId="3" borderId="0" xfId="0" applyFont="1" applyFill="1" applyBorder="1"/>
    <xf numFmtId="0" fontId="1" fillId="3" borderId="4" xfId="0" applyFont="1" applyFill="1" applyBorder="1"/>
    <xf numFmtId="0" fontId="4" fillId="3" borderId="4" xfId="0" applyFont="1" applyFill="1" applyBorder="1"/>
    <xf numFmtId="16" fontId="4" fillId="3" borderId="4" xfId="0" applyNumberFormat="1" applyFont="1" applyFill="1" applyBorder="1"/>
    <xf numFmtId="0" fontId="0" fillId="4" borderId="5" xfId="0" applyFont="1" applyFill="1" applyBorder="1"/>
    <xf numFmtId="0" fontId="0" fillId="4" borderId="6" xfId="0" applyFont="1" applyFill="1" applyBorder="1"/>
    <xf numFmtId="0" fontId="2" fillId="4" borderId="6" xfId="0" applyFont="1" applyFill="1" applyBorder="1"/>
    <xf numFmtId="16" fontId="2" fillId="4" borderId="6" xfId="0" applyNumberFormat="1" applyFont="1" applyFill="1" applyBorder="1"/>
    <xf numFmtId="0" fontId="0" fillId="5" borderId="7" xfId="0" applyFont="1" applyFill="1" applyBorder="1"/>
    <xf numFmtId="0" fontId="0" fillId="5" borderId="3" xfId="0" applyFont="1" applyFill="1" applyBorder="1"/>
    <xf numFmtId="0" fontId="0" fillId="4" borderId="7" xfId="0" applyFont="1" applyFill="1" applyBorder="1"/>
    <xf numFmtId="0" fontId="3" fillId="4" borderId="3" xfId="0" applyFont="1" applyFill="1" applyBorder="1"/>
    <xf numFmtId="0" fontId="3" fillId="5" borderId="3" xfId="0" applyFont="1" applyFill="1" applyBorder="1"/>
    <xf numFmtId="2" fontId="0" fillId="4" borderId="3" xfId="0" applyNumberFormat="1" applyFont="1" applyFill="1" applyBorder="1"/>
    <xf numFmtId="2" fontId="0" fillId="5" borderId="3" xfId="0" applyNumberFormat="1" applyFont="1" applyFill="1" applyBorder="1"/>
    <xf numFmtId="165" fontId="0" fillId="5" borderId="3" xfId="0" applyNumberFormat="1" applyFont="1" applyFill="1" applyBorder="1"/>
    <xf numFmtId="0" fontId="0" fillId="4" borderId="0" xfId="0" applyFont="1" applyFill="1" applyBorder="1"/>
    <xf numFmtId="0" fontId="0" fillId="4" borderId="4" xfId="0" applyFont="1" applyFill="1" applyBorder="1"/>
    <xf numFmtId="0" fontId="2" fillId="4" borderId="4" xfId="0" applyFont="1" applyFill="1" applyBorder="1"/>
    <xf numFmtId="16" fontId="2" fillId="4" borderId="4" xfId="0" applyNumberFormat="1" applyFont="1" applyFill="1" applyBorder="1"/>
    <xf numFmtId="0" fontId="0" fillId="4" borderId="8" xfId="0" applyFont="1" applyFill="1" applyBorder="1"/>
    <xf numFmtId="0" fontId="0" fillId="6" borderId="0" xfId="0" applyFill="1"/>
    <xf numFmtId="0" fontId="5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29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left style="thin">
          <color theme="0"/>
        </left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/>
        <top style="thin">
          <color theme="0"/>
        </top>
        <bottom/>
        <vertical/>
        <horizontal/>
      </border>
    </dxf>
    <dxf>
      <border outline="0">
        <left style="thin">
          <color theme="0"/>
        </left>
        <top style="thick">
          <color theme="0"/>
        </top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5076068-96F8-6642-A28E-844BBFD23961}" autoFormatId="16" applyNumberFormats="0" applyBorderFormats="0" applyFontFormats="0" applyPatternFormats="0" applyAlignmentFormats="0" applyWidthHeightFormats="0">
  <queryTableRefresh nextId="14">
    <queryTableFields count="13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821595EA-A586-9342-9372-0123C4179598}" autoFormatId="16" applyNumberFormats="0" applyBorderFormats="0" applyFontFormats="0" applyPatternFormats="0" applyAlignmentFormats="0" applyWidthHeightFormats="0">
  <queryTableRefresh nextId="19">
    <queryTableFields count="17">
      <queryTableField id="2" name="Season" tableColumnId="2"/>
      <queryTableField id="3" name="Class" tableColumnId="3"/>
      <queryTableField id="4" name="ACT/NSW" tableColumnId="4"/>
      <queryTableField id="5" name="SA" tableColumnId="5"/>
      <queryTableField id="6" name="TAS" tableColumnId="6"/>
      <queryTableField id="7" name="VIC" tableColumnId="7"/>
      <queryTableField id="8" name="WA - South West" tableColumnId="8"/>
      <queryTableField id="9" name="WA - Pilbara" tableColumnId="9"/>
      <queryTableField id="10" name="WA - Kimberley" tableColumnId="10"/>
      <queryTableField id="11" name="NT - Alice Springs" tableColumnId="11"/>
      <queryTableField id="12" name="NT - Barkly" tableColumnId="12"/>
      <queryTableField id="13" name="NT - Northern" tableColumnId="13"/>
      <queryTableField id="14" name="QLD - High" tableColumnId="14"/>
      <queryTableField id="15" name="QLD - Moderate/High" tableColumnId="15"/>
      <queryTableField id="16" name="QLD - Moderate/Low" tableColumnId="16"/>
      <queryTableField id="17" name="QLD - Low" tableColumnId="17"/>
      <queryTableField id="18" name="SeasonOrder" tableColumnId="1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134421EE-A0CB-0244-91AF-80B3E6FF4057}" autoFormatId="16" applyNumberFormats="0" applyBorderFormats="0" applyFontFormats="0" applyPatternFormats="0" applyAlignmentFormats="0" applyWidthHeightFormats="0">
  <queryTableRefresh nextId="18">
    <queryTableFields count="17">
      <queryTableField id="1" name="Season" tableColumnId="1"/>
      <queryTableField id="2" name="Class" tableColumnId="2"/>
      <queryTableField id="3" name="ACT/NSW" tableColumnId="3"/>
      <queryTableField id="4" name="SA" tableColumnId="4"/>
      <queryTableField id="5" name="TAS" tableColumnId="5"/>
      <queryTableField id="6" name="VIC" tableColumnId="6"/>
      <queryTableField id="7" name="WA - South West" tableColumnId="7"/>
      <queryTableField id="8" name="WA - Pilbara" tableColumnId="8"/>
      <queryTableField id="9" name="WA - Kimberley" tableColumnId="9"/>
      <queryTableField id="10" name="NT - Alice Springs" tableColumnId="10"/>
      <queryTableField id="11" name="NT - Barkly" tableColumnId="11"/>
      <queryTableField id="12" name="NT - Northern" tableColumnId="12"/>
      <queryTableField id="13" name="QLD - High" tableColumnId="13"/>
      <queryTableField id="14" name="QLD - Moderate/High" tableColumnId="14"/>
      <queryTableField id="15" name="QLD - Moderate/Low" tableColumnId="15"/>
      <queryTableField id="16" name="QLD - Low" tableColumnId="16"/>
      <queryTableField id="17" name="SeasonOrder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0EF3BD-8869-564A-AC30-3CFBDA0735BD}" name="Table1" displayName="Table1" ref="A1:M58" tableType="queryTable" totalsRowShown="0">
  <autoFilter ref="A1:M58" xr:uid="{420EF3BD-8869-564A-AC30-3CFBDA0735BD}"/>
  <tableColumns count="13">
    <tableColumn id="1" xr3:uid="{8046ABC1-ECBF-B445-80AE-4B9EE134EB2D}" uniqueName="1" name="Column1" queryTableFieldId="1" dataDxfId="28"/>
    <tableColumn id="2" xr3:uid="{D5B02C07-4A90-C14B-9FC6-52E5398E7E46}" uniqueName="2" name="Column2" queryTableFieldId="2" dataDxfId="27"/>
    <tableColumn id="3" xr3:uid="{05C830C2-1868-794F-8615-24A6D55DBC7E}" uniqueName="3" name="Column3" queryTableFieldId="3" dataDxfId="26"/>
    <tableColumn id="4" xr3:uid="{7B3E2470-714D-A247-B223-2A71F85E4D96}" uniqueName="4" name="Column4" queryTableFieldId="4"/>
    <tableColumn id="5" xr3:uid="{2184AD9E-4C8D-2342-A95B-6B9533492777}" uniqueName="5" name="Column5" queryTableFieldId="5"/>
    <tableColumn id="6" xr3:uid="{1DC9398D-7E62-1D4C-8F6A-E600C76A1655}" uniqueName="6" name="Column6" queryTableFieldId="6"/>
    <tableColumn id="7" xr3:uid="{51850F89-7870-884E-BA40-85302CBF98A0}" uniqueName="7" name="Column7" queryTableFieldId="7"/>
    <tableColumn id="8" xr3:uid="{78834666-F829-D742-A81B-6A5B6D0CE5A5}" uniqueName="8" name="Column8" queryTableFieldId="8"/>
    <tableColumn id="9" xr3:uid="{1F484C90-ED04-3845-8D5C-52FA65A39E79}" uniqueName="9" name="Column9" queryTableFieldId="9"/>
    <tableColumn id="10" xr3:uid="{5415EA85-2B73-0345-8D2D-6BC247418C63}" uniqueName="10" name="Column10" queryTableFieldId="10"/>
    <tableColumn id="11" xr3:uid="{ED833BC4-F939-C940-85B5-1D0C0A795E07}" uniqueName="11" name="Column11" queryTableFieldId="11"/>
    <tableColumn id="12" xr3:uid="{6BDFD974-B281-7341-93EE-082B3214773E}" uniqueName="12" name="Column12" queryTableFieldId="12"/>
    <tableColumn id="13" xr3:uid="{A7287DC3-17E3-3A49-93F5-5E5B73B4F785}" uniqueName="13" name="Column13" queryTableField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CAF71EA-16D4-1246-A2A0-21D440662AB0}" name="DataLWG" displayName="DataLWG" ref="AQ24:BB81" totalsRowShown="0" headerRowDxfId="11" dataDxfId="12" tableBorderDxfId="25">
  <autoFilter ref="AQ24:BB81" xr:uid="{0CAF71EA-16D4-1246-A2A0-21D440662AB0}"/>
  <tableColumns count="12">
    <tableColumn id="1" xr3:uid="{AF401494-3BE9-C649-AE23-F2AE5B452704}" name="Column1" dataDxfId="24"/>
    <tableColumn id="2" xr3:uid="{C341C274-EEE9-5E4C-A0D8-32C393EB078C}" name="Column2" dataDxfId="23"/>
    <tableColumn id="3" xr3:uid="{D5DACFA4-C4C3-124A-AA3E-5218CCEA8533}" name="Column3" dataDxfId="22"/>
    <tableColumn id="4" xr3:uid="{B1BB2B47-95A0-4E4A-ABBE-5A0750277047}" name="Column4" dataDxfId="21"/>
    <tableColumn id="5" xr3:uid="{418FF04C-DC64-4C4E-979D-83538BFF93D4}" name="Column5" dataDxfId="20"/>
    <tableColumn id="6" xr3:uid="{EA98495B-B817-8141-A549-D901E3CD73AE}" name="Column6" dataDxfId="19"/>
    <tableColumn id="7" xr3:uid="{02BE50D5-D07A-8A4A-8985-83681D425138}" name="Column7" dataDxfId="18"/>
    <tableColumn id="8" xr3:uid="{19F28A06-5863-DA4C-BE0E-D9490B4C37C8}" name="Column8" dataDxfId="17"/>
    <tableColumn id="9" xr3:uid="{0CD4F2F1-74C3-0542-80BB-67CE57361EFC}" name="Column9" dataDxfId="16"/>
    <tableColumn id="10" xr3:uid="{5D0CDB83-579B-6649-8DB5-E33BAFE8F479}" name="Column10" dataDxfId="15"/>
    <tableColumn id="11" xr3:uid="{BD6A19B1-24ED-8B4D-B1A8-2BBE75A41575}" name="Column11" dataDxfId="14"/>
    <tableColumn id="12" xr3:uid="{31C74817-9922-7D48-B01A-B8E902D70143}" name="Column12" dataDxfId="1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DB3466D-5B19-2F42-AD2B-57D5F103527C}" name="TableLWG" displayName="TableLWG" ref="X23:AN63" tableType="queryTable" totalsRowShown="0">
  <autoFilter ref="X23:AN63" xr:uid="{1DB3466D-5B19-2F42-AD2B-57D5F103527C}"/>
  <tableColumns count="17">
    <tableColumn id="2" xr3:uid="{9DBFF1DA-DC38-A141-85CC-ECBF8B2B62C1}" uniqueName="2" name="Season" queryTableFieldId="2" dataDxfId="10"/>
    <tableColumn id="3" xr3:uid="{4D533652-5013-DE4D-B610-57C54A69E4E3}" uniqueName="3" name="Class" queryTableFieldId="3" dataDxfId="9"/>
    <tableColumn id="4" xr3:uid="{9CD989C1-3306-F544-997B-8438ECA8579C}" uniqueName="4" name="ACT/NSW" queryTableFieldId="4"/>
    <tableColumn id="5" xr3:uid="{294F0417-AE13-804C-9E7E-E3F1BBA4867A}" uniqueName="5" name="SA" queryTableFieldId="5"/>
    <tableColumn id="6" xr3:uid="{B56ADC37-291D-C641-AFA5-9E3AE815A5AF}" uniqueName="6" name="TAS" queryTableFieldId="6"/>
    <tableColumn id="7" xr3:uid="{4C30344A-BC09-F447-9878-0AF2D1137A3F}" uniqueName="7" name="VIC" queryTableFieldId="7"/>
    <tableColumn id="8" xr3:uid="{6B6EAFCC-C516-F84C-A089-F9659E82B323}" uniqueName="8" name="WA - South West" queryTableFieldId="8"/>
    <tableColumn id="9" xr3:uid="{6CCBA4F1-CC92-CE40-A530-E64BA3C5113E}" uniqueName="9" name="WA - Pilbara" queryTableFieldId="9"/>
    <tableColumn id="10" xr3:uid="{DAACF52B-0CE6-DD4B-8174-14087522472B}" uniqueName="10" name="WA - Kimberley" queryTableFieldId="10"/>
    <tableColumn id="11" xr3:uid="{E0B2C903-9265-074A-A9C0-BE38FE3454C0}" uniqueName="11" name="NT - Alice Springs" queryTableFieldId="11"/>
    <tableColumn id="12" xr3:uid="{6FE91BE0-10A3-0C4C-841A-F37CD7179146}" uniqueName="12" name="NT - Barkly" queryTableFieldId="12"/>
    <tableColumn id="13" xr3:uid="{A88E630E-E97C-6F45-AEFD-80AAE984E852}" uniqueName="13" name="NT - Northern" queryTableFieldId="13"/>
    <tableColumn id="14" xr3:uid="{8B717BD6-09B3-704B-B3CC-F813687173A5}" uniqueName="14" name="QLD - High" queryTableFieldId="14"/>
    <tableColumn id="15" xr3:uid="{BDDFA98A-41C0-E045-8002-806BFCB3DC49}" uniqueName="15" name="QLD - Moderate/High" queryTableFieldId="15"/>
    <tableColumn id="16" xr3:uid="{9D0D71ED-24DF-4045-B1B3-8F144CA4DB6F}" uniqueName="16" name="QLD - Moderate/Low" queryTableFieldId="16"/>
    <tableColumn id="17" xr3:uid="{8B0EDCE6-1350-3748-A554-F759E1A0457B}" uniqueName="17" name="QLD - Low" queryTableFieldId="17"/>
    <tableColumn id="18" xr3:uid="{221964EE-9741-8E48-A1B3-5C57A00D3E45}" uniqueName="18" name="SeasonOrder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F509DB7-AE9B-E54E-8790-8B6C867D8B0A}" name="DataW" displayName="DataW" ref="AQ88:BB145" totalsRowShown="0" headerRowDxfId="2" tableBorderDxfId="8">
  <autoFilter ref="AQ88:BB145" xr:uid="{3F509DB7-AE9B-E54E-8790-8B6C867D8B0A}"/>
  <tableColumns count="12">
    <tableColumn id="1" xr3:uid="{EBF52EB7-24D1-4243-A07C-42ED21328F0F}" name="Column1" dataDxfId="7"/>
    <tableColumn id="2" xr3:uid="{96EB278F-1104-7F42-8390-DA909DF56F92}" name="Column2" dataDxfId="6"/>
    <tableColumn id="3" xr3:uid="{E48ECE96-6290-B443-9B7D-28C9E192FBAC}" name="Column3"/>
    <tableColumn id="4" xr3:uid="{6AA5A38B-688B-1C48-B04D-BE4E36CDFB1F}" name="Column4" dataDxfId="5"/>
    <tableColumn id="5" xr3:uid="{6E096708-B5F2-5E47-BDE6-9522FB30DB9C}" name="Column5" dataDxfId="4"/>
    <tableColumn id="6" xr3:uid="{636BDDDF-77B5-EE4B-A0B4-FE0FEE23D01D}" name="Column6"/>
    <tableColumn id="7" xr3:uid="{6AA6B916-6D93-DF4E-9886-78C9CE43D8AA}" name="Column7"/>
    <tableColumn id="8" xr3:uid="{1BA16F52-C5F0-9841-B333-F81E99CCDD37}" name="Column8"/>
    <tableColumn id="9" xr3:uid="{CCF06B85-E02A-4F46-94B7-9299E32079F7}" name="Column9"/>
    <tableColumn id="10" xr3:uid="{646A0059-73CC-9B46-BCDE-8CAF22DB13E4}" name="Column10"/>
    <tableColumn id="11" xr3:uid="{BA29EF25-4DB5-5B48-A7C0-713DB6C4FDE8}" name="Column11"/>
    <tableColumn id="12" xr3:uid="{C70FC573-BE01-ED49-9F46-BAAC88E619A8}" name="Column12" dataDxfId="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00CFA1-3450-E845-A2B9-771E41FE9B70}" name="TableW" displayName="TableW" ref="X89:AN129" tableType="queryTable" totalsRowShown="0">
  <autoFilter ref="X89:AN129" xr:uid="{9D00CFA1-3450-E845-A2B9-771E41FE9B70}"/>
  <tableColumns count="17">
    <tableColumn id="1" xr3:uid="{89BF0743-5D05-8646-82A7-38B8C1C36B7A}" uniqueName="1" name="Season" queryTableFieldId="1" dataDxfId="1"/>
    <tableColumn id="2" xr3:uid="{392FFB22-461E-AE4E-9B3A-20D4BA53B70C}" uniqueName="2" name="Class" queryTableFieldId="2" dataDxfId="0"/>
    <tableColumn id="3" xr3:uid="{6D26E40E-D448-5040-9032-972E7148B341}" uniqueName="3" name="ACT/NSW" queryTableFieldId="3"/>
    <tableColumn id="4" xr3:uid="{3ED4BBF3-8886-5C4B-BEE2-0668E2629CA5}" uniqueName="4" name="SA" queryTableFieldId="4"/>
    <tableColumn id="5" xr3:uid="{4E3E9086-791F-1644-8385-9CEC83F2342E}" uniqueName="5" name="TAS" queryTableFieldId="5"/>
    <tableColumn id="6" xr3:uid="{72A49881-C411-4D4C-8D85-F0B2AF18878A}" uniqueName="6" name="VIC" queryTableFieldId="6"/>
    <tableColumn id="7" xr3:uid="{E3E279C3-075B-DD49-AF3A-58AE6A1A3041}" uniqueName="7" name="WA - South West" queryTableFieldId="7"/>
    <tableColumn id="8" xr3:uid="{A1234EE3-7CC7-9E4E-B1D4-ED6880BAF983}" uniqueName="8" name="WA - Pilbara" queryTableFieldId="8"/>
    <tableColumn id="9" xr3:uid="{C32D6BF9-164A-1047-906E-89F9EA17CF57}" uniqueName="9" name="WA - Kimberley" queryTableFieldId="9"/>
    <tableColumn id="10" xr3:uid="{7D086281-DA9B-8F43-BEC1-F1A0F7032870}" uniqueName="10" name="NT - Alice Springs" queryTableFieldId="10"/>
    <tableColumn id="11" xr3:uid="{20156631-6CFD-5040-835B-BB3F480C305E}" uniqueName="11" name="NT - Barkly" queryTableFieldId="11"/>
    <tableColumn id="12" xr3:uid="{60EF74BD-11CD-7340-84F2-C811A8301016}" uniqueName="12" name="NT - Northern" queryTableFieldId="12"/>
    <tableColumn id="13" xr3:uid="{1631CE36-729E-454D-9855-B5AB566CA848}" uniqueName="13" name="QLD - High" queryTableFieldId="13"/>
    <tableColumn id="14" xr3:uid="{B9624B23-DAE3-D24D-A395-67E0359AB140}" uniqueName="14" name="QLD - Moderate/High" queryTableFieldId="14"/>
    <tableColumn id="15" xr3:uid="{1B575AE6-32C4-B14C-833D-67E42D486CFB}" uniqueName="15" name="QLD - Moderate/Low" queryTableFieldId="15"/>
    <tableColumn id="16" xr3:uid="{0A55759D-4F95-F143-BDC3-7BBB7565DC45}" uniqueName="16" name="QLD - Low" queryTableFieldId="16"/>
    <tableColumn id="17" xr3:uid="{C110CB82-6A67-3A42-88E6-09E28E2258A8}" uniqueName="17" name="SeasonOrder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CP180"/>
  <sheetViews>
    <sheetView workbookViewId="0">
      <selection activeCell="N55" sqref="N55"/>
    </sheetView>
  </sheetViews>
  <sheetFormatPr baseColWidth="10" defaultRowHeight="16" x14ac:dyDescent="0.2"/>
  <sheetData>
    <row r="4" spans="1:92" x14ac:dyDescent="0.2">
      <c r="CC4" t="s">
        <v>0</v>
      </c>
      <c r="CF4" t="s">
        <v>1</v>
      </c>
      <c r="CG4">
        <v>0.24</v>
      </c>
    </row>
    <row r="5" spans="1:92" x14ac:dyDescent="0.2">
      <c r="Q5" t="s">
        <v>2</v>
      </c>
      <c r="V5" t="s">
        <v>3</v>
      </c>
      <c r="Y5" t="s">
        <v>4</v>
      </c>
      <c r="Z5" t="s">
        <v>5</v>
      </c>
      <c r="AA5" t="s">
        <v>6</v>
      </c>
      <c r="AB5" t="s">
        <v>7</v>
      </c>
      <c r="AC5" t="s">
        <v>8</v>
      </c>
      <c r="AD5" t="s">
        <v>9</v>
      </c>
      <c r="AE5" t="s">
        <v>10</v>
      </c>
      <c r="AG5" t="s">
        <v>11</v>
      </c>
      <c r="AI5" t="s">
        <v>12</v>
      </c>
      <c r="AK5" t="s">
        <v>13</v>
      </c>
      <c r="BC5" t="s">
        <v>14</v>
      </c>
      <c r="BH5" t="s">
        <v>15</v>
      </c>
      <c r="BI5" t="s">
        <v>16</v>
      </c>
      <c r="BL5" t="s">
        <v>17</v>
      </c>
      <c r="BM5" t="s">
        <v>18</v>
      </c>
      <c r="BN5" t="s">
        <v>19</v>
      </c>
      <c r="BO5" t="s">
        <v>20</v>
      </c>
      <c r="BV5" t="s">
        <v>21</v>
      </c>
      <c r="BW5" t="s">
        <v>22</v>
      </c>
      <c r="BZ5" t="s">
        <v>23</v>
      </c>
      <c r="CA5">
        <v>0.19</v>
      </c>
      <c r="CC5" t="s">
        <v>24</v>
      </c>
      <c r="CD5">
        <v>6.0000000000000001E-3</v>
      </c>
    </row>
    <row r="6" spans="1:92" x14ac:dyDescent="0.2">
      <c r="M6" t="s">
        <v>25</v>
      </c>
      <c r="P6">
        <v>593</v>
      </c>
      <c r="Q6">
        <v>521</v>
      </c>
      <c r="T6" t="s">
        <v>26</v>
      </c>
      <c r="U6" t="s">
        <v>27</v>
      </c>
      <c r="V6" t="s">
        <v>28</v>
      </c>
      <c r="W6">
        <v>590</v>
      </c>
      <c r="X6">
        <v>592</v>
      </c>
      <c r="Y6">
        <v>503</v>
      </c>
      <c r="Z6">
        <v>475</v>
      </c>
      <c r="AA6">
        <v>492</v>
      </c>
      <c r="AB6">
        <v>514</v>
      </c>
      <c r="AC6" t="s">
        <v>29</v>
      </c>
      <c r="AD6" t="s">
        <v>30</v>
      </c>
      <c r="AE6" t="s">
        <v>31</v>
      </c>
      <c r="AG6" t="s">
        <v>32</v>
      </c>
      <c r="AI6">
        <v>464</v>
      </c>
      <c r="AJ6">
        <v>454</v>
      </c>
      <c r="AK6">
        <v>486</v>
      </c>
      <c r="AL6">
        <v>478</v>
      </c>
      <c r="AM6" t="s">
        <v>33</v>
      </c>
      <c r="AN6">
        <v>553</v>
      </c>
      <c r="AP6" t="s">
        <v>34</v>
      </c>
      <c r="AR6" t="s">
        <v>35</v>
      </c>
      <c r="AT6" t="s">
        <v>36</v>
      </c>
      <c r="AU6" t="s">
        <v>37</v>
      </c>
      <c r="AV6" t="s">
        <v>38</v>
      </c>
      <c r="AX6">
        <v>454</v>
      </c>
      <c r="AY6">
        <v>587</v>
      </c>
      <c r="AZ6">
        <v>328</v>
      </c>
      <c r="BA6">
        <v>589</v>
      </c>
      <c r="BB6">
        <v>478</v>
      </c>
      <c r="BC6">
        <v>442</v>
      </c>
      <c r="BD6" t="s">
        <v>36</v>
      </c>
      <c r="BE6">
        <v>595</v>
      </c>
      <c r="BF6">
        <v>530</v>
      </c>
      <c r="BG6">
        <v>575</v>
      </c>
      <c r="BH6">
        <v>524</v>
      </c>
      <c r="BI6">
        <v>597</v>
      </c>
      <c r="BJ6">
        <v>570</v>
      </c>
      <c r="BK6">
        <v>596</v>
      </c>
      <c r="BL6">
        <v>540</v>
      </c>
      <c r="BM6">
        <v>535</v>
      </c>
      <c r="BN6">
        <v>436</v>
      </c>
      <c r="BO6" t="s">
        <v>39</v>
      </c>
      <c r="BU6" t="s">
        <v>40</v>
      </c>
      <c r="BV6">
        <v>0.05</v>
      </c>
      <c r="BW6">
        <v>0</v>
      </c>
      <c r="BZ6" t="s">
        <v>41</v>
      </c>
      <c r="CA6">
        <v>0.6784</v>
      </c>
      <c r="CC6" t="s">
        <v>42</v>
      </c>
      <c r="CD6">
        <v>2E-3</v>
      </c>
    </row>
    <row r="7" spans="1:92" x14ac:dyDescent="0.2">
      <c r="M7" t="s">
        <v>43</v>
      </c>
      <c r="N7" t="s">
        <v>44</v>
      </c>
      <c r="O7" t="s">
        <v>45</v>
      </c>
      <c r="P7" t="s">
        <v>46</v>
      </c>
      <c r="Q7" t="s">
        <v>46</v>
      </c>
      <c r="T7" t="s">
        <v>43</v>
      </c>
      <c r="U7" t="s">
        <v>46</v>
      </c>
      <c r="V7" t="s">
        <v>47</v>
      </c>
      <c r="W7" t="s">
        <v>46</v>
      </c>
      <c r="X7" t="s">
        <v>46</v>
      </c>
      <c r="Y7" t="s">
        <v>47</v>
      </c>
      <c r="Z7" t="s">
        <v>47</v>
      </c>
      <c r="AA7" t="s">
        <v>47</v>
      </c>
      <c r="AB7" t="s">
        <v>47</v>
      </c>
      <c r="AC7" t="s">
        <v>47</v>
      </c>
      <c r="AD7" t="s">
        <v>47</v>
      </c>
      <c r="AE7" t="s">
        <v>47</v>
      </c>
      <c r="AG7" t="s">
        <v>47</v>
      </c>
      <c r="AI7" t="s">
        <v>47</v>
      </c>
      <c r="AJ7" t="s">
        <v>47</v>
      </c>
      <c r="AK7" t="s">
        <v>47</v>
      </c>
      <c r="AL7" t="s">
        <v>47</v>
      </c>
      <c r="AM7" t="s">
        <v>46</v>
      </c>
      <c r="AN7" t="s">
        <v>46</v>
      </c>
      <c r="AP7" t="s">
        <v>46</v>
      </c>
      <c r="AR7" t="s">
        <v>46</v>
      </c>
      <c r="AT7" t="s">
        <v>46</v>
      </c>
      <c r="AU7" t="s">
        <v>46</v>
      </c>
      <c r="AV7" t="s">
        <v>46</v>
      </c>
      <c r="AY7" t="s">
        <v>46</v>
      </c>
      <c r="AZ7" t="s">
        <v>46</v>
      </c>
      <c r="BA7" t="s">
        <v>46</v>
      </c>
      <c r="BD7" t="s">
        <v>46</v>
      </c>
      <c r="BE7" t="s">
        <v>46</v>
      </c>
      <c r="BF7" t="s">
        <v>47</v>
      </c>
      <c r="BG7" t="s">
        <v>46</v>
      </c>
      <c r="BH7" t="s">
        <v>47</v>
      </c>
      <c r="BI7" t="s">
        <v>46</v>
      </c>
      <c r="BJ7" t="s">
        <v>46</v>
      </c>
      <c r="BK7" t="s">
        <v>46</v>
      </c>
      <c r="BL7" t="s">
        <v>47</v>
      </c>
      <c r="BM7" t="s">
        <v>47</v>
      </c>
      <c r="BO7" t="s">
        <v>47</v>
      </c>
      <c r="BU7" t="s">
        <v>48</v>
      </c>
      <c r="BV7">
        <v>0.95</v>
      </c>
      <c r="BW7">
        <v>1</v>
      </c>
      <c r="BZ7" t="s">
        <v>49</v>
      </c>
      <c r="CA7">
        <v>0.16</v>
      </c>
      <c r="CC7" t="s">
        <v>50</v>
      </c>
      <c r="CD7">
        <f>44/28</f>
        <v>1.5714285714285714</v>
      </c>
    </row>
    <row r="8" spans="1:92" x14ac:dyDescent="0.2">
      <c r="N8" t="s">
        <v>46</v>
      </c>
      <c r="O8" t="s">
        <v>46</v>
      </c>
      <c r="AM8" t="s">
        <v>43</v>
      </c>
      <c r="AN8" t="s">
        <v>43</v>
      </c>
      <c r="AP8" t="s">
        <v>43</v>
      </c>
      <c r="AY8" t="s">
        <v>43</v>
      </c>
      <c r="BG8" t="s">
        <v>43</v>
      </c>
      <c r="BJ8" t="s">
        <v>43</v>
      </c>
      <c r="BZ8" t="s">
        <v>51</v>
      </c>
      <c r="CA8">
        <v>28</v>
      </c>
      <c r="CC8" t="s">
        <v>52</v>
      </c>
      <c r="CD8">
        <v>265</v>
      </c>
    </row>
    <row r="9" spans="1:92" x14ac:dyDescent="0.2">
      <c r="N9" t="s">
        <v>43</v>
      </c>
      <c r="O9" t="s">
        <v>43</v>
      </c>
      <c r="AM9" t="s">
        <v>53</v>
      </c>
      <c r="AN9" t="s">
        <v>54</v>
      </c>
      <c r="AP9" t="s">
        <v>55</v>
      </c>
      <c r="AQ9" t="s">
        <v>56</v>
      </c>
      <c r="BZ9" t="s">
        <v>57</v>
      </c>
      <c r="CA9">
        <v>1.0999999999999999E-2</v>
      </c>
      <c r="CC9" t="s">
        <v>58</v>
      </c>
      <c r="CD9">
        <v>0.21</v>
      </c>
    </row>
    <row r="10" spans="1:92" x14ac:dyDescent="0.2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66</v>
      </c>
      <c r="M10" t="s">
        <v>68</v>
      </c>
      <c r="N10" t="s">
        <v>69</v>
      </c>
      <c r="O10" t="s">
        <v>70</v>
      </c>
      <c r="P10" t="s">
        <v>71</v>
      </c>
      <c r="Q10" t="s">
        <v>72</v>
      </c>
      <c r="R10" t="s">
        <v>73</v>
      </c>
      <c r="S10" t="s">
        <v>74</v>
      </c>
      <c r="T10" t="s">
        <v>75</v>
      </c>
      <c r="U10" t="s">
        <v>76</v>
      </c>
      <c r="V10" t="s">
        <v>77</v>
      </c>
      <c r="W10" t="s">
        <v>78</v>
      </c>
      <c r="X10" t="s">
        <v>79</v>
      </c>
      <c r="Y10" t="s">
        <v>80</v>
      </c>
      <c r="Z10" t="s">
        <v>81</v>
      </c>
      <c r="AA10" t="s">
        <v>82</v>
      </c>
      <c r="AB10" t="s">
        <v>83</v>
      </c>
      <c r="AC10" t="s">
        <v>84</v>
      </c>
      <c r="AD10" t="s">
        <v>85</v>
      </c>
      <c r="AE10" t="s">
        <v>86</v>
      </c>
      <c r="AF10" t="s">
        <v>87</v>
      </c>
      <c r="AG10" t="s">
        <v>88</v>
      </c>
      <c r="AH10" t="s">
        <v>89</v>
      </c>
      <c r="AI10" t="s">
        <v>90</v>
      </c>
      <c r="AJ10" t="s">
        <v>91</v>
      </c>
      <c r="AK10" t="s">
        <v>92</v>
      </c>
      <c r="AL10" t="s">
        <v>93</v>
      </c>
      <c r="AO10" t="s">
        <v>94</v>
      </c>
      <c r="AP10" t="s">
        <v>40</v>
      </c>
      <c r="AQ10" t="s">
        <v>48</v>
      </c>
      <c r="AR10" t="s">
        <v>95</v>
      </c>
      <c r="AS10" t="s">
        <v>96</v>
      </c>
      <c r="AT10" t="s">
        <v>97</v>
      </c>
      <c r="AU10" t="s">
        <v>98</v>
      </c>
      <c r="AV10" t="s">
        <v>49</v>
      </c>
      <c r="AW10" t="s">
        <v>99</v>
      </c>
      <c r="AX10" t="s">
        <v>91</v>
      </c>
      <c r="AY10" t="s">
        <v>0</v>
      </c>
      <c r="AZ10" t="s">
        <v>50</v>
      </c>
      <c r="BA10" t="s">
        <v>52</v>
      </c>
      <c r="BB10" t="s">
        <v>93</v>
      </c>
      <c r="BC10" t="s">
        <v>100</v>
      </c>
      <c r="BD10" t="s">
        <v>101</v>
      </c>
      <c r="BE10" t="s">
        <v>58</v>
      </c>
      <c r="BF10" t="s">
        <v>102</v>
      </c>
      <c r="BG10" t="s">
        <v>103</v>
      </c>
      <c r="BH10" t="s">
        <v>104</v>
      </c>
      <c r="BI10" t="s">
        <v>57</v>
      </c>
      <c r="BJ10" t="s">
        <v>105</v>
      </c>
      <c r="BK10" t="s">
        <v>1</v>
      </c>
      <c r="BL10" t="s">
        <v>106</v>
      </c>
      <c r="BM10" t="s">
        <v>107</v>
      </c>
      <c r="BN10" t="s">
        <v>108</v>
      </c>
      <c r="BO10" t="s">
        <v>109</v>
      </c>
    </row>
    <row r="11" spans="1:92" x14ac:dyDescent="0.2">
      <c r="A11" t="s">
        <v>110</v>
      </c>
      <c r="B11" t="s">
        <v>111</v>
      </c>
      <c r="C11" t="s">
        <v>24</v>
      </c>
      <c r="D11" t="s">
        <v>112</v>
      </c>
      <c r="E11" t="s">
        <v>112</v>
      </c>
      <c r="F11" t="str">
        <f>IF(OR(D11="ACT", D11="NSW"), "ACT/NSW", D11)</f>
        <v>ACT/NSW</v>
      </c>
      <c r="G11" t="s">
        <v>113</v>
      </c>
      <c r="H11" t="s">
        <v>114</v>
      </c>
      <c r="I11" t="s">
        <v>115</v>
      </c>
      <c r="J11" t="str">
        <f>IF(H11="Non-irrigated crop", IF(I11="high", "Non-irrigated crop (high rainfall)", "Non-irrigated crop (low rainfall)"), H11)</f>
        <v>Irrigated crop</v>
      </c>
      <c r="K11" t="s">
        <v>116</v>
      </c>
      <c r="L11" t="s">
        <v>117</v>
      </c>
      <c r="M11">
        <v>100</v>
      </c>
      <c r="N11" t="e" cm="1">
        <f t="array" aca="1" ref="N11" ca="1">_xludf.XLOOKUP(K11, $BX$46:$CG$46, $BX$47:$CG$50)</f>
        <v>#NAME?</v>
      </c>
      <c r="O11" t="e" cm="1">
        <f t="array" aca="1" ref="O11" ca="1">_xludf.XLOOKUP(K11, $BX$106:$CG$106, $BX$107:$CG$110)</f>
        <v>#NAME?</v>
      </c>
      <c r="P11" t="e" cm="1">
        <f t="array" aca="1" ref="P11" ca="1">_xludf.XLOOKUP(K$11,$BX$169:$CG$169,_xludf.XLOOKUP($E$11,$BW$170:$BW$176,$BX$170:$CG$176))</f>
        <v>#NAME?</v>
      </c>
      <c r="Q11" t="e">
        <f t="shared" ref="Q11:Q42" ca="1" si="0">N11/P11</f>
        <v>#NAME?</v>
      </c>
      <c r="T11">
        <v>0</v>
      </c>
      <c r="V11">
        <v>1</v>
      </c>
      <c r="W11">
        <f>VLOOKUP($G$11, $CL$17:$CN$25, 2, FALSE)</f>
        <v>6</v>
      </c>
      <c r="X11">
        <v>0</v>
      </c>
      <c r="Y11">
        <f t="shared" ref="Y11:Y42" si="1">T11*X11</f>
        <v>0</v>
      </c>
      <c r="Z11" t="e">
        <f ca="1">0.1604 * ($AM$11*100) - 1.037</f>
        <v>#NAME?</v>
      </c>
      <c r="AA11" t="e">
        <f t="shared" ref="AA11:AA42" ca="1" si="2">(0.032 * Y11 /6.38) + ((0.212 - 0.008 * (AB11 - 2) - ((0.14 - 0.008 * (AB11 - 2)) / (1 + EXP(-6 * (Q11 - 0.4))))) * (O11 * 0.92)) / 6.25</f>
        <v>#NAME?</v>
      </c>
      <c r="AB11" t="e">
        <f t="shared" ref="AB11:AB42" ca="1" si="3">AC11 / ((1.185 + 0.00454 * N11 - 0.0000026 * N11 ^ 2 ) ^ 2 * V11)</f>
        <v>#NAME?</v>
      </c>
      <c r="AC11" t="e">
        <f t="shared" ref="AC11:AC42" ca="1" si="4">(1.185 + 0.00454 * N11 - 0.0000026 * N11^2 + 0.315 * O11)^2 * V11</f>
        <v>#NAME?</v>
      </c>
      <c r="AD11" t="e">
        <f t="shared" ref="AD11:AD50" ca="1" si="5">(AC11 * (1 -AM11) + (0.04 * AC11)) * ( 1 - AV$11 )</f>
        <v>#NAME?</v>
      </c>
      <c r="AE11" t="e">
        <f t="shared" ref="AE11:AE50" ca="1" si="6">AD11 * AT$11 * AP$11 * AR$11 * AU$11</f>
        <v>#NAME?</v>
      </c>
      <c r="AF11" t="e">
        <f t="shared" ref="AF11:AF50" ca="1" si="7">AD11 * AT$11 * AQ$11 * AS$11 * AU$11</f>
        <v>#NAME?</v>
      </c>
      <c r="AG11" t="e">
        <f t="shared" ref="AG11:AG42" ca="1" si="8">M11*AE11*91.25</f>
        <v>#NAME?</v>
      </c>
      <c r="AH11" t="e">
        <f t="shared" ref="AH11:AH42" ca="1" si="9">M11*AF11*91.25</f>
        <v>#NAME?</v>
      </c>
      <c r="AI11" t="e">
        <f ca="1">((0.3 * AC11 * $AN$11 * (1 - ($AM$11 + 0.1)) + (0.105 * $Z11 * $AC11 * 0.008) + (0.0152 * $AC11)) / 6.25) + (0.08 * 0.032 * $W11 / 6.38)</f>
        <v>#NAME?</v>
      </c>
      <c r="AJ11" t="e">
        <f t="shared" ref="AJ11:AJ42" ca="1" si="10">M11*AI11*91.25</f>
        <v>#NAME?</v>
      </c>
      <c r="AK11" t="e">
        <f t="shared" ref="AK11:AK42" ca="1" si="11">(AC11 * $AN11 / 6.25) + (0.032 * W11 / 6.38) - AA11 - AI11 - ((1.1 * (10 ^ -4) * (N11 ^ 0.75)) / 6.25)</f>
        <v>#NAME?</v>
      </c>
      <c r="AL11" t="e">
        <f t="shared" ref="AL11:AL42" ca="1" si="12">M11*AK11*91.25</f>
        <v>#NAME?</v>
      </c>
      <c r="AM11" t="e" cm="1">
        <f t="array" aca="1" ref="AM11" ca="1">_xludf.XLOOKUP(G$11,$BV$17:$CD$17,$BV$18:$CD$21)</f>
        <v>#NAME?</v>
      </c>
      <c r="AN11" t="e" cm="1">
        <f t="array" aca="1" ref="AN11" ca="1">_xludf.XLOOKUP(G$11,$BV$29:$CD$29,$BV$30:$CD$33)</f>
        <v>#NAME?</v>
      </c>
      <c r="AO11" t="s">
        <v>118</v>
      </c>
      <c r="AP11">
        <f>IF(AO11="yes", $BV$6, $BW$6)</f>
        <v>0.05</v>
      </c>
      <c r="AQ11">
        <f>IF(AO11="yes", $BV$7, $BW$7)</f>
        <v>0.95</v>
      </c>
      <c r="AR11">
        <f>VLOOKUP(B11, $CH$17:$CI$26, 2, FALSE)</f>
        <v>7.3000000000000001E-3</v>
      </c>
      <c r="AS11">
        <f>$CI$14</f>
        <v>4.5999999999999999E-3</v>
      </c>
      <c r="AT11">
        <f>$CA$5</f>
        <v>0.19</v>
      </c>
      <c r="AU11">
        <f>$CA$6</f>
        <v>0.6784</v>
      </c>
      <c r="AV11">
        <f>$CA$7</f>
        <v>0.16</v>
      </c>
      <c r="AW11" t="e">
        <f ca="1">SUM(AG11:AH50)</f>
        <v>#NAME?</v>
      </c>
      <c r="AX11" t="e">
        <f ca="1">SUM(AJ11:AJ50)</f>
        <v>#NAME?</v>
      </c>
      <c r="AY11">
        <f>IF(C11="wet",$CD$5,$CD$6)</f>
        <v>6.0000000000000001E-3</v>
      </c>
      <c r="AZ11">
        <f>$CD$7</f>
        <v>1.5714285714285714</v>
      </c>
      <c r="BA11">
        <f>$CD$8</f>
        <v>265</v>
      </c>
      <c r="BB11" t="e">
        <f ca="1">SUM(AL11:AL50)</f>
        <v>#NAME?</v>
      </c>
      <c r="BC11" t="e">
        <f ca="1">((AX11 * AY11 * AZ11) + (BB11 * AY11 * AZ11))  * (10^-3)</f>
        <v>#NAME?</v>
      </c>
      <c r="BD11">
        <f>$CA$8</f>
        <v>28</v>
      </c>
      <c r="BE11">
        <f>$CD$9</f>
        <v>0.21</v>
      </c>
      <c r="BF11" t="e">
        <f ca="1">(AX11+BB11)*BE11</f>
        <v>#NAME?</v>
      </c>
      <c r="BG11">
        <f>VLOOKUP(J11, $CH$29:$CI$33,2,FALSE)</f>
        <v>7.0000000000000001E-3</v>
      </c>
      <c r="BH11" t="e">
        <f ca="1">BF11*BG11*AZ11*(10^-3)</f>
        <v>#NAME?</v>
      </c>
      <c r="BI11">
        <f>$CA$9</f>
        <v>1.0999999999999999E-2</v>
      </c>
      <c r="BJ11">
        <f>VLOOKUP(D11, $CL$29:$CM$46, 2, FALSE)</f>
        <v>0.87</v>
      </c>
      <c r="BK11">
        <f>$CG$4</f>
        <v>0.24</v>
      </c>
      <c r="BL11" t="e">
        <f ca="1">(BB11+AX11)*BJ11*BK11</f>
        <v>#NAME?</v>
      </c>
      <c r="BM11" t="e">
        <f ca="1">BL11*BI11*AZ11*(10^-3)</f>
        <v>#NAME?</v>
      </c>
      <c r="BN11" t="e">
        <f ca="1">BC11+BH11+BM11</f>
        <v>#NAME?</v>
      </c>
      <c r="BO11" t="e">
        <f ca="1">AW11 * BD11 * 10^-3</f>
        <v>#NAME?</v>
      </c>
    </row>
    <row r="12" spans="1:92" x14ac:dyDescent="0.2">
      <c r="L12" t="s">
        <v>119</v>
      </c>
      <c r="M12">
        <v>110</v>
      </c>
      <c r="P12" t="e" cm="1">
        <f t="array" aca="1" ref="P12" ca="1">_xludf.XLOOKUP(K$11,$BX$169:$CG$169,_xludf.XLOOKUP($E$11,$BW$170:$BW$176,$BX$170:$CG$176))</f>
        <v>#NAME?</v>
      </c>
      <c r="Q12" t="e">
        <f t="shared" ca="1" si="0"/>
        <v>#NAME?</v>
      </c>
      <c r="V12">
        <v>1</v>
      </c>
      <c r="W12">
        <f>VLOOKUP($G$11, $CL$17:$CN$25, 3, FALSE)</f>
        <v>4</v>
      </c>
      <c r="X12">
        <v>0</v>
      </c>
      <c r="Y12">
        <f t="shared" si="1"/>
        <v>0</v>
      </c>
      <c r="Z12">
        <f>0.1604 * ($AM$12*100) - 1.037</f>
        <v>-1.0369999999999999</v>
      </c>
      <c r="AA12" t="e">
        <f t="shared" ca="1" si="2"/>
        <v>#NAME?</v>
      </c>
      <c r="AB12">
        <f t="shared" si="3"/>
        <v>1</v>
      </c>
      <c r="AC12">
        <f t="shared" si="4"/>
        <v>1.4042250000000001</v>
      </c>
      <c r="AD12">
        <f t="shared" si="5"/>
        <v>1.22673096</v>
      </c>
      <c r="AE12">
        <f t="shared" si="6"/>
        <v>5.7714060544358416E-5</v>
      </c>
      <c r="AF12">
        <f t="shared" si="7"/>
        <v>6.9098751939409913E-4</v>
      </c>
      <c r="AG12">
        <f t="shared" si="8"/>
        <v>0.5793048827139976</v>
      </c>
      <c r="AH12">
        <f t="shared" si="9"/>
        <v>6.9357872259182702</v>
      </c>
      <c r="AI12">
        <f>((0.3 * AC12 * $AN$12 * (1 - ($AM$12 + 0.1)) + (0.105 * $Z12 * $AC12 * 0.008) + (0.0152 * $AC12)) / 6.25) + (0.08 * 0.032 * $W12 / 6.38)</f>
        <v>4.824380103901192E-3</v>
      </c>
      <c r="AJ12">
        <f t="shared" si="10"/>
        <v>48.424715292908211</v>
      </c>
      <c r="AK12" t="e">
        <f t="shared" ca="1" si="11"/>
        <v>#NAME?</v>
      </c>
      <c r="AL12" t="e">
        <f t="shared" ca="1" si="12"/>
        <v>#NAME?</v>
      </c>
    </row>
    <row r="13" spans="1:92" x14ac:dyDescent="0.2">
      <c r="L13" t="s">
        <v>120</v>
      </c>
      <c r="M13">
        <v>120</v>
      </c>
      <c r="P13" t="e" cm="1">
        <f t="array" aca="1" ref="P13" ca="1">_xludf.XLOOKUP(K$11,$BX$169:$CG$169,_xludf.XLOOKUP($E$11,$BW$170:$BW$176,$BX$170:$CG$176))</f>
        <v>#NAME?</v>
      </c>
      <c r="Q13" t="e">
        <f t="shared" ca="1" si="0"/>
        <v>#NAME?</v>
      </c>
      <c r="V13">
        <v>1</v>
      </c>
      <c r="W13">
        <v>0</v>
      </c>
      <c r="X13">
        <v>0</v>
      </c>
      <c r="Y13">
        <f t="shared" si="1"/>
        <v>0</v>
      </c>
      <c r="Z13">
        <f>0.1604 * ($AM$13*100) - 1.037</f>
        <v>-1.0369999999999999</v>
      </c>
      <c r="AA13" t="e">
        <f t="shared" ca="1" si="2"/>
        <v>#NAME?</v>
      </c>
      <c r="AB13">
        <f t="shared" si="3"/>
        <v>1</v>
      </c>
      <c r="AC13">
        <f t="shared" si="4"/>
        <v>1.4042250000000001</v>
      </c>
      <c r="AD13">
        <f t="shared" si="5"/>
        <v>1.22673096</v>
      </c>
      <c r="AE13">
        <f t="shared" si="6"/>
        <v>5.7714060544358416E-5</v>
      </c>
      <c r="AF13">
        <f t="shared" si="7"/>
        <v>6.9098751939409913E-4</v>
      </c>
      <c r="AG13">
        <f t="shared" si="8"/>
        <v>0.63196896296072469</v>
      </c>
      <c r="AH13">
        <f t="shared" si="9"/>
        <v>7.5663133373653855</v>
      </c>
      <c r="AI13">
        <f>((0.3 * AC13 * $AN$13 * (1 - ($AM$13 + 0.1)) + (0.105 * $Z13 * $AC13 * 0.008) + (0.0152 * $AC13)) / 6.25) + (0.08 * 0.032 * $W13 / 6.38)</f>
        <v>3.2193644299200004E-3</v>
      </c>
      <c r="AJ13">
        <f t="shared" si="10"/>
        <v>35.25204050762401</v>
      </c>
      <c r="AK13" t="e">
        <f t="shared" ca="1" si="11"/>
        <v>#NAME?</v>
      </c>
      <c r="AL13" t="e">
        <f t="shared" ca="1" si="12"/>
        <v>#NAME?</v>
      </c>
    </row>
    <row r="14" spans="1:92" x14ac:dyDescent="0.2">
      <c r="L14" t="s">
        <v>121</v>
      </c>
      <c r="M14">
        <v>130</v>
      </c>
      <c r="P14" t="e" cm="1">
        <f t="array" aca="1" ref="P14" ca="1">_xludf.XLOOKUP(K$11,$BX$169:$CG$169,_xludf.XLOOKUP($E$11,$BW$170:$BW$176,$BX$170:$CG$176))</f>
        <v>#NAME?</v>
      </c>
      <c r="Q14" t="e">
        <f t="shared" ca="1" si="0"/>
        <v>#NAME?</v>
      </c>
      <c r="V14">
        <v>1</v>
      </c>
      <c r="W14">
        <v>0</v>
      </c>
      <c r="X14">
        <v>0</v>
      </c>
      <c r="Y14">
        <f t="shared" si="1"/>
        <v>0</v>
      </c>
      <c r="Z14">
        <f>0.1604 * ($AM$14*100) - 1.037</f>
        <v>-1.0369999999999999</v>
      </c>
      <c r="AA14" t="e">
        <f t="shared" ca="1" si="2"/>
        <v>#NAME?</v>
      </c>
      <c r="AB14">
        <f t="shared" si="3"/>
        <v>1</v>
      </c>
      <c r="AC14">
        <f t="shared" si="4"/>
        <v>1.4042250000000001</v>
      </c>
      <c r="AD14">
        <f t="shared" si="5"/>
        <v>1.22673096</v>
      </c>
      <c r="AE14">
        <f t="shared" si="6"/>
        <v>5.7714060544358416E-5</v>
      </c>
      <c r="AF14">
        <f t="shared" si="7"/>
        <v>6.9098751939409913E-4</v>
      </c>
      <c r="AG14">
        <f t="shared" si="8"/>
        <v>0.68463304320745177</v>
      </c>
      <c r="AH14">
        <f t="shared" si="9"/>
        <v>8.1968394488125007</v>
      </c>
      <c r="AI14">
        <f>((0.3 * AC14 * $AN$14 * (1 - ($AM$14 + 0.1)) + (0.105 * $Z14 * $AC14 * 0.008) + (0.0152 * $AC14)) / 6.25) + (0.08 * 0.032 * $W14 / 6.38)</f>
        <v>3.2193644299200004E-3</v>
      </c>
      <c r="AJ14">
        <f t="shared" si="10"/>
        <v>38.189710549926005</v>
      </c>
      <c r="AK14" t="e">
        <f t="shared" ca="1" si="11"/>
        <v>#NAME?</v>
      </c>
      <c r="AL14" t="e">
        <f t="shared" ca="1" si="12"/>
        <v>#NAME?</v>
      </c>
      <c r="CH14" t="s">
        <v>96</v>
      </c>
      <c r="CI14">
        <v>4.5999999999999999E-3</v>
      </c>
    </row>
    <row r="15" spans="1:92" x14ac:dyDescent="0.2">
      <c r="K15" t="s">
        <v>122</v>
      </c>
      <c r="L15" t="s">
        <v>117</v>
      </c>
      <c r="M15">
        <v>50</v>
      </c>
      <c r="N15" t="e" cm="1">
        <f t="array" aca="1" ref="N15" ca="1">_xludf.XLOOKUP(K15, $BX$46:$CG$46, $BX$47:$CG$50)</f>
        <v>#NAME?</v>
      </c>
      <c r="O15" t="e" cm="1">
        <f t="array" aca="1" ref="O15" ca="1">_xludf.XLOOKUP(K15, $BX$106:$CG$106, $BX$107:$CG$110)</f>
        <v>#NAME?</v>
      </c>
      <c r="P15" t="e" cm="1">
        <f t="array" aca="1" ref="P15" ca="1">_xludf.XLOOKUP(K$15,$BX$169:$CG$169,_xludf.XLOOKUP($E$11,$BW$170:$BW$176,$BX$170:$CG$176))</f>
        <v>#NAME?</v>
      </c>
      <c r="Q15" t="e">
        <f t="shared" ca="1" si="0"/>
        <v>#NAME?</v>
      </c>
      <c r="V15">
        <v>1</v>
      </c>
      <c r="W15">
        <v>0</v>
      </c>
      <c r="X15">
        <v>0</v>
      </c>
      <c r="Y15">
        <f t="shared" si="1"/>
        <v>0</v>
      </c>
      <c r="Z15" t="e">
        <f ca="1">0.1604 * ($AM$11*100) - 1.037</f>
        <v>#NAME?</v>
      </c>
      <c r="AA15" t="e">
        <f t="shared" ca="1" si="2"/>
        <v>#NAME?</v>
      </c>
      <c r="AB15" t="e">
        <f t="shared" ca="1" si="3"/>
        <v>#NAME?</v>
      </c>
      <c r="AC15" t="e">
        <f t="shared" ca="1" si="4"/>
        <v>#NAME?</v>
      </c>
      <c r="AD15" t="e">
        <f t="shared" ca="1" si="5"/>
        <v>#NAME?</v>
      </c>
      <c r="AE15" t="e">
        <f t="shared" ca="1" si="6"/>
        <v>#NAME?</v>
      </c>
      <c r="AF15" t="e">
        <f t="shared" ca="1" si="7"/>
        <v>#NAME?</v>
      </c>
      <c r="AG15" t="e">
        <f t="shared" ca="1" si="8"/>
        <v>#NAME?</v>
      </c>
      <c r="AH15" t="e">
        <f t="shared" ca="1" si="9"/>
        <v>#NAME?</v>
      </c>
      <c r="AI15" t="e">
        <f ca="1">((0.3 * AC15 * $AN$11 * (1 - ($AM$11 + 0.1)) + (0.105 * $Z15 * $AC15 * 0.008) + (0.0152 * $AC15)) / 6.25) + (0.08 * 0.032 * $W15 / 6.38)</f>
        <v>#NAME?</v>
      </c>
      <c r="AJ15" t="e">
        <f t="shared" ca="1" si="10"/>
        <v>#NAME?</v>
      </c>
      <c r="AK15" t="e">
        <f t="shared" ca="1" si="11"/>
        <v>#NAME?</v>
      </c>
      <c r="AL15" t="e">
        <f t="shared" ca="1" si="12"/>
        <v>#NAME?</v>
      </c>
      <c r="AM15" t="e" cm="1">
        <f t="array" aca="1" ref="AM15" ca="1">_xludf.XLOOKUP(G$11,$BV$17:$CD$17,$BV$18:$CD$21)</f>
        <v>#NAME?</v>
      </c>
      <c r="AN15" t="e" cm="1">
        <f t="array" aca="1" ref="AN15" ca="1">_xludf.XLOOKUP(G$11,$BV$29:$CD$29,$BV$30:$CD$33)</f>
        <v>#NAME?</v>
      </c>
      <c r="CK15" t="s">
        <v>123</v>
      </c>
      <c r="CL15" t="s">
        <v>124</v>
      </c>
    </row>
    <row r="16" spans="1:92" x14ac:dyDescent="0.2">
      <c r="L16" t="s">
        <v>119</v>
      </c>
      <c r="M16">
        <v>55</v>
      </c>
      <c r="P16" t="e" cm="1">
        <f t="array" aca="1" ref="P16" ca="1">_xludf.XLOOKUP(K$15,$BX$169:$CG$169,_xludf.XLOOKUP($E$11,$BW$170:$BW$176,$BX$170:$CG$176))</f>
        <v>#NAME?</v>
      </c>
      <c r="Q16" t="e">
        <f t="shared" ca="1" si="0"/>
        <v>#NAME?</v>
      </c>
      <c r="V16">
        <v>1</v>
      </c>
      <c r="W16">
        <v>0</v>
      </c>
      <c r="X16">
        <v>0</v>
      </c>
      <c r="Y16">
        <f t="shared" si="1"/>
        <v>0</v>
      </c>
      <c r="Z16">
        <f>0.1604 * ($AM$12*100) - 1.037</f>
        <v>-1.0369999999999999</v>
      </c>
      <c r="AA16" t="e">
        <f t="shared" ca="1" si="2"/>
        <v>#NAME?</v>
      </c>
      <c r="AB16">
        <f t="shared" si="3"/>
        <v>1</v>
      </c>
      <c r="AC16">
        <f t="shared" si="4"/>
        <v>1.4042250000000001</v>
      </c>
      <c r="AD16">
        <f t="shared" si="5"/>
        <v>1.22673096</v>
      </c>
      <c r="AE16">
        <f t="shared" si="6"/>
        <v>5.7714060544358416E-5</v>
      </c>
      <c r="AF16">
        <f t="shared" si="7"/>
        <v>6.9098751939409913E-4</v>
      </c>
      <c r="AG16">
        <f t="shared" si="8"/>
        <v>0.2896524413569988</v>
      </c>
      <c r="AH16">
        <f t="shared" si="9"/>
        <v>3.4678936129591351</v>
      </c>
      <c r="AI16">
        <f>((0.3 * AC16 * $AN$12 * (1 - ($AM$12 + 0.1)) + (0.105 * $Z16 * $AC16 * 0.008) + (0.0152 * $AC16)) / 6.25) + (0.08 * 0.032 * $W16 / 6.38)</f>
        <v>3.2193644299200004E-3</v>
      </c>
      <c r="AJ16">
        <f t="shared" si="10"/>
        <v>16.157185232661003</v>
      </c>
      <c r="AK16" t="e">
        <f t="shared" ca="1" si="11"/>
        <v>#NAME?</v>
      </c>
      <c r="AL16" t="e">
        <f t="shared" ca="1" si="12"/>
        <v>#NAME?</v>
      </c>
      <c r="BU16" t="s">
        <v>125</v>
      </c>
      <c r="CH16" t="s">
        <v>95</v>
      </c>
      <c r="CK16" t="s">
        <v>126</v>
      </c>
      <c r="CL16" t="s">
        <v>127</v>
      </c>
      <c r="CM16" t="s">
        <v>128</v>
      </c>
      <c r="CN16" t="s">
        <v>129</v>
      </c>
    </row>
    <row r="17" spans="11:92" x14ac:dyDescent="0.2">
      <c r="L17" t="s">
        <v>120</v>
      </c>
      <c r="M17">
        <v>60</v>
      </c>
      <c r="P17" t="e" cm="1">
        <f t="array" aca="1" ref="P17" ca="1">_xludf.XLOOKUP(K$15,$BX$169:$CG$169,_xludf.XLOOKUP($E$11,$BW$170:$BW$176,$BX$170:$CG$176))</f>
        <v>#NAME?</v>
      </c>
      <c r="Q17" t="e">
        <f t="shared" ca="1" si="0"/>
        <v>#NAME?</v>
      </c>
      <c r="V17">
        <v>1</v>
      </c>
      <c r="W17">
        <v>0</v>
      </c>
      <c r="X17">
        <v>0</v>
      </c>
      <c r="Y17">
        <f t="shared" si="1"/>
        <v>0</v>
      </c>
      <c r="Z17">
        <f>0.1604 * ($AM$13*100) - 1.037</f>
        <v>-1.0369999999999999</v>
      </c>
      <c r="AA17" t="e">
        <f t="shared" ca="1" si="2"/>
        <v>#NAME?</v>
      </c>
      <c r="AB17">
        <f t="shared" si="3"/>
        <v>1</v>
      </c>
      <c r="AC17">
        <f t="shared" si="4"/>
        <v>1.4042250000000001</v>
      </c>
      <c r="AD17">
        <f t="shared" si="5"/>
        <v>1.22673096</v>
      </c>
      <c r="AE17">
        <f t="shared" si="6"/>
        <v>5.7714060544358416E-5</v>
      </c>
      <c r="AF17">
        <f t="shared" si="7"/>
        <v>6.9098751939409913E-4</v>
      </c>
      <c r="AG17">
        <f t="shared" si="8"/>
        <v>0.31598448148036234</v>
      </c>
      <c r="AH17">
        <f t="shared" si="9"/>
        <v>3.7831566686826927</v>
      </c>
      <c r="AI17">
        <f>((0.3 * AC17 * $AN$13 * (1 - ($AM$13 + 0.1)) + (0.105 * $Z17 * $AC17 * 0.008) + (0.0152 * $AC17)) / 6.25) + (0.08 * 0.032 * $W17 / 6.38)</f>
        <v>3.2193644299200004E-3</v>
      </c>
      <c r="AJ17">
        <f t="shared" si="10"/>
        <v>17.626020253812005</v>
      </c>
      <c r="AK17" t="e">
        <f t="shared" ca="1" si="11"/>
        <v>#NAME?</v>
      </c>
      <c r="AL17" t="e">
        <f t="shared" ca="1" si="12"/>
        <v>#NAME?</v>
      </c>
      <c r="BU17" t="s">
        <v>130</v>
      </c>
      <c r="BV17" t="s">
        <v>113</v>
      </c>
      <c r="BW17" t="s">
        <v>131</v>
      </c>
      <c r="BX17" t="s">
        <v>132</v>
      </c>
      <c r="BY17" t="s">
        <v>133</v>
      </c>
      <c r="BZ17" t="s">
        <v>134</v>
      </c>
      <c r="CA17" t="s">
        <v>135</v>
      </c>
      <c r="CB17" t="s">
        <v>136</v>
      </c>
      <c r="CC17" t="s">
        <v>137</v>
      </c>
      <c r="CD17" t="s">
        <v>138</v>
      </c>
      <c r="CH17" t="s">
        <v>139</v>
      </c>
      <c r="CI17">
        <v>6.0000000000000001E-3</v>
      </c>
      <c r="CL17" t="s">
        <v>113</v>
      </c>
      <c r="CM17">
        <v>6</v>
      </c>
      <c r="CN17">
        <v>4</v>
      </c>
    </row>
    <row r="18" spans="11:92" x14ac:dyDescent="0.2">
      <c r="L18" t="s">
        <v>121</v>
      </c>
      <c r="M18">
        <v>65</v>
      </c>
      <c r="P18" t="e" cm="1">
        <f t="array" aca="1" ref="P18" ca="1">_xludf.XLOOKUP(K$15,$BX$169:$CG$169,_xludf.XLOOKUP($E$11,$BW$170:$BW$176,$BX$170:$CG$176))</f>
        <v>#NAME?</v>
      </c>
      <c r="Q18" t="e">
        <f t="shared" ca="1" si="0"/>
        <v>#NAME?</v>
      </c>
      <c r="V18">
        <v>1</v>
      </c>
      <c r="W18">
        <v>0</v>
      </c>
      <c r="X18">
        <v>0</v>
      </c>
      <c r="Y18">
        <f t="shared" si="1"/>
        <v>0</v>
      </c>
      <c r="Z18">
        <f>0.1604 * ($AM$14*100) - 1.037</f>
        <v>-1.0369999999999999</v>
      </c>
      <c r="AA18" t="e">
        <f t="shared" ca="1" si="2"/>
        <v>#NAME?</v>
      </c>
      <c r="AB18">
        <f t="shared" si="3"/>
        <v>1</v>
      </c>
      <c r="AC18">
        <f t="shared" si="4"/>
        <v>1.4042250000000001</v>
      </c>
      <c r="AD18">
        <f t="shared" si="5"/>
        <v>1.22673096</v>
      </c>
      <c r="AE18">
        <f t="shared" si="6"/>
        <v>5.7714060544358416E-5</v>
      </c>
      <c r="AF18">
        <f t="shared" si="7"/>
        <v>6.9098751939409913E-4</v>
      </c>
      <c r="AG18">
        <f t="shared" si="8"/>
        <v>0.34231652160372589</v>
      </c>
      <c r="AH18">
        <f t="shared" si="9"/>
        <v>4.0984197244062504</v>
      </c>
      <c r="AI18">
        <f>((0.3 * AC18 * $AN$14 * (1 - ($AM$14 + 0.1)) + (0.105 * $Z18 * $AC18 * 0.008) + (0.0152 * $AC18)) / 6.25) + (0.08 * 0.032 * $W18 / 6.38)</f>
        <v>3.2193644299200004E-3</v>
      </c>
      <c r="AJ18">
        <f t="shared" si="10"/>
        <v>19.094855274963003</v>
      </c>
      <c r="AK18" t="e">
        <f t="shared" ca="1" si="11"/>
        <v>#NAME?</v>
      </c>
      <c r="AL18" t="e">
        <f t="shared" ca="1" si="12"/>
        <v>#NAME?</v>
      </c>
      <c r="BU18" t="s">
        <v>117</v>
      </c>
      <c r="BV18">
        <v>0.55000000000000004</v>
      </c>
      <c r="BW18">
        <v>0.55000000000000004</v>
      </c>
      <c r="BX18">
        <v>0.53</v>
      </c>
      <c r="BY18">
        <v>0.7</v>
      </c>
      <c r="BZ18">
        <v>0.75</v>
      </c>
      <c r="CA18">
        <v>0.8</v>
      </c>
      <c r="CB18">
        <v>0.8</v>
      </c>
      <c r="CC18">
        <v>0.4</v>
      </c>
      <c r="CD18">
        <v>0.4</v>
      </c>
      <c r="CH18" t="s">
        <v>140</v>
      </c>
      <c r="CI18">
        <v>6.7000000000000002E-3</v>
      </c>
      <c r="CL18" t="s">
        <v>131</v>
      </c>
      <c r="CM18">
        <v>4</v>
      </c>
      <c r="CN18">
        <v>3</v>
      </c>
    </row>
    <row r="19" spans="11:92" x14ac:dyDescent="0.2">
      <c r="K19" t="s">
        <v>141</v>
      </c>
      <c r="L19" t="s">
        <v>117</v>
      </c>
      <c r="M19">
        <v>200</v>
      </c>
      <c r="N19" t="e" cm="1">
        <f t="array" aca="1" ref="N19" ca="1">_xludf.XLOOKUP(K19, $BX$46:$CG$46, $BX$47:$CG$50)</f>
        <v>#NAME?</v>
      </c>
      <c r="O19" t="e" cm="1">
        <f t="array" aca="1" ref="O19" ca="1">_xludf.XLOOKUP(K19, $BX$106:$CG$106, $BX$107:$CG$110)</f>
        <v>#NAME?</v>
      </c>
      <c r="P19" t="e" cm="1">
        <f t="array" aca="1" ref="P19" ca="1">_xludf.XLOOKUP(K$19,$BX$169:$CG$169,_xludf.XLOOKUP($E$11,$BW$170:$BW$176,$BX$170:$CG$176))</f>
        <v>#NAME?</v>
      </c>
      <c r="Q19" t="e">
        <f t="shared" ca="1" si="0"/>
        <v>#NAME?</v>
      </c>
      <c r="V19">
        <v>1</v>
      </c>
      <c r="W19">
        <f>VLOOKUP($G$11, $CL$17:$CN$25, 2, FALSE)</f>
        <v>6</v>
      </c>
      <c r="X19">
        <v>0</v>
      </c>
      <c r="Y19">
        <f t="shared" si="1"/>
        <v>0</v>
      </c>
      <c r="Z19" t="e">
        <f ca="1">0.1604 * ($AM$11*100) - 1.037</f>
        <v>#NAME?</v>
      </c>
      <c r="AA19" t="e">
        <f t="shared" ca="1" si="2"/>
        <v>#NAME?</v>
      </c>
      <c r="AB19" t="e">
        <f t="shared" ca="1" si="3"/>
        <v>#NAME?</v>
      </c>
      <c r="AC19" t="e">
        <f t="shared" ca="1" si="4"/>
        <v>#NAME?</v>
      </c>
      <c r="AD19" t="e">
        <f t="shared" ca="1" si="5"/>
        <v>#NAME?</v>
      </c>
      <c r="AE19" t="e">
        <f t="shared" ca="1" si="6"/>
        <v>#NAME?</v>
      </c>
      <c r="AF19" t="e">
        <f t="shared" ca="1" si="7"/>
        <v>#NAME?</v>
      </c>
      <c r="AG19" t="e">
        <f t="shared" ca="1" si="8"/>
        <v>#NAME?</v>
      </c>
      <c r="AH19" t="e">
        <f t="shared" ca="1" si="9"/>
        <v>#NAME?</v>
      </c>
      <c r="AI19" t="e">
        <f ca="1">((0.3 * AC19 * $AN$11 * (1 - ($AM$11 + 0.1)) + (0.105 * $Z19 * $AC19 * 0.008) + (0.0152 * $AC19)) / 6.25) + (0.08 * 0.032 * $W19 / 6.38)</f>
        <v>#NAME?</v>
      </c>
      <c r="AJ19" t="e">
        <f t="shared" ca="1" si="10"/>
        <v>#NAME?</v>
      </c>
      <c r="AK19" t="e">
        <f t="shared" ca="1" si="11"/>
        <v>#NAME?</v>
      </c>
      <c r="AL19" t="e">
        <f t="shared" ca="1" si="12"/>
        <v>#NAME?</v>
      </c>
      <c r="AM19" t="e" cm="1">
        <f t="array" aca="1" ref="AM19" ca="1">_xludf.XLOOKUP(G$11,$BV$17:$CD$17,$BV$18:$CD$21)</f>
        <v>#NAME?</v>
      </c>
      <c r="AN19" t="e" cm="1">
        <f t="array" aca="1" ref="AN19" ca="1">_xludf.XLOOKUP(G$11,$BV$29:$CD$29,$BV$30:$CD$33)</f>
        <v>#NAME?</v>
      </c>
      <c r="BU19" t="s">
        <v>119</v>
      </c>
      <c r="BV19">
        <v>0.65</v>
      </c>
      <c r="BW19">
        <v>0.61</v>
      </c>
      <c r="BX19">
        <v>0.56999999999999995</v>
      </c>
      <c r="BY19">
        <v>0.55000000000000004</v>
      </c>
      <c r="BZ19">
        <v>0.6</v>
      </c>
      <c r="CA19">
        <v>0.55000000000000004</v>
      </c>
      <c r="CB19">
        <v>0.57999999999999996</v>
      </c>
      <c r="CC19">
        <v>0.65</v>
      </c>
      <c r="CD19">
        <v>0.65</v>
      </c>
      <c r="CH19" t="s">
        <v>142</v>
      </c>
      <c r="CI19">
        <v>5.0000000000000001E-3</v>
      </c>
      <c r="CL19" t="s">
        <v>132</v>
      </c>
      <c r="CM19">
        <v>4</v>
      </c>
      <c r="CN19">
        <v>3</v>
      </c>
    </row>
    <row r="20" spans="11:92" x14ac:dyDescent="0.2">
      <c r="L20" t="s">
        <v>119</v>
      </c>
      <c r="M20">
        <v>130</v>
      </c>
      <c r="P20" t="e" cm="1">
        <f t="array" aca="1" ref="P20" ca="1">_xludf.XLOOKUP(K$19,$BX$169:$CG$169,_xludf.XLOOKUP($E$11,$BW$170:$BW$176,$BX$170:$CG$176))</f>
        <v>#NAME?</v>
      </c>
      <c r="Q20" t="e">
        <f t="shared" ca="1" si="0"/>
        <v>#NAME?</v>
      </c>
      <c r="V20">
        <v>1</v>
      </c>
      <c r="W20">
        <f>VLOOKUP($G$11, $CL$17:$CN$25, 3, FALSE)</f>
        <v>4</v>
      </c>
      <c r="X20">
        <v>0</v>
      </c>
      <c r="Y20">
        <f t="shared" si="1"/>
        <v>0</v>
      </c>
      <c r="Z20">
        <f>0.1604 * ($AM$12*100) - 1.037</f>
        <v>-1.0369999999999999</v>
      </c>
      <c r="AA20" t="e">
        <f t="shared" ca="1" si="2"/>
        <v>#NAME?</v>
      </c>
      <c r="AB20">
        <f t="shared" si="3"/>
        <v>1</v>
      </c>
      <c r="AC20">
        <f t="shared" si="4"/>
        <v>1.4042250000000001</v>
      </c>
      <c r="AD20">
        <f t="shared" si="5"/>
        <v>1.22673096</v>
      </c>
      <c r="AE20">
        <f t="shared" si="6"/>
        <v>5.7714060544358416E-5</v>
      </c>
      <c r="AF20">
        <f t="shared" si="7"/>
        <v>6.9098751939409913E-4</v>
      </c>
      <c r="AG20">
        <f t="shared" si="8"/>
        <v>0.68463304320745177</v>
      </c>
      <c r="AH20">
        <f t="shared" si="9"/>
        <v>8.1968394488125007</v>
      </c>
      <c r="AI20">
        <f>((0.3 * AC20 * $AN$12 * (1 - ($AM$12 + 0.1)) + (0.105 * $Z20 * $AC20 * 0.008) + (0.0152 * $AC20)) / 6.25) + (0.08 * 0.032 * $W20 / 6.38)</f>
        <v>4.824380103901192E-3</v>
      </c>
      <c r="AJ20">
        <f t="shared" si="10"/>
        <v>57.229208982527886</v>
      </c>
      <c r="AK20" t="e">
        <f t="shared" ca="1" si="11"/>
        <v>#NAME?</v>
      </c>
      <c r="AL20" t="e">
        <f t="shared" ca="1" si="12"/>
        <v>#NAME?</v>
      </c>
      <c r="BU20" t="s">
        <v>120</v>
      </c>
      <c r="BV20">
        <v>0.6</v>
      </c>
      <c r="BW20">
        <v>0.56999999999999995</v>
      </c>
      <c r="BX20">
        <v>0.55000000000000004</v>
      </c>
      <c r="BY20">
        <v>0.55000000000000004</v>
      </c>
      <c r="BZ20">
        <v>0.7</v>
      </c>
      <c r="CA20">
        <v>0.6</v>
      </c>
      <c r="CB20">
        <v>0.5</v>
      </c>
      <c r="CC20">
        <v>0.55000000000000004</v>
      </c>
      <c r="CD20">
        <v>0.55000000000000004</v>
      </c>
      <c r="CH20" t="s">
        <v>143</v>
      </c>
      <c r="CI20">
        <v>4.8999999999999998E-3</v>
      </c>
      <c r="CL20" t="s">
        <v>133</v>
      </c>
      <c r="CM20">
        <v>6</v>
      </c>
      <c r="CN20">
        <v>4</v>
      </c>
    </row>
    <row r="21" spans="11:92" x14ac:dyDescent="0.2">
      <c r="L21" t="s">
        <v>120</v>
      </c>
      <c r="M21">
        <v>250</v>
      </c>
      <c r="P21" t="e" cm="1">
        <f t="array" aca="1" ref="P21" ca="1">_xludf.XLOOKUP(K$19,$BX$169:$CG$169,_xludf.XLOOKUP($E$11,$BW$170:$BW$176,$BX$170:$CG$176))</f>
        <v>#NAME?</v>
      </c>
      <c r="Q21" t="e">
        <f t="shared" ca="1" si="0"/>
        <v>#NAME?</v>
      </c>
      <c r="V21">
        <v>1</v>
      </c>
      <c r="W21">
        <v>0</v>
      </c>
      <c r="X21">
        <v>0</v>
      </c>
      <c r="Y21">
        <f t="shared" si="1"/>
        <v>0</v>
      </c>
      <c r="Z21">
        <f>0.1604 * ($AM$13*100) - 1.037</f>
        <v>-1.0369999999999999</v>
      </c>
      <c r="AA21" t="e">
        <f t="shared" ca="1" si="2"/>
        <v>#NAME?</v>
      </c>
      <c r="AB21">
        <f t="shared" si="3"/>
        <v>1</v>
      </c>
      <c r="AC21">
        <f t="shared" si="4"/>
        <v>1.4042250000000001</v>
      </c>
      <c r="AD21">
        <f t="shared" si="5"/>
        <v>1.22673096</v>
      </c>
      <c r="AE21">
        <f t="shared" si="6"/>
        <v>5.7714060544358416E-5</v>
      </c>
      <c r="AF21">
        <f t="shared" si="7"/>
        <v>6.9098751939409913E-4</v>
      </c>
      <c r="AG21">
        <f t="shared" si="8"/>
        <v>1.3166020061681765</v>
      </c>
      <c r="AH21">
        <f t="shared" si="9"/>
        <v>15.763152786177885</v>
      </c>
      <c r="AI21">
        <f>((0.3 * AC21 * $AN$13 * (1 - ($AM$13 + 0.1)) + (0.105 * $Z21 * $AC21 * 0.008) + (0.0152 * $AC21)) / 6.25) + (0.08 * 0.032 * $W21 / 6.38)</f>
        <v>3.2193644299200004E-3</v>
      </c>
      <c r="AJ21">
        <f t="shared" si="10"/>
        <v>73.441751057550007</v>
      </c>
      <c r="AK21" t="e">
        <f t="shared" ca="1" si="11"/>
        <v>#NAME?</v>
      </c>
      <c r="AL21" t="e">
        <f t="shared" ca="1" si="12"/>
        <v>#NAME?</v>
      </c>
      <c r="BU21" t="s">
        <v>121</v>
      </c>
      <c r="BV21">
        <v>0.5</v>
      </c>
      <c r="BW21">
        <v>0.54</v>
      </c>
      <c r="BX21">
        <v>0.51</v>
      </c>
      <c r="BY21">
        <v>0.75</v>
      </c>
      <c r="BZ21">
        <v>0.75</v>
      </c>
      <c r="CA21">
        <v>0.76</v>
      </c>
      <c r="CB21">
        <v>0.75</v>
      </c>
      <c r="CC21">
        <v>0.45</v>
      </c>
      <c r="CD21">
        <v>0.45</v>
      </c>
      <c r="CH21" t="s">
        <v>144</v>
      </c>
      <c r="CI21">
        <v>7.3000000000000001E-3</v>
      </c>
      <c r="CL21" t="s">
        <v>134</v>
      </c>
      <c r="CM21">
        <v>6</v>
      </c>
      <c r="CN21">
        <v>4</v>
      </c>
    </row>
    <row r="22" spans="11:92" x14ac:dyDescent="0.2">
      <c r="L22" t="s">
        <v>121</v>
      </c>
      <c r="M22">
        <v>150</v>
      </c>
      <c r="P22" t="e" cm="1">
        <f t="array" aca="1" ref="P22" ca="1">_xludf.XLOOKUP(K$19,$BX$169:$CG$169,_xludf.XLOOKUP($E$11,$BW$170:$BW$176,$BX$170:$CG$176))</f>
        <v>#NAME?</v>
      </c>
      <c r="Q22" t="e">
        <f t="shared" ca="1" si="0"/>
        <v>#NAME?</v>
      </c>
      <c r="V22">
        <v>1</v>
      </c>
      <c r="W22">
        <v>0</v>
      </c>
      <c r="X22">
        <v>0</v>
      </c>
      <c r="Y22">
        <f t="shared" si="1"/>
        <v>0</v>
      </c>
      <c r="Z22">
        <f>0.1604 * ($AM$14*100) - 1.037</f>
        <v>-1.0369999999999999</v>
      </c>
      <c r="AA22" t="e">
        <f t="shared" ca="1" si="2"/>
        <v>#NAME?</v>
      </c>
      <c r="AB22">
        <f t="shared" si="3"/>
        <v>1</v>
      </c>
      <c r="AC22">
        <f t="shared" si="4"/>
        <v>1.4042250000000001</v>
      </c>
      <c r="AD22">
        <f t="shared" si="5"/>
        <v>1.22673096</v>
      </c>
      <c r="AE22">
        <f t="shared" si="6"/>
        <v>5.7714060544358416E-5</v>
      </c>
      <c r="AF22">
        <f t="shared" si="7"/>
        <v>6.9098751939409913E-4</v>
      </c>
      <c r="AG22">
        <f t="shared" si="8"/>
        <v>0.78996120370090595</v>
      </c>
      <c r="AH22">
        <f t="shared" si="9"/>
        <v>9.457891671706733</v>
      </c>
      <c r="AI22">
        <f>((0.3 * AC22 * $AN$14 * (1 - ($AM$14 + 0.1)) + (0.105 * $Z22 * $AC22 * 0.008) + (0.0152 * $AC22)) / 6.25) + (0.08 * 0.032 * $W22 / 6.38)</f>
        <v>3.2193644299200004E-3</v>
      </c>
      <c r="AJ22">
        <f t="shared" si="10"/>
        <v>44.065050634530003</v>
      </c>
      <c r="AK22" t="e">
        <f t="shared" ca="1" si="11"/>
        <v>#NAME?</v>
      </c>
      <c r="AL22" t="e">
        <f t="shared" ca="1" si="12"/>
        <v>#NAME?</v>
      </c>
      <c r="CH22" t="s">
        <v>145</v>
      </c>
      <c r="CI22">
        <v>7.6E-3</v>
      </c>
      <c r="CL22" t="s">
        <v>135</v>
      </c>
      <c r="CM22">
        <v>6</v>
      </c>
      <c r="CN22">
        <v>4</v>
      </c>
    </row>
    <row r="23" spans="11:92" x14ac:dyDescent="0.2">
      <c r="K23" t="s">
        <v>146</v>
      </c>
      <c r="L23" t="s">
        <v>117</v>
      </c>
      <c r="M23">
        <v>20</v>
      </c>
      <c r="N23" t="e" cm="1">
        <f t="array" aca="1" ref="N23" ca="1">_xludf.XLOOKUP(K23, $BX$46:$CG$46, $BX$47:$CG$50)</f>
        <v>#NAME?</v>
      </c>
      <c r="O23" t="e" cm="1">
        <f t="array" aca="1" ref="O23" ca="1">_xludf.XLOOKUP(K23, $BX$106:$CG$106, $BX$107:$CG$110)</f>
        <v>#NAME?</v>
      </c>
      <c r="P23" t="e" cm="1">
        <f t="array" aca="1" ref="P23" ca="1">_xludf.XLOOKUP(K$23,$BX$169:$CG$169,_xludf.XLOOKUP($E$11,$BW$170:$BW$176,$BX$170:$CG$176))</f>
        <v>#NAME?</v>
      </c>
      <c r="Q23" t="e">
        <f t="shared" ca="1" si="0"/>
        <v>#NAME?</v>
      </c>
      <c r="V23">
        <v>1</v>
      </c>
      <c r="W23">
        <v>0</v>
      </c>
      <c r="X23">
        <v>0</v>
      </c>
      <c r="Y23">
        <f t="shared" si="1"/>
        <v>0</v>
      </c>
      <c r="Z23" t="e">
        <f ca="1">0.1604 * ($AM$11*100) - 1.037</f>
        <v>#NAME?</v>
      </c>
      <c r="AA23" t="e">
        <f t="shared" ca="1" si="2"/>
        <v>#NAME?</v>
      </c>
      <c r="AB23" t="e">
        <f t="shared" ca="1" si="3"/>
        <v>#NAME?</v>
      </c>
      <c r="AC23" t="e">
        <f t="shared" ca="1" si="4"/>
        <v>#NAME?</v>
      </c>
      <c r="AD23" t="e">
        <f t="shared" ca="1" si="5"/>
        <v>#NAME?</v>
      </c>
      <c r="AE23" t="e">
        <f t="shared" ca="1" si="6"/>
        <v>#NAME?</v>
      </c>
      <c r="AF23" t="e">
        <f t="shared" ca="1" si="7"/>
        <v>#NAME?</v>
      </c>
      <c r="AG23" t="e">
        <f t="shared" ca="1" si="8"/>
        <v>#NAME?</v>
      </c>
      <c r="AH23" t="e">
        <f t="shared" ca="1" si="9"/>
        <v>#NAME?</v>
      </c>
      <c r="AI23" t="e">
        <f ca="1">((0.3 * AC23 * $AN$11 * (1 - ($AM$11 + 0.1)) + (0.105 * $Z23 * $AC23 * 0.008) + (0.0152 * $AC23)) / 6.25) + (0.08 * 0.032 * $W23 / 6.38)</f>
        <v>#NAME?</v>
      </c>
      <c r="AJ23" t="e">
        <f t="shared" ca="1" si="10"/>
        <v>#NAME?</v>
      </c>
      <c r="AK23" t="e">
        <f t="shared" ca="1" si="11"/>
        <v>#NAME?</v>
      </c>
      <c r="AL23" t="e">
        <f t="shared" ca="1" si="12"/>
        <v>#NAME?</v>
      </c>
      <c r="AM23" t="e" cm="1">
        <f t="array" aca="1" ref="AM23" ca="1">_xludf.XLOOKUP(G$11,$BV$17:$CD$17,$BV$18:$CD$21)</f>
        <v>#NAME?</v>
      </c>
      <c r="AN23" t="e" cm="1">
        <f t="array" aca="1" ref="AN23" ca="1">_xludf.XLOOKUP(G$11,$BV$29:$CD$29,$BV$30:$CD$33)</f>
        <v>#NAME?</v>
      </c>
      <c r="CH23" t="s">
        <v>147</v>
      </c>
      <c r="CI23">
        <v>7.6E-3</v>
      </c>
      <c r="CK23" t="s">
        <v>148</v>
      </c>
      <c r="CL23" t="s">
        <v>136</v>
      </c>
      <c r="CM23">
        <v>6</v>
      </c>
      <c r="CN23">
        <v>4</v>
      </c>
    </row>
    <row r="24" spans="11:92" x14ac:dyDescent="0.2">
      <c r="L24" t="s">
        <v>119</v>
      </c>
      <c r="M24">
        <v>30</v>
      </c>
      <c r="P24" t="e" cm="1">
        <f t="array" aca="1" ref="P24" ca="1">_xludf.XLOOKUP(K$23,$BX$169:$CG$169,_xludf.XLOOKUP($E$11,$BW$170:$BW$176,$BX$170:$CG$176))</f>
        <v>#NAME?</v>
      </c>
      <c r="Q24" t="e">
        <f t="shared" ca="1" si="0"/>
        <v>#NAME?</v>
      </c>
      <c r="V24">
        <v>1</v>
      </c>
      <c r="W24">
        <v>0</v>
      </c>
      <c r="X24">
        <v>0</v>
      </c>
      <c r="Y24">
        <f t="shared" si="1"/>
        <v>0</v>
      </c>
      <c r="Z24">
        <f>0.1604 * ($AM$12*100) - 1.037</f>
        <v>-1.0369999999999999</v>
      </c>
      <c r="AA24" t="e">
        <f t="shared" ca="1" si="2"/>
        <v>#NAME?</v>
      </c>
      <c r="AB24">
        <f t="shared" si="3"/>
        <v>1</v>
      </c>
      <c r="AC24">
        <f t="shared" si="4"/>
        <v>1.4042250000000001</v>
      </c>
      <c r="AD24">
        <f t="shared" si="5"/>
        <v>1.22673096</v>
      </c>
      <c r="AE24">
        <f t="shared" si="6"/>
        <v>5.7714060544358416E-5</v>
      </c>
      <c r="AF24">
        <f t="shared" si="7"/>
        <v>6.9098751939409913E-4</v>
      </c>
      <c r="AG24">
        <f t="shared" si="8"/>
        <v>0.15799224074018117</v>
      </c>
      <c r="AH24">
        <f t="shared" si="9"/>
        <v>1.8915783343413464</v>
      </c>
      <c r="AI24">
        <f>((0.3 * AC24 * $AN$12 * (1 - ($AM$12 + 0.1)) + (0.105 * $Z24 * $AC24 * 0.008) + (0.0152 * $AC24)) / 6.25) + (0.08 * 0.032 * $W24 / 6.38)</f>
        <v>3.2193644299200004E-3</v>
      </c>
      <c r="AJ24">
        <f t="shared" si="10"/>
        <v>8.8130101269060024</v>
      </c>
      <c r="AK24" t="e">
        <f t="shared" ca="1" si="11"/>
        <v>#NAME?</v>
      </c>
      <c r="AL24" t="e">
        <f t="shared" ca="1" si="12"/>
        <v>#NAME?</v>
      </c>
      <c r="CH24" t="s">
        <v>149</v>
      </c>
      <c r="CI24">
        <v>8.0000000000000002E-3</v>
      </c>
      <c r="CK24" t="s">
        <v>148</v>
      </c>
      <c r="CL24" t="s">
        <v>137</v>
      </c>
      <c r="CM24">
        <v>4</v>
      </c>
      <c r="CN24">
        <v>3</v>
      </c>
    </row>
    <row r="25" spans="11:92" x14ac:dyDescent="0.2">
      <c r="L25" t="s">
        <v>120</v>
      </c>
      <c r="M25">
        <v>60</v>
      </c>
      <c r="P25" t="e" cm="1">
        <f t="array" aca="1" ref="P25" ca="1">_xludf.XLOOKUP(K$23,$BX$169:$CG$169,_xludf.XLOOKUP($E$11,$BW$170:$BW$176,$BX$170:$CG$176))</f>
        <v>#NAME?</v>
      </c>
      <c r="Q25" t="e">
        <f t="shared" ca="1" si="0"/>
        <v>#NAME?</v>
      </c>
      <c r="V25">
        <v>1</v>
      </c>
      <c r="W25">
        <v>0</v>
      </c>
      <c r="X25">
        <v>0</v>
      </c>
      <c r="Y25">
        <f t="shared" si="1"/>
        <v>0</v>
      </c>
      <c r="Z25">
        <f>0.1604 * ($AM$13*100) - 1.037</f>
        <v>-1.0369999999999999</v>
      </c>
      <c r="AA25" t="e">
        <f t="shared" ca="1" si="2"/>
        <v>#NAME?</v>
      </c>
      <c r="AB25">
        <f t="shared" si="3"/>
        <v>1</v>
      </c>
      <c r="AC25">
        <f t="shared" si="4"/>
        <v>1.4042250000000001</v>
      </c>
      <c r="AD25">
        <f t="shared" si="5"/>
        <v>1.22673096</v>
      </c>
      <c r="AE25">
        <f t="shared" si="6"/>
        <v>5.7714060544358416E-5</v>
      </c>
      <c r="AF25">
        <f t="shared" si="7"/>
        <v>6.9098751939409913E-4</v>
      </c>
      <c r="AG25">
        <f t="shared" si="8"/>
        <v>0.31598448148036234</v>
      </c>
      <c r="AH25">
        <f t="shared" si="9"/>
        <v>3.7831566686826927</v>
      </c>
      <c r="AI25">
        <f>((0.3 * AC25 * $AN$13 * (1 - ($AM$13 + 0.1)) + (0.105 * $Z25 * $AC25 * 0.008) + (0.0152 * $AC25)) / 6.25) + (0.08 * 0.032 * $W25 / 6.38)</f>
        <v>3.2193644299200004E-3</v>
      </c>
      <c r="AJ25">
        <f t="shared" si="10"/>
        <v>17.626020253812005</v>
      </c>
      <c r="AK25" t="e">
        <f t="shared" ca="1" si="11"/>
        <v>#NAME?</v>
      </c>
      <c r="AL25" t="e">
        <f t="shared" ca="1" si="12"/>
        <v>#NAME?</v>
      </c>
      <c r="CH25" t="s">
        <v>150</v>
      </c>
      <c r="CI25">
        <v>8.0000000000000002E-3</v>
      </c>
      <c r="CK25" t="s">
        <v>148</v>
      </c>
      <c r="CL25" t="s">
        <v>138</v>
      </c>
      <c r="CM25">
        <v>4</v>
      </c>
      <c r="CN25">
        <v>3</v>
      </c>
    </row>
    <row r="26" spans="11:92" x14ac:dyDescent="0.2">
      <c r="L26" t="s">
        <v>121</v>
      </c>
      <c r="M26">
        <v>30</v>
      </c>
      <c r="P26" t="e" cm="1">
        <f t="array" aca="1" ref="P26" ca="1">_xludf.XLOOKUP(K$23,$BX$169:$CG$169,_xludf.XLOOKUP($E$11,$BW$170:$BW$176,$BX$170:$CG$176))</f>
        <v>#NAME?</v>
      </c>
      <c r="Q26" t="e">
        <f t="shared" ca="1" si="0"/>
        <v>#NAME?</v>
      </c>
      <c r="V26">
        <v>1</v>
      </c>
      <c r="W26">
        <v>0</v>
      </c>
      <c r="X26">
        <v>0</v>
      </c>
      <c r="Y26">
        <f t="shared" si="1"/>
        <v>0</v>
      </c>
      <c r="Z26">
        <f>0.1604 * ($AM$14*100) - 1.037</f>
        <v>-1.0369999999999999</v>
      </c>
      <c r="AA26" t="e">
        <f t="shared" ca="1" si="2"/>
        <v>#NAME?</v>
      </c>
      <c r="AB26">
        <f t="shared" si="3"/>
        <v>1</v>
      </c>
      <c r="AC26">
        <f t="shared" si="4"/>
        <v>1.4042250000000001</v>
      </c>
      <c r="AD26">
        <f t="shared" si="5"/>
        <v>1.22673096</v>
      </c>
      <c r="AE26">
        <f t="shared" si="6"/>
        <v>5.7714060544358416E-5</v>
      </c>
      <c r="AF26">
        <f t="shared" si="7"/>
        <v>6.9098751939409913E-4</v>
      </c>
      <c r="AG26">
        <f t="shared" si="8"/>
        <v>0.15799224074018117</v>
      </c>
      <c r="AH26">
        <f t="shared" si="9"/>
        <v>1.8915783343413464</v>
      </c>
      <c r="AI26">
        <f>((0.3 * AC26 * $AN$14 * (1 - ($AM$14 + 0.1)) + (0.105 * $Z26 * $AC26 * 0.008) + (0.0152 * $AC26)) / 6.25) + (0.08 * 0.032 * $W26 / 6.38)</f>
        <v>3.2193644299200004E-3</v>
      </c>
      <c r="AJ26">
        <f t="shared" si="10"/>
        <v>8.8130101269060024</v>
      </c>
      <c r="AK26" t="e">
        <f t="shared" ca="1" si="11"/>
        <v>#NAME?</v>
      </c>
      <c r="AL26" t="e">
        <f t="shared" ca="1" si="12"/>
        <v>#NAME?</v>
      </c>
      <c r="CH26" t="s">
        <v>151</v>
      </c>
      <c r="CI26">
        <v>8.0000000000000002E-3</v>
      </c>
    </row>
    <row r="27" spans="11:92" x14ac:dyDescent="0.2">
      <c r="K27" t="s">
        <v>152</v>
      </c>
      <c r="L27" t="s">
        <v>117</v>
      </c>
      <c r="M27">
        <v>100</v>
      </c>
      <c r="N27" t="e" cm="1">
        <f t="array" aca="1" ref="N27" ca="1">_xludf.XLOOKUP(K27, $BX$46:$CG$46, $BX$47:$CG$50)</f>
        <v>#NAME?</v>
      </c>
      <c r="O27" t="e" cm="1">
        <f t="array" aca="1" ref="O27" ca="1">_xludf.XLOOKUP(K27, $BX$106:$CG$106, $BX$107:$CG$110)</f>
        <v>#NAME?</v>
      </c>
      <c r="P27" t="e" cm="1">
        <f t="array" aca="1" ref="P27" ca="1">_xludf.XLOOKUP(K$27,$BX$169:$CG$169,_xludf.XLOOKUP($E$11,$BW$170:$BW$176,$BX$170:$CG$176))</f>
        <v>#NAME?</v>
      </c>
      <c r="Q27" t="e">
        <f t="shared" ca="1" si="0"/>
        <v>#NAME?</v>
      </c>
      <c r="R27">
        <v>1</v>
      </c>
      <c r="T27">
        <f t="shared" ref="T27:T58" si="13">R27+S27</f>
        <v>1</v>
      </c>
      <c r="U27">
        <f t="shared" ref="U27:U34" si="14">1+(0.3*R27)+(0.1*S27)</f>
        <v>1.3</v>
      </c>
      <c r="V27">
        <f t="shared" ref="V27:V34" si="15">(T27*U27)+(1 - T27)</f>
        <v>1.3</v>
      </c>
      <c r="W27">
        <v>0</v>
      </c>
      <c r="X27">
        <f>VLOOKUP($G$11, $CL$17:$CN$25, 2, FALSE)</f>
        <v>6</v>
      </c>
      <c r="Y27">
        <f t="shared" si="1"/>
        <v>6</v>
      </c>
      <c r="Z27" t="e">
        <f ca="1">0.1604 * ($AM$11*100) - 1.037</f>
        <v>#NAME?</v>
      </c>
      <c r="AA27" t="e">
        <f t="shared" ca="1" si="2"/>
        <v>#NAME?</v>
      </c>
      <c r="AB27" t="e">
        <f t="shared" ca="1" si="3"/>
        <v>#NAME?</v>
      </c>
      <c r="AC27" t="e">
        <f t="shared" ca="1" si="4"/>
        <v>#NAME?</v>
      </c>
      <c r="AD27" t="e">
        <f t="shared" ca="1" si="5"/>
        <v>#NAME?</v>
      </c>
      <c r="AE27" t="e">
        <f t="shared" ca="1" si="6"/>
        <v>#NAME?</v>
      </c>
      <c r="AF27" t="e">
        <f t="shared" ca="1" si="7"/>
        <v>#NAME?</v>
      </c>
      <c r="AG27" t="e">
        <f t="shared" ca="1" si="8"/>
        <v>#NAME?</v>
      </c>
      <c r="AH27" t="e">
        <f t="shared" ca="1" si="9"/>
        <v>#NAME?</v>
      </c>
      <c r="AI27" t="e">
        <f ca="1">((0.3 * AC27 * $AN$11 * (1 - ($AM$11 + 0.1)) + (0.105 * $Z27 * $AC27 * 0.008) + (0.0152 * $AC27)) / 6.25) + (0.08 * 0.032 * $W27 / 6.38)</f>
        <v>#NAME?</v>
      </c>
      <c r="AJ27" t="e">
        <f t="shared" ca="1" si="10"/>
        <v>#NAME?</v>
      </c>
      <c r="AK27" t="e">
        <f t="shared" ca="1" si="11"/>
        <v>#NAME?</v>
      </c>
      <c r="AL27" t="e">
        <f t="shared" ca="1" si="12"/>
        <v>#NAME?</v>
      </c>
      <c r="AM27" t="e" cm="1">
        <f t="array" aca="1" ref="AM27" ca="1">_xludf.XLOOKUP(G$11,$BV$17:$CD$17,$BV$18:$CD$21)</f>
        <v>#NAME?</v>
      </c>
      <c r="AN27" t="e" cm="1">
        <f t="array" aca="1" ref="AN27" ca="1">_xludf.XLOOKUP(G$11,$BV$29:$CD$29,$BV$30:$CD$33)</f>
        <v>#NAME?</v>
      </c>
    </row>
    <row r="28" spans="11:92" x14ac:dyDescent="0.2">
      <c r="L28" t="s">
        <v>119</v>
      </c>
      <c r="M28">
        <v>110</v>
      </c>
      <c r="P28" t="e" cm="1">
        <f t="array" aca="1" ref="P28" ca="1">_xludf.XLOOKUP(K$27,$BX$169:$CG$169,_xludf.XLOOKUP($E$11,$BW$170:$BW$176,$BX$170:$CG$176))</f>
        <v>#NAME?</v>
      </c>
      <c r="Q28" t="e">
        <f t="shared" ca="1" si="0"/>
        <v>#NAME?</v>
      </c>
      <c r="R28">
        <v>0</v>
      </c>
      <c r="S28">
        <v>1</v>
      </c>
      <c r="T28">
        <f t="shared" si="13"/>
        <v>1</v>
      </c>
      <c r="U28">
        <f t="shared" si="14"/>
        <v>1.1000000000000001</v>
      </c>
      <c r="V28">
        <f t="shared" si="15"/>
        <v>1.1000000000000001</v>
      </c>
      <c r="W28">
        <v>0</v>
      </c>
      <c r="X28">
        <f>VLOOKUP($G$11, $CL$17:$CN$25, 3, FALSE)</f>
        <v>4</v>
      </c>
      <c r="Y28">
        <f t="shared" si="1"/>
        <v>4</v>
      </c>
      <c r="Z28">
        <f>0.1604 * ($AM$12*100) - 1.037</f>
        <v>-1.0369999999999999</v>
      </c>
      <c r="AA28" t="e">
        <f t="shared" ca="1" si="2"/>
        <v>#NAME?</v>
      </c>
      <c r="AB28">
        <f t="shared" si="3"/>
        <v>1</v>
      </c>
      <c r="AC28">
        <f t="shared" si="4"/>
        <v>1.5446475000000002</v>
      </c>
      <c r="AD28">
        <f t="shared" si="5"/>
        <v>1.3494040560000002</v>
      </c>
      <c r="AE28">
        <f t="shared" si="6"/>
        <v>6.3485466598794263E-5</v>
      </c>
      <c r="AF28">
        <f t="shared" si="7"/>
        <v>7.6008627133350914E-4</v>
      </c>
      <c r="AG28">
        <f t="shared" si="8"/>
        <v>0.6372353709853974</v>
      </c>
      <c r="AH28">
        <f t="shared" si="9"/>
        <v>7.629365948510098</v>
      </c>
      <c r="AI28">
        <f>((0.3 * AC28 * $AN$12 * (1 - ($AM$12 + 0.1)) + (0.105 * $Z28 * $AC28 * 0.008) + (0.0152 * $AC28)) / 6.25) + (0.08 * 0.032 * $W28 / 6.38)</f>
        <v>3.5413008729119999E-3</v>
      </c>
      <c r="AJ28">
        <f t="shared" si="10"/>
        <v>35.5458075118542</v>
      </c>
      <c r="AK28" t="e">
        <f t="shared" ca="1" si="11"/>
        <v>#NAME?</v>
      </c>
      <c r="AL28" t="e">
        <f t="shared" ca="1" si="12"/>
        <v>#NAME?</v>
      </c>
      <c r="BU28" t="s">
        <v>153</v>
      </c>
      <c r="CK28" t="s">
        <v>105</v>
      </c>
    </row>
    <row r="29" spans="11:92" x14ac:dyDescent="0.2">
      <c r="L29" t="s">
        <v>120</v>
      </c>
      <c r="M29">
        <v>120</v>
      </c>
      <c r="P29" t="e" cm="1">
        <f t="array" aca="1" ref="P29" ca="1">_xludf.XLOOKUP(K$27,$BX$169:$CG$169,_xludf.XLOOKUP($E$11,$BW$170:$BW$176,$BX$170:$CG$176))</f>
        <v>#NAME?</v>
      </c>
      <c r="Q29" t="e">
        <f t="shared" ca="1" si="0"/>
        <v>#NAME?</v>
      </c>
      <c r="R29">
        <v>0</v>
      </c>
      <c r="S29">
        <v>0</v>
      </c>
      <c r="T29">
        <f t="shared" si="13"/>
        <v>0</v>
      </c>
      <c r="U29">
        <f t="shared" si="14"/>
        <v>1</v>
      </c>
      <c r="V29">
        <f t="shared" si="15"/>
        <v>1</v>
      </c>
      <c r="W29">
        <v>0</v>
      </c>
      <c r="X29">
        <v>0</v>
      </c>
      <c r="Y29">
        <f t="shared" si="1"/>
        <v>0</v>
      </c>
      <c r="Z29">
        <f>0.1604 * ($AM$13*100) - 1.037</f>
        <v>-1.0369999999999999</v>
      </c>
      <c r="AA29" t="e">
        <f t="shared" ca="1" si="2"/>
        <v>#NAME?</v>
      </c>
      <c r="AB29">
        <f t="shared" si="3"/>
        <v>1</v>
      </c>
      <c r="AC29">
        <f t="shared" si="4"/>
        <v>1.4042250000000001</v>
      </c>
      <c r="AD29">
        <f t="shared" si="5"/>
        <v>1.22673096</v>
      </c>
      <c r="AE29">
        <f t="shared" si="6"/>
        <v>5.7714060544358416E-5</v>
      </c>
      <c r="AF29">
        <f t="shared" si="7"/>
        <v>6.9098751939409913E-4</v>
      </c>
      <c r="AG29">
        <f t="shared" si="8"/>
        <v>0.63196896296072469</v>
      </c>
      <c r="AH29">
        <f t="shared" si="9"/>
        <v>7.5663133373653855</v>
      </c>
      <c r="AI29">
        <f>((0.3 * AC29 * $AN$13 * (1 - ($AM$13 + 0.1)) + (0.105 * $Z29 * $AC29 * 0.008) + (0.0152 * $AC29)) / 6.25) + (0.08 * 0.032 * $W29 / 6.38)</f>
        <v>3.2193644299200004E-3</v>
      </c>
      <c r="AJ29">
        <f t="shared" si="10"/>
        <v>35.25204050762401</v>
      </c>
      <c r="AK29" t="e">
        <f t="shared" ca="1" si="11"/>
        <v>#NAME?</v>
      </c>
      <c r="AL29" t="e">
        <f t="shared" ca="1" si="12"/>
        <v>#NAME?</v>
      </c>
      <c r="BU29" t="s">
        <v>130</v>
      </c>
      <c r="BV29" t="s">
        <v>113</v>
      </c>
      <c r="BW29" t="s">
        <v>131</v>
      </c>
      <c r="BX29" t="s">
        <v>132</v>
      </c>
      <c r="BY29" t="s">
        <v>133</v>
      </c>
      <c r="BZ29" t="s">
        <v>134</v>
      </c>
      <c r="CA29" t="s">
        <v>135</v>
      </c>
      <c r="CB29" t="s">
        <v>136</v>
      </c>
      <c r="CC29" t="s">
        <v>137</v>
      </c>
      <c r="CD29" t="s">
        <v>138</v>
      </c>
      <c r="CH29" t="s">
        <v>154</v>
      </c>
      <c r="CI29">
        <v>5.8999999999999999E-3</v>
      </c>
      <c r="CL29" t="s">
        <v>112</v>
      </c>
      <c r="CM29">
        <v>0.87</v>
      </c>
    </row>
    <row r="30" spans="11:92" x14ac:dyDescent="0.2">
      <c r="L30" t="s">
        <v>121</v>
      </c>
      <c r="M30">
        <v>130</v>
      </c>
      <c r="P30" t="e" cm="1">
        <f t="array" aca="1" ref="P30" ca="1">_xludf.XLOOKUP(K$27,$BX$169:$CG$169,_xludf.XLOOKUP($E$11,$BW$170:$BW$176,$BX$170:$CG$176))</f>
        <v>#NAME?</v>
      </c>
      <c r="Q30" t="e">
        <f t="shared" ca="1" si="0"/>
        <v>#NAME?</v>
      </c>
      <c r="R30">
        <v>0</v>
      </c>
      <c r="S30">
        <v>0</v>
      </c>
      <c r="T30">
        <f t="shared" si="13"/>
        <v>0</v>
      </c>
      <c r="U30">
        <f t="shared" si="14"/>
        <v>1</v>
      </c>
      <c r="V30">
        <f t="shared" si="15"/>
        <v>1</v>
      </c>
      <c r="W30">
        <v>0</v>
      </c>
      <c r="X30">
        <v>0</v>
      </c>
      <c r="Y30">
        <f t="shared" si="1"/>
        <v>0</v>
      </c>
      <c r="Z30">
        <f>0.1604 * ($AM$14*100) - 1.037</f>
        <v>-1.0369999999999999</v>
      </c>
      <c r="AA30" t="e">
        <f t="shared" ca="1" si="2"/>
        <v>#NAME?</v>
      </c>
      <c r="AB30">
        <f t="shared" si="3"/>
        <v>1</v>
      </c>
      <c r="AC30">
        <f t="shared" si="4"/>
        <v>1.4042250000000001</v>
      </c>
      <c r="AD30">
        <f t="shared" si="5"/>
        <v>1.22673096</v>
      </c>
      <c r="AE30">
        <f t="shared" si="6"/>
        <v>5.7714060544358416E-5</v>
      </c>
      <c r="AF30">
        <f t="shared" si="7"/>
        <v>6.9098751939409913E-4</v>
      </c>
      <c r="AG30">
        <f t="shared" si="8"/>
        <v>0.68463304320745177</v>
      </c>
      <c r="AH30">
        <f t="shared" si="9"/>
        <v>8.1968394488125007</v>
      </c>
      <c r="AI30">
        <f>((0.3 * AC30 * $AN$14 * (1 - ($AM$14 + 0.1)) + (0.105 * $Z30 * $AC30 * 0.008) + (0.0152 * $AC30)) / 6.25) + (0.08 * 0.032 * $W30 / 6.38)</f>
        <v>3.2193644299200004E-3</v>
      </c>
      <c r="AJ30">
        <f t="shared" si="10"/>
        <v>38.189710549926005</v>
      </c>
      <c r="AK30" t="e">
        <f t="shared" ca="1" si="11"/>
        <v>#NAME?</v>
      </c>
      <c r="AL30" t="e">
        <f t="shared" ca="1" si="12"/>
        <v>#NAME?</v>
      </c>
      <c r="BU30" t="s">
        <v>117</v>
      </c>
      <c r="BV30">
        <v>7.0000000000000007E-2</v>
      </c>
      <c r="BW30">
        <v>5.8000000000000003E-2</v>
      </c>
      <c r="BX30">
        <v>7.1999999999999995E-2</v>
      </c>
      <c r="BY30">
        <v>0.16</v>
      </c>
      <c r="BZ30">
        <v>0.2</v>
      </c>
      <c r="CA30">
        <v>0.25</v>
      </c>
      <c r="CB30">
        <v>0.2</v>
      </c>
      <c r="CC30">
        <v>0.04</v>
      </c>
      <c r="CD30">
        <v>0.04</v>
      </c>
      <c r="CH30" t="s">
        <v>114</v>
      </c>
      <c r="CI30">
        <v>7.0000000000000001E-3</v>
      </c>
      <c r="CL30" t="s">
        <v>155</v>
      </c>
      <c r="CM30">
        <v>0.54</v>
      </c>
    </row>
    <row r="31" spans="11:92" x14ac:dyDescent="0.2">
      <c r="K31" t="s">
        <v>156</v>
      </c>
      <c r="L31" t="s">
        <v>117</v>
      </c>
      <c r="M31">
        <v>50</v>
      </c>
      <c r="N31" t="e" cm="1">
        <f t="array" aca="1" ref="N31" ca="1">_xludf.XLOOKUP(K31, $BX$46:$CG$46, $BX$47:$CG$50)</f>
        <v>#NAME?</v>
      </c>
      <c r="O31" t="e" cm="1">
        <f t="array" aca="1" ref="O31" ca="1">_xludf.XLOOKUP(K31, $BX$106:$CG$106, $BX$107:$CG$110)</f>
        <v>#NAME?</v>
      </c>
      <c r="P31" t="e" cm="1">
        <f t="array" aca="1" ref="P31" ca="1">_xludf.XLOOKUP(K$31,$BX$169:$CG$169,_xludf.XLOOKUP($E$11,$BW$170:$BW$176,$BX$170:$CG$176))</f>
        <v>#NAME?</v>
      </c>
      <c r="Q31" t="e">
        <f t="shared" ca="1" si="0"/>
        <v>#NAME?</v>
      </c>
      <c r="R31">
        <v>1</v>
      </c>
      <c r="S31">
        <v>0</v>
      </c>
      <c r="T31">
        <f t="shared" si="13"/>
        <v>1</v>
      </c>
      <c r="U31">
        <f t="shared" si="14"/>
        <v>1.3</v>
      </c>
      <c r="V31">
        <f t="shared" si="15"/>
        <v>1.3</v>
      </c>
      <c r="W31">
        <v>0</v>
      </c>
      <c r="X31">
        <f>VLOOKUP($G$11, $CL$17:$CN$25, 2, FALSE)</f>
        <v>6</v>
      </c>
      <c r="Y31">
        <f t="shared" si="1"/>
        <v>6</v>
      </c>
      <c r="Z31" t="e">
        <f ca="1">0.1604 * ($AM$11*100) - 1.037</f>
        <v>#NAME?</v>
      </c>
      <c r="AA31" t="e">
        <f t="shared" ca="1" si="2"/>
        <v>#NAME?</v>
      </c>
      <c r="AB31" t="e">
        <f t="shared" ca="1" si="3"/>
        <v>#NAME?</v>
      </c>
      <c r="AC31" t="e">
        <f t="shared" ca="1" si="4"/>
        <v>#NAME?</v>
      </c>
      <c r="AD31" t="e">
        <f t="shared" ca="1" si="5"/>
        <v>#NAME?</v>
      </c>
      <c r="AE31" t="e">
        <f t="shared" ca="1" si="6"/>
        <v>#NAME?</v>
      </c>
      <c r="AF31" t="e">
        <f t="shared" ca="1" si="7"/>
        <v>#NAME?</v>
      </c>
      <c r="AG31" t="e">
        <f t="shared" ca="1" si="8"/>
        <v>#NAME?</v>
      </c>
      <c r="AH31" t="e">
        <f t="shared" ca="1" si="9"/>
        <v>#NAME?</v>
      </c>
      <c r="AI31" t="e">
        <f ca="1">((0.3 * AC31 * $AN$11 * (1 - ($AM$11 + 0.1)) + (0.105 * $Z31 * $AC31 * 0.008) + (0.0152 * $AC31)) / 6.25) + (0.08 * 0.032 * $W31 / 6.38)</f>
        <v>#NAME?</v>
      </c>
      <c r="AJ31" t="e">
        <f t="shared" ca="1" si="10"/>
        <v>#NAME?</v>
      </c>
      <c r="AK31" t="e">
        <f t="shared" ca="1" si="11"/>
        <v>#NAME?</v>
      </c>
      <c r="AL31" t="e">
        <f t="shared" ca="1" si="12"/>
        <v>#NAME?</v>
      </c>
      <c r="AM31" t="e" cm="1">
        <f t="array" aca="1" ref="AM31" ca="1">_xludf.XLOOKUP(G$11,$BV$17:$CD$17,$BV$18:$CD$21)</f>
        <v>#NAME?</v>
      </c>
      <c r="AN31" t="e" cm="1">
        <f t="array" aca="1" ref="AN31" ca="1">_xludf.XLOOKUP(G$11,$BV$29:$CD$29,$BV$30:$CD$33)</f>
        <v>#NAME?</v>
      </c>
      <c r="BU31" t="s">
        <v>119</v>
      </c>
      <c r="BV31">
        <v>0.13</v>
      </c>
      <c r="BW31">
        <v>9.1999999999999998E-2</v>
      </c>
      <c r="BX31">
        <v>9.9000000000000005E-2</v>
      </c>
      <c r="BY31">
        <v>7.0000000000000007E-2</v>
      </c>
      <c r="BZ31">
        <v>0.1</v>
      </c>
      <c r="CA31">
        <v>7.0000000000000007E-2</v>
      </c>
      <c r="CB31">
        <v>0.09</v>
      </c>
      <c r="CC31">
        <v>0.12</v>
      </c>
      <c r="CD31">
        <v>0.12</v>
      </c>
      <c r="CH31" t="s">
        <v>157</v>
      </c>
      <c r="CI31">
        <v>1.8E-3</v>
      </c>
      <c r="CK31" t="s">
        <v>131</v>
      </c>
      <c r="CL31" t="s">
        <v>158</v>
      </c>
      <c r="CM31">
        <v>0.51</v>
      </c>
    </row>
    <row r="32" spans="11:92" x14ac:dyDescent="0.2">
      <c r="L32" t="s">
        <v>119</v>
      </c>
      <c r="M32">
        <v>55</v>
      </c>
      <c r="P32" t="e" cm="1">
        <f t="array" aca="1" ref="P32" ca="1">_xludf.XLOOKUP(K$31,$BX$169:$CG$169,_xludf.XLOOKUP($E$11,$BW$170:$BW$176,$BX$170:$CG$176))</f>
        <v>#NAME?</v>
      </c>
      <c r="Q32" t="e">
        <f t="shared" ca="1" si="0"/>
        <v>#NAME?</v>
      </c>
      <c r="R32">
        <v>0</v>
      </c>
      <c r="S32">
        <v>1</v>
      </c>
      <c r="T32">
        <f t="shared" si="13"/>
        <v>1</v>
      </c>
      <c r="U32">
        <f t="shared" si="14"/>
        <v>1.1000000000000001</v>
      </c>
      <c r="V32">
        <f t="shared" si="15"/>
        <v>1.1000000000000001</v>
      </c>
      <c r="W32">
        <v>0</v>
      </c>
      <c r="X32">
        <f>VLOOKUP($G$11, $CL$17:$CN$25, 3, FALSE)</f>
        <v>4</v>
      </c>
      <c r="Y32">
        <f t="shared" si="1"/>
        <v>4</v>
      </c>
      <c r="Z32">
        <f>0.1604 * ($AM$12*100) - 1.037</f>
        <v>-1.0369999999999999</v>
      </c>
      <c r="AA32" t="e">
        <f t="shared" ca="1" si="2"/>
        <v>#NAME?</v>
      </c>
      <c r="AB32">
        <f t="shared" si="3"/>
        <v>1</v>
      </c>
      <c r="AC32">
        <f t="shared" si="4"/>
        <v>1.5446475000000002</v>
      </c>
      <c r="AD32">
        <f t="shared" si="5"/>
        <v>1.3494040560000002</v>
      </c>
      <c r="AE32">
        <f t="shared" si="6"/>
        <v>6.3485466598794263E-5</v>
      </c>
      <c r="AF32">
        <f t="shared" si="7"/>
        <v>7.6008627133350914E-4</v>
      </c>
      <c r="AG32">
        <f t="shared" si="8"/>
        <v>0.3186176854926987</v>
      </c>
      <c r="AH32">
        <f t="shared" si="9"/>
        <v>3.814682974255049</v>
      </c>
      <c r="AI32">
        <f>((0.3 * AC32 * $AN$12 * (1 - ($AM$12 + 0.1)) + (0.105 * $Z32 * $AC32 * 0.008) + (0.0152 * $AC32)) / 6.25) + (0.08 * 0.032 * $W32 / 6.38)</f>
        <v>3.5413008729119999E-3</v>
      </c>
      <c r="AJ32">
        <f t="shared" si="10"/>
        <v>17.7729037559271</v>
      </c>
      <c r="AK32" t="e">
        <f t="shared" ca="1" si="11"/>
        <v>#NAME?</v>
      </c>
      <c r="AL32" t="e">
        <f t="shared" ca="1" si="12"/>
        <v>#NAME?</v>
      </c>
      <c r="BU32" t="s">
        <v>120</v>
      </c>
      <c r="BV32">
        <v>0.1</v>
      </c>
      <c r="BW32">
        <v>7.4999999999999997E-2</v>
      </c>
      <c r="BX32">
        <v>7.8E-2</v>
      </c>
      <c r="BY32">
        <v>0.09</v>
      </c>
      <c r="BZ32">
        <v>0.16</v>
      </c>
      <c r="CA32">
        <v>0.1</v>
      </c>
      <c r="CB32">
        <v>0.06</v>
      </c>
      <c r="CC32">
        <v>0.09</v>
      </c>
      <c r="CD32">
        <v>0.09</v>
      </c>
      <c r="CH32" t="s">
        <v>159</v>
      </c>
      <c r="CI32">
        <v>2.8999999999999998E-3</v>
      </c>
      <c r="CL32" t="s">
        <v>160</v>
      </c>
      <c r="CM32">
        <v>0.03</v>
      </c>
    </row>
    <row r="33" spans="11:91" x14ac:dyDescent="0.2">
      <c r="L33" t="s">
        <v>120</v>
      </c>
      <c r="M33">
        <v>60</v>
      </c>
      <c r="P33" t="e" cm="1">
        <f t="array" aca="1" ref="P33" ca="1">_xludf.XLOOKUP(K$31,$BX$169:$CG$169,_xludf.XLOOKUP($E$11,$BW$170:$BW$176,$BX$170:$CG$176))</f>
        <v>#NAME?</v>
      </c>
      <c r="Q33" t="e">
        <f t="shared" ca="1" si="0"/>
        <v>#NAME?</v>
      </c>
      <c r="R33">
        <v>0</v>
      </c>
      <c r="S33">
        <v>0</v>
      </c>
      <c r="T33">
        <f t="shared" si="13"/>
        <v>0</v>
      </c>
      <c r="U33">
        <f t="shared" si="14"/>
        <v>1</v>
      </c>
      <c r="V33">
        <f t="shared" si="15"/>
        <v>1</v>
      </c>
      <c r="W33">
        <v>0</v>
      </c>
      <c r="X33">
        <v>0</v>
      </c>
      <c r="Y33">
        <f t="shared" si="1"/>
        <v>0</v>
      </c>
      <c r="Z33">
        <f>0.1604 * ($AM$13*100) - 1.037</f>
        <v>-1.0369999999999999</v>
      </c>
      <c r="AA33" t="e">
        <f t="shared" ca="1" si="2"/>
        <v>#NAME?</v>
      </c>
      <c r="AB33">
        <f t="shared" si="3"/>
        <v>1</v>
      </c>
      <c r="AC33">
        <f t="shared" si="4"/>
        <v>1.4042250000000001</v>
      </c>
      <c r="AD33">
        <f t="shared" si="5"/>
        <v>1.22673096</v>
      </c>
      <c r="AE33">
        <f t="shared" si="6"/>
        <v>5.7714060544358416E-5</v>
      </c>
      <c r="AF33">
        <f t="shared" si="7"/>
        <v>6.9098751939409913E-4</v>
      </c>
      <c r="AG33">
        <f t="shared" si="8"/>
        <v>0.31598448148036234</v>
      </c>
      <c r="AH33">
        <f t="shared" si="9"/>
        <v>3.7831566686826927</v>
      </c>
      <c r="AI33">
        <f>((0.3 * AC33 * $AN$13 * (1 - ($AM$13 + 0.1)) + (0.105 * $Z33 * $AC33 * 0.008) + (0.0152 * $AC33)) / 6.25) + (0.08 * 0.032 * $W33 / 6.38)</f>
        <v>3.2193644299200004E-3</v>
      </c>
      <c r="AJ33">
        <f t="shared" si="10"/>
        <v>17.626020253812005</v>
      </c>
      <c r="AK33" t="e">
        <f t="shared" ca="1" si="11"/>
        <v>#NAME?</v>
      </c>
      <c r="AL33" t="e">
        <f t="shared" ca="1" si="12"/>
        <v>#NAME?</v>
      </c>
      <c r="BU33" t="s">
        <v>121</v>
      </c>
      <c r="BV33">
        <v>0.06</v>
      </c>
      <c r="BW33">
        <v>5.2999999999999999E-2</v>
      </c>
      <c r="BX33">
        <v>5.8999999999999997E-2</v>
      </c>
      <c r="BY33">
        <v>0.2</v>
      </c>
      <c r="BZ33">
        <v>0.2</v>
      </c>
      <c r="CA33">
        <v>0.21</v>
      </c>
      <c r="CB33">
        <v>0.2</v>
      </c>
      <c r="CC33">
        <v>0.06</v>
      </c>
      <c r="CD33">
        <v>0.06</v>
      </c>
      <c r="CH33" t="s">
        <v>161</v>
      </c>
      <c r="CI33">
        <v>8.0000000000000002E-3</v>
      </c>
      <c r="CL33" t="s">
        <v>162</v>
      </c>
      <c r="CM33">
        <v>7.0000000000000007E-2</v>
      </c>
    </row>
    <row r="34" spans="11:91" x14ac:dyDescent="0.2">
      <c r="L34" t="s">
        <v>121</v>
      </c>
      <c r="M34">
        <v>65</v>
      </c>
      <c r="P34" t="e" cm="1">
        <f t="array" aca="1" ref="P34" ca="1">_xludf.XLOOKUP(K$31,$BX$169:$CG$169,_xludf.XLOOKUP($E$11,$BW$170:$BW$176,$BX$170:$CG$176))</f>
        <v>#NAME?</v>
      </c>
      <c r="Q34" t="e">
        <f t="shared" ca="1" si="0"/>
        <v>#NAME?</v>
      </c>
      <c r="R34">
        <v>0</v>
      </c>
      <c r="S34">
        <v>0</v>
      </c>
      <c r="T34">
        <f t="shared" si="13"/>
        <v>0</v>
      </c>
      <c r="U34">
        <f t="shared" si="14"/>
        <v>1</v>
      </c>
      <c r="V34">
        <f t="shared" si="15"/>
        <v>1</v>
      </c>
      <c r="W34">
        <v>0</v>
      </c>
      <c r="X34">
        <v>0</v>
      </c>
      <c r="Y34">
        <f t="shared" si="1"/>
        <v>0</v>
      </c>
      <c r="Z34">
        <f>0.1604 * ($AM$14*100) - 1.037</f>
        <v>-1.0369999999999999</v>
      </c>
      <c r="AA34" t="e">
        <f t="shared" ca="1" si="2"/>
        <v>#NAME?</v>
      </c>
      <c r="AB34">
        <f t="shared" si="3"/>
        <v>1</v>
      </c>
      <c r="AC34">
        <f t="shared" si="4"/>
        <v>1.4042250000000001</v>
      </c>
      <c r="AD34">
        <f t="shared" si="5"/>
        <v>1.22673096</v>
      </c>
      <c r="AE34">
        <f t="shared" si="6"/>
        <v>5.7714060544358416E-5</v>
      </c>
      <c r="AF34">
        <f t="shared" si="7"/>
        <v>6.9098751939409913E-4</v>
      </c>
      <c r="AG34">
        <f t="shared" si="8"/>
        <v>0.34231652160372589</v>
      </c>
      <c r="AH34">
        <f t="shared" si="9"/>
        <v>4.0984197244062504</v>
      </c>
      <c r="AI34">
        <f>((0.3 * AC34 * $AN$14 * (1 - ($AM$14 + 0.1)) + (0.105 * $Z34 * $AC34 * 0.008) + (0.0152 * $AC34)) / 6.25) + (0.08 * 0.032 * $W34 / 6.38)</f>
        <v>3.2193644299200004E-3</v>
      </c>
      <c r="AJ34">
        <f t="shared" si="10"/>
        <v>19.094855274963003</v>
      </c>
      <c r="AK34" t="e">
        <f t="shared" ca="1" si="11"/>
        <v>#NAME?</v>
      </c>
      <c r="AL34" t="e">
        <f t="shared" ca="1" si="12"/>
        <v>#NAME?</v>
      </c>
      <c r="CL34" t="s">
        <v>163</v>
      </c>
      <c r="CM34">
        <v>0.92</v>
      </c>
    </row>
    <row r="35" spans="11:91" x14ac:dyDescent="0.2">
      <c r="K35" t="s">
        <v>164</v>
      </c>
      <c r="L35" t="s">
        <v>117</v>
      </c>
      <c r="M35">
        <v>200</v>
      </c>
      <c r="N35" t="e" cm="1">
        <f t="array" aca="1" ref="N35" ca="1">_xludf.XLOOKUP(K35, $BX$46:$CG$46, $BX$47:$CG$50)</f>
        <v>#NAME?</v>
      </c>
      <c r="O35" t="e" cm="1">
        <f t="array" aca="1" ref="O35" ca="1">_xludf.XLOOKUP(K35, $BX$106:$CG$106, $BX$107:$CG$110)</f>
        <v>#NAME?</v>
      </c>
      <c r="P35" t="e" cm="1">
        <f t="array" aca="1" ref="P35" ca="1">_xludf.XLOOKUP(K$35,$BX$169:$CG$169,_xludf.XLOOKUP($E$11,$BW$170:$BW$176,$BX$170:$CG$176))</f>
        <v>#NAME?</v>
      </c>
      <c r="Q35" t="e">
        <f t="shared" ca="1" si="0"/>
        <v>#NAME?</v>
      </c>
      <c r="S35">
        <v>0</v>
      </c>
      <c r="T35">
        <f t="shared" si="13"/>
        <v>0</v>
      </c>
      <c r="V35">
        <v>1</v>
      </c>
      <c r="W35">
        <f>VLOOKUP($G$11, $CL$17:$CN$25, 2, FALSE)</f>
        <v>6</v>
      </c>
      <c r="X35">
        <v>0</v>
      </c>
      <c r="Y35">
        <f t="shared" si="1"/>
        <v>0</v>
      </c>
      <c r="Z35" t="e">
        <f ca="1">0.1604 * ($AM$11*100) - 1.037</f>
        <v>#NAME?</v>
      </c>
      <c r="AA35" t="e">
        <f t="shared" ca="1" si="2"/>
        <v>#NAME?</v>
      </c>
      <c r="AB35" t="e">
        <f t="shared" ca="1" si="3"/>
        <v>#NAME?</v>
      </c>
      <c r="AC35" t="e">
        <f t="shared" ca="1" si="4"/>
        <v>#NAME?</v>
      </c>
      <c r="AD35" t="e">
        <f t="shared" ca="1" si="5"/>
        <v>#NAME?</v>
      </c>
      <c r="AE35" t="e">
        <f t="shared" ca="1" si="6"/>
        <v>#NAME?</v>
      </c>
      <c r="AF35" t="e">
        <f t="shared" ca="1" si="7"/>
        <v>#NAME?</v>
      </c>
      <c r="AG35" t="e">
        <f t="shared" ca="1" si="8"/>
        <v>#NAME?</v>
      </c>
      <c r="AH35" t="e">
        <f t="shared" ca="1" si="9"/>
        <v>#NAME?</v>
      </c>
      <c r="AI35" t="e">
        <f ca="1">((0.3 * AC35 * $AN$11 * (1 - ($AM$11 + 0.1)) + (0.105 * $Z35 * $AC35 * 0.008) + (0.0152 * $AC35)) / 6.25) + (0.08 * 0.032 * $W35 / 6.38)</f>
        <v>#NAME?</v>
      </c>
      <c r="AJ35" t="e">
        <f t="shared" ca="1" si="10"/>
        <v>#NAME?</v>
      </c>
      <c r="AK35" t="e">
        <f t="shared" ca="1" si="11"/>
        <v>#NAME?</v>
      </c>
      <c r="AL35" t="e">
        <f t="shared" ca="1" si="12"/>
        <v>#NAME?</v>
      </c>
      <c r="AM35" t="e" cm="1">
        <f t="array" aca="1" ref="AM35" ca="1">_xludf.XLOOKUP(G$11,$BV$17:$CD$17,$BV$18:$CD$21)</f>
        <v>#NAME?</v>
      </c>
      <c r="AN35" t="e" cm="1">
        <f t="array" aca="1" ref="AN35" ca="1">_xludf.XLOOKUP(G$11,$BV$29:$CD$29,$BV$30:$CD$33)</f>
        <v>#NAME?</v>
      </c>
      <c r="CK35" t="s">
        <v>132</v>
      </c>
      <c r="CL35" t="s">
        <v>165</v>
      </c>
      <c r="CM35">
        <v>0.22</v>
      </c>
    </row>
    <row r="36" spans="11:91" x14ac:dyDescent="0.2">
      <c r="L36" t="s">
        <v>119</v>
      </c>
      <c r="M36">
        <v>130</v>
      </c>
      <c r="P36" t="e" cm="1">
        <f t="array" aca="1" ref="P36" ca="1">_xludf.XLOOKUP(K$35,$BX$169:$CG$169,_xludf.XLOOKUP($E$11,$BW$170:$BW$176,$BX$170:$CG$176))</f>
        <v>#NAME?</v>
      </c>
      <c r="Q36" t="e">
        <f t="shared" ca="1" si="0"/>
        <v>#NAME?</v>
      </c>
      <c r="T36">
        <f t="shared" si="13"/>
        <v>0</v>
      </c>
      <c r="V36">
        <v>1</v>
      </c>
      <c r="W36">
        <f>VLOOKUP($G$11, $CL$17:$CN$25, 3, FALSE)</f>
        <v>4</v>
      </c>
      <c r="X36">
        <v>0</v>
      </c>
      <c r="Y36">
        <f t="shared" si="1"/>
        <v>0</v>
      </c>
      <c r="Z36">
        <f>0.1604 * ($AM$12*100) - 1.037</f>
        <v>-1.0369999999999999</v>
      </c>
      <c r="AA36" t="e">
        <f t="shared" ca="1" si="2"/>
        <v>#NAME?</v>
      </c>
      <c r="AB36">
        <f t="shared" si="3"/>
        <v>1</v>
      </c>
      <c r="AC36">
        <f t="shared" si="4"/>
        <v>1.4042250000000001</v>
      </c>
      <c r="AD36">
        <f t="shared" si="5"/>
        <v>1.22673096</v>
      </c>
      <c r="AE36">
        <f t="shared" si="6"/>
        <v>5.7714060544358416E-5</v>
      </c>
      <c r="AF36">
        <f t="shared" si="7"/>
        <v>6.9098751939409913E-4</v>
      </c>
      <c r="AG36">
        <f t="shared" si="8"/>
        <v>0.68463304320745177</v>
      </c>
      <c r="AH36">
        <f t="shared" si="9"/>
        <v>8.1968394488125007</v>
      </c>
      <c r="AI36">
        <f>((0.3 * AC36 * $AN$12 * (1 - ($AM$12 + 0.1)) + (0.105 * $Z36 * $AC36 * 0.008) + (0.0152 * $AC36)) / 6.25) + (0.08 * 0.032 * $W36 / 6.38)</f>
        <v>4.824380103901192E-3</v>
      </c>
      <c r="AJ36">
        <f t="shared" si="10"/>
        <v>57.229208982527886</v>
      </c>
      <c r="AK36" t="e">
        <f t="shared" ca="1" si="11"/>
        <v>#NAME?</v>
      </c>
      <c r="AL36" t="e">
        <f t="shared" ca="1" si="12"/>
        <v>#NAME?</v>
      </c>
      <c r="CL36" t="s">
        <v>166</v>
      </c>
      <c r="CM36">
        <v>0.18</v>
      </c>
    </row>
    <row r="37" spans="11:91" x14ac:dyDescent="0.2">
      <c r="L37" t="s">
        <v>120</v>
      </c>
      <c r="M37">
        <v>250</v>
      </c>
      <c r="P37" t="e" cm="1">
        <f t="array" aca="1" ref="P37" ca="1">_xludf.XLOOKUP(K$35,$BX$169:$CG$169,_xludf.XLOOKUP($E$11,$BW$170:$BW$176,$BX$170:$CG$176))</f>
        <v>#NAME?</v>
      </c>
      <c r="Q37" t="e">
        <f t="shared" ca="1" si="0"/>
        <v>#NAME?</v>
      </c>
      <c r="T37">
        <f t="shared" si="13"/>
        <v>0</v>
      </c>
      <c r="V37">
        <v>1</v>
      </c>
      <c r="W37">
        <v>0</v>
      </c>
      <c r="X37">
        <v>0</v>
      </c>
      <c r="Y37">
        <f t="shared" si="1"/>
        <v>0</v>
      </c>
      <c r="Z37">
        <f>0.1604 * ($AM$13*100) - 1.037</f>
        <v>-1.0369999999999999</v>
      </c>
      <c r="AA37" t="e">
        <f t="shared" ca="1" si="2"/>
        <v>#NAME?</v>
      </c>
      <c r="AB37">
        <f t="shared" si="3"/>
        <v>1</v>
      </c>
      <c r="AC37">
        <f t="shared" si="4"/>
        <v>1.4042250000000001</v>
      </c>
      <c r="AD37">
        <f t="shared" si="5"/>
        <v>1.22673096</v>
      </c>
      <c r="AE37">
        <f t="shared" si="6"/>
        <v>5.7714060544358416E-5</v>
      </c>
      <c r="AF37">
        <f t="shared" si="7"/>
        <v>6.9098751939409913E-4</v>
      </c>
      <c r="AG37">
        <f t="shared" si="8"/>
        <v>1.3166020061681765</v>
      </c>
      <c r="AH37">
        <f t="shared" si="9"/>
        <v>15.763152786177885</v>
      </c>
      <c r="AI37">
        <f>((0.3 * AC37 * $AN$13 * (1 - ($AM$13 + 0.1)) + (0.105 * $Z37 * $AC37 * 0.008) + (0.0152 * $AC37)) / 6.25) + (0.08 * 0.032 * $W37 / 6.38)</f>
        <v>3.2193644299200004E-3</v>
      </c>
      <c r="AJ37">
        <f t="shared" si="10"/>
        <v>73.441751057550007</v>
      </c>
      <c r="AK37" t="e">
        <f t="shared" ca="1" si="11"/>
        <v>#NAME?</v>
      </c>
      <c r="AL37" t="e">
        <f t="shared" ca="1" si="12"/>
        <v>#NAME?</v>
      </c>
      <c r="CL37" t="s">
        <v>167</v>
      </c>
      <c r="CM37">
        <v>0.64</v>
      </c>
    </row>
    <row r="38" spans="11:91" x14ac:dyDescent="0.2">
      <c r="L38" t="s">
        <v>121</v>
      </c>
      <c r="M38">
        <v>150</v>
      </c>
      <c r="P38" t="e" cm="1">
        <f t="array" aca="1" ref="P38" ca="1">_xludf.XLOOKUP(K$35,$BX$169:$CG$169,_xludf.XLOOKUP($E$11,$BW$170:$BW$176,$BX$170:$CG$176))</f>
        <v>#NAME?</v>
      </c>
      <c r="Q38" t="e">
        <f t="shared" ca="1" si="0"/>
        <v>#NAME?</v>
      </c>
      <c r="T38">
        <f t="shared" si="13"/>
        <v>0</v>
      </c>
      <c r="V38">
        <v>1</v>
      </c>
      <c r="W38">
        <v>0</v>
      </c>
      <c r="X38">
        <v>0</v>
      </c>
      <c r="Y38">
        <f t="shared" si="1"/>
        <v>0</v>
      </c>
      <c r="Z38">
        <f>0.1604 * ($AM$14*100) - 1.037</f>
        <v>-1.0369999999999999</v>
      </c>
      <c r="AA38" t="e">
        <f t="shared" ca="1" si="2"/>
        <v>#NAME?</v>
      </c>
      <c r="AB38">
        <f t="shared" si="3"/>
        <v>1</v>
      </c>
      <c r="AC38">
        <f t="shared" si="4"/>
        <v>1.4042250000000001</v>
      </c>
      <c r="AD38">
        <f t="shared" si="5"/>
        <v>1.22673096</v>
      </c>
      <c r="AE38">
        <f t="shared" si="6"/>
        <v>5.7714060544358416E-5</v>
      </c>
      <c r="AF38">
        <f t="shared" si="7"/>
        <v>6.9098751939409913E-4</v>
      </c>
      <c r="AG38">
        <f t="shared" si="8"/>
        <v>0.78996120370090595</v>
      </c>
      <c r="AH38">
        <f t="shared" si="9"/>
        <v>9.457891671706733</v>
      </c>
      <c r="AI38">
        <f>((0.3 * AC38 * $AN$14 * (1 - ($AM$14 + 0.1)) + (0.105 * $Z38 * $AC38 * 0.008) + (0.0152 * $AC38)) / 6.25) + (0.08 * 0.032 * $W38 / 6.38)</f>
        <v>3.2193644299200004E-3</v>
      </c>
      <c r="AJ38">
        <f t="shared" si="10"/>
        <v>44.065050634530003</v>
      </c>
      <c r="AK38" t="e">
        <f t="shared" ca="1" si="11"/>
        <v>#NAME?</v>
      </c>
      <c r="AL38" t="e">
        <f t="shared" ca="1" si="12"/>
        <v>#NAME?</v>
      </c>
      <c r="CL38" t="s">
        <v>168</v>
      </c>
      <c r="CM38">
        <v>7.0000000000000007E-2</v>
      </c>
    </row>
    <row r="39" spans="11:91" x14ac:dyDescent="0.2">
      <c r="K39" t="s">
        <v>169</v>
      </c>
      <c r="L39" t="s">
        <v>117</v>
      </c>
      <c r="M39">
        <v>20</v>
      </c>
      <c r="N39" t="e" cm="1">
        <f t="array" aca="1" ref="N39" ca="1">_xludf.XLOOKUP(K39, $BX$46:$CG$46, $BX$47:$CG$50)</f>
        <v>#NAME?</v>
      </c>
      <c r="O39" t="e" cm="1">
        <f t="array" aca="1" ref="O39" ca="1">_xludf.XLOOKUP(K39, $BX$106:$CG$106, $BX$107:$CG$110)</f>
        <v>#NAME?</v>
      </c>
      <c r="P39" t="e" cm="1">
        <f t="array" aca="1" ref="P39" ca="1">_xludf.XLOOKUP(K$39,$BX$169:$CG$169,_xludf.XLOOKUP($E$11,$BW$170:$BW$176,$BX$170:$CG$176))</f>
        <v>#NAME?</v>
      </c>
      <c r="Q39" t="e">
        <f t="shared" ca="1" si="0"/>
        <v>#NAME?</v>
      </c>
      <c r="T39">
        <f t="shared" si="13"/>
        <v>0</v>
      </c>
      <c r="V39">
        <v>1</v>
      </c>
      <c r="W39">
        <v>0</v>
      </c>
      <c r="X39">
        <v>0</v>
      </c>
      <c r="Y39">
        <f t="shared" si="1"/>
        <v>0</v>
      </c>
      <c r="Z39" t="e">
        <f ca="1">0.1604 * ($AM$11*100) - 1.037</f>
        <v>#NAME?</v>
      </c>
      <c r="AA39" t="e">
        <f t="shared" ca="1" si="2"/>
        <v>#NAME?</v>
      </c>
      <c r="AB39" t="e">
        <f t="shared" ca="1" si="3"/>
        <v>#NAME?</v>
      </c>
      <c r="AC39" t="e">
        <f t="shared" ca="1" si="4"/>
        <v>#NAME?</v>
      </c>
      <c r="AD39" t="e">
        <f t="shared" ca="1" si="5"/>
        <v>#NAME?</v>
      </c>
      <c r="AE39" t="e">
        <f t="shared" ca="1" si="6"/>
        <v>#NAME?</v>
      </c>
      <c r="AF39" t="e">
        <f t="shared" ca="1" si="7"/>
        <v>#NAME?</v>
      </c>
      <c r="AG39" t="e">
        <f t="shared" ca="1" si="8"/>
        <v>#NAME?</v>
      </c>
      <c r="AH39" t="e">
        <f t="shared" ca="1" si="9"/>
        <v>#NAME?</v>
      </c>
      <c r="AI39" t="e">
        <f ca="1">((0.3 * AC39 * $AN$11 * (1 - ($AM$11 + 0.1)) + (0.105 * $Z39 * $AC39 * 0.008) + (0.0152 * $AC39)) / 6.25) + (0.08 * 0.032 * $W39 / 6.38)</f>
        <v>#NAME?</v>
      </c>
      <c r="AJ39" t="e">
        <f t="shared" ca="1" si="10"/>
        <v>#NAME?</v>
      </c>
      <c r="AK39" t="e">
        <f t="shared" ca="1" si="11"/>
        <v>#NAME?</v>
      </c>
      <c r="AL39" t="e">
        <f t="shared" ca="1" si="12"/>
        <v>#NAME?</v>
      </c>
      <c r="AM39" t="e" cm="1">
        <f t="array" aca="1" ref="AM39" ca="1">_xludf.XLOOKUP(G$11,$BV$17:$CD$17,$BV$18:$CD$21)</f>
        <v>#NAME?</v>
      </c>
      <c r="AN39" t="e" cm="1">
        <f t="array" aca="1" ref="AN39" ca="1">_xludf.XLOOKUP(G$11,$BV$29:$CD$29,$BV$30:$CD$33)</f>
        <v>#NAME?</v>
      </c>
      <c r="CL39" t="s">
        <v>170</v>
      </c>
      <c r="CM39">
        <v>0.18</v>
      </c>
    </row>
    <row r="40" spans="11:91" x14ac:dyDescent="0.2">
      <c r="L40" t="s">
        <v>119</v>
      </c>
      <c r="M40">
        <v>30</v>
      </c>
      <c r="P40" t="e" cm="1">
        <f t="array" aca="1" ref="P40" ca="1">_xludf.XLOOKUP(K$39,$BX$169:$CG$169,_xludf.XLOOKUP($E$11,$BW$170:$BW$176,$BX$170:$CG$176))</f>
        <v>#NAME?</v>
      </c>
      <c r="Q40" t="e">
        <f t="shared" ca="1" si="0"/>
        <v>#NAME?</v>
      </c>
      <c r="T40">
        <f t="shared" si="13"/>
        <v>0</v>
      </c>
      <c r="V40">
        <v>1</v>
      </c>
      <c r="W40">
        <v>0</v>
      </c>
      <c r="X40">
        <v>0</v>
      </c>
      <c r="Y40">
        <f t="shared" si="1"/>
        <v>0</v>
      </c>
      <c r="Z40">
        <f>0.1604 * ($AM$12*100) - 1.037</f>
        <v>-1.0369999999999999</v>
      </c>
      <c r="AA40" t="e">
        <f t="shared" ca="1" si="2"/>
        <v>#NAME?</v>
      </c>
      <c r="AB40">
        <f t="shared" si="3"/>
        <v>1</v>
      </c>
      <c r="AC40">
        <f t="shared" si="4"/>
        <v>1.4042250000000001</v>
      </c>
      <c r="AD40">
        <f t="shared" si="5"/>
        <v>1.22673096</v>
      </c>
      <c r="AE40">
        <f t="shared" si="6"/>
        <v>5.7714060544358416E-5</v>
      </c>
      <c r="AF40">
        <f t="shared" si="7"/>
        <v>6.9098751939409913E-4</v>
      </c>
      <c r="AG40">
        <f t="shared" si="8"/>
        <v>0.15799224074018117</v>
      </c>
      <c r="AH40">
        <f t="shared" si="9"/>
        <v>1.8915783343413464</v>
      </c>
      <c r="AI40">
        <f>((0.3 * AC40 * $AN$12 * (1 - ($AM$12 + 0.1)) + (0.105 * $Z40 * $AC40 * 0.008) + (0.0152 * $AC40)) / 6.25) + (0.08 * 0.032 * $W40 / 6.38)</f>
        <v>3.2193644299200004E-3</v>
      </c>
      <c r="AJ40">
        <f t="shared" si="10"/>
        <v>8.8130101269060024</v>
      </c>
      <c r="AK40" t="e">
        <f t="shared" ca="1" si="11"/>
        <v>#NAME?</v>
      </c>
      <c r="AL40" t="e">
        <f t="shared" ca="1" si="12"/>
        <v>#NAME?</v>
      </c>
      <c r="CL40" t="s">
        <v>133</v>
      </c>
      <c r="CM40">
        <v>0.22</v>
      </c>
    </row>
    <row r="41" spans="11:91" x14ac:dyDescent="0.2">
      <c r="L41" t="s">
        <v>120</v>
      </c>
      <c r="M41">
        <v>60</v>
      </c>
      <c r="P41" t="e" cm="1">
        <f t="array" aca="1" ref="P41" ca="1">_xludf.XLOOKUP(K$39,$BX$169:$CG$169,_xludf.XLOOKUP($E$11,$BW$170:$BW$176,$BX$170:$CG$176))</f>
        <v>#NAME?</v>
      </c>
      <c r="Q41" t="e">
        <f t="shared" ca="1" si="0"/>
        <v>#NAME?</v>
      </c>
      <c r="T41">
        <f t="shared" si="13"/>
        <v>0</v>
      </c>
      <c r="V41">
        <v>1</v>
      </c>
      <c r="W41">
        <v>0</v>
      </c>
      <c r="X41">
        <v>0</v>
      </c>
      <c r="Y41">
        <f t="shared" si="1"/>
        <v>0</v>
      </c>
      <c r="Z41">
        <f>0.1604 * ($AM$13*100) - 1.037</f>
        <v>-1.0369999999999999</v>
      </c>
      <c r="AA41" t="e">
        <f t="shared" ca="1" si="2"/>
        <v>#NAME?</v>
      </c>
      <c r="AB41">
        <f t="shared" si="3"/>
        <v>1</v>
      </c>
      <c r="AC41">
        <f t="shared" si="4"/>
        <v>1.4042250000000001</v>
      </c>
      <c r="AD41">
        <f t="shared" si="5"/>
        <v>1.22673096</v>
      </c>
      <c r="AE41">
        <f t="shared" si="6"/>
        <v>5.7714060544358416E-5</v>
      </c>
      <c r="AF41">
        <f t="shared" si="7"/>
        <v>6.9098751939409913E-4</v>
      </c>
      <c r="AG41">
        <f t="shared" si="8"/>
        <v>0.31598448148036234</v>
      </c>
      <c r="AH41">
        <f t="shared" si="9"/>
        <v>3.7831566686826927</v>
      </c>
      <c r="AI41">
        <f>((0.3 * AC41 * $AN$13 * (1 - ($AM$13 + 0.1)) + (0.105 * $Z41 * $AC41 * 0.008) + (0.0152 * $AC41)) / 6.25) + (0.08 * 0.032 * $W41 / 6.38)</f>
        <v>3.2193644299200004E-3</v>
      </c>
      <c r="AJ41">
        <f t="shared" si="10"/>
        <v>17.626020253812005</v>
      </c>
      <c r="AK41" t="e">
        <f t="shared" ca="1" si="11"/>
        <v>#NAME?</v>
      </c>
      <c r="AL41" t="e">
        <f t="shared" ca="1" si="12"/>
        <v>#NAME?</v>
      </c>
      <c r="CL41" t="s">
        <v>134</v>
      </c>
      <c r="CM41">
        <v>0.71</v>
      </c>
    </row>
    <row r="42" spans="11:91" x14ac:dyDescent="0.2">
      <c r="L42" t="s">
        <v>121</v>
      </c>
      <c r="M42">
        <v>30</v>
      </c>
      <c r="P42" t="e" cm="1">
        <f t="array" aca="1" ref="P42" ca="1">_xludf.XLOOKUP(K$39,$BX$169:$CG$169,_xludf.XLOOKUP($E$11,$BW$170:$BW$176,$BX$170:$CG$176))</f>
        <v>#NAME?</v>
      </c>
      <c r="Q42" t="e">
        <f t="shared" ca="1" si="0"/>
        <v>#NAME?</v>
      </c>
      <c r="T42">
        <f t="shared" si="13"/>
        <v>0</v>
      </c>
      <c r="V42">
        <v>1</v>
      </c>
      <c r="W42">
        <v>0</v>
      </c>
      <c r="X42">
        <v>0</v>
      </c>
      <c r="Y42">
        <f t="shared" si="1"/>
        <v>0</v>
      </c>
      <c r="Z42">
        <f>0.1604 * ($AM$14*100) - 1.037</f>
        <v>-1.0369999999999999</v>
      </c>
      <c r="AA42" t="e">
        <f t="shared" ca="1" si="2"/>
        <v>#NAME?</v>
      </c>
      <c r="AB42">
        <f t="shared" si="3"/>
        <v>1</v>
      </c>
      <c r="AC42">
        <f t="shared" si="4"/>
        <v>1.4042250000000001</v>
      </c>
      <c r="AD42">
        <f t="shared" si="5"/>
        <v>1.22673096</v>
      </c>
      <c r="AE42">
        <f t="shared" si="6"/>
        <v>5.7714060544358416E-5</v>
      </c>
      <c r="AF42">
        <f t="shared" si="7"/>
        <v>6.9098751939409913E-4</v>
      </c>
      <c r="AG42">
        <f t="shared" si="8"/>
        <v>0.15799224074018117</v>
      </c>
      <c r="AH42">
        <f t="shared" si="9"/>
        <v>1.8915783343413464</v>
      </c>
      <c r="AI42">
        <f>((0.3 * AC42 * $AN$14 * (1 - ($AM$14 + 0.1)) + (0.105 * $Z42 * $AC42 * 0.008) + (0.0152 * $AC42)) / 6.25) + (0.08 * 0.032 * $W42 / 6.38)</f>
        <v>3.2193644299200004E-3</v>
      </c>
      <c r="AJ42">
        <f t="shared" si="10"/>
        <v>8.8130101269060024</v>
      </c>
      <c r="AK42" t="e">
        <f t="shared" ca="1" si="11"/>
        <v>#NAME?</v>
      </c>
      <c r="AL42" t="e">
        <f t="shared" ca="1" si="12"/>
        <v>#NAME?</v>
      </c>
      <c r="CL42" t="s">
        <v>135</v>
      </c>
      <c r="CM42">
        <v>0.56000000000000005</v>
      </c>
    </row>
    <row r="43" spans="11:91" x14ac:dyDescent="0.2">
      <c r="K43" t="s">
        <v>171</v>
      </c>
      <c r="L43" t="s">
        <v>117</v>
      </c>
      <c r="M43">
        <v>100</v>
      </c>
      <c r="N43" t="e" cm="1">
        <f t="array" aca="1" ref="N43" ca="1">_xludf.XLOOKUP(K43, $BX$46:$CG$46, $BX$47:$CG$50)</f>
        <v>#NAME?</v>
      </c>
      <c r="O43" t="e" cm="1">
        <f t="array" aca="1" ref="O43" ca="1">_xludf.XLOOKUP(K43, $BX$106:$CG$106, $BX$107:$CG$110)</f>
        <v>#NAME?</v>
      </c>
      <c r="P43" t="e" cm="1">
        <f t="array" aca="1" ref="P43" ca="1">_xludf.XLOOKUP(K$43,$BX$169:$CG$169,_xludf.XLOOKUP($E$11,$BW$170:$BW$176,$BX$170:$CG$176))</f>
        <v>#NAME?</v>
      </c>
      <c r="Q43" t="e">
        <f t="shared" ref="Q43:Q74" ca="1" si="16">N43/P43</f>
        <v>#NAME?</v>
      </c>
      <c r="T43">
        <f t="shared" si="13"/>
        <v>0</v>
      </c>
      <c r="V43">
        <v>1</v>
      </c>
      <c r="W43">
        <v>0</v>
      </c>
      <c r="X43">
        <v>0</v>
      </c>
      <c r="Y43">
        <f t="shared" ref="Y43:Y74" si="17">T43*X43</f>
        <v>0</v>
      </c>
      <c r="Z43" t="e">
        <f ca="1">0.1604 * ($AM$11*100) - 1.037</f>
        <v>#NAME?</v>
      </c>
      <c r="AA43" t="e">
        <f t="shared" ref="AA43:AA74" ca="1" si="18">(0.032 * Y43 /6.38) + ((0.212 - 0.008 * (AB43 - 2) - ((0.14 - 0.008 * (AB43 - 2)) / (1 + EXP(-6 * (Q43 - 0.4))))) * (O43 * 0.92)) / 6.25</f>
        <v>#NAME?</v>
      </c>
      <c r="AB43" t="e">
        <f t="shared" ref="AB43:AB74" ca="1" si="19">AC43 / ((1.185 + 0.00454 * N43 - 0.0000026 * N43 ^ 2 ) ^ 2 * V43)</f>
        <v>#NAME?</v>
      </c>
      <c r="AC43" t="e">
        <f t="shared" ref="AC43:AC74" ca="1" si="20">(1.185 + 0.00454 * N43 - 0.0000026 * N43^2 + 0.315 * O43)^2 * V43</f>
        <v>#NAME?</v>
      </c>
      <c r="AD43" t="e">
        <f t="shared" ca="1" si="5"/>
        <v>#NAME?</v>
      </c>
      <c r="AE43" t="e">
        <f t="shared" ca="1" si="6"/>
        <v>#NAME?</v>
      </c>
      <c r="AF43" t="e">
        <f t="shared" ca="1" si="7"/>
        <v>#NAME?</v>
      </c>
      <c r="AG43" t="e">
        <f t="shared" ref="AG43:AG74" ca="1" si="21">M43*AE43*91.25</f>
        <v>#NAME?</v>
      </c>
      <c r="AH43" t="e">
        <f t="shared" ref="AH43:AH74" ca="1" si="22">M43*AF43*91.25</f>
        <v>#NAME?</v>
      </c>
      <c r="AI43" t="e">
        <f ca="1">((0.3 * AC43 * $AN$11 * (1 - ($AM$11 + 0.1)) + (0.105 * $Z43 * $AC43 * 0.008) + (0.0152 * $AC43)) / 6.25) + (0.08 * 0.032 * $W43 / 6.38)</f>
        <v>#NAME?</v>
      </c>
      <c r="AJ43" t="e">
        <f t="shared" ref="AJ43:AJ74" ca="1" si="23">M43*AI43*91.25</f>
        <v>#NAME?</v>
      </c>
      <c r="AK43" t="e">
        <f t="shared" ref="AK43:AK74" ca="1" si="24">(AC43 * $AN43 / 6.25) + (0.032 * W43 / 6.38) - AA43 - AI43 - ((1.1 * (10 ^ -4) * (N43 ^ 0.75)) / 6.25)</f>
        <v>#NAME?</v>
      </c>
      <c r="AL43" t="e">
        <f t="shared" ref="AL43:AL74" ca="1" si="25">M43*AK43*91.25</f>
        <v>#NAME?</v>
      </c>
      <c r="AM43" t="e" cm="1">
        <f t="array" aca="1" ref="AM43" ca="1">_xludf.XLOOKUP(G$11,$BV$17:$CD$17,$BV$18:$CD$21)</f>
        <v>#NAME?</v>
      </c>
      <c r="AN43" t="e" cm="1">
        <f t="array" aca="1" ref="AN43" ca="1">_xludf.XLOOKUP(G$11,$BV$29:$CD$29,$BV$30:$CD$33)</f>
        <v>#NAME?</v>
      </c>
      <c r="CK43" t="s">
        <v>148</v>
      </c>
      <c r="CL43" t="s">
        <v>172</v>
      </c>
      <c r="CM43">
        <v>0.51</v>
      </c>
    </row>
    <row r="44" spans="11:91" x14ac:dyDescent="0.2">
      <c r="L44" t="s">
        <v>119</v>
      </c>
      <c r="M44">
        <v>110</v>
      </c>
      <c r="P44" t="e" cm="1">
        <f t="array" aca="1" ref="P44" ca="1">_xludf.XLOOKUP(K$43,$BX$169:$CG$169,_xludf.XLOOKUP($E$11,$BW$170:$BW$176,$BX$170:$CG$176))</f>
        <v>#NAME?</v>
      </c>
      <c r="Q44" t="e">
        <f t="shared" ca="1" si="16"/>
        <v>#NAME?</v>
      </c>
      <c r="T44">
        <f t="shared" si="13"/>
        <v>0</v>
      </c>
      <c r="V44">
        <v>1</v>
      </c>
      <c r="W44">
        <v>0</v>
      </c>
      <c r="X44">
        <v>0</v>
      </c>
      <c r="Y44">
        <f t="shared" si="17"/>
        <v>0</v>
      </c>
      <c r="Z44">
        <f>0.1604 * ($AM$12*100) - 1.037</f>
        <v>-1.0369999999999999</v>
      </c>
      <c r="AA44" t="e">
        <f t="shared" ca="1" si="18"/>
        <v>#NAME?</v>
      </c>
      <c r="AB44">
        <f t="shared" si="19"/>
        <v>1</v>
      </c>
      <c r="AC44">
        <f t="shared" si="20"/>
        <v>1.4042250000000001</v>
      </c>
      <c r="AD44">
        <f t="shared" si="5"/>
        <v>1.22673096</v>
      </c>
      <c r="AE44">
        <f t="shared" si="6"/>
        <v>5.7714060544358416E-5</v>
      </c>
      <c r="AF44">
        <f t="shared" si="7"/>
        <v>6.9098751939409913E-4</v>
      </c>
      <c r="AG44">
        <f t="shared" si="21"/>
        <v>0.5793048827139976</v>
      </c>
      <c r="AH44">
        <f t="shared" si="22"/>
        <v>6.9357872259182702</v>
      </c>
      <c r="AI44">
        <f>((0.3 * AC44 * $AN$12 * (1 - ($AM$12 + 0.1)) + (0.105 * $Z44 * $AC44 * 0.008) + (0.0152 * $AC44)) / 6.25) + (0.08 * 0.032 * $W44 / 6.38)</f>
        <v>3.2193644299200004E-3</v>
      </c>
      <c r="AJ44">
        <f t="shared" si="23"/>
        <v>32.314370465322007</v>
      </c>
      <c r="AK44" t="e">
        <f t="shared" ca="1" si="24"/>
        <v>#NAME?</v>
      </c>
      <c r="AL44" t="e">
        <f t="shared" ca="1" si="25"/>
        <v>#NAME?</v>
      </c>
      <c r="CK44" t="s">
        <v>148</v>
      </c>
      <c r="CL44" t="s">
        <v>136</v>
      </c>
      <c r="CM44">
        <v>0.89</v>
      </c>
    </row>
    <row r="45" spans="11:91" x14ac:dyDescent="0.2">
      <c r="L45" t="s">
        <v>120</v>
      </c>
      <c r="M45">
        <v>120</v>
      </c>
      <c r="P45" t="e" cm="1">
        <f t="array" aca="1" ref="P45" ca="1">_xludf.XLOOKUP(K$43,$BX$169:$CG$169,_xludf.XLOOKUP($E$11,$BW$170:$BW$176,$BX$170:$CG$176))</f>
        <v>#NAME?</v>
      </c>
      <c r="Q45" t="e">
        <f t="shared" ca="1" si="16"/>
        <v>#NAME?</v>
      </c>
      <c r="T45">
        <f t="shared" si="13"/>
        <v>0</v>
      </c>
      <c r="V45">
        <v>1</v>
      </c>
      <c r="W45">
        <v>0</v>
      </c>
      <c r="X45">
        <v>0</v>
      </c>
      <c r="Y45">
        <f t="shared" si="17"/>
        <v>0</v>
      </c>
      <c r="Z45">
        <f>0.1604 * ($AM$13*100) - 1.037</f>
        <v>-1.0369999999999999</v>
      </c>
      <c r="AA45" t="e">
        <f t="shared" ca="1" si="18"/>
        <v>#NAME?</v>
      </c>
      <c r="AB45">
        <f t="shared" si="19"/>
        <v>1</v>
      </c>
      <c r="AC45">
        <f t="shared" si="20"/>
        <v>1.4042250000000001</v>
      </c>
      <c r="AD45">
        <f t="shared" si="5"/>
        <v>1.22673096</v>
      </c>
      <c r="AE45">
        <f t="shared" si="6"/>
        <v>5.7714060544358416E-5</v>
      </c>
      <c r="AF45">
        <f t="shared" si="7"/>
        <v>6.9098751939409913E-4</v>
      </c>
      <c r="AG45">
        <f t="shared" si="21"/>
        <v>0.63196896296072469</v>
      </c>
      <c r="AH45">
        <f t="shared" si="22"/>
        <v>7.5663133373653855</v>
      </c>
      <c r="AI45">
        <f>((0.3 * AC45 * $AN$13 * (1 - ($AM$13 + 0.1)) + (0.105 * $Z45 * $AC45 * 0.008) + (0.0152 * $AC45)) / 6.25) + (0.08 * 0.032 * $W45 / 6.38)</f>
        <v>3.2193644299200004E-3</v>
      </c>
      <c r="AJ45">
        <f t="shared" si="23"/>
        <v>35.25204050762401</v>
      </c>
      <c r="AK45" t="e">
        <f t="shared" ca="1" si="24"/>
        <v>#NAME?</v>
      </c>
      <c r="AL45" t="e">
        <f t="shared" ca="1" si="25"/>
        <v>#NAME?</v>
      </c>
      <c r="BX45" t="s">
        <v>173</v>
      </c>
      <c r="BY45" t="s">
        <v>173</v>
      </c>
      <c r="BZ45" t="s">
        <v>174</v>
      </c>
      <c r="CA45" t="s">
        <v>174</v>
      </c>
      <c r="CB45" t="s">
        <v>174</v>
      </c>
      <c r="CC45" t="s">
        <v>174</v>
      </c>
      <c r="CD45" t="s">
        <v>175</v>
      </c>
      <c r="CE45" t="s">
        <v>175</v>
      </c>
      <c r="CF45" t="s">
        <v>175</v>
      </c>
      <c r="CG45" t="s">
        <v>175</v>
      </c>
      <c r="CK45" t="s">
        <v>148</v>
      </c>
      <c r="CL45" t="s">
        <v>137</v>
      </c>
      <c r="CM45">
        <v>0.28000000000000003</v>
      </c>
    </row>
    <row r="46" spans="11:91" x14ac:dyDescent="0.2">
      <c r="L46" t="s">
        <v>121</v>
      </c>
      <c r="M46">
        <v>130</v>
      </c>
      <c r="P46" t="e" cm="1">
        <f t="array" aca="1" ref="P46" ca="1">_xludf.XLOOKUP(K$43,$BX$169:$CG$169,_xludf.XLOOKUP($E$11,$BW$170:$BW$176,$BX$170:$CG$176))</f>
        <v>#NAME?</v>
      </c>
      <c r="Q46" t="e">
        <f t="shared" ca="1" si="16"/>
        <v>#NAME?</v>
      </c>
      <c r="T46">
        <f t="shared" si="13"/>
        <v>0</v>
      </c>
      <c r="V46">
        <v>1</v>
      </c>
      <c r="W46">
        <v>0</v>
      </c>
      <c r="X46">
        <v>0</v>
      </c>
      <c r="Y46">
        <f t="shared" si="17"/>
        <v>0</v>
      </c>
      <c r="Z46">
        <f>0.1604 * ($AM$14*100) - 1.037</f>
        <v>-1.0369999999999999</v>
      </c>
      <c r="AA46" t="e">
        <f t="shared" ca="1" si="18"/>
        <v>#NAME?</v>
      </c>
      <c r="AB46">
        <f t="shared" si="19"/>
        <v>1</v>
      </c>
      <c r="AC46">
        <f t="shared" si="20"/>
        <v>1.4042250000000001</v>
      </c>
      <c r="AD46">
        <f t="shared" si="5"/>
        <v>1.22673096</v>
      </c>
      <c r="AE46">
        <f t="shared" si="6"/>
        <v>5.7714060544358416E-5</v>
      </c>
      <c r="AF46">
        <f t="shared" si="7"/>
        <v>6.9098751939409913E-4</v>
      </c>
      <c r="AG46">
        <f t="shared" si="21"/>
        <v>0.68463304320745177</v>
      </c>
      <c r="AH46">
        <f t="shared" si="22"/>
        <v>8.1968394488125007</v>
      </c>
      <c r="AI46">
        <f>((0.3 * AC46 * $AN$14 * (1 - ($AM$14 + 0.1)) + (0.105 * $Z46 * $AC46 * 0.008) + (0.0152 * $AC46)) / 6.25) + (0.08 * 0.032 * $W46 / 6.38)</f>
        <v>3.2193644299200004E-3</v>
      </c>
      <c r="AJ46">
        <f t="shared" si="23"/>
        <v>38.189710549926005</v>
      </c>
      <c r="AK46" t="e">
        <f t="shared" ca="1" si="24"/>
        <v>#NAME?</v>
      </c>
      <c r="AL46" t="e">
        <f t="shared" ca="1" si="25"/>
        <v>#NAME?</v>
      </c>
      <c r="BX46" t="s">
        <v>116</v>
      </c>
      <c r="BY46" t="s">
        <v>122</v>
      </c>
      <c r="BZ46" t="s">
        <v>141</v>
      </c>
      <c r="CA46" t="s">
        <v>146</v>
      </c>
      <c r="CB46" t="s">
        <v>152</v>
      </c>
      <c r="CC46" t="s">
        <v>156</v>
      </c>
      <c r="CD46" t="s">
        <v>164</v>
      </c>
      <c r="CE46" t="s">
        <v>169</v>
      </c>
      <c r="CF46" t="s">
        <v>171</v>
      </c>
      <c r="CG46" t="s">
        <v>176</v>
      </c>
      <c r="CK46" t="s">
        <v>148</v>
      </c>
      <c r="CL46" t="s">
        <v>138</v>
      </c>
      <c r="CM46">
        <v>0.3</v>
      </c>
    </row>
    <row r="47" spans="11:91" x14ac:dyDescent="0.2">
      <c r="K47" t="s">
        <v>176</v>
      </c>
      <c r="L47" t="s">
        <v>117</v>
      </c>
      <c r="M47">
        <v>50</v>
      </c>
      <c r="N47" t="e" cm="1">
        <f t="array" aca="1" ref="N47" ca="1">_xludf.XLOOKUP(K47, $BX$46:$CG$46, $BX$47:$CG$50)</f>
        <v>#NAME?</v>
      </c>
      <c r="O47" t="e" cm="1">
        <f t="array" aca="1" ref="O47" ca="1">_xludf.XLOOKUP(K47, $BX$106:$CG$106, $BX$107:$CG$110)</f>
        <v>#NAME?</v>
      </c>
      <c r="P47" t="e" cm="1">
        <f t="array" aca="1" ref="P47" ca="1">_xludf.XLOOKUP(K$47,$BX$169:$CG$169,_xludf.XLOOKUP($E$11,$BW$170:$BW$176,$BX$170:$CG$176))</f>
        <v>#NAME?</v>
      </c>
      <c r="Q47" t="e">
        <f t="shared" ca="1" si="16"/>
        <v>#NAME?</v>
      </c>
      <c r="T47">
        <f t="shared" si="13"/>
        <v>0</v>
      </c>
      <c r="V47">
        <v>1</v>
      </c>
      <c r="W47">
        <v>0</v>
      </c>
      <c r="X47">
        <v>0</v>
      </c>
      <c r="Y47">
        <f t="shared" si="17"/>
        <v>0</v>
      </c>
      <c r="Z47" t="e">
        <f ca="1">0.1604 * ($AM$11*100) - 1.037</f>
        <v>#NAME?</v>
      </c>
      <c r="AA47" t="e">
        <f t="shared" ca="1" si="18"/>
        <v>#NAME?</v>
      </c>
      <c r="AB47" t="e">
        <f t="shared" ca="1" si="19"/>
        <v>#NAME?</v>
      </c>
      <c r="AC47" t="e">
        <f t="shared" ca="1" si="20"/>
        <v>#NAME?</v>
      </c>
      <c r="AD47" t="e">
        <f t="shared" ca="1" si="5"/>
        <v>#NAME?</v>
      </c>
      <c r="AE47" t="e">
        <f t="shared" ca="1" si="6"/>
        <v>#NAME?</v>
      </c>
      <c r="AF47" t="e">
        <f t="shared" ca="1" si="7"/>
        <v>#NAME?</v>
      </c>
      <c r="AG47" t="e">
        <f t="shared" ca="1" si="21"/>
        <v>#NAME?</v>
      </c>
      <c r="AH47" t="e">
        <f t="shared" ca="1" si="22"/>
        <v>#NAME?</v>
      </c>
      <c r="AI47" t="e">
        <f ca="1">((0.3 * AC47 * $AN$11 * (1 - ($AM$11 + 0.1)) + (0.105 * $Z47 * $AC47 * 0.008) + (0.0152 * $AC47)) / 6.25) + (0.08 * 0.032 * $W47 / 6.38)</f>
        <v>#NAME?</v>
      </c>
      <c r="AJ47" t="e">
        <f t="shared" ca="1" si="23"/>
        <v>#NAME?</v>
      </c>
      <c r="AK47" t="e">
        <f t="shared" ca="1" si="24"/>
        <v>#NAME?</v>
      </c>
      <c r="AL47" t="e">
        <f t="shared" ca="1" si="25"/>
        <v>#NAME?</v>
      </c>
      <c r="AM47" t="e" cm="1">
        <f t="array" aca="1" ref="AM47" ca="1">_xludf.XLOOKUP(G$11,$BV$17:$CD$17,$BV$18:$CD$21)</f>
        <v>#NAME?</v>
      </c>
      <c r="AN47" t="e" cm="1">
        <f t="array" aca="1" ref="AN47" ca="1">_xludf.XLOOKUP(G$11,$BV$29:$CD$29,$BV$30:$CD$33)</f>
        <v>#NAME?</v>
      </c>
      <c r="BU47" t="s">
        <v>113</v>
      </c>
      <c r="BW47" t="s">
        <v>117</v>
      </c>
      <c r="BX47">
        <v>80</v>
      </c>
      <c r="BY47">
        <v>480</v>
      </c>
      <c r="BZ47">
        <v>75</v>
      </c>
      <c r="CA47">
        <v>300</v>
      </c>
      <c r="CB47">
        <v>440</v>
      </c>
      <c r="CC47">
        <v>440</v>
      </c>
      <c r="CD47">
        <v>75</v>
      </c>
      <c r="CE47">
        <v>380</v>
      </c>
      <c r="CF47">
        <v>380</v>
      </c>
      <c r="CG47">
        <v>380</v>
      </c>
    </row>
    <row r="48" spans="11:91" x14ac:dyDescent="0.2">
      <c r="L48" t="s">
        <v>119</v>
      </c>
      <c r="M48">
        <v>55</v>
      </c>
      <c r="P48" t="e" cm="1">
        <f t="array" aca="1" ref="P48" ca="1">_xludf.XLOOKUP(K$47,$BX$169:$CG$169,_xludf.XLOOKUP($E$11,$BW$170:$BW$176,$BX$170:$CG$176))</f>
        <v>#NAME?</v>
      </c>
      <c r="Q48" t="e">
        <f t="shared" ca="1" si="16"/>
        <v>#NAME?</v>
      </c>
      <c r="T48">
        <f t="shared" si="13"/>
        <v>0</v>
      </c>
      <c r="V48">
        <v>1</v>
      </c>
      <c r="W48">
        <v>0</v>
      </c>
      <c r="X48">
        <v>0</v>
      </c>
      <c r="Y48">
        <f t="shared" si="17"/>
        <v>0</v>
      </c>
      <c r="Z48">
        <f>0.1604 * ($AM$12*100) - 1.037</f>
        <v>-1.0369999999999999</v>
      </c>
      <c r="AA48" t="e">
        <f t="shared" ca="1" si="18"/>
        <v>#NAME?</v>
      </c>
      <c r="AB48">
        <f t="shared" si="19"/>
        <v>1</v>
      </c>
      <c r="AC48">
        <f t="shared" si="20"/>
        <v>1.4042250000000001</v>
      </c>
      <c r="AD48">
        <f t="shared" si="5"/>
        <v>1.22673096</v>
      </c>
      <c r="AE48">
        <f t="shared" si="6"/>
        <v>5.7714060544358416E-5</v>
      </c>
      <c r="AF48">
        <f t="shared" si="7"/>
        <v>6.9098751939409913E-4</v>
      </c>
      <c r="AG48">
        <f t="shared" si="21"/>
        <v>0.2896524413569988</v>
      </c>
      <c r="AH48">
        <f t="shared" si="22"/>
        <v>3.4678936129591351</v>
      </c>
      <c r="AI48">
        <f>((0.3 * AC48 * $AN$12 * (1 - ($AM$12 + 0.1)) + (0.105 * $Z48 * $AC48 * 0.008) + (0.0152 * $AC48)) / 6.25) + (0.08 * 0.032 * $W48 / 6.38)</f>
        <v>3.2193644299200004E-3</v>
      </c>
      <c r="AJ48">
        <f t="shared" si="23"/>
        <v>16.157185232661003</v>
      </c>
      <c r="AK48" t="e">
        <f t="shared" ca="1" si="24"/>
        <v>#NAME?</v>
      </c>
      <c r="AL48" t="e">
        <f t="shared" ca="1" si="25"/>
        <v>#NAME?</v>
      </c>
      <c r="BW48" t="s">
        <v>119</v>
      </c>
      <c r="BX48">
        <v>170</v>
      </c>
      <c r="BY48">
        <v>520</v>
      </c>
      <c r="BZ48">
        <v>160</v>
      </c>
      <c r="CA48">
        <v>360</v>
      </c>
      <c r="CB48">
        <v>470</v>
      </c>
      <c r="CC48">
        <v>470</v>
      </c>
      <c r="CD48">
        <v>160</v>
      </c>
      <c r="CE48">
        <v>420</v>
      </c>
      <c r="CF48">
        <v>420</v>
      </c>
      <c r="CG48">
        <v>420</v>
      </c>
    </row>
    <row r="49" spans="1:85" x14ac:dyDescent="0.2">
      <c r="L49" t="s">
        <v>120</v>
      </c>
      <c r="M49">
        <v>60</v>
      </c>
      <c r="P49" t="e" cm="1">
        <f t="array" aca="1" ref="P49" ca="1">_xludf.XLOOKUP(K$47,$BX$169:$CG$169,_xludf.XLOOKUP($E$11,$BW$170:$BW$176,$BX$170:$CG$176))</f>
        <v>#NAME?</v>
      </c>
      <c r="Q49" t="e">
        <f t="shared" ca="1" si="16"/>
        <v>#NAME?</v>
      </c>
      <c r="T49">
        <f t="shared" si="13"/>
        <v>0</v>
      </c>
      <c r="V49">
        <v>1</v>
      </c>
      <c r="W49">
        <v>0</v>
      </c>
      <c r="X49">
        <v>0</v>
      </c>
      <c r="Y49">
        <f t="shared" si="17"/>
        <v>0</v>
      </c>
      <c r="Z49">
        <f>0.1604 * ($AM$13*100) - 1.037</f>
        <v>-1.0369999999999999</v>
      </c>
      <c r="AA49" t="e">
        <f t="shared" ca="1" si="18"/>
        <v>#NAME?</v>
      </c>
      <c r="AB49">
        <f t="shared" si="19"/>
        <v>1</v>
      </c>
      <c r="AC49">
        <f t="shared" si="20"/>
        <v>1.4042250000000001</v>
      </c>
      <c r="AD49">
        <f t="shared" si="5"/>
        <v>1.22673096</v>
      </c>
      <c r="AE49">
        <f t="shared" si="6"/>
        <v>5.7714060544358416E-5</v>
      </c>
      <c r="AF49">
        <f t="shared" si="7"/>
        <v>6.9098751939409913E-4</v>
      </c>
      <c r="AG49">
        <f t="shared" si="21"/>
        <v>0.31598448148036234</v>
      </c>
      <c r="AH49">
        <f t="shared" si="22"/>
        <v>3.7831566686826927</v>
      </c>
      <c r="AI49">
        <f>((0.3 * AC49 * $AN$13 * (1 - ($AM$13 + 0.1)) + (0.105 * $Z49 * $AC49 * 0.008) + (0.0152 * $AC49)) / 6.25) + (0.08 * 0.032 * $W49 / 6.38)</f>
        <v>3.2193644299200004E-3</v>
      </c>
      <c r="AJ49">
        <f t="shared" si="23"/>
        <v>17.626020253812005</v>
      </c>
      <c r="AK49" t="e">
        <f t="shared" ca="1" si="24"/>
        <v>#NAME?</v>
      </c>
      <c r="AL49" t="e">
        <f t="shared" ca="1" si="25"/>
        <v>#NAME?</v>
      </c>
      <c r="BW49" t="s">
        <v>120</v>
      </c>
      <c r="BX49">
        <v>240</v>
      </c>
      <c r="BY49">
        <v>550</v>
      </c>
      <c r="BZ49">
        <v>220</v>
      </c>
      <c r="CA49">
        <v>390</v>
      </c>
      <c r="CB49">
        <v>490</v>
      </c>
      <c r="CC49">
        <v>490</v>
      </c>
      <c r="CD49">
        <v>220</v>
      </c>
      <c r="CE49">
        <v>450</v>
      </c>
      <c r="CF49">
        <v>450</v>
      </c>
      <c r="CG49">
        <v>450</v>
      </c>
    </row>
    <row r="50" spans="1:85" x14ac:dyDescent="0.2">
      <c r="L50" t="s">
        <v>121</v>
      </c>
      <c r="M50">
        <v>65</v>
      </c>
      <c r="P50" t="e" cm="1">
        <f t="array" aca="1" ref="P50" ca="1">_xludf.XLOOKUP(K$47,$BX$169:$CG$169,_xludf.XLOOKUP($E$11,$BW$170:$BW$176,$BX$170:$CG$176))</f>
        <v>#NAME?</v>
      </c>
      <c r="Q50" t="e">
        <f t="shared" ca="1" si="16"/>
        <v>#NAME?</v>
      </c>
      <c r="T50">
        <f t="shared" si="13"/>
        <v>0</v>
      </c>
      <c r="V50">
        <v>1</v>
      </c>
      <c r="W50">
        <v>0</v>
      </c>
      <c r="X50">
        <v>0</v>
      </c>
      <c r="Y50">
        <f t="shared" si="17"/>
        <v>0</v>
      </c>
      <c r="Z50">
        <f>0.1604 * ($AM$14*100) - 1.037</f>
        <v>-1.0369999999999999</v>
      </c>
      <c r="AA50" t="e">
        <f t="shared" ca="1" si="18"/>
        <v>#NAME?</v>
      </c>
      <c r="AB50">
        <f t="shared" si="19"/>
        <v>1</v>
      </c>
      <c r="AC50">
        <f t="shared" si="20"/>
        <v>1.4042250000000001</v>
      </c>
      <c r="AD50">
        <f t="shared" si="5"/>
        <v>1.22673096</v>
      </c>
      <c r="AE50">
        <f t="shared" si="6"/>
        <v>5.7714060544358416E-5</v>
      </c>
      <c r="AF50">
        <f t="shared" si="7"/>
        <v>6.9098751939409913E-4</v>
      </c>
      <c r="AG50">
        <f t="shared" si="21"/>
        <v>0.34231652160372589</v>
      </c>
      <c r="AH50">
        <f t="shared" si="22"/>
        <v>4.0984197244062504</v>
      </c>
      <c r="AI50">
        <f>((0.3 * AC50 * $AN$14 * (1 - ($AM$14 + 0.1)) + (0.105 * $Z50 * $AC50 * 0.008) + (0.0152 * $AC50)) / 6.25) + (0.08 * 0.032 * $W50 / 6.38)</f>
        <v>3.2193644299200004E-3</v>
      </c>
      <c r="AJ50">
        <f t="shared" si="23"/>
        <v>19.094855274963003</v>
      </c>
      <c r="AK50" t="e">
        <f t="shared" ca="1" si="24"/>
        <v>#NAME?</v>
      </c>
      <c r="AL50" t="e">
        <f t="shared" ca="1" si="25"/>
        <v>#NAME?</v>
      </c>
      <c r="BW50" t="s">
        <v>121</v>
      </c>
      <c r="BX50">
        <v>280</v>
      </c>
      <c r="BY50">
        <v>560</v>
      </c>
      <c r="BZ50">
        <v>260</v>
      </c>
      <c r="CA50">
        <v>410</v>
      </c>
      <c r="CB50">
        <v>500</v>
      </c>
      <c r="CC50">
        <v>500</v>
      </c>
      <c r="CD50">
        <v>260</v>
      </c>
      <c r="CE50">
        <v>460</v>
      </c>
      <c r="CF50">
        <v>460</v>
      </c>
      <c r="CG50">
        <v>460</v>
      </c>
    </row>
    <row r="51" spans="1:85" x14ac:dyDescent="0.2">
      <c r="A51" t="s">
        <v>177</v>
      </c>
      <c r="B51" t="s">
        <v>111</v>
      </c>
      <c r="C51" t="s">
        <v>24</v>
      </c>
      <c r="D51" t="s">
        <v>112</v>
      </c>
      <c r="F51" t="s">
        <v>113</v>
      </c>
      <c r="G51" t="s">
        <v>113</v>
      </c>
      <c r="H51" t="s">
        <v>114</v>
      </c>
      <c r="I51" t="s">
        <v>115</v>
      </c>
      <c r="J51" t="str">
        <f>IF(H51="Non-irrigated crop", IF(I51="high", "Non-irrigated crop (high rainfall)", "Non-irrigated crop (low rainfall)"), H51)</f>
        <v>Irrigated crop</v>
      </c>
      <c r="K51" t="s">
        <v>116</v>
      </c>
      <c r="L51" t="s">
        <v>117</v>
      </c>
      <c r="M51">
        <v>100</v>
      </c>
      <c r="N51" t="e" cm="1">
        <f t="array" aca="1" ref="N51" ca="1">_xludf.XLOOKUP(K51, $BX$46:$CG$46, $BX$47:$CG$50)</f>
        <v>#NAME?</v>
      </c>
      <c r="O51" t="e" cm="1">
        <f t="array" aca="1" ref="O51" ca="1">_xludf.XLOOKUP(K51, $BX$106:$CG$106, $BX$107:$CG$110)</f>
        <v>#NAME?</v>
      </c>
      <c r="P51" t="e" cm="1">
        <f t="array" aca="1" ref="P51" ca="1">_xludf.XLOOKUP(K$11,$BX$169:$CG$169,_xludf.XLOOKUP($D$11,$BW$170:$BW$176,$BX$170:$CG$176))</f>
        <v>#NAME?</v>
      </c>
      <c r="Q51" t="e">
        <f t="shared" ca="1" si="16"/>
        <v>#NAME?</v>
      </c>
      <c r="R51">
        <v>0</v>
      </c>
      <c r="T51">
        <f t="shared" si="13"/>
        <v>0</v>
      </c>
      <c r="V51">
        <v>1</v>
      </c>
      <c r="W51">
        <f>VLOOKUP($G$51, $CL$17:$CN$25, 2, FALSE)</f>
        <v>6</v>
      </c>
      <c r="X51">
        <v>0</v>
      </c>
      <c r="Y51">
        <f t="shared" si="17"/>
        <v>0</v>
      </c>
      <c r="Z51" t="e">
        <f t="shared" ref="Z51:Z82" ca="1" si="26">0.1604 * ($AM51*100) - 1.037</f>
        <v>#NAME?</v>
      </c>
      <c r="AA51" t="e">
        <f t="shared" ca="1" si="18"/>
        <v>#NAME?</v>
      </c>
      <c r="AB51" t="e">
        <f t="shared" ca="1" si="19"/>
        <v>#NAME?</v>
      </c>
      <c r="AC51" t="e">
        <f t="shared" ca="1" si="20"/>
        <v>#NAME?</v>
      </c>
      <c r="AD51" t="e">
        <f t="shared" ref="AD51:AD90" ca="1" si="27">(AC51 * (1 -AM51) + (0.04 * AC51)) * ( 1 - AV$51 )</f>
        <v>#NAME?</v>
      </c>
      <c r="AE51" t="e">
        <f t="shared" ref="AE51:AE90" ca="1" si="28">AD51 * AT$51 * AP$51 * AR$51 * AU$51</f>
        <v>#NAME?</v>
      </c>
      <c r="AF51" t="e">
        <f t="shared" ref="AF51:AF90" ca="1" si="29">AD51 * AT$51 * AQ$51 * AS$51 * AU$51</f>
        <v>#NAME?</v>
      </c>
      <c r="AG51" t="e">
        <f t="shared" ca="1" si="21"/>
        <v>#NAME?</v>
      </c>
      <c r="AH51" t="e">
        <f t="shared" ca="1" si="22"/>
        <v>#NAME?</v>
      </c>
      <c r="AI51" t="e">
        <f t="shared" ref="AI51:AI82" ca="1" si="30">((0.3 * AC51 * $AN51 * (1 - ($AM51 + 0.1)) + (0.105 * $Z51 * $AC51 * 0.008) + (0.0152 * $AC51)) / 6.25) + (0.08 * 0.032 * $W51 / 6.38)</f>
        <v>#NAME?</v>
      </c>
      <c r="AJ51" t="e">
        <f t="shared" ca="1" si="23"/>
        <v>#NAME?</v>
      </c>
      <c r="AK51" t="e">
        <f t="shared" ca="1" si="24"/>
        <v>#NAME?</v>
      </c>
      <c r="AL51" t="e">
        <f t="shared" ca="1" si="25"/>
        <v>#NAME?</v>
      </c>
      <c r="AM51" t="e" cm="1">
        <f t="array" aca="1" ref="AM51" ca="1">_xludf.XLOOKUP(G$51,$BV$17:$CD$17,$BV$18:$CD$21)</f>
        <v>#NAME?</v>
      </c>
      <c r="AN51" t="e" cm="1">
        <f t="array" aca="1" ref="AN51" ca="1">_xludf.XLOOKUP(G$51,$BV$29:$CD$29,$BV$30:$CD$33)</f>
        <v>#NAME?</v>
      </c>
      <c r="AO51" t="s">
        <v>118</v>
      </c>
      <c r="AP51">
        <f>IF(AO51="yes", $BV$6, $BW$6)</f>
        <v>0.05</v>
      </c>
      <c r="AQ51">
        <f>IF(AO51="yes", $BV$7, $BW$7)</f>
        <v>0.95</v>
      </c>
      <c r="AR51">
        <f>VLOOKUP(B51, $CH$17:$CI$26, 2, FALSE)</f>
        <v>7.3000000000000001E-3</v>
      </c>
      <c r="AS51">
        <f>$CI$14</f>
        <v>4.5999999999999999E-3</v>
      </c>
      <c r="AT51">
        <f>$CA$5</f>
        <v>0.19</v>
      </c>
      <c r="AU51">
        <f>$CA$6</f>
        <v>0.6784</v>
      </c>
      <c r="AV51">
        <f>$CA$7</f>
        <v>0.16</v>
      </c>
      <c r="AW51" t="e">
        <f ca="1">SUM(AG51:AH90)</f>
        <v>#NAME?</v>
      </c>
      <c r="AX51" t="e">
        <f ca="1">SUM(AJ51:AJ90)</f>
        <v>#NAME?</v>
      </c>
      <c r="AY51">
        <f>IF(C51="wet",$CD$5,$CD$6)</f>
        <v>6.0000000000000001E-3</v>
      </c>
      <c r="AZ51">
        <f>$CD$7</f>
        <v>1.5714285714285714</v>
      </c>
      <c r="BA51">
        <f>$CD$8</f>
        <v>265</v>
      </c>
      <c r="BB51" t="e">
        <f ca="1">SUM(AL51:AL90)</f>
        <v>#NAME?</v>
      </c>
      <c r="BC51" t="e">
        <f ca="1">((AX51 * AY51 * AZ51) + (BB51 * AY51 * AZ51))  * (10^-3)</f>
        <v>#NAME?</v>
      </c>
      <c r="BD51">
        <f>$CA$8</f>
        <v>28</v>
      </c>
      <c r="BE51">
        <f>$CD$9</f>
        <v>0.21</v>
      </c>
      <c r="BF51" t="e">
        <f ca="1">(AX51+BB51)*BE51</f>
        <v>#NAME?</v>
      </c>
      <c r="BG51">
        <f>VLOOKUP(J51, $CH$29:$CI$33,2,FALSE)</f>
        <v>7.0000000000000001E-3</v>
      </c>
      <c r="BH51" t="e">
        <f ca="1">BF51*BG51*AZ51*(10^-3)</f>
        <v>#NAME?</v>
      </c>
      <c r="BI51">
        <f>$CA$9</f>
        <v>1.0999999999999999E-2</v>
      </c>
      <c r="BJ51">
        <f>VLOOKUP(D51, $CL$29:$CM$46, 2, FALSE)</f>
        <v>0.87</v>
      </c>
      <c r="BK51">
        <f>$CG$4</f>
        <v>0.24</v>
      </c>
      <c r="BL51" t="e">
        <f ca="1">(BB51+AX51)*BJ51*BK51</f>
        <v>#NAME?</v>
      </c>
      <c r="BM51" t="e">
        <f ca="1">BL51*BI51*AZ51*(10^-3)</f>
        <v>#NAME?</v>
      </c>
      <c r="BN51" t="e">
        <f ca="1">BC51+BH51+BM51</f>
        <v>#NAME?</v>
      </c>
      <c r="BO51" t="e">
        <f ca="1">AW51 * BD51 * 10^-3</f>
        <v>#NAME?</v>
      </c>
      <c r="BU51" t="s">
        <v>178</v>
      </c>
      <c r="BW51" t="s">
        <v>117</v>
      </c>
      <c r="BX51">
        <v>250</v>
      </c>
      <c r="BY51">
        <v>800</v>
      </c>
      <c r="BZ51">
        <v>220</v>
      </c>
      <c r="CA51">
        <v>400</v>
      </c>
      <c r="CB51">
        <v>500</v>
      </c>
      <c r="CC51">
        <v>500</v>
      </c>
      <c r="CD51">
        <v>230</v>
      </c>
      <c r="CE51">
        <v>420</v>
      </c>
      <c r="CF51">
        <v>420</v>
      </c>
      <c r="CG51">
        <v>420</v>
      </c>
    </row>
    <row r="52" spans="1:85" x14ac:dyDescent="0.2">
      <c r="L52" t="s">
        <v>119</v>
      </c>
      <c r="M52">
        <v>110</v>
      </c>
      <c r="P52" t="e" cm="1">
        <f t="array" aca="1" ref="P52" ca="1">_xludf.XLOOKUP(K$11,$BX$169:$CG$169,_xludf.XLOOKUP($D$11,$BW$170:$BW$176,$BX$170:$CG$176))</f>
        <v>#NAME?</v>
      </c>
      <c r="Q52" t="e">
        <f t="shared" ca="1" si="16"/>
        <v>#NAME?</v>
      </c>
      <c r="S52">
        <v>0</v>
      </c>
      <c r="T52">
        <f t="shared" si="13"/>
        <v>0</v>
      </c>
      <c r="V52">
        <v>1</v>
      </c>
      <c r="W52">
        <f>VLOOKUP($G$51, $CL$17:$CN$25, 3, FALSE)</f>
        <v>4</v>
      </c>
      <c r="X52">
        <v>0</v>
      </c>
      <c r="Y52">
        <f t="shared" si="17"/>
        <v>0</v>
      </c>
      <c r="Z52">
        <f t="shared" si="26"/>
        <v>-1.0369999999999999</v>
      </c>
      <c r="AA52" t="e">
        <f t="shared" ca="1" si="18"/>
        <v>#NAME?</v>
      </c>
      <c r="AB52">
        <f t="shared" si="19"/>
        <v>1</v>
      </c>
      <c r="AC52">
        <f t="shared" si="20"/>
        <v>1.4042250000000001</v>
      </c>
      <c r="AD52">
        <f t="shared" si="27"/>
        <v>1.22673096</v>
      </c>
      <c r="AE52">
        <f t="shared" si="28"/>
        <v>5.7714060544358416E-5</v>
      </c>
      <c r="AF52">
        <f t="shared" si="29"/>
        <v>6.9098751939409913E-4</v>
      </c>
      <c r="AG52">
        <f t="shared" si="21"/>
        <v>0.5793048827139976</v>
      </c>
      <c r="AH52">
        <f t="shared" si="22"/>
        <v>6.9357872259182702</v>
      </c>
      <c r="AI52">
        <f t="shared" si="30"/>
        <v>4.824380103901192E-3</v>
      </c>
      <c r="AJ52">
        <f t="shared" si="23"/>
        <v>48.424715292908211</v>
      </c>
      <c r="AK52" t="e">
        <f t="shared" ca="1" si="24"/>
        <v>#NAME?</v>
      </c>
      <c r="AL52" t="e">
        <f t="shared" ca="1" si="25"/>
        <v>#NAME?</v>
      </c>
      <c r="BW52" t="s">
        <v>119</v>
      </c>
      <c r="BX52">
        <v>320</v>
      </c>
      <c r="BY52">
        <v>800</v>
      </c>
      <c r="BZ52">
        <v>280</v>
      </c>
      <c r="CA52">
        <v>420</v>
      </c>
      <c r="CB52">
        <v>500</v>
      </c>
      <c r="CC52">
        <v>500</v>
      </c>
      <c r="CD52">
        <v>290</v>
      </c>
      <c r="CE52">
        <v>420</v>
      </c>
      <c r="CF52">
        <v>420</v>
      </c>
      <c r="CG52">
        <v>420</v>
      </c>
    </row>
    <row r="53" spans="1:85" x14ac:dyDescent="0.2">
      <c r="L53" t="s">
        <v>120</v>
      </c>
      <c r="M53">
        <v>120</v>
      </c>
      <c r="P53" t="e" cm="1">
        <f t="array" aca="1" ref="P53" ca="1">_xludf.XLOOKUP(K$11,$BX$169:$CG$169,_xludf.XLOOKUP($D$11,$BW$170:$BW$176,$BX$170:$CG$176))</f>
        <v>#NAME?</v>
      </c>
      <c r="Q53" t="e">
        <f t="shared" ca="1" si="16"/>
        <v>#NAME?</v>
      </c>
      <c r="T53">
        <f t="shared" si="13"/>
        <v>0</v>
      </c>
      <c r="V53">
        <v>1</v>
      </c>
      <c r="W53">
        <v>0</v>
      </c>
      <c r="X53">
        <v>0</v>
      </c>
      <c r="Y53">
        <f t="shared" si="17"/>
        <v>0</v>
      </c>
      <c r="Z53">
        <f t="shared" si="26"/>
        <v>-1.0369999999999999</v>
      </c>
      <c r="AA53" t="e">
        <f t="shared" ca="1" si="18"/>
        <v>#NAME?</v>
      </c>
      <c r="AB53">
        <f t="shared" si="19"/>
        <v>1</v>
      </c>
      <c r="AC53">
        <f t="shared" si="20"/>
        <v>1.4042250000000001</v>
      </c>
      <c r="AD53">
        <f t="shared" si="27"/>
        <v>1.22673096</v>
      </c>
      <c r="AE53">
        <f t="shared" si="28"/>
        <v>5.7714060544358416E-5</v>
      </c>
      <c r="AF53">
        <f t="shared" si="29"/>
        <v>6.9098751939409913E-4</v>
      </c>
      <c r="AG53">
        <f t="shared" si="21"/>
        <v>0.63196896296072469</v>
      </c>
      <c r="AH53">
        <f t="shared" si="22"/>
        <v>7.5663133373653855</v>
      </c>
      <c r="AI53">
        <f t="shared" si="30"/>
        <v>3.2193644299200004E-3</v>
      </c>
      <c r="AJ53">
        <f t="shared" si="23"/>
        <v>35.25204050762401</v>
      </c>
      <c r="AK53" t="e">
        <f t="shared" ca="1" si="24"/>
        <v>#NAME?</v>
      </c>
      <c r="AL53" t="e">
        <f t="shared" ca="1" si="25"/>
        <v>#NAME?</v>
      </c>
      <c r="BW53" t="s">
        <v>120</v>
      </c>
      <c r="BX53">
        <v>80</v>
      </c>
      <c r="BY53">
        <v>700</v>
      </c>
      <c r="BZ53">
        <v>70</v>
      </c>
      <c r="CA53">
        <v>300</v>
      </c>
      <c r="CB53">
        <v>450</v>
      </c>
      <c r="CC53">
        <v>450</v>
      </c>
      <c r="CD53">
        <v>75</v>
      </c>
      <c r="CE53">
        <v>400</v>
      </c>
      <c r="CF53">
        <v>400</v>
      </c>
      <c r="CG53">
        <v>400</v>
      </c>
    </row>
    <row r="54" spans="1:85" x14ac:dyDescent="0.2">
      <c r="L54" t="s">
        <v>121</v>
      </c>
      <c r="M54">
        <v>130</v>
      </c>
      <c r="P54" t="e" cm="1">
        <f t="array" aca="1" ref="P54" ca="1">_xludf.XLOOKUP(K$11,$BX$169:$CG$169,_xludf.XLOOKUP($D$11,$BW$170:$BW$176,$BX$170:$CG$176))</f>
        <v>#NAME?</v>
      </c>
      <c r="Q54" t="e">
        <f t="shared" ca="1" si="16"/>
        <v>#NAME?</v>
      </c>
      <c r="T54">
        <f t="shared" si="13"/>
        <v>0</v>
      </c>
      <c r="V54">
        <v>1</v>
      </c>
      <c r="W54">
        <v>0</v>
      </c>
      <c r="X54">
        <v>0</v>
      </c>
      <c r="Y54">
        <f t="shared" si="17"/>
        <v>0</v>
      </c>
      <c r="Z54">
        <f t="shared" si="26"/>
        <v>-1.0369999999999999</v>
      </c>
      <c r="AA54" t="e">
        <f t="shared" ca="1" si="18"/>
        <v>#NAME?</v>
      </c>
      <c r="AB54">
        <f t="shared" si="19"/>
        <v>1</v>
      </c>
      <c r="AC54">
        <f t="shared" si="20"/>
        <v>1.4042250000000001</v>
      </c>
      <c r="AD54">
        <f t="shared" si="27"/>
        <v>1.22673096</v>
      </c>
      <c r="AE54">
        <f t="shared" si="28"/>
        <v>5.7714060544358416E-5</v>
      </c>
      <c r="AF54">
        <f t="shared" si="29"/>
        <v>6.9098751939409913E-4</v>
      </c>
      <c r="AG54">
        <f t="shared" si="21"/>
        <v>0.68463304320745177</v>
      </c>
      <c r="AH54">
        <f t="shared" si="22"/>
        <v>8.1968394488125007</v>
      </c>
      <c r="AI54">
        <f t="shared" si="30"/>
        <v>3.2193644299200004E-3</v>
      </c>
      <c r="AJ54">
        <f t="shared" si="23"/>
        <v>38.189710549926005</v>
      </c>
      <c r="AK54" t="e">
        <f t="shared" ca="1" si="24"/>
        <v>#NAME?</v>
      </c>
      <c r="AL54" t="e">
        <f t="shared" ca="1" si="25"/>
        <v>#NAME?</v>
      </c>
      <c r="BW54" t="s">
        <v>121</v>
      </c>
      <c r="BX54">
        <v>160</v>
      </c>
      <c r="BY54">
        <v>700</v>
      </c>
      <c r="BZ54">
        <v>140</v>
      </c>
      <c r="CA54">
        <v>350</v>
      </c>
      <c r="CB54">
        <v>450</v>
      </c>
      <c r="CC54">
        <v>450</v>
      </c>
      <c r="CD54">
        <v>150</v>
      </c>
      <c r="CE54">
        <v>400</v>
      </c>
      <c r="CF54">
        <v>400</v>
      </c>
      <c r="CG54">
        <v>400</v>
      </c>
    </row>
    <row r="55" spans="1:85" x14ac:dyDescent="0.2">
      <c r="K55" t="s">
        <v>122</v>
      </c>
      <c r="L55" t="s">
        <v>117</v>
      </c>
      <c r="N55" t="e" cm="1">
        <f t="array" aca="1" ref="N55" ca="1">_xludf.XLOOKUP(K55, $BX$46:$CG$46, $BX$47:$CG$50)</f>
        <v>#NAME?</v>
      </c>
      <c r="O55" t="e" cm="1">
        <f t="array" aca="1" ref="O55" ca="1">_xludf.XLOOKUP(K55, $BX$106:$CG$106, $BX$107:$CG$110)</f>
        <v>#NAME?</v>
      </c>
      <c r="P55" t="e" cm="1">
        <f t="array" aca="1" ref="P55" ca="1">_xludf.XLOOKUP(K$15,$BX$169:$CG$169,_xludf.XLOOKUP($D$11,$BW$170:$BW$176,$BX$170:$CG$176))</f>
        <v>#NAME?</v>
      </c>
      <c r="Q55" t="e">
        <f t="shared" ca="1" si="16"/>
        <v>#NAME?</v>
      </c>
      <c r="T55">
        <f t="shared" si="13"/>
        <v>0</v>
      </c>
      <c r="V55">
        <v>1</v>
      </c>
      <c r="W55">
        <v>0</v>
      </c>
      <c r="X55">
        <v>0</v>
      </c>
      <c r="Y55">
        <f t="shared" si="17"/>
        <v>0</v>
      </c>
      <c r="Z55" t="e">
        <f t="shared" ca="1" si="26"/>
        <v>#NAME?</v>
      </c>
      <c r="AA55" t="e">
        <f t="shared" ca="1" si="18"/>
        <v>#NAME?</v>
      </c>
      <c r="AB55" t="e">
        <f t="shared" ca="1" si="19"/>
        <v>#NAME?</v>
      </c>
      <c r="AC55" t="e">
        <f t="shared" ca="1" si="20"/>
        <v>#NAME?</v>
      </c>
      <c r="AD55" t="e">
        <f t="shared" ca="1" si="27"/>
        <v>#NAME?</v>
      </c>
      <c r="AE55" t="e">
        <f t="shared" ca="1" si="28"/>
        <v>#NAME?</v>
      </c>
      <c r="AF55" t="e">
        <f t="shared" ca="1" si="29"/>
        <v>#NAME?</v>
      </c>
      <c r="AG55" t="e">
        <f t="shared" ca="1" si="21"/>
        <v>#NAME?</v>
      </c>
      <c r="AH55" t="e">
        <f t="shared" ca="1" si="22"/>
        <v>#NAME?</v>
      </c>
      <c r="AI55" t="e">
        <f t="shared" ca="1" si="30"/>
        <v>#NAME?</v>
      </c>
      <c r="AJ55" t="e">
        <f t="shared" ca="1" si="23"/>
        <v>#NAME?</v>
      </c>
      <c r="AK55" t="e">
        <f t="shared" ca="1" si="24"/>
        <v>#NAME?</v>
      </c>
      <c r="AL55" t="e">
        <f t="shared" ca="1" si="25"/>
        <v>#NAME?</v>
      </c>
      <c r="AM55" t="e" cm="1">
        <f t="array" aca="1" ref="AM55" ca="1">_xludf.XLOOKUP(G$51,$BV$17:$CD$17,$BV$18:$CD$21)</f>
        <v>#NAME?</v>
      </c>
      <c r="AN55" t="e" cm="1">
        <f t="array" aca="1" ref="AN55" ca="1">_xludf.XLOOKUP(G$51,$BV$29:$CD$29,$BV$30:$CD$33)</f>
        <v>#NAME?</v>
      </c>
      <c r="BU55" t="s">
        <v>179</v>
      </c>
      <c r="BW55" t="s">
        <v>117</v>
      </c>
      <c r="BX55">
        <v>105</v>
      </c>
      <c r="BY55">
        <v>700</v>
      </c>
      <c r="BZ55">
        <v>85</v>
      </c>
      <c r="CA55">
        <v>300</v>
      </c>
      <c r="CB55">
        <v>490</v>
      </c>
      <c r="CC55">
        <v>490</v>
      </c>
      <c r="CD55">
        <v>90</v>
      </c>
      <c r="CE55">
        <v>480</v>
      </c>
      <c r="CF55">
        <v>480</v>
      </c>
      <c r="CG55">
        <v>480</v>
      </c>
    </row>
    <row r="56" spans="1:85" x14ac:dyDescent="0.2">
      <c r="L56" t="s">
        <v>119</v>
      </c>
      <c r="P56" t="e" cm="1">
        <f t="array" aca="1" ref="P56" ca="1">_xludf.XLOOKUP(K$15,$BX$169:$CG$169,_xludf.XLOOKUP($D$11,$BW$170:$BW$176,$BX$170:$CG$176))</f>
        <v>#NAME?</v>
      </c>
      <c r="Q56" t="e">
        <f t="shared" ca="1" si="16"/>
        <v>#NAME?</v>
      </c>
      <c r="T56">
        <f t="shared" si="13"/>
        <v>0</v>
      </c>
      <c r="V56">
        <v>1</v>
      </c>
      <c r="W56">
        <v>0</v>
      </c>
      <c r="X56">
        <v>0</v>
      </c>
      <c r="Y56">
        <f t="shared" si="17"/>
        <v>0</v>
      </c>
      <c r="Z56">
        <f t="shared" si="26"/>
        <v>-1.0369999999999999</v>
      </c>
      <c r="AA56" t="e">
        <f t="shared" ca="1" si="18"/>
        <v>#NAME?</v>
      </c>
      <c r="AB56">
        <f t="shared" si="19"/>
        <v>1</v>
      </c>
      <c r="AC56">
        <f t="shared" si="20"/>
        <v>1.4042250000000001</v>
      </c>
      <c r="AD56">
        <f t="shared" si="27"/>
        <v>1.22673096</v>
      </c>
      <c r="AE56">
        <f t="shared" si="28"/>
        <v>5.7714060544358416E-5</v>
      </c>
      <c r="AF56">
        <f t="shared" si="29"/>
        <v>6.9098751939409913E-4</v>
      </c>
      <c r="AG56">
        <f t="shared" si="21"/>
        <v>0</v>
      </c>
      <c r="AH56">
        <f t="shared" si="22"/>
        <v>0</v>
      </c>
      <c r="AI56">
        <f t="shared" si="30"/>
        <v>3.2193644299200004E-3</v>
      </c>
      <c r="AJ56">
        <f t="shared" si="23"/>
        <v>0</v>
      </c>
      <c r="AK56" t="e">
        <f t="shared" ca="1" si="24"/>
        <v>#NAME?</v>
      </c>
      <c r="AL56" t="e">
        <f t="shared" ca="1" si="25"/>
        <v>#NAME?</v>
      </c>
      <c r="BW56" t="s">
        <v>119</v>
      </c>
      <c r="BX56">
        <v>480</v>
      </c>
      <c r="BY56">
        <v>750</v>
      </c>
      <c r="BZ56">
        <v>150</v>
      </c>
      <c r="CA56">
        <v>350</v>
      </c>
      <c r="CB56">
        <v>530</v>
      </c>
      <c r="CC56">
        <v>530</v>
      </c>
      <c r="CD56">
        <v>160</v>
      </c>
      <c r="CE56">
        <v>460</v>
      </c>
      <c r="CF56">
        <v>460</v>
      </c>
      <c r="CG56">
        <v>460</v>
      </c>
    </row>
    <row r="57" spans="1:85" x14ac:dyDescent="0.2">
      <c r="L57" t="s">
        <v>120</v>
      </c>
      <c r="P57" t="e" cm="1">
        <f t="array" aca="1" ref="P57" ca="1">_xludf.XLOOKUP(K$15,$BX$169:$CG$169,_xludf.XLOOKUP($D$11,$BW$170:$BW$176,$BX$170:$CG$176))</f>
        <v>#NAME?</v>
      </c>
      <c r="Q57" t="e">
        <f t="shared" ca="1" si="16"/>
        <v>#NAME?</v>
      </c>
      <c r="T57">
        <f t="shared" si="13"/>
        <v>0</v>
      </c>
      <c r="V57">
        <v>1</v>
      </c>
      <c r="W57">
        <v>0</v>
      </c>
      <c r="X57">
        <v>0</v>
      </c>
      <c r="Y57">
        <f t="shared" si="17"/>
        <v>0</v>
      </c>
      <c r="Z57">
        <f t="shared" si="26"/>
        <v>-1.0369999999999999</v>
      </c>
      <c r="AA57" t="e">
        <f t="shared" ca="1" si="18"/>
        <v>#NAME?</v>
      </c>
      <c r="AB57">
        <f t="shared" si="19"/>
        <v>1</v>
      </c>
      <c r="AC57">
        <f t="shared" si="20"/>
        <v>1.4042250000000001</v>
      </c>
      <c r="AD57">
        <f t="shared" si="27"/>
        <v>1.22673096</v>
      </c>
      <c r="AE57">
        <f t="shared" si="28"/>
        <v>5.7714060544358416E-5</v>
      </c>
      <c r="AF57">
        <f t="shared" si="29"/>
        <v>6.9098751939409913E-4</v>
      </c>
      <c r="AG57">
        <f t="shared" si="21"/>
        <v>0</v>
      </c>
      <c r="AH57">
        <f t="shared" si="22"/>
        <v>0</v>
      </c>
      <c r="AI57">
        <f t="shared" si="30"/>
        <v>3.2193644299200004E-3</v>
      </c>
      <c r="AJ57">
        <f t="shared" si="23"/>
        <v>0</v>
      </c>
      <c r="AK57" t="e">
        <f t="shared" ca="1" si="24"/>
        <v>#NAME?</v>
      </c>
      <c r="AL57" t="e">
        <f t="shared" ca="1" si="25"/>
        <v>#NAME?</v>
      </c>
      <c r="BW57" t="s">
        <v>120</v>
      </c>
      <c r="BX57">
        <v>250</v>
      </c>
      <c r="BY57">
        <v>725</v>
      </c>
      <c r="BZ57">
        <v>200</v>
      </c>
      <c r="CA57">
        <v>360</v>
      </c>
      <c r="CB57">
        <v>500</v>
      </c>
      <c r="CC57">
        <v>500</v>
      </c>
      <c r="CD57">
        <v>215</v>
      </c>
      <c r="CE57">
        <v>490</v>
      </c>
      <c r="CF57">
        <v>490</v>
      </c>
      <c r="CG57">
        <v>490</v>
      </c>
    </row>
    <row r="58" spans="1:85" x14ac:dyDescent="0.2">
      <c r="L58" t="s">
        <v>121</v>
      </c>
      <c r="P58" t="e" cm="1">
        <f t="array" aca="1" ref="P58" ca="1">_xludf.XLOOKUP(K$15,$BX$169:$CG$169,_xludf.XLOOKUP($D$11,$BW$170:$BW$176,$BX$170:$CG$176))</f>
        <v>#NAME?</v>
      </c>
      <c r="Q58" t="e">
        <f t="shared" ca="1" si="16"/>
        <v>#NAME?</v>
      </c>
      <c r="T58">
        <f t="shared" si="13"/>
        <v>0</v>
      </c>
      <c r="V58">
        <v>1</v>
      </c>
      <c r="W58">
        <v>0</v>
      </c>
      <c r="X58">
        <v>0</v>
      </c>
      <c r="Y58">
        <f t="shared" si="17"/>
        <v>0</v>
      </c>
      <c r="Z58">
        <f t="shared" si="26"/>
        <v>-1.0369999999999999</v>
      </c>
      <c r="AA58" t="e">
        <f t="shared" ca="1" si="18"/>
        <v>#NAME?</v>
      </c>
      <c r="AB58">
        <f t="shared" si="19"/>
        <v>1</v>
      </c>
      <c r="AC58">
        <f t="shared" si="20"/>
        <v>1.4042250000000001</v>
      </c>
      <c r="AD58">
        <f t="shared" si="27"/>
        <v>1.22673096</v>
      </c>
      <c r="AE58">
        <f t="shared" si="28"/>
        <v>5.7714060544358416E-5</v>
      </c>
      <c r="AF58">
        <f t="shared" si="29"/>
        <v>6.9098751939409913E-4</v>
      </c>
      <c r="AG58">
        <f t="shared" si="21"/>
        <v>0</v>
      </c>
      <c r="AH58">
        <f t="shared" si="22"/>
        <v>0</v>
      </c>
      <c r="AI58">
        <f t="shared" si="30"/>
        <v>3.2193644299200004E-3</v>
      </c>
      <c r="AJ58">
        <f t="shared" si="23"/>
        <v>0</v>
      </c>
      <c r="AK58" t="e">
        <f t="shared" ca="1" si="24"/>
        <v>#NAME?</v>
      </c>
      <c r="AL58" t="e">
        <f t="shared" ca="1" si="25"/>
        <v>#NAME?</v>
      </c>
      <c r="BW58" t="s">
        <v>121</v>
      </c>
      <c r="BX58">
        <v>260</v>
      </c>
      <c r="BY58">
        <v>700</v>
      </c>
      <c r="BZ58">
        <v>210</v>
      </c>
      <c r="CA58">
        <v>380</v>
      </c>
      <c r="CB58">
        <v>460</v>
      </c>
      <c r="CC58">
        <v>460</v>
      </c>
      <c r="CD58">
        <v>230</v>
      </c>
      <c r="CE58">
        <v>470</v>
      </c>
      <c r="CF58">
        <v>470</v>
      </c>
      <c r="CG58">
        <v>470</v>
      </c>
    </row>
    <row r="59" spans="1:85" x14ac:dyDescent="0.2">
      <c r="K59" t="s">
        <v>141</v>
      </c>
      <c r="L59" t="s">
        <v>117</v>
      </c>
      <c r="N59" t="e" cm="1">
        <f t="array" aca="1" ref="N59" ca="1">_xludf.XLOOKUP(K59, $BX$46:$CG$46, $BX$47:$CG$50)</f>
        <v>#NAME?</v>
      </c>
      <c r="O59" t="e" cm="1">
        <f t="array" aca="1" ref="O59" ca="1">_xludf.XLOOKUP(K59, $BX$106:$CG$106, $BX$107:$CG$110)</f>
        <v>#NAME?</v>
      </c>
      <c r="P59" t="e" cm="1">
        <f t="array" aca="1" ref="P59" ca="1">_xludf.XLOOKUP(K$19,$BX$169:$CG$169,_xludf.XLOOKUP($D$11,$BW$170:$BW$176,$BX$170:$CG$176))</f>
        <v>#NAME?</v>
      </c>
      <c r="Q59" t="e">
        <f t="shared" ca="1" si="16"/>
        <v>#NAME?</v>
      </c>
      <c r="T59">
        <f t="shared" ref="T59:T90" si="31">R59+S59</f>
        <v>0</v>
      </c>
      <c r="V59">
        <v>1</v>
      </c>
      <c r="W59">
        <f>VLOOKUP($G$51, $CL$17:$CN$25, 2, FALSE)</f>
        <v>6</v>
      </c>
      <c r="X59">
        <v>0</v>
      </c>
      <c r="Y59">
        <f t="shared" si="17"/>
        <v>0</v>
      </c>
      <c r="Z59" t="e">
        <f t="shared" ca="1" si="26"/>
        <v>#NAME?</v>
      </c>
      <c r="AA59" t="e">
        <f t="shared" ca="1" si="18"/>
        <v>#NAME?</v>
      </c>
      <c r="AB59" t="e">
        <f t="shared" ca="1" si="19"/>
        <v>#NAME?</v>
      </c>
      <c r="AC59" t="e">
        <f t="shared" ca="1" si="20"/>
        <v>#NAME?</v>
      </c>
      <c r="AD59" t="e">
        <f t="shared" ca="1" si="27"/>
        <v>#NAME?</v>
      </c>
      <c r="AE59" t="e">
        <f t="shared" ca="1" si="28"/>
        <v>#NAME?</v>
      </c>
      <c r="AF59" t="e">
        <f t="shared" ca="1" si="29"/>
        <v>#NAME?</v>
      </c>
      <c r="AG59" t="e">
        <f t="shared" ca="1" si="21"/>
        <v>#NAME?</v>
      </c>
      <c r="AH59" t="e">
        <f t="shared" ca="1" si="22"/>
        <v>#NAME?</v>
      </c>
      <c r="AI59" t="e">
        <f t="shared" ca="1" si="30"/>
        <v>#NAME?</v>
      </c>
      <c r="AJ59" t="e">
        <f t="shared" ca="1" si="23"/>
        <v>#NAME?</v>
      </c>
      <c r="AK59" t="e">
        <f t="shared" ca="1" si="24"/>
        <v>#NAME?</v>
      </c>
      <c r="AL59" t="e">
        <f t="shared" ca="1" si="25"/>
        <v>#NAME?</v>
      </c>
      <c r="AM59" t="e" cm="1">
        <f t="array" aca="1" ref="AM59" ca="1">_xludf.XLOOKUP(G$51,$BV$17:$CD$17,$BV$18:$CD$21)</f>
        <v>#NAME?</v>
      </c>
      <c r="AN59" t="e" cm="1">
        <f t="array" aca="1" ref="AN59" ca="1">_xludf.XLOOKUP(G$51,$BV$29:$CD$29,$BV$30:$CD$33)</f>
        <v>#NAME?</v>
      </c>
      <c r="BU59" t="s">
        <v>180</v>
      </c>
      <c r="BW59" t="s">
        <v>117</v>
      </c>
      <c r="BX59">
        <v>250</v>
      </c>
      <c r="BY59">
        <v>820</v>
      </c>
      <c r="BZ59">
        <v>240</v>
      </c>
      <c r="CA59">
        <v>410</v>
      </c>
      <c r="CB59">
        <v>560</v>
      </c>
      <c r="CC59">
        <v>560</v>
      </c>
      <c r="CD59">
        <v>240</v>
      </c>
      <c r="CE59">
        <v>510</v>
      </c>
      <c r="CF59">
        <v>510</v>
      </c>
      <c r="CG59">
        <v>510</v>
      </c>
    </row>
    <row r="60" spans="1:85" x14ac:dyDescent="0.2">
      <c r="L60" t="s">
        <v>119</v>
      </c>
      <c r="P60" t="e" cm="1">
        <f t="array" aca="1" ref="P60" ca="1">_xludf.XLOOKUP(K$19,$BX$169:$CG$169,_xludf.XLOOKUP($D$11,$BW$170:$BW$176,$BX$170:$CG$176))</f>
        <v>#NAME?</v>
      </c>
      <c r="Q60" t="e">
        <f t="shared" ca="1" si="16"/>
        <v>#NAME?</v>
      </c>
      <c r="T60">
        <f t="shared" si="31"/>
        <v>0</v>
      </c>
      <c r="V60">
        <v>1</v>
      </c>
      <c r="W60">
        <f>VLOOKUP($G$51, $CL$17:$CN$25, 3, FALSE)</f>
        <v>4</v>
      </c>
      <c r="X60">
        <v>0</v>
      </c>
      <c r="Y60">
        <f t="shared" si="17"/>
        <v>0</v>
      </c>
      <c r="Z60">
        <f t="shared" si="26"/>
        <v>-1.0369999999999999</v>
      </c>
      <c r="AA60" t="e">
        <f t="shared" ca="1" si="18"/>
        <v>#NAME?</v>
      </c>
      <c r="AB60">
        <f t="shared" si="19"/>
        <v>1</v>
      </c>
      <c r="AC60">
        <f t="shared" si="20"/>
        <v>1.4042250000000001</v>
      </c>
      <c r="AD60">
        <f t="shared" si="27"/>
        <v>1.22673096</v>
      </c>
      <c r="AE60">
        <f t="shared" si="28"/>
        <v>5.7714060544358416E-5</v>
      </c>
      <c r="AF60">
        <f t="shared" si="29"/>
        <v>6.9098751939409913E-4</v>
      </c>
      <c r="AG60">
        <f t="shared" si="21"/>
        <v>0</v>
      </c>
      <c r="AH60">
        <f t="shared" si="22"/>
        <v>0</v>
      </c>
      <c r="AI60">
        <f t="shared" si="30"/>
        <v>4.824380103901192E-3</v>
      </c>
      <c r="AJ60">
        <f t="shared" si="23"/>
        <v>0</v>
      </c>
      <c r="AK60" t="e">
        <f t="shared" ca="1" si="24"/>
        <v>#NAME?</v>
      </c>
      <c r="AL60" t="e">
        <f t="shared" ca="1" si="25"/>
        <v>#NAME?</v>
      </c>
      <c r="BW60" t="s">
        <v>119</v>
      </c>
      <c r="BX60">
        <v>280</v>
      </c>
      <c r="BY60">
        <v>850</v>
      </c>
      <c r="BZ60">
        <v>260</v>
      </c>
      <c r="CA60">
        <v>440</v>
      </c>
      <c r="CB60">
        <v>550</v>
      </c>
      <c r="CC60">
        <v>550</v>
      </c>
      <c r="CD60">
        <v>270</v>
      </c>
      <c r="CE60">
        <v>520</v>
      </c>
      <c r="CF60">
        <v>520</v>
      </c>
      <c r="CG60">
        <v>520</v>
      </c>
    </row>
    <row r="61" spans="1:85" x14ac:dyDescent="0.2">
      <c r="L61" t="s">
        <v>120</v>
      </c>
      <c r="P61" t="e" cm="1">
        <f t="array" aca="1" ref="P61" ca="1">_xludf.XLOOKUP(K$19,$BX$169:$CG$169,_xludf.XLOOKUP($D$11,$BW$170:$BW$176,$BX$170:$CG$176))</f>
        <v>#NAME?</v>
      </c>
      <c r="Q61" t="e">
        <f t="shared" ca="1" si="16"/>
        <v>#NAME?</v>
      </c>
      <c r="T61">
        <f t="shared" si="31"/>
        <v>0</v>
      </c>
      <c r="V61">
        <v>1</v>
      </c>
      <c r="W61">
        <v>0</v>
      </c>
      <c r="X61">
        <v>0</v>
      </c>
      <c r="Y61">
        <f t="shared" si="17"/>
        <v>0</v>
      </c>
      <c r="Z61">
        <f t="shared" si="26"/>
        <v>-1.0369999999999999</v>
      </c>
      <c r="AA61" t="e">
        <f t="shared" ca="1" si="18"/>
        <v>#NAME?</v>
      </c>
      <c r="AB61">
        <f t="shared" si="19"/>
        <v>1</v>
      </c>
      <c r="AC61">
        <f t="shared" si="20"/>
        <v>1.4042250000000001</v>
      </c>
      <c r="AD61">
        <f t="shared" si="27"/>
        <v>1.22673096</v>
      </c>
      <c r="AE61">
        <f t="shared" si="28"/>
        <v>5.7714060544358416E-5</v>
      </c>
      <c r="AF61">
        <f t="shared" si="29"/>
        <v>6.9098751939409913E-4</v>
      </c>
      <c r="AG61">
        <f t="shared" si="21"/>
        <v>0</v>
      </c>
      <c r="AH61">
        <f t="shared" si="22"/>
        <v>0</v>
      </c>
      <c r="AI61">
        <f t="shared" si="30"/>
        <v>3.2193644299200004E-3</v>
      </c>
      <c r="AJ61">
        <f t="shared" si="23"/>
        <v>0</v>
      </c>
      <c r="AK61" t="e">
        <f t="shared" ca="1" si="24"/>
        <v>#NAME?</v>
      </c>
      <c r="AL61" t="e">
        <f t="shared" ca="1" si="25"/>
        <v>#NAME?</v>
      </c>
      <c r="BW61" t="s">
        <v>120</v>
      </c>
      <c r="BX61">
        <v>100</v>
      </c>
      <c r="BY61">
        <v>700</v>
      </c>
      <c r="BZ61">
        <v>95</v>
      </c>
      <c r="CA61">
        <v>300</v>
      </c>
      <c r="CB61">
        <v>450</v>
      </c>
      <c r="CC61">
        <v>450</v>
      </c>
      <c r="CD61">
        <v>95</v>
      </c>
      <c r="CE61">
        <v>410</v>
      </c>
      <c r="CF61">
        <v>410</v>
      </c>
      <c r="CG61">
        <v>410</v>
      </c>
    </row>
    <row r="62" spans="1:85" x14ac:dyDescent="0.2">
      <c r="L62" t="s">
        <v>121</v>
      </c>
      <c r="P62" t="e" cm="1">
        <f t="array" aca="1" ref="P62" ca="1">_xludf.XLOOKUP(K$19,$BX$169:$CG$169,_xludf.XLOOKUP($D$11,$BW$170:$BW$176,$BX$170:$CG$176))</f>
        <v>#NAME?</v>
      </c>
      <c r="Q62" t="e">
        <f t="shared" ca="1" si="16"/>
        <v>#NAME?</v>
      </c>
      <c r="T62">
        <f t="shared" si="31"/>
        <v>0</v>
      </c>
      <c r="V62">
        <v>1</v>
      </c>
      <c r="W62">
        <v>0</v>
      </c>
      <c r="X62">
        <v>0</v>
      </c>
      <c r="Y62">
        <f t="shared" si="17"/>
        <v>0</v>
      </c>
      <c r="Z62">
        <f t="shared" si="26"/>
        <v>-1.0369999999999999</v>
      </c>
      <c r="AA62" t="e">
        <f t="shared" ca="1" si="18"/>
        <v>#NAME?</v>
      </c>
      <c r="AB62">
        <f t="shared" si="19"/>
        <v>1</v>
      </c>
      <c r="AC62">
        <f t="shared" si="20"/>
        <v>1.4042250000000001</v>
      </c>
      <c r="AD62">
        <f t="shared" si="27"/>
        <v>1.22673096</v>
      </c>
      <c r="AE62">
        <f t="shared" si="28"/>
        <v>5.7714060544358416E-5</v>
      </c>
      <c r="AF62">
        <f t="shared" si="29"/>
        <v>6.9098751939409913E-4</v>
      </c>
      <c r="AG62">
        <f t="shared" si="21"/>
        <v>0</v>
      </c>
      <c r="AH62">
        <f t="shared" si="22"/>
        <v>0</v>
      </c>
      <c r="AI62">
        <f t="shared" si="30"/>
        <v>3.2193644299200004E-3</v>
      </c>
      <c r="AJ62">
        <f t="shared" si="23"/>
        <v>0</v>
      </c>
      <c r="AK62" t="e">
        <f t="shared" ca="1" si="24"/>
        <v>#NAME?</v>
      </c>
      <c r="AL62" t="e">
        <f t="shared" ca="1" si="25"/>
        <v>#NAME?</v>
      </c>
      <c r="BW62" t="s">
        <v>121</v>
      </c>
      <c r="BX62">
        <v>150</v>
      </c>
      <c r="BY62">
        <v>720</v>
      </c>
      <c r="BZ62">
        <v>140</v>
      </c>
      <c r="CA62">
        <v>320</v>
      </c>
      <c r="CB62">
        <v>470</v>
      </c>
      <c r="CC62">
        <v>470</v>
      </c>
      <c r="CD62">
        <v>140</v>
      </c>
      <c r="CE62">
        <v>440</v>
      </c>
      <c r="CF62">
        <v>440</v>
      </c>
      <c r="CG62">
        <v>440</v>
      </c>
    </row>
    <row r="63" spans="1:85" x14ac:dyDescent="0.2">
      <c r="K63" t="s">
        <v>146</v>
      </c>
      <c r="L63" t="s">
        <v>117</v>
      </c>
      <c r="N63" t="e" cm="1">
        <f t="array" aca="1" ref="N63" ca="1">_xludf.XLOOKUP(K63, $BX$46:$CG$46, $BX$47:$CG$50)</f>
        <v>#NAME?</v>
      </c>
      <c r="O63" t="e" cm="1">
        <f t="array" aca="1" ref="O63" ca="1">_xludf.XLOOKUP(K63, $BX$106:$CG$106, $BX$107:$CG$110)</f>
        <v>#NAME?</v>
      </c>
      <c r="P63" t="e" cm="1">
        <f t="array" aca="1" ref="P63" ca="1">_xludf.XLOOKUP(K$23,$BX$169:$CG$169,_xludf.XLOOKUP($D$11,$BW$170:$BW$176,$BX$170:$CG$176))</f>
        <v>#NAME?</v>
      </c>
      <c r="Q63" t="e">
        <f t="shared" ca="1" si="16"/>
        <v>#NAME?</v>
      </c>
      <c r="T63">
        <f t="shared" si="31"/>
        <v>0</v>
      </c>
      <c r="V63">
        <v>1</v>
      </c>
      <c r="W63">
        <v>0</v>
      </c>
      <c r="X63">
        <v>0</v>
      </c>
      <c r="Y63">
        <f t="shared" si="17"/>
        <v>0</v>
      </c>
      <c r="Z63" t="e">
        <f t="shared" ca="1" si="26"/>
        <v>#NAME?</v>
      </c>
      <c r="AA63" t="e">
        <f t="shared" ca="1" si="18"/>
        <v>#NAME?</v>
      </c>
      <c r="AB63" t="e">
        <f t="shared" ca="1" si="19"/>
        <v>#NAME?</v>
      </c>
      <c r="AC63" t="e">
        <f t="shared" ca="1" si="20"/>
        <v>#NAME?</v>
      </c>
      <c r="AD63" t="e">
        <f t="shared" ca="1" si="27"/>
        <v>#NAME?</v>
      </c>
      <c r="AE63" t="e">
        <f t="shared" ca="1" si="28"/>
        <v>#NAME?</v>
      </c>
      <c r="AF63" t="e">
        <f t="shared" ca="1" si="29"/>
        <v>#NAME?</v>
      </c>
      <c r="AG63" t="e">
        <f t="shared" ca="1" si="21"/>
        <v>#NAME?</v>
      </c>
      <c r="AH63" t="e">
        <f t="shared" ca="1" si="22"/>
        <v>#NAME?</v>
      </c>
      <c r="AI63" t="e">
        <f t="shared" ca="1" si="30"/>
        <v>#NAME?</v>
      </c>
      <c r="AJ63" t="e">
        <f t="shared" ca="1" si="23"/>
        <v>#NAME?</v>
      </c>
      <c r="AK63" t="e">
        <f t="shared" ca="1" si="24"/>
        <v>#NAME?</v>
      </c>
      <c r="AL63" t="e">
        <f t="shared" ca="1" si="25"/>
        <v>#NAME?</v>
      </c>
      <c r="AM63" t="e" cm="1">
        <f t="array" aca="1" ref="AM63" ca="1">_xludf.XLOOKUP(G$51,$BV$17:$CD$17,$BV$18:$CD$21)</f>
        <v>#NAME?</v>
      </c>
      <c r="AN63" t="e" cm="1">
        <f t="array" aca="1" ref="AN63" ca="1">_xludf.XLOOKUP(G$51,$BV$29:$CD$29,$BV$30:$CD$33)</f>
        <v>#NAME?</v>
      </c>
      <c r="BU63" t="s">
        <v>148</v>
      </c>
      <c r="BV63" t="s">
        <v>136</v>
      </c>
      <c r="BW63" t="s">
        <v>117</v>
      </c>
      <c r="BX63">
        <v>340</v>
      </c>
      <c r="BY63">
        <v>800</v>
      </c>
      <c r="BZ63">
        <v>260</v>
      </c>
      <c r="CA63">
        <v>420</v>
      </c>
      <c r="CB63">
        <v>550</v>
      </c>
      <c r="CC63">
        <v>550</v>
      </c>
      <c r="CD63">
        <v>300</v>
      </c>
      <c r="CE63">
        <v>480</v>
      </c>
      <c r="CF63">
        <v>480</v>
      </c>
      <c r="CG63">
        <v>480</v>
      </c>
    </row>
    <row r="64" spans="1:85" x14ac:dyDescent="0.2">
      <c r="L64" t="s">
        <v>119</v>
      </c>
      <c r="P64" t="e" cm="1">
        <f t="array" aca="1" ref="P64" ca="1">_xludf.XLOOKUP(K$23,$BX$169:$CG$169,_xludf.XLOOKUP($D$11,$BW$170:$BW$176,$BX$170:$CG$176))</f>
        <v>#NAME?</v>
      </c>
      <c r="Q64" t="e">
        <f t="shared" ca="1" si="16"/>
        <v>#NAME?</v>
      </c>
      <c r="T64">
        <f t="shared" si="31"/>
        <v>0</v>
      </c>
      <c r="V64">
        <v>1</v>
      </c>
      <c r="W64">
        <v>0</v>
      </c>
      <c r="X64">
        <v>0</v>
      </c>
      <c r="Y64">
        <f t="shared" si="17"/>
        <v>0</v>
      </c>
      <c r="Z64">
        <f t="shared" si="26"/>
        <v>-1.0369999999999999</v>
      </c>
      <c r="AA64" t="e">
        <f t="shared" ca="1" si="18"/>
        <v>#NAME?</v>
      </c>
      <c r="AB64">
        <f t="shared" si="19"/>
        <v>1</v>
      </c>
      <c r="AC64">
        <f t="shared" si="20"/>
        <v>1.4042250000000001</v>
      </c>
      <c r="AD64">
        <f t="shared" si="27"/>
        <v>1.22673096</v>
      </c>
      <c r="AE64">
        <f t="shared" si="28"/>
        <v>5.7714060544358416E-5</v>
      </c>
      <c r="AF64">
        <f t="shared" si="29"/>
        <v>6.9098751939409913E-4</v>
      </c>
      <c r="AG64">
        <f t="shared" si="21"/>
        <v>0</v>
      </c>
      <c r="AH64">
        <f t="shared" si="22"/>
        <v>0</v>
      </c>
      <c r="AI64">
        <f t="shared" si="30"/>
        <v>3.2193644299200004E-3</v>
      </c>
      <c r="AJ64">
        <f t="shared" si="23"/>
        <v>0</v>
      </c>
      <c r="AK64" t="e">
        <f t="shared" ca="1" si="24"/>
        <v>#NAME?</v>
      </c>
      <c r="AL64" t="e">
        <f t="shared" ca="1" si="25"/>
        <v>#NAME?</v>
      </c>
      <c r="BW64" t="s">
        <v>119</v>
      </c>
      <c r="BX64">
        <v>380</v>
      </c>
      <c r="BY64">
        <v>780</v>
      </c>
      <c r="BZ64">
        <v>300</v>
      </c>
      <c r="CA64">
        <v>450</v>
      </c>
      <c r="CB64">
        <v>530</v>
      </c>
      <c r="CC64">
        <v>530</v>
      </c>
      <c r="CD64">
        <v>340</v>
      </c>
      <c r="CE64">
        <v>470</v>
      </c>
      <c r="CF64">
        <v>470</v>
      </c>
      <c r="CG64">
        <v>470</v>
      </c>
    </row>
    <row r="65" spans="11:85" x14ac:dyDescent="0.2">
      <c r="L65" t="s">
        <v>120</v>
      </c>
      <c r="P65" t="e" cm="1">
        <f t="array" aca="1" ref="P65" ca="1">_xludf.XLOOKUP(K$23,$BX$169:$CG$169,_xludf.XLOOKUP($D$11,$BW$170:$BW$176,$BX$170:$CG$176))</f>
        <v>#NAME?</v>
      </c>
      <c r="Q65" t="e">
        <f t="shared" ca="1" si="16"/>
        <v>#NAME?</v>
      </c>
      <c r="T65">
        <f t="shared" si="31"/>
        <v>0</v>
      </c>
      <c r="V65">
        <v>1</v>
      </c>
      <c r="W65">
        <v>0</v>
      </c>
      <c r="X65">
        <v>0</v>
      </c>
      <c r="Y65">
        <f t="shared" si="17"/>
        <v>0</v>
      </c>
      <c r="Z65">
        <f t="shared" si="26"/>
        <v>-1.0369999999999999</v>
      </c>
      <c r="AA65" t="e">
        <f t="shared" ca="1" si="18"/>
        <v>#NAME?</v>
      </c>
      <c r="AB65">
        <f t="shared" si="19"/>
        <v>1</v>
      </c>
      <c r="AC65">
        <f t="shared" si="20"/>
        <v>1.4042250000000001</v>
      </c>
      <c r="AD65">
        <f t="shared" si="27"/>
        <v>1.22673096</v>
      </c>
      <c r="AE65">
        <f t="shared" si="28"/>
        <v>5.7714060544358416E-5</v>
      </c>
      <c r="AF65">
        <f t="shared" si="29"/>
        <v>6.9098751939409913E-4</v>
      </c>
      <c r="AG65">
        <f t="shared" si="21"/>
        <v>0</v>
      </c>
      <c r="AH65">
        <f t="shared" si="22"/>
        <v>0</v>
      </c>
      <c r="AI65">
        <f t="shared" si="30"/>
        <v>3.2193644299200004E-3</v>
      </c>
      <c r="AJ65">
        <f t="shared" si="23"/>
        <v>0</v>
      </c>
      <c r="AK65" t="e">
        <f t="shared" ca="1" si="24"/>
        <v>#NAME?</v>
      </c>
      <c r="AL65" t="e">
        <f t="shared" ca="1" si="25"/>
        <v>#NAME?</v>
      </c>
      <c r="BW65" t="s">
        <v>120</v>
      </c>
      <c r="BX65">
        <v>100</v>
      </c>
      <c r="BY65">
        <v>680</v>
      </c>
      <c r="BZ65">
        <v>80</v>
      </c>
      <c r="CA65">
        <v>320</v>
      </c>
      <c r="CB65">
        <v>480</v>
      </c>
      <c r="CC65">
        <v>480</v>
      </c>
      <c r="CD65">
        <v>100</v>
      </c>
      <c r="CE65">
        <v>340</v>
      </c>
      <c r="CF65">
        <v>340</v>
      </c>
      <c r="CG65">
        <v>340</v>
      </c>
    </row>
    <row r="66" spans="11:85" x14ac:dyDescent="0.2">
      <c r="L66" t="s">
        <v>121</v>
      </c>
      <c r="P66" t="e" cm="1">
        <f t="array" aca="1" ref="P66" ca="1">_xludf.XLOOKUP(K$23,$BX$169:$CG$169,_xludf.XLOOKUP($D$11,$BW$170:$BW$176,$BX$170:$CG$176))</f>
        <v>#NAME?</v>
      </c>
      <c r="Q66" t="e">
        <f t="shared" ca="1" si="16"/>
        <v>#NAME?</v>
      </c>
      <c r="T66">
        <f t="shared" si="31"/>
        <v>0</v>
      </c>
      <c r="V66">
        <v>1</v>
      </c>
      <c r="W66">
        <v>0</v>
      </c>
      <c r="X66">
        <v>0</v>
      </c>
      <c r="Y66">
        <f t="shared" si="17"/>
        <v>0</v>
      </c>
      <c r="Z66">
        <f t="shared" si="26"/>
        <v>-1.0369999999999999</v>
      </c>
      <c r="AA66" t="e">
        <f t="shared" ca="1" si="18"/>
        <v>#NAME?</v>
      </c>
      <c r="AB66">
        <f t="shared" si="19"/>
        <v>1</v>
      </c>
      <c r="AC66">
        <f t="shared" si="20"/>
        <v>1.4042250000000001</v>
      </c>
      <c r="AD66">
        <f t="shared" si="27"/>
        <v>1.22673096</v>
      </c>
      <c r="AE66">
        <f t="shared" si="28"/>
        <v>5.7714060544358416E-5</v>
      </c>
      <c r="AF66">
        <f t="shared" si="29"/>
        <v>6.9098751939409913E-4</v>
      </c>
      <c r="AG66">
        <f t="shared" si="21"/>
        <v>0</v>
      </c>
      <c r="AH66">
        <f t="shared" si="22"/>
        <v>0</v>
      </c>
      <c r="AI66">
        <f t="shared" si="30"/>
        <v>3.2193644299200004E-3</v>
      </c>
      <c r="AJ66">
        <f t="shared" si="23"/>
        <v>0</v>
      </c>
      <c r="AK66" t="e">
        <f t="shared" ca="1" si="24"/>
        <v>#NAME?</v>
      </c>
      <c r="AL66" t="e">
        <f t="shared" ca="1" si="25"/>
        <v>#NAME?</v>
      </c>
      <c r="BW66" t="s">
        <v>121</v>
      </c>
      <c r="BX66">
        <v>190</v>
      </c>
      <c r="BY66">
        <v>700</v>
      </c>
      <c r="BZ66">
        <v>150</v>
      </c>
      <c r="CA66">
        <v>330</v>
      </c>
      <c r="CB66">
        <v>490</v>
      </c>
      <c r="CC66">
        <v>490</v>
      </c>
      <c r="CD66">
        <v>170</v>
      </c>
      <c r="CE66">
        <v>360</v>
      </c>
      <c r="CF66">
        <v>360</v>
      </c>
      <c r="CG66">
        <v>360</v>
      </c>
    </row>
    <row r="67" spans="11:85" x14ac:dyDescent="0.2">
      <c r="K67" t="s">
        <v>152</v>
      </c>
      <c r="L67" t="s">
        <v>117</v>
      </c>
      <c r="M67">
        <v>100</v>
      </c>
      <c r="N67" t="e" cm="1">
        <f t="array" aca="1" ref="N67" ca="1">_xludf.XLOOKUP(K67, $BX$46:$CG$46, $BX$47:$CG$50)</f>
        <v>#NAME?</v>
      </c>
      <c r="O67" t="e" cm="1">
        <f t="array" aca="1" ref="O67" ca="1">_xludf.XLOOKUP(K67, $BX$106:$CG$106, $BX$107:$CG$110)</f>
        <v>#NAME?</v>
      </c>
      <c r="P67" t="e" cm="1">
        <f t="array" aca="1" ref="P67" ca="1">_xludf.XLOOKUP(K$27,$BX$169:$CG$169,_xludf.XLOOKUP($D$11,$BW$170:$BW$176,$BX$170:$CG$176))</f>
        <v>#NAME?</v>
      </c>
      <c r="Q67" t="e">
        <f t="shared" ca="1" si="16"/>
        <v>#NAME?</v>
      </c>
      <c r="R67">
        <v>1</v>
      </c>
      <c r="T67">
        <f t="shared" si="31"/>
        <v>1</v>
      </c>
      <c r="U67">
        <f t="shared" ref="U67:U74" si="32">1+(0.3*R67)+(0.1*S67)</f>
        <v>1.3</v>
      </c>
      <c r="V67">
        <f t="shared" ref="V67:V74" si="33">(T67*U67)+(1 - T67)</f>
        <v>1.3</v>
      </c>
      <c r="W67">
        <v>0</v>
      </c>
      <c r="X67">
        <f>VLOOKUP($G$11, $CL$17:$CN$25, 2, FALSE)</f>
        <v>6</v>
      </c>
      <c r="Y67">
        <f t="shared" si="17"/>
        <v>6</v>
      </c>
      <c r="Z67" t="e">
        <f t="shared" ca="1" si="26"/>
        <v>#NAME?</v>
      </c>
      <c r="AA67" t="e">
        <f t="shared" ca="1" si="18"/>
        <v>#NAME?</v>
      </c>
      <c r="AB67" t="e">
        <f t="shared" ca="1" si="19"/>
        <v>#NAME?</v>
      </c>
      <c r="AC67" t="e">
        <f t="shared" ca="1" si="20"/>
        <v>#NAME?</v>
      </c>
      <c r="AD67" t="e">
        <f t="shared" ca="1" si="27"/>
        <v>#NAME?</v>
      </c>
      <c r="AE67" t="e">
        <f t="shared" ca="1" si="28"/>
        <v>#NAME?</v>
      </c>
      <c r="AF67" t="e">
        <f t="shared" ca="1" si="29"/>
        <v>#NAME?</v>
      </c>
      <c r="AG67" t="e">
        <f t="shared" ca="1" si="21"/>
        <v>#NAME?</v>
      </c>
      <c r="AH67" t="e">
        <f t="shared" ca="1" si="22"/>
        <v>#NAME?</v>
      </c>
      <c r="AI67" t="e">
        <f t="shared" ca="1" si="30"/>
        <v>#NAME?</v>
      </c>
      <c r="AJ67" t="e">
        <f t="shared" ca="1" si="23"/>
        <v>#NAME?</v>
      </c>
      <c r="AK67" t="e">
        <f t="shared" ca="1" si="24"/>
        <v>#NAME?</v>
      </c>
      <c r="AL67" t="e">
        <f t="shared" ca="1" si="25"/>
        <v>#NAME?</v>
      </c>
      <c r="AM67" t="e" cm="1">
        <f t="array" aca="1" ref="AM67" ca="1">_xludf.XLOOKUP(G$51,$BV$17:$CD$17,$BV$18:$CD$21)</f>
        <v>#NAME?</v>
      </c>
      <c r="AN67" t="e" cm="1">
        <f t="array" aca="1" ref="AN67" ca="1">_xludf.XLOOKUP(G$51,$BV$29:$CD$29,$BV$30:$CD$33)</f>
        <v>#NAME?</v>
      </c>
      <c r="BU67" t="s">
        <v>148</v>
      </c>
      <c r="BV67" t="s">
        <v>137</v>
      </c>
      <c r="BW67" t="s">
        <v>117</v>
      </c>
      <c r="BX67">
        <v>80</v>
      </c>
      <c r="BY67">
        <v>450</v>
      </c>
      <c r="BZ67">
        <v>70</v>
      </c>
      <c r="CA67">
        <v>260</v>
      </c>
      <c r="CB67">
        <v>340</v>
      </c>
      <c r="CC67">
        <v>340</v>
      </c>
      <c r="CD67">
        <v>80</v>
      </c>
      <c r="CE67">
        <v>370</v>
      </c>
      <c r="CF67">
        <v>370</v>
      </c>
      <c r="CG67">
        <v>370</v>
      </c>
    </row>
    <row r="68" spans="11:85" x14ac:dyDescent="0.2">
      <c r="L68" t="s">
        <v>119</v>
      </c>
      <c r="M68">
        <v>110</v>
      </c>
      <c r="P68" t="e" cm="1">
        <f t="array" aca="1" ref="P68" ca="1">_xludf.XLOOKUP(K$27,$BX$169:$CG$169,_xludf.XLOOKUP($D$11,$BW$170:$BW$176,$BX$170:$CG$176))</f>
        <v>#NAME?</v>
      </c>
      <c r="Q68" t="e">
        <f t="shared" ca="1" si="16"/>
        <v>#NAME?</v>
      </c>
      <c r="R68">
        <v>0</v>
      </c>
      <c r="S68">
        <v>1</v>
      </c>
      <c r="T68">
        <f t="shared" si="31"/>
        <v>1</v>
      </c>
      <c r="U68">
        <f t="shared" si="32"/>
        <v>1.1000000000000001</v>
      </c>
      <c r="V68">
        <f t="shared" si="33"/>
        <v>1.1000000000000001</v>
      </c>
      <c r="W68">
        <v>0</v>
      </c>
      <c r="X68">
        <f>VLOOKUP($G$11, $CL$17:$CN$25, 3, FALSE)</f>
        <v>4</v>
      </c>
      <c r="Y68">
        <f t="shared" si="17"/>
        <v>4</v>
      </c>
      <c r="Z68">
        <f t="shared" si="26"/>
        <v>-1.0369999999999999</v>
      </c>
      <c r="AA68" t="e">
        <f t="shared" ca="1" si="18"/>
        <v>#NAME?</v>
      </c>
      <c r="AB68">
        <f t="shared" si="19"/>
        <v>1</v>
      </c>
      <c r="AC68">
        <f t="shared" si="20"/>
        <v>1.5446475000000002</v>
      </c>
      <c r="AD68">
        <f t="shared" si="27"/>
        <v>1.3494040560000002</v>
      </c>
      <c r="AE68">
        <f t="shared" si="28"/>
        <v>6.3485466598794263E-5</v>
      </c>
      <c r="AF68">
        <f t="shared" si="29"/>
        <v>7.6008627133350914E-4</v>
      </c>
      <c r="AG68">
        <f t="shared" si="21"/>
        <v>0.6372353709853974</v>
      </c>
      <c r="AH68">
        <f t="shared" si="22"/>
        <v>7.629365948510098</v>
      </c>
      <c r="AI68">
        <f t="shared" si="30"/>
        <v>3.5413008729119999E-3</v>
      </c>
      <c r="AJ68">
        <f t="shared" si="23"/>
        <v>35.5458075118542</v>
      </c>
      <c r="AK68" t="e">
        <f t="shared" ca="1" si="24"/>
        <v>#NAME?</v>
      </c>
      <c r="AL68" t="e">
        <f t="shared" ca="1" si="25"/>
        <v>#NAME?</v>
      </c>
      <c r="BW68" t="s">
        <v>119</v>
      </c>
      <c r="BX68">
        <v>150</v>
      </c>
      <c r="BY68">
        <v>500</v>
      </c>
      <c r="BZ68">
        <v>140</v>
      </c>
      <c r="CA68">
        <v>310</v>
      </c>
      <c r="CB68">
        <v>360</v>
      </c>
      <c r="CC68">
        <v>360</v>
      </c>
      <c r="CD68">
        <v>150</v>
      </c>
      <c r="CE68">
        <v>400</v>
      </c>
      <c r="CF68">
        <v>400</v>
      </c>
      <c r="CG68">
        <v>400</v>
      </c>
    </row>
    <row r="69" spans="11:85" x14ac:dyDescent="0.2">
      <c r="L69" t="s">
        <v>120</v>
      </c>
      <c r="M69">
        <v>120</v>
      </c>
      <c r="P69" t="e" cm="1">
        <f t="array" aca="1" ref="P69" ca="1">_xludf.XLOOKUP(K$27,$BX$169:$CG$169,_xludf.XLOOKUP($D$11,$BW$170:$BW$176,$BX$170:$CG$176))</f>
        <v>#NAME?</v>
      </c>
      <c r="Q69" t="e">
        <f t="shared" ca="1" si="16"/>
        <v>#NAME?</v>
      </c>
      <c r="R69">
        <v>0</v>
      </c>
      <c r="S69">
        <v>0</v>
      </c>
      <c r="T69">
        <f t="shared" si="31"/>
        <v>0</v>
      </c>
      <c r="U69">
        <f t="shared" si="32"/>
        <v>1</v>
      </c>
      <c r="V69">
        <f t="shared" si="33"/>
        <v>1</v>
      </c>
      <c r="W69">
        <v>0</v>
      </c>
      <c r="X69">
        <v>0</v>
      </c>
      <c r="Y69">
        <f t="shared" si="17"/>
        <v>0</v>
      </c>
      <c r="Z69">
        <f t="shared" si="26"/>
        <v>-1.0369999999999999</v>
      </c>
      <c r="AA69" t="e">
        <f t="shared" ca="1" si="18"/>
        <v>#NAME?</v>
      </c>
      <c r="AB69">
        <f t="shared" si="19"/>
        <v>1</v>
      </c>
      <c r="AC69">
        <f t="shared" si="20"/>
        <v>1.4042250000000001</v>
      </c>
      <c r="AD69">
        <f t="shared" si="27"/>
        <v>1.22673096</v>
      </c>
      <c r="AE69">
        <f t="shared" si="28"/>
        <v>5.7714060544358416E-5</v>
      </c>
      <c r="AF69">
        <f t="shared" si="29"/>
        <v>6.9098751939409913E-4</v>
      </c>
      <c r="AG69">
        <f t="shared" si="21"/>
        <v>0.63196896296072469</v>
      </c>
      <c r="AH69">
        <f t="shared" si="22"/>
        <v>7.5663133373653855</v>
      </c>
      <c r="AI69">
        <f t="shared" si="30"/>
        <v>3.2193644299200004E-3</v>
      </c>
      <c r="AJ69">
        <f t="shared" si="23"/>
        <v>35.25204050762401</v>
      </c>
      <c r="AK69" t="e">
        <f t="shared" ca="1" si="24"/>
        <v>#NAME?</v>
      </c>
      <c r="AL69" t="e">
        <f t="shared" ca="1" si="25"/>
        <v>#NAME?</v>
      </c>
      <c r="BW69" t="s">
        <v>120</v>
      </c>
      <c r="BX69">
        <v>230</v>
      </c>
      <c r="BY69">
        <v>550</v>
      </c>
      <c r="BZ69">
        <v>220</v>
      </c>
      <c r="CA69">
        <v>330</v>
      </c>
      <c r="CB69">
        <v>380</v>
      </c>
      <c r="CC69">
        <v>380</v>
      </c>
      <c r="CD69">
        <v>230</v>
      </c>
      <c r="CE69">
        <v>420</v>
      </c>
      <c r="CF69">
        <v>420</v>
      </c>
      <c r="CG69">
        <v>420</v>
      </c>
    </row>
    <row r="70" spans="11:85" x14ac:dyDescent="0.2">
      <c r="L70" t="s">
        <v>121</v>
      </c>
      <c r="M70">
        <v>130</v>
      </c>
      <c r="P70" t="e" cm="1">
        <f t="array" aca="1" ref="P70" ca="1">_xludf.XLOOKUP(K$27,$BX$169:$CG$169,_xludf.XLOOKUP($D$11,$BW$170:$BW$176,$BX$170:$CG$176))</f>
        <v>#NAME?</v>
      </c>
      <c r="Q70" t="e">
        <f t="shared" ca="1" si="16"/>
        <v>#NAME?</v>
      </c>
      <c r="R70">
        <v>0</v>
      </c>
      <c r="S70">
        <v>0</v>
      </c>
      <c r="T70">
        <f t="shared" si="31"/>
        <v>0</v>
      </c>
      <c r="U70">
        <f t="shared" si="32"/>
        <v>1</v>
      </c>
      <c r="V70">
        <f t="shared" si="33"/>
        <v>1</v>
      </c>
      <c r="W70">
        <v>0</v>
      </c>
      <c r="X70">
        <v>0</v>
      </c>
      <c r="Y70">
        <f t="shared" si="17"/>
        <v>0</v>
      </c>
      <c r="Z70">
        <f t="shared" si="26"/>
        <v>-1.0369999999999999</v>
      </c>
      <c r="AA70" t="e">
        <f t="shared" ca="1" si="18"/>
        <v>#NAME?</v>
      </c>
      <c r="AB70">
        <f t="shared" si="19"/>
        <v>1</v>
      </c>
      <c r="AC70">
        <f t="shared" si="20"/>
        <v>1.4042250000000001</v>
      </c>
      <c r="AD70">
        <f t="shared" si="27"/>
        <v>1.22673096</v>
      </c>
      <c r="AE70">
        <f t="shared" si="28"/>
        <v>5.7714060544358416E-5</v>
      </c>
      <c r="AF70">
        <f t="shared" si="29"/>
        <v>6.9098751939409913E-4</v>
      </c>
      <c r="AG70">
        <f t="shared" si="21"/>
        <v>0.68463304320745177</v>
      </c>
      <c r="AH70">
        <f t="shared" si="22"/>
        <v>8.1968394488125007</v>
      </c>
      <c r="AI70">
        <f t="shared" si="30"/>
        <v>3.2193644299200004E-3</v>
      </c>
      <c r="AJ70">
        <f t="shared" si="23"/>
        <v>38.189710549926005</v>
      </c>
      <c r="AK70" t="e">
        <f t="shared" ca="1" si="24"/>
        <v>#NAME?</v>
      </c>
      <c r="AL70" t="e">
        <f t="shared" ca="1" si="25"/>
        <v>#NAME?</v>
      </c>
      <c r="BW70" t="s">
        <v>121</v>
      </c>
      <c r="BX70">
        <v>250</v>
      </c>
      <c r="BY70">
        <v>500</v>
      </c>
      <c r="BZ70">
        <v>240</v>
      </c>
      <c r="CA70">
        <v>340</v>
      </c>
      <c r="CB70">
        <v>360</v>
      </c>
      <c r="CC70">
        <v>360</v>
      </c>
      <c r="CD70">
        <v>250</v>
      </c>
      <c r="CE70">
        <v>390</v>
      </c>
      <c r="CF70">
        <v>390</v>
      </c>
      <c r="CG70">
        <v>390</v>
      </c>
    </row>
    <row r="71" spans="11:85" x14ac:dyDescent="0.2">
      <c r="K71" t="s">
        <v>156</v>
      </c>
      <c r="L71" t="s">
        <v>117</v>
      </c>
      <c r="N71" t="e" cm="1">
        <f t="array" aca="1" ref="N71" ca="1">_xludf.XLOOKUP(K71, $BX$46:$CG$46, $BX$47:$CG$50)</f>
        <v>#NAME?</v>
      </c>
      <c r="O71" t="e" cm="1">
        <f t="array" aca="1" ref="O71" ca="1">_xludf.XLOOKUP(K71, $BX$106:$CG$106, $BX$107:$CG$110)</f>
        <v>#NAME?</v>
      </c>
      <c r="P71" t="e" cm="1">
        <f t="array" aca="1" ref="P71" ca="1">_xludf.XLOOKUP(K$31,$BX$169:$CG$169,_xludf.XLOOKUP($D$11,$BW$170:$BW$176,$BX$170:$CG$176))</f>
        <v>#NAME?</v>
      </c>
      <c r="Q71" t="e">
        <f t="shared" ca="1" si="16"/>
        <v>#NAME?</v>
      </c>
      <c r="R71">
        <v>1</v>
      </c>
      <c r="S71">
        <v>0</v>
      </c>
      <c r="T71">
        <f t="shared" si="31"/>
        <v>1</v>
      </c>
      <c r="U71">
        <f t="shared" si="32"/>
        <v>1.3</v>
      </c>
      <c r="V71">
        <f t="shared" si="33"/>
        <v>1.3</v>
      </c>
      <c r="W71">
        <v>0</v>
      </c>
      <c r="X71">
        <f>VLOOKUP($G$11, $CL$17:$CN$25, 2, FALSE)</f>
        <v>6</v>
      </c>
      <c r="Y71">
        <f t="shared" si="17"/>
        <v>6</v>
      </c>
      <c r="Z71" t="e">
        <f t="shared" ca="1" si="26"/>
        <v>#NAME?</v>
      </c>
      <c r="AA71" t="e">
        <f t="shared" ca="1" si="18"/>
        <v>#NAME?</v>
      </c>
      <c r="AB71" t="e">
        <f t="shared" ca="1" si="19"/>
        <v>#NAME?</v>
      </c>
      <c r="AC71" t="e">
        <f t="shared" ca="1" si="20"/>
        <v>#NAME?</v>
      </c>
      <c r="AD71" t="e">
        <f t="shared" ca="1" si="27"/>
        <v>#NAME?</v>
      </c>
      <c r="AE71" t="e">
        <f t="shared" ca="1" si="28"/>
        <v>#NAME?</v>
      </c>
      <c r="AF71" t="e">
        <f t="shared" ca="1" si="29"/>
        <v>#NAME?</v>
      </c>
      <c r="AG71" t="e">
        <f t="shared" ca="1" si="21"/>
        <v>#NAME?</v>
      </c>
      <c r="AH71" t="e">
        <f t="shared" ca="1" si="22"/>
        <v>#NAME?</v>
      </c>
      <c r="AI71" t="e">
        <f t="shared" ca="1" si="30"/>
        <v>#NAME?</v>
      </c>
      <c r="AJ71" t="e">
        <f t="shared" ca="1" si="23"/>
        <v>#NAME?</v>
      </c>
      <c r="AK71" t="e">
        <f t="shared" ca="1" si="24"/>
        <v>#NAME?</v>
      </c>
      <c r="AL71" t="e">
        <f t="shared" ca="1" si="25"/>
        <v>#NAME?</v>
      </c>
      <c r="AM71" t="e" cm="1">
        <f t="array" aca="1" ref="AM71" ca="1">_xludf.XLOOKUP(G$51,$BV$17:$CD$17,$BV$18:$CD$21)</f>
        <v>#NAME?</v>
      </c>
      <c r="AN71" t="e" cm="1">
        <f t="array" aca="1" ref="AN71" ca="1">_xludf.XLOOKUP(G$51,$BV$29:$CD$29,$BV$30:$CD$33)</f>
        <v>#NAME?</v>
      </c>
      <c r="BU71" t="s">
        <v>148</v>
      </c>
      <c r="BV71" t="s">
        <v>138</v>
      </c>
      <c r="BW71" t="s">
        <v>117</v>
      </c>
      <c r="BX71">
        <v>220</v>
      </c>
      <c r="BY71">
        <v>500</v>
      </c>
      <c r="BZ71">
        <v>180</v>
      </c>
      <c r="CA71">
        <v>300</v>
      </c>
      <c r="CB71">
        <v>320</v>
      </c>
      <c r="CC71">
        <v>320</v>
      </c>
      <c r="CD71">
        <v>210</v>
      </c>
      <c r="CE71">
        <v>340</v>
      </c>
      <c r="CF71">
        <v>340</v>
      </c>
      <c r="CG71">
        <v>340</v>
      </c>
    </row>
    <row r="72" spans="11:85" x14ac:dyDescent="0.2">
      <c r="L72" t="s">
        <v>119</v>
      </c>
      <c r="P72" t="e" cm="1">
        <f t="array" aca="1" ref="P72" ca="1">_xludf.XLOOKUP(K$31,$BX$169:$CG$169,_xludf.XLOOKUP($D$11,$BW$170:$BW$176,$BX$170:$CG$176))</f>
        <v>#NAME?</v>
      </c>
      <c r="Q72" t="e">
        <f t="shared" ca="1" si="16"/>
        <v>#NAME?</v>
      </c>
      <c r="R72">
        <v>0</v>
      </c>
      <c r="S72">
        <v>1</v>
      </c>
      <c r="T72">
        <f t="shared" si="31"/>
        <v>1</v>
      </c>
      <c r="U72">
        <f t="shared" si="32"/>
        <v>1.1000000000000001</v>
      </c>
      <c r="V72">
        <f t="shared" si="33"/>
        <v>1.1000000000000001</v>
      </c>
      <c r="W72">
        <v>0</v>
      </c>
      <c r="X72">
        <f>VLOOKUP($G$11, $CL$17:$CN$25, 3, FALSE)</f>
        <v>4</v>
      </c>
      <c r="Y72">
        <f t="shared" si="17"/>
        <v>4</v>
      </c>
      <c r="Z72">
        <f t="shared" si="26"/>
        <v>-1.0369999999999999</v>
      </c>
      <c r="AA72" t="e">
        <f t="shared" ca="1" si="18"/>
        <v>#NAME?</v>
      </c>
      <c r="AB72">
        <f t="shared" si="19"/>
        <v>1</v>
      </c>
      <c r="AC72">
        <f t="shared" si="20"/>
        <v>1.5446475000000002</v>
      </c>
      <c r="AD72">
        <f t="shared" si="27"/>
        <v>1.3494040560000002</v>
      </c>
      <c r="AE72">
        <f t="shared" si="28"/>
        <v>6.3485466598794263E-5</v>
      </c>
      <c r="AF72">
        <f t="shared" si="29"/>
        <v>7.6008627133350914E-4</v>
      </c>
      <c r="AG72">
        <f t="shared" si="21"/>
        <v>0</v>
      </c>
      <c r="AH72">
        <f t="shared" si="22"/>
        <v>0</v>
      </c>
      <c r="AI72">
        <f t="shared" si="30"/>
        <v>3.5413008729119999E-3</v>
      </c>
      <c r="AJ72">
        <f t="shared" si="23"/>
        <v>0</v>
      </c>
      <c r="AK72" t="e">
        <f t="shared" ca="1" si="24"/>
        <v>#NAME?</v>
      </c>
      <c r="AL72" t="e">
        <f t="shared" ca="1" si="25"/>
        <v>#NAME?</v>
      </c>
      <c r="BW72" t="s">
        <v>119</v>
      </c>
      <c r="BX72">
        <v>110</v>
      </c>
      <c r="BY72">
        <v>550</v>
      </c>
      <c r="BZ72">
        <v>90</v>
      </c>
      <c r="CA72">
        <v>220</v>
      </c>
      <c r="CB72">
        <v>380</v>
      </c>
      <c r="CC72">
        <v>380</v>
      </c>
      <c r="CD72">
        <v>100</v>
      </c>
      <c r="CE72">
        <v>390</v>
      </c>
      <c r="CF72">
        <v>390</v>
      </c>
      <c r="CG72">
        <v>390</v>
      </c>
    </row>
    <row r="73" spans="11:85" x14ac:dyDescent="0.2">
      <c r="L73" t="s">
        <v>120</v>
      </c>
      <c r="P73" t="e" cm="1">
        <f t="array" aca="1" ref="P73" ca="1">_xludf.XLOOKUP(K$31,$BX$169:$CG$169,_xludf.XLOOKUP($D$11,$BW$170:$BW$176,$BX$170:$CG$176))</f>
        <v>#NAME?</v>
      </c>
      <c r="Q73" t="e">
        <f t="shared" ca="1" si="16"/>
        <v>#NAME?</v>
      </c>
      <c r="R73">
        <v>0</v>
      </c>
      <c r="S73">
        <v>0</v>
      </c>
      <c r="T73">
        <f t="shared" si="31"/>
        <v>0</v>
      </c>
      <c r="U73">
        <f t="shared" si="32"/>
        <v>1</v>
      </c>
      <c r="V73">
        <f t="shared" si="33"/>
        <v>1</v>
      </c>
      <c r="W73">
        <v>0</v>
      </c>
      <c r="X73">
        <v>0</v>
      </c>
      <c r="Y73">
        <f t="shared" si="17"/>
        <v>0</v>
      </c>
      <c r="Z73">
        <f t="shared" si="26"/>
        <v>-1.0369999999999999</v>
      </c>
      <c r="AA73" t="e">
        <f t="shared" ca="1" si="18"/>
        <v>#NAME?</v>
      </c>
      <c r="AB73">
        <f t="shared" si="19"/>
        <v>1</v>
      </c>
      <c r="AC73">
        <f t="shared" si="20"/>
        <v>1.4042250000000001</v>
      </c>
      <c r="AD73">
        <f t="shared" si="27"/>
        <v>1.22673096</v>
      </c>
      <c r="AE73">
        <f t="shared" si="28"/>
        <v>5.7714060544358416E-5</v>
      </c>
      <c r="AF73">
        <f t="shared" si="29"/>
        <v>6.9098751939409913E-4</v>
      </c>
      <c r="AG73">
        <f t="shared" si="21"/>
        <v>0</v>
      </c>
      <c r="AH73">
        <f t="shared" si="22"/>
        <v>0</v>
      </c>
      <c r="AI73">
        <f t="shared" si="30"/>
        <v>3.2193644299200004E-3</v>
      </c>
      <c r="AJ73">
        <f t="shared" si="23"/>
        <v>0</v>
      </c>
      <c r="AK73" t="e">
        <f t="shared" ca="1" si="24"/>
        <v>#NAME?</v>
      </c>
      <c r="AL73" t="e">
        <f t="shared" ca="1" si="25"/>
        <v>#NAME?</v>
      </c>
      <c r="BW73" t="s">
        <v>120</v>
      </c>
      <c r="BX73">
        <v>170</v>
      </c>
      <c r="BY73">
        <v>600</v>
      </c>
      <c r="BZ73">
        <v>140</v>
      </c>
      <c r="CA73">
        <v>270</v>
      </c>
      <c r="CB73">
        <v>390</v>
      </c>
      <c r="CC73">
        <v>390</v>
      </c>
      <c r="CD73">
        <v>160</v>
      </c>
      <c r="CE73">
        <v>430</v>
      </c>
      <c r="CF73">
        <v>430</v>
      </c>
      <c r="CG73">
        <v>430</v>
      </c>
    </row>
    <row r="74" spans="11:85" x14ac:dyDescent="0.2">
      <c r="L74" t="s">
        <v>121</v>
      </c>
      <c r="P74" t="e" cm="1">
        <f t="array" aca="1" ref="P74" ca="1">_xludf.XLOOKUP(K$31,$BX$169:$CG$169,_xludf.XLOOKUP($D$11,$BW$170:$BW$176,$BX$170:$CG$176))</f>
        <v>#NAME?</v>
      </c>
      <c r="Q74" t="e">
        <f t="shared" ca="1" si="16"/>
        <v>#NAME?</v>
      </c>
      <c r="R74">
        <v>0</v>
      </c>
      <c r="S74">
        <v>0</v>
      </c>
      <c r="T74">
        <f t="shared" si="31"/>
        <v>0</v>
      </c>
      <c r="U74">
        <f t="shared" si="32"/>
        <v>1</v>
      </c>
      <c r="V74">
        <f t="shared" si="33"/>
        <v>1</v>
      </c>
      <c r="W74">
        <v>0</v>
      </c>
      <c r="X74">
        <v>0</v>
      </c>
      <c r="Y74">
        <f t="shared" si="17"/>
        <v>0</v>
      </c>
      <c r="Z74">
        <f t="shared" si="26"/>
        <v>-1.0369999999999999</v>
      </c>
      <c r="AA74" t="e">
        <f t="shared" ca="1" si="18"/>
        <v>#NAME?</v>
      </c>
      <c r="AB74">
        <f t="shared" si="19"/>
        <v>1</v>
      </c>
      <c r="AC74">
        <f t="shared" si="20"/>
        <v>1.4042250000000001</v>
      </c>
      <c r="AD74">
        <f t="shared" si="27"/>
        <v>1.22673096</v>
      </c>
      <c r="AE74">
        <f t="shared" si="28"/>
        <v>5.7714060544358416E-5</v>
      </c>
      <c r="AF74">
        <f t="shared" si="29"/>
        <v>6.9098751939409913E-4</v>
      </c>
      <c r="AG74">
        <f t="shared" si="21"/>
        <v>0</v>
      </c>
      <c r="AH74">
        <f t="shared" si="22"/>
        <v>0</v>
      </c>
      <c r="AI74">
        <f t="shared" si="30"/>
        <v>3.2193644299200004E-3</v>
      </c>
      <c r="AJ74">
        <f t="shared" si="23"/>
        <v>0</v>
      </c>
      <c r="AK74" t="e">
        <f t="shared" ca="1" si="24"/>
        <v>#NAME?</v>
      </c>
      <c r="AL74" t="e">
        <f t="shared" ca="1" si="25"/>
        <v>#NAME?</v>
      </c>
      <c r="BW74" t="s">
        <v>121</v>
      </c>
      <c r="BX74">
        <v>200</v>
      </c>
      <c r="BY74">
        <v>550</v>
      </c>
      <c r="BZ74">
        <v>150</v>
      </c>
      <c r="CA74">
        <v>280</v>
      </c>
      <c r="CB74">
        <v>350</v>
      </c>
      <c r="CC74">
        <v>350</v>
      </c>
      <c r="CD74">
        <v>190</v>
      </c>
      <c r="CE74">
        <v>400</v>
      </c>
      <c r="CF74">
        <v>400</v>
      </c>
      <c r="CG74">
        <v>400</v>
      </c>
    </row>
    <row r="75" spans="11:85" x14ac:dyDescent="0.2">
      <c r="K75" t="s">
        <v>164</v>
      </c>
      <c r="L75" t="s">
        <v>117</v>
      </c>
      <c r="M75">
        <v>200</v>
      </c>
      <c r="N75" t="e" cm="1">
        <f t="array" aca="1" ref="N75" ca="1">_xludf.XLOOKUP(K75, $BX$46:$CG$46, $BX$47:$CG$50)</f>
        <v>#NAME?</v>
      </c>
      <c r="O75" t="e" cm="1">
        <f t="array" aca="1" ref="O75" ca="1">_xludf.XLOOKUP(K75, $BX$106:$CG$106, $BX$107:$CG$110)</f>
        <v>#NAME?</v>
      </c>
      <c r="P75" t="e" cm="1">
        <f t="array" aca="1" ref="P75" ca="1">_xludf.XLOOKUP(K$35,$BX$169:$CG$169,_xludf.XLOOKUP($D$11,$BW$170:$BW$176,$BX$170:$CG$176))</f>
        <v>#NAME?</v>
      </c>
      <c r="Q75" t="e">
        <f t="shared" ref="Q75:Q106" ca="1" si="34">N75/P75</f>
        <v>#NAME?</v>
      </c>
      <c r="S75">
        <v>0</v>
      </c>
      <c r="T75">
        <f t="shared" si="31"/>
        <v>0</v>
      </c>
      <c r="V75">
        <v>1</v>
      </c>
      <c r="W75">
        <f>VLOOKUP($G$51, $CL$17:$CN$25, 2, FALSE)</f>
        <v>6</v>
      </c>
      <c r="X75">
        <v>0</v>
      </c>
      <c r="Y75">
        <f t="shared" ref="Y75:Y106" si="35">T75*X75</f>
        <v>0</v>
      </c>
      <c r="Z75" t="e">
        <f t="shared" ca="1" si="26"/>
        <v>#NAME?</v>
      </c>
      <c r="AA75" t="e">
        <f t="shared" ref="AA75:AA106" ca="1" si="36">(0.032 * Y75 /6.38) + ((0.212 - 0.008 * (AB75 - 2) - ((0.14 - 0.008 * (AB75 - 2)) / (1 + EXP(-6 * (Q75 - 0.4))))) * (O75 * 0.92)) / 6.25</f>
        <v>#NAME?</v>
      </c>
      <c r="AB75" t="e">
        <f t="shared" ref="AB75:AB106" ca="1" si="37">AC75 / ((1.185 + 0.00454 * N75 - 0.0000026 * N75 ^ 2 ) ^ 2 * V75)</f>
        <v>#NAME?</v>
      </c>
      <c r="AC75" t="e">
        <f t="shared" ref="AC75:AC106" ca="1" si="38">(1.185 + 0.00454 * N75 - 0.0000026 * N75^2 + 0.315 * O75)^2 * V75</f>
        <v>#NAME?</v>
      </c>
      <c r="AD75" t="e">
        <f t="shared" ca="1" si="27"/>
        <v>#NAME?</v>
      </c>
      <c r="AE75" t="e">
        <f t="shared" ca="1" si="28"/>
        <v>#NAME?</v>
      </c>
      <c r="AF75" t="e">
        <f t="shared" ca="1" si="29"/>
        <v>#NAME?</v>
      </c>
      <c r="AG75" t="e">
        <f t="shared" ref="AG75:AG106" ca="1" si="39">M75*AE75*91.25</f>
        <v>#NAME?</v>
      </c>
      <c r="AH75" t="e">
        <f t="shared" ref="AH75:AH106" ca="1" si="40">M75*AF75*91.25</f>
        <v>#NAME?</v>
      </c>
      <c r="AI75" t="e">
        <f t="shared" ca="1" si="30"/>
        <v>#NAME?</v>
      </c>
      <c r="AJ75" t="e">
        <f t="shared" ref="AJ75:AJ106" ca="1" si="41">M75*AI75*91.25</f>
        <v>#NAME?</v>
      </c>
      <c r="AK75" t="e">
        <f t="shared" ref="AK75:AK106" ca="1" si="42">(AC75 * $AN75 / 6.25) + (0.032 * W75 / 6.38) - AA75 - AI75 - ((1.1 * (10 ^ -4) * (N75 ^ 0.75)) / 6.25)</f>
        <v>#NAME?</v>
      </c>
      <c r="AL75" t="e">
        <f t="shared" ref="AL75:AL106" ca="1" si="43">M75*AK75*91.25</f>
        <v>#NAME?</v>
      </c>
      <c r="AM75" t="e" cm="1">
        <f t="array" aca="1" ref="AM75" ca="1">_xludf.XLOOKUP(G$51,$BV$17:$CD$17,$BV$18:$CD$21)</f>
        <v>#NAME?</v>
      </c>
      <c r="AN75" t="e" cm="1">
        <f t="array" aca="1" ref="AN75" ca="1">_xludf.XLOOKUP(G$51,$BV$29:$CD$29,$BV$30:$CD$33)</f>
        <v>#NAME?</v>
      </c>
      <c r="BU75" t="s">
        <v>131</v>
      </c>
      <c r="BV75" t="s">
        <v>160</v>
      </c>
      <c r="BW75" t="s">
        <v>117</v>
      </c>
      <c r="BX75">
        <v>220</v>
      </c>
      <c r="BY75">
        <v>706</v>
      </c>
      <c r="BZ75">
        <v>208</v>
      </c>
      <c r="CA75">
        <v>323</v>
      </c>
      <c r="CB75">
        <v>415</v>
      </c>
      <c r="CC75">
        <v>467</v>
      </c>
      <c r="CD75">
        <v>223</v>
      </c>
      <c r="CE75">
        <v>371</v>
      </c>
      <c r="CF75">
        <v>493</v>
      </c>
      <c r="CG75">
        <v>585</v>
      </c>
    </row>
    <row r="76" spans="11:85" x14ac:dyDescent="0.2">
      <c r="L76" t="s">
        <v>119</v>
      </c>
      <c r="M76">
        <v>130</v>
      </c>
      <c r="P76" t="e" cm="1">
        <f t="array" aca="1" ref="P76" ca="1">_xludf.XLOOKUP(K$35,$BX$169:$CG$169,_xludf.XLOOKUP($D$11,$BW$170:$BW$176,$BX$170:$CG$176))</f>
        <v>#NAME?</v>
      </c>
      <c r="Q76" t="e">
        <f t="shared" ca="1" si="34"/>
        <v>#NAME?</v>
      </c>
      <c r="T76">
        <f t="shared" si="31"/>
        <v>0</v>
      </c>
      <c r="V76">
        <v>1</v>
      </c>
      <c r="W76">
        <f>VLOOKUP($G$51, $CL$17:$CN$25, 3, FALSE)</f>
        <v>4</v>
      </c>
      <c r="X76">
        <v>0</v>
      </c>
      <c r="Y76">
        <f t="shared" si="35"/>
        <v>0</v>
      </c>
      <c r="Z76">
        <f t="shared" si="26"/>
        <v>-1.0369999999999999</v>
      </c>
      <c r="AA76" t="e">
        <f t="shared" ca="1" si="36"/>
        <v>#NAME?</v>
      </c>
      <c r="AB76">
        <f t="shared" si="37"/>
        <v>1</v>
      </c>
      <c r="AC76">
        <f t="shared" si="38"/>
        <v>1.4042250000000001</v>
      </c>
      <c r="AD76">
        <f t="shared" si="27"/>
        <v>1.22673096</v>
      </c>
      <c r="AE76">
        <f t="shared" si="28"/>
        <v>5.7714060544358416E-5</v>
      </c>
      <c r="AF76">
        <f t="shared" si="29"/>
        <v>6.9098751939409913E-4</v>
      </c>
      <c r="AG76">
        <f t="shared" si="39"/>
        <v>0.68463304320745177</v>
      </c>
      <c r="AH76">
        <f t="shared" si="40"/>
        <v>8.1968394488125007</v>
      </c>
      <c r="AI76">
        <f t="shared" si="30"/>
        <v>4.824380103901192E-3</v>
      </c>
      <c r="AJ76">
        <f t="shared" si="41"/>
        <v>57.229208982527886</v>
      </c>
      <c r="AK76" t="e">
        <f t="shared" ca="1" si="42"/>
        <v>#NAME?</v>
      </c>
      <c r="AL76" t="e">
        <f t="shared" ca="1" si="43"/>
        <v>#NAME?</v>
      </c>
      <c r="BW76" t="s">
        <v>119</v>
      </c>
      <c r="BX76">
        <v>110</v>
      </c>
      <c r="BY76">
        <v>703</v>
      </c>
      <c r="BZ76">
        <v>112</v>
      </c>
      <c r="CA76">
        <v>256</v>
      </c>
      <c r="CB76">
        <v>368</v>
      </c>
      <c r="CC76">
        <v>465</v>
      </c>
      <c r="CD76">
        <v>108</v>
      </c>
      <c r="CE76">
        <v>280</v>
      </c>
      <c r="CF76">
        <v>421</v>
      </c>
      <c r="CG76">
        <v>543</v>
      </c>
    </row>
    <row r="77" spans="11:85" x14ac:dyDescent="0.2">
      <c r="L77" t="s">
        <v>120</v>
      </c>
      <c r="M77">
        <v>250</v>
      </c>
      <c r="P77" t="e" cm="1">
        <f t="array" aca="1" ref="P77" ca="1">_xludf.XLOOKUP(K$35,$BX$169:$CG$169,_xludf.XLOOKUP($D$11,$BW$170:$BW$176,$BX$170:$CG$176))</f>
        <v>#NAME?</v>
      </c>
      <c r="Q77" t="e">
        <f t="shared" ca="1" si="34"/>
        <v>#NAME?</v>
      </c>
      <c r="T77">
        <f t="shared" si="31"/>
        <v>0</v>
      </c>
      <c r="V77">
        <v>1</v>
      </c>
      <c r="W77">
        <v>0</v>
      </c>
      <c r="X77">
        <v>0</v>
      </c>
      <c r="Y77">
        <f t="shared" si="35"/>
        <v>0</v>
      </c>
      <c r="Z77">
        <f t="shared" si="26"/>
        <v>-1.0369999999999999</v>
      </c>
      <c r="AA77" t="e">
        <f t="shared" ca="1" si="36"/>
        <v>#NAME?</v>
      </c>
      <c r="AB77">
        <f t="shared" si="37"/>
        <v>1</v>
      </c>
      <c r="AC77">
        <f t="shared" si="38"/>
        <v>1.4042250000000001</v>
      </c>
      <c r="AD77">
        <f t="shared" si="27"/>
        <v>1.22673096</v>
      </c>
      <c r="AE77">
        <f t="shared" si="28"/>
        <v>5.7714060544358416E-5</v>
      </c>
      <c r="AF77">
        <f t="shared" si="29"/>
        <v>6.9098751939409913E-4</v>
      </c>
      <c r="AG77">
        <f t="shared" si="39"/>
        <v>1.3166020061681765</v>
      </c>
      <c r="AH77">
        <f t="shared" si="40"/>
        <v>15.763152786177885</v>
      </c>
      <c r="AI77">
        <f t="shared" si="30"/>
        <v>3.2193644299200004E-3</v>
      </c>
      <c r="AJ77">
        <f t="shared" si="41"/>
        <v>73.441751057550007</v>
      </c>
      <c r="AK77" t="e">
        <f t="shared" ca="1" si="42"/>
        <v>#NAME?</v>
      </c>
      <c r="AL77" t="e">
        <f t="shared" ca="1" si="43"/>
        <v>#NAME?</v>
      </c>
      <c r="BW77" t="s">
        <v>120</v>
      </c>
      <c r="BX77">
        <v>170</v>
      </c>
      <c r="BY77">
        <v>721</v>
      </c>
      <c r="BZ77">
        <v>169</v>
      </c>
      <c r="CA77">
        <v>306</v>
      </c>
      <c r="CB77">
        <v>392</v>
      </c>
      <c r="CC77">
        <v>464</v>
      </c>
      <c r="CD77">
        <v>176</v>
      </c>
      <c r="CE77">
        <v>339</v>
      </c>
      <c r="CF77">
        <v>470</v>
      </c>
      <c r="CG77">
        <v>580</v>
      </c>
    </row>
    <row r="78" spans="11:85" x14ac:dyDescent="0.2">
      <c r="L78" t="s">
        <v>121</v>
      </c>
      <c r="M78">
        <v>150</v>
      </c>
      <c r="P78" t="e" cm="1">
        <f t="array" aca="1" ref="P78" ca="1">_xludf.XLOOKUP(K$35,$BX$169:$CG$169,_xludf.XLOOKUP($D$11,$BW$170:$BW$176,$BX$170:$CG$176))</f>
        <v>#NAME?</v>
      </c>
      <c r="Q78" t="e">
        <f t="shared" ca="1" si="34"/>
        <v>#NAME?</v>
      </c>
      <c r="T78">
        <f t="shared" si="31"/>
        <v>0</v>
      </c>
      <c r="V78">
        <v>1</v>
      </c>
      <c r="W78">
        <v>0</v>
      </c>
      <c r="X78">
        <v>0</v>
      </c>
      <c r="Y78">
        <f t="shared" si="35"/>
        <v>0</v>
      </c>
      <c r="Z78">
        <f t="shared" si="26"/>
        <v>-1.0369999999999999</v>
      </c>
      <c r="AA78" t="e">
        <f t="shared" ca="1" si="36"/>
        <v>#NAME?</v>
      </c>
      <c r="AB78">
        <f t="shared" si="37"/>
        <v>1</v>
      </c>
      <c r="AC78">
        <f t="shared" si="38"/>
        <v>1.4042250000000001</v>
      </c>
      <c r="AD78">
        <f t="shared" si="27"/>
        <v>1.22673096</v>
      </c>
      <c r="AE78">
        <f t="shared" si="28"/>
        <v>5.7714060544358416E-5</v>
      </c>
      <c r="AF78">
        <f t="shared" si="29"/>
        <v>6.9098751939409913E-4</v>
      </c>
      <c r="AG78">
        <f t="shared" si="39"/>
        <v>0.78996120370090595</v>
      </c>
      <c r="AH78">
        <f t="shared" si="40"/>
        <v>9.457891671706733</v>
      </c>
      <c r="AI78">
        <f t="shared" si="30"/>
        <v>3.2193644299200004E-3</v>
      </c>
      <c r="AJ78">
        <f t="shared" si="41"/>
        <v>44.065050634530003</v>
      </c>
      <c r="AK78" t="e">
        <f t="shared" ca="1" si="42"/>
        <v>#NAME?</v>
      </c>
      <c r="AL78" t="e">
        <f t="shared" ca="1" si="43"/>
        <v>#NAME?</v>
      </c>
      <c r="BW78" t="s">
        <v>121</v>
      </c>
      <c r="BX78">
        <v>200</v>
      </c>
      <c r="BY78">
        <v>727</v>
      </c>
      <c r="BZ78">
        <v>211</v>
      </c>
      <c r="CA78">
        <v>338</v>
      </c>
      <c r="CB78">
        <v>432</v>
      </c>
      <c r="CC78">
        <v>492</v>
      </c>
      <c r="CD78">
        <v>222</v>
      </c>
      <c r="CE78">
        <v>377</v>
      </c>
      <c r="CF78">
        <v>498</v>
      </c>
      <c r="CG78">
        <v>590</v>
      </c>
    </row>
    <row r="79" spans="11:85" x14ac:dyDescent="0.2">
      <c r="K79" t="s">
        <v>169</v>
      </c>
      <c r="L79" t="s">
        <v>117</v>
      </c>
      <c r="N79" t="e" cm="1">
        <f t="array" aca="1" ref="N79" ca="1">_xludf.XLOOKUP(K79, $BX$46:$CG$46, $BX$47:$CG$50)</f>
        <v>#NAME?</v>
      </c>
      <c r="O79" t="e" cm="1">
        <f t="array" aca="1" ref="O79" ca="1">_xludf.XLOOKUP(K79, $BX$106:$CG$106, $BX$107:$CG$110)</f>
        <v>#NAME?</v>
      </c>
      <c r="P79" t="e" cm="1">
        <f t="array" aca="1" ref="P79" ca="1">_xludf.XLOOKUP(K$39,$BX$169:$CG$169,_xludf.XLOOKUP($D$11,$BW$170:$BW$176,$BX$170:$CG$176))</f>
        <v>#NAME?</v>
      </c>
      <c r="Q79" t="e">
        <f t="shared" ca="1" si="34"/>
        <v>#NAME?</v>
      </c>
      <c r="T79">
        <f t="shared" si="31"/>
        <v>0</v>
      </c>
      <c r="V79">
        <v>1</v>
      </c>
      <c r="W79">
        <v>0</v>
      </c>
      <c r="X79">
        <v>0</v>
      </c>
      <c r="Y79">
        <f t="shared" si="35"/>
        <v>0</v>
      </c>
      <c r="Z79" t="e">
        <f t="shared" ca="1" si="26"/>
        <v>#NAME?</v>
      </c>
      <c r="AA79" t="e">
        <f t="shared" ca="1" si="36"/>
        <v>#NAME?</v>
      </c>
      <c r="AB79" t="e">
        <f t="shared" ca="1" si="37"/>
        <v>#NAME?</v>
      </c>
      <c r="AC79" t="e">
        <f t="shared" ca="1" si="38"/>
        <v>#NAME?</v>
      </c>
      <c r="AD79" t="e">
        <f t="shared" ca="1" si="27"/>
        <v>#NAME?</v>
      </c>
      <c r="AE79" t="e">
        <f t="shared" ca="1" si="28"/>
        <v>#NAME?</v>
      </c>
      <c r="AF79" t="e">
        <f t="shared" ca="1" si="29"/>
        <v>#NAME?</v>
      </c>
      <c r="AG79" t="e">
        <f t="shared" ca="1" si="39"/>
        <v>#NAME?</v>
      </c>
      <c r="AH79" t="e">
        <f t="shared" ca="1" si="40"/>
        <v>#NAME?</v>
      </c>
      <c r="AI79" t="e">
        <f t="shared" ca="1" si="30"/>
        <v>#NAME?</v>
      </c>
      <c r="AJ79" t="e">
        <f t="shared" ca="1" si="41"/>
        <v>#NAME?</v>
      </c>
      <c r="AK79" t="e">
        <f t="shared" ca="1" si="42"/>
        <v>#NAME?</v>
      </c>
      <c r="AL79" t="e">
        <f t="shared" ca="1" si="43"/>
        <v>#NAME?</v>
      </c>
      <c r="AM79" t="e" cm="1">
        <f t="array" aca="1" ref="AM79" ca="1">_xludf.XLOOKUP(G$51,$BV$17:$CD$17,$BV$18:$CD$21)</f>
        <v>#NAME?</v>
      </c>
      <c r="AN79" t="e" cm="1">
        <f t="array" aca="1" ref="AN79" ca="1">_xludf.XLOOKUP(G$51,$BV$29:$CD$29,$BV$30:$CD$33)</f>
        <v>#NAME?</v>
      </c>
      <c r="BU79" t="s">
        <v>131</v>
      </c>
      <c r="BV79" t="s">
        <v>162</v>
      </c>
      <c r="BW79" t="s">
        <v>117</v>
      </c>
      <c r="BX79">
        <v>220</v>
      </c>
      <c r="BY79">
        <v>620</v>
      </c>
      <c r="BZ79">
        <v>227</v>
      </c>
      <c r="CA79">
        <v>319</v>
      </c>
      <c r="CB79">
        <v>398</v>
      </c>
      <c r="CC79">
        <v>452</v>
      </c>
      <c r="CD79">
        <v>216</v>
      </c>
      <c r="CE79">
        <v>334</v>
      </c>
      <c r="CF79" t="s">
        <v>181</v>
      </c>
      <c r="CG79" t="s">
        <v>181</v>
      </c>
    </row>
    <row r="80" spans="11:85" x14ac:dyDescent="0.2">
      <c r="L80" t="s">
        <v>119</v>
      </c>
      <c r="P80" t="e" cm="1">
        <f t="array" aca="1" ref="P80" ca="1">_xludf.XLOOKUP(K$39,$BX$169:$CG$169,_xludf.XLOOKUP($D$11,$BW$170:$BW$176,$BX$170:$CG$176))</f>
        <v>#NAME?</v>
      </c>
      <c r="Q80" t="e">
        <f t="shared" ca="1" si="34"/>
        <v>#NAME?</v>
      </c>
      <c r="T80">
        <f t="shared" si="31"/>
        <v>0</v>
      </c>
      <c r="V80">
        <v>1</v>
      </c>
      <c r="W80">
        <v>0</v>
      </c>
      <c r="X80">
        <v>0</v>
      </c>
      <c r="Y80">
        <f t="shared" si="35"/>
        <v>0</v>
      </c>
      <c r="Z80">
        <f t="shared" si="26"/>
        <v>-1.0369999999999999</v>
      </c>
      <c r="AA80" t="e">
        <f t="shared" ca="1" si="36"/>
        <v>#NAME?</v>
      </c>
      <c r="AB80">
        <f t="shared" si="37"/>
        <v>1</v>
      </c>
      <c r="AC80">
        <f t="shared" si="38"/>
        <v>1.4042250000000001</v>
      </c>
      <c r="AD80">
        <f t="shared" si="27"/>
        <v>1.22673096</v>
      </c>
      <c r="AE80">
        <f t="shared" si="28"/>
        <v>5.7714060544358416E-5</v>
      </c>
      <c r="AF80">
        <f t="shared" si="29"/>
        <v>6.9098751939409913E-4</v>
      </c>
      <c r="AG80">
        <f t="shared" si="39"/>
        <v>0</v>
      </c>
      <c r="AH80">
        <f t="shared" si="40"/>
        <v>0</v>
      </c>
      <c r="AI80">
        <f t="shared" si="30"/>
        <v>3.2193644299200004E-3</v>
      </c>
      <c r="AJ80">
        <f t="shared" si="41"/>
        <v>0</v>
      </c>
      <c r="AK80" t="e">
        <f t="shared" ca="1" si="42"/>
        <v>#NAME?</v>
      </c>
      <c r="AL80" t="e">
        <f t="shared" ca="1" si="43"/>
        <v>#NAME?</v>
      </c>
      <c r="BW80" t="s">
        <v>119</v>
      </c>
      <c r="BX80">
        <v>110</v>
      </c>
      <c r="BY80">
        <v>650</v>
      </c>
      <c r="BZ80">
        <v>108</v>
      </c>
      <c r="CA80">
        <v>262</v>
      </c>
      <c r="CB80">
        <v>346</v>
      </c>
      <c r="CC80">
        <v>430</v>
      </c>
      <c r="CD80">
        <v>111</v>
      </c>
      <c r="CE80">
        <v>236</v>
      </c>
      <c r="CF80" t="s">
        <v>181</v>
      </c>
      <c r="CG80" t="s">
        <v>181</v>
      </c>
    </row>
    <row r="81" spans="1:85" x14ac:dyDescent="0.2">
      <c r="L81" t="s">
        <v>120</v>
      </c>
      <c r="P81" t="e" cm="1">
        <f t="array" aca="1" ref="P81" ca="1">_xludf.XLOOKUP(K$39,$BX$169:$CG$169,_xludf.XLOOKUP($D$11,$BW$170:$BW$176,$BX$170:$CG$176))</f>
        <v>#NAME?</v>
      </c>
      <c r="Q81" t="e">
        <f t="shared" ca="1" si="34"/>
        <v>#NAME?</v>
      </c>
      <c r="T81">
        <f t="shared" si="31"/>
        <v>0</v>
      </c>
      <c r="V81">
        <v>1</v>
      </c>
      <c r="W81">
        <v>0</v>
      </c>
      <c r="X81">
        <v>0</v>
      </c>
      <c r="Y81">
        <f t="shared" si="35"/>
        <v>0</v>
      </c>
      <c r="Z81">
        <f t="shared" si="26"/>
        <v>-1.0369999999999999</v>
      </c>
      <c r="AA81" t="e">
        <f t="shared" ca="1" si="36"/>
        <v>#NAME?</v>
      </c>
      <c r="AB81">
        <f t="shared" si="37"/>
        <v>1</v>
      </c>
      <c r="AC81">
        <f t="shared" si="38"/>
        <v>1.4042250000000001</v>
      </c>
      <c r="AD81">
        <f t="shared" si="27"/>
        <v>1.22673096</v>
      </c>
      <c r="AE81">
        <f t="shared" si="28"/>
        <v>5.7714060544358416E-5</v>
      </c>
      <c r="AF81">
        <f t="shared" si="29"/>
        <v>6.9098751939409913E-4</v>
      </c>
      <c r="AG81">
        <f t="shared" si="39"/>
        <v>0</v>
      </c>
      <c r="AH81">
        <f t="shared" si="40"/>
        <v>0</v>
      </c>
      <c r="AI81">
        <f t="shared" si="30"/>
        <v>3.2193644299200004E-3</v>
      </c>
      <c r="AJ81">
        <f t="shared" si="41"/>
        <v>0</v>
      </c>
      <c r="AK81" t="e">
        <f t="shared" ca="1" si="42"/>
        <v>#NAME?</v>
      </c>
      <c r="AL81" t="e">
        <f t="shared" ca="1" si="43"/>
        <v>#NAME?</v>
      </c>
      <c r="BW81" t="s">
        <v>120</v>
      </c>
      <c r="BX81">
        <v>170</v>
      </c>
      <c r="BY81">
        <v>670</v>
      </c>
      <c r="BZ81">
        <v>170</v>
      </c>
      <c r="CA81">
        <v>266</v>
      </c>
      <c r="CB81">
        <v>363</v>
      </c>
      <c r="CC81">
        <v>444</v>
      </c>
      <c r="CD81">
        <v>169</v>
      </c>
      <c r="CE81">
        <v>282</v>
      </c>
      <c r="CF81" t="s">
        <v>181</v>
      </c>
      <c r="CG81" t="s">
        <v>181</v>
      </c>
    </row>
    <row r="82" spans="1:85" x14ac:dyDescent="0.2">
      <c r="L82" t="s">
        <v>121</v>
      </c>
      <c r="P82" t="e" cm="1">
        <f t="array" aca="1" ref="P82" ca="1">_xludf.XLOOKUP(K$39,$BX$169:$CG$169,_xludf.XLOOKUP($D$11,$BW$170:$BW$176,$BX$170:$CG$176))</f>
        <v>#NAME?</v>
      </c>
      <c r="Q82" t="e">
        <f t="shared" ca="1" si="34"/>
        <v>#NAME?</v>
      </c>
      <c r="T82">
        <f t="shared" si="31"/>
        <v>0</v>
      </c>
      <c r="V82">
        <v>1</v>
      </c>
      <c r="W82">
        <v>0</v>
      </c>
      <c r="X82">
        <v>0</v>
      </c>
      <c r="Y82">
        <f t="shared" si="35"/>
        <v>0</v>
      </c>
      <c r="Z82">
        <f t="shared" si="26"/>
        <v>-1.0369999999999999</v>
      </c>
      <c r="AA82" t="e">
        <f t="shared" ca="1" si="36"/>
        <v>#NAME?</v>
      </c>
      <c r="AB82">
        <f t="shared" si="37"/>
        <v>1</v>
      </c>
      <c r="AC82">
        <f t="shared" si="38"/>
        <v>1.4042250000000001</v>
      </c>
      <c r="AD82">
        <f t="shared" si="27"/>
        <v>1.22673096</v>
      </c>
      <c r="AE82">
        <f t="shared" si="28"/>
        <v>5.7714060544358416E-5</v>
      </c>
      <c r="AF82">
        <f t="shared" si="29"/>
        <v>6.9098751939409913E-4</v>
      </c>
      <c r="AG82">
        <f t="shared" si="39"/>
        <v>0</v>
      </c>
      <c r="AH82">
        <f t="shared" si="40"/>
        <v>0</v>
      </c>
      <c r="AI82">
        <f t="shared" si="30"/>
        <v>3.2193644299200004E-3</v>
      </c>
      <c r="AJ82">
        <f t="shared" si="41"/>
        <v>0</v>
      </c>
      <c r="AK82" t="e">
        <f t="shared" ca="1" si="42"/>
        <v>#NAME?</v>
      </c>
      <c r="AL82" t="e">
        <f t="shared" ca="1" si="43"/>
        <v>#NAME?</v>
      </c>
      <c r="BW82" t="s">
        <v>121</v>
      </c>
      <c r="BX82">
        <v>200</v>
      </c>
      <c r="BY82">
        <v>660</v>
      </c>
      <c r="BZ82">
        <v>225</v>
      </c>
      <c r="CA82">
        <v>307</v>
      </c>
      <c r="CB82">
        <v>398</v>
      </c>
      <c r="CC82">
        <v>452</v>
      </c>
      <c r="CD82">
        <v>214</v>
      </c>
      <c r="CE82">
        <v>326</v>
      </c>
      <c r="CF82" t="s">
        <v>181</v>
      </c>
      <c r="CG82" t="s">
        <v>181</v>
      </c>
    </row>
    <row r="83" spans="1:85" x14ac:dyDescent="0.2">
      <c r="K83" t="s">
        <v>171</v>
      </c>
      <c r="L83" t="s">
        <v>117</v>
      </c>
      <c r="N83" t="e" cm="1">
        <f t="array" aca="1" ref="N83" ca="1">_xludf.XLOOKUP(K83, $BX$46:$CG$46, $BX$47:$CG$50)</f>
        <v>#NAME?</v>
      </c>
      <c r="O83" t="e" cm="1">
        <f t="array" aca="1" ref="O83" ca="1">_xludf.XLOOKUP(K83, $BX$106:$CG$106, $BX$107:$CG$110)</f>
        <v>#NAME?</v>
      </c>
      <c r="P83" t="e" cm="1">
        <f t="array" aca="1" ref="P83" ca="1">_xludf.XLOOKUP(K$43,$BX$169:$CG$169,_xludf.XLOOKUP($D$11,$BW$170:$BW$176,$BX$170:$CG$176))</f>
        <v>#NAME?</v>
      </c>
      <c r="Q83" t="e">
        <f t="shared" ca="1" si="34"/>
        <v>#NAME?</v>
      </c>
      <c r="T83">
        <f t="shared" si="31"/>
        <v>0</v>
      </c>
      <c r="V83">
        <v>1</v>
      </c>
      <c r="W83">
        <v>0</v>
      </c>
      <c r="X83">
        <v>0</v>
      </c>
      <c r="Y83">
        <f t="shared" si="35"/>
        <v>0</v>
      </c>
      <c r="Z83" t="e">
        <f t="shared" ref="Z83:Z114" ca="1" si="44">0.1604 * ($AM83*100) - 1.037</f>
        <v>#NAME?</v>
      </c>
      <c r="AA83" t="e">
        <f t="shared" ca="1" si="36"/>
        <v>#NAME?</v>
      </c>
      <c r="AB83" t="e">
        <f t="shared" ca="1" si="37"/>
        <v>#NAME?</v>
      </c>
      <c r="AC83" t="e">
        <f t="shared" ca="1" si="38"/>
        <v>#NAME?</v>
      </c>
      <c r="AD83" t="e">
        <f t="shared" ca="1" si="27"/>
        <v>#NAME?</v>
      </c>
      <c r="AE83" t="e">
        <f t="shared" ca="1" si="28"/>
        <v>#NAME?</v>
      </c>
      <c r="AF83" t="e">
        <f t="shared" ca="1" si="29"/>
        <v>#NAME?</v>
      </c>
      <c r="AG83" t="e">
        <f t="shared" ca="1" si="39"/>
        <v>#NAME?</v>
      </c>
      <c r="AH83" t="e">
        <f t="shared" ca="1" si="40"/>
        <v>#NAME?</v>
      </c>
      <c r="AI83" t="e">
        <f t="shared" ref="AI83:AI114" ca="1" si="45">((0.3 * AC83 * $AN83 * (1 - ($AM83 + 0.1)) + (0.105 * $Z83 * $AC83 * 0.008) + (0.0152 * $AC83)) / 6.25) + (0.08 * 0.032 * $W83 / 6.38)</f>
        <v>#NAME?</v>
      </c>
      <c r="AJ83" t="e">
        <f t="shared" ca="1" si="41"/>
        <v>#NAME?</v>
      </c>
      <c r="AK83" t="e">
        <f t="shared" ca="1" si="42"/>
        <v>#NAME?</v>
      </c>
      <c r="AL83" t="e">
        <f t="shared" ca="1" si="43"/>
        <v>#NAME?</v>
      </c>
      <c r="AM83" t="e" cm="1">
        <f t="array" aca="1" ref="AM83" ca="1">_xludf.XLOOKUP(G$51,$BV$17:$CD$17,$BV$18:$CD$21)</f>
        <v>#NAME?</v>
      </c>
      <c r="AN83" t="e" cm="1">
        <f t="array" aca="1" ref="AN83" ca="1">_xludf.XLOOKUP(G$51,$BV$29:$CD$29,$BV$30:$CD$33)</f>
        <v>#NAME?</v>
      </c>
      <c r="BU83" t="s">
        <v>131</v>
      </c>
      <c r="BV83" t="s">
        <v>163</v>
      </c>
      <c r="BW83" t="s">
        <v>117</v>
      </c>
      <c r="BX83">
        <v>220</v>
      </c>
      <c r="BY83">
        <v>620</v>
      </c>
      <c r="BZ83">
        <v>177</v>
      </c>
      <c r="CA83">
        <v>267</v>
      </c>
      <c r="CB83">
        <v>365</v>
      </c>
      <c r="CC83">
        <v>406</v>
      </c>
      <c r="CD83">
        <v>231</v>
      </c>
      <c r="CE83">
        <v>249</v>
      </c>
      <c r="CF83">
        <v>324</v>
      </c>
      <c r="CG83" t="s">
        <v>181</v>
      </c>
    </row>
    <row r="84" spans="1:85" x14ac:dyDescent="0.2">
      <c r="L84" t="s">
        <v>119</v>
      </c>
      <c r="P84" t="e" cm="1">
        <f t="array" aca="1" ref="P84" ca="1">_xludf.XLOOKUP(K$43,$BX$169:$CG$169,_xludf.XLOOKUP($D$11,$BW$170:$BW$176,$BX$170:$CG$176))</f>
        <v>#NAME?</v>
      </c>
      <c r="Q84" t="e">
        <f t="shared" ca="1" si="34"/>
        <v>#NAME?</v>
      </c>
      <c r="T84">
        <f t="shared" si="31"/>
        <v>0</v>
      </c>
      <c r="V84">
        <v>1</v>
      </c>
      <c r="W84">
        <v>0</v>
      </c>
      <c r="X84">
        <v>0</v>
      </c>
      <c r="Y84">
        <f t="shared" si="35"/>
        <v>0</v>
      </c>
      <c r="Z84">
        <f t="shared" si="44"/>
        <v>-1.0369999999999999</v>
      </c>
      <c r="AA84" t="e">
        <f t="shared" ca="1" si="36"/>
        <v>#NAME?</v>
      </c>
      <c r="AB84">
        <f t="shared" si="37"/>
        <v>1</v>
      </c>
      <c r="AC84">
        <f t="shared" si="38"/>
        <v>1.4042250000000001</v>
      </c>
      <c r="AD84">
        <f t="shared" si="27"/>
        <v>1.22673096</v>
      </c>
      <c r="AE84">
        <f t="shared" si="28"/>
        <v>5.7714060544358416E-5</v>
      </c>
      <c r="AF84">
        <f t="shared" si="29"/>
        <v>6.9098751939409913E-4</v>
      </c>
      <c r="AG84">
        <f t="shared" si="39"/>
        <v>0</v>
      </c>
      <c r="AH84">
        <f t="shared" si="40"/>
        <v>0</v>
      </c>
      <c r="AI84">
        <f t="shared" si="45"/>
        <v>3.2193644299200004E-3</v>
      </c>
      <c r="AJ84">
        <f t="shared" si="41"/>
        <v>0</v>
      </c>
      <c r="AK84" t="e">
        <f t="shared" ca="1" si="42"/>
        <v>#NAME?</v>
      </c>
      <c r="AL84" t="e">
        <f t="shared" ca="1" si="43"/>
        <v>#NAME?</v>
      </c>
      <c r="BW84" t="s">
        <v>119</v>
      </c>
      <c r="BX84">
        <v>110</v>
      </c>
      <c r="BY84">
        <v>650</v>
      </c>
      <c r="BZ84">
        <v>102</v>
      </c>
      <c r="CA84">
        <v>203</v>
      </c>
      <c r="CB84">
        <v>299</v>
      </c>
      <c r="CC84">
        <v>380</v>
      </c>
      <c r="CD84">
        <v>102</v>
      </c>
      <c r="CE84">
        <v>218</v>
      </c>
      <c r="CF84">
        <v>263</v>
      </c>
      <c r="CG84" t="s">
        <v>181</v>
      </c>
    </row>
    <row r="85" spans="1:85" x14ac:dyDescent="0.2">
      <c r="L85" t="s">
        <v>120</v>
      </c>
      <c r="P85" t="e" cm="1">
        <f t="array" aca="1" ref="P85" ca="1">_xludf.XLOOKUP(K$43,$BX$169:$CG$169,_xludf.XLOOKUP($D$11,$BW$170:$BW$176,$BX$170:$CG$176))</f>
        <v>#NAME?</v>
      </c>
      <c r="Q85" t="e">
        <f t="shared" ca="1" si="34"/>
        <v>#NAME?</v>
      </c>
      <c r="T85">
        <f t="shared" si="31"/>
        <v>0</v>
      </c>
      <c r="V85">
        <v>1</v>
      </c>
      <c r="W85">
        <v>0</v>
      </c>
      <c r="X85">
        <v>0</v>
      </c>
      <c r="Y85">
        <f t="shared" si="35"/>
        <v>0</v>
      </c>
      <c r="Z85">
        <f t="shared" si="44"/>
        <v>-1.0369999999999999</v>
      </c>
      <c r="AA85" t="e">
        <f t="shared" ca="1" si="36"/>
        <v>#NAME?</v>
      </c>
      <c r="AB85">
        <f t="shared" si="37"/>
        <v>1</v>
      </c>
      <c r="AC85">
        <f t="shared" si="38"/>
        <v>1.4042250000000001</v>
      </c>
      <c r="AD85">
        <f t="shared" si="27"/>
        <v>1.22673096</v>
      </c>
      <c r="AE85">
        <f t="shared" si="28"/>
        <v>5.7714060544358416E-5</v>
      </c>
      <c r="AF85">
        <f t="shared" si="29"/>
        <v>6.9098751939409913E-4</v>
      </c>
      <c r="AG85">
        <f t="shared" si="39"/>
        <v>0</v>
      </c>
      <c r="AH85">
        <f t="shared" si="40"/>
        <v>0</v>
      </c>
      <c r="AI85">
        <f t="shared" si="45"/>
        <v>3.2193644299200004E-3</v>
      </c>
      <c r="AJ85">
        <f t="shared" si="41"/>
        <v>0</v>
      </c>
      <c r="AK85" t="e">
        <f t="shared" ca="1" si="42"/>
        <v>#NAME?</v>
      </c>
      <c r="AL85" t="e">
        <f t="shared" ca="1" si="43"/>
        <v>#NAME?</v>
      </c>
      <c r="BW85" t="s">
        <v>120</v>
      </c>
      <c r="BX85">
        <v>170</v>
      </c>
      <c r="BY85">
        <v>670</v>
      </c>
      <c r="BZ85">
        <v>173</v>
      </c>
      <c r="CA85">
        <v>250</v>
      </c>
      <c r="CB85">
        <v>336</v>
      </c>
      <c r="CC85">
        <v>414</v>
      </c>
      <c r="CD85">
        <v>175</v>
      </c>
      <c r="CE85">
        <v>243</v>
      </c>
      <c r="CF85">
        <v>304</v>
      </c>
      <c r="CG85" t="s">
        <v>181</v>
      </c>
    </row>
    <row r="86" spans="1:85" x14ac:dyDescent="0.2">
      <c r="L86" t="s">
        <v>121</v>
      </c>
      <c r="P86" t="e" cm="1">
        <f t="array" aca="1" ref="P86" ca="1">_xludf.XLOOKUP(K$43,$BX$169:$CG$169,_xludf.XLOOKUP($D$11,$BW$170:$BW$176,$BX$170:$CG$176))</f>
        <v>#NAME?</v>
      </c>
      <c r="Q86" t="e">
        <f t="shared" ca="1" si="34"/>
        <v>#NAME?</v>
      </c>
      <c r="T86">
        <f t="shared" si="31"/>
        <v>0</v>
      </c>
      <c r="V86">
        <v>1</v>
      </c>
      <c r="W86">
        <v>0</v>
      </c>
      <c r="X86">
        <v>0</v>
      </c>
      <c r="Y86">
        <f t="shared" si="35"/>
        <v>0</v>
      </c>
      <c r="Z86">
        <f t="shared" si="44"/>
        <v>-1.0369999999999999</v>
      </c>
      <c r="AA86" t="e">
        <f t="shared" ca="1" si="36"/>
        <v>#NAME?</v>
      </c>
      <c r="AB86">
        <f t="shared" si="37"/>
        <v>1</v>
      </c>
      <c r="AC86">
        <f t="shared" si="38"/>
        <v>1.4042250000000001</v>
      </c>
      <c r="AD86">
        <f t="shared" si="27"/>
        <v>1.22673096</v>
      </c>
      <c r="AE86">
        <f t="shared" si="28"/>
        <v>5.7714060544358416E-5</v>
      </c>
      <c r="AF86">
        <f t="shared" si="29"/>
        <v>6.9098751939409913E-4</v>
      </c>
      <c r="AG86">
        <f t="shared" si="39"/>
        <v>0</v>
      </c>
      <c r="AH86">
        <f t="shared" si="40"/>
        <v>0</v>
      </c>
      <c r="AI86">
        <f t="shared" si="45"/>
        <v>3.2193644299200004E-3</v>
      </c>
      <c r="AJ86">
        <f t="shared" si="41"/>
        <v>0</v>
      </c>
      <c r="AK86" t="e">
        <f t="shared" ca="1" si="42"/>
        <v>#NAME?</v>
      </c>
      <c r="AL86" t="e">
        <f t="shared" ca="1" si="43"/>
        <v>#NAME?</v>
      </c>
      <c r="BW86" t="s">
        <v>121</v>
      </c>
      <c r="BX86">
        <v>200</v>
      </c>
      <c r="BY86">
        <v>660</v>
      </c>
      <c r="BZ86">
        <v>202</v>
      </c>
      <c r="CA86">
        <v>272</v>
      </c>
      <c r="CB86">
        <v>365</v>
      </c>
      <c r="CC86">
        <v>390</v>
      </c>
      <c r="CD86">
        <v>208</v>
      </c>
      <c r="CE86">
        <v>260</v>
      </c>
      <c r="CF86">
        <v>337</v>
      </c>
      <c r="CG86" t="s">
        <v>181</v>
      </c>
    </row>
    <row r="87" spans="1:85" x14ac:dyDescent="0.2">
      <c r="K87" t="s">
        <v>176</v>
      </c>
      <c r="L87" t="s">
        <v>117</v>
      </c>
      <c r="N87" t="e" cm="1">
        <f t="array" aca="1" ref="N87" ca="1">_xludf.XLOOKUP(K87, $BX$46:$CG$46, $BX$47:$CG$50)</f>
        <v>#NAME?</v>
      </c>
      <c r="O87" t="e" cm="1">
        <f t="array" aca="1" ref="O87" ca="1">_xludf.XLOOKUP(K87, $BX$106:$CG$106, $BX$107:$CG$110)</f>
        <v>#NAME?</v>
      </c>
      <c r="P87" t="e" cm="1">
        <f t="array" aca="1" ref="P87" ca="1">_xludf.XLOOKUP(K$47,$BX$169:$CG$169,_xludf.XLOOKUP($D$11,$BW$170:$BW$176,$BX$170:$CG$176))</f>
        <v>#NAME?</v>
      </c>
      <c r="Q87" t="e">
        <f t="shared" ca="1" si="34"/>
        <v>#NAME?</v>
      </c>
      <c r="T87">
        <f t="shared" si="31"/>
        <v>0</v>
      </c>
      <c r="V87">
        <v>1</v>
      </c>
      <c r="W87">
        <v>0</v>
      </c>
      <c r="X87">
        <v>0</v>
      </c>
      <c r="Y87">
        <f t="shared" si="35"/>
        <v>0</v>
      </c>
      <c r="Z87" t="e">
        <f t="shared" ca="1" si="44"/>
        <v>#NAME?</v>
      </c>
      <c r="AA87" t="e">
        <f t="shared" ca="1" si="36"/>
        <v>#NAME?</v>
      </c>
      <c r="AB87" t="e">
        <f t="shared" ca="1" si="37"/>
        <v>#NAME?</v>
      </c>
      <c r="AC87" t="e">
        <f t="shared" ca="1" si="38"/>
        <v>#NAME?</v>
      </c>
      <c r="AD87" t="e">
        <f t="shared" ca="1" si="27"/>
        <v>#NAME?</v>
      </c>
      <c r="AE87" t="e">
        <f t="shared" ca="1" si="28"/>
        <v>#NAME?</v>
      </c>
      <c r="AF87" t="e">
        <f t="shared" ca="1" si="29"/>
        <v>#NAME?</v>
      </c>
      <c r="AG87" t="e">
        <f t="shared" ca="1" si="39"/>
        <v>#NAME?</v>
      </c>
      <c r="AH87" t="e">
        <f t="shared" ca="1" si="40"/>
        <v>#NAME?</v>
      </c>
      <c r="AI87" t="e">
        <f t="shared" ca="1" si="45"/>
        <v>#NAME?</v>
      </c>
      <c r="AJ87" t="e">
        <f t="shared" ca="1" si="41"/>
        <v>#NAME?</v>
      </c>
      <c r="AK87" t="e">
        <f t="shared" ca="1" si="42"/>
        <v>#NAME?</v>
      </c>
      <c r="AL87" t="e">
        <f t="shared" ca="1" si="43"/>
        <v>#NAME?</v>
      </c>
      <c r="AM87" t="e" cm="1">
        <f t="array" aca="1" ref="AM87" ca="1">_xludf.XLOOKUP(G$51,$BV$17:$CD$17,$BV$18:$CD$21)</f>
        <v>#NAME?</v>
      </c>
      <c r="AN87" t="e" cm="1">
        <f t="array" aca="1" ref="AN87" ca="1">_xludf.XLOOKUP(G$51,$BV$29:$CD$29,$BV$30:$CD$33)</f>
        <v>#NAME?</v>
      </c>
      <c r="BU87" t="s">
        <v>182</v>
      </c>
      <c r="BV87" t="s">
        <v>166</v>
      </c>
      <c r="BW87" t="s">
        <v>117</v>
      </c>
      <c r="BX87">
        <v>260</v>
      </c>
      <c r="BY87">
        <v>705</v>
      </c>
      <c r="BZ87">
        <v>215</v>
      </c>
      <c r="CA87">
        <v>302</v>
      </c>
      <c r="CB87">
        <v>416</v>
      </c>
      <c r="CC87">
        <v>519</v>
      </c>
      <c r="CD87">
        <v>234</v>
      </c>
      <c r="CE87">
        <v>455</v>
      </c>
      <c r="CF87">
        <v>551</v>
      </c>
      <c r="CG87">
        <v>660</v>
      </c>
    </row>
    <row r="88" spans="1:85" x14ac:dyDescent="0.2">
      <c r="L88" t="s">
        <v>119</v>
      </c>
      <c r="P88" t="e" cm="1">
        <f t="array" aca="1" ref="P88" ca="1">_xludf.XLOOKUP(K$47,$BX$169:$CG$169,_xludf.XLOOKUP($D$11,$BW$170:$BW$176,$BX$170:$CG$176))</f>
        <v>#NAME?</v>
      </c>
      <c r="Q88" t="e">
        <f t="shared" ca="1" si="34"/>
        <v>#NAME?</v>
      </c>
      <c r="T88">
        <f t="shared" si="31"/>
        <v>0</v>
      </c>
      <c r="V88">
        <v>1</v>
      </c>
      <c r="W88">
        <v>0</v>
      </c>
      <c r="X88">
        <v>0</v>
      </c>
      <c r="Y88">
        <f t="shared" si="35"/>
        <v>0</v>
      </c>
      <c r="Z88">
        <f t="shared" si="44"/>
        <v>-1.0369999999999999</v>
      </c>
      <c r="AA88" t="e">
        <f t="shared" ca="1" si="36"/>
        <v>#NAME?</v>
      </c>
      <c r="AB88">
        <f t="shared" si="37"/>
        <v>1</v>
      </c>
      <c r="AC88">
        <f t="shared" si="38"/>
        <v>1.4042250000000001</v>
      </c>
      <c r="AD88">
        <f t="shared" si="27"/>
        <v>1.22673096</v>
      </c>
      <c r="AE88">
        <f t="shared" si="28"/>
        <v>5.7714060544358416E-5</v>
      </c>
      <c r="AF88">
        <f t="shared" si="29"/>
        <v>6.9098751939409913E-4</v>
      </c>
      <c r="AG88">
        <f t="shared" si="39"/>
        <v>0</v>
      </c>
      <c r="AH88">
        <f t="shared" si="40"/>
        <v>0</v>
      </c>
      <c r="AI88">
        <f t="shared" si="45"/>
        <v>3.2193644299200004E-3</v>
      </c>
      <c r="AJ88">
        <f t="shared" si="41"/>
        <v>0</v>
      </c>
      <c r="AK88" t="e">
        <f t="shared" ca="1" si="42"/>
        <v>#NAME?</v>
      </c>
      <c r="AL88" t="e">
        <f t="shared" ca="1" si="43"/>
        <v>#NAME?</v>
      </c>
      <c r="BW88" t="s">
        <v>119</v>
      </c>
      <c r="BX88">
        <v>153</v>
      </c>
      <c r="BY88">
        <v>703</v>
      </c>
      <c r="BZ88">
        <v>118</v>
      </c>
      <c r="CA88">
        <v>277</v>
      </c>
      <c r="CB88">
        <v>397</v>
      </c>
      <c r="CC88">
        <v>483</v>
      </c>
      <c r="CD88">
        <v>111</v>
      </c>
      <c r="CE88">
        <v>304</v>
      </c>
      <c r="CF88">
        <v>521</v>
      </c>
      <c r="CG88">
        <v>547</v>
      </c>
    </row>
    <row r="89" spans="1:85" x14ac:dyDescent="0.2">
      <c r="L89" t="s">
        <v>120</v>
      </c>
      <c r="P89" t="e" cm="1">
        <f t="array" aca="1" ref="P89" ca="1">_xludf.XLOOKUP(K$47,$BX$169:$CG$169,_xludf.XLOOKUP($D$11,$BW$170:$BW$176,$BX$170:$CG$176))</f>
        <v>#NAME?</v>
      </c>
      <c r="Q89" t="e">
        <f t="shared" ca="1" si="34"/>
        <v>#NAME?</v>
      </c>
      <c r="T89">
        <f t="shared" si="31"/>
        <v>0</v>
      </c>
      <c r="V89">
        <v>1</v>
      </c>
      <c r="W89">
        <v>0</v>
      </c>
      <c r="X89">
        <v>0</v>
      </c>
      <c r="Y89">
        <f t="shared" si="35"/>
        <v>0</v>
      </c>
      <c r="Z89">
        <f t="shared" si="44"/>
        <v>-1.0369999999999999</v>
      </c>
      <c r="AA89" t="e">
        <f t="shared" ca="1" si="36"/>
        <v>#NAME?</v>
      </c>
      <c r="AB89">
        <f t="shared" si="37"/>
        <v>1</v>
      </c>
      <c r="AC89">
        <f t="shared" si="38"/>
        <v>1.4042250000000001</v>
      </c>
      <c r="AD89">
        <f t="shared" si="27"/>
        <v>1.22673096</v>
      </c>
      <c r="AE89">
        <f t="shared" si="28"/>
        <v>5.7714060544358416E-5</v>
      </c>
      <c r="AF89">
        <f t="shared" si="29"/>
        <v>6.9098751939409913E-4</v>
      </c>
      <c r="AG89">
        <f t="shared" si="39"/>
        <v>0</v>
      </c>
      <c r="AH89">
        <f t="shared" si="40"/>
        <v>0</v>
      </c>
      <c r="AI89">
        <f t="shared" si="45"/>
        <v>3.2193644299200004E-3</v>
      </c>
      <c r="AJ89">
        <f t="shared" si="41"/>
        <v>0</v>
      </c>
      <c r="AK89" t="e">
        <f t="shared" ca="1" si="42"/>
        <v>#NAME?</v>
      </c>
      <c r="AL89" t="e">
        <f t="shared" ca="1" si="43"/>
        <v>#NAME?</v>
      </c>
      <c r="BW89" t="s">
        <v>120</v>
      </c>
      <c r="BX89">
        <v>168</v>
      </c>
      <c r="BY89">
        <v>718</v>
      </c>
      <c r="BZ89">
        <v>191</v>
      </c>
      <c r="CA89">
        <v>319</v>
      </c>
      <c r="CB89">
        <v>440</v>
      </c>
      <c r="CC89">
        <v>506</v>
      </c>
      <c r="CD89">
        <v>188</v>
      </c>
      <c r="CE89">
        <v>326</v>
      </c>
      <c r="CF89">
        <v>520</v>
      </c>
      <c r="CG89">
        <v>582</v>
      </c>
    </row>
    <row r="90" spans="1:85" x14ac:dyDescent="0.2">
      <c r="L90" t="s">
        <v>121</v>
      </c>
      <c r="P90" t="e" cm="1">
        <f t="array" aca="1" ref="P90" ca="1">_xludf.XLOOKUP(K$47,$BX$169:$CG$169,_xludf.XLOOKUP($D$11,$BW$170:$BW$176,$BX$170:$CG$176))</f>
        <v>#NAME?</v>
      </c>
      <c r="Q90" t="e">
        <f t="shared" ca="1" si="34"/>
        <v>#NAME?</v>
      </c>
      <c r="T90">
        <f t="shared" si="31"/>
        <v>0</v>
      </c>
      <c r="V90">
        <v>1</v>
      </c>
      <c r="W90">
        <v>0</v>
      </c>
      <c r="X90">
        <v>0</v>
      </c>
      <c r="Y90">
        <f t="shared" si="35"/>
        <v>0</v>
      </c>
      <c r="Z90">
        <f t="shared" si="44"/>
        <v>-1.0369999999999999</v>
      </c>
      <c r="AA90" t="e">
        <f t="shared" ca="1" si="36"/>
        <v>#NAME?</v>
      </c>
      <c r="AB90">
        <f t="shared" si="37"/>
        <v>1</v>
      </c>
      <c r="AC90">
        <f t="shared" si="38"/>
        <v>1.4042250000000001</v>
      </c>
      <c r="AD90">
        <f t="shared" si="27"/>
        <v>1.22673096</v>
      </c>
      <c r="AE90">
        <f t="shared" si="28"/>
        <v>5.7714060544358416E-5</v>
      </c>
      <c r="AF90">
        <f t="shared" si="29"/>
        <v>6.9098751939409913E-4</v>
      </c>
      <c r="AG90">
        <f t="shared" si="39"/>
        <v>0</v>
      </c>
      <c r="AH90">
        <f t="shared" si="40"/>
        <v>0</v>
      </c>
      <c r="AI90">
        <f t="shared" si="45"/>
        <v>3.2193644299200004E-3</v>
      </c>
      <c r="AJ90">
        <f t="shared" si="41"/>
        <v>0</v>
      </c>
      <c r="AK90" t="e">
        <f t="shared" ca="1" si="42"/>
        <v>#NAME?</v>
      </c>
      <c r="AL90" t="e">
        <f t="shared" ca="1" si="43"/>
        <v>#NAME?</v>
      </c>
      <c r="BW90" t="s">
        <v>121</v>
      </c>
      <c r="BX90">
        <v>235</v>
      </c>
      <c r="BY90">
        <v>722</v>
      </c>
      <c r="BZ90">
        <v>207</v>
      </c>
      <c r="CA90">
        <v>352</v>
      </c>
      <c r="CB90">
        <v>470</v>
      </c>
      <c r="CC90">
        <v>514</v>
      </c>
      <c r="CD90">
        <v>209</v>
      </c>
      <c r="CE90">
        <v>421</v>
      </c>
      <c r="CF90">
        <v>512</v>
      </c>
      <c r="CG90">
        <v>605</v>
      </c>
    </row>
    <row r="91" spans="1:85" x14ac:dyDescent="0.2">
      <c r="A91" t="s">
        <v>183</v>
      </c>
      <c r="B91" t="s">
        <v>111</v>
      </c>
      <c r="C91" t="s">
        <v>24</v>
      </c>
      <c r="D91" t="s">
        <v>112</v>
      </c>
      <c r="F91" t="s">
        <v>113</v>
      </c>
      <c r="G91" t="s">
        <v>113</v>
      </c>
      <c r="H91" t="s">
        <v>114</v>
      </c>
      <c r="I91" t="s">
        <v>115</v>
      </c>
      <c r="J91" t="str">
        <f>IF(H91="Non-irrigated crop", IF(I91="high", "Non-irrigated crop (high rainfall)", "Non-irrigated crop (low rainfall)"), H91)</f>
        <v>Irrigated crop</v>
      </c>
      <c r="K91" t="s">
        <v>116</v>
      </c>
      <c r="L91" t="s">
        <v>117</v>
      </c>
      <c r="M91">
        <v>100</v>
      </c>
      <c r="N91" t="e" cm="1">
        <f t="array" aca="1" ref="N91" ca="1">_xludf.XLOOKUP(K91, $BX$46:$CG$46, $BX$47:$CG$50)</f>
        <v>#NAME?</v>
      </c>
      <c r="O91" t="e" cm="1">
        <f t="array" aca="1" ref="O91" ca="1">_xludf.XLOOKUP(K91, $BX$106:$CG$106, $BX$107:$CG$110)</f>
        <v>#NAME?</v>
      </c>
      <c r="P91" t="e" cm="1">
        <f t="array" aca="1" ref="P91" ca="1">_xludf.XLOOKUP(K$11,$BX$169:$CG$169,_xludf.XLOOKUP($D$11,$BW$170:$BW$176,$BX$170:$CG$176))</f>
        <v>#NAME?</v>
      </c>
      <c r="Q91" t="e">
        <f t="shared" ca="1" si="34"/>
        <v>#NAME?</v>
      </c>
      <c r="R91">
        <v>0</v>
      </c>
      <c r="T91">
        <f t="shared" ref="T91:T122" si="46">R91+S91</f>
        <v>0</v>
      </c>
      <c r="V91">
        <v>1</v>
      </c>
      <c r="W91">
        <f>VLOOKUP($G$91, $CL$17:$CN$25, 2, FALSE)</f>
        <v>6</v>
      </c>
      <c r="X91">
        <v>0</v>
      </c>
      <c r="Y91">
        <f t="shared" si="35"/>
        <v>0</v>
      </c>
      <c r="Z91" t="e">
        <f t="shared" ca="1" si="44"/>
        <v>#NAME?</v>
      </c>
      <c r="AA91" t="e">
        <f t="shared" ca="1" si="36"/>
        <v>#NAME?</v>
      </c>
      <c r="AB91" t="e">
        <f t="shared" ca="1" si="37"/>
        <v>#NAME?</v>
      </c>
      <c r="AC91" t="e">
        <f t="shared" ca="1" si="38"/>
        <v>#NAME?</v>
      </c>
      <c r="AD91" t="e">
        <f t="shared" ref="AD91:AD130" ca="1" si="47">(AC91 * (1 -AM91) + (0.04 * AC91)) * ( 1 - AV$11 )</f>
        <v>#NAME?</v>
      </c>
      <c r="AE91" t="e">
        <f t="shared" ref="AE91:AE130" ca="1" si="48">AD91 * AT$91 * AP$91 * AR$91 * AU$91</f>
        <v>#NAME?</v>
      </c>
      <c r="AF91" t="e">
        <f t="shared" ref="AF91:AF130" ca="1" si="49">AD91 * AT$91 * AQ$91 * AS$91 * AU$91</f>
        <v>#NAME?</v>
      </c>
      <c r="AG91" t="e">
        <f t="shared" ca="1" si="39"/>
        <v>#NAME?</v>
      </c>
      <c r="AH91" t="e">
        <f t="shared" ca="1" si="40"/>
        <v>#NAME?</v>
      </c>
      <c r="AI91" t="e">
        <f t="shared" ca="1" si="45"/>
        <v>#NAME?</v>
      </c>
      <c r="AJ91" t="e">
        <f t="shared" ca="1" si="41"/>
        <v>#NAME?</v>
      </c>
      <c r="AK91" t="e">
        <f t="shared" ca="1" si="42"/>
        <v>#NAME?</v>
      </c>
      <c r="AL91" t="e">
        <f t="shared" ca="1" si="43"/>
        <v>#NAME?</v>
      </c>
      <c r="AM91" t="e" cm="1">
        <f t="array" aca="1" ref="AM91" ca="1">_xludf.XLOOKUP(G$91,$BV$17:$CD$17,$BV$18:$CD$21)</f>
        <v>#NAME?</v>
      </c>
      <c r="AN91" t="e" cm="1">
        <f t="array" aca="1" ref="AN91" ca="1">_xludf.XLOOKUP(G$91,$BV$29:$CD$29,$BV$30:$CD$33)</f>
        <v>#NAME?</v>
      </c>
      <c r="AO91" t="s">
        <v>118</v>
      </c>
      <c r="AP91">
        <f>IF(AO91="yes", $BV$6, $BW$6)</f>
        <v>0.05</v>
      </c>
      <c r="AQ91">
        <f>IF(AO91="yes", $BV$7, $BW$7)</f>
        <v>0.95</v>
      </c>
      <c r="AR91">
        <f>VLOOKUP(B91, $CH$17:$CI$26, 2, FALSE)</f>
        <v>7.3000000000000001E-3</v>
      </c>
      <c r="AS91">
        <f>$CI$14</f>
        <v>4.5999999999999999E-3</v>
      </c>
      <c r="AT91">
        <f>$CA$5</f>
        <v>0.19</v>
      </c>
      <c r="AU91">
        <f>$CA$6</f>
        <v>0.6784</v>
      </c>
      <c r="AV91">
        <f>$CA$7</f>
        <v>0.16</v>
      </c>
      <c r="AW91" t="e">
        <f ca="1">SUM(AG91:AH130)</f>
        <v>#NAME?</v>
      </c>
      <c r="AX91" t="e">
        <f ca="1">SUM(AJ91:AJ130)</f>
        <v>#NAME?</v>
      </c>
      <c r="AY91">
        <f>IF(C91="wet",$CD$5,$CD$6)</f>
        <v>6.0000000000000001E-3</v>
      </c>
      <c r="AZ91">
        <f>$CD$7</f>
        <v>1.5714285714285714</v>
      </c>
      <c r="BA91">
        <f>$CD$8</f>
        <v>265</v>
      </c>
      <c r="BB91" t="e">
        <f ca="1">SUM(AL91:AL130)</f>
        <v>#NAME?</v>
      </c>
      <c r="BC91" t="e">
        <f ca="1">((AX91 * AY91 * AZ91) + (BB91 * AY91 * AZ91))  * (10^-3)</f>
        <v>#NAME?</v>
      </c>
      <c r="BD91">
        <f>$CA$8</f>
        <v>28</v>
      </c>
      <c r="BE91">
        <f>$CD$9</f>
        <v>0.21</v>
      </c>
      <c r="BF91" t="e">
        <f ca="1">(AX91+BB91)*BE91</f>
        <v>#NAME?</v>
      </c>
      <c r="BG91">
        <f>VLOOKUP(J91, $CH$29:$CI$33,2,FALSE)</f>
        <v>7.0000000000000001E-3</v>
      </c>
      <c r="BH91" t="e">
        <f ca="1">BF91*BG91*AZ91*(10^-3)</f>
        <v>#NAME?</v>
      </c>
      <c r="BI91">
        <f>$CA$9</f>
        <v>1.0999999999999999E-2</v>
      </c>
      <c r="BJ91">
        <f>VLOOKUP(D91, $CL$29:$CM$46, 2, FALSE)</f>
        <v>0.87</v>
      </c>
      <c r="BK91">
        <f>$CG$4</f>
        <v>0.24</v>
      </c>
      <c r="BL91" t="e">
        <f ca="1">(BB91+AX91)*BJ91*BK91</f>
        <v>#NAME?</v>
      </c>
      <c r="BM91" t="e">
        <f ca="1">BL91*BI91*AZ91*(10^-3)</f>
        <v>#NAME?</v>
      </c>
      <c r="BN91" t="e">
        <f ca="1">BC91+BH91+BM91</f>
        <v>#NAME?</v>
      </c>
      <c r="BO91" t="e">
        <f ca="1">AW91 * BD91 * 10^-3</f>
        <v>#NAME?</v>
      </c>
      <c r="BU91" t="s">
        <v>182</v>
      </c>
      <c r="BV91" t="s">
        <v>167</v>
      </c>
      <c r="BW91" t="s">
        <v>117</v>
      </c>
      <c r="BX91">
        <v>230</v>
      </c>
      <c r="BY91">
        <v>674</v>
      </c>
      <c r="BZ91">
        <v>217</v>
      </c>
      <c r="CA91">
        <v>344</v>
      </c>
      <c r="CB91">
        <v>357</v>
      </c>
      <c r="CC91">
        <v>467</v>
      </c>
      <c r="CD91">
        <v>242</v>
      </c>
      <c r="CE91">
        <v>370</v>
      </c>
      <c r="CF91">
        <v>550</v>
      </c>
      <c r="CG91">
        <v>620</v>
      </c>
    </row>
    <row r="92" spans="1:85" x14ac:dyDescent="0.2">
      <c r="L92" t="s">
        <v>119</v>
      </c>
      <c r="M92">
        <v>110</v>
      </c>
      <c r="P92" t="e" cm="1">
        <f t="array" aca="1" ref="P92" ca="1">_xludf.XLOOKUP(K$11,$BX$169:$CG$169,_xludf.XLOOKUP($D$11,$BW$170:$BW$176,$BX$170:$CG$176))</f>
        <v>#NAME?</v>
      </c>
      <c r="Q92" t="e">
        <f t="shared" ca="1" si="34"/>
        <v>#NAME?</v>
      </c>
      <c r="S92">
        <v>0</v>
      </c>
      <c r="T92">
        <f t="shared" si="46"/>
        <v>0</v>
      </c>
      <c r="V92">
        <v>1</v>
      </c>
      <c r="W92">
        <f>VLOOKUP($G$91, $CL$17:$CN$25, 3, FALSE)</f>
        <v>4</v>
      </c>
      <c r="X92">
        <v>0</v>
      </c>
      <c r="Y92">
        <f t="shared" si="35"/>
        <v>0</v>
      </c>
      <c r="Z92">
        <f t="shared" si="44"/>
        <v>-1.0369999999999999</v>
      </c>
      <c r="AA92" t="e">
        <f t="shared" ca="1" si="36"/>
        <v>#NAME?</v>
      </c>
      <c r="AB92">
        <f t="shared" si="37"/>
        <v>1</v>
      </c>
      <c r="AC92">
        <f t="shared" si="38"/>
        <v>1.4042250000000001</v>
      </c>
      <c r="AD92">
        <f t="shared" si="47"/>
        <v>1.22673096</v>
      </c>
      <c r="AE92">
        <f t="shared" si="48"/>
        <v>5.7714060544358416E-5</v>
      </c>
      <c r="AF92">
        <f t="shared" si="49"/>
        <v>6.9098751939409913E-4</v>
      </c>
      <c r="AG92">
        <f t="shared" si="39"/>
        <v>0.5793048827139976</v>
      </c>
      <c r="AH92">
        <f t="shared" si="40"/>
        <v>6.9357872259182702</v>
      </c>
      <c r="AI92">
        <f t="shared" si="45"/>
        <v>4.824380103901192E-3</v>
      </c>
      <c r="AJ92">
        <f t="shared" si="41"/>
        <v>48.424715292908211</v>
      </c>
      <c r="AK92" t="e">
        <f t="shared" ca="1" si="42"/>
        <v>#NAME?</v>
      </c>
      <c r="AL92" t="e">
        <f t="shared" ca="1" si="43"/>
        <v>#NAME?</v>
      </c>
      <c r="BW92" t="s">
        <v>119</v>
      </c>
      <c r="BX92">
        <v>113</v>
      </c>
      <c r="BY92">
        <v>669</v>
      </c>
      <c r="BZ92">
        <v>113</v>
      </c>
      <c r="CA92">
        <v>283</v>
      </c>
      <c r="CB92">
        <v>361</v>
      </c>
      <c r="CC92">
        <v>477</v>
      </c>
      <c r="CD92">
        <v>120</v>
      </c>
      <c r="CE92">
        <v>273</v>
      </c>
      <c r="CF92">
        <v>545</v>
      </c>
      <c r="CG92">
        <v>553</v>
      </c>
    </row>
    <row r="93" spans="1:85" x14ac:dyDescent="0.2">
      <c r="L93" t="s">
        <v>120</v>
      </c>
      <c r="M93">
        <v>120</v>
      </c>
      <c r="P93" t="e" cm="1">
        <f t="array" aca="1" ref="P93" ca="1">_xludf.XLOOKUP(K$11,$BX$169:$CG$169,_xludf.XLOOKUP($D$11,$BW$170:$BW$176,$BX$170:$CG$176))</f>
        <v>#NAME?</v>
      </c>
      <c r="Q93" t="e">
        <f t="shared" ca="1" si="34"/>
        <v>#NAME?</v>
      </c>
      <c r="T93">
        <f t="shared" si="46"/>
        <v>0</v>
      </c>
      <c r="V93">
        <v>1</v>
      </c>
      <c r="W93">
        <v>0</v>
      </c>
      <c r="X93">
        <v>0</v>
      </c>
      <c r="Y93">
        <f t="shared" si="35"/>
        <v>0</v>
      </c>
      <c r="Z93">
        <f t="shared" si="44"/>
        <v>-1.0369999999999999</v>
      </c>
      <c r="AA93" t="e">
        <f t="shared" ca="1" si="36"/>
        <v>#NAME?</v>
      </c>
      <c r="AB93">
        <f t="shared" si="37"/>
        <v>1</v>
      </c>
      <c r="AC93">
        <f t="shared" si="38"/>
        <v>1.4042250000000001</v>
      </c>
      <c r="AD93">
        <f t="shared" si="47"/>
        <v>1.22673096</v>
      </c>
      <c r="AE93">
        <f t="shared" si="48"/>
        <v>5.7714060544358416E-5</v>
      </c>
      <c r="AF93">
        <f t="shared" si="49"/>
        <v>6.9098751939409913E-4</v>
      </c>
      <c r="AG93">
        <f t="shared" si="39"/>
        <v>0.63196896296072469</v>
      </c>
      <c r="AH93">
        <f t="shared" si="40"/>
        <v>7.5663133373653855</v>
      </c>
      <c r="AI93">
        <f t="shared" si="45"/>
        <v>3.2193644299200004E-3</v>
      </c>
      <c r="AJ93">
        <f t="shared" si="41"/>
        <v>35.25204050762401</v>
      </c>
      <c r="AK93" t="e">
        <f t="shared" ca="1" si="42"/>
        <v>#NAME?</v>
      </c>
      <c r="AL93" t="e">
        <f t="shared" ca="1" si="43"/>
        <v>#NAME?</v>
      </c>
      <c r="BW93" t="s">
        <v>120</v>
      </c>
      <c r="BX93">
        <v>172</v>
      </c>
      <c r="BY93">
        <v>685</v>
      </c>
      <c r="BZ93">
        <v>172</v>
      </c>
      <c r="CA93">
        <v>309</v>
      </c>
      <c r="CB93">
        <v>376</v>
      </c>
      <c r="CC93">
        <v>471</v>
      </c>
      <c r="CD93">
        <v>238</v>
      </c>
      <c r="CE93">
        <v>329</v>
      </c>
      <c r="CF93">
        <v>573</v>
      </c>
      <c r="CG93">
        <v>620</v>
      </c>
    </row>
    <row r="94" spans="1:85" x14ac:dyDescent="0.2">
      <c r="L94" t="s">
        <v>121</v>
      </c>
      <c r="M94">
        <v>130</v>
      </c>
      <c r="P94" t="e" cm="1">
        <f t="array" aca="1" ref="P94" ca="1">_xludf.XLOOKUP(K$11,$BX$169:$CG$169,_xludf.XLOOKUP($D$11,$BW$170:$BW$176,$BX$170:$CG$176))</f>
        <v>#NAME?</v>
      </c>
      <c r="Q94" t="e">
        <f t="shared" ca="1" si="34"/>
        <v>#NAME?</v>
      </c>
      <c r="T94">
        <f t="shared" si="46"/>
        <v>0</v>
      </c>
      <c r="V94">
        <v>1</v>
      </c>
      <c r="W94">
        <v>0</v>
      </c>
      <c r="X94">
        <v>0</v>
      </c>
      <c r="Y94">
        <f t="shared" si="35"/>
        <v>0</v>
      </c>
      <c r="Z94">
        <f t="shared" si="44"/>
        <v>-1.0369999999999999</v>
      </c>
      <c r="AA94" t="e">
        <f t="shared" ca="1" si="36"/>
        <v>#NAME?</v>
      </c>
      <c r="AB94">
        <f t="shared" si="37"/>
        <v>1</v>
      </c>
      <c r="AC94">
        <f t="shared" si="38"/>
        <v>1.4042250000000001</v>
      </c>
      <c r="AD94">
        <f t="shared" si="47"/>
        <v>1.22673096</v>
      </c>
      <c r="AE94">
        <f t="shared" si="48"/>
        <v>5.7714060544358416E-5</v>
      </c>
      <c r="AF94">
        <f t="shared" si="49"/>
        <v>6.9098751939409913E-4</v>
      </c>
      <c r="AG94">
        <f t="shared" si="39"/>
        <v>0.68463304320745177</v>
      </c>
      <c r="AH94">
        <f t="shared" si="40"/>
        <v>8.1968394488125007</v>
      </c>
      <c r="AI94">
        <f t="shared" si="45"/>
        <v>3.2193644299200004E-3</v>
      </c>
      <c r="AJ94">
        <f t="shared" si="41"/>
        <v>38.189710549926005</v>
      </c>
      <c r="AK94" t="e">
        <f t="shared" ca="1" si="42"/>
        <v>#NAME?</v>
      </c>
      <c r="AL94" t="e">
        <f t="shared" ca="1" si="43"/>
        <v>#NAME?</v>
      </c>
      <c r="BW94" t="s">
        <v>121</v>
      </c>
      <c r="BX94">
        <v>241</v>
      </c>
      <c r="BY94">
        <v>692</v>
      </c>
      <c r="BZ94">
        <v>208</v>
      </c>
      <c r="CA94">
        <v>344</v>
      </c>
      <c r="CB94">
        <v>364</v>
      </c>
      <c r="CC94">
        <v>484</v>
      </c>
      <c r="CD94">
        <v>260</v>
      </c>
      <c r="CE94">
        <v>350</v>
      </c>
      <c r="CF94">
        <v>567</v>
      </c>
      <c r="CG94">
        <v>620</v>
      </c>
    </row>
    <row r="95" spans="1:85" x14ac:dyDescent="0.2">
      <c r="K95" t="s">
        <v>122</v>
      </c>
      <c r="L95" t="s">
        <v>117</v>
      </c>
      <c r="N95" t="e" cm="1">
        <f t="array" aca="1" ref="N95" ca="1">_xludf.XLOOKUP(K95, $BX$46:$CG$46, $BX$47:$CG$50)</f>
        <v>#NAME?</v>
      </c>
      <c r="O95" t="e" cm="1">
        <f t="array" aca="1" ref="O95" ca="1">_xludf.XLOOKUP(K95, $BX$106:$CG$106, $BX$107:$CG$110)</f>
        <v>#NAME?</v>
      </c>
      <c r="P95" t="e" cm="1">
        <f t="array" aca="1" ref="P95" ca="1">_xludf.XLOOKUP(K$15,$BX$169:$CG$169,_xludf.XLOOKUP($D$11,$BW$170:$BW$176,$BX$170:$CG$176))</f>
        <v>#NAME?</v>
      </c>
      <c r="Q95" t="e">
        <f t="shared" ca="1" si="34"/>
        <v>#NAME?</v>
      </c>
      <c r="T95">
        <f t="shared" si="46"/>
        <v>0</v>
      </c>
      <c r="V95">
        <v>1</v>
      </c>
      <c r="W95">
        <v>0</v>
      </c>
      <c r="X95">
        <v>0</v>
      </c>
      <c r="Y95">
        <f t="shared" si="35"/>
        <v>0</v>
      </c>
      <c r="Z95" t="e">
        <f t="shared" ca="1" si="44"/>
        <v>#NAME?</v>
      </c>
      <c r="AA95" t="e">
        <f t="shared" ca="1" si="36"/>
        <v>#NAME?</v>
      </c>
      <c r="AB95" t="e">
        <f t="shared" ca="1" si="37"/>
        <v>#NAME?</v>
      </c>
      <c r="AC95" t="e">
        <f t="shared" ca="1" si="38"/>
        <v>#NAME?</v>
      </c>
      <c r="AD95" t="e">
        <f t="shared" ca="1" si="47"/>
        <v>#NAME?</v>
      </c>
      <c r="AE95" t="e">
        <f t="shared" ca="1" si="48"/>
        <v>#NAME?</v>
      </c>
      <c r="AF95" t="e">
        <f t="shared" ca="1" si="49"/>
        <v>#NAME?</v>
      </c>
      <c r="AG95" t="e">
        <f t="shared" ca="1" si="39"/>
        <v>#NAME?</v>
      </c>
      <c r="AH95" t="e">
        <f t="shared" ca="1" si="40"/>
        <v>#NAME?</v>
      </c>
      <c r="AI95" t="e">
        <f t="shared" ca="1" si="45"/>
        <v>#NAME?</v>
      </c>
      <c r="AJ95" t="e">
        <f t="shared" ca="1" si="41"/>
        <v>#NAME?</v>
      </c>
      <c r="AK95" t="e">
        <f t="shared" ca="1" si="42"/>
        <v>#NAME?</v>
      </c>
      <c r="AL95" t="e">
        <f t="shared" ca="1" si="43"/>
        <v>#NAME?</v>
      </c>
      <c r="AM95" t="e" cm="1">
        <f t="array" aca="1" ref="AM95" ca="1">_xludf.XLOOKUP(G$91,$BV$17:$CD$17,$BV$18:$CD$21)</f>
        <v>#NAME?</v>
      </c>
      <c r="AN95" t="e" cm="1">
        <f t="array" aca="1" ref="AN95" ca="1">_xludf.XLOOKUP(G$91,$BV$29:$CD$29,$BV$30:$CD$33)</f>
        <v>#NAME?</v>
      </c>
      <c r="BU95" t="s">
        <v>182</v>
      </c>
      <c r="BV95" t="s">
        <v>168</v>
      </c>
      <c r="BW95" t="s">
        <v>117</v>
      </c>
      <c r="BX95">
        <v>236</v>
      </c>
      <c r="BY95">
        <v>674</v>
      </c>
      <c r="BZ95">
        <v>178</v>
      </c>
      <c r="CA95">
        <v>310</v>
      </c>
      <c r="CB95">
        <v>428</v>
      </c>
      <c r="CC95">
        <v>466</v>
      </c>
      <c r="CD95">
        <v>193</v>
      </c>
      <c r="CE95">
        <v>370</v>
      </c>
      <c r="CF95">
        <v>519</v>
      </c>
      <c r="CG95">
        <v>565</v>
      </c>
    </row>
    <row r="96" spans="1:85" x14ac:dyDescent="0.2">
      <c r="L96" t="s">
        <v>119</v>
      </c>
      <c r="P96" t="e" cm="1">
        <f t="array" aca="1" ref="P96" ca="1">_xludf.XLOOKUP(K$15,$BX$169:$CG$169,_xludf.XLOOKUP($D$11,$BW$170:$BW$176,$BX$170:$CG$176))</f>
        <v>#NAME?</v>
      </c>
      <c r="Q96" t="e">
        <f t="shared" ca="1" si="34"/>
        <v>#NAME?</v>
      </c>
      <c r="T96">
        <f t="shared" si="46"/>
        <v>0</v>
      </c>
      <c r="V96">
        <v>1</v>
      </c>
      <c r="W96">
        <v>0</v>
      </c>
      <c r="X96">
        <v>0</v>
      </c>
      <c r="Y96">
        <f t="shared" si="35"/>
        <v>0</v>
      </c>
      <c r="Z96">
        <f t="shared" si="44"/>
        <v>-1.0369999999999999</v>
      </c>
      <c r="AA96" t="e">
        <f t="shared" ca="1" si="36"/>
        <v>#NAME?</v>
      </c>
      <c r="AB96">
        <f t="shared" si="37"/>
        <v>1</v>
      </c>
      <c r="AC96">
        <f t="shared" si="38"/>
        <v>1.4042250000000001</v>
      </c>
      <c r="AD96">
        <f t="shared" si="47"/>
        <v>1.22673096</v>
      </c>
      <c r="AE96">
        <f t="shared" si="48"/>
        <v>5.7714060544358416E-5</v>
      </c>
      <c r="AF96">
        <f t="shared" si="49"/>
        <v>6.9098751939409913E-4</v>
      </c>
      <c r="AG96">
        <f t="shared" si="39"/>
        <v>0</v>
      </c>
      <c r="AH96">
        <f t="shared" si="40"/>
        <v>0</v>
      </c>
      <c r="AI96">
        <f t="shared" si="45"/>
        <v>3.2193644299200004E-3</v>
      </c>
      <c r="AJ96">
        <f t="shared" si="41"/>
        <v>0</v>
      </c>
      <c r="AK96" t="e">
        <f t="shared" ca="1" si="42"/>
        <v>#NAME?</v>
      </c>
      <c r="AL96" t="e">
        <f t="shared" ca="1" si="43"/>
        <v>#NAME?</v>
      </c>
      <c r="BW96" t="s">
        <v>119</v>
      </c>
      <c r="BX96">
        <v>120</v>
      </c>
      <c r="BY96">
        <v>669</v>
      </c>
      <c r="BZ96">
        <v>112</v>
      </c>
      <c r="CA96">
        <v>250</v>
      </c>
      <c r="CB96">
        <v>390</v>
      </c>
      <c r="CC96">
        <v>448</v>
      </c>
      <c r="CD96">
        <v>115</v>
      </c>
      <c r="CE96">
        <v>273</v>
      </c>
      <c r="CF96">
        <v>433</v>
      </c>
      <c r="CG96">
        <v>556</v>
      </c>
    </row>
    <row r="97" spans="11:85" x14ac:dyDescent="0.2">
      <c r="L97" t="s">
        <v>120</v>
      </c>
      <c r="P97" t="e" cm="1">
        <f t="array" aca="1" ref="P97" ca="1">_xludf.XLOOKUP(K$15,$BX$169:$CG$169,_xludf.XLOOKUP($D$11,$BW$170:$BW$176,$BX$170:$CG$176))</f>
        <v>#NAME?</v>
      </c>
      <c r="Q97" t="e">
        <f t="shared" ca="1" si="34"/>
        <v>#NAME?</v>
      </c>
      <c r="T97">
        <f t="shared" si="46"/>
        <v>0</v>
      </c>
      <c r="V97">
        <v>1</v>
      </c>
      <c r="W97">
        <v>0</v>
      </c>
      <c r="X97">
        <v>0</v>
      </c>
      <c r="Y97">
        <f t="shared" si="35"/>
        <v>0</v>
      </c>
      <c r="Z97">
        <f t="shared" si="44"/>
        <v>-1.0369999999999999</v>
      </c>
      <c r="AA97" t="e">
        <f t="shared" ca="1" si="36"/>
        <v>#NAME?</v>
      </c>
      <c r="AB97">
        <f t="shared" si="37"/>
        <v>1</v>
      </c>
      <c r="AC97">
        <f t="shared" si="38"/>
        <v>1.4042250000000001</v>
      </c>
      <c r="AD97">
        <f t="shared" si="47"/>
        <v>1.22673096</v>
      </c>
      <c r="AE97">
        <f t="shared" si="48"/>
        <v>5.7714060544358416E-5</v>
      </c>
      <c r="AF97">
        <f t="shared" si="49"/>
        <v>6.9098751939409913E-4</v>
      </c>
      <c r="AG97">
        <f t="shared" si="39"/>
        <v>0</v>
      </c>
      <c r="AH97">
        <f t="shared" si="40"/>
        <v>0</v>
      </c>
      <c r="AI97">
        <f t="shared" si="45"/>
        <v>3.2193644299200004E-3</v>
      </c>
      <c r="AJ97">
        <f t="shared" si="41"/>
        <v>0</v>
      </c>
      <c r="AK97" t="e">
        <f t="shared" ca="1" si="42"/>
        <v>#NAME?</v>
      </c>
      <c r="AL97" t="e">
        <f t="shared" ca="1" si="43"/>
        <v>#NAME?</v>
      </c>
      <c r="BW97" t="s">
        <v>120</v>
      </c>
      <c r="BX97">
        <v>125</v>
      </c>
      <c r="BY97">
        <v>685</v>
      </c>
      <c r="BZ97">
        <v>140</v>
      </c>
      <c r="CA97">
        <v>277</v>
      </c>
      <c r="CB97">
        <v>407</v>
      </c>
      <c r="CC97">
        <v>455</v>
      </c>
      <c r="CD97">
        <v>141</v>
      </c>
      <c r="CE97">
        <v>296</v>
      </c>
      <c r="CF97">
        <v>445</v>
      </c>
      <c r="CG97">
        <v>593</v>
      </c>
    </row>
    <row r="98" spans="11:85" x14ac:dyDescent="0.2">
      <c r="L98" t="s">
        <v>121</v>
      </c>
      <c r="P98" t="e" cm="1">
        <f t="array" aca="1" ref="P98" ca="1">_xludf.XLOOKUP(K$15,$BX$169:$CG$169,_xludf.XLOOKUP($D$11,$BW$170:$BW$176,$BX$170:$CG$176))</f>
        <v>#NAME?</v>
      </c>
      <c r="Q98" t="e">
        <f t="shared" ca="1" si="34"/>
        <v>#NAME?</v>
      </c>
      <c r="T98">
        <f t="shared" si="46"/>
        <v>0</v>
      </c>
      <c r="V98">
        <v>1</v>
      </c>
      <c r="W98">
        <v>0</v>
      </c>
      <c r="X98">
        <v>0</v>
      </c>
      <c r="Y98">
        <f t="shared" si="35"/>
        <v>0</v>
      </c>
      <c r="Z98">
        <f t="shared" si="44"/>
        <v>-1.0369999999999999</v>
      </c>
      <c r="AA98" t="e">
        <f t="shared" ca="1" si="36"/>
        <v>#NAME?</v>
      </c>
      <c r="AB98">
        <f t="shared" si="37"/>
        <v>1</v>
      </c>
      <c r="AC98">
        <f t="shared" si="38"/>
        <v>1.4042250000000001</v>
      </c>
      <c r="AD98">
        <f t="shared" si="47"/>
        <v>1.22673096</v>
      </c>
      <c r="AE98">
        <f t="shared" si="48"/>
        <v>5.7714060544358416E-5</v>
      </c>
      <c r="AF98">
        <f t="shared" si="49"/>
        <v>6.9098751939409913E-4</v>
      </c>
      <c r="AG98">
        <f t="shared" si="39"/>
        <v>0</v>
      </c>
      <c r="AH98">
        <f t="shared" si="40"/>
        <v>0</v>
      </c>
      <c r="AI98">
        <f t="shared" si="45"/>
        <v>3.2193644299200004E-3</v>
      </c>
      <c r="AJ98">
        <f t="shared" si="41"/>
        <v>0</v>
      </c>
      <c r="AK98" t="e">
        <f t="shared" ca="1" si="42"/>
        <v>#NAME?</v>
      </c>
      <c r="AL98" t="e">
        <f t="shared" ca="1" si="43"/>
        <v>#NAME?</v>
      </c>
      <c r="BW98" t="s">
        <v>121</v>
      </c>
      <c r="BX98">
        <v>180</v>
      </c>
      <c r="BY98">
        <v>692</v>
      </c>
      <c r="BZ98">
        <v>183</v>
      </c>
      <c r="CA98">
        <v>316</v>
      </c>
      <c r="CB98">
        <v>438</v>
      </c>
      <c r="CC98">
        <v>468</v>
      </c>
      <c r="CD98">
        <v>189</v>
      </c>
      <c r="CE98">
        <v>354</v>
      </c>
      <c r="CF98">
        <v>500</v>
      </c>
      <c r="CG98">
        <v>553</v>
      </c>
    </row>
    <row r="99" spans="11:85" x14ac:dyDescent="0.2">
      <c r="K99" t="s">
        <v>141</v>
      </c>
      <c r="L99" t="s">
        <v>117</v>
      </c>
      <c r="N99" t="e" cm="1">
        <f t="array" aca="1" ref="N99" ca="1">_xludf.XLOOKUP(K99, $BX$46:$CG$46, $BX$47:$CG$50)</f>
        <v>#NAME?</v>
      </c>
      <c r="O99" t="e" cm="1">
        <f t="array" aca="1" ref="O99" ca="1">_xludf.XLOOKUP(K99, $BX$106:$CG$106, $BX$107:$CG$110)</f>
        <v>#NAME?</v>
      </c>
      <c r="P99" t="e" cm="1">
        <f t="array" aca="1" ref="P99" ca="1">_xludf.XLOOKUP(K$19,$BX$169:$CG$169,_xludf.XLOOKUP($D$11,$BW$170:$BW$176,$BX$170:$CG$176))</f>
        <v>#NAME?</v>
      </c>
      <c r="Q99" t="e">
        <f t="shared" ca="1" si="34"/>
        <v>#NAME?</v>
      </c>
      <c r="T99">
        <f t="shared" si="46"/>
        <v>0</v>
      </c>
      <c r="V99">
        <v>1</v>
      </c>
      <c r="W99">
        <f>VLOOKUP($G$91, $CL$17:$CN$25, 2, FALSE)</f>
        <v>6</v>
      </c>
      <c r="X99">
        <v>0</v>
      </c>
      <c r="Y99">
        <f t="shared" si="35"/>
        <v>0</v>
      </c>
      <c r="Z99" t="e">
        <f t="shared" ca="1" si="44"/>
        <v>#NAME?</v>
      </c>
      <c r="AA99" t="e">
        <f t="shared" ca="1" si="36"/>
        <v>#NAME?</v>
      </c>
      <c r="AB99" t="e">
        <f t="shared" ca="1" si="37"/>
        <v>#NAME?</v>
      </c>
      <c r="AC99" t="e">
        <f t="shared" ca="1" si="38"/>
        <v>#NAME?</v>
      </c>
      <c r="AD99" t="e">
        <f t="shared" ca="1" si="47"/>
        <v>#NAME?</v>
      </c>
      <c r="AE99" t="e">
        <f t="shared" ca="1" si="48"/>
        <v>#NAME?</v>
      </c>
      <c r="AF99" t="e">
        <f t="shared" ca="1" si="49"/>
        <v>#NAME?</v>
      </c>
      <c r="AG99" t="e">
        <f t="shared" ca="1" si="39"/>
        <v>#NAME?</v>
      </c>
      <c r="AH99" t="e">
        <f t="shared" ca="1" si="40"/>
        <v>#NAME?</v>
      </c>
      <c r="AI99" t="e">
        <f t="shared" ca="1" si="45"/>
        <v>#NAME?</v>
      </c>
      <c r="AJ99" t="e">
        <f t="shared" ca="1" si="41"/>
        <v>#NAME?</v>
      </c>
      <c r="AK99" t="e">
        <f t="shared" ca="1" si="42"/>
        <v>#NAME?</v>
      </c>
      <c r="AL99" t="e">
        <f t="shared" ca="1" si="43"/>
        <v>#NAME?</v>
      </c>
      <c r="AM99" t="e" cm="1">
        <f t="array" aca="1" ref="AM99" ca="1">_xludf.XLOOKUP(G$91,$BV$17:$CD$17,$BV$18:$CD$21)</f>
        <v>#NAME?</v>
      </c>
      <c r="AN99" t="e" cm="1">
        <f t="array" aca="1" ref="AN99" ca="1">_xludf.XLOOKUP(G$91,$BV$29:$CD$29,$BV$30:$CD$33)</f>
        <v>#NAME?</v>
      </c>
      <c r="BU99" t="s">
        <v>182</v>
      </c>
      <c r="BV99" t="s">
        <v>170</v>
      </c>
      <c r="BW99" t="s">
        <v>117</v>
      </c>
      <c r="BX99">
        <v>190</v>
      </c>
      <c r="BY99">
        <v>617</v>
      </c>
      <c r="BZ99">
        <v>174</v>
      </c>
      <c r="CA99">
        <v>265</v>
      </c>
      <c r="CB99">
        <v>371</v>
      </c>
      <c r="CC99">
        <v>415</v>
      </c>
      <c r="CD99">
        <v>170</v>
      </c>
      <c r="CE99">
        <v>272</v>
      </c>
      <c r="CF99">
        <v>392</v>
      </c>
      <c r="CG99">
        <v>531</v>
      </c>
    </row>
    <row r="100" spans="11:85" x14ac:dyDescent="0.2">
      <c r="L100" t="s">
        <v>119</v>
      </c>
      <c r="P100" t="e" cm="1">
        <f t="array" aca="1" ref="P100" ca="1">_xludf.XLOOKUP(K$19,$BX$169:$CG$169,_xludf.XLOOKUP($D$11,$BW$170:$BW$176,$BX$170:$CG$176))</f>
        <v>#NAME?</v>
      </c>
      <c r="Q100" t="e">
        <f t="shared" ca="1" si="34"/>
        <v>#NAME?</v>
      </c>
      <c r="T100">
        <f t="shared" si="46"/>
        <v>0</v>
      </c>
      <c r="V100">
        <v>1</v>
      </c>
      <c r="W100">
        <f>VLOOKUP($G$91, $CL$17:$CN$25, 3, FALSE)</f>
        <v>4</v>
      </c>
      <c r="X100">
        <v>0</v>
      </c>
      <c r="Y100">
        <f t="shared" si="35"/>
        <v>0</v>
      </c>
      <c r="Z100">
        <f t="shared" si="44"/>
        <v>-1.0369999999999999</v>
      </c>
      <c r="AA100" t="e">
        <f t="shared" ca="1" si="36"/>
        <v>#NAME?</v>
      </c>
      <c r="AB100">
        <f t="shared" si="37"/>
        <v>1</v>
      </c>
      <c r="AC100">
        <f t="shared" si="38"/>
        <v>1.4042250000000001</v>
      </c>
      <c r="AD100">
        <f t="shared" si="47"/>
        <v>1.22673096</v>
      </c>
      <c r="AE100">
        <f t="shared" si="48"/>
        <v>5.7714060544358416E-5</v>
      </c>
      <c r="AF100">
        <f t="shared" si="49"/>
        <v>6.9098751939409913E-4</v>
      </c>
      <c r="AG100">
        <f t="shared" si="39"/>
        <v>0</v>
      </c>
      <c r="AH100">
        <f t="shared" si="40"/>
        <v>0</v>
      </c>
      <c r="AI100">
        <f t="shared" si="45"/>
        <v>4.824380103901192E-3</v>
      </c>
      <c r="AJ100">
        <f t="shared" si="41"/>
        <v>0</v>
      </c>
      <c r="AK100" t="e">
        <f t="shared" ca="1" si="42"/>
        <v>#NAME?</v>
      </c>
      <c r="AL100" t="e">
        <f t="shared" ca="1" si="43"/>
        <v>#NAME?</v>
      </c>
      <c r="BW100" t="s">
        <v>119</v>
      </c>
      <c r="BX100">
        <v>119</v>
      </c>
      <c r="BY100">
        <v>591</v>
      </c>
      <c r="BZ100">
        <v>140</v>
      </c>
      <c r="CA100">
        <v>205</v>
      </c>
      <c r="CB100">
        <v>310</v>
      </c>
      <c r="CC100">
        <v>405</v>
      </c>
      <c r="CD100">
        <v>133</v>
      </c>
      <c r="CE100">
        <v>218</v>
      </c>
      <c r="CF100">
        <v>315</v>
      </c>
      <c r="CG100">
        <v>445</v>
      </c>
    </row>
    <row r="101" spans="11:85" x14ac:dyDescent="0.2">
      <c r="L101" t="s">
        <v>120</v>
      </c>
      <c r="P101" t="e" cm="1">
        <f t="array" aca="1" ref="P101" ca="1">_xludf.XLOOKUP(K$19,$BX$169:$CG$169,_xludf.XLOOKUP($D$11,$BW$170:$BW$176,$BX$170:$CG$176))</f>
        <v>#NAME?</v>
      </c>
      <c r="Q101" t="e">
        <f t="shared" ca="1" si="34"/>
        <v>#NAME?</v>
      </c>
      <c r="T101">
        <f t="shared" si="46"/>
        <v>0</v>
      </c>
      <c r="V101">
        <v>1</v>
      </c>
      <c r="W101">
        <v>0</v>
      </c>
      <c r="X101">
        <v>0</v>
      </c>
      <c r="Y101">
        <f t="shared" si="35"/>
        <v>0</v>
      </c>
      <c r="Z101">
        <f t="shared" si="44"/>
        <v>-1.0369999999999999</v>
      </c>
      <c r="AA101" t="e">
        <f t="shared" ca="1" si="36"/>
        <v>#NAME?</v>
      </c>
      <c r="AB101">
        <f t="shared" si="37"/>
        <v>1</v>
      </c>
      <c r="AC101">
        <f t="shared" si="38"/>
        <v>1.4042250000000001</v>
      </c>
      <c r="AD101">
        <f t="shared" si="47"/>
        <v>1.22673096</v>
      </c>
      <c r="AE101">
        <f t="shared" si="48"/>
        <v>5.7714060544358416E-5</v>
      </c>
      <c r="AF101">
        <f t="shared" si="49"/>
        <v>6.9098751939409913E-4</v>
      </c>
      <c r="AG101">
        <f t="shared" si="39"/>
        <v>0</v>
      </c>
      <c r="AH101">
        <f t="shared" si="40"/>
        <v>0</v>
      </c>
      <c r="AI101">
        <f t="shared" si="45"/>
        <v>3.2193644299200004E-3</v>
      </c>
      <c r="AJ101">
        <f t="shared" si="41"/>
        <v>0</v>
      </c>
      <c r="AK101" t="e">
        <f t="shared" ca="1" si="42"/>
        <v>#NAME?</v>
      </c>
      <c r="AL101" t="e">
        <f t="shared" ca="1" si="43"/>
        <v>#NAME?</v>
      </c>
      <c r="BW101" t="s">
        <v>120</v>
      </c>
      <c r="BX101">
        <v>175</v>
      </c>
      <c r="BY101">
        <v>610</v>
      </c>
      <c r="BZ101">
        <v>163</v>
      </c>
      <c r="CA101">
        <v>232</v>
      </c>
      <c r="CB101">
        <v>351</v>
      </c>
      <c r="CC101">
        <v>427</v>
      </c>
      <c r="CD101">
        <v>146</v>
      </c>
      <c r="CE101">
        <v>242</v>
      </c>
      <c r="CF101">
        <v>320</v>
      </c>
      <c r="CG101">
        <v>471</v>
      </c>
    </row>
    <row r="102" spans="11:85" x14ac:dyDescent="0.2">
      <c r="L102" t="s">
        <v>121</v>
      </c>
      <c r="P102" t="e" cm="1">
        <f t="array" aca="1" ref="P102" ca="1">_xludf.XLOOKUP(K$19,$BX$169:$CG$169,_xludf.XLOOKUP($D$11,$BW$170:$BW$176,$BX$170:$CG$176))</f>
        <v>#NAME?</v>
      </c>
      <c r="Q102" t="e">
        <f t="shared" ca="1" si="34"/>
        <v>#NAME?</v>
      </c>
      <c r="T102">
        <f t="shared" si="46"/>
        <v>0</v>
      </c>
      <c r="V102">
        <v>1</v>
      </c>
      <c r="W102">
        <v>0</v>
      </c>
      <c r="X102">
        <v>0</v>
      </c>
      <c r="Y102">
        <f t="shared" si="35"/>
        <v>0</v>
      </c>
      <c r="Z102">
        <f t="shared" si="44"/>
        <v>-1.0369999999999999</v>
      </c>
      <c r="AA102" t="e">
        <f t="shared" ca="1" si="36"/>
        <v>#NAME?</v>
      </c>
      <c r="AB102">
        <f t="shared" si="37"/>
        <v>1</v>
      </c>
      <c r="AC102">
        <f t="shared" si="38"/>
        <v>1.4042250000000001</v>
      </c>
      <c r="AD102">
        <f t="shared" si="47"/>
        <v>1.22673096</v>
      </c>
      <c r="AE102">
        <f t="shared" si="48"/>
        <v>5.7714060544358416E-5</v>
      </c>
      <c r="AF102">
        <f t="shared" si="49"/>
        <v>6.9098751939409913E-4</v>
      </c>
      <c r="AG102">
        <f t="shared" si="39"/>
        <v>0</v>
      </c>
      <c r="AH102">
        <f t="shared" si="40"/>
        <v>0</v>
      </c>
      <c r="AI102">
        <f t="shared" si="45"/>
        <v>3.2193644299200004E-3</v>
      </c>
      <c r="AJ102">
        <f t="shared" si="41"/>
        <v>0</v>
      </c>
      <c r="AK102" t="e">
        <f t="shared" ca="1" si="42"/>
        <v>#NAME?</v>
      </c>
      <c r="AL102" t="e">
        <f t="shared" ca="1" si="43"/>
        <v>#NAME?</v>
      </c>
      <c r="BW102" t="s">
        <v>121</v>
      </c>
      <c r="BX102">
        <v>192</v>
      </c>
      <c r="BY102">
        <v>615</v>
      </c>
      <c r="BZ102">
        <v>162</v>
      </c>
      <c r="CA102">
        <v>255</v>
      </c>
      <c r="CB102">
        <v>364</v>
      </c>
      <c r="CC102">
        <v>420</v>
      </c>
      <c r="CD102">
        <v>157</v>
      </c>
      <c r="CE102">
        <v>261</v>
      </c>
      <c r="CF102">
        <v>342</v>
      </c>
      <c r="CG102">
        <v>484</v>
      </c>
    </row>
    <row r="103" spans="11:85" x14ac:dyDescent="0.2">
      <c r="K103" t="s">
        <v>146</v>
      </c>
      <c r="L103" t="s">
        <v>117</v>
      </c>
      <c r="N103" t="e" cm="1">
        <f t="array" aca="1" ref="N103" ca="1">_xludf.XLOOKUP(K103, $BX$46:$CG$46, $BX$47:$CG$50)</f>
        <v>#NAME?</v>
      </c>
      <c r="O103" t="e" cm="1">
        <f t="array" aca="1" ref="O103" ca="1">_xludf.XLOOKUP(K103, $BX$106:$CG$106, $BX$107:$CG$110)</f>
        <v>#NAME?</v>
      </c>
      <c r="P103" t="e" cm="1">
        <f t="array" aca="1" ref="P103" ca="1">_xludf.XLOOKUP(K$23,$BX$169:$CG$169,_xludf.XLOOKUP($D$11,$BW$170:$BW$176,$BX$170:$CG$176))</f>
        <v>#NAME?</v>
      </c>
      <c r="Q103" t="e">
        <f t="shared" ca="1" si="34"/>
        <v>#NAME?</v>
      </c>
      <c r="T103">
        <f t="shared" si="46"/>
        <v>0</v>
      </c>
      <c r="V103">
        <v>1</v>
      </c>
      <c r="W103">
        <v>0</v>
      </c>
      <c r="X103">
        <v>0</v>
      </c>
      <c r="Y103">
        <f t="shared" si="35"/>
        <v>0</v>
      </c>
      <c r="Z103" t="e">
        <f t="shared" ca="1" si="44"/>
        <v>#NAME?</v>
      </c>
      <c r="AA103" t="e">
        <f t="shared" ca="1" si="36"/>
        <v>#NAME?</v>
      </c>
      <c r="AB103" t="e">
        <f t="shared" ca="1" si="37"/>
        <v>#NAME?</v>
      </c>
      <c r="AC103" t="e">
        <f t="shared" ca="1" si="38"/>
        <v>#NAME?</v>
      </c>
      <c r="AD103" t="e">
        <f t="shared" ca="1" si="47"/>
        <v>#NAME?</v>
      </c>
      <c r="AE103" t="e">
        <f t="shared" ca="1" si="48"/>
        <v>#NAME?</v>
      </c>
      <c r="AF103" t="e">
        <f t="shared" ca="1" si="49"/>
        <v>#NAME?</v>
      </c>
      <c r="AG103" t="e">
        <f t="shared" ca="1" si="39"/>
        <v>#NAME?</v>
      </c>
      <c r="AH103" t="e">
        <f t="shared" ca="1" si="40"/>
        <v>#NAME?</v>
      </c>
      <c r="AI103" t="e">
        <f t="shared" ca="1" si="45"/>
        <v>#NAME?</v>
      </c>
      <c r="AJ103" t="e">
        <f t="shared" ca="1" si="41"/>
        <v>#NAME?</v>
      </c>
      <c r="AK103" t="e">
        <f t="shared" ca="1" si="42"/>
        <v>#NAME?</v>
      </c>
      <c r="AL103" t="e">
        <f t="shared" ca="1" si="43"/>
        <v>#NAME?</v>
      </c>
      <c r="AM103" t="e" cm="1">
        <f t="array" aca="1" ref="AM103" ca="1">_xludf.XLOOKUP(G$91,$BV$17:$CD$17,$BV$18:$CD$21)</f>
        <v>#NAME?</v>
      </c>
      <c r="AN103" t="e" cm="1">
        <f t="array" aca="1" ref="AN103" ca="1">_xludf.XLOOKUP(G$91,$BV$29:$CD$29,$BV$30:$CD$33)</f>
        <v>#NAME?</v>
      </c>
    </row>
    <row r="104" spans="11:85" x14ac:dyDescent="0.2">
      <c r="L104" t="s">
        <v>119</v>
      </c>
      <c r="P104" t="e" cm="1">
        <f t="array" aca="1" ref="P104" ca="1">_xludf.XLOOKUP(K$23,$BX$169:$CG$169,_xludf.XLOOKUP($D$11,$BW$170:$BW$176,$BX$170:$CG$176))</f>
        <v>#NAME?</v>
      </c>
      <c r="Q104" t="e">
        <f t="shared" ca="1" si="34"/>
        <v>#NAME?</v>
      </c>
      <c r="T104">
        <f t="shared" si="46"/>
        <v>0</v>
      </c>
      <c r="V104">
        <v>1</v>
      </c>
      <c r="W104">
        <v>0</v>
      </c>
      <c r="X104">
        <v>0</v>
      </c>
      <c r="Y104">
        <f t="shared" si="35"/>
        <v>0</v>
      </c>
      <c r="Z104">
        <f t="shared" si="44"/>
        <v>-1.0369999999999999</v>
      </c>
      <c r="AA104" t="e">
        <f t="shared" ca="1" si="36"/>
        <v>#NAME?</v>
      </c>
      <c r="AB104">
        <f t="shared" si="37"/>
        <v>1</v>
      </c>
      <c r="AC104">
        <f t="shared" si="38"/>
        <v>1.4042250000000001</v>
      </c>
      <c r="AD104">
        <f t="shared" si="47"/>
        <v>1.22673096</v>
      </c>
      <c r="AE104">
        <f t="shared" si="48"/>
        <v>5.7714060544358416E-5</v>
      </c>
      <c r="AF104">
        <f t="shared" si="49"/>
        <v>6.9098751939409913E-4</v>
      </c>
      <c r="AG104">
        <f t="shared" si="39"/>
        <v>0</v>
      </c>
      <c r="AH104">
        <f t="shared" si="40"/>
        <v>0</v>
      </c>
      <c r="AI104">
        <f t="shared" si="45"/>
        <v>3.2193644299200004E-3</v>
      </c>
      <c r="AJ104">
        <f t="shared" si="41"/>
        <v>0</v>
      </c>
      <c r="AK104" t="e">
        <f t="shared" ca="1" si="42"/>
        <v>#NAME?</v>
      </c>
      <c r="AL104" t="e">
        <f t="shared" ca="1" si="43"/>
        <v>#NAME?</v>
      </c>
    </row>
    <row r="105" spans="11:85" x14ac:dyDescent="0.2">
      <c r="L105" t="s">
        <v>120</v>
      </c>
      <c r="P105" t="e" cm="1">
        <f t="array" aca="1" ref="P105" ca="1">_xludf.XLOOKUP(K$23,$BX$169:$CG$169,_xludf.XLOOKUP($D$11,$BW$170:$BW$176,$BX$170:$CG$176))</f>
        <v>#NAME?</v>
      </c>
      <c r="Q105" t="e">
        <f t="shared" ca="1" si="34"/>
        <v>#NAME?</v>
      </c>
      <c r="T105">
        <f t="shared" si="46"/>
        <v>0</v>
      </c>
      <c r="V105">
        <v>1</v>
      </c>
      <c r="W105">
        <v>0</v>
      </c>
      <c r="X105">
        <v>0</v>
      </c>
      <c r="Y105">
        <f t="shared" si="35"/>
        <v>0</v>
      </c>
      <c r="Z105">
        <f t="shared" si="44"/>
        <v>-1.0369999999999999</v>
      </c>
      <c r="AA105" t="e">
        <f t="shared" ca="1" si="36"/>
        <v>#NAME?</v>
      </c>
      <c r="AB105">
        <f t="shared" si="37"/>
        <v>1</v>
      </c>
      <c r="AC105">
        <f t="shared" si="38"/>
        <v>1.4042250000000001</v>
      </c>
      <c r="AD105">
        <f t="shared" si="47"/>
        <v>1.22673096</v>
      </c>
      <c r="AE105">
        <f t="shared" si="48"/>
        <v>5.7714060544358416E-5</v>
      </c>
      <c r="AF105">
        <f t="shared" si="49"/>
        <v>6.9098751939409913E-4</v>
      </c>
      <c r="AG105">
        <f t="shared" si="39"/>
        <v>0</v>
      </c>
      <c r="AH105">
        <f t="shared" si="40"/>
        <v>0</v>
      </c>
      <c r="AI105">
        <f t="shared" si="45"/>
        <v>3.2193644299200004E-3</v>
      </c>
      <c r="AJ105">
        <f t="shared" si="41"/>
        <v>0</v>
      </c>
      <c r="AK105" t="e">
        <f t="shared" ca="1" si="42"/>
        <v>#NAME?</v>
      </c>
      <c r="AL105" t="e">
        <f t="shared" ca="1" si="43"/>
        <v>#NAME?</v>
      </c>
    </row>
    <row r="106" spans="11:85" x14ac:dyDescent="0.2">
      <c r="L106" t="s">
        <v>121</v>
      </c>
      <c r="P106" t="e" cm="1">
        <f t="array" aca="1" ref="P106" ca="1">_xludf.XLOOKUP(K$23,$BX$169:$CG$169,_xludf.XLOOKUP($D$11,$BW$170:$BW$176,$BX$170:$CG$176))</f>
        <v>#NAME?</v>
      </c>
      <c r="Q106" t="e">
        <f t="shared" ca="1" si="34"/>
        <v>#NAME?</v>
      </c>
      <c r="T106">
        <f t="shared" si="46"/>
        <v>0</v>
      </c>
      <c r="V106">
        <v>1</v>
      </c>
      <c r="W106">
        <v>0</v>
      </c>
      <c r="X106">
        <v>0</v>
      </c>
      <c r="Y106">
        <f t="shared" si="35"/>
        <v>0</v>
      </c>
      <c r="Z106">
        <f t="shared" si="44"/>
        <v>-1.0369999999999999</v>
      </c>
      <c r="AA106" t="e">
        <f t="shared" ca="1" si="36"/>
        <v>#NAME?</v>
      </c>
      <c r="AB106">
        <f t="shared" si="37"/>
        <v>1</v>
      </c>
      <c r="AC106">
        <f t="shared" si="38"/>
        <v>1.4042250000000001</v>
      </c>
      <c r="AD106">
        <f t="shared" si="47"/>
        <v>1.22673096</v>
      </c>
      <c r="AE106">
        <f t="shared" si="48"/>
        <v>5.7714060544358416E-5</v>
      </c>
      <c r="AF106">
        <f t="shared" si="49"/>
        <v>6.9098751939409913E-4</v>
      </c>
      <c r="AG106">
        <f t="shared" si="39"/>
        <v>0</v>
      </c>
      <c r="AH106">
        <f t="shared" si="40"/>
        <v>0</v>
      </c>
      <c r="AI106">
        <f t="shared" si="45"/>
        <v>3.2193644299200004E-3</v>
      </c>
      <c r="AJ106">
        <f t="shared" si="41"/>
        <v>0</v>
      </c>
      <c r="AK106" t="e">
        <f t="shared" ca="1" si="42"/>
        <v>#NAME?</v>
      </c>
      <c r="AL106" t="e">
        <f t="shared" ca="1" si="43"/>
        <v>#NAME?</v>
      </c>
      <c r="BU106" t="s">
        <v>184</v>
      </c>
      <c r="BX106" t="s">
        <v>116</v>
      </c>
      <c r="BY106" t="s">
        <v>122</v>
      </c>
      <c r="BZ106" t="s">
        <v>141</v>
      </c>
      <c r="CA106" t="s">
        <v>146</v>
      </c>
      <c r="CB106" t="s">
        <v>152</v>
      </c>
      <c r="CC106" t="s">
        <v>156</v>
      </c>
      <c r="CD106" t="s">
        <v>164</v>
      </c>
      <c r="CE106" t="s">
        <v>169</v>
      </c>
      <c r="CF106" t="s">
        <v>171</v>
      </c>
      <c r="CG106" t="s">
        <v>176</v>
      </c>
    </row>
    <row r="107" spans="11:85" x14ac:dyDescent="0.2">
      <c r="K107" t="s">
        <v>152</v>
      </c>
      <c r="L107" t="s">
        <v>117</v>
      </c>
      <c r="M107">
        <v>100</v>
      </c>
      <c r="N107" t="e" cm="1">
        <f t="array" aca="1" ref="N107" ca="1">_xludf.XLOOKUP(K107, $BX$46:$CG$46, $BX$47:$CG$50)</f>
        <v>#NAME?</v>
      </c>
      <c r="O107" t="e" cm="1">
        <f t="array" aca="1" ref="O107" ca="1">_xludf.XLOOKUP(K107, $BX$106:$CG$106, $BX$107:$CG$110)</f>
        <v>#NAME?</v>
      </c>
      <c r="P107" t="e" cm="1">
        <f t="array" aca="1" ref="P107" ca="1">_xludf.XLOOKUP(K$27,$BX$169:$CG$169,_xludf.XLOOKUP($D$11,$BW$170:$BW$176,$BX$170:$CG$176))</f>
        <v>#NAME?</v>
      </c>
      <c r="Q107" t="e">
        <f t="shared" ref="Q107:Q138" ca="1" si="50">N107/P107</f>
        <v>#NAME?</v>
      </c>
      <c r="R107">
        <v>0.7</v>
      </c>
      <c r="T107">
        <f t="shared" si="46"/>
        <v>0.7</v>
      </c>
      <c r="U107">
        <f t="shared" ref="U107:U114" si="51">1+(0.3*R107)+(0.1*S107)</f>
        <v>1.21</v>
      </c>
      <c r="V107">
        <f t="shared" ref="V107:V114" si="52">(T107*U107)+(1 - T107)</f>
        <v>1.147</v>
      </c>
      <c r="W107">
        <v>0</v>
      </c>
      <c r="X107">
        <f>VLOOKUP($G$11, $CL$17:$CN$25, 2, FALSE)</f>
        <v>6</v>
      </c>
      <c r="Y107">
        <f t="shared" ref="Y107:Y138" si="53">T107*X107</f>
        <v>4.1999999999999993</v>
      </c>
      <c r="Z107" t="e">
        <f t="shared" ca="1" si="44"/>
        <v>#NAME?</v>
      </c>
      <c r="AA107" t="e">
        <f t="shared" ref="AA107:AA138" ca="1" si="54">(0.032 * Y107 /6.38) + ((0.212 - 0.008 * (AB107 - 2) - ((0.14 - 0.008 * (AB107 - 2)) / (1 + EXP(-6 * (Q107 - 0.4))))) * (O107 * 0.92)) / 6.25</f>
        <v>#NAME?</v>
      </c>
      <c r="AB107" t="e">
        <f t="shared" ref="AB107:AB138" ca="1" si="55">AC107 / ((1.185 + 0.00454 * N107 - 0.0000026 * N107 ^ 2 ) ^ 2 * V107)</f>
        <v>#NAME?</v>
      </c>
      <c r="AC107" t="e">
        <f t="shared" ref="AC107:AC130" ca="1" si="56">(1.185 + 0.00454 * N107 - 0.0000026 * N107^2 + 0.315 * O107)^2 * V107</f>
        <v>#NAME?</v>
      </c>
      <c r="AD107" t="e">
        <f t="shared" ca="1" si="47"/>
        <v>#NAME?</v>
      </c>
      <c r="AE107" t="e">
        <f t="shared" ca="1" si="48"/>
        <v>#NAME?</v>
      </c>
      <c r="AF107" t="e">
        <f t="shared" ca="1" si="49"/>
        <v>#NAME?</v>
      </c>
      <c r="AG107" t="e">
        <f t="shared" ref="AG107:AG130" ca="1" si="57">M107*AE107*91.25</f>
        <v>#NAME?</v>
      </c>
      <c r="AH107" t="e">
        <f t="shared" ref="AH107:AH130" ca="1" si="58">M107*AF107*91.25</f>
        <v>#NAME?</v>
      </c>
      <c r="AI107" t="e">
        <f t="shared" ca="1" si="45"/>
        <v>#NAME?</v>
      </c>
      <c r="AJ107" t="e">
        <f t="shared" ref="AJ107:AJ138" ca="1" si="59">M107*AI107*91.25</f>
        <v>#NAME?</v>
      </c>
      <c r="AK107" t="e">
        <f t="shared" ref="AK107:AK130" ca="1" si="60">(AC107 * $AN107 / 6.25) + (0.032 * W107 / 6.38) - AA107 - AI107 - ((1.1 * (10 ^ -4) * (N107 ^ 0.75)) / 6.25)</f>
        <v>#NAME?</v>
      </c>
      <c r="AL107" t="e">
        <f t="shared" ref="AL107:AL138" ca="1" si="61">M107*AK107*91.25</f>
        <v>#NAME?</v>
      </c>
      <c r="AM107" t="e" cm="1">
        <f t="array" aca="1" ref="AM107" ca="1">_xludf.XLOOKUP(G$91,$BV$17:$CD$17,$BV$18:$CD$21)</f>
        <v>#NAME?</v>
      </c>
      <c r="AN107" t="e" cm="1">
        <f t="array" aca="1" ref="AN107" ca="1">_xludf.XLOOKUP(G$91,$BV$29:$CD$29,$BV$30:$CD$33)</f>
        <v>#NAME?</v>
      </c>
      <c r="BU107" t="s">
        <v>113</v>
      </c>
      <c r="BW107" t="s">
        <v>117</v>
      </c>
      <c r="BX107">
        <v>0.5</v>
      </c>
      <c r="BY107">
        <v>0.2</v>
      </c>
      <c r="BZ107">
        <v>0.5</v>
      </c>
      <c r="CA107">
        <v>0.4</v>
      </c>
      <c r="CB107">
        <v>0.3</v>
      </c>
      <c r="CC107">
        <v>0.3</v>
      </c>
      <c r="CD107">
        <v>0.5</v>
      </c>
      <c r="CE107">
        <v>0.4</v>
      </c>
      <c r="CF107">
        <v>0.4</v>
      </c>
      <c r="CG107">
        <v>0.4</v>
      </c>
    </row>
    <row r="108" spans="11:85" x14ac:dyDescent="0.2">
      <c r="L108" t="s">
        <v>119</v>
      </c>
      <c r="M108">
        <v>110</v>
      </c>
      <c r="P108" t="e" cm="1">
        <f t="array" aca="1" ref="P108" ca="1">_xludf.XLOOKUP(K$27,$BX$169:$CG$169,_xludf.XLOOKUP($D$11,$BW$170:$BW$176,$BX$170:$CG$176))</f>
        <v>#NAME?</v>
      </c>
      <c r="Q108" t="e">
        <f t="shared" ca="1" si="50"/>
        <v>#NAME?</v>
      </c>
      <c r="R108">
        <v>0.3</v>
      </c>
      <c r="S108">
        <v>0.7</v>
      </c>
      <c r="T108">
        <f t="shared" si="46"/>
        <v>1</v>
      </c>
      <c r="U108">
        <f t="shared" si="51"/>
        <v>1.1600000000000001</v>
      </c>
      <c r="V108">
        <f t="shared" si="52"/>
        <v>1.1600000000000001</v>
      </c>
      <c r="W108">
        <v>0</v>
      </c>
      <c r="X108">
        <f>VLOOKUP($G$11, $CL$17:$CN$25, 3, FALSE)</f>
        <v>4</v>
      </c>
      <c r="Y108">
        <f t="shared" si="53"/>
        <v>4</v>
      </c>
      <c r="Z108">
        <f t="shared" si="44"/>
        <v>-1.0369999999999999</v>
      </c>
      <c r="AA108" t="e">
        <f t="shared" ca="1" si="54"/>
        <v>#NAME?</v>
      </c>
      <c r="AB108">
        <f t="shared" si="55"/>
        <v>1</v>
      </c>
      <c r="AC108">
        <f t="shared" si="56"/>
        <v>1.6289010000000002</v>
      </c>
      <c r="AD108">
        <f t="shared" si="47"/>
        <v>1.4230079136</v>
      </c>
      <c r="AE108">
        <f t="shared" si="48"/>
        <v>6.6948310231455756E-5</v>
      </c>
      <c r="AF108">
        <f t="shared" si="49"/>
        <v>8.01545522497155E-4</v>
      </c>
      <c r="AG108">
        <f t="shared" si="57"/>
        <v>0.67199366394823712</v>
      </c>
      <c r="AH108">
        <f t="shared" si="58"/>
        <v>8.0455131820651928</v>
      </c>
      <c r="AI108">
        <f t="shared" si="45"/>
        <v>3.7344627387072005E-3</v>
      </c>
      <c r="AJ108">
        <f t="shared" si="59"/>
        <v>37.484669739773523</v>
      </c>
      <c r="AK108" t="e">
        <f t="shared" ca="1" si="60"/>
        <v>#NAME?</v>
      </c>
      <c r="AL108" t="e">
        <f t="shared" ca="1" si="61"/>
        <v>#NAME?</v>
      </c>
      <c r="BW108" t="s">
        <v>119</v>
      </c>
      <c r="BX108">
        <v>1</v>
      </c>
      <c r="BY108">
        <v>0.4</v>
      </c>
      <c r="BZ108">
        <v>0.9</v>
      </c>
      <c r="CA108">
        <v>0.7</v>
      </c>
      <c r="CB108">
        <v>0.3</v>
      </c>
      <c r="CC108">
        <v>0.3</v>
      </c>
      <c r="CD108">
        <v>0.9</v>
      </c>
      <c r="CE108">
        <v>0.4</v>
      </c>
      <c r="CF108">
        <v>0.4</v>
      </c>
      <c r="CG108">
        <v>0.4</v>
      </c>
    </row>
    <row r="109" spans="11:85" x14ac:dyDescent="0.2">
      <c r="L109" t="s">
        <v>120</v>
      </c>
      <c r="M109">
        <v>120</v>
      </c>
      <c r="P109" t="e" cm="1">
        <f t="array" aca="1" ref="P109" ca="1">_xludf.XLOOKUP(K$27,$BX$169:$CG$169,_xludf.XLOOKUP($D$11,$BW$170:$BW$176,$BX$170:$CG$176))</f>
        <v>#NAME?</v>
      </c>
      <c r="Q109" t="e">
        <f t="shared" ca="1" si="50"/>
        <v>#NAME?</v>
      </c>
      <c r="R109">
        <v>0</v>
      </c>
      <c r="S109">
        <v>0.3</v>
      </c>
      <c r="T109">
        <f t="shared" si="46"/>
        <v>0.3</v>
      </c>
      <c r="U109">
        <f t="shared" si="51"/>
        <v>1.03</v>
      </c>
      <c r="V109">
        <f t="shared" si="52"/>
        <v>1.0089999999999999</v>
      </c>
      <c r="W109">
        <v>0</v>
      </c>
      <c r="X109">
        <v>0</v>
      </c>
      <c r="Y109">
        <f t="shared" si="53"/>
        <v>0</v>
      </c>
      <c r="Z109">
        <f t="shared" si="44"/>
        <v>-1.0369999999999999</v>
      </c>
      <c r="AA109" t="e">
        <f t="shared" ca="1" si="54"/>
        <v>#NAME?</v>
      </c>
      <c r="AB109">
        <f t="shared" si="55"/>
        <v>1</v>
      </c>
      <c r="AC109">
        <f t="shared" si="56"/>
        <v>1.4168630249999998</v>
      </c>
      <c r="AD109">
        <f t="shared" si="47"/>
        <v>1.2377715386399997</v>
      </c>
      <c r="AE109">
        <f t="shared" si="48"/>
        <v>5.823348708925761E-5</v>
      </c>
      <c r="AF109">
        <f t="shared" si="49"/>
        <v>6.9720640706864595E-4</v>
      </c>
      <c r="AG109">
        <f t="shared" si="57"/>
        <v>0.63765668362737082</v>
      </c>
      <c r="AH109">
        <f t="shared" si="58"/>
        <v>7.6344101574016729</v>
      </c>
      <c r="AI109">
        <f t="shared" si="45"/>
        <v>3.2483387097892798E-3</v>
      </c>
      <c r="AJ109">
        <f t="shared" si="59"/>
        <v>35.569308872192615</v>
      </c>
      <c r="AK109" t="e">
        <f t="shared" ca="1" si="60"/>
        <v>#NAME?</v>
      </c>
      <c r="AL109" t="e">
        <f t="shared" ca="1" si="61"/>
        <v>#NAME?</v>
      </c>
      <c r="BW109" t="s">
        <v>120</v>
      </c>
      <c r="BX109">
        <v>0.8</v>
      </c>
      <c r="BY109">
        <v>0.3</v>
      </c>
      <c r="BZ109">
        <v>0.7</v>
      </c>
      <c r="CA109">
        <v>0.3</v>
      </c>
      <c r="CB109">
        <v>0.2</v>
      </c>
      <c r="CC109">
        <v>0.2</v>
      </c>
      <c r="CD109">
        <v>0.7</v>
      </c>
      <c r="CE109">
        <v>0.3</v>
      </c>
      <c r="CF109">
        <v>0.3</v>
      </c>
      <c r="CG109">
        <v>0.3</v>
      </c>
    </row>
    <row r="110" spans="11:85" x14ac:dyDescent="0.2">
      <c r="L110" t="s">
        <v>121</v>
      </c>
      <c r="M110">
        <v>130</v>
      </c>
      <c r="P110" t="e" cm="1">
        <f t="array" aca="1" ref="P110" ca="1">_xludf.XLOOKUP(K$27,$BX$169:$CG$169,_xludf.XLOOKUP($D$11,$BW$170:$BW$176,$BX$170:$CG$176))</f>
        <v>#NAME?</v>
      </c>
      <c r="Q110" t="e">
        <f t="shared" ca="1" si="50"/>
        <v>#NAME?</v>
      </c>
      <c r="R110">
        <v>0</v>
      </c>
      <c r="S110">
        <v>0</v>
      </c>
      <c r="T110">
        <f t="shared" si="46"/>
        <v>0</v>
      </c>
      <c r="U110">
        <f t="shared" si="51"/>
        <v>1</v>
      </c>
      <c r="V110">
        <f t="shared" si="52"/>
        <v>1</v>
      </c>
      <c r="W110">
        <v>0</v>
      </c>
      <c r="X110">
        <v>0</v>
      </c>
      <c r="Y110">
        <f t="shared" si="53"/>
        <v>0</v>
      </c>
      <c r="Z110">
        <f t="shared" si="44"/>
        <v>-1.0369999999999999</v>
      </c>
      <c r="AA110" t="e">
        <f t="shared" ca="1" si="54"/>
        <v>#NAME?</v>
      </c>
      <c r="AB110">
        <f t="shared" si="55"/>
        <v>1</v>
      </c>
      <c r="AC110">
        <f t="shared" si="56"/>
        <v>1.4042250000000001</v>
      </c>
      <c r="AD110">
        <f t="shared" si="47"/>
        <v>1.22673096</v>
      </c>
      <c r="AE110">
        <f t="shared" si="48"/>
        <v>5.7714060544358416E-5</v>
      </c>
      <c r="AF110">
        <f t="shared" si="49"/>
        <v>6.9098751939409913E-4</v>
      </c>
      <c r="AG110">
        <f t="shared" si="57"/>
        <v>0.68463304320745177</v>
      </c>
      <c r="AH110">
        <f t="shared" si="58"/>
        <v>8.1968394488125007</v>
      </c>
      <c r="AI110">
        <f t="shared" si="45"/>
        <v>3.2193644299200004E-3</v>
      </c>
      <c r="AJ110">
        <f t="shared" si="59"/>
        <v>38.189710549926005</v>
      </c>
      <c r="AK110" t="e">
        <f t="shared" ca="1" si="60"/>
        <v>#NAME?</v>
      </c>
      <c r="AL110" t="e">
        <f t="shared" ca="1" si="61"/>
        <v>#NAME?</v>
      </c>
      <c r="BW110" t="s">
        <v>121</v>
      </c>
      <c r="BX110">
        <v>0.4</v>
      </c>
      <c r="BY110">
        <v>0.1</v>
      </c>
      <c r="BZ110">
        <v>0.4</v>
      </c>
      <c r="CA110">
        <v>0.2</v>
      </c>
      <c r="CB110">
        <v>0.1</v>
      </c>
      <c r="CC110">
        <v>0.1</v>
      </c>
      <c r="CD110">
        <v>0.4</v>
      </c>
      <c r="CE110">
        <v>0.1</v>
      </c>
      <c r="CF110">
        <v>0.1</v>
      </c>
      <c r="CG110">
        <v>0.1</v>
      </c>
    </row>
    <row r="111" spans="11:85" x14ac:dyDescent="0.2">
      <c r="K111" t="s">
        <v>156</v>
      </c>
      <c r="L111" t="s">
        <v>117</v>
      </c>
      <c r="M111">
        <v>50</v>
      </c>
      <c r="N111" t="e" cm="1">
        <f t="array" aca="1" ref="N111" ca="1">_xludf.XLOOKUP(K111, $BX$46:$CG$46, $BX$47:$CG$50)</f>
        <v>#NAME?</v>
      </c>
      <c r="O111" t="e" cm="1">
        <f t="array" aca="1" ref="O111" ca="1">_xludf.XLOOKUP(K111, $BX$106:$CG$106, $BX$107:$CG$110)</f>
        <v>#NAME?</v>
      </c>
      <c r="P111" t="e" cm="1">
        <f t="array" aca="1" ref="P111" ca="1">_xludf.XLOOKUP(K$31,$BX$169:$CG$169,_xludf.XLOOKUP($D$11,$BW$170:$BW$176,$BX$170:$CG$176))</f>
        <v>#NAME?</v>
      </c>
      <c r="Q111" t="e">
        <f t="shared" ca="1" si="50"/>
        <v>#NAME?</v>
      </c>
      <c r="R111">
        <v>0.6</v>
      </c>
      <c r="S111">
        <v>0.4</v>
      </c>
      <c r="T111">
        <f t="shared" si="46"/>
        <v>1</v>
      </c>
      <c r="U111">
        <f t="shared" si="51"/>
        <v>1.22</v>
      </c>
      <c r="V111">
        <f t="shared" si="52"/>
        <v>1.22</v>
      </c>
      <c r="W111">
        <v>0</v>
      </c>
      <c r="X111">
        <f>VLOOKUP($G$11, $CL$17:$CN$25, 2, FALSE)</f>
        <v>6</v>
      </c>
      <c r="Y111">
        <f t="shared" si="53"/>
        <v>6</v>
      </c>
      <c r="Z111" t="e">
        <f t="shared" ca="1" si="44"/>
        <v>#NAME?</v>
      </c>
      <c r="AA111" t="e">
        <f t="shared" ca="1" si="54"/>
        <v>#NAME?</v>
      </c>
      <c r="AB111" t="e">
        <f t="shared" ca="1" si="55"/>
        <v>#NAME?</v>
      </c>
      <c r="AC111" t="e">
        <f t="shared" ca="1" si="56"/>
        <v>#NAME?</v>
      </c>
      <c r="AD111" t="e">
        <f t="shared" ca="1" si="47"/>
        <v>#NAME?</v>
      </c>
      <c r="AE111" t="e">
        <f t="shared" ca="1" si="48"/>
        <v>#NAME?</v>
      </c>
      <c r="AF111" t="e">
        <f t="shared" ca="1" si="49"/>
        <v>#NAME?</v>
      </c>
      <c r="AG111" t="e">
        <f t="shared" ca="1" si="57"/>
        <v>#NAME?</v>
      </c>
      <c r="AH111" t="e">
        <f t="shared" ca="1" si="58"/>
        <v>#NAME?</v>
      </c>
      <c r="AI111" t="e">
        <f t="shared" ca="1" si="45"/>
        <v>#NAME?</v>
      </c>
      <c r="AJ111" t="e">
        <f t="shared" ca="1" si="59"/>
        <v>#NAME?</v>
      </c>
      <c r="AK111" t="e">
        <f t="shared" ca="1" si="60"/>
        <v>#NAME?</v>
      </c>
      <c r="AL111" t="e">
        <f t="shared" ca="1" si="61"/>
        <v>#NAME?</v>
      </c>
      <c r="AM111" t="e" cm="1">
        <f t="array" aca="1" ref="AM111" ca="1">_xludf.XLOOKUP(G$91,$BV$17:$CD$17,$BV$18:$CD$21)</f>
        <v>#NAME?</v>
      </c>
      <c r="AN111" t="e" cm="1">
        <f t="array" aca="1" ref="AN111" ca="1">_xludf.XLOOKUP(G$91,$BV$29:$CD$29,$BV$30:$CD$33)</f>
        <v>#NAME?</v>
      </c>
      <c r="BU111" t="s">
        <v>178</v>
      </c>
      <c r="BW111" t="s">
        <v>117</v>
      </c>
      <c r="BX111">
        <v>0.99</v>
      </c>
      <c r="BY111">
        <v>1.1000000000000001</v>
      </c>
      <c r="BZ111">
        <v>0.88</v>
      </c>
      <c r="CA111">
        <v>0.55000000000000004</v>
      </c>
      <c r="CB111">
        <v>0.55000000000000004</v>
      </c>
      <c r="CC111">
        <v>0.55000000000000004</v>
      </c>
      <c r="CD111">
        <v>0.88</v>
      </c>
      <c r="CE111">
        <v>0.22</v>
      </c>
      <c r="CF111">
        <v>0.22</v>
      </c>
      <c r="CG111">
        <v>0.22</v>
      </c>
    </row>
    <row r="112" spans="11:85" x14ac:dyDescent="0.2">
      <c r="L112" t="s">
        <v>119</v>
      </c>
      <c r="M112">
        <v>60</v>
      </c>
      <c r="P112" t="e" cm="1">
        <f t="array" aca="1" ref="P112" ca="1">_xludf.XLOOKUP(K$31,$BX$169:$CG$169,_xludf.XLOOKUP($D$11,$BW$170:$BW$176,$BX$170:$CG$176))</f>
        <v>#NAME?</v>
      </c>
      <c r="Q112" t="e">
        <f t="shared" ca="1" si="50"/>
        <v>#NAME?</v>
      </c>
      <c r="R112">
        <v>0</v>
      </c>
      <c r="S112">
        <v>0.6</v>
      </c>
      <c r="T112">
        <f t="shared" si="46"/>
        <v>0.6</v>
      </c>
      <c r="U112">
        <f t="shared" si="51"/>
        <v>1.06</v>
      </c>
      <c r="V112">
        <f t="shared" si="52"/>
        <v>1.036</v>
      </c>
      <c r="W112">
        <v>0</v>
      </c>
      <c r="X112">
        <f>VLOOKUP($G$11, $CL$17:$CN$25, 3, FALSE)</f>
        <v>4</v>
      </c>
      <c r="Y112">
        <f t="shared" si="53"/>
        <v>2.4</v>
      </c>
      <c r="Z112">
        <f t="shared" si="44"/>
        <v>-1.0369999999999999</v>
      </c>
      <c r="AA112" t="e">
        <f t="shared" ca="1" si="54"/>
        <v>#NAME?</v>
      </c>
      <c r="AB112">
        <f t="shared" si="55"/>
        <v>1</v>
      </c>
      <c r="AC112">
        <f t="shared" si="56"/>
        <v>1.4547771</v>
      </c>
      <c r="AD112">
        <f t="shared" si="47"/>
        <v>1.2708932745599999</v>
      </c>
      <c r="AE112">
        <f t="shared" si="48"/>
        <v>5.9791766723955305E-5</v>
      </c>
      <c r="AF112">
        <f t="shared" si="49"/>
        <v>7.1586307009228653E-4</v>
      </c>
      <c r="AG112">
        <f t="shared" si="57"/>
        <v>0.32735992281365528</v>
      </c>
      <c r="AH112">
        <f t="shared" si="58"/>
        <v>3.9193503087552686</v>
      </c>
      <c r="AI112">
        <f t="shared" si="45"/>
        <v>3.3352615493971198E-3</v>
      </c>
      <c r="AJ112">
        <f t="shared" si="59"/>
        <v>18.260556982949232</v>
      </c>
      <c r="AK112" t="e">
        <f t="shared" ca="1" si="60"/>
        <v>#NAME?</v>
      </c>
      <c r="AL112" t="e">
        <f t="shared" ca="1" si="61"/>
        <v>#NAME?</v>
      </c>
      <c r="BW112" t="s">
        <v>119</v>
      </c>
      <c r="BX112">
        <v>0.77</v>
      </c>
      <c r="BY112">
        <v>0</v>
      </c>
      <c r="BZ112">
        <v>0.66</v>
      </c>
      <c r="CA112">
        <v>0.22</v>
      </c>
      <c r="CB112">
        <v>0</v>
      </c>
      <c r="CC112">
        <v>0</v>
      </c>
      <c r="CD112">
        <v>0.66</v>
      </c>
      <c r="CE112">
        <v>0</v>
      </c>
      <c r="CF112">
        <v>0</v>
      </c>
      <c r="CG112">
        <v>0</v>
      </c>
    </row>
    <row r="113" spans="11:85" x14ac:dyDescent="0.2">
      <c r="L113" t="s">
        <v>120</v>
      </c>
      <c r="M113">
        <v>70</v>
      </c>
      <c r="P113" t="e" cm="1">
        <f t="array" aca="1" ref="P113" ca="1">_xludf.XLOOKUP(K$31,$BX$169:$CG$169,_xludf.XLOOKUP($D$11,$BW$170:$BW$176,$BX$170:$CG$176))</f>
        <v>#NAME?</v>
      </c>
      <c r="Q113" t="e">
        <f t="shared" ca="1" si="50"/>
        <v>#NAME?</v>
      </c>
      <c r="R113">
        <v>0</v>
      </c>
      <c r="S113">
        <v>0</v>
      </c>
      <c r="T113">
        <f t="shared" si="46"/>
        <v>0</v>
      </c>
      <c r="U113">
        <f t="shared" si="51"/>
        <v>1</v>
      </c>
      <c r="V113">
        <f t="shared" si="52"/>
        <v>1</v>
      </c>
      <c r="W113">
        <v>0</v>
      </c>
      <c r="X113">
        <v>0</v>
      </c>
      <c r="Y113">
        <f t="shared" si="53"/>
        <v>0</v>
      </c>
      <c r="Z113">
        <f t="shared" si="44"/>
        <v>-1.0369999999999999</v>
      </c>
      <c r="AA113" t="e">
        <f t="shared" ca="1" si="54"/>
        <v>#NAME?</v>
      </c>
      <c r="AB113">
        <f t="shared" si="55"/>
        <v>1</v>
      </c>
      <c r="AC113">
        <f t="shared" si="56"/>
        <v>1.4042250000000001</v>
      </c>
      <c r="AD113">
        <f t="shared" si="47"/>
        <v>1.22673096</v>
      </c>
      <c r="AE113">
        <f t="shared" si="48"/>
        <v>5.7714060544358416E-5</v>
      </c>
      <c r="AF113">
        <f t="shared" si="49"/>
        <v>6.9098751939409913E-4</v>
      </c>
      <c r="AG113">
        <f t="shared" si="57"/>
        <v>0.36864856172708943</v>
      </c>
      <c r="AH113">
        <f t="shared" si="58"/>
        <v>4.4136827801298084</v>
      </c>
      <c r="AI113">
        <f t="shared" si="45"/>
        <v>3.2193644299200004E-3</v>
      </c>
      <c r="AJ113">
        <f t="shared" si="59"/>
        <v>20.563690296114004</v>
      </c>
      <c r="AK113" t="e">
        <f t="shared" ca="1" si="60"/>
        <v>#NAME?</v>
      </c>
      <c r="AL113" t="e">
        <f t="shared" ca="1" si="61"/>
        <v>#NAME?</v>
      </c>
      <c r="BW113" t="s">
        <v>120</v>
      </c>
      <c r="BX113">
        <v>0.9</v>
      </c>
      <c r="BY113">
        <v>-1.1000000000000001</v>
      </c>
      <c r="BZ113">
        <v>0.7</v>
      </c>
      <c r="CA113">
        <v>0.22</v>
      </c>
      <c r="CB113">
        <v>-0.55000000000000004</v>
      </c>
      <c r="CC113">
        <v>-0.55000000000000004</v>
      </c>
      <c r="CD113">
        <v>0.8</v>
      </c>
      <c r="CE113">
        <v>-0.22</v>
      </c>
      <c r="CF113">
        <v>-0.22</v>
      </c>
      <c r="CG113">
        <v>-0.22</v>
      </c>
    </row>
    <row r="114" spans="11:85" x14ac:dyDescent="0.2">
      <c r="L114" t="s">
        <v>121</v>
      </c>
      <c r="M114">
        <v>80</v>
      </c>
      <c r="P114" t="e" cm="1">
        <f t="array" aca="1" ref="P114" ca="1">_xludf.XLOOKUP(K$31,$BX$169:$CG$169,_xludf.XLOOKUP($D$11,$BW$170:$BW$176,$BX$170:$CG$176))</f>
        <v>#NAME?</v>
      </c>
      <c r="Q114" t="e">
        <f t="shared" ca="1" si="50"/>
        <v>#NAME?</v>
      </c>
      <c r="R114">
        <v>0.4</v>
      </c>
      <c r="S114">
        <v>0</v>
      </c>
      <c r="T114">
        <f t="shared" si="46"/>
        <v>0.4</v>
      </c>
      <c r="U114">
        <f t="shared" si="51"/>
        <v>1.1200000000000001</v>
      </c>
      <c r="V114">
        <f t="shared" si="52"/>
        <v>1.048</v>
      </c>
      <c r="W114">
        <v>0</v>
      </c>
      <c r="X114">
        <v>0</v>
      </c>
      <c r="Y114">
        <f t="shared" si="53"/>
        <v>0</v>
      </c>
      <c r="Z114">
        <f t="shared" si="44"/>
        <v>-1.0369999999999999</v>
      </c>
      <c r="AA114" t="e">
        <f t="shared" ca="1" si="54"/>
        <v>#NAME?</v>
      </c>
      <c r="AB114">
        <f t="shared" si="55"/>
        <v>1</v>
      </c>
      <c r="AC114">
        <f t="shared" si="56"/>
        <v>1.4716278</v>
      </c>
      <c r="AD114">
        <f t="shared" si="47"/>
        <v>1.2856140460800001</v>
      </c>
      <c r="AE114">
        <f t="shared" si="48"/>
        <v>6.0484335450487611E-5</v>
      </c>
      <c r="AF114">
        <f t="shared" si="49"/>
        <v>7.2415492032501592E-4</v>
      </c>
      <c r="AG114">
        <f t="shared" si="57"/>
        <v>0.44153564878855955</v>
      </c>
      <c r="AH114">
        <f t="shared" si="58"/>
        <v>5.2863309183726166</v>
      </c>
      <c r="AI114">
        <f t="shared" si="45"/>
        <v>3.3738939225561606E-3</v>
      </c>
      <c r="AJ114">
        <f t="shared" si="59"/>
        <v>24.629425634659974</v>
      </c>
      <c r="AK114" t="e">
        <f t="shared" ca="1" si="60"/>
        <v>#NAME?</v>
      </c>
      <c r="AL114" t="e">
        <f t="shared" ca="1" si="61"/>
        <v>#NAME?</v>
      </c>
      <c r="BW114" t="s">
        <v>121</v>
      </c>
      <c r="BX114">
        <v>0.88</v>
      </c>
      <c r="BY114">
        <v>0</v>
      </c>
      <c r="BZ114">
        <v>0.77</v>
      </c>
      <c r="CA114">
        <v>0.55000000000000004</v>
      </c>
      <c r="CB114">
        <v>0</v>
      </c>
      <c r="CC114">
        <v>0</v>
      </c>
      <c r="CD114">
        <v>0.82</v>
      </c>
      <c r="CE114">
        <v>0</v>
      </c>
      <c r="CF114">
        <v>0</v>
      </c>
      <c r="CG114">
        <v>0</v>
      </c>
    </row>
    <row r="115" spans="11:85" x14ac:dyDescent="0.2">
      <c r="K115" t="s">
        <v>164</v>
      </c>
      <c r="L115" t="s">
        <v>117</v>
      </c>
      <c r="M115">
        <v>200</v>
      </c>
      <c r="N115" t="e" cm="1">
        <f t="array" aca="1" ref="N115" ca="1">_xludf.XLOOKUP(K115, $BX$46:$CG$46, $BX$47:$CG$50)</f>
        <v>#NAME?</v>
      </c>
      <c r="O115" t="e" cm="1">
        <f t="array" aca="1" ref="O115" ca="1">_xludf.XLOOKUP(K115, $BX$106:$CG$106, $BX$107:$CG$110)</f>
        <v>#NAME?</v>
      </c>
      <c r="P115" t="e" cm="1">
        <f t="array" aca="1" ref="P115" ca="1">_xludf.XLOOKUP(K$35,$BX$169:$CG$169,_xludf.XLOOKUP($D$11,$BW$170:$BW$176,$BX$170:$CG$176))</f>
        <v>#NAME?</v>
      </c>
      <c r="Q115" t="e">
        <f t="shared" ca="1" si="50"/>
        <v>#NAME?</v>
      </c>
      <c r="T115">
        <f t="shared" si="46"/>
        <v>0</v>
      </c>
      <c r="V115">
        <v>1</v>
      </c>
      <c r="W115">
        <f>VLOOKUP($G$91, $CL$17:$CN$25, 2, FALSE)</f>
        <v>6</v>
      </c>
      <c r="X115">
        <v>0</v>
      </c>
      <c r="Y115">
        <f t="shared" si="53"/>
        <v>0</v>
      </c>
      <c r="Z115" t="e">
        <f t="shared" ref="Z115:Z130" ca="1" si="62">0.1604 * ($AM115*100) - 1.037</f>
        <v>#NAME?</v>
      </c>
      <c r="AA115" t="e">
        <f t="shared" ca="1" si="54"/>
        <v>#NAME?</v>
      </c>
      <c r="AB115" t="e">
        <f t="shared" ca="1" si="55"/>
        <v>#NAME?</v>
      </c>
      <c r="AC115" t="e">
        <f t="shared" ca="1" si="56"/>
        <v>#NAME?</v>
      </c>
      <c r="AD115" t="e">
        <f t="shared" ca="1" si="47"/>
        <v>#NAME?</v>
      </c>
      <c r="AE115" t="e">
        <f t="shared" ca="1" si="48"/>
        <v>#NAME?</v>
      </c>
      <c r="AF115" t="e">
        <f t="shared" ca="1" si="49"/>
        <v>#NAME?</v>
      </c>
      <c r="AG115" t="e">
        <f t="shared" ca="1" si="57"/>
        <v>#NAME?</v>
      </c>
      <c r="AH115" t="e">
        <f t="shared" ca="1" si="58"/>
        <v>#NAME?</v>
      </c>
      <c r="AI115" t="e">
        <f t="shared" ref="AI115:AI130" ca="1" si="63">((0.3 * AC115 * $AN115 * (1 - ($AM115 + 0.1)) + (0.105 * $Z115 * $AC115 * 0.008) + (0.0152 * $AC115)) / 6.25) + (0.08 * 0.032 * $W115 / 6.38)</f>
        <v>#NAME?</v>
      </c>
      <c r="AJ115" t="e">
        <f t="shared" ca="1" si="59"/>
        <v>#NAME?</v>
      </c>
      <c r="AK115" t="e">
        <f t="shared" ca="1" si="60"/>
        <v>#NAME?</v>
      </c>
      <c r="AL115" t="e">
        <f t="shared" ca="1" si="61"/>
        <v>#NAME?</v>
      </c>
      <c r="AM115" t="e" cm="1">
        <f t="array" aca="1" ref="AM115" ca="1">_xludf.XLOOKUP(G$91,$BV$17:$CD$17,$BV$18:$CD$21)</f>
        <v>#NAME?</v>
      </c>
      <c r="AN115" t="e" cm="1">
        <f t="array" aca="1" ref="AN115" ca="1">_xludf.XLOOKUP(G$91,$BV$29:$CD$29,$BV$30:$CD$33)</f>
        <v>#NAME?</v>
      </c>
      <c r="BU115" t="s">
        <v>179</v>
      </c>
      <c r="BW115" t="s">
        <v>117</v>
      </c>
      <c r="BX115">
        <v>1</v>
      </c>
      <c r="BY115">
        <v>0.5</v>
      </c>
      <c r="BZ115">
        <v>1</v>
      </c>
      <c r="CA115">
        <v>1</v>
      </c>
      <c r="CB115">
        <v>-0.44</v>
      </c>
      <c r="CC115">
        <v>-0.44</v>
      </c>
      <c r="CD115">
        <v>1</v>
      </c>
      <c r="CE115">
        <v>0.5</v>
      </c>
      <c r="CF115">
        <v>0.5</v>
      </c>
      <c r="CG115">
        <v>0.5</v>
      </c>
    </row>
    <row r="116" spans="11:85" x14ac:dyDescent="0.2">
      <c r="L116" t="s">
        <v>119</v>
      </c>
      <c r="M116">
        <v>130</v>
      </c>
      <c r="P116" t="e" cm="1">
        <f t="array" aca="1" ref="P116" ca="1">_xludf.XLOOKUP(K$35,$BX$169:$CG$169,_xludf.XLOOKUP($D$11,$BW$170:$BW$176,$BX$170:$CG$176))</f>
        <v>#NAME?</v>
      </c>
      <c r="Q116" t="e">
        <f t="shared" ca="1" si="50"/>
        <v>#NAME?</v>
      </c>
      <c r="T116">
        <f t="shared" si="46"/>
        <v>0</v>
      </c>
      <c r="V116">
        <v>1</v>
      </c>
      <c r="W116">
        <f>VLOOKUP($G$91, $CL$17:$CN$25, 3, FALSE)</f>
        <v>4</v>
      </c>
      <c r="X116">
        <v>0</v>
      </c>
      <c r="Y116">
        <f t="shared" si="53"/>
        <v>0</v>
      </c>
      <c r="Z116">
        <f t="shared" si="62"/>
        <v>-1.0369999999999999</v>
      </c>
      <c r="AA116" t="e">
        <f t="shared" ca="1" si="54"/>
        <v>#NAME?</v>
      </c>
      <c r="AB116">
        <f t="shared" si="55"/>
        <v>1</v>
      </c>
      <c r="AC116">
        <f t="shared" si="56"/>
        <v>1.4042250000000001</v>
      </c>
      <c r="AD116">
        <f t="shared" si="47"/>
        <v>1.22673096</v>
      </c>
      <c r="AE116">
        <f t="shared" si="48"/>
        <v>5.7714060544358416E-5</v>
      </c>
      <c r="AF116">
        <f t="shared" si="49"/>
        <v>6.9098751939409913E-4</v>
      </c>
      <c r="AG116">
        <f t="shared" si="57"/>
        <v>0.68463304320745177</v>
      </c>
      <c r="AH116">
        <f t="shared" si="58"/>
        <v>8.1968394488125007</v>
      </c>
      <c r="AI116">
        <f t="shared" si="63"/>
        <v>4.824380103901192E-3</v>
      </c>
      <c r="AJ116">
        <f t="shared" si="59"/>
        <v>57.229208982527886</v>
      </c>
      <c r="AK116" t="e">
        <f t="shared" ca="1" si="60"/>
        <v>#NAME?</v>
      </c>
      <c r="AL116" t="e">
        <f t="shared" ca="1" si="61"/>
        <v>#NAME?</v>
      </c>
      <c r="BW116" t="s">
        <v>119</v>
      </c>
      <c r="BX116">
        <v>0.82</v>
      </c>
      <c r="BY116">
        <v>0.55000000000000004</v>
      </c>
      <c r="BZ116">
        <v>0.71</v>
      </c>
      <c r="CA116">
        <v>0.55000000000000004</v>
      </c>
      <c r="CB116">
        <v>0.99</v>
      </c>
      <c r="CC116">
        <v>0.99</v>
      </c>
      <c r="CD116">
        <v>0.77</v>
      </c>
      <c r="CE116">
        <v>0.5</v>
      </c>
      <c r="CF116">
        <v>0.5</v>
      </c>
      <c r="CG116">
        <v>0.5</v>
      </c>
    </row>
    <row r="117" spans="11:85" x14ac:dyDescent="0.2">
      <c r="L117" t="s">
        <v>120</v>
      </c>
      <c r="M117">
        <v>250</v>
      </c>
      <c r="P117" t="e" cm="1">
        <f t="array" aca="1" ref="P117" ca="1">_xludf.XLOOKUP(K$35,$BX$169:$CG$169,_xludf.XLOOKUP($D$11,$BW$170:$BW$176,$BX$170:$CG$176))</f>
        <v>#NAME?</v>
      </c>
      <c r="Q117" t="e">
        <f t="shared" ca="1" si="50"/>
        <v>#NAME?</v>
      </c>
      <c r="T117">
        <f t="shared" si="46"/>
        <v>0</v>
      </c>
      <c r="V117">
        <v>1</v>
      </c>
      <c r="W117">
        <v>0</v>
      </c>
      <c r="X117">
        <v>0</v>
      </c>
      <c r="Y117">
        <f t="shared" si="53"/>
        <v>0</v>
      </c>
      <c r="Z117">
        <f t="shared" si="62"/>
        <v>-1.0369999999999999</v>
      </c>
      <c r="AA117" t="e">
        <f t="shared" ca="1" si="54"/>
        <v>#NAME?</v>
      </c>
      <c r="AB117">
        <f t="shared" si="55"/>
        <v>1</v>
      </c>
      <c r="AC117">
        <f t="shared" si="56"/>
        <v>1.4042250000000001</v>
      </c>
      <c r="AD117">
        <f t="shared" si="47"/>
        <v>1.22673096</v>
      </c>
      <c r="AE117">
        <f t="shared" si="48"/>
        <v>5.7714060544358416E-5</v>
      </c>
      <c r="AF117">
        <f t="shared" si="49"/>
        <v>6.9098751939409913E-4</v>
      </c>
      <c r="AG117">
        <f t="shared" si="57"/>
        <v>1.3166020061681765</v>
      </c>
      <c r="AH117">
        <f t="shared" si="58"/>
        <v>15.763152786177885</v>
      </c>
      <c r="AI117">
        <f t="shared" si="63"/>
        <v>3.2193644299200004E-3</v>
      </c>
      <c r="AJ117">
        <f t="shared" si="59"/>
        <v>73.441751057550007</v>
      </c>
      <c r="AK117" t="e">
        <f t="shared" ca="1" si="60"/>
        <v>#NAME?</v>
      </c>
      <c r="AL117" t="e">
        <f t="shared" ca="1" si="61"/>
        <v>#NAME?</v>
      </c>
      <c r="BW117" t="s">
        <v>120</v>
      </c>
      <c r="BX117">
        <v>0.77</v>
      </c>
      <c r="BY117">
        <v>0.5</v>
      </c>
      <c r="BZ117">
        <v>0.55000000000000004</v>
      </c>
      <c r="CA117">
        <v>0.11</v>
      </c>
      <c r="CB117">
        <v>-0.33</v>
      </c>
      <c r="CC117">
        <v>-0.33</v>
      </c>
      <c r="CD117">
        <v>0.6</v>
      </c>
      <c r="CE117">
        <v>0.33</v>
      </c>
      <c r="CF117">
        <v>0.33</v>
      </c>
      <c r="CG117">
        <v>0.33</v>
      </c>
    </row>
    <row r="118" spans="11:85" x14ac:dyDescent="0.2">
      <c r="L118" t="s">
        <v>121</v>
      </c>
      <c r="M118">
        <v>150</v>
      </c>
      <c r="P118" t="e" cm="1">
        <f t="array" aca="1" ref="P118" ca="1">_xludf.XLOOKUP(K$35,$BX$169:$CG$169,_xludf.XLOOKUP($D$11,$BW$170:$BW$176,$BX$170:$CG$176))</f>
        <v>#NAME?</v>
      </c>
      <c r="Q118" t="e">
        <f t="shared" ca="1" si="50"/>
        <v>#NAME?</v>
      </c>
      <c r="V118">
        <v>1</v>
      </c>
      <c r="W118">
        <v>0</v>
      </c>
      <c r="X118">
        <v>0</v>
      </c>
      <c r="Y118">
        <f t="shared" si="53"/>
        <v>0</v>
      </c>
      <c r="Z118">
        <f t="shared" si="62"/>
        <v>-1.0369999999999999</v>
      </c>
      <c r="AA118" t="e">
        <f t="shared" ca="1" si="54"/>
        <v>#NAME?</v>
      </c>
      <c r="AB118">
        <f t="shared" si="55"/>
        <v>1</v>
      </c>
      <c r="AC118">
        <f t="shared" si="56"/>
        <v>1.4042250000000001</v>
      </c>
      <c r="AD118">
        <f t="shared" si="47"/>
        <v>1.22673096</v>
      </c>
      <c r="AE118">
        <f t="shared" si="48"/>
        <v>5.7714060544358416E-5</v>
      </c>
      <c r="AF118">
        <f t="shared" si="49"/>
        <v>6.9098751939409913E-4</v>
      </c>
      <c r="AG118">
        <f t="shared" si="57"/>
        <v>0.78996120370090595</v>
      </c>
      <c r="AH118">
        <f t="shared" si="58"/>
        <v>9.457891671706733</v>
      </c>
      <c r="AI118">
        <f t="shared" si="63"/>
        <v>3.2193644299200004E-3</v>
      </c>
      <c r="AJ118">
        <f t="shared" si="59"/>
        <v>44.065050634530003</v>
      </c>
      <c r="AK118" t="e">
        <f t="shared" ca="1" si="60"/>
        <v>#NAME?</v>
      </c>
      <c r="AL118" t="e">
        <f t="shared" ca="1" si="61"/>
        <v>#NAME?</v>
      </c>
      <c r="BW118" t="s">
        <v>121</v>
      </c>
      <c r="BX118">
        <v>0.11</v>
      </c>
      <c r="BY118">
        <v>-0.27</v>
      </c>
      <c r="BZ118">
        <v>0.11</v>
      </c>
      <c r="CA118">
        <v>0.22</v>
      </c>
      <c r="CB118">
        <v>-0.44</v>
      </c>
      <c r="CC118">
        <v>-0.44</v>
      </c>
      <c r="CD118">
        <v>0.16</v>
      </c>
      <c r="CE118">
        <v>-0.22</v>
      </c>
      <c r="CF118">
        <v>-0.22</v>
      </c>
      <c r="CG118">
        <v>-0.22</v>
      </c>
    </row>
    <row r="119" spans="11:85" x14ac:dyDescent="0.2">
      <c r="K119" t="s">
        <v>169</v>
      </c>
      <c r="L119" t="s">
        <v>117</v>
      </c>
      <c r="N119" t="e" cm="1">
        <f t="array" aca="1" ref="N119" ca="1">_xludf.XLOOKUP(K119, $BX$46:$CG$46, $BX$47:$CG$50)</f>
        <v>#NAME?</v>
      </c>
      <c r="O119" t="e" cm="1">
        <f t="array" aca="1" ref="O119" ca="1">_xludf.XLOOKUP(K119, $BX$106:$CG$106, $BX$107:$CG$110)</f>
        <v>#NAME?</v>
      </c>
      <c r="P119" t="e" cm="1">
        <f t="array" aca="1" ref="P119" ca="1">_xludf.XLOOKUP(K$39,$BX$169:$CG$169,_xludf.XLOOKUP($D$11,$BW$170:$BW$176,$BX$170:$CG$176))</f>
        <v>#NAME?</v>
      </c>
      <c r="Q119" t="e">
        <f t="shared" ca="1" si="50"/>
        <v>#NAME?</v>
      </c>
      <c r="V119">
        <v>1</v>
      </c>
      <c r="W119">
        <v>0</v>
      </c>
      <c r="X119">
        <v>0</v>
      </c>
      <c r="Y119">
        <f t="shared" si="53"/>
        <v>0</v>
      </c>
      <c r="Z119" t="e">
        <f t="shared" ca="1" si="62"/>
        <v>#NAME?</v>
      </c>
      <c r="AA119" t="e">
        <f t="shared" ca="1" si="54"/>
        <v>#NAME?</v>
      </c>
      <c r="AB119" t="e">
        <f t="shared" ca="1" si="55"/>
        <v>#NAME?</v>
      </c>
      <c r="AC119" t="e">
        <f t="shared" ca="1" si="56"/>
        <v>#NAME?</v>
      </c>
      <c r="AD119" t="e">
        <f t="shared" ca="1" si="47"/>
        <v>#NAME?</v>
      </c>
      <c r="AE119" t="e">
        <f t="shared" ca="1" si="48"/>
        <v>#NAME?</v>
      </c>
      <c r="AF119" t="e">
        <f t="shared" ca="1" si="49"/>
        <v>#NAME?</v>
      </c>
      <c r="AG119" t="e">
        <f t="shared" ca="1" si="57"/>
        <v>#NAME?</v>
      </c>
      <c r="AH119" t="e">
        <f t="shared" ca="1" si="58"/>
        <v>#NAME?</v>
      </c>
      <c r="AI119" t="e">
        <f t="shared" ca="1" si="63"/>
        <v>#NAME?</v>
      </c>
      <c r="AJ119" t="e">
        <f t="shared" ca="1" si="59"/>
        <v>#NAME?</v>
      </c>
      <c r="AK119" t="e">
        <f t="shared" ca="1" si="60"/>
        <v>#NAME?</v>
      </c>
      <c r="AL119" t="e">
        <f t="shared" ca="1" si="61"/>
        <v>#NAME?</v>
      </c>
      <c r="AM119" t="e" cm="1">
        <f t="array" aca="1" ref="AM119" ca="1">_xludf.XLOOKUP(G$91,$BV$17:$CD$17,$BV$18:$CD$21)</f>
        <v>#NAME?</v>
      </c>
      <c r="AN119" t="e" cm="1">
        <f t="array" aca="1" ref="AN119" ca="1">_xludf.XLOOKUP(G$91,$BV$29:$CD$29,$BV$30:$CD$33)</f>
        <v>#NAME?</v>
      </c>
      <c r="BU119" t="s">
        <v>180</v>
      </c>
      <c r="BW119" t="s">
        <v>117</v>
      </c>
      <c r="BX119">
        <v>1.1000000000000001</v>
      </c>
      <c r="BY119">
        <v>1.1000000000000001</v>
      </c>
      <c r="BZ119">
        <v>1.1000000000000001</v>
      </c>
      <c r="CA119">
        <v>0.99</v>
      </c>
      <c r="CB119">
        <v>0.99</v>
      </c>
      <c r="CC119">
        <v>0.99</v>
      </c>
      <c r="CD119">
        <v>1.1000000000000001</v>
      </c>
      <c r="CE119">
        <v>0.77</v>
      </c>
      <c r="CF119">
        <v>0.77</v>
      </c>
      <c r="CG119">
        <v>0.77</v>
      </c>
    </row>
    <row r="120" spans="11:85" x14ac:dyDescent="0.2">
      <c r="L120" t="s">
        <v>119</v>
      </c>
      <c r="P120" t="e" cm="1">
        <f t="array" aca="1" ref="P120" ca="1">_xludf.XLOOKUP(K$39,$BX$169:$CG$169,_xludf.XLOOKUP($D$11,$BW$170:$BW$176,$BX$170:$CG$176))</f>
        <v>#NAME?</v>
      </c>
      <c r="Q120" t="e">
        <f t="shared" ca="1" si="50"/>
        <v>#NAME?</v>
      </c>
      <c r="V120">
        <v>1</v>
      </c>
      <c r="W120">
        <v>0</v>
      </c>
      <c r="X120">
        <v>0</v>
      </c>
      <c r="Y120">
        <f t="shared" si="53"/>
        <v>0</v>
      </c>
      <c r="Z120">
        <f t="shared" si="62"/>
        <v>-1.0369999999999999</v>
      </c>
      <c r="AA120" t="e">
        <f t="shared" ca="1" si="54"/>
        <v>#NAME?</v>
      </c>
      <c r="AB120">
        <f t="shared" si="55"/>
        <v>1</v>
      </c>
      <c r="AC120">
        <f t="shared" si="56"/>
        <v>1.4042250000000001</v>
      </c>
      <c r="AD120">
        <f t="shared" si="47"/>
        <v>1.22673096</v>
      </c>
      <c r="AE120">
        <f t="shared" si="48"/>
        <v>5.7714060544358416E-5</v>
      </c>
      <c r="AF120">
        <f t="shared" si="49"/>
        <v>6.9098751939409913E-4</v>
      </c>
      <c r="AG120">
        <f t="shared" si="57"/>
        <v>0</v>
      </c>
      <c r="AH120">
        <f t="shared" si="58"/>
        <v>0</v>
      </c>
      <c r="AI120">
        <f t="shared" si="63"/>
        <v>3.2193644299200004E-3</v>
      </c>
      <c r="AJ120">
        <f t="shared" si="59"/>
        <v>0</v>
      </c>
      <c r="AK120" t="e">
        <f t="shared" ca="1" si="60"/>
        <v>#NAME?</v>
      </c>
      <c r="AL120" t="e">
        <f t="shared" ca="1" si="61"/>
        <v>#NAME?</v>
      </c>
      <c r="BW120" t="s">
        <v>119</v>
      </c>
      <c r="BX120">
        <v>0.33</v>
      </c>
      <c r="BY120">
        <v>0.33</v>
      </c>
      <c r="BZ120">
        <v>0.22</v>
      </c>
      <c r="CA120">
        <v>0.33</v>
      </c>
      <c r="CB120">
        <v>-0.1</v>
      </c>
      <c r="CC120">
        <v>-0.1</v>
      </c>
      <c r="CD120">
        <v>0.33</v>
      </c>
      <c r="CE120">
        <v>0.11</v>
      </c>
      <c r="CF120">
        <v>0.11</v>
      </c>
      <c r="CG120">
        <v>0.11</v>
      </c>
    </row>
    <row r="121" spans="11:85" x14ac:dyDescent="0.2">
      <c r="L121" t="s">
        <v>120</v>
      </c>
      <c r="P121" t="e" cm="1">
        <f t="array" aca="1" ref="P121" ca="1">_xludf.XLOOKUP(K$39,$BX$169:$CG$169,_xludf.XLOOKUP($D$11,$BW$170:$BW$176,$BX$170:$CG$176))</f>
        <v>#NAME?</v>
      </c>
      <c r="Q121" t="e">
        <f t="shared" ca="1" si="50"/>
        <v>#NAME?</v>
      </c>
      <c r="V121">
        <v>1</v>
      </c>
      <c r="W121">
        <v>0</v>
      </c>
      <c r="X121">
        <v>0</v>
      </c>
      <c r="Y121">
        <f t="shared" si="53"/>
        <v>0</v>
      </c>
      <c r="Z121">
        <f t="shared" si="62"/>
        <v>-1.0369999999999999</v>
      </c>
      <c r="AA121" t="e">
        <f t="shared" ca="1" si="54"/>
        <v>#NAME?</v>
      </c>
      <c r="AB121">
        <f t="shared" si="55"/>
        <v>1</v>
      </c>
      <c r="AC121">
        <f t="shared" si="56"/>
        <v>1.4042250000000001</v>
      </c>
      <c r="AD121">
        <f t="shared" si="47"/>
        <v>1.22673096</v>
      </c>
      <c r="AE121">
        <f t="shared" si="48"/>
        <v>5.7714060544358416E-5</v>
      </c>
      <c r="AF121">
        <f t="shared" si="49"/>
        <v>6.9098751939409913E-4</v>
      </c>
      <c r="AG121">
        <f t="shared" si="57"/>
        <v>0</v>
      </c>
      <c r="AH121">
        <f t="shared" si="58"/>
        <v>0</v>
      </c>
      <c r="AI121">
        <f t="shared" si="63"/>
        <v>3.2193644299200004E-3</v>
      </c>
      <c r="AJ121">
        <f t="shared" si="59"/>
        <v>0</v>
      </c>
      <c r="AK121" t="e">
        <f t="shared" ca="1" si="60"/>
        <v>#NAME?</v>
      </c>
      <c r="AL121" t="e">
        <f t="shared" ca="1" si="61"/>
        <v>#NAME?</v>
      </c>
      <c r="BW121" t="s">
        <v>120</v>
      </c>
      <c r="BX121">
        <v>0.5</v>
      </c>
      <c r="BY121">
        <v>0.2</v>
      </c>
      <c r="BZ121">
        <v>0.55000000000000004</v>
      </c>
      <c r="CA121">
        <v>0.44</v>
      </c>
      <c r="CB121">
        <v>0.2</v>
      </c>
      <c r="CC121">
        <v>0.2</v>
      </c>
      <c r="CD121">
        <v>0.55000000000000004</v>
      </c>
      <c r="CE121">
        <v>0.2</v>
      </c>
      <c r="CF121">
        <v>0.2</v>
      </c>
      <c r="CG121">
        <v>0.2</v>
      </c>
    </row>
    <row r="122" spans="11:85" x14ac:dyDescent="0.2">
      <c r="L122" t="s">
        <v>121</v>
      </c>
      <c r="P122" t="e" cm="1">
        <f t="array" aca="1" ref="P122" ca="1">_xludf.XLOOKUP(K$39,$BX$169:$CG$169,_xludf.XLOOKUP($D$11,$BW$170:$BW$176,$BX$170:$CG$176))</f>
        <v>#NAME?</v>
      </c>
      <c r="Q122" t="e">
        <f t="shared" ca="1" si="50"/>
        <v>#NAME?</v>
      </c>
      <c r="V122">
        <v>1</v>
      </c>
      <c r="W122">
        <v>0</v>
      </c>
      <c r="X122">
        <v>0</v>
      </c>
      <c r="Y122">
        <f t="shared" si="53"/>
        <v>0</v>
      </c>
      <c r="Z122">
        <f t="shared" si="62"/>
        <v>-1.0369999999999999</v>
      </c>
      <c r="AA122" t="e">
        <f t="shared" ca="1" si="54"/>
        <v>#NAME?</v>
      </c>
      <c r="AB122">
        <f t="shared" si="55"/>
        <v>1</v>
      </c>
      <c r="AC122">
        <f t="shared" si="56"/>
        <v>1.4042250000000001</v>
      </c>
      <c r="AD122">
        <f t="shared" si="47"/>
        <v>1.22673096</v>
      </c>
      <c r="AE122">
        <f t="shared" si="48"/>
        <v>5.7714060544358416E-5</v>
      </c>
      <c r="AF122">
        <f t="shared" si="49"/>
        <v>6.9098751939409913E-4</v>
      </c>
      <c r="AG122">
        <f t="shared" si="57"/>
        <v>0</v>
      </c>
      <c r="AH122">
        <f t="shared" si="58"/>
        <v>0</v>
      </c>
      <c r="AI122">
        <f t="shared" si="63"/>
        <v>3.2193644299200004E-3</v>
      </c>
      <c r="AJ122">
        <f t="shared" si="59"/>
        <v>0</v>
      </c>
      <c r="AK122" t="e">
        <f t="shared" ca="1" si="60"/>
        <v>#NAME?</v>
      </c>
      <c r="AL122" t="e">
        <f t="shared" ca="1" si="61"/>
        <v>#NAME?</v>
      </c>
      <c r="BW122" t="s">
        <v>121</v>
      </c>
      <c r="BX122">
        <v>0.55000000000000004</v>
      </c>
      <c r="BY122">
        <v>0.22</v>
      </c>
      <c r="BZ122">
        <v>0.49</v>
      </c>
      <c r="CA122">
        <v>0.22</v>
      </c>
      <c r="CB122">
        <v>0.22</v>
      </c>
      <c r="CC122">
        <v>0.22</v>
      </c>
      <c r="CD122">
        <v>0.49</v>
      </c>
      <c r="CE122">
        <v>0.33</v>
      </c>
      <c r="CF122">
        <v>0.33</v>
      </c>
      <c r="CG122">
        <v>0.33</v>
      </c>
    </row>
    <row r="123" spans="11:85" x14ac:dyDescent="0.2">
      <c r="K123" t="s">
        <v>171</v>
      </c>
      <c r="L123" t="s">
        <v>117</v>
      </c>
      <c r="N123" t="e" cm="1">
        <f t="array" aca="1" ref="N123" ca="1">_xludf.XLOOKUP(K123, $BX$46:$CG$46, $BX$47:$CG$50)</f>
        <v>#NAME?</v>
      </c>
      <c r="O123" t="e" cm="1">
        <f t="array" aca="1" ref="O123" ca="1">_xludf.XLOOKUP(K123, $BX$106:$CG$106, $BX$107:$CG$110)</f>
        <v>#NAME?</v>
      </c>
      <c r="P123" t="e" cm="1">
        <f t="array" aca="1" ref="P123" ca="1">_xludf.XLOOKUP(K$43,$BX$169:$CG$169,_xludf.XLOOKUP($D$11,$BW$170:$BW$176,$BX$170:$CG$176))</f>
        <v>#NAME?</v>
      </c>
      <c r="Q123" t="e">
        <f t="shared" ca="1" si="50"/>
        <v>#NAME?</v>
      </c>
      <c r="V123">
        <v>1</v>
      </c>
      <c r="W123">
        <v>0</v>
      </c>
      <c r="X123">
        <v>0</v>
      </c>
      <c r="Y123">
        <f t="shared" si="53"/>
        <v>0</v>
      </c>
      <c r="Z123" t="e">
        <f t="shared" ca="1" si="62"/>
        <v>#NAME?</v>
      </c>
      <c r="AA123" t="e">
        <f t="shared" ca="1" si="54"/>
        <v>#NAME?</v>
      </c>
      <c r="AB123" t="e">
        <f t="shared" ca="1" si="55"/>
        <v>#NAME?</v>
      </c>
      <c r="AC123" t="e">
        <f t="shared" ca="1" si="56"/>
        <v>#NAME?</v>
      </c>
      <c r="AD123" t="e">
        <f t="shared" ca="1" si="47"/>
        <v>#NAME?</v>
      </c>
      <c r="AE123" t="e">
        <f t="shared" ca="1" si="48"/>
        <v>#NAME?</v>
      </c>
      <c r="AF123" t="e">
        <f t="shared" ca="1" si="49"/>
        <v>#NAME?</v>
      </c>
      <c r="AG123" t="e">
        <f t="shared" ca="1" si="57"/>
        <v>#NAME?</v>
      </c>
      <c r="AH123" t="e">
        <f t="shared" ca="1" si="58"/>
        <v>#NAME?</v>
      </c>
      <c r="AI123" t="e">
        <f t="shared" ca="1" si="63"/>
        <v>#NAME?</v>
      </c>
      <c r="AJ123" t="e">
        <f t="shared" ca="1" si="59"/>
        <v>#NAME?</v>
      </c>
      <c r="AK123" t="e">
        <f t="shared" ca="1" si="60"/>
        <v>#NAME?</v>
      </c>
      <c r="AL123" t="e">
        <f t="shared" ca="1" si="61"/>
        <v>#NAME?</v>
      </c>
      <c r="AM123" t="e" cm="1">
        <f t="array" aca="1" ref="AM123" ca="1">_xludf.XLOOKUP(G$91,$BV$17:$CD$17,$BV$18:$CD$21)</f>
        <v>#NAME?</v>
      </c>
      <c r="AN123" t="e" cm="1">
        <f t="array" aca="1" ref="AN123" ca="1">_xludf.XLOOKUP(G$91,$BV$29:$CD$29,$BV$30:$CD$33)</f>
        <v>#NAME?</v>
      </c>
      <c r="BU123" t="s">
        <v>148</v>
      </c>
      <c r="BV123" t="s">
        <v>136</v>
      </c>
      <c r="BW123" t="s">
        <v>117</v>
      </c>
      <c r="BX123">
        <v>1.64</v>
      </c>
      <c r="BY123">
        <v>1.1000000000000001</v>
      </c>
      <c r="BZ123">
        <v>1.21</v>
      </c>
      <c r="CA123">
        <v>0.99</v>
      </c>
      <c r="CB123">
        <v>0.66</v>
      </c>
      <c r="CC123">
        <v>0.66</v>
      </c>
      <c r="CD123">
        <v>1.42</v>
      </c>
      <c r="CE123">
        <v>1.1000000000000001</v>
      </c>
      <c r="CF123">
        <v>1.1000000000000001</v>
      </c>
      <c r="CG123">
        <v>1.1000000000000001</v>
      </c>
    </row>
    <row r="124" spans="11:85" x14ac:dyDescent="0.2">
      <c r="L124" t="s">
        <v>119</v>
      </c>
      <c r="P124" t="e" cm="1">
        <f t="array" aca="1" ref="P124" ca="1">_xludf.XLOOKUP(K$43,$BX$169:$CG$169,_xludf.XLOOKUP($D$11,$BW$170:$BW$176,$BX$170:$CG$176))</f>
        <v>#NAME?</v>
      </c>
      <c r="Q124" t="e">
        <f t="shared" ca="1" si="50"/>
        <v>#NAME?</v>
      </c>
      <c r="V124">
        <v>1</v>
      </c>
      <c r="W124">
        <v>0</v>
      </c>
      <c r="X124">
        <v>0</v>
      </c>
      <c r="Y124">
        <f t="shared" si="53"/>
        <v>0</v>
      </c>
      <c r="Z124">
        <f t="shared" si="62"/>
        <v>-1.0369999999999999</v>
      </c>
      <c r="AA124" t="e">
        <f t="shared" ca="1" si="54"/>
        <v>#NAME?</v>
      </c>
      <c r="AB124">
        <f t="shared" si="55"/>
        <v>1</v>
      </c>
      <c r="AC124">
        <f t="shared" si="56"/>
        <v>1.4042250000000001</v>
      </c>
      <c r="AD124">
        <f t="shared" si="47"/>
        <v>1.22673096</v>
      </c>
      <c r="AE124">
        <f t="shared" si="48"/>
        <v>5.7714060544358416E-5</v>
      </c>
      <c r="AF124">
        <f t="shared" si="49"/>
        <v>6.9098751939409913E-4</v>
      </c>
      <c r="AG124">
        <f t="shared" si="57"/>
        <v>0</v>
      </c>
      <c r="AH124">
        <f t="shared" si="58"/>
        <v>0</v>
      </c>
      <c r="AI124">
        <f t="shared" si="63"/>
        <v>3.2193644299200004E-3</v>
      </c>
      <c r="AJ124">
        <f t="shared" si="59"/>
        <v>0</v>
      </c>
      <c r="AK124" t="e">
        <f t="shared" ca="1" si="60"/>
        <v>#NAME?</v>
      </c>
      <c r="AL124" t="e">
        <f t="shared" ca="1" si="61"/>
        <v>#NAME?</v>
      </c>
      <c r="BW124" t="s">
        <v>119</v>
      </c>
      <c r="BX124">
        <v>0.44</v>
      </c>
      <c r="BY124">
        <v>-0.22</v>
      </c>
      <c r="BZ124">
        <v>0.44</v>
      </c>
      <c r="CA124">
        <v>0.33</v>
      </c>
      <c r="CB124">
        <v>-0.22</v>
      </c>
      <c r="CC124">
        <v>-0.22</v>
      </c>
      <c r="CD124">
        <v>0.44</v>
      </c>
      <c r="CE124">
        <v>-0.11</v>
      </c>
      <c r="CF124">
        <v>-0.11</v>
      </c>
      <c r="CG124">
        <v>-0.11</v>
      </c>
    </row>
    <row r="125" spans="11:85" x14ac:dyDescent="0.2">
      <c r="L125" t="s">
        <v>120</v>
      </c>
      <c r="P125" t="e" cm="1">
        <f t="array" aca="1" ref="P125" ca="1">_xludf.XLOOKUP(K$43,$BX$169:$CG$169,_xludf.XLOOKUP($D$11,$BW$170:$BW$176,$BX$170:$CG$176))</f>
        <v>#NAME?</v>
      </c>
      <c r="Q125" t="e">
        <f t="shared" ca="1" si="50"/>
        <v>#NAME?</v>
      </c>
      <c r="V125">
        <v>1</v>
      </c>
      <c r="W125">
        <v>0</v>
      </c>
      <c r="X125">
        <v>0</v>
      </c>
      <c r="Y125">
        <f t="shared" si="53"/>
        <v>0</v>
      </c>
      <c r="Z125">
        <f t="shared" si="62"/>
        <v>-1.0369999999999999</v>
      </c>
      <c r="AA125" t="e">
        <f t="shared" ca="1" si="54"/>
        <v>#NAME?</v>
      </c>
      <c r="AB125">
        <f t="shared" si="55"/>
        <v>1</v>
      </c>
      <c r="AC125">
        <f t="shared" si="56"/>
        <v>1.4042250000000001</v>
      </c>
      <c r="AD125">
        <f t="shared" si="47"/>
        <v>1.22673096</v>
      </c>
      <c r="AE125">
        <f t="shared" si="48"/>
        <v>5.7714060544358416E-5</v>
      </c>
      <c r="AF125">
        <f t="shared" si="49"/>
        <v>6.9098751939409913E-4</v>
      </c>
      <c r="AG125">
        <f t="shared" si="57"/>
        <v>0</v>
      </c>
      <c r="AH125">
        <f t="shared" si="58"/>
        <v>0</v>
      </c>
      <c r="AI125">
        <f t="shared" si="63"/>
        <v>3.2193644299200004E-3</v>
      </c>
      <c r="AJ125">
        <f t="shared" si="59"/>
        <v>0</v>
      </c>
      <c r="AK125" t="e">
        <f t="shared" ca="1" si="60"/>
        <v>#NAME?</v>
      </c>
      <c r="AL125" t="e">
        <f t="shared" ca="1" si="61"/>
        <v>#NAME?</v>
      </c>
      <c r="BW125" t="s">
        <v>120</v>
      </c>
      <c r="BX125">
        <v>0.6</v>
      </c>
      <c r="BY125">
        <v>0</v>
      </c>
      <c r="BZ125">
        <v>0.6</v>
      </c>
      <c r="CA125">
        <v>0.22</v>
      </c>
      <c r="CB125">
        <v>-0.55000000000000004</v>
      </c>
      <c r="CC125">
        <v>-0.55000000000000004</v>
      </c>
      <c r="CD125">
        <v>0.6</v>
      </c>
      <c r="CE125">
        <v>0</v>
      </c>
      <c r="CF125">
        <v>0</v>
      </c>
      <c r="CG125">
        <v>0</v>
      </c>
    </row>
    <row r="126" spans="11:85" x14ac:dyDescent="0.2">
      <c r="L126" t="s">
        <v>121</v>
      </c>
      <c r="P126" t="e" cm="1">
        <f t="array" aca="1" ref="P126" ca="1">_xludf.XLOOKUP(K$43,$BX$169:$CG$169,_xludf.XLOOKUP($D$11,$BW$170:$BW$176,$BX$170:$CG$176))</f>
        <v>#NAME?</v>
      </c>
      <c r="Q126" t="e">
        <f t="shared" ca="1" si="50"/>
        <v>#NAME?</v>
      </c>
      <c r="V126">
        <v>1</v>
      </c>
      <c r="W126">
        <v>0</v>
      </c>
      <c r="X126">
        <v>0</v>
      </c>
      <c r="Y126">
        <f t="shared" si="53"/>
        <v>0</v>
      </c>
      <c r="Z126">
        <f t="shared" si="62"/>
        <v>-1.0369999999999999</v>
      </c>
      <c r="AA126" t="e">
        <f t="shared" ca="1" si="54"/>
        <v>#NAME?</v>
      </c>
      <c r="AB126">
        <f t="shared" si="55"/>
        <v>1</v>
      </c>
      <c r="AC126">
        <f t="shared" si="56"/>
        <v>1.4042250000000001</v>
      </c>
      <c r="AD126">
        <f t="shared" si="47"/>
        <v>1.22673096</v>
      </c>
      <c r="AE126">
        <f t="shared" si="48"/>
        <v>5.7714060544358416E-5</v>
      </c>
      <c r="AF126">
        <f t="shared" si="49"/>
        <v>6.9098751939409913E-4</v>
      </c>
      <c r="AG126">
        <f t="shared" si="57"/>
        <v>0</v>
      </c>
      <c r="AH126">
        <f t="shared" si="58"/>
        <v>0</v>
      </c>
      <c r="AI126">
        <f t="shared" si="63"/>
        <v>3.2193644299200004E-3</v>
      </c>
      <c r="AJ126">
        <f t="shared" si="59"/>
        <v>0</v>
      </c>
      <c r="AK126" t="e">
        <f t="shared" ca="1" si="60"/>
        <v>#NAME?</v>
      </c>
      <c r="AL126" t="e">
        <f t="shared" ca="1" si="61"/>
        <v>#NAME?</v>
      </c>
      <c r="BW126" t="s">
        <v>121</v>
      </c>
      <c r="BX126">
        <v>0.99</v>
      </c>
      <c r="BY126">
        <v>0.22</v>
      </c>
      <c r="BZ126">
        <v>0.77</v>
      </c>
      <c r="CA126">
        <v>0.11</v>
      </c>
      <c r="CB126">
        <v>0.11</v>
      </c>
      <c r="CC126">
        <v>0.11</v>
      </c>
      <c r="CD126">
        <v>0.77</v>
      </c>
      <c r="CE126">
        <v>0.44</v>
      </c>
      <c r="CF126">
        <v>0.44</v>
      </c>
      <c r="CG126">
        <v>0.44</v>
      </c>
    </row>
    <row r="127" spans="11:85" x14ac:dyDescent="0.2">
      <c r="K127" t="s">
        <v>176</v>
      </c>
      <c r="L127" t="s">
        <v>117</v>
      </c>
      <c r="N127" t="e" cm="1">
        <f t="array" aca="1" ref="N127" ca="1">_xludf.XLOOKUP(K127, $BX$46:$CG$46, $BX$47:$CG$50)</f>
        <v>#NAME?</v>
      </c>
      <c r="O127" t="e" cm="1">
        <f t="array" aca="1" ref="O127" ca="1">_xludf.XLOOKUP(K127, $BX$106:$CG$106, $BX$107:$CG$110)</f>
        <v>#NAME?</v>
      </c>
      <c r="P127" t="e" cm="1">
        <f t="array" aca="1" ref="P127" ca="1">_xludf.XLOOKUP(K$47,$BX$169:$CG$169,_xludf.XLOOKUP($D$11,$BW$170:$BW$176,$BX$170:$CG$176))</f>
        <v>#NAME?</v>
      </c>
      <c r="Q127" t="e">
        <f t="shared" ca="1" si="50"/>
        <v>#NAME?</v>
      </c>
      <c r="V127">
        <v>1</v>
      </c>
      <c r="W127">
        <v>0</v>
      </c>
      <c r="X127">
        <v>0</v>
      </c>
      <c r="Y127">
        <f t="shared" si="53"/>
        <v>0</v>
      </c>
      <c r="Z127" t="e">
        <f t="shared" ca="1" si="62"/>
        <v>#NAME?</v>
      </c>
      <c r="AA127" t="e">
        <f t="shared" ca="1" si="54"/>
        <v>#NAME?</v>
      </c>
      <c r="AB127" t="e">
        <f t="shared" ca="1" si="55"/>
        <v>#NAME?</v>
      </c>
      <c r="AC127" t="e">
        <f t="shared" ca="1" si="56"/>
        <v>#NAME?</v>
      </c>
      <c r="AD127" t="e">
        <f t="shared" ca="1" si="47"/>
        <v>#NAME?</v>
      </c>
      <c r="AE127" t="e">
        <f t="shared" ca="1" si="48"/>
        <v>#NAME?</v>
      </c>
      <c r="AF127" t="e">
        <f t="shared" ca="1" si="49"/>
        <v>#NAME?</v>
      </c>
      <c r="AG127" t="e">
        <f t="shared" ca="1" si="57"/>
        <v>#NAME?</v>
      </c>
      <c r="AH127" t="e">
        <f t="shared" ca="1" si="58"/>
        <v>#NAME?</v>
      </c>
      <c r="AI127" t="e">
        <f t="shared" ca="1" si="63"/>
        <v>#NAME?</v>
      </c>
      <c r="AJ127" t="e">
        <f t="shared" ca="1" si="59"/>
        <v>#NAME?</v>
      </c>
      <c r="AK127" t="e">
        <f t="shared" ca="1" si="60"/>
        <v>#NAME?</v>
      </c>
      <c r="AL127" t="e">
        <f t="shared" ca="1" si="61"/>
        <v>#NAME?</v>
      </c>
      <c r="AM127" t="e" cm="1">
        <f t="array" aca="1" ref="AM127" ca="1">_xludf.XLOOKUP(G$91,$BV$17:$CD$17,$BV$18:$CD$21)</f>
        <v>#NAME?</v>
      </c>
      <c r="AN127" t="e" cm="1">
        <f t="array" aca="1" ref="AN127" ca="1">_xludf.XLOOKUP(G$91,$BV$29:$CD$29,$BV$30:$CD$33)</f>
        <v>#NAME?</v>
      </c>
      <c r="BU127" t="s">
        <v>148</v>
      </c>
      <c r="BV127" t="s">
        <v>137</v>
      </c>
      <c r="BW127" t="s">
        <v>117</v>
      </c>
      <c r="BX127">
        <v>0.7</v>
      </c>
      <c r="BY127">
        <v>-0.55000000000000004</v>
      </c>
      <c r="BZ127">
        <v>0.7</v>
      </c>
      <c r="CA127">
        <v>0.22</v>
      </c>
      <c r="CB127">
        <v>-0.22</v>
      </c>
      <c r="CC127">
        <v>-0.22</v>
      </c>
      <c r="CD127">
        <v>0.7</v>
      </c>
      <c r="CE127">
        <v>-0.22</v>
      </c>
      <c r="CF127">
        <v>-0.22</v>
      </c>
      <c r="CG127">
        <v>-0.22</v>
      </c>
    </row>
    <row r="128" spans="11:85" x14ac:dyDescent="0.2">
      <c r="L128" t="s">
        <v>119</v>
      </c>
      <c r="P128" t="e" cm="1">
        <f t="array" aca="1" ref="P128" ca="1">_xludf.XLOOKUP(K$47,$BX$169:$CG$169,_xludf.XLOOKUP($D$11,$BW$170:$BW$176,$BX$170:$CG$176))</f>
        <v>#NAME?</v>
      </c>
      <c r="Q128" t="e">
        <f t="shared" ca="1" si="50"/>
        <v>#NAME?</v>
      </c>
      <c r="V128">
        <v>1</v>
      </c>
      <c r="W128">
        <v>0</v>
      </c>
      <c r="X128">
        <v>0</v>
      </c>
      <c r="Y128">
        <f t="shared" si="53"/>
        <v>0</v>
      </c>
      <c r="Z128">
        <f t="shared" si="62"/>
        <v>-1.0369999999999999</v>
      </c>
      <c r="AA128" t="e">
        <f t="shared" ca="1" si="54"/>
        <v>#NAME?</v>
      </c>
      <c r="AB128">
        <f t="shared" si="55"/>
        <v>1</v>
      </c>
      <c r="AC128">
        <f t="shared" si="56"/>
        <v>1.4042250000000001</v>
      </c>
      <c r="AD128">
        <f t="shared" si="47"/>
        <v>1.22673096</v>
      </c>
      <c r="AE128">
        <f t="shared" si="48"/>
        <v>5.7714060544358416E-5</v>
      </c>
      <c r="AF128">
        <f t="shared" si="49"/>
        <v>6.9098751939409913E-4</v>
      </c>
      <c r="AG128">
        <f t="shared" si="57"/>
        <v>0</v>
      </c>
      <c r="AH128">
        <f t="shared" si="58"/>
        <v>0</v>
      </c>
      <c r="AI128">
        <f t="shared" si="63"/>
        <v>3.2193644299200004E-3</v>
      </c>
      <c r="AJ128">
        <f t="shared" si="59"/>
        <v>0</v>
      </c>
      <c r="AK128" t="e">
        <f t="shared" ca="1" si="60"/>
        <v>#NAME?</v>
      </c>
      <c r="AL128" t="e">
        <f t="shared" ca="1" si="61"/>
        <v>#NAME?</v>
      </c>
      <c r="BW128" t="s">
        <v>119</v>
      </c>
      <c r="BX128">
        <v>0.77</v>
      </c>
      <c r="BY128">
        <v>0.55000000000000004</v>
      </c>
      <c r="BZ128">
        <v>0.77</v>
      </c>
      <c r="CA128">
        <v>0.66</v>
      </c>
      <c r="CB128">
        <v>0.55000000000000004</v>
      </c>
      <c r="CC128">
        <v>0.55000000000000004</v>
      </c>
      <c r="CD128">
        <v>0.77</v>
      </c>
      <c r="CE128">
        <v>0.33</v>
      </c>
      <c r="CF128">
        <v>0.33</v>
      </c>
      <c r="CG128">
        <v>0.33</v>
      </c>
    </row>
    <row r="129" spans="1:85" x14ac:dyDescent="0.2">
      <c r="L129" t="s">
        <v>120</v>
      </c>
      <c r="P129" t="e" cm="1">
        <f t="array" aca="1" ref="P129" ca="1">_xludf.XLOOKUP(K$47,$BX$169:$CG$169,_xludf.XLOOKUP($D$11,$BW$170:$BW$176,$BX$170:$CG$176))</f>
        <v>#NAME?</v>
      </c>
      <c r="Q129" t="e">
        <f t="shared" ca="1" si="50"/>
        <v>#NAME?</v>
      </c>
      <c r="V129">
        <v>1</v>
      </c>
      <c r="W129">
        <v>0</v>
      </c>
      <c r="X129">
        <v>0</v>
      </c>
      <c r="Y129">
        <f t="shared" si="53"/>
        <v>0</v>
      </c>
      <c r="Z129">
        <f t="shared" si="62"/>
        <v>-1.0369999999999999</v>
      </c>
      <c r="AA129" t="e">
        <f t="shared" ca="1" si="54"/>
        <v>#NAME?</v>
      </c>
      <c r="AB129">
        <f t="shared" si="55"/>
        <v>1</v>
      </c>
      <c r="AC129">
        <f t="shared" si="56"/>
        <v>1.4042250000000001</v>
      </c>
      <c r="AD129">
        <f t="shared" si="47"/>
        <v>1.22673096</v>
      </c>
      <c r="AE129">
        <f t="shared" si="48"/>
        <v>5.7714060544358416E-5</v>
      </c>
      <c r="AF129">
        <f t="shared" si="49"/>
        <v>6.9098751939409913E-4</v>
      </c>
      <c r="AG129">
        <f t="shared" si="57"/>
        <v>0</v>
      </c>
      <c r="AH129">
        <f t="shared" si="58"/>
        <v>0</v>
      </c>
      <c r="AI129">
        <f t="shared" si="63"/>
        <v>3.2193644299200004E-3</v>
      </c>
      <c r="AJ129">
        <f t="shared" si="59"/>
        <v>0</v>
      </c>
      <c r="AK129" t="e">
        <f t="shared" ca="1" si="60"/>
        <v>#NAME?</v>
      </c>
      <c r="AL129" t="e">
        <f t="shared" ca="1" si="61"/>
        <v>#NAME?</v>
      </c>
      <c r="BW129" t="s">
        <v>120</v>
      </c>
      <c r="BX129">
        <v>0.88</v>
      </c>
      <c r="BY129">
        <v>0.55000000000000004</v>
      </c>
      <c r="BZ129">
        <v>0.88</v>
      </c>
      <c r="CA129">
        <v>0.22</v>
      </c>
      <c r="CB129">
        <v>0.22</v>
      </c>
      <c r="CC129">
        <v>0.22</v>
      </c>
      <c r="CD129">
        <v>0.88</v>
      </c>
      <c r="CE129">
        <v>0.22</v>
      </c>
      <c r="CF129">
        <v>0.22</v>
      </c>
      <c r="CG129">
        <v>0.22</v>
      </c>
    </row>
    <row r="130" spans="1:85" x14ac:dyDescent="0.2">
      <c r="L130" t="s">
        <v>121</v>
      </c>
      <c r="P130" t="e" cm="1">
        <f t="array" aca="1" ref="P130" ca="1">_xludf.XLOOKUP(K$47,$BX$169:$CG$169,_xludf.XLOOKUP($D$11,$BW$170:$BW$176,$BX$170:$CG$176))</f>
        <v>#NAME?</v>
      </c>
      <c r="Q130" t="e">
        <f t="shared" ca="1" si="50"/>
        <v>#NAME?</v>
      </c>
      <c r="V130">
        <v>1</v>
      </c>
      <c r="W130">
        <v>0</v>
      </c>
      <c r="X130">
        <v>0</v>
      </c>
      <c r="Y130">
        <f t="shared" si="53"/>
        <v>0</v>
      </c>
      <c r="Z130">
        <f t="shared" si="62"/>
        <v>-1.0369999999999999</v>
      </c>
      <c r="AA130" t="e">
        <f t="shared" ca="1" si="54"/>
        <v>#NAME?</v>
      </c>
      <c r="AB130">
        <f t="shared" si="55"/>
        <v>1</v>
      </c>
      <c r="AC130">
        <f t="shared" si="56"/>
        <v>1.4042250000000001</v>
      </c>
      <c r="AD130">
        <f t="shared" si="47"/>
        <v>1.22673096</v>
      </c>
      <c r="AE130">
        <f t="shared" si="48"/>
        <v>5.7714060544358416E-5</v>
      </c>
      <c r="AF130">
        <f t="shared" si="49"/>
        <v>6.9098751939409913E-4</v>
      </c>
      <c r="AG130">
        <f t="shared" si="57"/>
        <v>0</v>
      </c>
      <c r="AH130">
        <f t="shared" si="58"/>
        <v>0</v>
      </c>
      <c r="AI130">
        <f t="shared" si="63"/>
        <v>3.2193644299200004E-3</v>
      </c>
      <c r="AJ130">
        <f t="shared" si="59"/>
        <v>0</v>
      </c>
      <c r="AK130" t="e">
        <f t="shared" ca="1" si="60"/>
        <v>#NAME?</v>
      </c>
      <c r="AL130" t="e">
        <f t="shared" ca="1" si="61"/>
        <v>#NAME?</v>
      </c>
      <c r="BW130" t="s">
        <v>121</v>
      </c>
      <c r="BX130">
        <v>0.22</v>
      </c>
      <c r="BY130">
        <v>-0.55000000000000004</v>
      </c>
      <c r="BZ130">
        <v>0.22</v>
      </c>
      <c r="CA130">
        <v>0.11</v>
      </c>
      <c r="CB130">
        <v>-0.22</v>
      </c>
      <c r="CC130">
        <v>-0.22</v>
      </c>
      <c r="CD130">
        <v>0.22</v>
      </c>
      <c r="CE130">
        <v>-0.33</v>
      </c>
      <c r="CF130">
        <v>-0.33</v>
      </c>
      <c r="CG130">
        <v>-0.33</v>
      </c>
    </row>
    <row r="131" spans="1:85" x14ac:dyDescent="0.2">
      <c r="BU131" t="s">
        <v>148</v>
      </c>
      <c r="BV131" t="s">
        <v>138</v>
      </c>
      <c r="BW131" t="s">
        <v>117</v>
      </c>
      <c r="BX131">
        <v>0.22</v>
      </c>
      <c r="BY131">
        <v>-0.55000000000000004</v>
      </c>
      <c r="BZ131">
        <v>0.33</v>
      </c>
      <c r="CA131">
        <v>0.22</v>
      </c>
      <c r="CB131">
        <v>-0.33</v>
      </c>
      <c r="CC131">
        <v>-0.33</v>
      </c>
      <c r="CD131">
        <v>0.22</v>
      </c>
      <c r="CE131">
        <v>-0.55000000000000004</v>
      </c>
      <c r="CF131">
        <v>-0.55000000000000004</v>
      </c>
      <c r="CG131">
        <v>-0.55000000000000004</v>
      </c>
    </row>
    <row r="132" spans="1:85" x14ac:dyDescent="0.2">
      <c r="BW132" t="s">
        <v>119</v>
      </c>
      <c r="BX132">
        <v>0.8</v>
      </c>
      <c r="BY132">
        <v>0.55000000000000004</v>
      </c>
      <c r="BZ132">
        <v>0.7</v>
      </c>
      <c r="CA132">
        <v>0.44</v>
      </c>
      <c r="CB132">
        <v>0.66</v>
      </c>
      <c r="CC132">
        <v>0.66</v>
      </c>
      <c r="CD132">
        <v>0.8</v>
      </c>
      <c r="CE132">
        <v>0.55000000000000004</v>
      </c>
      <c r="CF132">
        <v>0.55000000000000004</v>
      </c>
      <c r="CG132">
        <v>0.55000000000000004</v>
      </c>
    </row>
    <row r="133" spans="1:85" x14ac:dyDescent="0.2">
      <c r="D133" t="s">
        <v>185</v>
      </c>
      <c r="BW133" t="s">
        <v>120</v>
      </c>
      <c r="BX133">
        <v>0.66</v>
      </c>
      <c r="BY133">
        <v>0.55000000000000004</v>
      </c>
      <c r="BZ133">
        <v>0.55000000000000004</v>
      </c>
      <c r="CA133">
        <v>0.55000000000000004</v>
      </c>
      <c r="CB133">
        <v>0.11</v>
      </c>
      <c r="CC133">
        <v>0.11</v>
      </c>
      <c r="CD133">
        <v>0.66</v>
      </c>
      <c r="CE133">
        <v>0.55000000000000004</v>
      </c>
      <c r="CF133">
        <v>0.55000000000000004</v>
      </c>
      <c r="CG133">
        <v>0.55000000000000004</v>
      </c>
    </row>
    <row r="134" spans="1:85" x14ac:dyDescent="0.2">
      <c r="BW134" t="s">
        <v>121</v>
      </c>
      <c r="BX134">
        <v>0.33</v>
      </c>
      <c r="BY134">
        <v>-0.55000000000000004</v>
      </c>
      <c r="BZ134">
        <v>0.11</v>
      </c>
      <c r="CA134">
        <v>0.11</v>
      </c>
      <c r="CB134">
        <v>-0.44</v>
      </c>
      <c r="CC134">
        <v>-0.44</v>
      </c>
      <c r="CD134">
        <v>0.33</v>
      </c>
      <c r="CE134">
        <v>-0.55000000000000004</v>
      </c>
      <c r="CF134">
        <v>-0.55000000000000004</v>
      </c>
      <c r="CG134">
        <v>-0.55000000000000004</v>
      </c>
    </row>
    <row r="135" spans="1:85" x14ac:dyDescent="0.2">
      <c r="BU135" t="s">
        <v>131</v>
      </c>
      <c r="BV135" t="s">
        <v>160</v>
      </c>
      <c r="BW135" t="s">
        <v>117</v>
      </c>
      <c r="BX135">
        <v>0.22</v>
      </c>
      <c r="BY135">
        <v>-0.23</v>
      </c>
      <c r="BZ135">
        <v>0.25</v>
      </c>
      <c r="CA135">
        <v>0.17</v>
      </c>
      <c r="CB135">
        <v>0.18</v>
      </c>
      <c r="CC135">
        <v>-0.28000000000000003</v>
      </c>
      <c r="CD135">
        <v>0.32</v>
      </c>
      <c r="CE135">
        <v>0.24</v>
      </c>
      <c r="CF135">
        <v>0.25</v>
      </c>
      <c r="CG135">
        <v>-0.05</v>
      </c>
    </row>
    <row r="136" spans="1:85" x14ac:dyDescent="0.2">
      <c r="BW136" t="s">
        <v>119</v>
      </c>
      <c r="BX136">
        <v>0.66</v>
      </c>
      <c r="BY136">
        <v>0.2</v>
      </c>
      <c r="BZ136">
        <v>0.62</v>
      </c>
      <c r="CA136">
        <v>0.54</v>
      </c>
      <c r="CB136">
        <v>0.38</v>
      </c>
      <c r="CC136">
        <v>0.27</v>
      </c>
      <c r="CD136">
        <v>0.75</v>
      </c>
      <c r="CE136">
        <v>0.64</v>
      </c>
      <c r="CF136">
        <v>0.55000000000000004</v>
      </c>
      <c r="CG136">
        <v>0.48</v>
      </c>
    </row>
    <row r="137" spans="1:85" x14ac:dyDescent="0.2">
      <c r="BW137" t="s">
        <v>120</v>
      </c>
      <c r="BX137">
        <v>0.49</v>
      </c>
      <c r="BY137">
        <v>0.13</v>
      </c>
      <c r="BZ137">
        <v>0.54</v>
      </c>
      <c r="CA137">
        <v>0.45</v>
      </c>
      <c r="CB137">
        <v>0.35</v>
      </c>
      <c r="CC137">
        <v>0.15</v>
      </c>
      <c r="CD137">
        <v>0.63</v>
      </c>
      <c r="CE137">
        <v>0.54</v>
      </c>
      <c r="CF137">
        <v>0.42</v>
      </c>
      <c r="CG137">
        <v>0.26</v>
      </c>
    </row>
    <row r="138" spans="1:85" x14ac:dyDescent="0.2">
      <c r="BW138" t="s">
        <v>121</v>
      </c>
      <c r="BX138">
        <v>0.27</v>
      </c>
      <c r="BY138">
        <v>-0.8</v>
      </c>
      <c r="BZ138">
        <v>0.22</v>
      </c>
      <c r="CA138">
        <v>0.09</v>
      </c>
      <c r="CB138">
        <v>0.12</v>
      </c>
      <c r="CC138">
        <v>0.02</v>
      </c>
      <c r="CD138">
        <v>0.25</v>
      </c>
      <c r="CE138">
        <v>0.18</v>
      </c>
      <c r="CF138">
        <v>0.12</v>
      </c>
      <c r="CG138">
        <v>0.03</v>
      </c>
    </row>
    <row r="139" spans="1:85" x14ac:dyDescent="0.2">
      <c r="BU139" t="s">
        <v>131</v>
      </c>
      <c r="BV139" t="s">
        <v>162</v>
      </c>
      <c r="BW139" t="s">
        <v>117</v>
      </c>
      <c r="BX139">
        <v>0.22</v>
      </c>
      <c r="BY139">
        <v>-0.44</v>
      </c>
      <c r="BZ139">
        <v>0.2</v>
      </c>
      <c r="CA139">
        <v>0.21</v>
      </c>
      <c r="CB139">
        <v>0.18</v>
      </c>
      <c r="CC139">
        <v>0.01</v>
      </c>
      <c r="CD139">
        <v>0.12</v>
      </c>
      <c r="CE139">
        <v>0.09</v>
      </c>
      <c r="CF139" t="s">
        <v>181</v>
      </c>
      <c r="CG139" t="s">
        <v>181</v>
      </c>
    </row>
    <row r="140" spans="1:85" x14ac:dyDescent="0.2">
      <c r="BW140" t="s">
        <v>119</v>
      </c>
      <c r="BX140">
        <v>0.66</v>
      </c>
      <c r="BY140">
        <v>0.22</v>
      </c>
      <c r="BZ140">
        <v>0.68</v>
      </c>
      <c r="CA140">
        <v>0.22</v>
      </c>
      <c r="CB140">
        <v>0.24</v>
      </c>
      <c r="CC140">
        <v>0.25</v>
      </c>
      <c r="CD140">
        <v>0.64</v>
      </c>
      <c r="CE140">
        <v>0.37</v>
      </c>
      <c r="CF140" t="s">
        <v>181</v>
      </c>
      <c r="CG140" t="s">
        <v>181</v>
      </c>
    </row>
    <row r="141" spans="1:85" x14ac:dyDescent="0.2">
      <c r="A141" t="s">
        <v>186</v>
      </c>
      <c r="B141" t="s">
        <v>111</v>
      </c>
      <c r="C141" t="s">
        <v>24</v>
      </c>
      <c r="D141" t="s">
        <v>112</v>
      </c>
      <c r="G141" t="s">
        <v>113</v>
      </c>
      <c r="H141" t="s">
        <v>114</v>
      </c>
      <c r="I141" t="s">
        <v>115</v>
      </c>
      <c r="J141" t="str">
        <f>IF(H141="Non-irrigated crop", IF(I141="high", "Non-irrigated crop (high rainfall)", "Non-irrigated crop (low rainfall)"), H141)</f>
        <v>Irrigated crop</v>
      </c>
      <c r="K141" t="s">
        <v>116</v>
      </c>
      <c r="L141" t="s">
        <v>117</v>
      </c>
      <c r="M141">
        <v>100</v>
      </c>
      <c r="N141">
        <v>80</v>
      </c>
      <c r="O141">
        <v>0.4</v>
      </c>
      <c r="P141" t="e" cm="1">
        <f t="array" aca="1" ref="P141" ca="1">_xludf.XLOOKUP(K$11,$BX$169:$CG$169,_xludf.XLOOKUP($D$11,$BW$170:$BW$176,$BX$170:$CG$176))</f>
        <v>#NAME?</v>
      </c>
      <c r="Q141" t="e">
        <f t="shared" ref="Q141:Q180" ca="1" si="64">N141/P141</f>
        <v>#NAME?</v>
      </c>
      <c r="T141">
        <v>0</v>
      </c>
      <c r="V141">
        <v>1</v>
      </c>
      <c r="W141">
        <f>VLOOKUP($G$141, $CL$17:$CN$25, 2, FALSE)</f>
        <v>6</v>
      </c>
      <c r="X141">
        <v>0</v>
      </c>
      <c r="Y141">
        <f t="shared" ref="Y141:Y180" si="65">T141*X141</f>
        <v>0</v>
      </c>
      <c r="Z141">
        <f t="shared" ref="Z141:Z180" si="66">0.1604 * ($AM141*100) - 1.037</f>
        <v>8.5869999999999997</v>
      </c>
      <c r="AA141" t="e">
        <f t="shared" ref="AA141:AA180" ca="1" si="67">(0.032 * Y141 /6.38) + ((0.212 - 0.008 * (AB141 - 2) - ((0.14 - 0.008 * (AB141 - 2)) / (1 + EXP(-6 * (Q141 - 0.4))))) * (O141 * 0.92)) / 6.25</f>
        <v>#NAME?</v>
      </c>
      <c r="AB141">
        <f t="shared" ref="AB141:AB180" si="68">AC141 / ((1.185 + 0.00454 * N141 - 0.0000026 * N141 ^ 2 ) ^ 2 * V141)</f>
        <v>1.1713063160658626</v>
      </c>
      <c r="AC141">
        <f t="shared" ref="AC141:AC180" si="69">(1.185 + 0.00454 * N141 - 0.0000026 * N141^2 + 0.315 * O141)^2 * V141</f>
        <v>2.7475051536000006</v>
      </c>
      <c r="AD141">
        <f t="shared" ref="AD141:AD180" si="70">(AC141 * (1 -AM141) + (0.04 * AC141)) * ( 1 - AV$11 )</f>
        <v>1.0154779047705602</v>
      </c>
      <c r="AE141">
        <f t="shared" ref="AE141:AE180" si="71">AD141 * AT$141 * AP$141 * AR$141 * AU$141</f>
        <v>0</v>
      </c>
      <c r="AF141">
        <f t="shared" ref="AF141:AF180" si="72">AD141 * AT$141 * AQ$141 * AS$141 * AU$141</f>
        <v>6.0209878406120823E-4</v>
      </c>
      <c r="AG141">
        <f t="shared" ref="AG141:AG180" si="73">M141*AE141*91.25</f>
        <v>0</v>
      </c>
      <c r="AH141">
        <f t="shared" ref="AH141:AH180" si="74">M141*AF141*91.25</f>
        <v>5.4941514045585258</v>
      </c>
      <c r="AI141">
        <f t="shared" ref="AI141:AI180" si="75">((0.3 * AC141 * $AN141 * (1 - ($AM141 + 0.1)) + (0.105 * $Z141 * $AC141 * 0.008) + (0.0152 * $AC141)) / 6.25) + (0.08 * 0.032 * $W141 / 6.38)</f>
        <v>1.4238535670851643E-2</v>
      </c>
      <c r="AJ141">
        <f t="shared" ref="AJ141:AJ180" si="76">M141*AI141*91.25</f>
        <v>129.92663799652126</v>
      </c>
      <c r="AK141" t="e">
        <f t="shared" ref="AK141:AK180" ca="1" si="77">(AC141 * $AN141 / 6.25) + (0.032 * W141 / 6.38) - AA141 - AI141 - ((1.1 * (10 ^ -4) * (N141 ^ 0.75)) / 6.25)</f>
        <v>#NAME?</v>
      </c>
      <c r="AL141" t="e">
        <f t="shared" ref="AL141:AL180" ca="1" si="78">M141*AK141*91.25</f>
        <v>#NAME?</v>
      </c>
      <c r="AM141">
        <v>0.6</v>
      </c>
      <c r="AN141">
        <v>0.05</v>
      </c>
      <c r="AO141" t="s">
        <v>187</v>
      </c>
      <c r="AP141">
        <f>IF(AO141="yes", $BV$6, $BW$6)</f>
        <v>0</v>
      </c>
      <c r="AQ141">
        <f>IF(AO141="yes", $BV$7, $BW$7)</f>
        <v>1</v>
      </c>
      <c r="AR141">
        <f>VLOOKUP(B141, $CH$17:$CI$26, 2, FALSE)</f>
        <v>7.3000000000000001E-3</v>
      </c>
      <c r="AS141">
        <f>$CI$14</f>
        <v>4.5999999999999999E-3</v>
      </c>
      <c r="AT141">
        <f>$CA$5</f>
        <v>0.19</v>
      </c>
      <c r="AU141">
        <f>$CA$6</f>
        <v>0.6784</v>
      </c>
      <c r="AV141">
        <f>$CA$7</f>
        <v>0.16</v>
      </c>
      <c r="AW141" t="e">
        <f ca="1">SUM(AG141:AH180)</f>
        <v>#NAME?</v>
      </c>
      <c r="AX141" t="e">
        <f ca="1">SUM(AJ141:AJ180)</f>
        <v>#NAME?</v>
      </c>
      <c r="AY141">
        <f>IF(C141="wet",$CD$5,$CD$6)</f>
        <v>6.0000000000000001E-3</v>
      </c>
      <c r="AZ141">
        <f>$CD$7</f>
        <v>1.5714285714285714</v>
      </c>
      <c r="BA141">
        <f>$CD$8</f>
        <v>265</v>
      </c>
      <c r="BB141" t="e">
        <f ca="1">SUM(AL141:AL180)</f>
        <v>#NAME?</v>
      </c>
      <c r="BC141" t="e">
        <f ca="1">((AX141 * AY141 * AZ141) + (BB141 * AY141 * AZ141))  * (10^-3)</f>
        <v>#NAME?</v>
      </c>
      <c r="BD141">
        <f>$CA$8</f>
        <v>28</v>
      </c>
      <c r="BE141">
        <f>$CD$9</f>
        <v>0.21</v>
      </c>
      <c r="BF141" t="e">
        <f ca="1">(AX141+BB141)*BE141</f>
        <v>#NAME?</v>
      </c>
      <c r="BG141">
        <f>VLOOKUP(J141, $CH$29:$CI$33,2,FALSE)</f>
        <v>7.0000000000000001E-3</v>
      </c>
      <c r="BH141" t="e">
        <f ca="1">BF141*BG141*AZ141*(10^-3)</f>
        <v>#NAME?</v>
      </c>
      <c r="BI141">
        <f>$CA$9</f>
        <v>1.0999999999999999E-2</v>
      </c>
      <c r="BJ141">
        <f>VLOOKUP(D141, $CL$29:$CM$46, 2, FALSE)</f>
        <v>0.87</v>
      </c>
      <c r="BK141">
        <f>$CG$4</f>
        <v>0.24</v>
      </c>
      <c r="BL141" t="e">
        <f ca="1">(BB141+AX141)*BJ141*BK141</f>
        <v>#NAME?</v>
      </c>
      <c r="BM141" t="e">
        <f ca="1">BL141*BI141*AZ141*(10^-3)</f>
        <v>#NAME?</v>
      </c>
      <c r="BN141" t="e">
        <f ca="1">BC141+BH141+BM141</f>
        <v>#NAME?</v>
      </c>
      <c r="BO141" t="e">
        <f ca="1">AW141 * BD141 * 10^-3</f>
        <v>#NAME?</v>
      </c>
      <c r="BW141" t="s">
        <v>120</v>
      </c>
      <c r="BX141">
        <v>0.49</v>
      </c>
      <c r="BY141">
        <v>0.05</v>
      </c>
      <c r="BZ141">
        <v>0.64</v>
      </c>
      <c r="CA141">
        <v>0.25</v>
      </c>
      <c r="CB141">
        <v>0.28999999999999998</v>
      </c>
      <c r="CC141">
        <v>0.12</v>
      </c>
      <c r="CD141">
        <v>0.56999999999999995</v>
      </c>
      <c r="CE141">
        <v>0.49</v>
      </c>
      <c r="CF141" t="s">
        <v>181</v>
      </c>
      <c r="CG141" t="s">
        <v>181</v>
      </c>
    </row>
    <row r="142" spans="1:85" x14ac:dyDescent="0.2">
      <c r="L142" t="s">
        <v>119</v>
      </c>
      <c r="M142">
        <v>110</v>
      </c>
      <c r="N142">
        <v>90</v>
      </c>
      <c r="O142">
        <v>0.4</v>
      </c>
      <c r="P142" t="e" cm="1">
        <f t="array" aca="1" ref="P142" ca="1">_xludf.XLOOKUP(K$11,$BX$169:$CG$169,_xludf.XLOOKUP($D$11,$BW$170:$BW$176,$BX$170:$CG$176))</f>
        <v>#NAME?</v>
      </c>
      <c r="Q142" t="e">
        <f t="shared" ca="1" si="64"/>
        <v>#NAME?</v>
      </c>
      <c r="V142">
        <v>1</v>
      </c>
      <c r="W142">
        <f>VLOOKUP($G$141, $CL$17:$CN$25, 3, FALSE)</f>
        <v>4</v>
      </c>
      <c r="X142">
        <v>0</v>
      </c>
      <c r="Y142">
        <f t="shared" si="65"/>
        <v>0</v>
      </c>
      <c r="Z142">
        <f t="shared" si="66"/>
        <v>6.9829999999999997</v>
      </c>
      <c r="AA142" t="e">
        <f t="shared" ca="1" si="67"/>
        <v>#NAME?</v>
      </c>
      <c r="AB142">
        <f t="shared" si="68"/>
        <v>1.166670335017931</v>
      </c>
      <c r="AC142">
        <f t="shared" si="69"/>
        <v>2.8850381316</v>
      </c>
      <c r="AD142">
        <f t="shared" si="70"/>
        <v>1.3086532964937598</v>
      </c>
      <c r="AE142">
        <f t="shared" si="71"/>
        <v>0</v>
      </c>
      <c r="AF142">
        <f t="shared" si="72"/>
        <v>7.7592880640235445E-4</v>
      </c>
      <c r="AG142">
        <f t="shared" si="73"/>
        <v>0</v>
      </c>
      <c r="AH142">
        <f t="shared" si="74"/>
        <v>7.7883853942636332</v>
      </c>
      <c r="AI142">
        <f t="shared" si="75"/>
        <v>1.5206571797988993E-2</v>
      </c>
      <c r="AJ142">
        <f t="shared" si="76"/>
        <v>152.63596442231452</v>
      </c>
      <c r="AK142" t="e">
        <f t="shared" ca="1" si="77"/>
        <v>#NAME?</v>
      </c>
      <c r="AL142" t="e">
        <f t="shared" ca="1" si="78"/>
        <v>#NAME?</v>
      </c>
      <c r="AM142">
        <v>0.5</v>
      </c>
      <c r="AN142">
        <v>7.0000000000000007E-2</v>
      </c>
      <c r="BW142" t="s">
        <v>121</v>
      </c>
      <c r="BX142">
        <v>0.27</v>
      </c>
      <c r="BY142">
        <v>-0.27</v>
      </c>
      <c r="BZ142">
        <v>0.31</v>
      </c>
      <c r="CA142">
        <v>0.28999999999999998</v>
      </c>
      <c r="CB142">
        <v>0.19</v>
      </c>
      <c r="CC142">
        <v>0.04</v>
      </c>
      <c r="CD142">
        <v>0.26</v>
      </c>
      <c r="CE142">
        <v>0.28000000000000003</v>
      </c>
      <c r="CF142" t="s">
        <v>181</v>
      </c>
      <c r="CG142" t="s">
        <v>181</v>
      </c>
    </row>
    <row r="143" spans="1:85" x14ac:dyDescent="0.2">
      <c r="L143" t="s">
        <v>120</v>
      </c>
      <c r="M143">
        <v>120</v>
      </c>
      <c r="N143">
        <v>100</v>
      </c>
      <c r="O143">
        <v>0.5</v>
      </c>
      <c r="P143" t="e" cm="1">
        <f t="array" aca="1" ref="P143" ca="1">_xludf.XLOOKUP(K$11,$BX$169:$CG$169,_xludf.XLOOKUP($D$11,$BW$170:$BW$176,$BX$170:$CG$176))</f>
        <v>#NAME?</v>
      </c>
      <c r="Q143" t="e">
        <f t="shared" ca="1" si="64"/>
        <v>#NAME?</v>
      </c>
      <c r="V143">
        <v>1</v>
      </c>
      <c r="W143">
        <v>0</v>
      </c>
      <c r="X143">
        <v>0</v>
      </c>
      <c r="Y143">
        <f t="shared" si="65"/>
        <v>0</v>
      </c>
      <c r="Z143">
        <f t="shared" si="66"/>
        <v>5.3789999999999996</v>
      </c>
      <c r="AA143" t="e">
        <f t="shared" ca="1" si="67"/>
        <v>#NAME?</v>
      </c>
      <c r="AB143">
        <f t="shared" si="68"/>
        <v>1.204822661043313</v>
      </c>
      <c r="AC143">
        <f t="shared" si="69"/>
        <v>3.1346702499999997</v>
      </c>
      <c r="AD143">
        <f t="shared" si="70"/>
        <v>1.6851987263999997</v>
      </c>
      <c r="AE143">
        <f t="shared" si="71"/>
        <v>0</v>
      </c>
      <c r="AF143">
        <f t="shared" si="72"/>
        <v>9.9919072517505028E-4</v>
      </c>
      <c r="AG143">
        <f t="shared" si="73"/>
        <v>0</v>
      </c>
      <c r="AH143">
        <f t="shared" si="74"/>
        <v>10.9411384406668</v>
      </c>
      <c r="AI143">
        <f t="shared" si="75"/>
        <v>1.7412897635326399E-2</v>
      </c>
      <c r="AJ143">
        <f t="shared" si="76"/>
        <v>190.67122910682409</v>
      </c>
      <c r="AK143" t="e">
        <f t="shared" ca="1" si="77"/>
        <v>#NAME?</v>
      </c>
      <c r="AL143" t="e">
        <f t="shared" ca="1" si="78"/>
        <v>#NAME?</v>
      </c>
      <c r="AM143">
        <v>0.4</v>
      </c>
      <c r="AN143">
        <v>0.1</v>
      </c>
      <c r="BU143" t="s">
        <v>131</v>
      </c>
      <c r="BV143" t="s">
        <v>163</v>
      </c>
      <c r="BW143" t="s">
        <v>117</v>
      </c>
      <c r="BX143">
        <v>0.22</v>
      </c>
      <c r="BY143">
        <v>-0.44</v>
      </c>
      <c r="BZ143">
        <v>0</v>
      </c>
      <c r="CA143">
        <v>0.15</v>
      </c>
      <c r="CB143">
        <v>0.08</v>
      </c>
      <c r="CC143">
        <v>0.17</v>
      </c>
      <c r="CD143">
        <v>0.06</v>
      </c>
      <c r="CE143">
        <v>0.02</v>
      </c>
      <c r="CF143">
        <v>-0.14000000000000001</v>
      </c>
      <c r="CG143" t="s">
        <v>181</v>
      </c>
    </row>
    <row r="144" spans="1:85" x14ac:dyDescent="0.2">
      <c r="L144" t="s">
        <v>121</v>
      </c>
      <c r="M144">
        <v>130</v>
      </c>
      <c r="N144">
        <v>110</v>
      </c>
      <c r="O144">
        <v>0.8</v>
      </c>
      <c r="P144" t="e" cm="1">
        <f t="array" aca="1" ref="P144" ca="1">_xludf.XLOOKUP(K$11,$BX$169:$CG$169,_xludf.XLOOKUP($D$11,$BW$170:$BW$176,$BX$170:$CG$176))</f>
        <v>#NAME?</v>
      </c>
      <c r="Q144" t="e">
        <f t="shared" ca="1" si="64"/>
        <v>#NAME?</v>
      </c>
      <c r="V144">
        <v>1</v>
      </c>
      <c r="W144">
        <v>0</v>
      </c>
      <c r="X144">
        <v>0</v>
      </c>
      <c r="Y144">
        <f t="shared" si="65"/>
        <v>0</v>
      </c>
      <c r="Z144">
        <f t="shared" si="66"/>
        <v>3.7749999999999995</v>
      </c>
      <c r="AA144" t="e">
        <f t="shared" ca="1" si="67"/>
        <v>#NAME?</v>
      </c>
      <c r="AB144">
        <f t="shared" si="68"/>
        <v>1.328153966496026</v>
      </c>
      <c r="AC144">
        <f t="shared" si="69"/>
        <v>3.6287964036000004</v>
      </c>
      <c r="AD144">
        <f t="shared" si="70"/>
        <v>2.2556598444777598</v>
      </c>
      <c r="AE144">
        <f t="shared" si="71"/>
        <v>0</v>
      </c>
      <c r="AF144">
        <f t="shared" si="72"/>
        <v>1.3374294440435044E-3</v>
      </c>
      <c r="AG144">
        <f t="shared" si="73"/>
        <v>0</v>
      </c>
      <c r="AH144">
        <f t="shared" si="74"/>
        <v>15.865256779966071</v>
      </c>
      <c r="AI144">
        <f t="shared" si="75"/>
        <v>2.4252552731964094E-2</v>
      </c>
      <c r="AJ144">
        <f t="shared" si="76"/>
        <v>287.69590678292406</v>
      </c>
      <c r="AK144" t="e">
        <f t="shared" ca="1" si="77"/>
        <v>#NAME?</v>
      </c>
      <c r="AL144" t="e">
        <f t="shared" ca="1" si="78"/>
        <v>#NAME?</v>
      </c>
      <c r="AM144">
        <v>0.3</v>
      </c>
      <c r="AN144">
        <v>0.13</v>
      </c>
      <c r="BW144" t="s">
        <v>119</v>
      </c>
      <c r="BX144">
        <v>0.66</v>
      </c>
      <c r="BY144">
        <v>0.22</v>
      </c>
      <c r="BZ144">
        <v>0.79</v>
      </c>
      <c r="CA144">
        <v>0.4</v>
      </c>
      <c r="CB144">
        <v>0.38</v>
      </c>
      <c r="CC144">
        <v>0.27</v>
      </c>
      <c r="CD144">
        <v>0.8</v>
      </c>
      <c r="CE144">
        <v>0.16</v>
      </c>
      <c r="CF144">
        <v>0.3</v>
      </c>
      <c r="CG144" t="s">
        <v>181</v>
      </c>
    </row>
    <row r="145" spans="11:94" x14ac:dyDescent="0.2">
      <c r="K145" t="s">
        <v>122</v>
      </c>
      <c r="L145" t="s">
        <v>117</v>
      </c>
      <c r="M145">
        <v>50</v>
      </c>
      <c r="N145">
        <v>470</v>
      </c>
      <c r="O145">
        <v>0.1</v>
      </c>
      <c r="P145" t="e" cm="1">
        <f t="array" aca="1" ref="P145" ca="1">_xludf.XLOOKUP(K$15,$BX$169:$CG$169,_xludf.XLOOKUP($D$11,$BW$170:$BW$176,$BX$170:$CG$176))</f>
        <v>#NAME?</v>
      </c>
      <c r="Q145" t="e">
        <f t="shared" ca="1" si="64"/>
        <v>#NAME?</v>
      </c>
      <c r="V145">
        <v>1</v>
      </c>
      <c r="W145">
        <v>0</v>
      </c>
      <c r="X145">
        <v>0</v>
      </c>
      <c r="Y145">
        <f t="shared" si="65"/>
        <v>0</v>
      </c>
      <c r="Z145">
        <f t="shared" si="66"/>
        <v>8.5869999999999997</v>
      </c>
      <c r="AA145" t="e">
        <f t="shared" ca="1" si="67"/>
        <v>#NAME?</v>
      </c>
      <c r="AB145">
        <f t="shared" si="68"/>
        <v>1.0230870723325332</v>
      </c>
      <c r="AC145">
        <f t="shared" si="69"/>
        <v>7.7059539215999999</v>
      </c>
      <c r="AD145">
        <f t="shared" si="70"/>
        <v>2.8481205694233598</v>
      </c>
      <c r="AE145">
        <f t="shared" si="71"/>
        <v>0</v>
      </c>
      <c r="AF145">
        <f t="shared" si="72"/>
        <v>1.6887122050154094E-3</v>
      </c>
      <c r="AG145">
        <f t="shared" si="73"/>
        <v>0</v>
      </c>
      <c r="AH145">
        <f t="shared" si="74"/>
        <v>7.704749435382805</v>
      </c>
      <c r="AI145">
        <f t="shared" si="75"/>
        <v>3.3182552698933526E-2</v>
      </c>
      <c r="AJ145">
        <f t="shared" si="76"/>
        <v>151.3953966888842</v>
      </c>
      <c r="AK145" t="e">
        <f t="shared" ca="1" si="77"/>
        <v>#NAME?</v>
      </c>
      <c r="AL145" t="e">
        <f t="shared" ca="1" si="78"/>
        <v>#NAME?</v>
      </c>
      <c r="AM145">
        <v>0.6</v>
      </c>
      <c r="AN145">
        <v>0.05</v>
      </c>
      <c r="BW145" t="s">
        <v>120</v>
      </c>
      <c r="BX145">
        <v>0.49</v>
      </c>
      <c r="BY145">
        <v>0.05</v>
      </c>
      <c r="BZ145">
        <v>0.55000000000000004</v>
      </c>
      <c r="CA145">
        <v>0.38</v>
      </c>
      <c r="CB145">
        <v>0.36</v>
      </c>
      <c r="CC145">
        <v>0.06</v>
      </c>
      <c r="CD145">
        <v>0.57999999999999996</v>
      </c>
      <c r="CE145">
        <v>0.23</v>
      </c>
      <c r="CF145">
        <v>0.4</v>
      </c>
      <c r="CG145" t="s">
        <v>181</v>
      </c>
    </row>
    <row r="146" spans="11:94" x14ac:dyDescent="0.2">
      <c r="L146" t="s">
        <v>119</v>
      </c>
      <c r="M146">
        <v>55</v>
      </c>
      <c r="N146">
        <v>480</v>
      </c>
      <c r="O146">
        <v>0.2</v>
      </c>
      <c r="P146" t="e" cm="1">
        <f t="array" aca="1" ref="P146" ca="1">_xludf.XLOOKUP(K$15,$BX$169:$CG$169,_xludf.XLOOKUP($D$11,$BW$170:$BW$176,$BX$170:$CG$176))</f>
        <v>#NAME?</v>
      </c>
      <c r="Q146" t="e">
        <f t="shared" ca="1" si="64"/>
        <v>#NAME?</v>
      </c>
      <c r="V146">
        <v>1</v>
      </c>
      <c r="W146">
        <v>0</v>
      </c>
      <c r="X146">
        <v>0</v>
      </c>
      <c r="Y146">
        <f t="shared" si="65"/>
        <v>0</v>
      </c>
      <c r="Z146">
        <f t="shared" si="66"/>
        <v>6.9829999999999997</v>
      </c>
      <c r="AA146" t="e">
        <f t="shared" ca="1" si="67"/>
        <v>#NAME?</v>
      </c>
      <c r="AB146">
        <f t="shared" si="68"/>
        <v>1.0460860709612354</v>
      </c>
      <c r="AC146">
        <f t="shared" si="69"/>
        <v>7.9984889855999999</v>
      </c>
      <c r="AD146">
        <f t="shared" si="70"/>
        <v>3.62811460386816</v>
      </c>
      <c r="AE146">
        <f t="shared" si="71"/>
        <v>0</v>
      </c>
      <c r="AF146">
        <f t="shared" si="72"/>
        <v>2.1511875159088757E-3</v>
      </c>
      <c r="AG146">
        <f t="shared" si="73"/>
        <v>0</v>
      </c>
      <c r="AH146">
        <f t="shared" si="74"/>
        <v>10.796272345467669</v>
      </c>
      <c r="AI146">
        <f t="shared" si="75"/>
        <v>3.7708997899643784E-2</v>
      </c>
      <c r="AJ146">
        <f t="shared" si="76"/>
        <v>189.25203320883722</v>
      </c>
      <c r="AK146" t="e">
        <f t="shared" ca="1" si="77"/>
        <v>#NAME?</v>
      </c>
      <c r="AL146" t="e">
        <f t="shared" ca="1" si="78"/>
        <v>#NAME?</v>
      </c>
      <c r="AM146">
        <v>0.5</v>
      </c>
      <c r="AN146">
        <v>7.0000000000000007E-2</v>
      </c>
      <c r="BW146" t="s">
        <v>121</v>
      </c>
      <c r="BX146">
        <v>0.27</v>
      </c>
      <c r="BY146">
        <v>-0.27</v>
      </c>
      <c r="BZ146">
        <v>0.02</v>
      </c>
      <c r="CA146">
        <v>0.09</v>
      </c>
      <c r="CB146">
        <v>0.16</v>
      </c>
      <c r="CC146">
        <v>-0.04</v>
      </c>
      <c r="CD146">
        <v>0.21</v>
      </c>
      <c r="CE146">
        <v>0.03</v>
      </c>
      <c r="CF146">
        <v>0.11</v>
      </c>
      <c r="CG146" t="s">
        <v>181</v>
      </c>
      <c r="CJ146">
        <v>700</v>
      </c>
      <c r="CK146">
        <v>700</v>
      </c>
      <c r="CL146">
        <v>600</v>
      </c>
      <c r="CM146">
        <v>500</v>
      </c>
      <c r="CN146">
        <v>500</v>
      </c>
      <c r="CO146">
        <v>500</v>
      </c>
      <c r="CP146">
        <v>500</v>
      </c>
    </row>
    <row r="147" spans="11:94" x14ac:dyDescent="0.2">
      <c r="L147" t="s">
        <v>120</v>
      </c>
      <c r="M147">
        <v>60</v>
      </c>
      <c r="N147">
        <v>490</v>
      </c>
      <c r="O147">
        <v>1.5</v>
      </c>
      <c r="P147" t="e" cm="1">
        <f t="array" aca="1" ref="P147" ca="1">_xludf.XLOOKUP(K$15,$BX$169:$CG$169,_xludf.XLOOKUP($D$11,$BW$170:$BW$176,$BX$170:$CG$176))</f>
        <v>#NAME?</v>
      </c>
      <c r="Q147" t="e">
        <f t="shared" ca="1" si="64"/>
        <v>#NAME?</v>
      </c>
      <c r="V147">
        <v>1</v>
      </c>
      <c r="W147">
        <v>0</v>
      </c>
      <c r="X147">
        <v>0</v>
      </c>
      <c r="Y147">
        <f t="shared" si="65"/>
        <v>0</v>
      </c>
      <c r="Z147">
        <f t="shared" si="66"/>
        <v>5.3789999999999996</v>
      </c>
      <c r="AA147" t="e">
        <f t="shared" ca="1" si="67"/>
        <v>#NAME?</v>
      </c>
      <c r="AB147">
        <f t="shared" si="68"/>
        <v>1.3680534651587215</v>
      </c>
      <c r="AC147">
        <f t="shared" si="69"/>
        <v>10.6135214656</v>
      </c>
      <c r="AD147">
        <f t="shared" si="70"/>
        <v>5.7058291399065597</v>
      </c>
      <c r="AE147">
        <f t="shared" si="71"/>
        <v>0</v>
      </c>
      <c r="AF147">
        <f t="shared" si="72"/>
        <v>3.3831093429600211E-3</v>
      </c>
      <c r="AG147">
        <f t="shared" si="73"/>
        <v>0</v>
      </c>
      <c r="AH147">
        <f t="shared" si="74"/>
        <v>18.522523652706113</v>
      </c>
      <c r="AI147">
        <f t="shared" si="75"/>
        <v>5.8957449457668544E-2</v>
      </c>
      <c r="AJ147">
        <f t="shared" si="76"/>
        <v>322.79203578073526</v>
      </c>
      <c r="AK147" t="e">
        <f t="shared" ca="1" si="77"/>
        <v>#NAME?</v>
      </c>
      <c r="AL147" t="e">
        <f t="shared" ca="1" si="78"/>
        <v>#NAME?</v>
      </c>
      <c r="AM147">
        <v>0.4</v>
      </c>
      <c r="AN147">
        <v>0.1</v>
      </c>
      <c r="BU147" t="s">
        <v>182</v>
      </c>
      <c r="BV147" t="s">
        <v>166</v>
      </c>
      <c r="BW147" t="s">
        <v>117</v>
      </c>
      <c r="BX147">
        <v>0.27</v>
      </c>
      <c r="BY147">
        <v>-0.19</v>
      </c>
      <c r="BZ147">
        <v>0.38</v>
      </c>
      <c r="CA147">
        <v>0.25</v>
      </c>
      <c r="CB147">
        <v>7.0000000000000007E-2</v>
      </c>
      <c r="CC147">
        <v>0.05</v>
      </c>
      <c r="CD147">
        <v>0.52</v>
      </c>
      <c r="CE147">
        <v>0.55000000000000004</v>
      </c>
      <c r="CF147">
        <v>0.19</v>
      </c>
      <c r="CG147">
        <v>0.6</v>
      </c>
      <c r="CJ147">
        <v>770</v>
      </c>
      <c r="CK147">
        <v>770</v>
      </c>
      <c r="CL147">
        <v>660</v>
      </c>
      <c r="CM147">
        <v>550</v>
      </c>
      <c r="CN147">
        <v>550</v>
      </c>
      <c r="CO147">
        <v>550</v>
      </c>
      <c r="CP147">
        <v>550</v>
      </c>
    </row>
    <row r="148" spans="11:94" x14ac:dyDescent="0.2">
      <c r="L148" t="s">
        <v>121</v>
      </c>
      <c r="M148">
        <v>65</v>
      </c>
      <c r="N148">
        <v>500</v>
      </c>
      <c r="O148">
        <v>1.3</v>
      </c>
      <c r="P148" t="e" cm="1">
        <f t="array" aca="1" ref="P148" ca="1">_xludf.XLOOKUP(K$15,$BX$169:$CG$169,_xludf.XLOOKUP($D$11,$BW$170:$BW$176,$BX$170:$CG$176))</f>
        <v>#NAME?</v>
      </c>
      <c r="Q148" t="e">
        <f t="shared" ca="1" si="64"/>
        <v>#NAME?</v>
      </c>
      <c r="V148">
        <v>1</v>
      </c>
      <c r="W148">
        <v>0</v>
      </c>
      <c r="X148">
        <v>0</v>
      </c>
      <c r="Y148">
        <f t="shared" si="65"/>
        <v>0</v>
      </c>
      <c r="Z148">
        <f t="shared" si="66"/>
        <v>3.7749999999999995</v>
      </c>
      <c r="AA148" t="e">
        <f t="shared" ca="1" si="67"/>
        <v>#NAME?</v>
      </c>
      <c r="AB148">
        <f t="shared" si="68"/>
        <v>1.3132914867454031</v>
      </c>
      <c r="AC148">
        <f t="shared" si="69"/>
        <v>10.333010250000001</v>
      </c>
      <c r="AD148">
        <f t="shared" si="70"/>
        <v>6.4229991713999999</v>
      </c>
      <c r="AE148">
        <f t="shared" si="71"/>
        <v>0</v>
      </c>
      <c r="AF148">
        <f t="shared" si="72"/>
        <v>3.8083349455051616E-3</v>
      </c>
      <c r="AG148">
        <f t="shared" si="73"/>
        <v>0</v>
      </c>
      <c r="AH148">
        <f t="shared" si="74"/>
        <v>22.58818664552749</v>
      </c>
      <c r="AI148">
        <f t="shared" si="75"/>
        <v>6.9059227384439995E-2</v>
      </c>
      <c r="AJ148">
        <f t="shared" si="76"/>
        <v>409.60754242395973</v>
      </c>
      <c r="AK148" t="e">
        <f t="shared" ca="1" si="77"/>
        <v>#NAME?</v>
      </c>
      <c r="AL148" t="e">
        <f t="shared" ca="1" si="78"/>
        <v>#NAME?</v>
      </c>
      <c r="AM148">
        <v>0.3</v>
      </c>
      <c r="AN148">
        <v>0.13</v>
      </c>
      <c r="BW148" t="s">
        <v>119</v>
      </c>
      <c r="BX148">
        <v>0.16</v>
      </c>
      <c r="BY148">
        <v>0.16</v>
      </c>
      <c r="BZ148">
        <v>0.8</v>
      </c>
      <c r="CA148">
        <v>0.56999999999999995</v>
      </c>
      <c r="CB148">
        <v>0.76</v>
      </c>
      <c r="CC148">
        <v>0.49</v>
      </c>
      <c r="CD148">
        <v>0.84</v>
      </c>
      <c r="CE148">
        <v>0.51</v>
      </c>
      <c r="CF148">
        <v>0.36</v>
      </c>
      <c r="CG148">
        <v>0.17</v>
      </c>
      <c r="CJ148">
        <v>770</v>
      </c>
      <c r="CK148">
        <v>770</v>
      </c>
      <c r="CL148">
        <v>660</v>
      </c>
      <c r="CM148">
        <v>550</v>
      </c>
      <c r="CN148">
        <v>550</v>
      </c>
      <c r="CO148">
        <v>550</v>
      </c>
      <c r="CP148">
        <v>550</v>
      </c>
    </row>
    <row r="149" spans="11:94" x14ac:dyDescent="0.2">
      <c r="K149" t="s">
        <v>141</v>
      </c>
      <c r="L149" t="s">
        <v>117</v>
      </c>
      <c r="M149">
        <v>200</v>
      </c>
      <c r="N149">
        <v>70</v>
      </c>
      <c r="O149">
        <v>0.4</v>
      </c>
      <c r="P149" t="e" cm="1">
        <f t="array" aca="1" ref="P149" ca="1">_xludf.XLOOKUP(K$19,$BX$169:$CG$169,_xludf.XLOOKUP($D$11,$BW$170:$BW$176,$BX$170:$CG$176))</f>
        <v>#NAME?</v>
      </c>
      <c r="Q149" t="e">
        <f t="shared" ca="1" si="64"/>
        <v>#NAME?</v>
      </c>
      <c r="V149">
        <v>1</v>
      </c>
      <c r="W149">
        <f>VLOOKUP($G$141, $CL$17:$CN$25, 2, FALSE)</f>
        <v>6</v>
      </c>
      <c r="X149">
        <v>0</v>
      </c>
      <c r="Y149">
        <f t="shared" si="65"/>
        <v>0</v>
      </c>
      <c r="Z149">
        <f t="shared" si="66"/>
        <v>8.5869999999999997</v>
      </c>
      <c r="AA149" t="e">
        <f t="shared" ca="1" si="67"/>
        <v>#NAME?</v>
      </c>
      <c r="AB149">
        <f t="shared" si="68"/>
        <v>1.1762711598946149</v>
      </c>
      <c r="AC149">
        <f t="shared" si="69"/>
        <v>2.6116499236000004</v>
      </c>
      <c r="AD149">
        <f t="shared" si="70"/>
        <v>0.96526581176256021</v>
      </c>
      <c r="AE149">
        <f t="shared" si="71"/>
        <v>0</v>
      </c>
      <c r="AF149">
        <f t="shared" si="72"/>
        <v>5.7232694953555604E-4</v>
      </c>
      <c r="AG149">
        <f t="shared" si="73"/>
        <v>0</v>
      </c>
      <c r="AH149">
        <f t="shared" si="74"/>
        <v>10.444966829023898</v>
      </c>
      <c r="AI149">
        <f t="shared" si="75"/>
        <v>1.3653530443106299E-2</v>
      </c>
      <c r="AJ149">
        <f t="shared" si="76"/>
        <v>249.17693058668996</v>
      </c>
      <c r="AK149" t="e">
        <f t="shared" ca="1" si="77"/>
        <v>#NAME?</v>
      </c>
      <c r="AL149" t="e">
        <f t="shared" ca="1" si="78"/>
        <v>#NAME?</v>
      </c>
      <c r="AM149">
        <v>0.6</v>
      </c>
      <c r="AN149">
        <v>0.05</v>
      </c>
      <c r="BW149" t="s">
        <v>120</v>
      </c>
      <c r="BX149">
        <v>0.45</v>
      </c>
      <c r="BY149">
        <v>0.1</v>
      </c>
      <c r="BZ149">
        <v>0.49</v>
      </c>
      <c r="CA149">
        <v>0.41</v>
      </c>
      <c r="CB149">
        <v>0.4</v>
      </c>
      <c r="CC149">
        <v>0.17</v>
      </c>
      <c r="CD149">
        <v>0.54</v>
      </c>
      <c r="CE149">
        <v>0.64</v>
      </c>
      <c r="CF149">
        <v>-0.05</v>
      </c>
      <c r="CG149">
        <v>0.32</v>
      </c>
      <c r="CJ149">
        <v>770</v>
      </c>
      <c r="CK149">
        <v>770</v>
      </c>
      <c r="CL149">
        <v>660</v>
      </c>
      <c r="CM149">
        <v>550</v>
      </c>
      <c r="CN149">
        <v>550</v>
      </c>
      <c r="CO149">
        <v>550</v>
      </c>
      <c r="CP149">
        <v>550</v>
      </c>
    </row>
    <row r="150" spans="11:94" x14ac:dyDescent="0.2">
      <c r="L150" t="s">
        <v>119</v>
      </c>
      <c r="M150">
        <v>130</v>
      </c>
      <c r="N150">
        <v>75</v>
      </c>
      <c r="O150">
        <v>0.5</v>
      </c>
      <c r="P150" t="e" cm="1">
        <f t="array" aca="1" ref="P150" ca="1">_xludf.XLOOKUP(K$19,$BX$169:$CG$169,_xludf.XLOOKUP($D$11,$BW$170:$BW$176,$BX$170:$CG$176))</f>
        <v>#NAME?</v>
      </c>
      <c r="Q150" t="e">
        <f t="shared" ca="1" si="64"/>
        <v>#NAME?</v>
      </c>
      <c r="V150">
        <v>1</v>
      </c>
      <c r="W150">
        <f>VLOOKUP($G$141, $CL$17:$CN$25, 3, FALSE)</f>
        <v>4</v>
      </c>
      <c r="X150">
        <v>0</v>
      </c>
      <c r="Y150">
        <f t="shared" si="65"/>
        <v>0</v>
      </c>
      <c r="Z150">
        <f t="shared" si="66"/>
        <v>6.9829999999999997</v>
      </c>
      <c r="AA150" t="e">
        <f t="shared" ca="1" si="67"/>
        <v>#NAME?</v>
      </c>
      <c r="AB150">
        <f t="shared" si="68"/>
        <v>1.2193553180247376</v>
      </c>
      <c r="AC150">
        <f t="shared" si="69"/>
        <v>2.7834751406249998</v>
      </c>
      <c r="AD150">
        <f t="shared" si="70"/>
        <v>1.2625843237874999</v>
      </c>
      <c r="AE150">
        <f t="shared" si="71"/>
        <v>0</v>
      </c>
      <c r="AF150">
        <f t="shared" si="72"/>
        <v>7.4861351739500246E-4</v>
      </c>
      <c r="AG150">
        <f t="shared" si="73"/>
        <v>0</v>
      </c>
      <c r="AH150">
        <f t="shared" si="74"/>
        <v>8.8804278500982168</v>
      </c>
      <c r="AI150">
        <f t="shared" si="75"/>
        <v>1.4727751533279891E-2</v>
      </c>
      <c r="AJ150">
        <f t="shared" si="76"/>
        <v>174.7079525635327</v>
      </c>
      <c r="AK150" t="e">
        <f t="shared" ca="1" si="77"/>
        <v>#NAME?</v>
      </c>
      <c r="AL150" t="e">
        <f t="shared" ca="1" si="78"/>
        <v>#NAME?</v>
      </c>
      <c r="AM150">
        <v>0.5</v>
      </c>
      <c r="AN150">
        <v>7.0000000000000007E-2</v>
      </c>
      <c r="BW150" t="s">
        <v>121</v>
      </c>
      <c r="BX150">
        <v>0.51</v>
      </c>
      <c r="BY150">
        <v>-7.0000000000000007E-2</v>
      </c>
      <c r="BZ150">
        <v>0.13</v>
      </c>
      <c r="CA150">
        <v>-0.09</v>
      </c>
      <c r="CB150">
        <v>-0.13</v>
      </c>
      <c r="CC150">
        <v>7.0000000000000007E-2</v>
      </c>
      <c r="CD150">
        <v>0.25</v>
      </c>
      <c r="CE150">
        <v>0.71</v>
      </c>
      <c r="CF150">
        <v>0.17</v>
      </c>
      <c r="CG150">
        <v>0.43</v>
      </c>
      <c r="CJ150">
        <v>770</v>
      </c>
      <c r="CK150">
        <v>770</v>
      </c>
      <c r="CL150">
        <v>660</v>
      </c>
      <c r="CM150">
        <v>550</v>
      </c>
      <c r="CN150">
        <v>550</v>
      </c>
      <c r="CO150">
        <v>550</v>
      </c>
      <c r="CP150">
        <v>550</v>
      </c>
    </row>
    <row r="151" spans="11:94" x14ac:dyDescent="0.2">
      <c r="L151" t="s">
        <v>120</v>
      </c>
      <c r="M151">
        <v>250</v>
      </c>
      <c r="N151">
        <v>80</v>
      </c>
      <c r="O151">
        <v>0.6</v>
      </c>
      <c r="P151" t="e" cm="1">
        <f t="array" aca="1" ref="P151" ca="1">_xludf.XLOOKUP(K$19,$BX$169:$CG$169,_xludf.XLOOKUP($D$11,$BW$170:$BW$176,$BX$170:$CG$176))</f>
        <v>#NAME?</v>
      </c>
      <c r="Q151" t="e">
        <f t="shared" ca="1" si="64"/>
        <v>#NAME?</v>
      </c>
      <c r="V151">
        <v>1</v>
      </c>
      <c r="W151">
        <v>0</v>
      </c>
      <c r="X151">
        <v>0</v>
      </c>
      <c r="Y151">
        <f t="shared" si="65"/>
        <v>0</v>
      </c>
      <c r="Z151">
        <f t="shared" si="66"/>
        <v>5.3789999999999996</v>
      </c>
      <c r="AA151" t="e">
        <f t="shared" ca="1" si="67"/>
        <v>#NAME?</v>
      </c>
      <c r="AB151">
        <f t="shared" si="68"/>
        <v>1.2620356226501883</v>
      </c>
      <c r="AC151">
        <f t="shared" si="69"/>
        <v>2.9603267136000002</v>
      </c>
      <c r="AD151">
        <f t="shared" si="70"/>
        <v>1.5914716412313599</v>
      </c>
      <c r="AE151">
        <f t="shared" si="71"/>
        <v>0</v>
      </c>
      <c r="AF151">
        <f t="shared" si="72"/>
        <v>9.4361791187352396E-4</v>
      </c>
      <c r="AG151">
        <f t="shared" si="73"/>
        <v>0</v>
      </c>
      <c r="AH151">
        <f t="shared" si="74"/>
        <v>21.526283614614766</v>
      </c>
      <c r="AI151">
        <f t="shared" si="75"/>
        <v>1.6444430169661069E-2</v>
      </c>
      <c r="AJ151">
        <f t="shared" si="76"/>
        <v>375.13856324539313</v>
      </c>
      <c r="AK151" t="e">
        <f t="shared" ca="1" si="77"/>
        <v>#NAME?</v>
      </c>
      <c r="AL151" t="e">
        <f t="shared" ca="1" si="78"/>
        <v>#NAME?</v>
      </c>
      <c r="AM151">
        <v>0.4</v>
      </c>
      <c r="AN151">
        <v>0.1</v>
      </c>
      <c r="BU151" t="s">
        <v>182</v>
      </c>
      <c r="BV151" t="s">
        <v>167</v>
      </c>
      <c r="BW151" t="s">
        <v>117</v>
      </c>
      <c r="BX151">
        <v>-0.12</v>
      </c>
      <c r="BY151">
        <v>-0.19</v>
      </c>
      <c r="BZ151">
        <v>0.41</v>
      </c>
      <c r="CA151">
        <v>0.09</v>
      </c>
      <c r="CB151">
        <v>0.41</v>
      </c>
      <c r="CC151">
        <v>-0.19</v>
      </c>
      <c r="CD151">
        <v>7.0000000000000007E-2</v>
      </c>
      <c r="CE151">
        <v>1.07</v>
      </c>
      <c r="CF151">
        <v>-0.08</v>
      </c>
      <c r="CG151">
        <v>0</v>
      </c>
      <c r="CJ151">
        <v>770</v>
      </c>
      <c r="CK151">
        <v>770</v>
      </c>
      <c r="CL151">
        <v>660</v>
      </c>
      <c r="CM151">
        <v>550</v>
      </c>
      <c r="CN151">
        <v>550</v>
      </c>
      <c r="CO151">
        <v>550</v>
      </c>
      <c r="CP151">
        <v>550</v>
      </c>
    </row>
    <row r="152" spans="11:94" x14ac:dyDescent="0.2">
      <c r="L152" t="s">
        <v>121</v>
      </c>
      <c r="M152">
        <v>150</v>
      </c>
      <c r="N152">
        <v>85</v>
      </c>
      <c r="O152">
        <v>0.7</v>
      </c>
      <c r="P152" t="e" cm="1">
        <f t="array" aca="1" ref="P152" ca="1">_xludf.XLOOKUP(K$19,$BX$169:$CG$169,_xludf.XLOOKUP($D$11,$BW$170:$BW$176,$BX$170:$CG$176))</f>
        <v>#NAME?</v>
      </c>
      <c r="Q152" t="e">
        <f t="shared" ca="1" si="64"/>
        <v>#NAME?</v>
      </c>
      <c r="V152">
        <v>1</v>
      </c>
      <c r="W152">
        <v>0</v>
      </c>
      <c r="X152">
        <v>0</v>
      </c>
      <c r="Y152">
        <f t="shared" si="65"/>
        <v>0</v>
      </c>
      <c r="Z152">
        <f t="shared" si="66"/>
        <v>3.7749999999999995</v>
      </c>
      <c r="AA152" t="e">
        <f t="shared" ca="1" si="67"/>
        <v>#NAME?</v>
      </c>
      <c r="AB152">
        <f t="shared" si="68"/>
        <v>1.3043106725599385</v>
      </c>
      <c r="AC152">
        <f t="shared" si="69"/>
        <v>3.1421639382249995</v>
      </c>
      <c r="AD152">
        <f t="shared" si="70"/>
        <v>1.9531691040006594</v>
      </c>
      <c r="AE152">
        <f t="shared" si="71"/>
        <v>0</v>
      </c>
      <c r="AF152">
        <f t="shared" si="72"/>
        <v>1.1580761502146375E-3</v>
      </c>
      <c r="AG152">
        <f t="shared" si="73"/>
        <v>0</v>
      </c>
      <c r="AH152">
        <f t="shared" si="74"/>
        <v>15.85116730606285</v>
      </c>
      <c r="AI152">
        <f t="shared" si="75"/>
        <v>2.1000212778175431E-2</v>
      </c>
      <c r="AJ152">
        <f t="shared" si="76"/>
        <v>287.44041240127621</v>
      </c>
      <c r="AK152" t="e">
        <f t="shared" ca="1" si="77"/>
        <v>#NAME?</v>
      </c>
      <c r="AL152" t="e">
        <f t="shared" ca="1" si="78"/>
        <v>#NAME?</v>
      </c>
      <c r="AM152">
        <v>0.3</v>
      </c>
      <c r="AN152">
        <v>0.13</v>
      </c>
      <c r="BW152" t="s">
        <v>119</v>
      </c>
      <c r="BX152">
        <v>0.65</v>
      </c>
      <c r="BY152">
        <v>0.19</v>
      </c>
      <c r="BZ152">
        <v>0.65</v>
      </c>
      <c r="CA152">
        <v>0.51</v>
      </c>
      <c r="CB152">
        <v>0.18</v>
      </c>
      <c r="CC152">
        <v>0.63</v>
      </c>
      <c r="CD152">
        <v>1.3</v>
      </c>
      <c r="CE152">
        <v>0.48</v>
      </c>
      <c r="CF152">
        <v>1.1200000000000001</v>
      </c>
      <c r="CG152">
        <v>0.38</v>
      </c>
      <c r="CJ152">
        <v>770</v>
      </c>
      <c r="CK152">
        <v>770</v>
      </c>
      <c r="CL152">
        <v>660</v>
      </c>
      <c r="CM152">
        <v>550</v>
      </c>
      <c r="CN152">
        <v>550</v>
      </c>
      <c r="CO152">
        <v>550</v>
      </c>
      <c r="CP152">
        <v>550</v>
      </c>
    </row>
    <row r="153" spans="11:94" x14ac:dyDescent="0.2">
      <c r="K153" t="s">
        <v>146</v>
      </c>
      <c r="L153" t="s">
        <v>117</v>
      </c>
      <c r="M153">
        <v>20</v>
      </c>
      <c r="N153">
        <v>310</v>
      </c>
      <c r="O153">
        <v>0.5</v>
      </c>
      <c r="P153" t="e" cm="1">
        <f t="array" aca="1" ref="P153" ca="1">_xludf.XLOOKUP(K$23,$BX$169:$CG$169,_xludf.XLOOKUP($D$11,$BW$170:$BW$176,$BX$170:$CG$176))</f>
        <v>#NAME?</v>
      </c>
      <c r="Q153" t="e">
        <f t="shared" ca="1" si="64"/>
        <v>#NAME?</v>
      </c>
      <c r="V153">
        <v>1</v>
      </c>
      <c r="W153">
        <v>0</v>
      </c>
      <c r="X153">
        <v>0</v>
      </c>
      <c r="Y153">
        <f t="shared" si="65"/>
        <v>0</v>
      </c>
      <c r="Z153">
        <f t="shared" si="66"/>
        <v>8.5869999999999997</v>
      </c>
      <c r="AA153" t="e">
        <f t="shared" ca="1" si="67"/>
        <v>#NAME?</v>
      </c>
      <c r="AB153">
        <f t="shared" si="68"/>
        <v>1.1389899284489591</v>
      </c>
      <c r="AC153">
        <f t="shared" si="69"/>
        <v>6.2502000016000014</v>
      </c>
      <c r="AD153">
        <f t="shared" si="70"/>
        <v>2.3100739205913605</v>
      </c>
      <c r="AE153">
        <f t="shared" si="71"/>
        <v>0</v>
      </c>
      <c r="AF153">
        <f t="shared" si="72"/>
        <v>1.3696927251153025E-3</v>
      </c>
      <c r="AG153">
        <f t="shared" si="73"/>
        <v>0</v>
      </c>
      <c r="AH153">
        <f t="shared" si="74"/>
        <v>2.4996892233354271</v>
      </c>
      <c r="AI153">
        <f t="shared" si="75"/>
        <v>2.6913941225449756E-2</v>
      </c>
      <c r="AJ153">
        <f t="shared" si="76"/>
        <v>49.117942736445805</v>
      </c>
      <c r="AK153" t="e">
        <f t="shared" ca="1" si="77"/>
        <v>#NAME?</v>
      </c>
      <c r="AL153" t="e">
        <f t="shared" ca="1" si="78"/>
        <v>#NAME?</v>
      </c>
      <c r="AM153">
        <v>0.6</v>
      </c>
      <c r="AN153">
        <v>0.05</v>
      </c>
      <c r="BW153" t="s">
        <v>120</v>
      </c>
      <c r="BX153">
        <v>0.7</v>
      </c>
      <c r="BY153">
        <v>0.13</v>
      </c>
      <c r="BZ153">
        <v>0.52</v>
      </c>
      <c r="CA153">
        <v>0.34</v>
      </c>
      <c r="CB153">
        <v>0.02</v>
      </c>
      <c r="CC153">
        <v>0.04</v>
      </c>
      <c r="CD153">
        <v>0.77</v>
      </c>
      <c r="CE153">
        <v>0.42</v>
      </c>
      <c r="CF153">
        <v>0.12</v>
      </c>
      <c r="CG153">
        <v>0.74</v>
      </c>
    </row>
    <row r="154" spans="11:94" x14ac:dyDescent="0.2">
      <c r="L154" t="s">
        <v>119</v>
      </c>
      <c r="M154">
        <v>30</v>
      </c>
      <c r="N154">
        <v>320</v>
      </c>
      <c r="O154">
        <v>0.4</v>
      </c>
      <c r="P154" t="e" cm="1">
        <f t="array" aca="1" ref="P154" ca="1">_xludf.XLOOKUP(K$23,$BX$169:$CG$169,_xludf.XLOOKUP($D$11,$BW$170:$BW$176,$BX$170:$CG$176))</f>
        <v>#NAME?</v>
      </c>
      <c r="Q154" t="e">
        <f t="shared" ca="1" si="64"/>
        <v>#NAME?</v>
      </c>
      <c r="V154">
        <v>1</v>
      </c>
      <c r="W154">
        <v>0</v>
      </c>
      <c r="X154">
        <v>0</v>
      </c>
      <c r="Y154">
        <f t="shared" si="65"/>
        <v>0</v>
      </c>
      <c r="Z154">
        <f t="shared" si="66"/>
        <v>6.9829999999999997</v>
      </c>
      <c r="AA154" t="e">
        <f t="shared" ca="1" si="67"/>
        <v>#NAME?</v>
      </c>
      <c r="AB154">
        <f t="shared" si="68"/>
        <v>1.1090819240433485</v>
      </c>
      <c r="AC154">
        <f t="shared" si="69"/>
        <v>6.2378059535999979</v>
      </c>
      <c r="AD154">
        <f t="shared" si="70"/>
        <v>2.829468780552959</v>
      </c>
      <c r="AE154">
        <f t="shared" si="71"/>
        <v>0</v>
      </c>
      <c r="AF154">
        <f t="shared" si="72"/>
        <v>1.6776531565155094E-3</v>
      </c>
      <c r="AG154">
        <f t="shared" si="73"/>
        <v>0</v>
      </c>
      <c r="AH154">
        <f t="shared" si="74"/>
        <v>4.5925755159612072</v>
      </c>
      <c r="AI154">
        <f t="shared" si="75"/>
        <v>2.9408230982897684E-2</v>
      </c>
      <c r="AJ154">
        <f t="shared" si="76"/>
        <v>80.505032315682413</v>
      </c>
      <c r="AK154" t="e">
        <f t="shared" ca="1" si="77"/>
        <v>#NAME?</v>
      </c>
      <c r="AL154" t="e">
        <f t="shared" ca="1" si="78"/>
        <v>#NAME?</v>
      </c>
      <c r="AM154">
        <v>0.5</v>
      </c>
      <c r="AN154">
        <v>7.0000000000000007E-2</v>
      </c>
      <c r="BW154" t="s">
        <v>121</v>
      </c>
      <c r="BX154">
        <v>0.32</v>
      </c>
      <c r="BY154">
        <v>-0.06</v>
      </c>
      <c r="BZ154">
        <v>0.25</v>
      </c>
      <c r="CA154">
        <v>0.19</v>
      </c>
      <c r="CB154">
        <v>-0.1</v>
      </c>
      <c r="CC154">
        <v>-0.02</v>
      </c>
      <c r="CD154">
        <v>0.02</v>
      </c>
      <c r="CE154">
        <v>0.23</v>
      </c>
      <c r="CF154">
        <v>-0.13</v>
      </c>
      <c r="CG154">
        <v>0</v>
      </c>
    </row>
    <row r="155" spans="11:94" x14ac:dyDescent="0.2">
      <c r="L155" t="s">
        <v>120</v>
      </c>
      <c r="M155">
        <v>60</v>
      </c>
      <c r="N155">
        <v>330</v>
      </c>
      <c r="O155">
        <v>0.3</v>
      </c>
      <c r="P155" t="e" cm="1">
        <f t="array" aca="1" ref="P155" ca="1">_xludf.XLOOKUP(K$23,$BX$169:$CG$169,_xludf.XLOOKUP($D$11,$BW$170:$BW$176,$BX$170:$CG$176))</f>
        <v>#NAME?</v>
      </c>
      <c r="Q155" t="e">
        <f t="shared" ca="1" si="64"/>
        <v>#NAME?</v>
      </c>
      <c r="V155">
        <v>1</v>
      </c>
      <c r="W155">
        <v>0</v>
      </c>
      <c r="X155">
        <v>0</v>
      </c>
      <c r="Y155">
        <f t="shared" si="65"/>
        <v>0</v>
      </c>
      <c r="Z155">
        <f t="shared" si="66"/>
        <v>5.3789999999999996</v>
      </c>
      <c r="AA155" t="e">
        <f t="shared" ca="1" si="67"/>
        <v>#NAME?</v>
      </c>
      <c r="AB155">
        <f t="shared" si="68"/>
        <v>1.0802983444075933</v>
      </c>
      <c r="AC155">
        <f t="shared" si="69"/>
        <v>6.222829593600002</v>
      </c>
      <c r="AD155">
        <f t="shared" si="70"/>
        <v>3.3453931895193607</v>
      </c>
      <c r="AE155">
        <f t="shared" si="71"/>
        <v>0</v>
      </c>
      <c r="AF155">
        <f t="shared" si="72"/>
        <v>1.9835558825589228E-3</v>
      </c>
      <c r="AG155">
        <f t="shared" si="73"/>
        <v>0</v>
      </c>
      <c r="AH155">
        <f t="shared" si="74"/>
        <v>10.859968457010101</v>
      </c>
      <c r="AI155">
        <f t="shared" si="75"/>
        <v>3.4567430087881372E-2</v>
      </c>
      <c r="AJ155">
        <f t="shared" si="76"/>
        <v>189.25667973115054</v>
      </c>
      <c r="AK155" t="e">
        <f t="shared" ca="1" si="77"/>
        <v>#NAME?</v>
      </c>
      <c r="AL155" t="e">
        <f t="shared" ca="1" si="78"/>
        <v>#NAME?</v>
      </c>
      <c r="AM155">
        <v>0.4</v>
      </c>
      <c r="AN155">
        <v>0.1</v>
      </c>
      <c r="BU155" t="s">
        <v>182</v>
      </c>
      <c r="BV155" t="s">
        <v>168</v>
      </c>
      <c r="BW155" t="s">
        <v>117</v>
      </c>
      <c r="BX155">
        <v>0.62</v>
      </c>
      <c r="BY155">
        <v>-0.19</v>
      </c>
      <c r="BZ155">
        <v>0.37</v>
      </c>
      <c r="CA155">
        <v>0.41</v>
      </c>
      <c r="CB155">
        <v>0.06</v>
      </c>
      <c r="CC155">
        <v>-0.02</v>
      </c>
      <c r="CD155">
        <v>0.47</v>
      </c>
      <c r="CE155">
        <v>0.44</v>
      </c>
      <c r="CF155">
        <v>0.3</v>
      </c>
      <c r="CG155">
        <v>0.13</v>
      </c>
    </row>
    <row r="156" spans="11:94" x14ac:dyDescent="0.2">
      <c r="L156" t="s">
        <v>121</v>
      </c>
      <c r="M156">
        <v>30</v>
      </c>
      <c r="N156">
        <v>340</v>
      </c>
      <c r="O156">
        <v>0.2</v>
      </c>
      <c r="P156" t="e" cm="1">
        <f t="array" aca="1" ref="P156" ca="1">_xludf.XLOOKUP(K$23,$BX$169:$CG$169,_xludf.XLOOKUP($D$11,$BW$170:$BW$176,$BX$170:$CG$176))</f>
        <v>#NAME?</v>
      </c>
      <c r="Q156" t="e">
        <f t="shared" ca="1" si="64"/>
        <v>#NAME?</v>
      </c>
      <c r="V156">
        <v>1</v>
      </c>
      <c r="W156">
        <v>0</v>
      </c>
      <c r="X156">
        <v>0</v>
      </c>
      <c r="Y156">
        <f t="shared" si="65"/>
        <v>0</v>
      </c>
      <c r="Z156">
        <f t="shared" si="66"/>
        <v>3.7749999999999995</v>
      </c>
      <c r="AA156" t="e">
        <f t="shared" ca="1" si="67"/>
        <v>#NAME?</v>
      </c>
      <c r="AB156">
        <f t="shared" si="68"/>
        <v>1.0525669477512427</v>
      </c>
      <c r="AC156">
        <f t="shared" si="69"/>
        <v>6.2052802816000021</v>
      </c>
      <c r="AD156">
        <f t="shared" si="70"/>
        <v>3.8572022230425609</v>
      </c>
      <c r="AE156">
        <f t="shared" si="71"/>
        <v>0</v>
      </c>
      <c r="AF156">
        <f t="shared" si="72"/>
        <v>2.2870185136099519E-3</v>
      </c>
      <c r="AG156">
        <f t="shared" si="73"/>
        <v>0</v>
      </c>
      <c r="AH156">
        <f t="shared" si="74"/>
        <v>6.2607131810072429</v>
      </c>
      <c r="AI156">
        <f t="shared" si="75"/>
        <v>4.1472122022834179E-2</v>
      </c>
      <c r="AJ156">
        <f t="shared" si="76"/>
        <v>113.52993403750855</v>
      </c>
      <c r="AK156" t="e">
        <f t="shared" ca="1" si="77"/>
        <v>#NAME?</v>
      </c>
      <c r="AL156" t="e">
        <f t="shared" ca="1" si="78"/>
        <v>#NAME?</v>
      </c>
      <c r="AM156">
        <v>0.3</v>
      </c>
      <c r="AN156">
        <v>0.13</v>
      </c>
      <c r="BW156" t="s">
        <v>119</v>
      </c>
      <c r="BX156">
        <v>0.05</v>
      </c>
      <c r="BY156">
        <v>0.19</v>
      </c>
      <c r="BZ156">
        <v>0.31</v>
      </c>
      <c r="CA156">
        <v>0.54</v>
      </c>
      <c r="CB156">
        <v>0.53</v>
      </c>
      <c r="CC156">
        <v>0.15</v>
      </c>
      <c r="CD156">
        <v>0.28000000000000003</v>
      </c>
      <c r="CE156">
        <v>0.56999999999999995</v>
      </c>
      <c r="CF156">
        <v>0.42</v>
      </c>
      <c r="CG156">
        <v>0.4</v>
      </c>
    </row>
    <row r="157" spans="11:94" x14ac:dyDescent="0.2">
      <c r="K157" t="s">
        <v>152</v>
      </c>
      <c r="L157" t="s">
        <v>117</v>
      </c>
      <c r="M157">
        <v>100</v>
      </c>
      <c r="N157">
        <v>450</v>
      </c>
      <c r="O157" t="e" cm="1">
        <f t="array" aca="1" ref="O157" ca="1">_xludf.XLOOKUP(K157, $BX$106:$CG$106, $BX$107:$CG$110)</f>
        <v>#NAME?</v>
      </c>
      <c r="P157" t="e" cm="1">
        <f t="array" aca="1" ref="P157" ca="1">_xludf.XLOOKUP(K$27,$BX$169:$CG$169,_xludf.XLOOKUP($D$11,$BW$170:$BW$176,$BX$170:$CG$176))</f>
        <v>#NAME?</v>
      </c>
      <c r="Q157" t="e">
        <f t="shared" ca="1" si="64"/>
        <v>#NAME?</v>
      </c>
      <c r="R157">
        <v>1</v>
      </c>
      <c r="T157">
        <f t="shared" ref="T157:T164" si="79">R157+S157</f>
        <v>1</v>
      </c>
      <c r="U157">
        <v>1.3</v>
      </c>
      <c r="V157">
        <f t="shared" ref="V157:V164" si="80">(T157*U157)+(1 - T157)</f>
        <v>1.3</v>
      </c>
      <c r="W157">
        <v>0</v>
      </c>
      <c r="X157">
        <f>VLOOKUP($G$141, $CL$17:$CN$25, 2, FALSE)</f>
        <v>6</v>
      </c>
      <c r="Y157">
        <f t="shared" si="65"/>
        <v>6</v>
      </c>
      <c r="Z157">
        <f t="shared" si="66"/>
        <v>8.5869999999999997</v>
      </c>
      <c r="AA157" t="e">
        <f t="shared" ca="1" si="67"/>
        <v>#NAME?</v>
      </c>
      <c r="AB157" t="e">
        <f t="shared" ca="1" si="68"/>
        <v>#NAME?</v>
      </c>
      <c r="AC157" t="e">
        <f t="shared" ca="1" si="69"/>
        <v>#NAME?</v>
      </c>
      <c r="AD157" t="e">
        <f t="shared" ca="1" si="70"/>
        <v>#NAME?</v>
      </c>
      <c r="AE157" t="e">
        <f t="shared" ca="1" si="71"/>
        <v>#NAME?</v>
      </c>
      <c r="AF157" t="e">
        <f t="shared" ca="1" si="72"/>
        <v>#NAME?</v>
      </c>
      <c r="AG157" t="e">
        <f t="shared" ca="1" si="73"/>
        <v>#NAME?</v>
      </c>
      <c r="AH157" t="e">
        <f t="shared" ca="1" si="74"/>
        <v>#NAME?</v>
      </c>
      <c r="AI157" t="e">
        <f t="shared" ca="1" si="75"/>
        <v>#NAME?</v>
      </c>
      <c r="AJ157" t="e">
        <f t="shared" ca="1" si="76"/>
        <v>#NAME?</v>
      </c>
      <c r="AK157" t="e">
        <f t="shared" ca="1" si="77"/>
        <v>#NAME?</v>
      </c>
      <c r="AL157" t="e">
        <f t="shared" ca="1" si="78"/>
        <v>#NAME?</v>
      </c>
      <c r="AM157">
        <v>0.6</v>
      </c>
      <c r="AN157">
        <v>0.05</v>
      </c>
      <c r="BW157" t="s">
        <v>120</v>
      </c>
      <c r="BX157">
        <v>0.33</v>
      </c>
      <c r="BY157">
        <v>0.13</v>
      </c>
      <c r="BZ157">
        <v>0.39</v>
      </c>
      <c r="CA157">
        <v>0.36</v>
      </c>
      <c r="CB157">
        <v>0.26</v>
      </c>
      <c r="CC157">
        <v>0.11</v>
      </c>
      <c r="CD157">
        <v>0.4</v>
      </c>
      <c r="CE157">
        <v>0.44</v>
      </c>
      <c r="CF157">
        <v>0.37</v>
      </c>
      <c r="CG157">
        <v>-0.01</v>
      </c>
    </row>
    <row r="158" spans="11:94" x14ac:dyDescent="0.2">
      <c r="L158" t="s">
        <v>119</v>
      </c>
      <c r="M158">
        <v>110</v>
      </c>
      <c r="N158">
        <v>460</v>
      </c>
      <c r="P158" t="e" cm="1">
        <f t="array" aca="1" ref="P158" ca="1">_xludf.XLOOKUP(K$27,$BX$169:$CG$169,_xludf.XLOOKUP($D$11,$BW$170:$BW$176,$BX$170:$CG$176))</f>
        <v>#NAME?</v>
      </c>
      <c r="Q158" t="e">
        <f t="shared" ca="1" si="64"/>
        <v>#NAME?</v>
      </c>
      <c r="R158">
        <v>0</v>
      </c>
      <c r="S158">
        <v>1</v>
      </c>
      <c r="T158">
        <f t="shared" si="79"/>
        <v>1</v>
      </c>
      <c r="U158">
        <v>1.1000000000000001</v>
      </c>
      <c r="V158">
        <f t="shared" si="80"/>
        <v>1.1000000000000001</v>
      </c>
      <c r="W158">
        <v>0</v>
      </c>
      <c r="X158">
        <f>VLOOKUP($G$141, $CL$17:$CN$25, 3, FALSE)</f>
        <v>4</v>
      </c>
      <c r="Y158">
        <f t="shared" si="65"/>
        <v>4</v>
      </c>
      <c r="Z158">
        <f t="shared" si="66"/>
        <v>6.9829999999999997</v>
      </c>
      <c r="AA158" t="e">
        <f t="shared" ca="1" si="67"/>
        <v>#NAME?</v>
      </c>
      <c r="AB158">
        <f t="shared" si="68"/>
        <v>1</v>
      </c>
      <c r="AC158">
        <f t="shared" si="69"/>
        <v>8.1576397073600013</v>
      </c>
      <c r="AD158">
        <f t="shared" si="70"/>
        <v>3.7003053712584966</v>
      </c>
      <c r="AE158">
        <f t="shared" si="71"/>
        <v>0</v>
      </c>
      <c r="AF158">
        <f t="shared" si="72"/>
        <v>2.1939909812151819E-3</v>
      </c>
      <c r="AG158">
        <f t="shared" si="73"/>
        <v>0</v>
      </c>
      <c r="AH158">
        <f t="shared" si="74"/>
        <v>22.022184473947387</v>
      </c>
      <c r="AI158">
        <f t="shared" si="75"/>
        <v>3.8459316396472279E-2</v>
      </c>
      <c r="AJ158">
        <f t="shared" si="76"/>
        <v>386.03538832959049</v>
      </c>
      <c r="AK158" t="e">
        <f t="shared" ca="1" si="77"/>
        <v>#NAME?</v>
      </c>
      <c r="AL158" t="e">
        <f t="shared" ca="1" si="78"/>
        <v>#NAME?</v>
      </c>
      <c r="AM158">
        <v>0.5</v>
      </c>
      <c r="AN158">
        <v>7.0000000000000007E-2</v>
      </c>
      <c r="BW158" t="s">
        <v>121</v>
      </c>
      <c r="BX158">
        <v>0.61</v>
      </c>
      <c r="BY158">
        <v>-0.06</v>
      </c>
      <c r="BZ158">
        <v>0.21</v>
      </c>
      <c r="CA158">
        <v>0.18</v>
      </c>
      <c r="CB158">
        <v>0.12</v>
      </c>
      <c r="CC158">
        <v>0.06</v>
      </c>
      <c r="CD158">
        <v>0.28999999999999998</v>
      </c>
      <c r="CE158">
        <v>0.41</v>
      </c>
      <c r="CF158">
        <v>0.41</v>
      </c>
      <c r="CG158">
        <v>-0.15</v>
      </c>
    </row>
    <row r="159" spans="11:94" x14ac:dyDescent="0.2">
      <c r="L159" t="s">
        <v>120</v>
      </c>
      <c r="M159">
        <v>120</v>
      </c>
      <c r="N159">
        <v>470</v>
      </c>
      <c r="P159" t="e" cm="1">
        <f t="array" aca="1" ref="P159" ca="1">_xludf.XLOOKUP(K$27,$BX$169:$CG$169,_xludf.XLOOKUP($D$11,$BW$170:$BW$176,$BX$170:$CG$176))</f>
        <v>#NAME?</v>
      </c>
      <c r="Q159" t="e">
        <f t="shared" ca="1" si="64"/>
        <v>#NAME?</v>
      </c>
      <c r="R159">
        <v>0</v>
      </c>
      <c r="S159">
        <v>0</v>
      </c>
      <c r="T159">
        <f t="shared" si="79"/>
        <v>0</v>
      </c>
      <c r="U159">
        <v>1</v>
      </c>
      <c r="V159">
        <f t="shared" si="80"/>
        <v>1</v>
      </c>
      <c r="W159">
        <v>0</v>
      </c>
      <c r="X159">
        <v>0</v>
      </c>
      <c r="Y159">
        <f t="shared" si="65"/>
        <v>0</v>
      </c>
      <c r="Z159">
        <f t="shared" si="66"/>
        <v>5.3789999999999996</v>
      </c>
      <c r="AA159" t="e">
        <f t="shared" ca="1" si="67"/>
        <v>#NAME?</v>
      </c>
      <c r="AB159">
        <f t="shared" si="68"/>
        <v>1</v>
      </c>
      <c r="AC159">
        <f t="shared" si="69"/>
        <v>7.5320606916000008</v>
      </c>
      <c r="AD159">
        <f t="shared" si="70"/>
        <v>4.0492358278041598</v>
      </c>
      <c r="AE159">
        <f t="shared" si="71"/>
        <v>0</v>
      </c>
      <c r="AF159">
        <f t="shared" si="72"/>
        <v>2.4008793857989669E-3</v>
      </c>
      <c r="AG159">
        <f t="shared" si="73"/>
        <v>0</v>
      </c>
      <c r="AH159">
        <f t="shared" si="74"/>
        <v>26.28962927449869</v>
      </c>
      <c r="AI159">
        <f t="shared" si="75"/>
        <v>4.1840127141250842E-2</v>
      </c>
      <c r="AJ159">
        <f t="shared" si="76"/>
        <v>458.14939219669674</v>
      </c>
      <c r="AK159" t="e">
        <f t="shared" ca="1" si="77"/>
        <v>#NAME?</v>
      </c>
      <c r="AL159" t="e">
        <f t="shared" ca="1" si="78"/>
        <v>#NAME?</v>
      </c>
      <c r="AM159">
        <v>0.4</v>
      </c>
      <c r="AN159">
        <v>0.1</v>
      </c>
      <c r="BU159" t="s">
        <v>182</v>
      </c>
      <c r="BV159" t="s">
        <v>170</v>
      </c>
      <c r="BW159" t="s">
        <v>117</v>
      </c>
      <c r="BX159">
        <v>-0.2</v>
      </c>
      <c r="BY159">
        <v>0.02</v>
      </c>
      <c r="BZ159">
        <v>0.24</v>
      </c>
      <c r="CA159">
        <v>0.3</v>
      </c>
      <c r="CB159">
        <v>0.23</v>
      </c>
      <c r="CC159">
        <v>-0.05</v>
      </c>
      <c r="CD159">
        <v>0.34</v>
      </c>
      <c r="CE159">
        <v>0.3</v>
      </c>
      <c r="CF159">
        <v>0.56999999999999995</v>
      </c>
      <c r="CG159">
        <v>0.52</v>
      </c>
    </row>
    <row r="160" spans="11:94" x14ac:dyDescent="0.2">
      <c r="L160" t="s">
        <v>121</v>
      </c>
      <c r="M160">
        <v>130</v>
      </c>
      <c r="N160">
        <v>480</v>
      </c>
      <c r="P160" t="e" cm="1">
        <f t="array" aca="1" ref="P160" ca="1">_xludf.XLOOKUP(K$27,$BX$169:$CG$169,_xludf.XLOOKUP($D$11,$BW$170:$BW$176,$BX$170:$CG$176))</f>
        <v>#NAME?</v>
      </c>
      <c r="Q160" t="e">
        <f t="shared" ca="1" si="64"/>
        <v>#NAME?</v>
      </c>
      <c r="R160">
        <v>0</v>
      </c>
      <c r="S160">
        <v>0</v>
      </c>
      <c r="T160">
        <f t="shared" si="79"/>
        <v>0</v>
      </c>
      <c r="U160">
        <v>1</v>
      </c>
      <c r="V160">
        <f t="shared" si="80"/>
        <v>1</v>
      </c>
      <c r="W160">
        <v>0</v>
      </c>
      <c r="X160">
        <v>0</v>
      </c>
      <c r="Y160">
        <f t="shared" si="65"/>
        <v>0</v>
      </c>
      <c r="Z160">
        <f t="shared" si="66"/>
        <v>3.7749999999999995</v>
      </c>
      <c r="AA160" t="e">
        <f t="shared" ca="1" si="67"/>
        <v>#NAME?</v>
      </c>
      <c r="AB160">
        <f t="shared" si="68"/>
        <v>1</v>
      </c>
      <c r="AC160">
        <f t="shared" si="69"/>
        <v>7.6461098255999991</v>
      </c>
      <c r="AD160">
        <f t="shared" si="70"/>
        <v>4.7528218675929583</v>
      </c>
      <c r="AE160">
        <f t="shared" si="71"/>
        <v>0</v>
      </c>
      <c r="AF160">
        <f t="shared" si="72"/>
        <v>2.8180507462482051E-3</v>
      </c>
      <c r="AG160">
        <f t="shared" si="73"/>
        <v>0</v>
      </c>
      <c r="AH160">
        <f t="shared" si="74"/>
        <v>33.429126977369336</v>
      </c>
      <c r="AI160">
        <f t="shared" si="75"/>
        <v>5.1101704564021994E-2</v>
      </c>
      <c r="AJ160">
        <f t="shared" si="76"/>
        <v>606.19397039071089</v>
      </c>
      <c r="AK160" t="e">
        <f t="shared" ca="1" si="77"/>
        <v>#NAME?</v>
      </c>
      <c r="AL160" t="e">
        <f t="shared" ca="1" si="78"/>
        <v>#NAME?</v>
      </c>
      <c r="AM160">
        <v>0.3</v>
      </c>
      <c r="AN160">
        <v>0.13</v>
      </c>
      <c r="BW160" t="s">
        <v>119</v>
      </c>
      <c r="BX160">
        <v>0.62</v>
      </c>
      <c r="BY160">
        <v>0.21</v>
      </c>
      <c r="BZ160">
        <v>0.25</v>
      </c>
      <c r="CA160">
        <v>0.32</v>
      </c>
      <c r="CB160">
        <v>0.47</v>
      </c>
      <c r="CC160">
        <v>0.31</v>
      </c>
      <c r="CD160">
        <v>0.14000000000000001</v>
      </c>
      <c r="CE160">
        <v>0.4</v>
      </c>
      <c r="CF160">
        <v>0.26</v>
      </c>
      <c r="CG160">
        <v>0.43</v>
      </c>
    </row>
    <row r="161" spans="11:88" x14ac:dyDescent="0.2">
      <c r="K161" t="s">
        <v>156</v>
      </c>
      <c r="L161" t="s">
        <v>117</v>
      </c>
      <c r="M161">
        <v>50</v>
      </c>
      <c r="N161">
        <v>470</v>
      </c>
      <c r="O161">
        <v>0.3</v>
      </c>
      <c r="P161" t="e" cm="1">
        <f t="array" aca="1" ref="P161" ca="1">_xludf.XLOOKUP(K$31,$BX$169:$CG$169,_xludf.XLOOKUP($D$11,$BW$170:$BW$176,$BX$170:$CG$176))</f>
        <v>#NAME?</v>
      </c>
      <c r="Q161" t="e">
        <f t="shared" ca="1" si="64"/>
        <v>#NAME?</v>
      </c>
      <c r="R161">
        <v>1</v>
      </c>
      <c r="S161">
        <v>0</v>
      </c>
      <c r="T161">
        <f t="shared" si="79"/>
        <v>1</v>
      </c>
      <c r="U161">
        <v>1.3</v>
      </c>
      <c r="V161">
        <f t="shared" si="80"/>
        <v>1.3</v>
      </c>
      <c r="W161">
        <v>0</v>
      </c>
      <c r="X161">
        <f>VLOOKUP($G$141, $CL$17:$CN$25, 2, FALSE)</f>
        <v>6</v>
      </c>
      <c r="Y161">
        <f t="shared" si="65"/>
        <v>6</v>
      </c>
      <c r="Z161">
        <f t="shared" si="66"/>
        <v>8.5869999999999997</v>
      </c>
      <c r="AA161" t="e">
        <f t="shared" ca="1" si="67"/>
        <v>#NAME?</v>
      </c>
      <c r="AB161">
        <f t="shared" si="68"/>
        <v>1.0700516381378118</v>
      </c>
      <c r="AC161">
        <f t="shared" si="69"/>
        <v>10.477602046080001</v>
      </c>
      <c r="AD161">
        <f t="shared" si="70"/>
        <v>3.872521716231168</v>
      </c>
      <c r="AE161">
        <f t="shared" si="71"/>
        <v>0</v>
      </c>
      <c r="AF161">
        <f t="shared" si="72"/>
        <v>2.2961017720225302E-3</v>
      </c>
      <c r="AG161">
        <f t="shared" si="73"/>
        <v>0</v>
      </c>
      <c r="AH161">
        <f t="shared" si="74"/>
        <v>10.475964334852794</v>
      </c>
      <c r="AI161">
        <f t="shared" si="75"/>
        <v>4.5117526731890366E-2</v>
      </c>
      <c r="AJ161">
        <f t="shared" si="76"/>
        <v>205.84871571424978</v>
      </c>
      <c r="AK161" t="e">
        <f t="shared" ca="1" si="77"/>
        <v>#NAME?</v>
      </c>
      <c r="AL161" t="e">
        <f t="shared" ca="1" si="78"/>
        <v>#NAME?</v>
      </c>
      <c r="AM161">
        <v>0.6</v>
      </c>
      <c r="AN161">
        <v>0.05</v>
      </c>
      <c r="BW161" t="s">
        <v>120</v>
      </c>
      <c r="BX161">
        <v>0.4</v>
      </c>
      <c r="BY161">
        <v>0.13</v>
      </c>
      <c r="BZ161">
        <v>0.12</v>
      </c>
      <c r="CA161">
        <v>0.27</v>
      </c>
      <c r="CB161">
        <v>0.3</v>
      </c>
      <c r="CC161">
        <v>0.08</v>
      </c>
      <c r="CD161">
        <v>0.13</v>
      </c>
      <c r="CE161">
        <v>0.24</v>
      </c>
      <c r="CF161">
        <v>0.15</v>
      </c>
      <c r="CG161">
        <v>0.21</v>
      </c>
    </row>
    <row r="162" spans="11:88" x14ac:dyDescent="0.2">
      <c r="L162" t="s">
        <v>119</v>
      </c>
      <c r="M162">
        <v>55</v>
      </c>
      <c r="N162">
        <v>480</v>
      </c>
      <c r="O162">
        <v>0.4</v>
      </c>
      <c r="P162" t="e" cm="1">
        <f t="array" aca="1" ref="P162" ca="1">_xludf.XLOOKUP(K$31,$BX$169:$CG$169,_xludf.XLOOKUP($D$11,$BW$170:$BW$176,$BX$170:$CG$176))</f>
        <v>#NAME?</v>
      </c>
      <c r="Q162" t="e">
        <f t="shared" ca="1" si="64"/>
        <v>#NAME?</v>
      </c>
      <c r="R162">
        <v>0</v>
      </c>
      <c r="S162">
        <v>1</v>
      </c>
      <c r="T162">
        <f t="shared" si="79"/>
        <v>1</v>
      </c>
      <c r="U162">
        <v>1.1000000000000001</v>
      </c>
      <c r="V162">
        <f t="shared" si="80"/>
        <v>1.1000000000000001</v>
      </c>
      <c r="W162">
        <v>0</v>
      </c>
      <c r="X162">
        <f>VLOOKUP($G$141, $CL$17:$CN$25, 3, FALSE)</f>
        <v>4</v>
      </c>
      <c r="Y162">
        <f t="shared" si="65"/>
        <v>4</v>
      </c>
      <c r="Z162">
        <f t="shared" si="66"/>
        <v>6.9829999999999997</v>
      </c>
      <c r="AA162" t="e">
        <f t="shared" ca="1" si="67"/>
        <v>#NAME?</v>
      </c>
      <c r="AB162">
        <f t="shared" si="68"/>
        <v>1.0932103169135521</v>
      </c>
      <c r="AC162">
        <f t="shared" si="69"/>
        <v>9.1946867601599997</v>
      </c>
      <c r="AD162">
        <f t="shared" si="70"/>
        <v>4.170709914408576</v>
      </c>
      <c r="AE162">
        <f t="shared" si="71"/>
        <v>0</v>
      </c>
      <c r="AF162">
        <f t="shared" si="72"/>
        <v>2.4729039955869963E-3</v>
      </c>
      <c r="AG162">
        <f t="shared" si="73"/>
        <v>0</v>
      </c>
      <c r="AH162">
        <f t="shared" si="74"/>
        <v>12.410886927852237</v>
      </c>
      <c r="AI162">
        <f t="shared" si="75"/>
        <v>4.3348490490013082E-2</v>
      </c>
      <c r="AJ162">
        <f t="shared" si="76"/>
        <v>217.55523664675314</v>
      </c>
      <c r="AK162" t="e">
        <f t="shared" ca="1" si="77"/>
        <v>#NAME?</v>
      </c>
      <c r="AL162" t="e">
        <f t="shared" ca="1" si="78"/>
        <v>#NAME?</v>
      </c>
      <c r="AM162">
        <v>0.5</v>
      </c>
      <c r="AN162">
        <v>7.0000000000000007E-2</v>
      </c>
      <c r="BW162" t="s">
        <v>121</v>
      </c>
      <c r="BX162">
        <v>0.08</v>
      </c>
      <c r="BY162">
        <v>0.04</v>
      </c>
      <c r="BZ162">
        <v>0.06</v>
      </c>
      <c r="CA162">
        <v>0.18</v>
      </c>
      <c r="CB162">
        <v>0.11</v>
      </c>
      <c r="CC162">
        <v>-7.0000000000000007E-2</v>
      </c>
      <c r="CD162">
        <v>0.13</v>
      </c>
      <c r="CE162">
        <v>0.16</v>
      </c>
      <c r="CF162">
        <v>0.4</v>
      </c>
      <c r="CG162">
        <v>0.33</v>
      </c>
    </row>
    <row r="163" spans="11:88" x14ac:dyDescent="0.2">
      <c r="L163" t="s">
        <v>120</v>
      </c>
      <c r="M163">
        <v>60</v>
      </c>
      <c r="N163">
        <v>490</v>
      </c>
      <c r="O163">
        <v>0.5</v>
      </c>
      <c r="P163" t="e" cm="1">
        <f t="array" aca="1" ref="P163" ca="1">_xludf.XLOOKUP(K$31,$BX$169:$CG$169,_xludf.XLOOKUP($D$11,$BW$170:$BW$176,$BX$170:$CG$176))</f>
        <v>#NAME?</v>
      </c>
      <c r="Q163" t="e">
        <f t="shared" ca="1" si="64"/>
        <v>#NAME?</v>
      </c>
      <c r="R163">
        <v>0</v>
      </c>
      <c r="S163">
        <v>0</v>
      </c>
      <c r="T163">
        <f t="shared" si="79"/>
        <v>0</v>
      </c>
      <c r="U163">
        <v>1</v>
      </c>
      <c r="V163">
        <f t="shared" si="80"/>
        <v>1</v>
      </c>
      <c r="W163">
        <v>0</v>
      </c>
      <c r="X163">
        <v>0</v>
      </c>
      <c r="Y163">
        <f t="shared" si="65"/>
        <v>0</v>
      </c>
      <c r="Z163">
        <f t="shared" si="66"/>
        <v>5.3789999999999996</v>
      </c>
      <c r="AA163" t="e">
        <f t="shared" ca="1" si="67"/>
        <v>#NAME?</v>
      </c>
      <c r="AB163">
        <f t="shared" si="68"/>
        <v>1.1162895748073525</v>
      </c>
      <c r="AC163">
        <f t="shared" si="69"/>
        <v>8.6603072656000002</v>
      </c>
      <c r="AD163">
        <f t="shared" si="70"/>
        <v>4.6557811859865605</v>
      </c>
      <c r="AE163">
        <f t="shared" si="71"/>
        <v>0</v>
      </c>
      <c r="AF163">
        <f t="shared" si="72"/>
        <v>2.7605132300450486E-3</v>
      </c>
      <c r="AG163">
        <f t="shared" si="73"/>
        <v>0</v>
      </c>
      <c r="AH163">
        <f t="shared" si="74"/>
        <v>15.11380993449664</v>
      </c>
      <c r="AI163">
        <f t="shared" si="75"/>
        <v>4.810746645723462E-2</v>
      </c>
      <c r="AJ163">
        <f t="shared" si="76"/>
        <v>263.38837885335954</v>
      </c>
      <c r="AK163" t="e">
        <f t="shared" ca="1" si="77"/>
        <v>#NAME?</v>
      </c>
      <c r="AL163" t="e">
        <f t="shared" ca="1" si="78"/>
        <v>#NAME?</v>
      </c>
      <c r="AM163">
        <v>0.4</v>
      </c>
      <c r="AN163">
        <v>0.1</v>
      </c>
    </row>
    <row r="164" spans="11:88" x14ac:dyDescent="0.2">
      <c r="L164" t="s">
        <v>121</v>
      </c>
      <c r="M164">
        <v>65</v>
      </c>
      <c r="N164">
        <v>500</v>
      </c>
      <c r="O164">
        <v>0.6</v>
      </c>
      <c r="P164" t="e" cm="1">
        <f t="array" aca="1" ref="P164" ca="1">_xludf.XLOOKUP(K$31,$BX$169:$CG$169,_xludf.XLOOKUP($D$11,$BW$170:$BW$176,$BX$170:$CG$176))</f>
        <v>#NAME?</v>
      </c>
      <c r="Q164" t="e">
        <f t="shared" ca="1" si="64"/>
        <v>#NAME?</v>
      </c>
      <c r="R164">
        <v>0</v>
      </c>
      <c r="S164">
        <v>0</v>
      </c>
      <c r="T164">
        <f t="shared" si="79"/>
        <v>0</v>
      </c>
      <c r="U164">
        <v>1</v>
      </c>
      <c r="V164">
        <f t="shared" si="80"/>
        <v>1</v>
      </c>
      <c r="W164">
        <v>0</v>
      </c>
      <c r="X164">
        <v>0</v>
      </c>
      <c r="Y164">
        <f t="shared" si="65"/>
        <v>0</v>
      </c>
      <c r="Z164">
        <f t="shared" si="66"/>
        <v>3.7749999999999995</v>
      </c>
      <c r="AA164" t="e">
        <f t="shared" ca="1" si="67"/>
        <v>#NAME?</v>
      </c>
      <c r="AB164">
        <f t="shared" si="68"/>
        <v>1.1392993794503703</v>
      </c>
      <c r="AC164">
        <f t="shared" si="69"/>
        <v>8.9640360000000019</v>
      </c>
      <c r="AD164">
        <f t="shared" si="70"/>
        <v>5.5720447776000004</v>
      </c>
      <c r="AE164">
        <f t="shared" si="71"/>
        <v>0</v>
      </c>
      <c r="AF164">
        <f t="shared" si="72"/>
        <v>3.303785704806236E-3</v>
      </c>
      <c r="AG164">
        <f t="shared" si="73"/>
        <v>0</v>
      </c>
      <c r="AH164">
        <f t="shared" si="74"/>
        <v>19.59557896163199</v>
      </c>
      <c r="AI164">
        <f t="shared" si="75"/>
        <v>5.990987964096002E-2</v>
      </c>
      <c r="AJ164">
        <f t="shared" si="76"/>
        <v>355.34047362044413</v>
      </c>
      <c r="AK164" t="e">
        <f t="shared" ca="1" si="77"/>
        <v>#NAME?</v>
      </c>
      <c r="AL164" t="e">
        <f t="shared" ca="1" si="78"/>
        <v>#NAME?</v>
      </c>
      <c r="AM164">
        <v>0.3</v>
      </c>
      <c r="AN164">
        <v>0.13</v>
      </c>
    </row>
    <row r="165" spans="11:88" x14ac:dyDescent="0.2">
      <c r="K165" t="s">
        <v>164</v>
      </c>
      <c r="L165" t="s">
        <v>117</v>
      </c>
      <c r="M165">
        <v>200</v>
      </c>
      <c r="N165">
        <v>70</v>
      </c>
      <c r="O165">
        <v>0.7</v>
      </c>
      <c r="P165" t="e" cm="1">
        <f t="array" aca="1" ref="P165" ca="1">_xludf.XLOOKUP(K$35,$BX$169:$CG$169,_xludf.XLOOKUP($D$11,$BW$170:$BW$176,$BX$170:$CG$176))</f>
        <v>#NAME?</v>
      </c>
      <c r="Q165" t="e">
        <f t="shared" ca="1" si="64"/>
        <v>#NAME?</v>
      </c>
      <c r="S165">
        <v>0</v>
      </c>
      <c r="V165">
        <v>1</v>
      </c>
      <c r="W165">
        <f>VLOOKUP($G$141, $CL$17:$CN$25, 2, FALSE)</f>
        <v>6</v>
      </c>
      <c r="X165">
        <v>0</v>
      </c>
      <c r="Y165">
        <f t="shared" si="65"/>
        <v>0</v>
      </c>
      <c r="Z165">
        <f t="shared" si="66"/>
        <v>8.5869999999999997</v>
      </c>
      <c r="AA165" t="e">
        <f t="shared" ca="1" si="67"/>
        <v>#NAME?</v>
      </c>
      <c r="AB165">
        <f t="shared" si="68"/>
        <v>1.3178594998320508</v>
      </c>
      <c r="AC165">
        <f t="shared" si="69"/>
        <v>2.9260155136000003</v>
      </c>
      <c r="AD165">
        <f t="shared" si="70"/>
        <v>1.08145533382656</v>
      </c>
      <c r="AE165">
        <f t="shared" si="71"/>
        <v>0</v>
      </c>
      <c r="AF165">
        <f t="shared" si="72"/>
        <v>6.4121822686097807E-4</v>
      </c>
      <c r="AG165">
        <f t="shared" si="73"/>
        <v>0</v>
      </c>
      <c r="AH165">
        <f t="shared" si="74"/>
        <v>11.70223264021285</v>
      </c>
      <c r="AI165">
        <f t="shared" si="75"/>
        <v>1.5007217846773051E-2</v>
      </c>
      <c r="AJ165">
        <f t="shared" si="76"/>
        <v>273.8817257036082</v>
      </c>
      <c r="AK165" t="e">
        <f t="shared" ca="1" si="77"/>
        <v>#NAME?</v>
      </c>
      <c r="AL165" t="e">
        <f t="shared" ca="1" si="78"/>
        <v>#NAME?</v>
      </c>
      <c r="AM165">
        <v>0.6</v>
      </c>
      <c r="AN165">
        <v>0.05</v>
      </c>
    </row>
    <row r="166" spans="11:88" x14ac:dyDescent="0.2">
      <c r="L166" t="s">
        <v>119</v>
      </c>
      <c r="M166">
        <v>130</v>
      </c>
      <c r="N166">
        <v>75</v>
      </c>
      <c r="O166">
        <v>0.8</v>
      </c>
      <c r="P166" t="e" cm="1">
        <f t="array" aca="1" ref="P166" ca="1">_xludf.XLOOKUP(K$35,$BX$169:$CG$169,_xludf.XLOOKUP($D$11,$BW$170:$BW$176,$BX$170:$CG$176))</f>
        <v>#NAME?</v>
      </c>
      <c r="Q166" t="e">
        <f t="shared" ca="1" si="64"/>
        <v>#NAME?</v>
      </c>
      <c r="V166">
        <v>1</v>
      </c>
      <c r="W166">
        <f>VLOOKUP($G$141, $CL$17:$CN$25, 3, FALSE)</f>
        <v>4</v>
      </c>
      <c r="X166">
        <v>0</v>
      </c>
      <c r="Y166">
        <f t="shared" si="65"/>
        <v>0</v>
      </c>
      <c r="Z166">
        <f t="shared" si="66"/>
        <v>6.9829999999999997</v>
      </c>
      <c r="AA166" t="e">
        <f t="shared" ca="1" si="67"/>
        <v>#NAME?</v>
      </c>
      <c r="AB166">
        <f t="shared" si="68"/>
        <v>1.3614006938157037</v>
      </c>
      <c r="AC166">
        <f t="shared" si="69"/>
        <v>3.107728265625</v>
      </c>
      <c r="AD166">
        <f t="shared" si="70"/>
        <v>1.4096655412874999</v>
      </c>
      <c r="AE166">
        <f t="shared" si="71"/>
        <v>0</v>
      </c>
      <c r="AF166">
        <f t="shared" si="72"/>
        <v>8.358211482050506E-4</v>
      </c>
      <c r="AG166">
        <f t="shared" si="73"/>
        <v>0</v>
      </c>
      <c r="AH166">
        <f t="shared" si="74"/>
        <v>9.9149283705824125</v>
      </c>
      <c r="AI166">
        <f t="shared" si="75"/>
        <v>1.6256447819739891E-2</v>
      </c>
      <c r="AJ166">
        <f t="shared" si="76"/>
        <v>192.84211226166443</v>
      </c>
      <c r="AK166" t="e">
        <f t="shared" ca="1" si="77"/>
        <v>#NAME?</v>
      </c>
      <c r="AL166" t="e">
        <f t="shared" ca="1" si="78"/>
        <v>#NAME?</v>
      </c>
      <c r="AM166">
        <v>0.5</v>
      </c>
      <c r="AN166">
        <v>7.0000000000000007E-2</v>
      </c>
      <c r="BU166" t="s">
        <v>188</v>
      </c>
    </row>
    <row r="167" spans="11:88" x14ac:dyDescent="0.2">
      <c r="L167" t="s">
        <v>120</v>
      </c>
      <c r="M167">
        <v>250</v>
      </c>
      <c r="N167">
        <v>100</v>
      </c>
      <c r="O167">
        <v>0.9</v>
      </c>
      <c r="P167" t="e" cm="1">
        <f t="array" aca="1" ref="P167" ca="1">_xludf.XLOOKUP(K$35,$BX$169:$CG$169,_xludf.XLOOKUP($D$11,$BW$170:$BW$176,$BX$170:$CG$176))</f>
        <v>#NAME?</v>
      </c>
      <c r="Q167" t="e">
        <f t="shared" ca="1" si="64"/>
        <v>#NAME?</v>
      </c>
      <c r="V167">
        <v>1</v>
      </c>
      <c r="W167">
        <v>0</v>
      </c>
      <c r="X167">
        <v>0</v>
      </c>
      <c r="Y167">
        <f t="shared" si="65"/>
        <v>0</v>
      </c>
      <c r="Z167">
        <f t="shared" si="66"/>
        <v>5.3789999999999996</v>
      </c>
      <c r="AA167" t="e">
        <f t="shared" ca="1" si="67"/>
        <v>#NAME?</v>
      </c>
      <c r="AB167">
        <f t="shared" si="68"/>
        <v>1.3824102946879606</v>
      </c>
      <c r="AC167">
        <f t="shared" si="69"/>
        <v>3.5967122500000004</v>
      </c>
      <c r="AD167">
        <f t="shared" si="70"/>
        <v>1.9335925056000001</v>
      </c>
      <c r="AE167">
        <f t="shared" si="71"/>
        <v>0</v>
      </c>
      <c r="AF167">
        <f t="shared" si="72"/>
        <v>1.1464687621683611E-3</v>
      </c>
      <c r="AG167">
        <f t="shared" si="73"/>
        <v>0</v>
      </c>
      <c r="AH167">
        <f t="shared" si="74"/>
        <v>26.153818636965738</v>
      </c>
      <c r="AI167">
        <f t="shared" si="75"/>
        <v>1.9979512113905602E-2</v>
      </c>
      <c r="AJ167">
        <f t="shared" si="76"/>
        <v>455.78262009847157</v>
      </c>
      <c r="AK167" t="e">
        <f t="shared" ca="1" si="77"/>
        <v>#NAME?</v>
      </c>
      <c r="AL167" t="e">
        <f t="shared" ca="1" si="78"/>
        <v>#NAME?</v>
      </c>
      <c r="AM167">
        <v>0.4</v>
      </c>
      <c r="AN167">
        <v>0.1</v>
      </c>
      <c r="BU167" t="s">
        <v>71</v>
      </c>
    </row>
    <row r="168" spans="11:88" x14ac:dyDescent="0.2">
      <c r="L168" t="s">
        <v>121</v>
      </c>
      <c r="M168">
        <v>150</v>
      </c>
      <c r="N168">
        <v>105</v>
      </c>
      <c r="O168">
        <v>1</v>
      </c>
      <c r="P168" t="e" cm="1">
        <f t="array" aca="1" ref="P168" ca="1">_xludf.XLOOKUP(K$35,$BX$169:$CG$169,_xludf.XLOOKUP($D$11,$BW$170:$BW$176,$BX$170:$CG$176))</f>
        <v>#NAME?</v>
      </c>
      <c r="Q168" t="e">
        <f t="shared" ca="1" si="64"/>
        <v>#NAME?</v>
      </c>
      <c r="V168">
        <v>1</v>
      </c>
      <c r="W168">
        <v>0</v>
      </c>
      <c r="X168">
        <v>0</v>
      </c>
      <c r="Y168">
        <f t="shared" si="65"/>
        <v>0</v>
      </c>
      <c r="Z168">
        <f t="shared" si="66"/>
        <v>3.7749999999999995</v>
      </c>
      <c r="AA168" t="e">
        <f t="shared" ca="1" si="67"/>
        <v>#NAME?</v>
      </c>
      <c r="AB168">
        <f t="shared" si="68"/>
        <v>1.4229922189056508</v>
      </c>
      <c r="AC168">
        <f t="shared" si="69"/>
        <v>3.7948403612249999</v>
      </c>
      <c r="AD168">
        <f t="shared" si="70"/>
        <v>2.3588727685374598</v>
      </c>
      <c r="AE168">
        <f t="shared" si="71"/>
        <v>0</v>
      </c>
      <c r="AF168">
        <f t="shared" si="72"/>
        <v>1.3986266161176602E-3</v>
      </c>
      <c r="AG168">
        <f t="shared" si="73"/>
        <v>0</v>
      </c>
      <c r="AH168">
        <f t="shared" si="74"/>
        <v>19.143701808110475</v>
      </c>
      <c r="AI168">
        <f t="shared" si="75"/>
        <v>2.5362284276596713E-2</v>
      </c>
      <c r="AJ168">
        <f t="shared" si="76"/>
        <v>347.14626603591751</v>
      </c>
      <c r="AK168" t="e">
        <f t="shared" ca="1" si="77"/>
        <v>#NAME?</v>
      </c>
      <c r="AL168" t="e">
        <f t="shared" ca="1" si="78"/>
        <v>#NAME?</v>
      </c>
      <c r="AM168">
        <v>0.3</v>
      </c>
      <c r="AN168">
        <v>0.13</v>
      </c>
    </row>
    <row r="169" spans="11:88" x14ac:dyDescent="0.2">
      <c r="K169" t="s">
        <v>169</v>
      </c>
      <c r="L169" t="s">
        <v>117</v>
      </c>
      <c r="M169">
        <v>20</v>
      </c>
      <c r="N169">
        <v>350</v>
      </c>
      <c r="O169">
        <v>1.1000000000000001</v>
      </c>
      <c r="P169" t="e" cm="1">
        <f t="array" aca="1" ref="P169" ca="1">_xludf.XLOOKUP(K$39,$BX$169:$CG$169,_xludf.XLOOKUP($D$11,$BW$170:$BW$176,$BX$170:$CG$176))</f>
        <v>#NAME?</v>
      </c>
      <c r="Q169" t="e">
        <f t="shared" ca="1" si="64"/>
        <v>#NAME?</v>
      </c>
      <c r="V169">
        <v>1</v>
      </c>
      <c r="W169">
        <v>0</v>
      </c>
      <c r="X169">
        <v>0</v>
      </c>
      <c r="Y169">
        <f t="shared" si="65"/>
        <v>0</v>
      </c>
      <c r="Z169">
        <f t="shared" si="66"/>
        <v>8.5869999999999997</v>
      </c>
      <c r="AA169" t="e">
        <f t="shared" ca="1" si="67"/>
        <v>#NAME?</v>
      </c>
      <c r="AB169">
        <f t="shared" si="68"/>
        <v>1.3021361169563495</v>
      </c>
      <c r="AC169">
        <f t="shared" si="69"/>
        <v>7.8512039999999974</v>
      </c>
      <c r="AD169">
        <f t="shared" si="70"/>
        <v>2.9018049983999994</v>
      </c>
      <c r="AE169">
        <f t="shared" si="71"/>
        <v>0</v>
      </c>
      <c r="AF169">
        <f t="shared" si="72"/>
        <v>1.7205428625393249E-3</v>
      </c>
      <c r="AG169">
        <f t="shared" si="73"/>
        <v>0</v>
      </c>
      <c r="AH169">
        <f t="shared" si="74"/>
        <v>3.1399907241342682</v>
      </c>
      <c r="AI169">
        <f t="shared" si="75"/>
        <v>3.3808013015731192E-2</v>
      </c>
      <c r="AJ169">
        <f t="shared" si="76"/>
        <v>61.699623753709425</v>
      </c>
      <c r="AK169" t="e">
        <f t="shared" ca="1" si="77"/>
        <v>#NAME?</v>
      </c>
      <c r="AL169" t="e">
        <f t="shared" ca="1" si="78"/>
        <v>#NAME?</v>
      </c>
      <c r="AM169">
        <v>0.6</v>
      </c>
      <c r="AN169">
        <v>0.05</v>
      </c>
      <c r="BX169" t="s">
        <v>116</v>
      </c>
      <c r="BY169" t="s">
        <v>122</v>
      </c>
      <c r="BZ169" t="s">
        <v>141</v>
      </c>
      <c r="CA169" t="s">
        <v>146</v>
      </c>
      <c r="CB169" t="s">
        <v>152</v>
      </c>
      <c r="CC169" t="s">
        <v>156</v>
      </c>
      <c r="CD169" t="s">
        <v>164</v>
      </c>
      <c r="CE169" t="s">
        <v>169</v>
      </c>
      <c r="CF169" t="s">
        <v>171</v>
      </c>
      <c r="CG169" t="s">
        <v>176</v>
      </c>
    </row>
    <row r="170" spans="11:88" x14ac:dyDescent="0.2">
      <c r="L170" t="s">
        <v>119</v>
      </c>
      <c r="M170">
        <v>30</v>
      </c>
      <c r="N170">
        <v>360</v>
      </c>
      <c r="O170">
        <v>1.2</v>
      </c>
      <c r="P170" t="e" cm="1">
        <f t="array" aca="1" ref="P170" ca="1">_xludf.XLOOKUP(K$39,$BX$169:$CG$169,_xludf.XLOOKUP($D$11,$BW$170:$BW$176,$BX$170:$CG$176))</f>
        <v>#NAME?</v>
      </c>
      <c r="Q170" t="e">
        <f t="shared" ca="1" si="64"/>
        <v>#NAME?</v>
      </c>
      <c r="V170">
        <v>1</v>
      </c>
      <c r="W170">
        <v>0</v>
      </c>
      <c r="X170">
        <v>0</v>
      </c>
      <c r="Y170">
        <f t="shared" si="65"/>
        <v>0</v>
      </c>
      <c r="Z170">
        <f t="shared" si="66"/>
        <v>6.9829999999999997</v>
      </c>
      <c r="AA170" t="e">
        <f t="shared" ca="1" si="67"/>
        <v>#NAME?</v>
      </c>
      <c r="AB170">
        <f t="shared" si="68"/>
        <v>1.3277250957104489</v>
      </c>
      <c r="AC170">
        <f t="shared" si="69"/>
        <v>8.1821169936000011</v>
      </c>
      <c r="AD170">
        <f t="shared" si="70"/>
        <v>3.7114082682969607</v>
      </c>
      <c r="AE170">
        <f t="shared" si="71"/>
        <v>0</v>
      </c>
      <c r="AF170">
        <f t="shared" si="72"/>
        <v>2.200574128691863E-3</v>
      </c>
      <c r="AG170">
        <f t="shared" si="73"/>
        <v>0</v>
      </c>
      <c r="AH170">
        <f t="shared" si="74"/>
        <v>6.0240716772939757</v>
      </c>
      <c r="AI170">
        <f t="shared" si="75"/>
        <v>3.8574714934505511E-2</v>
      </c>
      <c r="AJ170">
        <f t="shared" si="76"/>
        <v>105.59828213320884</v>
      </c>
      <c r="AK170" t="e">
        <f t="shared" ca="1" si="77"/>
        <v>#NAME?</v>
      </c>
      <c r="AL170" t="e">
        <f t="shared" ca="1" si="78"/>
        <v>#NAME?</v>
      </c>
      <c r="AM170">
        <v>0.5</v>
      </c>
      <c r="AN170">
        <v>7.0000000000000007E-2</v>
      </c>
      <c r="BW170" t="s">
        <v>112</v>
      </c>
      <c r="BX170">
        <v>700</v>
      </c>
      <c r="BY170">
        <v>700</v>
      </c>
      <c r="BZ170">
        <v>600</v>
      </c>
      <c r="CA170">
        <v>500</v>
      </c>
      <c r="CB170">
        <v>500</v>
      </c>
      <c r="CC170">
        <v>500</v>
      </c>
      <c r="CD170">
        <v>500</v>
      </c>
      <c r="CE170">
        <v>600</v>
      </c>
      <c r="CF170">
        <v>600</v>
      </c>
      <c r="CG170">
        <v>600</v>
      </c>
    </row>
    <row r="171" spans="11:88" x14ac:dyDescent="0.2">
      <c r="L171" t="s">
        <v>120</v>
      </c>
      <c r="M171">
        <v>60</v>
      </c>
      <c r="N171">
        <v>350</v>
      </c>
      <c r="O171">
        <v>1.3</v>
      </c>
      <c r="P171" t="e" cm="1">
        <f t="array" aca="1" ref="P171" ca="1">_xludf.XLOOKUP(K$39,$BX$169:$CG$169,_xludf.XLOOKUP($D$11,$BW$170:$BW$176,$BX$170:$CG$176))</f>
        <v>#NAME?</v>
      </c>
      <c r="Q171" t="e">
        <f t="shared" ca="1" si="64"/>
        <v>#NAME?</v>
      </c>
      <c r="V171">
        <v>1</v>
      </c>
      <c r="W171">
        <v>0</v>
      </c>
      <c r="X171">
        <v>0</v>
      </c>
      <c r="Y171">
        <f t="shared" si="65"/>
        <v>0</v>
      </c>
      <c r="Z171">
        <f t="shared" si="66"/>
        <v>5.3789999999999996</v>
      </c>
      <c r="AA171" t="e">
        <f t="shared" ca="1" si="67"/>
        <v>#NAME?</v>
      </c>
      <c r="AB171">
        <f t="shared" si="68"/>
        <v>1.3613486834126374</v>
      </c>
      <c r="AC171">
        <f t="shared" si="69"/>
        <v>8.2082249999999988</v>
      </c>
      <c r="AD171">
        <f t="shared" si="70"/>
        <v>4.4127417599999985</v>
      </c>
      <c r="AE171">
        <f t="shared" si="71"/>
        <v>0</v>
      </c>
      <c r="AF171">
        <f t="shared" si="72"/>
        <v>2.6164099047260156E-3</v>
      </c>
      <c r="AG171">
        <f t="shared" si="73"/>
        <v>0</v>
      </c>
      <c r="AH171">
        <f t="shared" si="74"/>
        <v>14.324844228374936</v>
      </c>
      <c r="AI171">
        <f t="shared" si="75"/>
        <v>4.5596177681759983E-2</v>
      </c>
      <c r="AJ171">
        <f t="shared" si="76"/>
        <v>249.63907280763593</v>
      </c>
      <c r="AK171" t="e">
        <f t="shared" ca="1" si="77"/>
        <v>#NAME?</v>
      </c>
      <c r="AL171" t="e">
        <f t="shared" ca="1" si="78"/>
        <v>#NAME?</v>
      </c>
      <c r="AM171">
        <v>0.4</v>
      </c>
      <c r="AN171">
        <v>0.1</v>
      </c>
      <c r="BW171" t="s">
        <v>155</v>
      </c>
      <c r="BX171">
        <v>700</v>
      </c>
      <c r="BY171">
        <v>700</v>
      </c>
      <c r="BZ171">
        <v>600</v>
      </c>
      <c r="CA171">
        <v>500</v>
      </c>
      <c r="CB171">
        <v>500</v>
      </c>
      <c r="CC171">
        <v>500</v>
      </c>
      <c r="CD171">
        <v>500</v>
      </c>
      <c r="CE171">
        <v>600</v>
      </c>
      <c r="CF171">
        <v>600</v>
      </c>
      <c r="CG171">
        <v>600</v>
      </c>
    </row>
    <row r="172" spans="11:88" x14ac:dyDescent="0.2">
      <c r="L172" t="s">
        <v>121</v>
      </c>
      <c r="M172">
        <v>30</v>
      </c>
      <c r="N172">
        <v>340</v>
      </c>
      <c r="O172">
        <v>1.4</v>
      </c>
      <c r="P172" t="e" cm="1">
        <f t="array" aca="1" ref="P172" ca="1">_xludf.XLOOKUP(K$39,$BX$169:$CG$169,_xludf.XLOOKUP($D$11,$BW$170:$BW$176,$BX$170:$CG$176))</f>
        <v>#NAME?</v>
      </c>
      <c r="Q172" t="e">
        <f t="shared" ca="1" si="64"/>
        <v>#NAME?</v>
      </c>
      <c r="V172">
        <v>1</v>
      </c>
      <c r="W172">
        <v>0</v>
      </c>
      <c r="X172">
        <v>0</v>
      </c>
      <c r="Y172">
        <f t="shared" si="65"/>
        <v>0</v>
      </c>
      <c r="Z172">
        <f t="shared" si="66"/>
        <v>3.7749999999999995</v>
      </c>
      <c r="AA172" t="e">
        <f t="shared" ca="1" si="67"/>
        <v>#NAME?</v>
      </c>
      <c r="AB172">
        <f t="shared" si="68"/>
        <v>1.3962446825746004</v>
      </c>
      <c r="AC172">
        <f t="shared" si="69"/>
        <v>8.2313905215999998</v>
      </c>
      <c r="AD172">
        <f t="shared" si="70"/>
        <v>5.1166323482265597</v>
      </c>
      <c r="AE172">
        <f t="shared" si="71"/>
        <v>0</v>
      </c>
      <c r="AF172">
        <f t="shared" si="72"/>
        <v>3.0337618385222493E-3</v>
      </c>
      <c r="AG172">
        <f t="shared" si="73"/>
        <v>0</v>
      </c>
      <c r="AH172">
        <f t="shared" si="74"/>
        <v>8.3049230329546582</v>
      </c>
      <c r="AI172">
        <f t="shared" si="75"/>
        <v>5.5013346156440573E-2</v>
      </c>
      <c r="AJ172">
        <f t="shared" si="76"/>
        <v>150.59903510325606</v>
      </c>
      <c r="AK172" t="e">
        <f t="shared" ca="1" si="77"/>
        <v>#NAME?</v>
      </c>
      <c r="AL172" t="e">
        <f t="shared" ca="1" si="78"/>
        <v>#NAME?</v>
      </c>
      <c r="AM172">
        <v>0.3</v>
      </c>
      <c r="AN172">
        <v>0.13</v>
      </c>
      <c r="BW172" t="s">
        <v>131</v>
      </c>
      <c r="BX172">
        <v>770</v>
      </c>
      <c r="BY172">
        <v>770</v>
      </c>
      <c r="BZ172">
        <v>660</v>
      </c>
      <c r="CA172">
        <v>550</v>
      </c>
      <c r="CB172">
        <v>550</v>
      </c>
      <c r="CC172">
        <v>550</v>
      </c>
      <c r="CD172">
        <v>550</v>
      </c>
      <c r="CE172">
        <v>660</v>
      </c>
      <c r="CF172">
        <v>660</v>
      </c>
      <c r="CG172">
        <v>660</v>
      </c>
      <c r="CJ172">
        <v>7.0070060050050004E+20</v>
      </c>
    </row>
    <row r="173" spans="11:88" x14ac:dyDescent="0.2">
      <c r="K173" t="s">
        <v>171</v>
      </c>
      <c r="L173" t="s">
        <v>117</v>
      </c>
      <c r="M173">
        <v>100</v>
      </c>
      <c r="N173">
        <v>400</v>
      </c>
      <c r="O173">
        <v>0.4</v>
      </c>
      <c r="P173" t="e" cm="1">
        <f t="array" aca="1" ref="P173" ca="1">_xludf.XLOOKUP(K$43,$BX$169:$CG$169,_xludf.XLOOKUP($D$11,$BW$170:$BW$176,$BX$170:$CG$176))</f>
        <v>#NAME?</v>
      </c>
      <c r="Q173" t="e">
        <f t="shared" ca="1" si="64"/>
        <v>#NAME?</v>
      </c>
      <c r="V173">
        <v>1</v>
      </c>
      <c r="W173">
        <v>0</v>
      </c>
      <c r="X173">
        <v>0</v>
      </c>
      <c r="Y173">
        <f t="shared" si="65"/>
        <v>0</v>
      </c>
      <c r="Z173">
        <f t="shared" si="66"/>
        <v>8.5869999999999997</v>
      </c>
      <c r="AA173" t="e">
        <f t="shared" ca="1" si="67"/>
        <v>#NAME?</v>
      </c>
      <c r="AB173">
        <f t="shared" si="68"/>
        <v>1.0998613485777566</v>
      </c>
      <c r="AC173">
        <f t="shared" si="69"/>
        <v>7.3495209999999993</v>
      </c>
      <c r="AD173">
        <f t="shared" si="70"/>
        <v>2.7163829615999999</v>
      </c>
      <c r="AE173">
        <f t="shared" si="71"/>
        <v>0</v>
      </c>
      <c r="AF173">
        <f t="shared" si="72"/>
        <v>1.6106021318046105E-3</v>
      </c>
      <c r="AG173">
        <f t="shared" si="73"/>
        <v>0</v>
      </c>
      <c r="AH173">
        <f t="shared" si="74"/>
        <v>14.69674445271707</v>
      </c>
      <c r="AI173">
        <f t="shared" si="75"/>
        <v>3.1647719461548797E-2</v>
      </c>
      <c r="AJ173">
        <f t="shared" si="76"/>
        <v>288.78544008663278</v>
      </c>
      <c r="AK173" t="e">
        <f t="shared" ca="1" si="77"/>
        <v>#NAME?</v>
      </c>
      <c r="AL173" t="e">
        <f t="shared" ca="1" si="78"/>
        <v>#NAME?</v>
      </c>
      <c r="AM173">
        <v>0.6</v>
      </c>
      <c r="AN173">
        <v>0.05</v>
      </c>
      <c r="BW173" t="s">
        <v>132</v>
      </c>
      <c r="BX173">
        <v>770</v>
      </c>
      <c r="BY173">
        <v>770</v>
      </c>
      <c r="BZ173">
        <v>660</v>
      </c>
      <c r="CA173">
        <v>550</v>
      </c>
      <c r="CB173">
        <v>550</v>
      </c>
      <c r="CC173">
        <v>550</v>
      </c>
      <c r="CD173">
        <v>550</v>
      </c>
      <c r="CE173">
        <v>660</v>
      </c>
      <c r="CF173">
        <v>660</v>
      </c>
      <c r="CG173">
        <v>660</v>
      </c>
      <c r="CJ173">
        <v>7.7077066055054996E+20</v>
      </c>
    </row>
    <row r="174" spans="11:88" x14ac:dyDescent="0.2">
      <c r="L174" t="s">
        <v>119</v>
      </c>
      <c r="M174">
        <v>110</v>
      </c>
      <c r="N174">
        <v>410</v>
      </c>
      <c r="O174">
        <v>0.3</v>
      </c>
      <c r="P174" t="e" cm="1">
        <f t="array" aca="1" ref="P174" ca="1">_xludf.XLOOKUP(K$43,$BX$169:$CG$169,_xludf.XLOOKUP($D$11,$BW$170:$BW$176,$BX$170:$CG$176))</f>
        <v>#NAME?</v>
      </c>
      <c r="Q174" t="e">
        <f t="shared" ca="1" si="64"/>
        <v>#NAME?</v>
      </c>
      <c r="V174">
        <v>1</v>
      </c>
      <c r="W174">
        <v>0</v>
      </c>
      <c r="X174">
        <v>0</v>
      </c>
      <c r="Y174">
        <f t="shared" si="65"/>
        <v>0</v>
      </c>
      <c r="Z174">
        <f t="shared" si="66"/>
        <v>6.9829999999999997</v>
      </c>
      <c r="AA174" t="e">
        <f t="shared" ca="1" si="67"/>
        <v>#NAME?</v>
      </c>
      <c r="AB174">
        <f t="shared" si="68"/>
        <v>1.0737437118823001</v>
      </c>
      <c r="AC174">
        <f t="shared" si="69"/>
        <v>7.3107507456000027</v>
      </c>
      <c r="AD174">
        <f t="shared" si="70"/>
        <v>3.3161565382041611</v>
      </c>
      <c r="AE174">
        <f t="shared" si="71"/>
        <v>0</v>
      </c>
      <c r="AF174">
        <f t="shared" si="72"/>
        <v>1.9662208404824725E-3</v>
      </c>
      <c r="AG174">
        <f t="shared" si="73"/>
        <v>0</v>
      </c>
      <c r="AH174">
        <f t="shared" si="74"/>
        <v>19.735941686342819</v>
      </c>
      <c r="AI174">
        <f t="shared" si="75"/>
        <v>3.4466645513542546E-2</v>
      </c>
      <c r="AJ174">
        <f t="shared" si="76"/>
        <v>345.95895434218329</v>
      </c>
      <c r="AK174" t="e">
        <f t="shared" ca="1" si="77"/>
        <v>#NAME?</v>
      </c>
      <c r="AL174" t="e">
        <f t="shared" ca="1" si="78"/>
        <v>#NAME?</v>
      </c>
      <c r="AM174">
        <v>0.5</v>
      </c>
      <c r="AN174">
        <v>7.0000000000000007E-2</v>
      </c>
      <c r="BW174" t="s">
        <v>133</v>
      </c>
      <c r="BX174">
        <v>770</v>
      </c>
      <c r="BY174">
        <v>770</v>
      </c>
      <c r="BZ174">
        <v>660</v>
      </c>
      <c r="CA174">
        <v>550</v>
      </c>
      <c r="CB174">
        <v>550</v>
      </c>
      <c r="CC174">
        <v>550</v>
      </c>
      <c r="CD174">
        <v>550</v>
      </c>
      <c r="CE174">
        <v>660</v>
      </c>
      <c r="CF174">
        <v>660</v>
      </c>
      <c r="CG174">
        <v>660</v>
      </c>
      <c r="CJ174">
        <v>7.7077066055054996E+20</v>
      </c>
    </row>
    <row r="175" spans="11:88" x14ac:dyDescent="0.2">
      <c r="L175" t="s">
        <v>120</v>
      </c>
      <c r="M175">
        <v>120</v>
      </c>
      <c r="N175">
        <v>420</v>
      </c>
      <c r="O175">
        <v>0.2</v>
      </c>
      <c r="P175" t="e" cm="1">
        <f t="array" aca="1" ref="P175" ca="1">_xludf.XLOOKUP(K$43,$BX$169:$CG$169,_xludf.XLOOKUP($D$11,$BW$170:$BW$176,$BX$170:$CG$176))</f>
        <v>#NAME?</v>
      </c>
      <c r="Q175" t="e">
        <f t="shared" ca="1" si="64"/>
        <v>#NAME?</v>
      </c>
      <c r="V175">
        <v>1</v>
      </c>
      <c r="W175">
        <v>0</v>
      </c>
      <c r="X175">
        <v>0</v>
      </c>
      <c r="Y175">
        <f t="shared" si="65"/>
        <v>0</v>
      </c>
      <c r="Z175">
        <f t="shared" si="66"/>
        <v>5.3789999999999996</v>
      </c>
      <c r="AA175" t="e">
        <f t="shared" ca="1" si="67"/>
        <v>#NAME?</v>
      </c>
      <c r="AB175">
        <f t="shared" si="68"/>
        <v>1.048423686523229</v>
      </c>
      <c r="AC175">
        <f t="shared" si="69"/>
        <v>7.2692787456000021</v>
      </c>
      <c r="AD175">
        <f t="shared" si="70"/>
        <v>3.9079642536345602</v>
      </c>
      <c r="AE175">
        <f t="shared" si="71"/>
        <v>0</v>
      </c>
      <c r="AF175">
        <f t="shared" si="72"/>
        <v>2.3171164180078095E-3</v>
      </c>
      <c r="AG175">
        <f t="shared" si="73"/>
        <v>0</v>
      </c>
      <c r="AH175">
        <f t="shared" si="74"/>
        <v>25.372424777185515</v>
      </c>
      <c r="AI175">
        <f t="shared" si="75"/>
        <v>4.0380389828814284E-2</v>
      </c>
      <c r="AJ175">
        <f t="shared" si="76"/>
        <v>442.16526862551638</v>
      </c>
      <c r="AK175" t="e">
        <f t="shared" ca="1" si="77"/>
        <v>#NAME?</v>
      </c>
      <c r="AL175" t="e">
        <f t="shared" ca="1" si="78"/>
        <v>#NAME?</v>
      </c>
      <c r="AM175">
        <v>0.4</v>
      </c>
      <c r="AN175">
        <v>0.1</v>
      </c>
      <c r="BW175" t="s">
        <v>134</v>
      </c>
      <c r="BX175">
        <v>770</v>
      </c>
      <c r="BY175">
        <v>770</v>
      </c>
      <c r="BZ175">
        <v>660</v>
      </c>
      <c r="CA175">
        <v>550</v>
      </c>
      <c r="CB175">
        <v>550</v>
      </c>
      <c r="CC175">
        <v>550</v>
      </c>
      <c r="CD175">
        <v>550</v>
      </c>
      <c r="CE175">
        <v>660</v>
      </c>
      <c r="CF175">
        <v>660</v>
      </c>
      <c r="CG175">
        <v>660</v>
      </c>
      <c r="CJ175">
        <v>7.7077066055054996E+20</v>
      </c>
    </row>
    <row r="176" spans="11:88" x14ac:dyDescent="0.2">
      <c r="L176" t="s">
        <v>121</v>
      </c>
      <c r="M176">
        <v>130</v>
      </c>
      <c r="N176">
        <v>430</v>
      </c>
      <c r="O176">
        <v>0.6</v>
      </c>
      <c r="P176" t="e" cm="1">
        <f t="array" aca="1" ref="P176" ca="1">_xludf.XLOOKUP(K$43,$BX$169:$CG$169,_xludf.XLOOKUP($D$11,$BW$170:$BW$176,$BX$170:$CG$176))</f>
        <v>#NAME?</v>
      </c>
      <c r="Q176" t="e">
        <f t="shared" ca="1" si="64"/>
        <v>#NAME?</v>
      </c>
      <c r="V176">
        <v>1</v>
      </c>
      <c r="W176">
        <v>0</v>
      </c>
      <c r="X176">
        <v>0</v>
      </c>
      <c r="Y176">
        <f t="shared" si="65"/>
        <v>0</v>
      </c>
      <c r="Z176">
        <f t="shared" si="66"/>
        <v>3.7749999999999995</v>
      </c>
      <c r="AA176" t="e">
        <f t="shared" ca="1" si="67"/>
        <v>#NAME?</v>
      </c>
      <c r="AB176">
        <f t="shared" si="68"/>
        <v>1.1473565733309674</v>
      </c>
      <c r="AC176">
        <f t="shared" si="69"/>
        <v>8.0966426116000001</v>
      </c>
      <c r="AD176">
        <f t="shared" si="70"/>
        <v>5.0328730473705594</v>
      </c>
      <c r="AE176">
        <f t="shared" si="71"/>
        <v>0</v>
      </c>
      <c r="AF176">
        <f t="shared" si="72"/>
        <v>2.9840991398438275E-3</v>
      </c>
      <c r="AG176">
        <f t="shared" si="73"/>
        <v>0</v>
      </c>
      <c r="AH176">
        <f t="shared" si="74"/>
        <v>35.398876046397405</v>
      </c>
      <c r="AI176">
        <f t="shared" si="75"/>
        <v>5.4112777364662981E-2</v>
      </c>
      <c r="AJ176">
        <f t="shared" si="76"/>
        <v>641.91282148831453</v>
      </c>
      <c r="AK176" t="e">
        <f t="shared" ca="1" si="77"/>
        <v>#NAME?</v>
      </c>
      <c r="AL176" t="e">
        <f t="shared" ca="1" si="78"/>
        <v>#NAME?</v>
      </c>
      <c r="AM176">
        <v>0.3</v>
      </c>
      <c r="AN176">
        <v>0.13</v>
      </c>
      <c r="BW176" t="s">
        <v>135</v>
      </c>
      <c r="BX176">
        <v>770</v>
      </c>
      <c r="BY176">
        <v>770</v>
      </c>
      <c r="BZ176">
        <v>660</v>
      </c>
      <c r="CA176">
        <v>550</v>
      </c>
      <c r="CB176">
        <v>550</v>
      </c>
      <c r="CC176">
        <v>550</v>
      </c>
      <c r="CD176">
        <v>550</v>
      </c>
      <c r="CE176">
        <v>660</v>
      </c>
      <c r="CF176">
        <v>660</v>
      </c>
      <c r="CG176">
        <v>660</v>
      </c>
      <c r="CJ176">
        <v>7.7077066055054996E+20</v>
      </c>
    </row>
    <row r="177" spans="11:88" x14ac:dyDescent="0.2">
      <c r="K177" t="s">
        <v>176</v>
      </c>
      <c r="L177" t="s">
        <v>117</v>
      </c>
      <c r="M177">
        <v>50</v>
      </c>
      <c r="N177">
        <v>400</v>
      </c>
      <c r="O177">
        <v>0.5</v>
      </c>
      <c r="P177" t="e" cm="1">
        <f t="array" aca="1" ref="P177" ca="1">_xludf.XLOOKUP(K$47,$BX$169:$CG$169,_xludf.XLOOKUP($D$11,$BW$170:$BW$176,$BX$170:$CG$176))</f>
        <v>#NAME?</v>
      </c>
      <c r="Q177" t="e">
        <f t="shared" ca="1" si="64"/>
        <v>#NAME?</v>
      </c>
      <c r="V177">
        <v>1</v>
      </c>
      <c r="W177">
        <v>0</v>
      </c>
      <c r="X177">
        <v>0</v>
      </c>
      <c r="Y177">
        <f t="shared" si="65"/>
        <v>0</v>
      </c>
      <c r="Z177">
        <f t="shared" si="66"/>
        <v>8.5869999999999997</v>
      </c>
      <c r="AA177" t="e">
        <f t="shared" ca="1" si="67"/>
        <v>#NAME?</v>
      </c>
      <c r="AB177">
        <f t="shared" si="68"/>
        <v>1.1255691405183157</v>
      </c>
      <c r="AC177">
        <f t="shared" si="69"/>
        <v>7.5213062500000012</v>
      </c>
      <c r="AD177">
        <f t="shared" si="70"/>
        <v>2.7798747900000005</v>
      </c>
      <c r="AE177">
        <f t="shared" si="71"/>
        <v>0</v>
      </c>
      <c r="AF177">
        <f t="shared" si="72"/>
        <v>1.6482478082864641E-3</v>
      </c>
      <c r="AG177">
        <f t="shared" si="73"/>
        <v>0</v>
      </c>
      <c r="AH177">
        <f t="shared" si="74"/>
        <v>7.5201306253069919</v>
      </c>
      <c r="AI177">
        <f t="shared" si="75"/>
        <v>3.2387442689720006E-2</v>
      </c>
      <c r="AJ177">
        <f t="shared" si="76"/>
        <v>147.76770727184754</v>
      </c>
      <c r="AK177" t="e">
        <f t="shared" ca="1" si="77"/>
        <v>#NAME?</v>
      </c>
      <c r="AL177" t="e">
        <f t="shared" ca="1" si="78"/>
        <v>#NAME?</v>
      </c>
      <c r="AM177">
        <v>0.6</v>
      </c>
      <c r="AN177">
        <v>0.05</v>
      </c>
      <c r="BW177" t="s">
        <v>148</v>
      </c>
      <c r="BX177">
        <v>770</v>
      </c>
      <c r="BY177">
        <v>770</v>
      </c>
      <c r="BZ177">
        <v>660</v>
      </c>
      <c r="CA177">
        <v>550</v>
      </c>
      <c r="CB177">
        <v>550</v>
      </c>
      <c r="CC177">
        <v>550</v>
      </c>
      <c r="CD177">
        <v>550</v>
      </c>
      <c r="CE177">
        <v>660</v>
      </c>
      <c r="CF177">
        <v>660</v>
      </c>
      <c r="CG177">
        <v>660</v>
      </c>
      <c r="CJ177">
        <v>7.7077066055054996E+20</v>
      </c>
    </row>
    <row r="178" spans="11:88" x14ac:dyDescent="0.2">
      <c r="L178" t="s">
        <v>119</v>
      </c>
      <c r="M178">
        <v>55</v>
      </c>
      <c r="N178">
        <v>420</v>
      </c>
      <c r="O178">
        <v>0.5</v>
      </c>
      <c r="P178" t="e" cm="1">
        <f t="array" aca="1" ref="P178" ca="1">_xludf.XLOOKUP(K$47,$BX$169:$CG$169,_xludf.XLOOKUP($D$11,$BW$170:$BW$176,$BX$170:$CG$176))</f>
        <v>#NAME?</v>
      </c>
      <c r="Q178" t="e">
        <f t="shared" ca="1" si="64"/>
        <v>#NAME?</v>
      </c>
      <c r="V178">
        <v>1</v>
      </c>
      <c r="W178">
        <v>0</v>
      </c>
      <c r="X178">
        <v>0</v>
      </c>
      <c r="Y178">
        <f t="shared" si="65"/>
        <v>0</v>
      </c>
      <c r="Z178">
        <f t="shared" si="66"/>
        <v>6.9829999999999997</v>
      </c>
      <c r="AA178" t="e">
        <f t="shared" ca="1" si="67"/>
        <v>#NAME?</v>
      </c>
      <c r="AB178">
        <f t="shared" si="68"/>
        <v>1.1232058496386121</v>
      </c>
      <c r="AC178">
        <f t="shared" si="69"/>
        <v>7.7877832356000019</v>
      </c>
      <c r="AD178">
        <f t="shared" si="70"/>
        <v>3.5325384756681606</v>
      </c>
      <c r="AE178">
        <f t="shared" si="71"/>
        <v>0</v>
      </c>
      <c r="AF178">
        <f t="shared" si="72"/>
        <v>2.094518365054727E-3</v>
      </c>
      <c r="AG178">
        <f t="shared" si="73"/>
        <v>0</v>
      </c>
      <c r="AH178">
        <f t="shared" si="74"/>
        <v>10.511864044618411</v>
      </c>
      <c r="AI178">
        <f t="shared" si="75"/>
        <v>3.6715622438541394E-2</v>
      </c>
      <c r="AJ178">
        <f t="shared" si="76"/>
        <v>184.26653011342961</v>
      </c>
      <c r="AK178" t="e">
        <f t="shared" ca="1" si="77"/>
        <v>#NAME?</v>
      </c>
      <c r="AL178" t="e">
        <f t="shared" ca="1" si="78"/>
        <v>#NAME?</v>
      </c>
      <c r="AM178">
        <v>0.5</v>
      </c>
      <c r="AN178">
        <v>7.0000000000000007E-2</v>
      </c>
      <c r="CJ178">
        <v>7.7077066055054996E+20</v>
      </c>
    </row>
    <row r="179" spans="11:88" x14ac:dyDescent="0.2">
      <c r="L179" t="s">
        <v>120</v>
      </c>
      <c r="M179">
        <v>60</v>
      </c>
      <c r="N179">
        <v>430</v>
      </c>
      <c r="O179">
        <v>0.5</v>
      </c>
      <c r="P179" t="e" cm="1">
        <f t="array" aca="1" ref="P179" ca="1">_xludf.XLOOKUP(K$47,$BX$169:$CG$169,_xludf.XLOOKUP($D$11,$BW$170:$BW$176,$BX$170:$CG$176))</f>
        <v>#NAME?</v>
      </c>
      <c r="Q179" t="e">
        <f t="shared" ca="1" si="64"/>
        <v>#NAME?</v>
      </c>
      <c r="V179">
        <v>1</v>
      </c>
      <c r="W179">
        <v>0</v>
      </c>
      <c r="X179">
        <v>0</v>
      </c>
      <c r="Y179">
        <f t="shared" si="65"/>
        <v>0</v>
      </c>
      <c r="Z179">
        <f t="shared" si="66"/>
        <v>5.3789999999999996</v>
      </c>
      <c r="AA179" t="e">
        <f t="shared" ca="1" si="67"/>
        <v>#NAME?</v>
      </c>
      <c r="AB179">
        <f t="shared" si="68"/>
        <v>1.1220940971335449</v>
      </c>
      <c r="AC179">
        <f t="shared" si="69"/>
        <v>7.9183708816000014</v>
      </c>
      <c r="AD179">
        <f t="shared" si="70"/>
        <v>4.2569161859481603</v>
      </c>
      <c r="AE179">
        <f t="shared" si="71"/>
        <v>0</v>
      </c>
      <c r="AF179">
        <f t="shared" si="72"/>
        <v>2.5240175560382809E-3</v>
      </c>
      <c r="AG179">
        <f t="shared" si="73"/>
        <v>0</v>
      </c>
      <c r="AH179">
        <f t="shared" si="74"/>
        <v>13.818996119309588</v>
      </c>
      <c r="AI179">
        <f t="shared" si="75"/>
        <v>4.3986056140944994E-2</v>
      </c>
      <c r="AJ179">
        <f t="shared" si="76"/>
        <v>240.82365737167385</v>
      </c>
      <c r="AK179" t="e">
        <f t="shared" ca="1" si="77"/>
        <v>#NAME?</v>
      </c>
      <c r="AL179" t="e">
        <f t="shared" ca="1" si="78"/>
        <v>#NAME?</v>
      </c>
      <c r="AM179">
        <v>0.4</v>
      </c>
      <c r="AN179">
        <v>0.1</v>
      </c>
    </row>
    <row r="180" spans="11:88" x14ac:dyDescent="0.2">
      <c r="L180" t="s">
        <v>121</v>
      </c>
      <c r="M180">
        <v>65</v>
      </c>
      <c r="N180">
        <v>440</v>
      </c>
      <c r="O180">
        <v>0.5</v>
      </c>
      <c r="P180" t="e" cm="1">
        <f t="array" aca="1" ref="P180" ca="1">_xludf.XLOOKUP(K$47,$BX$169:$CG$169,_xludf.XLOOKUP($D$11,$BW$170:$BW$176,$BX$170:$CG$176))</f>
        <v>#NAME?</v>
      </c>
      <c r="Q180" t="e">
        <f t="shared" ca="1" si="64"/>
        <v>#NAME?</v>
      </c>
      <c r="V180">
        <v>1</v>
      </c>
      <c r="W180">
        <v>0</v>
      </c>
      <c r="X180">
        <v>0</v>
      </c>
      <c r="Y180">
        <f t="shared" si="65"/>
        <v>0</v>
      </c>
      <c r="Z180">
        <f t="shared" si="66"/>
        <v>3.7749999999999995</v>
      </c>
      <c r="AA180" t="e">
        <f t="shared" ca="1" si="67"/>
        <v>#NAME?</v>
      </c>
      <c r="AB180">
        <f t="shared" si="68"/>
        <v>1.1210263690566049</v>
      </c>
      <c r="AC180">
        <f t="shared" si="69"/>
        <v>8.0470938276000012</v>
      </c>
      <c r="AD180">
        <f t="shared" si="70"/>
        <v>5.0020735232361604</v>
      </c>
      <c r="AE180">
        <f t="shared" si="71"/>
        <v>0</v>
      </c>
      <c r="AF180">
        <f t="shared" si="72"/>
        <v>2.9658374367148217E-3</v>
      </c>
      <c r="AG180">
        <f t="shared" si="73"/>
        <v>0</v>
      </c>
      <c r="AH180">
        <f t="shared" si="74"/>
        <v>17.591123296514787</v>
      </c>
      <c r="AI180">
        <f t="shared" si="75"/>
        <v>5.3781625003628743E-2</v>
      </c>
      <c r="AJ180">
        <f t="shared" si="76"/>
        <v>318.99226330277298</v>
      </c>
      <c r="AK180" t="e">
        <f t="shared" ca="1" si="77"/>
        <v>#NAME?</v>
      </c>
      <c r="AL180" t="e">
        <f t="shared" ca="1" si="78"/>
        <v>#NAME?</v>
      </c>
      <c r="AM180">
        <v>0.3</v>
      </c>
      <c r="AN180">
        <v>0.13</v>
      </c>
    </row>
  </sheetData>
  <pageMargins left="0.7" right="0.7" top="0.75" bottom="0.75" header="0.3" footer="0.3"/>
  <ignoredErrors>
    <ignoredError sqref="A4:CP11 A123:CP123 A120:M122 P120:AL122 A115:CP115 A112:M114 AO112:CP114 A131:CP157 A128:M130 P128:AL130 A119:CP119 A116:M118 P116:AL118 A111:CP111 A108:M110 P108:AL110 A103:CP103 A100:M102 AO100:CP102 A127:CP127 A124:M126 P124:AL126 AO108:CP110 A107:CP107 A104:M106 P104:AL106 AO116:CP118 AO128:CP130 AO104:CP106 P112:AL114 AO124:CP126 A161:CP180 A158:N160 P158:CP160 AO120:CP122 A99:CP99 A96:M98 AO96:CP98 P100:AL102 A79:CP79 A76:M78 P76:AL78 A71:CP71 A68:M70 P68:AL70 A67:CP67 A64:M66 AO64:CP66 A83:CP83 A80:M82 AO80:CP82 AO68:CP70 A51:CP51 A48:M50 AO48:CP50 P48:AL50 A95:CP95 A92:M94 P92:AL94 AO76:CP78 A59:CP59 A56:M58 P56:AL58 A55:CP55 A52:M54 P52:AL54 AO92:CP94 A91:CP91 A88:M90 P88:AL90 A75:CP75 A72:M74 AO72:CP74 A87:CP87 A84:M86 P84:AL86 AO84:CP86 A39:CP39 A36:M38 AO36:CP38 P80:AL82 AO52:CP54 A43:CP43 A40:M42 AO40:CP42 P40:AL42 A27:CP27 A24:M26 P24:AL26 AO88:CP90 A63:CP63 A60:M62 AO60:CP62 A35:CP35 A32:M34 AO32:CP34 A47:CP47 A44:M46 P44:AL46 P64:AL66 P96:AL98 AO44:CP46 A19:CP19 A16:M18 P16:AL18 AO56:CP58 P36:AL38 A31:CP31 A28:M30 P28:AL30 P72:AL74 AO28:CP30 A23:CP23 A20:M22 P20:AL22 A15:CP15 A12:M14 P12:AL14 P60:AL62 P32:AL34 AO24:CP26 AO16:CP18 AO12:CP14 AO20:CP2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7CF3-767E-7148-94B6-C5D6A422E417}">
  <dimension ref="A1:M58"/>
  <sheetViews>
    <sheetView workbookViewId="0">
      <selection activeCell="A2" sqref="A2:M58"/>
    </sheetView>
  </sheetViews>
  <sheetFormatPr baseColWidth="10" defaultRowHeight="16" x14ac:dyDescent="0.2"/>
  <cols>
    <col min="1" max="2" width="13.33203125" bestFit="1" customWidth="1"/>
    <col min="3" max="3" width="11.1640625" bestFit="1" customWidth="1"/>
    <col min="4" max="5" width="11.6640625" bestFit="1" customWidth="1"/>
    <col min="6" max="6" width="12.1640625" bestFit="1" customWidth="1"/>
    <col min="7" max="8" width="13.33203125" bestFit="1" customWidth="1"/>
    <col min="9" max="9" width="13" bestFit="1" customWidth="1"/>
    <col min="10" max="10" width="12.83203125" bestFit="1" customWidth="1"/>
    <col min="11" max="12" width="14" bestFit="1" customWidth="1"/>
    <col min="13" max="13" width="13.33203125" bestFit="1" customWidth="1"/>
  </cols>
  <sheetData>
    <row r="1" spans="1:13" x14ac:dyDescent="0.2">
      <c r="A1" t="s">
        <v>242</v>
      </c>
      <c r="B1" t="s">
        <v>243</v>
      </c>
      <c r="C1" t="s">
        <v>244</v>
      </c>
      <c r="D1" t="s">
        <v>245</v>
      </c>
      <c r="E1" t="s">
        <v>246</v>
      </c>
      <c r="F1" t="s">
        <v>247</v>
      </c>
      <c r="G1" t="s">
        <v>248</v>
      </c>
      <c r="H1" t="s">
        <v>249</v>
      </c>
      <c r="I1" t="s">
        <v>250</v>
      </c>
      <c r="J1" t="s">
        <v>251</v>
      </c>
      <c r="K1" t="s">
        <v>252</v>
      </c>
      <c r="L1" t="s">
        <v>253</v>
      </c>
      <c r="M1" t="s">
        <v>254</v>
      </c>
    </row>
    <row r="2" spans="1:13" x14ac:dyDescent="0.2">
      <c r="A2" s="9" t="s">
        <v>240</v>
      </c>
      <c r="B2" s="9" t="s">
        <v>241</v>
      </c>
      <c r="C2" s="9"/>
      <c r="D2" t="s">
        <v>116</v>
      </c>
      <c r="E2" t="s">
        <v>122</v>
      </c>
      <c r="F2" t="s">
        <v>141</v>
      </c>
      <c r="G2" t="s">
        <v>146</v>
      </c>
      <c r="H2" t="s">
        <v>152</v>
      </c>
      <c r="I2" t="s">
        <v>156</v>
      </c>
      <c r="J2" t="s">
        <v>164</v>
      </c>
      <c r="K2" t="s">
        <v>169</v>
      </c>
      <c r="L2" t="s">
        <v>171</v>
      </c>
      <c r="M2" t="s">
        <v>176</v>
      </c>
    </row>
    <row r="3" spans="1:13" x14ac:dyDescent="0.2">
      <c r="A3" s="9" t="s">
        <v>113</v>
      </c>
      <c r="B3" s="9"/>
      <c r="C3" s="9" t="s">
        <v>117</v>
      </c>
      <c r="D3">
        <v>0.5</v>
      </c>
      <c r="E3">
        <v>0.2</v>
      </c>
      <c r="F3">
        <v>0.5</v>
      </c>
      <c r="G3">
        <v>0.4</v>
      </c>
      <c r="H3">
        <v>0.3</v>
      </c>
      <c r="I3">
        <v>0.3</v>
      </c>
      <c r="J3">
        <v>0.5</v>
      </c>
      <c r="K3">
        <v>0.4</v>
      </c>
      <c r="L3">
        <v>0.4</v>
      </c>
      <c r="M3">
        <v>0.4</v>
      </c>
    </row>
    <row r="4" spans="1:13" x14ac:dyDescent="0.2">
      <c r="A4" s="9"/>
      <c r="B4" s="9"/>
      <c r="C4" s="9" t="s">
        <v>119</v>
      </c>
      <c r="D4">
        <v>1</v>
      </c>
      <c r="E4">
        <v>0.4</v>
      </c>
      <c r="F4">
        <v>0.9</v>
      </c>
      <c r="G4">
        <v>0.7</v>
      </c>
      <c r="H4">
        <v>0.3</v>
      </c>
      <c r="I4">
        <v>0.3</v>
      </c>
      <c r="J4">
        <v>0.9</v>
      </c>
      <c r="K4">
        <v>0.4</v>
      </c>
      <c r="L4">
        <v>0.4</v>
      </c>
      <c r="M4">
        <v>0.4</v>
      </c>
    </row>
    <row r="5" spans="1:13" x14ac:dyDescent="0.2">
      <c r="A5" s="9"/>
      <c r="B5" s="9"/>
      <c r="C5" s="9" t="s">
        <v>120</v>
      </c>
      <c r="D5">
        <v>0.8</v>
      </c>
      <c r="E5">
        <v>0.3</v>
      </c>
      <c r="F5">
        <v>0.7</v>
      </c>
      <c r="G5">
        <v>0.3</v>
      </c>
      <c r="H5">
        <v>0.2</v>
      </c>
      <c r="I5">
        <v>0.2</v>
      </c>
      <c r="J5">
        <v>0.7</v>
      </c>
      <c r="K5">
        <v>0.3</v>
      </c>
      <c r="L5">
        <v>0.3</v>
      </c>
      <c r="M5">
        <v>0.3</v>
      </c>
    </row>
    <row r="6" spans="1:13" x14ac:dyDescent="0.2">
      <c r="A6" s="9"/>
      <c r="B6" s="9"/>
      <c r="C6" s="9" t="s">
        <v>121</v>
      </c>
      <c r="D6">
        <v>0.4</v>
      </c>
      <c r="E6">
        <v>0.1</v>
      </c>
      <c r="F6">
        <v>0.4</v>
      </c>
      <c r="G6">
        <v>0.2</v>
      </c>
      <c r="H6">
        <v>0.1</v>
      </c>
      <c r="I6">
        <v>0.1</v>
      </c>
      <c r="J6">
        <v>0.4</v>
      </c>
      <c r="K6">
        <v>0.1</v>
      </c>
      <c r="L6">
        <v>0.1</v>
      </c>
      <c r="M6">
        <v>0.1</v>
      </c>
    </row>
    <row r="7" spans="1:13" x14ac:dyDescent="0.2">
      <c r="A7" s="9" t="s">
        <v>178</v>
      </c>
      <c r="B7" s="9"/>
      <c r="C7" s="9" t="s">
        <v>117</v>
      </c>
      <c r="D7">
        <v>0.99</v>
      </c>
      <c r="E7">
        <v>1.1000000000000001</v>
      </c>
      <c r="F7">
        <v>0.88</v>
      </c>
      <c r="G7">
        <v>0.55000000000000004</v>
      </c>
      <c r="H7">
        <v>0.55000000000000004</v>
      </c>
      <c r="I7">
        <v>0.55000000000000004</v>
      </c>
      <c r="J7">
        <v>0.88</v>
      </c>
      <c r="K7">
        <v>0.22</v>
      </c>
      <c r="L7">
        <v>0.22</v>
      </c>
      <c r="M7">
        <v>0.22</v>
      </c>
    </row>
    <row r="8" spans="1:13" x14ac:dyDescent="0.2">
      <c r="A8" s="9"/>
      <c r="B8" s="9"/>
      <c r="C8" s="9" t="s">
        <v>119</v>
      </c>
      <c r="D8">
        <v>0.77</v>
      </c>
      <c r="E8">
        <v>0</v>
      </c>
      <c r="F8">
        <v>0.66</v>
      </c>
      <c r="G8">
        <v>0.22</v>
      </c>
      <c r="H8">
        <v>0</v>
      </c>
      <c r="I8">
        <v>0</v>
      </c>
      <c r="J8">
        <v>0.66</v>
      </c>
      <c r="K8">
        <v>0</v>
      </c>
      <c r="L8">
        <v>0</v>
      </c>
      <c r="M8">
        <v>0</v>
      </c>
    </row>
    <row r="9" spans="1:13" x14ac:dyDescent="0.2">
      <c r="A9" s="9"/>
      <c r="B9" s="9"/>
      <c r="C9" s="9" t="s">
        <v>120</v>
      </c>
      <c r="D9">
        <v>0.9</v>
      </c>
      <c r="E9">
        <v>-1.1000000000000001</v>
      </c>
      <c r="F9">
        <v>0.7</v>
      </c>
      <c r="G9">
        <v>0.22</v>
      </c>
      <c r="H9">
        <v>-0.55000000000000004</v>
      </c>
      <c r="I9">
        <v>-0.55000000000000004</v>
      </c>
      <c r="J9">
        <v>0.8</v>
      </c>
      <c r="K9">
        <v>-0.22</v>
      </c>
      <c r="L9">
        <v>-0.22</v>
      </c>
      <c r="M9">
        <v>-0.22</v>
      </c>
    </row>
    <row r="10" spans="1:13" x14ac:dyDescent="0.2">
      <c r="A10" s="9"/>
      <c r="B10" s="9"/>
      <c r="C10" s="9" t="s">
        <v>121</v>
      </c>
      <c r="D10">
        <v>0.88</v>
      </c>
      <c r="E10">
        <v>0</v>
      </c>
      <c r="F10">
        <v>0.77</v>
      </c>
      <c r="G10">
        <v>0.55000000000000004</v>
      </c>
      <c r="H10">
        <v>0</v>
      </c>
      <c r="I10">
        <v>0</v>
      </c>
      <c r="J10">
        <v>0.82</v>
      </c>
      <c r="K10">
        <v>0</v>
      </c>
      <c r="L10">
        <v>0</v>
      </c>
      <c r="M10">
        <v>0</v>
      </c>
    </row>
    <row r="11" spans="1:13" x14ac:dyDescent="0.2">
      <c r="A11" s="9" t="s">
        <v>179</v>
      </c>
      <c r="B11" s="9"/>
      <c r="C11" s="9" t="s">
        <v>117</v>
      </c>
      <c r="D11">
        <v>1</v>
      </c>
      <c r="E11">
        <v>0.5</v>
      </c>
      <c r="F11">
        <v>1</v>
      </c>
      <c r="G11">
        <v>1</v>
      </c>
      <c r="H11">
        <v>-0.44</v>
      </c>
      <c r="I11">
        <v>-0.44</v>
      </c>
      <c r="J11">
        <v>1</v>
      </c>
      <c r="K11">
        <v>0.5</v>
      </c>
      <c r="L11">
        <v>0.5</v>
      </c>
      <c r="M11">
        <v>0.5</v>
      </c>
    </row>
    <row r="12" spans="1:13" x14ac:dyDescent="0.2">
      <c r="A12" s="9"/>
      <c r="B12" s="9"/>
      <c r="C12" s="9" t="s">
        <v>119</v>
      </c>
      <c r="D12">
        <v>0.82</v>
      </c>
      <c r="E12">
        <v>0.55000000000000004</v>
      </c>
      <c r="F12">
        <v>0.71</v>
      </c>
      <c r="G12">
        <v>0.55000000000000004</v>
      </c>
      <c r="H12">
        <v>0.99</v>
      </c>
      <c r="I12">
        <v>0.99</v>
      </c>
      <c r="J12">
        <v>0.77</v>
      </c>
      <c r="K12">
        <v>0.5</v>
      </c>
      <c r="L12">
        <v>0.5</v>
      </c>
      <c r="M12">
        <v>0.5</v>
      </c>
    </row>
    <row r="13" spans="1:13" x14ac:dyDescent="0.2">
      <c r="A13" s="9"/>
      <c r="B13" s="9"/>
      <c r="C13" s="9" t="s">
        <v>120</v>
      </c>
      <c r="D13">
        <v>0.77</v>
      </c>
      <c r="E13">
        <v>0.5</v>
      </c>
      <c r="F13">
        <v>0.55000000000000004</v>
      </c>
      <c r="G13">
        <v>0.11</v>
      </c>
      <c r="H13">
        <v>-0.33</v>
      </c>
      <c r="I13">
        <v>-0.33</v>
      </c>
      <c r="J13">
        <v>0.6</v>
      </c>
      <c r="K13">
        <v>0.33</v>
      </c>
      <c r="L13">
        <v>0.33</v>
      </c>
      <c r="M13">
        <v>0.33</v>
      </c>
    </row>
    <row r="14" spans="1:13" x14ac:dyDescent="0.2">
      <c r="A14" s="9"/>
      <c r="B14" s="9"/>
      <c r="C14" s="9" t="s">
        <v>121</v>
      </c>
      <c r="D14">
        <v>0.11</v>
      </c>
      <c r="E14">
        <v>-0.27</v>
      </c>
      <c r="F14">
        <v>0.11</v>
      </c>
      <c r="G14">
        <v>0.22</v>
      </c>
      <c r="H14">
        <v>-0.44</v>
      </c>
      <c r="I14">
        <v>-0.44</v>
      </c>
      <c r="J14">
        <v>0.16</v>
      </c>
      <c r="K14">
        <v>-0.22</v>
      </c>
      <c r="L14">
        <v>-0.22</v>
      </c>
      <c r="M14">
        <v>-0.22</v>
      </c>
    </row>
    <row r="15" spans="1:13" x14ac:dyDescent="0.2">
      <c r="A15" s="9" t="s">
        <v>180</v>
      </c>
      <c r="B15" s="9"/>
      <c r="C15" s="9" t="s">
        <v>117</v>
      </c>
      <c r="D15">
        <v>1.1000000000000001</v>
      </c>
      <c r="E15">
        <v>1.1000000000000001</v>
      </c>
      <c r="F15">
        <v>1.1000000000000001</v>
      </c>
      <c r="G15">
        <v>0.99</v>
      </c>
      <c r="H15">
        <v>0.99</v>
      </c>
      <c r="I15">
        <v>0.99</v>
      </c>
      <c r="J15">
        <v>1.1000000000000001</v>
      </c>
      <c r="K15">
        <v>0.77</v>
      </c>
      <c r="L15">
        <v>0.77</v>
      </c>
      <c r="M15">
        <v>0.77</v>
      </c>
    </row>
    <row r="16" spans="1:13" x14ac:dyDescent="0.2">
      <c r="A16" s="9"/>
      <c r="B16" s="9"/>
      <c r="C16" s="9" t="s">
        <v>119</v>
      </c>
      <c r="D16">
        <v>0.33</v>
      </c>
      <c r="E16">
        <v>0.33</v>
      </c>
      <c r="F16">
        <v>0.22</v>
      </c>
      <c r="G16">
        <v>0.33</v>
      </c>
      <c r="H16">
        <v>-0.1</v>
      </c>
      <c r="I16">
        <v>-0.1</v>
      </c>
      <c r="J16">
        <v>0.33</v>
      </c>
      <c r="K16">
        <v>0.11</v>
      </c>
      <c r="L16">
        <v>0.11</v>
      </c>
      <c r="M16">
        <v>0.11</v>
      </c>
    </row>
    <row r="17" spans="1:13" x14ac:dyDescent="0.2">
      <c r="A17" s="9"/>
      <c r="B17" s="9"/>
      <c r="C17" s="9" t="s">
        <v>120</v>
      </c>
      <c r="D17">
        <v>0.5</v>
      </c>
      <c r="E17">
        <v>0.2</v>
      </c>
      <c r="F17">
        <v>0.55000000000000004</v>
      </c>
      <c r="G17">
        <v>0.44</v>
      </c>
      <c r="H17">
        <v>0.2</v>
      </c>
      <c r="I17">
        <v>0.2</v>
      </c>
      <c r="J17">
        <v>0.55000000000000004</v>
      </c>
      <c r="K17">
        <v>0.2</v>
      </c>
      <c r="L17">
        <v>0.2</v>
      </c>
      <c r="M17">
        <v>0.2</v>
      </c>
    </row>
    <row r="18" spans="1:13" x14ac:dyDescent="0.2">
      <c r="A18" s="9"/>
      <c r="B18" s="9"/>
      <c r="C18" s="9" t="s">
        <v>121</v>
      </c>
      <c r="D18">
        <v>0.55000000000000004</v>
      </c>
      <c r="E18">
        <v>0.22</v>
      </c>
      <c r="F18">
        <v>0.49</v>
      </c>
      <c r="G18">
        <v>0.22</v>
      </c>
      <c r="H18">
        <v>0.22</v>
      </c>
      <c r="I18">
        <v>0.22</v>
      </c>
      <c r="J18">
        <v>0.49</v>
      </c>
      <c r="K18">
        <v>0.33</v>
      </c>
      <c r="L18">
        <v>0.33</v>
      </c>
      <c r="M18">
        <v>0.33</v>
      </c>
    </row>
    <row r="19" spans="1:13" x14ac:dyDescent="0.2">
      <c r="A19" s="9" t="s">
        <v>148</v>
      </c>
      <c r="B19" s="9" t="s">
        <v>136</v>
      </c>
      <c r="C19" s="9" t="s">
        <v>117</v>
      </c>
      <c r="D19">
        <v>1.64</v>
      </c>
      <c r="E19">
        <v>1.1000000000000001</v>
      </c>
      <c r="F19">
        <v>1.21</v>
      </c>
      <c r="G19">
        <v>0.99</v>
      </c>
      <c r="H19">
        <v>0.66</v>
      </c>
      <c r="I19">
        <v>0.66</v>
      </c>
      <c r="J19">
        <v>1.42</v>
      </c>
      <c r="K19">
        <v>1.1000000000000001</v>
      </c>
      <c r="L19">
        <v>1.1000000000000001</v>
      </c>
      <c r="M19">
        <v>1.1000000000000001</v>
      </c>
    </row>
    <row r="20" spans="1:13" x14ac:dyDescent="0.2">
      <c r="A20" s="9"/>
      <c r="B20" s="9"/>
      <c r="C20" s="9" t="s">
        <v>119</v>
      </c>
      <c r="D20">
        <v>0.44</v>
      </c>
      <c r="E20">
        <v>-0.22</v>
      </c>
      <c r="F20">
        <v>0.44</v>
      </c>
      <c r="G20">
        <v>0.33</v>
      </c>
      <c r="H20">
        <v>-0.22</v>
      </c>
      <c r="I20">
        <v>-0.22</v>
      </c>
      <c r="J20">
        <v>0.44</v>
      </c>
      <c r="K20">
        <v>-0.11</v>
      </c>
      <c r="L20">
        <v>-0.11</v>
      </c>
      <c r="M20">
        <v>-0.11</v>
      </c>
    </row>
    <row r="21" spans="1:13" x14ac:dyDescent="0.2">
      <c r="A21" s="9"/>
      <c r="B21" s="9"/>
      <c r="C21" s="9" t="s">
        <v>120</v>
      </c>
      <c r="D21">
        <v>0.6</v>
      </c>
      <c r="E21">
        <v>0</v>
      </c>
      <c r="F21">
        <v>0.6</v>
      </c>
      <c r="G21">
        <v>0.22</v>
      </c>
      <c r="H21">
        <v>-0.55000000000000004</v>
      </c>
      <c r="I21">
        <v>-0.55000000000000004</v>
      </c>
      <c r="J21">
        <v>0.6</v>
      </c>
      <c r="K21">
        <v>0</v>
      </c>
      <c r="L21">
        <v>0</v>
      </c>
      <c r="M21">
        <v>0</v>
      </c>
    </row>
    <row r="22" spans="1:13" x14ac:dyDescent="0.2">
      <c r="A22" s="9"/>
      <c r="B22" s="9"/>
      <c r="C22" s="9" t="s">
        <v>121</v>
      </c>
      <c r="D22">
        <v>0.99</v>
      </c>
      <c r="E22">
        <v>0.22</v>
      </c>
      <c r="F22">
        <v>0.77</v>
      </c>
      <c r="G22">
        <v>0.11</v>
      </c>
      <c r="H22">
        <v>0.11</v>
      </c>
      <c r="I22">
        <v>0.11</v>
      </c>
      <c r="J22">
        <v>0.77</v>
      </c>
      <c r="K22">
        <v>0.44</v>
      </c>
      <c r="L22">
        <v>0.44</v>
      </c>
      <c r="M22">
        <v>0.44</v>
      </c>
    </row>
    <row r="23" spans="1:13" x14ac:dyDescent="0.2">
      <c r="A23" s="9" t="s">
        <v>148</v>
      </c>
      <c r="B23" s="9" t="s">
        <v>137</v>
      </c>
      <c r="C23" s="9" t="s">
        <v>117</v>
      </c>
      <c r="D23">
        <v>0.7</v>
      </c>
      <c r="E23">
        <v>-0.55000000000000004</v>
      </c>
      <c r="F23">
        <v>0.7</v>
      </c>
      <c r="G23">
        <v>0.22</v>
      </c>
      <c r="H23">
        <v>-0.22</v>
      </c>
      <c r="I23">
        <v>-0.22</v>
      </c>
      <c r="J23">
        <v>0.7</v>
      </c>
      <c r="K23">
        <v>-0.22</v>
      </c>
      <c r="L23">
        <v>-0.22</v>
      </c>
      <c r="M23">
        <v>-0.22</v>
      </c>
    </row>
    <row r="24" spans="1:13" x14ac:dyDescent="0.2">
      <c r="A24" s="9"/>
      <c r="B24" s="9"/>
      <c r="C24" s="9" t="s">
        <v>119</v>
      </c>
      <c r="D24">
        <v>0.77</v>
      </c>
      <c r="E24">
        <v>0.55000000000000004</v>
      </c>
      <c r="F24">
        <v>0.77</v>
      </c>
      <c r="G24">
        <v>0.66</v>
      </c>
      <c r="H24">
        <v>0.55000000000000004</v>
      </c>
      <c r="I24">
        <v>0.55000000000000004</v>
      </c>
      <c r="J24">
        <v>0.77</v>
      </c>
      <c r="K24">
        <v>0.33</v>
      </c>
      <c r="L24">
        <v>0.33</v>
      </c>
      <c r="M24">
        <v>0.33</v>
      </c>
    </row>
    <row r="25" spans="1:13" x14ac:dyDescent="0.2">
      <c r="A25" s="9"/>
      <c r="B25" s="9"/>
      <c r="C25" s="9" t="s">
        <v>120</v>
      </c>
      <c r="D25">
        <v>0.88</v>
      </c>
      <c r="E25">
        <v>0.55000000000000004</v>
      </c>
      <c r="F25">
        <v>0.88</v>
      </c>
      <c r="G25">
        <v>0.22</v>
      </c>
      <c r="H25">
        <v>0.22</v>
      </c>
      <c r="I25">
        <v>0.22</v>
      </c>
      <c r="J25">
        <v>0.88</v>
      </c>
      <c r="K25">
        <v>0.22</v>
      </c>
      <c r="L25">
        <v>0.22</v>
      </c>
      <c r="M25">
        <v>0.22</v>
      </c>
    </row>
    <row r="26" spans="1:13" x14ac:dyDescent="0.2">
      <c r="A26" s="9"/>
      <c r="B26" s="9"/>
      <c r="C26" s="9" t="s">
        <v>121</v>
      </c>
      <c r="D26">
        <v>0.22</v>
      </c>
      <c r="E26">
        <v>-0.55000000000000004</v>
      </c>
      <c r="F26">
        <v>0.22</v>
      </c>
      <c r="G26">
        <v>0.11</v>
      </c>
      <c r="H26">
        <v>-0.22</v>
      </c>
      <c r="I26">
        <v>-0.22</v>
      </c>
      <c r="J26">
        <v>0.22</v>
      </c>
      <c r="K26">
        <v>-0.33</v>
      </c>
      <c r="L26">
        <v>-0.33</v>
      </c>
      <c r="M26">
        <v>-0.33</v>
      </c>
    </row>
    <row r="27" spans="1:13" x14ac:dyDescent="0.2">
      <c r="A27" s="9" t="s">
        <v>148</v>
      </c>
      <c r="B27" s="9" t="s">
        <v>138</v>
      </c>
      <c r="C27" s="9" t="s">
        <v>117</v>
      </c>
      <c r="D27">
        <v>0.22</v>
      </c>
      <c r="E27">
        <v>-0.55000000000000004</v>
      </c>
      <c r="F27">
        <v>0.33</v>
      </c>
      <c r="G27">
        <v>0.22</v>
      </c>
      <c r="H27">
        <v>-0.33</v>
      </c>
      <c r="I27">
        <v>-0.33</v>
      </c>
      <c r="J27">
        <v>0.22</v>
      </c>
      <c r="K27">
        <v>-0.55000000000000004</v>
      </c>
      <c r="L27">
        <v>-0.55000000000000004</v>
      </c>
      <c r="M27">
        <v>-0.55000000000000004</v>
      </c>
    </row>
    <row r="28" spans="1:13" x14ac:dyDescent="0.2">
      <c r="A28" s="9"/>
      <c r="B28" s="9"/>
      <c r="C28" s="9" t="s">
        <v>119</v>
      </c>
      <c r="D28">
        <v>0.8</v>
      </c>
      <c r="E28">
        <v>0.55000000000000004</v>
      </c>
      <c r="F28">
        <v>0.7</v>
      </c>
      <c r="G28">
        <v>0.44</v>
      </c>
      <c r="H28">
        <v>0.66</v>
      </c>
      <c r="I28">
        <v>0.66</v>
      </c>
      <c r="J28">
        <v>0.8</v>
      </c>
      <c r="K28">
        <v>0.55000000000000004</v>
      </c>
      <c r="L28">
        <v>0.55000000000000004</v>
      </c>
      <c r="M28">
        <v>0.55000000000000004</v>
      </c>
    </row>
    <row r="29" spans="1:13" x14ac:dyDescent="0.2">
      <c r="A29" s="9"/>
      <c r="B29" s="9"/>
      <c r="C29" s="9" t="s">
        <v>120</v>
      </c>
      <c r="D29">
        <v>0.66</v>
      </c>
      <c r="E29">
        <v>0.55000000000000004</v>
      </c>
      <c r="F29">
        <v>0.55000000000000004</v>
      </c>
      <c r="G29">
        <v>0.55000000000000004</v>
      </c>
      <c r="H29">
        <v>0.11</v>
      </c>
      <c r="I29">
        <v>0.11</v>
      </c>
      <c r="J29">
        <v>0.66</v>
      </c>
      <c r="K29">
        <v>0.55000000000000004</v>
      </c>
      <c r="L29">
        <v>0.55000000000000004</v>
      </c>
      <c r="M29">
        <v>0.55000000000000004</v>
      </c>
    </row>
    <row r="30" spans="1:13" x14ac:dyDescent="0.2">
      <c r="A30" s="9"/>
      <c r="B30" s="9"/>
      <c r="C30" s="9" t="s">
        <v>121</v>
      </c>
      <c r="D30">
        <v>0.33</v>
      </c>
      <c r="E30">
        <v>-0.55000000000000004</v>
      </c>
      <c r="F30">
        <v>0.11</v>
      </c>
      <c r="G30">
        <v>0.11</v>
      </c>
      <c r="H30">
        <v>-0.44</v>
      </c>
      <c r="I30">
        <v>-0.44</v>
      </c>
      <c r="J30">
        <v>0.33</v>
      </c>
      <c r="K30">
        <v>-0.55000000000000004</v>
      </c>
      <c r="L30">
        <v>-0.55000000000000004</v>
      </c>
      <c r="M30">
        <v>-0.55000000000000004</v>
      </c>
    </row>
    <row r="31" spans="1:13" x14ac:dyDescent="0.2">
      <c r="A31" s="9" t="s">
        <v>131</v>
      </c>
      <c r="B31" s="9" t="s">
        <v>160</v>
      </c>
      <c r="C31" s="9" t="s">
        <v>117</v>
      </c>
      <c r="D31">
        <v>0.22</v>
      </c>
      <c r="E31">
        <v>-0.23</v>
      </c>
      <c r="F31">
        <v>0.25</v>
      </c>
      <c r="G31">
        <v>0.17</v>
      </c>
      <c r="H31">
        <v>0.18</v>
      </c>
      <c r="I31">
        <v>-0.28000000000000003</v>
      </c>
      <c r="J31">
        <v>0.32</v>
      </c>
      <c r="K31">
        <v>0.24</v>
      </c>
      <c r="L31">
        <v>0.25</v>
      </c>
      <c r="M31">
        <v>-0.05</v>
      </c>
    </row>
    <row r="32" spans="1:13" x14ac:dyDescent="0.2">
      <c r="A32" s="9"/>
      <c r="B32" s="9"/>
      <c r="C32" s="9" t="s">
        <v>119</v>
      </c>
      <c r="D32">
        <v>0.66</v>
      </c>
      <c r="E32">
        <v>0.2</v>
      </c>
      <c r="F32">
        <v>0.62</v>
      </c>
      <c r="G32">
        <v>0.54</v>
      </c>
      <c r="H32">
        <v>0.38</v>
      </c>
      <c r="I32">
        <v>0.27</v>
      </c>
      <c r="J32">
        <v>0.75</v>
      </c>
      <c r="K32">
        <v>0.64</v>
      </c>
      <c r="L32">
        <v>0.55000000000000004</v>
      </c>
      <c r="M32">
        <v>0.48</v>
      </c>
    </row>
    <row r="33" spans="1:13" x14ac:dyDescent="0.2">
      <c r="A33" s="9"/>
      <c r="B33" s="9"/>
      <c r="C33" s="9" t="s">
        <v>120</v>
      </c>
      <c r="D33">
        <v>0.49</v>
      </c>
      <c r="E33">
        <v>0.13</v>
      </c>
      <c r="F33">
        <v>0.54</v>
      </c>
      <c r="G33">
        <v>0.45</v>
      </c>
      <c r="H33">
        <v>0.35</v>
      </c>
      <c r="I33">
        <v>0.15</v>
      </c>
      <c r="J33">
        <v>0.63</v>
      </c>
      <c r="K33">
        <v>0.54</v>
      </c>
      <c r="L33">
        <v>0.42</v>
      </c>
      <c r="M33">
        <v>0.26</v>
      </c>
    </row>
    <row r="34" spans="1:13" x14ac:dyDescent="0.2">
      <c r="A34" s="9"/>
      <c r="B34" s="9"/>
      <c r="C34" s="9" t="s">
        <v>121</v>
      </c>
      <c r="D34">
        <v>0.27</v>
      </c>
      <c r="E34">
        <v>-0.8</v>
      </c>
      <c r="F34">
        <v>0.22</v>
      </c>
      <c r="G34">
        <v>0.09</v>
      </c>
      <c r="H34">
        <v>0.12</v>
      </c>
      <c r="I34">
        <v>0.02</v>
      </c>
      <c r="J34">
        <v>0.25</v>
      </c>
      <c r="K34">
        <v>0.18</v>
      </c>
      <c r="L34">
        <v>0.12</v>
      </c>
      <c r="M34">
        <v>0.03</v>
      </c>
    </row>
    <row r="35" spans="1:13" x14ac:dyDescent="0.2">
      <c r="A35" s="9" t="s">
        <v>131</v>
      </c>
      <c r="B35" s="9" t="s">
        <v>162</v>
      </c>
      <c r="C35" s="9" t="s">
        <v>117</v>
      </c>
      <c r="D35">
        <v>0.22</v>
      </c>
      <c r="E35">
        <v>-0.44</v>
      </c>
      <c r="F35">
        <v>0.2</v>
      </c>
      <c r="G35">
        <v>0.21</v>
      </c>
      <c r="H35">
        <v>0.18</v>
      </c>
      <c r="I35">
        <v>0.01</v>
      </c>
      <c r="J35">
        <v>0.12</v>
      </c>
      <c r="K35">
        <v>0.09</v>
      </c>
      <c r="L35" t="s">
        <v>181</v>
      </c>
      <c r="M35" t="s">
        <v>181</v>
      </c>
    </row>
    <row r="36" spans="1:13" x14ac:dyDescent="0.2">
      <c r="A36" s="9"/>
      <c r="B36" s="9"/>
      <c r="C36" s="9" t="s">
        <v>119</v>
      </c>
      <c r="D36">
        <v>0.66</v>
      </c>
      <c r="E36">
        <v>0.22</v>
      </c>
      <c r="F36">
        <v>0.68</v>
      </c>
      <c r="G36">
        <v>0.22</v>
      </c>
      <c r="H36">
        <v>0.24</v>
      </c>
      <c r="I36">
        <v>0.25</v>
      </c>
      <c r="J36">
        <v>0.64</v>
      </c>
      <c r="K36">
        <v>0.37</v>
      </c>
      <c r="L36" t="s">
        <v>181</v>
      </c>
      <c r="M36" t="s">
        <v>181</v>
      </c>
    </row>
    <row r="37" spans="1:13" x14ac:dyDescent="0.2">
      <c r="A37" s="9"/>
      <c r="B37" s="9"/>
      <c r="C37" s="9" t="s">
        <v>120</v>
      </c>
      <c r="D37">
        <v>0.49</v>
      </c>
      <c r="E37">
        <v>0.05</v>
      </c>
      <c r="F37">
        <v>0.64</v>
      </c>
      <c r="G37">
        <v>0.25</v>
      </c>
      <c r="H37">
        <v>0.28999999999999998</v>
      </c>
      <c r="I37">
        <v>0.12</v>
      </c>
      <c r="J37">
        <v>0.56999999999999995</v>
      </c>
      <c r="K37">
        <v>0.49</v>
      </c>
      <c r="L37" t="s">
        <v>181</v>
      </c>
      <c r="M37" t="s">
        <v>181</v>
      </c>
    </row>
    <row r="38" spans="1:13" x14ac:dyDescent="0.2">
      <c r="A38" s="9"/>
      <c r="B38" s="9"/>
      <c r="C38" s="9" t="s">
        <v>121</v>
      </c>
      <c r="D38">
        <v>0.27</v>
      </c>
      <c r="E38">
        <v>-0.27</v>
      </c>
      <c r="F38">
        <v>0.31</v>
      </c>
      <c r="G38">
        <v>0.28999999999999998</v>
      </c>
      <c r="H38">
        <v>0.19</v>
      </c>
      <c r="I38">
        <v>0.04</v>
      </c>
      <c r="J38">
        <v>0.26</v>
      </c>
      <c r="K38">
        <v>0.28000000000000003</v>
      </c>
      <c r="L38" t="s">
        <v>181</v>
      </c>
      <c r="M38" t="s">
        <v>181</v>
      </c>
    </row>
    <row r="39" spans="1:13" x14ac:dyDescent="0.2">
      <c r="A39" s="9" t="s">
        <v>131</v>
      </c>
      <c r="B39" s="9" t="s">
        <v>163</v>
      </c>
      <c r="C39" s="9" t="s">
        <v>117</v>
      </c>
      <c r="D39">
        <v>0.22</v>
      </c>
      <c r="E39">
        <v>-0.44</v>
      </c>
      <c r="F39">
        <v>0</v>
      </c>
      <c r="G39">
        <v>0.15</v>
      </c>
      <c r="H39">
        <v>0.08</v>
      </c>
      <c r="I39">
        <v>0.17</v>
      </c>
      <c r="J39">
        <v>0.06</v>
      </c>
      <c r="K39">
        <v>0.02</v>
      </c>
      <c r="L39">
        <v>-0.14000000000000001</v>
      </c>
      <c r="M39" t="s">
        <v>181</v>
      </c>
    </row>
    <row r="40" spans="1:13" x14ac:dyDescent="0.2">
      <c r="A40" s="9"/>
      <c r="B40" s="9"/>
      <c r="C40" s="9" t="s">
        <v>119</v>
      </c>
      <c r="D40">
        <v>0.66</v>
      </c>
      <c r="E40">
        <v>0.22</v>
      </c>
      <c r="F40">
        <v>0.79</v>
      </c>
      <c r="G40">
        <v>0.4</v>
      </c>
      <c r="H40">
        <v>0.38</v>
      </c>
      <c r="I40">
        <v>0.27</v>
      </c>
      <c r="J40">
        <v>0.8</v>
      </c>
      <c r="K40">
        <v>0.16</v>
      </c>
      <c r="L40">
        <v>0.3</v>
      </c>
      <c r="M40" t="s">
        <v>181</v>
      </c>
    </row>
    <row r="41" spans="1:13" x14ac:dyDescent="0.2">
      <c r="A41" s="9"/>
      <c r="B41" s="9"/>
      <c r="C41" s="9" t="s">
        <v>120</v>
      </c>
      <c r="D41">
        <v>0.49</v>
      </c>
      <c r="E41">
        <v>0.05</v>
      </c>
      <c r="F41">
        <v>0.55000000000000004</v>
      </c>
      <c r="G41">
        <v>0.38</v>
      </c>
      <c r="H41">
        <v>0.36</v>
      </c>
      <c r="I41">
        <v>0.06</v>
      </c>
      <c r="J41">
        <v>0.57999999999999996</v>
      </c>
      <c r="K41">
        <v>0.23</v>
      </c>
      <c r="L41">
        <v>0.4</v>
      </c>
      <c r="M41" t="s">
        <v>181</v>
      </c>
    </row>
    <row r="42" spans="1:13" x14ac:dyDescent="0.2">
      <c r="A42" s="9"/>
      <c r="B42" s="9"/>
      <c r="C42" s="9" t="s">
        <v>121</v>
      </c>
      <c r="D42">
        <v>0.27</v>
      </c>
      <c r="E42">
        <v>-0.27</v>
      </c>
      <c r="F42">
        <v>0.02</v>
      </c>
      <c r="G42">
        <v>0.09</v>
      </c>
      <c r="H42">
        <v>0.16</v>
      </c>
      <c r="I42">
        <v>-0.04</v>
      </c>
      <c r="J42">
        <v>0.21</v>
      </c>
      <c r="K42">
        <v>0.03</v>
      </c>
      <c r="L42">
        <v>0.11</v>
      </c>
      <c r="M42" t="s">
        <v>181</v>
      </c>
    </row>
    <row r="43" spans="1:13" x14ac:dyDescent="0.2">
      <c r="A43" s="9" t="s">
        <v>182</v>
      </c>
      <c r="B43" s="9" t="s">
        <v>166</v>
      </c>
      <c r="C43" s="9" t="s">
        <v>117</v>
      </c>
      <c r="D43">
        <v>0.27</v>
      </c>
      <c r="E43">
        <v>-0.19</v>
      </c>
      <c r="F43">
        <v>0.38</v>
      </c>
      <c r="G43">
        <v>0.25</v>
      </c>
      <c r="H43">
        <v>7.0000000000000007E-2</v>
      </c>
      <c r="I43">
        <v>0.05</v>
      </c>
      <c r="J43">
        <v>0.52</v>
      </c>
      <c r="K43">
        <v>0.55000000000000004</v>
      </c>
      <c r="L43">
        <v>0.19</v>
      </c>
      <c r="M43">
        <v>0.6</v>
      </c>
    </row>
    <row r="44" spans="1:13" x14ac:dyDescent="0.2">
      <c r="A44" s="9"/>
      <c r="B44" s="9"/>
      <c r="C44" s="9" t="s">
        <v>119</v>
      </c>
      <c r="D44">
        <v>0.16</v>
      </c>
      <c r="E44">
        <v>0.16</v>
      </c>
      <c r="F44">
        <v>0.8</v>
      </c>
      <c r="G44">
        <v>0.56999999999999995</v>
      </c>
      <c r="H44">
        <v>0.76</v>
      </c>
      <c r="I44">
        <v>0.49</v>
      </c>
      <c r="J44">
        <v>0.84</v>
      </c>
      <c r="K44">
        <v>0.51</v>
      </c>
      <c r="L44">
        <v>0.36</v>
      </c>
      <c r="M44">
        <v>0.17</v>
      </c>
    </row>
    <row r="45" spans="1:13" x14ac:dyDescent="0.2">
      <c r="A45" s="9"/>
      <c r="B45" s="9"/>
      <c r="C45" s="9" t="s">
        <v>120</v>
      </c>
      <c r="D45">
        <v>0.45</v>
      </c>
      <c r="E45">
        <v>0.1</v>
      </c>
      <c r="F45">
        <v>0.49</v>
      </c>
      <c r="G45">
        <v>0.41</v>
      </c>
      <c r="H45">
        <v>0.4</v>
      </c>
      <c r="I45">
        <v>0.17</v>
      </c>
      <c r="J45">
        <v>0.54</v>
      </c>
      <c r="K45">
        <v>0.64</v>
      </c>
      <c r="L45">
        <v>-0.05</v>
      </c>
      <c r="M45">
        <v>0.32</v>
      </c>
    </row>
    <row r="46" spans="1:13" x14ac:dyDescent="0.2">
      <c r="A46" s="9"/>
      <c r="B46" s="9"/>
      <c r="C46" s="9" t="s">
        <v>121</v>
      </c>
      <c r="D46">
        <v>0.51</v>
      </c>
      <c r="E46">
        <v>-7.0000000000000007E-2</v>
      </c>
      <c r="F46">
        <v>0.13</v>
      </c>
      <c r="G46">
        <v>-0.09</v>
      </c>
      <c r="H46">
        <v>-0.13</v>
      </c>
      <c r="I46">
        <v>7.0000000000000007E-2</v>
      </c>
      <c r="J46">
        <v>0.25</v>
      </c>
      <c r="K46">
        <v>0.71</v>
      </c>
      <c r="L46">
        <v>0.17</v>
      </c>
      <c r="M46">
        <v>0.43</v>
      </c>
    </row>
    <row r="47" spans="1:13" x14ac:dyDescent="0.2">
      <c r="A47" s="9" t="s">
        <v>182</v>
      </c>
      <c r="B47" s="9" t="s">
        <v>167</v>
      </c>
      <c r="C47" s="9" t="s">
        <v>117</v>
      </c>
      <c r="D47">
        <v>-0.12</v>
      </c>
      <c r="E47">
        <v>-0.19</v>
      </c>
      <c r="F47">
        <v>0.41</v>
      </c>
      <c r="G47">
        <v>0.09</v>
      </c>
      <c r="H47">
        <v>0.41</v>
      </c>
      <c r="I47">
        <v>-0.19</v>
      </c>
      <c r="J47">
        <v>7.0000000000000007E-2</v>
      </c>
      <c r="K47">
        <v>1.07</v>
      </c>
      <c r="L47">
        <v>-0.08</v>
      </c>
      <c r="M47">
        <v>0</v>
      </c>
    </row>
    <row r="48" spans="1:13" x14ac:dyDescent="0.2">
      <c r="A48" s="9"/>
      <c r="B48" s="9"/>
      <c r="C48" s="9" t="s">
        <v>119</v>
      </c>
      <c r="D48">
        <v>0.65</v>
      </c>
      <c r="E48">
        <v>0.19</v>
      </c>
      <c r="F48">
        <v>0.65</v>
      </c>
      <c r="G48">
        <v>0.51</v>
      </c>
      <c r="H48">
        <v>0.18</v>
      </c>
      <c r="I48">
        <v>0.63</v>
      </c>
      <c r="J48">
        <v>1.3</v>
      </c>
      <c r="K48">
        <v>0.48</v>
      </c>
      <c r="L48">
        <v>1.1200000000000001</v>
      </c>
      <c r="M48">
        <v>0.38</v>
      </c>
    </row>
    <row r="49" spans="1:13" x14ac:dyDescent="0.2">
      <c r="A49" s="9"/>
      <c r="B49" s="9"/>
      <c r="C49" s="9" t="s">
        <v>120</v>
      </c>
      <c r="D49">
        <v>0.7</v>
      </c>
      <c r="E49">
        <v>0.13</v>
      </c>
      <c r="F49">
        <v>0.52</v>
      </c>
      <c r="G49">
        <v>0.34</v>
      </c>
      <c r="H49">
        <v>0.02</v>
      </c>
      <c r="I49">
        <v>0.04</v>
      </c>
      <c r="J49">
        <v>0.77</v>
      </c>
      <c r="K49">
        <v>0.42</v>
      </c>
      <c r="L49">
        <v>0.12</v>
      </c>
      <c r="M49">
        <v>0.74</v>
      </c>
    </row>
    <row r="50" spans="1:13" x14ac:dyDescent="0.2">
      <c r="A50" s="9"/>
      <c r="B50" s="9"/>
      <c r="C50" s="9" t="s">
        <v>121</v>
      </c>
      <c r="D50">
        <v>0.32</v>
      </c>
      <c r="E50">
        <v>-0.06</v>
      </c>
      <c r="F50">
        <v>0.25</v>
      </c>
      <c r="G50">
        <v>0.19</v>
      </c>
      <c r="H50">
        <v>-0.1</v>
      </c>
      <c r="I50">
        <v>-0.02</v>
      </c>
      <c r="J50">
        <v>0.02</v>
      </c>
      <c r="K50">
        <v>0.23</v>
      </c>
      <c r="L50">
        <v>-0.13</v>
      </c>
      <c r="M50">
        <v>0</v>
      </c>
    </row>
    <row r="51" spans="1:13" x14ac:dyDescent="0.2">
      <c r="A51" s="9" t="s">
        <v>182</v>
      </c>
      <c r="B51" s="9" t="s">
        <v>168</v>
      </c>
      <c r="C51" s="9" t="s">
        <v>117</v>
      </c>
      <c r="D51">
        <v>0.62</v>
      </c>
      <c r="E51">
        <v>-0.19</v>
      </c>
      <c r="F51">
        <v>0.37</v>
      </c>
      <c r="G51">
        <v>0.41</v>
      </c>
      <c r="H51">
        <v>0.06</v>
      </c>
      <c r="I51">
        <v>-0.02</v>
      </c>
      <c r="J51">
        <v>0.47</v>
      </c>
      <c r="K51">
        <v>0.44</v>
      </c>
      <c r="L51">
        <v>0.3</v>
      </c>
      <c r="M51">
        <v>0.13</v>
      </c>
    </row>
    <row r="52" spans="1:13" x14ac:dyDescent="0.2">
      <c r="A52" s="9"/>
      <c r="B52" s="9"/>
      <c r="C52" s="9" t="s">
        <v>119</v>
      </c>
      <c r="D52">
        <v>0.05</v>
      </c>
      <c r="E52">
        <v>0.19</v>
      </c>
      <c r="F52">
        <v>0.31</v>
      </c>
      <c r="G52">
        <v>0.54</v>
      </c>
      <c r="H52">
        <v>0.53</v>
      </c>
      <c r="I52">
        <v>0.15</v>
      </c>
      <c r="J52">
        <v>0.28000000000000003</v>
      </c>
      <c r="K52">
        <v>0.56999999999999995</v>
      </c>
      <c r="L52">
        <v>0.42</v>
      </c>
      <c r="M52">
        <v>0.4</v>
      </c>
    </row>
    <row r="53" spans="1:13" x14ac:dyDescent="0.2">
      <c r="A53" s="9"/>
      <c r="B53" s="9"/>
      <c r="C53" s="9" t="s">
        <v>120</v>
      </c>
      <c r="D53">
        <v>0.33</v>
      </c>
      <c r="E53">
        <v>0.13</v>
      </c>
      <c r="F53">
        <v>0.39</v>
      </c>
      <c r="G53">
        <v>0.36</v>
      </c>
      <c r="H53">
        <v>0.26</v>
      </c>
      <c r="I53">
        <v>0.11</v>
      </c>
      <c r="J53">
        <v>0.4</v>
      </c>
      <c r="K53">
        <v>0.44</v>
      </c>
      <c r="L53">
        <v>0.37</v>
      </c>
      <c r="M53">
        <v>-0.01</v>
      </c>
    </row>
    <row r="54" spans="1:13" x14ac:dyDescent="0.2">
      <c r="A54" s="9"/>
      <c r="B54" s="9"/>
      <c r="C54" s="9" t="s">
        <v>121</v>
      </c>
      <c r="D54">
        <v>0.61</v>
      </c>
      <c r="E54">
        <v>-0.06</v>
      </c>
      <c r="F54">
        <v>0.21</v>
      </c>
      <c r="G54">
        <v>0.18</v>
      </c>
      <c r="H54">
        <v>0.12</v>
      </c>
      <c r="I54">
        <v>0.06</v>
      </c>
      <c r="J54">
        <v>0.28999999999999998</v>
      </c>
      <c r="K54">
        <v>0.41</v>
      </c>
      <c r="L54">
        <v>0.41</v>
      </c>
      <c r="M54">
        <v>-0.15</v>
      </c>
    </row>
    <row r="55" spans="1:13" x14ac:dyDescent="0.2">
      <c r="A55" s="9" t="s">
        <v>182</v>
      </c>
      <c r="B55" s="9" t="s">
        <v>170</v>
      </c>
      <c r="C55" s="9" t="s">
        <v>117</v>
      </c>
      <c r="D55">
        <v>-0.2</v>
      </c>
      <c r="E55">
        <v>0.02</v>
      </c>
      <c r="F55">
        <v>0.24</v>
      </c>
      <c r="G55">
        <v>0.3</v>
      </c>
      <c r="H55">
        <v>0.23</v>
      </c>
      <c r="I55">
        <v>-0.05</v>
      </c>
      <c r="J55">
        <v>0.34</v>
      </c>
      <c r="K55">
        <v>0.3</v>
      </c>
      <c r="L55">
        <v>0.56999999999999995</v>
      </c>
      <c r="M55">
        <v>0.52</v>
      </c>
    </row>
    <row r="56" spans="1:13" x14ac:dyDescent="0.2">
      <c r="A56" s="9"/>
      <c r="B56" s="9"/>
      <c r="C56" s="9" t="s">
        <v>119</v>
      </c>
      <c r="D56">
        <v>0.62</v>
      </c>
      <c r="E56">
        <v>0.21</v>
      </c>
      <c r="F56">
        <v>0.25</v>
      </c>
      <c r="G56">
        <v>0.32</v>
      </c>
      <c r="H56">
        <v>0.47</v>
      </c>
      <c r="I56">
        <v>0.31</v>
      </c>
      <c r="J56">
        <v>0.14000000000000001</v>
      </c>
      <c r="K56">
        <v>0.4</v>
      </c>
      <c r="L56">
        <v>0.26</v>
      </c>
      <c r="M56">
        <v>0.43</v>
      </c>
    </row>
    <row r="57" spans="1:13" x14ac:dyDescent="0.2">
      <c r="A57" s="9"/>
      <c r="B57" s="9"/>
      <c r="C57" s="9" t="s">
        <v>120</v>
      </c>
      <c r="D57">
        <v>0.4</v>
      </c>
      <c r="E57">
        <v>0.13</v>
      </c>
      <c r="F57">
        <v>0.12</v>
      </c>
      <c r="G57">
        <v>0.27</v>
      </c>
      <c r="H57">
        <v>0.3</v>
      </c>
      <c r="I57">
        <v>0.08</v>
      </c>
      <c r="J57">
        <v>0.13</v>
      </c>
      <c r="K57">
        <v>0.24</v>
      </c>
      <c r="L57">
        <v>0.15</v>
      </c>
      <c r="M57">
        <v>0.21</v>
      </c>
    </row>
    <row r="58" spans="1:13" x14ac:dyDescent="0.2">
      <c r="A58" s="9"/>
      <c r="B58" s="9"/>
      <c r="C58" s="9" t="s">
        <v>121</v>
      </c>
      <c r="D58">
        <v>0.08</v>
      </c>
      <c r="E58">
        <v>0.04</v>
      </c>
      <c r="F58">
        <v>0.06</v>
      </c>
      <c r="G58">
        <v>0.18</v>
      </c>
      <c r="H58">
        <v>0.11</v>
      </c>
      <c r="I58">
        <v>-7.0000000000000007E-2</v>
      </c>
      <c r="J58">
        <v>0.13</v>
      </c>
      <c r="K58">
        <v>0.16</v>
      </c>
      <c r="L58">
        <v>0.4</v>
      </c>
      <c r="M58">
        <v>0.33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0EC9C-1551-6A49-9F72-D1F1F3391F3B}">
  <dimension ref="A1"/>
  <sheetViews>
    <sheetView workbookViewId="0">
      <selection sqref="A1:Q41"/>
    </sheetView>
  </sheetViews>
  <sheetFormatPr baseColWidth="10" defaultRowHeight="16" x14ac:dyDescent="0.2"/>
  <cols>
    <col min="1" max="1" width="9.6640625" bestFit="1" customWidth="1"/>
    <col min="2" max="2" width="14" bestFit="1" customWidth="1"/>
    <col min="3" max="3" width="11.6640625" bestFit="1" customWidth="1"/>
    <col min="4" max="4" width="5.83203125" bestFit="1" customWidth="1"/>
    <col min="5" max="6" width="6.6640625" bestFit="1" customWidth="1"/>
    <col min="7" max="7" width="17.1640625" bestFit="1" customWidth="1"/>
    <col min="8" max="8" width="13.6640625" bestFit="1" customWidth="1"/>
    <col min="9" max="9" width="16.1640625" bestFit="1" customWidth="1"/>
    <col min="10" max="10" width="17.83203125" bestFit="1" customWidth="1"/>
    <col min="11" max="11" width="12.33203125" bestFit="1" customWidth="1"/>
    <col min="12" max="12" width="14.5" bestFit="1" customWidth="1"/>
    <col min="13" max="13" width="12.5" bestFit="1" customWidth="1"/>
    <col min="14" max="14" width="21.1640625" bestFit="1" customWidth="1"/>
    <col min="15" max="15" width="20.6640625" bestFit="1" customWidth="1"/>
    <col min="16" max="16" width="12" bestFit="1" customWidth="1"/>
    <col min="17" max="18" width="14.332031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B145"/>
  <sheetViews>
    <sheetView tabSelected="1" topLeftCell="A56" workbookViewId="0">
      <selection activeCell="P80" sqref="P80"/>
    </sheetView>
  </sheetViews>
  <sheetFormatPr baseColWidth="10" defaultRowHeight="16" x14ac:dyDescent="0.2"/>
  <cols>
    <col min="2" max="3" width="19.1640625" customWidth="1"/>
    <col min="27" max="27" width="17" customWidth="1"/>
    <col min="29" max="29" width="15.33203125" customWidth="1"/>
    <col min="42" max="44" width="11" customWidth="1"/>
    <col min="51" max="54" width="11.6640625" customWidth="1"/>
  </cols>
  <sheetData>
    <row r="2" spans="1:30" x14ac:dyDescent="0.2">
      <c r="Q2" t="s">
        <v>189</v>
      </c>
      <c r="S2" t="s">
        <v>190</v>
      </c>
      <c r="T2" t="s">
        <v>191</v>
      </c>
      <c r="V2" t="s">
        <v>192</v>
      </c>
    </row>
    <row r="3" spans="1:30" x14ac:dyDescent="0.2">
      <c r="H3" t="s">
        <v>193</v>
      </c>
      <c r="I3" t="s">
        <v>194</v>
      </c>
      <c r="J3" t="s">
        <v>195</v>
      </c>
      <c r="L3" t="s">
        <v>196</v>
      </c>
      <c r="N3" t="s">
        <v>197</v>
      </c>
      <c r="P3" t="s">
        <v>198</v>
      </c>
      <c r="Q3" t="s">
        <v>199</v>
      </c>
      <c r="S3" t="s">
        <v>200</v>
      </c>
      <c r="T3" t="s">
        <v>201</v>
      </c>
      <c r="V3" t="s">
        <v>202</v>
      </c>
    </row>
    <row r="4" spans="1:30" x14ac:dyDescent="0.2">
      <c r="H4" t="s">
        <v>46</v>
      </c>
      <c r="I4" t="s">
        <v>43</v>
      </c>
      <c r="J4" t="s">
        <v>43</v>
      </c>
      <c r="L4" t="s">
        <v>46</v>
      </c>
      <c r="N4" t="s">
        <v>46</v>
      </c>
      <c r="P4" t="s">
        <v>46</v>
      </c>
      <c r="Q4" t="s">
        <v>47</v>
      </c>
      <c r="S4" t="s">
        <v>47</v>
      </c>
      <c r="T4" t="s">
        <v>47</v>
      </c>
      <c r="V4" t="s">
        <v>47</v>
      </c>
      <c r="AC4" t="s">
        <v>297</v>
      </c>
      <c r="AD4">
        <v>1.3</v>
      </c>
    </row>
    <row r="5" spans="1:30" x14ac:dyDescent="0.2">
      <c r="H5" t="s">
        <v>43</v>
      </c>
      <c r="I5" t="s">
        <v>203</v>
      </c>
      <c r="J5" t="s">
        <v>203</v>
      </c>
      <c r="L5" t="s">
        <v>203</v>
      </c>
      <c r="N5" t="s">
        <v>43</v>
      </c>
      <c r="P5" t="s">
        <v>43</v>
      </c>
      <c r="Q5" t="s">
        <v>203</v>
      </c>
      <c r="S5" t="s">
        <v>43</v>
      </c>
      <c r="T5" t="s">
        <v>203</v>
      </c>
      <c r="V5" t="s">
        <v>203</v>
      </c>
      <c r="AC5" t="s">
        <v>298</v>
      </c>
      <c r="AD5">
        <v>1.1000000000000001</v>
      </c>
    </row>
    <row r="8" spans="1:30" x14ac:dyDescent="0.2">
      <c r="H8" t="s">
        <v>204</v>
      </c>
      <c r="I8" t="s">
        <v>205</v>
      </c>
      <c r="J8" t="s">
        <v>206</v>
      </c>
      <c r="L8" t="s">
        <v>206</v>
      </c>
      <c r="N8" t="s">
        <v>207</v>
      </c>
      <c r="P8" t="s">
        <v>208</v>
      </c>
      <c r="Q8" t="s">
        <v>208</v>
      </c>
      <c r="S8" t="s">
        <v>209</v>
      </c>
      <c r="T8" t="s">
        <v>210</v>
      </c>
      <c r="V8" t="s">
        <v>211</v>
      </c>
    </row>
    <row r="9" spans="1:30" x14ac:dyDescent="0.2">
      <c r="H9" t="s">
        <v>212</v>
      </c>
      <c r="I9" t="s">
        <v>213</v>
      </c>
      <c r="J9" t="s">
        <v>214</v>
      </c>
      <c r="L9" t="s">
        <v>215</v>
      </c>
      <c r="N9" t="s">
        <v>216</v>
      </c>
      <c r="P9" t="s">
        <v>217</v>
      </c>
      <c r="Q9" t="s">
        <v>218</v>
      </c>
      <c r="S9" t="s">
        <v>219</v>
      </c>
      <c r="T9" t="s">
        <v>220</v>
      </c>
      <c r="V9" t="s">
        <v>221</v>
      </c>
    </row>
    <row r="10" spans="1:30" x14ac:dyDescent="0.2">
      <c r="A10" t="s">
        <v>59</v>
      </c>
      <c r="B10" s="1" t="s">
        <v>231</v>
      </c>
      <c r="C10" s="1" t="s">
        <v>272</v>
      </c>
      <c r="D10" s="1" t="s">
        <v>62</v>
      </c>
      <c r="G10" t="s">
        <v>271</v>
      </c>
      <c r="H10" s="1" t="s">
        <v>222</v>
      </c>
      <c r="I10" s="1" t="s">
        <v>223</v>
      </c>
      <c r="J10" s="1" t="s">
        <v>295</v>
      </c>
      <c r="K10" s="1" t="s">
        <v>296</v>
      </c>
      <c r="L10" t="s">
        <v>224</v>
      </c>
      <c r="M10" s="1" t="s">
        <v>269</v>
      </c>
      <c r="N10" t="s">
        <v>225</v>
      </c>
      <c r="O10" s="1" t="s">
        <v>268</v>
      </c>
      <c r="P10" t="s">
        <v>226</v>
      </c>
      <c r="Q10" t="s">
        <v>227</v>
      </c>
      <c r="R10" t="s">
        <v>270</v>
      </c>
      <c r="S10" t="s">
        <v>228</v>
      </c>
      <c r="T10" t="s">
        <v>229</v>
      </c>
      <c r="U10" t="s">
        <v>230</v>
      </c>
      <c r="V10" s="31" t="s">
        <v>230</v>
      </c>
      <c r="AC10" t="s">
        <v>234</v>
      </c>
      <c r="AD10" t="s">
        <v>126</v>
      </c>
    </row>
    <row r="11" spans="1:30" x14ac:dyDescent="0.2">
      <c r="A11" t="s">
        <v>110</v>
      </c>
      <c r="B11" t="s">
        <v>232</v>
      </c>
      <c r="D11" t="s">
        <v>135</v>
      </c>
      <c r="E11" t="s">
        <v>116</v>
      </c>
      <c r="F11" t="s">
        <v>117</v>
      </c>
      <c r="H11">
        <v>91.25</v>
      </c>
      <c r="I11">
        <v>50</v>
      </c>
      <c r="J11">
        <v>0</v>
      </c>
      <c r="K11">
        <v>0</v>
      </c>
      <c r="L11">
        <v>0</v>
      </c>
      <c r="N11" s="32" cm="1">
        <f t="array" ref="N11:N50">_xlfn.DROP(_xlfn.XLOOKUP($D11,TableW[[#Headers],[ACT/NSW]:[QLD - Low]],TableW[[#All],[ACT/NSW]:[QLD - Low]]),1)</f>
        <v>250</v>
      </c>
      <c r="P11" cm="1">
        <f t="array" ref="P11:P50">_xlfn.DROP(_xlfn.XLOOKUP($D11,TableLWG[[#Headers],[ACT/NSW]:[QLD - Low]],TableLWG[[#All],[ACT/NSW]:[QLD - Low]]),1)</f>
        <v>1.1000000000000001</v>
      </c>
      <c r="Q11">
        <f>(J11 * $AD$4 + K11*$AD$5) + (1 - J11 )</f>
        <v>1</v>
      </c>
      <c r="S11">
        <f>(1.185 + 0.00454 * N11- 0.0000026 * N11^2 + 0.315 * P11 )^2 * Q11</f>
        <v>6.2700160000000018</v>
      </c>
      <c r="T11">
        <f>20.7 * S11 * 10^-3</f>
        <v>0.12978933120000002</v>
      </c>
      <c r="U11">
        <f>H11*T11*I11</f>
        <v>592.16382360000011</v>
      </c>
      <c r="V11">
        <f>SUM(U11:U50)/1000</f>
        <v>50.285648291275933</v>
      </c>
      <c r="AC11" t="s">
        <v>127</v>
      </c>
      <c r="AD11" t="s">
        <v>124</v>
      </c>
    </row>
    <row r="12" spans="1:30" x14ac:dyDescent="0.2">
      <c r="E12">
        <v>1</v>
      </c>
      <c r="F12" t="s">
        <v>119</v>
      </c>
      <c r="H12">
        <v>91.25</v>
      </c>
      <c r="I12">
        <v>100</v>
      </c>
      <c r="J12">
        <v>0</v>
      </c>
      <c r="K12">
        <v>0</v>
      </c>
      <c r="L12">
        <v>0</v>
      </c>
      <c r="N12">
        <v>280</v>
      </c>
      <c r="P12">
        <v>0.33</v>
      </c>
      <c r="Q12">
        <f t="shared" ref="Q12:Q50" si="0">(J12 * $AD$4 + K12*$AD$5) + (1 - J12 )</f>
        <v>1</v>
      </c>
      <c r="S12">
        <f t="shared" ref="S12:S50" si="1">(1.185 + 0.00454 * N12- 0.0000026 * N12^2 + 0.315 * P12 )^2 * Q12</f>
        <v>5.5521968161000004</v>
      </c>
      <c r="T12">
        <f t="shared" ref="T12:T50" si="2">20.7 * S12 * 10^-3</f>
        <v>0.11493047409327001</v>
      </c>
      <c r="U12">
        <f>H12*T12*I12</f>
        <v>1048.7405761010889</v>
      </c>
      <c r="AA12" t="s">
        <v>232</v>
      </c>
      <c r="AB12" t="s">
        <v>117</v>
      </c>
      <c r="AC12">
        <v>1.3</v>
      </c>
      <c r="AD12">
        <v>6</v>
      </c>
    </row>
    <row r="13" spans="1:30" x14ac:dyDescent="0.2">
      <c r="F13" t="s">
        <v>120</v>
      </c>
      <c r="H13">
        <v>91.25</v>
      </c>
      <c r="I13">
        <v>80</v>
      </c>
      <c r="J13">
        <v>0</v>
      </c>
      <c r="K13">
        <v>0</v>
      </c>
      <c r="L13">
        <v>0</v>
      </c>
      <c r="N13">
        <v>100</v>
      </c>
      <c r="P13">
        <v>0.5</v>
      </c>
      <c r="Q13">
        <f t="shared" si="0"/>
        <v>1</v>
      </c>
      <c r="S13">
        <f t="shared" si="1"/>
        <v>3.1346702499999997</v>
      </c>
      <c r="T13">
        <f t="shared" si="2"/>
        <v>6.4887674174999993E-2</v>
      </c>
      <c r="U13">
        <f>H13*T13*I13</f>
        <v>473.68002147749996</v>
      </c>
      <c r="AB13" t="s">
        <v>119</v>
      </c>
      <c r="AC13">
        <v>1.1000000000000001</v>
      </c>
      <c r="AD13">
        <v>4</v>
      </c>
    </row>
    <row r="14" spans="1:30" x14ac:dyDescent="0.2">
      <c r="F14" t="s">
        <v>121</v>
      </c>
      <c r="H14">
        <v>91.25</v>
      </c>
      <c r="I14">
        <v>70</v>
      </c>
      <c r="J14">
        <v>0</v>
      </c>
      <c r="K14">
        <v>0</v>
      </c>
      <c r="L14">
        <v>0</v>
      </c>
      <c r="N14">
        <v>150</v>
      </c>
      <c r="P14">
        <v>0.55000000000000004</v>
      </c>
      <c r="Q14">
        <f t="shared" si="0"/>
        <v>1</v>
      </c>
      <c r="S14">
        <f t="shared" si="1"/>
        <v>3.9233705625000002</v>
      </c>
      <c r="T14">
        <f t="shared" si="2"/>
        <v>8.1213770643750002E-2</v>
      </c>
      <c r="U14">
        <f>H14*T14*I14</f>
        <v>518.7529599869531</v>
      </c>
      <c r="AB14" t="s">
        <v>120</v>
      </c>
      <c r="AC14">
        <v>0</v>
      </c>
      <c r="AD14">
        <v>0</v>
      </c>
    </row>
    <row r="15" spans="1:30" x14ac:dyDescent="0.2">
      <c r="E15" t="s">
        <v>122</v>
      </c>
      <c r="F15" t="s">
        <v>117</v>
      </c>
      <c r="H15">
        <v>91.25</v>
      </c>
      <c r="I15">
        <v>20</v>
      </c>
      <c r="J15">
        <v>0</v>
      </c>
      <c r="K15">
        <v>0</v>
      </c>
      <c r="L15">
        <v>0</v>
      </c>
      <c r="N15">
        <v>820</v>
      </c>
      <c r="P15">
        <v>1.1000000000000001</v>
      </c>
      <c r="Q15">
        <f t="shared" si="0"/>
        <v>1</v>
      </c>
      <c r="S15">
        <f t="shared" si="1"/>
        <v>12.292456723599997</v>
      </c>
      <c r="T15">
        <f t="shared" si="2"/>
        <v>0.25445385417851996</v>
      </c>
      <c r="U15">
        <f>H15*T15*I15</f>
        <v>464.3782838757989</v>
      </c>
      <c r="AB15" t="s">
        <v>121</v>
      </c>
      <c r="AC15">
        <v>0</v>
      </c>
      <c r="AD15">
        <v>0</v>
      </c>
    </row>
    <row r="16" spans="1:30" x14ac:dyDescent="0.2">
      <c r="E16">
        <v>2</v>
      </c>
      <c r="F16" t="s">
        <v>119</v>
      </c>
      <c r="H16">
        <v>91.25</v>
      </c>
      <c r="I16">
        <v>80</v>
      </c>
      <c r="J16">
        <v>0</v>
      </c>
      <c r="K16">
        <v>0</v>
      </c>
      <c r="L16">
        <v>0</v>
      </c>
      <c r="N16">
        <v>850</v>
      </c>
      <c r="P16">
        <v>0.33</v>
      </c>
      <c r="Q16">
        <f t="shared" si="0"/>
        <v>1</v>
      </c>
      <c r="S16">
        <f t="shared" si="1"/>
        <v>10.689303302500006</v>
      </c>
      <c r="T16">
        <f t="shared" si="2"/>
        <v>0.22126857836175012</v>
      </c>
      <c r="U16">
        <f>H16*T16*I16</f>
        <v>1615.2606220407758</v>
      </c>
      <c r="AA16" t="s">
        <v>233</v>
      </c>
      <c r="AB16" t="s">
        <v>117</v>
      </c>
      <c r="AC16">
        <v>0</v>
      </c>
      <c r="AD16">
        <v>0</v>
      </c>
    </row>
    <row r="17" spans="5:54" x14ac:dyDescent="0.2">
      <c r="F17" t="s">
        <v>120</v>
      </c>
      <c r="H17">
        <v>91.25</v>
      </c>
      <c r="I17">
        <v>70</v>
      </c>
      <c r="J17">
        <v>0</v>
      </c>
      <c r="K17">
        <v>0</v>
      </c>
      <c r="L17">
        <v>0</v>
      </c>
      <c r="N17">
        <v>700</v>
      </c>
      <c r="P17">
        <v>0.2</v>
      </c>
      <c r="Q17">
        <f t="shared" si="0"/>
        <v>1</v>
      </c>
      <c r="S17">
        <f t="shared" si="1"/>
        <v>9.9351039999999973</v>
      </c>
      <c r="T17">
        <f t="shared" si="2"/>
        <v>0.20565665279999992</v>
      </c>
      <c r="U17">
        <f>H17*T17*I17</f>
        <v>1313.6318697599995</v>
      </c>
      <c r="AB17" t="s">
        <v>119</v>
      </c>
      <c r="AC17">
        <v>1.3</v>
      </c>
      <c r="AD17">
        <v>4</v>
      </c>
    </row>
    <row r="18" spans="5:54" x14ac:dyDescent="0.2">
      <c r="F18" t="s">
        <v>121</v>
      </c>
      <c r="H18">
        <v>91.25</v>
      </c>
      <c r="I18">
        <v>60</v>
      </c>
      <c r="J18">
        <v>0</v>
      </c>
      <c r="K18">
        <v>0</v>
      </c>
      <c r="L18">
        <v>0</v>
      </c>
      <c r="N18">
        <v>720</v>
      </c>
      <c r="P18">
        <v>0.22</v>
      </c>
      <c r="Q18">
        <f t="shared" si="0"/>
        <v>1</v>
      </c>
      <c r="S18">
        <f t="shared" si="1"/>
        <v>10.082276067599995</v>
      </c>
      <c r="T18">
        <f t="shared" si="2"/>
        <v>0.20870311459931989</v>
      </c>
      <c r="U18">
        <f>H18*T18*I18</f>
        <v>1142.6495524312766</v>
      </c>
      <c r="AB18" t="s">
        <v>120</v>
      </c>
      <c r="AC18">
        <v>1.1000000000000001</v>
      </c>
      <c r="AD18">
        <v>3</v>
      </c>
    </row>
    <row r="19" spans="5:54" x14ac:dyDescent="0.2">
      <c r="E19" t="s">
        <v>141</v>
      </c>
      <c r="F19" t="s">
        <v>117</v>
      </c>
      <c r="H19">
        <v>91.25</v>
      </c>
      <c r="I19">
        <v>100</v>
      </c>
      <c r="J19">
        <v>0</v>
      </c>
      <c r="K19">
        <v>0</v>
      </c>
      <c r="L19">
        <v>0</v>
      </c>
      <c r="N19">
        <v>410</v>
      </c>
      <c r="P19">
        <v>0.99</v>
      </c>
      <c r="Q19">
        <f t="shared" si="0"/>
        <v>1</v>
      </c>
      <c r="S19">
        <f t="shared" si="1"/>
        <v>8.5333510161000028</v>
      </c>
      <c r="T19">
        <f t="shared" si="2"/>
        <v>0.17664036603327005</v>
      </c>
      <c r="U19">
        <f>H19*T19*I19</f>
        <v>1611.8433400535891</v>
      </c>
      <c r="AB19" t="s">
        <v>121</v>
      </c>
      <c r="AC19">
        <v>0</v>
      </c>
      <c r="AD19">
        <v>0</v>
      </c>
    </row>
    <row r="20" spans="5:54" x14ac:dyDescent="0.2">
      <c r="E20">
        <v>3</v>
      </c>
      <c r="F20" t="s">
        <v>119</v>
      </c>
      <c r="H20">
        <v>91.25</v>
      </c>
      <c r="I20">
        <v>180</v>
      </c>
      <c r="J20">
        <v>0</v>
      </c>
      <c r="K20">
        <v>0</v>
      </c>
      <c r="L20">
        <v>0</v>
      </c>
      <c r="N20">
        <v>440</v>
      </c>
      <c r="P20">
        <v>0.33</v>
      </c>
      <c r="Q20">
        <f t="shared" si="0"/>
        <v>1</v>
      </c>
      <c r="S20">
        <f t="shared" si="1"/>
        <v>7.7461465761000019</v>
      </c>
      <c r="T20">
        <f t="shared" si="2"/>
        <v>0.16034523412527002</v>
      </c>
      <c r="U20">
        <f>H20*T20*I20</f>
        <v>2633.6704705075599</v>
      </c>
    </row>
    <row r="21" spans="5:54" x14ac:dyDescent="0.2">
      <c r="F21" t="s">
        <v>120</v>
      </c>
      <c r="H21">
        <v>91.25</v>
      </c>
      <c r="I21">
        <v>170</v>
      </c>
      <c r="J21">
        <v>0</v>
      </c>
      <c r="K21">
        <v>0</v>
      </c>
      <c r="L21">
        <v>0</v>
      </c>
      <c r="N21">
        <v>300</v>
      </c>
      <c r="P21">
        <v>0.44</v>
      </c>
      <c r="Q21">
        <f t="shared" si="0"/>
        <v>1</v>
      </c>
      <c r="S21">
        <f t="shared" si="1"/>
        <v>6.010342559999998</v>
      </c>
      <c r="T21">
        <f t="shared" si="2"/>
        <v>0.12441409099199996</v>
      </c>
      <c r="U21">
        <f>H21*T21*I21</f>
        <v>1929.9735865133994</v>
      </c>
    </row>
    <row r="22" spans="5:54" x14ac:dyDescent="0.2">
      <c r="F22" t="s">
        <v>121</v>
      </c>
      <c r="H22">
        <v>91.25</v>
      </c>
      <c r="I22">
        <v>160</v>
      </c>
      <c r="J22">
        <v>0</v>
      </c>
      <c r="K22">
        <v>0</v>
      </c>
      <c r="L22">
        <v>0</v>
      </c>
      <c r="N22">
        <v>320</v>
      </c>
      <c r="P22">
        <v>0.22</v>
      </c>
      <c r="Q22">
        <f t="shared" si="0"/>
        <v>1</v>
      </c>
      <c r="S22">
        <f t="shared" si="1"/>
        <v>5.9577975395999987</v>
      </c>
      <c r="T22">
        <f t="shared" si="2"/>
        <v>0.12332640906971998</v>
      </c>
      <c r="U22">
        <f>H22*T22*I22</f>
        <v>1800.5655724179114</v>
      </c>
      <c r="X22" t="s">
        <v>267</v>
      </c>
      <c r="AP22" t="s">
        <v>184</v>
      </c>
    </row>
    <row r="23" spans="5:54" ht="17" thickBot="1" x14ac:dyDescent="0.25">
      <c r="E23" t="s">
        <v>146</v>
      </c>
      <c r="F23" t="s">
        <v>117</v>
      </c>
      <c r="H23">
        <v>91.25</v>
      </c>
      <c r="I23">
        <v>150</v>
      </c>
      <c r="J23">
        <v>0</v>
      </c>
      <c r="K23">
        <v>0</v>
      </c>
      <c r="L23">
        <v>0</v>
      </c>
      <c r="N23">
        <v>560</v>
      </c>
      <c r="P23">
        <v>0.99</v>
      </c>
      <c r="Q23">
        <f t="shared" si="0"/>
        <v>1</v>
      </c>
      <c r="S23">
        <f t="shared" si="1"/>
        <v>10.3934667321</v>
      </c>
      <c r="T23">
        <f t="shared" si="2"/>
        <v>0.21514476135447</v>
      </c>
      <c r="U23">
        <f>H23*T23*I23</f>
        <v>2944.7939210393079</v>
      </c>
      <c r="X23" t="s">
        <v>130</v>
      </c>
      <c r="Y23" t="s">
        <v>265</v>
      </c>
      <c r="Z23" t="s">
        <v>113</v>
      </c>
      <c r="AA23" t="s">
        <v>133</v>
      </c>
      <c r="AB23" t="s">
        <v>134</v>
      </c>
      <c r="AC23" t="s">
        <v>135</v>
      </c>
      <c r="AD23" t="s">
        <v>255</v>
      </c>
      <c r="AE23" t="s">
        <v>256</v>
      </c>
      <c r="AF23" t="s">
        <v>257</v>
      </c>
      <c r="AG23" t="s">
        <v>258</v>
      </c>
      <c r="AH23" t="s">
        <v>259</v>
      </c>
      <c r="AI23" t="s">
        <v>260</v>
      </c>
      <c r="AJ23" t="s">
        <v>261</v>
      </c>
      <c r="AK23" t="s">
        <v>262</v>
      </c>
      <c r="AL23" t="s">
        <v>263</v>
      </c>
      <c r="AM23" t="s">
        <v>264</v>
      </c>
      <c r="AN23" t="s">
        <v>266</v>
      </c>
      <c r="AP23" s="10"/>
      <c r="AQ23" s="11"/>
      <c r="AR23" s="11"/>
      <c r="AS23" s="12"/>
      <c r="AT23" s="12"/>
      <c r="AU23" s="12"/>
      <c r="AV23" s="13"/>
      <c r="AW23" s="12"/>
      <c r="AX23" s="12"/>
      <c r="AY23" s="12"/>
      <c r="AZ23" s="12"/>
      <c r="BA23" s="12"/>
      <c r="BB23" s="12"/>
    </row>
    <row r="24" spans="5:54" ht="18" thickTop="1" thickBot="1" x14ac:dyDescent="0.25">
      <c r="E24">
        <v>4</v>
      </c>
      <c r="F24" t="s">
        <v>119</v>
      </c>
      <c r="H24">
        <v>91.25</v>
      </c>
      <c r="I24">
        <v>250</v>
      </c>
      <c r="J24">
        <v>0</v>
      </c>
      <c r="K24">
        <v>0</v>
      </c>
      <c r="L24">
        <v>0</v>
      </c>
      <c r="N24">
        <v>550</v>
      </c>
      <c r="P24">
        <v>-0.1</v>
      </c>
      <c r="Q24">
        <f t="shared" si="0"/>
        <v>1</v>
      </c>
      <c r="S24">
        <f t="shared" si="1"/>
        <v>8.2024960000000018</v>
      </c>
      <c r="T24">
        <f t="shared" si="2"/>
        <v>0.16979166720000005</v>
      </c>
      <c r="U24">
        <f>H24*T24*I24</f>
        <v>3873.3724080000011</v>
      </c>
      <c r="X24" s="9" t="s">
        <v>117</v>
      </c>
      <c r="Y24" s="9" t="s">
        <v>116</v>
      </c>
      <c r="Z24">
        <v>0.5</v>
      </c>
      <c r="AA24">
        <v>0.99</v>
      </c>
      <c r="AB24">
        <v>1</v>
      </c>
      <c r="AC24">
        <v>1.1000000000000001</v>
      </c>
      <c r="AD24">
        <v>1.64</v>
      </c>
      <c r="AE24">
        <v>0.7</v>
      </c>
      <c r="AF24">
        <v>0.22</v>
      </c>
      <c r="AG24">
        <v>0.22</v>
      </c>
      <c r="AH24">
        <v>0.22</v>
      </c>
      <c r="AI24">
        <v>0.22</v>
      </c>
      <c r="AJ24">
        <v>0.27</v>
      </c>
      <c r="AK24">
        <v>-0.12</v>
      </c>
      <c r="AL24">
        <v>0.62</v>
      </c>
      <c r="AM24">
        <v>-0.2</v>
      </c>
      <c r="AN24">
        <v>1</v>
      </c>
      <c r="AP24" s="14"/>
      <c r="AQ24" s="26" t="s">
        <v>242</v>
      </c>
      <c r="AR24" s="27" t="s">
        <v>243</v>
      </c>
      <c r="AS24" s="28" t="s">
        <v>244</v>
      </c>
      <c r="AT24" s="28" t="s">
        <v>245</v>
      </c>
      <c r="AU24" s="28" t="s">
        <v>246</v>
      </c>
      <c r="AV24" s="29" t="s">
        <v>247</v>
      </c>
      <c r="AW24" s="28" t="s">
        <v>248</v>
      </c>
      <c r="AX24" s="28" t="s">
        <v>249</v>
      </c>
      <c r="AY24" s="28" t="s">
        <v>250</v>
      </c>
      <c r="AZ24" s="28" t="s">
        <v>251</v>
      </c>
      <c r="BA24" s="28" t="s">
        <v>252</v>
      </c>
      <c r="BB24" s="28" t="s">
        <v>253</v>
      </c>
    </row>
    <row r="25" spans="5:54" ht="17" thickTop="1" x14ac:dyDescent="0.2">
      <c r="F25" t="s">
        <v>120</v>
      </c>
      <c r="H25">
        <v>91.25</v>
      </c>
      <c r="I25">
        <v>240</v>
      </c>
      <c r="J25">
        <v>0</v>
      </c>
      <c r="K25">
        <v>0</v>
      </c>
      <c r="L25">
        <f>$AC$14</f>
        <v>0</v>
      </c>
      <c r="N25">
        <v>450</v>
      </c>
      <c r="P25">
        <v>0.2</v>
      </c>
      <c r="Q25">
        <f t="shared" si="0"/>
        <v>1</v>
      </c>
      <c r="S25">
        <f t="shared" si="1"/>
        <v>7.6424602500000001</v>
      </c>
      <c r="T25">
        <f t="shared" si="2"/>
        <v>0.158198927175</v>
      </c>
      <c r="U25">
        <f>H25*T25*I25</f>
        <v>3464.5565051325002</v>
      </c>
      <c r="X25" s="9" t="s">
        <v>119</v>
      </c>
      <c r="Y25" s="9" t="s">
        <v>116</v>
      </c>
      <c r="Z25">
        <v>1</v>
      </c>
      <c r="AA25">
        <v>0.77</v>
      </c>
      <c r="AB25">
        <v>0.82</v>
      </c>
      <c r="AC25">
        <v>0.33</v>
      </c>
      <c r="AD25">
        <v>0.44</v>
      </c>
      <c r="AE25">
        <v>0.77</v>
      </c>
      <c r="AF25">
        <v>0.8</v>
      </c>
      <c r="AG25">
        <v>0.66</v>
      </c>
      <c r="AH25">
        <v>0.66</v>
      </c>
      <c r="AI25">
        <v>0.66</v>
      </c>
      <c r="AJ25">
        <v>0.16</v>
      </c>
      <c r="AK25">
        <v>0.65</v>
      </c>
      <c r="AL25">
        <v>0.05</v>
      </c>
      <c r="AM25">
        <v>0.62</v>
      </c>
      <c r="AN25">
        <v>2</v>
      </c>
      <c r="AP25" s="18"/>
      <c r="AQ25" s="14" t="s">
        <v>241</v>
      </c>
      <c r="AR25" s="15" t="s">
        <v>130</v>
      </c>
      <c r="AS25" s="16" t="s">
        <v>116</v>
      </c>
      <c r="AT25" s="16" t="s">
        <v>122</v>
      </c>
      <c r="AU25" s="16" t="s">
        <v>141</v>
      </c>
      <c r="AV25" s="17" t="s">
        <v>146</v>
      </c>
      <c r="AW25" s="16" t="s">
        <v>152</v>
      </c>
      <c r="AX25" s="16" t="s">
        <v>156</v>
      </c>
      <c r="AY25" s="16" t="s">
        <v>164</v>
      </c>
      <c r="AZ25" s="16" t="s">
        <v>169</v>
      </c>
      <c r="BA25" s="16" t="s">
        <v>171</v>
      </c>
      <c r="BB25" s="16" t="s">
        <v>176</v>
      </c>
    </row>
    <row r="26" spans="5:54" x14ac:dyDescent="0.2">
      <c r="F26" t="s">
        <v>121</v>
      </c>
      <c r="H26">
        <v>91.25</v>
      </c>
      <c r="I26">
        <v>200</v>
      </c>
      <c r="J26">
        <v>0</v>
      </c>
      <c r="K26">
        <v>0</v>
      </c>
      <c r="L26">
        <f>$AC$14</f>
        <v>0</v>
      </c>
      <c r="N26">
        <v>470</v>
      </c>
      <c r="P26">
        <v>0.22</v>
      </c>
      <c r="Q26">
        <f t="shared" si="0"/>
        <v>1</v>
      </c>
      <c r="S26">
        <f t="shared" si="1"/>
        <v>7.9172453376000016</v>
      </c>
      <c r="T26">
        <f t="shared" si="2"/>
        <v>0.16388697848832004</v>
      </c>
      <c r="U26">
        <f>H26*T26*I26</f>
        <v>2990.9373574118408</v>
      </c>
      <c r="X26" s="9" t="s">
        <v>120</v>
      </c>
      <c r="Y26" s="9" t="s">
        <v>116</v>
      </c>
      <c r="Z26">
        <v>0.8</v>
      </c>
      <c r="AA26">
        <v>0.9</v>
      </c>
      <c r="AB26">
        <v>0.77</v>
      </c>
      <c r="AC26">
        <v>0.5</v>
      </c>
      <c r="AD26">
        <v>0.6</v>
      </c>
      <c r="AE26">
        <v>0.88</v>
      </c>
      <c r="AF26">
        <v>0.66</v>
      </c>
      <c r="AG26">
        <v>0.49</v>
      </c>
      <c r="AH26">
        <v>0.49</v>
      </c>
      <c r="AI26">
        <v>0.49</v>
      </c>
      <c r="AJ26">
        <v>0.45</v>
      </c>
      <c r="AK26">
        <v>0.7</v>
      </c>
      <c r="AL26">
        <v>0.33</v>
      </c>
      <c r="AM26">
        <v>0.4</v>
      </c>
      <c r="AN26">
        <v>3</v>
      </c>
      <c r="AP26" s="20"/>
      <c r="AQ26" s="18" t="s">
        <v>113</v>
      </c>
      <c r="AR26" s="19" t="s">
        <v>117</v>
      </c>
      <c r="AS26" s="19">
        <v>0.5</v>
      </c>
      <c r="AT26" s="19">
        <v>0.2</v>
      </c>
      <c r="AU26" s="19">
        <v>0.5</v>
      </c>
      <c r="AV26" s="19">
        <v>0.4</v>
      </c>
      <c r="AW26" s="19">
        <v>0.3</v>
      </c>
      <c r="AX26" s="19">
        <v>0.3</v>
      </c>
      <c r="AY26" s="19">
        <v>0.5</v>
      </c>
      <c r="AZ26" s="19">
        <v>0.4</v>
      </c>
      <c r="BA26" s="19">
        <v>0.4</v>
      </c>
      <c r="BB26" s="19">
        <v>0.4</v>
      </c>
    </row>
    <row r="27" spans="5:54" x14ac:dyDescent="0.2">
      <c r="E27" t="s">
        <v>152</v>
      </c>
      <c r="F27" t="s">
        <v>117</v>
      </c>
      <c r="H27">
        <v>91.25</v>
      </c>
      <c r="I27">
        <v>100</v>
      </c>
      <c r="J27">
        <v>0.8</v>
      </c>
      <c r="K27">
        <v>0.05</v>
      </c>
      <c r="L27">
        <f>$AC$12</f>
        <v>1.3</v>
      </c>
      <c r="N27">
        <v>240</v>
      </c>
      <c r="P27">
        <v>1.1000000000000001</v>
      </c>
      <c r="Q27">
        <f t="shared" si="0"/>
        <v>1.2949999999999999</v>
      </c>
      <c r="S27">
        <f t="shared" si="1"/>
        <v>7.9092402073019974</v>
      </c>
      <c r="T27">
        <f t="shared" si="2"/>
        <v>0.16372127229115133</v>
      </c>
      <c r="U27">
        <f>H27*T27*I27</f>
        <v>1493.9566096567557</v>
      </c>
      <c r="X27" s="9" t="s">
        <v>121</v>
      </c>
      <c r="Y27" s="9" t="s">
        <v>116</v>
      </c>
      <c r="Z27">
        <v>0.4</v>
      </c>
      <c r="AA27">
        <v>0.88</v>
      </c>
      <c r="AB27">
        <v>0.11</v>
      </c>
      <c r="AC27">
        <v>0.55000000000000004</v>
      </c>
      <c r="AD27">
        <v>0.99</v>
      </c>
      <c r="AE27">
        <v>0.22</v>
      </c>
      <c r="AF27">
        <v>0.33</v>
      </c>
      <c r="AG27">
        <v>0.27</v>
      </c>
      <c r="AH27">
        <v>0.27</v>
      </c>
      <c r="AI27">
        <v>0.27</v>
      </c>
      <c r="AJ27">
        <v>0.51</v>
      </c>
      <c r="AK27">
        <v>0.32</v>
      </c>
      <c r="AL27">
        <v>0.61</v>
      </c>
      <c r="AM27">
        <v>0.08</v>
      </c>
      <c r="AN27">
        <v>4</v>
      </c>
      <c r="AP27" s="18"/>
      <c r="AQ27" s="20"/>
      <c r="AR27" s="8" t="s">
        <v>119</v>
      </c>
      <c r="AS27" s="8">
        <v>1</v>
      </c>
      <c r="AT27" s="8">
        <v>0.4</v>
      </c>
      <c r="AU27" s="8">
        <v>0.9</v>
      </c>
      <c r="AV27" s="8">
        <v>0.7</v>
      </c>
      <c r="AW27" s="8">
        <v>0.3</v>
      </c>
      <c r="AX27" s="8">
        <v>0.3</v>
      </c>
      <c r="AY27" s="8">
        <v>0.9</v>
      </c>
      <c r="AZ27" s="8">
        <v>0.4</v>
      </c>
      <c r="BA27" s="8">
        <v>0.4</v>
      </c>
      <c r="BB27" s="8">
        <v>0.4</v>
      </c>
    </row>
    <row r="28" spans="5:54" x14ac:dyDescent="0.2">
      <c r="E28" t="s">
        <v>235</v>
      </c>
      <c r="F28" t="s">
        <v>119</v>
      </c>
      <c r="H28">
        <v>91.25</v>
      </c>
      <c r="I28">
        <v>190</v>
      </c>
      <c r="J28">
        <v>0</v>
      </c>
      <c r="K28">
        <v>0.78</v>
      </c>
      <c r="L28">
        <f>$AC$13</f>
        <v>1.1000000000000001</v>
      </c>
      <c r="N28">
        <v>260</v>
      </c>
      <c r="P28">
        <v>0.22</v>
      </c>
      <c r="Q28">
        <f t="shared" si="0"/>
        <v>1.8580000000000001</v>
      </c>
      <c r="S28">
        <f t="shared" si="1"/>
        <v>9.4810208380488028</v>
      </c>
      <c r="T28">
        <f t="shared" si="2"/>
        <v>0.19625713134761019</v>
      </c>
      <c r="U28">
        <f>H28*T28*I28</f>
        <v>3402.6080147391917</v>
      </c>
      <c r="X28" s="9" t="s">
        <v>117</v>
      </c>
      <c r="Y28" s="9" t="s">
        <v>122</v>
      </c>
      <c r="Z28">
        <v>0.2</v>
      </c>
      <c r="AA28">
        <v>1.1000000000000001</v>
      </c>
      <c r="AB28">
        <v>0.5</v>
      </c>
      <c r="AC28">
        <v>1.1000000000000001</v>
      </c>
      <c r="AD28">
        <v>1.1000000000000001</v>
      </c>
      <c r="AE28">
        <v>-0.55000000000000004</v>
      </c>
      <c r="AF28">
        <v>-0.55000000000000004</v>
      </c>
      <c r="AG28">
        <v>-0.23</v>
      </c>
      <c r="AH28">
        <v>-0.44</v>
      </c>
      <c r="AI28">
        <v>-0.44</v>
      </c>
      <c r="AJ28">
        <v>-0.19</v>
      </c>
      <c r="AK28">
        <v>-0.19</v>
      </c>
      <c r="AL28">
        <v>-0.19</v>
      </c>
      <c r="AM28">
        <v>0.02</v>
      </c>
      <c r="AN28">
        <v>1</v>
      </c>
      <c r="AP28" s="20"/>
      <c r="AQ28" s="18"/>
      <c r="AR28" s="19" t="s">
        <v>120</v>
      </c>
      <c r="AS28" s="19">
        <v>0.8</v>
      </c>
      <c r="AT28" s="19">
        <v>0.3</v>
      </c>
      <c r="AU28" s="19">
        <v>0.7</v>
      </c>
      <c r="AV28" s="19">
        <v>0.3</v>
      </c>
      <c r="AW28" s="19">
        <v>0.2</v>
      </c>
      <c r="AX28" s="19">
        <v>0.2</v>
      </c>
      <c r="AY28" s="19">
        <v>0.7</v>
      </c>
      <c r="AZ28" s="19">
        <v>0.3</v>
      </c>
      <c r="BA28" s="19">
        <v>0.3</v>
      </c>
      <c r="BB28" s="19">
        <v>0.3</v>
      </c>
    </row>
    <row r="29" spans="5:54" x14ac:dyDescent="0.2">
      <c r="F29" t="s">
        <v>120</v>
      </c>
      <c r="H29">
        <v>91.25</v>
      </c>
      <c r="I29">
        <v>195</v>
      </c>
      <c r="J29">
        <v>0</v>
      </c>
      <c r="K29">
        <v>0</v>
      </c>
      <c r="L29">
        <f>$AC$14</f>
        <v>0</v>
      </c>
      <c r="N29">
        <v>95</v>
      </c>
      <c r="P29">
        <v>0.55000000000000004</v>
      </c>
      <c r="Q29">
        <f t="shared" si="0"/>
        <v>1</v>
      </c>
      <c r="S29">
        <f t="shared" si="1"/>
        <v>3.1190562272249998</v>
      </c>
      <c r="T29">
        <f t="shared" si="2"/>
        <v>6.4564463903557495E-2</v>
      </c>
      <c r="U29">
        <f>H29*T29*I29</f>
        <v>1148.8439295839262</v>
      </c>
      <c r="X29" s="9" t="s">
        <v>119</v>
      </c>
      <c r="Y29" s="9" t="s">
        <v>122</v>
      </c>
      <c r="Z29">
        <v>0.4</v>
      </c>
      <c r="AA29">
        <v>0</v>
      </c>
      <c r="AB29">
        <v>0.55000000000000004</v>
      </c>
      <c r="AC29">
        <v>0.33</v>
      </c>
      <c r="AD29">
        <v>-0.22</v>
      </c>
      <c r="AE29">
        <v>0.55000000000000004</v>
      </c>
      <c r="AF29">
        <v>0.55000000000000004</v>
      </c>
      <c r="AG29">
        <v>0.2</v>
      </c>
      <c r="AH29">
        <v>0.22</v>
      </c>
      <c r="AI29">
        <v>0.22</v>
      </c>
      <c r="AJ29">
        <v>0.16</v>
      </c>
      <c r="AK29">
        <v>0.19</v>
      </c>
      <c r="AL29">
        <v>0.19</v>
      </c>
      <c r="AM29">
        <v>0.21</v>
      </c>
      <c r="AN29">
        <v>2</v>
      </c>
      <c r="AP29" s="18"/>
      <c r="AQ29" s="20"/>
      <c r="AR29" s="8" t="s">
        <v>121</v>
      </c>
      <c r="AS29" s="8">
        <v>0.4</v>
      </c>
      <c r="AT29" s="8">
        <v>0.1</v>
      </c>
      <c r="AU29" s="8">
        <v>0.4</v>
      </c>
      <c r="AV29" s="8">
        <v>0.2</v>
      </c>
      <c r="AW29" s="8">
        <v>0.1</v>
      </c>
      <c r="AX29" s="8">
        <v>0.1</v>
      </c>
      <c r="AY29" s="8">
        <v>0.4</v>
      </c>
      <c r="AZ29" s="8">
        <v>0.1</v>
      </c>
      <c r="BA29" s="8">
        <v>0.1</v>
      </c>
      <c r="BB29" s="8">
        <v>0.1</v>
      </c>
    </row>
    <row r="30" spans="5:54" x14ac:dyDescent="0.2">
      <c r="F30" t="s">
        <v>121</v>
      </c>
      <c r="H30">
        <v>91.25</v>
      </c>
      <c r="I30">
        <v>200</v>
      </c>
      <c r="J30">
        <v>0.1</v>
      </c>
      <c r="K30">
        <v>0</v>
      </c>
      <c r="L30">
        <f>$AC$14</f>
        <v>0</v>
      </c>
      <c r="N30">
        <v>140</v>
      </c>
      <c r="P30">
        <v>0.49</v>
      </c>
      <c r="Q30">
        <f t="shared" si="0"/>
        <v>1.03</v>
      </c>
      <c r="S30">
        <f t="shared" si="1"/>
        <v>3.8127896457029995</v>
      </c>
      <c r="T30">
        <f t="shared" si="2"/>
        <v>7.8924745666052093E-2</v>
      </c>
      <c r="U30">
        <f>H30*T30*I30</f>
        <v>1440.3766084054507</v>
      </c>
      <c r="X30" s="9" t="s">
        <v>120</v>
      </c>
      <c r="Y30" s="9" t="s">
        <v>122</v>
      </c>
      <c r="Z30">
        <v>0.3</v>
      </c>
      <c r="AA30">
        <v>-1.1000000000000001</v>
      </c>
      <c r="AB30">
        <v>0.5</v>
      </c>
      <c r="AC30">
        <v>0.2</v>
      </c>
      <c r="AD30">
        <v>0</v>
      </c>
      <c r="AE30">
        <v>0.55000000000000004</v>
      </c>
      <c r="AF30">
        <v>0.55000000000000004</v>
      </c>
      <c r="AG30">
        <v>0.13</v>
      </c>
      <c r="AH30">
        <v>0.05</v>
      </c>
      <c r="AI30">
        <v>0.05</v>
      </c>
      <c r="AJ30">
        <v>0.1</v>
      </c>
      <c r="AK30">
        <v>0.13</v>
      </c>
      <c r="AL30">
        <v>0.13</v>
      </c>
      <c r="AM30">
        <v>0.13</v>
      </c>
      <c r="AN30">
        <v>3</v>
      </c>
      <c r="AP30" s="20"/>
      <c r="AQ30" s="18" t="s">
        <v>133</v>
      </c>
      <c r="AR30" s="19" t="s">
        <v>117</v>
      </c>
      <c r="AS30" s="19">
        <v>0.99</v>
      </c>
      <c r="AT30" s="19">
        <v>1.1000000000000001</v>
      </c>
      <c r="AU30" s="19">
        <v>0.88</v>
      </c>
      <c r="AV30" s="19">
        <v>0.55000000000000004</v>
      </c>
      <c r="AW30" s="19">
        <v>0.55000000000000004</v>
      </c>
      <c r="AX30" s="19">
        <v>0.55000000000000004</v>
      </c>
      <c r="AY30" s="19">
        <v>0.88</v>
      </c>
      <c r="AZ30" s="19">
        <v>0.22</v>
      </c>
      <c r="BA30" s="19">
        <v>0.22</v>
      </c>
      <c r="BB30" s="19">
        <v>0.22</v>
      </c>
    </row>
    <row r="31" spans="5:54" x14ac:dyDescent="0.2">
      <c r="E31" t="s">
        <v>156</v>
      </c>
      <c r="F31" t="s">
        <v>117</v>
      </c>
      <c r="H31">
        <v>91.25</v>
      </c>
      <c r="I31">
        <v>50</v>
      </c>
      <c r="J31">
        <v>0.9</v>
      </c>
      <c r="K31">
        <v>0.05</v>
      </c>
      <c r="L31">
        <f>$AC$12</f>
        <v>1.3</v>
      </c>
      <c r="N31">
        <v>560</v>
      </c>
      <c r="P31">
        <v>0.99</v>
      </c>
      <c r="Q31">
        <f t="shared" si="0"/>
        <v>1.3250000000000002</v>
      </c>
      <c r="S31">
        <f t="shared" si="1"/>
        <v>13.771343420032503</v>
      </c>
      <c r="T31">
        <f t="shared" si="2"/>
        <v>0.28506680879467278</v>
      </c>
      <c r="U31">
        <f>H31*T31*I31</f>
        <v>1300.6173151256944</v>
      </c>
      <c r="X31" s="9" t="s">
        <v>121</v>
      </c>
      <c r="Y31" s="9" t="s">
        <v>122</v>
      </c>
      <c r="Z31">
        <v>0.1</v>
      </c>
      <c r="AA31">
        <v>0</v>
      </c>
      <c r="AB31">
        <v>-0.27</v>
      </c>
      <c r="AC31">
        <v>0.22</v>
      </c>
      <c r="AD31">
        <v>0.22</v>
      </c>
      <c r="AE31">
        <v>-0.55000000000000004</v>
      </c>
      <c r="AF31">
        <v>-0.55000000000000004</v>
      </c>
      <c r="AG31">
        <v>-0.8</v>
      </c>
      <c r="AH31">
        <v>-0.27</v>
      </c>
      <c r="AI31">
        <v>-0.27</v>
      </c>
      <c r="AJ31">
        <v>-7.0000000000000007E-2</v>
      </c>
      <c r="AK31">
        <v>-0.06</v>
      </c>
      <c r="AL31">
        <v>-0.06</v>
      </c>
      <c r="AM31">
        <v>0.04</v>
      </c>
      <c r="AN31">
        <v>4</v>
      </c>
      <c r="AP31" s="18"/>
      <c r="AQ31" s="20"/>
      <c r="AR31" s="8" t="s">
        <v>119</v>
      </c>
      <c r="AS31" s="8">
        <v>0.77</v>
      </c>
      <c r="AT31" s="8">
        <v>0</v>
      </c>
      <c r="AU31" s="8">
        <v>0.66</v>
      </c>
      <c r="AV31" s="8">
        <v>0.22</v>
      </c>
      <c r="AW31" s="8">
        <v>0</v>
      </c>
      <c r="AX31" s="8">
        <v>0</v>
      </c>
      <c r="AY31" s="8">
        <v>0.66</v>
      </c>
      <c r="AZ31" s="8">
        <v>0</v>
      </c>
      <c r="BA31" s="8">
        <v>0</v>
      </c>
      <c r="BB31" s="8">
        <v>0</v>
      </c>
    </row>
    <row r="32" spans="5:54" x14ac:dyDescent="0.2">
      <c r="E32" t="s">
        <v>236</v>
      </c>
      <c r="F32" t="s">
        <v>119</v>
      </c>
      <c r="H32">
        <v>91.25</v>
      </c>
      <c r="I32">
        <v>100</v>
      </c>
      <c r="J32">
        <v>0</v>
      </c>
      <c r="K32">
        <v>0.9</v>
      </c>
      <c r="L32">
        <f>$AC$13</f>
        <v>1.1000000000000001</v>
      </c>
      <c r="N32">
        <v>550</v>
      </c>
      <c r="P32">
        <v>-0.1</v>
      </c>
      <c r="Q32">
        <f t="shared" si="0"/>
        <v>1.9900000000000002</v>
      </c>
      <c r="S32">
        <f t="shared" si="1"/>
        <v>16.322967040000005</v>
      </c>
      <c r="T32">
        <f t="shared" si="2"/>
        <v>0.33788541772800013</v>
      </c>
      <c r="U32">
        <f>H32*T32*I32</f>
        <v>3083.2044367680014</v>
      </c>
      <c r="X32" s="9" t="s">
        <v>117</v>
      </c>
      <c r="Y32" s="9" t="s">
        <v>146</v>
      </c>
      <c r="Z32">
        <v>0.4</v>
      </c>
      <c r="AA32">
        <v>0.55000000000000004</v>
      </c>
      <c r="AB32">
        <v>1</v>
      </c>
      <c r="AC32">
        <v>0.99</v>
      </c>
      <c r="AD32">
        <v>0.99</v>
      </c>
      <c r="AE32">
        <v>0.22</v>
      </c>
      <c r="AF32">
        <v>0.22</v>
      </c>
      <c r="AG32">
        <v>0.17</v>
      </c>
      <c r="AH32">
        <v>0.21</v>
      </c>
      <c r="AI32">
        <v>0.15</v>
      </c>
      <c r="AJ32">
        <v>0.25</v>
      </c>
      <c r="AK32">
        <v>0.09</v>
      </c>
      <c r="AL32">
        <v>0.41</v>
      </c>
      <c r="AM32">
        <v>0.3</v>
      </c>
      <c r="AN32">
        <v>1</v>
      </c>
      <c r="AP32" s="20"/>
      <c r="AQ32" s="18"/>
      <c r="AR32" s="19" t="s">
        <v>120</v>
      </c>
      <c r="AS32" s="19">
        <v>0.9</v>
      </c>
      <c r="AT32" s="19">
        <v>-1.1000000000000001</v>
      </c>
      <c r="AU32" s="19">
        <v>0.7</v>
      </c>
      <c r="AV32" s="19">
        <v>0.22</v>
      </c>
      <c r="AW32" s="19">
        <v>-0.55000000000000004</v>
      </c>
      <c r="AX32" s="19">
        <v>-0.55000000000000004</v>
      </c>
      <c r="AY32" s="19">
        <v>0.8</v>
      </c>
      <c r="AZ32" s="19">
        <v>-0.22</v>
      </c>
      <c r="BA32" s="19">
        <v>-0.22</v>
      </c>
      <c r="BB32" s="19">
        <v>-0.22</v>
      </c>
    </row>
    <row r="33" spans="5:54" x14ac:dyDescent="0.2">
      <c r="F33" t="s">
        <v>120</v>
      </c>
      <c r="H33">
        <v>91.25</v>
      </c>
      <c r="I33">
        <v>90</v>
      </c>
      <c r="J33">
        <v>0</v>
      </c>
      <c r="K33">
        <v>0</v>
      </c>
      <c r="L33">
        <f>$AC$14</f>
        <v>0</v>
      </c>
      <c r="N33">
        <v>450</v>
      </c>
      <c r="P33">
        <v>0.2</v>
      </c>
      <c r="Q33">
        <f t="shared" si="0"/>
        <v>1</v>
      </c>
      <c r="S33">
        <f t="shared" si="1"/>
        <v>7.6424602500000001</v>
      </c>
      <c r="T33">
        <f t="shared" si="2"/>
        <v>0.158198927175</v>
      </c>
      <c r="U33">
        <f>H33*T33*I33</f>
        <v>1299.2086894246875</v>
      </c>
      <c r="X33" s="9" t="s">
        <v>119</v>
      </c>
      <c r="Y33" s="9" t="s">
        <v>146</v>
      </c>
      <c r="Z33">
        <v>0.7</v>
      </c>
      <c r="AA33">
        <v>0.22</v>
      </c>
      <c r="AB33">
        <v>0.55000000000000004</v>
      </c>
      <c r="AC33">
        <v>0.33</v>
      </c>
      <c r="AD33">
        <v>0.33</v>
      </c>
      <c r="AE33">
        <v>0.66</v>
      </c>
      <c r="AF33">
        <v>0.44</v>
      </c>
      <c r="AG33">
        <v>0.54</v>
      </c>
      <c r="AH33">
        <v>0.22</v>
      </c>
      <c r="AI33">
        <v>0.4</v>
      </c>
      <c r="AJ33">
        <v>0.56999999999999995</v>
      </c>
      <c r="AK33">
        <v>0.51</v>
      </c>
      <c r="AL33">
        <v>0.54</v>
      </c>
      <c r="AM33">
        <v>0.32</v>
      </c>
      <c r="AN33">
        <v>2</v>
      </c>
      <c r="AP33" s="18"/>
      <c r="AQ33" s="20"/>
      <c r="AR33" s="8" t="s">
        <v>121</v>
      </c>
      <c r="AS33" s="8">
        <v>0.88</v>
      </c>
      <c r="AT33" s="8">
        <v>0</v>
      </c>
      <c r="AU33" s="8">
        <v>0.77</v>
      </c>
      <c r="AV33" s="21">
        <v>0.55000000000000004</v>
      </c>
      <c r="AW33" s="21">
        <v>0</v>
      </c>
      <c r="AX33" s="21">
        <v>0</v>
      </c>
      <c r="AY33" s="21">
        <v>0.82</v>
      </c>
      <c r="AZ33" s="21">
        <v>0</v>
      </c>
      <c r="BA33" s="21">
        <v>0</v>
      </c>
      <c r="BB33" s="21">
        <v>0</v>
      </c>
    </row>
    <row r="34" spans="5:54" x14ac:dyDescent="0.2">
      <c r="F34" t="s">
        <v>121</v>
      </c>
      <c r="H34">
        <v>91.25</v>
      </c>
      <c r="I34">
        <v>80</v>
      </c>
      <c r="J34">
        <v>0</v>
      </c>
      <c r="K34">
        <v>0</v>
      </c>
      <c r="L34">
        <f>$AC$14</f>
        <v>0</v>
      </c>
      <c r="N34">
        <v>470</v>
      </c>
      <c r="P34">
        <v>0.22</v>
      </c>
      <c r="Q34">
        <f t="shared" si="0"/>
        <v>1</v>
      </c>
      <c r="S34">
        <f t="shared" si="1"/>
        <v>7.9172453376000016</v>
      </c>
      <c r="T34">
        <f t="shared" si="2"/>
        <v>0.16388697848832004</v>
      </c>
      <c r="U34">
        <f>H34*T34*I34</f>
        <v>1196.3749429647364</v>
      </c>
      <c r="X34" s="9" t="s">
        <v>120</v>
      </c>
      <c r="Y34" s="9" t="s">
        <v>146</v>
      </c>
      <c r="Z34">
        <v>0.3</v>
      </c>
      <c r="AA34">
        <v>0.22</v>
      </c>
      <c r="AB34">
        <v>0.11</v>
      </c>
      <c r="AC34">
        <v>0.44</v>
      </c>
      <c r="AD34">
        <v>0.22</v>
      </c>
      <c r="AE34">
        <v>0.22</v>
      </c>
      <c r="AF34">
        <v>0.55000000000000004</v>
      </c>
      <c r="AG34">
        <v>0.45</v>
      </c>
      <c r="AH34">
        <v>0.25</v>
      </c>
      <c r="AI34">
        <v>0.38</v>
      </c>
      <c r="AJ34">
        <v>0.41</v>
      </c>
      <c r="AK34">
        <v>0.34</v>
      </c>
      <c r="AL34">
        <v>0.36</v>
      </c>
      <c r="AM34">
        <v>0.27</v>
      </c>
      <c r="AN34">
        <v>3</v>
      </c>
      <c r="AP34" s="20"/>
      <c r="AQ34" s="18" t="s">
        <v>134</v>
      </c>
      <c r="AR34" s="19" t="s">
        <v>117</v>
      </c>
      <c r="AS34" s="19">
        <v>1</v>
      </c>
      <c r="AT34" s="19">
        <v>0.5</v>
      </c>
      <c r="AU34" s="19">
        <v>1</v>
      </c>
      <c r="AV34" s="22">
        <v>1</v>
      </c>
      <c r="AW34" s="22">
        <v>-0.44</v>
      </c>
      <c r="AX34" s="22">
        <v>-0.44</v>
      </c>
      <c r="AY34" s="22">
        <v>1</v>
      </c>
      <c r="AZ34" s="22">
        <v>0.5</v>
      </c>
      <c r="BA34" s="22">
        <v>0.5</v>
      </c>
      <c r="BB34" s="22">
        <v>0.5</v>
      </c>
    </row>
    <row r="35" spans="5:54" x14ac:dyDescent="0.2">
      <c r="E35" t="s">
        <v>164</v>
      </c>
      <c r="F35" t="s">
        <v>117</v>
      </c>
      <c r="H35">
        <v>91.25</v>
      </c>
      <c r="I35">
        <v>30</v>
      </c>
      <c r="J35">
        <v>0</v>
      </c>
      <c r="K35">
        <v>0</v>
      </c>
      <c r="L35">
        <v>0</v>
      </c>
      <c r="N35">
        <v>510</v>
      </c>
      <c r="P35">
        <v>0.77</v>
      </c>
      <c r="Q35">
        <f t="shared" si="0"/>
        <v>1</v>
      </c>
      <c r="S35">
        <f t="shared" si="1"/>
        <v>9.4045875560999992</v>
      </c>
      <c r="T35">
        <f t="shared" si="2"/>
        <v>0.19467496241126997</v>
      </c>
      <c r="U35">
        <f>H35*T35*I35</f>
        <v>532.92270960085148</v>
      </c>
      <c r="X35" s="9" t="s">
        <v>121</v>
      </c>
      <c r="Y35" s="9" t="s">
        <v>146</v>
      </c>
      <c r="Z35">
        <v>0.2</v>
      </c>
      <c r="AA35">
        <v>0.55000000000000004</v>
      </c>
      <c r="AB35">
        <v>0.22</v>
      </c>
      <c r="AC35">
        <v>0.22</v>
      </c>
      <c r="AD35">
        <v>0.11</v>
      </c>
      <c r="AE35">
        <v>0.11</v>
      </c>
      <c r="AF35">
        <v>0.11</v>
      </c>
      <c r="AG35">
        <v>0.09</v>
      </c>
      <c r="AH35">
        <v>0.28999999999999998</v>
      </c>
      <c r="AI35">
        <v>0.09</v>
      </c>
      <c r="AJ35">
        <v>-0.09</v>
      </c>
      <c r="AK35">
        <v>0.19</v>
      </c>
      <c r="AL35">
        <v>0.18</v>
      </c>
      <c r="AM35">
        <v>0.18</v>
      </c>
      <c r="AN35">
        <v>4</v>
      </c>
      <c r="AP35" s="18"/>
      <c r="AQ35" s="20"/>
      <c r="AR35" s="8" t="s">
        <v>119</v>
      </c>
      <c r="AS35" s="8">
        <v>0.82</v>
      </c>
      <c r="AT35" s="8">
        <v>0.55000000000000004</v>
      </c>
      <c r="AU35" s="8">
        <v>0.71</v>
      </c>
      <c r="AV35" s="21">
        <v>0.55000000000000004</v>
      </c>
      <c r="AW35" s="21">
        <v>0.99</v>
      </c>
      <c r="AX35" s="21">
        <v>0.99</v>
      </c>
      <c r="AY35" s="21">
        <v>0.77</v>
      </c>
      <c r="AZ35" s="21">
        <v>0.5</v>
      </c>
      <c r="BA35" s="21">
        <v>0.5</v>
      </c>
      <c r="BB35" s="21">
        <v>0.5</v>
      </c>
    </row>
    <row r="36" spans="5:54" x14ac:dyDescent="0.2">
      <c r="E36">
        <v>6</v>
      </c>
      <c r="F36" t="s">
        <v>119</v>
      </c>
      <c r="H36">
        <v>91.25</v>
      </c>
      <c r="I36">
        <v>70</v>
      </c>
      <c r="J36">
        <v>0</v>
      </c>
      <c r="K36">
        <v>0</v>
      </c>
      <c r="L36">
        <v>0</v>
      </c>
      <c r="N36">
        <v>520</v>
      </c>
      <c r="P36">
        <v>0.11</v>
      </c>
      <c r="Q36">
        <f t="shared" si="0"/>
        <v>1</v>
      </c>
      <c r="S36">
        <f t="shared" si="1"/>
        <v>8.2794883080999995</v>
      </c>
      <c r="T36">
        <f t="shared" si="2"/>
        <v>0.17138540797766999</v>
      </c>
      <c r="U36">
        <f>H36*T36*I36</f>
        <v>1094.7242934573671</v>
      </c>
      <c r="X36" s="9" t="s">
        <v>117</v>
      </c>
      <c r="Y36" s="9" t="s">
        <v>152</v>
      </c>
      <c r="Z36">
        <v>0.3</v>
      </c>
      <c r="AA36">
        <v>0.55000000000000004</v>
      </c>
      <c r="AB36">
        <v>-0.44</v>
      </c>
      <c r="AC36">
        <v>0.99</v>
      </c>
      <c r="AD36">
        <v>0.66</v>
      </c>
      <c r="AE36">
        <v>-0.22</v>
      </c>
      <c r="AF36">
        <v>-0.33</v>
      </c>
      <c r="AG36">
        <v>0.18</v>
      </c>
      <c r="AH36">
        <v>0.18</v>
      </c>
      <c r="AI36">
        <v>0.08</v>
      </c>
      <c r="AJ36">
        <v>7.0000000000000007E-2</v>
      </c>
      <c r="AK36">
        <v>0.41</v>
      </c>
      <c r="AL36">
        <v>0.06</v>
      </c>
      <c r="AM36">
        <v>0.23</v>
      </c>
      <c r="AN36">
        <v>1</v>
      </c>
      <c r="AP36" s="20"/>
      <c r="AQ36" s="18"/>
      <c r="AR36" s="19" t="s">
        <v>120</v>
      </c>
      <c r="AS36" s="19">
        <v>0.77</v>
      </c>
      <c r="AT36" s="19">
        <v>0.5</v>
      </c>
      <c r="AU36" s="19">
        <v>0.55000000000000004</v>
      </c>
      <c r="AV36" s="22">
        <v>0.11</v>
      </c>
      <c r="AW36" s="22">
        <v>-0.33</v>
      </c>
      <c r="AX36" s="22">
        <v>-0.33</v>
      </c>
      <c r="AY36" s="22">
        <v>0.6</v>
      </c>
      <c r="AZ36" s="22">
        <v>0.33</v>
      </c>
      <c r="BA36" s="22">
        <v>0.33</v>
      </c>
      <c r="BB36" s="22">
        <v>0.33</v>
      </c>
    </row>
    <row r="37" spans="5:54" x14ac:dyDescent="0.2">
      <c r="F37" t="s">
        <v>120</v>
      </c>
      <c r="H37">
        <v>91.25</v>
      </c>
      <c r="I37">
        <v>40</v>
      </c>
      <c r="J37">
        <v>0</v>
      </c>
      <c r="K37">
        <v>0</v>
      </c>
      <c r="L37">
        <v>0</v>
      </c>
      <c r="N37">
        <v>410</v>
      </c>
      <c r="P37">
        <v>0.2</v>
      </c>
      <c r="Q37">
        <f t="shared" si="0"/>
        <v>1</v>
      </c>
      <c r="S37">
        <f t="shared" si="1"/>
        <v>7.1414010756000028</v>
      </c>
      <c r="T37">
        <f t="shared" si="2"/>
        <v>0.14782700226492007</v>
      </c>
      <c r="U37">
        <f>H37*T37*I37</f>
        <v>539.56855826695823</v>
      </c>
      <c r="X37" s="9" t="s">
        <v>119</v>
      </c>
      <c r="Y37" s="9" t="s">
        <v>152</v>
      </c>
      <c r="Z37">
        <v>0.3</v>
      </c>
      <c r="AA37">
        <v>0</v>
      </c>
      <c r="AB37">
        <v>0.99</v>
      </c>
      <c r="AC37">
        <v>-0.1</v>
      </c>
      <c r="AD37">
        <v>-0.22</v>
      </c>
      <c r="AE37">
        <v>0.55000000000000004</v>
      </c>
      <c r="AF37">
        <v>0.66</v>
      </c>
      <c r="AG37">
        <v>0.38</v>
      </c>
      <c r="AH37">
        <v>0.24</v>
      </c>
      <c r="AI37">
        <v>0.38</v>
      </c>
      <c r="AJ37">
        <v>0.76</v>
      </c>
      <c r="AK37">
        <v>0.18</v>
      </c>
      <c r="AL37">
        <v>0.53</v>
      </c>
      <c r="AM37">
        <v>0.47</v>
      </c>
      <c r="AN37">
        <v>2</v>
      </c>
      <c r="AP37" s="18"/>
      <c r="AQ37" s="20"/>
      <c r="AR37" s="8" t="s">
        <v>121</v>
      </c>
      <c r="AS37" s="8">
        <v>0.11</v>
      </c>
      <c r="AT37" s="8">
        <v>-0.27</v>
      </c>
      <c r="AU37" s="8">
        <v>0.11</v>
      </c>
      <c r="AV37" s="21">
        <v>0.22</v>
      </c>
      <c r="AW37" s="21">
        <v>-0.44</v>
      </c>
      <c r="AX37" s="21">
        <v>-0.44</v>
      </c>
      <c r="AY37" s="21">
        <v>0.16</v>
      </c>
      <c r="AZ37" s="21">
        <v>-0.22</v>
      </c>
      <c r="BA37" s="21">
        <v>-0.22</v>
      </c>
      <c r="BB37" s="21">
        <v>-0.22</v>
      </c>
    </row>
    <row r="38" spans="5:54" x14ac:dyDescent="0.2">
      <c r="F38" t="s">
        <v>121</v>
      </c>
      <c r="H38">
        <v>91.25</v>
      </c>
      <c r="I38">
        <v>20</v>
      </c>
      <c r="J38">
        <v>0</v>
      </c>
      <c r="K38">
        <v>0</v>
      </c>
      <c r="L38">
        <v>0</v>
      </c>
      <c r="N38">
        <v>440</v>
      </c>
      <c r="P38">
        <v>0.33</v>
      </c>
      <c r="Q38">
        <f t="shared" si="0"/>
        <v>1</v>
      </c>
      <c r="S38">
        <f t="shared" si="1"/>
        <v>7.7461465761000019</v>
      </c>
      <c r="T38">
        <f t="shared" si="2"/>
        <v>0.16034523412527002</v>
      </c>
      <c r="U38">
        <f>H38*T38*I38</f>
        <v>292.63005227861777</v>
      </c>
      <c r="X38" s="9" t="s">
        <v>120</v>
      </c>
      <c r="Y38" s="9" t="s">
        <v>152</v>
      </c>
      <c r="Z38">
        <v>0.2</v>
      </c>
      <c r="AA38">
        <v>-0.55000000000000004</v>
      </c>
      <c r="AB38">
        <v>-0.33</v>
      </c>
      <c r="AC38">
        <v>0.2</v>
      </c>
      <c r="AD38">
        <v>-0.55000000000000004</v>
      </c>
      <c r="AE38">
        <v>0.22</v>
      </c>
      <c r="AF38">
        <v>0.11</v>
      </c>
      <c r="AG38">
        <v>0.35</v>
      </c>
      <c r="AH38">
        <v>0.28999999999999998</v>
      </c>
      <c r="AI38">
        <v>0.36</v>
      </c>
      <c r="AJ38">
        <v>0.4</v>
      </c>
      <c r="AK38">
        <v>0.02</v>
      </c>
      <c r="AL38">
        <v>0.26</v>
      </c>
      <c r="AM38">
        <v>0.3</v>
      </c>
      <c r="AN38">
        <v>3</v>
      </c>
      <c r="AP38" s="20"/>
      <c r="AQ38" s="18" t="s">
        <v>135</v>
      </c>
      <c r="AR38" s="19" t="s">
        <v>117</v>
      </c>
      <c r="AS38" s="19">
        <v>1.1000000000000001</v>
      </c>
      <c r="AT38" s="19">
        <v>1.1000000000000001</v>
      </c>
      <c r="AU38" s="19">
        <v>1.1000000000000001</v>
      </c>
      <c r="AV38" s="22">
        <v>0.99</v>
      </c>
      <c r="AW38" s="22">
        <v>0.99</v>
      </c>
      <c r="AX38" s="22">
        <v>0.99</v>
      </c>
      <c r="AY38" s="22">
        <v>1.1000000000000001</v>
      </c>
      <c r="AZ38" s="22">
        <v>0.77</v>
      </c>
      <c r="BA38" s="22">
        <v>0.77</v>
      </c>
      <c r="BB38" s="22">
        <v>0.77</v>
      </c>
    </row>
    <row r="39" spans="5:54" x14ac:dyDescent="0.2">
      <c r="E39" t="s">
        <v>169</v>
      </c>
      <c r="F39" t="s">
        <v>117</v>
      </c>
      <c r="H39">
        <v>91.25</v>
      </c>
      <c r="I39">
        <v>30</v>
      </c>
      <c r="J39">
        <v>0</v>
      </c>
      <c r="K39">
        <v>0</v>
      </c>
      <c r="L39">
        <v>0</v>
      </c>
      <c r="N39">
        <v>510</v>
      </c>
      <c r="P39">
        <v>0.77</v>
      </c>
      <c r="Q39">
        <f t="shared" si="0"/>
        <v>1</v>
      </c>
      <c r="S39">
        <f t="shared" si="1"/>
        <v>9.4045875560999992</v>
      </c>
      <c r="T39">
        <f t="shared" si="2"/>
        <v>0.19467496241126997</v>
      </c>
      <c r="U39">
        <f>H39*T39*I39</f>
        <v>532.92270960085148</v>
      </c>
      <c r="X39" s="9" t="s">
        <v>121</v>
      </c>
      <c r="Y39" s="9" t="s">
        <v>152</v>
      </c>
      <c r="Z39">
        <v>0.1</v>
      </c>
      <c r="AA39">
        <v>0</v>
      </c>
      <c r="AB39">
        <v>-0.44</v>
      </c>
      <c r="AC39">
        <v>0.22</v>
      </c>
      <c r="AD39">
        <v>0.11</v>
      </c>
      <c r="AE39">
        <v>-0.22</v>
      </c>
      <c r="AF39">
        <v>-0.44</v>
      </c>
      <c r="AG39">
        <v>0.12</v>
      </c>
      <c r="AH39">
        <v>0.19</v>
      </c>
      <c r="AI39">
        <v>0.16</v>
      </c>
      <c r="AJ39">
        <v>-0.13</v>
      </c>
      <c r="AK39">
        <v>-0.1</v>
      </c>
      <c r="AL39">
        <v>0.12</v>
      </c>
      <c r="AM39">
        <v>0.11</v>
      </c>
      <c r="AN39">
        <v>4</v>
      </c>
      <c r="AP39" s="18"/>
      <c r="AQ39" s="20"/>
      <c r="AR39" s="8" t="s">
        <v>119</v>
      </c>
      <c r="AS39" s="8">
        <v>0.33</v>
      </c>
      <c r="AT39" s="8">
        <v>0.33</v>
      </c>
      <c r="AU39" s="8">
        <v>0.22</v>
      </c>
      <c r="AV39" s="21">
        <v>0.33</v>
      </c>
      <c r="AW39" s="21">
        <v>-0.1</v>
      </c>
      <c r="AX39" s="21">
        <v>-0.1</v>
      </c>
      <c r="AY39" s="21">
        <v>0.33</v>
      </c>
      <c r="AZ39" s="21">
        <v>0.11</v>
      </c>
      <c r="BA39" s="21">
        <v>0.11</v>
      </c>
      <c r="BB39" s="21">
        <v>0.11</v>
      </c>
    </row>
    <row r="40" spans="5:54" x14ac:dyDescent="0.2">
      <c r="E40" t="s">
        <v>237</v>
      </c>
      <c r="F40" t="s">
        <v>119</v>
      </c>
      <c r="H40">
        <v>91.25</v>
      </c>
      <c r="I40">
        <v>100</v>
      </c>
      <c r="J40">
        <v>0</v>
      </c>
      <c r="K40">
        <v>0</v>
      </c>
      <c r="L40">
        <v>0</v>
      </c>
      <c r="N40">
        <v>520</v>
      </c>
      <c r="P40">
        <v>0.11</v>
      </c>
      <c r="Q40">
        <f t="shared" si="0"/>
        <v>1</v>
      </c>
      <c r="S40">
        <f t="shared" si="1"/>
        <v>8.2794883080999995</v>
      </c>
      <c r="T40">
        <f t="shared" si="2"/>
        <v>0.17138540797766999</v>
      </c>
      <c r="U40">
        <f>H40*T40*I40</f>
        <v>1563.8918477962386</v>
      </c>
      <c r="X40" s="9" t="s">
        <v>117</v>
      </c>
      <c r="Y40" s="9" t="s">
        <v>141</v>
      </c>
      <c r="Z40">
        <v>0.5</v>
      </c>
      <c r="AA40">
        <v>0.88</v>
      </c>
      <c r="AB40">
        <v>1</v>
      </c>
      <c r="AC40">
        <v>1.1000000000000001</v>
      </c>
      <c r="AD40">
        <v>1.21</v>
      </c>
      <c r="AE40">
        <v>0.7</v>
      </c>
      <c r="AF40">
        <v>0.33</v>
      </c>
      <c r="AG40">
        <v>0.25</v>
      </c>
      <c r="AH40">
        <v>0.2</v>
      </c>
      <c r="AI40">
        <v>0</v>
      </c>
      <c r="AJ40">
        <v>0.38</v>
      </c>
      <c r="AK40">
        <v>0.41</v>
      </c>
      <c r="AL40">
        <v>0.37</v>
      </c>
      <c r="AM40">
        <v>0.24</v>
      </c>
      <c r="AN40">
        <v>1</v>
      </c>
      <c r="AP40" s="20"/>
      <c r="AQ40" s="18"/>
      <c r="AR40" s="19" t="s">
        <v>120</v>
      </c>
      <c r="AS40" s="19">
        <v>0.5</v>
      </c>
      <c r="AT40" s="19">
        <v>0.2</v>
      </c>
      <c r="AU40" s="19">
        <v>0.55000000000000004</v>
      </c>
      <c r="AV40" s="22">
        <v>0.44</v>
      </c>
      <c r="AW40" s="22">
        <v>0.2</v>
      </c>
      <c r="AX40" s="22">
        <v>0.2</v>
      </c>
      <c r="AY40" s="22">
        <v>0.55000000000000004</v>
      </c>
      <c r="AZ40" s="22">
        <v>0.2</v>
      </c>
      <c r="BA40" s="22">
        <v>0.2</v>
      </c>
      <c r="BB40" s="22">
        <v>0.2</v>
      </c>
    </row>
    <row r="41" spans="5:54" x14ac:dyDescent="0.2">
      <c r="F41" t="s">
        <v>120</v>
      </c>
      <c r="H41">
        <v>91.25</v>
      </c>
      <c r="I41">
        <v>40</v>
      </c>
      <c r="J41">
        <v>0</v>
      </c>
      <c r="K41">
        <v>0</v>
      </c>
      <c r="L41">
        <v>0</v>
      </c>
      <c r="N41">
        <v>410</v>
      </c>
      <c r="P41">
        <v>0.2</v>
      </c>
      <c r="Q41">
        <f t="shared" si="0"/>
        <v>1</v>
      </c>
      <c r="S41">
        <f t="shared" si="1"/>
        <v>7.1414010756000028</v>
      </c>
      <c r="T41">
        <f t="shared" si="2"/>
        <v>0.14782700226492007</v>
      </c>
      <c r="U41">
        <f>H41*T41*I41</f>
        <v>539.56855826695823</v>
      </c>
      <c r="X41" s="9" t="s">
        <v>119</v>
      </c>
      <c r="Y41" s="9" t="s">
        <v>141</v>
      </c>
      <c r="Z41">
        <v>0.9</v>
      </c>
      <c r="AA41">
        <v>0.66</v>
      </c>
      <c r="AB41">
        <v>0.71</v>
      </c>
      <c r="AC41">
        <v>0.22</v>
      </c>
      <c r="AD41">
        <v>0.44</v>
      </c>
      <c r="AE41">
        <v>0.77</v>
      </c>
      <c r="AF41">
        <v>0.7</v>
      </c>
      <c r="AG41">
        <v>0.62</v>
      </c>
      <c r="AH41">
        <v>0.68</v>
      </c>
      <c r="AI41">
        <v>0.79</v>
      </c>
      <c r="AJ41">
        <v>0.8</v>
      </c>
      <c r="AK41">
        <v>0.65</v>
      </c>
      <c r="AL41">
        <v>0.31</v>
      </c>
      <c r="AM41">
        <v>0.25</v>
      </c>
      <c r="AN41">
        <v>2</v>
      </c>
      <c r="AP41" s="18"/>
      <c r="AQ41" s="20"/>
      <c r="AR41" s="8" t="s">
        <v>121</v>
      </c>
      <c r="AS41" s="8">
        <v>0.55000000000000004</v>
      </c>
      <c r="AT41" s="8">
        <v>0.22</v>
      </c>
      <c r="AU41" s="8">
        <v>0.49</v>
      </c>
      <c r="AV41" s="21">
        <v>0.22</v>
      </c>
      <c r="AW41" s="21">
        <v>0.22</v>
      </c>
      <c r="AX41" s="21">
        <v>0.22</v>
      </c>
      <c r="AY41" s="21">
        <v>0.49</v>
      </c>
      <c r="AZ41" s="21">
        <v>0.33</v>
      </c>
      <c r="BA41" s="21">
        <v>0.33</v>
      </c>
      <c r="BB41" s="21">
        <v>0.33</v>
      </c>
    </row>
    <row r="42" spans="5:54" x14ac:dyDescent="0.2">
      <c r="F42" t="s">
        <v>121</v>
      </c>
      <c r="H42">
        <v>91.25</v>
      </c>
      <c r="I42">
        <v>0</v>
      </c>
      <c r="J42">
        <v>0</v>
      </c>
      <c r="K42">
        <v>0</v>
      </c>
      <c r="L42">
        <v>0</v>
      </c>
      <c r="N42">
        <v>440</v>
      </c>
      <c r="P42">
        <v>0.33</v>
      </c>
      <c r="Q42">
        <f t="shared" si="0"/>
        <v>1</v>
      </c>
      <c r="S42">
        <f t="shared" si="1"/>
        <v>7.7461465761000019</v>
      </c>
      <c r="T42">
        <f t="shared" si="2"/>
        <v>0.16034523412527002</v>
      </c>
      <c r="U42">
        <f>H42*T42*I42</f>
        <v>0</v>
      </c>
      <c r="X42" s="9" t="s">
        <v>120</v>
      </c>
      <c r="Y42" s="9" t="s">
        <v>141</v>
      </c>
      <c r="Z42">
        <v>0.7</v>
      </c>
      <c r="AA42">
        <v>0.7</v>
      </c>
      <c r="AB42">
        <v>0.55000000000000004</v>
      </c>
      <c r="AC42">
        <v>0.55000000000000004</v>
      </c>
      <c r="AD42">
        <v>0.6</v>
      </c>
      <c r="AE42">
        <v>0.88</v>
      </c>
      <c r="AF42">
        <v>0.55000000000000004</v>
      </c>
      <c r="AG42">
        <v>0.54</v>
      </c>
      <c r="AH42">
        <v>0.64</v>
      </c>
      <c r="AI42">
        <v>0.55000000000000004</v>
      </c>
      <c r="AJ42">
        <v>0.49</v>
      </c>
      <c r="AK42">
        <v>0.52</v>
      </c>
      <c r="AL42">
        <v>0.39</v>
      </c>
      <c r="AM42">
        <v>0.12</v>
      </c>
      <c r="AN42">
        <v>3</v>
      </c>
      <c r="AP42" s="20"/>
      <c r="AQ42" s="18" t="s">
        <v>255</v>
      </c>
      <c r="AR42" s="19" t="s">
        <v>117</v>
      </c>
      <c r="AS42" s="19">
        <v>1.64</v>
      </c>
      <c r="AT42" s="19">
        <v>1.1000000000000001</v>
      </c>
      <c r="AU42" s="19">
        <v>1.21</v>
      </c>
      <c r="AV42" s="22">
        <v>0.99</v>
      </c>
      <c r="AW42" s="22">
        <v>0.66</v>
      </c>
      <c r="AX42" s="22">
        <v>0.66</v>
      </c>
      <c r="AY42" s="22">
        <v>1.42</v>
      </c>
      <c r="AZ42" s="22">
        <v>1.1000000000000001</v>
      </c>
      <c r="BA42" s="22">
        <v>1.1000000000000001</v>
      </c>
      <c r="BB42" s="22">
        <v>1.1000000000000001</v>
      </c>
    </row>
    <row r="43" spans="5:54" x14ac:dyDescent="0.2">
      <c r="E43" t="s">
        <v>171</v>
      </c>
      <c r="F43" t="s">
        <v>117</v>
      </c>
      <c r="H43">
        <v>91.25</v>
      </c>
      <c r="I43">
        <v>20</v>
      </c>
      <c r="J43">
        <v>0</v>
      </c>
      <c r="K43">
        <v>0</v>
      </c>
      <c r="L43">
        <v>0</v>
      </c>
      <c r="N43">
        <v>240</v>
      </c>
      <c r="P43">
        <v>1.1000000000000001</v>
      </c>
      <c r="Q43">
        <f t="shared" si="0"/>
        <v>1</v>
      </c>
      <c r="S43">
        <f t="shared" si="1"/>
        <v>6.1075213955999983</v>
      </c>
      <c r="T43">
        <f t="shared" si="2"/>
        <v>0.12642569288891994</v>
      </c>
      <c r="U43">
        <f>H43*T43*I43</f>
        <v>230.7268895222789</v>
      </c>
      <c r="X43" s="9" t="s">
        <v>121</v>
      </c>
      <c r="Y43" s="9" t="s">
        <v>141</v>
      </c>
      <c r="Z43">
        <v>0.4</v>
      </c>
      <c r="AA43">
        <v>0.77</v>
      </c>
      <c r="AB43">
        <v>0.11</v>
      </c>
      <c r="AC43">
        <v>0.49</v>
      </c>
      <c r="AD43">
        <v>0.77</v>
      </c>
      <c r="AE43">
        <v>0.22</v>
      </c>
      <c r="AF43">
        <v>0.11</v>
      </c>
      <c r="AG43">
        <v>0.22</v>
      </c>
      <c r="AH43">
        <v>0.31</v>
      </c>
      <c r="AI43">
        <v>0.02</v>
      </c>
      <c r="AJ43">
        <v>0.13</v>
      </c>
      <c r="AK43">
        <v>0.25</v>
      </c>
      <c r="AL43">
        <v>0.21</v>
      </c>
      <c r="AM43">
        <v>0.06</v>
      </c>
      <c r="AN43">
        <v>4</v>
      </c>
      <c r="AP43" s="18"/>
      <c r="AQ43" s="20"/>
      <c r="AR43" s="8" t="s">
        <v>119</v>
      </c>
      <c r="AS43" s="8">
        <v>0.44</v>
      </c>
      <c r="AT43" s="8">
        <v>-0.22</v>
      </c>
      <c r="AU43" s="8">
        <v>0.44</v>
      </c>
      <c r="AV43" s="21">
        <v>0.33</v>
      </c>
      <c r="AW43" s="21">
        <v>-0.22</v>
      </c>
      <c r="AX43" s="21">
        <v>-0.22</v>
      </c>
      <c r="AY43" s="21">
        <v>0.44</v>
      </c>
      <c r="AZ43" s="21">
        <v>-0.11</v>
      </c>
      <c r="BA43" s="21">
        <v>-0.11</v>
      </c>
      <c r="BB43" s="21">
        <v>-0.11</v>
      </c>
    </row>
    <row r="44" spans="5:54" x14ac:dyDescent="0.2">
      <c r="E44" t="s">
        <v>238</v>
      </c>
      <c r="F44" t="s">
        <v>119</v>
      </c>
      <c r="H44">
        <v>91.25</v>
      </c>
      <c r="I44">
        <v>40</v>
      </c>
      <c r="J44">
        <v>0</v>
      </c>
      <c r="K44">
        <v>0</v>
      </c>
      <c r="L44">
        <v>0</v>
      </c>
      <c r="N44">
        <v>270</v>
      </c>
      <c r="P44">
        <v>0.33</v>
      </c>
      <c r="Q44">
        <f t="shared" si="0"/>
        <v>1</v>
      </c>
      <c r="S44">
        <f t="shared" si="1"/>
        <v>5.4066015441000008</v>
      </c>
      <c r="T44">
        <f t="shared" si="2"/>
        <v>0.11191665196287003</v>
      </c>
      <c r="U44">
        <f>H44*T44*I44</f>
        <v>408.49577966447561</v>
      </c>
      <c r="X44" s="9" t="s">
        <v>117</v>
      </c>
      <c r="Y44" s="9" t="s">
        <v>156</v>
      </c>
      <c r="Z44">
        <v>0.3</v>
      </c>
      <c r="AA44">
        <v>0.55000000000000004</v>
      </c>
      <c r="AB44">
        <v>-0.44</v>
      </c>
      <c r="AC44">
        <v>0.99</v>
      </c>
      <c r="AD44">
        <v>0.66</v>
      </c>
      <c r="AE44">
        <v>-0.22</v>
      </c>
      <c r="AF44">
        <v>-0.33</v>
      </c>
      <c r="AG44">
        <v>-0.28000000000000003</v>
      </c>
      <c r="AH44">
        <v>0.01</v>
      </c>
      <c r="AI44">
        <v>0.17</v>
      </c>
      <c r="AJ44">
        <v>0.05</v>
      </c>
      <c r="AK44">
        <v>-0.19</v>
      </c>
      <c r="AL44">
        <v>-0.02</v>
      </c>
      <c r="AM44">
        <v>-0.05</v>
      </c>
      <c r="AN44">
        <v>1</v>
      </c>
      <c r="AP44" s="20"/>
      <c r="AQ44" s="18"/>
      <c r="AR44" s="19" t="s">
        <v>120</v>
      </c>
      <c r="AS44" s="19">
        <v>0.6</v>
      </c>
      <c r="AT44" s="19">
        <v>0</v>
      </c>
      <c r="AU44" s="19">
        <v>0.6</v>
      </c>
      <c r="AV44" s="22">
        <v>0.22</v>
      </c>
      <c r="AW44" s="22">
        <v>-0.55000000000000004</v>
      </c>
      <c r="AX44" s="22">
        <v>-0.55000000000000004</v>
      </c>
      <c r="AY44" s="22">
        <v>0.6</v>
      </c>
      <c r="AZ44" s="22">
        <v>0</v>
      </c>
      <c r="BA44" s="22">
        <v>0</v>
      </c>
      <c r="BB44" s="22">
        <v>0</v>
      </c>
    </row>
    <row r="45" spans="5:54" x14ac:dyDescent="0.2">
      <c r="F45" t="s">
        <v>120</v>
      </c>
      <c r="H45">
        <v>91.25</v>
      </c>
      <c r="I45">
        <v>35</v>
      </c>
      <c r="J45">
        <v>0</v>
      </c>
      <c r="K45">
        <v>0</v>
      </c>
      <c r="L45">
        <v>0</v>
      </c>
      <c r="N45">
        <v>95</v>
      </c>
      <c r="P45">
        <v>0.55000000000000004</v>
      </c>
      <c r="Q45">
        <f t="shared" si="0"/>
        <v>1</v>
      </c>
      <c r="S45">
        <f t="shared" si="1"/>
        <v>3.1190562272249998</v>
      </c>
      <c r="T45">
        <f t="shared" si="2"/>
        <v>6.4564463903557495E-2</v>
      </c>
      <c r="U45">
        <f>H45*T45*I45</f>
        <v>206.20275659198674</v>
      </c>
      <c r="X45" s="9" t="s">
        <v>119</v>
      </c>
      <c r="Y45" s="9" t="s">
        <v>156</v>
      </c>
      <c r="Z45">
        <v>0.3</v>
      </c>
      <c r="AA45">
        <v>0</v>
      </c>
      <c r="AB45">
        <v>0.99</v>
      </c>
      <c r="AC45">
        <v>-0.1</v>
      </c>
      <c r="AD45">
        <v>-0.22</v>
      </c>
      <c r="AE45">
        <v>0.55000000000000004</v>
      </c>
      <c r="AF45">
        <v>0.66</v>
      </c>
      <c r="AG45">
        <v>0.27</v>
      </c>
      <c r="AH45">
        <v>0.25</v>
      </c>
      <c r="AI45">
        <v>0.27</v>
      </c>
      <c r="AJ45">
        <v>0.49</v>
      </c>
      <c r="AK45">
        <v>0.63</v>
      </c>
      <c r="AL45">
        <v>0.15</v>
      </c>
      <c r="AM45">
        <v>0.31</v>
      </c>
      <c r="AN45">
        <v>2</v>
      </c>
      <c r="AP45" s="18"/>
      <c r="AQ45" s="20"/>
      <c r="AR45" s="8" t="s">
        <v>121</v>
      </c>
      <c r="AS45" s="8">
        <v>0.99</v>
      </c>
      <c r="AT45" s="8">
        <v>0.22</v>
      </c>
      <c r="AU45" s="8">
        <v>0.77</v>
      </c>
      <c r="AV45" s="21">
        <v>0.11</v>
      </c>
      <c r="AW45" s="21">
        <v>0.11</v>
      </c>
      <c r="AX45" s="21">
        <v>0.11</v>
      </c>
      <c r="AY45" s="21">
        <v>0.77</v>
      </c>
      <c r="AZ45" s="21">
        <v>0.44</v>
      </c>
      <c r="BA45" s="21">
        <v>0.44</v>
      </c>
      <c r="BB45" s="21">
        <v>0.44</v>
      </c>
    </row>
    <row r="46" spans="5:54" x14ac:dyDescent="0.2">
      <c r="F46" t="s">
        <v>121</v>
      </c>
      <c r="H46">
        <v>91.25</v>
      </c>
      <c r="I46">
        <v>30</v>
      </c>
      <c r="J46">
        <v>0</v>
      </c>
      <c r="K46">
        <v>0</v>
      </c>
      <c r="L46">
        <v>0</v>
      </c>
      <c r="N46">
        <v>140</v>
      </c>
      <c r="P46">
        <v>0.49</v>
      </c>
      <c r="Q46">
        <f t="shared" si="0"/>
        <v>1</v>
      </c>
      <c r="S46">
        <f t="shared" si="1"/>
        <v>3.7017375200999996</v>
      </c>
      <c r="T46">
        <f t="shared" si="2"/>
        <v>7.6625966666069981E-2</v>
      </c>
      <c r="U46">
        <f>H46*T46*I46</f>
        <v>209.76358374836656</v>
      </c>
      <c r="X46" s="9" t="s">
        <v>120</v>
      </c>
      <c r="Y46" s="9" t="s">
        <v>156</v>
      </c>
      <c r="Z46">
        <v>0.2</v>
      </c>
      <c r="AA46">
        <v>-0.55000000000000004</v>
      </c>
      <c r="AB46">
        <v>-0.33</v>
      </c>
      <c r="AC46">
        <v>0.2</v>
      </c>
      <c r="AD46">
        <v>-0.55000000000000004</v>
      </c>
      <c r="AE46">
        <v>0.22</v>
      </c>
      <c r="AF46">
        <v>0.11</v>
      </c>
      <c r="AG46">
        <v>0.15</v>
      </c>
      <c r="AH46">
        <v>0.12</v>
      </c>
      <c r="AI46">
        <v>0.06</v>
      </c>
      <c r="AJ46">
        <v>0.17</v>
      </c>
      <c r="AK46">
        <v>0.04</v>
      </c>
      <c r="AL46">
        <v>0.11</v>
      </c>
      <c r="AM46">
        <v>0.08</v>
      </c>
      <c r="AN46">
        <v>3</v>
      </c>
      <c r="AP46" s="20"/>
      <c r="AQ46" s="18" t="s">
        <v>256</v>
      </c>
      <c r="AR46" s="19" t="s">
        <v>117</v>
      </c>
      <c r="AS46" s="19">
        <v>0.7</v>
      </c>
      <c r="AT46" s="19">
        <v>-0.55000000000000004</v>
      </c>
      <c r="AU46" s="19">
        <v>0.7</v>
      </c>
      <c r="AV46" s="22">
        <v>0.22</v>
      </c>
      <c r="AW46" s="22">
        <v>-0.22</v>
      </c>
      <c r="AX46" s="22">
        <v>-0.22</v>
      </c>
      <c r="AY46" s="22">
        <v>0.7</v>
      </c>
      <c r="AZ46" s="22">
        <v>-0.22</v>
      </c>
      <c r="BA46" s="22">
        <v>-0.22</v>
      </c>
      <c r="BB46" s="22">
        <v>-0.22</v>
      </c>
    </row>
    <row r="47" spans="5:54" x14ac:dyDescent="0.2">
      <c r="E47" t="s">
        <v>176</v>
      </c>
      <c r="F47" t="s">
        <v>117</v>
      </c>
      <c r="H47">
        <v>91.25</v>
      </c>
      <c r="I47">
        <v>30</v>
      </c>
      <c r="J47">
        <v>0</v>
      </c>
      <c r="K47">
        <v>0</v>
      </c>
      <c r="L47">
        <v>0</v>
      </c>
      <c r="N47">
        <v>510</v>
      </c>
      <c r="P47">
        <v>0.77</v>
      </c>
      <c r="Q47">
        <f t="shared" si="0"/>
        <v>1</v>
      </c>
      <c r="S47">
        <f t="shared" si="1"/>
        <v>9.4045875560999992</v>
      </c>
      <c r="T47">
        <f t="shared" si="2"/>
        <v>0.19467496241126997</v>
      </c>
      <c r="U47">
        <f>H47*T47*I47</f>
        <v>532.92270960085148</v>
      </c>
      <c r="X47" s="9" t="s">
        <v>121</v>
      </c>
      <c r="Y47" s="9" t="s">
        <v>156</v>
      </c>
      <c r="Z47">
        <v>0.1</v>
      </c>
      <c r="AA47">
        <v>0</v>
      </c>
      <c r="AB47">
        <v>-0.44</v>
      </c>
      <c r="AC47">
        <v>0.22</v>
      </c>
      <c r="AD47">
        <v>0.11</v>
      </c>
      <c r="AE47">
        <v>-0.22</v>
      </c>
      <c r="AF47">
        <v>-0.44</v>
      </c>
      <c r="AG47">
        <v>0.02</v>
      </c>
      <c r="AH47">
        <v>0.04</v>
      </c>
      <c r="AI47">
        <v>-0.04</v>
      </c>
      <c r="AJ47">
        <v>7.0000000000000007E-2</v>
      </c>
      <c r="AK47">
        <v>-0.02</v>
      </c>
      <c r="AL47">
        <v>0.06</v>
      </c>
      <c r="AM47">
        <v>-7.0000000000000007E-2</v>
      </c>
      <c r="AN47">
        <v>4</v>
      </c>
      <c r="AP47" s="18"/>
      <c r="AQ47" s="20"/>
      <c r="AR47" s="8" t="s">
        <v>119</v>
      </c>
      <c r="AS47" s="8">
        <v>0.77</v>
      </c>
      <c r="AT47" s="8">
        <v>0.55000000000000004</v>
      </c>
      <c r="AU47" s="8">
        <v>0.77</v>
      </c>
      <c r="AV47" s="21">
        <v>0.66</v>
      </c>
      <c r="AW47" s="21">
        <v>0.55000000000000004</v>
      </c>
      <c r="AX47" s="21">
        <v>0.55000000000000004</v>
      </c>
      <c r="AY47" s="21">
        <v>0.77</v>
      </c>
      <c r="AZ47" s="21">
        <v>0.33</v>
      </c>
      <c r="BA47" s="21">
        <v>0.33</v>
      </c>
      <c r="BB47" s="21">
        <v>0.33</v>
      </c>
    </row>
    <row r="48" spans="5:54" x14ac:dyDescent="0.2">
      <c r="E48" t="s">
        <v>239</v>
      </c>
      <c r="F48" t="s">
        <v>119</v>
      </c>
      <c r="H48">
        <v>91.25</v>
      </c>
      <c r="I48">
        <v>35</v>
      </c>
      <c r="J48">
        <v>0</v>
      </c>
      <c r="K48">
        <v>0</v>
      </c>
      <c r="L48">
        <v>0</v>
      </c>
      <c r="N48">
        <v>520</v>
      </c>
      <c r="P48">
        <v>0.11</v>
      </c>
      <c r="Q48">
        <f t="shared" si="0"/>
        <v>1</v>
      </c>
      <c r="S48">
        <f t="shared" si="1"/>
        <v>8.2794883080999995</v>
      </c>
      <c r="T48">
        <f t="shared" si="2"/>
        <v>0.17138540797766999</v>
      </c>
      <c r="U48">
        <f>H48*T48*I48</f>
        <v>547.36214672868357</v>
      </c>
      <c r="X48" s="9" t="s">
        <v>117</v>
      </c>
      <c r="Y48" s="9" t="s">
        <v>169</v>
      </c>
      <c r="Z48">
        <v>0.4</v>
      </c>
      <c r="AA48">
        <v>0.22</v>
      </c>
      <c r="AB48">
        <v>0.5</v>
      </c>
      <c r="AC48">
        <v>0.77</v>
      </c>
      <c r="AD48">
        <v>1.1000000000000001</v>
      </c>
      <c r="AE48">
        <v>-0.22</v>
      </c>
      <c r="AF48">
        <v>-0.55000000000000004</v>
      </c>
      <c r="AG48">
        <v>0.24</v>
      </c>
      <c r="AH48">
        <v>0.09</v>
      </c>
      <c r="AI48">
        <v>0.02</v>
      </c>
      <c r="AJ48">
        <v>0.55000000000000004</v>
      </c>
      <c r="AK48">
        <v>1.07</v>
      </c>
      <c r="AL48">
        <v>0.44</v>
      </c>
      <c r="AM48">
        <v>0.3</v>
      </c>
      <c r="AN48">
        <v>1</v>
      </c>
      <c r="AP48" s="20"/>
      <c r="AQ48" s="18"/>
      <c r="AR48" s="19" t="s">
        <v>120</v>
      </c>
      <c r="AS48" s="19">
        <v>0.88</v>
      </c>
      <c r="AT48" s="19">
        <v>0.55000000000000004</v>
      </c>
      <c r="AU48" s="19">
        <v>0.88</v>
      </c>
      <c r="AV48" s="22">
        <v>0.22</v>
      </c>
      <c r="AW48" s="22">
        <v>0.22</v>
      </c>
      <c r="AX48" s="22">
        <v>0.22</v>
      </c>
      <c r="AY48" s="22">
        <v>0.88</v>
      </c>
      <c r="AZ48" s="22">
        <v>0.22</v>
      </c>
      <c r="BA48" s="22">
        <v>0.22</v>
      </c>
      <c r="BB48" s="22">
        <v>0.22</v>
      </c>
    </row>
    <row r="49" spans="1:54" x14ac:dyDescent="0.2">
      <c r="F49" t="s">
        <v>120</v>
      </c>
      <c r="H49">
        <v>91.25</v>
      </c>
      <c r="I49">
        <v>20</v>
      </c>
      <c r="J49">
        <v>0</v>
      </c>
      <c r="K49">
        <v>0</v>
      </c>
      <c r="L49">
        <v>0</v>
      </c>
      <c r="N49">
        <v>410</v>
      </c>
      <c r="P49">
        <v>0.2</v>
      </c>
      <c r="Q49">
        <f t="shared" si="0"/>
        <v>1</v>
      </c>
      <c r="S49">
        <f t="shared" si="1"/>
        <v>7.1414010756000028</v>
      </c>
      <c r="T49">
        <f t="shared" si="2"/>
        <v>0.14782700226492007</v>
      </c>
      <c r="U49">
        <f>H49*T49*I49</f>
        <v>269.78427913347912</v>
      </c>
      <c r="X49" s="9" t="s">
        <v>119</v>
      </c>
      <c r="Y49" s="9" t="s">
        <v>169</v>
      </c>
      <c r="Z49">
        <v>0.4</v>
      </c>
      <c r="AA49">
        <v>0</v>
      </c>
      <c r="AB49">
        <v>0.5</v>
      </c>
      <c r="AC49">
        <v>0.11</v>
      </c>
      <c r="AD49">
        <v>-0.11</v>
      </c>
      <c r="AE49">
        <v>0.33</v>
      </c>
      <c r="AF49">
        <v>0.55000000000000004</v>
      </c>
      <c r="AG49">
        <v>0.64</v>
      </c>
      <c r="AH49">
        <v>0.37</v>
      </c>
      <c r="AI49">
        <v>0.16</v>
      </c>
      <c r="AJ49">
        <v>0.51</v>
      </c>
      <c r="AK49">
        <v>0.48</v>
      </c>
      <c r="AL49">
        <v>0.56999999999999995</v>
      </c>
      <c r="AM49">
        <v>0.4</v>
      </c>
      <c r="AN49">
        <v>2</v>
      </c>
      <c r="AP49" s="18"/>
      <c r="AQ49" s="20"/>
      <c r="AR49" s="8" t="s">
        <v>121</v>
      </c>
      <c r="AS49" s="8">
        <v>0.22</v>
      </c>
      <c r="AT49" s="8">
        <v>-0.55000000000000004</v>
      </c>
      <c r="AU49" s="8">
        <v>0.22</v>
      </c>
      <c r="AV49" s="23">
        <v>0.11</v>
      </c>
      <c r="AW49" s="23">
        <v>-0.22</v>
      </c>
      <c r="AX49" s="23">
        <v>-0.22</v>
      </c>
      <c r="AY49" s="23">
        <v>0.22</v>
      </c>
      <c r="AZ49" s="23">
        <v>-0.33</v>
      </c>
      <c r="BA49" s="23">
        <v>-0.33</v>
      </c>
      <c r="BB49" s="23">
        <v>-0.33</v>
      </c>
    </row>
    <row r="50" spans="1:54" x14ac:dyDescent="0.2">
      <c r="F50" t="s">
        <v>121</v>
      </c>
      <c r="H50">
        <v>91.25</v>
      </c>
      <c r="I50">
        <v>0</v>
      </c>
      <c r="J50">
        <v>0</v>
      </c>
      <c r="K50">
        <v>0</v>
      </c>
      <c r="L50">
        <v>0</v>
      </c>
      <c r="N50">
        <v>440</v>
      </c>
      <c r="P50">
        <v>0.33</v>
      </c>
      <c r="Q50">
        <f t="shared" si="0"/>
        <v>1</v>
      </c>
      <c r="S50">
        <f t="shared" si="1"/>
        <v>7.7461465761000019</v>
      </c>
      <c r="T50">
        <f t="shared" si="2"/>
        <v>0.16034523412527002</v>
      </c>
      <c r="U50">
        <f>H50*T50*I50</f>
        <v>0</v>
      </c>
      <c r="X50" s="9" t="s">
        <v>120</v>
      </c>
      <c r="Y50" s="9" t="s">
        <v>169</v>
      </c>
      <c r="Z50">
        <v>0.3</v>
      </c>
      <c r="AA50">
        <v>-0.22</v>
      </c>
      <c r="AB50">
        <v>0.33</v>
      </c>
      <c r="AC50">
        <v>0.2</v>
      </c>
      <c r="AD50">
        <v>0</v>
      </c>
      <c r="AE50">
        <v>0.22</v>
      </c>
      <c r="AF50">
        <v>0.55000000000000004</v>
      </c>
      <c r="AG50">
        <v>0.54</v>
      </c>
      <c r="AH50">
        <v>0.49</v>
      </c>
      <c r="AI50">
        <v>0.23</v>
      </c>
      <c r="AJ50">
        <v>0.64</v>
      </c>
      <c r="AK50">
        <v>0.42</v>
      </c>
      <c r="AL50">
        <v>0.44</v>
      </c>
      <c r="AM50">
        <v>0.24</v>
      </c>
      <c r="AN50">
        <v>3</v>
      </c>
      <c r="AP50" s="20"/>
      <c r="AQ50" s="18" t="s">
        <v>257</v>
      </c>
      <c r="AR50" s="19" t="s">
        <v>117</v>
      </c>
      <c r="AS50" s="19">
        <v>0.22</v>
      </c>
      <c r="AT50" s="19">
        <v>-0.55000000000000004</v>
      </c>
      <c r="AU50" s="19">
        <v>0.33</v>
      </c>
      <c r="AV50" s="24">
        <v>0.22</v>
      </c>
      <c r="AW50" s="24">
        <v>-0.33</v>
      </c>
      <c r="AX50" s="24">
        <v>-0.33</v>
      </c>
      <c r="AY50" s="24">
        <v>0.22</v>
      </c>
      <c r="AZ50" s="24">
        <v>-0.55000000000000004</v>
      </c>
      <c r="BA50" s="24">
        <v>-0.55000000000000004</v>
      </c>
      <c r="BB50" s="24">
        <v>-0.55000000000000004</v>
      </c>
    </row>
    <row r="51" spans="1:54" x14ac:dyDescent="0.2">
      <c r="X51" s="9" t="s">
        <v>121</v>
      </c>
      <c r="Y51" s="9" t="s">
        <v>169</v>
      </c>
      <c r="Z51">
        <v>0.1</v>
      </c>
      <c r="AA51">
        <v>0</v>
      </c>
      <c r="AB51">
        <v>-0.22</v>
      </c>
      <c r="AC51">
        <v>0.33</v>
      </c>
      <c r="AD51">
        <v>0.44</v>
      </c>
      <c r="AE51">
        <v>-0.33</v>
      </c>
      <c r="AF51">
        <v>-0.55000000000000004</v>
      </c>
      <c r="AG51">
        <v>0.18</v>
      </c>
      <c r="AH51">
        <v>0.28000000000000003</v>
      </c>
      <c r="AI51">
        <v>0.03</v>
      </c>
      <c r="AJ51">
        <v>0.71</v>
      </c>
      <c r="AK51">
        <v>0.23</v>
      </c>
      <c r="AL51">
        <v>0.41</v>
      </c>
      <c r="AM51">
        <v>0.16</v>
      </c>
      <c r="AN51">
        <v>4</v>
      </c>
      <c r="AP51" s="18"/>
      <c r="AQ51" s="20"/>
      <c r="AR51" s="8" t="s">
        <v>119</v>
      </c>
      <c r="AS51" s="8">
        <v>0.8</v>
      </c>
      <c r="AT51" s="8">
        <v>0.55000000000000004</v>
      </c>
      <c r="AU51" s="8">
        <v>0.7</v>
      </c>
      <c r="AV51" s="23">
        <v>0.44</v>
      </c>
      <c r="AW51" s="23">
        <v>0.66</v>
      </c>
      <c r="AX51" s="23">
        <v>0.66</v>
      </c>
      <c r="AY51" s="23">
        <v>0.8</v>
      </c>
      <c r="AZ51" s="23">
        <v>0.55000000000000004</v>
      </c>
      <c r="BA51" s="23">
        <v>0.55000000000000004</v>
      </c>
      <c r="BB51" s="23">
        <v>0.55000000000000004</v>
      </c>
    </row>
    <row r="52" spans="1:54" x14ac:dyDescent="0.2">
      <c r="X52" s="9" t="s">
        <v>117</v>
      </c>
      <c r="Y52" s="9" t="s">
        <v>171</v>
      </c>
      <c r="Z52">
        <v>0.4</v>
      </c>
      <c r="AA52">
        <v>0.22</v>
      </c>
      <c r="AB52">
        <v>0.5</v>
      </c>
      <c r="AC52">
        <v>0.77</v>
      </c>
      <c r="AD52">
        <v>1.1000000000000001</v>
      </c>
      <c r="AE52">
        <v>-0.22</v>
      </c>
      <c r="AF52">
        <v>-0.55000000000000004</v>
      </c>
      <c r="AG52">
        <v>0.25</v>
      </c>
      <c r="AI52">
        <v>-0.14000000000000001</v>
      </c>
      <c r="AJ52">
        <v>0.19</v>
      </c>
      <c r="AK52">
        <v>-0.08</v>
      </c>
      <c r="AL52">
        <v>0.3</v>
      </c>
      <c r="AM52">
        <v>0.56999999999999995</v>
      </c>
      <c r="AN52">
        <v>1</v>
      </c>
      <c r="AP52" s="20"/>
      <c r="AQ52" s="18"/>
      <c r="AR52" s="19" t="s">
        <v>120</v>
      </c>
      <c r="AS52" s="19">
        <v>0.66</v>
      </c>
      <c r="AT52" s="19">
        <v>0.55000000000000004</v>
      </c>
      <c r="AU52" s="19">
        <v>0.55000000000000004</v>
      </c>
      <c r="AV52" s="24">
        <v>0.55000000000000004</v>
      </c>
      <c r="AW52" s="24">
        <v>0.11</v>
      </c>
      <c r="AX52" s="24">
        <v>0.11</v>
      </c>
      <c r="AY52" s="24">
        <v>0.66</v>
      </c>
      <c r="AZ52" s="24">
        <v>0.55000000000000004</v>
      </c>
      <c r="BA52" s="24">
        <v>0.55000000000000004</v>
      </c>
      <c r="BB52" s="24">
        <v>0.55000000000000004</v>
      </c>
    </row>
    <row r="53" spans="1:54" x14ac:dyDescent="0.2">
      <c r="X53" s="9" t="s">
        <v>119</v>
      </c>
      <c r="Y53" s="9" t="s">
        <v>171</v>
      </c>
      <c r="Z53">
        <v>0.4</v>
      </c>
      <c r="AA53">
        <v>0</v>
      </c>
      <c r="AB53">
        <v>0.5</v>
      </c>
      <c r="AC53">
        <v>0.11</v>
      </c>
      <c r="AD53">
        <v>-0.11</v>
      </c>
      <c r="AE53">
        <v>0.33</v>
      </c>
      <c r="AF53">
        <v>0.55000000000000004</v>
      </c>
      <c r="AG53">
        <v>0.55000000000000004</v>
      </c>
      <c r="AI53">
        <v>0.3</v>
      </c>
      <c r="AJ53">
        <v>0.36</v>
      </c>
      <c r="AK53">
        <v>1.1200000000000001</v>
      </c>
      <c r="AL53">
        <v>0.42</v>
      </c>
      <c r="AM53">
        <v>0.26</v>
      </c>
      <c r="AN53">
        <v>2</v>
      </c>
      <c r="AP53" s="18"/>
      <c r="AQ53" s="20"/>
      <c r="AR53" s="8" t="s">
        <v>121</v>
      </c>
      <c r="AS53" s="8">
        <v>0.33</v>
      </c>
      <c r="AT53" s="8">
        <v>-0.55000000000000004</v>
      </c>
      <c r="AU53" s="8">
        <v>0.11</v>
      </c>
      <c r="AV53" s="23">
        <v>0.11</v>
      </c>
      <c r="AW53" s="23">
        <v>-0.44</v>
      </c>
      <c r="AX53" s="23">
        <v>-0.44</v>
      </c>
      <c r="AY53" s="23">
        <v>0.33</v>
      </c>
      <c r="AZ53" s="23">
        <v>-0.55000000000000004</v>
      </c>
      <c r="BA53" s="23">
        <v>-0.55000000000000004</v>
      </c>
      <c r="BB53" s="23">
        <v>-0.55000000000000004</v>
      </c>
    </row>
    <row r="54" spans="1:54" x14ac:dyDescent="0.2">
      <c r="X54" s="9" t="s">
        <v>120</v>
      </c>
      <c r="Y54" s="9" t="s">
        <v>171</v>
      </c>
      <c r="Z54">
        <v>0.3</v>
      </c>
      <c r="AA54">
        <v>-0.22</v>
      </c>
      <c r="AB54">
        <v>0.33</v>
      </c>
      <c r="AC54">
        <v>0.2</v>
      </c>
      <c r="AD54">
        <v>0</v>
      </c>
      <c r="AE54">
        <v>0.22</v>
      </c>
      <c r="AF54">
        <v>0.55000000000000004</v>
      </c>
      <c r="AG54">
        <v>0.42</v>
      </c>
      <c r="AI54">
        <v>0.4</v>
      </c>
      <c r="AJ54">
        <v>-0.05</v>
      </c>
      <c r="AK54">
        <v>0.12</v>
      </c>
      <c r="AL54">
        <v>0.37</v>
      </c>
      <c r="AM54">
        <v>0.15</v>
      </c>
      <c r="AN54">
        <v>3</v>
      </c>
      <c r="AP54" s="20"/>
      <c r="AQ54" s="18" t="s">
        <v>258</v>
      </c>
      <c r="AR54" s="19" t="s">
        <v>117</v>
      </c>
      <c r="AS54" s="19">
        <v>0.22</v>
      </c>
      <c r="AT54" s="19">
        <v>-0.23</v>
      </c>
      <c r="AU54" s="19">
        <v>0.25</v>
      </c>
      <c r="AV54" s="24">
        <v>0.17</v>
      </c>
      <c r="AW54" s="24">
        <v>0.18</v>
      </c>
      <c r="AX54" s="24">
        <v>-0.28000000000000003</v>
      </c>
      <c r="AY54" s="24">
        <v>0.32</v>
      </c>
      <c r="AZ54" s="24">
        <v>0.24</v>
      </c>
      <c r="BA54" s="24">
        <v>0.25</v>
      </c>
      <c r="BB54" s="19">
        <v>-0.05</v>
      </c>
    </row>
    <row r="55" spans="1:54" x14ac:dyDescent="0.2">
      <c r="X55" s="9" t="s">
        <v>121</v>
      </c>
      <c r="Y55" s="9" t="s">
        <v>171</v>
      </c>
      <c r="Z55">
        <v>0.1</v>
      </c>
      <c r="AA55">
        <v>0</v>
      </c>
      <c r="AB55">
        <v>-0.22</v>
      </c>
      <c r="AC55">
        <v>0.33</v>
      </c>
      <c r="AD55">
        <v>0.44</v>
      </c>
      <c r="AE55">
        <v>-0.33</v>
      </c>
      <c r="AF55">
        <v>-0.55000000000000004</v>
      </c>
      <c r="AG55">
        <v>0.12</v>
      </c>
      <c r="AI55">
        <v>0.11</v>
      </c>
      <c r="AJ55">
        <v>0.17</v>
      </c>
      <c r="AK55">
        <v>-0.13</v>
      </c>
      <c r="AL55">
        <v>0.41</v>
      </c>
      <c r="AM55">
        <v>0.4</v>
      </c>
      <c r="AN55">
        <v>4</v>
      </c>
      <c r="AP55" s="18"/>
      <c r="AQ55" s="20"/>
      <c r="AR55" s="8" t="s">
        <v>119</v>
      </c>
      <c r="AS55" s="8">
        <v>0.66</v>
      </c>
      <c r="AT55" s="8">
        <v>0.2</v>
      </c>
      <c r="AU55" s="8">
        <v>0.62</v>
      </c>
      <c r="AV55" s="23">
        <v>0.54</v>
      </c>
      <c r="AW55" s="23">
        <v>0.38</v>
      </c>
      <c r="AX55" s="23">
        <v>0.27</v>
      </c>
      <c r="AY55" s="23">
        <v>0.75</v>
      </c>
      <c r="AZ55" s="23">
        <v>0.64</v>
      </c>
      <c r="BA55" s="23">
        <v>0.55000000000000004</v>
      </c>
      <c r="BB55" s="8">
        <v>0.48</v>
      </c>
    </row>
    <row r="56" spans="1:54" x14ac:dyDescent="0.2">
      <c r="X56" s="9" t="s">
        <v>117</v>
      </c>
      <c r="Y56" s="9" t="s">
        <v>164</v>
      </c>
      <c r="Z56">
        <v>0.5</v>
      </c>
      <c r="AA56">
        <v>0.88</v>
      </c>
      <c r="AB56">
        <v>1</v>
      </c>
      <c r="AC56">
        <v>1.1000000000000001</v>
      </c>
      <c r="AD56">
        <v>1.42</v>
      </c>
      <c r="AE56">
        <v>0.7</v>
      </c>
      <c r="AF56">
        <v>0.22</v>
      </c>
      <c r="AG56">
        <v>0.32</v>
      </c>
      <c r="AH56">
        <v>0.12</v>
      </c>
      <c r="AI56">
        <v>0.06</v>
      </c>
      <c r="AJ56">
        <v>0.52</v>
      </c>
      <c r="AK56">
        <v>7.0000000000000007E-2</v>
      </c>
      <c r="AL56">
        <v>0.47</v>
      </c>
      <c r="AM56">
        <v>0.34</v>
      </c>
      <c r="AN56">
        <v>1</v>
      </c>
      <c r="AP56" s="20"/>
      <c r="AQ56" s="18"/>
      <c r="AR56" s="19" t="s">
        <v>120</v>
      </c>
      <c r="AS56" s="19">
        <v>0.49</v>
      </c>
      <c r="AT56" s="19">
        <v>0.13</v>
      </c>
      <c r="AU56" s="19">
        <v>0.54</v>
      </c>
      <c r="AV56" s="24">
        <v>0.45</v>
      </c>
      <c r="AW56" s="24">
        <v>0.35</v>
      </c>
      <c r="AX56" s="24">
        <v>0.15</v>
      </c>
      <c r="AY56" s="24">
        <v>0.63</v>
      </c>
      <c r="AZ56" s="24">
        <v>0.54</v>
      </c>
      <c r="BA56" s="24">
        <v>0.42</v>
      </c>
      <c r="BB56" s="19">
        <v>0.26</v>
      </c>
    </row>
    <row r="57" spans="1:54" x14ac:dyDescent="0.2">
      <c r="X57" s="9" t="s">
        <v>119</v>
      </c>
      <c r="Y57" s="9" t="s">
        <v>164</v>
      </c>
      <c r="Z57">
        <v>0.9</v>
      </c>
      <c r="AA57">
        <v>0.66</v>
      </c>
      <c r="AB57">
        <v>0.77</v>
      </c>
      <c r="AC57">
        <v>0.33</v>
      </c>
      <c r="AD57">
        <v>0.44</v>
      </c>
      <c r="AE57">
        <v>0.77</v>
      </c>
      <c r="AF57">
        <v>0.8</v>
      </c>
      <c r="AG57">
        <v>0.75</v>
      </c>
      <c r="AH57">
        <v>0.64</v>
      </c>
      <c r="AI57">
        <v>0.8</v>
      </c>
      <c r="AJ57">
        <v>0.84</v>
      </c>
      <c r="AK57">
        <v>1.3</v>
      </c>
      <c r="AL57">
        <v>0.28000000000000003</v>
      </c>
      <c r="AM57">
        <v>0.14000000000000001</v>
      </c>
      <c r="AN57">
        <v>2</v>
      </c>
      <c r="AP57" s="18"/>
      <c r="AQ57" s="20"/>
      <c r="AR57" s="8" t="s">
        <v>121</v>
      </c>
      <c r="AS57" s="8">
        <v>0.27</v>
      </c>
      <c r="AT57" s="8">
        <v>-0.8</v>
      </c>
      <c r="AU57" s="8">
        <v>0.22</v>
      </c>
      <c r="AV57" s="23">
        <v>0.09</v>
      </c>
      <c r="AW57" s="23">
        <v>0.12</v>
      </c>
      <c r="AX57" s="23">
        <v>0.02</v>
      </c>
      <c r="AY57" s="23">
        <v>0.25</v>
      </c>
      <c r="AZ57" s="23">
        <v>0.18</v>
      </c>
      <c r="BA57" s="23">
        <v>0.12</v>
      </c>
      <c r="BB57" s="8">
        <v>0.03</v>
      </c>
    </row>
    <row r="58" spans="1:54" x14ac:dyDescent="0.2">
      <c r="X58" s="9" t="s">
        <v>120</v>
      </c>
      <c r="Y58" s="9" t="s">
        <v>164</v>
      </c>
      <c r="Z58">
        <v>0.7</v>
      </c>
      <c r="AA58">
        <v>0.8</v>
      </c>
      <c r="AB58">
        <v>0.6</v>
      </c>
      <c r="AC58">
        <v>0.55000000000000004</v>
      </c>
      <c r="AD58">
        <v>0.6</v>
      </c>
      <c r="AE58">
        <v>0.88</v>
      </c>
      <c r="AF58">
        <v>0.66</v>
      </c>
      <c r="AG58">
        <v>0.63</v>
      </c>
      <c r="AH58">
        <v>0.56999999999999995</v>
      </c>
      <c r="AI58">
        <v>0.57999999999999996</v>
      </c>
      <c r="AJ58">
        <v>0.54</v>
      </c>
      <c r="AK58">
        <v>0.77</v>
      </c>
      <c r="AL58">
        <v>0.4</v>
      </c>
      <c r="AM58">
        <v>0.13</v>
      </c>
      <c r="AN58">
        <v>3</v>
      </c>
      <c r="AP58" s="20"/>
      <c r="AQ58" s="18" t="s">
        <v>259</v>
      </c>
      <c r="AR58" s="19" t="s">
        <v>117</v>
      </c>
      <c r="AS58" s="19">
        <v>0.22</v>
      </c>
      <c r="AT58" s="19">
        <v>-0.44</v>
      </c>
      <c r="AU58" s="19">
        <v>0.2</v>
      </c>
      <c r="AV58" s="24">
        <v>0.21</v>
      </c>
      <c r="AW58" s="24">
        <v>0.18</v>
      </c>
      <c r="AX58" s="24">
        <v>0.01</v>
      </c>
      <c r="AY58" s="24">
        <v>0.12</v>
      </c>
      <c r="AZ58" s="24">
        <v>0.09</v>
      </c>
      <c r="BA58" s="24" t="s">
        <v>181</v>
      </c>
      <c r="BB58" s="19" t="s">
        <v>181</v>
      </c>
    </row>
    <row r="59" spans="1:54" x14ac:dyDescent="0.2">
      <c r="X59" s="9" t="s">
        <v>121</v>
      </c>
      <c r="Y59" s="9" t="s">
        <v>164</v>
      </c>
      <c r="Z59">
        <v>0.4</v>
      </c>
      <c r="AA59">
        <v>0.82</v>
      </c>
      <c r="AB59">
        <v>0.16</v>
      </c>
      <c r="AC59">
        <v>0.49</v>
      </c>
      <c r="AD59">
        <v>0.77</v>
      </c>
      <c r="AE59">
        <v>0.22</v>
      </c>
      <c r="AF59">
        <v>0.33</v>
      </c>
      <c r="AG59">
        <v>0.25</v>
      </c>
      <c r="AH59">
        <v>0.26</v>
      </c>
      <c r="AI59">
        <v>0.21</v>
      </c>
      <c r="AJ59">
        <v>0.25</v>
      </c>
      <c r="AK59">
        <v>0.02</v>
      </c>
      <c r="AL59">
        <v>0.28999999999999998</v>
      </c>
      <c r="AM59">
        <v>0.13</v>
      </c>
      <c r="AN59">
        <v>4</v>
      </c>
      <c r="AP59" s="18"/>
      <c r="AQ59" s="20"/>
      <c r="AR59" s="8" t="s">
        <v>119</v>
      </c>
      <c r="AS59" s="8">
        <v>0.66</v>
      </c>
      <c r="AT59" s="8">
        <v>0.22</v>
      </c>
      <c r="AU59" s="8">
        <v>0.68</v>
      </c>
      <c r="AV59" s="23">
        <v>0.22</v>
      </c>
      <c r="AW59" s="23">
        <v>0.24</v>
      </c>
      <c r="AX59" s="23">
        <v>0.25</v>
      </c>
      <c r="AY59" s="23">
        <v>0.64</v>
      </c>
      <c r="AZ59" s="23">
        <v>0.37</v>
      </c>
      <c r="BA59" s="23" t="s">
        <v>181</v>
      </c>
      <c r="BB59" s="8" t="s">
        <v>181</v>
      </c>
    </row>
    <row r="60" spans="1:54" x14ac:dyDescent="0.2">
      <c r="X60" s="9" t="s">
        <v>117</v>
      </c>
      <c r="Y60" s="9" t="s">
        <v>176</v>
      </c>
      <c r="Z60">
        <v>0.4</v>
      </c>
      <c r="AA60">
        <v>0.22</v>
      </c>
      <c r="AB60">
        <v>0.5</v>
      </c>
      <c r="AC60">
        <v>0.77</v>
      </c>
      <c r="AD60">
        <v>1.1000000000000001</v>
      </c>
      <c r="AE60">
        <v>-0.22</v>
      </c>
      <c r="AF60">
        <v>-0.55000000000000004</v>
      </c>
      <c r="AG60">
        <v>-0.05</v>
      </c>
      <c r="AJ60">
        <v>0.6</v>
      </c>
      <c r="AK60">
        <v>0</v>
      </c>
      <c r="AL60">
        <v>0.13</v>
      </c>
      <c r="AM60">
        <v>0.52</v>
      </c>
      <c r="AN60">
        <v>1</v>
      </c>
      <c r="AP60" s="20"/>
      <c r="AQ60" s="18"/>
      <c r="AR60" s="19" t="s">
        <v>120</v>
      </c>
      <c r="AS60" s="19">
        <v>0.49</v>
      </c>
      <c r="AT60" s="19">
        <v>0.05</v>
      </c>
      <c r="AU60" s="19">
        <v>0.64</v>
      </c>
      <c r="AV60" s="24">
        <v>0.25</v>
      </c>
      <c r="AW60" s="24">
        <v>0.28999999999999998</v>
      </c>
      <c r="AX60" s="24">
        <v>0.12</v>
      </c>
      <c r="AY60" s="24">
        <v>0.56999999999999995</v>
      </c>
      <c r="AZ60" s="24">
        <v>0.49</v>
      </c>
      <c r="BA60" s="24" t="s">
        <v>181</v>
      </c>
      <c r="BB60" s="19" t="s">
        <v>181</v>
      </c>
    </row>
    <row r="61" spans="1:54" x14ac:dyDescent="0.2">
      <c r="A61" t="s">
        <v>110</v>
      </c>
      <c r="B61" t="s">
        <v>232</v>
      </c>
      <c r="C61" t="s">
        <v>113</v>
      </c>
      <c r="D61" t="s">
        <v>112</v>
      </c>
      <c r="E61" t="s">
        <v>116</v>
      </c>
      <c r="F61" t="s">
        <v>117</v>
      </c>
      <c r="H61">
        <v>91.25</v>
      </c>
      <c r="I61">
        <v>50</v>
      </c>
      <c r="J61">
        <v>0</v>
      </c>
      <c r="K61">
        <v>0</v>
      </c>
      <c r="L61">
        <v>0</v>
      </c>
      <c r="N61" s="32" cm="1">
        <f t="array" ref="N61:N100">_xlfn.DROP(_xlfn.XLOOKUP($C61,TableW[[#Headers],[ACT/NSW]:[QLD - Low]],TableW[[#All],[ACT/NSW]:[QLD - Low]]),1)</f>
        <v>80</v>
      </c>
      <c r="P61" cm="1">
        <f t="array" ref="P61:P100">_xlfn.DROP(_xlfn.XLOOKUP($C61,TableLWG[[#Headers],[ACT/NSW]:[QLD - Low]],TableLWG[[#All],[ACT/NSW]:[QLD - Low]]),1)</f>
        <v>0.5</v>
      </c>
      <c r="Q61">
        <f>(J61 * $AD$4 + K61*$AD$5) + (1 - J61 )</f>
        <v>1</v>
      </c>
      <c r="S61">
        <f>(1.185 + 0.00454 * N61- 0.0000026 * N61^2 + 0.315 * P61 )^2 * Q61</f>
        <v>2.8529236835999998</v>
      </c>
      <c r="T61">
        <f>20.7 * S61 * 10^-3</f>
        <v>5.9055520250520001E-2</v>
      </c>
      <c r="U61">
        <f>H61*T61*I61</f>
        <v>269.44081114299752</v>
      </c>
      <c r="V61">
        <f>SUM(U61:U100)/1000</f>
        <v>49.157894155502696</v>
      </c>
      <c r="X61" s="9" t="s">
        <v>119</v>
      </c>
      <c r="Y61" s="9" t="s">
        <v>176</v>
      </c>
      <c r="Z61">
        <v>0.4</v>
      </c>
      <c r="AA61">
        <v>0</v>
      </c>
      <c r="AB61">
        <v>0.5</v>
      </c>
      <c r="AC61">
        <v>0.11</v>
      </c>
      <c r="AD61">
        <v>-0.11</v>
      </c>
      <c r="AE61">
        <v>0.33</v>
      </c>
      <c r="AF61">
        <v>0.55000000000000004</v>
      </c>
      <c r="AG61">
        <v>0.48</v>
      </c>
      <c r="AJ61">
        <v>0.17</v>
      </c>
      <c r="AK61">
        <v>0.38</v>
      </c>
      <c r="AL61">
        <v>0.4</v>
      </c>
      <c r="AM61">
        <v>0.43</v>
      </c>
      <c r="AN61">
        <v>2</v>
      </c>
      <c r="AP61" s="18"/>
      <c r="AQ61" s="20"/>
      <c r="AR61" s="8" t="s">
        <v>121</v>
      </c>
      <c r="AS61" s="8">
        <v>0.27</v>
      </c>
      <c r="AT61" s="8">
        <v>-0.27</v>
      </c>
      <c r="AU61" s="8">
        <v>0.31</v>
      </c>
      <c r="AV61" s="23">
        <v>0.28999999999999998</v>
      </c>
      <c r="AW61" s="23">
        <v>0.19</v>
      </c>
      <c r="AX61" s="23">
        <v>0.04</v>
      </c>
      <c r="AY61" s="23">
        <v>0.26</v>
      </c>
      <c r="AZ61" s="23">
        <v>0.28000000000000003</v>
      </c>
      <c r="BA61" s="23" t="s">
        <v>181</v>
      </c>
      <c r="BB61" s="8" t="s">
        <v>181</v>
      </c>
    </row>
    <row r="62" spans="1:54" x14ac:dyDescent="0.2">
      <c r="E62">
        <v>1</v>
      </c>
      <c r="F62" t="s">
        <v>119</v>
      </c>
      <c r="H62">
        <v>91.25</v>
      </c>
      <c r="I62">
        <v>100</v>
      </c>
      <c r="J62">
        <v>0</v>
      </c>
      <c r="K62">
        <v>0</v>
      </c>
      <c r="L62">
        <v>0</v>
      </c>
      <c r="N62">
        <v>170</v>
      </c>
      <c r="P62">
        <v>1</v>
      </c>
      <c r="Q62">
        <f t="shared" ref="Q62:Q100" si="3">(J62 * $AD$4 + K62*$AD$5) + (1 - J62 )</f>
        <v>1</v>
      </c>
      <c r="S62">
        <f t="shared" ref="S62:S100" si="4">(1.185 + 0.00454 * N62- 0.0000026 * N62^2 + 0.315 * P62 )^2 * Q62</f>
        <v>4.8253151556000002</v>
      </c>
      <c r="T62">
        <f t="shared" ref="T62:T100" si="5">20.7 * S62 * 10^-3</f>
        <v>9.9884023720920007E-2</v>
      </c>
      <c r="U62">
        <f>H62*T62*I62</f>
        <v>911.44171645339509</v>
      </c>
      <c r="X62" s="9" t="s">
        <v>120</v>
      </c>
      <c r="Y62" s="9" t="s">
        <v>176</v>
      </c>
      <c r="Z62">
        <v>0.3</v>
      </c>
      <c r="AA62">
        <v>-0.22</v>
      </c>
      <c r="AB62">
        <v>0.33</v>
      </c>
      <c r="AC62">
        <v>0.2</v>
      </c>
      <c r="AD62">
        <v>0</v>
      </c>
      <c r="AE62">
        <v>0.22</v>
      </c>
      <c r="AF62">
        <v>0.55000000000000004</v>
      </c>
      <c r="AG62">
        <v>0.26</v>
      </c>
      <c r="AJ62">
        <v>0.32</v>
      </c>
      <c r="AK62">
        <v>0.74</v>
      </c>
      <c r="AL62">
        <v>-0.01</v>
      </c>
      <c r="AM62">
        <v>0.21</v>
      </c>
      <c r="AN62">
        <v>3</v>
      </c>
      <c r="AP62" s="20"/>
      <c r="AQ62" s="18" t="s">
        <v>260</v>
      </c>
      <c r="AR62" s="19" t="s">
        <v>117</v>
      </c>
      <c r="AS62" s="19">
        <v>0.22</v>
      </c>
      <c r="AT62" s="19">
        <v>-0.44</v>
      </c>
      <c r="AU62" s="19">
        <v>0</v>
      </c>
      <c r="AV62" s="24">
        <v>0.15</v>
      </c>
      <c r="AW62" s="24">
        <v>0.08</v>
      </c>
      <c r="AX62" s="24">
        <v>0.17</v>
      </c>
      <c r="AY62" s="24">
        <v>0.06</v>
      </c>
      <c r="AZ62" s="24">
        <v>0.02</v>
      </c>
      <c r="BA62" s="24">
        <v>-0.14000000000000001</v>
      </c>
      <c r="BB62" s="19" t="s">
        <v>181</v>
      </c>
    </row>
    <row r="63" spans="1:54" x14ac:dyDescent="0.2">
      <c r="F63" t="s">
        <v>120</v>
      </c>
      <c r="H63">
        <v>91.25</v>
      </c>
      <c r="I63">
        <v>80</v>
      </c>
      <c r="J63">
        <v>0</v>
      </c>
      <c r="K63">
        <v>0</v>
      </c>
      <c r="L63">
        <v>0</v>
      </c>
      <c r="N63">
        <v>240</v>
      </c>
      <c r="P63">
        <v>0.8</v>
      </c>
      <c r="Q63">
        <f t="shared" si="3"/>
        <v>1</v>
      </c>
      <c r="S63">
        <f t="shared" si="4"/>
        <v>5.6493683855999981</v>
      </c>
      <c r="T63">
        <f t="shared" si="5"/>
        <v>0.11694192558191996</v>
      </c>
      <c r="U63">
        <f>H63*T63*I63</f>
        <v>853.67605674801564</v>
      </c>
      <c r="X63" s="9" t="s">
        <v>121</v>
      </c>
      <c r="Y63" s="9" t="s">
        <v>176</v>
      </c>
      <c r="Z63">
        <v>0.1</v>
      </c>
      <c r="AA63">
        <v>0</v>
      </c>
      <c r="AB63">
        <v>-0.22</v>
      </c>
      <c r="AC63">
        <v>0.33</v>
      </c>
      <c r="AD63">
        <v>0.44</v>
      </c>
      <c r="AE63">
        <v>-0.33</v>
      </c>
      <c r="AF63">
        <v>-0.55000000000000004</v>
      </c>
      <c r="AG63">
        <v>0.03</v>
      </c>
      <c r="AJ63">
        <v>0.43</v>
      </c>
      <c r="AK63">
        <v>0</v>
      </c>
      <c r="AL63">
        <v>-0.15</v>
      </c>
      <c r="AM63">
        <v>0.33</v>
      </c>
      <c r="AN63">
        <v>4</v>
      </c>
      <c r="AP63" s="18"/>
      <c r="AQ63" s="20"/>
      <c r="AR63" s="8" t="s">
        <v>119</v>
      </c>
      <c r="AS63" s="8">
        <v>0.66</v>
      </c>
      <c r="AT63" s="8">
        <v>0.22</v>
      </c>
      <c r="AU63" s="8">
        <v>0.79</v>
      </c>
      <c r="AV63" s="23">
        <v>0.4</v>
      </c>
      <c r="AW63" s="23">
        <v>0.38</v>
      </c>
      <c r="AX63" s="23">
        <v>0.27</v>
      </c>
      <c r="AY63" s="23">
        <v>0.8</v>
      </c>
      <c r="AZ63" s="23">
        <v>0.16</v>
      </c>
      <c r="BA63" s="23">
        <v>0.3</v>
      </c>
      <c r="BB63" s="8" t="s">
        <v>181</v>
      </c>
    </row>
    <row r="64" spans="1:54" x14ac:dyDescent="0.2">
      <c r="F64" t="s">
        <v>121</v>
      </c>
      <c r="H64">
        <v>91.25</v>
      </c>
      <c r="I64">
        <v>70</v>
      </c>
      <c r="J64">
        <v>0</v>
      </c>
      <c r="K64">
        <v>0</v>
      </c>
      <c r="L64">
        <v>0</v>
      </c>
      <c r="N64">
        <v>280</v>
      </c>
      <c r="P64">
        <v>0.4</v>
      </c>
      <c r="Q64">
        <f t="shared" si="3"/>
        <v>1</v>
      </c>
      <c r="S64">
        <f t="shared" si="4"/>
        <v>5.6565962895999995</v>
      </c>
      <c r="T64">
        <f t="shared" si="5"/>
        <v>0.11709154319472</v>
      </c>
      <c r="U64">
        <f>H64*T64*I64</f>
        <v>747.92223215627394</v>
      </c>
      <c r="AP64" s="20"/>
      <c r="AQ64" s="18"/>
      <c r="AR64" s="19" t="s">
        <v>120</v>
      </c>
      <c r="AS64" s="19">
        <v>0.49</v>
      </c>
      <c r="AT64" s="19">
        <v>0.05</v>
      </c>
      <c r="AU64" s="19">
        <v>0.55000000000000004</v>
      </c>
      <c r="AV64" s="24">
        <v>0.38</v>
      </c>
      <c r="AW64" s="24">
        <v>0.36</v>
      </c>
      <c r="AX64" s="24">
        <v>0.06</v>
      </c>
      <c r="AY64" s="24">
        <v>0.57999999999999996</v>
      </c>
      <c r="AZ64" s="24">
        <v>0.23</v>
      </c>
      <c r="BA64" s="24">
        <v>0.4</v>
      </c>
      <c r="BB64" s="19" t="s">
        <v>181</v>
      </c>
    </row>
    <row r="65" spans="5:54" x14ac:dyDescent="0.2">
      <c r="E65" t="s">
        <v>122</v>
      </c>
      <c r="F65" t="s">
        <v>117</v>
      </c>
      <c r="H65">
        <v>91.25</v>
      </c>
      <c r="I65">
        <v>20</v>
      </c>
      <c r="J65">
        <v>0</v>
      </c>
      <c r="K65">
        <v>0</v>
      </c>
      <c r="L65">
        <v>0</v>
      </c>
      <c r="N65">
        <v>480</v>
      </c>
      <c r="P65">
        <v>0.2</v>
      </c>
      <c r="Q65">
        <f t="shared" si="3"/>
        <v>1</v>
      </c>
      <c r="S65">
        <f t="shared" si="4"/>
        <v>7.9984889855999999</v>
      </c>
      <c r="T65">
        <f t="shared" si="5"/>
        <v>0.16556872200191999</v>
      </c>
      <c r="U65">
        <f>H65*T65*I65</f>
        <v>302.162917653504</v>
      </c>
      <c r="AP65" s="18"/>
      <c r="AQ65" s="20"/>
      <c r="AR65" s="8" t="s">
        <v>121</v>
      </c>
      <c r="AS65" s="8">
        <v>0.27</v>
      </c>
      <c r="AT65" s="8">
        <v>-0.27</v>
      </c>
      <c r="AU65" s="8">
        <v>0.02</v>
      </c>
      <c r="AV65" s="8">
        <v>0.09</v>
      </c>
      <c r="AW65" s="8">
        <v>0.16</v>
      </c>
      <c r="AX65" s="8">
        <v>-0.04</v>
      </c>
      <c r="AY65" s="8">
        <v>0.21</v>
      </c>
      <c r="AZ65" s="8">
        <v>0.03</v>
      </c>
      <c r="BA65" s="8">
        <v>0.11</v>
      </c>
      <c r="BB65" s="8" t="s">
        <v>181</v>
      </c>
    </row>
    <row r="66" spans="5:54" x14ac:dyDescent="0.2">
      <c r="E66">
        <v>2</v>
      </c>
      <c r="F66" t="s">
        <v>119</v>
      </c>
      <c r="H66">
        <v>91.25</v>
      </c>
      <c r="I66">
        <v>80</v>
      </c>
      <c r="J66">
        <v>0</v>
      </c>
      <c r="K66">
        <v>0</v>
      </c>
      <c r="L66">
        <v>0</v>
      </c>
      <c r="N66">
        <v>520</v>
      </c>
      <c r="P66">
        <v>0.4</v>
      </c>
      <c r="Q66">
        <f t="shared" si="3"/>
        <v>1</v>
      </c>
      <c r="S66">
        <f t="shared" si="4"/>
        <v>8.8135359375999975</v>
      </c>
      <c r="T66">
        <f t="shared" si="5"/>
        <v>0.18244019390831995</v>
      </c>
      <c r="U66">
        <f>H66*T66*I66</f>
        <v>1331.8134155307357</v>
      </c>
      <c r="AP66" s="20"/>
      <c r="AQ66" s="18" t="s">
        <v>261</v>
      </c>
      <c r="AR66" s="19" t="s">
        <v>117</v>
      </c>
      <c r="AS66" s="19">
        <v>0.27</v>
      </c>
      <c r="AT66" s="19">
        <v>-0.19</v>
      </c>
      <c r="AU66" s="19">
        <v>0.38</v>
      </c>
      <c r="AV66" s="25">
        <v>0.25</v>
      </c>
      <c r="AW66" s="19">
        <v>7.0000000000000007E-2</v>
      </c>
      <c r="AX66" s="19">
        <v>0.05</v>
      </c>
      <c r="AY66" s="19">
        <v>0.52</v>
      </c>
      <c r="AZ66" s="19">
        <v>0.55000000000000004</v>
      </c>
      <c r="BA66" s="19">
        <v>0.19</v>
      </c>
      <c r="BB66" s="19">
        <v>0.6</v>
      </c>
    </row>
    <row r="67" spans="5:54" x14ac:dyDescent="0.2">
      <c r="F67" t="s">
        <v>120</v>
      </c>
      <c r="H67">
        <v>91.25</v>
      </c>
      <c r="I67">
        <v>70</v>
      </c>
      <c r="J67">
        <v>0</v>
      </c>
      <c r="K67">
        <v>0</v>
      </c>
      <c r="L67">
        <v>0</v>
      </c>
      <c r="N67">
        <v>550</v>
      </c>
      <c r="P67">
        <v>0.3</v>
      </c>
      <c r="Q67">
        <f t="shared" si="3"/>
        <v>1</v>
      </c>
      <c r="S67">
        <f t="shared" si="4"/>
        <v>8.940100000000001</v>
      </c>
      <c r="T67">
        <f t="shared" si="5"/>
        <v>0.18506007000000002</v>
      </c>
      <c r="U67">
        <f>H67*T67*I67</f>
        <v>1182.0711971250003</v>
      </c>
      <c r="AP67" s="18"/>
      <c r="AQ67" s="20"/>
      <c r="AR67" s="8" t="s">
        <v>119</v>
      </c>
      <c r="AS67" s="8">
        <v>0.16</v>
      </c>
      <c r="AT67" s="8">
        <v>0.16</v>
      </c>
      <c r="AU67" s="8">
        <v>0.8</v>
      </c>
      <c r="AV67" s="8">
        <v>0.56999999999999995</v>
      </c>
      <c r="AW67" s="8">
        <v>0.76</v>
      </c>
      <c r="AX67" s="8">
        <v>0.49</v>
      </c>
      <c r="AY67" s="8">
        <v>0.84</v>
      </c>
      <c r="AZ67" s="8">
        <v>0.51</v>
      </c>
      <c r="BA67" s="8">
        <v>0.36</v>
      </c>
      <c r="BB67" s="8">
        <v>0.17</v>
      </c>
    </row>
    <row r="68" spans="5:54" x14ac:dyDescent="0.2">
      <c r="F68" t="s">
        <v>121</v>
      </c>
      <c r="H68">
        <v>91.25</v>
      </c>
      <c r="I68">
        <v>60</v>
      </c>
      <c r="J68">
        <v>0</v>
      </c>
      <c r="K68">
        <v>0</v>
      </c>
      <c r="L68">
        <v>0</v>
      </c>
      <c r="N68">
        <v>560</v>
      </c>
      <c r="P68">
        <v>0.1</v>
      </c>
      <c r="Q68">
        <f t="shared" si="3"/>
        <v>1</v>
      </c>
      <c r="S68">
        <f t="shared" si="4"/>
        <v>8.6644277315999982</v>
      </c>
      <c r="T68">
        <f t="shared" si="5"/>
        <v>0.17935365404411996</v>
      </c>
      <c r="U68">
        <f>H68*T68*I68</f>
        <v>981.96125589155668</v>
      </c>
      <c r="AP68" s="20"/>
      <c r="AQ68" s="18"/>
      <c r="AR68" s="19" t="s">
        <v>120</v>
      </c>
      <c r="AS68" s="19">
        <v>0.45</v>
      </c>
      <c r="AT68" s="19">
        <v>0.1</v>
      </c>
      <c r="AU68" s="19">
        <v>0.49</v>
      </c>
      <c r="AV68" s="24">
        <v>0.41</v>
      </c>
      <c r="AW68" s="19">
        <v>0.4</v>
      </c>
      <c r="AX68" s="19">
        <v>0.17</v>
      </c>
      <c r="AY68" s="19">
        <v>0.54</v>
      </c>
      <c r="AZ68" s="19">
        <v>0.64</v>
      </c>
      <c r="BA68" s="19">
        <v>-0.05</v>
      </c>
      <c r="BB68" s="19">
        <v>0.32</v>
      </c>
    </row>
    <row r="69" spans="5:54" x14ac:dyDescent="0.2">
      <c r="E69" t="s">
        <v>141</v>
      </c>
      <c r="F69" t="s">
        <v>117</v>
      </c>
      <c r="H69">
        <v>91.25</v>
      </c>
      <c r="I69">
        <v>100</v>
      </c>
      <c r="J69">
        <v>0</v>
      </c>
      <c r="K69">
        <v>0</v>
      </c>
      <c r="L69">
        <v>0</v>
      </c>
      <c r="N69">
        <v>300</v>
      </c>
      <c r="P69">
        <v>0.4</v>
      </c>
      <c r="Q69">
        <f t="shared" si="3"/>
        <v>1</v>
      </c>
      <c r="S69">
        <f t="shared" si="4"/>
        <v>5.9487209999999981</v>
      </c>
      <c r="T69">
        <f t="shared" si="5"/>
        <v>0.12313852469999996</v>
      </c>
      <c r="U69">
        <f>H69*T69*I69</f>
        <v>1123.6390378874996</v>
      </c>
      <c r="AP69" s="18"/>
      <c r="AQ69" s="20"/>
      <c r="AR69" s="8" t="s">
        <v>121</v>
      </c>
      <c r="AS69" s="8">
        <v>0.51</v>
      </c>
      <c r="AT69" s="8">
        <v>-7.0000000000000007E-2</v>
      </c>
      <c r="AU69" s="8">
        <v>0.13</v>
      </c>
      <c r="AV69" s="23">
        <v>-0.09</v>
      </c>
      <c r="AW69" s="8">
        <v>-0.13</v>
      </c>
      <c r="AX69" s="8">
        <v>7.0000000000000007E-2</v>
      </c>
      <c r="AY69" s="8">
        <v>0.25</v>
      </c>
      <c r="AZ69" s="8">
        <v>0.71</v>
      </c>
      <c r="BA69" s="8">
        <v>0.17</v>
      </c>
      <c r="BB69" s="8">
        <v>0.43</v>
      </c>
    </row>
    <row r="70" spans="5:54" x14ac:dyDescent="0.2">
      <c r="E70">
        <v>3</v>
      </c>
      <c r="F70" t="s">
        <v>119</v>
      </c>
      <c r="H70">
        <v>91.25</v>
      </c>
      <c r="I70">
        <v>180</v>
      </c>
      <c r="J70">
        <v>0</v>
      </c>
      <c r="K70">
        <v>0</v>
      </c>
      <c r="L70">
        <v>0</v>
      </c>
      <c r="N70">
        <v>360</v>
      </c>
      <c r="P70">
        <v>0.7</v>
      </c>
      <c r="Q70">
        <f t="shared" si="3"/>
        <v>1</v>
      </c>
      <c r="S70">
        <f t="shared" si="4"/>
        <v>7.3058846435999998</v>
      </c>
      <c r="T70">
        <f t="shared" si="5"/>
        <v>0.15123181212251999</v>
      </c>
      <c r="U70">
        <f>H70*T70*I70</f>
        <v>2483.9825141123911</v>
      </c>
      <c r="AP70" s="20"/>
      <c r="AQ70" s="18" t="s">
        <v>262</v>
      </c>
      <c r="AR70" s="19" t="s">
        <v>117</v>
      </c>
      <c r="AS70" s="19">
        <v>-0.12</v>
      </c>
      <c r="AT70" s="19">
        <v>-0.19</v>
      </c>
      <c r="AU70" s="19">
        <v>0.41</v>
      </c>
      <c r="AV70" s="19">
        <v>0.09</v>
      </c>
      <c r="AW70" s="19">
        <v>0.41</v>
      </c>
      <c r="AX70" s="19">
        <v>-0.19</v>
      </c>
      <c r="AY70" s="19">
        <v>7.0000000000000007E-2</v>
      </c>
      <c r="AZ70" s="19">
        <v>1.07</v>
      </c>
      <c r="BA70" s="19">
        <v>-0.08</v>
      </c>
      <c r="BB70" s="19">
        <v>0</v>
      </c>
    </row>
    <row r="71" spans="5:54" x14ac:dyDescent="0.2">
      <c r="F71" t="s">
        <v>120</v>
      </c>
      <c r="H71">
        <v>91.25</v>
      </c>
      <c r="I71">
        <v>170</v>
      </c>
      <c r="J71">
        <v>0</v>
      </c>
      <c r="K71">
        <v>0</v>
      </c>
      <c r="L71">
        <v>0</v>
      </c>
      <c r="N71">
        <v>390</v>
      </c>
      <c r="P71">
        <v>0.3</v>
      </c>
      <c r="Q71">
        <f t="shared" si="3"/>
        <v>1</v>
      </c>
      <c r="S71">
        <f t="shared" si="4"/>
        <v>7.0471135296000007</v>
      </c>
      <c r="T71">
        <f t="shared" si="5"/>
        <v>0.14587525006272001</v>
      </c>
      <c r="U71">
        <f>H71*T71*I71</f>
        <v>2262.889816597944</v>
      </c>
      <c r="AP71" s="18"/>
      <c r="AQ71" s="20"/>
      <c r="AR71" s="8" t="s">
        <v>119</v>
      </c>
      <c r="AS71" s="8">
        <v>0.65</v>
      </c>
      <c r="AT71" s="8">
        <v>0.19</v>
      </c>
      <c r="AU71" s="8">
        <v>0.65</v>
      </c>
      <c r="AV71" s="8">
        <v>0.51</v>
      </c>
      <c r="AW71" s="8">
        <v>0.18</v>
      </c>
      <c r="AX71" s="8">
        <v>0.63</v>
      </c>
      <c r="AY71" s="8">
        <v>1.3</v>
      </c>
      <c r="AZ71" s="8">
        <v>0.48</v>
      </c>
      <c r="BA71" s="8">
        <v>1.1200000000000001</v>
      </c>
      <c r="BB71" s="8">
        <v>0.38</v>
      </c>
    </row>
    <row r="72" spans="5:54" x14ac:dyDescent="0.2">
      <c r="F72" t="s">
        <v>121</v>
      </c>
      <c r="H72">
        <v>91.25</v>
      </c>
      <c r="I72">
        <v>160</v>
      </c>
      <c r="J72">
        <v>0</v>
      </c>
      <c r="K72">
        <v>0</v>
      </c>
      <c r="L72">
        <v>0</v>
      </c>
      <c r="N72">
        <v>410</v>
      </c>
      <c r="P72">
        <v>0.2</v>
      </c>
      <c r="Q72">
        <f t="shared" si="3"/>
        <v>1</v>
      </c>
      <c r="S72">
        <f t="shared" si="4"/>
        <v>7.1414010756000028</v>
      </c>
      <c r="T72">
        <f t="shared" si="5"/>
        <v>0.14782700226492007</v>
      </c>
      <c r="U72">
        <f>H72*T72*I72</f>
        <v>2158.2742330678329</v>
      </c>
      <c r="AP72" s="20"/>
      <c r="AQ72" s="18"/>
      <c r="AR72" s="19" t="s">
        <v>120</v>
      </c>
      <c r="AS72" s="19">
        <v>0.7</v>
      </c>
      <c r="AT72" s="19">
        <v>0.13</v>
      </c>
      <c r="AU72" s="19">
        <v>0.52</v>
      </c>
      <c r="AV72" s="19">
        <v>0.34</v>
      </c>
      <c r="AW72" s="19">
        <v>0.02</v>
      </c>
      <c r="AX72" s="19">
        <v>0.04</v>
      </c>
      <c r="AY72" s="19">
        <v>0.77</v>
      </c>
      <c r="AZ72" s="19">
        <v>0.42</v>
      </c>
      <c r="BA72" s="19">
        <v>0.12</v>
      </c>
      <c r="BB72" s="19">
        <v>0.74</v>
      </c>
    </row>
    <row r="73" spans="5:54" x14ac:dyDescent="0.2">
      <c r="E73" t="s">
        <v>146</v>
      </c>
      <c r="F73" t="s">
        <v>117</v>
      </c>
      <c r="H73">
        <v>91.25</v>
      </c>
      <c r="I73">
        <v>150</v>
      </c>
      <c r="J73">
        <v>0.7</v>
      </c>
      <c r="K73">
        <v>0</v>
      </c>
      <c r="L73">
        <f>$AC$12</f>
        <v>1.3</v>
      </c>
      <c r="N73">
        <v>440</v>
      </c>
      <c r="P73">
        <v>0.3</v>
      </c>
      <c r="Q73">
        <f t="shared" si="3"/>
        <v>1.21</v>
      </c>
      <c r="S73">
        <f t="shared" si="4"/>
        <v>9.309296640996001</v>
      </c>
      <c r="T73">
        <f t="shared" si="5"/>
        <v>0.19270244046861723</v>
      </c>
      <c r="U73">
        <f>H73*T73*I73</f>
        <v>2637.6146539141982</v>
      </c>
      <c r="AP73" s="18"/>
      <c r="AQ73" s="20"/>
      <c r="AR73" s="8" t="s">
        <v>121</v>
      </c>
      <c r="AS73" s="8">
        <v>0.32</v>
      </c>
      <c r="AT73" s="8">
        <v>-0.06</v>
      </c>
      <c r="AU73" s="8">
        <v>0.25</v>
      </c>
      <c r="AV73" s="8">
        <v>0.19</v>
      </c>
      <c r="AW73" s="8">
        <v>-0.1</v>
      </c>
      <c r="AX73" s="8">
        <v>-0.02</v>
      </c>
      <c r="AY73" s="8">
        <v>0.02</v>
      </c>
      <c r="AZ73" s="8">
        <v>0.23</v>
      </c>
      <c r="BA73" s="8">
        <v>-0.13</v>
      </c>
      <c r="BB73" s="8">
        <v>0</v>
      </c>
    </row>
    <row r="74" spans="5:54" x14ac:dyDescent="0.2">
      <c r="E74">
        <v>4</v>
      </c>
      <c r="F74" t="s">
        <v>119</v>
      </c>
      <c r="H74">
        <v>91.25</v>
      </c>
      <c r="I74">
        <v>250</v>
      </c>
      <c r="J74">
        <v>0</v>
      </c>
      <c r="K74">
        <v>0</v>
      </c>
      <c r="L74">
        <f>$AC$13</f>
        <v>1.1000000000000001</v>
      </c>
      <c r="N74">
        <v>470</v>
      </c>
      <c r="P74">
        <v>0.3</v>
      </c>
      <c r="Q74">
        <f t="shared" si="3"/>
        <v>1</v>
      </c>
      <c r="S74">
        <f t="shared" si="4"/>
        <v>8.0596938816000012</v>
      </c>
      <c r="T74">
        <f t="shared" si="5"/>
        <v>0.16683566334912001</v>
      </c>
      <c r="U74">
        <f>H74*T74*I74</f>
        <v>3805.9385701518004</v>
      </c>
      <c r="AP74" s="20"/>
      <c r="AQ74" s="18" t="s">
        <v>263</v>
      </c>
      <c r="AR74" s="19" t="s">
        <v>117</v>
      </c>
      <c r="AS74" s="19">
        <v>0.62</v>
      </c>
      <c r="AT74" s="19">
        <v>-0.19</v>
      </c>
      <c r="AU74" s="19">
        <v>0.37</v>
      </c>
      <c r="AV74" s="19">
        <v>0.41</v>
      </c>
      <c r="AW74" s="19">
        <v>0.06</v>
      </c>
      <c r="AX74" s="19">
        <v>-0.02</v>
      </c>
      <c r="AY74" s="19">
        <v>0.47</v>
      </c>
      <c r="AZ74" s="19">
        <v>0.44</v>
      </c>
      <c r="BA74" s="19">
        <v>0.3</v>
      </c>
      <c r="BB74" s="19">
        <v>0.13</v>
      </c>
    </row>
    <row r="75" spans="5:54" x14ac:dyDescent="0.2">
      <c r="F75" t="s">
        <v>120</v>
      </c>
      <c r="H75">
        <v>91.25</v>
      </c>
      <c r="I75">
        <v>240</v>
      </c>
      <c r="J75">
        <v>0</v>
      </c>
      <c r="K75">
        <v>0</v>
      </c>
      <c r="L75">
        <f>$AC$14</f>
        <v>0</v>
      </c>
      <c r="N75">
        <v>490</v>
      </c>
      <c r="P75">
        <v>0.2</v>
      </c>
      <c r="Q75">
        <f t="shared" si="3"/>
        <v>1</v>
      </c>
      <c r="S75">
        <f t="shared" si="4"/>
        <v>8.1130407556000002</v>
      </c>
      <c r="T75">
        <f t="shared" si="5"/>
        <v>0.16793994364092002</v>
      </c>
      <c r="U75">
        <f>H75*T75*I75</f>
        <v>3677.8847657361484</v>
      </c>
      <c r="AP75" s="18"/>
      <c r="AQ75" s="20"/>
      <c r="AR75" s="8" t="s">
        <v>119</v>
      </c>
      <c r="AS75" s="8">
        <v>0.05</v>
      </c>
      <c r="AT75" s="8">
        <v>0.19</v>
      </c>
      <c r="AU75" s="8">
        <v>0.31</v>
      </c>
      <c r="AV75" s="8">
        <v>0.54</v>
      </c>
      <c r="AW75" s="8">
        <v>0.53</v>
      </c>
      <c r="AX75" s="8">
        <v>0.15</v>
      </c>
      <c r="AY75" s="8">
        <v>0.28000000000000003</v>
      </c>
      <c r="AZ75" s="8">
        <v>0.56999999999999995</v>
      </c>
      <c r="BA75" s="8">
        <v>0.42</v>
      </c>
      <c r="BB75" s="8">
        <v>0.4</v>
      </c>
    </row>
    <row r="76" spans="5:54" x14ac:dyDescent="0.2">
      <c r="F76" t="s">
        <v>121</v>
      </c>
      <c r="H76">
        <v>91.25</v>
      </c>
      <c r="I76">
        <v>200</v>
      </c>
      <c r="J76">
        <v>0.1</v>
      </c>
      <c r="K76">
        <v>0</v>
      </c>
      <c r="L76">
        <f>$AC$14</f>
        <v>0</v>
      </c>
      <c r="N76">
        <v>500</v>
      </c>
      <c r="P76">
        <v>0.1</v>
      </c>
      <c r="Q76">
        <f t="shared" si="3"/>
        <v>1.03</v>
      </c>
      <c r="S76">
        <f t="shared" si="4"/>
        <v>8.2871042175000014</v>
      </c>
      <c r="T76">
        <f t="shared" si="5"/>
        <v>0.17154305730225003</v>
      </c>
      <c r="U76">
        <f>H76*T76*I76</f>
        <v>3130.6607957660631</v>
      </c>
      <c r="AP76" s="20"/>
      <c r="AQ76" s="18"/>
      <c r="AR76" s="19" t="s">
        <v>120</v>
      </c>
      <c r="AS76" s="19">
        <v>0.33</v>
      </c>
      <c r="AT76" s="19">
        <v>0.13</v>
      </c>
      <c r="AU76" s="19">
        <v>0.39</v>
      </c>
      <c r="AV76" s="19">
        <v>0.36</v>
      </c>
      <c r="AW76" s="19">
        <v>0.26</v>
      </c>
      <c r="AX76" s="19">
        <v>0.11</v>
      </c>
      <c r="AY76" s="19">
        <v>0.4</v>
      </c>
      <c r="AZ76" s="19">
        <v>0.44</v>
      </c>
      <c r="BA76" s="19">
        <v>0.37</v>
      </c>
      <c r="BB76" s="19">
        <v>-0.01</v>
      </c>
    </row>
    <row r="77" spans="5:54" x14ac:dyDescent="0.2">
      <c r="E77" t="s">
        <v>152</v>
      </c>
      <c r="F77" t="s">
        <v>117</v>
      </c>
      <c r="H77">
        <v>91.25</v>
      </c>
      <c r="I77">
        <v>100</v>
      </c>
      <c r="J77">
        <v>0.8</v>
      </c>
      <c r="K77">
        <v>0.05</v>
      </c>
      <c r="L77">
        <f>$AC$12</f>
        <v>1.3</v>
      </c>
      <c r="N77">
        <v>75</v>
      </c>
      <c r="P77">
        <v>0.5</v>
      </c>
      <c r="Q77">
        <f t="shared" si="3"/>
        <v>1.2949999999999999</v>
      </c>
      <c r="S77">
        <f t="shared" si="4"/>
        <v>3.6046003071093744</v>
      </c>
      <c r="T77">
        <f t="shared" si="5"/>
        <v>7.4615226357164055E-2</v>
      </c>
      <c r="U77">
        <f>H77*T77*I77</f>
        <v>680.86394050912202</v>
      </c>
      <c r="AP77" s="18"/>
      <c r="AQ77" s="20"/>
      <c r="AR77" s="8" t="s">
        <v>121</v>
      </c>
      <c r="AS77" s="8">
        <v>0.61</v>
      </c>
      <c r="AT77" s="8">
        <v>-0.06</v>
      </c>
      <c r="AU77" s="8">
        <v>0.21</v>
      </c>
      <c r="AV77" s="8">
        <v>0.18</v>
      </c>
      <c r="AW77" s="8">
        <v>0.12</v>
      </c>
      <c r="AX77" s="8">
        <v>0.06</v>
      </c>
      <c r="AY77" s="8">
        <v>0.28999999999999998</v>
      </c>
      <c r="AZ77" s="8">
        <v>0.41</v>
      </c>
      <c r="BA77" s="8">
        <v>0.41</v>
      </c>
      <c r="BB77" s="8">
        <v>-0.15</v>
      </c>
    </row>
    <row r="78" spans="5:54" x14ac:dyDescent="0.2">
      <c r="E78" t="s">
        <v>235</v>
      </c>
      <c r="F78" t="s">
        <v>119</v>
      </c>
      <c r="H78">
        <v>91.25</v>
      </c>
      <c r="I78">
        <v>190</v>
      </c>
      <c r="J78">
        <v>0</v>
      </c>
      <c r="K78">
        <v>0.78</v>
      </c>
      <c r="L78">
        <f>$AC$13</f>
        <v>1.1000000000000001</v>
      </c>
      <c r="N78">
        <v>160</v>
      </c>
      <c r="P78">
        <v>0.9</v>
      </c>
      <c r="Q78">
        <f t="shared" si="3"/>
        <v>1.8580000000000001</v>
      </c>
      <c r="S78">
        <f t="shared" si="4"/>
        <v>8.4164262871047999</v>
      </c>
      <c r="T78">
        <f t="shared" si="5"/>
        <v>0.17422002414306934</v>
      </c>
      <c r="U78">
        <f>H78*T78*I78</f>
        <v>3020.5396685804644</v>
      </c>
      <c r="AP78" s="20"/>
      <c r="AQ78" s="18" t="s">
        <v>264</v>
      </c>
      <c r="AR78" s="19" t="s">
        <v>117</v>
      </c>
      <c r="AS78" s="19">
        <v>-0.2</v>
      </c>
      <c r="AT78" s="19">
        <v>0.02</v>
      </c>
      <c r="AU78" s="19">
        <v>0.24</v>
      </c>
      <c r="AV78" s="19">
        <v>0.3</v>
      </c>
      <c r="AW78" s="19">
        <v>0.23</v>
      </c>
      <c r="AX78" s="19">
        <v>-0.05</v>
      </c>
      <c r="AY78" s="19">
        <v>0.34</v>
      </c>
      <c r="AZ78" s="19">
        <v>0.3</v>
      </c>
      <c r="BA78" s="19">
        <v>0.56999999999999995</v>
      </c>
      <c r="BB78" s="19">
        <v>0.52</v>
      </c>
    </row>
    <row r="79" spans="5:54" x14ac:dyDescent="0.2">
      <c r="F79" t="s">
        <v>120</v>
      </c>
      <c r="H79">
        <v>91.25</v>
      </c>
      <c r="I79">
        <v>195</v>
      </c>
      <c r="J79">
        <v>0</v>
      </c>
      <c r="K79">
        <v>0</v>
      </c>
      <c r="L79">
        <f>$AC$14</f>
        <v>0</v>
      </c>
      <c r="N79">
        <v>220</v>
      </c>
      <c r="P79">
        <v>0.7</v>
      </c>
      <c r="Q79">
        <f t="shared" si="3"/>
        <v>1</v>
      </c>
      <c r="S79">
        <f t="shared" si="4"/>
        <v>5.1913799715999973</v>
      </c>
      <c r="T79">
        <f t="shared" si="5"/>
        <v>0.10746156541211994</v>
      </c>
      <c r="U79">
        <f>H79*T79*I79</f>
        <v>1912.1442295519091</v>
      </c>
      <c r="AP79" s="18"/>
      <c r="AQ79" s="20"/>
      <c r="AR79" s="8" t="s">
        <v>119</v>
      </c>
      <c r="AS79" s="8">
        <v>0.62</v>
      </c>
      <c r="AT79" s="8">
        <v>0.21</v>
      </c>
      <c r="AU79" s="8">
        <v>0.25</v>
      </c>
      <c r="AV79" s="8">
        <v>0.32</v>
      </c>
      <c r="AW79" s="8">
        <v>0.47</v>
      </c>
      <c r="AX79" s="8">
        <v>0.31</v>
      </c>
      <c r="AY79" s="8">
        <v>0.14000000000000001</v>
      </c>
      <c r="AZ79" s="8">
        <v>0.4</v>
      </c>
      <c r="BA79" s="8">
        <v>0.26</v>
      </c>
      <c r="BB79" s="8">
        <v>0.43</v>
      </c>
    </row>
    <row r="80" spans="5:54" x14ac:dyDescent="0.2">
      <c r="F80" t="s">
        <v>121</v>
      </c>
      <c r="H80">
        <v>91.25</v>
      </c>
      <c r="I80">
        <v>200</v>
      </c>
      <c r="J80">
        <v>0.1</v>
      </c>
      <c r="K80">
        <v>0</v>
      </c>
      <c r="L80">
        <f>$AC$14</f>
        <v>0</v>
      </c>
      <c r="N80">
        <v>260</v>
      </c>
      <c r="P80">
        <v>0.4</v>
      </c>
      <c r="Q80">
        <f t="shared" si="3"/>
        <v>1.03</v>
      </c>
      <c r="S80">
        <f t="shared" si="4"/>
        <v>5.5230542678880008</v>
      </c>
      <c r="T80">
        <f t="shared" si="5"/>
        <v>0.11432722334528161</v>
      </c>
      <c r="U80">
        <f>H80*T80*I80</f>
        <v>2086.4718260513891</v>
      </c>
      <c r="AP80" s="20"/>
      <c r="AQ80" s="18"/>
      <c r="AR80" s="19" t="s">
        <v>120</v>
      </c>
      <c r="AS80" s="19">
        <v>0.4</v>
      </c>
      <c r="AT80" s="19">
        <v>0.13</v>
      </c>
      <c r="AU80" s="19">
        <v>0.12</v>
      </c>
      <c r="AV80" s="19">
        <v>0.27</v>
      </c>
      <c r="AW80" s="19">
        <v>0.3</v>
      </c>
      <c r="AX80" s="19">
        <v>0.08</v>
      </c>
      <c r="AY80" s="19">
        <v>0.13</v>
      </c>
      <c r="AZ80" s="19">
        <v>0.24</v>
      </c>
      <c r="BA80" s="19">
        <v>0.15</v>
      </c>
      <c r="BB80" s="19">
        <v>0.21</v>
      </c>
    </row>
    <row r="81" spans="5:54" x14ac:dyDescent="0.2">
      <c r="E81" t="s">
        <v>156</v>
      </c>
      <c r="F81" t="s">
        <v>117</v>
      </c>
      <c r="H81">
        <v>91.25</v>
      </c>
      <c r="I81">
        <v>50</v>
      </c>
      <c r="J81">
        <v>0.9</v>
      </c>
      <c r="K81">
        <v>0.05</v>
      </c>
      <c r="L81">
        <f>$AC$12</f>
        <v>1.3</v>
      </c>
      <c r="N81">
        <v>440</v>
      </c>
      <c r="P81">
        <v>0.3</v>
      </c>
      <c r="Q81">
        <f t="shared" si="3"/>
        <v>1.3250000000000002</v>
      </c>
      <c r="S81">
        <f t="shared" si="4"/>
        <v>10.194064503570003</v>
      </c>
      <c r="T81">
        <f t="shared" si="5"/>
        <v>0.21101713522389906</v>
      </c>
      <c r="U81">
        <f>H81*T81*I81</f>
        <v>962.76567945903957</v>
      </c>
      <c r="AQ81" s="20"/>
      <c r="AR81" s="8" t="s">
        <v>121</v>
      </c>
      <c r="AS81" s="8">
        <v>0.08</v>
      </c>
      <c r="AT81" s="8">
        <v>0.04</v>
      </c>
      <c r="AU81" s="8">
        <v>0.06</v>
      </c>
      <c r="AV81" s="8">
        <v>0.18</v>
      </c>
      <c r="AW81" s="8">
        <v>0.11</v>
      </c>
      <c r="AX81" s="8">
        <v>-7.0000000000000007E-2</v>
      </c>
      <c r="AY81" s="8">
        <v>0.13</v>
      </c>
      <c r="AZ81" s="8">
        <v>0.16</v>
      </c>
      <c r="BA81" s="8">
        <v>0.4</v>
      </c>
      <c r="BB81" s="8">
        <v>0.33</v>
      </c>
    </row>
    <row r="82" spans="5:54" x14ac:dyDescent="0.2">
      <c r="E82" t="s">
        <v>236</v>
      </c>
      <c r="F82" t="s">
        <v>119</v>
      </c>
      <c r="H82">
        <v>91.25</v>
      </c>
      <c r="I82">
        <v>100</v>
      </c>
      <c r="J82">
        <v>0</v>
      </c>
      <c r="K82">
        <v>0.9</v>
      </c>
      <c r="L82">
        <f>$AC$13</f>
        <v>1.1000000000000001</v>
      </c>
      <c r="N82">
        <v>470</v>
      </c>
      <c r="P82">
        <v>0.3</v>
      </c>
      <c r="Q82">
        <f t="shared" si="3"/>
        <v>1.9900000000000002</v>
      </c>
      <c r="S82">
        <f t="shared" si="4"/>
        <v>16.038790824384005</v>
      </c>
      <c r="T82">
        <f t="shared" si="5"/>
        <v>0.33200297006474894</v>
      </c>
      <c r="U82">
        <f>H82*T82*I82</f>
        <v>3029.5271018408339</v>
      </c>
    </row>
    <row r="83" spans="5:54" x14ac:dyDescent="0.2">
      <c r="F83" t="s">
        <v>120</v>
      </c>
      <c r="H83">
        <v>91.25</v>
      </c>
      <c r="I83">
        <v>90</v>
      </c>
      <c r="J83">
        <v>0</v>
      </c>
      <c r="K83">
        <v>0</v>
      </c>
      <c r="L83">
        <f>$AC$14</f>
        <v>0</v>
      </c>
      <c r="N83">
        <v>490</v>
      </c>
      <c r="P83">
        <v>0.2</v>
      </c>
      <c r="Q83">
        <f t="shared" si="3"/>
        <v>1</v>
      </c>
      <c r="S83">
        <f t="shared" si="4"/>
        <v>8.1130407556000002</v>
      </c>
      <c r="T83">
        <f t="shared" si="5"/>
        <v>0.16793994364092002</v>
      </c>
      <c r="U83">
        <f>H83*T83*I83</f>
        <v>1379.2067871510558</v>
      </c>
    </row>
    <row r="84" spans="5:54" x14ac:dyDescent="0.2">
      <c r="F84" t="s">
        <v>121</v>
      </c>
      <c r="H84">
        <v>91.25</v>
      </c>
      <c r="I84">
        <v>80</v>
      </c>
      <c r="J84">
        <v>0</v>
      </c>
      <c r="K84">
        <v>0</v>
      </c>
      <c r="L84">
        <f>$AC$14</f>
        <v>0</v>
      </c>
      <c r="N84">
        <v>500</v>
      </c>
      <c r="P84">
        <v>0.1</v>
      </c>
      <c r="Q84">
        <f t="shared" si="3"/>
        <v>1</v>
      </c>
      <c r="S84">
        <f t="shared" si="4"/>
        <v>8.0457322500000004</v>
      </c>
      <c r="T84">
        <f t="shared" si="5"/>
        <v>0.16654665757500001</v>
      </c>
      <c r="U84">
        <f>H84*T84*I84</f>
        <v>1215.7906002975001</v>
      </c>
    </row>
    <row r="85" spans="5:54" x14ac:dyDescent="0.2">
      <c r="E85" t="s">
        <v>164</v>
      </c>
      <c r="F85" t="s">
        <v>117</v>
      </c>
      <c r="H85">
        <v>91.25</v>
      </c>
      <c r="I85">
        <v>30</v>
      </c>
      <c r="J85">
        <v>0</v>
      </c>
      <c r="K85">
        <v>0</v>
      </c>
      <c r="L85">
        <v>0</v>
      </c>
      <c r="N85">
        <v>380</v>
      </c>
      <c r="P85">
        <v>0.4</v>
      </c>
      <c r="Q85">
        <f t="shared" si="3"/>
        <v>1</v>
      </c>
      <c r="S85">
        <f t="shared" si="4"/>
        <v>7.0796437775999967</v>
      </c>
      <c r="T85">
        <f t="shared" si="5"/>
        <v>0.14654862619631992</v>
      </c>
      <c r="U85">
        <f>H85*T85*I85</f>
        <v>401.17686421242576</v>
      </c>
    </row>
    <row r="86" spans="5:54" x14ac:dyDescent="0.2">
      <c r="E86">
        <v>6</v>
      </c>
      <c r="F86" t="s">
        <v>119</v>
      </c>
      <c r="H86">
        <v>91.25</v>
      </c>
      <c r="I86">
        <v>70</v>
      </c>
      <c r="J86">
        <v>0</v>
      </c>
      <c r="K86">
        <v>0</v>
      </c>
      <c r="L86">
        <v>0</v>
      </c>
      <c r="N86">
        <v>420</v>
      </c>
      <c r="P86">
        <v>0.4</v>
      </c>
      <c r="Q86">
        <f t="shared" si="3"/>
        <v>1</v>
      </c>
      <c r="S86">
        <f t="shared" si="4"/>
        <v>7.6129639056</v>
      </c>
      <c r="T86">
        <f t="shared" si="5"/>
        <v>0.15758835284591999</v>
      </c>
      <c r="U86">
        <f>H86*T86*I86</f>
        <v>1006.5956038033139</v>
      </c>
    </row>
    <row r="87" spans="5:54" ht="17" thickBot="1" x14ac:dyDescent="0.25">
      <c r="F87" t="s">
        <v>120</v>
      </c>
      <c r="H87">
        <v>91.25</v>
      </c>
      <c r="I87">
        <v>40</v>
      </c>
      <c r="J87">
        <v>0</v>
      </c>
      <c r="K87">
        <v>0</v>
      </c>
      <c r="L87">
        <v>0</v>
      </c>
      <c r="N87">
        <v>450</v>
      </c>
      <c r="P87">
        <v>0.3</v>
      </c>
      <c r="Q87">
        <f t="shared" si="3"/>
        <v>1</v>
      </c>
      <c r="S87">
        <f t="shared" si="4"/>
        <v>7.8176159999999992</v>
      </c>
      <c r="T87">
        <f t="shared" si="5"/>
        <v>0.16182465119999997</v>
      </c>
      <c r="U87">
        <f>H87*T87*I87</f>
        <v>590.65997687999993</v>
      </c>
      <c r="AS87" s="2" t="s">
        <v>173</v>
      </c>
      <c r="AT87" s="2" t="s">
        <v>173</v>
      </c>
      <c r="AU87" s="2" t="s">
        <v>174</v>
      </c>
      <c r="AV87" s="2" t="s">
        <v>174</v>
      </c>
      <c r="AW87" s="2" t="s">
        <v>174</v>
      </c>
      <c r="AX87" s="2" t="s">
        <v>174</v>
      </c>
      <c r="AY87" s="2" t="s">
        <v>175</v>
      </c>
      <c r="AZ87" s="2" t="s">
        <v>175</v>
      </c>
      <c r="BA87" s="2" t="s">
        <v>175</v>
      </c>
      <c r="BB87" s="2" t="s">
        <v>175</v>
      </c>
    </row>
    <row r="88" spans="5:54" ht="18" thickTop="1" thickBot="1" x14ac:dyDescent="0.25">
      <c r="F88" t="s">
        <v>121</v>
      </c>
      <c r="H88">
        <v>91.25</v>
      </c>
      <c r="I88">
        <v>20</v>
      </c>
      <c r="J88">
        <v>0</v>
      </c>
      <c r="K88">
        <v>0</v>
      </c>
      <c r="L88">
        <v>0</v>
      </c>
      <c r="N88">
        <v>460</v>
      </c>
      <c r="P88">
        <v>0.1</v>
      </c>
      <c r="Q88">
        <f t="shared" si="3"/>
        <v>1</v>
      </c>
      <c r="S88">
        <f t="shared" si="4"/>
        <v>7.5885924675999998</v>
      </c>
      <c r="T88">
        <f t="shared" si="5"/>
        <v>0.15708386407931998</v>
      </c>
      <c r="U88">
        <f>H88*T88*I88</f>
        <v>286.67805194475898</v>
      </c>
      <c r="AQ88" s="30" t="s">
        <v>242</v>
      </c>
      <c r="AR88" t="s">
        <v>243</v>
      </c>
      <c r="AS88" s="2" t="s">
        <v>244</v>
      </c>
      <c r="AT88" s="2" t="s">
        <v>245</v>
      </c>
      <c r="AU88" s="2" t="s">
        <v>246</v>
      </c>
      <c r="AV88" s="3" t="s">
        <v>247</v>
      </c>
      <c r="AW88" s="2" t="s">
        <v>248</v>
      </c>
      <c r="AX88" s="2" t="s">
        <v>249</v>
      </c>
      <c r="AY88" s="2" t="s">
        <v>250</v>
      </c>
      <c r="AZ88" s="2" t="s">
        <v>251</v>
      </c>
      <c r="BA88" s="2" t="s">
        <v>252</v>
      </c>
      <c r="BB88" s="2" t="s">
        <v>253</v>
      </c>
    </row>
    <row r="89" spans="5:54" ht="17" thickTop="1" x14ac:dyDescent="0.2">
      <c r="E89" t="s">
        <v>169</v>
      </c>
      <c r="F89" t="s">
        <v>117</v>
      </c>
      <c r="H89">
        <v>91.25</v>
      </c>
      <c r="I89">
        <v>30</v>
      </c>
      <c r="J89">
        <v>0</v>
      </c>
      <c r="K89">
        <v>0</v>
      </c>
      <c r="L89">
        <v>0</v>
      </c>
      <c r="N89">
        <v>380</v>
      </c>
      <c r="P89">
        <v>0.4</v>
      </c>
      <c r="Q89">
        <f t="shared" si="3"/>
        <v>1</v>
      </c>
      <c r="S89">
        <f t="shared" si="4"/>
        <v>7.0796437775999967</v>
      </c>
      <c r="T89">
        <f t="shared" si="5"/>
        <v>0.14654862619631992</v>
      </c>
      <c r="U89">
        <f>H89*T89*I89</f>
        <v>401.17686421242576</v>
      </c>
      <c r="X89" t="s">
        <v>130</v>
      </c>
      <c r="Y89" t="s">
        <v>265</v>
      </c>
      <c r="Z89" t="s">
        <v>113</v>
      </c>
      <c r="AA89" t="s">
        <v>133</v>
      </c>
      <c r="AB89" t="s">
        <v>134</v>
      </c>
      <c r="AC89" t="s">
        <v>135</v>
      </c>
      <c r="AD89" t="s">
        <v>255</v>
      </c>
      <c r="AE89" t="s">
        <v>256</v>
      </c>
      <c r="AF89" t="s">
        <v>257</v>
      </c>
      <c r="AG89" t="s">
        <v>258</v>
      </c>
      <c r="AH89" t="s">
        <v>259</v>
      </c>
      <c r="AI89" t="s">
        <v>260</v>
      </c>
      <c r="AJ89" t="s">
        <v>261</v>
      </c>
      <c r="AK89" t="s">
        <v>262</v>
      </c>
      <c r="AL89" t="s">
        <v>263</v>
      </c>
      <c r="AM89" t="s">
        <v>264</v>
      </c>
      <c r="AN89" t="s">
        <v>266</v>
      </c>
      <c r="AP89" t="s">
        <v>113</v>
      </c>
      <c r="AQ89" s="30" t="s">
        <v>241</v>
      </c>
      <c r="AR89" t="s">
        <v>130</v>
      </c>
      <c r="AS89" s="2" t="s">
        <v>116</v>
      </c>
      <c r="AT89" s="2" t="s">
        <v>122</v>
      </c>
      <c r="AU89" s="2" t="s">
        <v>141</v>
      </c>
      <c r="AV89" s="3" t="s">
        <v>146</v>
      </c>
      <c r="AW89" s="2" t="s">
        <v>152</v>
      </c>
      <c r="AX89" s="2" t="s">
        <v>156</v>
      </c>
      <c r="AY89" s="2" t="s">
        <v>164</v>
      </c>
      <c r="AZ89" s="2" t="s">
        <v>169</v>
      </c>
      <c r="BA89" s="2" t="s">
        <v>171</v>
      </c>
      <c r="BB89" s="2" t="s">
        <v>176</v>
      </c>
    </row>
    <row r="90" spans="5:54" x14ac:dyDescent="0.2">
      <c r="E90" t="s">
        <v>237</v>
      </c>
      <c r="F90" t="s">
        <v>119</v>
      </c>
      <c r="H90">
        <v>91.25</v>
      </c>
      <c r="I90">
        <v>100</v>
      </c>
      <c r="J90">
        <v>0</v>
      </c>
      <c r="K90">
        <v>0</v>
      </c>
      <c r="L90">
        <v>0</v>
      </c>
      <c r="N90">
        <v>420</v>
      </c>
      <c r="P90">
        <v>0.4</v>
      </c>
      <c r="Q90">
        <f t="shared" si="3"/>
        <v>1</v>
      </c>
      <c r="S90">
        <f t="shared" si="4"/>
        <v>7.6129639056</v>
      </c>
      <c r="T90">
        <f t="shared" si="5"/>
        <v>0.15758835284591999</v>
      </c>
      <c r="U90">
        <f>H90*T90*I90</f>
        <v>1437.9937197190197</v>
      </c>
      <c r="X90" s="9" t="s">
        <v>117</v>
      </c>
      <c r="Y90" s="9" t="s">
        <v>116</v>
      </c>
      <c r="Z90">
        <v>80</v>
      </c>
      <c r="AA90">
        <v>250</v>
      </c>
      <c r="AB90">
        <v>105</v>
      </c>
      <c r="AC90">
        <v>250</v>
      </c>
      <c r="AD90">
        <v>340</v>
      </c>
      <c r="AE90">
        <v>80</v>
      </c>
      <c r="AF90">
        <v>220</v>
      </c>
      <c r="AG90">
        <v>220</v>
      </c>
      <c r="AH90">
        <v>220</v>
      </c>
      <c r="AI90">
        <v>220</v>
      </c>
      <c r="AJ90">
        <v>260</v>
      </c>
      <c r="AK90">
        <v>230</v>
      </c>
      <c r="AL90">
        <v>236</v>
      </c>
      <c r="AM90">
        <v>190</v>
      </c>
      <c r="AN90">
        <v>1</v>
      </c>
      <c r="AQ90" s="6" t="s">
        <v>113</v>
      </c>
      <c r="AR90" s="4" t="s">
        <v>117</v>
      </c>
      <c r="AS90" s="4">
        <v>80</v>
      </c>
      <c r="AT90" s="4">
        <v>480</v>
      </c>
      <c r="AU90" s="4">
        <v>75</v>
      </c>
      <c r="AV90" s="4">
        <v>300</v>
      </c>
      <c r="AW90" s="4">
        <v>440</v>
      </c>
      <c r="AX90" s="4">
        <v>440</v>
      </c>
      <c r="AY90" s="4">
        <v>75</v>
      </c>
      <c r="AZ90">
        <v>380</v>
      </c>
      <c r="BA90">
        <v>380</v>
      </c>
      <c r="BB90">
        <v>380</v>
      </c>
    </row>
    <row r="91" spans="5:54" x14ac:dyDescent="0.2">
      <c r="F91" t="s">
        <v>120</v>
      </c>
      <c r="H91">
        <v>91.25</v>
      </c>
      <c r="I91">
        <v>40</v>
      </c>
      <c r="J91">
        <v>0</v>
      </c>
      <c r="K91">
        <v>0</v>
      </c>
      <c r="L91">
        <v>0</v>
      </c>
      <c r="N91">
        <v>450</v>
      </c>
      <c r="P91">
        <v>0.3</v>
      </c>
      <c r="Q91">
        <f t="shared" si="3"/>
        <v>1</v>
      </c>
      <c r="S91">
        <f t="shared" si="4"/>
        <v>7.8176159999999992</v>
      </c>
      <c r="T91">
        <f t="shared" si="5"/>
        <v>0.16182465119999997</v>
      </c>
      <c r="U91">
        <f>H91*T91*I91</f>
        <v>590.65997687999993</v>
      </c>
      <c r="X91" s="9" t="s">
        <v>119</v>
      </c>
      <c r="Y91" s="9" t="s">
        <v>116</v>
      </c>
      <c r="Z91">
        <v>170</v>
      </c>
      <c r="AA91">
        <v>320</v>
      </c>
      <c r="AB91">
        <v>480</v>
      </c>
      <c r="AC91">
        <v>280</v>
      </c>
      <c r="AD91">
        <v>380</v>
      </c>
      <c r="AE91">
        <v>150</v>
      </c>
      <c r="AF91">
        <v>110</v>
      </c>
      <c r="AG91">
        <v>110</v>
      </c>
      <c r="AH91">
        <v>110</v>
      </c>
      <c r="AI91">
        <v>110</v>
      </c>
      <c r="AJ91">
        <v>153</v>
      </c>
      <c r="AK91">
        <v>113</v>
      </c>
      <c r="AL91">
        <v>120</v>
      </c>
      <c r="AM91">
        <v>119</v>
      </c>
      <c r="AN91">
        <v>2</v>
      </c>
      <c r="AQ91" s="5"/>
      <c r="AR91" s="4" t="s">
        <v>119</v>
      </c>
      <c r="AS91" s="4">
        <v>170</v>
      </c>
      <c r="AT91" s="4">
        <v>520</v>
      </c>
      <c r="AU91" s="4">
        <v>160</v>
      </c>
      <c r="AV91" s="4">
        <v>360</v>
      </c>
      <c r="AW91">
        <v>470</v>
      </c>
      <c r="AX91">
        <v>470</v>
      </c>
      <c r="AY91">
        <v>160</v>
      </c>
      <c r="AZ91">
        <v>420</v>
      </c>
      <c r="BA91">
        <v>420</v>
      </c>
      <c r="BB91">
        <v>420</v>
      </c>
    </row>
    <row r="92" spans="5:54" x14ac:dyDescent="0.2">
      <c r="F92" t="s">
        <v>121</v>
      </c>
      <c r="H92">
        <v>91.25</v>
      </c>
      <c r="I92">
        <v>0</v>
      </c>
      <c r="J92">
        <v>0</v>
      </c>
      <c r="K92">
        <v>0</v>
      </c>
      <c r="L92">
        <v>0</v>
      </c>
      <c r="N92">
        <v>460</v>
      </c>
      <c r="P92">
        <v>0.1</v>
      </c>
      <c r="Q92">
        <f t="shared" si="3"/>
        <v>1</v>
      </c>
      <c r="S92">
        <f t="shared" si="4"/>
        <v>7.5885924675999998</v>
      </c>
      <c r="T92">
        <f t="shared" si="5"/>
        <v>0.15708386407931998</v>
      </c>
      <c r="U92">
        <f>H92*T92*I92</f>
        <v>0</v>
      </c>
      <c r="X92" s="9" t="s">
        <v>120</v>
      </c>
      <c r="Y92" s="9" t="s">
        <v>116</v>
      </c>
      <c r="Z92">
        <v>240</v>
      </c>
      <c r="AA92">
        <v>80</v>
      </c>
      <c r="AB92">
        <v>250</v>
      </c>
      <c r="AC92">
        <v>100</v>
      </c>
      <c r="AD92">
        <v>100</v>
      </c>
      <c r="AE92">
        <v>230</v>
      </c>
      <c r="AF92">
        <v>170</v>
      </c>
      <c r="AG92">
        <v>170</v>
      </c>
      <c r="AH92">
        <v>170</v>
      </c>
      <c r="AI92">
        <v>170</v>
      </c>
      <c r="AJ92">
        <v>168</v>
      </c>
      <c r="AK92">
        <v>172</v>
      </c>
      <c r="AL92">
        <v>125</v>
      </c>
      <c r="AM92">
        <v>175</v>
      </c>
      <c r="AN92">
        <v>3</v>
      </c>
      <c r="AQ92" s="6"/>
      <c r="AR92" s="4" t="s">
        <v>120</v>
      </c>
      <c r="AS92" s="4">
        <v>240</v>
      </c>
      <c r="AT92" s="4">
        <v>550</v>
      </c>
      <c r="AU92" s="4">
        <v>220</v>
      </c>
      <c r="AV92" s="4">
        <v>390</v>
      </c>
      <c r="AW92">
        <v>490</v>
      </c>
      <c r="AX92">
        <v>490</v>
      </c>
      <c r="AY92">
        <v>220</v>
      </c>
      <c r="AZ92">
        <v>450</v>
      </c>
      <c r="BA92">
        <v>450</v>
      </c>
      <c r="BB92">
        <v>450</v>
      </c>
    </row>
    <row r="93" spans="5:54" x14ac:dyDescent="0.2">
      <c r="E93" t="s">
        <v>171</v>
      </c>
      <c r="F93" t="s">
        <v>117</v>
      </c>
      <c r="H93">
        <v>91.25</v>
      </c>
      <c r="I93">
        <v>20</v>
      </c>
      <c r="J93">
        <v>0</v>
      </c>
      <c r="K93">
        <v>0</v>
      </c>
      <c r="L93">
        <v>0</v>
      </c>
      <c r="N93">
        <v>75</v>
      </c>
      <c r="P93">
        <v>0.5</v>
      </c>
      <c r="Q93">
        <f t="shared" si="3"/>
        <v>1</v>
      </c>
      <c r="S93">
        <f t="shared" si="4"/>
        <v>2.7834751406249998</v>
      </c>
      <c r="T93">
        <f t="shared" si="5"/>
        <v>5.7617935410937494E-2</v>
      </c>
      <c r="U93">
        <f>H93*T93*I93</f>
        <v>105.15273212496092</v>
      </c>
      <c r="X93" s="9" t="s">
        <v>121</v>
      </c>
      <c r="Y93" s="9" t="s">
        <v>116</v>
      </c>
      <c r="Z93">
        <v>280</v>
      </c>
      <c r="AA93">
        <v>160</v>
      </c>
      <c r="AB93">
        <v>260</v>
      </c>
      <c r="AC93">
        <v>150</v>
      </c>
      <c r="AD93">
        <v>190</v>
      </c>
      <c r="AE93">
        <v>250</v>
      </c>
      <c r="AF93">
        <v>200</v>
      </c>
      <c r="AG93">
        <v>200</v>
      </c>
      <c r="AH93">
        <v>200</v>
      </c>
      <c r="AI93">
        <v>200</v>
      </c>
      <c r="AJ93">
        <v>235</v>
      </c>
      <c r="AK93">
        <v>241</v>
      </c>
      <c r="AL93">
        <v>180</v>
      </c>
      <c r="AM93">
        <v>192</v>
      </c>
      <c r="AN93">
        <v>4</v>
      </c>
      <c r="AP93" t="s">
        <v>178</v>
      </c>
      <c r="AQ93" s="5"/>
      <c r="AR93" s="4" t="s">
        <v>121</v>
      </c>
      <c r="AS93" s="4">
        <v>280</v>
      </c>
      <c r="AT93" s="4">
        <v>560</v>
      </c>
      <c r="AU93" s="4">
        <v>260</v>
      </c>
      <c r="AV93" s="4">
        <v>410</v>
      </c>
      <c r="AW93">
        <v>500</v>
      </c>
      <c r="AX93">
        <v>500</v>
      </c>
      <c r="AY93">
        <v>260</v>
      </c>
      <c r="AZ93">
        <v>460</v>
      </c>
      <c r="BA93">
        <v>460</v>
      </c>
      <c r="BB93">
        <v>460</v>
      </c>
    </row>
    <row r="94" spans="5:54" x14ac:dyDescent="0.2">
      <c r="E94" t="s">
        <v>238</v>
      </c>
      <c r="F94" t="s">
        <v>119</v>
      </c>
      <c r="H94">
        <v>91.25</v>
      </c>
      <c r="I94">
        <v>40</v>
      </c>
      <c r="J94">
        <v>0</v>
      </c>
      <c r="K94">
        <v>0</v>
      </c>
      <c r="L94">
        <v>0</v>
      </c>
      <c r="N94">
        <v>160</v>
      </c>
      <c r="P94">
        <v>0.9</v>
      </c>
      <c r="Q94">
        <f t="shared" si="3"/>
        <v>1</v>
      </c>
      <c r="S94">
        <f t="shared" si="4"/>
        <v>4.5298311556000002</v>
      </c>
      <c r="T94">
        <f t="shared" si="5"/>
        <v>9.3767504920920008E-2</v>
      </c>
      <c r="U94">
        <f>H94*T94*I94</f>
        <v>342.25139296135802</v>
      </c>
      <c r="X94" s="9" t="s">
        <v>117</v>
      </c>
      <c r="Y94" s="9" t="s">
        <v>122</v>
      </c>
      <c r="Z94">
        <v>480</v>
      </c>
      <c r="AA94">
        <v>800</v>
      </c>
      <c r="AB94">
        <v>700</v>
      </c>
      <c r="AC94">
        <v>820</v>
      </c>
      <c r="AD94">
        <v>800</v>
      </c>
      <c r="AE94">
        <v>450</v>
      </c>
      <c r="AF94">
        <v>500</v>
      </c>
      <c r="AG94">
        <v>706</v>
      </c>
      <c r="AH94">
        <v>620</v>
      </c>
      <c r="AI94">
        <v>620</v>
      </c>
      <c r="AJ94">
        <v>705</v>
      </c>
      <c r="AK94">
        <v>674</v>
      </c>
      <c r="AL94">
        <v>674</v>
      </c>
      <c r="AM94">
        <v>617</v>
      </c>
      <c r="AN94">
        <v>1</v>
      </c>
      <c r="AQ94" s="6" t="s">
        <v>133</v>
      </c>
      <c r="AR94" s="4" t="s">
        <v>117</v>
      </c>
      <c r="AS94" s="4">
        <v>250</v>
      </c>
      <c r="AT94" s="4">
        <v>800</v>
      </c>
      <c r="AU94" s="4">
        <v>220</v>
      </c>
      <c r="AV94" s="4">
        <v>400</v>
      </c>
      <c r="AW94">
        <v>500</v>
      </c>
      <c r="AX94">
        <v>500</v>
      </c>
      <c r="AY94">
        <v>230</v>
      </c>
      <c r="AZ94">
        <v>420</v>
      </c>
      <c r="BA94">
        <v>420</v>
      </c>
      <c r="BB94">
        <v>420</v>
      </c>
    </row>
    <row r="95" spans="5:54" x14ac:dyDescent="0.2">
      <c r="F95" t="s">
        <v>120</v>
      </c>
      <c r="H95">
        <v>91.25</v>
      </c>
      <c r="I95">
        <v>35</v>
      </c>
      <c r="J95">
        <v>0</v>
      </c>
      <c r="K95">
        <v>0</v>
      </c>
      <c r="L95">
        <v>0</v>
      </c>
      <c r="N95">
        <v>220</v>
      </c>
      <c r="P95">
        <v>0.7</v>
      </c>
      <c r="Q95">
        <f t="shared" si="3"/>
        <v>1</v>
      </c>
      <c r="S95">
        <f t="shared" si="4"/>
        <v>5.1913799715999973</v>
      </c>
      <c r="T95">
        <f t="shared" si="5"/>
        <v>0.10746156541211994</v>
      </c>
      <c r="U95">
        <f>H95*T95*I95</f>
        <v>343.20537453495803</v>
      </c>
      <c r="X95" s="9" t="s">
        <v>119</v>
      </c>
      <c r="Y95" s="9" t="s">
        <v>122</v>
      </c>
      <c r="Z95">
        <v>520</v>
      </c>
      <c r="AA95">
        <v>800</v>
      </c>
      <c r="AB95">
        <v>750</v>
      </c>
      <c r="AC95">
        <v>850</v>
      </c>
      <c r="AD95">
        <v>780</v>
      </c>
      <c r="AE95">
        <v>500</v>
      </c>
      <c r="AF95">
        <v>550</v>
      </c>
      <c r="AG95">
        <v>703</v>
      </c>
      <c r="AH95">
        <v>650</v>
      </c>
      <c r="AI95">
        <v>650</v>
      </c>
      <c r="AJ95">
        <v>703</v>
      </c>
      <c r="AK95">
        <v>669</v>
      </c>
      <c r="AL95">
        <v>669</v>
      </c>
      <c r="AM95">
        <v>591</v>
      </c>
      <c r="AN95">
        <v>2</v>
      </c>
      <c r="AQ95" s="5"/>
      <c r="AR95" s="4" t="s">
        <v>119</v>
      </c>
      <c r="AS95" s="4">
        <v>320</v>
      </c>
      <c r="AT95" s="4">
        <v>800</v>
      </c>
      <c r="AU95" s="4">
        <v>280</v>
      </c>
      <c r="AV95" s="4">
        <v>420</v>
      </c>
      <c r="AW95">
        <v>500</v>
      </c>
      <c r="AX95">
        <v>500</v>
      </c>
      <c r="AY95">
        <v>290</v>
      </c>
      <c r="AZ95">
        <v>420</v>
      </c>
      <c r="BA95">
        <v>420</v>
      </c>
      <c r="BB95">
        <v>420</v>
      </c>
    </row>
    <row r="96" spans="5:54" x14ac:dyDescent="0.2">
      <c r="F96" t="s">
        <v>121</v>
      </c>
      <c r="H96">
        <v>91.25</v>
      </c>
      <c r="I96">
        <v>30</v>
      </c>
      <c r="J96">
        <v>0</v>
      </c>
      <c r="K96">
        <v>0</v>
      </c>
      <c r="L96">
        <v>0</v>
      </c>
      <c r="N96">
        <v>260</v>
      </c>
      <c r="P96">
        <v>0.4</v>
      </c>
      <c r="Q96">
        <f t="shared" si="3"/>
        <v>1</v>
      </c>
      <c r="S96">
        <f t="shared" si="4"/>
        <v>5.3621886096000004</v>
      </c>
      <c r="T96">
        <f t="shared" si="5"/>
        <v>0.11099730421872001</v>
      </c>
      <c r="U96">
        <f>H96*T96*I96</f>
        <v>303.85512029874604</v>
      </c>
      <c r="X96" s="9" t="s">
        <v>120</v>
      </c>
      <c r="Y96" s="9" t="s">
        <v>122</v>
      </c>
      <c r="Z96">
        <v>550</v>
      </c>
      <c r="AA96">
        <v>700</v>
      </c>
      <c r="AB96">
        <v>725</v>
      </c>
      <c r="AC96">
        <v>700</v>
      </c>
      <c r="AD96">
        <v>680</v>
      </c>
      <c r="AE96">
        <v>550</v>
      </c>
      <c r="AF96">
        <v>600</v>
      </c>
      <c r="AG96">
        <v>721</v>
      </c>
      <c r="AH96">
        <v>670</v>
      </c>
      <c r="AI96">
        <v>670</v>
      </c>
      <c r="AJ96">
        <v>718</v>
      </c>
      <c r="AK96">
        <v>685</v>
      </c>
      <c r="AL96">
        <v>685</v>
      </c>
      <c r="AM96">
        <v>610</v>
      </c>
      <c r="AN96">
        <v>3</v>
      </c>
      <c r="AQ96" s="6"/>
      <c r="AR96" s="4" t="s">
        <v>120</v>
      </c>
      <c r="AS96" s="4">
        <v>80</v>
      </c>
      <c r="AT96" s="4">
        <v>700</v>
      </c>
      <c r="AU96" s="4">
        <v>70</v>
      </c>
      <c r="AV96" s="4">
        <v>300</v>
      </c>
      <c r="AW96">
        <v>450</v>
      </c>
      <c r="AX96">
        <v>450</v>
      </c>
      <c r="AY96">
        <v>75</v>
      </c>
      <c r="AZ96">
        <v>400</v>
      </c>
      <c r="BA96">
        <v>400</v>
      </c>
      <c r="BB96">
        <v>400</v>
      </c>
    </row>
    <row r="97" spans="5:54" x14ac:dyDescent="0.2">
      <c r="E97" t="s">
        <v>176</v>
      </c>
      <c r="F97" t="s">
        <v>117</v>
      </c>
      <c r="H97">
        <v>91.25</v>
      </c>
      <c r="I97">
        <v>30</v>
      </c>
      <c r="J97">
        <v>0</v>
      </c>
      <c r="K97">
        <v>0</v>
      </c>
      <c r="L97">
        <v>0</v>
      </c>
      <c r="N97">
        <v>380</v>
      </c>
      <c r="P97">
        <v>0.4</v>
      </c>
      <c r="Q97">
        <f t="shared" si="3"/>
        <v>1</v>
      </c>
      <c r="S97">
        <f t="shared" si="4"/>
        <v>7.0796437775999967</v>
      </c>
      <c r="T97">
        <f t="shared" si="5"/>
        <v>0.14654862619631992</v>
      </c>
      <c r="U97">
        <f>H97*T97*I97</f>
        <v>401.17686421242576</v>
      </c>
      <c r="X97" s="9" t="s">
        <v>121</v>
      </c>
      <c r="Y97" s="9" t="s">
        <v>122</v>
      </c>
      <c r="Z97">
        <v>560</v>
      </c>
      <c r="AA97">
        <v>700</v>
      </c>
      <c r="AB97">
        <v>700</v>
      </c>
      <c r="AC97">
        <v>720</v>
      </c>
      <c r="AD97">
        <v>700</v>
      </c>
      <c r="AE97">
        <v>500</v>
      </c>
      <c r="AF97">
        <v>550</v>
      </c>
      <c r="AG97">
        <v>727</v>
      </c>
      <c r="AH97">
        <v>660</v>
      </c>
      <c r="AI97">
        <v>660</v>
      </c>
      <c r="AJ97">
        <v>722</v>
      </c>
      <c r="AK97">
        <v>692</v>
      </c>
      <c r="AL97">
        <v>692</v>
      </c>
      <c r="AM97">
        <v>615</v>
      </c>
      <c r="AN97">
        <v>4</v>
      </c>
      <c r="AP97" t="s">
        <v>179</v>
      </c>
      <c r="AQ97" s="5"/>
      <c r="AR97" s="4" t="s">
        <v>121</v>
      </c>
      <c r="AS97" s="4">
        <v>160</v>
      </c>
      <c r="AT97" s="4">
        <v>700</v>
      </c>
      <c r="AU97" s="4">
        <v>140</v>
      </c>
      <c r="AV97" s="4">
        <v>350</v>
      </c>
      <c r="AW97" s="4">
        <v>450</v>
      </c>
      <c r="AX97" s="4">
        <v>450</v>
      </c>
      <c r="AY97" s="4">
        <v>150</v>
      </c>
      <c r="AZ97">
        <v>400</v>
      </c>
      <c r="BA97">
        <v>400</v>
      </c>
      <c r="BB97">
        <v>400</v>
      </c>
    </row>
    <row r="98" spans="5:54" x14ac:dyDescent="0.2">
      <c r="E98" t="s">
        <v>239</v>
      </c>
      <c r="F98" t="s">
        <v>119</v>
      </c>
      <c r="H98">
        <v>91.25</v>
      </c>
      <c r="I98">
        <v>35</v>
      </c>
      <c r="J98">
        <v>0</v>
      </c>
      <c r="K98">
        <v>0</v>
      </c>
      <c r="L98">
        <v>0</v>
      </c>
      <c r="N98">
        <v>420</v>
      </c>
      <c r="P98">
        <v>0.4</v>
      </c>
      <c r="Q98">
        <f t="shared" si="3"/>
        <v>1</v>
      </c>
      <c r="S98">
        <f t="shared" si="4"/>
        <v>7.6129639056</v>
      </c>
      <c r="T98">
        <f t="shared" si="5"/>
        <v>0.15758835284591999</v>
      </c>
      <c r="U98">
        <f>H98*T98*I98</f>
        <v>503.29780190165695</v>
      </c>
      <c r="X98" s="9" t="s">
        <v>117</v>
      </c>
      <c r="Y98" s="9" t="s">
        <v>146</v>
      </c>
      <c r="Z98">
        <v>300</v>
      </c>
      <c r="AA98">
        <v>400</v>
      </c>
      <c r="AB98">
        <v>300</v>
      </c>
      <c r="AC98">
        <v>410</v>
      </c>
      <c r="AD98">
        <v>420</v>
      </c>
      <c r="AE98">
        <v>260</v>
      </c>
      <c r="AF98">
        <v>300</v>
      </c>
      <c r="AG98">
        <v>323</v>
      </c>
      <c r="AH98">
        <v>319</v>
      </c>
      <c r="AI98">
        <v>267</v>
      </c>
      <c r="AJ98">
        <v>302</v>
      </c>
      <c r="AK98">
        <v>344</v>
      </c>
      <c r="AL98">
        <v>310</v>
      </c>
      <c r="AM98">
        <v>265</v>
      </c>
      <c r="AN98">
        <v>1</v>
      </c>
      <c r="AQ98" s="6" t="s">
        <v>134</v>
      </c>
      <c r="AR98" s="4" t="s">
        <v>117</v>
      </c>
      <c r="AS98" s="4">
        <v>105</v>
      </c>
      <c r="AT98" s="4">
        <v>700</v>
      </c>
      <c r="AU98" s="4">
        <v>85</v>
      </c>
      <c r="AV98" s="4">
        <v>300</v>
      </c>
      <c r="AW98">
        <v>490</v>
      </c>
      <c r="AX98">
        <v>490</v>
      </c>
      <c r="AY98">
        <v>90</v>
      </c>
      <c r="AZ98">
        <v>480</v>
      </c>
      <c r="BA98">
        <v>480</v>
      </c>
      <c r="BB98">
        <v>480</v>
      </c>
    </row>
    <row r="99" spans="5:54" x14ac:dyDescent="0.2">
      <c r="F99" t="s">
        <v>120</v>
      </c>
      <c r="H99">
        <v>91.25</v>
      </c>
      <c r="I99">
        <v>20</v>
      </c>
      <c r="J99">
        <v>0</v>
      </c>
      <c r="K99">
        <v>0</v>
      </c>
      <c r="L99">
        <v>0</v>
      </c>
      <c r="N99">
        <v>450</v>
      </c>
      <c r="P99">
        <v>0.3</v>
      </c>
      <c r="Q99">
        <f t="shared" si="3"/>
        <v>1</v>
      </c>
      <c r="S99">
        <f t="shared" si="4"/>
        <v>7.8176159999999992</v>
      </c>
      <c r="T99">
        <f t="shared" si="5"/>
        <v>0.16182465119999997</v>
      </c>
      <c r="U99">
        <f>H99*T99*I99</f>
        <v>295.32998843999997</v>
      </c>
      <c r="X99" s="9" t="s">
        <v>119</v>
      </c>
      <c r="Y99" s="9" t="s">
        <v>146</v>
      </c>
      <c r="Z99">
        <v>360</v>
      </c>
      <c r="AA99">
        <v>420</v>
      </c>
      <c r="AB99">
        <v>350</v>
      </c>
      <c r="AC99">
        <v>440</v>
      </c>
      <c r="AD99">
        <v>450</v>
      </c>
      <c r="AE99">
        <v>310</v>
      </c>
      <c r="AF99">
        <v>220</v>
      </c>
      <c r="AG99">
        <v>256</v>
      </c>
      <c r="AH99">
        <v>262</v>
      </c>
      <c r="AI99">
        <v>203</v>
      </c>
      <c r="AJ99">
        <v>277</v>
      </c>
      <c r="AK99">
        <v>283</v>
      </c>
      <c r="AL99">
        <v>250</v>
      </c>
      <c r="AM99">
        <v>205</v>
      </c>
      <c r="AN99">
        <v>2</v>
      </c>
      <c r="AQ99" s="5"/>
      <c r="AR99" s="4" t="s">
        <v>119</v>
      </c>
      <c r="AS99" s="4">
        <v>480</v>
      </c>
      <c r="AT99" s="4">
        <v>750</v>
      </c>
      <c r="AU99" s="4">
        <v>150</v>
      </c>
      <c r="AV99" s="4">
        <v>350</v>
      </c>
      <c r="AW99">
        <v>530</v>
      </c>
      <c r="AX99">
        <v>530</v>
      </c>
      <c r="AY99">
        <v>160</v>
      </c>
      <c r="AZ99">
        <v>460</v>
      </c>
      <c r="BA99">
        <v>460</v>
      </c>
      <c r="BB99">
        <v>460</v>
      </c>
    </row>
    <row r="100" spans="5:54" x14ac:dyDescent="0.2">
      <c r="F100" t="s">
        <v>121</v>
      </c>
      <c r="H100">
        <v>91.25</v>
      </c>
      <c r="I100">
        <v>0</v>
      </c>
      <c r="J100">
        <v>0</v>
      </c>
      <c r="K100">
        <v>0</v>
      </c>
      <c r="L100">
        <v>0</v>
      </c>
      <c r="N100">
        <v>460</v>
      </c>
      <c r="P100">
        <v>0.1</v>
      </c>
      <c r="Q100">
        <f t="shared" si="3"/>
        <v>1</v>
      </c>
      <c r="S100">
        <f t="shared" si="4"/>
        <v>7.5885924675999998</v>
      </c>
      <c r="T100">
        <f t="shared" si="5"/>
        <v>0.15708386407931998</v>
      </c>
      <c r="U100">
        <f>H100*T100*I100</f>
        <v>0</v>
      </c>
      <c r="X100" s="9" t="s">
        <v>120</v>
      </c>
      <c r="Y100" s="9" t="s">
        <v>146</v>
      </c>
      <c r="Z100">
        <v>390</v>
      </c>
      <c r="AA100">
        <v>300</v>
      </c>
      <c r="AB100">
        <v>360</v>
      </c>
      <c r="AC100">
        <v>300</v>
      </c>
      <c r="AD100">
        <v>320</v>
      </c>
      <c r="AE100">
        <v>330</v>
      </c>
      <c r="AF100">
        <v>270</v>
      </c>
      <c r="AG100">
        <v>306</v>
      </c>
      <c r="AH100">
        <v>266</v>
      </c>
      <c r="AI100">
        <v>250</v>
      </c>
      <c r="AJ100">
        <v>319</v>
      </c>
      <c r="AK100">
        <v>309</v>
      </c>
      <c r="AL100">
        <v>277</v>
      </c>
      <c r="AM100">
        <v>232</v>
      </c>
      <c r="AN100">
        <v>3</v>
      </c>
      <c r="AQ100" s="6"/>
      <c r="AR100" s="4" t="s">
        <v>120</v>
      </c>
      <c r="AS100" s="4">
        <v>250</v>
      </c>
      <c r="AT100" s="4">
        <v>725</v>
      </c>
      <c r="AU100" s="4">
        <v>200</v>
      </c>
      <c r="AV100" s="4">
        <v>360</v>
      </c>
      <c r="AW100" s="4">
        <v>500</v>
      </c>
      <c r="AX100" s="4">
        <v>500</v>
      </c>
      <c r="AY100">
        <v>215</v>
      </c>
      <c r="AZ100">
        <v>490</v>
      </c>
      <c r="BA100">
        <v>490</v>
      </c>
      <c r="BB100">
        <v>490</v>
      </c>
    </row>
    <row r="101" spans="5:54" x14ac:dyDescent="0.2">
      <c r="X101" s="9" t="s">
        <v>121</v>
      </c>
      <c r="Y101" s="9" t="s">
        <v>146</v>
      </c>
      <c r="Z101">
        <v>410</v>
      </c>
      <c r="AA101">
        <v>350</v>
      </c>
      <c r="AB101">
        <v>380</v>
      </c>
      <c r="AC101">
        <v>320</v>
      </c>
      <c r="AD101">
        <v>330</v>
      </c>
      <c r="AE101">
        <v>340</v>
      </c>
      <c r="AF101">
        <v>280</v>
      </c>
      <c r="AG101">
        <v>338</v>
      </c>
      <c r="AH101">
        <v>307</v>
      </c>
      <c r="AI101">
        <v>272</v>
      </c>
      <c r="AJ101">
        <v>352</v>
      </c>
      <c r="AK101">
        <v>344</v>
      </c>
      <c r="AL101">
        <v>316</v>
      </c>
      <c r="AM101">
        <v>255</v>
      </c>
      <c r="AN101">
        <v>4</v>
      </c>
      <c r="AP101" t="s">
        <v>180</v>
      </c>
      <c r="AQ101" s="5"/>
      <c r="AR101" s="4" t="s">
        <v>121</v>
      </c>
      <c r="AS101" s="4">
        <v>260</v>
      </c>
      <c r="AT101" s="4">
        <v>700</v>
      </c>
      <c r="AU101" s="4">
        <v>210</v>
      </c>
      <c r="AV101" s="4">
        <v>380</v>
      </c>
      <c r="AW101" s="4">
        <v>460</v>
      </c>
      <c r="AX101" s="4">
        <v>460</v>
      </c>
      <c r="AY101" s="4">
        <v>230</v>
      </c>
      <c r="AZ101">
        <v>470</v>
      </c>
      <c r="BA101">
        <v>470</v>
      </c>
      <c r="BB101">
        <v>470</v>
      </c>
    </row>
    <row r="102" spans="5:54" x14ac:dyDescent="0.2">
      <c r="X102" s="9" t="s">
        <v>117</v>
      </c>
      <c r="Y102" s="9" t="s">
        <v>152</v>
      </c>
      <c r="Z102">
        <v>440</v>
      </c>
      <c r="AA102">
        <v>500</v>
      </c>
      <c r="AB102">
        <v>490</v>
      </c>
      <c r="AC102">
        <v>560</v>
      </c>
      <c r="AD102">
        <v>550</v>
      </c>
      <c r="AE102">
        <v>340</v>
      </c>
      <c r="AF102">
        <v>320</v>
      </c>
      <c r="AG102">
        <v>415</v>
      </c>
      <c r="AH102">
        <v>398</v>
      </c>
      <c r="AI102">
        <v>365</v>
      </c>
      <c r="AJ102">
        <v>416</v>
      </c>
      <c r="AK102">
        <v>357</v>
      </c>
      <c r="AL102">
        <v>428</v>
      </c>
      <c r="AM102">
        <v>371</v>
      </c>
      <c r="AN102">
        <v>1</v>
      </c>
      <c r="AQ102" s="6" t="s">
        <v>135</v>
      </c>
      <c r="AR102" s="4" t="s">
        <v>117</v>
      </c>
      <c r="AS102" s="4">
        <v>250</v>
      </c>
      <c r="AT102" s="4">
        <v>820</v>
      </c>
      <c r="AU102" s="4">
        <v>240</v>
      </c>
      <c r="AV102" s="4">
        <v>410</v>
      </c>
      <c r="AW102">
        <v>560</v>
      </c>
      <c r="AX102">
        <v>560</v>
      </c>
      <c r="AY102">
        <v>240</v>
      </c>
      <c r="AZ102">
        <v>510</v>
      </c>
      <c r="BA102">
        <v>510</v>
      </c>
      <c r="BB102">
        <v>510</v>
      </c>
    </row>
    <row r="103" spans="5:54" x14ac:dyDescent="0.2">
      <c r="X103" s="9" t="s">
        <v>119</v>
      </c>
      <c r="Y103" s="9" t="s">
        <v>152</v>
      </c>
      <c r="Z103">
        <v>470</v>
      </c>
      <c r="AA103">
        <v>500</v>
      </c>
      <c r="AB103">
        <v>530</v>
      </c>
      <c r="AC103">
        <v>550</v>
      </c>
      <c r="AD103">
        <v>530</v>
      </c>
      <c r="AE103">
        <v>360</v>
      </c>
      <c r="AF103">
        <v>380</v>
      </c>
      <c r="AG103">
        <v>368</v>
      </c>
      <c r="AH103">
        <v>346</v>
      </c>
      <c r="AI103">
        <v>299</v>
      </c>
      <c r="AJ103">
        <v>397</v>
      </c>
      <c r="AK103">
        <v>361</v>
      </c>
      <c r="AL103">
        <v>390</v>
      </c>
      <c r="AM103">
        <v>310</v>
      </c>
      <c r="AN103">
        <v>2</v>
      </c>
      <c r="AQ103" s="5"/>
      <c r="AR103" s="4" t="s">
        <v>119</v>
      </c>
      <c r="AS103" s="4">
        <v>280</v>
      </c>
      <c r="AT103" s="4">
        <v>850</v>
      </c>
      <c r="AU103" s="4">
        <v>260</v>
      </c>
      <c r="AV103" s="4">
        <v>440</v>
      </c>
      <c r="AW103">
        <v>550</v>
      </c>
      <c r="AX103">
        <v>550</v>
      </c>
      <c r="AY103">
        <v>270</v>
      </c>
      <c r="AZ103">
        <v>520</v>
      </c>
      <c r="BA103">
        <v>520</v>
      </c>
      <c r="BB103">
        <v>520</v>
      </c>
    </row>
    <row r="104" spans="5:54" x14ac:dyDescent="0.2">
      <c r="X104" s="9" t="s">
        <v>120</v>
      </c>
      <c r="Y104" s="9" t="s">
        <v>152</v>
      </c>
      <c r="Z104">
        <v>490</v>
      </c>
      <c r="AA104">
        <v>450</v>
      </c>
      <c r="AB104">
        <v>500</v>
      </c>
      <c r="AC104">
        <v>450</v>
      </c>
      <c r="AD104">
        <v>480</v>
      </c>
      <c r="AE104">
        <v>380</v>
      </c>
      <c r="AF104">
        <v>390</v>
      </c>
      <c r="AG104">
        <v>392</v>
      </c>
      <c r="AH104">
        <v>363</v>
      </c>
      <c r="AI104">
        <v>336</v>
      </c>
      <c r="AJ104">
        <v>440</v>
      </c>
      <c r="AK104">
        <v>376</v>
      </c>
      <c r="AL104">
        <v>407</v>
      </c>
      <c r="AM104">
        <v>351</v>
      </c>
      <c r="AN104">
        <v>3</v>
      </c>
      <c r="AQ104" s="6"/>
      <c r="AR104" s="4" t="s">
        <v>120</v>
      </c>
      <c r="AS104" s="4">
        <v>100</v>
      </c>
      <c r="AT104" s="4">
        <v>700</v>
      </c>
      <c r="AU104" s="4">
        <v>95</v>
      </c>
      <c r="AV104" s="4">
        <v>300</v>
      </c>
      <c r="AW104">
        <v>450</v>
      </c>
      <c r="AX104">
        <v>450</v>
      </c>
      <c r="AY104">
        <v>95</v>
      </c>
      <c r="AZ104">
        <v>410</v>
      </c>
      <c r="BA104">
        <v>410</v>
      </c>
      <c r="BB104">
        <v>410</v>
      </c>
    </row>
    <row r="105" spans="5:54" x14ac:dyDescent="0.2">
      <c r="X105" s="9" t="s">
        <v>121</v>
      </c>
      <c r="Y105" s="9" t="s">
        <v>152</v>
      </c>
      <c r="Z105">
        <v>500</v>
      </c>
      <c r="AA105">
        <v>450</v>
      </c>
      <c r="AB105">
        <v>460</v>
      </c>
      <c r="AC105">
        <v>470</v>
      </c>
      <c r="AD105">
        <v>490</v>
      </c>
      <c r="AE105">
        <v>360</v>
      </c>
      <c r="AF105">
        <v>350</v>
      </c>
      <c r="AG105">
        <v>432</v>
      </c>
      <c r="AH105">
        <v>398</v>
      </c>
      <c r="AI105">
        <v>365</v>
      </c>
      <c r="AJ105">
        <v>470</v>
      </c>
      <c r="AK105">
        <v>364</v>
      </c>
      <c r="AL105">
        <v>438</v>
      </c>
      <c r="AM105">
        <v>364</v>
      </c>
      <c r="AN105">
        <v>4</v>
      </c>
      <c r="AP105" t="s">
        <v>148</v>
      </c>
      <c r="AQ105" s="5"/>
      <c r="AR105" s="4" t="s">
        <v>121</v>
      </c>
      <c r="AS105" s="4">
        <v>150</v>
      </c>
      <c r="AT105" s="4">
        <v>720</v>
      </c>
      <c r="AU105" s="4">
        <v>140</v>
      </c>
      <c r="AV105" s="4">
        <v>320</v>
      </c>
      <c r="AW105" s="4">
        <v>470</v>
      </c>
      <c r="AX105" s="4">
        <v>470</v>
      </c>
      <c r="AY105">
        <v>140</v>
      </c>
      <c r="AZ105">
        <v>440</v>
      </c>
      <c r="BA105">
        <v>440</v>
      </c>
      <c r="BB105">
        <v>440</v>
      </c>
    </row>
    <row r="106" spans="5:54" x14ac:dyDescent="0.2">
      <c r="X106" s="9" t="s">
        <v>117</v>
      </c>
      <c r="Y106" s="9" t="s">
        <v>141</v>
      </c>
      <c r="Z106">
        <v>75</v>
      </c>
      <c r="AA106">
        <v>220</v>
      </c>
      <c r="AB106">
        <v>85</v>
      </c>
      <c r="AC106">
        <v>240</v>
      </c>
      <c r="AD106">
        <v>260</v>
      </c>
      <c r="AE106">
        <v>70</v>
      </c>
      <c r="AF106">
        <v>180</v>
      </c>
      <c r="AG106">
        <v>208</v>
      </c>
      <c r="AH106">
        <v>227</v>
      </c>
      <c r="AI106">
        <v>177</v>
      </c>
      <c r="AJ106">
        <v>215</v>
      </c>
      <c r="AK106">
        <v>217</v>
      </c>
      <c r="AL106">
        <v>178</v>
      </c>
      <c r="AM106">
        <v>174</v>
      </c>
      <c r="AN106">
        <v>1</v>
      </c>
      <c r="AQ106" s="6" t="s">
        <v>255</v>
      </c>
      <c r="AR106" s="4" t="s">
        <v>117</v>
      </c>
      <c r="AS106" s="4">
        <v>340</v>
      </c>
      <c r="AT106" s="4">
        <v>800</v>
      </c>
      <c r="AU106" s="4">
        <v>260</v>
      </c>
      <c r="AV106" s="4">
        <v>420</v>
      </c>
      <c r="AW106" s="4">
        <v>550</v>
      </c>
      <c r="AX106" s="4">
        <v>550</v>
      </c>
      <c r="AY106">
        <v>300</v>
      </c>
      <c r="AZ106">
        <v>480</v>
      </c>
      <c r="BA106">
        <v>480</v>
      </c>
      <c r="BB106">
        <v>480</v>
      </c>
    </row>
    <row r="107" spans="5:54" x14ac:dyDescent="0.2">
      <c r="X107" s="9" t="s">
        <v>119</v>
      </c>
      <c r="Y107" s="9" t="s">
        <v>141</v>
      </c>
      <c r="Z107">
        <v>160</v>
      </c>
      <c r="AA107">
        <v>280</v>
      </c>
      <c r="AB107">
        <v>150</v>
      </c>
      <c r="AC107">
        <v>260</v>
      </c>
      <c r="AD107">
        <v>300</v>
      </c>
      <c r="AE107">
        <v>140</v>
      </c>
      <c r="AF107">
        <v>90</v>
      </c>
      <c r="AG107">
        <v>112</v>
      </c>
      <c r="AH107">
        <v>108</v>
      </c>
      <c r="AI107">
        <v>102</v>
      </c>
      <c r="AJ107">
        <v>118</v>
      </c>
      <c r="AK107">
        <v>113</v>
      </c>
      <c r="AL107">
        <v>112</v>
      </c>
      <c r="AM107">
        <v>140</v>
      </c>
      <c r="AN107">
        <v>2</v>
      </c>
      <c r="AQ107" s="5"/>
      <c r="AR107" s="4" t="s">
        <v>119</v>
      </c>
      <c r="AS107" s="4">
        <v>380</v>
      </c>
      <c r="AT107" s="4">
        <v>780</v>
      </c>
      <c r="AU107" s="4">
        <v>300</v>
      </c>
      <c r="AV107" s="4">
        <v>450</v>
      </c>
      <c r="AW107" s="4">
        <v>530</v>
      </c>
      <c r="AX107" s="4">
        <v>530</v>
      </c>
      <c r="AY107" s="4">
        <v>340</v>
      </c>
      <c r="AZ107">
        <v>470</v>
      </c>
      <c r="BA107">
        <v>470</v>
      </c>
      <c r="BB107">
        <v>470</v>
      </c>
    </row>
    <row r="108" spans="5:54" x14ac:dyDescent="0.2">
      <c r="X108" s="9" t="s">
        <v>120</v>
      </c>
      <c r="Y108" s="9" t="s">
        <v>141</v>
      </c>
      <c r="Z108">
        <v>220</v>
      </c>
      <c r="AA108">
        <v>70</v>
      </c>
      <c r="AB108">
        <v>200</v>
      </c>
      <c r="AC108">
        <v>95</v>
      </c>
      <c r="AD108">
        <v>80</v>
      </c>
      <c r="AE108">
        <v>220</v>
      </c>
      <c r="AF108">
        <v>140</v>
      </c>
      <c r="AG108">
        <v>169</v>
      </c>
      <c r="AH108">
        <v>170</v>
      </c>
      <c r="AI108">
        <v>173</v>
      </c>
      <c r="AJ108">
        <v>191</v>
      </c>
      <c r="AK108">
        <v>172</v>
      </c>
      <c r="AL108">
        <v>140</v>
      </c>
      <c r="AM108">
        <v>163</v>
      </c>
      <c r="AN108">
        <v>3</v>
      </c>
      <c r="AQ108" s="6"/>
      <c r="AR108" s="4" t="s">
        <v>120</v>
      </c>
      <c r="AS108" s="4">
        <v>100</v>
      </c>
      <c r="AT108" s="4">
        <v>680</v>
      </c>
      <c r="AU108" s="4">
        <v>80</v>
      </c>
      <c r="AV108" s="4">
        <v>320</v>
      </c>
      <c r="AW108" s="4">
        <v>480</v>
      </c>
      <c r="AX108" s="4">
        <v>480</v>
      </c>
      <c r="AY108">
        <v>100</v>
      </c>
      <c r="AZ108">
        <v>340</v>
      </c>
      <c r="BA108">
        <v>340</v>
      </c>
      <c r="BB108">
        <v>340</v>
      </c>
    </row>
    <row r="109" spans="5:54" x14ac:dyDescent="0.2">
      <c r="X109" s="9" t="s">
        <v>121</v>
      </c>
      <c r="Y109" s="9" t="s">
        <v>141</v>
      </c>
      <c r="Z109">
        <v>260</v>
      </c>
      <c r="AA109">
        <v>140</v>
      </c>
      <c r="AB109">
        <v>210</v>
      </c>
      <c r="AC109">
        <v>140</v>
      </c>
      <c r="AD109">
        <v>150</v>
      </c>
      <c r="AE109">
        <v>240</v>
      </c>
      <c r="AF109">
        <v>150</v>
      </c>
      <c r="AG109">
        <v>211</v>
      </c>
      <c r="AH109">
        <v>225</v>
      </c>
      <c r="AI109">
        <v>202</v>
      </c>
      <c r="AJ109">
        <v>207</v>
      </c>
      <c r="AK109">
        <v>208</v>
      </c>
      <c r="AL109">
        <v>183</v>
      </c>
      <c r="AM109">
        <v>162</v>
      </c>
      <c r="AN109">
        <v>4</v>
      </c>
      <c r="AP109" t="s">
        <v>148</v>
      </c>
      <c r="AQ109" s="5"/>
      <c r="AR109" s="4" t="s">
        <v>121</v>
      </c>
      <c r="AS109" s="4">
        <v>190</v>
      </c>
      <c r="AT109" s="4">
        <v>700</v>
      </c>
      <c r="AU109" s="4">
        <v>150</v>
      </c>
      <c r="AV109" s="4">
        <v>330</v>
      </c>
      <c r="AW109" s="4">
        <v>490</v>
      </c>
      <c r="AX109" s="4">
        <v>490</v>
      </c>
      <c r="AY109">
        <v>170</v>
      </c>
      <c r="AZ109">
        <v>360</v>
      </c>
      <c r="BA109">
        <v>360</v>
      </c>
      <c r="BB109">
        <v>360</v>
      </c>
    </row>
    <row r="110" spans="5:54" x14ac:dyDescent="0.2">
      <c r="X110" s="9" t="s">
        <v>117</v>
      </c>
      <c r="Y110" s="9" t="s">
        <v>156</v>
      </c>
      <c r="Z110">
        <v>440</v>
      </c>
      <c r="AA110">
        <v>500</v>
      </c>
      <c r="AB110">
        <v>490</v>
      </c>
      <c r="AC110">
        <v>560</v>
      </c>
      <c r="AD110">
        <v>550</v>
      </c>
      <c r="AE110">
        <v>340</v>
      </c>
      <c r="AF110">
        <v>320</v>
      </c>
      <c r="AG110">
        <v>467</v>
      </c>
      <c r="AH110">
        <v>452</v>
      </c>
      <c r="AI110">
        <v>406</v>
      </c>
      <c r="AJ110">
        <v>519</v>
      </c>
      <c r="AK110">
        <v>467</v>
      </c>
      <c r="AL110">
        <v>466</v>
      </c>
      <c r="AM110">
        <v>415</v>
      </c>
      <c r="AN110">
        <v>1</v>
      </c>
      <c r="AQ110" s="6" t="s">
        <v>256</v>
      </c>
      <c r="AR110" s="4" t="s">
        <v>117</v>
      </c>
      <c r="AS110" s="4">
        <v>80</v>
      </c>
      <c r="AT110" s="4">
        <v>450</v>
      </c>
      <c r="AU110" s="4">
        <v>70</v>
      </c>
      <c r="AV110" s="4">
        <v>260</v>
      </c>
      <c r="AW110" s="4">
        <v>340</v>
      </c>
      <c r="AX110" s="4">
        <v>340</v>
      </c>
      <c r="AY110" s="4">
        <v>80</v>
      </c>
      <c r="AZ110">
        <v>370</v>
      </c>
      <c r="BA110">
        <v>370</v>
      </c>
      <c r="BB110">
        <v>370</v>
      </c>
    </row>
    <row r="111" spans="5:54" x14ac:dyDescent="0.2">
      <c r="X111" s="9" t="s">
        <v>119</v>
      </c>
      <c r="Y111" s="9" t="s">
        <v>156</v>
      </c>
      <c r="Z111">
        <v>470</v>
      </c>
      <c r="AA111">
        <v>500</v>
      </c>
      <c r="AB111">
        <v>530</v>
      </c>
      <c r="AC111">
        <v>550</v>
      </c>
      <c r="AD111">
        <v>530</v>
      </c>
      <c r="AE111">
        <v>360</v>
      </c>
      <c r="AF111">
        <v>380</v>
      </c>
      <c r="AG111">
        <v>465</v>
      </c>
      <c r="AH111">
        <v>430</v>
      </c>
      <c r="AI111">
        <v>380</v>
      </c>
      <c r="AJ111">
        <v>483</v>
      </c>
      <c r="AK111">
        <v>477</v>
      </c>
      <c r="AL111">
        <v>448</v>
      </c>
      <c r="AM111">
        <v>405</v>
      </c>
      <c r="AN111">
        <v>2</v>
      </c>
      <c r="AQ111" s="5"/>
      <c r="AR111" s="4" t="s">
        <v>119</v>
      </c>
      <c r="AS111" s="4">
        <v>150</v>
      </c>
      <c r="AT111" s="4">
        <v>500</v>
      </c>
      <c r="AU111" s="4">
        <v>140</v>
      </c>
      <c r="AV111" s="4">
        <v>310</v>
      </c>
      <c r="AW111" s="4">
        <v>360</v>
      </c>
      <c r="AX111" s="4">
        <v>360</v>
      </c>
      <c r="AY111" s="4">
        <v>150</v>
      </c>
      <c r="AZ111">
        <v>400</v>
      </c>
      <c r="BA111">
        <v>400</v>
      </c>
      <c r="BB111">
        <v>400</v>
      </c>
    </row>
    <row r="112" spans="5:54" x14ac:dyDescent="0.2">
      <c r="X112" s="9" t="s">
        <v>120</v>
      </c>
      <c r="Y112" s="9" t="s">
        <v>156</v>
      </c>
      <c r="Z112">
        <v>490</v>
      </c>
      <c r="AA112">
        <v>450</v>
      </c>
      <c r="AB112">
        <v>500</v>
      </c>
      <c r="AC112">
        <v>450</v>
      </c>
      <c r="AD112">
        <v>480</v>
      </c>
      <c r="AE112">
        <v>380</v>
      </c>
      <c r="AF112">
        <v>390</v>
      </c>
      <c r="AG112">
        <v>464</v>
      </c>
      <c r="AH112">
        <v>444</v>
      </c>
      <c r="AI112">
        <v>414</v>
      </c>
      <c r="AJ112">
        <v>506</v>
      </c>
      <c r="AK112">
        <v>471</v>
      </c>
      <c r="AL112">
        <v>455</v>
      </c>
      <c r="AM112">
        <v>427</v>
      </c>
      <c r="AN112">
        <v>3</v>
      </c>
      <c r="AQ112" s="6"/>
      <c r="AR112" s="4" t="s">
        <v>120</v>
      </c>
      <c r="AS112" s="4">
        <v>230</v>
      </c>
      <c r="AT112" s="4">
        <v>550</v>
      </c>
      <c r="AU112" s="4">
        <v>220</v>
      </c>
      <c r="AV112" s="4">
        <v>330</v>
      </c>
      <c r="AW112" s="4">
        <v>380</v>
      </c>
      <c r="AX112" s="4">
        <v>380</v>
      </c>
      <c r="AY112" s="4">
        <v>230</v>
      </c>
      <c r="AZ112">
        <v>420</v>
      </c>
      <c r="BA112">
        <v>420</v>
      </c>
      <c r="BB112">
        <v>420</v>
      </c>
    </row>
    <row r="113" spans="24:54" x14ac:dyDescent="0.2">
      <c r="X113" s="9" t="s">
        <v>121</v>
      </c>
      <c r="Y113" s="9" t="s">
        <v>156</v>
      </c>
      <c r="Z113">
        <v>500</v>
      </c>
      <c r="AA113">
        <v>450</v>
      </c>
      <c r="AB113">
        <v>460</v>
      </c>
      <c r="AC113">
        <v>470</v>
      </c>
      <c r="AD113">
        <v>490</v>
      </c>
      <c r="AE113">
        <v>360</v>
      </c>
      <c r="AF113">
        <v>350</v>
      </c>
      <c r="AG113">
        <v>492</v>
      </c>
      <c r="AH113">
        <v>452</v>
      </c>
      <c r="AI113">
        <v>390</v>
      </c>
      <c r="AJ113">
        <v>514</v>
      </c>
      <c r="AK113">
        <v>484</v>
      </c>
      <c r="AL113">
        <v>468</v>
      </c>
      <c r="AM113">
        <v>420</v>
      </c>
      <c r="AN113">
        <v>4</v>
      </c>
      <c r="AP113" t="s">
        <v>148</v>
      </c>
      <c r="AQ113" s="5"/>
      <c r="AR113" s="4" t="s">
        <v>121</v>
      </c>
      <c r="AS113" s="4">
        <v>250</v>
      </c>
      <c r="AT113" s="4">
        <v>500</v>
      </c>
      <c r="AU113" s="4">
        <v>240</v>
      </c>
      <c r="AV113" s="4">
        <v>340</v>
      </c>
      <c r="AW113" s="4">
        <v>360</v>
      </c>
      <c r="AX113" s="4">
        <v>360</v>
      </c>
      <c r="AY113" s="4">
        <v>250</v>
      </c>
      <c r="AZ113">
        <v>390</v>
      </c>
      <c r="BA113">
        <v>390</v>
      </c>
      <c r="BB113">
        <v>390</v>
      </c>
    </row>
    <row r="114" spans="24:54" x14ac:dyDescent="0.2">
      <c r="X114" s="9" t="s">
        <v>117</v>
      </c>
      <c r="Y114" s="9" t="s">
        <v>169</v>
      </c>
      <c r="Z114">
        <v>380</v>
      </c>
      <c r="AA114">
        <v>420</v>
      </c>
      <c r="AB114">
        <v>480</v>
      </c>
      <c r="AC114">
        <v>510</v>
      </c>
      <c r="AD114">
        <v>480</v>
      </c>
      <c r="AE114">
        <v>370</v>
      </c>
      <c r="AF114">
        <v>340</v>
      </c>
      <c r="AG114">
        <v>371</v>
      </c>
      <c r="AH114">
        <v>334</v>
      </c>
      <c r="AI114">
        <v>249</v>
      </c>
      <c r="AJ114">
        <v>455</v>
      </c>
      <c r="AK114">
        <v>370</v>
      </c>
      <c r="AL114">
        <v>370</v>
      </c>
      <c r="AM114">
        <v>272</v>
      </c>
      <c r="AN114">
        <v>1</v>
      </c>
      <c r="AQ114" s="6" t="s">
        <v>257</v>
      </c>
      <c r="AR114" s="4" t="s">
        <v>117</v>
      </c>
      <c r="AS114" s="4">
        <v>220</v>
      </c>
      <c r="AT114" s="4">
        <v>500</v>
      </c>
      <c r="AU114" s="4">
        <v>180</v>
      </c>
      <c r="AV114" s="4">
        <v>300</v>
      </c>
      <c r="AW114" s="4">
        <v>320</v>
      </c>
      <c r="AX114" s="4">
        <v>320</v>
      </c>
      <c r="AY114" s="4">
        <v>210</v>
      </c>
      <c r="AZ114" s="4">
        <v>340</v>
      </c>
      <c r="BA114" s="4">
        <v>340</v>
      </c>
      <c r="BB114" s="4">
        <v>340</v>
      </c>
    </row>
    <row r="115" spans="24:54" x14ac:dyDescent="0.2">
      <c r="X115" s="9" t="s">
        <v>119</v>
      </c>
      <c r="Y115" s="9" t="s">
        <v>169</v>
      </c>
      <c r="Z115">
        <v>420</v>
      </c>
      <c r="AA115">
        <v>420</v>
      </c>
      <c r="AB115">
        <v>460</v>
      </c>
      <c r="AC115">
        <v>520</v>
      </c>
      <c r="AD115">
        <v>470</v>
      </c>
      <c r="AE115">
        <v>400</v>
      </c>
      <c r="AF115">
        <v>390</v>
      </c>
      <c r="AG115">
        <v>280</v>
      </c>
      <c r="AH115">
        <v>236</v>
      </c>
      <c r="AI115">
        <v>218</v>
      </c>
      <c r="AJ115">
        <v>304</v>
      </c>
      <c r="AK115">
        <v>273</v>
      </c>
      <c r="AL115">
        <v>273</v>
      </c>
      <c r="AM115">
        <v>218</v>
      </c>
      <c r="AN115">
        <v>2</v>
      </c>
      <c r="AQ115" s="5"/>
      <c r="AR115" s="4" t="s">
        <v>119</v>
      </c>
      <c r="AS115" s="4">
        <v>110</v>
      </c>
      <c r="AT115" s="4">
        <v>550</v>
      </c>
      <c r="AU115" s="4">
        <v>90</v>
      </c>
      <c r="AV115" s="4">
        <v>220</v>
      </c>
      <c r="AW115" s="4">
        <v>380</v>
      </c>
      <c r="AX115" s="4">
        <v>380</v>
      </c>
      <c r="AY115" s="4">
        <v>100</v>
      </c>
      <c r="AZ115" s="4">
        <v>390</v>
      </c>
      <c r="BA115" s="4">
        <v>390</v>
      </c>
      <c r="BB115" s="4">
        <v>390</v>
      </c>
    </row>
    <row r="116" spans="24:54" x14ac:dyDescent="0.2">
      <c r="X116" s="9" t="s">
        <v>120</v>
      </c>
      <c r="Y116" s="9" t="s">
        <v>169</v>
      </c>
      <c r="Z116">
        <v>450</v>
      </c>
      <c r="AA116">
        <v>400</v>
      </c>
      <c r="AB116">
        <v>490</v>
      </c>
      <c r="AC116">
        <v>410</v>
      </c>
      <c r="AD116">
        <v>340</v>
      </c>
      <c r="AE116">
        <v>420</v>
      </c>
      <c r="AF116">
        <v>430</v>
      </c>
      <c r="AG116">
        <v>339</v>
      </c>
      <c r="AH116">
        <v>282</v>
      </c>
      <c r="AI116">
        <v>243</v>
      </c>
      <c r="AJ116">
        <v>326</v>
      </c>
      <c r="AK116">
        <v>329</v>
      </c>
      <c r="AL116">
        <v>296</v>
      </c>
      <c r="AM116">
        <v>242</v>
      </c>
      <c r="AN116">
        <v>3</v>
      </c>
      <c r="AQ116" s="6"/>
      <c r="AR116" s="4" t="s">
        <v>120</v>
      </c>
      <c r="AS116" s="4">
        <v>170</v>
      </c>
      <c r="AT116" s="4">
        <v>600</v>
      </c>
      <c r="AU116" s="4">
        <v>140</v>
      </c>
      <c r="AV116" s="4">
        <v>270</v>
      </c>
      <c r="AW116" s="4">
        <v>390</v>
      </c>
      <c r="AX116" s="4">
        <v>390</v>
      </c>
      <c r="AY116" s="4">
        <v>160</v>
      </c>
      <c r="AZ116" s="4">
        <v>430</v>
      </c>
      <c r="BA116" s="4">
        <v>430</v>
      </c>
      <c r="BB116" s="4">
        <v>430</v>
      </c>
    </row>
    <row r="117" spans="24:54" x14ac:dyDescent="0.2">
      <c r="X117" s="9" t="s">
        <v>121</v>
      </c>
      <c r="Y117" s="9" t="s">
        <v>169</v>
      </c>
      <c r="Z117">
        <v>460</v>
      </c>
      <c r="AA117">
        <v>400</v>
      </c>
      <c r="AB117">
        <v>470</v>
      </c>
      <c r="AC117">
        <v>440</v>
      </c>
      <c r="AD117">
        <v>360</v>
      </c>
      <c r="AE117">
        <v>390</v>
      </c>
      <c r="AF117">
        <v>400</v>
      </c>
      <c r="AG117">
        <v>377</v>
      </c>
      <c r="AH117">
        <v>326</v>
      </c>
      <c r="AI117">
        <v>260</v>
      </c>
      <c r="AJ117">
        <v>421</v>
      </c>
      <c r="AK117">
        <v>350</v>
      </c>
      <c r="AL117">
        <v>354</v>
      </c>
      <c r="AM117">
        <v>261</v>
      </c>
      <c r="AN117">
        <v>4</v>
      </c>
      <c r="AP117" t="s">
        <v>131</v>
      </c>
      <c r="AQ117" s="5"/>
      <c r="AR117" s="4" t="s">
        <v>121</v>
      </c>
      <c r="AS117" s="4">
        <v>200</v>
      </c>
      <c r="AT117" s="4">
        <v>550</v>
      </c>
      <c r="AU117" s="4">
        <v>150</v>
      </c>
      <c r="AV117" s="4">
        <v>280</v>
      </c>
      <c r="AW117" s="4">
        <v>350</v>
      </c>
      <c r="AX117" s="4">
        <v>350</v>
      </c>
      <c r="AY117" s="4">
        <v>190</v>
      </c>
      <c r="AZ117" s="4">
        <v>400</v>
      </c>
      <c r="BA117" s="4">
        <v>400</v>
      </c>
      <c r="BB117" s="4">
        <v>400</v>
      </c>
    </row>
    <row r="118" spans="24:54" x14ac:dyDescent="0.2">
      <c r="X118" s="9" t="s">
        <v>117</v>
      </c>
      <c r="Y118" s="9" t="s">
        <v>171</v>
      </c>
      <c r="Z118">
        <v>380</v>
      </c>
      <c r="AA118">
        <v>420</v>
      </c>
      <c r="AB118">
        <v>480</v>
      </c>
      <c r="AC118">
        <v>510</v>
      </c>
      <c r="AD118">
        <v>480</v>
      </c>
      <c r="AE118">
        <v>370</v>
      </c>
      <c r="AF118">
        <v>340</v>
      </c>
      <c r="AG118">
        <v>493</v>
      </c>
      <c r="AI118">
        <v>324</v>
      </c>
      <c r="AJ118">
        <v>551</v>
      </c>
      <c r="AK118">
        <v>550</v>
      </c>
      <c r="AL118">
        <v>519</v>
      </c>
      <c r="AM118">
        <v>392</v>
      </c>
      <c r="AN118">
        <v>1</v>
      </c>
      <c r="AQ118" s="6" t="s">
        <v>258</v>
      </c>
      <c r="AR118" s="4" t="s">
        <v>117</v>
      </c>
      <c r="AS118">
        <v>220</v>
      </c>
      <c r="AT118">
        <v>706</v>
      </c>
      <c r="AU118">
        <v>208</v>
      </c>
      <c r="AV118">
        <v>323</v>
      </c>
      <c r="AW118">
        <v>415</v>
      </c>
      <c r="AX118">
        <v>467</v>
      </c>
      <c r="AY118">
        <v>223</v>
      </c>
      <c r="AZ118">
        <v>371</v>
      </c>
      <c r="BA118">
        <v>493</v>
      </c>
      <c r="BB118">
        <v>585</v>
      </c>
    </row>
    <row r="119" spans="24:54" x14ac:dyDescent="0.2">
      <c r="X119" s="9" t="s">
        <v>119</v>
      </c>
      <c r="Y119" s="9" t="s">
        <v>171</v>
      </c>
      <c r="Z119">
        <v>420</v>
      </c>
      <c r="AA119">
        <v>420</v>
      </c>
      <c r="AB119">
        <v>460</v>
      </c>
      <c r="AC119">
        <v>520</v>
      </c>
      <c r="AD119">
        <v>470</v>
      </c>
      <c r="AE119">
        <v>400</v>
      </c>
      <c r="AF119">
        <v>390</v>
      </c>
      <c r="AG119">
        <v>421</v>
      </c>
      <c r="AI119">
        <v>263</v>
      </c>
      <c r="AJ119">
        <v>521</v>
      </c>
      <c r="AK119">
        <v>545</v>
      </c>
      <c r="AL119">
        <v>433</v>
      </c>
      <c r="AM119">
        <v>315</v>
      </c>
      <c r="AN119">
        <v>2</v>
      </c>
      <c r="AQ119" s="5"/>
      <c r="AR119" s="4" t="s">
        <v>119</v>
      </c>
      <c r="AS119">
        <v>110</v>
      </c>
      <c r="AT119">
        <v>703</v>
      </c>
      <c r="AU119">
        <v>112</v>
      </c>
      <c r="AV119">
        <v>256</v>
      </c>
      <c r="AW119">
        <v>368</v>
      </c>
      <c r="AX119">
        <v>465</v>
      </c>
      <c r="AY119">
        <v>108</v>
      </c>
      <c r="AZ119">
        <v>280</v>
      </c>
      <c r="BA119">
        <v>421</v>
      </c>
      <c r="BB119">
        <v>543</v>
      </c>
    </row>
    <row r="120" spans="24:54" x14ac:dyDescent="0.2">
      <c r="X120" s="9" t="s">
        <v>120</v>
      </c>
      <c r="Y120" s="9" t="s">
        <v>171</v>
      </c>
      <c r="Z120">
        <v>450</v>
      </c>
      <c r="AA120">
        <v>400</v>
      </c>
      <c r="AB120">
        <v>490</v>
      </c>
      <c r="AC120">
        <v>410</v>
      </c>
      <c r="AD120">
        <v>340</v>
      </c>
      <c r="AE120">
        <v>420</v>
      </c>
      <c r="AF120">
        <v>430</v>
      </c>
      <c r="AG120">
        <v>470</v>
      </c>
      <c r="AI120">
        <v>304</v>
      </c>
      <c r="AJ120">
        <v>520</v>
      </c>
      <c r="AK120">
        <v>573</v>
      </c>
      <c r="AL120">
        <v>445</v>
      </c>
      <c r="AM120">
        <v>320</v>
      </c>
      <c r="AN120">
        <v>3</v>
      </c>
      <c r="AQ120" s="6"/>
      <c r="AR120" s="4" t="s">
        <v>120</v>
      </c>
      <c r="AS120">
        <v>170</v>
      </c>
      <c r="AT120">
        <v>721</v>
      </c>
      <c r="AU120">
        <v>169</v>
      </c>
      <c r="AV120">
        <v>306</v>
      </c>
      <c r="AW120">
        <v>392</v>
      </c>
      <c r="AX120">
        <v>464</v>
      </c>
      <c r="AY120">
        <v>176</v>
      </c>
      <c r="AZ120">
        <v>339</v>
      </c>
      <c r="BA120">
        <v>470</v>
      </c>
      <c r="BB120">
        <v>580</v>
      </c>
    </row>
    <row r="121" spans="24:54" x14ac:dyDescent="0.2">
      <c r="X121" s="9" t="s">
        <v>121</v>
      </c>
      <c r="Y121" s="9" t="s">
        <v>171</v>
      </c>
      <c r="Z121">
        <v>460</v>
      </c>
      <c r="AA121">
        <v>400</v>
      </c>
      <c r="AB121">
        <v>470</v>
      </c>
      <c r="AC121">
        <v>440</v>
      </c>
      <c r="AD121">
        <v>360</v>
      </c>
      <c r="AE121">
        <v>390</v>
      </c>
      <c r="AF121">
        <v>400</v>
      </c>
      <c r="AG121">
        <v>498</v>
      </c>
      <c r="AI121">
        <v>337</v>
      </c>
      <c r="AJ121">
        <v>512</v>
      </c>
      <c r="AK121">
        <v>567</v>
      </c>
      <c r="AL121">
        <v>500</v>
      </c>
      <c r="AM121">
        <v>342</v>
      </c>
      <c r="AN121">
        <v>4</v>
      </c>
      <c r="AP121" t="s">
        <v>131</v>
      </c>
      <c r="AQ121" s="5"/>
      <c r="AR121" s="4" t="s">
        <v>121</v>
      </c>
      <c r="AS121">
        <v>200</v>
      </c>
      <c r="AT121">
        <v>727</v>
      </c>
      <c r="AU121">
        <v>211</v>
      </c>
      <c r="AV121">
        <v>338</v>
      </c>
      <c r="AW121">
        <v>432</v>
      </c>
      <c r="AX121">
        <v>492</v>
      </c>
      <c r="AY121">
        <v>222</v>
      </c>
      <c r="AZ121">
        <v>377</v>
      </c>
      <c r="BA121">
        <v>498</v>
      </c>
      <c r="BB121">
        <v>590</v>
      </c>
    </row>
    <row r="122" spans="24:54" x14ac:dyDescent="0.2">
      <c r="X122" s="9" t="s">
        <v>117</v>
      </c>
      <c r="Y122" s="9" t="s">
        <v>164</v>
      </c>
      <c r="Z122">
        <v>75</v>
      </c>
      <c r="AA122">
        <v>230</v>
      </c>
      <c r="AB122">
        <v>90</v>
      </c>
      <c r="AC122">
        <v>240</v>
      </c>
      <c r="AD122">
        <v>300</v>
      </c>
      <c r="AE122">
        <v>80</v>
      </c>
      <c r="AF122">
        <v>210</v>
      </c>
      <c r="AG122">
        <v>223</v>
      </c>
      <c r="AH122">
        <v>216</v>
      </c>
      <c r="AI122">
        <v>231</v>
      </c>
      <c r="AJ122">
        <v>234</v>
      </c>
      <c r="AK122">
        <v>242</v>
      </c>
      <c r="AL122">
        <v>193</v>
      </c>
      <c r="AM122">
        <v>170</v>
      </c>
      <c r="AN122">
        <v>1</v>
      </c>
      <c r="AQ122" s="6" t="s">
        <v>259</v>
      </c>
      <c r="AR122" s="4" t="s">
        <v>117</v>
      </c>
      <c r="AS122">
        <v>220</v>
      </c>
      <c r="AT122">
        <v>620</v>
      </c>
      <c r="AU122">
        <v>227</v>
      </c>
      <c r="AV122">
        <v>319</v>
      </c>
      <c r="AW122">
        <v>398</v>
      </c>
      <c r="AX122">
        <v>452</v>
      </c>
      <c r="AY122">
        <v>216</v>
      </c>
      <c r="AZ122">
        <v>334</v>
      </c>
      <c r="BA122" t="s">
        <v>181</v>
      </c>
      <c r="BB122" t="s">
        <v>181</v>
      </c>
    </row>
    <row r="123" spans="24:54" x14ac:dyDescent="0.2">
      <c r="X123" s="9" t="s">
        <v>119</v>
      </c>
      <c r="Y123" s="9" t="s">
        <v>164</v>
      </c>
      <c r="Z123">
        <v>160</v>
      </c>
      <c r="AA123">
        <v>290</v>
      </c>
      <c r="AB123">
        <v>160</v>
      </c>
      <c r="AC123">
        <v>270</v>
      </c>
      <c r="AD123">
        <v>340</v>
      </c>
      <c r="AE123">
        <v>150</v>
      </c>
      <c r="AF123">
        <v>100</v>
      </c>
      <c r="AG123">
        <v>108</v>
      </c>
      <c r="AH123">
        <v>111</v>
      </c>
      <c r="AI123">
        <v>102</v>
      </c>
      <c r="AJ123">
        <v>111</v>
      </c>
      <c r="AK123">
        <v>120</v>
      </c>
      <c r="AL123">
        <v>115</v>
      </c>
      <c r="AM123">
        <v>133</v>
      </c>
      <c r="AN123">
        <v>2</v>
      </c>
      <c r="AQ123" s="5"/>
      <c r="AR123" s="4" t="s">
        <v>119</v>
      </c>
      <c r="AS123">
        <v>110</v>
      </c>
      <c r="AT123">
        <v>650</v>
      </c>
      <c r="AU123">
        <v>108</v>
      </c>
      <c r="AV123">
        <v>262</v>
      </c>
      <c r="AW123">
        <v>346</v>
      </c>
      <c r="AX123">
        <v>430</v>
      </c>
      <c r="AY123">
        <v>111</v>
      </c>
      <c r="AZ123">
        <v>236</v>
      </c>
      <c r="BA123" t="s">
        <v>181</v>
      </c>
      <c r="BB123" t="s">
        <v>181</v>
      </c>
    </row>
    <row r="124" spans="24:54" x14ac:dyDescent="0.2">
      <c r="X124" s="9" t="s">
        <v>120</v>
      </c>
      <c r="Y124" s="9" t="s">
        <v>164</v>
      </c>
      <c r="Z124">
        <v>220</v>
      </c>
      <c r="AA124">
        <v>75</v>
      </c>
      <c r="AB124">
        <v>215</v>
      </c>
      <c r="AC124">
        <v>95</v>
      </c>
      <c r="AD124">
        <v>100</v>
      </c>
      <c r="AE124">
        <v>230</v>
      </c>
      <c r="AF124">
        <v>160</v>
      </c>
      <c r="AG124">
        <v>176</v>
      </c>
      <c r="AH124">
        <v>169</v>
      </c>
      <c r="AI124">
        <v>175</v>
      </c>
      <c r="AJ124">
        <v>188</v>
      </c>
      <c r="AK124">
        <v>238</v>
      </c>
      <c r="AL124">
        <v>141</v>
      </c>
      <c r="AM124">
        <v>146</v>
      </c>
      <c r="AN124">
        <v>3</v>
      </c>
      <c r="AQ124" s="6"/>
      <c r="AR124" s="4" t="s">
        <v>120</v>
      </c>
      <c r="AS124">
        <v>170</v>
      </c>
      <c r="AT124">
        <v>670</v>
      </c>
      <c r="AU124">
        <v>170</v>
      </c>
      <c r="AV124">
        <v>266</v>
      </c>
      <c r="AW124">
        <v>363</v>
      </c>
      <c r="AX124">
        <v>444</v>
      </c>
      <c r="AY124">
        <v>169</v>
      </c>
      <c r="AZ124">
        <v>282</v>
      </c>
      <c r="BA124" t="s">
        <v>181</v>
      </c>
      <c r="BB124" t="s">
        <v>181</v>
      </c>
    </row>
    <row r="125" spans="24:54" x14ac:dyDescent="0.2">
      <c r="X125" s="9" t="s">
        <v>121</v>
      </c>
      <c r="Y125" s="9" t="s">
        <v>164</v>
      </c>
      <c r="Z125">
        <v>260</v>
      </c>
      <c r="AA125">
        <v>150</v>
      </c>
      <c r="AB125">
        <v>230</v>
      </c>
      <c r="AC125">
        <v>140</v>
      </c>
      <c r="AD125">
        <v>170</v>
      </c>
      <c r="AE125">
        <v>250</v>
      </c>
      <c r="AF125">
        <v>190</v>
      </c>
      <c r="AG125">
        <v>222</v>
      </c>
      <c r="AH125">
        <v>214</v>
      </c>
      <c r="AI125">
        <v>208</v>
      </c>
      <c r="AJ125">
        <v>209</v>
      </c>
      <c r="AK125">
        <v>260</v>
      </c>
      <c r="AL125">
        <v>189</v>
      </c>
      <c r="AM125">
        <v>157</v>
      </c>
      <c r="AN125">
        <v>4</v>
      </c>
      <c r="AP125" t="s">
        <v>131</v>
      </c>
      <c r="AQ125" s="5"/>
      <c r="AR125" s="4" t="s">
        <v>121</v>
      </c>
      <c r="AS125">
        <v>200</v>
      </c>
      <c r="AT125">
        <v>660</v>
      </c>
      <c r="AU125">
        <v>225</v>
      </c>
      <c r="AV125">
        <v>307</v>
      </c>
      <c r="AW125">
        <v>398</v>
      </c>
      <c r="AX125">
        <v>452</v>
      </c>
      <c r="AY125">
        <v>214</v>
      </c>
      <c r="AZ125">
        <v>326</v>
      </c>
      <c r="BA125" t="s">
        <v>181</v>
      </c>
      <c r="BB125" t="s">
        <v>181</v>
      </c>
    </row>
    <row r="126" spans="24:54" x14ac:dyDescent="0.2">
      <c r="X126" s="9" t="s">
        <v>117</v>
      </c>
      <c r="Y126" s="9" t="s">
        <v>176</v>
      </c>
      <c r="Z126">
        <v>380</v>
      </c>
      <c r="AA126">
        <v>420</v>
      </c>
      <c r="AB126">
        <v>480</v>
      </c>
      <c r="AC126">
        <v>510</v>
      </c>
      <c r="AD126">
        <v>480</v>
      </c>
      <c r="AE126">
        <v>370</v>
      </c>
      <c r="AF126">
        <v>340</v>
      </c>
      <c r="AG126">
        <v>585</v>
      </c>
      <c r="AJ126">
        <v>660</v>
      </c>
      <c r="AK126">
        <v>620</v>
      </c>
      <c r="AL126">
        <v>565</v>
      </c>
      <c r="AM126">
        <v>531</v>
      </c>
      <c r="AN126">
        <v>1</v>
      </c>
      <c r="AQ126" s="6" t="s">
        <v>260</v>
      </c>
      <c r="AR126" s="4" t="s">
        <v>117</v>
      </c>
      <c r="AS126">
        <v>220</v>
      </c>
      <c r="AT126">
        <v>620</v>
      </c>
      <c r="AU126">
        <v>177</v>
      </c>
      <c r="AV126">
        <v>267</v>
      </c>
      <c r="AW126">
        <v>365</v>
      </c>
      <c r="AX126">
        <v>406</v>
      </c>
      <c r="AY126">
        <v>231</v>
      </c>
      <c r="AZ126">
        <v>249</v>
      </c>
      <c r="BA126">
        <v>324</v>
      </c>
      <c r="BB126" t="s">
        <v>181</v>
      </c>
    </row>
    <row r="127" spans="24:54" x14ac:dyDescent="0.2">
      <c r="X127" s="9" t="s">
        <v>119</v>
      </c>
      <c r="Y127" s="9" t="s">
        <v>176</v>
      </c>
      <c r="Z127">
        <v>420</v>
      </c>
      <c r="AA127">
        <v>420</v>
      </c>
      <c r="AB127">
        <v>460</v>
      </c>
      <c r="AC127">
        <v>520</v>
      </c>
      <c r="AD127">
        <v>470</v>
      </c>
      <c r="AE127">
        <v>400</v>
      </c>
      <c r="AF127">
        <v>390</v>
      </c>
      <c r="AG127">
        <v>543</v>
      </c>
      <c r="AJ127">
        <v>547</v>
      </c>
      <c r="AK127">
        <v>553</v>
      </c>
      <c r="AL127">
        <v>556</v>
      </c>
      <c r="AM127">
        <v>445</v>
      </c>
      <c r="AN127">
        <v>2</v>
      </c>
      <c r="AQ127" s="5"/>
      <c r="AR127" s="4" t="s">
        <v>119</v>
      </c>
      <c r="AS127">
        <v>110</v>
      </c>
      <c r="AT127">
        <v>650</v>
      </c>
      <c r="AU127">
        <v>102</v>
      </c>
      <c r="AV127">
        <v>203</v>
      </c>
      <c r="AW127">
        <v>299</v>
      </c>
      <c r="AX127">
        <v>380</v>
      </c>
      <c r="AY127">
        <v>102</v>
      </c>
      <c r="AZ127">
        <v>218</v>
      </c>
      <c r="BA127">
        <v>263</v>
      </c>
      <c r="BB127" t="s">
        <v>181</v>
      </c>
    </row>
    <row r="128" spans="24:54" x14ac:dyDescent="0.2">
      <c r="X128" s="9" t="s">
        <v>120</v>
      </c>
      <c r="Y128" s="9" t="s">
        <v>176</v>
      </c>
      <c r="Z128">
        <v>450</v>
      </c>
      <c r="AA128">
        <v>400</v>
      </c>
      <c r="AB128">
        <v>490</v>
      </c>
      <c r="AC128">
        <v>410</v>
      </c>
      <c r="AD128">
        <v>340</v>
      </c>
      <c r="AE128">
        <v>420</v>
      </c>
      <c r="AF128">
        <v>430</v>
      </c>
      <c r="AG128">
        <v>580</v>
      </c>
      <c r="AJ128">
        <v>582</v>
      </c>
      <c r="AK128">
        <v>620</v>
      </c>
      <c r="AL128">
        <v>593</v>
      </c>
      <c r="AM128">
        <v>471</v>
      </c>
      <c r="AN128">
        <v>3</v>
      </c>
      <c r="AQ128" s="6"/>
      <c r="AR128" s="4" t="s">
        <v>120</v>
      </c>
      <c r="AS128">
        <v>170</v>
      </c>
      <c r="AT128">
        <v>670</v>
      </c>
      <c r="AU128">
        <v>173</v>
      </c>
      <c r="AV128">
        <v>250</v>
      </c>
      <c r="AW128">
        <v>336</v>
      </c>
      <c r="AX128">
        <v>414</v>
      </c>
      <c r="AY128">
        <v>175</v>
      </c>
      <c r="AZ128">
        <v>243</v>
      </c>
      <c r="BA128">
        <v>304</v>
      </c>
      <c r="BB128" t="s">
        <v>181</v>
      </c>
    </row>
    <row r="129" spans="24:54" x14ac:dyDescent="0.2">
      <c r="X129" s="9" t="s">
        <v>121</v>
      </c>
      <c r="Y129" s="9" t="s">
        <v>176</v>
      </c>
      <c r="Z129">
        <v>460</v>
      </c>
      <c r="AA129">
        <v>400</v>
      </c>
      <c r="AB129">
        <v>470</v>
      </c>
      <c r="AC129">
        <v>440</v>
      </c>
      <c r="AD129">
        <v>360</v>
      </c>
      <c r="AE129">
        <v>390</v>
      </c>
      <c r="AF129">
        <v>400</v>
      </c>
      <c r="AG129">
        <v>590</v>
      </c>
      <c r="AJ129">
        <v>605</v>
      </c>
      <c r="AK129">
        <v>620</v>
      </c>
      <c r="AL129">
        <v>553</v>
      </c>
      <c r="AM129">
        <v>484</v>
      </c>
      <c r="AN129">
        <v>4</v>
      </c>
      <c r="AP129" t="s">
        <v>182</v>
      </c>
      <c r="AQ129" s="5"/>
      <c r="AR129" s="4" t="s">
        <v>121</v>
      </c>
      <c r="AS129">
        <v>200</v>
      </c>
      <c r="AT129">
        <v>660</v>
      </c>
      <c r="AU129">
        <v>202</v>
      </c>
      <c r="AV129">
        <v>272</v>
      </c>
      <c r="AW129">
        <v>365</v>
      </c>
      <c r="AX129">
        <v>390</v>
      </c>
      <c r="AY129">
        <v>208</v>
      </c>
      <c r="AZ129">
        <v>260</v>
      </c>
      <c r="BA129">
        <v>337</v>
      </c>
      <c r="BB129" t="s">
        <v>181</v>
      </c>
    </row>
    <row r="130" spans="24:54" x14ac:dyDescent="0.2">
      <c r="AQ130" s="6" t="s">
        <v>261</v>
      </c>
      <c r="AR130" s="4" t="s">
        <v>117</v>
      </c>
      <c r="AS130">
        <v>260</v>
      </c>
      <c r="AT130" s="4">
        <v>705</v>
      </c>
      <c r="AU130" s="4">
        <v>215</v>
      </c>
      <c r="AV130">
        <v>302</v>
      </c>
      <c r="AW130">
        <v>416</v>
      </c>
      <c r="AX130">
        <v>519</v>
      </c>
      <c r="AY130">
        <v>234</v>
      </c>
      <c r="AZ130">
        <v>455</v>
      </c>
      <c r="BA130">
        <v>551</v>
      </c>
      <c r="BB130" s="4">
        <v>660</v>
      </c>
    </row>
    <row r="131" spans="24:54" x14ac:dyDescent="0.2">
      <c r="AQ131" s="5"/>
      <c r="AR131" s="4" t="s">
        <v>119</v>
      </c>
      <c r="AS131">
        <v>153</v>
      </c>
      <c r="AT131">
        <v>703</v>
      </c>
      <c r="AU131" s="4">
        <v>118</v>
      </c>
      <c r="AV131">
        <v>277</v>
      </c>
      <c r="AW131">
        <v>397</v>
      </c>
      <c r="AX131">
        <v>483</v>
      </c>
      <c r="AY131">
        <v>111</v>
      </c>
      <c r="AZ131">
        <v>304</v>
      </c>
      <c r="BA131">
        <v>521</v>
      </c>
      <c r="BB131" s="4">
        <v>547</v>
      </c>
    </row>
    <row r="132" spans="24:54" x14ac:dyDescent="0.2">
      <c r="AQ132" s="6"/>
      <c r="AR132" s="4" t="s">
        <v>120</v>
      </c>
      <c r="AS132">
        <v>168</v>
      </c>
      <c r="AT132">
        <v>718</v>
      </c>
      <c r="AU132" s="4">
        <v>191</v>
      </c>
      <c r="AV132">
        <v>319</v>
      </c>
      <c r="AW132">
        <v>440</v>
      </c>
      <c r="AX132">
        <v>506</v>
      </c>
      <c r="AY132">
        <v>188</v>
      </c>
      <c r="AZ132">
        <v>326</v>
      </c>
      <c r="BA132">
        <v>520</v>
      </c>
      <c r="BB132" s="4">
        <v>582</v>
      </c>
    </row>
    <row r="133" spans="24:54" x14ac:dyDescent="0.2">
      <c r="AP133" t="s">
        <v>182</v>
      </c>
      <c r="AQ133" s="5"/>
      <c r="AR133" s="4" t="s">
        <v>121</v>
      </c>
      <c r="AS133">
        <v>235</v>
      </c>
      <c r="AT133">
        <v>722</v>
      </c>
      <c r="AU133" s="4">
        <v>207</v>
      </c>
      <c r="AV133">
        <v>352</v>
      </c>
      <c r="AW133">
        <v>470</v>
      </c>
      <c r="AX133">
        <v>514</v>
      </c>
      <c r="AY133">
        <v>209</v>
      </c>
      <c r="AZ133">
        <v>421</v>
      </c>
      <c r="BA133">
        <v>512</v>
      </c>
      <c r="BB133" s="4">
        <v>605</v>
      </c>
    </row>
    <row r="134" spans="24:54" x14ac:dyDescent="0.2">
      <c r="AQ134" s="6" t="s">
        <v>262</v>
      </c>
      <c r="AR134" s="4" t="s">
        <v>117</v>
      </c>
      <c r="AS134">
        <v>230</v>
      </c>
      <c r="AT134" s="4">
        <v>674</v>
      </c>
      <c r="AU134" s="4">
        <v>217</v>
      </c>
      <c r="AV134">
        <v>344</v>
      </c>
      <c r="AW134">
        <v>357</v>
      </c>
      <c r="AX134">
        <v>467</v>
      </c>
      <c r="AY134">
        <v>242</v>
      </c>
      <c r="AZ134">
        <v>370</v>
      </c>
      <c r="BA134">
        <v>550</v>
      </c>
      <c r="BB134" s="4">
        <v>620</v>
      </c>
    </row>
    <row r="135" spans="24:54" x14ac:dyDescent="0.2">
      <c r="AQ135" s="5"/>
      <c r="AR135" s="4" t="s">
        <v>119</v>
      </c>
      <c r="AS135">
        <v>113</v>
      </c>
      <c r="AT135" s="4">
        <v>669</v>
      </c>
      <c r="AU135" s="4">
        <v>113</v>
      </c>
      <c r="AV135">
        <v>283</v>
      </c>
      <c r="AW135">
        <v>361</v>
      </c>
      <c r="AX135">
        <v>477</v>
      </c>
      <c r="AY135">
        <v>120</v>
      </c>
      <c r="AZ135">
        <v>273</v>
      </c>
      <c r="BA135">
        <v>545</v>
      </c>
      <c r="BB135" s="4">
        <v>553</v>
      </c>
    </row>
    <row r="136" spans="24:54" x14ac:dyDescent="0.2">
      <c r="AQ136" s="6"/>
      <c r="AR136" s="4" t="s">
        <v>120</v>
      </c>
      <c r="AS136">
        <v>172</v>
      </c>
      <c r="AT136" s="4">
        <v>685</v>
      </c>
      <c r="AU136" s="4">
        <v>172</v>
      </c>
      <c r="AV136">
        <v>309</v>
      </c>
      <c r="AW136">
        <v>376</v>
      </c>
      <c r="AX136">
        <v>471</v>
      </c>
      <c r="AY136">
        <v>238</v>
      </c>
      <c r="AZ136">
        <v>329</v>
      </c>
      <c r="BA136">
        <v>573</v>
      </c>
      <c r="BB136" s="4">
        <v>620</v>
      </c>
    </row>
    <row r="137" spans="24:54" x14ac:dyDescent="0.2">
      <c r="AP137" t="s">
        <v>182</v>
      </c>
      <c r="AQ137" s="5"/>
      <c r="AR137" s="4" t="s">
        <v>121</v>
      </c>
      <c r="AS137">
        <v>241</v>
      </c>
      <c r="AT137" s="4">
        <v>692</v>
      </c>
      <c r="AU137" s="4">
        <v>208</v>
      </c>
      <c r="AV137">
        <v>344</v>
      </c>
      <c r="AW137">
        <v>364</v>
      </c>
      <c r="AX137">
        <v>484</v>
      </c>
      <c r="AY137">
        <v>260</v>
      </c>
      <c r="AZ137">
        <v>350</v>
      </c>
      <c r="BA137">
        <v>567</v>
      </c>
      <c r="BB137" s="4">
        <v>620</v>
      </c>
    </row>
    <row r="138" spans="24:54" x14ac:dyDescent="0.2">
      <c r="AQ138" s="6" t="s">
        <v>263</v>
      </c>
      <c r="AR138" s="4" t="s">
        <v>117</v>
      </c>
      <c r="AS138">
        <v>236</v>
      </c>
      <c r="AT138" s="4">
        <v>674</v>
      </c>
      <c r="AU138" s="4">
        <v>178</v>
      </c>
      <c r="AV138">
        <v>310</v>
      </c>
      <c r="AW138">
        <v>428</v>
      </c>
      <c r="AX138">
        <v>466</v>
      </c>
      <c r="AY138">
        <v>193</v>
      </c>
      <c r="AZ138">
        <v>370</v>
      </c>
      <c r="BA138">
        <v>519</v>
      </c>
      <c r="BB138" s="4">
        <v>565</v>
      </c>
    </row>
    <row r="139" spans="24:54" x14ac:dyDescent="0.2">
      <c r="AQ139" s="5"/>
      <c r="AR139" s="4" t="s">
        <v>119</v>
      </c>
      <c r="AS139">
        <v>120</v>
      </c>
      <c r="AT139" s="4">
        <v>669</v>
      </c>
      <c r="AU139" s="4">
        <v>112</v>
      </c>
      <c r="AV139">
        <v>250</v>
      </c>
      <c r="AW139">
        <v>390</v>
      </c>
      <c r="AX139">
        <v>448</v>
      </c>
      <c r="AY139">
        <v>115</v>
      </c>
      <c r="AZ139">
        <v>273</v>
      </c>
      <c r="BA139">
        <v>433</v>
      </c>
      <c r="BB139" s="4">
        <v>556</v>
      </c>
    </row>
    <row r="140" spans="24:54" x14ac:dyDescent="0.2">
      <c r="AQ140" s="6"/>
      <c r="AR140" s="4" t="s">
        <v>120</v>
      </c>
      <c r="AS140">
        <v>125</v>
      </c>
      <c r="AT140" s="4">
        <v>685</v>
      </c>
      <c r="AU140" s="4">
        <v>140</v>
      </c>
      <c r="AV140">
        <v>277</v>
      </c>
      <c r="AW140">
        <v>407</v>
      </c>
      <c r="AX140">
        <v>455</v>
      </c>
      <c r="AY140">
        <v>141</v>
      </c>
      <c r="AZ140">
        <v>296</v>
      </c>
      <c r="BA140">
        <v>445</v>
      </c>
      <c r="BB140" s="4">
        <v>593</v>
      </c>
    </row>
    <row r="141" spans="24:54" x14ac:dyDescent="0.2">
      <c r="AP141" t="s">
        <v>182</v>
      </c>
      <c r="AQ141" s="5"/>
      <c r="AR141" s="4" t="s">
        <v>121</v>
      </c>
      <c r="AS141" s="4">
        <v>180</v>
      </c>
      <c r="AT141" s="4">
        <v>692</v>
      </c>
      <c r="AU141" s="4">
        <v>183</v>
      </c>
      <c r="AV141">
        <v>316</v>
      </c>
      <c r="AW141">
        <v>438</v>
      </c>
      <c r="AX141">
        <v>468</v>
      </c>
      <c r="AY141">
        <v>189</v>
      </c>
      <c r="AZ141">
        <v>354</v>
      </c>
      <c r="BA141">
        <v>500</v>
      </c>
      <c r="BB141" s="4">
        <v>553</v>
      </c>
    </row>
    <row r="142" spans="24:54" x14ac:dyDescent="0.2">
      <c r="AQ142" s="6" t="s">
        <v>264</v>
      </c>
      <c r="AR142" s="4" t="s">
        <v>117</v>
      </c>
      <c r="AS142" s="4">
        <v>190</v>
      </c>
      <c r="AT142" s="4">
        <v>617</v>
      </c>
      <c r="AU142" s="4">
        <v>174</v>
      </c>
      <c r="AV142">
        <v>265</v>
      </c>
      <c r="AW142">
        <v>371</v>
      </c>
      <c r="AX142">
        <v>415</v>
      </c>
      <c r="AY142">
        <v>170</v>
      </c>
      <c r="AZ142">
        <v>272</v>
      </c>
      <c r="BA142">
        <v>392</v>
      </c>
      <c r="BB142" s="4">
        <v>531</v>
      </c>
    </row>
    <row r="143" spans="24:54" x14ac:dyDescent="0.2">
      <c r="AQ143" s="5"/>
      <c r="AR143" s="4" t="s">
        <v>119</v>
      </c>
      <c r="AS143">
        <v>119</v>
      </c>
      <c r="AT143" s="4">
        <v>591</v>
      </c>
      <c r="AU143" s="4">
        <v>140</v>
      </c>
      <c r="AV143">
        <v>205</v>
      </c>
      <c r="AW143">
        <v>310</v>
      </c>
      <c r="AX143">
        <v>405</v>
      </c>
      <c r="AY143">
        <v>133</v>
      </c>
      <c r="AZ143">
        <v>218</v>
      </c>
      <c r="BA143">
        <v>315</v>
      </c>
      <c r="BB143" s="4">
        <v>445</v>
      </c>
    </row>
    <row r="144" spans="24:54" x14ac:dyDescent="0.2">
      <c r="AQ144" s="6"/>
      <c r="AR144" s="4" t="s">
        <v>120</v>
      </c>
      <c r="AS144">
        <v>175</v>
      </c>
      <c r="AT144" s="4">
        <v>610</v>
      </c>
      <c r="AU144" s="4">
        <v>163</v>
      </c>
      <c r="AV144">
        <v>232</v>
      </c>
      <c r="AW144">
        <v>351</v>
      </c>
      <c r="AX144">
        <v>427</v>
      </c>
      <c r="AY144">
        <v>146</v>
      </c>
      <c r="AZ144">
        <v>242</v>
      </c>
      <c r="BA144">
        <v>320</v>
      </c>
      <c r="BB144" s="4">
        <v>471</v>
      </c>
    </row>
    <row r="145" spans="43:54" x14ac:dyDescent="0.2">
      <c r="AQ145" s="7"/>
      <c r="AR145" s="4" t="s">
        <v>121</v>
      </c>
      <c r="AS145">
        <v>192</v>
      </c>
      <c r="AT145" s="4">
        <v>615</v>
      </c>
      <c r="AU145" s="4">
        <v>162</v>
      </c>
      <c r="AV145">
        <v>255</v>
      </c>
      <c r="AW145">
        <v>364</v>
      </c>
      <c r="AX145">
        <v>420</v>
      </c>
      <c r="AY145">
        <v>157</v>
      </c>
      <c r="AZ145">
        <v>261</v>
      </c>
      <c r="BA145">
        <v>342</v>
      </c>
      <c r="BB145" s="4">
        <v>484</v>
      </c>
    </row>
  </sheetData>
  <pageMargins left="0.7" right="0.7" top="0.75" bottom="0.75" header="0.3" footer="0.3"/>
  <ignoredErrors>
    <ignoredError sqref="V2:V10 T11 S2:T10 N2:N10 L2:L10 P2:Q10 H2:J9 H10:I10" numberStoredAsText="1"/>
  </ignoredErrors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BD29-E38B-F74C-A841-8956107D0F83}">
  <dimension ref="B1:F29"/>
  <sheetViews>
    <sheetView topLeftCell="A2" zoomScale="125" zoomScaleNormal="125" workbookViewId="0">
      <selection activeCell="F18" sqref="F18"/>
    </sheetView>
  </sheetViews>
  <sheetFormatPr baseColWidth="10" defaultRowHeight="16" x14ac:dyDescent="0.2"/>
  <cols>
    <col min="2" max="2" width="21.1640625" customWidth="1"/>
    <col min="3" max="3" width="14.6640625" customWidth="1"/>
    <col min="4" max="4" width="15" customWidth="1"/>
    <col min="5" max="5" width="16.1640625" customWidth="1"/>
    <col min="6" max="6" width="16.6640625" customWidth="1"/>
  </cols>
  <sheetData>
    <row r="1" spans="2:6" x14ac:dyDescent="0.2">
      <c r="B1" t="s">
        <v>291</v>
      </c>
      <c r="D1" t="s">
        <v>289</v>
      </c>
      <c r="E1" t="s">
        <v>292</v>
      </c>
      <c r="F1" t="s">
        <v>293</v>
      </c>
    </row>
    <row r="2" spans="2:6" ht="106" customHeight="1" x14ac:dyDescent="0.2">
      <c r="F2" s="33" t="s">
        <v>294</v>
      </c>
    </row>
    <row r="3" spans="2:6" x14ac:dyDescent="0.2">
      <c r="B3">
        <v>2025</v>
      </c>
      <c r="C3" t="s">
        <v>276</v>
      </c>
      <c r="D3">
        <v>0.1</v>
      </c>
    </row>
    <row r="4" spans="2:6" x14ac:dyDescent="0.2">
      <c r="B4">
        <v>2025</v>
      </c>
      <c r="C4" t="s">
        <v>273</v>
      </c>
      <c r="D4">
        <v>0.7</v>
      </c>
      <c r="E4">
        <v>0.7</v>
      </c>
      <c r="F4">
        <v>0.1</v>
      </c>
    </row>
    <row r="5" spans="2:6" x14ac:dyDescent="0.2">
      <c r="B5" t="s">
        <v>290</v>
      </c>
      <c r="C5" t="s">
        <v>274</v>
      </c>
      <c r="D5">
        <v>0</v>
      </c>
      <c r="E5">
        <v>0</v>
      </c>
      <c r="F5">
        <v>0.7</v>
      </c>
    </row>
    <row r="6" spans="2:6" x14ac:dyDescent="0.2">
      <c r="B6">
        <v>2026</v>
      </c>
      <c r="C6" t="s">
        <v>275</v>
      </c>
      <c r="D6">
        <v>0</v>
      </c>
      <c r="E6">
        <v>0</v>
      </c>
      <c r="F6">
        <v>0</v>
      </c>
    </row>
    <row r="7" spans="2:6" x14ac:dyDescent="0.2">
      <c r="B7">
        <v>2026</v>
      </c>
      <c r="C7" t="s">
        <v>276</v>
      </c>
      <c r="D7">
        <v>0.2</v>
      </c>
      <c r="E7">
        <v>0.2</v>
      </c>
      <c r="F7">
        <v>0</v>
      </c>
    </row>
    <row r="12" spans="2:6" x14ac:dyDescent="0.2">
      <c r="B12">
        <v>2024</v>
      </c>
      <c r="C12" t="s">
        <v>283</v>
      </c>
      <c r="D12">
        <v>0.05</v>
      </c>
      <c r="E12">
        <f t="shared" ref="E12:E17" si="0">D12+D11+D10</f>
        <v>0.05</v>
      </c>
    </row>
    <row r="13" spans="2:6" x14ac:dyDescent="0.2">
      <c r="B13">
        <v>2024</v>
      </c>
      <c r="C13" t="s">
        <v>284</v>
      </c>
      <c r="D13">
        <v>0.05</v>
      </c>
      <c r="E13">
        <f t="shared" si="0"/>
        <v>0.1</v>
      </c>
    </row>
    <row r="14" spans="2:6" x14ac:dyDescent="0.2">
      <c r="B14">
        <v>2024</v>
      </c>
      <c r="C14" t="s">
        <v>285</v>
      </c>
      <c r="D14">
        <v>0.3</v>
      </c>
      <c r="E14">
        <f t="shared" si="0"/>
        <v>0.39999999999999997</v>
      </c>
    </row>
    <row r="15" spans="2:6" x14ac:dyDescent="0.2">
      <c r="B15">
        <v>2024</v>
      </c>
      <c r="C15" t="s">
        <v>286</v>
      </c>
      <c r="D15">
        <v>0.25</v>
      </c>
      <c r="E15">
        <f t="shared" si="0"/>
        <v>0.60000000000000009</v>
      </c>
    </row>
    <row r="16" spans="2:6" x14ac:dyDescent="0.2">
      <c r="B16">
        <v>2024</v>
      </c>
      <c r="C16" t="s">
        <v>287</v>
      </c>
      <c r="D16">
        <v>0.15</v>
      </c>
      <c r="E16">
        <f t="shared" si="0"/>
        <v>0.7</v>
      </c>
    </row>
    <row r="17" spans="2:6" x14ac:dyDescent="0.2">
      <c r="B17">
        <v>2024</v>
      </c>
      <c r="C17" t="s">
        <v>288</v>
      </c>
      <c r="D17">
        <v>0</v>
      </c>
      <c r="E17">
        <f t="shared" si="0"/>
        <v>0.4</v>
      </c>
    </row>
    <row r="18" spans="2:6" x14ac:dyDescent="0.2">
      <c r="B18">
        <v>2025</v>
      </c>
      <c r="C18" t="s">
        <v>277</v>
      </c>
      <c r="D18">
        <v>0</v>
      </c>
      <c r="E18">
        <f>D18+D17+D16</f>
        <v>0.15</v>
      </c>
      <c r="F18">
        <f>E15</f>
        <v>0.60000000000000009</v>
      </c>
    </row>
    <row r="19" spans="2:6" x14ac:dyDescent="0.2">
      <c r="B19">
        <v>2025</v>
      </c>
      <c r="C19" t="s">
        <v>278</v>
      </c>
      <c r="D19">
        <v>0</v>
      </c>
      <c r="E19">
        <f t="shared" ref="E19:E29" si="1">D19+D18+D17</f>
        <v>0</v>
      </c>
      <c r="F19">
        <f t="shared" ref="F19:F29" si="2">E16</f>
        <v>0.7</v>
      </c>
    </row>
    <row r="20" spans="2:6" x14ac:dyDescent="0.2">
      <c r="B20">
        <v>2025</v>
      </c>
      <c r="C20" t="s">
        <v>279</v>
      </c>
      <c r="D20">
        <v>0</v>
      </c>
      <c r="E20">
        <f t="shared" si="1"/>
        <v>0</v>
      </c>
      <c r="F20">
        <f t="shared" si="2"/>
        <v>0.4</v>
      </c>
    </row>
    <row r="21" spans="2:6" x14ac:dyDescent="0.2">
      <c r="B21">
        <v>2025</v>
      </c>
      <c r="C21" t="s">
        <v>280</v>
      </c>
      <c r="D21">
        <v>0</v>
      </c>
      <c r="E21">
        <f t="shared" si="1"/>
        <v>0</v>
      </c>
      <c r="F21">
        <f t="shared" si="2"/>
        <v>0.15</v>
      </c>
    </row>
    <row r="22" spans="2:6" x14ac:dyDescent="0.2">
      <c r="B22">
        <v>2025</v>
      </c>
      <c r="C22" t="s">
        <v>281</v>
      </c>
      <c r="D22">
        <v>0</v>
      </c>
      <c r="E22">
        <f t="shared" si="1"/>
        <v>0</v>
      </c>
      <c r="F22">
        <f t="shared" si="2"/>
        <v>0</v>
      </c>
    </row>
    <row r="23" spans="2:6" x14ac:dyDescent="0.2">
      <c r="B23">
        <v>2025</v>
      </c>
      <c r="C23" t="s">
        <v>282</v>
      </c>
      <c r="D23">
        <v>0</v>
      </c>
      <c r="E23">
        <f t="shared" si="1"/>
        <v>0</v>
      </c>
      <c r="F23">
        <f t="shared" si="2"/>
        <v>0</v>
      </c>
    </row>
    <row r="24" spans="2:6" x14ac:dyDescent="0.2">
      <c r="B24">
        <v>2025</v>
      </c>
      <c r="C24" t="s">
        <v>283</v>
      </c>
      <c r="D24">
        <v>0</v>
      </c>
      <c r="E24">
        <f t="shared" si="1"/>
        <v>0</v>
      </c>
      <c r="F24">
        <f t="shared" si="2"/>
        <v>0</v>
      </c>
    </row>
    <row r="25" spans="2:6" x14ac:dyDescent="0.2">
      <c r="B25">
        <v>2025</v>
      </c>
      <c r="C25" t="s">
        <v>284</v>
      </c>
      <c r="D25">
        <v>0.1</v>
      </c>
      <c r="E25">
        <f t="shared" si="1"/>
        <v>0.1</v>
      </c>
      <c r="F25">
        <f t="shared" si="2"/>
        <v>0</v>
      </c>
    </row>
    <row r="26" spans="2:6" x14ac:dyDescent="0.2">
      <c r="B26">
        <v>2025</v>
      </c>
      <c r="C26" t="s">
        <v>285</v>
      </c>
      <c r="D26">
        <v>0.2</v>
      </c>
      <c r="E26">
        <f t="shared" si="1"/>
        <v>0.30000000000000004</v>
      </c>
      <c r="F26">
        <f t="shared" si="2"/>
        <v>0</v>
      </c>
    </row>
    <row r="27" spans="2:6" x14ac:dyDescent="0.2">
      <c r="B27">
        <v>2025</v>
      </c>
      <c r="C27" t="s">
        <v>286</v>
      </c>
      <c r="D27">
        <v>0.3</v>
      </c>
      <c r="E27">
        <f t="shared" si="1"/>
        <v>0.6</v>
      </c>
      <c r="F27">
        <f t="shared" si="2"/>
        <v>0</v>
      </c>
    </row>
    <row r="28" spans="2:6" x14ac:dyDescent="0.2">
      <c r="B28">
        <v>2025</v>
      </c>
      <c r="C28" t="s">
        <v>287</v>
      </c>
      <c r="D28">
        <v>0.2</v>
      </c>
      <c r="E28">
        <f t="shared" si="1"/>
        <v>0.7</v>
      </c>
      <c r="F28">
        <f t="shared" si="2"/>
        <v>0.1</v>
      </c>
    </row>
    <row r="29" spans="2:6" x14ac:dyDescent="0.2">
      <c r="B29">
        <v>2025</v>
      </c>
      <c r="C29" t="s">
        <v>288</v>
      </c>
      <c r="D29">
        <v>0</v>
      </c>
      <c r="E29">
        <f t="shared" si="1"/>
        <v>0.5</v>
      </c>
      <c r="F29">
        <f t="shared" si="2"/>
        <v>0.30000000000000004</v>
      </c>
    </row>
  </sheetData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A60439A-82E3-BB4A-BD97-7446965F3B5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3.2.1 methane</vt:lpstr>
      <vt:lpstr>Table1</vt:lpstr>
      <vt:lpstr>3 2 1</vt:lpstr>
      <vt:lpstr>3.2.1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2026-06-22T06:16:17Z</dcterms:modified>
</cp:coreProperties>
</file>