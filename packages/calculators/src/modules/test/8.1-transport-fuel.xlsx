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-internal/packages/calculators/src/modules/test/"/>
    </mc:Choice>
  </mc:AlternateContent>
  <xr:revisionPtr revIDLastSave="0" documentId="13_ncr:1_{01AA7B24-05AC-454A-AA21-C567261DF5DD}" xr6:coauthVersionLast="47" xr6:coauthVersionMax="47" xr10:uidLastSave="{00000000-0000-0000-0000-000000000000}"/>
  <bookViews>
    <workbookView xWindow="51140" yWindow="5260" windowWidth="28800" windowHeight="18980" xr2:uid="{5678E890-3691-CF46-80E7-00FB1F103661}"/>
  </bookViews>
  <sheets>
    <sheet name="8.1.1.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3" l="1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5" i="3"/>
  <c r="V45" i="3"/>
  <c r="V46" i="3"/>
  <c r="V47" i="3"/>
  <c r="V48" i="3"/>
  <c r="V44" i="3"/>
  <c r="V64" i="3"/>
  <c r="V65" i="3"/>
  <c r="V66" i="3"/>
  <c r="V63" i="3"/>
  <c r="D12" i="3"/>
  <c r="G12" i="3" s="1"/>
  <c r="E12" i="3"/>
  <c r="H12" i="3" s="1"/>
  <c r="F12" i="3"/>
  <c r="J12" i="3" s="1"/>
  <c r="D11" i="3"/>
  <c r="E11" i="3"/>
  <c r="H11" i="3" s="1"/>
  <c r="F11" i="3"/>
  <c r="J11" i="3" s="1"/>
  <c r="D14" i="3"/>
  <c r="E14" i="3"/>
  <c r="H14" i="3" s="1"/>
  <c r="F14" i="3"/>
  <c r="J14" i="3" s="1"/>
  <c r="D15" i="3"/>
  <c r="G15" i="3" s="1"/>
  <c r="E15" i="3"/>
  <c r="H15" i="3" s="1"/>
  <c r="F15" i="3"/>
  <c r="J15" i="3" s="1"/>
  <c r="D16" i="3"/>
  <c r="G16" i="3" s="1"/>
  <c r="E16" i="3"/>
  <c r="H16" i="3" s="1"/>
  <c r="F16" i="3"/>
  <c r="J16" i="3" s="1"/>
  <c r="D36" i="3"/>
  <c r="G36" i="3" s="1"/>
  <c r="E36" i="3"/>
  <c r="H36" i="3" s="1"/>
  <c r="F36" i="3"/>
  <c r="I36" i="3" s="1"/>
  <c r="D37" i="3"/>
  <c r="E37" i="3"/>
  <c r="H37" i="3" s="1"/>
  <c r="F37" i="3"/>
  <c r="I37" i="3" s="1"/>
  <c r="D38" i="3"/>
  <c r="G38" i="3" s="1"/>
  <c r="E38" i="3"/>
  <c r="H38" i="3" s="1"/>
  <c r="F38" i="3"/>
  <c r="I38" i="3" s="1"/>
  <c r="D18" i="3"/>
  <c r="G18" i="3" s="1"/>
  <c r="E18" i="3"/>
  <c r="H18" i="3" s="1"/>
  <c r="F18" i="3"/>
  <c r="J18" i="3" s="1"/>
  <c r="D39" i="3"/>
  <c r="G39" i="3" s="1"/>
  <c r="E39" i="3"/>
  <c r="H39" i="3" s="1"/>
  <c r="F39" i="3"/>
  <c r="I39" i="3" s="1"/>
  <c r="D20" i="3"/>
  <c r="G20" i="3" s="1"/>
  <c r="E20" i="3"/>
  <c r="H20" i="3" s="1"/>
  <c r="F20" i="3"/>
  <c r="J20" i="3" s="1"/>
  <c r="D21" i="3"/>
  <c r="G21" i="3" s="1"/>
  <c r="E21" i="3"/>
  <c r="H21" i="3" s="1"/>
  <c r="F21" i="3"/>
  <c r="J21" i="3" s="1"/>
  <c r="D6" i="3"/>
  <c r="G6" i="3" s="1"/>
  <c r="E6" i="3"/>
  <c r="H6" i="3" s="1"/>
  <c r="F6" i="3"/>
  <c r="J6" i="3" s="1"/>
  <c r="D7" i="3"/>
  <c r="G7" i="3" s="1"/>
  <c r="E7" i="3"/>
  <c r="H7" i="3" s="1"/>
  <c r="F7" i="3"/>
  <c r="J7" i="3" s="1"/>
  <c r="D8" i="3"/>
  <c r="E8" i="3"/>
  <c r="H8" i="3" s="1"/>
  <c r="F8" i="3"/>
  <c r="J8" i="3" s="1"/>
  <c r="D32" i="3"/>
  <c r="E32" i="3"/>
  <c r="H32" i="3" s="1"/>
  <c r="F32" i="3"/>
  <c r="I32" i="3" s="1"/>
  <c r="D33" i="3"/>
  <c r="E33" i="3"/>
  <c r="H33" i="3" s="1"/>
  <c r="F33" i="3"/>
  <c r="I33" i="3" s="1"/>
  <c r="D34" i="3"/>
  <c r="G34" i="3" s="1"/>
  <c r="E34" i="3"/>
  <c r="H34" i="3" s="1"/>
  <c r="F34" i="3"/>
  <c r="I34" i="3" s="1"/>
  <c r="D35" i="3"/>
  <c r="E35" i="3"/>
  <c r="H35" i="3" s="1"/>
  <c r="F35" i="3"/>
  <c r="I35" i="3" s="1"/>
  <c r="E9" i="3"/>
  <c r="H9" i="3" s="1"/>
  <c r="F9" i="3"/>
  <c r="J9" i="3" s="1"/>
  <c r="E10" i="3"/>
  <c r="H10" i="3" s="1"/>
  <c r="F10" i="3"/>
  <c r="J10" i="3" s="1"/>
  <c r="E13" i="3"/>
  <c r="H13" i="3" s="1"/>
  <c r="F13" i="3"/>
  <c r="J13" i="3" s="1"/>
  <c r="E17" i="3"/>
  <c r="H17" i="3" s="1"/>
  <c r="F17" i="3"/>
  <c r="J17" i="3" s="1"/>
  <c r="O17" i="3" s="1"/>
  <c r="E19" i="3"/>
  <c r="H19" i="3" s="1"/>
  <c r="F19" i="3"/>
  <c r="J19" i="3" s="1"/>
  <c r="E22" i="3"/>
  <c r="H22" i="3" s="1"/>
  <c r="F22" i="3"/>
  <c r="J22" i="3" s="1"/>
  <c r="F5" i="3"/>
  <c r="J5" i="3" s="1"/>
  <c r="E5" i="3"/>
  <c r="H5" i="3" s="1"/>
  <c r="D5" i="3"/>
  <c r="G5" i="3" s="1"/>
  <c r="D9" i="3"/>
  <c r="D10" i="3"/>
  <c r="G10" i="3" s="1"/>
  <c r="D13" i="3"/>
  <c r="G13" i="3" s="1"/>
  <c r="D17" i="3"/>
  <c r="D19" i="3"/>
  <c r="D22" i="3"/>
  <c r="I22" i="3" l="1"/>
  <c r="I20" i="3"/>
  <c r="O11" i="3"/>
  <c r="I14" i="3"/>
  <c r="N14" i="3" s="1"/>
  <c r="L36" i="3"/>
  <c r="O18" i="3"/>
  <c r="K12" i="3"/>
  <c r="I21" i="3"/>
  <c r="N21" i="3" s="1"/>
  <c r="I10" i="3"/>
  <c r="N10" i="3" s="1"/>
  <c r="I9" i="3"/>
  <c r="N9" i="3" s="1"/>
  <c r="I8" i="3"/>
  <c r="N8" i="3" s="1"/>
  <c r="O21" i="3"/>
  <c r="M38" i="3"/>
  <c r="N20" i="3"/>
  <c r="N22" i="3"/>
  <c r="M35" i="3"/>
  <c r="O20" i="3"/>
  <c r="I19" i="3"/>
  <c r="N19" i="3" s="1"/>
  <c r="I7" i="3"/>
  <c r="N7" i="3" s="1"/>
  <c r="I16" i="3"/>
  <c r="N16" i="3" s="1"/>
  <c r="I6" i="3"/>
  <c r="N6" i="3" s="1"/>
  <c r="I15" i="3"/>
  <c r="N15" i="3" s="1"/>
  <c r="I13" i="3"/>
  <c r="N13" i="3" s="1"/>
  <c r="I12" i="3"/>
  <c r="N12" i="3" s="1"/>
  <c r="I18" i="3"/>
  <c r="N18" i="3" s="1"/>
  <c r="I17" i="3"/>
  <c r="N17" i="3" s="1"/>
  <c r="O5" i="3"/>
  <c r="I5" i="3"/>
  <c r="N5" i="3" s="1"/>
  <c r="I11" i="3"/>
  <c r="N11" i="3" s="1"/>
  <c r="O12" i="3"/>
  <c r="O13" i="3"/>
  <c r="O8" i="3"/>
  <c r="O7" i="3"/>
  <c r="M36" i="3"/>
  <c r="K11" i="3"/>
  <c r="M39" i="3"/>
  <c r="M33" i="3"/>
  <c r="O10" i="3"/>
  <c r="M34" i="3"/>
  <c r="O9" i="3"/>
  <c r="O19" i="3"/>
  <c r="O14" i="3"/>
  <c r="M37" i="3"/>
  <c r="O16" i="3"/>
  <c r="O22" i="3"/>
  <c r="O15" i="3"/>
  <c r="M32" i="3"/>
  <c r="O6" i="3"/>
  <c r="G11" i="3"/>
  <c r="J37" i="3"/>
  <c r="K36" i="3"/>
  <c r="J36" i="3"/>
  <c r="K14" i="3"/>
  <c r="K16" i="3"/>
  <c r="L38" i="3"/>
  <c r="K38" i="3"/>
  <c r="J38" i="3"/>
  <c r="G37" i="3"/>
  <c r="K37" i="3" s="1"/>
  <c r="K15" i="3"/>
  <c r="G14" i="3"/>
  <c r="L37" i="3"/>
  <c r="K18" i="3"/>
  <c r="K20" i="3"/>
  <c r="J39" i="3"/>
  <c r="K39" i="3"/>
  <c r="L39" i="3"/>
  <c r="J35" i="3"/>
  <c r="K6" i="3"/>
  <c r="J32" i="3"/>
  <c r="K21" i="3"/>
  <c r="K17" i="3"/>
  <c r="G33" i="3"/>
  <c r="K33" i="3" s="1"/>
  <c r="L33" i="3"/>
  <c r="J33" i="3"/>
  <c r="G32" i="3"/>
  <c r="K32" i="3" s="1"/>
  <c r="L32" i="3"/>
  <c r="G35" i="3"/>
  <c r="K35" i="3" s="1"/>
  <c r="K8" i="3"/>
  <c r="G8" i="3"/>
  <c r="J34" i="3"/>
  <c r="K7" i="3"/>
  <c r="L35" i="3"/>
  <c r="L34" i="3"/>
  <c r="K34" i="3"/>
  <c r="K19" i="3"/>
  <c r="K22" i="3"/>
  <c r="G19" i="3"/>
  <c r="G17" i="3"/>
  <c r="K9" i="3"/>
  <c r="K13" i="3"/>
  <c r="G9" i="3"/>
  <c r="G22" i="3"/>
  <c r="K10" i="3"/>
  <c r="K5" i="3"/>
</calcChain>
</file>

<file path=xl/sharedStrings.xml><?xml version="1.0" encoding="utf-8"?>
<sst xmlns="http://schemas.openxmlformats.org/spreadsheetml/2006/main" count="185" uniqueCount="63">
  <si>
    <t>Method 1</t>
  </si>
  <si>
    <r>
      <t>𝐸</t>
    </r>
    <r>
      <rPr>
        <sz val="8"/>
        <color rgb="FF000000"/>
        <rFont val="Helvetica"/>
        <family val="2"/>
      </rPr>
      <t xml:space="preserve">𝑔 </t>
    </r>
    <r>
      <rPr>
        <sz val="11"/>
        <color rgb="FF000000"/>
        <rFont val="Helvetica"/>
        <family val="2"/>
      </rPr>
      <t>= ∑ ∑ 𝑄</t>
    </r>
    <r>
      <rPr>
        <sz val="8"/>
        <color rgb="FF000000"/>
        <rFont val="Helvetica"/>
        <family val="2"/>
      </rPr>
      <t xml:space="preserve">𝑇𝑟𝑎𝑛𝑠,𝑡𝑞 </t>
    </r>
    <r>
      <rPr>
        <sz val="11"/>
        <color rgb="FF000000"/>
        <rFont val="Helvetica"/>
        <family val="2"/>
      </rPr>
      <t>× 𝐸𝐶</t>
    </r>
    <r>
      <rPr>
        <sz val="8"/>
        <color rgb="FF000000"/>
        <rFont val="Helvetica"/>
        <family val="2"/>
      </rPr>
      <t xml:space="preserve">𝑇𝑟𝑎𝑛𝑠,𝑞 </t>
    </r>
    <r>
      <rPr>
        <sz val="11"/>
        <color rgb="FF000000"/>
        <rFont val="Helvetica"/>
        <family val="2"/>
      </rPr>
      <t>× 𝐸𝐹</t>
    </r>
    <r>
      <rPr>
        <sz val="8"/>
        <color rgb="FF000000"/>
        <rFont val="Helvetica"/>
        <family val="2"/>
      </rPr>
      <t xml:space="preserve">𝑇𝑟𝑎𝑛𝑠,1,𝑡𝑞𝑔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</si>
  <si>
    <t>Egco2</t>
  </si>
  <si>
    <t>Q</t>
  </si>
  <si>
    <t>Fuel type</t>
  </si>
  <si>
    <t>EC</t>
  </si>
  <si>
    <t>Energy content</t>
  </si>
  <si>
    <t>Eftrans co2</t>
  </si>
  <si>
    <t>Eftrans ch4</t>
  </si>
  <si>
    <t>Eftrans n2o</t>
  </si>
  <si>
    <t>NE</t>
  </si>
  <si>
    <t>Transport type</t>
  </si>
  <si>
    <t>Cars and light commercial vehicles</t>
  </si>
  <si>
    <t>Light duty vehicles</t>
  </si>
  <si>
    <t>Heavy duty vehicles</t>
  </si>
  <si>
    <t>Aviation</t>
  </si>
  <si>
    <t>Fuel combusted</t>
  </si>
  <si>
    <t>Energy Content factor (GJ per unit of fuel)</t>
  </si>
  <si>
    <t>Scope 1 Emission Factor (kg CO2-e/GJ) Combined gases</t>
  </si>
  <si>
    <t>Gasoline</t>
  </si>
  <si>
    <t>Diesel oil</t>
  </si>
  <si>
    <t>Liquefied petroleum gas (LPG)</t>
  </si>
  <si>
    <t>Fuel oil</t>
  </si>
  <si>
    <t>Ethanol</t>
  </si>
  <si>
    <t>Biodiesel</t>
  </si>
  <si>
    <t>Renewable diesel</t>
  </si>
  <si>
    <t>Other biofuels</t>
  </si>
  <si>
    <t>Compressed natural gas</t>
  </si>
  <si>
    <t>Liquefied natural gas</t>
  </si>
  <si>
    <t>Diesel oil - Euro iv or higher</t>
  </si>
  <si>
    <t>Diesel oil - Euro iii</t>
  </si>
  <si>
    <t>Diesel oil - Euro i</t>
  </si>
  <si>
    <t>Gasoline for use as fuel in an aircraft</t>
  </si>
  <si>
    <t>Kerosene for use as fuel in an aircraft</t>
  </si>
  <si>
    <t>Renewable aviation kerosene</t>
  </si>
  <si>
    <t>Vessel</t>
  </si>
  <si>
    <t>Petrol</t>
  </si>
  <si>
    <t>Diesel</t>
  </si>
  <si>
    <t>Fuel Oil</t>
  </si>
  <si>
    <t>Off-road Agriculture and forestry equipment</t>
  </si>
  <si>
    <t xml:space="preserve">Scope 1 EF CO2 (kg CO2-e/GJ) </t>
  </si>
  <si>
    <t xml:space="preserve">Scope 1 EF CH4 (kg CH4-e/GJ) </t>
  </si>
  <si>
    <t>Scope 1 EF N2O (kg N2O-e/GJ)</t>
  </si>
  <si>
    <t>Scope 3 EF (kg CO2-e/GJ)</t>
  </si>
  <si>
    <t>EC units</t>
  </si>
  <si>
    <t>GJ/kL</t>
  </si>
  <si>
    <t>GJ/m3</t>
  </si>
  <si>
    <t>Scope 3 EF</t>
  </si>
  <si>
    <t>Egch4</t>
  </si>
  <si>
    <t>Egn2o</t>
  </si>
  <si>
    <t>Cars and light commercial vehicles (pre 2004)</t>
  </si>
  <si>
    <t>Renewable diesel - Euro iv or higher</t>
  </si>
  <si>
    <t>Renewable diesel - Euro iii</t>
  </si>
  <si>
    <t>Renewable diesel - Euro i</t>
  </si>
  <si>
    <r>
      <t>𝐸</t>
    </r>
    <r>
      <rPr>
        <sz val="8"/>
        <color rgb="FF000000"/>
        <rFont val="Helvetica"/>
        <family val="2"/>
      </rPr>
      <t xml:space="preserve">𝑊𝑇𝑇,𝑡𝑟𝑎𝑛𝑠,𝑞 </t>
    </r>
    <r>
      <rPr>
        <sz val="11"/>
        <color rgb="FF000000"/>
        <rFont val="Helvetica"/>
        <family val="2"/>
      </rPr>
      <t>= 𝑄</t>
    </r>
    <r>
      <rPr>
        <sz val="8"/>
        <color rgb="FF000000"/>
        <rFont val="Helvetica"/>
        <family val="2"/>
      </rPr>
      <t xml:space="preserve">𝑇𝑟𝑎𝑛𝑠,𝑞 </t>
    </r>
    <r>
      <rPr>
        <sz val="11"/>
        <color rgb="FF000000"/>
        <rFont val="Helvetica"/>
        <family val="2"/>
      </rPr>
      <t>× 𝐸𝐶</t>
    </r>
    <r>
      <rPr>
        <sz val="8"/>
        <color rgb="FF000000"/>
        <rFont val="Helvetica"/>
        <family val="2"/>
      </rPr>
      <t xml:space="preserve">𝑇𝑟𝑎𝑛𝑠,𝑞 </t>
    </r>
    <r>
      <rPr>
        <sz val="11"/>
        <color rgb="FF000000"/>
        <rFont val="Helvetica"/>
        <family val="2"/>
      </rPr>
      <t>× 𝐸𝐹</t>
    </r>
    <r>
      <rPr>
        <sz val="8"/>
        <color rgb="FF000000"/>
        <rFont val="Helvetica"/>
        <family val="2"/>
      </rPr>
      <t>𝑇𝑟𝑎𝑛𝑠,3,𝑞</t>
    </r>
    <r>
      <rPr>
        <sz val="11"/>
        <color rgb="FF000000"/>
        <rFont val="Helvetica"/>
        <family val="2"/>
      </rPr>
      <t xml:space="preserve"> × 10</t>
    </r>
    <r>
      <rPr>
        <sz val="8"/>
        <color rgb="FF000000"/>
        <rFont val="Helvetica"/>
        <family val="2"/>
      </rPr>
      <t>−3</t>
    </r>
  </si>
  <si>
    <t>Ewwttrans</t>
  </si>
  <si>
    <t>Test inputs with no scope 3 factor (skipped for now)</t>
  </si>
  <si>
    <t>Eftrans combined</t>
  </si>
  <si>
    <t>Eg combined</t>
  </si>
  <si>
    <t>Amount of fuel combusted kL or cubic metre</t>
  </si>
  <si>
    <t>GWP</t>
  </si>
  <si>
    <t>CH4</t>
  </si>
  <si>
    <t>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</si>
</sst>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"/>
  </numFmts>
  <fonts count="8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sz val="12"/>
      <color theme="1"/>
      <name val="Helvetica"/>
      <family val="2"/>
    </font>
    <font>
      <sz val="12"/>
      <name val="Aptos Narrow"/>
      <scheme val="minor"/>
    </font>
    <font>
      <b/>
      <sz val="12"/>
      <color theme="1"/>
      <name val="Aptos Narrow"/>
      <scheme val="minor"/>
    </font>
    <font>
      <sz val="10"/>
      <color rgb="FF000000"/>
      <name val="Arial"/>
      <family val="2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2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4" fontId="0" fillId="0" borderId="0" xfId="0" applyNumberFormat="1"/>
    <xf numFmtId="0" fontId="0" fillId="2" borderId="0" xfId="0" applyFill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F442-5EF4-1A4A-85C1-C6F2CC54DF49}">
  <dimension ref="A1:Y83"/>
  <sheetViews>
    <sheetView tabSelected="1" topLeftCell="C1" workbookViewId="0">
      <selection activeCell="O26" sqref="O26"/>
    </sheetView>
  </sheetViews>
  <sheetFormatPr baseColWidth="10" defaultRowHeight="16"/>
  <cols>
    <col min="1" max="1" width="33.1640625" customWidth="1"/>
    <col min="2" max="2" width="29.83203125" customWidth="1"/>
    <col min="3" max="3" width="14" customWidth="1"/>
    <col min="6" max="6" width="10.83203125" customWidth="1"/>
    <col min="7" max="8" width="10.1640625" bestFit="1" customWidth="1"/>
    <col min="9" max="14" width="10.1640625" customWidth="1"/>
    <col min="15" max="15" width="37.5" customWidth="1"/>
    <col min="16" max="16" width="30.83203125" bestFit="1" customWidth="1"/>
    <col min="17" max="17" width="17.83203125" customWidth="1"/>
    <col min="18" max="18" width="7.83203125" bestFit="1" customWidth="1"/>
    <col min="19" max="19" width="14" bestFit="1" customWidth="1"/>
    <col min="20" max="20" width="17.6640625" bestFit="1" customWidth="1"/>
    <col min="21" max="21" width="17" bestFit="1" customWidth="1"/>
    <col min="22" max="22" width="16.5" customWidth="1"/>
  </cols>
  <sheetData>
    <row r="1" spans="1:18" ht="17">
      <c r="A1" s="3" t="s">
        <v>0</v>
      </c>
      <c r="J1" s="1" t="s">
        <v>1</v>
      </c>
    </row>
    <row r="3" spans="1:18" ht="51">
      <c r="C3" s="7" t="s">
        <v>59</v>
      </c>
      <c r="D3" s="7" t="s">
        <v>6</v>
      </c>
      <c r="E3" s="7"/>
      <c r="G3" s="7"/>
      <c r="H3" s="7"/>
      <c r="I3" s="7"/>
      <c r="J3" s="1"/>
      <c r="K3" s="7"/>
      <c r="L3" s="7"/>
      <c r="M3" s="1" t="s">
        <v>54</v>
      </c>
      <c r="N3" s="1"/>
      <c r="P3" s="1"/>
    </row>
    <row r="4" spans="1:18" ht="17">
      <c r="A4" s="13" t="s">
        <v>11</v>
      </c>
      <c r="B4" s="4" t="s">
        <v>4</v>
      </c>
      <c r="C4" s="4" t="s">
        <v>3</v>
      </c>
      <c r="D4" t="s">
        <v>5</v>
      </c>
      <c r="E4" t="s">
        <v>44</v>
      </c>
      <c r="F4" s="7" t="s">
        <v>7</v>
      </c>
      <c r="G4" t="s">
        <v>8</v>
      </c>
      <c r="H4" t="s">
        <v>9</v>
      </c>
      <c r="I4" t="s">
        <v>57</v>
      </c>
      <c r="J4" t="s">
        <v>47</v>
      </c>
      <c r="K4" s="5" t="s">
        <v>2</v>
      </c>
      <c r="L4" s="5" t="s">
        <v>48</v>
      </c>
      <c r="M4" s="5" t="s">
        <v>49</v>
      </c>
      <c r="N4" s="5" t="s">
        <v>58</v>
      </c>
      <c r="O4" s="5" t="s">
        <v>55</v>
      </c>
      <c r="Q4" s="6"/>
    </row>
    <row r="5" spans="1:18">
      <c r="A5" t="s">
        <v>12</v>
      </c>
      <c r="B5" t="s">
        <v>19</v>
      </c>
      <c r="C5" s="12">
        <v>5</v>
      </c>
      <c r="D5" s="12">
        <f>IF(ISBLANK(A5), "", VLOOKUP($B5, _xlfn.IFS($A5="Cars and light commercial vehicles", $P$36:$W$43,$A5="Cars and light commercial vehicles (pre 2004)", $P$44:$W$48,$A5="Light duty vehicles",$P$49:$W$50,$A5="Heavy duty vehicles",$P$51:$W$58,$A5="Aviation",$P$59:$W$61,$A5="Vessel",$P$63:$W$65,TRUE,$P$66:$W$66),2,FALSE))</f>
        <v>34.200000000000003</v>
      </c>
      <c r="E5" s="12" t="str">
        <f>IF(ISBLANK(B5), "", VLOOKUP($B5, _xlfn.IFS($A5="Cars and light commercial vehicles", $P$36:$W$43,$A5="Cars and light commercial vehicles (pre 2004)", $P$44:$W$48,$A5="Light duty vehicles",$P$49:$W$50,$A5="Heavy duty vehicles",$P$51:$W$58,$A5="Aviation",$P$59:$W$61,$A5="Vessel",$P$63:$W$65,TRUE,$P$66:$W$66),3,FALSE))</f>
        <v>GJ/kL</v>
      </c>
      <c r="F5" s="12">
        <f>IF(ISBLANK(C5), "", VLOOKUP($B5, _xlfn.IFS($A5="Cars and light commercial vehicles", $P$36:$W$43,$A5="Cars and light commercial vehicles (pre 2004)", $P$44:$W$48,$A5="Light duty vehicles",$P$49:$W$50,$A5="Heavy duty vehicles",$P$51:$W$58,$A5="Aviation",$P$59:$W$61,$A5="Vessel",$P$63:$W$65,TRUE,$P$66:$W$66),4,FALSE))</f>
        <v>67.400000000000006</v>
      </c>
      <c r="G5" s="12">
        <f>IF(ISBLANK(D5), "", VLOOKUP($B5, _xlfn.IFS($A5="Cars and light commercial vehicles", $P$36:$W$43,$A5="Cars and light commercial vehicles (pre 2004)", $P$44:$W$48,$A5="Light duty vehicles",$P$49:$W$50,$A5="Heavy duty vehicles",$P$51:$W$58,$A5="Aviation",$P$59:$W$61,$A5="Vessel",$P$63:$W$65,TRUE,$P$66:$W$66),5,FALSE))</f>
        <v>0.02</v>
      </c>
      <c r="H5" s="12">
        <f>IF(ISBLANK(E5), "", VLOOKUP($B5, _xlfn.IFS($A5="Cars and light commercial vehicles", $P$36:$W$43,$A5="Cars and light commercial vehicles (pre 2004)", $P$44:$W$48,$A5="Light duty vehicles",$P$49:$W$50,$A5="Heavy duty vehicles",$P$51:$W$58,$A5="Aviation",$P$59:$W$61,$A5="Vessel",$P$63:$W$65,TRUE,$P$66:$W$66),6,FALSE))</f>
        <v>0.2</v>
      </c>
      <c r="I5">
        <f>IF(ISBLANK(E5), "", VLOOKUP($B5, _xlfn.IFS($A5="Cars and light commercial vehicles", $P$36:$W$43,$A5="Cars and light commercial vehicles (pre 2004)", $P$44:$W$48,$A5="Light duty vehicles",$P$49:$W$50,$A5="Heavy duty vehicles",$P$51:$W$58,$A5="Aviation",$P$59:$W$61,$A5="Vessel",$P$63:$W$65,TRUE,$P$66:$W$66),7,FALSE))</f>
        <v>67.62</v>
      </c>
      <c r="J5" s="12">
        <f t="shared" ref="J5:J22" si="0">IF(ISBLANK(F5), "", VLOOKUP($B5, _xlfn.IFS($A5="Cars and light commercial vehicles", $P$36:$W$43,$A5="Cars and light commercial vehicles (pre 2004)", $P$44:$W$48,$A5="Light duty vehicles",$P$49:$W$50,$A5="Heavy duty vehicles",$P$51:$W$58,$A5="Aviation",$P$59:$W$61,$A5="Vessel",$P$63:$W$65,TRUE,$P$66:$W$66),8,FALSE))</f>
        <v>17.2</v>
      </c>
      <c r="K5" s="12">
        <f t="shared" ref="K5:K22" si="1">C5*D5*F5/1000</f>
        <v>11.525400000000001</v>
      </c>
      <c r="L5" s="18">
        <f>(C5*D5*G5 / $R$6)/1000</f>
        <v>1.2214285714285715E-4</v>
      </c>
      <c r="M5" s="18">
        <f>(C5*D5*H5/$R$7)/1000</f>
        <v>1.290566037735849E-4</v>
      </c>
      <c r="N5" s="12">
        <f>C5*D5*I5/1000</f>
        <v>11.56302</v>
      </c>
      <c r="O5" s="12">
        <f t="shared" ref="O5:O22" si="2">C5*D5*J5/1000</f>
        <v>2.9411999999999998</v>
      </c>
      <c r="Q5" t="s">
        <v>60</v>
      </c>
    </row>
    <row r="6" spans="1:18">
      <c r="A6" t="s">
        <v>12</v>
      </c>
      <c r="B6" t="s">
        <v>20</v>
      </c>
      <c r="C6" s="12">
        <v>6</v>
      </c>
      <c r="D6" s="12">
        <f t="shared" ref="D6:D8" si="3">IF(ISBLANK(A6), "", VLOOKUP($B6, _xlfn.IFS($A6="Cars and light commercial vehicles", $P$36:$W$43,$A6="Cars and light commercial vehicles (pre 2004)", $P$44:$W$48,$A6="Light duty vehicles",$P$49:$W$50,$A6="Heavy duty vehicles",$P$51:$W$58,$A6="Aviation",$P$59:$W$61,$A6="Vessel",$P$63:$W$65,TRUE,$P$66:$W$66),2,FALSE))</f>
        <v>38.6</v>
      </c>
      <c r="E6" s="12" t="str">
        <f t="shared" ref="E6:E8" si="4">IF(ISBLANK(B6), "", VLOOKUP($B6, _xlfn.IFS($A6="Cars and light commercial vehicles", $P$36:$W$43,$A6="Cars and light commercial vehicles (pre 2004)", $P$44:$W$48,$A6="Light duty vehicles",$P$49:$W$50,$A6="Heavy duty vehicles",$P$51:$W$58,$A6="Aviation",$P$59:$W$61,$A6="Vessel",$P$63:$W$65,TRUE,$P$66:$W$66),3,FALSE))</f>
        <v>GJ/kL</v>
      </c>
      <c r="F6" s="12">
        <f t="shared" ref="F6:F8" si="5">IF(ISBLANK(C6), "", VLOOKUP($B6, _xlfn.IFS($A6="Cars and light commercial vehicles", $P$36:$W$43,$A6="Cars and light commercial vehicles (pre 2004)", $P$44:$W$48,$A6="Light duty vehicles",$P$49:$W$50,$A6="Heavy duty vehicles",$P$51:$W$58,$A6="Aviation",$P$59:$W$61,$A6="Vessel",$P$63:$W$65,TRUE,$P$66:$W$66),4,FALSE))</f>
        <v>69.900000000000006</v>
      </c>
      <c r="G6" s="12">
        <f t="shared" ref="G6:G8" si="6">IF(ISBLANK(D6), "", VLOOKUP($B6, _xlfn.IFS($A6="Cars and light commercial vehicles", $P$36:$W$43,$A6="Cars and light commercial vehicles (pre 2004)", $P$44:$W$48,$A6="Light duty vehicles",$P$49:$W$50,$A6="Heavy duty vehicles",$P$51:$W$58,$A6="Aviation",$P$59:$W$61,$A6="Vessel",$P$63:$W$65,TRUE,$P$66:$W$66),5,FALSE))</f>
        <v>0.01</v>
      </c>
      <c r="H6" s="12">
        <f t="shared" ref="H6:H8" si="7">IF(ISBLANK(E6), "", VLOOKUP($B6, _xlfn.IFS($A6="Cars and light commercial vehicles", $P$36:$W$43,$A6="Cars and light commercial vehicles (pre 2004)", $P$44:$W$48,$A6="Light duty vehicles",$P$49:$W$50,$A6="Heavy duty vehicles",$P$51:$W$58,$A6="Aviation",$P$59:$W$61,$A6="Vessel",$P$63:$W$65,TRUE,$P$66:$W$66),6,FALSE))</f>
        <v>0.5</v>
      </c>
      <c r="I6">
        <f t="shared" ref="I6:I22" si="8">IF(ISBLANK(E6), "", VLOOKUP($B6, _xlfn.IFS($A6="Cars and light commercial vehicles", $P$36:$W$43,$A6="Cars and light commercial vehicles (pre 2004)", $P$44:$W$48,$A6="Light duty vehicles",$P$49:$W$50,$A6="Heavy duty vehicles",$P$51:$W$58,$A6="Aviation",$P$59:$W$61,$A6="Vessel",$P$63:$W$65,TRUE,$P$66:$W$66),7,FALSE))</f>
        <v>70.41</v>
      </c>
      <c r="J6" s="12">
        <f t="shared" si="0"/>
        <v>17.3</v>
      </c>
      <c r="K6" s="12">
        <f t="shared" si="1"/>
        <v>16.188840000000003</v>
      </c>
      <c r="L6" s="18">
        <f t="shared" ref="L6:L22" si="9">(C6*D6*G6 / $R$6)/1000</f>
        <v>8.2714285714285721E-5</v>
      </c>
      <c r="M6" s="18">
        <f t="shared" ref="M6:M22" si="10">(C6*D6*H6/$R$7)/1000</f>
        <v>4.3698113207547173E-4</v>
      </c>
      <c r="N6" s="12">
        <f t="shared" ref="N6:N22" si="11">C6*D6*I6/1000</f>
        <v>16.306956</v>
      </c>
      <c r="O6" s="12">
        <f t="shared" si="2"/>
        <v>4.0066800000000011</v>
      </c>
      <c r="Q6" t="s">
        <v>61</v>
      </c>
      <c r="R6">
        <v>28</v>
      </c>
    </row>
    <row r="7" spans="1:18">
      <c r="A7" t="s">
        <v>12</v>
      </c>
      <c r="B7" t="s">
        <v>21</v>
      </c>
      <c r="C7" s="12">
        <v>7</v>
      </c>
      <c r="D7" s="12">
        <f t="shared" si="3"/>
        <v>26.2</v>
      </c>
      <c r="E7" s="12" t="str">
        <f t="shared" si="4"/>
        <v>GJ/kL</v>
      </c>
      <c r="F7" s="12">
        <f t="shared" si="5"/>
        <v>60.2</v>
      </c>
      <c r="G7" s="12">
        <f t="shared" si="6"/>
        <v>0.5</v>
      </c>
      <c r="H7" s="12">
        <f t="shared" si="7"/>
        <v>0.3</v>
      </c>
      <c r="I7">
        <f t="shared" si="8"/>
        <v>61</v>
      </c>
      <c r="J7" s="12">
        <f t="shared" si="0"/>
        <v>20.2</v>
      </c>
      <c r="K7" s="12">
        <f t="shared" si="1"/>
        <v>11.04068</v>
      </c>
      <c r="L7" s="18">
        <f t="shared" si="9"/>
        <v>3.2749999999999997E-3</v>
      </c>
      <c r="M7" s="18">
        <f t="shared" si="10"/>
        <v>2.0762264150943395E-4</v>
      </c>
      <c r="N7" s="12">
        <f t="shared" si="11"/>
        <v>11.1874</v>
      </c>
      <c r="O7" s="12">
        <f t="shared" si="2"/>
        <v>3.7046799999999998</v>
      </c>
      <c r="Q7" t="s">
        <v>62</v>
      </c>
      <c r="R7">
        <v>265</v>
      </c>
    </row>
    <row r="8" spans="1:18">
      <c r="A8" t="s">
        <v>12</v>
      </c>
      <c r="B8" t="s">
        <v>22</v>
      </c>
      <c r="C8" s="12">
        <v>8</v>
      </c>
      <c r="D8" s="12">
        <f t="shared" si="3"/>
        <v>39.700000000000003</v>
      </c>
      <c r="E8" s="12" t="str">
        <f t="shared" si="4"/>
        <v>GJ/kL</v>
      </c>
      <c r="F8" s="12">
        <f t="shared" si="5"/>
        <v>73.599999999999994</v>
      </c>
      <c r="G8" s="12">
        <f t="shared" si="6"/>
        <v>0.08</v>
      </c>
      <c r="H8" s="12">
        <f t="shared" si="7"/>
        <v>0.5</v>
      </c>
      <c r="I8">
        <f t="shared" si="8"/>
        <v>74.180000000000007</v>
      </c>
      <c r="J8" s="12">
        <f t="shared" si="0"/>
        <v>18</v>
      </c>
      <c r="K8" s="12">
        <f t="shared" si="1"/>
        <v>23.375360000000001</v>
      </c>
      <c r="L8" s="18">
        <f t="shared" si="9"/>
        <v>9.0742857142857151E-4</v>
      </c>
      <c r="M8" s="18">
        <f t="shared" si="10"/>
        <v>5.9924528301886788E-4</v>
      </c>
      <c r="N8" s="12">
        <f t="shared" si="11"/>
        <v>23.559568000000002</v>
      </c>
      <c r="O8" s="12">
        <f t="shared" si="2"/>
        <v>5.7168000000000001</v>
      </c>
    </row>
    <row r="9" spans="1:18">
      <c r="A9" t="s">
        <v>50</v>
      </c>
      <c r="B9" t="s">
        <v>19</v>
      </c>
      <c r="C9" s="12">
        <v>4</v>
      </c>
      <c r="D9" s="12">
        <f t="shared" ref="D9:D22" si="12">IF(ISBLANK(A9), "", VLOOKUP($B9, _xlfn.IFS($A9="Cars and light commercial vehicles", $P$36:$W$43,$A9="Cars and light commercial vehicles (pre 2004)", $P$44:$W$48,$A9="Light duty vehicles",$P$49:$W$50,$A9="Heavy duty vehicles",$P$51:$W$58,$A9="Aviation",$P$59:$W$61,$A9="Vessel",$P$63:$W$65,TRUE,$P$66:$W$66),2,FALSE))</f>
        <v>34.200000000000003</v>
      </c>
      <c r="E9" s="12" t="str">
        <f t="shared" ref="E9:E22" si="13">IF(ISBLANK(B9), "", VLOOKUP($B9, _xlfn.IFS($A9="Cars and light commercial vehicles", $P$36:$W$43,$A9="Cars and light commercial vehicles (pre 2004)", $P$44:$W$48,$A9="Light duty vehicles",$P$49:$W$50,$A9="Heavy duty vehicles",$P$51:$W$58,$A9="Aviation",$P$59:$W$61,$A9="Vessel",$P$63:$W$65,TRUE,$P$66:$W$66),3,FALSE))</f>
        <v>GJ/kL</v>
      </c>
      <c r="F9" s="12">
        <f t="shared" ref="F9:F22" si="14">IF(ISBLANK(C9), "", VLOOKUP($B9, _xlfn.IFS($A9="Cars and light commercial vehicles", $P$36:$W$43,$A9="Cars and light commercial vehicles (pre 2004)", $P$44:$W$48,$A9="Light duty vehicles",$P$49:$W$50,$A9="Heavy duty vehicles",$P$51:$W$58,$A9="Aviation",$P$59:$W$61,$A9="Vessel",$P$63:$W$65,TRUE,$P$66:$W$66),4,FALSE))</f>
        <v>67.400000000000006</v>
      </c>
      <c r="G9" s="12">
        <f t="shared" ref="G9:G22" si="15">IF(ISBLANK(D9), "", VLOOKUP($B9, _xlfn.IFS($A9="Cars and light commercial vehicles", $P$36:$W$43,$A9="Cars and light commercial vehicles (pre 2004)", $P$44:$W$48,$A9="Light duty vehicles",$P$49:$W$50,$A9="Heavy duty vehicles",$P$51:$W$58,$A9="Aviation",$P$59:$W$61,$A9="Vessel",$P$63:$W$65,TRUE,$P$66:$W$66),5,FALSE))</f>
        <v>0.6</v>
      </c>
      <c r="H9" s="12">
        <f t="shared" ref="H9:H22" si="16">IF(ISBLANK(E9), "", VLOOKUP($B9, _xlfn.IFS($A9="Cars and light commercial vehicles", $P$36:$W$43,$A9="Cars and light commercial vehicles (pre 2004)", $P$44:$W$48,$A9="Light duty vehicles",$P$49:$W$50,$A9="Heavy duty vehicles",$P$51:$W$58,$A9="Aviation",$P$59:$W$61,$A9="Vessel",$P$63:$W$65,TRUE,$P$66:$W$66),6,FALSE))</f>
        <v>1.6</v>
      </c>
      <c r="I9">
        <f t="shared" si="8"/>
        <v>69.599999999999994</v>
      </c>
      <c r="J9" s="12">
        <f t="shared" si="0"/>
        <v>17.2</v>
      </c>
      <c r="K9" s="12">
        <f t="shared" si="1"/>
        <v>9.220320000000001</v>
      </c>
      <c r="L9" s="18">
        <f t="shared" si="9"/>
        <v>2.9314285714285714E-3</v>
      </c>
      <c r="M9" s="18">
        <f t="shared" si="10"/>
        <v>8.2596226415094349E-4</v>
      </c>
      <c r="N9" s="12">
        <f t="shared" si="11"/>
        <v>9.5212800000000009</v>
      </c>
      <c r="O9" s="12">
        <f t="shared" si="2"/>
        <v>2.3529599999999999</v>
      </c>
    </row>
    <row r="10" spans="1:18">
      <c r="A10" t="s">
        <v>13</v>
      </c>
      <c r="B10" t="s">
        <v>28</v>
      </c>
      <c r="C10">
        <v>6</v>
      </c>
      <c r="D10" s="12">
        <f t="shared" si="12"/>
        <v>25.3</v>
      </c>
      <c r="E10" s="12" t="str">
        <f t="shared" si="13"/>
        <v>GJ/kL</v>
      </c>
      <c r="F10" s="12">
        <f t="shared" si="14"/>
        <v>51.4</v>
      </c>
      <c r="G10" s="12">
        <f t="shared" si="15"/>
        <v>7.3</v>
      </c>
      <c r="H10" s="12">
        <f t="shared" si="16"/>
        <v>0.3</v>
      </c>
      <c r="I10">
        <f t="shared" si="8"/>
        <v>59</v>
      </c>
      <c r="J10" s="12">
        <f t="shared" si="0"/>
        <v>18</v>
      </c>
      <c r="K10" s="12">
        <f t="shared" si="1"/>
        <v>7.8025200000000003</v>
      </c>
      <c r="L10" s="18">
        <f t="shared" si="9"/>
        <v>3.9576428571428575E-2</v>
      </c>
      <c r="M10" s="18">
        <f t="shared" si="10"/>
        <v>1.7184905660377358E-4</v>
      </c>
      <c r="N10" s="12">
        <f t="shared" si="11"/>
        <v>8.9562000000000008</v>
      </c>
      <c r="O10" s="12">
        <f t="shared" si="2"/>
        <v>2.7324000000000002</v>
      </c>
    </row>
    <row r="11" spans="1:18">
      <c r="A11" t="s">
        <v>13</v>
      </c>
      <c r="B11" t="s">
        <v>27</v>
      </c>
      <c r="C11">
        <v>7</v>
      </c>
      <c r="D11" s="12">
        <f t="shared" si="12"/>
        <v>3.9300000000000002E-2</v>
      </c>
      <c r="E11" s="12" t="str">
        <f t="shared" si="13"/>
        <v>GJ/m3</v>
      </c>
      <c r="F11" s="12">
        <f t="shared" si="14"/>
        <v>51.4</v>
      </c>
      <c r="G11" s="12">
        <f t="shared" si="15"/>
        <v>7.3</v>
      </c>
      <c r="H11" s="12">
        <f t="shared" si="16"/>
        <v>0.3</v>
      </c>
      <c r="I11">
        <f t="shared" si="8"/>
        <v>59</v>
      </c>
      <c r="J11" s="12">
        <f t="shared" si="0"/>
        <v>18</v>
      </c>
      <c r="K11" s="12">
        <f t="shared" si="1"/>
        <v>1.4140140000000001E-2</v>
      </c>
      <c r="L11" s="18">
        <f t="shared" si="9"/>
        <v>7.172250000000001E-5</v>
      </c>
      <c r="M11" s="18">
        <f t="shared" si="10"/>
        <v>3.1143396226415099E-7</v>
      </c>
      <c r="N11" s="12">
        <f t="shared" si="11"/>
        <v>1.6230900000000003E-2</v>
      </c>
      <c r="O11" s="12">
        <f t="shared" si="2"/>
        <v>4.9518000000000001E-3</v>
      </c>
    </row>
    <row r="12" spans="1:18">
      <c r="A12" t="s">
        <v>14</v>
      </c>
      <c r="B12" t="s">
        <v>27</v>
      </c>
      <c r="C12">
        <v>8</v>
      </c>
      <c r="D12" s="12">
        <f t="shared" si="12"/>
        <v>3.9300000000000002E-2</v>
      </c>
      <c r="E12" s="12" t="str">
        <f t="shared" si="13"/>
        <v>GJ/m3</v>
      </c>
      <c r="F12" s="12">
        <f t="shared" si="14"/>
        <v>51.4</v>
      </c>
      <c r="G12" s="12">
        <f t="shared" si="15"/>
        <v>2.8</v>
      </c>
      <c r="H12" s="12">
        <f t="shared" si="16"/>
        <v>0.3</v>
      </c>
      <c r="I12">
        <f t="shared" si="8"/>
        <v>54.5</v>
      </c>
      <c r="J12" s="12">
        <f t="shared" si="0"/>
        <v>18</v>
      </c>
      <c r="K12" s="12">
        <f t="shared" si="1"/>
        <v>1.616016E-2</v>
      </c>
      <c r="L12" s="18">
        <f t="shared" si="9"/>
        <v>3.1440000000000004E-5</v>
      </c>
      <c r="M12" s="18">
        <f t="shared" si="10"/>
        <v>3.5592452830188682E-7</v>
      </c>
      <c r="N12" s="12">
        <f t="shared" si="11"/>
        <v>1.7134800000000002E-2</v>
      </c>
      <c r="O12" s="12">
        <f t="shared" si="2"/>
        <v>5.6592000000000005E-3</v>
      </c>
    </row>
    <row r="13" spans="1:18">
      <c r="A13" t="s">
        <v>14</v>
      </c>
      <c r="B13" s="16" t="s">
        <v>28</v>
      </c>
      <c r="C13">
        <v>7</v>
      </c>
      <c r="D13" s="12">
        <f t="shared" si="12"/>
        <v>25.3</v>
      </c>
      <c r="E13" s="12" t="str">
        <f t="shared" si="13"/>
        <v>GJ/kL</v>
      </c>
      <c r="F13" s="12">
        <f t="shared" si="14"/>
        <v>51.4</v>
      </c>
      <c r="G13" s="12">
        <f t="shared" si="15"/>
        <v>2.8</v>
      </c>
      <c r="H13" s="12">
        <f t="shared" si="16"/>
        <v>0.3</v>
      </c>
      <c r="I13">
        <f t="shared" si="8"/>
        <v>54.5</v>
      </c>
      <c r="J13" s="12">
        <f t="shared" si="0"/>
        <v>18</v>
      </c>
      <c r="K13" s="12">
        <f t="shared" si="1"/>
        <v>9.1029399999999985</v>
      </c>
      <c r="L13" s="18">
        <f t="shared" si="9"/>
        <v>1.7709999999999997E-2</v>
      </c>
      <c r="M13" s="18">
        <f t="shared" si="10"/>
        <v>2.0049056603773583E-4</v>
      </c>
      <c r="N13" s="12">
        <f t="shared" si="11"/>
        <v>9.6519499999999994</v>
      </c>
      <c r="O13" s="12">
        <f t="shared" si="2"/>
        <v>3.1877999999999997</v>
      </c>
    </row>
    <row r="14" spans="1:18">
      <c r="A14" t="s">
        <v>14</v>
      </c>
      <c r="B14" s="16" t="s">
        <v>29</v>
      </c>
      <c r="C14">
        <v>8</v>
      </c>
      <c r="D14" s="12">
        <f t="shared" si="12"/>
        <v>38.6</v>
      </c>
      <c r="E14" s="12" t="str">
        <f t="shared" si="13"/>
        <v>GJ/kL</v>
      </c>
      <c r="F14" s="12">
        <f t="shared" si="14"/>
        <v>69.900000000000006</v>
      </c>
      <c r="G14" s="12">
        <f t="shared" si="15"/>
        <v>7.0000000000000007E-2</v>
      </c>
      <c r="H14" s="12">
        <f t="shared" si="16"/>
        <v>0.4</v>
      </c>
      <c r="I14">
        <f t="shared" si="8"/>
        <v>70.37</v>
      </c>
      <c r="J14" s="12">
        <f t="shared" si="0"/>
        <v>17.3</v>
      </c>
      <c r="K14" s="12">
        <f t="shared" si="1"/>
        <v>21.585120000000003</v>
      </c>
      <c r="L14" s="18">
        <f t="shared" si="9"/>
        <v>7.7200000000000012E-4</v>
      </c>
      <c r="M14" s="18">
        <f t="shared" si="10"/>
        <v>4.6611320754716981E-4</v>
      </c>
      <c r="N14" s="12">
        <f t="shared" si="11"/>
        <v>21.730256000000001</v>
      </c>
      <c r="O14" s="12">
        <f t="shared" si="2"/>
        <v>5.3422400000000003</v>
      </c>
    </row>
    <row r="15" spans="1:18">
      <c r="A15" t="s">
        <v>14</v>
      </c>
      <c r="B15" s="16" t="s">
        <v>30</v>
      </c>
      <c r="C15">
        <v>9</v>
      </c>
      <c r="D15" s="12">
        <f t="shared" si="12"/>
        <v>38.6</v>
      </c>
      <c r="E15" s="12" t="str">
        <f t="shared" si="13"/>
        <v>GJ/kL</v>
      </c>
      <c r="F15" s="12">
        <f t="shared" si="14"/>
        <v>69.900000000000006</v>
      </c>
      <c r="G15" s="12">
        <f t="shared" si="15"/>
        <v>0.1</v>
      </c>
      <c r="H15" s="12">
        <f t="shared" si="16"/>
        <v>0.4</v>
      </c>
      <c r="I15">
        <f t="shared" si="8"/>
        <v>70.400000000000006</v>
      </c>
      <c r="J15" s="12">
        <f t="shared" si="0"/>
        <v>17.3</v>
      </c>
      <c r="K15" s="12">
        <f t="shared" si="1"/>
        <v>24.283260000000006</v>
      </c>
      <c r="L15" s="18">
        <f t="shared" si="9"/>
        <v>1.240714285714286E-3</v>
      </c>
      <c r="M15" s="18">
        <f t="shared" si="10"/>
        <v>5.2437735849056614E-4</v>
      </c>
      <c r="N15" s="12">
        <f t="shared" si="11"/>
        <v>24.456960000000002</v>
      </c>
      <c r="O15" s="12">
        <f t="shared" si="2"/>
        <v>6.0100200000000008</v>
      </c>
    </row>
    <row r="16" spans="1:18">
      <c r="A16" t="s">
        <v>14</v>
      </c>
      <c r="B16" s="16" t="s">
        <v>31</v>
      </c>
      <c r="C16">
        <v>10</v>
      </c>
      <c r="D16" s="12">
        <f t="shared" si="12"/>
        <v>38.6</v>
      </c>
      <c r="E16" s="12" t="str">
        <f t="shared" si="13"/>
        <v>GJ/kL</v>
      </c>
      <c r="F16" s="12">
        <f t="shared" si="14"/>
        <v>69.900000000000006</v>
      </c>
      <c r="G16" s="12">
        <f t="shared" si="15"/>
        <v>0.2</v>
      </c>
      <c r="H16" s="12">
        <f t="shared" si="16"/>
        <v>0.4</v>
      </c>
      <c r="I16">
        <f t="shared" si="8"/>
        <v>70.5</v>
      </c>
      <c r="J16" s="12">
        <f t="shared" si="0"/>
        <v>17.3</v>
      </c>
      <c r="K16" s="12">
        <f t="shared" si="1"/>
        <v>26.981400000000001</v>
      </c>
      <c r="L16" s="18">
        <f t="shared" si="9"/>
        <v>2.7571428571428573E-3</v>
      </c>
      <c r="M16" s="18">
        <f t="shared" si="10"/>
        <v>5.8264150943396231E-4</v>
      </c>
      <c r="N16" s="12">
        <f t="shared" si="11"/>
        <v>27.213000000000001</v>
      </c>
      <c r="O16" s="12">
        <f t="shared" si="2"/>
        <v>6.6778000000000004</v>
      </c>
    </row>
    <row r="17" spans="1:18">
      <c r="A17" t="s">
        <v>15</v>
      </c>
      <c r="B17" t="s">
        <v>32</v>
      </c>
      <c r="C17">
        <v>8</v>
      </c>
      <c r="D17" s="12">
        <f t="shared" si="12"/>
        <v>33.1</v>
      </c>
      <c r="E17" s="12" t="str">
        <f t="shared" si="13"/>
        <v>GJ/kL</v>
      </c>
      <c r="F17" s="12">
        <f t="shared" si="14"/>
        <v>67</v>
      </c>
      <c r="G17" s="12">
        <f t="shared" si="15"/>
        <v>0.06</v>
      </c>
      <c r="H17" s="12">
        <f t="shared" si="16"/>
        <v>0.6</v>
      </c>
      <c r="I17">
        <f t="shared" si="8"/>
        <v>67.66</v>
      </c>
      <c r="J17" s="12">
        <f t="shared" si="0"/>
        <v>18</v>
      </c>
      <c r="K17" s="12">
        <f t="shared" si="1"/>
        <v>17.741600000000002</v>
      </c>
      <c r="L17" s="18">
        <f t="shared" si="9"/>
        <v>5.6742857142857137E-4</v>
      </c>
      <c r="M17" s="18">
        <f t="shared" si="10"/>
        <v>5.9954716981132068E-4</v>
      </c>
      <c r="N17" s="12">
        <f t="shared" si="11"/>
        <v>17.916367999999999</v>
      </c>
      <c r="O17" s="12">
        <f t="shared" si="2"/>
        <v>4.7664000000000009</v>
      </c>
    </row>
    <row r="18" spans="1:18">
      <c r="A18" t="s">
        <v>15</v>
      </c>
      <c r="B18" t="s">
        <v>33</v>
      </c>
      <c r="C18">
        <v>9</v>
      </c>
      <c r="D18" s="12">
        <f t="shared" si="12"/>
        <v>36.799999999999997</v>
      </c>
      <c r="E18" s="12" t="str">
        <f t="shared" si="13"/>
        <v>GJ/kL</v>
      </c>
      <c r="F18" s="12">
        <f t="shared" si="14"/>
        <v>69.599999999999994</v>
      </c>
      <c r="G18" s="12">
        <f t="shared" si="15"/>
        <v>0.01</v>
      </c>
      <c r="H18" s="12">
        <f t="shared" si="16"/>
        <v>0.6</v>
      </c>
      <c r="I18">
        <f t="shared" si="8"/>
        <v>70.209999999999994</v>
      </c>
      <c r="J18" s="12">
        <f t="shared" si="0"/>
        <v>18</v>
      </c>
      <c r="K18" s="12">
        <f t="shared" si="1"/>
        <v>23.051519999999996</v>
      </c>
      <c r="L18" s="18">
        <f t="shared" si="9"/>
        <v>1.1828571428571429E-4</v>
      </c>
      <c r="M18" s="18">
        <f t="shared" si="10"/>
        <v>7.498867924528302E-4</v>
      </c>
      <c r="N18" s="12">
        <f t="shared" si="11"/>
        <v>23.253551999999996</v>
      </c>
      <c r="O18" s="12">
        <f t="shared" si="2"/>
        <v>5.9615999999999998</v>
      </c>
    </row>
    <row r="19" spans="1:18">
      <c r="A19" t="s">
        <v>35</v>
      </c>
      <c r="B19" t="s">
        <v>36</v>
      </c>
      <c r="C19">
        <v>9</v>
      </c>
      <c r="D19" s="12">
        <f t="shared" si="12"/>
        <v>34.200000000000003</v>
      </c>
      <c r="E19" s="12" t="str">
        <f t="shared" si="13"/>
        <v>GJ/kL</v>
      </c>
      <c r="F19" s="12">
        <f t="shared" si="14"/>
        <v>67.400000000000006</v>
      </c>
      <c r="G19" s="12">
        <f t="shared" si="15"/>
        <v>10.1</v>
      </c>
      <c r="H19" s="12">
        <f t="shared" si="16"/>
        <v>0.3</v>
      </c>
      <c r="I19">
        <f t="shared" si="8"/>
        <v>77.8</v>
      </c>
      <c r="J19" s="12">
        <f t="shared" si="0"/>
        <v>17.2</v>
      </c>
      <c r="K19" s="12">
        <f t="shared" si="1"/>
        <v>20.745720000000002</v>
      </c>
      <c r="L19" s="18">
        <f t="shared" si="9"/>
        <v>0.11102785714285715</v>
      </c>
      <c r="M19" s="18">
        <f t="shared" si="10"/>
        <v>3.4845283018867927E-4</v>
      </c>
      <c r="N19" s="12">
        <f t="shared" si="11"/>
        <v>23.946840000000002</v>
      </c>
      <c r="O19" s="12">
        <f t="shared" si="2"/>
        <v>5.2941599999999998</v>
      </c>
    </row>
    <row r="20" spans="1:18">
      <c r="A20" t="s">
        <v>35</v>
      </c>
      <c r="B20" t="s">
        <v>37</v>
      </c>
      <c r="C20">
        <v>10</v>
      </c>
      <c r="D20" s="12">
        <f t="shared" si="12"/>
        <v>38.6</v>
      </c>
      <c r="E20" s="12" t="str">
        <f t="shared" si="13"/>
        <v>GJ/kL</v>
      </c>
      <c r="F20" s="12">
        <f t="shared" si="14"/>
        <v>69.900000000000006</v>
      </c>
      <c r="G20" s="12">
        <f t="shared" si="15"/>
        <v>0.2</v>
      </c>
      <c r="H20" s="12">
        <f t="shared" si="16"/>
        <v>0.5</v>
      </c>
      <c r="I20">
        <f t="shared" si="8"/>
        <v>70.600000000000009</v>
      </c>
      <c r="J20" s="12">
        <f t="shared" si="0"/>
        <v>17.3</v>
      </c>
      <c r="K20" s="12">
        <f t="shared" si="1"/>
        <v>26.981400000000001</v>
      </c>
      <c r="L20" s="18">
        <f t="shared" si="9"/>
        <v>2.7571428571428573E-3</v>
      </c>
      <c r="M20" s="18">
        <f t="shared" si="10"/>
        <v>7.2830188679245283E-4</v>
      </c>
      <c r="N20" s="12">
        <f t="shared" si="11"/>
        <v>27.251600000000003</v>
      </c>
      <c r="O20" s="12">
        <f t="shared" si="2"/>
        <v>6.6778000000000004</v>
      </c>
    </row>
    <row r="21" spans="1:18">
      <c r="A21" t="s">
        <v>35</v>
      </c>
      <c r="B21" t="s">
        <v>38</v>
      </c>
      <c r="C21">
        <v>11</v>
      </c>
      <c r="D21" s="12">
        <f t="shared" si="12"/>
        <v>39.700000000000003</v>
      </c>
      <c r="E21" s="12" t="str">
        <f t="shared" si="13"/>
        <v>GJ/kL</v>
      </c>
      <c r="F21" s="12">
        <f t="shared" si="14"/>
        <v>73.599999999999994</v>
      </c>
      <c r="G21" s="12">
        <f t="shared" si="15"/>
        <v>0.2</v>
      </c>
      <c r="H21" s="12">
        <f t="shared" si="16"/>
        <v>0.5</v>
      </c>
      <c r="I21">
        <f t="shared" si="8"/>
        <v>74.3</v>
      </c>
      <c r="J21" s="12">
        <f t="shared" si="0"/>
        <v>18</v>
      </c>
      <c r="K21" s="12">
        <f t="shared" si="1"/>
        <v>32.141120000000001</v>
      </c>
      <c r="L21" s="18">
        <f t="shared" si="9"/>
        <v>3.1192857142857151E-3</v>
      </c>
      <c r="M21" s="18">
        <f t="shared" si="10"/>
        <v>8.2396226415094355E-4</v>
      </c>
      <c r="N21" s="12">
        <f t="shared" si="11"/>
        <v>32.446809999999999</v>
      </c>
      <c r="O21" s="12">
        <f t="shared" si="2"/>
        <v>7.8606000000000007</v>
      </c>
    </row>
    <row r="22" spans="1:18">
      <c r="A22" t="s">
        <v>39</v>
      </c>
      <c r="B22" t="s">
        <v>37</v>
      </c>
      <c r="C22">
        <v>10</v>
      </c>
      <c r="D22" s="12">
        <f t="shared" si="12"/>
        <v>38.6</v>
      </c>
      <c r="E22" s="12" t="str">
        <f t="shared" si="13"/>
        <v>GJ/kL</v>
      </c>
      <c r="F22" s="12">
        <f t="shared" si="14"/>
        <v>69.900000000000006</v>
      </c>
      <c r="G22" s="12">
        <f t="shared" si="15"/>
        <v>0.3</v>
      </c>
      <c r="H22" s="12">
        <f t="shared" si="16"/>
        <v>0.5</v>
      </c>
      <c r="I22">
        <f t="shared" si="8"/>
        <v>70.7</v>
      </c>
      <c r="J22" s="12">
        <f t="shared" si="0"/>
        <v>17.3</v>
      </c>
      <c r="K22" s="12">
        <f t="shared" si="1"/>
        <v>26.981400000000001</v>
      </c>
      <c r="L22" s="18">
        <f t="shared" si="9"/>
        <v>4.1357142857142851E-3</v>
      </c>
      <c r="M22" s="18">
        <f t="shared" si="10"/>
        <v>7.2830188679245283E-4</v>
      </c>
      <c r="N22" s="12">
        <f t="shared" si="11"/>
        <v>27.290200000000002</v>
      </c>
      <c r="O22" s="12">
        <f t="shared" si="2"/>
        <v>6.6778000000000004</v>
      </c>
    </row>
    <row r="24" spans="1:18">
      <c r="N24" s="12"/>
      <c r="Q24" s="2"/>
    </row>
    <row r="25" spans="1:18">
      <c r="N25" s="12"/>
      <c r="Q25" s="2"/>
    </row>
    <row r="26" spans="1:18">
      <c r="N26" s="12"/>
      <c r="Q26" s="2"/>
    </row>
    <row r="27" spans="1:18">
      <c r="N27" s="12"/>
      <c r="Q27" s="2"/>
      <c r="R27" s="2"/>
    </row>
    <row r="28" spans="1:18">
      <c r="N28" s="12"/>
      <c r="Q28" s="2"/>
      <c r="R28" s="2"/>
    </row>
    <row r="29" spans="1:18">
      <c r="N29" s="12"/>
      <c r="Q29" s="2"/>
      <c r="R29" s="2"/>
    </row>
    <row r="30" spans="1:18">
      <c r="N30" s="12"/>
    </row>
    <row r="31" spans="1:18">
      <c r="A31" t="s">
        <v>56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Q31" s="2"/>
      <c r="R31" s="2"/>
    </row>
    <row r="32" spans="1:18">
      <c r="A32" t="s">
        <v>12</v>
      </c>
      <c r="B32" t="s">
        <v>23</v>
      </c>
      <c r="C32" s="12">
        <v>9</v>
      </c>
      <c r="D32" s="12">
        <f t="shared" ref="D32:D39" si="17">IF(ISBLANK(A32), "", VLOOKUP($B32, _xlfn.IFS($A32="Cars and light commercial vehicles", $P$36:$W$43,$A32="Cars and light commercial vehicles (pre 2004)", $P$44:$W$48,$A32="Light duty vehicles",$P$49:$W$50,$A32="Heavy duty vehicles",$P$51:$W$58,$A32="Aviation",$P$59:$W$61,$A32="Vessel",$P$63:$W$65,TRUE,$P$66:$W$66),2,FALSE))</f>
        <v>23.4</v>
      </c>
      <c r="E32" s="12" t="str">
        <f t="shared" ref="E32:E39" si="18">IF(ISBLANK(B32), "", VLOOKUP($B32, _xlfn.IFS($A32="Cars and light commercial vehicles", $P$36:$W$43,$A32="Cars and light commercial vehicles (pre 2004)", $P$44:$W$48,$A32="Light duty vehicles",$P$49:$W$50,$A32="Heavy duty vehicles",$P$51:$W$58,$A32="Aviation",$P$59:$W$61,$A32="Vessel",$P$63:$W$65,TRUE,$P$66:$W$66),3,FALSE))</f>
        <v>GJ/kL</v>
      </c>
      <c r="F32" s="12">
        <f t="shared" ref="F32:F39" si="19">IF(ISBLANK(C32), "", VLOOKUP($B32, _xlfn.IFS($A32="Cars and light commercial vehicles", $P$36:$W$43,$A32="Cars and light commercial vehicles (pre 2004)", $P$44:$W$48,$A32="Light duty vehicles",$P$49:$W$50,$A32="Heavy duty vehicles",$P$51:$W$58,$A32="Aviation",$P$59:$W$61,$A32="Vessel",$P$63:$W$65,TRUE,$P$66:$W$66),4,FALSE))</f>
        <v>0</v>
      </c>
      <c r="G32" s="12">
        <f t="shared" ref="G32:G39" si="20">IF(ISBLANK(D32), "", VLOOKUP($B32, _xlfn.IFS($A32="Cars and light commercial vehicles", $P$36:$W$43,$A32="Cars and light commercial vehicles (pre 2004)", $P$44:$W$48,$A32="Light duty vehicles",$P$49:$W$50,$A32="Heavy duty vehicles",$P$51:$W$58,$A32="Aviation",$P$59:$W$61,$A32="Vessel",$P$63:$W$65,TRUE,$P$66:$W$66),5,FALSE))</f>
        <v>0.2</v>
      </c>
      <c r="H32" s="12">
        <f t="shared" ref="H32:H39" si="21">IF(ISBLANK(E32), "", VLOOKUP($B32, _xlfn.IFS($A32="Cars and light commercial vehicles", $P$36:$W$43,$A32="Cars and light commercial vehicles (pre 2004)", $P$44:$W$48,$A32="Light duty vehicles",$P$49:$W$50,$A32="Heavy duty vehicles",$P$51:$W$58,$A32="Aviation",$P$59:$W$61,$A32="Vessel",$P$63:$W$65,TRUE,$P$66:$W$66),6,FALSE))</f>
        <v>0.2</v>
      </c>
      <c r="I32" s="12" t="str">
        <f t="shared" ref="I32:I39" si="22">IF(ISBLANK(F32), "", VLOOKUP($B32, _xlfn.IFS($A32="Cars and light commercial vehicles", $P$36:$W$43,$A32="Cars and light commercial vehicles (pre 2004)", $P$44:$W$48,$A32="Light duty vehicles",$P$49:$W$50,$A32="Heavy duty vehicles",$P$51:$W$58,$A32="Aviation",$P$59:$W$61,$A32="Vessel",$P$63:$W$65,TRUE,$P$66:$W$66),8,FALSE))</f>
        <v>NE</v>
      </c>
      <c r="J32" s="12">
        <f t="shared" ref="J32:J39" si="23">C32*D32*F32/1000</f>
        <v>0</v>
      </c>
      <c r="K32" s="12">
        <f t="shared" ref="K32:K39" si="24">C32*D32*G32/1000</f>
        <v>4.2120000000000005E-2</v>
      </c>
      <c r="L32" s="12">
        <f t="shared" ref="L32:L39" si="25">C32*D32*H32/1000</f>
        <v>4.2120000000000005E-2</v>
      </c>
      <c r="M32" s="12" t="e">
        <f t="shared" ref="M32:M39" si="26">C32*D32*I32/1000</f>
        <v>#VALUE!</v>
      </c>
      <c r="N32" s="12"/>
      <c r="Q32" s="2"/>
      <c r="R32" s="2"/>
    </row>
    <row r="33" spans="1:25">
      <c r="A33" t="s">
        <v>12</v>
      </c>
      <c r="B33" t="s">
        <v>24</v>
      </c>
      <c r="C33" s="12">
        <v>10</v>
      </c>
      <c r="D33" s="12">
        <f t="shared" si="17"/>
        <v>34.6</v>
      </c>
      <c r="E33" s="12" t="str">
        <f t="shared" si="18"/>
        <v>GJ/kL</v>
      </c>
      <c r="F33" s="12">
        <f t="shared" si="19"/>
        <v>0</v>
      </c>
      <c r="G33" s="12">
        <f t="shared" si="20"/>
        <v>0.8</v>
      </c>
      <c r="H33" s="12">
        <f t="shared" si="21"/>
        <v>1.7</v>
      </c>
      <c r="I33" s="12" t="str">
        <f t="shared" si="22"/>
        <v>NE</v>
      </c>
      <c r="J33" s="12">
        <f t="shared" si="23"/>
        <v>0</v>
      </c>
      <c r="K33" s="12">
        <f t="shared" si="24"/>
        <v>0.27679999999999999</v>
      </c>
      <c r="L33" s="12">
        <f t="shared" si="25"/>
        <v>0.58819999999999995</v>
      </c>
      <c r="M33" s="12" t="e">
        <f t="shared" si="26"/>
        <v>#VALUE!</v>
      </c>
      <c r="N33" s="12"/>
    </row>
    <row r="34" spans="1:25">
      <c r="A34" t="s">
        <v>12</v>
      </c>
      <c r="B34" t="s">
        <v>25</v>
      </c>
      <c r="C34" s="12">
        <v>11</v>
      </c>
      <c r="D34" s="12">
        <f t="shared" si="17"/>
        <v>38.6</v>
      </c>
      <c r="E34" s="12" t="str">
        <f t="shared" si="18"/>
        <v>GJ/kL</v>
      </c>
      <c r="F34" s="12">
        <f t="shared" si="19"/>
        <v>0</v>
      </c>
      <c r="G34" s="12">
        <f t="shared" si="20"/>
        <v>0.01</v>
      </c>
      <c r="H34" s="12">
        <f t="shared" si="21"/>
        <v>0.5</v>
      </c>
      <c r="I34" s="12" t="str">
        <f t="shared" si="22"/>
        <v>NE</v>
      </c>
      <c r="J34" s="12">
        <f t="shared" si="23"/>
        <v>0</v>
      </c>
      <c r="K34" s="12">
        <f t="shared" si="24"/>
        <v>4.2460000000000006E-3</v>
      </c>
      <c r="L34" s="12">
        <f t="shared" si="25"/>
        <v>0.21230000000000002</v>
      </c>
      <c r="M34" s="12" t="e">
        <f t="shared" si="26"/>
        <v>#VALUE!</v>
      </c>
      <c r="N34" s="12"/>
      <c r="Q34" s="2"/>
      <c r="R34" s="2"/>
      <c r="S34" s="8"/>
    </row>
    <row r="35" spans="1:25" ht="68">
      <c r="A35" t="s">
        <v>12</v>
      </c>
      <c r="B35" t="s">
        <v>26</v>
      </c>
      <c r="C35" s="12">
        <v>12</v>
      </c>
      <c r="D35" s="12">
        <f t="shared" si="17"/>
        <v>23.4</v>
      </c>
      <c r="E35" s="12" t="str">
        <f t="shared" si="18"/>
        <v>GJ/kL</v>
      </c>
      <c r="F35" s="12">
        <f t="shared" si="19"/>
        <v>0</v>
      </c>
      <c r="G35" s="12">
        <f t="shared" si="20"/>
        <v>0.8</v>
      </c>
      <c r="H35" s="12">
        <f t="shared" si="21"/>
        <v>1.7</v>
      </c>
      <c r="I35" s="12" t="str">
        <f t="shared" si="22"/>
        <v>NE</v>
      </c>
      <c r="J35" s="12">
        <f t="shared" si="23"/>
        <v>0</v>
      </c>
      <c r="K35" s="12">
        <f t="shared" si="24"/>
        <v>0.22463999999999998</v>
      </c>
      <c r="L35" s="12">
        <f t="shared" si="25"/>
        <v>0.4773599999999999</v>
      </c>
      <c r="M35" s="12" t="e">
        <f t="shared" si="26"/>
        <v>#VALUE!</v>
      </c>
      <c r="N35" s="12"/>
      <c r="O35" s="7" t="s">
        <v>11</v>
      </c>
      <c r="P35" s="7" t="s">
        <v>16</v>
      </c>
      <c r="Q35" s="14" t="s">
        <v>17</v>
      </c>
      <c r="R35" t="s">
        <v>44</v>
      </c>
      <c r="S35" s="14" t="s">
        <v>40</v>
      </c>
      <c r="T35" s="15" t="s">
        <v>41</v>
      </c>
      <c r="U35" s="7" t="s">
        <v>42</v>
      </c>
      <c r="V35" s="7" t="s">
        <v>18</v>
      </c>
      <c r="W35" s="7" t="s">
        <v>43</v>
      </c>
    </row>
    <row r="36" spans="1:25">
      <c r="A36" t="s">
        <v>14</v>
      </c>
      <c r="B36" s="16" t="s">
        <v>51</v>
      </c>
      <c r="C36">
        <v>11</v>
      </c>
      <c r="D36" s="12">
        <f t="shared" si="17"/>
        <v>38.6</v>
      </c>
      <c r="E36" s="12" t="str">
        <f t="shared" si="18"/>
        <v>GJ/kL</v>
      </c>
      <c r="F36" s="12">
        <f t="shared" si="19"/>
        <v>0</v>
      </c>
      <c r="G36" s="12">
        <f t="shared" si="20"/>
        <v>7.0000000000000007E-2</v>
      </c>
      <c r="H36" s="12">
        <f t="shared" si="21"/>
        <v>0.4</v>
      </c>
      <c r="I36" s="12" t="str">
        <f t="shared" si="22"/>
        <v>NE</v>
      </c>
      <c r="J36" s="12">
        <f t="shared" si="23"/>
        <v>0</v>
      </c>
      <c r="K36" s="12">
        <f t="shared" si="24"/>
        <v>2.9722000000000005E-2</v>
      </c>
      <c r="L36" s="12">
        <f t="shared" si="25"/>
        <v>0.16984000000000002</v>
      </c>
      <c r="M36" s="12" t="e">
        <f t="shared" si="26"/>
        <v>#VALUE!</v>
      </c>
      <c r="N36" s="12"/>
      <c r="O36" t="s">
        <v>12</v>
      </c>
      <c r="P36" t="s">
        <v>19</v>
      </c>
      <c r="Q36" s="2">
        <v>34.200000000000003</v>
      </c>
      <c r="R36" t="s">
        <v>45</v>
      </c>
      <c r="S36" s="2">
        <v>67.400000000000006</v>
      </c>
      <c r="T36" s="8">
        <v>0.02</v>
      </c>
      <c r="U36">
        <v>0.2</v>
      </c>
      <c r="V36">
        <v>67.62</v>
      </c>
      <c r="W36">
        <v>17.2</v>
      </c>
    </row>
    <row r="37" spans="1:25">
      <c r="A37" t="s">
        <v>14</v>
      </c>
      <c r="B37" s="16" t="s">
        <v>52</v>
      </c>
      <c r="C37">
        <v>12</v>
      </c>
      <c r="D37" s="12">
        <f t="shared" si="17"/>
        <v>38.6</v>
      </c>
      <c r="E37" s="12" t="str">
        <f t="shared" si="18"/>
        <v>GJ/kL</v>
      </c>
      <c r="F37" s="12">
        <f t="shared" si="19"/>
        <v>0</v>
      </c>
      <c r="G37" s="12">
        <f t="shared" si="20"/>
        <v>0.1</v>
      </c>
      <c r="H37" s="12">
        <f t="shared" si="21"/>
        <v>0.4</v>
      </c>
      <c r="I37" s="12" t="str">
        <f t="shared" si="22"/>
        <v>NE</v>
      </c>
      <c r="J37" s="12">
        <f t="shared" si="23"/>
        <v>0</v>
      </c>
      <c r="K37" s="12">
        <f t="shared" si="24"/>
        <v>4.6320000000000007E-2</v>
      </c>
      <c r="L37" s="12">
        <f t="shared" si="25"/>
        <v>0.18528000000000003</v>
      </c>
      <c r="M37" s="12" t="e">
        <f t="shared" si="26"/>
        <v>#VALUE!</v>
      </c>
      <c r="N37" s="12"/>
      <c r="O37" t="s">
        <v>12</v>
      </c>
      <c r="P37" t="s">
        <v>20</v>
      </c>
      <c r="Q37">
        <v>38.6</v>
      </c>
      <c r="R37" t="s">
        <v>45</v>
      </c>
      <c r="S37">
        <v>69.900000000000006</v>
      </c>
      <c r="T37">
        <v>0.01</v>
      </c>
      <c r="U37">
        <v>0.5</v>
      </c>
      <c r="V37">
        <v>70.41</v>
      </c>
      <c r="W37">
        <v>17.3</v>
      </c>
    </row>
    <row r="38" spans="1:25">
      <c r="A38" t="s">
        <v>14</v>
      </c>
      <c r="B38" s="16" t="s">
        <v>53</v>
      </c>
      <c r="C38">
        <v>13</v>
      </c>
      <c r="D38" s="12">
        <f t="shared" si="17"/>
        <v>38.6</v>
      </c>
      <c r="E38" s="12" t="str">
        <f t="shared" si="18"/>
        <v>GJ/kL</v>
      </c>
      <c r="F38" s="12">
        <f t="shared" si="19"/>
        <v>0</v>
      </c>
      <c r="G38" s="12">
        <f t="shared" si="20"/>
        <v>0.2</v>
      </c>
      <c r="H38" s="12">
        <f t="shared" si="21"/>
        <v>0.4</v>
      </c>
      <c r="I38" s="12" t="str">
        <f t="shared" si="22"/>
        <v>NE</v>
      </c>
      <c r="J38" s="12">
        <f t="shared" si="23"/>
        <v>0</v>
      </c>
      <c r="K38" s="12">
        <f t="shared" si="24"/>
        <v>0.10036000000000002</v>
      </c>
      <c r="L38" s="12">
        <f t="shared" si="25"/>
        <v>0.20072000000000004</v>
      </c>
      <c r="M38" s="12" t="e">
        <f t="shared" si="26"/>
        <v>#VALUE!</v>
      </c>
      <c r="N38" s="12"/>
      <c r="O38" t="s">
        <v>12</v>
      </c>
      <c r="P38" t="s">
        <v>21</v>
      </c>
      <c r="Q38" s="2">
        <v>26.2</v>
      </c>
      <c r="R38" t="s">
        <v>45</v>
      </c>
      <c r="S38" s="2">
        <v>60.2</v>
      </c>
      <c r="T38">
        <v>0.5</v>
      </c>
      <c r="U38">
        <v>0.3</v>
      </c>
      <c r="V38">
        <v>61</v>
      </c>
      <c r="W38">
        <v>20.2</v>
      </c>
    </row>
    <row r="39" spans="1:25">
      <c r="A39" t="s">
        <v>15</v>
      </c>
      <c r="B39" t="s">
        <v>34</v>
      </c>
      <c r="C39">
        <v>10</v>
      </c>
      <c r="D39" s="12">
        <f t="shared" si="17"/>
        <v>36.799999999999997</v>
      </c>
      <c r="E39" s="12" t="str">
        <f t="shared" si="18"/>
        <v>GJ/kL</v>
      </c>
      <c r="F39" s="12">
        <f t="shared" si="19"/>
        <v>0</v>
      </c>
      <c r="G39" s="12">
        <f t="shared" si="20"/>
        <v>0.01</v>
      </c>
      <c r="H39" s="12">
        <f t="shared" si="21"/>
        <v>0.6</v>
      </c>
      <c r="I39" s="12" t="str">
        <f t="shared" si="22"/>
        <v>NE</v>
      </c>
      <c r="J39" s="12">
        <f t="shared" si="23"/>
        <v>0</v>
      </c>
      <c r="K39" s="12">
        <f t="shared" si="24"/>
        <v>3.6800000000000001E-3</v>
      </c>
      <c r="L39" s="12">
        <f t="shared" si="25"/>
        <v>0.2208</v>
      </c>
      <c r="M39" s="12" t="e">
        <f t="shared" si="26"/>
        <v>#VALUE!</v>
      </c>
      <c r="N39" s="12"/>
      <c r="O39" t="s">
        <v>12</v>
      </c>
      <c r="P39" t="s">
        <v>22</v>
      </c>
      <c r="Q39" s="2">
        <v>39.700000000000003</v>
      </c>
      <c r="R39" t="s">
        <v>45</v>
      </c>
      <c r="S39" s="2">
        <v>73.599999999999994</v>
      </c>
      <c r="T39">
        <v>0.08</v>
      </c>
      <c r="U39">
        <v>0.5</v>
      </c>
      <c r="V39">
        <v>74.180000000000007</v>
      </c>
      <c r="W39">
        <v>18</v>
      </c>
    </row>
    <row r="40" spans="1:25"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t="s">
        <v>12</v>
      </c>
      <c r="P40" t="s">
        <v>23</v>
      </c>
      <c r="Q40" s="2">
        <v>23.4</v>
      </c>
      <c r="R40" t="s">
        <v>45</v>
      </c>
      <c r="S40" s="2">
        <v>0</v>
      </c>
      <c r="T40">
        <v>0.2</v>
      </c>
      <c r="U40">
        <v>0.2</v>
      </c>
      <c r="V40" s="7">
        <v>0.4</v>
      </c>
      <c r="W40" t="s">
        <v>10</v>
      </c>
    </row>
    <row r="41" spans="1:25"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t="s">
        <v>12</v>
      </c>
      <c r="P41" t="s">
        <v>24</v>
      </c>
      <c r="Q41" s="2">
        <v>34.6</v>
      </c>
      <c r="R41" t="s">
        <v>45</v>
      </c>
      <c r="S41" s="2">
        <v>0</v>
      </c>
      <c r="T41">
        <v>0.8</v>
      </c>
      <c r="U41">
        <v>1.7</v>
      </c>
      <c r="V41" s="7">
        <v>2.5</v>
      </c>
      <c r="W41" t="s">
        <v>10</v>
      </c>
    </row>
    <row r="42" spans="1:25"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t="s">
        <v>12</v>
      </c>
      <c r="P42" t="s">
        <v>25</v>
      </c>
      <c r="Q42" s="2">
        <v>38.6</v>
      </c>
      <c r="R42" t="s">
        <v>45</v>
      </c>
      <c r="S42" s="11">
        <v>0</v>
      </c>
      <c r="T42" s="10">
        <v>0.01</v>
      </c>
      <c r="U42" s="10">
        <v>0.5</v>
      </c>
      <c r="V42" s="10">
        <v>0.51</v>
      </c>
      <c r="W42" s="10" t="s">
        <v>10</v>
      </c>
      <c r="X42" s="10"/>
      <c r="Y42" s="10"/>
    </row>
    <row r="43" spans="1:25">
      <c r="O43" t="s">
        <v>12</v>
      </c>
      <c r="P43" t="s">
        <v>26</v>
      </c>
      <c r="Q43" s="2">
        <v>23.4</v>
      </c>
      <c r="R43" t="s">
        <v>45</v>
      </c>
      <c r="S43" s="11">
        <v>0</v>
      </c>
      <c r="T43" s="10">
        <v>0.8</v>
      </c>
      <c r="U43" s="10">
        <v>1.7</v>
      </c>
      <c r="V43" s="10">
        <v>2.5</v>
      </c>
      <c r="W43" s="10" t="s">
        <v>10</v>
      </c>
      <c r="X43" s="10"/>
      <c r="Y43" s="10"/>
    </row>
    <row r="44" spans="1:25">
      <c r="O44" t="s">
        <v>50</v>
      </c>
      <c r="P44" t="s">
        <v>19</v>
      </c>
      <c r="Q44" s="2">
        <v>34.200000000000003</v>
      </c>
      <c r="R44" t="s">
        <v>45</v>
      </c>
      <c r="S44" s="2">
        <v>67.400000000000006</v>
      </c>
      <c r="T44" s="8">
        <v>0.6</v>
      </c>
      <c r="U44">
        <v>1.6</v>
      </c>
      <c r="V44">
        <f>SUM(S44:U44)</f>
        <v>69.599999999999994</v>
      </c>
      <c r="W44">
        <v>17.2</v>
      </c>
      <c r="X44" s="10"/>
      <c r="Y44" s="10"/>
    </row>
    <row r="45" spans="1:25">
      <c r="O45" t="s">
        <v>50</v>
      </c>
      <c r="P45" t="s">
        <v>20</v>
      </c>
      <c r="Q45">
        <v>38.6</v>
      </c>
      <c r="R45" t="s">
        <v>45</v>
      </c>
      <c r="S45">
        <v>69.900000000000006</v>
      </c>
      <c r="T45">
        <v>0.1</v>
      </c>
      <c r="U45">
        <v>0.4</v>
      </c>
      <c r="V45">
        <f t="shared" ref="V45:V48" si="27">SUM(S45:U45)</f>
        <v>70.400000000000006</v>
      </c>
      <c r="W45">
        <v>17.3</v>
      </c>
      <c r="X45" s="10"/>
      <c r="Y45" s="10"/>
    </row>
    <row r="46" spans="1:25">
      <c r="O46" t="s">
        <v>50</v>
      </c>
      <c r="P46" t="s">
        <v>21</v>
      </c>
      <c r="Q46" s="2">
        <v>26.2</v>
      </c>
      <c r="R46" t="s">
        <v>45</v>
      </c>
      <c r="S46" s="2">
        <v>60.2</v>
      </c>
      <c r="T46">
        <v>0.7</v>
      </c>
      <c r="U46">
        <v>0.6</v>
      </c>
      <c r="V46">
        <f t="shared" si="27"/>
        <v>61.500000000000007</v>
      </c>
      <c r="W46">
        <v>20.2</v>
      </c>
      <c r="X46" s="10"/>
      <c r="Y46" s="10"/>
    </row>
    <row r="47" spans="1:25">
      <c r="O47" t="s">
        <v>50</v>
      </c>
      <c r="P47" t="s">
        <v>23</v>
      </c>
      <c r="Q47" s="2">
        <v>23.4</v>
      </c>
      <c r="R47" t="s">
        <v>45</v>
      </c>
      <c r="S47" s="2">
        <v>0</v>
      </c>
      <c r="T47">
        <v>0.8</v>
      </c>
      <c r="U47">
        <v>1.7</v>
      </c>
      <c r="V47">
        <f t="shared" si="27"/>
        <v>2.5</v>
      </c>
      <c r="W47" t="s">
        <v>10</v>
      </c>
      <c r="X47" s="10"/>
      <c r="Y47" s="10"/>
    </row>
    <row r="48" spans="1:25">
      <c r="O48" t="s">
        <v>50</v>
      </c>
      <c r="P48" t="s">
        <v>25</v>
      </c>
      <c r="Q48" s="2">
        <v>38.6</v>
      </c>
      <c r="R48" t="s">
        <v>45</v>
      </c>
      <c r="S48" s="11">
        <v>0</v>
      </c>
      <c r="T48" s="10">
        <v>0.1</v>
      </c>
      <c r="U48" s="10">
        <v>0.4</v>
      </c>
      <c r="V48">
        <f t="shared" si="27"/>
        <v>0.5</v>
      </c>
      <c r="W48" s="10" t="s">
        <v>10</v>
      </c>
      <c r="X48" s="10"/>
      <c r="Y48" s="10"/>
    </row>
    <row r="49" spans="15:25">
      <c r="O49" t="s">
        <v>13</v>
      </c>
      <c r="P49" t="s">
        <v>27</v>
      </c>
      <c r="Q49" s="2">
        <v>3.9300000000000002E-2</v>
      </c>
      <c r="R49" t="s">
        <v>46</v>
      </c>
      <c r="S49" s="11">
        <v>51.4</v>
      </c>
      <c r="T49" s="10">
        <v>7.3</v>
      </c>
      <c r="U49" s="10">
        <v>0.3</v>
      </c>
      <c r="V49" s="10">
        <v>59</v>
      </c>
      <c r="W49" s="10">
        <v>18</v>
      </c>
      <c r="X49" s="10"/>
      <c r="Y49" s="10"/>
    </row>
    <row r="50" spans="15:25">
      <c r="O50" t="s">
        <v>13</v>
      </c>
      <c r="P50" t="s">
        <v>28</v>
      </c>
      <c r="Q50" s="2">
        <v>25.3</v>
      </c>
      <c r="R50" t="s">
        <v>45</v>
      </c>
      <c r="S50" s="11">
        <v>51.4</v>
      </c>
      <c r="T50" s="10">
        <v>7.3</v>
      </c>
      <c r="U50" s="10">
        <v>0.3</v>
      </c>
      <c r="V50" s="10">
        <v>59</v>
      </c>
      <c r="W50" s="10">
        <v>18</v>
      </c>
      <c r="X50" s="10"/>
      <c r="Y50" s="10"/>
    </row>
    <row r="51" spans="15:25">
      <c r="O51" t="s">
        <v>14</v>
      </c>
      <c r="P51" t="s">
        <v>27</v>
      </c>
      <c r="Q51" s="2">
        <v>3.9300000000000002E-2</v>
      </c>
      <c r="R51" t="s">
        <v>46</v>
      </c>
      <c r="S51" s="11">
        <v>51.4</v>
      </c>
      <c r="T51" s="10">
        <v>2.8</v>
      </c>
      <c r="U51" s="10">
        <v>0.3</v>
      </c>
      <c r="V51" s="10">
        <v>54.5</v>
      </c>
      <c r="W51" s="10">
        <v>18</v>
      </c>
      <c r="X51" s="10"/>
      <c r="Y51" s="10"/>
    </row>
    <row r="52" spans="15:25">
      <c r="O52" t="s">
        <v>14</v>
      </c>
      <c r="P52" t="s">
        <v>28</v>
      </c>
      <c r="Q52" s="2">
        <v>25.3</v>
      </c>
      <c r="R52" t="s">
        <v>45</v>
      </c>
      <c r="S52" s="11">
        <v>51.4</v>
      </c>
      <c r="T52" s="10">
        <v>2.8</v>
      </c>
      <c r="U52" s="10">
        <v>0.3</v>
      </c>
      <c r="V52" s="10">
        <v>54.5</v>
      </c>
      <c r="W52" s="10">
        <v>18</v>
      </c>
      <c r="X52" s="10"/>
      <c r="Y52" s="10"/>
    </row>
    <row r="53" spans="15:25">
      <c r="O53" t="s">
        <v>14</v>
      </c>
      <c r="P53" t="s">
        <v>29</v>
      </c>
      <c r="Q53" s="2">
        <v>38.6</v>
      </c>
      <c r="R53" t="s">
        <v>45</v>
      </c>
      <c r="S53" s="11">
        <v>69.900000000000006</v>
      </c>
      <c r="T53" s="10">
        <v>7.0000000000000007E-2</v>
      </c>
      <c r="U53" s="10">
        <v>0.4</v>
      </c>
      <c r="V53" s="10">
        <v>70.37</v>
      </c>
      <c r="W53" s="10">
        <v>17.3</v>
      </c>
      <c r="X53" s="10"/>
      <c r="Y53" s="10"/>
    </row>
    <row r="54" spans="15:25">
      <c r="O54" t="s">
        <v>14</v>
      </c>
      <c r="P54" t="s">
        <v>30</v>
      </c>
      <c r="Q54" s="2">
        <v>38.6</v>
      </c>
      <c r="R54" t="s">
        <v>45</v>
      </c>
      <c r="S54" s="11">
        <v>69.900000000000006</v>
      </c>
      <c r="T54" s="10">
        <v>0.1</v>
      </c>
      <c r="U54" s="10">
        <v>0.4</v>
      </c>
      <c r="V54" s="10">
        <v>70.400000000000006</v>
      </c>
      <c r="W54" s="10">
        <v>17.3</v>
      </c>
      <c r="X54" s="10"/>
      <c r="Y54" s="10"/>
    </row>
    <row r="55" spans="15:25">
      <c r="O55" t="s">
        <v>14</v>
      </c>
      <c r="P55" t="s">
        <v>31</v>
      </c>
      <c r="Q55" s="2">
        <v>38.6</v>
      </c>
      <c r="R55" t="s">
        <v>45</v>
      </c>
      <c r="S55" s="11">
        <v>69.900000000000006</v>
      </c>
      <c r="T55" s="10">
        <v>0.2</v>
      </c>
      <c r="U55" s="10">
        <v>0.4</v>
      </c>
      <c r="V55" s="10">
        <v>70.5</v>
      </c>
      <c r="W55" s="10">
        <v>17.3</v>
      </c>
      <c r="X55" s="10"/>
      <c r="Y55" s="10"/>
    </row>
    <row r="56" spans="15:25">
      <c r="O56" t="s">
        <v>14</v>
      </c>
      <c r="P56" t="s">
        <v>51</v>
      </c>
      <c r="Q56" s="2">
        <v>38.6</v>
      </c>
      <c r="R56" t="s">
        <v>45</v>
      </c>
      <c r="S56" s="11">
        <v>0</v>
      </c>
      <c r="T56" s="10">
        <v>7.0000000000000007E-2</v>
      </c>
      <c r="U56" s="10">
        <v>0.4</v>
      </c>
      <c r="V56" s="10">
        <v>0.47</v>
      </c>
      <c r="W56" s="10" t="s">
        <v>10</v>
      </c>
      <c r="X56" s="10"/>
      <c r="Y56" s="10"/>
    </row>
    <row r="57" spans="15:25">
      <c r="O57" t="s">
        <v>14</v>
      </c>
      <c r="P57" t="s">
        <v>52</v>
      </c>
      <c r="Q57" s="2">
        <v>38.6</v>
      </c>
      <c r="R57" t="s">
        <v>45</v>
      </c>
      <c r="S57" s="11">
        <v>0</v>
      </c>
      <c r="T57" s="10">
        <v>0.1</v>
      </c>
      <c r="U57" s="10">
        <v>0.4</v>
      </c>
      <c r="V57" s="10">
        <v>0.5</v>
      </c>
      <c r="W57" s="10" t="s">
        <v>10</v>
      </c>
      <c r="X57" s="10"/>
      <c r="Y57" s="10"/>
    </row>
    <row r="58" spans="15:25">
      <c r="O58" t="s">
        <v>14</v>
      </c>
      <c r="P58" t="s">
        <v>53</v>
      </c>
      <c r="Q58" s="2">
        <v>38.6</v>
      </c>
      <c r="R58" t="s">
        <v>45</v>
      </c>
      <c r="S58" s="11">
        <v>0</v>
      </c>
      <c r="T58" s="10">
        <v>0.2</v>
      </c>
      <c r="U58" s="10">
        <v>0.4</v>
      </c>
      <c r="V58" s="10">
        <v>0.6</v>
      </c>
      <c r="W58" s="10" t="s">
        <v>10</v>
      </c>
      <c r="X58" s="10"/>
      <c r="Y58" s="10"/>
    </row>
    <row r="59" spans="15:25">
      <c r="O59" t="s">
        <v>15</v>
      </c>
      <c r="P59" t="s">
        <v>32</v>
      </c>
      <c r="Q59" s="2">
        <v>33.1</v>
      </c>
      <c r="R59" t="s">
        <v>45</v>
      </c>
      <c r="S59" s="11">
        <v>67</v>
      </c>
      <c r="T59" s="10">
        <v>0.06</v>
      </c>
      <c r="U59" s="10">
        <v>0.6</v>
      </c>
      <c r="V59" s="10">
        <v>67.66</v>
      </c>
      <c r="W59" s="10">
        <v>18</v>
      </c>
      <c r="X59" s="10"/>
      <c r="Y59" s="10"/>
    </row>
    <row r="60" spans="15:25">
      <c r="O60" t="s">
        <v>15</v>
      </c>
      <c r="P60" t="s">
        <v>33</v>
      </c>
      <c r="Q60" s="2">
        <v>36.799999999999997</v>
      </c>
      <c r="R60" t="s">
        <v>45</v>
      </c>
      <c r="S60" s="11">
        <v>69.599999999999994</v>
      </c>
      <c r="T60" s="10">
        <v>0.01</v>
      </c>
      <c r="U60" s="10">
        <v>0.6</v>
      </c>
      <c r="V60" s="10">
        <v>70.209999999999994</v>
      </c>
      <c r="W60" s="10">
        <v>18</v>
      </c>
      <c r="X60" s="10"/>
      <c r="Y60" s="10"/>
    </row>
    <row r="61" spans="15:25">
      <c r="O61" t="s">
        <v>15</v>
      </c>
      <c r="P61" t="s">
        <v>34</v>
      </c>
      <c r="Q61" s="2">
        <v>36.799999999999997</v>
      </c>
      <c r="R61" t="s">
        <v>45</v>
      </c>
      <c r="S61" s="11">
        <v>0</v>
      </c>
      <c r="T61" s="10">
        <v>0.01</v>
      </c>
      <c r="U61" s="10">
        <v>0.6</v>
      </c>
      <c r="V61" s="10">
        <v>0.61</v>
      </c>
      <c r="W61" s="10" t="s">
        <v>10</v>
      </c>
      <c r="X61" s="10"/>
      <c r="Y61" s="10"/>
    </row>
    <row r="62" spans="15:25">
      <c r="Q62" s="2"/>
      <c r="S62" s="11"/>
      <c r="T62" s="10"/>
      <c r="U62" s="10"/>
      <c r="V62" s="10"/>
      <c r="W62" s="10"/>
      <c r="X62" s="10"/>
      <c r="Y62" s="10"/>
    </row>
    <row r="63" spans="15:25">
      <c r="O63" t="s">
        <v>35</v>
      </c>
      <c r="P63" t="s">
        <v>36</v>
      </c>
      <c r="Q63" s="2">
        <v>34.200000000000003</v>
      </c>
      <c r="R63" t="s">
        <v>45</v>
      </c>
      <c r="S63" s="9">
        <v>67.400000000000006</v>
      </c>
      <c r="T63" s="9">
        <v>10.1</v>
      </c>
      <c r="U63" s="9">
        <v>0.3</v>
      </c>
      <c r="V63" s="17">
        <f>SUM(S63:U63)</f>
        <v>77.8</v>
      </c>
      <c r="W63" s="9">
        <v>17.2</v>
      </c>
      <c r="X63" s="9"/>
      <c r="Y63" s="9"/>
    </row>
    <row r="64" spans="15:25">
      <c r="O64" t="s">
        <v>35</v>
      </c>
      <c r="P64" t="s">
        <v>37</v>
      </c>
      <c r="Q64">
        <v>38.6</v>
      </c>
      <c r="R64" t="s">
        <v>45</v>
      </c>
      <c r="S64" s="2">
        <v>69.900000000000006</v>
      </c>
      <c r="T64" s="11">
        <v>0.2</v>
      </c>
      <c r="U64" s="10">
        <v>0.5</v>
      </c>
      <c r="V64" s="17">
        <f t="shared" ref="V64:V66" si="28">SUM(S64:U64)</f>
        <v>70.600000000000009</v>
      </c>
      <c r="W64">
        <v>17.3</v>
      </c>
      <c r="X64" s="9"/>
      <c r="Y64" s="9"/>
    </row>
    <row r="65" spans="15:23">
      <c r="O65" t="s">
        <v>35</v>
      </c>
      <c r="P65" t="s">
        <v>38</v>
      </c>
      <c r="Q65">
        <v>39.700000000000003</v>
      </c>
      <c r="R65" t="s">
        <v>45</v>
      </c>
      <c r="S65" s="2">
        <v>73.599999999999994</v>
      </c>
      <c r="T65" s="2">
        <v>0.2</v>
      </c>
      <c r="U65">
        <v>0.5</v>
      </c>
      <c r="V65" s="17">
        <f t="shared" si="28"/>
        <v>74.3</v>
      </c>
      <c r="W65">
        <v>18</v>
      </c>
    </row>
    <row r="66" spans="15:23">
      <c r="O66" t="s">
        <v>39</v>
      </c>
      <c r="P66" t="s">
        <v>37</v>
      </c>
      <c r="Q66" s="2">
        <v>38.6</v>
      </c>
      <c r="R66" t="s">
        <v>45</v>
      </c>
      <c r="S66" s="2">
        <v>69.900000000000006</v>
      </c>
      <c r="T66" s="2">
        <v>0.3</v>
      </c>
      <c r="U66">
        <v>0.5</v>
      </c>
      <c r="V66" s="17">
        <f t="shared" si="28"/>
        <v>70.7</v>
      </c>
      <c r="W66">
        <v>17.3</v>
      </c>
    </row>
    <row r="68" spans="15:23">
      <c r="Q68" s="2"/>
      <c r="R68" s="2"/>
    </row>
    <row r="69" spans="15:23">
      <c r="Q69" s="2"/>
      <c r="R69" s="2"/>
    </row>
    <row r="70" spans="15:23">
      <c r="R70" s="2"/>
    </row>
    <row r="71" spans="15:23">
      <c r="Q71" s="2"/>
      <c r="R71" s="2"/>
    </row>
    <row r="72" spans="15:23">
      <c r="Q72" s="2"/>
      <c r="R72" s="2"/>
    </row>
    <row r="73" spans="15:23">
      <c r="Q73" s="2"/>
      <c r="R73" s="2"/>
    </row>
    <row r="74" spans="15:23">
      <c r="Q74" s="2"/>
      <c r="R74" s="2"/>
    </row>
    <row r="75" spans="15:23">
      <c r="Q75" s="2"/>
      <c r="R75" s="2"/>
    </row>
    <row r="76" spans="15:23">
      <c r="Q76" s="2"/>
      <c r="R76" s="2"/>
    </row>
    <row r="77" spans="15:23">
      <c r="Q77" s="2"/>
      <c r="R77" s="2"/>
    </row>
    <row r="78" spans="15:23">
      <c r="Q78" s="2"/>
      <c r="R78" s="2"/>
    </row>
    <row r="79" spans="15:23">
      <c r="Q79" s="2"/>
      <c r="R79" s="2"/>
    </row>
    <row r="80" spans="15:23">
      <c r="Q80" s="2"/>
      <c r="R80" s="2"/>
    </row>
    <row r="81" spans="17:18">
      <c r="Q81" s="2"/>
      <c r="R81" s="2"/>
    </row>
    <row r="82" spans="17:18">
      <c r="Q82" s="2"/>
      <c r="R82" s="2"/>
    </row>
    <row r="83" spans="17:18">
      <c r="Q83" s="2"/>
      <c r="R8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8.1.1.1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2026-02-18T00:55:42Z</dcterms:created>
  <dcterms:modified xsi:type="dcterms:W3CDTF">2026-09-10T10:46:05Z</dcterms:modified>
</cp:coreProperties>
</file>