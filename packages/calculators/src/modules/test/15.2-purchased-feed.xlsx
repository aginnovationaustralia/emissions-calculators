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B0F10B09-3471-D64D-B902-CE6E526BC0A1}" xr6:coauthVersionLast="47" xr6:coauthVersionMax="47" xr10:uidLastSave="{00000000-0000-0000-0000-000000000000}"/>
  <bookViews>
    <workbookView xWindow="-21160" yWindow="-21000" windowWidth="38400" windowHeight="21000" xr2:uid="{00000000-000D-0000-FFFF-FFFF00000000}"/>
  </bookViews>
  <sheets>
    <sheet name="15.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D25" i="1"/>
  <c r="D24" i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1" i="1"/>
  <c r="D11" i="1" s="1"/>
</calcChain>
</file>

<file path=xl/sharedStrings.xml><?xml version="1.0" encoding="utf-8"?>
<sst xmlns="http://schemas.openxmlformats.org/spreadsheetml/2006/main" count="34" uniqueCount="21">
  <si>
    <t>input</t>
  </si>
  <si>
    <t>constant</t>
  </si>
  <si>
    <t>expression</t>
  </si>
  <si>
    <t>Qj</t>
  </si>
  <si>
    <t>EFj</t>
  </si>
  <si>
    <t>E</t>
  </si>
  <si>
    <t>Feed type (j)</t>
  </si>
  <si>
    <t>Method 1</t>
  </si>
  <si>
    <r>
      <t>𝐸 = ∑ 𝑄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𝑗</t>
    </r>
  </si>
  <si>
    <t>Feed Type j </t>
  </si>
  <si>
    <t>tonnes</t>
  </si>
  <si>
    <t>tonnes CO2e</t>
  </si>
  <si>
    <t>Method 2</t>
  </si>
  <si>
    <t>Low Animal Protein Formulated Feed</t>
  </si>
  <si>
    <t>Meat Meal</t>
  </si>
  <si>
    <t>Blood Meal</t>
  </si>
  <si>
    <t>Millrun</t>
  </si>
  <si>
    <t>Whole Sardines</t>
  </si>
  <si>
    <t>Squid</t>
  </si>
  <si>
    <t>Whole Fish</t>
  </si>
  <si>
    <t>Custom Bait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</si>
</sst>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H26"/>
  <sheetViews>
    <sheetView tabSelected="1" workbookViewId="0">
      <selection activeCell="G11" sqref="G11:G18"/>
    </sheetView>
  </sheetViews>
  <sheetFormatPr baseColWidth="10" defaultRowHeight="16" x14ac:dyDescent="0.2"/>
  <sheetData>
    <row r="5" spans="1:8" x14ac:dyDescent="0.2">
      <c r="D5" s="2" t="s">
        <v>8</v>
      </c>
    </row>
    <row r="6" spans="1:8" x14ac:dyDescent="0.2">
      <c r="A6" t="s">
        <v>7</v>
      </c>
    </row>
    <row r="7" spans="1:8" x14ac:dyDescent="0.2">
      <c r="B7">
        <v>257</v>
      </c>
      <c r="C7">
        <v>258</v>
      </c>
      <c r="D7">
        <v>256</v>
      </c>
    </row>
    <row r="8" spans="1:8" x14ac:dyDescent="0.2">
      <c r="B8" t="s">
        <v>0</v>
      </c>
      <c r="C8" t="s">
        <v>1</v>
      </c>
      <c r="D8" t="s">
        <v>2</v>
      </c>
    </row>
    <row r="9" spans="1:8" x14ac:dyDescent="0.2">
      <c r="B9" t="s">
        <v>10</v>
      </c>
      <c r="D9" t="s">
        <v>11</v>
      </c>
    </row>
    <row r="10" spans="1:8" x14ac:dyDescent="0.2">
      <c r="A10" s="1" t="s">
        <v>6</v>
      </c>
      <c r="B10" s="1" t="s">
        <v>3</v>
      </c>
      <c r="C10" s="1" t="s">
        <v>4</v>
      </c>
      <c r="D10" s="1" t="s">
        <v>5</v>
      </c>
      <c r="G10" s="3" t="s">
        <v>9</v>
      </c>
      <c r="H10" s="3" t="s">
        <v>4</v>
      </c>
    </row>
    <row r="11" spans="1:8" x14ac:dyDescent="0.2">
      <c r="A11" s="3" t="s">
        <v>14</v>
      </c>
      <c r="B11">
        <v>100</v>
      </c>
      <c r="C11">
        <f t="shared" ref="C11:C18" si="0">_xlfn.XLOOKUP(A11, $G$11:$G$18, $H$11:$H$18)</f>
        <v>0.38600000000000001</v>
      </c>
      <c r="D11">
        <f>B11*C11</f>
        <v>38.6</v>
      </c>
      <c r="G11" s="3" t="s">
        <v>14</v>
      </c>
      <c r="H11" s="3">
        <v>0.38600000000000001</v>
      </c>
    </row>
    <row r="12" spans="1:8" x14ac:dyDescent="0.2">
      <c r="A12" s="3" t="s">
        <v>15</v>
      </c>
      <c r="B12">
        <v>200</v>
      </c>
      <c r="C12">
        <f t="shared" si="0"/>
        <v>1.9</v>
      </c>
      <c r="D12">
        <f t="shared" ref="D12:D18" si="1">B12*C12</f>
        <v>380</v>
      </c>
      <c r="G12" s="3" t="s">
        <v>15</v>
      </c>
      <c r="H12" s="3">
        <v>1.9</v>
      </c>
    </row>
    <row r="13" spans="1:8" x14ac:dyDescent="0.2">
      <c r="A13" s="3" t="s">
        <v>16</v>
      </c>
      <c r="B13">
        <v>300</v>
      </c>
      <c r="C13">
        <f t="shared" si="0"/>
        <v>0.3</v>
      </c>
      <c r="D13">
        <f t="shared" si="1"/>
        <v>90</v>
      </c>
      <c r="G13" s="3" t="s">
        <v>16</v>
      </c>
      <c r="H13" s="3">
        <v>0.3</v>
      </c>
    </row>
    <row r="14" spans="1:8" x14ac:dyDescent="0.2">
      <c r="A14" s="3" t="s">
        <v>17</v>
      </c>
      <c r="B14">
        <v>400</v>
      </c>
      <c r="C14">
        <f t="shared" si="0"/>
        <v>0.3</v>
      </c>
      <c r="D14">
        <f t="shared" si="1"/>
        <v>120</v>
      </c>
      <c r="G14" s="3" t="s">
        <v>17</v>
      </c>
      <c r="H14" s="3">
        <v>0.3</v>
      </c>
    </row>
    <row r="15" spans="1:8" x14ac:dyDescent="0.2">
      <c r="A15" s="3" t="s">
        <v>13</v>
      </c>
      <c r="B15">
        <v>500</v>
      </c>
      <c r="C15">
        <f t="shared" si="0"/>
        <v>2.2000000000000002</v>
      </c>
      <c r="D15">
        <f t="shared" si="1"/>
        <v>1100</v>
      </c>
      <c r="G15" s="3" t="s">
        <v>13</v>
      </c>
      <c r="H15" s="3">
        <v>2.2000000000000002</v>
      </c>
    </row>
    <row r="16" spans="1:8" x14ac:dyDescent="0.2">
      <c r="A16" s="3" t="s">
        <v>18</v>
      </c>
      <c r="B16">
        <v>600</v>
      </c>
      <c r="C16">
        <f t="shared" si="0"/>
        <v>0.3</v>
      </c>
      <c r="D16">
        <f t="shared" si="1"/>
        <v>180</v>
      </c>
      <c r="G16" s="3" t="s">
        <v>18</v>
      </c>
      <c r="H16" s="3">
        <v>0.3</v>
      </c>
    </row>
    <row r="17" spans="1:8" x14ac:dyDescent="0.2">
      <c r="A17" s="3" t="s">
        <v>19</v>
      </c>
      <c r="B17">
        <v>700</v>
      </c>
      <c r="C17">
        <f t="shared" si="0"/>
        <v>0.3</v>
      </c>
      <c r="D17">
        <f t="shared" si="1"/>
        <v>210</v>
      </c>
      <c r="G17" s="3" t="s">
        <v>19</v>
      </c>
      <c r="H17" s="3">
        <v>0.3</v>
      </c>
    </row>
    <row r="18" spans="1:8" ht="17" customHeight="1" x14ac:dyDescent="0.2">
      <c r="A18" s="3" t="s">
        <v>20</v>
      </c>
      <c r="B18">
        <v>800</v>
      </c>
      <c r="C18">
        <f t="shared" si="0"/>
        <v>0.08</v>
      </c>
      <c r="D18">
        <f t="shared" si="1"/>
        <v>64</v>
      </c>
      <c r="G18" s="3" t="s">
        <v>20</v>
      </c>
      <c r="H18" s="3">
        <v>0.08</v>
      </c>
    </row>
    <row r="21" spans="1:8" x14ac:dyDescent="0.2">
      <c r="A21" s="3" t="s">
        <v>12</v>
      </c>
    </row>
    <row r="22" spans="1:8" x14ac:dyDescent="0.2">
      <c r="C22" t="s">
        <v>0</v>
      </c>
    </row>
    <row r="23" spans="1:8" x14ac:dyDescent="0.2">
      <c r="B23" s="1" t="s">
        <v>3</v>
      </c>
      <c r="C23" s="1" t="s">
        <v>4</v>
      </c>
      <c r="D23" s="1" t="s">
        <v>5</v>
      </c>
    </row>
    <row r="24" spans="1:8" x14ac:dyDescent="0.2">
      <c r="B24">
        <v>100</v>
      </c>
      <c r="C24">
        <v>0</v>
      </c>
      <c r="D24">
        <f>B24*C24</f>
        <v>0</v>
      </c>
    </row>
    <row r="25" spans="1:8" x14ac:dyDescent="0.2">
      <c r="B25">
        <v>200</v>
      </c>
      <c r="C25">
        <v>0.1</v>
      </c>
      <c r="D25">
        <f>B25*C25</f>
        <v>20</v>
      </c>
    </row>
    <row r="26" spans="1:8" x14ac:dyDescent="0.2">
      <c r="B26">
        <v>300</v>
      </c>
      <c r="C26">
        <v>0.99</v>
      </c>
      <c r="D26">
        <f>B26*C26</f>
        <v>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2026-03-30T23:21:58Z</dcterms:created>
  <dcterms:modified xsi:type="dcterms:W3CDTF">2026-03-31T05:51:38Z</dcterms:modified>
</cp:coreProperties>
</file>