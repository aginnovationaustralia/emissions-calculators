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kcheesman/Desktop/Work/EAP/Code/emissions-calculators/packages/calculators/src/modules/test/"/>
    </mc:Choice>
  </mc:AlternateContent>
  <xr:revisionPtr revIDLastSave="0" documentId="13_ncr:1_{EBC09209-98DC-824A-B255-CD2BA79B00D8}" xr6:coauthVersionLast="47" xr6:coauthVersionMax="47" xr10:uidLastSave="{00000000-0000-0000-0000-000000000000}"/>
  <bookViews>
    <workbookView xWindow="38400" yWindow="-3000" windowWidth="28800" windowHeight="19640" xr2:uid="{5678E890-3691-CF46-80E7-00FB1F103661}"/>
  </bookViews>
  <sheets>
    <sheet name="8.2.1.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6" i="3" l="1"/>
  <c r="N26" i="3"/>
  <c r="M27" i="3"/>
  <c r="N27" i="3"/>
  <c r="M28" i="3"/>
  <c r="N28" i="3"/>
  <c r="M29" i="3"/>
  <c r="N29" i="3"/>
  <c r="M30" i="3"/>
  <c r="N30" i="3"/>
  <c r="M31" i="3"/>
  <c r="N31" i="3"/>
  <c r="M32" i="3"/>
  <c r="N32" i="3"/>
  <c r="O26" i="3"/>
  <c r="O27" i="3"/>
  <c r="O28" i="3"/>
  <c r="O29" i="3"/>
  <c r="O30" i="3"/>
  <c r="O31" i="3"/>
  <c r="O32" i="3"/>
  <c r="J27" i="3"/>
  <c r="J28" i="3"/>
  <c r="J29" i="3"/>
  <c r="J30" i="3"/>
  <c r="J31" i="3"/>
  <c r="J32" i="3"/>
  <c r="J26" i="3"/>
  <c r="Y53" i="3"/>
  <c r="J6" i="3"/>
  <c r="J7" i="3"/>
  <c r="J8" i="3"/>
  <c r="J5" i="3"/>
  <c r="E18" i="3"/>
  <c r="H18" i="3" s="1"/>
  <c r="F18" i="3"/>
  <c r="I18" i="3" s="1"/>
  <c r="G18" i="3"/>
  <c r="K18" i="3" s="1"/>
  <c r="E19" i="3"/>
  <c r="H19" i="3" s="1"/>
  <c r="F19" i="3"/>
  <c r="I19" i="3" s="1"/>
  <c r="G19" i="3"/>
  <c r="K19" i="3" s="1"/>
  <c r="E20" i="3"/>
  <c r="F20" i="3"/>
  <c r="I20" i="3" s="1"/>
  <c r="G20" i="3"/>
  <c r="K20" i="3" s="1"/>
  <c r="E21" i="3"/>
  <c r="F21" i="3"/>
  <c r="I21" i="3" s="1"/>
  <c r="G21" i="3"/>
  <c r="K21" i="3" s="1"/>
  <c r="E22" i="3"/>
  <c r="F22" i="3"/>
  <c r="I22" i="3" s="1"/>
  <c r="G22" i="3"/>
  <c r="K22" i="3" s="1"/>
  <c r="E23" i="3"/>
  <c r="H23" i="3" s="1"/>
  <c r="F23" i="3"/>
  <c r="I23" i="3" s="1"/>
  <c r="G23" i="3"/>
  <c r="K23" i="3" s="1"/>
  <c r="E24" i="3"/>
  <c r="H24" i="3" s="1"/>
  <c r="F24" i="3"/>
  <c r="I24" i="3" s="1"/>
  <c r="G24" i="3"/>
  <c r="K24" i="3" s="1"/>
  <c r="E25" i="3"/>
  <c r="F25" i="3"/>
  <c r="I25" i="3" s="1"/>
  <c r="G25" i="3"/>
  <c r="K25" i="3" s="1"/>
  <c r="E58" i="3"/>
  <c r="H58" i="3" s="1"/>
  <c r="M58" i="3" s="1"/>
  <c r="F58" i="3"/>
  <c r="I58" i="3" s="1"/>
  <c r="G58" i="3"/>
  <c r="K58" i="3" s="1"/>
  <c r="E59" i="3"/>
  <c r="F59" i="3"/>
  <c r="I59" i="3" s="1"/>
  <c r="G59" i="3"/>
  <c r="K59" i="3" s="1"/>
  <c r="E60" i="3"/>
  <c r="F60" i="3"/>
  <c r="I60" i="3" s="1"/>
  <c r="G60" i="3"/>
  <c r="K60" i="3" s="1"/>
  <c r="E61" i="3"/>
  <c r="H61" i="3" s="1"/>
  <c r="M61" i="3" s="1"/>
  <c r="F61" i="3"/>
  <c r="I61" i="3" s="1"/>
  <c r="G61" i="3"/>
  <c r="K61" i="3" s="1"/>
  <c r="E62" i="3"/>
  <c r="F62" i="3"/>
  <c r="I62" i="3" s="1"/>
  <c r="G62" i="3"/>
  <c r="K62" i="3" s="1"/>
  <c r="G17" i="3"/>
  <c r="K17" i="3" s="1"/>
  <c r="F17" i="3"/>
  <c r="I17" i="3" s="1"/>
  <c r="E17" i="3"/>
  <c r="H17" i="3" s="1"/>
  <c r="N20" i="3" l="1"/>
  <c r="N25" i="3"/>
  <c r="N21" i="3"/>
  <c r="J20" i="3"/>
  <c r="O20" i="3" s="1"/>
  <c r="N61" i="3"/>
  <c r="P18" i="3"/>
  <c r="N17" i="3"/>
  <c r="N58" i="3"/>
  <c r="M17" i="3"/>
  <c r="J19" i="3"/>
  <c r="O19" i="3" s="1"/>
  <c r="N24" i="3"/>
  <c r="N23" i="3"/>
  <c r="N19" i="3"/>
  <c r="M23" i="3"/>
  <c r="M19" i="3"/>
  <c r="J18" i="3"/>
  <c r="O18" i="3" s="1"/>
  <c r="M24" i="3"/>
  <c r="P62" i="3"/>
  <c r="N22" i="3"/>
  <c r="N18" i="3"/>
  <c r="N62" i="3"/>
  <c r="M18" i="3"/>
  <c r="J25" i="3"/>
  <c r="O25" i="3" s="1"/>
  <c r="J24" i="3"/>
  <c r="O24" i="3" s="1"/>
  <c r="J17" i="3"/>
  <c r="O17" i="3" s="1"/>
  <c r="J23" i="3"/>
  <c r="O23" i="3" s="1"/>
  <c r="J22" i="3"/>
  <c r="O22" i="3" s="1"/>
  <c r="J21" i="3"/>
  <c r="O21" i="3" s="1"/>
  <c r="P61" i="3"/>
  <c r="L21" i="3"/>
  <c r="L60" i="3"/>
  <c r="P58" i="3"/>
  <c r="L22" i="3"/>
  <c r="L20" i="3"/>
  <c r="P23" i="3"/>
  <c r="L24" i="3"/>
  <c r="P24" i="3"/>
  <c r="L62" i="3"/>
  <c r="L18" i="3"/>
  <c r="L59" i="3"/>
  <c r="L58" i="3"/>
  <c r="H20" i="3"/>
  <c r="M20" i="3" s="1"/>
  <c r="H62" i="3"/>
  <c r="M62" i="3" s="1"/>
  <c r="P20" i="3"/>
  <c r="N60" i="3"/>
  <c r="H59" i="3"/>
  <c r="M59" i="3" s="1"/>
  <c r="H21" i="3"/>
  <c r="M21" i="3" s="1"/>
  <c r="L61" i="3"/>
  <c r="L23" i="3"/>
  <c r="H60" i="3"/>
  <c r="M60" i="3" s="1"/>
  <c r="P25" i="3"/>
  <c r="H22" i="3"/>
  <c r="M22" i="3" s="1"/>
  <c r="P19" i="3"/>
  <c r="P59" i="3"/>
  <c r="P21" i="3"/>
  <c r="N59" i="3"/>
  <c r="L25" i="3"/>
  <c r="L19" i="3"/>
  <c r="P60" i="3"/>
  <c r="H25" i="3"/>
  <c r="M25" i="3" s="1"/>
  <c r="P22" i="3"/>
  <c r="E31" i="3" l="1"/>
  <c r="F31" i="3"/>
  <c r="G31" i="3"/>
  <c r="L31" i="3" s="1"/>
  <c r="H31" i="3"/>
  <c r="I31" i="3"/>
  <c r="E32" i="3"/>
  <c r="F32" i="3"/>
  <c r="G32" i="3"/>
  <c r="H32" i="3"/>
  <c r="I32" i="3"/>
  <c r="E27" i="3"/>
  <c r="F27" i="3"/>
  <c r="G27" i="3"/>
  <c r="H27" i="3"/>
  <c r="I27" i="3"/>
  <c r="K27" i="3"/>
  <c r="E28" i="3"/>
  <c r="F28" i="3"/>
  <c r="G28" i="3"/>
  <c r="H28" i="3"/>
  <c r="I28" i="3"/>
  <c r="K28" i="3"/>
  <c r="E29" i="3"/>
  <c r="F29" i="3"/>
  <c r="G29" i="3"/>
  <c r="H29" i="3"/>
  <c r="I29" i="3"/>
  <c r="K29" i="3"/>
  <c r="E30" i="3"/>
  <c r="F30" i="3"/>
  <c r="G30" i="3"/>
  <c r="H30" i="3"/>
  <c r="I30" i="3"/>
  <c r="K30" i="3"/>
  <c r="I26" i="3"/>
  <c r="H26" i="3"/>
  <c r="G26" i="3"/>
  <c r="F26" i="3"/>
  <c r="E26" i="3"/>
  <c r="K26" i="3"/>
  <c r="AE44" i="3"/>
  <c r="K32" i="3" s="1"/>
  <c r="AD44" i="3"/>
  <c r="AE43" i="3"/>
  <c r="K31" i="3" s="1"/>
  <c r="AD43" i="3"/>
  <c r="G10" i="3"/>
  <c r="K10" i="3" s="1"/>
  <c r="G56" i="3"/>
  <c r="K56" i="3" s="1"/>
  <c r="G57" i="3"/>
  <c r="K57" i="3" s="1"/>
  <c r="G11" i="3"/>
  <c r="K11" i="3" s="1"/>
  <c r="G12" i="3"/>
  <c r="K12" i="3" s="1"/>
  <c r="G13" i="3"/>
  <c r="K13" i="3" s="1"/>
  <c r="G14" i="3"/>
  <c r="K14" i="3" s="1"/>
  <c r="G15" i="3"/>
  <c r="K15" i="3" s="1"/>
  <c r="G16" i="3"/>
  <c r="K16" i="3" s="1"/>
  <c r="E10" i="3"/>
  <c r="F10" i="3"/>
  <c r="E56" i="3"/>
  <c r="F56" i="3"/>
  <c r="I56" i="3" s="1"/>
  <c r="E57" i="3"/>
  <c r="F57" i="3"/>
  <c r="I57" i="3" s="1"/>
  <c r="E11" i="3"/>
  <c r="F11" i="3"/>
  <c r="E12" i="3"/>
  <c r="F12" i="3"/>
  <c r="E13" i="3"/>
  <c r="F13" i="3"/>
  <c r="E14" i="3"/>
  <c r="F14" i="3"/>
  <c r="E15" i="3"/>
  <c r="F15" i="3"/>
  <c r="E16" i="3"/>
  <c r="F16" i="3"/>
  <c r="G9" i="3"/>
  <c r="K9" i="3" s="1"/>
  <c r="F9" i="3"/>
  <c r="E9" i="3"/>
  <c r="E6" i="3"/>
  <c r="F6" i="3"/>
  <c r="G6" i="3"/>
  <c r="H6" i="3"/>
  <c r="I6" i="3"/>
  <c r="K6" i="3"/>
  <c r="E40" i="3"/>
  <c r="F40" i="3"/>
  <c r="G40" i="3"/>
  <c r="H40" i="3"/>
  <c r="I40" i="3"/>
  <c r="K40" i="3"/>
  <c r="E7" i="3"/>
  <c r="F7" i="3"/>
  <c r="G7" i="3"/>
  <c r="H7" i="3"/>
  <c r="I7" i="3"/>
  <c r="K7" i="3"/>
  <c r="E8" i="3"/>
  <c r="F8" i="3"/>
  <c r="G8" i="3"/>
  <c r="H8" i="3"/>
  <c r="I8" i="3"/>
  <c r="K8" i="3"/>
  <c r="E41" i="3"/>
  <c r="F41" i="3"/>
  <c r="G41" i="3"/>
  <c r="H41" i="3"/>
  <c r="I41" i="3"/>
  <c r="K41" i="3"/>
  <c r="E42" i="3"/>
  <c r="F42" i="3"/>
  <c r="G42" i="3"/>
  <c r="H42" i="3"/>
  <c r="I42" i="3"/>
  <c r="K42" i="3"/>
  <c r="E43" i="3"/>
  <c r="F43" i="3"/>
  <c r="G43" i="3"/>
  <c r="H43" i="3"/>
  <c r="I43" i="3"/>
  <c r="K43" i="3"/>
  <c r="E44" i="3"/>
  <c r="F44" i="3"/>
  <c r="G44" i="3"/>
  <c r="H44" i="3"/>
  <c r="I44" i="3"/>
  <c r="K44" i="3"/>
  <c r="E45" i="3"/>
  <c r="F45" i="3"/>
  <c r="G45" i="3"/>
  <c r="H45" i="3"/>
  <c r="I45" i="3"/>
  <c r="K45" i="3"/>
  <c r="E46" i="3"/>
  <c r="F46" i="3"/>
  <c r="G46" i="3"/>
  <c r="H46" i="3"/>
  <c r="I46" i="3"/>
  <c r="K46" i="3"/>
  <c r="E47" i="3"/>
  <c r="F47" i="3"/>
  <c r="G47" i="3"/>
  <c r="H47" i="3"/>
  <c r="I47" i="3"/>
  <c r="K47" i="3"/>
  <c r="E48" i="3"/>
  <c r="F48" i="3"/>
  <c r="G48" i="3"/>
  <c r="H48" i="3"/>
  <c r="I48" i="3"/>
  <c r="K48" i="3"/>
  <c r="E49" i="3"/>
  <c r="F49" i="3"/>
  <c r="G49" i="3"/>
  <c r="H49" i="3"/>
  <c r="I49" i="3"/>
  <c r="K49" i="3"/>
  <c r="E50" i="3"/>
  <c r="F50" i="3"/>
  <c r="G50" i="3"/>
  <c r="H50" i="3"/>
  <c r="I50" i="3"/>
  <c r="K50" i="3"/>
  <c r="E51" i="3"/>
  <c r="F51" i="3"/>
  <c r="G51" i="3"/>
  <c r="H51" i="3"/>
  <c r="I51" i="3"/>
  <c r="K51" i="3"/>
  <c r="E52" i="3"/>
  <c r="F52" i="3"/>
  <c r="G52" i="3"/>
  <c r="H52" i="3"/>
  <c r="I52" i="3"/>
  <c r="K52" i="3"/>
  <c r="E53" i="3"/>
  <c r="F53" i="3"/>
  <c r="G53" i="3"/>
  <c r="H53" i="3"/>
  <c r="I53" i="3"/>
  <c r="K53" i="3"/>
  <c r="E54" i="3"/>
  <c r="F54" i="3"/>
  <c r="G54" i="3"/>
  <c r="H54" i="3"/>
  <c r="I54" i="3"/>
  <c r="K54" i="3"/>
  <c r="E55" i="3"/>
  <c r="F55" i="3"/>
  <c r="G55" i="3"/>
  <c r="H55" i="3"/>
  <c r="I55" i="3"/>
  <c r="K55" i="3"/>
  <c r="F5" i="3"/>
  <c r="K5" i="3"/>
  <c r="I5" i="3"/>
  <c r="H5" i="3"/>
  <c r="G5" i="3"/>
  <c r="E5" i="3"/>
  <c r="M8" i="3" l="1"/>
  <c r="O8" i="3"/>
  <c r="N8" i="3"/>
  <c r="M6" i="3"/>
  <c r="O6" i="3"/>
  <c r="N6" i="3"/>
  <c r="O7" i="3"/>
  <c r="M7" i="3"/>
  <c r="N7" i="3"/>
  <c r="N5" i="3"/>
  <c r="M5" i="3"/>
  <c r="O5" i="3"/>
  <c r="I16" i="3"/>
  <c r="N16" i="3" s="1"/>
  <c r="J16" i="3"/>
  <c r="O16" i="3" s="1"/>
  <c r="I14" i="3"/>
  <c r="N14" i="3" s="1"/>
  <c r="J14" i="3"/>
  <c r="O14" i="3" s="1"/>
  <c r="I10" i="3"/>
  <c r="N10" i="3" s="1"/>
  <c r="J10" i="3"/>
  <c r="O10" i="3" s="1"/>
  <c r="I15" i="3"/>
  <c r="N15" i="3" s="1"/>
  <c r="J15" i="3"/>
  <c r="O15" i="3" s="1"/>
  <c r="I13" i="3"/>
  <c r="N13" i="3" s="1"/>
  <c r="J13" i="3"/>
  <c r="O13" i="3" s="1"/>
  <c r="I12" i="3"/>
  <c r="N12" i="3" s="1"/>
  <c r="J12" i="3"/>
  <c r="O12" i="3" s="1"/>
  <c r="I9" i="3"/>
  <c r="N9" i="3" s="1"/>
  <c r="J9" i="3"/>
  <c r="O9" i="3" s="1"/>
  <c r="I11" i="3"/>
  <c r="N11" i="3" s="1"/>
  <c r="J11" i="3"/>
  <c r="O11" i="3" s="1"/>
  <c r="P30" i="3"/>
  <c r="P26" i="3"/>
  <c r="P5" i="3"/>
  <c r="P9" i="3"/>
  <c r="N56" i="3"/>
  <c r="P28" i="3"/>
  <c r="P32" i="3"/>
  <c r="P52" i="3"/>
  <c r="P48" i="3"/>
  <c r="P46" i="3"/>
  <c r="P44" i="3"/>
  <c r="P42" i="3"/>
  <c r="P8" i="3"/>
  <c r="P40" i="3"/>
  <c r="L29" i="3"/>
  <c r="P29" i="3"/>
  <c r="L27" i="3"/>
  <c r="P27" i="3"/>
  <c r="P31" i="3"/>
  <c r="P54" i="3"/>
  <c r="L43" i="3"/>
  <c r="L30" i="3"/>
  <c r="P50" i="3"/>
  <c r="P55" i="3"/>
  <c r="P53" i="3"/>
  <c r="P51" i="3"/>
  <c r="P49" i="3"/>
  <c r="P47" i="3"/>
  <c r="P45" i="3"/>
  <c r="P43" i="3"/>
  <c r="P41" i="3"/>
  <c r="L7" i="3"/>
  <c r="P7" i="3"/>
  <c r="P6" i="3"/>
  <c r="H13" i="3"/>
  <c r="M13" i="3" s="1"/>
  <c r="P13" i="3"/>
  <c r="P11" i="3"/>
  <c r="H16" i="3"/>
  <c r="M16" i="3" s="1"/>
  <c r="P16" i="3"/>
  <c r="H12" i="3"/>
  <c r="M12" i="3" s="1"/>
  <c r="P12" i="3"/>
  <c r="H57" i="3"/>
  <c r="M57" i="3" s="1"/>
  <c r="P57" i="3"/>
  <c r="H14" i="3"/>
  <c r="M14" i="3" s="1"/>
  <c r="P14" i="3"/>
  <c r="H10" i="3"/>
  <c r="M10" i="3" s="1"/>
  <c r="P10" i="3"/>
  <c r="P17" i="3"/>
  <c r="H15" i="3"/>
  <c r="M15" i="3" s="1"/>
  <c r="P15" i="3"/>
  <c r="H56" i="3"/>
  <c r="M56" i="3" s="1"/>
  <c r="P56" i="3"/>
  <c r="N55" i="3"/>
  <c r="L51" i="3"/>
  <c r="L44" i="3"/>
  <c r="L32" i="3"/>
  <c r="L28" i="3"/>
  <c r="L13" i="3"/>
  <c r="N57" i="3"/>
  <c r="L26" i="3"/>
  <c r="L52" i="3"/>
  <c r="M51" i="3"/>
  <c r="L9" i="3"/>
  <c r="H9" i="3"/>
  <c r="M9" i="3" s="1"/>
  <c r="L11" i="3"/>
  <c r="L15" i="3"/>
  <c r="L57" i="3"/>
  <c r="L17" i="3"/>
  <c r="L56" i="3"/>
  <c r="L14" i="3"/>
  <c r="L16" i="3"/>
  <c r="L12" i="3"/>
  <c r="L10" i="3"/>
  <c r="H11" i="3"/>
  <c r="M11" i="3" s="1"/>
  <c r="L42" i="3"/>
  <c r="L45" i="3"/>
  <c r="M43" i="3"/>
  <c r="L40" i="3"/>
  <c r="M55" i="3"/>
  <c r="L48" i="3"/>
  <c r="M47" i="3"/>
  <c r="L41" i="3"/>
  <c r="N44" i="3"/>
  <c r="M44" i="3"/>
  <c r="L6" i="3"/>
  <c r="L50" i="3"/>
  <c r="N43" i="3"/>
  <c r="L53" i="3"/>
  <c r="N52" i="3"/>
  <c r="N51" i="3"/>
  <c r="M52" i="3"/>
  <c r="L47" i="3"/>
  <c r="L49" i="3"/>
  <c r="L55" i="3"/>
  <c r="L8" i="3"/>
  <c r="L46" i="3"/>
  <c r="L54" i="3"/>
  <c r="N48" i="3"/>
  <c r="N47" i="3"/>
  <c r="M48" i="3"/>
  <c r="N49" i="3"/>
  <c r="N53" i="3"/>
  <c r="M53" i="3"/>
  <c r="M49" i="3"/>
  <c r="M45" i="3"/>
  <c r="M41" i="3"/>
  <c r="N45" i="3"/>
  <c r="N41" i="3"/>
  <c r="N54" i="3"/>
  <c r="N50" i="3"/>
  <c r="N46" i="3"/>
  <c r="N42" i="3"/>
  <c r="N40" i="3"/>
  <c r="M54" i="3"/>
  <c r="M50" i="3"/>
  <c r="M46" i="3"/>
  <c r="M42" i="3"/>
  <c r="M40" i="3"/>
  <c r="L5" i="3"/>
</calcChain>
</file>

<file path=xl/sharedStrings.xml><?xml version="1.0" encoding="utf-8"?>
<sst xmlns="http://schemas.openxmlformats.org/spreadsheetml/2006/main" count="320" uniqueCount="100">
  <si>
    <t>Method 1</t>
  </si>
  <si>
    <r>
      <t>𝐸</t>
    </r>
    <r>
      <rPr>
        <sz val="8"/>
        <color rgb="FF000000"/>
        <rFont val="Helvetica"/>
        <family val="2"/>
      </rPr>
      <t xml:space="preserve">𝑔 </t>
    </r>
    <r>
      <rPr>
        <sz val="11"/>
        <color rgb="FF000000"/>
        <rFont val="Helvetica"/>
        <family val="2"/>
      </rPr>
      <t>= ∑ ∑ 𝑄</t>
    </r>
    <r>
      <rPr>
        <sz val="8"/>
        <color rgb="FF000000"/>
        <rFont val="Helvetica"/>
        <family val="2"/>
      </rPr>
      <t xml:space="preserve">𝑇𝑟𝑎𝑛𝑠,𝑡𝑞 </t>
    </r>
    <r>
      <rPr>
        <sz val="11"/>
        <color rgb="FF000000"/>
        <rFont val="Helvetica"/>
        <family val="2"/>
      </rPr>
      <t>× 𝐸𝐶</t>
    </r>
    <r>
      <rPr>
        <sz val="8"/>
        <color rgb="FF000000"/>
        <rFont val="Helvetica"/>
        <family val="2"/>
      </rPr>
      <t xml:space="preserve">𝑇𝑟𝑎𝑛𝑠,𝑞 </t>
    </r>
    <r>
      <rPr>
        <sz val="11"/>
        <color rgb="FF000000"/>
        <rFont val="Helvetica"/>
        <family val="2"/>
      </rPr>
      <t>× 𝐸𝐹</t>
    </r>
    <r>
      <rPr>
        <sz val="8"/>
        <color rgb="FF000000"/>
        <rFont val="Helvetica"/>
        <family val="2"/>
      </rPr>
      <t xml:space="preserve">𝑇𝑟𝑎𝑛𝑠,1,𝑡𝑞𝑔 </t>
    </r>
    <r>
      <rPr>
        <sz val="11"/>
        <color rgb="FF000000"/>
        <rFont val="Helvetica"/>
        <family val="2"/>
      </rPr>
      <t>× 10</t>
    </r>
    <r>
      <rPr>
        <sz val="8"/>
        <color rgb="FF000000"/>
        <rFont val="Helvetica"/>
        <family val="2"/>
      </rPr>
      <t>−3</t>
    </r>
  </si>
  <si>
    <t>Egco2</t>
  </si>
  <si>
    <t>Q</t>
  </si>
  <si>
    <t>Fuel type</t>
  </si>
  <si>
    <t>EC</t>
  </si>
  <si>
    <t>Energy content</t>
  </si>
  <si>
    <t>Eftrans co2</t>
  </si>
  <si>
    <t>Eftrans ch4</t>
  </si>
  <si>
    <t>Eftrans n2o</t>
  </si>
  <si>
    <t>Fuel combusted</t>
  </si>
  <si>
    <t>Diesel oil</t>
  </si>
  <si>
    <t>Fuel oil</t>
  </si>
  <si>
    <t>EC units</t>
  </si>
  <si>
    <t>GJ/kL</t>
  </si>
  <si>
    <t>Scope 3 EF</t>
  </si>
  <si>
    <t>Egch4</t>
  </si>
  <si>
    <t>Egn2o</t>
  </si>
  <si>
    <t>Energy Content factor (GJ/t)</t>
  </si>
  <si>
    <t>Bituminous coal</t>
  </si>
  <si>
    <t>Sub-bituminous coal</t>
  </si>
  <si>
    <t>Anthracite</t>
  </si>
  <si>
    <t>Brown coal (lignite)</t>
  </si>
  <si>
    <t>Coking coal</t>
  </si>
  <si>
    <t>Coal briquettes</t>
  </si>
  <si>
    <t>Coal coke</t>
  </si>
  <si>
    <t>Coal tar</t>
  </si>
  <si>
    <t>Other solid fossil fuels</t>
  </si>
  <si>
    <t>Industrial materials derived from fossil fuels</t>
  </si>
  <si>
    <t>Passenger car tyres</t>
  </si>
  <si>
    <t>Truck and off-road tyres</t>
  </si>
  <si>
    <t>Non-biomass municipal materials</t>
  </si>
  <si>
    <t>Dry wood</t>
  </si>
  <si>
    <t>Green and air dried wood</t>
  </si>
  <si>
    <t>Sulphite lyes</t>
  </si>
  <si>
    <t>Bagasse</t>
  </si>
  <si>
    <t>Charcoal</t>
  </si>
  <si>
    <t>Other primary solid biomass fuels</t>
  </si>
  <si>
    <t>Scope 1 EF CO2 (kg CO2-e/GJ)</t>
  </si>
  <si>
    <t>Scope 1 EF CH4 (kg CO2-e/GJ)</t>
  </si>
  <si>
    <t>Scope 3 EF (kg CO2-e /GJ)</t>
  </si>
  <si>
    <t>Solid fuels</t>
  </si>
  <si>
    <t>Liquid fuels</t>
  </si>
  <si>
    <t>Petroleum based oils other than fuels</t>
  </si>
  <si>
    <t>Petroleum based greases</t>
  </si>
  <si>
    <t>Crude oil and condensates</t>
  </si>
  <si>
    <t>Other natural gas liquids</t>
  </si>
  <si>
    <t>Automotive gasoline/petrol</t>
  </si>
  <si>
    <t>Aviation gasoline</t>
  </si>
  <si>
    <t>Kerosene</t>
  </si>
  <si>
    <t>Aviation turbine fuel/kerosene</t>
  </si>
  <si>
    <t>Heating oil</t>
  </si>
  <si>
    <t>EF units</t>
  </si>
  <si>
    <t>GJ/t</t>
  </si>
  <si>
    <t>State</t>
  </si>
  <si>
    <t>Gaseous fuels</t>
  </si>
  <si>
    <t>Natural gas</t>
  </si>
  <si>
    <t>State or territory </t>
  </si>
  <si>
    <t>Metro</t>
  </si>
  <si>
    <t>Non-Metro</t>
  </si>
  <si>
    <t>13.1 </t>
  </si>
  <si>
    <t>4.0 </t>
  </si>
  <si>
    <t>8.8 </t>
  </si>
  <si>
    <t>10.7 </t>
  </si>
  <si>
    <t>4.1 </t>
  </si>
  <si>
    <t>Scope 3 EF for Natural Gas (kg CO2-e/GJ)</t>
  </si>
  <si>
    <r>
      <t>𝐸</t>
    </r>
    <r>
      <rPr>
        <sz val="8"/>
        <color rgb="FF000000"/>
        <rFont val="Helvetica"/>
        <family val="2"/>
      </rPr>
      <t xml:space="preserve">𝑊𝑇𝑇,𝑆𝐶,𝑞 </t>
    </r>
    <r>
      <rPr>
        <sz val="11"/>
        <color rgb="FF000000"/>
        <rFont val="Helvetica"/>
        <family val="2"/>
      </rPr>
      <t>= 𝑄</t>
    </r>
    <r>
      <rPr>
        <sz val="8"/>
        <color rgb="FF000000"/>
        <rFont val="Helvetica"/>
        <family val="2"/>
      </rPr>
      <t xml:space="preserve">𝑆𝐶,𝑞 </t>
    </r>
    <r>
      <rPr>
        <sz val="11"/>
        <color rgb="FF000000"/>
        <rFont val="Helvetica"/>
        <family val="2"/>
      </rPr>
      <t>× 𝐸𝐶</t>
    </r>
    <r>
      <rPr>
        <sz val="8"/>
        <color rgb="FF000000"/>
        <rFont val="Helvetica"/>
        <family val="2"/>
      </rPr>
      <t xml:space="preserve">𝑆𝐶,𝑞 </t>
    </r>
    <r>
      <rPr>
        <sz val="11"/>
        <color rgb="FF000000"/>
        <rFont val="Helvetica"/>
        <family val="2"/>
      </rPr>
      <t xml:space="preserve">× 𝐸𝐹 </t>
    </r>
    <r>
      <rPr>
        <sz val="8"/>
        <color rgb="FF000000"/>
        <rFont val="Helvetica"/>
        <family val="2"/>
      </rPr>
      <t xml:space="preserve">𝑆𝐶,3,𝑞 </t>
    </r>
    <r>
      <rPr>
        <sz val="11"/>
        <color rgb="FF000000"/>
        <rFont val="Helvetica"/>
        <family val="2"/>
      </rPr>
      <t>× 10</t>
    </r>
    <r>
      <rPr>
        <sz val="8"/>
        <color rgb="FF000000"/>
        <rFont val="Helvetica"/>
        <family val="2"/>
      </rPr>
      <t>−3</t>
    </r>
  </si>
  <si>
    <t>Ewwtscq</t>
  </si>
  <si>
    <t>NE</t>
  </si>
  <si>
    <t>Liquefied aromatic hydrocarbons</t>
  </si>
  <si>
    <t>Solvents: mineral turpentine or white spirits</t>
  </si>
  <si>
    <t>Liquefied petroleum gas</t>
  </si>
  <si>
    <t>Naphtha</t>
  </si>
  <si>
    <t>Petroleum coke</t>
  </si>
  <si>
    <t>Refinery gas and liquids</t>
  </si>
  <si>
    <t>Refinery coke</t>
  </si>
  <si>
    <t>Other petroleum products</t>
  </si>
  <si>
    <t>Biodiesel</t>
  </si>
  <si>
    <t>Ethanol</t>
  </si>
  <si>
    <t>Other biofuels</t>
  </si>
  <si>
    <t>Renewable aviation kerosene</t>
  </si>
  <si>
    <t>Renewable diesel</t>
  </si>
  <si>
    <t>Fuels with no scope 3 EF</t>
  </si>
  <si>
    <t>NSW</t>
  </si>
  <si>
    <t>VIC</t>
  </si>
  <si>
    <t>QLD</t>
  </si>
  <si>
    <t>SA</t>
  </si>
  <si>
    <t>TAS</t>
  </si>
  <si>
    <t>NT</t>
  </si>
  <si>
    <t>WA</t>
  </si>
  <si>
    <t>NOTE: Non-metro values are in use only</t>
  </si>
  <si>
    <t>Eftrans combined</t>
  </si>
  <si>
    <t>Scope 1 EF N2O (kg CO2-e/GJ)</t>
  </si>
  <si>
    <t>Scope 1 EF Combined (kg CO2-e/GJ)</t>
  </si>
  <si>
    <t>Eg combined</t>
  </si>
  <si>
    <t>Amount of fuel combusted (tonnes or kilolitres)</t>
  </si>
  <si>
    <t>GWP</t>
  </si>
  <si>
    <t>CH4</t>
  </si>
  <si>
    <t>N2O</t>
  </si>
  <si>
    <t>Biomass, municipal and industrial materials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</si>
</sst>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0000"/>
  </numFmts>
  <fonts count="6">
    <font>
      <sz val="12"/>
      <color theme="1"/>
      <name val="Aptos Narrow"/>
      <family val="2"/>
      <scheme val="minor"/>
    </font>
    <font>
      <sz val="11"/>
      <color rgb="FF000000"/>
      <name val="Helvetica"/>
      <family val="2"/>
    </font>
    <font>
      <sz val="8"/>
      <color rgb="FF000000"/>
      <name val="Helvetica"/>
      <family val="2"/>
    </font>
    <font>
      <sz val="12"/>
      <color theme="1"/>
      <name val="Helvetica"/>
      <family val="2"/>
    </font>
    <font>
      <sz val="12"/>
      <name val="Aptos Narrow"/>
      <scheme val="minor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 applyAlignment="1">
      <alignment wrapText="1"/>
    </xf>
    <xf numFmtId="0" fontId="0" fillId="2" borderId="0" xfId="0" applyFill="1"/>
    <xf numFmtId="0" fontId="0" fillId="3" borderId="0" xfId="0" applyFill="1"/>
    <xf numFmtId="0" fontId="0" fillId="0" borderId="0" xfId="0" applyAlignment="1">
      <alignment wrapText="1"/>
    </xf>
    <xf numFmtId="0" fontId="5" fillId="0" borderId="0" xfId="0" applyFont="1"/>
    <xf numFmtId="2" fontId="3" fillId="0" borderId="0" xfId="0" applyNumberFormat="1" applyFont="1"/>
    <xf numFmtId="164" fontId="3" fillId="0" borderId="0" xfId="0" applyNumberFormat="1" applyFont="1"/>
    <xf numFmtId="165" fontId="3" fillId="0" borderId="0" xfId="0" applyNumberFormat="1" applyFont="1"/>
    <xf numFmtId="164" fontId="0" fillId="0" borderId="0" xfId="0" applyNumberFormat="1"/>
    <xf numFmtId="0" fontId="0" fillId="2" borderId="0" xfId="0" applyFill="1" applyAlignment="1">
      <alignment wrapText="1"/>
    </xf>
    <xf numFmtId="0" fontId="3" fillId="0" borderId="0" xfId="0" applyFont="1" applyAlignment="1">
      <alignment wrapText="1"/>
    </xf>
    <xf numFmtId="0" fontId="5" fillId="0" borderId="0" xfId="0" applyFont="1" applyAlignment="1">
      <alignment wrapText="1"/>
    </xf>
    <xf numFmtId="166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1F442-5EF4-1A4A-85C1-C6F2CC54DF49}">
  <dimension ref="A1:AF83"/>
  <sheetViews>
    <sheetView tabSelected="1" topLeftCell="C23" workbookViewId="0">
      <selection activeCell="S26" sqref="S26"/>
    </sheetView>
  </sheetViews>
  <sheetFormatPr baseColWidth="10" defaultRowHeight="16"/>
  <cols>
    <col min="1" max="1" width="12.33203125" bestFit="1" customWidth="1"/>
    <col min="2" max="2" width="36.33203125" customWidth="1"/>
    <col min="3" max="3" width="19.6640625" customWidth="1"/>
    <col min="4" max="4" width="14" customWidth="1"/>
    <col min="6" max="6" width="7" customWidth="1"/>
    <col min="7" max="7" width="10.83203125" customWidth="1"/>
    <col min="8" max="9" width="10.1640625" bestFit="1" customWidth="1"/>
    <col min="10" max="17" width="10.1640625" customWidth="1"/>
    <col min="18" max="18" width="11.1640625" customWidth="1"/>
    <col min="19" max="19" width="30.83203125" bestFit="1" customWidth="1"/>
    <col min="20" max="21" width="24.1640625" customWidth="1"/>
    <col min="22" max="22" width="14.5" customWidth="1"/>
    <col min="23" max="23" width="14" bestFit="1" customWidth="1"/>
    <col min="24" max="24" width="17.6640625" bestFit="1" customWidth="1"/>
    <col min="25" max="25" width="18.83203125" customWidth="1"/>
    <col min="26" max="26" width="16.5" customWidth="1"/>
    <col min="29" max="29" width="18.83203125" customWidth="1"/>
    <col min="30" max="30" width="23.5" customWidth="1"/>
    <col min="31" max="31" width="22.5" customWidth="1"/>
    <col min="32" max="32" width="6.5" bestFit="1" customWidth="1"/>
  </cols>
  <sheetData>
    <row r="1" spans="1:26" ht="17">
      <c r="A1" s="3" t="s">
        <v>0</v>
      </c>
      <c r="L1" s="1" t="s">
        <v>1</v>
      </c>
    </row>
    <row r="3" spans="1:26" ht="51">
      <c r="C3" s="6" t="s">
        <v>95</v>
      </c>
      <c r="D3" s="6"/>
      <c r="E3" s="6" t="s">
        <v>6</v>
      </c>
      <c r="F3" s="6"/>
      <c r="H3" s="6"/>
      <c r="I3" s="6"/>
      <c r="J3" s="6"/>
      <c r="K3" s="6"/>
      <c r="L3" s="1"/>
      <c r="M3" s="6"/>
      <c r="N3" s="6"/>
      <c r="O3" s="6"/>
      <c r="P3" s="1" t="s">
        <v>66</v>
      </c>
      <c r="Q3" s="6"/>
      <c r="S3" s="1"/>
      <c r="T3" t="s">
        <v>96</v>
      </c>
    </row>
    <row r="4" spans="1:26" ht="17">
      <c r="A4" s="12" t="s">
        <v>4</v>
      </c>
      <c r="B4" s="4" t="s">
        <v>4</v>
      </c>
      <c r="C4" s="4" t="s">
        <v>3</v>
      </c>
      <c r="D4" s="4" t="s">
        <v>54</v>
      </c>
      <c r="E4" t="s">
        <v>5</v>
      </c>
      <c r="F4" t="s">
        <v>13</v>
      </c>
      <c r="G4" s="6" t="s">
        <v>7</v>
      </c>
      <c r="H4" t="s">
        <v>8</v>
      </c>
      <c r="I4" t="s">
        <v>9</v>
      </c>
      <c r="J4" t="s">
        <v>91</v>
      </c>
      <c r="K4" t="s">
        <v>15</v>
      </c>
      <c r="L4" s="5" t="s">
        <v>2</v>
      </c>
      <c r="M4" s="5" t="s">
        <v>16</v>
      </c>
      <c r="N4" s="5" t="s">
        <v>17</v>
      </c>
      <c r="O4" s="5" t="s">
        <v>94</v>
      </c>
      <c r="P4" s="5" t="s">
        <v>67</v>
      </c>
      <c r="T4" t="s">
        <v>97</v>
      </c>
      <c r="U4">
        <v>28</v>
      </c>
    </row>
    <row r="5" spans="1:26">
      <c r="A5" t="s">
        <v>41</v>
      </c>
      <c r="B5" t="s">
        <v>19</v>
      </c>
      <c r="C5" s="11">
        <v>5</v>
      </c>
      <c r="D5" s="11" t="s">
        <v>83</v>
      </c>
      <c r="E5" s="11">
        <f t="shared" ref="E5:E6" si="0">IF(ISBLANK(A5), "", VLOOKUP($B5, _xlfn.IFS($A5="Solid fuels", $S$9:$Z$28,$A5="Cars and light commercial vehicles (pre 2004)", $S$44:$AA$48,$A5="Light duty vehicles",$S$49:$AA$50,$A5="Heavy duty vehicles",$S$51:$AA$58,$A5="Aviation",$S$59:$AA$61,$A5="Vessel",$S$63:$AA$65,TRUE,$S$66:$AA$66),2,FALSE))</f>
        <v>27</v>
      </c>
      <c r="F5" s="11" t="str">
        <f>IF(ISBLANK(B5), "", VLOOKUP($B5, _xlfn.IFS($A5="Solid fuels", $S$9:$Z$28,$A5="Cars and light commercial vehicles (pre 2004)", $S$44:$AA$48,$A5="Light duty vehicles",$S$49:$AA$50,$A5="Heavy duty vehicles",$S$51:$AA$58,$A5="Aviation",$S$59:$AA$61,$A5="Vessel",$S$63:$AA$65,TRUE,$S$66:$AA$66),3,FALSE))</f>
        <v>GJ/t</v>
      </c>
      <c r="G5" s="11">
        <f>IF(ISBLANK(A5), "", VLOOKUP($B5, _xlfn.IFS($A5="Solid fuels", $S$9:$Z$28,$A5="Cars and light commercial vehicles (pre 2004)", $S$44:$AA$48,$A5="Light duty vehicles",$S$49:$AA$50,$A5="Heavy duty vehicles",$S$51:$AA$58,$A5="Aviation",$S$59:$AA$61,$A5="Vessel",$S$63:$AA$65,TRUE,$S$66:$AA$66),4,FALSE))</f>
        <v>90</v>
      </c>
      <c r="H5" s="11">
        <f>IF(ISBLANK(A5), "", VLOOKUP($B5, _xlfn.IFS($A5="Solid fuels", $S$9:$Z$28,$A5="Cars and light commercial vehicles (pre 2004)", $S$44:$AA$48,$A5="Light duty vehicles",$S$49:$AA$50,$A5="Heavy duty vehicles",$S$51:$AA$58,$A5="Aviation",$S$59:$AA$61,$A5="Vessel",$S$63:$AA$65,TRUE,$S$66:$AA$66),5,FALSE))</f>
        <v>0.04</v>
      </c>
      <c r="I5" s="11">
        <f>IF(ISBLANK(A5), "", VLOOKUP($B5, _xlfn.IFS($A5="Solid fuels", $S$9:$Z$28,$A5="Cars and light commercial vehicles (pre 2004)", $S$44:$AA$48,$A5="Light duty vehicles",$S$49:$AA$50,$A5="Heavy duty vehicles",$S$51:$AA$58,$A5="Aviation",$S$59:$AA$61,$A5="Vessel",$S$63:$AA$65,TRUE,$S$66:$AA$66),6,FALSE))</f>
        <v>0.2</v>
      </c>
      <c r="J5" s="11">
        <f>IF(ISBLANK(A5), "", VLOOKUP($B5, _xlfn.IFS($A5="Solid fuels", $S$9:$Z$28,$A5="Cars and light commercial vehicles (pre 2004)", $S$44:$AA$48,$A5="Light duty vehicles",$S$49:$AA$50,$A5="Heavy duty vehicles",$S$51:$AA$58,$A5="Aviation",$S$59:$AA$61,$A5="Vessel",$S$63:$AA$65,TRUE,$S$66:$AA$66),7,FALSE))</f>
        <v>90.24</v>
      </c>
      <c r="K5" s="11">
        <f>IF(ISBLANK(A5), "", VLOOKUP($B5, _xlfn.IFS($A5="Solid fuels", $S$9:$Z$28,$A5="Cars and light commercial vehicles (pre 2004)", $S$44:$AA$48,$A5="Light duty vehicles",$S$49:$AA$50,$A5="Heavy duty vehicles",$S$51:$AA$58,$A5="Aviation",$S$59:$AA$61,$A5="Vessel",$S$63:$AA$65,TRUE,$S$66:$AA$66),8,FALSE))</f>
        <v>3</v>
      </c>
      <c r="L5" s="11">
        <f t="shared" ref="L5:L6" si="1">C5*E5*G5/1000</f>
        <v>12.15</v>
      </c>
      <c r="M5" s="15">
        <f>(C5*E5*H5/$U$4)/1000</f>
        <v>1.9285714285714286E-4</v>
      </c>
      <c r="N5" s="15">
        <f>(C5*E5*I5/$U$5)/1000</f>
        <v>1.018867924528302E-4</v>
      </c>
      <c r="O5" s="11">
        <f>C5*E5*J5/1000</f>
        <v>12.182399999999999</v>
      </c>
      <c r="P5" s="11">
        <f>C5*E5*K5/1000</f>
        <v>0.40500000000000003</v>
      </c>
      <c r="Q5" s="11"/>
      <c r="T5" t="s">
        <v>98</v>
      </c>
      <c r="U5">
        <v>265</v>
      </c>
    </row>
    <row r="6" spans="1:26">
      <c r="A6" t="s">
        <v>41</v>
      </c>
      <c r="B6" t="s">
        <v>20</v>
      </c>
      <c r="C6" s="11">
        <v>6</v>
      </c>
      <c r="D6" s="11" t="s">
        <v>83</v>
      </c>
      <c r="E6" s="11">
        <f t="shared" si="0"/>
        <v>21</v>
      </c>
      <c r="F6" s="11" t="str">
        <f t="shared" ref="F6" si="2">IF(ISBLANK(B6), "", VLOOKUP($B6, _xlfn.IFS($A6="Solid fuels", $S$9:$Z$28,$A6="Cars and light commercial vehicles (pre 2004)", $S$44:$AA$48,$A6="Light duty vehicles",$S$49:$AA$50,$A6="Heavy duty vehicles",$S$51:$AA$58,$A6="Aviation",$S$59:$AA$61,$A6="Vessel",$S$63:$AA$65,TRUE,$S$66:$AA$66),3,FALSE))</f>
        <v>GJ/t</v>
      </c>
      <c r="G6" s="11">
        <f t="shared" ref="G6" si="3">IF(ISBLANK(A6), "", VLOOKUP($B6, _xlfn.IFS($A6="Solid fuels", $S$9:$Z$28,$A6="Cars and light commercial vehicles (pre 2004)", $S$44:$AA$48,$A6="Light duty vehicles",$S$49:$AA$50,$A6="Heavy duty vehicles",$S$51:$AA$58,$A6="Aviation",$S$59:$AA$61,$A6="Vessel",$S$63:$AA$65,TRUE,$S$66:$AA$66),4,FALSE))</f>
        <v>90</v>
      </c>
      <c r="H6" s="11">
        <f t="shared" ref="H6" si="4">IF(ISBLANK(A6), "", VLOOKUP($B6, _xlfn.IFS($A6="Solid fuels", $S$9:$Z$28,$A6="Cars and light commercial vehicles (pre 2004)", $S$44:$AA$48,$A6="Light duty vehicles",$S$49:$AA$50,$A6="Heavy duty vehicles",$S$51:$AA$58,$A6="Aviation",$S$59:$AA$61,$A6="Vessel",$S$63:$AA$65,TRUE,$S$66:$AA$66),5,FALSE))</f>
        <v>0.04</v>
      </c>
      <c r="I6" s="11">
        <f t="shared" ref="I6" si="5">IF(ISBLANK(A6), "", VLOOKUP($B6, _xlfn.IFS($A6="Solid fuels", $S$9:$Z$28,$A6="Cars and light commercial vehicles (pre 2004)", $S$44:$AA$48,$A6="Light duty vehicles",$S$49:$AA$50,$A6="Heavy duty vehicles",$S$51:$AA$58,$A6="Aviation",$S$59:$AA$61,$A6="Vessel",$S$63:$AA$65,TRUE,$S$66:$AA$66),6,FALSE))</f>
        <v>0.2</v>
      </c>
      <c r="J6" s="11">
        <f t="shared" ref="J6:J8" si="6">IF(ISBLANK(A6), "", VLOOKUP($B6, _xlfn.IFS($A6="Solid fuels", $S$9:$Z$28,$A6="Cars and light commercial vehicles (pre 2004)", $S$44:$AA$48,$A6="Light duty vehicles",$S$49:$AA$50,$A6="Heavy duty vehicles",$S$51:$AA$58,$A6="Aviation",$S$59:$AA$61,$A6="Vessel",$S$63:$AA$65,TRUE,$S$66:$AA$66),7,FALSE))</f>
        <v>90.24</v>
      </c>
      <c r="K6" s="11">
        <f t="shared" ref="K6" si="7">IF(ISBLANK(A6), "", VLOOKUP($B6, _xlfn.IFS($A6="Solid fuels", $S$9:$Z$28,$A6="Cars and light commercial vehicles (pre 2004)", $S$44:$AA$48,$A6="Light duty vehicles",$S$49:$AA$50,$A6="Heavy duty vehicles",$S$51:$AA$58,$A6="Aviation",$S$59:$AA$61,$A6="Vessel",$S$63:$AA$65,TRUE,$S$66:$AA$66),8,FALSE))</f>
        <v>2.5</v>
      </c>
      <c r="L6" s="11">
        <f t="shared" si="1"/>
        <v>11.34</v>
      </c>
      <c r="M6" s="15">
        <f t="shared" ref="M6:M32" si="8">(C6*E6*H6/$U$4)/1000</f>
        <v>1.7999999999999998E-4</v>
      </c>
      <c r="N6" s="15">
        <f t="shared" ref="N6:N32" si="9">(C6*E6*I6/$U$5)/1000</f>
        <v>9.5094339622641528E-5</v>
      </c>
      <c r="O6" s="11">
        <f t="shared" ref="O6:O32" si="10">C6*E6*J6/1000</f>
        <v>11.370239999999999</v>
      </c>
      <c r="P6" s="11">
        <f t="shared" ref="P6" si="11">C6*E6*K6/1000</f>
        <v>0.315</v>
      </c>
      <c r="Q6" s="11"/>
    </row>
    <row r="7" spans="1:26">
      <c r="A7" t="s">
        <v>41</v>
      </c>
      <c r="B7" t="s">
        <v>22</v>
      </c>
      <c r="C7" s="11">
        <v>8</v>
      </c>
      <c r="D7" s="11" t="s">
        <v>83</v>
      </c>
      <c r="E7" s="11">
        <f>IF(ISBLANK(A7), "", VLOOKUP($B7, _xlfn.IFS($A7="Solid fuels", $S$9:$Z$28,$A7="Cars and light commercial vehicles (pre 2004)", $S$44:$AA$48,$A7="Light duty vehicles",$S$49:$AA$50,$A7="Heavy duty vehicles",$S$51:$AA$58,$A7="Aviation",$S$59:$AA$61,$A7="Vessel",$S$63:$AA$65,TRUE,$S$66:$AA$66),2,FALSE))</f>
        <v>10.199999999999999</v>
      </c>
      <c r="F7" s="11" t="str">
        <f>IF(ISBLANK(B7), "", VLOOKUP($B7, _xlfn.IFS($A7="Solid fuels", $S$9:$Z$28,$A7="Cars and light commercial vehicles (pre 2004)", $S$44:$AA$48,$A7="Light duty vehicles",$S$49:$AA$50,$A7="Heavy duty vehicles",$S$51:$AA$58,$A7="Aviation",$S$59:$AA$61,$A7="Vessel",$S$63:$AA$65,TRUE,$S$66:$AA$66),3,FALSE))</f>
        <v>GJ/t</v>
      </c>
      <c r="G7" s="11">
        <f>IF(ISBLANK(A7), "", VLOOKUP($B7, _xlfn.IFS($A7="Solid fuels", $S$9:$Z$28,$A7="Cars and light commercial vehicles (pre 2004)", $S$44:$AA$48,$A7="Light duty vehicles",$S$49:$AA$50,$A7="Heavy duty vehicles",$S$51:$AA$58,$A7="Aviation",$S$59:$AA$61,$A7="Vessel",$S$63:$AA$65,TRUE,$S$66:$AA$66),4,FALSE))</f>
        <v>93.5</v>
      </c>
      <c r="H7" s="11">
        <f>IF(ISBLANK(A7), "", VLOOKUP($B7, _xlfn.IFS($A7="Solid fuels", $S$9:$Z$28,$A7="Cars and light commercial vehicles (pre 2004)", $S$44:$AA$48,$A7="Light duty vehicles",$S$49:$AA$50,$A7="Heavy duty vehicles",$S$51:$AA$58,$A7="Aviation",$S$59:$AA$61,$A7="Vessel",$S$63:$AA$65,TRUE,$S$66:$AA$66),5,FALSE))</f>
        <v>0.02</v>
      </c>
      <c r="I7" s="11">
        <f>IF(ISBLANK(A7), "", VLOOKUP($B7, _xlfn.IFS($A7="Solid fuels", $S$9:$Z$28,$A7="Cars and light commercial vehicles (pre 2004)", $S$44:$AA$48,$A7="Light duty vehicles",$S$49:$AA$50,$A7="Heavy duty vehicles",$S$51:$AA$58,$A7="Aviation",$S$59:$AA$61,$A7="Vessel",$S$63:$AA$65,TRUE,$S$66:$AA$66),6,FALSE))</f>
        <v>0.3</v>
      </c>
      <c r="J7" s="11">
        <f t="shared" si="6"/>
        <v>93.82</v>
      </c>
      <c r="K7" s="11">
        <f>IF(ISBLANK(A7), "", VLOOKUP($B7, _xlfn.IFS($A7="Solid fuels", $S$9:$Z$28,$A7="Cars and light commercial vehicles (pre 2004)", $S$44:$AA$48,$A7="Light duty vehicles",$S$49:$AA$50,$A7="Heavy duty vehicles",$S$51:$AA$58,$A7="Aviation",$S$59:$AA$61,$A7="Vessel",$S$63:$AA$65,TRUE,$S$66:$AA$66),8,FALSE))</f>
        <v>0.4</v>
      </c>
      <c r="L7" s="11">
        <f t="shared" ref="L7:L26" si="12">C7*E7*G7/1000</f>
        <v>7.629599999999999</v>
      </c>
      <c r="M7" s="15">
        <f t="shared" si="8"/>
        <v>5.8285714285714284E-5</v>
      </c>
      <c r="N7" s="15">
        <f t="shared" si="9"/>
        <v>9.2377358490566022E-5</v>
      </c>
      <c r="O7" s="11">
        <f t="shared" si="10"/>
        <v>7.6557119999999985</v>
      </c>
      <c r="P7" s="11">
        <f t="shared" ref="P7:P29" si="13">C7*E7*K7/1000</f>
        <v>3.2640000000000002E-2</v>
      </c>
      <c r="Q7" s="11"/>
    </row>
    <row r="8" spans="1:26">
      <c r="A8" t="s">
        <v>41</v>
      </c>
      <c r="B8" t="s">
        <v>23</v>
      </c>
      <c r="C8" s="11">
        <v>9</v>
      </c>
      <c r="D8" s="11" t="s">
        <v>83</v>
      </c>
      <c r="E8" s="11">
        <f>IF(ISBLANK(A8), "", VLOOKUP($B8, _xlfn.IFS($A8="Solid fuels", $S$9:$Z$28,$A8="Cars and light commercial vehicles (pre 2004)", $S$44:$AA$48,$A8="Light duty vehicles",$S$49:$AA$50,$A8="Heavy duty vehicles",$S$51:$AA$58,$A8="Aviation",$S$59:$AA$61,$A8="Vessel",$S$63:$AA$65,TRUE,$S$66:$AA$66),2,FALSE))</f>
        <v>30</v>
      </c>
      <c r="F8" s="11" t="str">
        <f>IF(ISBLANK(B8), "", VLOOKUP($B8, _xlfn.IFS($A8="Solid fuels", $S$9:$Z$28,$A8="Cars and light commercial vehicles (pre 2004)", $S$44:$AA$48,$A8="Light duty vehicles",$S$49:$AA$50,$A8="Heavy duty vehicles",$S$51:$AA$58,$A8="Aviation",$S$59:$AA$61,$A8="Vessel",$S$63:$AA$65,TRUE,$S$66:$AA$66),3,FALSE))</f>
        <v>GJ/t</v>
      </c>
      <c r="G8" s="11">
        <f>IF(ISBLANK(A8), "", VLOOKUP($B8, _xlfn.IFS($A8="Solid fuels", $S$9:$Z$28,$A8="Cars and light commercial vehicles (pre 2004)", $S$44:$AA$48,$A8="Light duty vehicles",$S$49:$AA$50,$A8="Heavy duty vehicles",$S$51:$AA$58,$A8="Aviation",$S$59:$AA$61,$A8="Vessel",$S$63:$AA$65,TRUE,$S$66:$AA$66),4,FALSE))</f>
        <v>91.8</v>
      </c>
      <c r="H8" s="11">
        <f>IF(ISBLANK(A8), "", VLOOKUP($B8, _xlfn.IFS($A8="Solid fuels", $S$9:$Z$28,$A8="Cars and light commercial vehicles (pre 2004)", $S$44:$AA$48,$A8="Light duty vehicles",$S$49:$AA$50,$A8="Heavy duty vehicles",$S$51:$AA$58,$A8="Aviation",$S$59:$AA$61,$A8="Vessel",$S$63:$AA$65,TRUE,$S$66:$AA$66),5,FALSE))</f>
        <v>0.03</v>
      </c>
      <c r="I8" s="11">
        <f>IF(ISBLANK(A8), "", VLOOKUP($B8, _xlfn.IFS($A8="Solid fuels", $S$9:$Z$28,$A8="Cars and light commercial vehicles (pre 2004)", $S$44:$AA$48,$A8="Light duty vehicles",$S$49:$AA$50,$A8="Heavy duty vehicles",$S$51:$AA$58,$A8="Aviation",$S$59:$AA$61,$A8="Vessel",$S$63:$AA$65,TRUE,$S$66:$AA$66),6,FALSE))</f>
        <v>0.2</v>
      </c>
      <c r="J8" s="11">
        <f t="shared" si="6"/>
        <v>92.03</v>
      </c>
      <c r="K8" s="11">
        <f>IF(ISBLANK(A8), "", VLOOKUP($B8, _xlfn.IFS($A8="Solid fuels", $S$9:$Z$28,$A8="Cars and light commercial vehicles (pre 2004)", $S$44:$AA$48,$A8="Light duty vehicles",$S$49:$AA$50,$A8="Heavy duty vehicles",$S$51:$AA$58,$A8="Aviation",$S$59:$AA$61,$A8="Vessel",$S$63:$AA$65,TRUE,$S$66:$AA$66),8,FALSE))</f>
        <v>6.4</v>
      </c>
      <c r="L8" s="11">
        <f t="shared" si="12"/>
        <v>24.786000000000001</v>
      </c>
      <c r="M8" s="15">
        <f t="shared" si="8"/>
        <v>2.8928571428571425E-4</v>
      </c>
      <c r="N8" s="15">
        <f t="shared" si="9"/>
        <v>2.0377358490566039E-4</v>
      </c>
      <c r="O8" s="11">
        <f t="shared" si="10"/>
        <v>24.848099999999999</v>
      </c>
      <c r="P8" s="11">
        <f t="shared" si="13"/>
        <v>1.728</v>
      </c>
      <c r="Q8" s="11"/>
      <c r="S8" t="s">
        <v>10</v>
      </c>
      <c r="T8" t="s">
        <v>18</v>
      </c>
      <c r="U8" t="s">
        <v>52</v>
      </c>
      <c r="V8" t="s">
        <v>38</v>
      </c>
      <c r="W8" t="s">
        <v>39</v>
      </c>
      <c r="X8" t="s">
        <v>92</v>
      </c>
      <c r="Y8" t="s">
        <v>93</v>
      </c>
      <c r="Z8" t="s">
        <v>40</v>
      </c>
    </row>
    <row r="9" spans="1:26">
      <c r="A9" t="s">
        <v>42</v>
      </c>
      <c r="B9" t="s">
        <v>43</v>
      </c>
      <c r="C9">
        <v>8</v>
      </c>
      <c r="D9" s="11" t="s">
        <v>83</v>
      </c>
      <c r="E9" s="11">
        <f t="shared" ref="E9:E16" si="14">IF(ISBLANK(A9), "", VLOOKUP($B9, _xlfn.IFS($A9="Solid fuels", $S$9:$Z$28,$A9="Liquid fuels", $S$29:$Z$39,$A9="Light duty vehicles",$S$49:$AA$50,$A9="Heavy duty vehicles",$S$51:$AA$58,$A9="Aviation",$S$59:$AA$61,$A9="Vessel",$S$63:$AA$65,TRUE,$S$66:$AA$66),2,FALSE))</f>
        <v>38.799999999999997</v>
      </c>
      <c r="F9" s="11" t="str">
        <f t="shared" ref="F9:F16" si="15">IF(ISBLANK(B9), "", VLOOKUP($B9, _xlfn.IFS($A9="Solid fuels", $S$9:$Z$28,$A9="Liquid fuels", $S$29:$Z$39,$A9="Light duty vehicles",$S$49:$AA$50,$A9="Heavy duty vehicles",$S$51:$AA$58,$A9="Aviation",$S$59:$AA$61,$A9="Vessel",$S$63:$AA$65,TRUE,$S$66:$AA$66),3,FALSE))</f>
        <v>GJ/kL</v>
      </c>
      <c r="G9" s="11">
        <f t="shared" ref="G9:G16" si="16">IF(ISBLANK(C9), "", VLOOKUP($B9, _xlfn.IFS($A9="Solid fuels", $S$9:$Z$28,$A9="Liquid fuels", $S$29:$Z$39,$A9="Light duty vehicles",$S$49:$AA$50,$A9="Heavy duty vehicles",$S$51:$AA$58,$A9="Aviation",$S$59:$AA$61,$A9="Vessel",$S$63:$AA$65,TRUE,$S$66:$AA$66),4,FALSE))</f>
        <v>13.9</v>
      </c>
      <c r="H9" s="11">
        <f t="shared" ref="H9:H16" si="17">IF(ISBLANK(E9), "", VLOOKUP($B9, _xlfn.IFS($A9="Solid fuels", $S$9:$Z$28,$A9="Liquid fuels", $S$29:$Z$39,$A9="Light duty vehicles",$S$49:$AA$50,$A9="Heavy duty vehicles",$S$51:$AA$58,$A9="Aviation",$S$59:$AA$61,$A9="Vessel",$S$63:$AA$65,TRUE,$S$66:$AA$66),5,FALSE))</f>
        <v>0</v>
      </c>
      <c r="I9" s="11">
        <f t="shared" ref="I9:I16" si="18">IF(ISBLANK(F9), "", VLOOKUP($B9, _xlfn.IFS($A9="Solid fuels", $S$9:$Z$28,$A9="Liquid fuels", $S$29:$Z$39,$A9="Light duty vehicles",$S$49:$AA$50,$A9="Heavy duty vehicles",$S$51:$AA$58,$A9="Aviation",$S$59:$AA$61,$A9="Vessel",$S$63:$AA$65,TRUE,$S$66:$AA$66),6,FALSE))</f>
        <v>0</v>
      </c>
      <c r="J9" s="11">
        <f>IF(ISBLANK(F9), "", VLOOKUP($B9, _xlfn.IFS($A9="Solid fuels", $S$9:$Z$28,$A9="Liquid fuels", $S$29:$Z$52,$A9="Light duty vehicles",$S$49:$AA$50,$A9="Heavy duty vehicles",$S$51:$AA$58,$A9="Aviation",$S$59:$AA$61,$A9="Vessel",$S$63:$AA$65,TRUE,$S$66:$AA$66),7,FALSE))</f>
        <v>13.9</v>
      </c>
      <c r="K9" s="11">
        <f t="shared" ref="K9:K16" si="19">IF(ISBLANK(G9), "", VLOOKUP($B9, _xlfn.IFS($A9="Solid fuels", $S$9:$Z$28,$A9="Liquid fuels", $S$29:$Z$39,$A9="Light duty vehicles",$S$49:$AA$50,$A9="Heavy duty vehicles",$S$51:$AA$58,$A9="Aviation",$S$59:$AA$61,$A9="Vessel",$S$63:$AA$65,TRUE,$S$66:$AA$66),8,FALSE))</f>
        <v>18</v>
      </c>
      <c r="L9" s="11">
        <f t="shared" si="12"/>
        <v>4.3145599999999993</v>
      </c>
      <c r="M9" s="15">
        <f t="shared" si="8"/>
        <v>0</v>
      </c>
      <c r="N9" s="15">
        <f t="shared" si="9"/>
        <v>0</v>
      </c>
      <c r="O9" s="11">
        <f t="shared" si="10"/>
        <v>4.3145599999999993</v>
      </c>
      <c r="P9" s="11">
        <f t="shared" si="13"/>
        <v>5.5872000000000002</v>
      </c>
      <c r="Q9" s="11"/>
      <c r="R9" t="s">
        <v>41</v>
      </c>
      <c r="S9" t="s">
        <v>19</v>
      </c>
      <c r="T9">
        <v>27</v>
      </c>
      <c r="U9" t="s">
        <v>53</v>
      </c>
      <c r="V9">
        <v>90</v>
      </c>
      <c r="W9">
        <v>0.04</v>
      </c>
      <c r="X9">
        <v>0.2</v>
      </c>
      <c r="Y9">
        <v>90.24</v>
      </c>
      <c r="Z9">
        <v>3</v>
      </c>
    </row>
    <row r="10" spans="1:26">
      <c r="A10" t="s">
        <v>42</v>
      </c>
      <c r="B10" t="s">
        <v>44</v>
      </c>
      <c r="C10">
        <v>9</v>
      </c>
      <c r="D10" s="11" t="s">
        <v>83</v>
      </c>
      <c r="E10" s="11">
        <f t="shared" si="14"/>
        <v>38.799999999999997</v>
      </c>
      <c r="F10" s="11" t="str">
        <f t="shared" si="15"/>
        <v>GJ/kL</v>
      </c>
      <c r="G10" s="11">
        <f t="shared" si="16"/>
        <v>3.5</v>
      </c>
      <c r="H10" s="11">
        <f t="shared" si="17"/>
        <v>0</v>
      </c>
      <c r="I10" s="11">
        <f t="shared" si="18"/>
        <v>0</v>
      </c>
      <c r="J10" s="11">
        <f t="shared" ref="J10:J25" si="20">IF(ISBLANK(F10), "", VLOOKUP($B10, _xlfn.IFS($A10="Solid fuels", $S$9:$Z$28,$A10="Liquid fuels", $S$29:$Z$52,$A10="Light duty vehicles",$S$49:$AA$50,$A10="Heavy duty vehicles",$S$51:$AA$58,$A10="Aviation",$S$59:$AA$61,$A10="Vessel",$S$63:$AA$65,TRUE,$S$66:$AA$66),7,FALSE))</f>
        <v>3.5</v>
      </c>
      <c r="K10" s="11">
        <f t="shared" si="19"/>
        <v>18</v>
      </c>
      <c r="L10" s="11">
        <f t="shared" si="12"/>
        <v>1.2222</v>
      </c>
      <c r="M10" s="15">
        <f t="shared" si="8"/>
        <v>0</v>
      </c>
      <c r="N10" s="15">
        <f t="shared" si="9"/>
        <v>0</v>
      </c>
      <c r="O10" s="11">
        <f t="shared" si="10"/>
        <v>1.2222</v>
      </c>
      <c r="P10" s="11">
        <f t="shared" si="13"/>
        <v>6.2855999999999996</v>
      </c>
      <c r="Q10" s="11"/>
      <c r="S10" t="s">
        <v>20</v>
      </c>
      <c r="T10">
        <v>21</v>
      </c>
      <c r="U10" t="s">
        <v>53</v>
      </c>
      <c r="V10">
        <v>90</v>
      </c>
      <c r="W10">
        <v>0.04</v>
      </c>
      <c r="X10">
        <v>0.2</v>
      </c>
      <c r="Y10">
        <v>90.24</v>
      </c>
      <c r="Z10">
        <v>2.5</v>
      </c>
    </row>
    <row r="11" spans="1:26">
      <c r="A11" t="s">
        <v>42</v>
      </c>
      <c r="B11" t="s">
        <v>47</v>
      </c>
      <c r="C11">
        <v>12</v>
      </c>
      <c r="D11" s="11" t="s">
        <v>83</v>
      </c>
      <c r="E11" s="11">
        <f t="shared" si="14"/>
        <v>34.200000000000003</v>
      </c>
      <c r="F11" s="11" t="str">
        <f t="shared" si="15"/>
        <v>GJ/kL</v>
      </c>
      <c r="G11" s="11">
        <f t="shared" si="16"/>
        <v>67.400000000000006</v>
      </c>
      <c r="H11" s="11">
        <f t="shared" si="17"/>
        <v>0.2</v>
      </c>
      <c r="I11" s="11">
        <f t="shared" si="18"/>
        <v>0.2</v>
      </c>
      <c r="J11" s="11">
        <f t="shared" si="20"/>
        <v>67.8</v>
      </c>
      <c r="K11" s="11">
        <f t="shared" si="19"/>
        <v>17.2</v>
      </c>
      <c r="L11" s="11">
        <f t="shared" si="12"/>
        <v>27.660960000000006</v>
      </c>
      <c r="M11" s="15">
        <f t="shared" si="8"/>
        <v>2.9314285714285718E-3</v>
      </c>
      <c r="N11" s="15">
        <f t="shared" si="9"/>
        <v>3.0973584905660383E-4</v>
      </c>
      <c r="O11" s="11">
        <f t="shared" si="10"/>
        <v>27.825120000000002</v>
      </c>
      <c r="P11" s="11">
        <f t="shared" si="13"/>
        <v>7.0588800000000003</v>
      </c>
      <c r="Q11" s="11"/>
      <c r="S11" t="s">
        <v>21</v>
      </c>
      <c r="T11">
        <v>29</v>
      </c>
      <c r="U11" t="s">
        <v>53</v>
      </c>
      <c r="V11">
        <v>90</v>
      </c>
      <c r="W11">
        <v>0.04</v>
      </c>
      <c r="X11">
        <v>0.2</v>
      </c>
      <c r="Y11">
        <v>90.24</v>
      </c>
      <c r="Z11" t="s">
        <v>68</v>
      </c>
    </row>
    <row r="12" spans="1:26">
      <c r="A12" t="s">
        <v>42</v>
      </c>
      <c r="B12" t="s">
        <v>48</v>
      </c>
      <c r="C12">
        <v>13</v>
      </c>
      <c r="D12" s="11" t="s">
        <v>83</v>
      </c>
      <c r="E12" s="11">
        <f t="shared" si="14"/>
        <v>33.1</v>
      </c>
      <c r="F12" s="11" t="str">
        <f t="shared" si="15"/>
        <v>GJ/kL</v>
      </c>
      <c r="G12" s="11">
        <f t="shared" si="16"/>
        <v>67</v>
      </c>
      <c r="H12" s="11">
        <f t="shared" si="17"/>
        <v>0.2</v>
      </c>
      <c r="I12" s="11">
        <f t="shared" si="18"/>
        <v>0.2</v>
      </c>
      <c r="J12" s="11">
        <f t="shared" si="20"/>
        <v>67.400000000000006</v>
      </c>
      <c r="K12" s="11">
        <f t="shared" si="19"/>
        <v>18</v>
      </c>
      <c r="L12" s="11">
        <f t="shared" si="12"/>
        <v>28.830100000000002</v>
      </c>
      <c r="M12" s="15">
        <f t="shared" si="8"/>
        <v>3.073571428571429E-3</v>
      </c>
      <c r="N12" s="15">
        <f t="shared" si="9"/>
        <v>3.2475471698113209E-4</v>
      </c>
      <c r="O12" s="11">
        <f t="shared" si="10"/>
        <v>29.002220000000005</v>
      </c>
      <c r="P12" s="11">
        <f t="shared" si="13"/>
        <v>7.745400000000001</v>
      </c>
      <c r="Q12" s="11"/>
      <c r="S12" t="s">
        <v>22</v>
      </c>
      <c r="T12">
        <v>10.199999999999999</v>
      </c>
      <c r="U12" t="s">
        <v>53</v>
      </c>
      <c r="V12">
        <v>93.5</v>
      </c>
      <c r="W12">
        <v>0.02</v>
      </c>
      <c r="X12">
        <v>0.3</v>
      </c>
      <c r="Y12">
        <v>93.82</v>
      </c>
      <c r="Z12">
        <v>0.4</v>
      </c>
    </row>
    <row r="13" spans="1:26" ht="17">
      <c r="A13" t="s">
        <v>42</v>
      </c>
      <c r="B13" s="6" t="s">
        <v>49</v>
      </c>
      <c r="C13">
        <v>14</v>
      </c>
      <c r="D13" s="11" t="s">
        <v>83</v>
      </c>
      <c r="E13" s="11">
        <f t="shared" si="14"/>
        <v>37.5</v>
      </c>
      <c r="F13" s="11" t="str">
        <f t="shared" si="15"/>
        <v>GJ/kL</v>
      </c>
      <c r="G13" s="11">
        <f t="shared" si="16"/>
        <v>68.900000000000006</v>
      </c>
      <c r="H13" s="11">
        <f t="shared" si="17"/>
        <v>0.01</v>
      </c>
      <c r="I13" s="11">
        <f t="shared" si="18"/>
        <v>0.2</v>
      </c>
      <c r="J13" s="11">
        <f t="shared" si="20"/>
        <v>69.11</v>
      </c>
      <c r="K13" s="11">
        <f t="shared" si="19"/>
        <v>18</v>
      </c>
      <c r="L13" s="11">
        <f t="shared" si="12"/>
        <v>36.172499999999999</v>
      </c>
      <c r="M13" s="15">
        <f t="shared" si="8"/>
        <v>1.875E-4</v>
      </c>
      <c r="N13" s="15">
        <f t="shared" si="9"/>
        <v>3.9622641509433966E-4</v>
      </c>
      <c r="O13" s="11">
        <f t="shared" si="10"/>
        <v>36.28275</v>
      </c>
      <c r="P13" s="11">
        <f t="shared" si="13"/>
        <v>9.4499999999999993</v>
      </c>
      <c r="Q13" s="11"/>
      <c r="S13" t="s">
        <v>23</v>
      </c>
      <c r="T13">
        <v>30</v>
      </c>
      <c r="U13" t="s">
        <v>53</v>
      </c>
      <c r="V13">
        <v>91.8</v>
      </c>
      <c r="W13">
        <v>0.03</v>
      </c>
      <c r="X13">
        <v>0.2</v>
      </c>
      <c r="Y13">
        <v>92.03</v>
      </c>
      <c r="Z13">
        <v>6.4</v>
      </c>
    </row>
    <row r="14" spans="1:26">
      <c r="A14" t="s">
        <v>42</v>
      </c>
      <c r="B14" t="s">
        <v>50</v>
      </c>
      <c r="C14">
        <v>15</v>
      </c>
      <c r="D14" s="11" t="s">
        <v>83</v>
      </c>
      <c r="E14" s="11">
        <f t="shared" si="14"/>
        <v>36.799999999999997</v>
      </c>
      <c r="F14" s="11" t="str">
        <f t="shared" si="15"/>
        <v>GJ/kL</v>
      </c>
      <c r="G14" s="11">
        <f t="shared" si="16"/>
        <v>69.599999999999994</v>
      </c>
      <c r="H14" s="11">
        <f t="shared" si="17"/>
        <v>0.02</v>
      </c>
      <c r="I14" s="11">
        <f t="shared" si="18"/>
        <v>0.2</v>
      </c>
      <c r="J14" s="11">
        <f t="shared" si="20"/>
        <v>69.819999999999993</v>
      </c>
      <c r="K14" s="11">
        <f t="shared" si="19"/>
        <v>18</v>
      </c>
      <c r="L14" s="11">
        <f t="shared" si="12"/>
        <v>38.419199999999996</v>
      </c>
      <c r="M14" s="15">
        <f t="shared" si="8"/>
        <v>3.9428571428571431E-4</v>
      </c>
      <c r="N14" s="15">
        <f t="shared" si="9"/>
        <v>4.166037735849057E-4</v>
      </c>
      <c r="O14" s="11">
        <f t="shared" si="10"/>
        <v>38.540639999999996</v>
      </c>
      <c r="P14" s="11">
        <f t="shared" si="13"/>
        <v>9.9359999999999999</v>
      </c>
      <c r="Q14" s="11"/>
      <c r="S14" t="s">
        <v>24</v>
      </c>
      <c r="T14">
        <v>22.1</v>
      </c>
      <c r="U14" t="s">
        <v>53</v>
      </c>
      <c r="V14">
        <v>95</v>
      </c>
      <c r="W14">
        <v>0.08</v>
      </c>
      <c r="X14">
        <v>0.3</v>
      </c>
      <c r="Y14">
        <v>95.38</v>
      </c>
      <c r="Z14" t="s">
        <v>68</v>
      </c>
    </row>
    <row r="15" spans="1:26">
      <c r="A15" t="s">
        <v>42</v>
      </c>
      <c r="B15" t="s">
        <v>51</v>
      </c>
      <c r="C15">
        <v>16</v>
      </c>
      <c r="D15" s="11" t="s">
        <v>83</v>
      </c>
      <c r="E15" s="11">
        <f t="shared" si="14"/>
        <v>37.299999999999997</v>
      </c>
      <c r="F15" s="11" t="str">
        <f t="shared" si="15"/>
        <v>GJ/kL</v>
      </c>
      <c r="G15" s="11">
        <f t="shared" si="16"/>
        <v>69.5</v>
      </c>
      <c r="H15" s="11">
        <f t="shared" si="17"/>
        <v>0.03</v>
      </c>
      <c r="I15" s="11">
        <f t="shared" si="18"/>
        <v>0.2</v>
      </c>
      <c r="J15" s="11">
        <f t="shared" si="20"/>
        <v>69.73</v>
      </c>
      <c r="K15" s="11">
        <f t="shared" si="19"/>
        <v>18</v>
      </c>
      <c r="L15" s="11">
        <f t="shared" si="12"/>
        <v>41.477599999999995</v>
      </c>
      <c r="M15" s="15">
        <f t="shared" si="8"/>
        <v>6.3942857142857139E-4</v>
      </c>
      <c r="N15" s="15">
        <f t="shared" si="9"/>
        <v>4.5041509433962261E-4</v>
      </c>
      <c r="O15" s="11">
        <f t="shared" si="10"/>
        <v>41.614864000000004</v>
      </c>
      <c r="P15" s="11">
        <f t="shared" si="13"/>
        <v>10.7424</v>
      </c>
      <c r="Q15" s="11"/>
      <c r="S15" t="s">
        <v>25</v>
      </c>
      <c r="T15">
        <v>27</v>
      </c>
      <c r="U15" t="s">
        <v>53</v>
      </c>
      <c r="V15">
        <v>107</v>
      </c>
      <c r="W15">
        <v>0.03</v>
      </c>
      <c r="X15">
        <v>0.2</v>
      </c>
      <c r="Y15">
        <v>107.23</v>
      </c>
      <c r="Z15" t="s">
        <v>68</v>
      </c>
    </row>
    <row r="16" spans="1:26">
      <c r="A16" t="s">
        <v>42</v>
      </c>
      <c r="B16" t="s">
        <v>11</v>
      </c>
      <c r="C16">
        <v>17</v>
      </c>
      <c r="D16" s="11" t="s">
        <v>83</v>
      </c>
      <c r="E16" s="11">
        <f t="shared" si="14"/>
        <v>38.6</v>
      </c>
      <c r="F16" s="11" t="str">
        <f t="shared" si="15"/>
        <v>GJ/kL</v>
      </c>
      <c r="G16" s="11">
        <f t="shared" si="16"/>
        <v>69.900000000000006</v>
      </c>
      <c r="H16" s="11">
        <f t="shared" si="17"/>
        <v>0.1</v>
      </c>
      <c r="I16" s="11">
        <f t="shared" si="18"/>
        <v>0.2</v>
      </c>
      <c r="J16" s="11">
        <f t="shared" si="20"/>
        <v>70.2</v>
      </c>
      <c r="K16" s="11">
        <f t="shared" si="19"/>
        <v>17.3</v>
      </c>
      <c r="L16" s="11">
        <f t="shared" si="12"/>
        <v>45.868380000000002</v>
      </c>
      <c r="M16" s="15">
        <f t="shared" si="8"/>
        <v>2.3435714285714288E-3</v>
      </c>
      <c r="N16" s="15">
        <f t="shared" si="9"/>
        <v>4.9524528301886795E-4</v>
      </c>
      <c r="O16" s="11">
        <f t="shared" si="10"/>
        <v>46.065240000000003</v>
      </c>
      <c r="P16" s="11">
        <f t="shared" si="13"/>
        <v>11.352260000000003</v>
      </c>
      <c r="Q16" s="11"/>
      <c r="S16" t="s">
        <v>26</v>
      </c>
      <c r="T16">
        <v>37.5</v>
      </c>
      <c r="U16" t="s">
        <v>53</v>
      </c>
      <c r="V16">
        <v>81.8</v>
      </c>
      <c r="W16">
        <v>0.03</v>
      </c>
      <c r="X16">
        <v>0.2</v>
      </c>
      <c r="Y16">
        <v>82.03</v>
      </c>
      <c r="Z16" t="s">
        <v>68</v>
      </c>
    </row>
    <row r="17" spans="1:26">
      <c r="A17" t="s">
        <v>42</v>
      </c>
      <c r="B17" t="s">
        <v>12</v>
      </c>
      <c r="C17">
        <v>18</v>
      </c>
      <c r="D17" s="11" t="s">
        <v>83</v>
      </c>
      <c r="E17" s="11">
        <f t="shared" ref="E17:E25" si="21">IF(ISBLANK(A17), "", VLOOKUP($B17, _xlfn.IFS($A17="Solid fuels", $S$9:$Z$28,$A17="Liquid fuels", $S$29:$Z$52,$A17="Light duty vehicles",$S$49:$AA$50,$A17="Heavy duty vehicles",$S$51:$AA$58,$A17="Aviation",$S$59:$AA$61,$A17="Vessel",$S$63:$AA$65,TRUE,$S$66:$AA$66),2,FALSE))</f>
        <v>39.700000000000003</v>
      </c>
      <c r="F17" s="11" t="str">
        <f t="shared" ref="F17:F25" si="22">IF(ISBLANK(B17), "", VLOOKUP($B17, _xlfn.IFS($A17="Solid fuels", $S$9:$Z$28,$A17="Liquid fuels", $S$29:$Z$52,$A17="Light duty vehicles",$S$49:$AA$50,$A17="Heavy duty vehicles",$S$51:$AA$58,$A17="Aviation",$S$59:$AA$61,$A17="Vessel",$S$63:$AA$65,TRUE,$S$66:$AA$66),3,FALSE))</f>
        <v>GJ/kL</v>
      </c>
      <c r="G17" s="11">
        <f t="shared" ref="G17:G25" si="23">IF(ISBLANK(C17), "", VLOOKUP($B17, _xlfn.IFS($A17="Solid fuels", $S$9:$Z$28,$A17="Liquid fuels", $S$29:$Z$52,$A17="Light duty vehicles",$S$49:$AA$50,$A17="Heavy duty vehicles",$S$51:$AA$58,$A17="Aviation",$S$59:$AA$61,$A17="Vessel",$S$63:$AA$65,TRUE,$S$66:$AA$66),4,FALSE))</f>
        <v>73.599999999999994</v>
      </c>
      <c r="H17" s="11">
        <f t="shared" ref="H17:H25" si="24">IF(ISBLANK(E17), "", VLOOKUP($B17, _xlfn.IFS($A17="Solid fuels", $S$9:$Z$28,$A17="Liquid fuels", $S$29:$Z$52,$A17="Light duty vehicles",$S$49:$AA$50,$A17="Heavy duty vehicles",$S$51:$AA$58,$A17="Aviation",$S$59:$AA$61,$A17="Vessel",$S$63:$AA$65,TRUE,$S$66:$AA$66),5,FALSE))</f>
        <v>0.04</v>
      </c>
      <c r="I17" s="11">
        <f t="shared" ref="I17:I25" si="25">IF(ISBLANK(F17), "", VLOOKUP($B17, _xlfn.IFS($A17="Solid fuels", $S$9:$Z$28,$A17="Liquid fuels", $S$29:$Z$52,$A17="Light duty vehicles",$S$49:$AA$50,$A17="Heavy duty vehicles",$S$51:$AA$58,$A17="Aviation",$S$59:$AA$61,$A17="Vessel",$S$63:$AA$65,TRUE,$S$66:$AA$66),6,FALSE))</f>
        <v>0.2</v>
      </c>
      <c r="J17" s="11">
        <f t="shared" si="20"/>
        <v>73.84</v>
      </c>
      <c r="K17" s="11">
        <f t="shared" ref="K17:K25" si="26">IF(ISBLANK(G17), "", VLOOKUP($B17, _xlfn.IFS($A17="Solid fuels", $S$9:$Z$28,$A17="Liquid fuels", $S$29:$Z$52,$A17="Light duty vehicles",$S$49:$AA$50,$A17="Heavy duty vehicles",$S$51:$AA$58,$A17="Aviation",$S$59:$AA$61,$A17="Vessel",$S$63:$AA$65,TRUE,$S$66:$AA$66),8,FALSE))</f>
        <v>18</v>
      </c>
      <c r="L17" s="11">
        <f t="shared" si="12"/>
        <v>52.594559999999994</v>
      </c>
      <c r="M17" s="15">
        <f t="shared" si="8"/>
        <v>1.020857142857143E-3</v>
      </c>
      <c r="N17" s="15">
        <f t="shared" si="9"/>
        <v>5.3932075471698111E-4</v>
      </c>
      <c r="O17" s="11">
        <f t="shared" si="10"/>
        <v>52.766064000000007</v>
      </c>
      <c r="P17" s="11">
        <f t="shared" si="13"/>
        <v>12.862800000000002</v>
      </c>
      <c r="Q17" s="11"/>
      <c r="S17" t="s">
        <v>27</v>
      </c>
      <c r="T17">
        <v>22.1</v>
      </c>
      <c r="U17" t="s">
        <v>53</v>
      </c>
      <c r="V17">
        <v>95</v>
      </c>
      <c r="W17">
        <v>0.08</v>
      </c>
      <c r="X17">
        <v>0.2</v>
      </c>
      <c r="Y17">
        <v>95.28</v>
      </c>
      <c r="Z17" t="s">
        <v>68</v>
      </c>
    </row>
    <row r="18" spans="1:26">
      <c r="A18" t="s">
        <v>42</v>
      </c>
      <c r="B18" t="s">
        <v>69</v>
      </c>
      <c r="C18">
        <v>17</v>
      </c>
      <c r="D18" s="11" t="s">
        <v>83</v>
      </c>
      <c r="E18" s="11">
        <f t="shared" si="21"/>
        <v>34.4</v>
      </c>
      <c r="F18" s="11" t="str">
        <f t="shared" si="22"/>
        <v>GJ/kL</v>
      </c>
      <c r="G18" s="11">
        <f t="shared" si="23"/>
        <v>69.7</v>
      </c>
      <c r="H18" s="11">
        <f t="shared" si="24"/>
        <v>0.03</v>
      </c>
      <c r="I18" s="11">
        <f t="shared" si="25"/>
        <v>0.2</v>
      </c>
      <c r="J18" s="11">
        <f t="shared" si="20"/>
        <v>69.930000000000007</v>
      </c>
      <c r="K18" s="11">
        <f t="shared" si="26"/>
        <v>18</v>
      </c>
      <c r="L18" s="11">
        <f t="shared" si="12"/>
        <v>40.760559999999998</v>
      </c>
      <c r="M18" s="15">
        <f t="shared" si="8"/>
        <v>6.2657142857142848E-4</v>
      </c>
      <c r="N18" s="15">
        <f t="shared" si="9"/>
        <v>4.413584905660377E-4</v>
      </c>
      <c r="O18" s="11">
        <f t="shared" si="10"/>
        <v>40.895063999999998</v>
      </c>
      <c r="P18" s="11">
        <f t="shared" si="13"/>
        <v>10.526399999999999</v>
      </c>
      <c r="Q18" s="11"/>
      <c r="S18" t="s">
        <v>28</v>
      </c>
      <c r="T18">
        <v>26.3</v>
      </c>
      <c r="U18" t="s">
        <v>53</v>
      </c>
      <c r="V18">
        <v>81.599999999999994</v>
      </c>
      <c r="W18">
        <v>0.03</v>
      </c>
      <c r="X18">
        <v>0.2</v>
      </c>
      <c r="Y18">
        <v>81.83</v>
      </c>
      <c r="Z18" t="s">
        <v>68</v>
      </c>
    </row>
    <row r="19" spans="1:26">
      <c r="A19" t="s">
        <v>42</v>
      </c>
      <c r="B19" t="s">
        <v>70</v>
      </c>
      <c r="C19">
        <v>16</v>
      </c>
      <c r="D19" s="11" t="s">
        <v>83</v>
      </c>
      <c r="E19" s="11">
        <f t="shared" si="21"/>
        <v>34.4</v>
      </c>
      <c r="F19" s="11" t="str">
        <f t="shared" si="22"/>
        <v>GJ/kL</v>
      </c>
      <c r="G19" s="11">
        <f t="shared" si="23"/>
        <v>69.7</v>
      </c>
      <c r="H19" s="11">
        <f t="shared" si="24"/>
        <v>0.03</v>
      </c>
      <c r="I19" s="11">
        <f t="shared" si="25"/>
        <v>0.2</v>
      </c>
      <c r="J19" s="11">
        <f t="shared" si="20"/>
        <v>69.930000000000007</v>
      </c>
      <c r="K19" s="11">
        <f t="shared" si="26"/>
        <v>18</v>
      </c>
      <c r="L19" s="11">
        <f t="shared" si="12"/>
        <v>38.362879999999997</v>
      </c>
      <c r="M19" s="15">
        <f t="shared" si="8"/>
        <v>5.8971428571428575E-4</v>
      </c>
      <c r="N19" s="15">
        <f t="shared" si="9"/>
        <v>4.1539622641509431E-4</v>
      </c>
      <c r="O19" s="11">
        <f t="shared" si="10"/>
        <v>38.489471999999999</v>
      </c>
      <c r="P19" s="11">
        <f t="shared" si="13"/>
        <v>9.9071999999999996</v>
      </c>
      <c r="Q19" s="11"/>
      <c r="S19" t="s">
        <v>29</v>
      </c>
      <c r="T19">
        <v>32</v>
      </c>
      <c r="U19" t="s">
        <v>53</v>
      </c>
      <c r="V19">
        <v>62.8</v>
      </c>
      <c r="W19">
        <v>0.03</v>
      </c>
      <c r="X19">
        <v>0.2</v>
      </c>
      <c r="Y19">
        <v>63.03</v>
      </c>
      <c r="Z19" t="s">
        <v>68</v>
      </c>
    </row>
    <row r="20" spans="1:26">
      <c r="A20" t="s">
        <v>42</v>
      </c>
      <c r="B20" t="s">
        <v>71</v>
      </c>
      <c r="C20">
        <v>15</v>
      </c>
      <c r="D20" s="11" t="s">
        <v>83</v>
      </c>
      <c r="E20" s="11">
        <f t="shared" si="21"/>
        <v>25.7</v>
      </c>
      <c r="F20" s="11" t="str">
        <f t="shared" si="22"/>
        <v>GJ/kL</v>
      </c>
      <c r="G20" s="11">
        <f t="shared" si="23"/>
        <v>60.2</v>
      </c>
      <c r="H20" s="11">
        <f t="shared" si="24"/>
        <v>0.2</v>
      </c>
      <c r="I20" s="11">
        <f t="shared" si="25"/>
        <v>0.2</v>
      </c>
      <c r="J20" s="11">
        <f t="shared" si="20"/>
        <v>60.6</v>
      </c>
      <c r="K20" s="11">
        <f t="shared" si="26"/>
        <v>20.2</v>
      </c>
      <c r="L20" s="11">
        <f t="shared" si="12"/>
        <v>23.207100000000001</v>
      </c>
      <c r="M20" s="15">
        <f t="shared" si="8"/>
        <v>2.753571428571429E-3</v>
      </c>
      <c r="N20" s="15">
        <f t="shared" si="9"/>
        <v>2.9094339622641512E-4</v>
      </c>
      <c r="O20" s="11">
        <f t="shared" si="10"/>
        <v>23.3613</v>
      </c>
      <c r="P20" s="11">
        <f t="shared" si="13"/>
        <v>7.7870999999999997</v>
      </c>
      <c r="Q20" s="11"/>
      <c r="S20" t="s">
        <v>30</v>
      </c>
      <c r="T20">
        <v>27.1</v>
      </c>
      <c r="U20" t="s">
        <v>53</v>
      </c>
      <c r="V20">
        <v>55.9</v>
      </c>
      <c r="W20">
        <v>0.03</v>
      </c>
      <c r="X20">
        <v>0.2</v>
      </c>
      <c r="Y20">
        <v>56.13</v>
      </c>
      <c r="Z20" t="s">
        <v>68</v>
      </c>
    </row>
    <row r="21" spans="1:26">
      <c r="A21" t="s">
        <v>42</v>
      </c>
      <c r="B21" t="s">
        <v>72</v>
      </c>
      <c r="C21">
        <v>14</v>
      </c>
      <c r="D21" s="11" t="s">
        <v>83</v>
      </c>
      <c r="E21" s="11">
        <f t="shared" si="21"/>
        <v>31.4</v>
      </c>
      <c r="F21" s="11" t="str">
        <f t="shared" si="22"/>
        <v>GJ/kL</v>
      </c>
      <c r="G21" s="11">
        <f t="shared" si="23"/>
        <v>69.8</v>
      </c>
      <c r="H21" s="11">
        <f t="shared" si="24"/>
        <v>0.01</v>
      </c>
      <c r="I21" s="11">
        <f t="shared" si="25"/>
        <v>0.01</v>
      </c>
      <c r="J21" s="11">
        <f t="shared" si="20"/>
        <v>69.819999999999993</v>
      </c>
      <c r="K21" s="11">
        <f t="shared" si="26"/>
        <v>18</v>
      </c>
      <c r="L21" s="11">
        <f t="shared" si="12"/>
        <v>30.684079999999998</v>
      </c>
      <c r="M21" s="15">
        <f t="shared" si="8"/>
        <v>1.5699999999999999E-4</v>
      </c>
      <c r="N21" s="15">
        <f t="shared" si="9"/>
        <v>1.6588679245283017E-5</v>
      </c>
      <c r="O21" s="11">
        <f t="shared" si="10"/>
        <v>30.692871999999994</v>
      </c>
      <c r="P21" s="11">
        <f t="shared" si="13"/>
        <v>7.9127999999999989</v>
      </c>
      <c r="Q21" s="11"/>
      <c r="S21" t="s">
        <v>31</v>
      </c>
      <c r="T21">
        <v>10.5</v>
      </c>
      <c r="U21" t="s">
        <v>53</v>
      </c>
      <c r="V21">
        <v>87.1</v>
      </c>
      <c r="W21">
        <v>0.8</v>
      </c>
      <c r="X21">
        <v>1</v>
      </c>
      <c r="Y21">
        <v>88.9</v>
      </c>
      <c r="Z21" t="s">
        <v>68</v>
      </c>
    </row>
    <row r="22" spans="1:26">
      <c r="A22" t="s">
        <v>42</v>
      </c>
      <c r="B22" t="s">
        <v>73</v>
      </c>
      <c r="C22">
        <v>13</v>
      </c>
      <c r="D22" s="11" t="s">
        <v>83</v>
      </c>
      <c r="E22" s="11">
        <f t="shared" si="21"/>
        <v>34.200000000000003</v>
      </c>
      <c r="F22" s="11" t="str">
        <f t="shared" si="22"/>
        <v>GJ/t</v>
      </c>
      <c r="G22" s="11">
        <f t="shared" si="23"/>
        <v>92.6</v>
      </c>
      <c r="H22" s="11">
        <f t="shared" si="24"/>
        <v>0.08</v>
      </c>
      <c r="I22" s="11">
        <f t="shared" si="25"/>
        <v>0.2</v>
      </c>
      <c r="J22" s="11">
        <f t="shared" si="20"/>
        <v>92.88</v>
      </c>
      <c r="K22" s="11">
        <f t="shared" si="26"/>
        <v>18</v>
      </c>
      <c r="L22" s="11">
        <f t="shared" si="12"/>
        <v>41.169959999999996</v>
      </c>
      <c r="M22" s="15">
        <f t="shared" si="8"/>
        <v>1.2702857142857145E-3</v>
      </c>
      <c r="N22" s="15">
        <f t="shared" si="9"/>
        <v>3.3554716981132083E-4</v>
      </c>
      <c r="O22" s="11">
        <f t="shared" si="10"/>
        <v>41.294447999999996</v>
      </c>
      <c r="P22" s="11">
        <f t="shared" si="13"/>
        <v>8.0028000000000006</v>
      </c>
      <c r="Q22" s="11"/>
      <c r="S22" t="s">
        <v>32</v>
      </c>
      <c r="T22">
        <v>16.2</v>
      </c>
      <c r="U22" t="s">
        <v>53</v>
      </c>
      <c r="V22">
        <v>0</v>
      </c>
      <c r="W22">
        <v>0.1</v>
      </c>
      <c r="X22">
        <v>1.1000000000000001</v>
      </c>
      <c r="Y22">
        <v>1.2</v>
      </c>
      <c r="Z22" t="s">
        <v>68</v>
      </c>
    </row>
    <row r="23" spans="1:26">
      <c r="A23" t="s">
        <v>42</v>
      </c>
      <c r="B23" t="s">
        <v>74</v>
      </c>
      <c r="C23">
        <v>12</v>
      </c>
      <c r="D23" s="11" t="s">
        <v>83</v>
      </c>
      <c r="E23" s="11">
        <f t="shared" si="21"/>
        <v>42.9</v>
      </c>
      <c r="F23" s="11" t="str">
        <f t="shared" si="22"/>
        <v>GJ/t</v>
      </c>
      <c r="G23" s="11">
        <f t="shared" si="23"/>
        <v>54.7</v>
      </c>
      <c r="H23" s="11">
        <f t="shared" si="24"/>
        <v>0.03</v>
      </c>
      <c r="I23" s="11">
        <f t="shared" si="25"/>
        <v>0.03</v>
      </c>
      <c r="J23" s="11">
        <f t="shared" si="20"/>
        <v>54.76</v>
      </c>
      <c r="K23" s="11">
        <f t="shared" si="26"/>
        <v>18</v>
      </c>
      <c r="L23" s="11">
        <f t="shared" si="12"/>
        <v>28.159559999999999</v>
      </c>
      <c r="M23" s="15">
        <f t="shared" si="8"/>
        <v>5.515714285714285E-4</v>
      </c>
      <c r="N23" s="15">
        <f t="shared" si="9"/>
        <v>5.827924528301886E-5</v>
      </c>
      <c r="O23" s="11">
        <f t="shared" si="10"/>
        <v>28.190447999999996</v>
      </c>
      <c r="P23" s="11">
        <f t="shared" si="13"/>
        <v>9.2663999999999991</v>
      </c>
      <c r="Q23" s="11"/>
      <c r="S23" t="s">
        <v>33</v>
      </c>
      <c r="T23">
        <v>10.4</v>
      </c>
      <c r="U23" t="s">
        <v>53</v>
      </c>
      <c r="V23">
        <v>0</v>
      </c>
      <c r="W23">
        <v>0.1</v>
      </c>
      <c r="X23">
        <v>1.1000000000000001</v>
      </c>
      <c r="Y23">
        <v>1.2</v>
      </c>
      <c r="Z23" t="s">
        <v>68</v>
      </c>
    </row>
    <row r="24" spans="1:26">
      <c r="A24" t="s">
        <v>42</v>
      </c>
      <c r="B24" t="s">
        <v>75</v>
      </c>
      <c r="C24">
        <v>11</v>
      </c>
      <c r="D24" s="11" t="s">
        <v>83</v>
      </c>
      <c r="E24" s="11">
        <f t="shared" si="21"/>
        <v>34.200000000000003</v>
      </c>
      <c r="F24" s="11" t="str">
        <f t="shared" si="22"/>
        <v>GJ/t</v>
      </c>
      <c r="G24" s="11">
        <f t="shared" si="23"/>
        <v>92.6</v>
      </c>
      <c r="H24" s="11">
        <f t="shared" si="24"/>
        <v>0.08</v>
      </c>
      <c r="I24" s="11">
        <f t="shared" si="25"/>
        <v>0.2</v>
      </c>
      <c r="J24" s="11">
        <f t="shared" si="20"/>
        <v>92.88</v>
      </c>
      <c r="K24" s="11">
        <f t="shared" si="26"/>
        <v>18</v>
      </c>
      <c r="L24" s="11">
        <f t="shared" si="12"/>
        <v>34.836120000000001</v>
      </c>
      <c r="M24" s="15">
        <f t="shared" si="8"/>
        <v>1.074857142857143E-3</v>
      </c>
      <c r="N24" s="15">
        <f t="shared" si="9"/>
        <v>2.8392452830188679E-4</v>
      </c>
      <c r="O24" s="11">
        <f t="shared" si="10"/>
        <v>34.941456000000002</v>
      </c>
      <c r="P24" s="11">
        <f t="shared" si="13"/>
        <v>6.7716000000000003</v>
      </c>
      <c r="Q24" s="11"/>
      <c r="S24" t="s">
        <v>34</v>
      </c>
      <c r="T24">
        <v>12.4</v>
      </c>
      <c r="U24" t="s">
        <v>53</v>
      </c>
      <c r="V24" s="2">
        <v>0</v>
      </c>
      <c r="W24">
        <v>0.08</v>
      </c>
      <c r="X24">
        <v>0.5</v>
      </c>
      <c r="Y24">
        <v>0.57999999999999996</v>
      </c>
      <c r="Z24" t="s">
        <v>68</v>
      </c>
    </row>
    <row r="25" spans="1:26">
      <c r="A25" t="s">
        <v>42</v>
      </c>
      <c r="B25" t="s">
        <v>76</v>
      </c>
      <c r="C25">
        <v>10</v>
      </c>
      <c r="D25" s="11" t="s">
        <v>83</v>
      </c>
      <c r="E25" s="11">
        <f t="shared" si="21"/>
        <v>34.4</v>
      </c>
      <c r="F25" s="11" t="str">
        <f t="shared" si="22"/>
        <v>GJ/kL</v>
      </c>
      <c r="G25" s="11">
        <f t="shared" si="23"/>
        <v>69.8</v>
      </c>
      <c r="H25" s="11">
        <f t="shared" si="24"/>
        <v>0.02</v>
      </c>
      <c r="I25" s="11">
        <f t="shared" si="25"/>
        <v>0.1</v>
      </c>
      <c r="J25" s="11">
        <f t="shared" si="20"/>
        <v>69.92</v>
      </c>
      <c r="K25" s="11">
        <f t="shared" si="26"/>
        <v>18</v>
      </c>
      <c r="L25" s="11">
        <f t="shared" si="12"/>
        <v>24.011200000000002</v>
      </c>
      <c r="M25" s="15">
        <f t="shared" si="8"/>
        <v>2.4571428571428574E-4</v>
      </c>
      <c r="N25" s="15">
        <f t="shared" si="9"/>
        <v>1.2981132075471697E-4</v>
      </c>
      <c r="O25" s="11">
        <f t="shared" si="10"/>
        <v>24.052479999999999</v>
      </c>
      <c r="P25" s="11">
        <f t="shared" si="13"/>
        <v>6.1920000000000002</v>
      </c>
      <c r="Q25" s="11"/>
      <c r="S25" t="s">
        <v>35</v>
      </c>
      <c r="T25">
        <v>9.6</v>
      </c>
      <c r="U25" t="s">
        <v>53</v>
      </c>
      <c r="V25" s="2">
        <v>0</v>
      </c>
      <c r="W25">
        <v>0.3</v>
      </c>
      <c r="X25">
        <v>1.1000000000000001</v>
      </c>
      <c r="Y25">
        <v>1.4</v>
      </c>
      <c r="Z25" t="s">
        <v>68</v>
      </c>
    </row>
    <row r="26" spans="1:26">
      <c r="A26" t="s">
        <v>55</v>
      </c>
      <c r="B26" t="s">
        <v>56</v>
      </c>
      <c r="C26">
        <v>6</v>
      </c>
      <c r="D26" s="11" t="s">
        <v>83</v>
      </c>
      <c r="E26" s="11">
        <f t="shared" ref="E26:E32" si="27">$T$53</f>
        <v>25.3</v>
      </c>
      <c r="F26" s="11" t="str">
        <f t="shared" ref="F26:F32" si="28">$U$53</f>
        <v>GJ/kL</v>
      </c>
      <c r="G26" s="11">
        <f t="shared" ref="G26:G32" si="29">$V$53</f>
        <v>51.4</v>
      </c>
      <c r="H26" s="11">
        <f t="shared" ref="H26:H32" si="30">$W$53</f>
        <v>0.1</v>
      </c>
      <c r="I26" s="11">
        <f t="shared" ref="I26:I32" si="31">$X$53</f>
        <v>0.03</v>
      </c>
      <c r="J26" s="11">
        <f>$Y$53</f>
        <v>51.53</v>
      </c>
      <c r="K26" s="11">
        <f t="shared" ref="K26:K32" si="32">IF(ISBLANK(A26), "", VLOOKUP(D26, $AC$38:$AE$44, 3, FALSE))</f>
        <v>14</v>
      </c>
      <c r="L26" s="11">
        <f t="shared" si="12"/>
        <v>7.8025200000000003</v>
      </c>
      <c r="M26" s="15">
        <f t="shared" si="8"/>
        <v>5.4214285714285714E-4</v>
      </c>
      <c r="N26" s="15">
        <f t="shared" si="9"/>
        <v>1.7184905660377361E-5</v>
      </c>
      <c r="O26" s="11">
        <f t="shared" si="10"/>
        <v>7.8222540000000009</v>
      </c>
      <c r="P26" s="11">
        <f t="shared" si="13"/>
        <v>2.1252000000000004</v>
      </c>
      <c r="Q26" s="11"/>
      <c r="S26" t="s">
        <v>99</v>
      </c>
      <c r="T26" s="2">
        <v>12.2</v>
      </c>
      <c r="U26" t="s">
        <v>53</v>
      </c>
      <c r="V26">
        <v>0</v>
      </c>
      <c r="W26">
        <v>0.8</v>
      </c>
      <c r="X26">
        <v>1</v>
      </c>
      <c r="Y26">
        <v>1.8</v>
      </c>
      <c r="Z26" t="s">
        <v>68</v>
      </c>
    </row>
    <row r="27" spans="1:26">
      <c r="A27" t="s">
        <v>55</v>
      </c>
      <c r="B27" t="s">
        <v>56</v>
      </c>
      <c r="C27">
        <v>7</v>
      </c>
      <c r="D27" s="2" t="s">
        <v>84</v>
      </c>
      <c r="E27" s="11">
        <f t="shared" si="27"/>
        <v>25.3</v>
      </c>
      <c r="F27" s="11" t="str">
        <f t="shared" si="28"/>
        <v>GJ/kL</v>
      </c>
      <c r="G27" s="11">
        <f t="shared" si="29"/>
        <v>51.4</v>
      </c>
      <c r="H27" s="11">
        <f t="shared" si="30"/>
        <v>0.1</v>
      </c>
      <c r="I27" s="11">
        <f t="shared" si="31"/>
        <v>0.03</v>
      </c>
      <c r="J27" s="11">
        <f t="shared" ref="J27:J32" si="33">$Y$53</f>
        <v>51.53</v>
      </c>
      <c r="K27" s="11">
        <f t="shared" si="32"/>
        <v>4</v>
      </c>
      <c r="L27" s="11">
        <f t="shared" ref="L27:L29" si="34">C27*E27*G27/1000</f>
        <v>9.1029399999999985</v>
      </c>
      <c r="M27" s="15">
        <f t="shared" si="8"/>
        <v>6.3250000000000003E-4</v>
      </c>
      <c r="N27" s="15">
        <f t="shared" si="9"/>
        <v>2.0049056603773583E-5</v>
      </c>
      <c r="O27" s="11">
        <f t="shared" si="10"/>
        <v>9.1259630000000005</v>
      </c>
      <c r="P27" s="11">
        <f t="shared" si="13"/>
        <v>0.70840000000000003</v>
      </c>
      <c r="Q27" s="11"/>
      <c r="S27" t="s">
        <v>36</v>
      </c>
      <c r="T27">
        <v>31.1</v>
      </c>
      <c r="U27" t="s">
        <v>53</v>
      </c>
      <c r="V27" s="2">
        <v>0</v>
      </c>
      <c r="W27" s="2">
        <v>5.3</v>
      </c>
      <c r="X27">
        <v>1</v>
      </c>
      <c r="Y27">
        <v>6.3</v>
      </c>
      <c r="Z27" t="s">
        <v>68</v>
      </c>
    </row>
    <row r="28" spans="1:26">
      <c r="A28" t="s">
        <v>55</v>
      </c>
      <c r="B28" t="s">
        <v>56</v>
      </c>
      <c r="C28">
        <v>8</v>
      </c>
      <c r="D28" s="2" t="s">
        <v>85</v>
      </c>
      <c r="E28" s="11">
        <f t="shared" si="27"/>
        <v>25.3</v>
      </c>
      <c r="F28" s="11" t="str">
        <f t="shared" si="28"/>
        <v>GJ/kL</v>
      </c>
      <c r="G28" s="11">
        <f t="shared" si="29"/>
        <v>51.4</v>
      </c>
      <c r="H28" s="11">
        <f t="shared" si="30"/>
        <v>0.1</v>
      </c>
      <c r="I28" s="11">
        <f t="shared" si="31"/>
        <v>0.03</v>
      </c>
      <c r="J28" s="11">
        <f t="shared" si="33"/>
        <v>51.53</v>
      </c>
      <c r="K28" s="11">
        <f t="shared" si="32"/>
        <v>7.9</v>
      </c>
      <c r="L28" s="11">
        <f t="shared" si="34"/>
        <v>10.403360000000001</v>
      </c>
      <c r="M28" s="15">
        <f t="shared" si="8"/>
        <v>7.2285714285714293E-4</v>
      </c>
      <c r="N28" s="15">
        <f t="shared" si="9"/>
        <v>2.2913207547169811E-5</v>
      </c>
      <c r="O28" s="11">
        <f t="shared" si="10"/>
        <v>10.429672</v>
      </c>
      <c r="P28" s="11">
        <f t="shared" si="13"/>
        <v>1.5989599999999999</v>
      </c>
      <c r="Q28" s="11"/>
      <c r="S28" t="s">
        <v>37</v>
      </c>
      <c r="T28">
        <v>12.2</v>
      </c>
      <c r="U28" t="s">
        <v>53</v>
      </c>
      <c r="V28" s="2">
        <v>0</v>
      </c>
      <c r="W28" s="2">
        <v>0.8</v>
      </c>
      <c r="X28">
        <v>1</v>
      </c>
      <c r="Y28">
        <v>1.8</v>
      </c>
      <c r="Z28" t="s">
        <v>68</v>
      </c>
    </row>
    <row r="29" spans="1:26">
      <c r="A29" t="s">
        <v>55</v>
      </c>
      <c r="B29" t="s">
        <v>56</v>
      </c>
      <c r="C29">
        <v>9</v>
      </c>
      <c r="D29" s="2" t="s">
        <v>86</v>
      </c>
      <c r="E29" s="11">
        <f t="shared" si="27"/>
        <v>25.3</v>
      </c>
      <c r="F29" s="11" t="str">
        <f t="shared" si="28"/>
        <v>GJ/kL</v>
      </c>
      <c r="G29" s="11">
        <f t="shared" si="29"/>
        <v>51.4</v>
      </c>
      <c r="H29" s="11">
        <f t="shared" si="30"/>
        <v>0.1</v>
      </c>
      <c r="I29" s="11">
        <f t="shared" si="31"/>
        <v>0.03</v>
      </c>
      <c r="J29" s="11">
        <f t="shared" si="33"/>
        <v>51.53</v>
      </c>
      <c r="K29" s="11">
        <f t="shared" si="32"/>
        <v>10.6</v>
      </c>
      <c r="L29" s="11">
        <f t="shared" si="34"/>
        <v>11.70378</v>
      </c>
      <c r="M29" s="15">
        <f t="shared" si="8"/>
        <v>8.1321428571428582E-4</v>
      </c>
      <c r="N29" s="15">
        <f t="shared" si="9"/>
        <v>2.577735849056604E-5</v>
      </c>
      <c r="O29" s="11">
        <f t="shared" si="10"/>
        <v>11.733381000000001</v>
      </c>
      <c r="P29" s="11">
        <f t="shared" si="13"/>
        <v>2.4136199999999999</v>
      </c>
      <c r="Q29" s="11"/>
      <c r="R29" t="s">
        <v>42</v>
      </c>
      <c r="S29" t="s">
        <v>43</v>
      </c>
      <c r="T29" s="2">
        <v>38.799999999999997</v>
      </c>
      <c r="U29" s="2" t="s">
        <v>14</v>
      </c>
      <c r="V29" s="2">
        <v>13.9</v>
      </c>
      <c r="W29">
        <v>0</v>
      </c>
      <c r="X29">
        <v>0</v>
      </c>
      <c r="Y29">
        <v>13.9</v>
      </c>
      <c r="Z29">
        <v>18</v>
      </c>
    </row>
    <row r="30" spans="1:26">
      <c r="A30" t="s">
        <v>55</v>
      </c>
      <c r="B30" t="s">
        <v>56</v>
      </c>
      <c r="C30">
        <v>11</v>
      </c>
      <c r="D30" s="2" t="s">
        <v>89</v>
      </c>
      <c r="E30" s="11">
        <f t="shared" si="27"/>
        <v>25.3</v>
      </c>
      <c r="F30" s="11" t="str">
        <f t="shared" si="28"/>
        <v>GJ/kL</v>
      </c>
      <c r="G30" s="11">
        <f t="shared" si="29"/>
        <v>51.4</v>
      </c>
      <c r="H30" s="11">
        <f t="shared" si="30"/>
        <v>0.1</v>
      </c>
      <c r="I30" s="11">
        <f t="shared" si="31"/>
        <v>0.03</v>
      </c>
      <c r="J30" s="11">
        <f t="shared" si="33"/>
        <v>51.53</v>
      </c>
      <c r="K30" s="11">
        <f t="shared" si="32"/>
        <v>4</v>
      </c>
      <c r="L30" s="11">
        <f>C30*E30*G30/1000</f>
        <v>14.304620000000002</v>
      </c>
      <c r="M30" s="15">
        <f t="shared" si="8"/>
        <v>9.9392857142857139E-4</v>
      </c>
      <c r="N30" s="15">
        <f t="shared" si="9"/>
        <v>3.1505660377358487E-5</v>
      </c>
      <c r="O30" s="11">
        <f t="shared" si="10"/>
        <v>14.340799000000001</v>
      </c>
      <c r="P30" s="11">
        <f>C30*E30*K30/1000</f>
        <v>1.1132</v>
      </c>
      <c r="Q30" s="11"/>
      <c r="S30" t="s">
        <v>44</v>
      </c>
      <c r="T30">
        <v>38.799999999999997</v>
      </c>
      <c r="U30" s="2" t="s">
        <v>14</v>
      </c>
      <c r="V30">
        <v>3.5</v>
      </c>
      <c r="W30">
        <v>0</v>
      </c>
      <c r="X30">
        <v>0</v>
      </c>
      <c r="Y30">
        <v>3.5</v>
      </c>
      <c r="Z30">
        <v>18</v>
      </c>
    </row>
    <row r="31" spans="1:26">
      <c r="A31" t="s">
        <v>55</v>
      </c>
      <c r="B31" t="s">
        <v>56</v>
      </c>
      <c r="C31">
        <v>12</v>
      </c>
      <c r="D31" s="2" t="s">
        <v>87</v>
      </c>
      <c r="E31" s="11">
        <f t="shared" si="27"/>
        <v>25.3</v>
      </c>
      <c r="F31" s="11" t="str">
        <f t="shared" si="28"/>
        <v>GJ/kL</v>
      </c>
      <c r="G31" s="11">
        <f t="shared" si="29"/>
        <v>51.4</v>
      </c>
      <c r="H31" s="11">
        <f t="shared" si="30"/>
        <v>0.1</v>
      </c>
      <c r="I31" s="11">
        <f t="shared" si="31"/>
        <v>0.03</v>
      </c>
      <c r="J31" s="11">
        <f t="shared" si="33"/>
        <v>51.53</v>
      </c>
      <c r="K31" s="11">
        <f t="shared" si="32"/>
        <v>4</v>
      </c>
      <c r="L31" s="11">
        <f t="shared" ref="L31:L32" si="35">C31*E31*G31/1000</f>
        <v>15.605040000000001</v>
      </c>
      <c r="M31" s="15">
        <f t="shared" si="8"/>
        <v>1.0842857142857143E-3</v>
      </c>
      <c r="N31" s="15">
        <f t="shared" si="9"/>
        <v>3.4369811320754722E-5</v>
      </c>
      <c r="O31" s="11">
        <f t="shared" si="10"/>
        <v>15.644508000000002</v>
      </c>
      <c r="P31" s="11">
        <f>C31*E31*K31/1000</f>
        <v>1.2144000000000001</v>
      </c>
      <c r="Q31" s="11"/>
      <c r="S31" t="s">
        <v>45</v>
      </c>
      <c r="T31" s="2">
        <v>45.3</v>
      </c>
      <c r="U31" s="2" t="s">
        <v>53</v>
      </c>
      <c r="V31" s="2">
        <v>69.599999999999994</v>
      </c>
      <c r="W31">
        <v>0.08</v>
      </c>
      <c r="X31">
        <v>0.2</v>
      </c>
      <c r="Y31">
        <v>69.88</v>
      </c>
      <c r="Z31" t="s">
        <v>68</v>
      </c>
    </row>
    <row r="32" spans="1:26">
      <c r="A32" t="s">
        <v>55</v>
      </c>
      <c r="B32" t="s">
        <v>56</v>
      </c>
      <c r="C32">
        <v>13</v>
      </c>
      <c r="D32" s="2" t="s">
        <v>88</v>
      </c>
      <c r="E32" s="11">
        <f t="shared" si="27"/>
        <v>25.3</v>
      </c>
      <c r="F32" s="11" t="str">
        <f t="shared" si="28"/>
        <v>GJ/kL</v>
      </c>
      <c r="G32" s="11">
        <f t="shared" si="29"/>
        <v>51.4</v>
      </c>
      <c r="H32" s="11">
        <f t="shared" si="30"/>
        <v>0.1</v>
      </c>
      <c r="I32" s="11">
        <f t="shared" si="31"/>
        <v>0.03</v>
      </c>
      <c r="J32" s="11">
        <f t="shared" si="33"/>
        <v>51.53</v>
      </c>
      <c r="K32" s="11">
        <f t="shared" si="32"/>
        <v>4</v>
      </c>
      <c r="L32" s="11">
        <f t="shared" si="35"/>
        <v>16.905460000000001</v>
      </c>
      <c r="M32" s="15">
        <f t="shared" si="8"/>
        <v>1.1746428571428574E-3</v>
      </c>
      <c r="N32" s="15">
        <f t="shared" si="9"/>
        <v>3.7233962264150944E-5</v>
      </c>
      <c r="O32" s="11">
        <f t="shared" si="10"/>
        <v>16.948217</v>
      </c>
      <c r="P32" s="11">
        <f>C32*E32*K32/1000</f>
        <v>1.3156000000000001</v>
      </c>
      <c r="Q32" s="11"/>
      <c r="S32" t="s">
        <v>46</v>
      </c>
      <c r="T32" s="2">
        <v>46.5</v>
      </c>
      <c r="U32" s="2" t="s">
        <v>53</v>
      </c>
      <c r="V32" s="2">
        <v>61</v>
      </c>
      <c r="W32">
        <v>0.08</v>
      </c>
      <c r="X32">
        <v>0.2</v>
      </c>
      <c r="Y32">
        <v>61.28</v>
      </c>
      <c r="Z32" t="s">
        <v>68</v>
      </c>
    </row>
    <row r="33" spans="1:32">
      <c r="Q33" s="11"/>
      <c r="S33" t="s">
        <v>47</v>
      </c>
      <c r="T33">
        <v>34.200000000000003</v>
      </c>
      <c r="U33" s="2" t="s">
        <v>14</v>
      </c>
      <c r="V33">
        <v>67.400000000000006</v>
      </c>
      <c r="W33">
        <v>0.2</v>
      </c>
      <c r="X33">
        <v>0.2</v>
      </c>
      <c r="Y33">
        <v>67.8</v>
      </c>
      <c r="Z33">
        <v>17.2</v>
      </c>
    </row>
    <row r="34" spans="1:32">
      <c r="Q34" s="11"/>
      <c r="S34" t="s">
        <v>48</v>
      </c>
      <c r="T34" s="2">
        <v>33.1</v>
      </c>
      <c r="U34" s="2" t="s">
        <v>14</v>
      </c>
      <c r="V34" s="2">
        <v>67</v>
      </c>
      <c r="W34" s="7">
        <v>0.2</v>
      </c>
      <c r="X34">
        <v>0.2</v>
      </c>
      <c r="Y34">
        <v>67.400000000000006</v>
      </c>
      <c r="Z34">
        <v>18</v>
      </c>
    </row>
    <row r="35" spans="1:32" ht="17">
      <c r="Q35" s="11"/>
      <c r="R35" s="6"/>
      <c r="S35" s="6" t="s">
        <v>49</v>
      </c>
      <c r="T35" s="13">
        <v>37.5</v>
      </c>
      <c r="U35" s="2" t="s">
        <v>14</v>
      </c>
      <c r="V35">
        <v>68.900000000000006</v>
      </c>
      <c r="W35" s="13">
        <v>0.01</v>
      </c>
      <c r="X35" s="14">
        <v>0.2</v>
      </c>
      <c r="Y35" s="6">
        <v>69.11</v>
      </c>
      <c r="Z35" s="6">
        <v>18</v>
      </c>
      <c r="AA35" s="6"/>
      <c r="AC35" s="16" t="s">
        <v>57</v>
      </c>
      <c r="AD35" s="2"/>
      <c r="AE35" s="2"/>
    </row>
    <row r="36" spans="1:32" ht="34">
      <c r="Q36" s="11"/>
      <c r="S36" t="s">
        <v>50</v>
      </c>
      <c r="T36" s="2">
        <v>36.799999999999997</v>
      </c>
      <c r="U36" s="2" t="s">
        <v>14</v>
      </c>
      <c r="V36">
        <v>69.599999999999994</v>
      </c>
      <c r="W36" s="2">
        <v>0.02</v>
      </c>
      <c r="X36" s="7">
        <v>0.2</v>
      </c>
      <c r="Y36">
        <v>69.819999999999993</v>
      </c>
      <c r="Z36">
        <v>18</v>
      </c>
      <c r="AC36" s="16"/>
      <c r="AD36" s="13" t="s">
        <v>65</v>
      </c>
      <c r="AE36" s="13" t="s">
        <v>65</v>
      </c>
      <c r="AF36" t="s">
        <v>90</v>
      </c>
    </row>
    <row r="37" spans="1:32">
      <c r="Q37" s="11"/>
      <c r="S37" t="s">
        <v>51</v>
      </c>
      <c r="T37">
        <v>37.299999999999997</v>
      </c>
      <c r="U37" s="2" t="s">
        <v>14</v>
      </c>
      <c r="V37">
        <v>69.5</v>
      </c>
      <c r="W37">
        <v>0.03</v>
      </c>
      <c r="X37">
        <v>0.2</v>
      </c>
      <c r="Y37">
        <v>69.73</v>
      </c>
      <c r="Z37">
        <v>18</v>
      </c>
      <c r="AC37" s="16"/>
      <c r="AD37" s="2" t="s">
        <v>58</v>
      </c>
      <c r="AE37" s="2" t="s">
        <v>59</v>
      </c>
    </row>
    <row r="38" spans="1:32">
      <c r="Q38" s="11"/>
      <c r="S38" t="s">
        <v>11</v>
      </c>
      <c r="T38" s="2">
        <v>38.6</v>
      </c>
      <c r="U38" s="2" t="s">
        <v>14</v>
      </c>
      <c r="V38">
        <v>69.900000000000006</v>
      </c>
      <c r="W38" s="2">
        <v>0.1</v>
      </c>
      <c r="X38">
        <v>0.2</v>
      </c>
      <c r="Y38">
        <v>70.2</v>
      </c>
      <c r="Z38">
        <v>17.3</v>
      </c>
      <c r="AC38" s="2" t="s">
        <v>83</v>
      </c>
      <c r="AD38" s="2" t="s">
        <v>60</v>
      </c>
      <c r="AE38" s="2">
        <v>14</v>
      </c>
    </row>
    <row r="39" spans="1:32">
      <c r="A39" t="s">
        <v>82</v>
      </c>
      <c r="Q39" s="11"/>
      <c r="S39" t="s">
        <v>12</v>
      </c>
      <c r="T39" s="2">
        <v>39.700000000000003</v>
      </c>
      <c r="U39" s="2" t="s">
        <v>14</v>
      </c>
      <c r="V39">
        <v>73.599999999999994</v>
      </c>
      <c r="W39" s="2">
        <v>0.04</v>
      </c>
      <c r="X39">
        <v>0.2</v>
      </c>
      <c r="Y39">
        <v>73.84</v>
      </c>
      <c r="Z39">
        <v>18</v>
      </c>
      <c r="AC39" s="2" t="s">
        <v>84</v>
      </c>
      <c r="AD39" s="2" t="s">
        <v>61</v>
      </c>
      <c r="AE39" s="2">
        <v>4</v>
      </c>
    </row>
    <row r="40" spans="1:32">
      <c r="A40" t="s">
        <v>41</v>
      </c>
      <c r="B40" t="s">
        <v>21</v>
      </c>
      <c r="C40" s="11">
        <v>7</v>
      </c>
      <c r="D40" s="11" t="s">
        <v>83</v>
      </c>
      <c r="E40" s="11">
        <f t="shared" ref="E40:E55" si="36">IF(ISBLANK(A40), "", VLOOKUP($B40, _xlfn.IFS($A40="Solid fuels", $S$9:$Z$28,$A40="Cars and light commercial vehicles (pre 2004)", $S$44:$AA$48,$A40="Light duty vehicles",$S$49:$AA$50,$A40="Heavy duty vehicles",$S$51:$AA$58,$A40="Aviation",$S$59:$AA$61,$A40="Vessel",$S$63:$AA$65,TRUE,$S$66:$AA$66),2,FALSE))</f>
        <v>29</v>
      </c>
      <c r="F40" s="11" t="str">
        <f t="shared" ref="F40:F55" si="37">IF(ISBLANK(B40), "", VLOOKUP($B40, _xlfn.IFS($A40="Solid fuels", $S$9:$Z$28,$A40="Cars and light commercial vehicles (pre 2004)", $S$44:$AA$48,$A40="Light duty vehicles",$S$49:$AA$50,$A40="Heavy duty vehicles",$S$51:$AA$58,$A40="Aviation",$S$59:$AA$61,$A40="Vessel",$S$63:$AA$65,TRUE,$S$66:$AA$66),3,FALSE))</f>
        <v>GJ/t</v>
      </c>
      <c r="G40" s="11">
        <f t="shared" ref="G40:G55" si="38">IF(ISBLANK(A40), "", VLOOKUP($B40, _xlfn.IFS($A40="Solid fuels", $S$9:$Z$28,$A40="Cars and light commercial vehicles (pre 2004)", $S$44:$AA$48,$A40="Light duty vehicles",$S$49:$AA$50,$A40="Heavy duty vehicles",$S$51:$AA$58,$A40="Aviation",$S$59:$AA$61,$A40="Vessel",$S$63:$AA$65,TRUE,$S$66:$AA$66),4,FALSE))</f>
        <v>90</v>
      </c>
      <c r="H40" s="11">
        <f t="shared" ref="H40:H55" si="39">IF(ISBLANK(A40), "", VLOOKUP($B40, _xlfn.IFS($A40="Solid fuels", $S$9:$Z$28,$A40="Cars and light commercial vehicles (pre 2004)", $S$44:$AA$48,$A40="Light duty vehicles",$S$49:$AA$50,$A40="Heavy duty vehicles",$S$51:$AA$58,$A40="Aviation",$S$59:$AA$61,$A40="Vessel",$S$63:$AA$65,TRUE,$S$66:$AA$66),5,FALSE))</f>
        <v>0.04</v>
      </c>
      <c r="I40" s="11">
        <f t="shared" ref="I40:I55" si="40">IF(ISBLANK(A40), "", VLOOKUP($B40, _xlfn.IFS($A40="Solid fuels", $S$9:$Z$28,$A40="Cars and light commercial vehicles (pre 2004)", $S$44:$AA$48,$A40="Light duty vehicles",$S$49:$AA$50,$A40="Heavy duty vehicles",$S$51:$AA$58,$A40="Aviation",$S$59:$AA$61,$A40="Vessel",$S$63:$AA$65,TRUE,$S$66:$AA$66),6,FALSE))</f>
        <v>0.2</v>
      </c>
      <c r="J40" s="11"/>
      <c r="K40" s="11" t="str">
        <f t="shared" ref="K40:K55" si="41">IF(ISBLANK(A40), "", VLOOKUP($B40, _xlfn.IFS($A40="Solid fuels", $S$9:$Z$28,$A40="Cars and light commercial vehicles (pre 2004)", $S$44:$AA$48,$A40="Light duty vehicles",$S$49:$AA$50,$A40="Heavy duty vehicles",$S$51:$AA$58,$A40="Aviation",$S$59:$AA$61,$A40="Vessel",$S$63:$AA$65,TRUE,$S$66:$AA$66),8,FALSE))</f>
        <v>NE</v>
      </c>
      <c r="L40" s="11">
        <f t="shared" ref="L40:L62" si="42">C40*E40*G40/1000</f>
        <v>18.27</v>
      </c>
      <c r="M40" s="11">
        <f t="shared" ref="M40:M62" si="43">C40*E40*H40/1000</f>
        <v>8.1200000000000005E-3</v>
      </c>
      <c r="N40" s="11">
        <f t="shared" ref="N40:N62" si="44">C40*E40*I40/1000</f>
        <v>4.0600000000000004E-2</v>
      </c>
      <c r="O40" s="11"/>
      <c r="P40" s="11" t="e">
        <f t="shared" ref="P40:P62" si="45">C40*E40*K40/1000</f>
        <v>#VALUE!</v>
      </c>
      <c r="Q40" s="11"/>
      <c r="S40" t="s">
        <v>69</v>
      </c>
      <c r="T40">
        <v>34.4</v>
      </c>
      <c r="U40" t="s">
        <v>14</v>
      </c>
      <c r="V40">
        <v>69.7</v>
      </c>
      <c r="W40">
        <v>0.03</v>
      </c>
      <c r="X40">
        <v>0.2</v>
      </c>
      <c r="Y40">
        <v>69.930000000000007</v>
      </c>
      <c r="Z40" s="6">
        <v>18</v>
      </c>
      <c r="AC40" s="2" t="s">
        <v>85</v>
      </c>
      <c r="AD40" s="2" t="s">
        <v>62</v>
      </c>
      <c r="AE40" s="2">
        <v>7.9</v>
      </c>
    </row>
    <row r="41" spans="1:32">
      <c r="A41" t="s">
        <v>41</v>
      </c>
      <c r="B41" t="s">
        <v>24</v>
      </c>
      <c r="C41" s="11">
        <v>10</v>
      </c>
      <c r="D41" s="11" t="s">
        <v>83</v>
      </c>
      <c r="E41" s="11">
        <f t="shared" si="36"/>
        <v>22.1</v>
      </c>
      <c r="F41" s="11" t="str">
        <f t="shared" si="37"/>
        <v>GJ/t</v>
      </c>
      <c r="G41" s="11">
        <f t="shared" si="38"/>
        <v>95</v>
      </c>
      <c r="H41" s="11">
        <f t="shared" si="39"/>
        <v>0.08</v>
      </c>
      <c r="I41" s="11">
        <f t="shared" si="40"/>
        <v>0.3</v>
      </c>
      <c r="J41" s="11"/>
      <c r="K41" s="11" t="str">
        <f t="shared" si="41"/>
        <v>NE</v>
      </c>
      <c r="L41" s="11">
        <f t="shared" si="42"/>
        <v>20.995000000000001</v>
      </c>
      <c r="M41" s="11">
        <f t="shared" si="43"/>
        <v>1.7680000000000001E-2</v>
      </c>
      <c r="N41" s="11">
        <f t="shared" si="44"/>
        <v>6.6299999999999998E-2</v>
      </c>
      <c r="O41" s="11"/>
      <c r="P41" s="11" t="e">
        <f t="shared" si="45"/>
        <v>#VALUE!</v>
      </c>
      <c r="Q41" s="11"/>
      <c r="S41" t="s">
        <v>70</v>
      </c>
      <c r="T41" s="2">
        <v>34.4</v>
      </c>
      <c r="U41" s="2" t="s">
        <v>14</v>
      </c>
      <c r="V41">
        <v>69.7</v>
      </c>
      <c r="W41" s="2">
        <v>0.03</v>
      </c>
      <c r="X41">
        <v>0.2</v>
      </c>
      <c r="Y41">
        <v>69.930000000000007</v>
      </c>
      <c r="Z41" s="6">
        <v>18</v>
      </c>
      <c r="AC41" s="2" t="s">
        <v>86</v>
      </c>
      <c r="AD41" s="2" t="s">
        <v>63</v>
      </c>
      <c r="AE41" s="2">
        <v>10.6</v>
      </c>
    </row>
    <row r="42" spans="1:32">
      <c r="A42" t="s">
        <v>41</v>
      </c>
      <c r="B42" t="s">
        <v>25</v>
      </c>
      <c r="C42" s="11">
        <v>11</v>
      </c>
      <c r="D42" s="11" t="s">
        <v>83</v>
      </c>
      <c r="E42" s="11">
        <f t="shared" si="36"/>
        <v>27</v>
      </c>
      <c r="F42" s="11" t="str">
        <f t="shared" si="37"/>
        <v>GJ/t</v>
      </c>
      <c r="G42" s="11">
        <f t="shared" si="38"/>
        <v>107</v>
      </c>
      <c r="H42" s="11">
        <f t="shared" si="39"/>
        <v>0.03</v>
      </c>
      <c r="I42" s="11">
        <f t="shared" si="40"/>
        <v>0.2</v>
      </c>
      <c r="J42" s="11"/>
      <c r="K42" s="11" t="str">
        <f t="shared" si="41"/>
        <v>NE</v>
      </c>
      <c r="L42" s="11">
        <f t="shared" si="42"/>
        <v>31.779</v>
      </c>
      <c r="M42" s="11">
        <f t="shared" si="43"/>
        <v>8.9099999999999995E-3</v>
      </c>
      <c r="N42" s="11">
        <f t="shared" si="44"/>
        <v>5.9400000000000008E-2</v>
      </c>
      <c r="O42" s="11"/>
      <c r="P42" s="11" t="e">
        <f t="shared" si="45"/>
        <v>#VALUE!</v>
      </c>
      <c r="Q42" s="11"/>
      <c r="S42" t="s">
        <v>71</v>
      </c>
      <c r="T42" s="2">
        <v>25.7</v>
      </c>
      <c r="U42" s="2" t="s">
        <v>14</v>
      </c>
      <c r="V42">
        <v>60.2</v>
      </c>
      <c r="W42" s="10">
        <v>0.2</v>
      </c>
      <c r="X42" s="9">
        <v>0.2</v>
      </c>
      <c r="Y42" s="9">
        <v>60.6</v>
      </c>
      <c r="Z42" s="9">
        <v>20.2</v>
      </c>
      <c r="AA42" s="9"/>
      <c r="AB42" s="9"/>
      <c r="AC42" s="2" t="s">
        <v>89</v>
      </c>
      <c r="AD42" s="2" t="s">
        <v>64</v>
      </c>
      <c r="AE42" s="2">
        <v>4</v>
      </c>
    </row>
    <row r="43" spans="1:32">
      <c r="A43" t="s">
        <v>41</v>
      </c>
      <c r="B43" t="s">
        <v>26</v>
      </c>
      <c r="C43" s="11">
        <v>12</v>
      </c>
      <c r="D43" s="11" t="s">
        <v>83</v>
      </c>
      <c r="E43" s="11">
        <f t="shared" si="36"/>
        <v>37.5</v>
      </c>
      <c r="F43" s="11" t="str">
        <f t="shared" si="37"/>
        <v>GJ/t</v>
      </c>
      <c r="G43" s="11">
        <f t="shared" si="38"/>
        <v>81.8</v>
      </c>
      <c r="H43" s="11">
        <f t="shared" si="39"/>
        <v>0.03</v>
      </c>
      <c r="I43" s="11">
        <f t="shared" si="40"/>
        <v>0.2</v>
      </c>
      <c r="J43" s="11"/>
      <c r="K43" s="11" t="str">
        <f t="shared" si="41"/>
        <v>NE</v>
      </c>
      <c r="L43" s="11">
        <f t="shared" si="42"/>
        <v>36.81</v>
      </c>
      <c r="M43" s="11">
        <f t="shared" si="43"/>
        <v>1.35E-2</v>
      </c>
      <c r="N43" s="11">
        <f t="shared" si="44"/>
        <v>0.09</v>
      </c>
      <c r="O43" s="11"/>
      <c r="P43" s="11" t="e">
        <f t="shared" si="45"/>
        <v>#VALUE!</v>
      </c>
      <c r="S43" t="s">
        <v>72</v>
      </c>
      <c r="T43" s="2">
        <v>31.4</v>
      </c>
      <c r="U43" s="2" t="s">
        <v>14</v>
      </c>
      <c r="V43">
        <v>69.8</v>
      </c>
      <c r="W43" s="10">
        <v>0.01</v>
      </c>
      <c r="X43" s="9">
        <v>0.01</v>
      </c>
      <c r="Y43" s="9">
        <v>69.819999999999993</v>
      </c>
      <c r="Z43" s="9">
        <v>18</v>
      </c>
      <c r="AA43" s="9"/>
      <c r="AB43" s="9"/>
      <c r="AC43" s="2" t="s">
        <v>87</v>
      </c>
      <c r="AD43" s="2" t="str">
        <f>AD39</f>
        <v>4.0 </v>
      </c>
      <c r="AE43" s="2">
        <f>AE39</f>
        <v>4</v>
      </c>
    </row>
    <row r="44" spans="1:32">
      <c r="A44" t="s">
        <v>41</v>
      </c>
      <c r="B44" t="s">
        <v>27</v>
      </c>
      <c r="C44" s="11">
        <v>4</v>
      </c>
      <c r="D44" s="11" t="s">
        <v>83</v>
      </c>
      <c r="E44" s="11">
        <f t="shared" si="36"/>
        <v>22.1</v>
      </c>
      <c r="F44" s="11" t="str">
        <f t="shared" si="37"/>
        <v>GJ/t</v>
      </c>
      <c r="G44" s="11">
        <f t="shared" si="38"/>
        <v>95</v>
      </c>
      <c r="H44" s="11">
        <f t="shared" si="39"/>
        <v>0.08</v>
      </c>
      <c r="I44" s="11">
        <f t="shared" si="40"/>
        <v>0.2</v>
      </c>
      <c r="J44" s="11"/>
      <c r="K44" s="11" t="str">
        <f t="shared" si="41"/>
        <v>NE</v>
      </c>
      <c r="L44" s="11">
        <f t="shared" si="42"/>
        <v>8.3979999999999997</v>
      </c>
      <c r="M44" s="11">
        <f t="shared" si="43"/>
        <v>7.072000000000001E-3</v>
      </c>
      <c r="N44" s="11">
        <f t="shared" si="44"/>
        <v>1.7680000000000005E-2</v>
      </c>
      <c r="O44" s="11"/>
      <c r="P44" s="11" t="e">
        <f t="shared" si="45"/>
        <v>#VALUE!</v>
      </c>
      <c r="S44" t="s">
        <v>73</v>
      </c>
      <c r="T44" s="2">
        <v>34.200000000000003</v>
      </c>
      <c r="U44" s="2" t="s">
        <v>53</v>
      </c>
      <c r="V44">
        <v>92.6</v>
      </c>
      <c r="W44" s="2">
        <v>0.08</v>
      </c>
      <c r="X44" s="7">
        <v>0.2</v>
      </c>
      <c r="Y44">
        <v>92.88</v>
      </c>
      <c r="Z44">
        <v>18</v>
      </c>
      <c r="AB44" s="9"/>
      <c r="AC44" s="2" t="s">
        <v>88</v>
      </c>
      <c r="AD44" s="2" t="str">
        <f>AD42</f>
        <v>4.1 </v>
      </c>
      <c r="AE44" s="2">
        <f>AE42</f>
        <v>4</v>
      </c>
    </row>
    <row r="45" spans="1:32">
      <c r="A45" t="s">
        <v>41</v>
      </c>
      <c r="B45" t="s">
        <v>28</v>
      </c>
      <c r="C45">
        <v>6</v>
      </c>
      <c r="D45" s="11" t="s">
        <v>83</v>
      </c>
      <c r="E45" s="11">
        <f t="shared" si="36"/>
        <v>26.3</v>
      </c>
      <c r="F45" s="11" t="str">
        <f t="shared" si="37"/>
        <v>GJ/t</v>
      </c>
      <c r="G45" s="11">
        <f t="shared" si="38"/>
        <v>81.599999999999994</v>
      </c>
      <c r="H45" s="11">
        <f t="shared" si="39"/>
        <v>0.03</v>
      </c>
      <c r="I45" s="11">
        <f t="shared" si="40"/>
        <v>0.2</v>
      </c>
      <c r="J45" s="11"/>
      <c r="K45" s="11" t="str">
        <f t="shared" si="41"/>
        <v>NE</v>
      </c>
      <c r="L45" s="11">
        <f t="shared" si="42"/>
        <v>12.876479999999999</v>
      </c>
      <c r="M45" s="11">
        <f t="shared" si="43"/>
        <v>4.7340000000000004E-3</v>
      </c>
      <c r="N45" s="11">
        <f t="shared" si="44"/>
        <v>3.1560000000000005E-2</v>
      </c>
      <c r="O45" s="11"/>
      <c r="P45" s="11" t="e">
        <f t="shared" si="45"/>
        <v>#VALUE!</v>
      </c>
      <c r="S45" t="s">
        <v>74</v>
      </c>
      <c r="T45">
        <v>42.9</v>
      </c>
      <c r="U45" t="s">
        <v>53</v>
      </c>
      <c r="V45">
        <v>54.7</v>
      </c>
      <c r="W45">
        <v>0.03</v>
      </c>
      <c r="X45">
        <v>0.03</v>
      </c>
      <c r="Y45">
        <v>54.76</v>
      </c>
      <c r="Z45">
        <v>18</v>
      </c>
      <c r="AB45" s="9"/>
    </row>
    <row r="46" spans="1:32">
      <c r="A46" t="s">
        <v>41</v>
      </c>
      <c r="B46" t="s">
        <v>29</v>
      </c>
      <c r="C46">
        <v>7</v>
      </c>
      <c r="D46" s="11" t="s">
        <v>83</v>
      </c>
      <c r="E46" s="11">
        <f t="shared" si="36"/>
        <v>32</v>
      </c>
      <c r="F46" s="11" t="str">
        <f t="shared" si="37"/>
        <v>GJ/t</v>
      </c>
      <c r="G46" s="11">
        <f t="shared" si="38"/>
        <v>62.8</v>
      </c>
      <c r="H46" s="11">
        <f t="shared" si="39"/>
        <v>0.03</v>
      </c>
      <c r="I46" s="11">
        <f t="shared" si="40"/>
        <v>0.2</v>
      </c>
      <c r="J46" s="11"/>
      <c r="K46" s="11" t="str">
        <f t="shared" si="41"/>
        <v>NE</v>
      </c>
      <c r="L46" s="11">
        <f t="shared" si="42"/>
        <v>14.0672</v>
      </c>
      <c r="M46" s="11">
        <f t="shared" si="43"/>
        <v>6.7199999999999994E-3</v>
      </c>
      <c r="N46" s="11">
        <f t="shared" si="44"/>
        <v>4.4800000000000006E-2</v>
      </c>
      <c r="O46" s="11"/>
      <c r="P46" s="11" t="e">
        <f t="shared" si="45"/>
        <v>#VALUE!</v>
      </c>
      <c r="S46" t="s">
        <v>75</v>
      </c>
      <c r="T46" s="2">
        <v>34.200000000000003</v>
      </c>
      <c r="U46" s="2" t="s">
        <v>53</v>
      </c>
      <c r="V46">
        <v>92.6</v>
      </c>
      <c r="W46" s="2">
        <v>0.08</v>
      </c>
      <c r="X46">
        <v>0.2</v>
      </c>
      <c r="Y46">
        <v>92.88</v>
      </c>
      <c r="Z46">
        <v>18</v>
      </c>
      <c r="AB46" s="9"/>
      <c r="AC46" s="9"/>
    </row>
    <row r="47" spans="1:32">
      <c r="A47" t="s">
        <v>41</v>
      </c>
      <c r="B47" t="s">
        <v>30</v>
      </c>
      <c r="C47">
        <v>8</v>
      </c>
      <c r="D47" s="11" t="s">
        <v>83</v>
      </c>
      <c r="E47" s="11">
        <f t="shared" si="36"/>
        <v>27.1</v>
      </c>
      <c r="F47" s="11" t="str">
        <f t="shared" si="37"/>
        <v>GJ/t</v>
      </c>
      <c r="G47" s="11">
        <f t="shared" si="38"/>
        <v>55.9</v>
      </c>
      <c r="H47" s="11">
        <f t="shared" si="39"/>
        <v>0.03</v>
      </c>
      <c r="I47" s="11">
        <f t="shared" si="40"/>
        <v>0.2</v>
      </c>
      <c r="J47" s="11"/>
      <c r="K47" s="11" t="str">
        <f t="shared" si="41"/>
        <v>NE</v>
      </c>
      <c r="L47" s="11">
        <f t="shared" si="42"/>
        <v>12.119120000000001</v>
      </c>
      <c r="M47" s="11">
        <f t="shared" si="43"/>
        <v>6.5040000000000002E-3</v>
      </c>
      <c r="N47" s="11">
        <f t="shared" si="44"/>
        <v>4.336000000000001E-2</v>
      </c>
      <c r="O47" s="11"/>
      <c r="P47" s="11" t="e">
        <f t="shared" si="45"/>
        <v>#VALUE!</v>
      </c>
      <c r="S47" t="s">
        <v>76</v>
      </c>
      <c r="T47" s="2">
        <v>34.4</v>
      </c>
      <c r="U47" s="2" t="s">
        <v>14</v>
      </c>
      <c r="V47">
        <v>69.8</v>
      </c>
      <c r="W47" s="2">
        <v>0.02</v>
      </c>
      <c r="X47">
        <v>0.1</v>
      </c>
      <c r="Y47">
        <v>69.92</v>
      </c>
      <c r="Z47" s="6">
        <v>18</v>
      </c>
      <c r="AB47" s="9"/>
      <c r="AC47" s="9"/>
    </row>
    <row r="48" spans="1:32">
      <c r="A48" t="s">
        <v>41</v>
      </c>
      <c r="B48" t="s">
        <v>31</v>
      </c>
      <c r="C48">
        <v>7</v>
      </c>
      <c r="D48" s="11" t="s">
        <v>83</v>
      </c>
      <c r="E48" s="11">
        <f t="shared" si="36"/>
        <v>10.5</v>
      </c>
      <c r="F48" s="11" t="str">
        <f t="shared" si="37"/>
        <v>GJ/t</v>
      </c>
      <c r="G48" s="11">
        <f t="shared" si="38"/>
        <v>87.1</v>
      </c>
      <c r="H48" s="11">
        <f t="shared" si="39"/>
        <v>0.8</v>
      </c>
      <c r="I48" s="11">
        <f t="shared" si="40"/>
        <v>1</v>
      </c>
      <c r="J48" s="11"/>
      <c r="K48" s="11" t="str">
        <f t="shared" si="41"/>
        <v>NE</v>
      </c>
      <c r="L48" s="11">
        <f t="shared" si="42"/>
        <v>6.4018499999999996</v>
      </c>
      <c r="M48" s="11">
        <f t="shared" si="43"/>
        <v>5.8800000000000005E-2</v>
      </c>
      <c r="N48" s="11">
        <f t="shared" si="44"/>
        <v>7.3499999999999996E-2</v>
      </c>
      <c r="O48" s="11"/>
      <c r="P48" s="11" t="e">
        <f t="shared" si="45"/>
        <v>#VALUE!</v>
      </c>
      <c r="S48" t="s">
        <v>77</v>
      </c>
      <c r="T48" s="2">
        <v>34.6</v>
      </c>
      <c r="U48" s="2" t="s">
        <v>14</v>
      </c>
      <c r="V48">
        <v>0</v>
      </c>
      <c r="W48" s="10">
        <v>0.08</v>
      </c>
      <c r="X48" s="9">
        <v>0.2</v>
      </c>
      <c r="Y48" s="9">
        <v>0.28000000000000003</v>
      </c>
      <c r="Z48" s="9" t="s">
        <v>68</v>
      </c>
      <c r="AA48" s="9"/>
      <c r="AB48" s="9"/>
      <c r="AC48" s="9"/>
    </row>
    <row r="49" spans="1:29">
      <c r="A49" t="s">
        <v>41</v>
      </c>
      <c r="B49" t="s">
        <v>32</v>
      </c>
      <c r="C49">
        <v>8</v>
      </c>
      <c r="D49" s="11" t="s">
        <v>83</v>
      </c>
      <c r="E49" s="11">
        <f t="shared" si="36"/>
        <v>16.2</v>
      </c>
      <c r="F49" s="11" t="str">
        <f t="shared" si="37"/>
        <v>GJ/t</v>
      </c>
      <c r="G49" s="11">
        <f t="shared" si="38"/>
        <v>0</v>
      </c>
      <c r="H49" s="11">
        <f t="shared" si="39"/>
        <v>0.1</v>
      </c>
      <c r="I49" s="11">
        <f t="shared" si="40"/>
        <v>1.1000000000000001</v>
      </c>
      <c r="J49" s="11"/>
      <c r="K49" s="11" t="str">
        <f t="shared" si="41"/>
        <v>NE</v>
      </c>
      <c r="L49" s="11">
        <f t="shared" si="42"/>
        <v>0</v>
      </c>
      <c r="M49" s="11">
        <f t="shared" si="43"/>
        <v>1.2960000000000001E-2</v>
      </c>
      <c r="N49" s="11">
        <f t="shared" si="44"/>
        <v>0.14255999999999999</v>
      </c>
      <c r="O49" s="11"/>
      <c r="P49" s="11" t="e">
        <f t="shared" si="45"/>
        <v>#VALUE!</v>
      </c>
      <c r="S49" t="s">
        <v>78</v>
      </c>
      <c r="T49" s="2">
        <v>23.4</v>
      </c>
      <c r="U49" s="2" t="s">
        <v>14</v>
      </c>
      <c r="V49">
        <v>0</v>
      </c>
      <c r="W49" s="10">
        <v>0.08</v>
      </c>
      <c r="X49" s="9">
        <v>0.2</v>
      </c>
      <c r="Y49" s="9">
        <v>0.28000000000000003</v>
      </c>
      <c r="Z49" s="9" t="s">
        <v>68</v>
      </c>
      <c r="AA49" s="9"/>
      <c r="AB49" s="9"/>
      <c r="AC49" s="9"/>
    </row>
    <row r="50" spans="1:29">
      <c r="A50" t="s">
        <v>41</v>
      </c>
      <c r="B50" t="s">
        <v>33</v>
      </c>
      <c r="C50">
        <v>9</v>
      </c>
      <c r="D50" s="11" t="s">
        <v>83</v>
      </c>
      <c r="E50" s="11">
        <f t="shared" si="36"/>
        <v>10.4</v>
      </c>
      <c r="F50" s="11" t="str">
        <f t="shared" si="37"/>
        <v>GJ/t</v>
      </c>
      <c r="G50" s="11">
        <f t="shared" si="38"/>
        <v>0</v>
      </c>
      <c r="H50" s="11">
        <f t="shared" si="39"/>
        <v>0.1</v>
      </c>
      <c r="I50" s="11">
        <f t="shared" si="40"/>
        <v>1.1000000000000001</v>
      </c>
      <c r="J50" s="11"/>
      <c r="K50" s="11" t="str">
        <f t="shared" si="41"/>
        <v>NE</v>
      </c>
      <c r="L50" s="11">
        <f t="shared" si="42"/>
        <v>0</v>
      </c>
      <c r="M50" s="11">
        <f t="shared" si="43"/>
        <v>9.360000000000002E-3</v>
      </c>
      <c r="N50" s="11">
        <f t="shared" si="44"/>
        <v>0.10296000000000002</v>
      </c>
      <c r="O50" s="11"/>
      <c r="P50" s="11" t="e">
        <f t="shared" si="45"/>
        <v>#VALUE!</v>
      </c>
      <c r="S50" t="s">
        <v>79</v>
      </c>
      <c r="T50" s="2">
        <v>23.4</v>
      </c>
      <c r="U50" s="2" t="s">
        <v>14</v>
      </c>
      <c r="V50">
        <v>0</v>
      </c>
      <c r="W50" s="10">
        <v>0.08</v>
      </c>
      <c r="X50" s="9">
        <v>0.2</v>
      </c>
      <c r="Y50" s="9">
        <v>0.28000000000000003</v>
      </c>
      <c r="Z50" s="9" t="s">
        <v>68</v>
      </c>
      <c r="AA50" s="9"/>
      <c r="AB50" s="9"/>
      <c r="AC50" s="9"/>
    </row>
    <row r="51" spans="1:29">
      <c r="A51" t="s">
        <v>41</v>
      </c>
      <c r="B51" t="s">
        <v>34</v>
      </c>
      <c r="C51">
        <v>10</v>
      </c>
      <c r="D51" s="11" t="s">
        <v>83</v>
      </c>
      <c r="E51" s="11">
        <f t="shared" si="36"/>
        <v>12.4</v>
      </c>
      <c r="F51" s="11" t="str">
        <f t="shared" si="37"/>
        <v>GJ/t</v>
      </c>
      <c r="G51" s="11">
        <f t="shared" si="38"/>
        <v>0</v>
      </c>
      <c r="H51" s="11">
        <f t="shared" si="39"/>
        <v>0.08</v>
      </c>
      <c r="I51" s="11">
        <f t="shared" si="40"/>
        <v>0.5</v>
      </c>
      <c r="J51" s="11"/>
      <c r="K51" s="11" t="str">
        <f t="shared" si="41"/>
        <v>NE</v>
      </c>
      <c r="L51" s="11">
        <f t="shared" si="42"/>
        <v>0</v>
      </c>
      <c r="M51" s="11">
        <f t="shared" si="43"/>
        <v>9.92E-3</v>
      </c>
      <c r="N51" s="11">
        <f t="shared" si="44"/>
        <v>6.2E-2</v>
      </c>
      <c r="O51" s="11"/>
      <c r="P51" s="11" t="e">
        <f t="shared" si="45"/>
        <v>#VALUE!</v>
      </c>
      <c r="S51" t="s">
        <v>80</v>
      </c>
      <c r="T51" s="2">
        <v>36.799999999999997</v>
      </c>
      <c r="U51" s="2" t="s">
        <v>14</v>
      </c>
      <c r="V51">
        <v>0</v>
      </c>
      <c r="W51" s="10">
        <v>0.02</v>
      </c>
      <c r="X51" s="9">
        <v>0.2</v>
      </c>
      <c r="Y51" s="9">
        <v>0.22</v>
      </c>
      <c r="Z51" s="9" t="s">
        <v>68</v>
      </c>
      <c r="AA51" s="9"/>
      <c r="AB51" s="9"/>
      <c r="AC51" s="9"/>
    </row>
    <row r="52" spans="1:29">
      <c r="A52" t="s">
        <v>41</v>
      </c>
      <c r="B52" t="s">
        <v>35</v>
      </c>
      <c r="C52">
        <v>11</v>
      </c>
      <c r="D52" s="11" t="s">
        <v>83</v>
      </c>
      <c r="E52" s="11">
        <f t="shared" si="36"/>
        <v>9.6</v>
      </c>
      <c r="F52" s="11" t="str">
        <f t="shared" si="37"/>
        <v>GJ/t</v>
      </c>
      <c r="G52" s="11">
        <f t="shared" si="38"/>
        <v>0</v>
      </c>
      <c r="H52" s="11">
        <f t="shared" si="39"/>
        <v>0.3</v>
      </c>
      <c r="I52" s="11">
        <f t="shared" si="40"/>
        <v>1.1000000000000001</v>
      </c>
      <c r="J52" s="11"/>
      <c r="K52" s="11" t="str">
        <f t="shared" si="41"/>
        <v>NE</v>
      </c>
      <c r="L52" s="11">
        <f t="shared" si="42"/>
        <v>0</v>
      </c>
      <c r="M52" s="11">
        <f t="shared" si="43"/>
        <v>3.1679999999999993E-2</v>
      </c>
      <c r="N52" s="11">
        <f t="shared" si="44"/>
        <v>0.11616</v>
      </c>
      <c r="O52" s="11"/>
      <c r="P52" s="11" t="e">
        <f t="shared" si="45"/>
        <v>#VALUE!</v>
      </c>
      <c r="S52" t="s">
        <v>81</v>
      </c>
      <c r="T52">
        <v>38.6</v>
      </c>
      <c r="U52" t="s">
        <v>14</v>
      </c>
      <c r="V52">
        <v>0</v>
      </c>
      <c r="W52">
        <v>0.1</v>
      </c>
      <c r="X52">
        <v>0.2</v>
      </c>
      <c r="Y52" s="9">
        <v>0.3</v>
      </c>
      <c r="Z52" s="9" t="s">
        <v>68</v>
      </c>
      <c r="AA52" s="9"/>
      <c r="AB52" s="9"/>
      <c r="AC52" s="9"/>
    </row>
    <row r="53" spans="1:29">
      <c r="A53" t="s">
        <v>41</v>
      </c>
      <c r="B53" t="s">
        <v>99</v>
      </c>
      <c r="C53">
        <v>12</v>
      </c>
      <c r="D53" s="11" t="s">
        <v>83</v>
      </c>
      <c r="E53" s="11">
        <f t="shared" si="36"/>
        <v>12.2</v>
      </c>
      <c r="F53" s="11" t="str">
        <f t="shared" si="37"/>
        <v>GJ/t</v>
      </c>
      <c r="G53" s="11">
        <f t="shared" si="38"/>
        <v>0</v>
      </c>
      <c r="H53" s="11">
        <f t="shared" si="39"/>
        <v>0.8</v>
      </c>
      <c r="I53" s="11">
        <f t="shared" si="40"/>
        <v>1</v>
      </c>
      <c r="J53" s="11"/>
      <c r="K53" s="11" t="str">
        <f t="shared" si="41"/>
        <v>NE</v>
      </c>
      <c r="L53" s="11">
        <f t="shared" si="42"/>
        <v>0</v>
      </c>
      <c r="M53" s="11">
        <f t="shared" si="43"/>
        <v>0.11711999999999999</v>
      </c>
      <c r="N53" s="11">
        <f t="shared" si="44"/>
        <v>0.14639999999999997</v>
      </c>
      <c r="O53" s="11"/>
      <c r="P53" s="11" t="e">
        <f t="shared" si="45"/>
        <v>#VALUE!</v>
      </c>
      <c r="R53" t="s">
        <v>55</v>
      </c>
      <c r="S53" t="s">
        <v>56</v>
      </c>
      <c r="T53" s="2">
        <v>25.3</v>
      </c>
      <c r="U53" s="2" t="s">
        <v>14</v>
      </c>
      <c r="V53">
        <v>51.4</v>
      </c>
      <c r="W53" s="2">
        <v>0.1</v>
      </c>
      <c r="X53" s="2">
        <v>0.03</v>
      </c>
      <c r="Y53" s="9">
        <f>SUM(V53:X53)</f>
        <v>51.53</v>
      </c>
      <c r="Z53" s="9"/>
      <c r="AA53" s="9"/>
      <c r="AB53" s="9"/>
      <c r="AC53" s="9"/>
    </row>
    <row r="54" spans="1:29">
      <c r="A54" t="s">
        <v>41</v>
      </c>
      <c r="B54" t="s">
        <v>36</v>
      </c>
      <c r="C54">
        <v>13</v>
      </c>
      <c r="D54" s="11" t="s">
        <v>83</v>
      </c>
      <c r="E54" s="11">
        <f t="shared" si="36"/>
        <v>31.1</v>
      </c>
      <c r="F54" s="11" t="str">
        <f t="shared" si="37"/>
        <v>GJ/t</v>
      </c>
      <c r="G54" s="11">
        <f t="shared" si="38"/>
        <v>0</v>
      </c>
      <c r="H54" s="11">
        <f t="shared" si="39"/>
        <v>5.3</v>
      </c>
      <c r="I54" s="11">
        <f t="shared" si="40"/>
        <v>1</v>
      </c>
      <c r="J54" s="11"/>
      <c r="K54" s="11" t="str">
        <f t="shared" si="41"/>
        <v>NE</v>
      </c>
      <c r="L54" s="11">
        <f t="shared" si="42"/>
        <v>0</v>
      </c>
      <c r="M54" s="11">
        <f t="shared" si="43"/>
        <v>2.1427899999999998</v>
      </c>
      <c r="N54" s="11">
        <f t="shared" si="44"/>
        <v>0.40429999999999999</v>
      </c>
      <c r="O54" s="11"/>
      <c r="P54" s="11" t="e">
        <f t="shared" si="45"/>
        <v>#VALUE!</v>
      </c>
      <c r="T54" s="2"/>
      <c r="U54" s="2"/>
      <c r="W54" s="10"/>
      <c r="X54" s="9"/>
      <c r="Y54" s="9"/>
      <c r="Z54" s="9"/>
      <c r="AA54" s="9"/>
      <c r="AB54" s="9"/>
      <c r="AC54" s="9"/>
    </row>
    <row r="55" spans="1:29">
      <c r="A55" t="s">
        <v>41</v>
      </c>
      <c r="B55" t="s">
        <v>37</v>
      </c>
      <c r="C55">
        <v>8</v>
      </c>
      <c r="D55" s="11" t="s">
        <v>83</v>
      </c>
      <c r="E55" s="11">
        <f t="shared" si="36"/>
        <v>12.2</v>
      </c>
      <c r="F55" s="11" t="str">
        <f t="shared" si="37"/>
        <v>GJ/t</v>
      </c>
      <c r="G55" s="11">
        <f t="shared" si="38"/>
        <v>0</v>
      </c>
      <c r="H55" s="11">
        <f t="shared" si="39"/>
        <v>0.8</v>
      </c>
      <c r="I55" s="11">
        <f t="shared" si="40"/>
        <v>1</v>
      </c>
      <c r="J55" s="11"/>
      <c r="K55" s="11" t="str">
        <f t="shared" si="41"/>
        <v>NE</v>
      </c>
      <c r="L55" s="11">
        <f t="shared" si="42"/>
        <v>0</v>
      </c>
      <c r="M55" s="11">
        <f t="shared" si="43"/>
        <v>7.8079999999999997E-2</v>
      </c>
      <c r="N55" s="11">
        <f t="shared" si="44"/>
        <v>9.7599999999999992E-2</v>
      </c>
      <c r="O55" s="11"/>
      <c r="P55" s="11" t="e">
        <f t="shared" si="45"/>
        <v>#VALUE!</v>
      </c>
      <c r="T55" s="2"/>
      <c r="U55" s="2"/>
      <c r="W55" s="10"/>
      <c r="X55" s="9"/>
      <c r="Y55" s="9"/>
      <c r="Z55" s="9"/>
      <c r="AA55" s="9"/>
      <c r="AB55" s="9"/>
      <c r="AC55" s="9"/>
    </row>
    <row r="56" spans="1:29">
      <c r="A56" t="s">
        <v>42</v>
      </c>
      <c r="B56" t="s">
        <v>45</v>
      </c>
      <c r="C56">
        <v>10</v>
      </c>
      <c r="D56" s="11" t="s">
        <v>83</v>
      </c>
      <c r="E56" s="11">
        <f>IF(ISBLANK(A56), "", VLOOKUP($B56, _xlfn.IFS($A56="Solid fuels", $S$9:$Z$28,$A56="Liquid fuels", $S$29:$Z$39,$A56="Light duty vehicles",$S$49:$AA$50,$A56="Heavy duty vehicles",$S$51:$AA$58,$A56="Aviation",$S$59:$AA$61,$A56="Vessel",$S$63:$AA$65,TRUE,$S$66:$AA$66),2,FALSE))</f>
        <v>45.3</v>
      </c>
      <c r="F56" s="11" t="str">
        <f>IF(ISBLANK(B56), "", VLOOKUP($B56, _xlfn.IFS($A56="Solid fuels", $S$9:$Z$28,$A56="Liquid fuels", $S$29:$Z$39,$A56="Light duty vehicles",$S$49:$AA$50,$A56="Heavy duty vehicles",$S$51:$AA$58,$A56="Aviation",$S$59:$AA$61,$A56="Vessel",$S$63:$AA$65,TRUE,$S$66:$AA$66),3,FALSE))</f>
        <v>GJ/t</v>
      </c>
      <c r="G56" s="11">
        <f>IF(ISBLANK(C56), "", VLOOKUP($B56, _xlfn.IFS($A56="Solid fuels", $S$9:$Z$28,$A56="Liquid fuels", $S$29:$Z$39,$A56="Light duty vehicles",$S$49:$AA$50,$A56="Heavy duty vehicles",$S$51:$AA$58,$A56="Aviation",$S$59:$AA$61,$A56="Vessel",$S$63:$AA$65,TRUE,$S$66:$AA$66),4,FALSE))</f>
        <v>69.599999999999994</v>
      </c>
      <c r="H56" s="11">
        <f>IF(ISBLANK(E56), "", VLOOKUP($B56, _xlfn.IFS($A56="Solid fuels", $S$9:$Z$28,$A56="Liquid fuels", $S$29:$Z$39,$A56="Light duty vehicles",$S$49:$AA$50,$A56="Heavy duty vehicles",$S$51:$AA$58,$A56="Aviation",$S$59:$AA$61,$A56="Vessel",$S$63:$AA$65,TRUE,$S$66:$AA$66),5,FALSE))</f>
        <v>0.08</v>
      </c>
      <c r="I56" s="11">
        <f>IF(ISBLANK(F56), "", VLOOKUP($B56, _xlfn.IFS($A56="Solid fuels", $S$9:$Z$28,$A56="Liquid fuels", $S$29:$Z$39,$A56="Light duty vehicles",$S$49:$AA$50,$A56="Heavy duty vehicles",$S$51:$AA$58,$A56="Aviation",$S$59:$AA$61,$A56="Vessel",$S$63:$AA$65,TRUE,$S$66:$AA$66),6,FALSE))</f>
        <v>0.2</v>
      </c>
      <c r="J56" s="11"/>
      <c r="K56" s="11" t="str">
        <f>IF(ISBLANK(G56), "", VLOOKUP($B56, _xlfn.IFS($A56="Solid fuels", $S$9:$Z$28,$A56="Liquid fuels", $S$29:$Z$39,$A56="Light duty vehicles",$S$49:$AA$50,$A56="Heavy duty vehicles",$S$51:$AA$58,$A56="Aviation",$S$59:$AA$61,$A56="Vessel",$S$63:$AA$65,TRUE,$S$66:$AA$66),8,FALSE))</f>
        <v>NE</v>
      </c>
      <c r="L56" s="11">
        <f t="shared" si="42"/>
        <v>31.528799999999997</v>
      </c>
      <c r="M56" s="11">
        <f t="shared" si="43"/>
        <v>3.6240000000000001E-2</v>
      </c>
      <c r="N56" s="11">
        <f t="shared" si="44"/>
        <v>9.0600000000000014E-2</v>
      </c>
      <c r="O56" s="11"/>
      <c r="P56" s="11" t="e">
        <f t="shared" si="45"/>
        <v>#VALUE!</v>
      </c>
      <c r="T56" s="2"/>
      <c r="U56" s="2"/>
      <c r="W56" s="10"/>
      <c r="X56" s="9"/>
      <c r="Y56" s="9"/>
      <c r="Z56" s="9"/>
      <c r="AA56" s="9"/>
      <c r="AB56" s="9"/>
      <c r="AC56" s="9"/>
    </row>
    <row r="57" spans="1:29">
      <c r="A57" t="s">
        <v>42</v>
      </c>
      <c r="B57" t="s">
        <v>46</v>
      </c>
      <c r="C57">
        <v>11</v>
      </c>
      <c r="D57" s="11" t="s">
        <v>83</v>
      </c>
      <c r="E57" s="11">
        <f>IF(ISBLANK(A57), "", VLOOKUP($B57, _xlfn.IFS($A57="Solid fuels", $S$9:$Z$28,$A57="Liquid fuels", $S$29:$Z$39,$A57="Light duty vehicles",$S$49:$AA$50,$A57="Heavy duty vehicles",$S$51:$AA$58,$A57="Aviation",$S$59:$AA$61,$A57="Vessel",$S$63:$AA$65,TRUE,$S$66:$AA$66),2,FALSE))</f>
        <v>46.5</v>
      </c>
      <c r="F57" s="11" t="str">
        <f>IF(ISBLANK(B57), "", VLOOKUP($B57, _xlfn.IFS($A57="Solid fuels", $S$9:$Z$28,$A57="Liquid fuels", $S$29:$Z$39,$A57="Light duty vehicles",$S$49:$AA$50,$A57="Heavy duty vehicles",$S$51:$AA$58,$A57="Aviation",$S$59:$AA$61,$A57="Vessel",$S$63:$AA$65,TRUE,$S$66:$AA$66),3,FALSE))</f>
        <v>GJ/t</v>
      </c>
      <c r="G57" s="11">
        <f>IF(ISBLANK(C57), "", VLOOKUP($B57, _xlfn.IFS($A57="Solid fuels", $S$9:$Z$28,$A57="Liquid fuels", $S$29:$Z$39,$A57="Light duty vehicles",$S$49:$AA$50,$A57="Heavy duty vehicles",$S$51:$AA$58,$A57="Aviation",$S$59:$AA$61,$A57="Vessel",$S$63:$AA$65,TRUE,$S$66:$AA$66),4,FALSE))</f>
        <v>61</v>
      </c>
      <c r="H57" s="11">
        <f>IF(ISBLANK(E57), "", VLOOKUP($B57, _xlfn.IFS($A57="Solid fuels", $S$9:$Z$28,$A57="Liquid fuels", $S$29:$Z$39,$A57="Light duty vehicles",$S$49:$AA$50,$A57="Heavy duty vehicles",$S$51:$AA$58,$A57="Aviation",$S$59:$AA$61,$A57="Vessel",$S$63:$AA$65,TRUE,$S$66:$AA$66),5,FALSE))</f>
        <v>0.08</v>
      </c>
      <c r="I57" s="11">
        <f>IF(ISBLANK(F57), "", VLOOKUP($B57, _xlfn.IFS($A57="Solid fuels", $S$9:$Z$28,$A57="Liquid fuels", $S$29:$Z$39,$A57="Light duty vehicles",$S$49:$AA$50,$A57="Heavy duty vehicles",$S$51:$AA$58,$A57="Aviation",$S$59:$AA$61,$A57="Vessel",$S$63:$AA$65,TRUE,$S$66:$AA$66),6,FALSE))</f>
        <v>0.2</v>
      </c>
      <c r="J57" s="11"/>
      <c r="K57" s="11" t="str">
        <f>IF(ISBLANK(G57), "", VLOOKUP($B57, _xlfn.IFS($A57="Solid fuels", $S$9:$Z$28,$A57="Liquid fuels", $S$29:$Z$39,$A57="Light duty vehicles",$S$49:$AA$50,$A57="Heavy duty vehicles",$S$51:$AA$58,$A57="Aviation",$S$59:$AA$61,$A57="Vessel",$S$63:$AA$65,TRUE,$S$66:$AA$66),8,FALSE))</f>
        <v>NE</v>
      </c>
      <c r="L57" s="11">
        <f t="shared" si="42"/>
        <v>31.201499999999999</v>
      </c>
      <c r="M57" s="11">
        <f t="shared" si="43"/>
        <v>4.0920000000000005E-2</v>
      </c>
      <c r="N57" s="11">
        <f t="shared" si="44"/>
        <v>0.10230000000000002</v>
      </c>
      <c r="O57" s="11"/>
      <c r="P57" s="11" t="e">
        <f t="shared" si="45"/>
        <v>#VALUE!</v>
      </c>
      <c r="T57" s="2"/>
      <c r="U57" s="2"/>
      <c r="W57" s="10"/>
      <c r="X57" s="9"/>
      <c r="Y57" s="9"/>
      <c r="Z57" s="9"/>
      <c r="AA57" s="9"/>
      <c r="AB57" s="9"/>
      <c r="AC57" s="9"/>
    </row>
    <row r="58" spans="1:29">
      <c r="A58" t="s">
        <v>42</v>
      </c>
      <c r="B58" t="s">
        <v>77</v>
      </c>
      <c r="C58">
        <v>9</v>
      </c>
      <c r="D58" s="11" t="s">
        <v>83</v>
      </c>
      <c r="E58" s="11">
        <f>IF(ISBLANK(A58), "", VLOOKUP($B58, _xlfn.IFS($A58="Solid fuels", $S$9:$Z$28,$A58="Liquid fuels", $S$29:$Z$52,$A58="Light duty vehicles",$S$49:$AA$50,$A58="Heavy duty vehicles",$S$51:$AA$58,$A58="Aviation",$S$59:$AA$61,$A58="Vessel",$S$63:$AA$65,TRUE,$S$66:$AA$66),2,FALSE))</f>
        <v>34.6</v>
      </c>
      <c r="F58" s="11" t="str">
        <f>IF(ISBLANK(B58), "", VLOOKUP($B58, _xlfn.IFS($A58="Solid fuels", $S$9:$Z$28,$A58="Liquid fuels", $S$29:$Z$52,$A58="Light duty vehicles",$S$49:$AA$50,$A58="Heavy duty vehicles",$S$51:$AA$58,$A58="Aviation",$S$59:$AA$61,$A58="Vessel",$S$63:$AA$65,TRUE,$S$66:$AA$66),3,FALSE))</f>
        <v>GJ/kL</v>
      </c>
      <c r="G58" s="11">
        <f>IF(ISBLANK(C58), "", VLOOKUP($B58, _xlfn.IFS($A58="Solid fuels", $S$9:$Z$28,$A58="Liquid fuels", $S$29:$Z$52,$A58="Light duty vehicles",$S$49:$AA$50,$A58="Heavy duty vehicles",$S$51:$AA$58,$A58="Aviation",$S$59:$AA$61,$A58="Vessel",$S$63:$AA$65,TRUE,$S$66:$AA$66),4,FALSE))</f>
        <v>0</v>
      </c>
      <c r="H58" s="11">
        <f>IF(ISBLANK(E58), "", VLOOKUP($B58, _xlfn.IFS($A58="Solid fuels", $S$9:$Z$28,$A58="Liquid fuels", $S$29:$Z$52,$A58="Light duty vehicles",$S$49:$AA$50,$A58="Heavy duty vehicles",$S$51:$AA$58,$A58="Aviation",$S$59:$AA$61,$A58="Vessel",$S$63:$AA$65,TRUE,$S$66:$AA$66),5,FALSE))</f>
        <v>0.08</v>
      </c>
      <c r="I58" s="11">
        <f>IF(ISBLANK(F58), "", VLOOKUP($B58, _xlfn.IFS($A58="Solid fuels", $S$9:$Z$28,$A58="Liquid fuels", $S$29:$Z$52,$A58="Light duty vehicles",$S$49:$AA$50,$A58="Heavy duty vehicles",$S$51:$AA$58,$A58="Aviation",$S$59:$AA$61,$A58="Vessel",$S$63:$AA$65,TRUE,$S$66:$AA$66),6,FALSE))</f>
        <v>0.2</v>
      </c>
      <c r="J58" s="11"/>
      <c r="K58" s="11" t="str">
        <f>IF(ISBLANK(G58), "", VLOOKUP($B58, _xlfn.IFS($A58="Solid fuels", $S$9:$Z$28,$A58="Liquid fuels", $S$29:$Z$52,$A58="Light duty vehicles",$S$49:$AA$50,$A58="Heavy duty vehicles",$S$51:$AA$58,$A58="Aviation",$S$59:$AA$61,$A58="Vessel",$S$63:$AA$65,TRUE,$S$66:$AA$66),8,FALSE))</f>
        <v>NE</v>
      </c>
      <c r="L58" s="11">
        <f t="shared" si="42"/>
        <v>0</v>
      </c>
      <c r="M58" s="11">
        <f t="shared" si="43"/>
        <v>2.4912000000000004E-2</v>
      </c>
      <c r="N58" s="11">
        <f t="shared" si="44"/>
        <v>6.2280000000000009E-2</v>
      </c>
      <c r="O58" s="11"/>
      <c r="P58" s="11" t="e">
        <f t="shared" si="45"/>
        <v>#VALUE!</v>
      </c>
      <c r="T58" s="2"/>
      <c r="U58" s="2"/>
      <c r="W58" s="10"/>
      <c r="X58" s="9"/>
      <c r="Y58" s="9"/>
      <c r="Z58" s="9"/>
      <c r="AA58" s="9"/>
      <c r="AB58" s="9"/>
      <c r="AC58" s="9"/>
    </row>
    <row r="59" spans="1:29">
      <c r="A59" t="s">
        <v>42</v>
      </c>
      <c r="B59" t="s">
        <v>78</v>
      </c>
      <c r="C59">
        <v>8</v>
      </c>
      <c r="D59" s="11" t="s">
        <v>83</v>
      </c>
      <c r="E59" s="11">
        <f>IF(ISBLANK(A59), "", VLOOKUP($B59, _xlfn.IFS($A59="Solid fuels", $S$9:$Z$28,$A59="Liquid fuels", $S$29:$Z$52,$A59="Light duty vehicles",$S$49:$AA$50,$A59="Heavy duty vehicles",$S$51:$AA$58,$A59="Aviation",$S$59:$AA$61,$A59="Vessel",$S$63:$AA$65,TRUE,$S$66:$AA$66),2,FALSE))</f>
        <v>23.4</v>
      </c>
      <c r="F59" s="11" t="str">
        <f>IF(ISBLANK(B59), "", VLOOKUP($B59, _xlfn.IFS($A59="Solid fuels", $S$9:$Z$28,$A59="Liquid fuels", $S$29:$Z$52,$A59="Light duty vehicles",$S$49:$AA$50,$A59="Heavy duty vehicles",$S$51:$AA$58,$A59="Aviation",$S$59:$AA$61,$A59="Vessel",$S$63:$AA$65,TRUE,$S$66:$AA$66),3,FALSE))</f>
        <v>GJ/kL</v>
      </c>
      <c r="G59" s="11">
        <f>IF(ISBLANK(C59), "", VLOOKUP($B59, _xlfn.IFS($A59="Solid fuels", $S$9:$Z$28,$A59="Liquid fuels", $S$29:$Z$52,$A59="Light duty vehicles",$S$49:$AA$50,$A59="Heavy duty vehicles",$S$51:$AA$58,$A59="Aviation",$S$59:$AA$61,$A59="Vessel",$S$63:$AA$65,TRUE,$S$66:$AA$66),4,FALSE))</f>
        <v>0</v>
      </c>
      <c r="H59" s="11">
        <f>IF(ISBLANK(E59), "", VLOOKUP($B59, _xlfn.IFS($A59="Solid fuels", $S$9:$Z$28,$A59="Liquid fuels", $S$29:$Z$52,$A59="Light duty vehicles",$S$49:$AA$50,$A59="Heavy duty vehicles",$S$51:$AA$58,$A59="Aviation",$S$59:$AA$61,$A59="Vessel",$S$63:$AA$65,TRUE,$S$66:$AA$66),5,FALSE))</f>
        <v>0.08</v>
      </c>
      <c r="I59" s="11">
        <f>IF(ISBLANK(F59), "", VLOOKUP($B59, _xlfn.IFS($A59="Solid fuels", $S$9:$Z$28,$A59="Liquid fuels", $S$29:$Z$52,$A59="Light duty vehicles",$S$49:$AA$50,$A59="Heavy duty vehicles",$S$51:$AA$58,$A59="Aviation",$S$59:$AA$61,$A59="Vessel",$S$63:$AA$65,TRUE,$S$66:$AA$66),6,FALSE))</f>
        <v>0.2</v>
      </c>
      <c r="J59" s="11"/>
      <c r="K59" s="11" t="str">
        <f>IF(ISBLANK(G59), "", VLOOKUP($B59, _xlfn.IFS($A59="Solid fuels", $S$9:$Z$28,$A59="Liquid fuels", $S$29:$Z$52,$A59="Light duty vehicles",$S$49:$AA$50,$A59="Heavy duty vehicles",$S$51:$AA$58,$A59="Aviation",$S$59:$AA$61,$A59="Vessel",$S$63:$AA$65,TRUE,$S$66:$AA$66),8,FALSE))</f>
        <v>NE</v>
      </c>
      <c r="L59" s="11">
        <f t="shared" si="42"/>
        <v>0</v>
      </c>
      <c r="M59" s="11">
        <f t="shared" si="43"/>
        <v>1.4976E-2</v>
      </c>
      <c r="N59" s="11">
        <f t="shared" si="44"/>
        <v>3.7440000000000001E-2</v>
      </c>
      <c r="O59" s="11"/>
      <c r="P59" s="11" t="e">
        <f t="shared" si="45"/>
        <v>#VALUE!</v>
      </c>
      <c r="T59" s="2"/>
      <c r="U59" s="2"/>
      <c r="W59" s="10"/>
      <c r="X59" s="9"/>
      <c r="Y59" s="9"/>
      <c r="Z59" s="9"/>
      <c r="AA59" s="9"/>
      <c r="AB59" s="9"/>
      <c r="AC59" s="9"/>
    </row>
    <row r="60" spans="1:29">
      <c r="A60" t="s">
        <v>42</v>
      </c>
      <c r="B60" t="s">
        <v>79</v>
      </c>
      <c r="C60">
        <v>7</v>
      </c>
      <c r="D60" s="11" t="s">
        <v>83</v>
      </c>
      <c r="E60" s="11">
        <f>IF(ISBLANK(A60), "", VLOOKUP($B60, _xlfn.IFS($A60="Solid fuels", $S$9:$Z$28,$A60="Liquid fuels", $S$29:$Z$52,$A60="Light duty vehicles",$S$49:$AA$50,$A60="Heavy duty vehicles",$S$51:$AA$58,$A60="Aviation",$S$59:$AA$61,$A60="Vessel",$S$63:$AA$65,TRUE,$S$66:$AA$66),2,FALSE))</f>
        <v>23.4</v>
      </c>
      <c r="F60" s="11" t="str">
        <f>IF(ISBLANK(B60), "", VLOOKUP($B60, _xlfn.IFS($A60="Solid fuels", $S$9:$Z$28,$A60="Liquid fuels", $S$29:$Z$52,$A60="Light duty vehicles",$S$49:$AA$50,$A60="Heavy duty vehicles",$S$51:$AA$58,$A60="Aviation",$S$59:$AA$61,$A60="Vessel",$S$63:$AA$65,TRUE,$S$66:$AA$66),3,FALSE))</f>
        <v>GJ/kL</v>
      </c>
      <c r="G60" s="11">
        <f>IF(ISBLANK(C60), "", VLOOKUP($B60, _xlfn.IFS($A60="Solid fuels", $S$9:$Z$28,$A60="Liquid fuels", $S$29:$Z$52,$A60="Light duty vehicles",$S$49:$AA$50,$A60="Heavy duty vehicles",$S$51:$AA$58,$A60="Aviation",$S$59:$AA$61,$A60="Vessel",$S$63:$AA$65,TRUE,$S$66:$AA$66),4,FALSE))</f>
        <v>0</v>
      </c>
      <c r="H60" s="11">
        <f>IF(ISBLANK(E60), "", VLOOKUP($B60, _xlfn.IFS($A60="Solid fuels", $S$9:$Z$28,$A60="Liquid fuels", $S$29:$Z$52,$A60="Light duty vehicles",$S$49:$AA$50,$A60="Heavy duty vehicles",$S$51:$AA$58,$A60="Aviation",$S$59:$AA$61,$A60="Vessel",$S$63:$AA$65,TRUE,$S$66:$AA$66),5,FALSE))</f>
        <v>0.08</v>
      </c>
      <c r="I60" s="11">
        <f>IF(ISBLANK(F60), "", VLOOKUP($B60, _xlfn.IFS($A60="Solid fuels", $S$9:$Z$28,$A60="Liquid fuels", $S$29:$Z$52,$A60="Light duty vehicles",$S$49:$AA$50,$A60="Heavy duty vehicles",$S$51:$AA$58,$A60="Aviation",$S$59:$AA$61,$A60="Vessel",$S$63:$AA$65,TRUE,$S$66:$AA$66),6,FALSE))</f>
        <v>0.2</v>
      </c>
      <c r="J60" s="11"/>
      <c r="K60" s="11" t="str">
        <f>IF(ISBLANK(G60), "", VLOOKUP($B60, _xlfn.IFS($A60="Solid fuels", $S$9:$Z$28,$A60="Liquid fuels", $S$29:$Z$52,$A60="Light duty vehicles",$S$49:$AA$50,$A60="Heavy duty vehicles",$S$51:$AA$58,$A60="Aviation",$S$59:$AA$61,$A60="Vessel",$S$63:$AA$65,TRUE,$S$66:$AA$66),8,FALSE))</f>
        <v>NE</v>
      </c>
      <c r="L60" s="11">
        <f t="shared" si="42"/>
        <v>0</v>
      </c>
      <c r="M60" s="11">
        <f t="shared" si="43"/>
        <v>1.3103999999999999E-2</v>
      </c>
      <c r="N60" s="11">
        <f t="shared" si="44"/>
        <v>3.2759999999999997E-2</v>
      </c>
      <c r="O60" s="11"/>
      <c r="P60" s="11" t="e">
        <f t="shared" si="45"/>
        <v>#VALUE!</v>
      </c>
      <c r="T60" s="2"/>
      <c r="U60" s="2"/>
      <c r="W60" s="10"/>
      <c r="X60" s="9"/>
      <c r="Y60" s="9"/>
      <c r="Z60" s="9"/>
      <c r="AA60" s="9"/>
      <c r="AB60" s="9"/>
      <c r="AC60" s="9"/>
    </row>
    <row r="61" spans="1:29">
      <c r="A61" t="s">
        <v>42</v>
      </c>
      <c r="B61" t="s">
        <v>80</v>
      </c>
      <c r="C61">
        <v>6</v>
      </c>
      <c r="D61" s="11" t="s">
        <v>83</v>
      </c>
      <c r="E61" s="11">
        <f>IF(ISBLANK(A61), "", VLOOKUP($B61, _xlfn.IFS($A61="Solid fuels", $S$9:$Z$28,$A61="Liquid fuels", $S$29:$Z$52,$A61="Light duty vehicles",$S$49:$AA$50,$A61="Heavy duty vehicles",$S$51:$AA$58,$A61="Aviation",$S$59:$AA$61,$A61="Vessel",$S$63:$AA$65,TRUE,$S$66:$AA$66),2,FALSE))</f>
        <v>36.799999999999997</v>
      </c>
      <c r="F61" s="11" t="str">
        <f>IF(ISBLANK(B61), "", VLOOKUP($B61, _xlfn.IFS($A61="Solid fuels", $S$9:$Z$28,$A61="Liquid fuels", $S$29:$Z$52,$A61="Light duty vehicles",$S$49:$AA$50,$A61="Heavy duty vehicles",$S$51:$AA$58,$A61="Aviation",$S$59:$AA$61,$A61="Vessel",$S$63:$AA$65,TRUE,$S$66:$AA$66),3,FALSE))</f>
        <v>GJ/kL</v>
      </c>
      <c r="G61" s="11">
        <f>IF(ISBLANK(C61), "", VLOOKUP($B61, _xlfn.IFS($A61="Solid fuels", $S$9:$Z$28,$A61="Liquid fuels", $S$29:$Z$52,$A61="Light duty vehicles",$S$49:$AA$50,$A61="Heavy duty vehicles",$S$51:$AA$58,$A61="Aviation",$S$59:$AA$61,$A61="Vessel",$S$63:$AA$65,TRUE,$S$66:$AA$66),4,FALSE))</f>
        <v>0</v>
      </c>
      <c r="H61" s="11">
        <f>IF(ISBLANK(E61), "", VLOOKUP($B61, _xlfn.IFS($A61="Solid fuels", $S$9:$Z$28,$A61="Liquid fuels", $S$29:$Z$52,$A61="Light duty vehicles",$S$49:$AA$50,$A61="Heavy duty vehicles",$S$51:$AA$58,$A61="Aviation",$S$59:$AA$61,$A61="Vessel",$S$63:$AA$65,TRUE,$S$66:$AA$66),5,FALSE))</f>
        <v>0.02</v>
      </c>
      <c r="I61" s="11">
        <f>IF(ISBLANK(F61), "", VLOOKUP($B61, _xlfn.IFS($A61="Solid fuels", $S$9:$Z$28,$A61="Liquid fuels", $S$29:$Z$52,$A61="Light duty vehicles",$S$49:$AA$50,$A61="Heavy duty vehicles",$S$51:$AA$58,$A61="Aviation",$S$59:$AA$61,$A61="Vessel",$S$63:$AA$65,TRUE,$S$66:$AA$66),6,FALSE))</f>
        <v>0.2</v>
      </c>
      <c r="J61" s="11"/>
      <c r="K61" s="11" t="str">
        <f>IF(ISBLANK(G61), "", VLOOKUP($B61, _xlfn.IFS($A61="Solid fuels", $S$9:$Z$28,$A61="Liquid fuels", $S$29:$Z$52,$A61="Light duty vehicles",$S$49:$AA$50,$A61="Heavy duty vehicles",$S$51:$AA$58,$A61="Aviation",$S$59:$AA$61,$A61="Vessel",$S$63:$AA$65,TRUE,$S$66:$AA$66),8,FALSE))</f>
        <v>NE</v>
      </c>
      <c r="L61" s="11">
        <f t="shared" si="42"/>
        <v>0</v>
      </c>
      <c r="M61" s="11">
        <f t="shared" si="43"/>
        <v>4.4159999999999998E-3</v>
      </c>
      <c r="N61" s="11">
        <f t="shared" si="44"/>
        <v>4.4159999999999998E-2</v>
      </c>
      <c r="O61" s="11"/>
      <c r="P61" s="11" t="e">
        <f t="shared" si="45"/>
        <v>#VALUE!</v>
      </c>
      <c r="T61" s="2"/>
      <c r="U61" s="2"/>
      <c r="W61" s="10"/>
      <c r="X61" s="9"/>
      <c r="Y61" s="9"/>
      <c r="Z61" s="9"/>
      <c r="AA61" s="9"/>
      <c r="AB61" s="9"/>
      <c r="AC61" s="9"/>
    </row>
    <row r="62" spans="1:29">
      <c r="A62" t="s">
        <v>42</v>
      </c>
      <c r="B62" t="s">
        <v>81</v>
      </c>
      <c r="C62">
        <v>5</v>
      </c>
      <c r="D62" s="11" t="s">
        <v>83</v>
      </c>
      <c r="E62" s="11">
        <f>IF(ISBLANK(A62), "", VLOOKUP($B62, _xlfn.IFS($A62="Solid fuels", $S$9:$Z$28,$A62="Liquid fuels", $S$29:$Z$52,$A62="Light duty vehicles",$S$49:$AA$50,$A62="Heavy duty vehicles",$S$51:$AA$58,$A62="Aviation",$S$59:$AA$61,$A62="Vessel",$S$63:$AA$65,TRUE,$S$66:$AA$66),2,FALSE))</f>
        <v>38.6</v>
      </c>
      <c r="F62" s="11" t="str">
        <f>IF(ISBLANK(B62), "", VLOOKUP($B62, _xlfn.IFS($A62="Solid fuels", $S$9:$Z$28,$A62="Liquid fuels", $S$29:$Z$52,$A62="Light duty vehicles",$S$49:$AA$50,$A62="Heavy duty vehicles",$S$51:$AA$58,$A62="Aviation",$S$59:$AA$61,$A62="Vessel",$S$63:$AA$65,TRUE,$S$66:$AA$66),3,FALSE))</f>
        <v>GJ/kL</v>
      </c>
      <c r="G62" s="11">
        <f>IF(ISBLANK(C62), "", VLOOKUP($B62, _xlfn.IFS($A62="Solid fuels", $S$9:$Z$28,$A62="Liquid fuels", $S$29:$Z$52,$A62="Light duty vehicles",$S$49:$AA$50,$A62="Heavy duty vehicles",$S$51:$AA$58,$A62="Aviation",$S$59:$AA$61,$A62="Vessel",$S$63:$AA$65,TRUE,$S$66:$AA$66),4,FALSE))</f>
        <v>0</v>
      </c>
      <c r="H62" s="11">
        <f>IF(ISBLANK(E62), "", VLOOKUP($B62, _xlfn.IFS($A62="Solid fuels", $S$9:$Z$28,$A62="Liquid fuels", $S$29:$Z$52,$A62="Light duty vehicles",$S$49:$AA$50,$A62="Heavy duty vehicles",$S$51:$AA$58,$A62="Aviation",$S$59:$AA$61,$A62="Vessel",$S$63:$AA$65,TRUE,$S$66:$AA$66),5,FALSE))</f>
        <v>0.1</v>
      </c>
      <c r="I62" s="11">
        <f>IF(ISBLANK(F62), "", VLOOKUP($B62, _xlfn.IFS($A62="Solid fuels", $S$9:$Z$28,$A62="Liquid fuels", $S$29:$Z$52,$A62="Light duty vehicles",$S$49:$AA$50,$A62="Heavy duty vehicles",$S$51:$AA$58,$A62="Aviation",$S$59:$AA$61,$A62="Vessel",$S$63:$AA$65,TRUE,$S$66:$AA$66),6,FALSE))</f>
        <v>0.2</v>
      </c>
      <c r="J62" s="11"/>
      <c r="K62" s="11" t="str">
        <f>IF(ISBLANK(G62), "", VLOOKUP($B62, _xlfn.IFS($A62="Solid fuels", $S$9:$Z$28,$A62="Liquid fuels", $S$29:$Z$52,$A62="Light duty vehicles",$S$49:$AA$50,$A62="Heavy duty vehicles",$S$51:$AA$58,$A62="Aviation",$S$59:$AA$61,$A62="Vessel",$S$63:$AA$65,TRUE,$S$66:$AA$66),8,FALSE))</f>
        <v>NE</v>
      </c>
      <c r="L62" s="11">
        <f t="shared" si="42"/>
        <v>0</v>
      </c>
      <c r="M62" s="11">
        <f t="shared" si="43"/>
        <v>1.9300000000000001E-2</v>
      </c>
      <c r="N62" s="11">
        <f t="shared" si="44"/>
        <v>3.8600000000000002E-2</v>
      </c>
      <c r="O62" s="11"/>
      <c r="P62" s="11" t="e">
        <f t="shared" si="45"/>
        <v>#VALUE!</v>
      </c>
      <c r="T62" s="2"/>
      <c r="U62" s="2"/>
      <c r="W62" s="10"/>
      <c r="X62" s="9"/>
      <c r="Y62" s="9"/>
      <c r="Z62" s="9"/>
      <c r="AA62" s="9"/>
      <c r="AB62" s="9"/>
      <c r="AC62" s="9"/>
    </row>
    <row r="63" spans="1:29">
      <c r="T63" s="2"/>
      <c r="U63" s="2"/>
      <c r="W63" s="8"/>
      <c r="X63" s="8"/>
      <c r="Y63" s="8"/>
      <c r="AA63" s="8"/>
      <c r="AB63" s="8"/>
      <c r="AC63" s="8"/>
    </row>
    <row r="64" spans="1:29">
      <c r="W64" s="2"/>
      <c r="X64" s="10"/>
      <c r="Y64" s="9"/>
      <c r="AB64" s="8"/>
      <c r="AC64" s="8"/>
    </row>
    <row r="65" spans="20:24">
      <c r="W65" s="2"/>
      <c r="X65" s="2"/>
    </row>
    <row r="66" spans="20:24">
      <c r="T66" s="2"/>
      <c r="U66" s="2"/>
      <c r="W66" s="2"/>
      <c r="X66" s="2"/>
    </row>
    <row r="68" spans="20:24">
      <c r="T68" s="2"/>
      <c r="U68" s="2"/>
      <c r="V68" s="2"/>
    </row>
    <row r="69" spans="20:24">
      <c r="T69" s="2"/>
      <c r="U69" s="2"/>
      <c r="V69" s="2"/>
    </row>
    <row r="70" spans="20:24">
      <c r="V70" s="2"/>
    </row>
    <row r="71" spans="20:24">
      <c r="T71" s="2"/>
      <c r="U71" s="2"/>
      <c r="V71" s="2"/>
    </row>
    <row r="72" spans="20:24">
      <c r="T72" s="2"/>
      <c r="U72" s="2"/>
      <c r="V72" s="2"/>
    </row>
    <row r="73" spans="20:24">
      <c r="T73" s="2"/>
      <c r="U73" s="2"/>
      <c r="V73" s="2"/>
    </row>
    <row r="74" spans="20:24">
      <c r="T74" s="2"/>
      <c r="U74" s="2"/>
      <c r="V74" s="2"/>
    </row>
    <row r="75" spans="20:24">
      <c r="T75" s="2"/>
      <c r="U75" s="2"/>
      <c r="V75" s="2"/>
    </row>
    <row r="76" spans="20:24">
      <c r="T76" s="2"/>
      <c r="U76" s="2"/>
      <c r="V76" s="2"/>
    </row>
    <row r="77" spans="20:24">
      <c r="T77" s="2"/>
      <c r="U77" s="2"/>
      <c r="V77" s="2"/>
    </row>
    <row r="78" spans="20:24">
      <c r="T78" s="2"/>
      <c r="U78" s="2"/>
      <c r="V78" s="2"/>
    </row>
    <row r="79" spans="20:24">
      <c r="T79" s="2"/>
      <c r="U79" s="2"/>
      <c r="V79" s="2"/>
    </row>
    <row r="80" spans="20:24">
      <c r="T80" s="2"/>
      <c r="U80" s="2"/>
      <c r="V80" s="2"/>
    </row>
    <row r="81" spans="20:22">
      <c r="T81" s="2"/>
      <c r="U81" s="2"/>
      <c r="V81" s="2"/>
    </row>
    <row r="82" spans="20:22">
      <c r="T82" s="2"/>
      <c r="U82" s="2"/>
      <c r="V82" s="2"/>
    </row>
    <row r="83" spans="20:22">
      <c r="T83" s="2"/>
      <c r="U83" s="2"/>
      <c r="V83" s="2"/>
    </row>
  </sheetData>
  <mergeCells count="1">
    <mergeCell ref="AC35:AC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8.2.1.1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Eddie Sholl</dc:creator>
  <cp:lastModifiedBy>Mack Cheesman</cp:lastModifiedBy>
  <dcterms:created xsi:type="dcterms:W3CDTF">2026-02-18T00:55:42Z</dcterms:created>
  <dcterms:modified xsi:type="dcterms:W3CDTF">2026-10-26T03:17:17Z</dcterms:modified>
</cp:coreProperties>
</file>